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ficina do Pezão\Desktop\André\"/>
    </mc:Choice>
  </mc:AlternateContent>
  <xr:revisionPtr revIDLastSave="0" documentId="13_ncr:1_{22A80231-F4EF-4480-B021-C15FF5BBEDF2}" xr6:coauthVersionLast="47" xr6:coauthVersionMax="47" xr10:uidLastSave="{00000000-0000-0000-0000-000000000000}"/>
  <bookViews>
    <workbookView xWindow="-120" yWindow="-120" windowWidth="20640" windowHeight="11160" xr2:uid="{00000000-000D-0000-FFFF-FFFF00000000}"/>
  </bookViews>
  <sheets>
    <sheet name="Entrada_de_Dados" sheetId="1" r:id="rId1"/>
    <sheet name="Resumo" sheetId="2" r:id="rId2"/>
  </sheets>
  <definedNames>
    <definedName name="_xlnm._FilterDatabase" localSheetId="0" hidden="1">Entrada_de_Dados!#REF!</definedName>
    <definedName name="_xlnm._FilterDatabase" localSheetId="1" hidden="1">Resumo!$H$1:$H$1</definedName>
  </definedNames>
  <calcPr calcId="191029"/>
</workbook>
</file>

<file path=xl/calcChain.xml><?xml version="1.0" encoding="utf-8"?>
<calcChain xmlns="http://schemas.openxmlformats.org/spreadsheetml/2006/main">
  <c r="B13" i="1" l="1"/>
  <c r="B12" i="1"/>
  <c r="B30" i="1" l="1"/>
  <c r="B27" i="1"/>
  <c r="B9" i="1"/>
  <c r="B3" i="1"/>
  <c r="B19" i="1"/>
  <c r="B18" i="1"/>
  <c r="B16" i="1"/>
  <c r="B15" i="1"/>
  <c r="B10" i="1"/>
  <c r="A26" i="1"/>
  <c r="A23" i="1"/>
  <c r="A25" i="1" s="1"/>
  <c r="A20" i="1"/>
  <c r="A21" i="1" s="1"/>
  <c r="A17" i="1"/>
  <c r="A18" i="1" s="1"/>
  <c r="A14" i="1"/>
  <c r="A15" i="1" s="1"/>
  <c r="A11" i="1"/>
  <c r="A13" i="1" s="1"/>
  <c r="A8" i="1"/>
  <c r="A10" i="1" s="1"/>
  <c r="B31" i="1"/>
  <c r="A31" i="1"/>
  <c r="A30" i="1"/>
  <c r="B28" i="1"/>
  <c r="B25" i="1"/>
  <c r="B24" i="1"/>
  <c r="B22" i="1"/>
  <c r="B21" i="1"/>
  <c r="A5" i="1"/>
  <c r="A7" i="1" s="1"/>
  <c r="B7" i="1"/>
  <c r="B6" i="1"/>
  <c r="A4" i="1"/>
  <c r="B4" i="1"/>
  <c r="A3" i="1"/>
  <c r="A28" i="1"/>
  <c r="A6" i="1"/>
  <c r="A27" i="1"/>
  <c r="A9" i="1" l="1"/>
  <c r="A12" i="1"/>
  <c r="A19" i="1"/>
  <c r="A16" i="1"/>
  <c r="A24" i="1"/>
  <c r="A22" i="1"/>
</calcChain>
</file>

<file path=xl/sharedStrings.xml><?xml version="1.0" encoding="utf-8"?>
<sst xmlns="http://schemas.openxmlformats.org/spreadsheetml/2006/main" count="81" uniqueCount="25">
  <si>
    <t>Ponto</t>
  </si>
  <si>
    <t>Nome</t>
  </si>
  <si>
    <t>Unidade</t>
  </si>
  <si>
    <t>Classe</t>
  </si>
  <si>
    <t>R</t>
  </si>
  <si>
    <t>N</t>
  </si>
  <si>
    <t>F</t>
  </si>
  <si>
    <t>seJ</t>
  </si>
  <si>
    <t>Recursos</t>
  </si>
  <si>
    <t>Valor
[seJ]</t>
  </si>
  <si>
    <t>Valor
[%]</t>
  </si>
  <si>
    <t xml:space="preserve">Nome
</t>
  </si>
  <si>
    <t xml:space="preserve">Ponto
</t>
  </si>
  <si>
    <r>
      <t xml:space="preserve">Rendimento
Emergético
[EYR]
</t>
    </r>
    <r>
      <rPr>
        <b/>
        <sz val="8"/>
        <color indexed="57"/>
        <rFont val="Comic Sans MS"/>
        <family val="4"/>
      </rPr>
      <t/>
    </r>
  </si>
  <si>
    <t xml:space="preserve">Investimento
Emergético
[EIR]
</t>
  </si>
  <si>
    <t xml:space="preserve">Impacto
Ambiental
[ELR]
</t>
  </si>
  <si>
    <t xml:space="preserve">Sustentabilidade
[SI]
</t>
  </si>
  <si>
    <t>Emergia
[seJ]</t>
  </si>
  <si>
    <t>Classe
R/N/F</t>
  </si>
  <si>
    <t>Andre</t>
  </si>
  <si>
    <t>Vinicius</t>
  </si>
  <si>
    <t>Diego</t>
  </si>
  <si>
    <t>Cecilia</t>
  </si>
  <si>
    <t>Antonio</t>
  </si>
  <si>
    <t>Pedro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</si>
</sst>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1" x14ac:knownFonts="1">
    <font>
      <sz val="10"/>
      <name val="Comic Sans MS"/>
    </font>
    <font>
      <sz val="10"/>
      <name val="Comic Sans MS"/>
    </font>
    <font>
      <sz val="8"/>
      <name val="Comic Sans MS"/>
      <family val="4"/>
    </font>
    <font>
      <b/>
      <sz val="8"/>
      <color indexed="57"/>
      <name val="Comic Sans MS"/>
      <family val="4"/>
    </font>
    <font>
      <sz val="10"/>
      <name val="Comic Sans MS"/>
      <family val="4"/>
    </font>
    <font>
      <b/>
      <sz val="8"/>
      <name val="Times New Roman"/>
      <family val="1"/>
    </font>
    <font>
      <sz val="8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b/>
      <sz val="10"/>
      <name val="Times New Roman"/>
      <family val="1"/>
    </font>
    <font>
      <b/>
      <sz val="9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8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8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164" fontId="2" fillId="0" borderId="0" xfId="1" applyNumberFormat="1" applyFont="1" applyFill="1"/>
    <xf numFmtId="0" fontId="4" fillId="0" borderId="0" xfId="0" applyFont="1"/>
    <xf numFmtId="0" fontId="2" fillId="0" borderId="0" xfId="0" applyFont="1" applyProtection="1">
      <protection locked="0"/>
    </xf>
    <xf numFmtId="0" fontId="7" fillId="2" borderId="7" xfId="0" applyFont="1" applyFill="1" applyBorder="1" applyAlignment="1">
      <alignment horizontal="center"/>
    </xf>
    <xf numFmtId="0" fontId="7" fillId="3" borderId="8" xfId="0" applyFont="1" applyFill="1" applyBorder="1"/>
    <xf numFmtId="0" fontId="7" fillId="3" borderId="12" xfId="0" applyFont="1" applyFill="1" applyBorder="1" applyAlignment="1">
      <alignment horizontal="center"/>
    </xf>
    <xf numFmtId="0" fontId="7" fillId="4" borderId="10" xfId="0" applyFont="1" applyFill="1" applyBorder="1" applyAlignment="1">
      <alignment horizontal="center" wrapText="1"/>
    </xf>
    <xf numFmtId="0" fontId="7" fillId="2" borderId="10" xfId="0" applyFont="1" applyFill="1" applyBorder="1" applyAlignment="1">
      <alignment horizontal="center" wrapText="1"/>
    </xf>
    <xf numFmtId="0" fontId="7" fillId="2" borderId="5" xfId="0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8" fillId="4" borderId="4" xfId="0" applyFont="1" applyFill="1" applyBorder="1" applyAlignment="1">
      <alignment horizontal="center"/>
    </xf>
    <xf numFmtId="11" fontId="8" fillId="2" borderId="4" xfId="0" applyNumberFormat="1" applyFont="1" applyFill="1" applyBorder="1" applyProtection="1">
      <protection locked="0"/>
    </xf>
    <xf numFmtId="0" fontId="7" fillId="2" borderId="1" xfId="0" applyFont="1" applyFill="1" applyBorder="1" applyAlignment="1">
      <alignment horizontal="center"/>
    </xf>
    <xf numFmtId="0" fontId="8" fillId="3" borderId="3" xfId="0" applyFont="1" applyFill="1" applyBorder="1" applyAlignment="1" applyProtection="1">
      <alignment horizontal="center"/>
      <protection locked="0"/>
    </xf>
    <xf numFmtId="0" fontId="7" fillId="2" borderId="5" xfId="0" applyFont="1" applyFill="1" applyBorder="1" applyAlignment="1" applyProtection="1">
      <alignment horizontal="center"/>
      <protection locked="0"/>
    </xf>
    <xf numFmtId="0" fontId="9" fillId="0" borderId="11" xfId="0" applyFont="1" applyBorder="1" applyAlignment="1" applyProtection="1">
      <alignment horizontal="center" wrapText="1"/>
      <protection locked="0"/>
    </xf>
    <xf numFmtId="0" fontId="9" fillId="0" borderId="8" xfId="0" applyFont="1" applyBorder="1" applyAlignment="1" applyProtection="1">
      <alignment horizontal="center" wrapText="1"/>
      <protection locked="0"/>
    </xf>
    <xf numFmtId="0" fontId="9" fillId="0" borderId="10" xfId="0" applyFont="1" applyBorder="1" applyAlignment="1" applyProtection="1">
      <alignment horizontal="left"/>
      <protection locked="0"/>
    </xf>
    <xf numFmtId="0" fontId="9" fillId="0" borderId="10" xfId="0" applyFont="1" applyBorder="1" applyAlignment="1" applyProtection="1">
      <alignment horizontal="center"/>
      <protection locked="0"/>
    </xf>
    <xf numFmtId="0" fontId="9" fillId="0" borderId="10" xfId="0" applyFont="1" applyBorder="1" applyAlignment="1" applyProtection="1">
      <alignment horizontal="center" wrapText="1"/>
      <protection locked="0"/>
    </xf>
    <xf numFmtId="164" fontId="9" fillId="0" borderId="10" xfId="1" applyNumberFormat="1" applyFont="1" applyFill="1" applyBorder="1" applyAlignment="1" applyProtection="1">
      <alignment horizontal="center" wrapText="1"/>
      <protection locked="0"/>
    </xf>
    <xf numFmtId="0" fontId="6" fillId="0" borderId="0" xfId="0" applyFont="1" applyProtection="1">
      <protection locked="0"/>
    </xf>
    <xf numFmtId="0" fontId="5" fillId="0" borderId="9" xfId="0" applyFont="1" applyBorder="1" applyAlignment="1" applyProtection="1">
      <alignment horizontal="left" vertical="top" wrapText="1"/>
      <protection locked="0"/>
    </xf>
    <xf numFmtId="0" fontId="10" fillId="2" borderId="6" xfId="0" applyFont="1" applyFill="1" applyBorder="1" applyProtection="1">
      <protection locked="0"/>
    </xf>
    <xf numFmtId="0" fontId="10" fillId="3" borderId="2" xfId="0" applyFont="1" applyFill="1" applyBorder="1"/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colors>
    <mruColors>
      <color rgb="FFAAD6E4"/>
      <color rgb="FFFF9900"/>
      <color rgb="FFE38C3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533400</xdr:colOff>
      <xdr:row>0</xdr:row>
      <xdr:rowOff>19051</xdr:rowOff>
    </xdr:from>
    <xdr:to>
      <xdr:col>7</xdr:col>
      <xdr:colOff>571500</xdr:colOff>
      <xdr:row>0</xdr:row>
      <xdr:rowOff>438150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BABC35C-625E-4A71-8822-C4BD7C8ECD43}"/>
            </a:ext>
          </a:extLst>
        </xdr:cNvPr>
        <xdr:cNvSpPr/>
      </xdr:nvSpPr>
      <xdr:spPr>
        <a:xfrm>
          <a:off x="5819775" y="19051"/>
          <a:ext cx="1333500" cy="419099"/>
        </a:xfrm>
        <a:prstGeom prst="roundRect">
          <a:avLst/>
        </a:prstGeom>
        <a:solidFill>
          <a:srgbClr val="AAD6E4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12700"/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Gravar Dados</a:t>
          </a:r>
        </a:p>
      </xdr:txBody>
    </xdr:sp>
    <xdr:clientData/>
  </xdr:twoCellAnchor>
  <xdr:twoCellAnchor>
    <xdr:from>
      <xdr:col>7</xdr:col>
      <xdr:colOff>676275</xdr:colOff>
      <xdr:row>0</xdr:row>
      <xdr:rowOff>19051</xdr:rowOff>
    </xdr:from>
    <xdr:to>
      <xdr:col>9</xdr:col>
      <xdr:colOff>581025</xdr:colOff>
      <xdr:row>0</xdr:row>
      <xdr:rowOff>436651</xdr:rowOff>
    </xdr:to>
    <xdr:sp macro="[0]!BtnLerDados_Click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14668750-CFA6-4EE4-A307-03B5E112EBB6}"/>
            </a:ext>
          </a:extLst>
        </xdr:cNvPr>
        <xdr:cNvSpPr/>
      </xdr:nvSpPr>
      <xdr:spPr>
        <a:xfrm>
          <a:off x="7258050" y="19051"/>
          <a:ext cx="1333500" cy="417600"/>
        </a:xfrm>
        <a:prstGeom prst="roundRect">
          <a:avLst/>
        </a:prstGeom>
        <a:solidFill>
          <a:srgbClr val="AAD6E4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Ler Dados</a:t>
          </a:r>
        </a:p>
      </xdr:txBody>
    </xdr:sp>
    <xdr:clientData/>
  </xdr:twoCellAnchor>
  <xdr:twoCellAnchor>
    <xdr:from>
      <xdr:col>9</xdr:col>
      <xdr:colOff>657225</xdr:colOff>
      <xdr:row>0</xdr:row>
      <xdr:rowOff>19051</xdr:rowOff>
    </xdr:from>
    <xdr:to>
      <xdr:col>11</xdr:col>
      <xdr:colOff>276225</xdr:colOff>
      <xdr:row>0</xdr:row>
      <xdr:rowOff>436651</xdr:rowOff>
    </xdr:to>
    <xdr:sp macro="[0]!BtnResumo_Click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C55EAF16-A696-41C2-AFC3-BE241CA2551D}"/>
            </a:ext>
          </a:extLst>
        </xdr:cNvPr>
        <xdr:cNvSpPr/>
      </xdr:nvSpPr>
      <xdr:spPr>
        <a:xfrm>
          <a:off x="8667750" y="19051"/>
          <a:ext cx="1333500" cy="417600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Times New Roman" panose="02020603050405020304" pitchFamily="18" charset="0"/>
              <a:cs typeface="Times New Roman" panose="02020603050405020304" pitchFamily="18" charset="0"/>
            </a:rPr>
            <a:t>Resumo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438150</xdr:colOff>
      <xdr:row>0</xdr:row>
      <xdr:rowOff>333375</xdr:rowOff>
    </xdr:from>
    <xdr:to>
      <xdr:col>7</xdr:col>
      <xdr:colOff>857250</xdr:colOff>
      <xdr:row>0</xdr:row>
      <xdr:rowOff>933450</xdr:rowOff>
    </xdr:to>
    <xdr:grpSp>
      <xdr:nvGrpSpPr>
        <xdr:cNvPr id="2289" name="Group 13">
          <a:extLst>
            <a:ext uri="{FF2B5EF4-FFF2-40B4-BE49-F238E27FC236}">
              <a16:creationId xmlns:a16="http://schemas.microsoft.com/office/drawing/2014/main" id="{00000000-0008-0000-0100-0000F1080000}"/>
            </a:ext>
          </a:extLst>
        </xdr:cNvPr>
        <xdr:cNvGrpSpPr>
          <a:grpSpLocks/>
        </xdr:cNvGrpSpPr>
      </xdr:nvGrpSpPr>
      <xdr:grpSpPr bwMode="auto">
        <a:xfrm>
          <a:off x="5048250" y="333375"/>
          <a:ext cx="419100" cy="600075"/>
          <a:chOff x="929" y="126"/>
          <a:chExt cx="47" cy="66"/>
        </a:xfrm>
      </xdr:grpSpPr>
      <xdr:sp macro="" textlink="">
        <xdr:nvSpPr>
          <xdr:cNvPr id="2314" name="Rectangle 4">
            <a:extLst>
              <a:ext uri="{FF2B5EF4-FFF2-40B4-BE49-F238E27FC236}">
                <a16:creationId xmlns:a16="http://schemas.microsoft.com/office/drawing/2014/main" id="{00000000-0008-0000-0100-00000A09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26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15" name="Rectangle 5">
            <a:extLst>
              <a:ext uri="{FF2B5EF4-FFF2-40B4-BE49-F238E27FC236}">
                <a16:creationId xmlns:a16="http://schemas.microsoft.com/office/drawing/2014/main" id="{00000000-0008-0000-0100-00000B09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48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16" name="Rectangle 6">
            <a:extLst>
              <a:ext uri="{FF2B5EF4-FFF2-40B4-BE49-F238E27FC236}">
                <a16:creationId xmlns:a16="http://schemas.microsoft.com/office/drawing/2014/main" id="{00000000-0008-0000-0100-00000C09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70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055" name="Text Box 7">
            <a:extLst>
              <a:ext uri="{FF2B5EF4-FFF2-40B4-BE49-F238E27FC236}">
                <a16:creationId xmlns:a16="http://schemas.microsoft.com/office/drawing/2014/main" id="{00000000-0008-0000-0100-000007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48" y="139"/>
            <a:ext cx="28" cy="21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5,00</a:t>
            </a:r>
          </a:p>
        </xdr:txBody>
      </xdr:sp>
      <xdr:sp macro="" textlink="">
        <xdr:nvSpPr>
          <xdr:cNvPr id="2056" name="Text Box 8">
            <a:extLst>
              <a:ext uri="{FF2B5EF4-FFF2-40B4-BE49-F238E27FC236}">
                <a16:creationId xmlns:a16="http://schemas.microsoft.com/office/drawing/2014/main" id="{00000000-0008-0000-0100-000008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48" y="162"/>
            <a:ext cx="28" cy="21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2,00</a:t>
            </a:r>
          </a:p>
        </xdr:txBody>
      </xdr:sp>
      <xdr:sp macro="" textlink="">
        <xdr:nvSpPr>
          <xdr:cNvPr id="2319" name="Line 11">
            <a:extLst>
              <a:ext uri="{FF2B5EF4-FFF2-40B4-BE49-F238E27FC236}">
                <a16:creationId xmlns:a16="http://schemas.microsoft.com/office/drawing/2014/main" id="{00000000-0008-0000-0100-00000F090000}"/>
              </a:ext>
            </a:extLst>
          </xdr:cNvPr>
          <xdr:cNvSpPr>
            <a:spLocks noChangeShapeType="1"/>
          </xdr:cNvSpPr>
        </xdr:nvSpPr>
        <xdr:spPr bwMode="auto">
          <a:xfrm>
            <a:off x="930" y="148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20" name="Line 12">
            <a:extLst>
              <a:ext uri="{FF2B5EF4-FFF2-40B4-BE49-F238E27FC236}">
                <a16:creationId xmlns:a16="http://schemas.microsoft.com/office/drawing/2014/main" id="{00000000-0008-0000-0100-000010090000}"/>
              </a:ext>
            </a:extLst>
          </xdr:cNvPr>
          <xdr:cNvSpPr>
            <a:spLocks noChangeShapeType="1"/>
          </xdr:cNvSpPr>
        </xdr:nvSpPr>
        <xdr:spPr bwMode="auto">
          <a:xfrm>
            <a:off x="929" y="170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8</xdr:col>
      <xdr:colOff>476250</xdr:colOff>
      <xdr:row>0</xdr:row>
      <xdr:rowOff>333375</xdr:rowOff>
    </xdr:from>
    <xdr:to>
      <xdr:col>8</xdr:col>
      <xdr:colOff>866775</xdr:colOff>
      <xdr:row>0</xdr:row>
      <xdr:rowOff>933450</xdr:rowOff>
    </xdr:to>
    <xdr:grpSp>
      <xdr:nvGrpSpPr>
        <xdr:cNvPr id="2290" name="Group 38">
          <a:extLst>
            <a:ext uri="{FF2B5EF4-FFF2-40B4-BE49-F238E27FC236}">
              <a16:creationId xmlns:a16="http://schemas.microsoft.com/office/drawing/2014/main" id="{00000000-0008-0000-0100-0000F2080000}"/>
            </a:ext>
          </a:extLst>
        </xdr:cNvPr>
        <xdr:cNvGrpSpPr>
          <a:grpSpLocks/>
        </xdr:cNvGrpSpPr>
      </xdr:nvGrpSpPr>
      <xdr:grpSpPr bwMode="auto">
        <a:xfrm>
          <a:off x="6048375" y="333375"/>
          <a:ext cx="390525" cy="600075"/>
          <a:chOff x="623" y="44"/>
          <a:chExt cx="50" cy="63"/>
        </a:xfrm>
      </xdr:grpSpPr>
      <xdr:sp macro="" textlink="">
        <xdr:nvSpPr>
          <xdr:cNvPr id="2307" name="Rectangle 23">
            <a:extLst>
              <a:ext uri="{FF2B5EF4-FFF2-40B4-BE49-F238E27FC236}">
                <a16:creationId xmlns:a16="http://schemas.microsoft.com/office/drawing/2014/main" id="{00000000-0008-0000-0100-00000309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86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08" name="Rectangle 24">
            <a:extLst>
              <a:ext uri="{FF2B5EF4-FFF2-40B4-BE49-F238E27FC236}">
                <a16:creationId xmlns:a16="http://schemas.microsoft.com/office/drawing/2014/main" id="{00000000-0008-0000-0100-00000409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65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09" name="Rectangle 25">
            <a:extLst>
              <a:ext uri="{FF2B5EF4-FFF2-40B4-BE49-F238E27FC236}">
                <a16:creationId xmlns:a16="http://schemas.microsoft.com/office/drawing/2014/main" id="{00000000-0008-0000-0100-00000509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44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074" name="Text Box 26">
            <a:extLst>
              <a:ext uri="{FF2B5EF4-FFF2-40B4-BE49-F238E27FC236}">
                <a16:creationId xmlns:a16="http://schemas.microsoft.com/office/drawing/2014/main" id="{00000000-0008-0000-0100-00001A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44" y="56"/>
            <a:ext cx="29" cy="20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1,00</a:t>
            </a:r>
          </a:p>
        </xdr:txBody>
      </xdr:sp>
      <xdr:sp macro="" textlink="">
        <xdr:nvSpPr>
          <xdr:cNvPr id="2075" name="Text Box 27">
            <a:extLst>
              <a:ext uri="{FF2B5EF4-FFF2-40B4-BE49-F238E27FC236}">
                <a16:creationId xmlns:a16="http://schemas.microsoft.com/office/drawing/2014/main" id="{00000000-0008-0000-0100-00001B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40" y="78"/>
            <a:ext cx="32" cy="20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0,25</a:t>
            </a:r>
          </a:p>
        </xdr:txBody>
      </xdr:sp>
      <xdr:sp macro="" textlink="">
        <xdr:nvSpPr>
          <xdr:cNvPr id="2312" name="Line 28">
            <a:extLst>
              <a:ext uri="{FF2B5EF4-FFF2-40B4-BE49-F238E27FC236}">
                <a16:creationId xmlns:a16="http://schemas.microsoft.com/office/drawing/2014/main" id="{00000000-0008-0000-0100-000008090000}"/>
              </a:ext>
            </a:extLst>
          </xdr:cNvPr>
          <xdr:cNvSpPr>
            <a:spLocks noChangeShapeType="1"/>
          </xdr:cNvSpPr>
        </xdr:nvSpPr>
        <xdr:spPr bwMode="auto">
          <a:xfrm>
            <a:off x="624" y="65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13" name="Line 29">
            <a:extLst>
              <a:ext uri="{FF2B5EF4-FFF2-40B4-BE49-F238E27FC236}">
                <a16:creationId xmlns:a16="http://schemas.microsoft.com/office/drawing/2014/main" id="{00000000-0008-0000-0100-000009090000}"/>
              </a:ext>
            </a:extLst>
          </xdr:cNvPr>
          <xdr:cNvSpPr>
            <a:spLocks noChangeShapeType="1"/>
          </xdr:cNvSpPr>
        </xdr:nvSpPr>
        <xdr:spPr bwMode="auto">
          <a:xfrm>
            <a:off x="623" y="86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10</xdr:col>
      <xdr:colOff>428625</xdr:colOff>
      <xdr:row>0</xdr:row>
      <xdr:rowOff>333375</xdr:rowOff>
    </xdr:from>
    <xdr:to>
      <xdr:col>10</xdr:col>
      <xdr:colOff>838200</xdr:colOff>
      <xdr:row>0</xdr:row>
      <xdr:rowOff>933450</xdr:rowOff>
    </xdr:to>
    <xdr:grpSp>
      <xdr:nvGrpSpPr>
        <xdr:cNvPr id="2291" name="Group 30">
          <a:extLst>
            <a:ext uri="{FF2B5EF4-FFF2-40B4-BE49-F238E27FC236}">
              <a16:creationId xmlns:a16="http://schemas.microsoft.com/office/drawing/2014/main" id="{00000000-0008-0000-0100-0000F3080000}"/>
            </a:ext>
          </a:extLst>
        </xdr:cNvPr>
        <xdr:cNvGrpSpPr>
          <a:grpSpLocks/>
        </xdr:cNvGrpSpPr>
      </xdr:nvGrpSpPr>
      <xdr:grpSpPr bwMode="auto">
        <a:xfrm>
          <a:off x="7924800" y="333375"/>
          <a:ext cx="409575" cy="600075"/>
          <a:chOff x="929" y="126"/>
          <a:chExt cx="45" cy="66"/>
        </a:xfrm>
      </xdr:grpSpPr>
      <xdr:sp macro="" textlink="">
        <xdr:nvSpPr>
          <xdr:cNvPr id="2300" name="Rectangle 31">
            <a:extLst>
              <a:ext uri="{FF2B5EF4-FFF2-40B4-BE49-F238E27FC236}">
                <a16:creationId xmlns:a16="http://schemas.microsoft.com/office/drawing/2014/main" id="{00000000-0008-0000-0100-0000FC08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26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01" name="Rectangle 32">
            <a:extLst>
              <a:ext uri="{FF2B5EF4-FFF2-40B4-BE49-F238E27FC236}">
                <a16:creationId xmlns:a16="http://schemas.microsoft.com/office/drawing/2014/main" id="{00000000-0008-0000-0100-0000FD08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48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02" name="Rectangle 33">
            <a:extLst>
              <a:ext uri="{FF2B5EF4-FFF2-40B4-BE49-F238E27FC236}">
                <a16:creationId xmlns:a16="http://schemas.microsoft.com/office/drawing/2014/main" id="{00000000-0008-0000-0100-0000FE08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70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082" name="Text Box 34">
            <a:extLst>
              <a:ext uri="{FF2B5EF4-FFF2-40B4-BE49-F238E27FC236}">
                <a16:creationId xmlns:a16="http://schemas.microsoft.com/office/drawing/2014/main" id="{00000000-0008-0000-0100-000022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47" y="139"/>
            <a:ext cx="27" cy="21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5,00</a:t>
            </a:r>
          </a:p>
        </xdr:txBody>
      </xdr:sp>
      <xdr:sp macro="" textlink="">
        <xdr:nvSpPr>
          <xdr:cNvPr id="2083" name="Text Box 35">
            <a:extLst>
              <a:ext uri="{FF2B5EF4-FFF2-40B4-BE49-F238E27FC236}">
                <a16:creationId xmlns:a16="http://schemas.microsoft.com/office/drawing/2014/main" id="{00000000-0008-0000-0100-000023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47" y="162"/>
            <a:ext cx="25" cy="21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1,00</a:t>
            </a:r>
          </a:p>
        </xdr:txBody>
      </xdr:sp>
      <xdr:sp macro="" textlink="">
        <xdr:nvSpPr>
          <xdr:cNvPr id="2305" name="Line 36">
            <a:extLst>
              <a:ext uri="{FF2B5EF4-FFF2-40B4-BE49-F238E27FC236}">
                <a16:creationId xmlns:a16="http://schemas.microsoft.com/office/drawing/2014/main" id="{00000000-0008-0000-0100-000001090000}"/>
              </a:ext>
            </a:extLst>
          </xdr:cNvPr>
          <xdr:cNvSpPr>
            <a:spLocks noChangeShapeType="1"/>
          </xdr:cNvSpPr>
        </xdr:nvSpPr>
        <xdr:spPr bwMode="auto">
          <a:xfrm>
            <a:off x="930" y="148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06" name="Line 37">
            <a:extLst>
              <a:ext uri="{FF2B5EF4-FFF2-40B4-BE49-F238E27FC236}">
                <a16:creationId xmlns:a16="http://schemas.microsoft.com/office/drawing/2014/main" id="{00000000-0008-0000-0100-000002090000}"/>
              </a:ext>
            </a:extLst>
          </xdr:cNvPr>
          <xdr:cNvSpPr>
            <a:spLocks noChangeShapeType="1"/>
          </xdr:cNvSpPr>
        </xdr:nvSpPr>
        <xdr:spPr bwMode="auto">
          <a:xfrm>
            <a:off x="929" y="170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9</xdr:col>
      <xdr:colOff>419100</xdr:colOff>
      <xdr:row>0</xdr:row>
      <xdr:rowOff>333375</xdr:rowOff>
    </xdr:from>
    <xdr:to>
      <xdr:col>9</xdr:col>
      <xdr:colOff>866775</xdr:colOff>
      <xdr:row>0</xdr:row>
      <xdr:rowOff>933450</xdr:rowOff>
    </xdr:to>
    <xdr:grpSp>
      <xdr:nvGrpSpPr>
        <xdr:cNvPr id="2292" name="Group 39">
          <a:extLst>
            <a:ext uri="{FF2B5EF4-FFF2-40B4-BE49-F238E27FC236}">
              <a16:creationId xmlns:a16="http://schemas.microsoft.com/office/drawing/2014/main" id="{00000000-0008-0000-0100-0000F4080000}"/>
            </a:ext>
          </a:extLst>
        </xdr:cNvPr>
        <xdr:cNvGrpSpPr>
          <a:grpSpLocks/>
        </xdr:cNvGrpSpPr>
      </xdr:nvGrpSpPr>
      <xdr:grpSpPr bwMode="auto">
        <a:xfrm>
          <a:off x="6953250" y="333375"/>
          <a:ext cx="447675" cy="600075"/>
          <a:chOff x="623" y="44"/>
          <a:chExt cx="54" cy="63"/>
        </a:xfrm>
      </xdr:grpSpPr>
      <xdr:sp macro="" textlink="">
        <xdr:nvSpPr>
          <xdr:cNvPr id="2293" name="Rectangle 40">
            <a:extLst>
              <a:ext uri="{FF2B5EF4-FFF2-40B4-BE49-F238E27FC236}">
                <a16:creationId xmlns:a16="http://schemas.microsoft.com/office/drawing/2014/main" id="{00000000-0008-0000-0100-0000F508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86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294" name="Rectangle 41">
            <a:extLst>
              <a:ext uri="{FF2B5EF4-FFF2-40B4-BE49-F238E27FC236}">
                <a16:creationId xmlns:a16="http://schemas.microsoft.com/office/drawing/2014/main" id="{00000000-0008-0000-0100-0000F608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65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295" name="Rectangle 42">
            <a:extLst>
              <a:ext uri="{FF2B5EF4-FFF2-40B4-BE49-F238E27FC236}">
                <a16:creationId xmlns:a16="http://schemas.microsoft.com/office/drawing/2014/main" id="{00000000-0008-0000-0100-0000F708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44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091" name="Text Box 43">
            <a:extLst>
              <a:ext uri="{FF2B5EF4-FFF2-40B4-BE49-F238E27FC236}">
                <a16:creationId xmlns:a16="http://schemas.microsoft.com/office/drawing/2014/main" id="{00000000-0008-0000-0100-00002B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41" y="56"/>
            <a:ext cx="36" cy="20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10,00</a:t>
            </a:r>
          </a:p>
        </xdr:txBody>
      </xdr:sp>
      <xdr:sp macro="" textlink="">
        <xdr:nvSpPr>
          <xdr:cNvPr id="2092" name="Text Box 44">
            <a:extLst>
              <a:ext uri="{FF2B5EF4-FFF2-40B4-BE49-F238E27FC236}">
                <a16:creationId xmlns:a16="http://schemas.microsoft.com/office/drawing/2014/main" id="{00000000-0008-0000-0100-00002C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40" y="78"/>
            <a:ext cx="30" cy="20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2,00</a:t>
            </a:r>
          </a:p>
        </xdr:txBody>
      </xdr:sp>
      <xdr:sp macro="" textlink="">
        <xdr:nvSpPr>
          <xdr:cNvPr id="2298" name="Line 45">
            <a:extLst>
              <a:ext uri="{FF2B5EF4-FFF2-40B4-BE49-F238E27FC236}">
                <a16:creationId xmlns:a16="http://schemas.microsoft.com/office/drawing/2014/main" id="{00000000-0008-0000-0100-0000FA080000}"/>
              </a:ext>
            </a:extLst>
          </xdr:cNvPr>
          <xdr:cNvSpPr>
            <a:spLocks noChangeShapeType="1"/>
          </xdr:cNvSpPr>
        </xdr:nvSpPr>
        <xdr:spPr bwMode="auto">
          <a:xfrm>
            <a:off x="624" y="65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99" name="Line 46">
            <a:extLst>
              <a:ext uri="{FF2B5EF4-FFF2-40B4-BE49-F238E27FC236}">
                <a16:creationId xmlns:a16="http://schemas.microsoft.com/office/drawing/2014/main" id="{00000000-0008-0000-0100-0000FB080000}"/>
              </a:ext>
            </a:extLst>
          </xdr:cNvPr>
          <xdr:cNvSpPr>
            <a:spLocks noChangeShapeType="1"/>
          </xdr:cNvSpPr>
        </xdr:nvSpPr>
        <xdr:spPr bwMode="auto">
          <a:xfrm>
            <a:off x="623" y="86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11</xdr:col>
      <xdr:colOff>66675</xdr:colOff>
      <xdr:row>0</xdr:row>
      <xdr:rowOff>38100</xdr:rowOff>
    </xdr:from>
    <xdr:to>
      <xdr:col>13</xdr:col>
      <xdr:colOff>28575</xdr:colOff>
      <xdr:row>0</xdr:row>
      <xdr:rowOff>455700</xdr:rowOff>
    </xdr:to>
    <xdr:sp macro="[0]!BtnEntrada_Click" textlink="">
      <xdr:nvSpPr>
        <xdr:cNvPr id="38" name="Retângulo: Cantos Arredondados 37">
          <a:extLst>
            <a:ext uri="{FF2B5EF4-FFF2-40B4-BE49-F238E27FC236}">
              <a16:creationId xmlns:a16="http://schemas.microsoft.com/office/drawing/2014/main" id="{2A14379E-9A19-4083-B94E-EFA8980790FD}"/>
            </a:ext>
          </a:extLst>
        </xdr:cNvPr>
        <xdr:cNvSpPr/>
      </xdr:nvSpPr>
      <xdr:spPr>
        <a:xfrm>
          <a:off x="8524875" y="38100"/>
          <a:ext cx="1333500" cy="417600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Entrada</a:t>
          </a:r>
        </a:p>
      </xdr:txBody>
    </xdr:sp>
    <xdr:clientData/>
  </xdr:twoCellAnchor>
  <xdr:twoCellAnchor>
    <xdr:from>
      <xdr:col>13</xdr:col>
      <xdr:colOff>152400</xdr:colOff>
      <xdr:row>0</xdr:row>
      <xdr:rowOff>38100</xdr:rowOff>
    </xdr:from>
    <xdr:to>
      <xdr:col>15</xdr:col>
      <xdr:colOff>114300</xdr:colOff>
      <xdr:row>0</xdr:row>
      <xdr:rowOff>455700</xdr:rowOff>
    </xdr:to>
    <xdr:sp macro="[0]!BtnCriaResumo_Click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4E5379A-0C59-4AF7-AF2E-DCB24B3F60EB}"/>
            </a:ext>
          </a:extLst>
        </xdr:cNvPr>
        <xdr:cNvSpPr/>
      </xdr:nvSpPr>
      <xdr:spPr>
        <a:xfrm>
          <a:off x="9982200" y="38100"/>
          <a:ext cx="1333500" cy="417600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Cria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Resumo</a:t>
          </a:r>
        </a:p>
      </xdr:txBody>
    </xdr:sp>
    <xdr:clientData/>
  </xdr:twoCellAnchor>
  <xdr:twoCellAnchor>
    <xdr:from>
      <xdr:col>12</xdr:col>
      <xdr:colOff>114300</xdr:colOff>
      <xdr:row>0</xdr:row>
      <xdr:rowOff>523875</xdr:rowOff>
    </xdr:from>
    <xdr:to>
      <xdr:col>14</xdr:col>
      <xdr:colOff>76200</xdr:colOff>
      <xdr:row>0</xdr:row>
      <xdr:rowOff>941475</xdr:rowOff>
    </xdr:to>
    <xdr:sp macro="[0]!BtnLimpaResumo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642A93A-0B83-470C-8EEC-5D5893DA3228}"/>
            </a:ext>
          </a:extLst>
        </xdr:cNvPr>
        <xdr:cNvSpPr/>
      </xdr:nvSpPr>
      <xdr:spPr>
        <a:xfrm>
          <a:off x="9258300" y="523875"/>
          <a:ext cx="1333500" cy="417600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Limpa Resumo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tabColor indexed="53"/>
    <outlinePr summaryBelow="0"/>
  </sheetPr>
  <dimension ref="A1:E46"/>
  <sheetViews>
    <sheetView showGridLines="0" tabSelected="1" zoomScaleNormal="100" workbookViewId="0">
      <pane ySplit="1" topLeftCell="A2" activePane="bottomLeft" state="frozen"/>
      <selection pane="bottomLeft" activeCell="B29" sqref="B29"/>
    </sheetView>
  </sheetViews>
  <sheetFormatPr defaultRowHeight="12.75" x14ac:dyDescent="0.25"/>
  <cols>
    <col min="1" max="1" width="4.5" style="2" bestFit="1" customWidth="1"/>
    <col min="2" max="2" width="9" style="1"/>
    <col min="3" max="3" width="8.25" style="2" customWidth="1"/>
    <col min="4" max="4" width="37.375" style="1" customWidth="1"/>
    <col min="5" max="5" width="10.25" style="1" customWidth="1"/>
    <col min="6" max="6" width="7.625" style="1" bestFit="1" customWidth="1"/>
    <col min="7" max="9" width="9.375" style="1" customWidth="1"/>
    <col min="10" max="11" width="11.25" style="1" customWidth="1"/>
    <col min="12" max="16384" width="9" style="1"/>
  </cols>
  <sheetData>
    <row r="1" spans="1:5" ht="42" customHeight="1" thickBot="1" x14ac:dyDescent="0.3">
      <c r="A1" s="6" t="s">
        <v>0</v>
      </c>
      <c r="B1" s="7" t="s">
        <v>1</v>
      </c>
      <c r="C1" s="8" t="s">
        <v>2</v>
      </c>
      <c r="D1" s="9" t="s">
        <v>18</v>
      </c>
      <c r="E1" s="10" t="s">
        <v>17</v>
      </c>
    </row>
    <row r="2" spans="1:5" x14ac:dyDescent="0.25">
      <c r="A2" s="11">
        <v>1</v>
      </c>
      <c r="B2" s="26" t="s">
        <v>24</v>
      </c>
      <c r="C2" s="12" t="s">
        <v>7</v>
      </c>
      <c r="D2" s="13" t="s">
        <v>4</v>
      </c>
      <c r="E2" s="14">
        <v>1721904</v>
      </c>
    </row>
    <row r="3" spans="1:5" x14ac:dyDescent="0.25">
      <c r="A3" s="15">
        <f>$A$2+0</f>
        <v>1</v>
      </c>
      <c r="B3" s="27" t="str">
        <f>$B$2</f>
        <v>Pedro</v>
      </c>
      <c r="C3" s="12" t="s">
        <v>7</v>
      </c>
      <c r="D3" s="13" t="s">
        <v>5</v>
      </c>
      <c r="E3" s="14">
        <v>1766802</v>
      </c>
    </row>
    <row r="4" spans="1:5" x14ac:dyDescent="0.25">
      <c r="A4" s="15">
        <f>$A$2+0</f>
        <v>1</v>
      </c>
      <c r="B4" s="27" t="str">
        <f>$B$2</f>
        <v>Pedro</v>
      </c>
      <c r="C4" s="12" t="s">
        <v>7</v>
      </c>
      <c r="D4" s="13" t="s">
        <v>6</v>
      </c>
      <c r="E4" s="14">
        <v>2066484</v>
      </c>
    </row>
    <row r="5" spans="1:5" x14ac:dyDescent="0.25">
      <c r="A5" s="11">
        <f>2</f>
        <v>2</v>
      </c>
      <c r="B5" s="26" t="s">
        <v>19</v>
      </c>
      <c r="C5" s="16" t="s">
        <v>7</v>
      </c>
      <c r="D5" s="13" t="s">
        <v>4</v>
      </c>
      <c r="E5" s="14">
        <v>206010</v>
      </c>
    </row>
    <row r="6" spans="1:5" x14ac:dyDescent="0.25">
      <c r="A6" s="15">
        <f>$A$5</f>
        <v>2</v>
      </c>
      <c r="B6" s="27" t="str">
        <f>$B$5</f>
        <v>Andre</v>
      </c>
      <c r="C6" s="12" t="s">
        <v>7</v>
      </c>
      <c r="D6" s="13" t="s">
        <v>5</v>
      </c>
      <c r="E6" s="14">
        <v>2061612</v>
      </c>
    </row>
    <row r="7" spans="1:5" x14ac:dyDescent="0.25">
      <c r="A7" s="15">
        <f>$A$5</f>
        <v>2</v>
      </c>
      <c r="B7" s="27" t="str">
        <f>$B$5</f>
        <v>Andre</v>
      </c>
      <c r="C7" s="12" t="s">
        <v>7</v>
      </c>
      <c r="D7" s="13" t="s">
        <v>6</v>
      </c>
      <c r="E7" s="14">
        <v>8094492</v>
      </c>
    </row>
    <row r="8" spans="1:5" x14ac:dyDescent="0.25">
      <c r="A8" s="11">
        <f>3</f>
        <v>3</v>
      </c>
      <c r="B8" s="26"/>
      <c r="C8" s="12" t="s">
        <v>7</v>
      </c>
      <c r="D8" s="13" t="s">
        <v>4</v>
      </c>
      <c r="E8" s="14">
        <v>21816</v>
      </c>
    </row>
    <row r="9" spans="1:5" x14ac:dyDescent="0.25">
      <c r="A9" s="15">
        <f>$A$8</f>
        <v>3</v>
      </c>
      <c r="B9" s="27">
        <f>$B$8</f>
        <v>0</v>
      </c>
      <c r="C9" s="12" t="s">
        <v>7</v>
      </c>
      <c r="D9" s="13" t="s">
        <v>5</v>
      </c>
      <c r="E9" s="14">
        <v>8580</v>
      </c>
    </row>
    <row r="10" spans="1:5" x14ac:dyDescent="0.25">
      <c r="A10" s="15">
        <f>$A$8</f>
        <v>3</v>
      </c>
      <c r="B10" s="27">
        <f>$B$8</f>
        <v>0</v>
      </c>
      <c r="C10" s="12" t="s">
        <v>7</v>
      </c>
      <c r="D10" s="13" t="s">
        <v>6</v>
      </c>
      <c r="E10" s="14">
        <v>12864</v>
      </c>
    </row>
    <row r="11" spans="1:5" x14ac:dyDescent="0.25">
      <c r="A11" s="11">
        <f>4</f>
        <v>4</v>
      </c>
      <c r="B11" s="26"/>
      <c r="C11" s="12" t="s">
        <v>7</v>
      </c>
      <c r="D11" s="13" t="s">
        <v>4</v>
      </c>
      <c r="E11" s="14">
        <v>10100</v>
      </c>
    </row>
    <row r="12" spans="1:5" x14ac:dyDescent="0.25">
      <c r="A12" s="15">
        <f>$A$11</f>
        <v>4</v>
      </c>
      <c r="B12" s="27">
        <f>$B$11</f>
        <v>0</v>
      </c>
      <c r="C12" s="12" t="s">
        <v>7</v>
      </c>
      <c r="D12" s="13" t="s">
        <v>5</v>
      </c>
      <c r="E12" s="14">
        <v>14548</v>
      </c>
    </row>
    <row r="13" spans="1:5" x14ac:dyDescent="0.25">
      <c r="A13" s="15">
        <f>$A$11</f>
        <v>4</v>
      </c>
      <c r="B13" s="27">
        <f>$B$11</f>
        <v>0</v>
      </c>
      <c r="C13" s="12" t="s">
        <v>7</v>
      </c>
      <c r="D13" s="13" t="s">
        <v>6</v>
      </c>
      <c r="E13" s="14">
        <v>6048</v>
      </c>
    </row>
    <row r="14" spans="1:5" x14ac:dyDescent="0.25">
      <c r="A14" s="11">
        <f>5</f>
        <v>5</v>
      </c>
      <c r="B14" s="26" t="s">
        <v>20</v>
      </c>
      <c r="C14" s="12" t="s">
        <v>7</v>
      </c>
      <c r="D14" s="13" t="s">
        <v>4</v>
      </c>
      <c r="E14" s="14">
        <v>385560</v>
      </c>
    </row>
    <row r="15" spans="1:5" x14ac:dyDescent="0.25">
      <c r="A15" s="15">
        <f>$A$14</f>
        <v>5</v>
      </c>
      <c r="B15" s="27" t="str">
        <f>$B$14</f>
        <v>Vinicius</v>
      </c>
      <c r="C15" s="12" t="s">
        <v>7</v>
      </c>
      <c r="D15" s="13" t="s">
        <v>5</v>
      </c>
      <c r="E15" s="14">
        <v>1149120</v>
      </c>
    </row>
    <row r="16" spans="1:5" x14ac:dyDescent="0.25">
      <c r="A16" s="15">
        <f>$A$14</f>
        <v>5</v>
      </c>
      <c r="B16" s="27" t="str">
        <f>$B$14</f>
        <v>Vinicius</v>
      </c>
      <c r="C16" s="12" t="s">
        <v>7</v>
      </c>
      <c r="D16" s="13" t="s">
        <v>6</v>
      </c>
      <c r="E16" s="14">
        <v>774900</v>
      </c>
    </row>
    <row r="17" spans="1:5" x14ac:dyDescent="0.25">
      <c r="A17" s="11">
        <f>6</f>
        <v>6</v>
      </c>
      <c r="B17" s="26" t="s">
        <v>21</v>
      </c>
      <c r="C17" s="12" t="s">
        <v>7</v>
      </c>
      <c r="D17" s="13" t="s">
        <v>4</v>
      </c>
      <c r="E17" s="14">
        <v>949158</v>
      </c>
    </row>
    <row r="18" spans="1:5" x14ac:dyDescent="0.25">
      <c r="A18" s="15">
        <f>$A$17</f>
        <v>6</v>
      </c>
      <c r="B18" s="27" t="str">
        <f>$B$17</f>
        <v>Diego</v>
      </c>
      <c r="C18" s="12" t="s">
        <v>7</v>
      </c>
      <c r="D18" s="13" t="s">
        <v>5</v>
      </c>
      <c r="E18" s="14">
        <v>1099980</v>
      </c>
    </row>
    <row r="19" spans="1:5" x14ac:dyDescent="0.25">
      <c r="A19" s="15">
        <f>$A$17</f>
        <v>6</v>
      </c>
      <c r="B19" s="27" t="str">
        <f>$B$17</f>
        <v>Diego</v>
      </c>
      <c r="C19" s="12" t="s">
        <v>7</v>
      </c>
      <c r="D19" s="13" t="s">
        <v>6</v>
      </c>
      <c r="E19" s="14">
        <v>1519938</v>
      </c>
    </row>
    <row r="20" spans="1:5" x14ac:dyDescent="0.25">
      <c r="A20" s="11">
        <f>7</f>
        <v>7</v>
      </c>
      <c r="B20" s="26" t="s">
        <v>22</v>
      </c>
      <c r="C20" s="12" t="s">
        <v>7</v>
      </c>
      <c r="D20" s="13" t="s">
        <v>4</v>
      </c>
      <c r="E20" s="14">
        <v>9685872</v>
      </c>
    </row>
    <row r="21" spans="1:5" x14ac:dyDescent="0.25">
      <c r="A21" s="15">
        <f>$A$20</f>
        <v>7</v>
      </c>
      <c r="B21" s="27" t="str">
        <f>$B$20</f>
        <v>Cecilia</v>
      </c>
      <c r="C21" s="12" t="s">
        <v>7</v>
      </c>
      <c r="D21" s="13" t="s">
        <v>5</v>
      </c>
      <c r="E21" s="14">
        <v>81429138</v>
      </c>
    </row>
    <row r="22" spans="1:5" x14ac:dyDescent="0.25">
      <c r="A22" s="15">
        <f>$A$20</f>
        <v>7</v>
      </c>
      <c r="B22" s="27" t="str">
        <f>$B$20</f>
        <v>Cecilia</v>
      </c>
      <c r="C22" s="12" t="s">
        <v>7</v>
      </c>
      <c r="D22" s="13" t="s">
        <v>6</v>
      </c>
      <c r="E22" s="14">
        <v>806652</v>
      </c>
    </row>
    <row r="23" spans="1:5" x14ac:dyDescent="0.25">
      <c r="A23" s="11">
        <f>8</f>
        <v>8</v>
      </c>
      <c r="B23" s="26" t="s">
        <v>23</v>
      </c>
      <c r="C23" s="12" t="s">
        <v>7</v>
      </c>
      <c r="D23" s="13" t="s">
        <v>4</v>
      </c>
      <c r="E23" s="14">
        <v>93183804</v>
      </c>
    </row>
    <row r="24" spans="1:5" x14ac:dyDescent="0.25">
      <c r="A24" s="15">
        <f>$A$23</f>
        <v>8</v>
      </c>
      <c r="B24" s="27" t="str">
        <f>$B$23</f>
        <v>Antonio</v>
      </c>
      <c r="C24" s="12" t="s">
        <v>7</v>
      </c>
      <c r="D24" s="13" t="s">
        <v>5</v>
      </c>
      <c r="E24" s="14">
        <v>10399536</v>
      </c>
    </row>
    <row r="25" spans="1:5" x14ac:dyDescent="0.25">
      <c r="A25" s="15">
        <f>$A$23</f>
        <v>8</v>
      </c>
      <c r="B25" s="27" t="str">
        <f>$B$23</f>
        <v>Antonio</v>
      </c>
      <c r="C25" s="12" t="s">
        <v>7</v>
      </c>
      <c r="D25" s="13" t="s">
        <v>6</v>
      </c>
      <c r="E25" s="14">
        <v>819174006</v>
      </c>
    </row>
    <row r="26" spans="1:5" x14ac:dyDescent="0.25">
      <c r="A26" s="11">
        <f>9</f>
        <v>9</v>
      </c>
      <c r="B26" s="26"/>
      <c r="C26" s="12" t="s">
        <v>7</v>
      </c>
      <c r="D26" s="13" t="s">
        <v>4</v>
      </c>
      <c r="E26" s="14"/>
    </row>
    <row r="27" spans="1:5" x14ac:dyDescent="0.25">
      <c r="A27" s="15">
        <f>$A$26</f>
        <v>9</v>
      </c>
      <c r="B27" s="27">
        <f>$B$26</f>
        <v>0</v>
      </c>
      <c r="C27" s="12" t="s">
        <v>7</v>
      </c>
      <c r="D27" s="13" t="s">
        <v>5</v>
      </c>
      <c r="E27" s="14"/>
    </row>
    <row r="28" spans="1:5" x14ac:dyDescent="0.25">
      <c r="A28" s="15">
        <f>$A$26</f>
        <v>9</v>
      </c>
      <c r="B28" s="27">
        <f>$B$26</f>
        <v>0</v>
      </c>
      <c r="C28" s="12" t="s">
        <v>7</v>
      </c>
      <c r="D28" s="13" t="s">
        <v>6</v>
      </c>
      <c r="E28" s="14"/>
    </row>
    <row r="29" spans="1:5" x14ac:dyDescent="0.25">
      <c r="A29" s="17">
        <v>10</v>
      </c>
      <c r="B29" s="26"/>
      <c r="C29" s="12" t="s">
        <v>7</v>
      </c>
      <c r="D29" s="13" t="s">
        <v>4</v>
      </c>
      <c r="E29" s="14"/>
    </row>
    <row r="30" spans="1:5" x14ac:dyDescent="0.25">
      <c r="A30" s="15">
        <f>$A$29</f>
        <v>10</v>
      </c>
      <c r="B30" s="27">
        <f>$B$29</f>
        <v>0</v>
      </c>
      <c r="C30" s="12" t="s">
        <v>7</v>
      </c>
      <c r="D30" s="13" t="s">
        <v>5</v>
      </c>
      <c r="E30" s="14"/>
    </row>
    <row r="31" spans="1:5" x14ac:dyDescent="0.25">
      <c r="A31" s="15">
        <f>$A$29</f>
        <v>10</v>
      </c>
      <c r="B31" s="27">
        <f>$B$29</f>
        <v>0</v>
      </c>
      <c r="C31" s="12" t="s">
        <v>7</v>
      </c>
      <c r="D31" s="13" t="s">
        <v>6</v>
      </c>
      <c r="E31" s="14"/>
    </row>
    <row r="45" spans="5:5" x14ac:dyDescent="0.25">
      <c r="E45" s="5"/>
    </row>
    <row r="46" spans="5:5" x14ac:dyDescent="0.25">
      <c r="E46" s="5"/>
    </row>
  </sheetData>
  <sheetProtection sheet="1" objects="1" scenarios="1"/>
  <dataConsolidate/>
  <phoneticPr fontId="2" type="noConversion"/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17"/>
    <outlinePr summaryBelow="0"/>
  </sheetPr>
  <dimension ref="A1:K52"/>
  <sheetViews>
    <sheetView showGridLines="0" zoomScaleNormal="100" workbookViewId="0">
      <pane ySplit="1" topLeftCell="A2" activePane="bottomLeft" state="frozen"/>
      <selection pane="bottomLeft" activeCell="L7" sqref="L7"/>
    </sheetView>
  </sheetViews>
  <sheetFormatPr defaultRowHeight="12.75" x14ac:dyDescent="0.25"/>
  <cols>
    <col min="1" max="1" width="5.625" style="2" customWidth="1"/>
    <col min="2" max="2" width="9" style="1"/>
    <col min="3" max="3" width="19.875" style="1" customWidth="1"/>
    <col min="4" max="4" width="5.625" style="1" bestFit="1" customWidth="1"/>
    <col min="5" max="5" width="8.5" style="1" customWidth="1"/>
    <col min="6" max="6" width="9.375" style="3" customWidth="1"/>
    <col min="7" max="7" width="2.5" style="1" customWidth="1"/>
    <col min="8" max="11" width="12.625" style="1" customWidth="1"/>
    <col min="12" max="16384" width="9" style="1"/>
  </cols>
  <sheetData>
    <row r="1" spans="1:11" ht="76.5" customHeight="1" thickBot="1" x14ac:dyDescent="0.3">
      <c r="A1" s="18" t="s">
        <v>12</v>
      </c>
      <c r="B1" s="19" t="s">
        <v>11</v>
      </c>
      <c r="C1" s="20" t="s">
        <v>8</v>
      </c>
      <c r="D1" s="21" t="s">
        <v>3</v>
      </c>
      <c r="E1" s="22" t="s">
        <v>9</v>
      </c>
      <c r="F1" s="23" t="s">
        <v>10</v>
      </c>
      <c r="G1" s="24"/>
      <c r="H1" s="25" t="s">
        <v>13</v>
      </c>
      <c r="I1" s="25" t="s">
        <v>14</v>
      </c>
      <c r="J1" s="25" t="s">
        <v>15</v>
      </c>
      <c r="K1" s="25" t="s">
        <v>16</v>
      </c>
    </row>
    <row r="2" spans="1:11" ht="16.5" customHeight="1" x14ac:dyDescent="0.25">
      <c r="A2" s="1"/>
      <c r="F2" s="1"/>
    </row>
    <row r="3" spans="1:11" ht="15" customHeight="1" x14ac:dyDescent="0.25">
      <c r="A3" s="1"/>
      <c r="F3" s="1"/>
    </row>
    <row r="4" spans="1:11" ht="15" customHeight="1" x14ac:dyDescent="0.25">
      <c r="A4" s="1"/>
      <c r="F4" s="1"/>
    </row>
    <row r="5" spans="1:11" ht="15" customHeight="1" x14ac:dyDescent="0.25">
      <c r="A5" s="1"/>
      <c r="F5" s="1"/>
    </row>
    <row r="6" spans="1:11" ht="15.75" customHeight="1" x14ac:dyDescent="0.25">
      <c r="A6" s="1"/>
      <c r="F6" s="1"/>
    </row>
    <row r="7" spans="1:11" s="4" customFormat="1" ht="16.5" customHeight="1" x14ac:dyDescent="0.3"/>
    <row r="8" spans="1:11" ht="14.25" customHeight="1" x14ac:dyDescent="0.25">
      <c r="A8" s="1"/>
      <c r="F8" s="1"/>
    </row>
    <row r="9" spans="1:11" ht="14.25" customHeight="1" x14ac:dyDescent="0.25">
      <c r="A9" s="1"/>
      <c r="F9" s="1"/>
    </row>
    <row r="10" spans="1:11" ht="14.25" customHeight="1" x14ac:dyDescent="0.25">
      <c r="A10" s="1"/>
      <c r="F10" s="1"/>
    </row>
    <row r="11" spans="1:11" ht="15" customHeight="1" x14ac:dyDescent="0.25">
      <c r="A11" s="1"/>
      <c r="F11" s="1"/>
    </row>
    <row r="12" spans="1:11" ht="16.5" customHeight="1" x14ac:dyDescent="0.25">
      <c r="A12" s="1"/>
      <c r="F12" s="1"/>
    </row>
    <row r="13" spans="1:11" ht="14.25" customHeight="1" x14ac:dyDescent="0.25">
      <c r="A13" s="1"/>
      <c r="F13" s="1"/>
    </row>
    <row r="14" spans="1:11" ht="14.25" customHeight="1" x14ac:dyDescent="0.25">
      <c r="A14" s="1"/>
      <c r="F14" s="1"/>
    </row>
    <row r="15" spans="1:11" ht="14.25" customHeight="1" x14ac:dyDescent="0.25">
      <c r="A15" s="1"/>
      <c r="F15" s="1"/>
    </row>
    <row r="16" spans="1:11" ht="15" customHeight="1" x14ac:dyDescent="0.25">
      <c r="A16" s="1"/>
      <c r="F16" s="1"/>
    </row>
    <row r="17" s="1" customFormat="1" ht="16.5" customHeight="1" x14ac:dyDescent="0.25"/>
    <row r="18" s="1" customFormat="1" ht="14.25" customHeight="1" x14ac:dyDescent="0.25"/>
    <row r="19" s="1" customFormat="1" ht="14.25" customHeight="1" x14ac:dyDescent="0.25"/>
    <row r="20" s="1" customFormat="1" ht="14.25" customHeight="1" x14ac:dyDescent="0.25"/>
    <row r="21" s="1" customFormat="1" ht="15" customHeight="1" x14ac:dyDescent="0.25"/>
    <row r="22" s="1" customFormat="1" ht="16.5" customHeight="1" x14ac:dyDescent="0.25"/>
    <row r="23" s="1" customFormat="1" ht="14.25" customHeight="1" x14ac:dyDescent="0.25"/>
    <row r="24" s="1" customFormat="1" ht="14.25" customHeight="1" x14ac:dyDescent="0.25"/>
    <row r="25" s="1" customFormat="1" ht="14.25" customHeight="1" x14ac:dyDescent="0.25"/>
    <row r="26" s="1" customFormat="1" ht="15" customHeight="1" x14ac:dyDescent="0.25"/>
    <row r="27" s="1" customFormat="1" ht="16.5" customHeight="1" x14ac:dyDescent="0.25"/>
    <row r="28" s="1" customFormat="1" ht="14.25" customHeight="1" x14ac:dyDescent="0.25"/>
    <row r="29" s="1" customFormat="1" ht="14.25" customHeight="1" x14ac:dyDescent="0.25"/>
    <row r="30" s="1" customFormat="1" ht="14.25" customHeight="1" x14ac:dyDescent="0.25"/>
    <row r="31" s="1" customFormat="1" ht="15" customHeight="1" x14ac:dyDescent="0.25"/>
    <row r="32" s="1" customFormat="1" ht="16.5" customHeight="1" x14ac:dyDescent="0.25"/>
    <row r="33" s="1" customFormat="1" ht="14.25" customHeight="1" x14ac:dyDescent="0.25"/>
    <row r="34" s="1" customFormat="1" ht="14.25" customHeight="1" x14ac:dyDescent="0.25"/>
    <row r="35" s="1" customFormat="1" ht="14.25" customHeight="1" x14ac:dyDescent="0.25"/>
    <row r="36" s="1" customFormat="1" ht="15" customHeight="1" x14ac:dyDescent="0.25"/>
    <row r="37" s="1" customFormat="1" ht="16.5" customHeight="1" x14ac:dyDescent="0.25"/>
    <row r="38" s="1" customFormat="1" ht="14.25" customHeight="1" x14ac:dyDescent="0.25"/>
    <row r="39" s="1" customFormat="1" ht="14.25" customHeight="1" x14ac:dyDescent="0.25"/>
    <row r="40" s="1" customFormat="1" ht="14.25" customHeight="1" x14ac:dyDescent="0.25"/>
    <row r="41" s="1" customFormat="1" ht="15" customHeight="1" x14ac:dyDescent="0.25"/>
    <row r="42" s="1" customFormat="1" ht="16.5" customHeight="1" x14ac:dyDescent="0.25"/>
    <row r="43" s="1" customFormat="1" ht="14.25" customHeight="1" x14ac:dyDescent="0.25"/>
    <row r="44" s="1" customFormat="1" ht="14.25" customHeight="1" x14ac:dyDescent="0.25"/>
    <row r="45" s="1" customFormat="1" ht="14.25" customHeight="1" x14ac:dyDescent="0.25"/>
    <row r="46" s="1" customFormat="1" ht="15" customHeight="1" x14ac:dyDescent="0.25"/>
    <row r="47" s="1" customFormat="1" ht="16.5" customHeight="1" x14ac:dyDescent="0.25"/>
    <row r="48" s="1" customFormat="1" ht="14.25" customHeight="1" x14ac:dyDescent="0.25"/>
    <row r="49" s="1" customFormat="1" ht="14.25" customHeight="1" x14ac:dyDescent="0.25"/>
    <row r="50" s="1" customFormat="1" ht="14.25" customHeight="1" x14ac:dyDescent="0.25"/>
    <row r="51" s="1" customFormat="1" ht="15" customHeight="1" x14ac:dyDescent="0.25"/>
    <row r="52" s="1" customFormat="1" x14ac:dyDescent="0.25"/>
  </sheetData>
  <phoneticPr fontId="2" type="noConversion"/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Entrada_de_Dados</vt:lpstr>
      <vt:lpstr>Resumo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Flavio Barrella</dc:creator>
  <cp:lastModifiedBy>Oficina do Pezão</cp:lastModifiedBy>
  <dcterms:created xsi:type="dcterms:W3CDTF">2003-07-25T23:54:53Z</dcterms:created>
  <dcterms:modified xsi:type="dcterms:W3CDTF">2023-03-21T19:38:57Z</dcterms:modified>
</cp:coreProperties>
</file>