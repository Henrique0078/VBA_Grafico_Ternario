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7D2658B4-90C0-4195-8451-B8DB98D84835}" xr6:coauthVersionLast="44" xr6:coauthVersionMax="47" xr10:uidLastSave="{00000000-0000-0000-0000-000000000000}"/>
  <workbookProtection lockStructure="1"/>
  <bookViews>
    <workbookView xWindow="-120" yWindow="-120" windowWidth="29040" windowHeight="1599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Entrada_de_Dados!#REF!</definedName>
    <definedName name="_xlnm._FilterDatabase" localSheetId="1" hidden="1">Resumo!$H$1:$H$1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<sst xmlns="http://schemas.openxmlformats.org/spreadsheetml/2006/main" count="175" uniqueCount="34">
  <si>
    <t>Ponto</t>
  </si>
  <si>
    <t>Nome</t>
  </si>
  <si>
    <t>Unidade</t>
  </si>
  <si>
    <t>Classe</t>
  </si>
  <si>
    <t>R</t>
  </si>
  <si>
    <t>N</t>
  </si>
  <si>
    <t>F</t>
  </si>
  <si>
    <t>seJ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</si>
  <si>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</si>
  <si>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</si>
  <si>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</si>
  <si>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</si>
  <si>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</si>
  <si>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</si>
  <si>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</si>
  <si>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</si>
  <si>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</si>
  <si>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</si>
  <si>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</si>
  <si>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</si>
  <si>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</si>
  <si>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</si>
  <si>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</si>
  <si>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</si>
  <si>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>Andre</t>
  </si>
  <si>
    <t>Henrique</t>
  </si>
  <si>
    <t>Thayna</t>
  </si>
  <si>
    <t>Vinicius</t>
  </si>
  <si>
    <t>Diego</t>
  </si>
  <si>
    <t>Cecilia</t>
  </si>
  <si>
    <t>Antonio</t>
  </si>
  <si>
    <t>Creide</t>
  </si>
  <si>
    <t>Jasmin</t>
  </si>
  <si>
    <t>Atala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</si>
</sst>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#.##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  <font>
      <b/>
      <sz val="12"/>
      <name val="Comic Sans MS"/>
      <family val="4"/>
    </font>
  </fonts>
  <fills count="8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6" borderId="6" xfId="0" applyFont="1" applyFill="1" applyBorder="1" applyProtection="1">
      <protection locked="0"/>
    </xf>
    <xf numFmtId="164" fontId="2" fillId="0" borderId="0" xfId="1" applyNumberFormat="1" applyFont="1" applyFill="1"/>
    <xf numFmtId="0" fontId="7" fillId="0" borderId="0" xfId="0" applyFont="1"/>
    <xf numFmtId="0" fontId="2" fillId="0" borderId="0" xfId="0" applyFont="1" applyProtection="1">
      <protection locked="0"/>
    </xf>
    <xf numFmtId="0" fontId="2" fillId="5" borderId="4" xfId="0" applyFont="1" applyFill="1" applyBorder="1" applyAlignment="1">
      <alignment horizontal="center"/>
    </xf>
    <xf numFmtId="11" fontId="2" fillId="0" borderId="0" xfId="0" applyNumberFormat="1" applyFont="1"/>
    <xf numFmtId="165" fontId="2" fillId="0" borderId="0" xfId="0" applyNumberFormat="1" applyFont="1"/>
    <xf numFmtId="0" fontId="7" fillId="0" borderId="0" xfId="0" applyFont="1" applyAlignment="1">
      <alignment horizontal="center"/>
    </xf>
    <xf numFmtId="0" fontId="6" fillId="0" borderId="0" xfId="0" applyFont="1"/>
    <xf numFmtId="0" fontId="2" fillId="4" borderId="3" xfId="0" applyFont="1" applyFill="1" applyBorder="1" applyAlignment="1">
      <alignment horizontal="center"/>
    </xf>
    <xf numFmtId="0" fontId="2" fillId="4" borderId="3" xfId="0" applyFont="1" applyFill="1" applyBorder="1" applyAlignment="1" applyProtection="1">
      <alignment horizontal="center"/>
      <protection locked="0"/>
    </xf>
    <xf numFmtId="11" fontId="2" fillId="7" borderId="4" xfId="0" applyNumberFormat="1" applyFont="1" applyFill="1" applyBorder="1" applyProtection="1">
      <protection locked="0"/>
    </xf>
    <xf numFmtId="0" fontId="3" fillId="2" borderId="5" xfId="0" applyFont="1" applyFill="1" applyBorder="1" applyAlignment="1" applyProtection="1">
      <alignment horizontal="center"/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4" borderId="13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/>
    </xf>
    <xf numFmtId="0" fontId="3" fillId="2" borderId="2" xfId="0" applyFont="1" applyFill="1" applyBorder="1"/>
    <xf numFmtId="0" fontId="6" fillId="0" borderId="11" xfId="0" applyFont="1" applyBorder="1" applyAlignment="1" applyProtection="1">
      <alignment horizontal="center" wrapText="1"/>
      <protection locked="0"/>
    </xf>
    <xf numFmtId="0" fontId="6" fillId="0" borderId="8" xfId="0" applyFont="1" applyBorder="1" applyAlignment="1" applyProtection="1">
      <alignment horizontal="center" wrapText="1"/>
      <protection locked="0"/>
    </xf>
    <xf numFmtId="0" fontId="6" fillId="0" borderId="10" xfId="0" applyFont="1" applyBorder="1" applyAlignment="1" applyProtection="1">
      <alignment horizontal="left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 wrapText="1"/>
      <protection locked="0"/>
    </xf>
    <xf numFmtId="164" fontId="6" fillId="0" borderId="10" xfId="1" applyNumberFormat="1" applyFont="1" applyFill="1" applyBorder="1" applyAlignment="1" applyProtection="1">
      <alignment horizontal="center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center"/>
    </xf>
    <xf numFmtId="11" fontId="2" fillId="3" borderId="4" xfId="0" applyNumberFormat="1" applyFont="1" applyFill="1" applyBorder="1" applyProtection="1">
      <protection locked="0"/>
    </xf>
    <xf numFmtId="0" fontId="2" fillId="4" borderId="13" xfId="0" applyFont="1" applyFill="1" applyBorder="1" applyAlignment="1" applyProtection="1">
      <alignment horizontal="center"/>
    </xf>
    <xf numFmtId="0" fontId="2" fillId="5" borderId="4" xfId="0" applyFont="1" applyFill="1" applyBorder="1" applyAlignment="1" applyProtection="1">
      <alignment horizontal="center"/>
    </xf>
    <xf numFmtId="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12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28576</xdr:rowOff>
    </xdr:from>
    <xdr:to>
      <xdr:col>7</xdr:col>
      <xdr:colOff>571500</xdr:colOff>
      <xdr:row>0</xdr:row>
      <xdr:rowOff>447675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BABC35C-625E-4A71-8822-C4BD7C8ECD43}"/>
            </a:ext>
          </a:extLst>
        </xdr:cNvPr>
        <xdr:cNvSpPr/>
      </xdr:nvSpPr>
      <xdr:spPr>
        <a:xfrm>
          <a:off x="5562600" y="28576"/>
          <a:ext cx="1333500" cy="419099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Gravar Dados</a:t>
          </a:r>
        </a:p>
      </xdr:txBody>
    </xdr:sp>
    <xdr:clientData/>
  </xdr:twoCellAnchor>
  <xdr:twoCellAnchor>
    <xdr:from>
      <xdr:col>5</xdr:col>
      <xdr:colOff>533400</xdr:colOff>
      <xdr:row>0</xdr:row>
      <xdr:rowOff>495301</xdr:rowOff>
    </xdr:from>
    <xdr:to>
      <xdr:col>7</xdr:col>
      <xdr:colOff>571500</xdr:colOff>
      <xdr:row>0</xdr:row>
      <xdr:rowOff>904875</xdr:rowOff>
    </xdr:to>
    <xdr:sp macro="[0]!BtnLerDados_Click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4668750-CFA6-4EE4-A307-03B5E112EBB6}"/>
            </a:ext>
          </a:extLst>
        </xdr:cNvPr>
        <xdr:cNvSpPr/>
      </xdr:nvSpPr>
      <xdr:spPr>
        <a:xfrm>
          <a:off x="5562600" y="495301"/>
          <a:ext cx="1333500" cy="409574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Dados</a:t>
          </a:r>
        </a:p>
      </xdr:txBody>
    </xdr:sp>
    <xdr:clientData/>
  </xdr:twoCellAnchor>
  <xdr:twoCellAnchor>
    <xdr:from>
      <xdr:col>7</xdr:col>
      <xdr:colOff>666750</xdr:colOff>
      <xdr:row>0</xdr:row>
      <xdr:rowOff>190501</xdr:rowOff>
    </xdr:from>
    <xdr:to>
      <xdr:col>9</xdr:col>
      <xdr:colOff>571500</xdr:colOff>
      <xdr:row>0</xdr:row>
      <xdr:rowOff>695325</xdr:rowOff>
    </xdr:to>
    <xdr:sp macro="[0]!BtnResumo_Clic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5EAF16-A696-41C2-AFC3-BE241CA2551D}"/>
            </a:ext>
          </a:extLst>
        </xdr:cNvPr>
        <xdr:cNvSpPr/>
      </xdr:nvSpPr>
      <xdr:spPr>
        <a:xfrm>
          <a:off x="6991350" y="190501"/>
          <a:ext cx="1333500" cy="504824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276225</xdr:colOff>
      <xdr:row>0</xdr:row>
      <xdr:rowOff>171450</xdr:rowOff>
    </xdr:from>
    <xdr:to>
      <xdr:col>13</xdr:col>
      <xdr:colOff>238125</xdr:colOff>
      <xdr:row>0</xdr:row>
      <xdr:rowOff>676274</xdr:rowOff>
    </xdr:to>
    <xdr:sp macro="[0]!BtnEntrada_Click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A14379E-9A19-4083-B94E-EFA8980790FD}"/>
            </a:ext>
          </a:extLst>
        </xdr:cNvPr>
        <xdr:cNvSpPr/>
      </xdr:nvSpPr>
      <xdr:spPr>
        <a:xfrm>
          <a:off x="8734425" y="171450"/>
          <a:ext cx="1333500" cy="504824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E46"/>
  <sheetViews>
    <sheetView showGridLines="0" tabSelected="1" zoomScaleNormal="100" workbookViewId="0">
      <pane ySplit="1" topLeftCell="A2" activePane="bottomLeft" state="frozen"/>
      <selection pane="bottomLeft" activeCell="J18" sqref="J18"/>
    </sheetView>
  </sheetViews>
  <sheetFormatPr defaultRowHeight="12.75" x14ac:dyDescent="0.25"/>
  <cols>
    <col min="1" max="1" width="4.5" style="2" bestFit="1" customWidth="1"/>
    <col min="2" max="2" width="9" style="1"/>
    <col min="3" max="3" width="8.25" style="2" customWidth="1"/>
    <col min="4" max="4" width="37.375" style="1" customWidth="1"/>
    <col min="5" max="5" width="6.87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72.75" customHeight="1" thickBot="1" x14ac:dyDescent="0.35">
      <c r="A1" s="16" t="s">
        <v>0</v>
      </c>
      <c r="B1" s="17" t="s">
        <v>1</v>
      </c>
      <c r="C1" s="18" t="s">
        <v>2</v>
      </c>
      <c r="D1" s="19" t="s">
        <v>23</v>
      </c>
      <c r="E1" s="20" t="s">
        <v>22</v>
      </c>
    </row>
    <row r="2" spans="1:5" ht="14.25" x14ac:dyDescent="0.3">
      <c r="A2" s="21">
        <v>1</v>
      </c>
      <c r="B2" s="3" t="s">
        <v>33</v>
      </c>
      <c r="C2" s="32" t="s">
        <v>7</v>
      </c>
      <c r="D2" s="33" t="s">
        <v>4</v>
      </c>
      <c r="E2" s="31">
        <v>4554</v>
      </c>
    </row>
    <row r="3" spans="1:5" ht="14.25" x14ac:dyDescent="0.3">
      <c r="A3" s="30">
        <f>$A$2+0</f>
        <v>1</v>
      </c>
      <c r="B3" s="22" t="str">
        <f>$B$2</f>
        <v>Atala</v>
      </c>
      <c r="C3" s="12" t="s">
        <v>7</v>
      </c>
      <c r="D3" s="7" t="s">
        <v>5</v>
      </c>
      <c r="E3" s="31">
        <v>4545</v>
      </c>
    </row>
    <row r="4" spans="1:5" ht="14.25" x14ac:dyDescent="0.3">
      <c r="A4" s="30">
        <f>$A$2+0</f>
        <v>1</v>
      </c>
      <c r="B4" s="22" t="str">
        <f>$B$2</f>
        <v>Atala</v>
      </c>
      <c r="C4" s="12" t="s">
        <v>7</v>
      </c>
      <c r="D4" s="7" t="s">
        <v>6</v>
      </c>
      <c r="E4" s="31">
        <v>5454</v>
      </c>
    </row>
    <row r="5" spans="1:5" ht="14.25" x14ac:dyDescent="0.3">
      <c r="A5" s="21">
        <f>2</f>
        <v>2</v>
      </c>
      <c r="B5" s="3" t="s">
        <v>24</v>
      </c>
      <c r="C5" s="13" t="s">
        <v>7</v>
      </c>
      <c r="D5" s="7" t="s">
        <v>4</v>
      </c>
      <c r="E5" s="31">
        <v>545</v>
      </c>
    </row>
    <row r="6" spans="1:5" ht="14.25" x14ac:dyDescent="0.3">
      <c r="A6" s="30">
        <f>$A$5</f>
        <v>2</v>
      </c>
      <c r="B6" s="22" t="str">
        <f>$B$5</f>
        <v>Andre</v>
      </c>
      <c r="C6" s="12" t="s">
        <v>7</v>
      </c>
      <c r="D6" s="7" t="s">
        <v>5</v>
      </c>
      <c r="E6" s="31">
        <v>5454</v>
      </c>
    </row>
    <row r="7" spans="1:5" ht="14.25" x14ac:dyDescent="0.3">
      <c r="A7" s="30">
        <f>$A$5</f>
        <v>2</v>
      </c>
      <c r="B7" s="22" t="str">
        <f>$B$5</f>
        <v>Andre</v>
      </c>
      <c r="C7" s="12" t="s">
        <v>7</v>
      </c>
      <c r="D7" s="7" t="s">
        <v>6</v>
      </c>
      <c r="E7" s="31">
        <v>21414</v>
      </c>
    </row>
    <row r="8" spans="1:5" ht="14.25" x14ac:dyDescent="0.3">
      <c r="A8" s="21">
        <f>3</f>
        <v>3</v>
      </c>
      <c r="B8" s="3" t="s">
        <v>25</v>
      </c>
      <c r="C8" s="12" t="s">
        <v>7</v>
      </c>
      <c r="D8" s="7" t="s">
        <v>4</v>
      </c>
      <c r="E8" s="31">
        <v>5454</v>
      </c>
    </row>
    <row r="9" spans="1:5" ht="14.25" x14ac:dyDescent="0.3">
      <c r="A9" s="30">
        <f>$A$8</f>
        <v>3</v>
      </c>
      <c r="B9" s="22" t="str">
        <f>$B$8</f>
        <v>Henrique</v>
      </c>
      <c r="C9" s="12" t="s">
        <v>7</v>
      </c>
      <c r="D9" s="7" t="s">
        <v>5</v>
      </c>
      <c r="E9" s="31">
        <v>2145</v>
      </c>
    </row>
    <row r="10" spans="1:5" ht="14.25" x14ac:dyDescent="0.3">
      <c r="A10" s="30">
        <f>$A$8</f>
        <v>3</v>
      </c>
      <c r="B10" s="22" t="str">
        <f>$B$8</f>
        <v>Henrique</v>
      </c>
      <c r="C10" s="12" t="s">
        <v>7</v>
      </c>
      <c r="D10" s="7" t="s">
        <v>6</v>
      </c>
      <c r="E10" s="31">
        <v>3216</v>
      </c>
    </row>
    <row r="11" spans="1:5" ht="14.25" x14ac:dyDescent="0.3">
      <c r="A11" s="21">
        <f>4</f>
        <v>4</v>
      </c>
      <c r="B11" s="3" t="s">
        <v>26</v>
      </c>
      <c r="C11" s="12" t="s">
        <v>7</v>
      </c>
      <c r="D11" s="7" t="s">
        <v>4</v>
      </c>
      <c r="E11" s="31">
        <v>2525</v>
      </c>
    </row>
    <row r="12" spans="1:5" ht="14.25" x14ac:dyDescent="0.3">
      <c r="A12" s="30">
        <f>$A$11</f>
        <v>4</v>
      </c>
      <c r="B12" s="22" t="str">
        <f>$B$11</f>
        <v>Thayna</v>
      </c>
      <c r="C12" s="12" t="s">
        <v>7</v>
      </c>
      <c r="D12" s="7" t="s">
        <v>5</v>
      </c>
      <c r="E12" s="31">
        <v>3637</v>
      </c>
    </row>
    <row r="13" spans="1:5" ht="14.25" x14ac:dyDescent="0.3">
      <c r="A13" s="30">
        <f>$A$11</f>
        <v>4</v>
      </c>
      <c r="B13" s="22" t="str">
        <f>$B$11</f>
        <v>Thayna</v>
      </c>
      <c r="C13" s="12" t="s">
        <v>7</v>
      </c>
      <c r="D13" s="7" t="s">
        <v>6</v>
      </c>
      <c r="E13" s="31">
        <v>1512</v>
      </c>
    </row>
    <row r="14" spans="1:5" ht="14.25" x14ac:dyDescent="0.3">
      <c r="A14" s="21">
        <f>5</f>
        <v>5</v>
      </c>
      <c r="B14" s="3" t="s">
        <v>27</v>
      </c>
      <c r="C14" s="12" t="s">
        <v>7</v>
      </c>
      <c r="D14" s="7" t="s">
        <v>4</v>
      </c>
      <c r="E14" s="31">
        <v>1020</v>
      </c>
    </row>
    <row r="15" spans="1:5" ht="14.25" x14ac:dyDescent="0.3">
      <c r="A15" s="30">
        <f>$A$14</f>
        <v>5</v>
      </c>
      <c r="B15" s="22" t="str">
        <f>$B$14</f>
        <v>Vinicius</v>
      </c>
      <c r="C15" s="12" t="s">
        <v>7</v>
      </c>
      <c r="D15" s="7" t="s">
        <v>5</v>
      </c>
      <c r="E15" s="31">
        <v>3040</v>
      </c>
    </row>
    <row r="16" spans="1:5" ht="14.25" x14ac:dyDescent="0.3">
      <c r="A16" s="30">
        <f>$A$14</f>
        <v>5</v>
      </c>
      <c r="B16" s="22" t="str">
        <f>$B$14</f>
        <v>Vinicius</v>
      </c>
      <c r="C16" s="12" t="s">
        <v>7</v>
      </c>
      <c r="D16" s="7" t="s">
        <v>6</v>
      </c>
      <c r="E16" s="31">
        <v>2050</v>
      </c>
    </row>
    <row r="17" spans="1:5" ht="14.25" x14ac:dyDescent="0.3">
      <c r="A17" s="21">
        <f>6</f>
        <v>6</v>
      </c>
      <c r="B17" s="3" t="s">
        <v>28</v>
      </c>
      <c r="C17" s="12" t="s">
        <v>7</v>
      </c>
      <c r="D17" s="7" t="s">
        <v>4</v>
      </c>
      <c r="E17" s="31">
        <v>2511</v>
      </c>
    </row>
    <row r="18" spans="1:5" ht="14.25" x14ac:dyDescent="0.3">
      <c r="A18" s="30">
        <f>$A$17</f>
        <v>6</v>
      </c>
      <c r="B18" s="22" t="str">
        <f>$B$17</f>
        <v>Diego</v>
      </c>
      <c r="C18" s="12" t="s">
        <v>7</v>
      </c>
      <c r="D18" s="7" t="s">
        <v>5</v>
      </c>
      <c r="E18" s="31">
        <v>2910</v>
      </c>
    </row>
    <row r="19" spans="1:5" ht="14.25" x14ac:dyDescent="0.3">
      <c r="A19" s="30">
        <f>$A$17</f>
        <v>6</v>
      </c>
      <c r="B19" s="22" t="str">
        <f>$B$17</f>
        <v>Diego</v>
      </c>
      <c r="C19" s="12" t="s">
        <v>7</v>
      </c>
      <c r="D19" s="7" t="s">
        <v>6</v>
      </c>
      <c r="E19" s="31">
        <v>4021</v>
      </c>
    </row>
    <row r="20" spans="1:5" ht="14.25" x14ac:dyDescent="0.3">
      <c r="A20" s="21">
        <f>7</f>
        <v>7</v>
      </c>
      <c r="B20" s="3" t="s">
        <v>29</v>
      </c>
      <c r="C20" s="12" t="s">
        <v>7</v>
      </c>
      <c r="D20" s="7" t="s">
        <v>4</v>
      </c>
      <c r="E20" s="31">
        <v>25624</v>
      </c>
    </row>
    <row r="21" spans="1:5" ht="14.25" x14ac:dyDescent="0.3">
      <c r="A21" s="30">
        <f>$A$20</f>
        <v>7</v>
      </c>
      <c r="B21" s="22" t="str">
        <f>$B$20</f>
        <v>Cecilia</v>
      </c>
      <c r="C21" s="12" t="s">
        <v>7</v>
      </c>
      <c r="D21" s="7" t="s">
        <v>5</v>
      </c>
      <c r="E21" s="31">
        <v>215421</v>
      </c>
    </row>
    <row r="22" spans="1:5" ht="14.25" x14ac:dyDescent="0.3">
      <c r="A22" s="30">
        <f>$A$20</f>
        <v>7</v>
      </c>
      <c r="B22" s="22" t="str">
        <f>$B$20</f>
        <v>Cecilia</v>
      </c>
      <c r="C22" s="12" t="s">
        <v>7</v>
      </c>
      <c r="D22" s="7" t="s">
        <v>6</v>
      </c>
      <c r="E22" s="31">
        <v>2134</v>
      </c>
    </row>
    <row r="23" spans="1:5" ht="14.25" x14ac:dyDescent="0.3">
      <c r="A23" s="21">
        <f>8</f>
        <v>8</v>
      </c>
      <c r="B23" s="3" t="s">
        <v>30</v>
      </c>
      <c r="C23" s="12" t="s">
        <v>7</v>
      </c>
      <c r="D23" s="7" t="s">
        <v>4</v>
      </c>
      <c r="E23" s="31">
        <v>246518</v>
      </c>
    </row>
    <row r="24" spans="1:5" ht="14.25" x14ac:dyDescent="0.3">
      <c r="A24" s="30">
        <f>$A$23</f>
        <v>8</v>
      </c>
      <c r="B24" s="22" t="str">
        <f>$B$23</f>
        <v>Antonio</v>
      </c>
      <c r="C24" s="12" t="s">
        <v>7</v>
      </c>
      <c r="D24" s="7" t="s">
        <v>5</v>
      </c>
      <c r="E24" s="31">
        <v>27512</v>
      </c>
    </row>
    <row r="25" spans="1:5" ht="14.25" x14ac:dyDescent="0.3">
      <c r="A25" s="30">
        <f>$A$23</f>
        <v>8</v>
      </c>
      <c r="B25" s="22" t="str">
        <f>$B$23</f>
        <v>Antonio</v>
      </c>
      <c r="C25" s="12" t="s">
        <v>7</v>
      </c>
      <c r="D25" s="7" t="s">
        <v>6</v>
      </c>
      <c r="E25" s="31">
        <v>2167127</v>
      </c>
    </row>
    <row r="26" spans="1:5" ht="14.25" x14ac:dyDescent="0.3">
      <c r="A26" s="21">
        <f>9</f>
        <v>9</v>
      </c>
      <c r="B26" s="3" t="s">
        <v>31</v>
      </c>
      <c r="C26" s="12" t="s">
        <v>7</v>
      </c>
      <c r="D26" s="7" t="s">
        <v>4</v>
      </c>
      <c r="E26" s="31">
        <v>217517</v>
      </c>
    </row>
    <row r="27" spans="1:5" ht="14.25" x14ac:dyDescent="0.3">
      <c r="A27" s="30">
        <f>$A$26</f>
        <v>9</v>
      </c>
      <c r="B27" s="22" t="str">
        <f>$B$26</f>
        <v>Creide</v>
      </c>
      <c r="C27" s="12" t="s">
        <v>7</v>
      </c>
      <c r="D27" s="7" t="s">
        <v>5</v>
      </c>
      <c r="E27" s="31">
        <v>217517465</v>
      </c>
    </row>
    <row r="28" spans="1:5" ht="14.25" x14ac:dyDescent="0.3">
      <c r="A28" s="30">
        <f>$A$26</f>
        <v>9</v>
      </c>
      <c r="B28" s="22" t="str">
        <f>$B$26</f>
        <v>Creide</v>
      </c>
      <c r="C28" s="12" t="s">
        <v>7</v>
      </c>
      <c r="D28" s="7" t="s">
        <v>6</v>
      </c>
      <c r="E28" s="31">
        <v>21871287</v>
      </c>
    </row>
    <row r="29" spans="1:5" ht="14.25" x14ac:dyDescent="0.3">
      <c r="A29" s="15">
        <v>10</v>
      </c>
      <c r="B29" s="3" t="s">
        <v>32</v>
      </c>
      <c r="C29" s="12" t="s">
        <v>7</v>
      </c>
      <c r="D29" s="7" t="s">
        <v>4</v>
      </c>
      <c r="E29" s="31">
        <v>128717</v>
      </c>
    </row>
    <row r="30" spans="1:5" ht="14.25" x14ac:dyDescent="0.3">
      <c r="A30" s="30">
        <f>$A$29</f>
        <v>10</v>
      </c>
      <c r="B30" s="22" t="str">
        <f>$B$29</f>
        <v>Jasmin</v>
      </c>
      <c r="C30" s="12" t="s">
        <v>7</v>
      </c>
      <c r="D30" s="7" t="s">
        <v>5</v>
      </c>
      <c r="E30" s="14">
        <v>218721</v>
      </c>
    </row>
    <row r="31" spans="1:5" ht="14.25" x14ac:dyDescent="0.3">
      <c r="A31" s="30">
        <f>$A$29</f>
        <v>10</v>
      </c>
      <c r="B31" s="22" t="str">
        <f>$B$29</f>
        <v>Jasmin</v>
      </c>
      <c r="C31" s="12" t="s">
        <v>7</v>
      </c>
      <c r="D31" s="7" t="s">
        <v>6</v>
      </c>
      <c r="E31" s="14">
        <v>2185127</v>
      </c>
    </row>
    <row r="45" spans="5:5" x14ac:dyDescent="0.25">
      <c r="E45" s="6"/>
    </row>
    <row r="46" spans="5:5" x14ac:dyDescent="0.25">
      <c r="E46" s="6"/>
    </row>
  </sheetData>
  <sheetProtection sheet="1" formatCells="0" formatColumns="0" formatRows="0" insertColumns="0" insertRows="0" insertHyperlinks="0" deleteColumns="0" deleteRows="0" sort="0" autoFilter="0" pivotTables="0"/>
  <dataConsolidate/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zoomScaleNormal="100" workbookViewId="0">
      <pane ySplit="1" topLeftCell="A2" activePane="bottomLeft" state="frozen"/>
      <selection pane="bottomLeft" activeCell="L7" sqref="L7"/>
    </sheetView>
  </sheetViews>
  <sheetFormatPr defaultRowHeight="12.75" x14ac:dyDescent="0.25"/>
  <cols>
    <col min="1" max="1" width="5.625" style="2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4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4">
      <c r="A1" s="23" t="s">
        <v>17</v>
      </c>
      <c r="B1" s="24" t="s">
        <v>16</v>
      </c>
      <c r="C1" s="25" t="s">
        <v>9</v>
      </c>
      <c r="D1" s="26" t="s">
        <v>3</v>
      </c>
      <c r="E1" s="27" t="s">
        <v>14</v>
      </c>
      <c r="F1" s="28" t="s">
        <v>15</v>
      </c>
      <c r="G1" s="6"/>
      <c r="H1" s="29" t="s">
        <v>18</v>
      </c>
      <c r="I1" s="29" t="s">
        <v>19</v>
      </c>
      <c r="J1" s="29" t="s">
        <v>20</v>
      </c>
      <c r="K1" s="29" t="s">
        <v>21</v>
      </c>
    </row>
    <row r="2" spans="1:11" ht="16.5" customHeight="1" x14ac:dyDescent="0.35">
      <c r="A2" s="11">
        <v>1</v>
      </c>
      <c r="B2" s="11" t="s">
        <v>33</v>
      </c>
      <c r="D2" s="2"/>
      <c r="F2" s="1"/>
      <c r="H2" s="36">
        <v>2.6683168316831685</v>
      </c>
      <c r="I2" s="36">
        <v>0.59940652818991091</v>
      </c>
      <c r="J2" s="36">
        <v>2.1956521739130435</v>
      </c>
      <c r="K2" s="36">
        <v>1.2152730124497599</v>
      </c>
    </row>
    <row r="3" spans="1:11" ht="15" customHeight="1" x14ac:dyDescent="0.35">
      <c r="A3" s="11"/>
      <c r="B3" s="11"/>
      <c r="C3" s="1" t="s">
        <v>10</v>
      </c>
      <c r="D3" s="2" t="s">
        <v>4</v>
      </c>
      <c r="E3" s="8">
        <v>4554</v>
      </c>
      <c r="F3" s="9">
        <v>0.31292517006802723</v>
      </c>
      <c r="H3" s="35"/>
      <c r="I3" s="35"/>
      <c r="J3" s="35"/>
      <c r="K3" s="35"/>
    </row>
    <row r="4" spans="1:11" ht="15" customHeight="1" x14ac:dyDescent="0.35">
      <c r="A4" s="11"/>
      <c r="B4" s="11"/>
      <c r="C4" s="1" t="s">
        <v>11</v>
      </c>
      <c r="D4" s="2" t="s">
        <v>5</v>
      </c>
      <c r="E4" s="8">
        <v>4545</v>
      </c>
      <c r="F4" s="9">
        <v>0.31230674087816945</v>
      </c>
      <c r="H4" s="35"/>
      <c r="I4" s="35"/>
      <c r="J4" s="35"/>
      <c r="K4" s="35"/>
    </row>
    <row r="5" spans="1:11" ht="15" customHeight="1" x14ac:dyDescent="0.35">
      <c r="A5" s="11"/>
      <c r="B5" s="11"/>
      <c r="C5" s="1" t="s">
        <v>12</v>
      </c>
      <c r="D5" s="2" t="s">
        <v>6</v>
      </c>
      <c r="E5" s="8">
        <v>5454</v>
      </c>
      <c r="F5" s="9">
        <v>0.37476808905380332</v>
      </c>
      <c r="H5" s="35"/>
      <c r="I5" s="35"/>
      <c r="J5" s="35"/>
      <c r="K5" s="35"/>
    </row>
    <row r="6" spans="1:11" ht="15.75" customHeight="1" x14ac:dyDescent="0.35">
      <c r="A6" s="11"/>
      <c r="B6" s="11"/>
      <c r="C6" s="1" t="s">
        <v>13</v>
      </c>
      <c r="D6" s="2" t="s">
        <v>8</v>
      </c>
      <c r="E6" s="8">
        <v>14553</v>
      </c>
      <c r="F6" s="1"/>
      <c r="H6" s="35"/>
      <c r="I6" s="35"/>
      <c r="J6" s="35"/>
      <c r="K6" s="35"/>
    </row>
    <row r="7" spans="1:11" s="5" customFormat="1" ht="16.5" customHeight="1" x14ac:dyDescent="0.35">
      <c r="A7" s="11">
        <v>2</v>
      </c>
      <c r="B7" s="11" t="s">
        <v>24</v>
      </c>
      <c r="D7" s="10"/>
      <c r="H7" s="34">
        <v>1.2801438311385074</v>
      </c>
      <c r="I7" s="34">
        <v>3.5695949324887488</v>
      </c>
      <c r="J7" s="34">
        <v>49.299082568807343</v>
      </c>
      <c r="K7" s="34">
        <v>2.5966889532919698E-2</v>
      </c>
    </row>
    <row r="8" spans="1:11" ht="14.25" customHeight="1" x14ac:dyDescent="0.35">
      <c r="A8" s="11"/>
      <c r="B8" s="11"/>
      <c r="C8" s="1" t="s">
        <v>10</v>
      </c>
      <c r="D8" s="2" t="s">
        <v>4</v>
      </c>
      <c r="E8" s="8">
        <v>545</v>
      </c>
      <c r="F8" s="9">
        <v>1.9881078320504869E-2</v>
      </c>
      <c r="H8" s="35"/>
      <c r="I8" s="35"/>
      <c r="J8" s="35"/>
      <c r="K8" s="35"/>
    </row>
    <row r="9" spans="1:11" ht="14.25" customHeight="1" x14ac:dyDescent="0.35">
      <c r="A9" s="11"/>
      <c r="B9" s="11"/>
      <c r="C9" s="1" t="s">
        <v>11</v>
      </c>
      <c r="D9" s="2" t="s">
        <v>5</v>
      </c>
      <c r="E9" s="8">
        <v>5454</v>
      </c>
      <c r="F9" s="9">
        <v>0.19895669937620836</v>
      </c>
      <c r="H9" s="35"/>
      <c r="I9" s="35"/>
      <c r="J9" s="35"/>
      <c r="K9" s="35"/>
    </row>
    <row r="10" spans="1:11" ht="14.25" customHeight="1" x14ac:dyDescent="0.35">
      <c r="A10" s="11"/>
      <c r="B10" s="11"/>
      <c r="C10" s="1" t="s">
        <v>12</v>
      </c>
      <c r="D10" s="2" t="s">
        <v>6</v>
      </c>
      <c r="E10" s="8">
        <v>21414</v>
      </c>
      <c r="F10" s="9">
        <v>0.7811622223032868</v>
      </c>
      <c r="H10" s="35"/>
      <c r="I10" s="35"/>
      <c r="J10" s="35"/>
      <c r="K10" s="35"/>
    </row>
    <row r="11" spans="1:11" ht="15" customHeight="1" x14ac:dyDescent="0.35">
      <c r="A11" s="11"/>
      <c r="B11" s="11"/>
      <c r="C11" s="1" t="s">
        <v>13</v>
      </c>
      <c r="D11" s="2" t="s">
        <v>8</v>
      </c>
      <c r="E11" s="8">
        <v>27413</v>
      </c>
      <c r="F11" s="1"/>
      <c r="H11" s="35"/>
      <c r="I11" s="35"/>
      <c r="J11" s="35"/>
      <c r="K11" s="35"/>
    </row>
    <row r="12" spans="1:11" ht="16.5" customHeight="1" x14ac:dyDescent="0.35">
      <c r="A12" s="11">
        <v>3</v>
      </c>
      <c r="B12" s="11" t="s">
        <v>25</v>
      </c>
      <c r="D12" s="2"/>
      <c r="F12" s="1"/>
      <c r="H12" s="34">
        <v>3.3628731343283582</v>
      </c>
      <c r="I12" s="34">
        <v>0.42321358073430715</v>
      </c>
      <c r="J12" s="34">
        <v>0.98294829482948287</v>
      </c>
      <c r="K12" s="34">
        <v>3.4212106089585652</v>
      </c>
    </row>
    <row r="13" spans="1:11" ht="14.25" customHeight="1" x14ac:dyDescent="0.35">
      <c r="A13" s="11"/>
      <c r="B13" s="11"/>
      <c r="C13" s="1" t="s">
        <v>10</v>
      </c>
      <c r="D13" s="2" t="s">
        <v>4</v>
      </c>
      <c r="E13" s="8">
        <v>5454</v>
      </c>
      <c r="F13" s="9">
        <v>0.50429958391123442</v>
      </c>
      <c r="H13" s="35"/>
      <c r="I13" s="35"/>
      <c r="J13" s="35"/>
      <c r="K13" s="35"/>
    </row>
    <row r="14" spans="1:11" ht="14.25" customHeight="1" x14ac:dyDescent="0.35">
      <c r="A14" s="11"/>
      <c r="B14" s="11"/>
      <c r="C14" s="1" t="s">
        <v>11</v>
      </c>
      <c r="D14" s="2" t="s">
        <v>5</v>
      </c>
      <c r="E14" s="8">
        <v>2145</v>
      </c>
      <c r="F14" s="9">
        <v>0.19833564493758668</v>
      </c>
      <c r="H14" s="35"/>
      <c r="I14" s="35"/>
      <c r="J14" s="35"/>
      <c r="K14" s="35"/>
    </row>
    <row r="15" spans="1:11" ht="14.25" customHeight="1" x14ac:dyDescent="0.35">
      <c r="A15" s="11"/>
      <c r="B15" s="11"/>
      <c r="C15" s="1" t="s">
        <v>12</v>
      </c>
      <c r="D15" s="2" t="s">
        <v>6</v>
      </c>
      <c r="E15" s="8">
        <v>3216</v>
      </c>
      <c r="F15" s="9">
        <v>0.29736477115117893</v>
      </c>
      <c r="H15" s="35"/>
      <c r="I15" s="35"/>
      <c r="J15" s="35"/>
      <c r="K15" s="35"/>
    </row>
    <row r="16" spans="1:11" ht="15" customHeight="1" x14ac:dyDescent="0.35">
      <c r="A16" s="11"/>
      <c r="B16" s="11"/>
      <c r="C16" s="1" t="s">
        <v>13</v>
      </c>
      <c r="D16" s="2" t="s">
        <v>8</v>
      </c>
      <c r="E16" s="8">
        <v>10815</v>
      </c>
      <c r="F16" s="1"/>
      <c r="H16" s="35"/>
      <c r="I16" s="35"/>
      <c r="J16" s="35"/>
      <c r="K16" s="35"/>
    </row>
    <row r="17" spans="1:11" ht="16.5" customHeight="1" x14ac:dyDescent="0.35">
      <c r="A17" s="11">
        <v>4</v>
      </c>
      <c r="B17" s="11" t="s">
        <v>26</v>
      </c>
      <c r="D17" s="2"/>
      <c r="F17" s="1"/>
      <c r="H17" s="34">
        <v>5.0753968253968251</v>
      </c>
      <c r="I17" s="34">
        <v>0.24537487828627069</v>
      </c>
      <c r="J17" s="34">
        <v>2.0392079207920792</v>
      </c>
      <c r="K17" s="34">
        <v>2.488905998082537</v>
      </c>
    </row>
    <row r="18" spans="1:11" ht="14.25" customHeight="1" x14ac:dyDescent="0.35">
      <c r="A18" s="11"/>
      <c r="B18" s="11"/>
      <c r="C18" s="1" t="s">
        <v>10</v>
      </c>
      <c r="D18" s="2" t="s">
        <v>4</v>
      </c>
      <c r="E18" s="8">
        <v>2525</v>
      </c>
      <c r="F18" s="9">
        <v>0.32903309877508469</v>
      </c>
      <c r="H18" s="35"/>
      <c r="I18" s="35"/>
      <c r="J18" s="35"/>
      <c r="K18" s="35"/>
    </row>
    <row r="19" spans="1:11" ht="14.25" customHeight="1" x14ac:dyDescent="0.35">
      <c r="A19" s="11"/>
      <c r="B19" s="11"/>
      <c r="C19" s="1" t="s">
        <v>11</v>
      </c>
      <c r="D19" s="2" t="s">
        <v>5</v>
      </c>
      <c r="E19" s="8">
        <v>3637</v>
      </c>
      <c r="F19" s="9">
        <v>0.47393797237425073</v>
      </c>
      <c r="H19" s="35"/>
      <c r="I19" s="35"/>
      <c r="J19" s="35"/>
      <c r="K19" s="35"/>
    </row>
    <row r="20" spans="1:11" ht="14.25" customHeight="1" x14ac:dyDescent="0.35">
      <c r="A20" s="11"/>
      <c r="B20" s="11"/>
      <c r="C20" s="1" t="s">
        <v>12</v>
      </c>
      <c r="D20" s="2" t="s">
        <v>6</v>
      </c>
      <c r="E20" s="8">
        <v>1512</v>
      </c>
      <c r="F20" s="9">
        <v>0.19702892885066459</v>
      </c>
      <c r="H20" s="35"/>
      <c r="I20" s="35"/>
      <c r="J20" s="35"/>
      <c r="K20" s="35"/>
    </row>
    <row r="21" spans="1:11" ht="15" customHeight="1" x14ac:dyDescent="0.35">
      <c r="A21" s="11"/>
      <c r="B21" s="11"/>
      <c r="C21" s="1" t="s">
        <v>13</v>
      </c>
      <c r="D21" s="2" t="s">
        <v>8</v>
      </c>
      <c r="E21" s="8">
        <v>7674</v>
      </c>
      <c r="F21" s="1"/>
      <c r="H21" s="35"/>
      <c r="I21" s="35"/>
      <c r="J21" s="35"/>
      <c r="K21" s="35"/>
    </row>
    <row r="22" spans="1:11" ht="16.5" customHeight="1" x14ac:dyDescent="0.35">
      <c r="A22" s="11">
        <v>5</v>
      </c>
      <c r="B22" s="11" t="s">
        <v>27</v>
      </c>
      <c r="D22" s="2"/>
      <c r="F22" s="1"/>
      <c r="H22" s="34">
        <v>2.9804878048780492</v>
      </c>
      <c r="I22" s="34">
        <v>0.50492610837438423</v>
      </c>
      <c r="J22" s="34">
        <v>4.9901960784313726</v>
      </c>
      <c r="K22" s="34">
        <v>0.59726867602664246</v>
      </c>
    </row>
    <row r="23" spans="1:11" ht="14.25" customHeight="1" x14ac:dyDescent="0.35">
      <c r="A23" s="11"/>
      <c r="B23" s="11"/>
      <c r="C23" s="1" t="s">
        <v>10</v>
      </c>
      <c r="D23" s="2" t="s">
        <v>4</v>
      </c>
      <c r="E23" s="8">
        <v>1020</v>
      </c>
      <c r="F23" s="9">
        <v>0.16693944353518822</v>
      </c>
      <c r="H23" s="35"/>
      <c r="I23" s="35"/>
      <c r="J23" s="35"/>
      <c r="K23" s="35"/>
    </row>
    <row r="24" spans="1:11" ht="14.25" customHeight="1" x14ac:dyDescent="0.35">
      <c r="A24" s="11"/>
      <c r="B24" s="11"/>
      <c r="C24" s="1" t="s">
        <v>11</v>
      </c>
      <c r="D24" s="2" t="s">
        <v>5</v>
      </c>
      <c r="E24" s="8">
        <v>3040</v>
      </c>
      <c r="F24" s="9">
        <v>0.49754500818330605</v>
      </c>
      <c r="H24" s="35"/>
      <c r="I24" s="35"/>
      <c r="J24" s="35"/>
      <c r="K24" s="35"/>
    </row>
    <row r="25" spans="1:11" ht="14.25" customHeight="1" x14ac:dyDescent="0.35">
      <c r="A25" s="11"/>
      <c r="B25" s="11"/>
      <c r="C25" s="1" t="s">
        <v>12</v>
      </c>
      <c r="D25" s="2" t="s">
        <v>6</v>
      </c>
      <c r="E25" s="8">
        <v>2050</v>
      </c>
      <c r="F25" s="9">
        <v>0.3355155482815057</v>
      </c>
      <c r="H25" s="35"/>
      <c r="I25" s="35"/>
      <c r="J25" s="35"/>
      <c r="K25" s="35"/>
    </row>
    <row r="26" spans="1:11" ht="15" customHeight="1" x14ac:dyDescent="0.35">
      <c r="A26" s="11"/>
      <c r="B26" s="11"/>
      <c r="C26" s="1" t="s">
        <v>13</v>
      </c>
      <c r="D26" s="2" t="s">
        <v>8</v>
      </c>
      <c r="E26" s="8">
        <v>6110</v>
      </c>
      <c r="F26" s="1"/>
      <c r="H26" s="35"/>
      <c r="I26" s="35"/>
      <c r="J26" s="35"/>
      <c r="K26" s="35"/>
    </row>
    <row r="27" spans="1:11" ht="16.5" customHeight="1" x14ac:dyDescent="0.35">
      <c r="A27" s="11">
        <v>6</v>
      </c>
      <c r="B27" s="11" t="s">
        <v>28</v>
      </c>
      <c r="D27" s="2"/>
      <c r="F27" s="1"/>
      <c r="H27" s="34">
        <v>2.3481720964934096</v>
      </c>
      <c r="I27" s="34">
        <v>0.74174506548607266</v>
      </c>
      <c r="J27" s="34">
        <v>2.7602548785344485</v>
      </c>
      <c r="K27" s="34">
        <v>0.8507084308606192</v>
      </c>
    </row>
    <row r="28" spans="1:11" ht="14.25" customHeight="1" x14ac:dyDescent="0.35">
      <c r="A28" s="11"/>
      <c r="B28" s="11"/>
      <c r="C28" s="1" t="s">
        <v>10</v>
      </c>
      <c r="D28" s="2" t="s">
        <v>4</v>
      </c>
      <c r="E28" s="8">
        <v>2511</v>
      </c>
      <c r="F28" s="9">
        <v>0.26593941961448847</v>
      </c>
      <c r="H28" s="35"/>
      <c r="I28" s="35"/>
      <c r="J28" s="35"/>
      <c r="K28" s="35"/>
    </row>
    <row r="29" spans="1:11" ht="14.25" customHeight="1" x14ac:dyDescent="0.35">
      <c r="A29" s="11"/>
      <c r="B29" s="11"/>
      <c r="C29" s="1" t="s">
        <v>11</v>
      </c>
      <c r="D29" s="2" t="s">
        <v>5</v>
      </c>
      <c r="E29" s="8">
        <v>2910</v>
      </c>
      <c r="F29" s="9">
        <v>0.30819741580173693</v>
      </c>
      <c r="H29" s="35"/>
      <c r="I29" s="35"/>
      <c r="J29" s="35"/>
      <c r="K29" s="35"/>
    </row>
    <row r="30" spans="1:11" ht="14.25" customHeight="1" x14ac:dyDescent="0.35">
      <c r="A30" s="11"/>
      <c r="B30" s="11"/>
      <c r="C30" s="1" t="s">
        <v>12</v>
      </c>
      <c r="D30" s="2" t="s">
        <v>6</v>
      </c>
      <c r="E30" s="8">
        <v>4021</v>
      </c>
      <c r="F30" s="9">
        <v>0.4258631645837746</v>
      </c>
      <c r="H30" s="35"/>
      <c r="I30" s="35"/>
      <c r="J30" s="35"/>
      <c r="K30" s="35"/>
    </row>
    <row r="31" spans="1:11" ht="15" customHeight="1" x14ac:dyDescent="0.35">
      <c r="A31" s="11"/>
      <c r="B31" s="11"/>
      <c r="C31" s="1" t="s">
        <v>13</v>
      </c>
      <c r="D31" s="2" t="s">
        <v>8</v>
      </c>
      <c r="E31" s="8">
        <v>9442</v>
      </c>
      <c r="F31" s="1"/>
      <c r="H31" s="35"/>
      <c r="I31" s="35"/>
      <c r="J31" s="35"/>
      <c r="K31" s="35"/>
    </row>
    <row r="32" spans="1:11" ht="16.5" customHeight="1" x14ac:dyDescent="0.35">
      <c r="A32" s="11">
        <v>7</v>
      </c>
      <c r="B32" s="11" t="s">
        <v>29</v>
      </c>
      <c r="D32" s="2"/>
      <c r="F32" s="1"/>
      <c r="H32" s="34">
        <v>113.95454545454545</v>
      </c>
      <c r="I32" s="34">
        <v>8.8531187122736412E-3</v>
      </c>
      <c r="J32" s="34">
        <v>8.4902825476116135</v>
      </c>
      <c r="K32" s="34">
        <v>13.421761268310417</v>
      </c>
    </row>
    <row r="33" spans="1:11" ht="14.25" customHeight="1" x14ac:dyDescent="0.35">
      <c r="A33" s="11"/>
      <c r="B33" s="11"/>
      <c r="C33" s="1" t="s">
        <v>10</v>
      </c>
      <c r="D33" s="2" t="s">
        <v>4</v>
      </c>
      <c r="E33" s="8">
        <v>25624</v>
      </c>
      <c r="F33" s="9">
        <v>0.10537094074735072</v>
      </c>
      <c r="H33" s="35"/>
      <c r="I33" s="35"/>
      <c r="J33" s="35"/>
      <c r="K33" s="35"/>
    </row>
    <row r="34" spans="1:11" ht="14.25" customHeight="1" x14ac:dyDescent="0.35">
      <c r="A34" s="11"/>
      <c r="B34" s="11"/>
      <c r="C34" s="1" t="s">
        <v>11</v>
      </c>
      <c r="D34" s="2" t="s">
        <v>5</v>
      </c>
      <c r="E34" s="8">
        <v>215421</v>
      </c>
      <c r="F34" s="9">
        <v>0.88585363045328747</v>
      </c>
      <c r="H34" s="35"/>
      <c r="I34" s="35"/>
      <c r="J34" s="35"/>
      <c r="K34" s="35"/>
    </row>
    <row r="35" spans="1:11" ht="14.25" customHeight="1" x14ac:dyDescent="0.35">
      <c r="A35" s="11"/>
      <c r="B35" s="11"/>
      <c r="C35" s="1" t="s">
        <v>12</v>
      </c>
      <c r="D35" s="2" t="s">
        <v>6</v>
      </c>
      <c r="E35" s="8">
        <v>2134</v>
      </c>
      <c r="F35" s="9">
        <v>8.7754287993617869E-3</v>
      </c>
      <c r="H35" s="35"/>
      <c r="I35" s="35"/>
      <c r="J35" s="35"/>
      <c r="K35" s="35"/>
    </row>
    <row r="36" spans="1:11" ht="15" customHeight="1" x14ac:dyDescent="0.35">
      <c r="A36" s="11"/>
      <c r="B36" s="11"/>
      <c r="C36" s="1" t="s">
        <v>13</v>
      </c>
      <c r="D36" s="2" t="s">
        <v>8</v>
      </c>
      <c r="E36" s="8">
        <v>243179</v>
      </c>
      <c r="F36" s="1"/>
      <c r="H36" s="35"/>
      <c r="I36" s="35"/>
      <c r="J36" s="35"/>
      <c r="K36" s="35"/>
    </row>
    <row r="37" spans="1:11" ht="16.5" customHeight="1" x14ac:dyDescent="0.35">
      <c r="A37" s="11">
        <v>8</v>
      </c>
      <c r="B37" s="11" t="s">
        <v>30</v>
      </c>
      <c r="D37" s="2"/>
      <c r="F37" s="1"/>
      <c r="H37" s="34">
        <v>1.1264485191684659</v>
      </c>
      <c r="I37" s="34">
        <v>7.9083567492610314</v>
      </c>
      <c r="J37" s="34">
        <v>8.9025507265189567</v>
      </c>
      <c r="K37" s="34">
        <v>0.12653098575591332</v>
      </c>
    </row>
    <row r="38" spans="1:11" ht="14.25" customHeight="1" x14ac:dyDescent="0.35">
      <c r="A38" s="11"/>
      <c r="B38" s="11"/>
      <c r="C38" s="1" t="s">
        <v>10</v>
      </c>
      <c r="D38" s="2" t="s">
        <v>4</v>
      </c>
      <c r="E38" s="8">
        <v>246518</v>
      </c>
      <c r="F38" s="9">
        <v>0.10098408254774273</v>
      </c>
      <c r="H38" s="35"/>
      <c r="I38" s="35"/>
      <c r="J38" s="35"/>
      <c r="K38" s="35"/>
    </row>
    <row r="39" spans="1:11" ht="14.25" customHeight="1" x14ac:dyDescent="0.35">
      <c r="A39" s="11"/>
      <c r="B39" s="11"/>
      <c r="C39" s="1" t="s">
        <v>11</v>
      </c>
      <c r="D39" s="2" t="s">
        <v>5</v>
      </c>
      <c r="E39" s="8">
        <v>27512</v>
      </c>
      <c r="F39" s="9">
        <v>1.1270065792572947E-2</v>
      </c>
      <c r="H39" s="35"/>
      <c r="I39" s="35"/>
      <c r="J39" s="35"/>
      <c r="K39" s="35"/>
    </row>
    <row r="40" spans="1:11" ht="14.25" customHeight="1" x14ac:dyDescent="0.35">
      <c r="A40" s="11"/>
      <c r="B40" s="11"/>
      <c r="C40" s="1" t="s">
        <v>12</v>
      </c>
      <c r="D40" s="2" t="s">
        <v>6</v>
      </c>
      <c r="E40" s="8">
        <v>2167127</v>
      </c>
      <c r="F40" s="9">
        <v>0.88774585165968434</v>
      </c>
      <c r="H40" s="35"/>
      <c r="I40" s="35"/>
      <c r="J40" s="35"/>
      <c r="K40" s="35"/>
    </row>
    <row r="41" spans="1:11" ht="15" customHeight="1" x14ac:dyDescent="0.35">
      <c r="A41" s="11"/>
      <c r="B41" s="11"/>
      <c r="C41" s="1" t="s">
        <v>13</v>
      </c>
      <c r="D41" s="2" t="s">
        <v>8</v>
      </c>
      <c r="E41" s="8">
        <v>2441157</v>
      </c>
      <c r="F41" s="1"/>
      <c r="H41" s="35"/>
      <c r="I41" s="35"/>
      <c r="J41" s="35"/>
      <c r="K41" s="35"/>
    </row>
    <row r="42" spans="1:11" ht="16.5" customHeight="1" x14ac:dyDescent="0.35">
      <c r="A42" s="11">
        <v>9</v>
      </c>
      <c r="B42" s="11" t="s">
        <v>31</v>
      </c>
      <c r="D42" s="2"/>
      <c r="F42" s="1"/>
      <c r="H42" s="34">
        <v>10.955288959447151</v>
      </c>
      <c r="I42" s="34">
        <v>0.10044911846090032</v>
      </c>
      <c r="J42" s="34">
        <v>1100.5519200798099</v>
      </c>
      <c r="K42" s="34">
        <v>9.9543590443717505E-3</v>
      </c>
    </row>
    <row r="43" spans="1:11" ht="14.25" customHeight="1" x14ac:dyDescent="0.35">
      <c r="A43" s="11"/>
      <c r="B43" s="11"/>
      <c r="C43" s="1" t="s">
        <v>10</v>
      </c>
      <c r="D43" s="2" t="s">
        <v>4</v>
      </c>
      <c r="E43" s="8">
        <v>217517</v>
      </c>
      <c r="F43" s="9">
        <v>9.0781013747182049E-4</v>
      </c>
      <c r="H43" s="35"/>
      <c r="I43" s="35"/>
      <c r="J43" s="35"/>
      <c r="K43" s="35"/>
    </row>
    <row r="44" spans="1:11" ht="14.25" customHeight="1" x14ac:dyDescent="0.35">
      <c r="A44" s="11"/>
      <c r="B44" s="11"/>
      <c r="C44" s="1" t="s">
        <v>11</v>
      </c>
      <c r="D44" s="2" t="s">
        <v>5</v>
      </c>
      <c r="E44" s="8">
        <v>217517465</v>
      </c>
      <c r="F44" s="9">
        <v>0.90781207815560117</v>
      </c>
      <c r="H44" s="35"/>
      <c r="I44" s="35"/>
      <c r="J44" s="35"/>
      <c r="K44" s="35"/>
    </row>
    <row r="45" spans="1:11" ht="14.25" customHeight="1" x14ac:dyDescent="0.35">
      <c r="A45" s="11"/>
      <c r="B45" s="11"/>
      <c r="C45" s="1" t="s">
        <v>12</v>
      </c>
      <c r="D45" s="2" t="s">
        <v>6</v>
      </c>
      <c r="E45" s="8">
        <v>21871287</v>
      </c>
      <c r="F45" s="9">
        <v>9.1280111706927E-2</v>
      </c>
      <c r="H45" s="35"/>
      <c r="I45" s="35"/>
      <c r="J45" s="35"/>
      <c r="K45" s="35"/>
    </row>
    <row r="46" spans="1:11" ht="15" customHeight="1" x14ac:dyDescent="0.35">
      <c r="A46" s="11"/>
      <c r="B46" s="11"/>
      <c r="C46" s="1" t="s">
        <v>13</v>
      </c>
      <c r="D46" s="2" t="s">
        <v>8</v>
      </c>
      <c r="E46" s="8">
        <v>239606269</v>
      </c>
      <c r="F46" s="1"/>
      <c r="H46" s="35"/>
      <c r="I46" s="35"/>
      <c r="J46" s="35"/>
      <c r="K46" s="35"/>
    </row>
    <row r="47" spans="1:11" ht="16.5" customHeight="1" x14ac:dyDescent="0.35">
      <c r="A47" s="11">
        <v>10</v>
      </c>
      <c r="B47" s="11" t="s">
        <v>32</v>
      </c>
      <c r="D47" s="2"/>
      <c r="F47" s="1"/>
      <c r="H47" s="34">
        <v>1.1590012845935271</v>
      </c>
      <c r="I47" s="34">
        <v>6.2892573639037739</v>
      </c>
      <c r="J47" s="34">
        <v>18.675450795155264</v>
      </c>
      <c r="K47" s="34">
        <v>6.2060150370998927E-2</v>
      </c>
    </row>
    <row r="48" spans="1:11" ht="14.25" customHeight="1" x14ac:dyDescent="0.35">
      <c r="A48" s="11"/>
      <c r="B48" s="11"/>
      <c r="C48" s="1" t="s">
        <v>10</v>
      </c>
      <c r="D48" s="2" t="s">
        <v>4</v>
      </c>
      <c r="E48" s="8">
        <v>128717</v>
      </c>
      <c r="F48" s="9">
        <v>5.0824756718978584E-2</v>
      </c>
      <c r="H48" s="35"/>
      <c r="I48" s="35"/>
      <c r="J48" s="35"/>
      <c r="K48" s="35"/>
    </row>
    <row r="49" spans="1:11" ht="14.25" customHeight="1" x14ac:dyDescent="0.35">
      <c r="A49" s="11"/>
      <c r="B49" s="11"/>
      <c r="C49" s="1" t="s">
        <v>11</v>
      </c>
      <c r="D49" s="2" t="s">
        <v>5</v>
      </c>
      <c r="E49" s="8">
        <v>218721</v>
      </c>
      <c r="F49" s="9">
        <v>8.636342996132379E-2</v>
      </c>
      <c r="H49" s="35"/>
      <c r="I49" s="35"/>
      <c r="J49" s="35"/>
      <c r="K49" s="35"/>
    </row>
    <row r="50" spans="1:11" ht="14.25" customHeight="1" x14ac:dyDescent="0.35">
      <c r="A50" s="11"/>
      <c r="B50" s="11"/>
      <c r="C50" s="1" t="s">
        <v>12</v>
      </c>
      <c r="D50" s="2" t="s">
        <v>6</v>
      </c>
      <c r="E50" s="8">
        <v>2185127</v>
      </c>
      <c r="F50" s="9">
        <v>0.86281181331969758</v>
      </c>
      <c r="H50" s="35"/>
      <c r="I50" s="35"/>
      <c r="J50" s="35"/>
      <c r="K50" s="35"/>
    </row>
    <row r="51" spans="1:11" ht="15" customHeight="1" x14ac:dyDescent="0.35">
      <c r="A51" s="11"/>
      <c r="B51" s="11"/>
      <c r="C51" s="1" t="s">
        <v>13</v>
      </c>
      <c r="D51" s="2" t="s">
        <v>8</v>
      </c>
      <c r="E51" s="8">
        <v>2532565</v>
      </c>
      <c r="F51" s="1"/>
      <c r="H51" s="35"/>
      <c r="I51" s="35"/>
      <c r="J51" s="35"/>
      <c r="K51" s="35"/>
    </row>
    <row r="52" spans="1:11" x14ac:dyDescent="0.25">
      <c r="A52" s="1"/>
      <c r="F52" s="1"/>
    </row>
  </sheetData>
  <mergeCells count="40">
    <mergeCell ref="H47:H51"/>
    <mergeCell ref="I47:I51"/>
    <mergeCell ref="J47:J51"/>
    <mergeCell ref="K47:K51"/>
    <mergeCell ref="H42:H46"/>
    <mergeCell ref="I42:I46"/>
    <mergeCell ref="J42:J46"/>
    <mergeCell ref="K42:K46"/>
    <mergeCell ref="H32:H36"/>
    <mergeCell ref="I32:I36"/>
    <mergeCell ref="J32:J36"/>
    <mergeCell ref="K32:K36"/>
    <mergeCell ref="H37:H41"/>
    <mergeCell ref="I37:I41"/>
    <mergeCell ref="J37:J41"/>
    <mergeCell ref="K37:K41"/>
    <mergeCell ref="H17:H21"/>
    <mergeCell ref="I17:I21"/>
    <mergeCell ref="J17:J21"/>
    <mergeCell ref="K17:K21"/>
    <mergeCell ref="H27:H31"/>
    <mergeCell ref="I27:I31"/>
    <mergeCell ref="J27:J31"/>
    <mergeCell ref="K27:K31"/>
    <mergeCell ref="H22:H26"/>
    <mergeCell ref="I22:I26"/>
    <mergeCell ref="J22:J26"/>
    <mergeCell ref="K22:K26"/>
    <mergeCell ref="H12:H16"/>
    <mergeCell ref="I12:I16"/>
    <mergeCell ref="J12:J16"/>
    <mergeCell ref="K12:K16"/>
    <mergeCell ref="J2:J6"/>
    <mergeCell ref="K2:K6"/>
    <mergeCell ref="H7:H11"/>
    <mergeCell ref="I7:I11"/>
    <mergeCell ref="J7:J11"/>
    <mergeCell ref="K7:K11"/>
    <mergeCell ref="H2:H6"/>
    <mergeCell ref="I2:I6"/>
  </mergeCells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UNIP</cp:lastModifiedBy>
  <dcterms:created xsi:type="dcterms:W3CDTF">2003-07-25T23:54:53Z</dcterms:created>
  <dcterms:modified xsi:type="dcterms:W3CDTF">2023-03-17T00:19:26Z</dcterms:modified>
</cp:coreProperties>
</file>