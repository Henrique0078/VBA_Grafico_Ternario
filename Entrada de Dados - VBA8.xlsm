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2E04937A-4243-4030-B402-350869D41E0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  <sheet name="Tabelas" sheetId="4" r:id="rId3"/>
    <sheet name="Índices" sheetId="5" r:id="rId4"/>
  </sheets>
  <functionGroups builtInGroupCount="19"/>
  <definedNames>
    <definedName name="_xlnm._FilterDatabase" localSheetId="0" hidden="1">Entrada_de_Dados!$E$37:$E$38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F9" i="1" l="1"/>
  <c r="F31" i="1"/>
  <c r="F30" i="1"/>
  <c r="F28" i="1"/>
  <c r="F27" i="1"/>
  <c r="F25" i="1"/>
  <c r="F24" i="1"/>
  <c r="F22" i="1"/>
  <c r="F21" i="1"/>
  <c r="F19" i="1"/>
  <c r="F18" i="1"/>
  <c r="F16" i="1"/>
  <c r="F15" i="1"/>
  <c r="F13" i="1"/>
  <c r="F12" i="1"/>
  <c r="F10" i="1"/>
  <c r="F7" i="1"/>
  <c r="F6" i="1"/>
  <c r="F3" i="1"/>
  <c r="F4" i="1"/>
  <c r="B27" i="1"/>
  <c r="B9" i="1"/>
  <c r="D28" i="1"/>
  <c r="D31" i="1"/>
  <c r="D30" i="1"/>
  <c r="D27" i="1"/>
  <c r="D25" i="1"/>
  <c r="D24" i="1"/>
  <c r="D22" i="1"/>
  <c r="D21" i="1"/>
  <c r="D19" i="1"/>
  <c r="D18" i="1"/>
  <c r="D16" i="1"/>
  <c r="D15" i="1"/>
  <c r="D13" i="1"/>
  <c r="D12" i="1"/>
  <c r="D10" i="1"/>
  <c r="D9" i="1"/>
  <c r="D7" i="1"/>
  <c r="D6" i="1"/>
  <c r="D4" i="1"/>
  <c r="D3" i="1"/>
  <c r="E4" i="1"/>
  <c r="E16" i="1"/>
  <c r="E15" i="1"/>
  <c r="E31" i="1"/>
  <c r="E30" i="1"/>
  <c r="E28" i="1"/>
  <c r="E27" i="1"/>
  <c r="E25" i="1"/>
  <c r="E24" i="1"/>
  <c r="E22" i="1"/>
  <c r="E21" i="1"/>
  <c r="E19" i="1"/>
  <c r="E18" i="1"/>
  <c r="E13" i="1"/>
  <c r="E12" i="1"/>
  <c r="E10" i="1"/>
  <c r="E9" i="1"/>
  <c r="E7" i="1"/>
  <c r="E6" i="1"/>
  <c r="E3" i="1"/>
  <c r="B3" i="1"/>
  <c r="B19" i="1"/>
  <c r="B18" i="1"/>
  <c r="B16" i="1"/>
  <c r="B15" i="1"/>
  <c r="B13" i="1"/>
  <c r="B12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B30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<sst xmlns="http://schemas.openxmlformats.org/spreadsheetml/2006/main" count="167" uniqueCount="51">
  <si>
    <t>Ponto</t>
  </si>
  <si>
    <t>Nome</t>
  </si>
  <si>
    <t>Item</t>
  </si>
  <si>
    <t>Descrição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</si>
  <si>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</si>
  <si>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</si>
  <si>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</si>
  <si>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</si>
  <si>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</si>
  <si>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</si>
  <si>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</si>
  <si>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</si>
  <si>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</si>
  <si>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</si>
  <si>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</si>
  <si>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</si>
  <si>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</si>
  <si>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</si>
  <si>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</si>
  <si>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</si>
  <si>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</si>
  <si>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</si>
  <si>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</si>
  <si>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</si>
  <si>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</si>
  <si>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</si>
  <si>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</si>
  <si>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Rendimento Emergético [EYR]</t>
  </si>
  <si>
    <t>Investimento Emergético (EIR)</t>
  </si>
  <si>
    <t>Impacto Ambiental [ELR]</t>
  </si>
  <si>
    <t>Índice de Sustentabilidade [SI ]</t>
  </si>
  <si>
    <t>Emergia Total [Y]</t>
  </si>
  <si>
    <t>Recursos Renováveis [R]</t>
  </si>
  <si>
    <t>Recursos Não Renováveis [N]</t>
  </si>
  <si>
    <t>Recursos Pagos [F]</t>
  </si>
  <si>
    <t>[I]</t>
  </si>
  <si>
    <t>Tabela:</t>
  </si>
  <si>
    <t xml:space="preserve"> </t>
  </si>
  <si>
    <t>Pedro</t>
  </si>
  <si>
    <t>Andre</t>
  </si>
  <si>
    <t>Abacaxi</t>
  </si>
  <si>
    <t>Tabela:  Pedro</t>
  </si>
  <si>
    <t>Emergia</t>
  </si>
  <si>
    <t>tomate</t>
  </si>
  <si>
    <t>Tabela:  Andre</t>
  </si>
  <si>
    <t>Henrique</t>
  </si>
  <si>
    <t>Tabela:  Henrique</t>
  </si>
  <si>
    <t>Thayna</t>
  </si>
  <si>
    <t>laranja</t>
  </si>
  <si>
    <t>Limão</t>
  </si>
  <si>
    <t>Tabela:  Thayna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</si>
</sst>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1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/>
    <xf numFmtId="0" fontId="2" fillId="0" borderId="0" xfId="0" applyFont="1"/>
    <xf numFmtId="0" fontId="2" fillId="3" borderId="3" xfId="0" applyFont="1" applyFill="1" applyBorder="1" applyAlignment="1">
      <alignment horizontal="center"/>
    </xf>
    <xf numFmtId="11" fontId="2" fillId="4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6" borderId="4" xfId="0" applyFont="1" applyFill="1" applyBorder="1" applyAlignment="1" applyProtection="1">
      <alignment horizontal="center"/>
      <protection locked="0"/>
    </xf>
    <xf numFmtId="0" fontId="3" fillId="2" borderId="5" xfId="0" applyFont="1" applyFill="1" applyBorder="1" applyAlignment="1">
      <alignment horizontal="center"/>
    </xf>
    <xf numFmtId="0" fontId="4" fillId="7" borderId="6" xfId="0" applyFont="1" applyFill="1" applyBorder="1" applyProtection="1"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3" borderId="9" xfId="0" applyFont="1" applyFill="1" applyBorder="1" applyAlignment="1">
      <alignment horizontal="center"/>
    </xf>
    <xf numFmtId="164" fontId="2" fillId="0" borderId="0" xfId="1" applyNumberFormat="1" applyFont="1" applyFill="1"/>
    <xf numFmtId="0" fontId="2" fillId="0" borderId="3" xfId="0" applyFont="1" applyBorder="1"/>
    <xf numFmtId="0" fontId="6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center" wrapText="1"/>
    </xf>
    <xf numFmtId="164" fontId="6" fillId="0" borderId="10" xfId="1" applyNumberFormat="1" applyFont="1" applyFill="1" applyBorder="1" applyAlignment="1" applyProtection="1">
      <alignment horizontal="center" wrapText="1"/>
    </xf>
    <xf numFmtId="0" fontId="6" fillId="0" borderId="8" xfId="0" applyFont="1" applyBorder="1" applyAlignment="1">
      <alignment horizontal="center" wrapText="1"/>
    </xf>
    <xf numFmtId="0" fontId="6" fillId="0" borderId="10" xfId="0" applyFont="1" applyBorder="1" applyAlignment="1">
      <alignment horizontal="left"/>
    </xf>
    <xf numFmtId="0" fontId="3" fillId="0" borderId="9" xfId="0" applyFont="1" applyBorder="1" applyAlignment="1">
      <alignment horizontal="left" vertical="top" wrapText="1"/>
    </xf>
    <xf numFmtId="0" fontId="7" fillId="0" borderId="0" xfId="0" applyFont="1"/>
    <xf numFmtId="0" fontId="3" fillId="4" borderId="10" xfId="0" applyFont="1" applyFill="1" applyBorder="1" applyAlignment="1">
      <alignment horizontal="center" wrapText="1"/>
    </xf>
    <xf numFmtId="0" fontId="3" fillId="6" borderId="1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0" borderId="0" xfId="0" applyFont="1" applyProtection="1">
      <protection locked="0"/>
    </xf>
    <xf numFmtId="0" fontId="2" fillId="0" borderId="1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3" xfId="0" applyFont="1" applyBorder="1"/>
    <xf numFmtId="0" fontId="2" fillId="6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11" fontId="2" fillId="0" borderId="0" xfId="0" applyNumberFormat="1" applyFont="1"/>
    <xf numFmtId="0" fontId="6" fillId="0" borderId="16" xfId="0" applyFont="1" applyBorder="1" applyAlignment="1">
      <alignment horizontal="center" wrapText="1"/>
    </xf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8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2" fontId="0" fillId="0" borderId="0" xfId="0" applyNumberFormat="1"/>
    <xf numFmtId="2" fontId="0" fillId="0" borderId="11" xfId="0" applyNumberFormat="1" applyBorder="1"/>
    <xf numFmtId="0" fontId="3" fillId="5" borderId="15" xfId="0" applyFont="1" applyFill="1" applyBorder="1" applyAlignment="1">
      <alignment horizontal="center"/>
    </xf>
    <xf numFmtId="0" fontId="2" fillId="5" borderId="18" xfId="0" applyFont="1" applyFill="1" applyBorder="1" applyAlignment="1" applyProtection="1">
      <alignment horizontal="center"/>
      <protection locked="0"/>
    </xf>
    <xf numFmtId="0" fontId="2" fillId="5" borderId="3" xfId="0" applyFont="1" applyFill="1" applyBorder="1" applyAlignment="1">
      <alignment horizontal="center"/>
    </xf>
    <xf numFmtId="0" fontId="2" fillId="5" borderId="3" xfId="0" applyFont="1" applyFill="1" applyBorder="1" applyAlignment="1" applyProtection="1">
      <alignment horizontal="center"/>
      <protection locked="0"/>
    </xf>
    <xf numFmtId="0" fontId="3" fillId="8" borderId="10" xfId="0" applyFont="1" applyFill="1" applyBorder="1"/>
    <xf numFmtId="0" fontId="3" fillId="8" borderId="2" xfId="0" applyFont="1" applyFill="1" applyBorder="1"/>
    <xf numFmtId="0" fontId="3" fillId="8" borderId="6" xfId="0" applyFont="1" applyFill="1" applyBorder="1" applyProtection="1">
      <protection locked="0"/>
    </xf>
    <xf numFmtId="0" fontId="3" fillId="8" borderId="11" xfId="0" applyFont="1" applyFill="1" applyBorder="1" applyProtection="1">
      <protection locked="0"/>
    </xf>
    <xf numFmtId="11" fontId="2" fillId="9" borderId="4" xfId="0" applyNumberFormat="1" applyFont="1" applyFill="1" applyBorder="1" applyProtection="1">
      <protection locked="0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28575</xdr:rowOff>
        </xdr:from>
        <xdr:to>
          <xdr:col>9</xdr:col>
          <xdr:colOff>628650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342900</xdr:rowOff>
        </xdr:from>
        <xdr:to>
          <xdr:col>9</xdr:col>
          <xdr:colOff>628650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10</xdr:col>
          <xdr:colOff>619125</xdr:colOff>
          <xdr:row>0</xdr:row>
          <xdr:rowOff>600075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47625</xdr:rowOff>
        </xdr:from>
        <xdr:to>
          <xdr:col>10</xdr:col>
          <xdr:colOff>619125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342900</xdr:rowOff>
        </xdr:from>
        <xdr:to>
          <xdr:col>12</xdr:col>
          <xdr:colOff>142875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57150</xdr:rowOff>
        </xdr:from>
        <xdr:to>
          <xdr:col>12</xdr:col>
          <xdr:colOff>142875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0</xdr:row>
          <xdr:rowOff>57150</xdr:rowOff>
        </xdr:from>
        <xdr:to>
          <xdr:col>9</xdr:col>
          <xdr:colOff>76200</xdr:colOff>
          <xdr:row>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1</xdr:row>
          <xdr:rowOff>171450</xdr:rowOff>
        </xdr:from>
        <xdr:to>
          <xdr:col>9</xdr:col>
          <xdr:colOff>76200</xdr:colOff>
          <xdr:row>3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3</xdr:row>
          <xdr:rowOff>85725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5</xdr:row>
          <xdr:rowOff>19050</xdr:rowOff>
        </xdr:from>
        <xdr:to>
          <xdr:col>9</xdr:col>
          <xdr:colOff>76200</xdr:colOff>
          <xdr:row>6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G46"/>
  <sheetViews>
    <sheetView showGridLines="0" tabSelected="1" zoomScaleNormal="100" workbookViewId="0">
      <pane ySplit="1" topLeftCell="A2" activePane="bottomLeft" state="frozen"/>
      <selection pane="bottomLeft" activeCell="H27" sqref="H27"/>
    </sheetView>
  </sheetViews>
  <sheetFormatPr defaultRowHeight="12.75" outlineLevelRow="1" x14ac:dyDescent="0.25"/>
  <cols>
    <col min="1" max="1" width="4.5" style="6" bestFit="1" customWidth="1"/>
    <col min="2" max="2" width="9" style="3"/>
    <col min="3" max="3" width="3.875" style="6" customWidth="1"/>
    <col min="4" max="4" width="37.375" style="3" customWidth="1"/>
    <col min="5" max="5" width="6.875" style="3" customWidth="1"/>
    <col min="6" max="6" width="7.625" style="3" bestFit="1" customWidth="1"/>
    <col min="7" max="9" width="9.375" style="3" customWidth="1"/>
    <col min="10" max="11" width="11.25" style="3" customWidth="1"/>
    <col min="12" max="16384" width="9" style="3"/>
  </cols>
  <sheetData>
    <row r="1" spans="1:7" ht="72.75" customHeight="1" thickBot="1" x14ac:dyDescent="0.35">
      <c r="A1" s="10" t="s">
        <v>0</v>
      </c>
      <c r="B1" s="11" t="s">
        <v>1</v>
      </c>
      <c r="C1" s="12" t="s">
        <v>2</v>
      </c>
      <c r="D1" s="52" t="s">
        <v>3</v>
      </c>
      <c r="E1" s="48" t="s">
        <v>4</v>
      </c>
      <c r="F1" s="23" t="s">
        <v>26</v>
      </c>
      <c r="G1" s="22" t="s">
        <v>25</v>
      </c>
    </row>
    <row r="2" spans="1:7" ht="14.25" x14ac:dyDescent="0.3">
      <c r="A2" s="8">
        <v>1</v>
      </c>
      <c r="B2" s="9" t="s">
        <v>38</v>
      </c>
      <c r="C2" s="4">
        <v>1</v>
      </c>
      <c r="D2" s="55" t="s">
        <v>40</v>
      </c>
      <c r="E2" s="49" t="s">
        <v>9</v>
      </c>
      <c r="F2" s="7" t="s">
        <v>6</v>
      </c>
      <c r="G2" s="5">
        <v>4554</v>
      </c>
    </row>
    <row r="3" spans="1:7" ht="14.25" outlineLevel="1" x14ac:dyDescent="0.3">
      <c r="A3" s="1">
        <f>$A$2+0</f>
        <v>1</v>
      </c>
      <c r="B3" s="2" t="str">
        <f>$B$2</f>
        <v>Pedro</v>
      </c>
      <c r="C3" s="4">
        <v>2</v>
      </c>
      <c r="D3" s="53" t="str">
        <f>$D$2</f>
        <v>Abacaxi</v>
      </c>
      <c r="E3" s="50" t="str">
        <f>$E$2</f>
        <v>seJ</v>
      </c>
      <c r="F3" s="34" t="str">
        <f>IF(F2="R","N",IF(F2="N","F",IF(F2="F","N","")))</f>
        <v>N</v>
      </c>
      <c r="G3" s="5">
        <v>4545</v>
      </c>
    </row>
    <row r="4" spans="1:7" ht="14.25" outlineLevel="1" x14ac:dyDescent="0.3">
      <c r="A4" s="1">
        <f>$A$2+0</f>
        <v>1</v>
      </c>
      <c r="B4" s="2" t="str">
        <f>$B$2</f>
        <v>Pedro</v>
      </c>
      <c r="C4" s="4">
        <v>3</v>
      </c>
      <c r="D4" s="53" t="str">
        <f>$D$2</f>
        <v>Abacaxi</v>
      </c>
      <c r="E4" s="50" t="str">
        <f>$E$2</f>
        <v>seJ</v>
      </c>
      <c r="F4" s="34" t="str">
        <f>IF(F2="R","F",IF(F2="N","R",IF(F2="F","R","")))</f>
        <v>F</v>
      </c>
      <c r="G4" s="5">
        <v>5454</v>
      </c>
    </row>
    <row r="5" spans="1:7" ht="14.25" x14ac:dyDescent="0.3">
      <c r="A5" s="8">
        <f>2</f>
        <v>2</v>
      </c>
      <c r="B5" s="9" t="s">
        <v>39</v>
      </c>
      <c r="C5" s="4">
        <v>1</v>
      </c>
      <c r="D5" s="54" t="s">
        <v>43</v>
      </c>
      <c r="E5" s="51" t="s">
        <v>9</v>
      </c>
      <c r="F5" s="34" t="s">
        <v>8</v>
      </c>
      <c r="G5" s="5">
        <v>545</v>
      </c>
    </row>
    <row r="6" spans="1:7" ht="14.25" outlineLevel="1" x14ac:dyDescent="0.3">
      <c r="A6" s="1">
        <f>$A$5</f>
        <v>2</v>
      </c>
      <c r="B6" s="2" t="str">
        <f>$B$5</f>
        <v>Andre</v>
      </c>
      <c r="C6" s="4">
        <v>2</v>
      </c>
      <c r="D6" s="53" t="str">
        <f>$D$5</f>
        <v>tomate</v>
      </c>
      <c r="E6" s="50" t="str">
        <f>$E$5</f>
        <v>seJ</v>
      </c>
      <c r="F6" s="34" t="str">
        <f>IF(F5="R","N",IF(F5="N","F",IF(F5="F","N","")))</f>
        <v>N</v>
      </c>
      <c r="G6" s="5">
        <v>5454</v>
      </c>
    </row>
    <row r="7" spans="1:7" ht="14.25" outlineLevel="1" x14ac:dyDescent="0.3">
      <c r="A7" s="1">
        <f>$A$5</f>
        <v>2</v>
      </c>
      <c r="B7" s="2" t="str">
        <f>$B$5</f>
        <v>Andre</v>
      </c>
      <c r="C7" s="4">
        <v>3</v>
      </c>
      <c r="D7" s="53" t="str">
        <f>$D$5</f>
        <v>tomate</v>
      </c>
      <c r="E7" s="50" t="str">
        <f>$E$5</f>
        <v>seJ</v>
      </c>
      <c r="F7" s="34" t="str">
        <f>IF(F5="R","F",IF(F5="N","R",IF(F5="F","R","")))</f>
        <v>R</v>
      </c>
      <c r="G7" s="5">
        <v>21414</v>
      </c>
    </row>
    <row r="8" spans="1:7" ht="14.25" x14ac:dyDescent="0.3">
      <c r="A8" s="8">
        <f>3</f>
        <v>3</v>
      </c>
      <c r="B8" s="9" t="s">
        <v>45</v>
      </c>
      <c r="C8" s="4">
        <v>1</v>
      </c>
      <c r="D8" s="54" t="s">
        <v>48</v>
      </c>
      <c r="E8" s="50" t="s">
        <v>9</v>
      </c>
      <c r="F8" s="34" t="s">
        <v>6</v>
      </c>
      <c r="G8" s="5">
        <v>5454</v>
      </c>
    </row>
    <row r="9" spans="1:7" ht="14.25" outlineLevel="1" x14ac:dyDescent="0.3">
      <c r="A9" s="1">
        <f>$A$8</f>
        <v>3</v>
      </c>
      <c r="B9" s="2" t="str">
        <f>$B$8</f>
        <v>Henrique</v>
      </c>
      <c r="C9" s="4">
        <v>2</v>
      </c>
      <c r="D9" s="53" t="str">
        <f>$D$8</f>
        <v>laranja</v>
      </c>
      <c r="E9" s="50" t="str">
        <f>$E$8</f>
        <v>seJ</v>
      </c>
      <c r="F9" s="34" t="str">
        <f>IF(F8="R","N",IF(F8="N","F",IF(F8="F","N","")))</f>
        <v>N</v>
      </c>
      <c r="G9" s="5">
        <v>2145</v>
      </c>
    </row>
    <row r="10" spans="1:7" ht="14.25" outlineLevel="1" x14ac:dyDescent="0.3">
      <c r="A10" s="1">
        <f>$A$8</f>
        <v>3</v>
      </c>
      <c r="B10" s="2" t="str">
        <f>$B$8</f>
        <v>Henrique</v>
      </c>
      <c r="C10" s="4">
        <v>3</v>
      </c>
      <c r="D10" s="53" t="str">
        <f>$D$8</f>
        <v>laranja</v>
      </c>
      <c r="E10" s="50" t="str">
        <f>$E$8</f>
        <v>seJ</v>
      </c>
      <c r="F10" s="34" t="str">
        <f>IF(F8="R","F",IF(F8="N","R",IF(F8="F","R","")))</f>
        <v>F</v>
      </c>
      <c r="G10" s="5">
        <v>3216</v>
      </c>
    </row>
    <row r="11" spans="1:7" ht="14.25" x14ac:dyDescent="0.3">
      <c r="A11" s="8">
        <f>4</f>
        <v>4</v>
      </c>
      <c r="B11" s="9" t="s">
        <v>47</v>
      </c>
      <c r="C11" s="4">
        <v>1</v>
      </c>
      <c r="D11" s="54" t="s">
        <v>49</v>
      </c>
      <c r="E11" s="50" t="s">
        <v>9</v>
      </c>
      <c r="F11" s="34" t="s">
        <v>6</v>
      </c>
      <c r="G11" s="5">
        <v>2525</v>
      </c>
    </row>
    <row r="12" spans="1:7" ht="14.25" outlineLevel="1" x14ac:dyDescent="0.3">
      <c r="A12" s="1">
        <f>$A$11</f>
        <v>4</v>
      </c>
      <c r="B12" s="2" t="str">
        <f>$B$11</f>
        <v>Thayna</v>
      </c>
      <c r="C12" s="4">
        <v>2</v>
      </c>
      <c r="D12" s="53" t="str">
        <f>$D$11</f>
        <v>Limão</v>
      </c>
      <c r="E12" s="50" t="str">
        <f>$E$11</f>
        <v>seJ</v>
      </c>
      <c r="F12" s="34" t="str">
        <f>IF(F11="R","N",IF(F11="N","F",IF(F11="F","N","")))</f>
        <v>N</v>
      </c>
      <c r="G12" s="5">
        <v>3637</v>
      </c>
    </row>
    <row r="13" spans="1:7" ht="14.25" outlineLevel="1" x14ac:dyDescent="0.3">
      <c r="A13" s="1">
        <f>$A$11</f>
        <v>4</v>
      </c>
      <c r="B13" s="2" t="str">
        <f>$B$11</f>
        <v>Thayna</v>
      </c>
      <c r="C13" s="4">
        <v>3</v>
      </c>
      <c r="D13" s="53" t="str">
        <f>$D$11</f>
        <v>Limão</v>
      </c>
      <c r="E13" s="50" t="str">
        <f>$E$11</f>
        <v>seJ</v>
      </c>
      <c r="F13" s="34" t="str">
        <f>IF(F11="R","F",IF(F11="N","R",IF(F11="F","R","")))</f>
        <v>F</v>
      </c>
      <c r="G13" s="5">
        <v>1512</v>
      </c>
    </row>
    <row r="14" spans="1:7" ht="14.25" x14ac:dyDescent="0.3">
      <c r="A14" s="8">
        <f>5</f>
        <v>5</v>
      </c>
      <c r="B14" s="9"/>
      <c r="C14" s="4">
        <v>1</v>
      </c>
      <c r="D14" s="54" t="s">
        <v>37</v>
      </c>
      <c r="E14" s="50" t="s">
        <v>37</v>
      </c>
      <c r="F14" s="34"/>
      <c r="G14" s="5"/>
    </row>
    <row r="15" spans="1:7" ht="14.25" outlineLevel="1" x14ac:dyDescent="0.3">
      <c r="A15" s="1">
        <f>$A$14</f>
        <v>5</v>
      </c>
      <c r="B15" s="2">
        <f>$B$14</f>
        <v>0</v>
      </c>
      <c r="C15" s="4">
        <v>2</v>
      </c>
      <c r="D15" s="53" t="str">
        <f>$D$14</f>
        <v xml:space="preserve"> </v>
      </c>
      <c r="E15" s="50" t="str">
        <f>$E$14</f>
        <v xml:space="preserve"> </v>
      </c>
      <c r="F15" s="34" t="str">
        <f>IF(F14="R","N",IF(F14="N","F",IF(F14="F","N","")))</f>
        <v/>
      </c>
      <c r="G15" s="5"/>
    </row>
    <row r="16" spans="1:7" ht="14.25" outlineLevel="1" x14ac:dyDescent="0.3">
      <c r="A16" s="1">
        <f>$A$14</f>
        <v>5</v>
      </c>
      <c r="B16" s="2">
        <f>$B$14</f>
        <v>0</v>
      </c>
      <c r="C16" s="4">
        <v>3</v>
      </c>
      <c r="D16" s="53" t="str">
        <f>$D$14</f>
        <v xml:space="preserve"> </v>
      </c>
      <c r="E16" s="50" t="str">
        <f>$E$14</f>
        <v xml:space="preserve"> </v>
      </c>
      <c r="F16" s="34" t="str">
        <f>IF(F14="R","F",IF(F14="N","R",IF(F14="F","R","")))</f>
        <v/>
      </c>
      <c r="G16" s="5"/>
    </row>
    <row r="17" spans="1:7" ht="14.25" x14ac:dyDescent="0.3">
      <c r="A17" s="8">
        <f>6</f>
        <v>6</v>
      </c>
      <c r="B17" s="9"/>
      <c r="C17" s="4">
        <v>1</v>
      </c>
      <c r="D17" s="54" t="s">
        <v>37</v>
      </c>
      <c r="E17" s="50" t="s">
        <v>37</v>
      </c>
      <c r="F17" s="34"/>
      <c r="G17" s="5"/>
    </row>
    <row r="18" spans="1:7" ht="14.25" outlineLevel="1" x14ac:dyDescent="0.3">
      <c r="A18" s="1">
        <f>$A$17</f>
        <v>6</v>
      </c>
      <c r="B18" s="2">
        <f>$B$17</f>
        <v>0</v>
      </c>
      <c r="C18" s="4">
        <v>2</v>
      </c>
      <c r="D18" s="53" t="str">
        <f>$D$17</f>
        <v xml:space="preserve"> </v>
      </c>
      <c r="E18" s="50" t="str">
        <f>$E$17</f>
        <v xml:space="preserve"> </v>
      </c>
      <c r="F18" s="34" t="str">
        <f>IF(F17="R","N",IF(F17="N","F",IF(F17="F","N","")))</f>
        <v/>
      </c>
      <c r="G18" s="5"/>
    </row>
    <row r="19" spans="1:7" ht="14.25" outlineLevel="1" x14ac:dyDescent="0.3">
      <c r="A19" s="1">
        <f>$A$17</f>
        <v>6</v>
      </c>
      <c r="B19" s="2">
        <f>$B$17</f>
        <v>0</v>
      </c>
      <c r="C19" s="4">
        <v>3</v>
      </c>
      <c r="D19" s="53" t="str">
        <f>$D$17</f>
        <v xml:space="preserve"> </v>
      </c>
      <c r="E19" s="50" t="str">
        <f>$E$17</f>
        <v xml:space="preserve"> </v>
      </c>
      <c r="F19" s="34" t="str">
        <f>IF(F17="R","F",IF(F17="N","R",IF(F17="F","R","")))</f>
        <v/>
      </c>
      <c r="G19" s="5"/>
    </row>
    <row r="20" spans="1:7" ht="14.25" x14ac:dyDescent="0.3">
      <c r="A20" s="8">
        <f>7</f>
        <v>7</v>
      </c>
      <c r="B20" s="9"/>
      <c r="C20" s="4">
        <v>1</v>
      </c>
      <c r="D20" s="54" t="s">
        <v>37</v>
      </c>
      <c r="E20" s="50" t="s">
        <v>37</v>
      </c>
      <c r="F20" s="34"/>
      <c r="G20" s="5"/>
    </row>
    <row r="21" spans="1:7" ht="14.25" outlineLevel="1" x14ac:dyDescent="0.3">
      <c r="A21" s="1">
        <f>$A$20</f>
        <v>7</v>
      </c>
      <c r="B21" s="2">
        <f>$B$20</f>
        <v>0</v>
      </c>
      <c r="C21" s="4">
        <v>2</v>
      </c>
      <c r="D21" s="53" t="str">
        <f>$D$20</f>
        <v xml:space="preserve"> </v>
      </c>
      <c r="E21" s="50" t="str">
        <f>$E$20</f>
        <v xml:space="preserve"> </v>
      </c>
      <c r="F21" s="34" t="str">
        <f>IF(F20="R","N",IF(F20="N","F",IF(F20="F","N","")))</f>
        <v/>
      </c>
      <c r="G21" s="5"/>
    </row>
    <row r="22" spans="1:7" ht="14.25" outlineLevel="1" x14ac:dyDescent="0.3">
      <c r="A22" s="1">
        <f>$A$20</f>
        <v>7</v>
      </c>
      <c r="B22" s="2">
        <f>$B$20</f>
        <v>0</v>
      </c>
      <c r="C22" s="4">
        <v>3</v>
      </c>
      <c r="D22" s="53" t="str">
        <f>$D$20</f>
        <v xml:space="preserve"> </v>
      </c>
      <c r="E22" s="50" t="str">
        <f>$E$20</f>
        <v xml:space="preserve"> </v>
      </c>
      <c r="F22" s="34" t="str">
        <f>IF(F20="R","F",IF(F20="N","R",IF(F20="F","R","")))</f>
        <v/>
      </c>
      <c r="G22" s="5"/>
    </row>
    <row r="23" spans="1:7" ht="14.25" x14ac:dyDescent="0.3">
      <c r="A23" s="8">
        <f>8</f>
        <v>8</v>
      </c>
      <c r="B23" s="9"/>
      <c r="C23" s="4">
        <v>1</v>
      </c>
      <c r="D23" s="54" t="s">
        <v>37</v>
      </c>
      <c r="E23" s="50" t="s">
        <v>37</v>
      </c>
      <c r="F23" s="34"/>
      <c r="G23" s="5"/>
    </row>
    <row r="24" spans="1:7" ht="14.25" outlineLevel="1" x14ac:dyDescent="0.3">
      <c r="A24" s="1">
        <f>$A$23</f>
        <v>8</v>
      </c>
      <c r="B24" s="2">
        <f>$B$23</f>
        <v>0</v>
      </c>
      <c r="C24" s="4">
        <v>2</v>
      </c>
      <c r="D24" s="53" t="str">
        <f>$D$23</f>
        <v xml:space="preserve"> </v>
      </c>
      <c r="E24" s="50" t="str">
        <f>$E$23</f>
        <v xml:space="preserve"> </v>
      </c>
      <c r="F24" s="34" t="str">
        <f>IF(F23="R","N",IF(F23="N","F",IF(F23="F","N","")))</f>
        <v/>
      </c>
      <c r="G24" s="5"/>
    </row>
    <row r="25" spans="1:7" ht="14.25" outlineLevel="1" x14ac:dyDescent="0.3">
      <c r="A25" s="1">
        <f>$A$23</f>
        <v>8</v>
      </c>
      <c r="B25" s="2">
        <f>$B$23</f>
        <v>0</v>
      </c>
      <c r="C25" s="4">
        <v>3</v>
      </c>
      <c r="D25" s="53" t="str">
        <f>$D$23</f>
        <v xml:space="preserve"> </v>
      </c>
      <c r="E25" s="50" t="str">
        <f>$E$23</f>
        <v xml:space="preserve"> </v>
      </c>
      <c r="F25" s="34" t="str">
        <f>IF(F23="R","F",IF(F23="N","R",IF(F23="F","R","")))</f>
        <v/>
      </c>
      <c r="G25" s="5"/>
    </row>
    <row r="26" spans="1:7" ht="14.25" x14ac:dyDescent="0.3">
      <c r="A26" s="8">
        <f>9</f>
        <v>9</v>
      </c>
      <c r="B26" s="9"/>
      <c r="C26" s="4">
        <v>1</v>
      </c>
      <c r="D26" s="54" t="s">
        <v>37</v>
      </c>
      <c r="E26" s="50" t="s">
        <v>37</v>
      </c>
      <c r="F26" s="34"/>
      <c r="G26" s="5"/>
    </row>
    <row r="27" spans="1:7" ht="14.25" outlineLevel="1" x14ac:dyDescent="0.3">
      <c r="A27" s="1">
        <f>$A$26</f>
        <v>9</v>
      </c>
      <c r="B27" s="2">
        <f>$B$26</f>
        <v>0</v>
      </c>
      <c r="C27" s="4">
        <v>2</v>
      </c>
      <c r="D27" s="53" t="str">
        <f>$D$26</f>
        <v xml:space="preserve"> </v>
      </c>
      <c r="E27" s="50" t="str">
        <f>$E$26</f>
        <v xml:space="preserve"> </v>
      </c>
      <c r="F27" s="34" t="str">
        <f>IF(F26="R","N",IF(F26="N","F",IF(F26="F","N","")))</f>
        <v/>
      </c>
      <c r="G27" s="5"/>
    </row>
    <row r="28" spans="1:7" ht="14.25" outlineLevel="1" x14ac:dyDescent="0.3">
      <c r="A28" s="1">
        <f>$A$26</f>
        <v>9</v>
      </c>
      <c r="B28" s="2">
        <f>$B$26</f>
        <v>0</v>
      </c>
      <c r="C28" s="4">
        <v>3</v>
      </c>
      <c r="D28" s="53" t="str">
        <f>$D$26</f>
        <v xml:space="preserve"> </v>
      </c>
      <c r="E28" s="50" t="str">
        <f>$E$26</f>
        <v xml:space="preserve"> </v>
      </c>
      <c r="F28" s="34" t="str">
        <f>IF(F26="R","F",IF(F26="N","R",IF(F26="F","R","")))</f>
        <v/>
      </c>
      <c r="G28" s="5"/>
    </row>
    <row r="29" spans="1:7" ht="14.25" x14ac:dyDescent="0.3">
      <c r="A29" s="8">
        <v>10</v>
      </c>
      <c r="B29" s="9"/>
      <c r="C29" s="4">
        <v>1</v>
      </c>
      <c r="D29" s="54" t="s">
        <v>37</v>
      </c>
      <c r="E29" s="50" t="s">
        <v>37</v>
      </c>
      <c r="F29" s="34"/>
      <c r="G29" s="5"/>
    </row>
    <row r="30" spans="1:7" ht="14.25" outlineLevel="1" x14ac:dyDescent="0.3">
      <c r="A30" s="1">
        <f>$A$29</f>
        <v>10</v>
      </c>
      <c r="B30" s="2">
        <f>$B$29</f>
        <v>0</v>
      </c>
      <c r="C30" s="4">
        <v>2</v>
      </c>
      <c r="D30" s="53" t="str">
        <f>$D$29</f>
        <v xml:space="preserve"> </v>
      </c>
      <c r="E30" s="50" t="str">
        <f>$E$29</f>
        <v xml:space="preserve"> </v>
      </c>
      <c r="F30" s="34" t="str">
        <f>IF(F29="R","N",IF(F29="N","F",IF(F29="F","N","")))</f>
        <v/>
      </c>
      <c r="G30" s="56"/>
    </row>
    <row r="31" spans="1:7" ht="14.25" outlineLevel="1" x14ac:dyDescent="0.3">
      <c r="A31" s="1">
        <f>$A$29</f>
        <v>10</v>
      </c>
      <c r="B31" s="2">
        <f>$B$29</f>
        <v>0</v>
      </c>
      <c r="C31" s="4">
        <v>3</v>
      </c>
      <c r="D31" s="53" t="str">
        <f>$D$29</f>
        <v xml:space="preserve"> </v>
      </c>
      <c r="E31" s="50" t="str">
        <f>$E$29</f>
        <v xml:space="preserve"> </v>
      </c>
      <c r="F31" s="34" t="str">
        <f>IF(F29="R","F",IF(F29="N","R",IF(F29="F","R","")))</f>
        <v/>
      </c>
      <c r="G31" s="56"/>
    </row>
    <row r="36" spans="5:6" x14ac:dyDescent="0.25">
      <c r="E36" s="3" t="s">
        <v>10</v>
      </c>
      <c r="F36" s="3" t="s">
        <v>5</v>
      </c>
    </row>
    <row r="37" spans="5:6" x14ac:dyDescent="0.25">
      <c r="E37" s="33" t="s">
        <v>9</v>
      </c>
      <c r="F37" s="31" t="s">
        <v>6</v>
      </c>
    </row>
    <row r="38" spans="5:6" x14ac:dyDescent="0.25">
      <c r="E38" s="14" t="s">
        <v>37</v>
      </c>
      <c r="F38" s="32" t="s">
        <v>7</v>
      </c>
    </row>
    <row r="39" spans="5:6" x14ac:dyDescent="0.25">
      <c r="F39" s="28" t="s">
        <v>8</v>
      </c>
    </row>
    <row r="40" spans="5:6" x14ac:dyDescent="0.25">
      <c r="F40" s="29"/>
    </row>
    <row r="45" spans="5:6" x14ac:dyDescent="0.25">
      <c r="E45" s="27"/>
    </row>
    <row r="46" spans="5:6" x14ac:dyDescent="0.25">
      <c r="E46" s="27"/>
    </row>
  </sheetData>
  <dataConsolidate/>
  <phoneticPr fontId="2" type="noConversion"/>
  <dataValidations count="2">
    <dataValidation type="list" allowBlank="1" showInputMessage="1" showErrorMessage="1" sqref="F2:F31" xr:uid="{00000000-0002-0000-0000-000000000000}">
      <formula1>$F$37:$F$40</formula1>
    </dataValidation>
    <dataValidation type="list" allowBlank="1" showInputMessage="1" showErrorMessage="1" sqref="E2:E31" xr:uid="{00000000-0002-0000-0000-000001000000}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>
              <from>
                <xdr:col>8</xdr:col>
                <xdr:colOff>533400</xdr:colOff>
                <xdr:row>0</xdr:row>
                <xdr:rowOff>28575</xdr:rowOff>
              </from>
              <to>
                <xdr:col>9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Fill="0" autoLine="0" r:id="rId7">
            <anchor>
              <from>
                <xdr:col>8</xdr:col>
                <xdr:colOff>533400</xdr:colOff>
                <xdr:row>0</xdr:row>
                <xdr:rowOff>342900</xdr:rowOff>
              </from>
              <to>
                <xdr:col>9</xdr:col>
                <xdr:colOff>628650</xdr:colOff>
                <xdr:row>0</xdr:row>
                <xdr:rowOff>609600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Fill="0" autoLine="0" r:id="rId9">
            <anchor>
              <from>
                <xdr:col>9</xdr:col>
                <xdr:colOff>666750</xdr:colOff>
                <xdr:row>0</xdr:row>
                <xdr:rowOff>333375</xdr:rowOff>
              </from>
              <to>
                <xdr:col>10</xdr:col>
                <xdr:colOff>619125</xdr:colOff>
                <xdr:row>0</xdr:row>
                <xdr:rowOff>600075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3" r:id="rId10" name="CommandButton4">
          <controlPr defaultSize="0" autoFill="0" autoLine="0" r:id="rId11">
            <anchor>
              <from>
                <xdr:col>9</xdr:col>
                <xdr:colOff>666750</xdr:colOff>
                <xdr:row>0</xdr:row>
                <xdr:rowOff>47625</xdr:rowOff>
              </from>
              <to>
                <xdr:col>10</xdr:col>
                <xdr:colOff>619125</xdr:colOff>
                <xdr:row>0</xdr:row>
                <xdr:rowOff>314325</xdr:rowOff>
              </to>
            </anchor>
          </controlPr>
        </control>
      </mc:Choice>
      <mc:Fallback>
        <control shapeId="1033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1"/>
  <sheetViews>
    <sheetView showGridLines="0" zoomScaleNormal="100" workbookViewId="0">
      <pane ySplit="1" topLeftCell="A2" activePane="bottomLeft" state="frozen"/>
      <selection pane="bottomLeft" activeCell="H2" sqref="H2:H6"/>
    </sheetView>
  </sheetViews>
  <sheetFormatPr defaultRowHeight="12.75" x14ac:dyDescent="0.25"/>
  <cols>
    <col min="1" max="1" width="5.625" style="6" customWidth="1"/>
    <col min="2" max="2" width="9" style="3"/>
    <col min="3" max="3" width="19.875" style="3" customWidth="1"/>
    <col min="4" max="4" width="5.625" style="3" bestFit="1" customWidth="1"/>
    <col min="5" max="5" width="8.5" style="3" customWidth="1"/>
    <col min="6" max="6" width="9.375" style="13" customWidth="1"/>
    <col min="7" max="7" width="2.5" style="3" customWidth="1"/>
    <col min="8" max="11" width="12.625" style="3" customWidth="1"/>
    <col min="12" max="16384" width="9" style="3"/>
  </cols>
  <sheetData>
    <row r="1" spans="1:11" ht="76.5" customHeight="1" thickBot="1" x14ac:dyDescent="0.4">
      <c r="A1" s="37" t="s">
        <v>20</v>
      </c>
      <c r="B1" s="18" t="s">
        <v>19</v>
      </c>
      <c r="C1" s="19" t="s">
        <v>12</v>
      </c>
      <c r="D1" s="15" t="s">
        <v>5</v>
      </c>
      <c r="E1" s="16" t="s">
        <v>17</v>
      </c>
      <c r="F1" s="17" t="s">
        <v>18</v>
      </c>
      <c r="H1" s="20" t="s">
        <v>21</v>
      </c>
      <c r="I1" s="20" t="s">
        <v>22</v>
      </c>
      <c r="J1" s="20" t="s">
        <v>23</v>
      </c>
      <c r="K1" s="20" t="s">
        <v>24</v>
      </c>
    </row>
    <row r="2" spans="1:11" ht="16.5" customHeight="1" x14ac:dyDescent="0.35">
      <c r="A2" s="41">
        <v>1</v>
      </c>
      <c r="B2" s="41" t="s">
        <v>38</v>
      </c>
      <c r="D2" s="6"/>
      <c r="F2" s="3"/>
      <c r="H2" s="43">
        <v>2.6683168316831685</v>
      </c>
      <c r="I2" s="43">
        <v>0.59940652818991091</v>
      </c>
      <c r="J2" s="43">
        <v>2.1956521739130435</v>
      </c>
      <c r="K2" s="43">
        <v>1.2152730124497599</v>
      </c>
    </row>
    <row r="3" spans="1:11" ht="15" customHeight="1" x14ac:dyDescent="0.35">
      <c r="A3" s="41"/>
      <c r="B3" s="41"/>
      <c r="C3" s="3" t="s">
        <v>13</v>
      </c>
      <c r="D3" s="6" t="s">
        <v>6</v>
      </c>
      <c r="E3" s="36">
        <v>4554</v>
      </c>
      <c r="F3" s="38">
        <v>0.31292517006802723</v>
      </c>
      <c r="H3" s="44"/>
      <c r="I3" s="44"/>
      <c r="J3" s="44"/>
      <c r="K3" s="44"/>
    </row>
    <row r="4" spans="1:11" ht="15" customHeight="1" x14ac:dyDescent="0.35">
      <c r="A4" s="41"/>
      <c r="B4" s="41"/>
      <c r="C4" s="3" t="s">
        <v>14</v>
      </c>
      <c r="D4" s="6" t="s">
        <v>7</v>
      </c>
      <c r="E4" s="36">
        <v>4545</v>
      </c>
      <c r="F4" s="38">
        <v>0.31230674087816945</v>
      </c>
      <c r="H4" s="44"/>
      <c r="I4" s="44"/>
      <c r="J4" s="44"/>
      <c r="K4" s="44"/>
    </row>
    <row r="5" spans="1:11" ht="15" customHeight="1" x14ac:dyDescent="0.35">
      <c r="A5" s="41"/>
      <c r="B5" s="41"/>
      <c r="C5" s="3" t="s">
        <v>15</v>
      </c>
      <c r="D5" s="6" t="s">
        <v>8</v>
      </c>
      <c r="E5" s="36">
        <v>5454</v>
      </c>
      <c r="F5" s="38">
        <v>0.37476808905380332</v>
      </c>
      <c r="H5" s="44"/>
      <c r="I5" s="44"/>
      <c r="J5" s="44"/>
      <c r="K5" s="44"/>
    </row>
    <row r="6" spans="1:11" ht="15.75" customHeight="1" x14ac:dyDescent="0.35">
      <c r="A6" s="41"/>
      <c r="B6" s="41"/>
      <c r="C6" s="3" t="s">
        <v>16</v>
      </c>
      <c r="D6" s="6" t="s">
        <v>11</v>
      </c>
      <c r="E6" s="36">
        <v>14553</v>
      </c>
      <c r="F6" s="3"/>
      <c r="H6" s="44"/>
      <c r="I6" s="44"/>
      <c r="J6" s="44"/>
      <c r="K6" s="44"/>
    </row>
    <row r="7" spans="1:11" s="21" customFormat="1" ht="16.5" customHeight="1" x14ac:dyDescent="0.35">
      <c r="A7" s="41">
        <v>2</v>
      </c>
      <c r="B7" s="41" t="s">
        <v>39</v>
      </c>
      <c r="D7" s="39"/>
      <c r="H7" s="45">
        <v>50.299082568807343</v>
      </c>
      <c r="I7" s="45">
        <v>2.028435313383951E-2</v>
      </c>
      <c r="J7" s="45">
        <v>0.28014383113850744</v>
      </c>
      <c r="K7" s="45">
        <v>179.54735024644788</v>
      </c>
    </row>
    <row r="8" spans="1:11" ht="14.25" customHeight="1" x14ac:dyDescent="0.35">
      <c r="A8" s="41"/>
      <c r="B8" s="41"/>
      <c r="C8" s="3" t="s">
        <v>13</v>
      </c>
      <c r="D8" s="6" t="s">
        <v>6</v>
      </c>
      <c r="E8" s="36">
        <v>21414</v>
      </c>
      <c r="F8" s="38">
        <v>0.7811622223032868</v>
      </c>
      <c r="H8" s="44"/>
      <c r="I8" s="44"/>
      <c r="J8" s="44"/>
      <c r="K8" s="44"/>
    </row>
    <row r="9" spans="1:11" ht="14.25" customHeight="1" x14ac:dyDescent="0.35">
      <c r="A9" s="41"/>
      <c r="B9" s="41"/>
      <c r="C9" s="3" t="s">
        <v>14</v>
      </c>
      <c r="D9" s="6" t="s">
        <v>7</v>
      </c>
      <c r="E9" s="36">
        <v>5454</v>
      </c>
      <c r="F9" s="38">
        <v>0.19895669937620836</v>
      </c>
      <c r="H9" s="44"/>
      <c r="I9" s="44"/>
      <c r="J9" s="44"/>
      <c r="K9" s="44"/>
    </row>
    <row r="10" spans="1:11" ht="14.25" customHeight="1" x14ac:dyDescent="0.35">
      <c r="A10" s="41"/>
      <c r="B10" s="41"/>
      <c r="C10" s="3" t="s">
        <v>15</v>
      </c>
      <c r="D10" s="6" t="s">
        <v>8</v>
      </c>
      <c r="E10" s="36">
        <v>545</v>
      </c>
      <c r="F10" s="38">
        <v>1.9881078320504869E-2</v>
      </c>
      <c r="H10" s="44"/>
      <c r="I10" s="44"/>
      <c r="J10" s="44"/>
      <c r="K10" s="44"/>
    </row>
    <row r="11" spans="1:11" ht="15" customHeight="1" x14ac:dyDescent="0.35">
      <c r="A11" s="41"/>
      <c r="B11" s="41"/>
      <c r="C11" s="3" t="s">
        <v>16</v>
      </c>
      <c r="D11" s="6" t="s">
        <v>11</v>
      </c>
      <c r="E11" s="36">
        <v>27413</v>
      </c>
      <c r="F11" s="3"/>
      <c r="H11" s="44"/>
      <c r="I11" s="44"/>
      <c r="J11" s="44"/>
      <c r="K11" s="44"/>
    </row>
    <row r="12" spans="1:11" ht="16.5" customHeight="1" x14ac:dyDescent="0.35">
      <c r="A12" s="41">
        <v>3</v>
      </c>
      <c r="B12" s="41" t="s">
        <v>45</v>
      </c>
      <c r="D12" s="6"/>
      <c r="F12" s="3"/>
      <c r="H12" s="45">
        <v>3.3628731343283582</v>
      </c>
      <c r="I12" s="45">
        <v>0.42321358073430715</v>
      </c>
      <c r="J12" s="45">
        <v>0.98294829482948287</v>
      </c>
      <c r="K12" s="45">
        <v>3.4212106089585652</v>
      </c>
    </row>
    <row r="13" spans="1:11" ht="14.25" customHeight="1" x14ac:dyDescent="0.35">
      <c r="A13" s="41"/>
      <c r="B13" s="41"/>
      <c r="C13" s="3" t="s">
        <v>13</v>
      </c>
      <c r="D13" s="6" t="s">
        <v>6</v>
      </c>
      <c r="E13" s="36">
        <v>5454</v>
      </c>
      <c r="F13" s="38">
        <v>0.50429958391123442</v>
      </c>
      <c r="H13" s="44"/>
      <c r="I13" s="44"/>
      <c r="J13" s="44"/>
      <c r="K13" s="44"/>
    </row>
    <row r="14" spans="1:11" ht="14.25" customHeight="1" x14ac:dyDescent="0.35">
      <c r="A14" s="41"/>
      <c r="B14" s="41"/>
      <c r="C14" s="3" t="s">
        <v>14</v>
      </c>
      <c r="D14" s="6" t="s">
        <v>7</v>
      </c>
      <c r="E14" s="36">
        <v>2145</v>
      </c>
      <c r="F14" s="38">
        <v>0.19833564493758668</v>
      </c>
      <c r="H14" s="44"/>
      <c r="I14" s="44"/>
      <c r="J14" s="44"/>
      <c r="K14" s="44"/>
    </row>
    <row r="15" spans="1:11" ht="14.25" customHeight="1" x14ac:dyDescent="0.35">
      <c r="A15" s="41"/>
      <c r="B15" s="41"/>
      <c r="C15" s="3" t="s">
        <v>15</v>
      </c>
      <c r="D15" s="6" t="s">
        <v>8</v>
      </c>
      <c r="E15" s="36">
        <v>3216</v>
      </c>
      <c r="F15" s="38">
        <v>0.29736477115117893</v>
      </c>
      <c r="H15" s="44"/>
      <c r="I15" s="44"/>
      <c r="J15" s="44"/>
      <c r="K15" s="44"/>
    </row>
    <row r="16" spans="1:11" ht="15" customHeight="1" x14ac:dyDescent="0.35">
      <c r="A16" s="41"/>
      <c r="B16" s="41"/>
      <c r="C16" s="3" t="s">
        <v>16</v>
      </c>
      <c r="D16" s="6" t="s">
        <v>11</v>
      </c>
      <c r="E16" s="36">
        <v>10815</v>
      </c>
      <c r="F16" s="3"/>
      <c r="H16" s="44"/>
      <c r="I16" s="44"/>
      <c r="J16" s="44"/>
      <c r="K16" s="44"/>
    </row>
    <row r="17" spans="1:11" ht="16.5" customHeight="1" x14ac:dyDescent="0.35">
      <c r="A17" s="41">
        <v>4</v>
      </c>
      <c r="B17" s="41" t="s">
        <v>47</v>
      </c>
      <c r="D17" s="6"/>
      <c r="F17" s="3"/>
      <c r="H17" s="45">
        <v>5.0753968253968251</v>
      </c>
      <c r="I17" s="45">
        <v>0.24537487828627069</v>
      </c>
      <c r="J17" s="45">
        <v>2.0392079207920792</v>
      </c>
      <c r="K17" s="45">
        <v>2.488905998082537</v>
      </c>
    </row>
    <row r="18" spans="1:11" ht="14.25" customHeight="1" x14ac:dyDescent="0.35">
      <c r="A18" s="41"/>
      <c r="B18" s="41"/>
      <c r="C18" s="3" t="s">
        <v>13</v>
      </c>
      <c r="D18" s="6" t="s">
        <v>6</v>
      </c>
      <c r="E18" s="36">
        <v>2525</v>
      </c>
      <c r="F18" s="38">
        <v>0.32903309877508469</v>
      </c>
      <c r="H18" s="44"/>
      <c r="I18" s="44"/>
      <c r="J18" s="44"/>
      <c r="K18" s="44"/>
    </row>
    <row r="19" spans="1:11" ht="14.25" customHeight="1" x14ac:dyDescent="0.35">
      <c r="A19" s="41"/>
      <c r="B19" s="41"/>
      <c r="C19" s="3" t="s">
        <v>14</v>
      </c>
      <c r="D19" s="6" t="s">
        <v>7</v>
      </c>
      <c r="E19" s="36">
        <v>3637</v>
      </c>
      <c r="F19" s="38">
        <v>0.47393797237425073</v>
      </c>
      <c r="H19" s="44"/>
      <c r="I19" s="44"/>
      <c r="J19" s="44"/>
      <c r="K19" s="44"/>
    </row>
    <row r="20" spans="1:11" ht="14.25" customHeight="1" x14ac:dyDescent="0.35">
      <c r="A20" s="41"/>
      <c r="B20" s="41"/>
      <c r="C20" s="3" t="s">
        <v>15</v>
      </c>
      <c r="D20" s="6" t="s">
        <v>8</v>
      </c>
      <c r="E20" s="36">
        <v>1512</v>
      </c>
      <c r="F20" s="38">
        <v>0.19702892885066459</v>
      </c>
      <c r="H20" s="44"/>
      <c r="I20" s="44"/>
      <c r="J20" s="44"/>
      <c r="K20" s="44"/>
    </row>
    <row r="21" spans="1:11" ht="15" customHeight="1" x14ac:dyDescent="0.35">
      <c r="A21" s="41"/>
      <c r="B21" s="41"/>
      <c r="C21" s="3" t="s">
        <v>16</v>
      </c>
      <c r="D21" s="6" t="s">
        <v>11</v>
      </c>
      <c r="E21" s="36">
        <v>7674</v>
      </c>
      <c r="F21" s="3"/>
      <c r="H21" s="44"/>
      <c r="I21" s="44"/>
      <c r="J21" s="44"/>
      <c r="K21" s="44"/>
    </row>
    <row r="22" spans="1:11" ht="16.5" customHeight="1" x14ac:dyDescent="0.35">
      <c r="A22" s="41"/>
      <c r="B22" s="41"/>
      <c r="D22" s="6"/>
      <c r="F22" s="3"/>
      <c r="H22" s="40"/>
      <c r="I22" s="40"/>
      <c r="J22" s="40"/>
      <c r="K22" s="40"/>
    </row>
    <row r="23" spans="1:11" ht="14.25" customHeight="1" x14ac:dyDescent="0.35">
      <c r="A23" s="41"/>
      <c r="B23" s="41"/>
      <c r="D23" s="6"/>
      <c r="F23" s="3"/>
      <c r="H23" s="40"/>
      <c r="I23" s="40"/>
      <c r="J23" s="40"/>
      <c r="K23" s="40"/>
    </row>
    <row r="24" spans="1:11" ht="14.25" customHeight="1" x14ac:dyDescent="0.35">
      <c r="A24" s="41"/>
      <c r="B24" s="41"/>
      <c r="D24" s="6"/>
      <c r="F24" s="3"/>
      <c r="H24" s="40"/>
      <c r="I24" s="40"/>
      <c r="J24" s="40"/>
      <c r="K24" s="40"/>
    </row>
    <row r="25" spans="1:11" ht="14.25" customHeight="1" x14ac:dyDescent="0.35">
      <c r="A25" s="41"/>
      <c r="B25" s="41"/>
      <c r="D25" s="6"/>
      <c r="F25" s="3"/>
      <c r="H25" s="40"/>
      <c r="I25" s="40"/>
      <c r="J25" s="40"/>
      <c r="K25" s="40"/>
    </row>
    <row r="26" spans="1:11" ht="15" customHeight="1" x14ac:dyDescent="0.35">
      <c r="A26" s="41"/>
      <c r="B26" s="41"/>
      <c r="D26" s="6"/>
      <c r="F26" s="3"/>
      <c r="H26" s="40"/>
      <c r="I26" s="40"/>
      <c r="J26" s="40"/>
      <c r="K26" s="40"/>
    </row>
    <row r="27" spans="1:11" ht="16.5" customHeight="1" x14ac:dyDescent="0.35">
      <c r="A27" s="41"/>
      <c r="B27" s="41"/>
      <c r="D27" s="6"/>
      <c r="F27" s="3"/>
      <c r="H27" s="40"/>
      <c r="I27" s="40"/>
      <c r="J27" s="40"/>
      <c r="K27" s="40"/>
    </row>
    <row r="28" spans="1:11" ht="14.25" customHeight="1" x14ac:dyDescent="0.35">
      <c r="A28" s="41"/>
      <c r="B28" s="41"/>
      <c r="D28" s="6"/>
      <c r="F28" s="3"/>
      <c r="H28" s="40"/>
      <c r="I28" s="40"/>
      <c r="J28" s="40"/>
      <c r="K28" s="40"/>
    </row>
    <row r="29" spans="1:11" ht="14.25" customHeight="1" x14ac:dyDescent="0.35">
      <c r="A29" s="41"/>
      <c r="B29" s="41"/>
      <c r="D29" s="6"/>
      <c r="F29" s="3"/>
      <c r="H29" s="40"/>
      <c r="I29" s="40"/>
      <c r="J29" s="40"/>
      <c r="K29" s="40"/>
    </row>
    <row r="30" spans="1:11" ht="14.25" customHeight="1" x14ac:dyDescent="0.35">
      <c r="A30" s="41"/>
      <c r="B30" s="41"/>
      <c r="D30" s="6"/>
      <c r="F30" s="3"/>
      <c r="H30" s="40"/>
      <c r="I30" s="40"/>
      <c r="J30" s="40"/>
      <c r="K30" s="40"/>
    </row>
    <row r="31" spans="1:11" ht="15" customHeight="1" x14ac:dyDescent="0.35">
      <c r="A31" s="41"/>
      <c r="B31" s="41"/>
      <c r="D31" s="6"/>
      <c r="F31" s="3"/>
      <c r="H31" s="40"/>
      <c r="I31" s="40"/>
      <c r="J31" s="40"/>
      <c r="K31" s="40"/>
    </row>
    <row r="32" spans="1:11" ht="16.5" customHeight="1" x14ac:dyDescent="0.35">
      <c r="A32" s="41"/>
      <c r="B32" s="41"/>
      <c r="D32" s="6"/>
      <c r="F32" s="3"/>
      <c r="H32" s="40"/>
      <c r="I32" s="40"/>
      <c r="J32" s="40"/>
      <c r="K32" s="40"/>
    </row>
    <row r="33" spans="1:11" ht="14.25" customHeight="1" x14ac:dyDescent="0.35">
      <c r="A33" s="41"/>
      <c r="B33" s="41"/>
      <c r="D33" s="6"/>
      <c r="F33" s="3"/>
      <c r="H33" s="40"/>
      <c r="I33" s="40"/>
      <c r="J33" s="40"/>
      <c r="K33" s="40"/>
    </row>
    <row r="34" spans="1:11" ht="14.25" customHeight="1" x14ac:dyDescent="0.35">
      <c r="A34" s="41"/>
      <c r="B34" s="41"/>
      <c r="D34" s="6"/>
      <c r="F34" s="3"/>
      <c r="H34" s="40"/>
      <c r="I34" s="40"/>
      <c r="J34" s="40"/>
      <c r="K34" s="40"/>
    </row>
    <row r="35" spans="1:11" ht="14.25" customHeight="1" x14ac:dyDescent="0.35">
      <c r="A35" s="41"/>
      <c r="B35" s="41"/>
      <c r="D35" s="6"/>
      <c r="F35" s="3"/>
      <c r="H35" s="40"/>
      <c r="I35" s="40"/>
      <c r="J35" s="40"/>
      <c r="K35" s="40"/>
    </row>
    <row r="36" spans="1:11" ht="15" customHeight="1" x14ac:dyDescent="0.35">
      <c r="A36" s="41"/>
      <c r="B36" s="41"/>
      <c r="D36" s="6"/>
      <c r="F36" s="3"/>
      <c r="H36" s="40"/>
      <c r="I36" s="40"/>
      <c r="J36" s="40"/>
      <c r="K36" s="40"/>
    </row>
    <row r="37" spans="1:11" ht="16.5" customHeight="1" x14ac:dyDescent="0.35">
      <c r="A37" s="41"/>
      <c r="B37" s="41"/>
      <c r="D37" s="6"/>
      <c r="F37" s="3"/>
      <c r="H37" s="40"/>
      <c r="I37" s="40"/>
      <c r="J37" s="40"/>
      <c r="K37" s="40"/>
    </row>
    <row r="38" spans="1:11" ht="14.25" customHeight="1" x14ac:dyDescent="0.35">
      <c r="A38" s="41"/>
      <c r="B38" s="41"/>
      <c r="D38" s="6"/>
      <c r="F38" s="3"/>
      <c r="H38" s="40"/>
      <c r="I38" s="40"/>
      <c r="J38" s="40"/>
      <c r="K38" s="40"/>
    </row>
    <row r="39" spans="1:11" ht="14.25" customHeight="1" x14ac:dyDescent="0.35">
      <c r="A39" s="41"/>
      <c r="B39" s="41"/>
      <c r="D39" s="6"/>
      <c r="F39" s="3"/>
      <c r="H39" s="40"/>
      <c r="I39" s="40"/>
      <c r="J39" s="40"/>
      <c r="K39" s="40"/>
    </row>
    <row r="40" spans="1:11" ht="14.25" customHeight="1" x14ac:dyDescent="0.35">
      <c r="A40" s="41"/>
      <c r="B40" s="41"/>
      <c r="D40" s="6"/>
      <c r="F40" s="3"/>
      <c r="H40" s="40"/>
      <c r="I40" s="40"/>
      <c r="J40" s="40"/>
      <c r="K40" s="40"/>
    </row>
    <row r="41" spans="1:11" ht="15" customHeight="1" x14ac:dyDescent="0.35">
      <c r="A41" s="41"/>
      <c r="B41" s="41"/>
      <c r="D41" s="6"/>
      <c r="F41" s="3"/>
      <c r="H41" s="40"/>
      <c r="I41" s="40"/>
      <c r="J41" s="40"/>
      <c r="K41" s="40"/>
    </row>
    <row r="42" spans="1:11" ht="16.5" customHeight="1" x14ac:dyDescent="0.35">
      <c r="A42" s="41"/>
      <c r="B42" s="41"/>
      <c r="D42" s="6"/>
      <c r="F42" s="3"/>
      <c r="H42" s="40"/>
      <c r="I42" s="40"/>
      <c r="J42" s="40"/>
      <c r="K42" s="40"/>
    </row>
    <row r="43" spans="1:11" ht="14.25" customHeight="1" x14ac:dyDescent="0.35">
      <c r="A43" s="41"/>
      <c r="B43" s="41"/>
      <c r="D43" s="6"/>
      <c r="F43" s="3"/>
      <c r="H43" s="40"/>
      <c r="I43" s="40"/>
      <c r="J43" s="40"/>
      <c r="K43" s="40"/>
    </row>
    <row r="44" spans="1:11" ht="14.25" customHeight="1" x14ac:dyDescent="0.35">
      <c r="A44" s="41"/>
      <c r="B44" s="41"/>
      <c r="D44" s="6"/>
      <c r="F44" s="3"/>
      <c r="H44" s="40"/>
      <c r="I44" s="40"/>
      <c r="J44" s="40"/>
      <c r="K44" s="40"/>
    </row>
    <row r="45" spans="1:11" ht="14.25" customHeight="1" x14ac:dyDescent="0.35">
      <c r="A45" s="41"/>
      <c r="B45" s="41"/>
      <c r="D45" s="6"/>
      <c r="F45" s="3"/>
      <c r="H45" s="40"/>
      <c r="I45" s="40"/>
      <c r="J45" s="40"/>
      <c r="K45" s="40"/>
    </row>
    <row r="46" spans="1:11" ht="15" customHeight="1" x14ac:dyDescent="0.35">
      <c r="A46" s="41"/>
      <c r="B46" s="41"/>
      <c r="D46" s="6"/>
      <c r="F46" s="3"/>
      <c r="H46" s="40"/>
      <c r="I46" s="40"/>
      <c r="J46" s="40"/>
      <c r="K46" s="40"/>
    </row>
    <row r="47" spans="1:11" ht="16.5" customHeight="1" x14ac:dyDescent="0.35">
      <c r="A47" s="41"/>
      <c r="B47" s="41"/>
      <c r="D47" s="6"/>
      <c r="F47" s="3"/>
      <c r="H47" s="40"/>
      <c r="I47" s="40"/>
      <c r="J47" s="40"/>
      <c r="K47" s="40"/>
    </row>
    <row r="48" spans="1:11" ht="14.25" customHeight="1" x14ac:dyDescent="0.35">
      <c r="A48" s="42"/>
      <c r="B48" s="41"/>
      <c r="D48" s="6"/>
      <c r="H48" s="40"/>
      <c r="I48" s="40"/>
      <c r="J48" s="40"/>
      <c r="K48" s="40"/>
    </row>
    <row r="49" spans="1:11" ht="14.25" customHeight="1" x14ac:dyDescent="0.35">
      <c r="A49" s="42"/>
      <c r="B49" s="41"/>
      <c r="D49" s="6"/>
      <c r="H49" s="40"/>
      <c r="I49" s="40"/>
      <c r="J49" s="40"/>
      <c r="K49" s="40"/>
    </row>
    <row r="50" spans="1:11" ht="14.25" customHeight="1" x14ac:dyDescent="0.35">
      <c r="A50" s="42"/>
      <c r="B50" s="41"/>
      <c r="D50" s="6"/>
      <c r="H50" s="40"/>
      <c r="I50" s="40"/>
      <c r="J50" s="40"/>
      <c r="K50" s="40"/>
    </row>
    <row r="51" spans="1:11" ht="15" customHeight="1" x14ac:dyDescent="0.35">
      <c r="A51" s="42"/>
      <c r="B51" s="41"/>
      <c r="D51" s="6"/>
      <c r="H51" s="40"/>
      <c r="I51" s="40"/>
      <c r="J51" s="40"/>
      <c r="K51" s="40"/>
    </row>
  </sheetData>
  <mergeCells count="16">
    <mergeCell ref="H12:H16"/>
    <mergeCell ref="I12:I16"/>
    <mergeCell ref="J12:J16"/>
    <mergeCell ref="K12:K16"/>
    <mergeCell ref="H17:H21"/>
    <mergeCell ref="I17:I21"/>
    <mergeCell ref="J17:J21"/>
    <mergeCell ref="K17:K21"/>
    <mergeCell ref="J2:J6"/>
    <mergeCell ref="K2:K6"/>
    <mergeCell ref="H7:H11"/>
    <mergeCell ref="I7:I11"/>
    <mergeCell ref="J7:J11"/>
    <mergeCell ref="K7:K11"/>
    <mergeCell ref="H2:H6"/>
    <mergeCell ref="I2:I6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5" r:id="rId4" name="CommandButton1">
          <controlPr defaultSize="0" autoFill="0" autoLine="0" r:id="rId5">
            <anchor>
              <from>
                <xdr:col>11</xdr:col>
                <xdr:colOff>114300</xdr:colOff>
                <xdr:row>0</xdr:row>
                <xdr:rowOff>342900</xdr:rowOff>
              </from>
              <to>
                <xdr:col>12</xdr:col>
                <xdr:colOff>142875</xdr:colOff>
                <xdr:row>0</xdr:row>
                <xdr:rowOff>609600</xdr:rowOff>
              </to>
            </anchor>
          </controlPr>
        </control>
      </mc:Choice>
      <mc:Fallback>
        <control shapeId="2095" r:id="rId4" name="CommandButton1"/>
      </mc:Fallback>
    </mc:AlternateContent>
    <mc:AlternateContent xmlns:mc="http://schemas.openxmlformats.org/markup-compatibility/2006">
      <mc:Choice Requires="x14">
        <control shapeId="2096" r:id="rId6" name="CommandButton2">
          <controlPr defaultSize="0" autoFill="0" autoLine="0" r:id="rId7">
            <anchor>
              <from>
                <xdr:col>11</xdr:col>
                <xdr:colOff>114300</xdr:colOff>
                <xdr:row>0</xdr:row>
                <xdr:rowOff>57150</xdr:rowOff>
              </from>
              <to>
                <xdr:col>12</xdr:col>
                <xdr:colOff>142875</xdr:colOff>
                <xdr:row>0</xdr:row>
                <xdr:rowOff>323850</xdr:rowOff>
              </to>
            </anchor>
          </controlPr>
        </control>
      </mc:Choice>
      <mc:Fallback>
        <control shapeId="209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indexed="12"/>
  </sheetPr>
  <dimension ref="A2:E24"/>
  <sheetViews>
    <sheetView showGridLines="0" workbookViewId="0">
      <selection activeCell="B12" sqref="B12"/>
    </sheetView>
  </sheetViews>
  <sheetFormatPr defaultRowHeight="15" x14ac:dyDescent="0.3"/>
  <cols>
    <col min="1" max="1" width="7.375" customWidth="1"/>
    <col min="2" max="2" width="44.875" customWidth="1"/>
    <col min="3" max="4" width="7.5" customWidth="1"/>
    <col min="5" max="7" width="11.125" customWidth="1"/>
  </cols>
  <sheetData>
    <row r="2" spans="1:5" x14ac:dyDescent="0.3">
      <c r="A2" s="35" t="s">
        <v>41</v>
      </c>
    </row>
    <row r="3" spans="1:5" x14ac:dyDescent="0.3">
      <c r="A3" s="26" t="s">
        <v>2</v>
      </c>
      <c r="B3" s="30" t="s">
        <v>3</v>
      </c>
      <c r="C3" s="26" t="s">
        <v>4</v>
      </c>
      <c r="D3" s="26" t="s">
        <v>5</v>
      </c>
      <c r="E3" s="26" t="s">
        <v>42</v>
      </c>
    </row>
    <row r="4" spans="1:5" x14ac:dyDescent="0.3">
      <c r="A4">
        <v>1</v>
      </c>
      <c r="B4" t="s">
        <v>40</v>
      </c>
      <c r="C4" t="s">
        <v>9</v>
      </c>
      <c r="D4" t="s">
        <v>6</v>
      </c>
      <c r="E4">
        <v>4554</v>
      </c>
    </row>
    <row r="5" spans="1:5" x14ac:dyDescent="0.3">
      <c r="A5">
        <v>2</v>
      </c>
      <c r="B5" t="s">
        <v>40</v>
      </c>
      <c r="C5" t="s">
        <v>9</v>
      </c>
      <c r="D5" t="s">
        <v>7</v>
      </c>
      <c r="E5">
        <v>4545</v>
      </c>
    </row>
    <row r="6" spans="1:5" x14ac:dyDescent="0.3">
      <c r="A6" s="25">
        <v>3</v>
      </c>
      <c r="B6" s="25" t="s">
        <v>40</v>
      </c>
      <c r="C6" s="25" t="s">
        <v>9</v>
      </c>
      <c r="D6" s="25" t="s">
        <v>8</v>
      </c>
      <c r="E6" s="25">
        <v>5454</v>
      </c>
    </row>
    <row r="8" spans="1:5" x14ac:dyDescent="0.3">
      <c r="A8" s="35" t="s">
        <v>44</v>
      </c>
    </row>
    <row r="9" spans="1:5" x14ac:dyDescent="0.3">
      <c r="A9" s="26" t="s">
        <v>2</v>
      </c>
      <c r="B9" s="30" t="s">
        <v>3</v>
      </c>
      <c r="C9" s="26" t="s">
        <v>4</v>
      </c>
      <c r="D9" s="26" t="s">
        <v>5</v>
      </c>
      <c r="E9" s="26" t="s">
        <v>42</v>
      </c>
    </row>
    <row r="10" spans="1:5" x14ac:dyDescent="0.3">
      <c r="A10">
        <v>1</v>
      </c>
      <c r="B10" t="s">
        <v>43</v>
      </c>
      <c r="C10" t="s">
        <v>9</v>
      </c>
      <c r="D10" t="s">
        <v>8</v>
      </c>
      <c r="E10">
        <v>545</v>
      </c>
    </row>
    <row r="11" spans="1:5" x14ac:dyDescent="0.3">
      <c r="A11">
        <v>2</v>
      </c>
      <c r="B11" t="s">
        <v>43</v>
      </c>
      <c r="C11" t="s">
        <v>9</v>
      </c>
      <c r="D11" t="s">
        <v>7</v>
      </c>
      <c r="E11">
        <v>5454</v>
      </c>
    </row>
    <row r="12" spans="1:5" x14ac:dyDescent="0.3">
      <c r="A12" s="25">
        <v>3</v>
      </c>
      <c r="B12" s="25" t="s">
        <v>43</v>
      </c>
      <c r="C12" s="25" t="s">
        <v>9</v>
      </c>
      <c r="D12" s="25" t="s">
        <v>6</v>
      </c>
      <c r="E12" s="25">
        <v>21414</v>
      </c>
    </row>
    <row r="14" spans="1:5" x14ac:dyDescent="0.3">
      <c r="A14" s="35" t="s">
        <v>46</v>
      </c>
    </row>
    <row r="15" spans="1:5" x14ac:dyDescent="0.3">
      <c r="A15" s="26" t="s">
        <v>2</v>
      </c>
      <c r="B15" s="30" t="s">
        <v>3</v>
      </c>
      <c r="C15" s="26" t="s">
        <v>4</v>
      </c>
      <c r="D15" s="26" t="s">
        <v>5</v>
      </c>
      <c r="E15" s="26" t="s">
        <v>42</v>
      </c>
    </row>
    <row r="16" spans="1:5" x14ac:dyDescent="0.3">
      <c r="A16">
        <v>1</v>
      </c>
      <c r="B16" t="s">
        <v>48</v>
      </c>
      <c r="C16" t="s">
        <v>9</v>
      </c>
      <c r="D16" t="s">
        <v>6</v>
      </c>
      <c r="E16">
        <v>5454</v>
      </c>
    </row>
    <row r="17" spans="1:5" x14ac:dyDescent="0.3">
      <c r="A17">
        <v>2</v>
      </c>
      <c r="B17" t="s">
        <v>48</v>
      </c>
      <c r="C17" t="s">
        <v>9</v>
      </c>
      <c r="D17" t="s">
        <v>7</v>
      </c>
      <c r="E17">
        <v>2145</v>
      </c>
    </row>
    <row r="18" spans="1:5" x14ac:dyDescent="0.3">
      <c r="A18" s="25">
        <v>3</v>
      </c>
      <c r="B18" s="25" t="s">
        <v>48</v>
      </c>
      <c r="C18" s="25" t="s">
        <v>9</v>
      </c>
      <c r="D18" s="25" t="s">
        <v>8</v>
      </c>
      <c r="E18" s="25">
        <v>3216</v>
      </c>
    </row>
    <row r="20" spans="1:5" x14ac:dyDescent="0.3">
      <c r="A20" s="35" t="s">
        <v>50</v>
      </c>
    </row>
    <row r="21" spans="1:5" x14ac:dyDescent="0.3">
      <c r="A21" s="26" t="s">
        <v>2</v>
      </c>
      <c r="B21" s="30" t="s">
        <v>3</v>
      </c>
      <c r="C21" s="26" t="s">
        <v>4</v>
      </c>
      <c r="D21" s="26" t="s">
        <v>5</v>
      </c>
      <c r="E21" s="26" t="s">
        <v>42</v>
      </c>
    </row>
    <row r="22" spans="1:5" x14ac:dyDescent="0.3">
      <c r="A22">
        <v>1</v>
      </c>
      <c r="B22" t="s">
        <v>49</v>
      </c>
      <c r="C22" t="s">
        <v>9</v>
      </c>
      <c r="D22" t="s">
        <v>6</v>
      </c>
      <c r="E22">
        <v>2525</v>
      </c>
    </row>
    <row r="23" spans="1:5" x14ac:dyDescent="0.3">
      <c r="A23">
        <v>2</v>
      </c>
      <c r="B23" t="s">
        <v>49</v>
      </c>
      <c r="C23" t="s">
        <v>9</v>
      </c>
      <c r="D23" t="s">
        <v>7</v>
      </c>
      <c r="E23">
        <v>3637</v>
      </c>
    </row>
    <row r="24" spans="1:5" x14ac:dyDescent="0.3">
      <c r="A24" s="25">
        <v>3</v>
      </c>
      <c r="B24" s="25" t="s">
        <v>49</v>
      </c>
      <c r="C24" s="25" t="s">
        <v>9</v>
      </c>
      <c r="D24" s="25" t="s">
        <v>8</v>
      </c>
      <c r="E24" s="25">
        <v>1512</v>
      </c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Fill="0" autoLine="0" autoPict="0" r:id="rId4">
            <anchor>
              <from>
                <xdr:col>7</xdr:col>
                <xdr:colOff>571500</xdr:colOff>
                <xdr:row>0</xdr:row>
                <xdr:rowOff>57150</xdr:rowOff>
              </from>
              <to>
                <xdr:col>9</xdr:col>
                <xdr:colOff>76200</xdr:colOff>
                <xdr:row>1</xdr:row>
                <xdr:rowOff>133350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Fill="0" autoLine="0" autoPict="0" r:id="rId6">
            <anchor>
              <from>
                <xdr:col>7</xdr:col>
                <xdr:colOff>571500</xdr:colOff>
                <xdr:row>1</xdr:row>
                <xdr:rowOff>171450</xdr:rowOff>
              </from>
              <to>
                <xdr:col>9</xdr:col>
                <xdr:colOff>76200</xdr:colOff>
                <xdr:row>3</xdr:row>
                <xdr:rowOff>57150</xdr:rowOff>
              </to>
            </anchor>
          </controlPr>
        </control>
      </mc:Choice>
      <mc:Fallback>
        <control shapeId="4098" r:id="rId5" name="CommandButton2"/>
      </mc:Fallback>
    </mc:AlternateContent>
    <mc:AlternateContent xmlns:mc="http://schemas.openxmlformats.org/markup-compatibility/2006">
      <mc:Choice Requires="x14">
        <control shapeId="4099" r:id="rId7" name="CommandButton3">
          <controlPr defaultSize="0" autoFill="0" autoLine="0" r:id="rId8">
            <anchor>
              <from>
                <xdr:col>7</xdr:col>
                <xdr:colOff>571500</xdr:colOff>
                <xdr:row>3</xdr:row>
                <xdr:rowOff>85725</xdr:rowOff>
              </from>
              <to>
                <xdr:col>9</xdr:col>
                <xdr:colOff>76200</xdr:colOff>
                <xdr:row>4</xdr:row>
                <xdr:rowOff>161925</xdr:rowOff>
              </to>
            </anchor>
          </controlPr>
        </control>
      </mc:Choice>
      <mc:Fallback>
        <control shapeId="4099" r:id="rId7" name="CommandButton3"/>
      </mc:Fallback>
    </mc:AlternateContent>
    <mc:AlternateContent xmlns:mc="http://schemas.openxmlformats.org/markup-compatibility/2006">
      <mc:Choice Requires="x14">
        <control shapeId="4100" r:id="rId9" name="CommandButton4">
          <controlPr defaultSize="0" autoFill="0" autoLine="0" r:id="rId10">
            <anchor>
              <from>
                <xdr:col>7</xdr:col>
                <xdr:colOff>571500</xdr:colOff>
                <xdr:row>5</xdr:row>
                <xdr:rowOff>19050</xdr:rowOff>
              </from>
              <to>
                <xdr:col>9</xdr:col>
                <xdr:colOff>76200</xdr:colOff>
                <xdr:row>6</xdr:row>
                <xdr:rowOff>95250</xdr:rowOff>
              </to>
            </anchor>
          </controlPr>
        </control>
      </mc:Choice>
      <mc:Fallback>
        <control shapeId="4100" r:id="rId9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12"/>
  </sheetPr>
  <dimension ref="A1:F11"/>
  <sheetViews>
    <sheetView showGridLines="0" workbookViewId="0">
      <selection activeCell="D9" sqref="D9"/>
    </sheetView>
  </sheetViews>
  <sheetFormatPr defaultRowHeight="15" x14ac:dyDescent="0.3"/>
  <cols>
    <col min="1" max="1" width="28.75" customWidth="1"/>
    <col min="2" max="2" width="4.125" customWidth="1"/>
    <col min="3" max="13" width="11.625" customWidth="1"/>
  </cols>
  <sheetData>
    <row r="1" spans="1:6" x14ac:dyDescent="0.3">
      <c r="A1" t="s">
        <v>36</v>
      </c>
    </row>
    <row r="2" spans="1:6" x14ac:dyDescent="0.3">
      <c r="A2" s="25"/>
      <c r="B2" s="25"/>
      <c r="C2" s="25" t="s">
        <v>38</v>
      </c>
      <c r="D2" s="25" t="s">
        <v>39</v>
      </c>
      <c r="E2" s="25" t="s">
        <v>45</v>
      </c>
      <c r="F2" s="25" t="s">
        <v>47</v>
      </c>
    </row>
    <row r="3" spans="1:6" x14ac:dyDescent="0.3">
      <c r="A3" t="s">
        <v>32</v>
      </c>
      <c r="B3" s="24" t="s">
        <v>9</v>
      </c>
      <c r="C3">
        <v>4554</v>
      </c>
      <c r="D3">
        <v>21414</v>
      </c>
      <c r="E3">
        <v>5454</v>
      </c>
      <c r="F3">
        <v>2525</v>
      </c>
    </row>
    <row r="4" spans="1:6" x14ac:dyDescent="0.3">
      <c r="A4" t="s">
        <v>33</v>
      </c>
      <c r="B4" s="24" t="s">
        <v>9</v>
      </c>
      <c r="C4">
        <v>4545</v>
      </c>
      <c r="D4">
        <v>5454</v>
      </c>
      <c r="E4">
        <v>2145</v>
      </c>
      <c r="F4">
        <v>3637</v>
      </c>
    </row>
    <row r="5" spans="1:6" x14ac:dyDescent="0.3">
      <c r="A5" t="s">
        <v>34</v>
      </c>
      <c r="B5" s="24" t="s">
        <v>9</v>
      </c>
      <c r="C5">
        <v>5454</v>
      </c>
      <c r="D5">
        <v>545</v>
      </c>
      <c r="E5">
        <v>3216</v>
      </c>
      <c r="F5">
        <v>1512</v>
      </c>
    </row>
    <row r="6" spans="1:6" x14ac:dyDescent="0.3">
      <c r="A6" t="s">
        <v>35</v>
      </c>
      <c r="B6" s="24" t="s">
        <v>9</v>
      </c>
      <c r="C6">
        <v>9999</v>
      </c>
      <c r="D6">
        <v>5999</v>
      </c>
      <c r="E6">
        <v>5361</v>
      </c>
      <c r="F6">
        <v>5149</v>
      </c>
    </row>
    <row r="7" spans="1:6" x14ac:dyDescent="0.3">
      <c r="A7" t="s">
        <v>31</v>
      </c>
      <c r="B7" s="24" t="s">
        <v>9</v>
      </c>
      <c r="C7">
        <v>14553</v>
      </c>
      <c r="D7">
        <v>27413</v>
      </c>
      <c r="E7">
        <v>10815</v>
      </c>
      <c r="F7">
        <v>7674</v>
      </c>
    </row>
    <row r="8" spans="1:6" x14ac:dyDescent="0.3">
      <c r="A8" t="s">
        <v>27</v>
      </c>
      <c r="B8" s="24"/>
      <c r="C8" s="46">
        <v>2.6683168316831685</v>
      </c>
      <c r="D8" s="46">
        <v>50.299082568807343</v>
      </c>
      <c r="E8" s="46">
        <v>3.3628731343283582</v>
      </c>
      <c r="F8" s="46">
        <v>5.0753968253968251</v>
      </c>
    </row>
    <row r="9" spans="1:6" x14ac:dyDescent="0.3">
      <c r="A9" t="s">
        <v>28</v>
      </c>
      <c r="B9" s="24"/>
      <c r="C9" s="46">
        <v>0.59940652818991091</v>
      </c>
      <c r="D9" s="46">
        <v>2.028435313383951E-2</v>
      </c>
      <c r="E9" s="46">
        <v>0.42321358073430715</v>
      </c>
      <c r="F9" s="46">
        <v>0.24537487828627069</v>
      </c>
    </row>
    <row r="10" spans="1:6" x14ac:dyDescent="0.3">
      <c r="A10" t="s">
        <v>29</v>
      </c>
      <c r="B10" s="24"/>
      <c r="C10" s="46">
        <v>2.1956521739130435</v>
      </c>
      <c r="D10" s="46">
        <v>0.28014383113850744</v>
      </c>
      <c r="E10" s="46">
        <v>0.98294829482948287</v>
      </c>
      <c r="F10" s="46">
        <v>2.0392079207920792</v>
      </c>
    </row>
    <row r="11" spans="1:6" x14ac:dyDescent="0.3">
      <c r="A11" s="25" t="s">
        <v>30</v>
      </c>
      <c r="B11" s="26"/>
      <c r="C11" s="47">
        <v>1.2152730124497599</v>
      </c>
      <c r="D11" s="47">
        <v>179.54735024644788</v>
      </c>
      <c r="E11" s="47">
        <v>3.4212106089585652</v>
      </c>
      <c r="F11" s="47">
        <v>2.488905998082537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Entrada_de_Dados</vt:lpstr>
      <vt:lpstr>Resumo</vt:lpstr>
      <vt:lpstr>Tabelas</vt:lpstr>
      <vt:lpstr>Índices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2023-01-30T22:37:41Z</dcterms:modified>
</cp:coreProperties>
</file>