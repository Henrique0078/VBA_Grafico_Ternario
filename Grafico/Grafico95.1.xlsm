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84FF5DC-B14C-4A2E-BF57-EB23B74EDC7F}" xr6:coauthVersionLast="47" xr6:coauthVersionMax="47" xr10:uidLastSave="{00000000-0000-0000-0000-000000000000}"/>
  <workbookProtection lockWindows="1"/>
  <bookViews>
    <workbookView showHorizontalScroll="0" showVerticalScroll="0" xWindow="20370" yWindow="-2595" windowWidth="19440" windowHeight="1500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30" i="6" s="1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D231" i="6" l="1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36" i="6" s="1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M228" i="6" s="1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36" i="6" s="1"/>
  <c r="AB223" i="6"/>
  <c r="AV64" i="1"/>
  <c r="AA230" i="6"/>
  <c r="W231" i="6"/>
  <c r="AP62" i="1"/>
  <c r="U226" i="6"/>
  <c r="U222" i="6"/>
  <c r="U232" i="6"/>
  <c r="AO63" i="1"/>
  <c r="T227" i="6"/>
  <c r="T236" i="6" s="1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C228" i="6" s="1"/>
  <c r="D225" i="6"/>
  <c r="D221" i="6"/>
  <c r="H225" i="6"/>
  <c r="H221" i="6"/>
  <c r="L225" i="6"/>
  <c r="L221" i="6"/>
  <c r="P225" i="6"/>
  <c r="P229" i="6" s="1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A233" i="6" s="1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36" i="6" s="1"/>
  <c r="R223" i="6"/>
  <c r="Q231" i="6"/>
  <c r="AL64" i="1"/>
  <c r="Q230" i="6"/>
  <c r="AJ62" i="1"/>
  <c r="O226" i="6"/>
  <c r="O222" i="6"/>
  <c r="O232" i="6"/>
  <c r="O233" i="6" s="1"/>
  <c r="AI63" i="1"/>
  <c r="N227" i="6"/>
  <c r="N236" i="6" s="1"/>
  <c r="N223" i="6"/>
  <c r="M231" i="6"/>
  <c r="AH64" i="1"/>
  <c r="M230" i="6"/>
  <c r="AF62" i="1"/>
  <c r="K226" i="6"/>
  <c r="K222" i="6"/>
  <c r="K232" i="6"/>
  <c r="K233" i="6" s="1"/>
  <c r="AE63" i="1"/>
  <c r="J227" i="6"/>
  <c r="J223" i="6"/>
  <c r="I231" i="6"/>
  <c r="AD64" i="1"/>
  <c r="I230" i="6"/>
  <c r="AB62" i="1"/>
  <c r="G226" i="6"/>
  <c r="G222" i="6"/>
  <c r="G232" i="6"/>
  <c r="G233" i="6" s="1"/>
  <c r="F227" i="6"/>
  <c r="F236" i="6" s="1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P69" i="1" s="1"/>
  <c r="AE61" i="1"/>
  <c r="AI61" i="1"/>
  <c r="AM61" i="1"/>
  <c r="AM69" i="1" s="1"/>
  <c r="AQ61" i="1"/>
  <c r="AQ69" i="1" s="1"/>
  <c r="AU61" i="1"/>
  <c r="AY61" i="1"/>
  <c r="AH61" i="1"/>
  <c r="AX61" i="1"/>
  <c r="AB61" i="1"/>
  <c r="AB69" i="1" s="1"/>
  <c r="AF61" i="1"/>
  <c r="AJ61" i="1"/>
  <c r="AJ69" i="1" s="1"/>
  <c r="AN61" i="1"/>
  <c r="AN69" i="1" s="1"/>
  <c r="AR61" i="1"/>
  <c r="AR69" i="1" s="1"/>
  <c r="AV61" i="1"/>
  <c r="AZ61" i="1"/>
  <c r="AL61" i="1"/>
  <c r="AL69" i="1" s="1"/>
  <c r="AT61" i="1"/>
  <c r="AT69" i="1" s="1"/>
  <c r="AC61" i="1"/>
  <c r="AC69" i="1" s="1"/>
  <c r="AG61" i="1"/>
  <c r="AK61" i="1"/>
  <c r="AK69" i="1" s="1"/>
  <c r="AO61" i="1"/>
  <c r="AS61" i="1"/>
  <c r="AS69" i="1" s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AA236" i="6" l="1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<sst xmlns="http://schemas.openxmlformats.org/spreadsheetml/2006/main" count="558" uniqueCount="167">
  <si>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</si>
  <si>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</si>
  <si>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</si>
  <si>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</si>
  <si>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</si>
  <si>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</si>
  <si>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</si>
  <si>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</si>
  <si>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</si>
  <si>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</si>
  <si>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</si>
  <si>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</si>
  <si>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</si>
  <si>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</si>
  <si>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</si>
  <si>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</si>
  <si>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</si>
  <si>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</si>
  <si>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</si>
  <si>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</si>
  <si>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</si>
  <si>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</si>
  <si>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</si>
  <si>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</si>
  <si>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</si>
  <si>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</si>
  <si>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</si>
  <si>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</si>
  <si>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</si>
  <si>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</si>
  <si>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</si>
  <si>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</si>
  <si>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</si>
  <si>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</si>
  <si>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</si>
  <si>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</si>
  <si>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</si>
  <si>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</si>
  <si>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</si>
  <si>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</si>
  <si>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</si>
  <si>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</si>
  <si>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</si>
  <si>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</si>
  <si>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</si>
  <si>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</si>
  <si>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</si>
  <si>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</si>
  <si>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</si>
  <si>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</si>
  <si>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</si>
  <si>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</si>
  <si>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</si>
  <si>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</si>
  <si>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</si>
  <si>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</si>
  <si>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</si>
  <si>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</si>
  <si>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</si>
  <si>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</si>
  <si>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</si>
  <si>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</si>
  <si>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</si>
  <si>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</si>
  <si>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</si>
  <si>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</si>
  <si>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</si>
  <si>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</si>
  <si>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</si>
  <si>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</si>
  <si>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</si>
  <si>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</si>
  <si>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</si>
  <si>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</si>
  <si>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</si>
  <si>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</si>
  <si>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</si>
  <si>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</si>
  <si>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</si>
  <si>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</si>
  <si>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</si>
  <si>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</si>
  <si>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</si>
  <si>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</si>
  <si>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</si>
  <si>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</si>
  <si>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</si>
  <si>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</si>
  <si>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</si>
  <si>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</si>
  <si>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</si>
  <si>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</si>
  <si>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</si>
  <si>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</si>
  <si>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</si>
  <si>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</si>
  <si>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</si>
  <si>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</si>
  <si>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</si>
  <si>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</si>
  <si>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</si>
  <si>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</si>
  <si>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</si>
  <si>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</si>
  <si>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</si>
  <si>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</si>
  <si>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</si>
  <si>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</si>
  <si>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</si>
  <si>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</si>
  <si>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</si>
  <si>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</si>
  <si>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</si>
  <si>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</si>
  <si>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</si>
  <si>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</si>
  <si>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</si>
  <si>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</si>
  <si>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</si>
  <si>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</si>
  <si>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</si>
  <si>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</si>
  <si>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</si>
  <si>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</si>
  <si>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</si>
  <si>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</si>
  <si>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</si>
  <si>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</si>
  <si>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</si>
  <si>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</si>
  <si>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</si>
  <si>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</si>
  <si>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</si>
  <si>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</si>
  <si>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</si>
  <si>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</si>
  <si>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</si>
  <si>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</si>
  <si>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</si>
  <si>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</si>
  <si>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</si>
  <si>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</si>
  <si>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</si>
  <si>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</si>
  <si>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</si>
  <si>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</si>
  <si>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</si>
  <si>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</si>
  <si>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</si>
  <si>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</si>
  <si>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</si>
  <si>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</si>
  <si>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</si>
  <si>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</si>
  <si>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</si>
  <si>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</si>
  <si>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</si>
  <si>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</si>
  <si>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</si>
  <si>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</si>
  <si>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</si>
  <si>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</si>
  <si>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</si>
  <si>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</si>
  <si>
    <t>iaop</t>
  </si>
  <si>
    <t>tamara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</si>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</sst>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17" fillId="0" borderId="0" xfId="0" applyFont="1"/>
    <xf numFmtId="2" fontId="14" fillId="0" borderId="0" xfId="0" applyNumberFormat="1" applyFont="1"/>
    <xf numFmtId="167" fontId="14" fillId="0" borderId="0" xfId="2" applyNumberFormat="1" applyFont="1" applyFill="1" applyBorder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68" fontId="15" fillId="0" borderId="0" xfId="2" applyNumberFormat="1" applyFont="1" applyFill="1" applyBorder="1" applyAlignment="1">
      <alignment horizontal="center"/>
    </xf>
    <xf numFmtId="11" fontId="14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1-iaop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-1.5220130119234633E-3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0.94463971880492092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2-tamara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-7.0045582623259189E-3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0.98169357577254346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O26" sqref="O26"/>
    </sheetView>
  </sheetViews>
  <sheetFormatPr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2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  <c r="O13" s="224">
        <v>69</v>
      </c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1</v>
      </c>
      <c r="H37" s="225" t="b">
        <v>1</v>
      </c>
      <c r="I37" s="225" t="b">
        <v>1</v>
      </c>
      <c r="K37" s="233">
        <v>1</v>
      </c>
      <c r="L37" s="233" t="s">
        <v>164</v>
      </c>
      <c r="M37" s="233" t="s">
        <v>164</v>
      </c>
      <c r="N37" s="233" t="s">
        <v>164</v>
      </c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1</v>
      </c>
      <c r="H38" s="225" t="b">
        <v>1</v>
      </c>
      <c r="I38" s="225" t="b">
        <v>1</v>
      </c>
      <c r="K38" s="233">
        <v>2</v>
      </c>
      <c r="L38" s="233" t="s">
        <v>165</v>
      </c>
      <c r="M38" s="233" t="s">
        <v>165</v>
      </c>
      <c r="N38" s="233" t="s">
        <v>165</v>
      </c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1</v>
      </c>
      <c r="U53" s="225">
        <v>1</v>
      </c>
      <c r="V53" s="225">
        <v>1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163</v>
      </c>
      <c r="X55" s="224" t="s">
        <v>163</v>
      </c>
      <c r="Y55" s="224" t="s">
        <v>163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T57" s="225" t="s">
        <v>164</v>
      </c>
      <c r="U57" s="225" t="s">
        <v>164</v>
      </c>
      <c r="V57" s="225" t="s">
        <v>164</v>
      </c>
      <c r="W57" s="224" t="s">
        <v>163</v>
      </c>
      <c r="X57" s="224" t="s">
        <v>163</v>
      </c>
      <c r="Y57" s="224" t="s">
        <v>163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T59" s="225" t="s">
        <v>164</v>
      </c>
      <c r="U59" s="225" t="s">
        <v>164</v>
      </c>
      <c r="V59" s="225" t="s">
        <v>164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154</v>
      </c>
      <c r="U61" s="234">
        <v>154</v>
      </c>
      <c r="V61" s="234">
        <v>154</v>
      </c>
      <c r="W61" s="235">
        <f>Diagrama!B212</f>
        <v>21</v>
      </c>
      <c r="X61" s="235">
        <f>Diagrama!C212</f>
        <v>78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47</v>
      </c>
      <c r="U62" s="234">
        <v>47</v>
      </c>
      <c r="V62" s="234">
        <v>47</v>
      </c>
      <c r="W62" s="235">
        <f>Diagrama!B213</f>
        <v>3</v>
      </c>
      <c r="X62" s="235">
        <f>Diagrama!C213</f>
        <v>5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34</v>
      </c>
      <c r="U63" s="234">
        <v>34</v>
      </c>
      <c r="V63" s="234">
        <v>34</v>
      </c>
      <c r="W63" s="235">
        <f>Diagrama!B218</f>
        <v>3</v>
      </c>
      <c r="X63" s="235">
        <f>Diagrama!C218</f>
        <v>1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299</v>
      </c>
      <c r="U64" s="234">
        <v>299</v>
      </c>
      <c r="V64" s="234">
        <v>299</v>
      </c>
      <c r="W64" s="235">
        <f>Diagrama!B219</f>
        <v>113.8</v>
      </c>
      <c r="X64" s="235">
        <f>Diagrama!C219</f>
        <v>323.93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8.7941176470588243</v>
      </c>
      <c r="U65" s="237">
        <v>8.7941176470588243</v>
      </c>
      <c r="V65" s="236">
        <v>8.7941176470588243</v>
      </c>
      <c r="W65" s="238">
        <f>Diagrama!B230</f>
        <v>37.93333333333333</v>
      </c>
      <c r="X65" s="238">
        <f>Diagrama!C230</f>
        <v>323.93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0.12830188679245283</v>
      </c>
      <c r="U66" s="237">
        <v>0.12830188679245283</v>
      </c>
      <c r="V66" s="236">
        <v>0.12830188679245283</v>
      </c>
      <c r="W66" s="238">
        <f>Diagrama!B231</f>
        <v>2.9864253393665156E-2</v>
      </c>
      <c r="X66" s="238">
        <f>Diagrama!C231</f>
        <v>2.8792569659442727E-3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0.37155963302752293</v>
      </c>
      <c r="U67" s="237">
        <v>0.37155963302752293</v>
      </c>
      <c r="V67" s="236">
        <v>0.37155963302752293</v>
      </c>
      <c r="W67" s="238">
        <f>Diagrama!B232</f>
        <v>5.8604651162790698E-2</v>
      </c>
      <c r="X67" s="238">
        <f>Diagrama!C232</f>
        <v>1.8647798742138365E-2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23.668119099491651</v>
      </c>
      <c r="U68" s="237">
        <v>23.668119099491651</v>
      </c>
      <c r="V68" s="236">
        <v>23.668119099491651</v>
      </c>
      <c r="W68" s="238">
        <f>Diagrama!B233</f>
        <v>647.27513227513225</v>
      </c>
      <c r="X68" s="238">
        <f>Diagrama!C233</f>
        <v>17370.951096121418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72.909698996655521</v>
      </c>
      <c r="U69" s="237">
        <v>72.909698996655521</v>
      </c>
      <c r="V69" s="239">
        <v>72.909698996655521</v>
      </c>
      <c r="W69" s="240">
        <f>100*(W61+W76+W78)/W64</f>
        <v>94.463971880492096</v>
      </c>
      <c r="X69" s="240">
        <f t="shared" ref="X69:AZ69" si="0">100*(X61+X76+X78)/X64</f>
        <v>98.169357577254345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47</v>
      </c>
      <c r="W76" s="242">
        <f>Diagrama!B214</f>
        <v>1.5</v>
      </c>
      <c r="X76" s="242">
        <f>Diagrama!C214</f>
        <v>94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17</v>
      </c>
      <c r="W77" s="242">
        <f>Diagrama!B215</f>
        <v>0.3</v>
      </c>
      <c r="X77" s="242">
        <f>Diagrama!C215</f>
        <v>0.68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17</v>
      </c>
      <c r="W78" s="242">
        <f>Diagrama!B216</f>
        <v>85</v>
      </c>
      <c r="X78" s="242">
        <f>Diagrama!C216</f>
        <v>146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17</v>
      </c>
      <c r="W79" s="242">
        <f>Diagrama!B217</f>
        <v>3</v>
      </c>
      <c r="X79" s="242">
        <f>Diagrama!C217</f>
        <v>0.25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A2" s="206">
        <v>1</v>
      </c>
      <c r="B2" s="207" t="s">
        <v>164</v>
      </c>
      <c r="E2" s="196" t="s">
        <v>4</v>
      </c>
      <c r="G2" s="208">
        <v>21</v>
      </c>
      <c r="H2" s="209">
        <v>0.18453427065026362</v>
      </c>
      <c r="I2" s="210" t="s">
        <v>4</v>
      </c>
      <c r="J2" s="209">
        <v>0.94298245614035092</v>
      </c>
      <c r="K2" s="210" t="s">
        <v>28</v>
      </c>
      <c r="L2" s="211">
        <v>38</v>
      </c>
    </row>
    <row r="3" spans="1:12" x14ac:dyDescent="0.2">
      <c r="A3" s="206">
        <v>1</v>
      </c>
      <c r="B3" s="207" t="s">
        <v>164</v>
      </c>
      <c r="E3" s="196" t="s">
        <v>5</v>
      </c>
      <c r="G3" s="208">
        <v>3</v>
      </c>
      <c r="H3" s="209">
        <v>2.6362038664323375E-2</v>
      </c>
      <c r="I3" s="210" t="s">
        <v>5</v>
      </c>
      <c r="J3" s="209">
        <v>2.6315789473684209E-2</v>
      </c>
      <c r="K3" s="210" t="s">
        <v>29</v>
      </c>
      <c r="L3" s="211">
        <v>0.125</v>
      </c>
    </row>
    <row r="4" spans="1:12" x14ac:dyDescent="0.2">
      <c r="A4" s="206">
        <v>1</v>
      </c>
      <c r="B4" s="207" t="s">
        <v>164</v>
      </c>
      <c r="E4" s="196" t="s">
        <v>148</v>
      </c>
      <c r="G4" s="208">
        <v>1.5</v>
      </c>
      <c r="H4" s="209">
        <v>1.3181019332161687E-2</v>
      </c>
      <c r="I4" s="210" t="s">
        <v>6</v>
      </c>
      <c r="J4" s="209">
        <v>2.6315789473684209E-2</v>
      </c>
      <c r="K4" s="210" t="s">
        <v>30</v>
      </c>
      <c r="L4" s="211">
        <v>5.8604651162790698E-2</v>
      </c>
    </row>
    <row r="5" spans="1:12" x14ac:dyDescent="0.2">
      <c r="A5" s="206">
        <v>1</v>
      </c>
      <c r="B5" s="196" t="s">
        <v>164</v>
      </c>
      <c r="E5" s="196" t="s">
        <v>149</v>
      </c>
      <c r="G5" s="208">
        <v>0.3</v>
      </c>
      <c r="H5" s="209">
        <v>2.6362038664323375E-3</v>
      </c>
      <c r="I5" s="210" t="s">
        <v>14</v>
      </c>
      <c r="J5" s="209">
        <v>0.99561403508771928</v>
      </c>
      <c r="K5" s="210" t="s">
        <v>152</v>
      </c>
      <c r="L5" s="211">
        <v>648.41269841269843</v>
      </c>
    </row>
    <row r="6" spans="1:12" x14ac:dyDescent="0.2">
      <c r="A6" s="206">
        <v>1</v>
      </c>
      <c r="B6" s="196" t="s">
        <v>164</v>
      </c>
      <c r="E6" s="196" t="s">
        <v>150</v>
      </c>
      <c r="G6" s="208">
        <v>85</v>
      </c>
      <c r="H6" s="209">
        <v>0.74692442882249566</v>
      </c>
    </row>
    <row r="7" spans="1:12" x14ac:dyDescent="0.2">
      <c r="A7" s="206">
        <v>1</v>
      </c>
      <c r="B7" s="207" t="s">
        <v>164</v>
      </c>
      <c r="E7" s="196" t="s">
        <v>151</v>
      </c>
      <c r="G7" s="208">
        <v>3</v>
      </c>
      <c r="H7" s="209">
        <v>2.6362038664323375E-2</v>
      </c>
    </row>
    <row r="8" spans="1:12" x14ac:dyDescent="0.2">
      <c r="A8" s="206">
        <v>1</v>
      </c>
      <c r="B8" s="207" t="s">
        <v>164</v>
      </c>
      <c r="E8" s="196" t="s">
        <v>6</v>
      </c>
      <c r="G8" s="208">
        <v>3</v>
      </c>
      <c r="H8" s="209">
        <v>2.6362038664323375E-2</v>
      </c>
    </row>
    <row r="9" spans="1:12" x14ac:dyDescent="0.2">
      <c r="A9" s="206">
        <v>1</v>
      </c>
      <c r="B9" s="207" t="s">
        <v>164</v>
      </c>
      <c r="E9" s="196" t="s">
        <v>166</v>
      </c>
      <c r="G9" s="208">
        <v>113.8</v>
      </c>
      <c r="H9" s="209">
        <v>1</v>
      </c>
    </row>
    <row r="12" spans="1:12" x14ac:dyDescent="0.2">
      <c r="A12" s="206">
        <v>2</v>
      </c>
      <c r="B12" s="207" t="s">
        <v>165</v>
      </c>
      <c r="E12" s="196" t="s">
        <v>4</v>
      </c>
      <c r="G12" s="208">
        <v>78</v>
      </c>
      <c r="H12" s="209">
        <v>0.24079276386873708</v>
      </c>
      <c r="I12" s="210" t="s">
        <v>4</v>
      </c>
      <c r="J12" s="209">
        <v>0.98148148148148151</v>
      </c>
      <c r="K12" s="210" t="s">
        <v>28</v>
      </c>
      <c r="L12" s="211">
        <v>324</v>
      </c>
    </row>
    <row r="13" spans="1:12" x14ac:dyDescent="0.2">
      <c r="A13" s="206">
        <v>2</v>
      </c>
      <c r="B13" s="207" t="s">
        <v>165</v>
      </c>
      <c r="E13" s="196" t="s">
        <v>5</v>
      </c>
      <c r="G13" s="208">
        <v>5</v>
      </c>
      <c r="H13" s="209">
        <v>1.5435433581329299E-2</v>
      </c>
      <c r="I13" s="210" t="s">
        <v>5</v>
      </c>
      <c r="J13" s="209">
        <v>1.5432098765432098E-2</v>
      </c>
      <c r="K13" s="210" t="s">
        <v>29</v>
      </c>
      <c r="L13" s="211">
        <v>1.2048192771084338E-2</v>
      </c>
    </row>
    <row r="14" spans="1:12" x14ac:dyDescent="0.2">
      <c r="A14" s="206">
        <v>2</v>
      </c>
      <c r="B14" s="207" t="s">
        <v>165</v>
      </c>
      <c r="E14" s="196" t="s">
        <v>148</v>
      </c>
      <c r="G14" s="208">
        <v>94</v>
      </c>
      <c r="H14" s="209">
        <v>0.29018615132899084</v>
      </c>
      <c r="I14" s="210" t="s">
        <v>6</v>
      </c>
      <c r="J14" s="209">
        <v>3.0864197530864196E-3</v>
      </c>
      <c r="K14" s="210" t="s">
        <v>30</v>
      </c>
      <c r="L14" s="211">
        <v>1.8647798742138365E-2</v>
      </c>
    </row>
    <row r="15" spans="1:12" x14ac:dyDescent="0.2">
      <c r="A15" s="206">
        <v>2</v>
      </c>
      <c r="B15" s="196" t="s">
        <v>165</v>
      </c>
      <c r="E15" s="196" t="s">
        <v>149</v>
      </c>
      <c r="G15" s="208">
        <v>0.68</v>
      </c>
      <c r="H15" s="209">
        <v>2.0992189670607847E-3</v>
      </c>
      <c r="I15" s="210" t="s">
        <v>14</v>
      </c>
      <c r="J15" s="209">
        <v>1</v>
      </c>
      <c r="K15" s="210" t="s">
        <v>152</v>
      </c>
      <c r="L15" s="211">
        <v>17374.704890387857</v>
      </c>
    </row>
    <row r="16" spans="1:12" x14ac:dyDescent="0.2">
      <c r="A16" s="206">
        <v>2</v>
      </c>
      <c r="B16" s="196" t="s">
        <v>165</v>
      </c>
      <c r="E16" s="196" t="s">
        <v>150</v>
      </c>
      <c r="G16" s="208">
        <v>146</v>
      </c>
      <c r="H16" s="209">
        <v>0.45071466057481552</v>
      </c>
    </row>
    <row r="17" spans="1:11" x14ac:dyDescent="0.2">
      <c r="A17" s="206">
        <v>2</v>
      </c>
      <c r="B17" s="207" t="s">
        <v>165</v>
      </c>
      <c r="E17" s="196" t="s">
        <v>151</v>
      </c>
      <c r="G17" s="208">
        <v>0.25</v>
      </c>
      <c r="H17" s="209">
        <v>7.7177167906646493E-4</v>
      </c>
    </row>
    <row r="18" spans="1:11" x14ac:dyDescent="0.2">
      <c r="A18" s="206">
        <v>2</v>
      </c>
      <c r="B18" s="207" t="s">
        <v>165</v>
      </c>
      <c r="E18" s="196" t="s">
        <v>6</v>
      </c>
      <c r="G18" s="208">
        <v>1</v>
      </c>
      <c r="H18" s="209">
        <v>3.0870867162658597E-3</v>
      </c>
    </row>
    <row r="19" spans="1:11" x14ac:dyDescent="0.2">
      <c r="A19" s="206">
        <v>2</v>
      </c>
      <c r="B19" s="207" t="s">
        <v>165</v>
      </c>
      <c r="E19" s="196" t="s">
        <v>166</v>
      </c>
      <c r="G19" s="208">
        <v>323.93</v>
      </c>
      <c r="H19" s="209">
        <v>1</v>
      </c>
    </row>
    <row r="22" spans="1:11" x14ac:dyDescent="0.2">
      <c r="B22" s="207"/>
      <c r="I22" s="210"/>
      <c r="K22" s="210"/>
    </row>
    <row r="23" spans="1:11" x14ac:dyDescent="0.2">
      <c r="B23" s="207"/>
      <c r="I23" s="210"/>
      <c r="K23" s="210"/>
    </row>
    <row r="24" spans="1:11" x14ac:dyDescent="0.2">
      <c r="B24" s="207"/>
      <c r="I24" s="210"/>
      <c r="K24" s="210"/>
    </row>
    <row r="25" spans="1:11" x14ac:dyDescent="0.2">
      <c r="I25" s="210"/>
      <c r="K25" s="210"/>
    </row>
    <row r="27" spans="1:11" x14ac:dyDescent="0.2">
      <c r="B27" s="207"/>
    </row>
    <row r="28" spans="1:11" x14ac:dyDescent="0.2">
      <c r="B28" s="207"/>
    </row>
    <row r="29" spans="1:11" x14ac:dyDescent="0.2">
      <c r="B29" s="207"/>
    </row>
    <row r="32" spans="1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D14" sqref="D14"/>
    </sheetView>
  </sheetViews>
  <sheetFormatPr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 t="s">
        <v>164</v>
      </c>
      <c r="C2" s="177" t="s">
        <v>4</v>
      </c>
      <c r="D2" s="178">
        <v>21</v>
      </c>
    </row>
    <row r="3" spans="1:4" ht="12" x14ac:dyDescent="0.2">
      <c r="A3" s="179">
        <f>$A$2+0</f>
        <v>1</v>
      </c>
      <c r="B3" s="180" t="str">
        <f t="shared" ref="B3:B7" si="0">$B$2</f>
        <v>iaop</v>
      </c>
      <c r="C3" s="181" t="s">
        <v>5</v>
      </c>
      <c r="D3" s="182">
        <v>3</v>
      </c>
    </row>
    <row r="4" spans="1:4" ht="12" x14ac:dyDescent="0.2">
      <c r="A4" s="179">
        <v>1</v>
      </c>
      <c r="B4" s="180" t="str">
        <f t="shared" si="0"/>
        <v>iaop</v>
      </c>
      <c r="C4" s="181" t="s">
        <v>148</v>
      </c>
      <c r="D4" s="182">
        <v>1.5</v>
      </c>
    </row>
    <row r="5" spans="1:4" ht="12" x14ac:dyDescent="0.2">
      <c r="A5" s="179">
        <v>1</v>
      </c>
      <c r="B5" s="180" t="str">
        <f t="shared" si="0"/>
        <v>iaop</v>
      </c>
      <c r="C5" s="181" t="s">
        <v>149</v>
      </c>
      <c r="D5" s="182">
        <v>0.3</v>
      </c>
    </row>
    <row r="6" spans="1:4" ht="12" x14ac:dyDescent="0.2">
      <c r="A6" s="179">
        <v>1</v>
      </c>
      <c r="B6" s="180" t="str">
        <f t="shared" si="0"/>
        <v>iaop</v>
      </c>
      <c r="C6" s="181" t="s">
        <v>150</v>
      </c>
      <c r="D6" s="182">
        <v>85</v>
      </c>
    </row>
    <row r="7" spans="1:4" ht="12.75" thickBot="1" x14ac:dyDescent="0.25">
      <c r="A7" s="183">
        <v>1</v>
      </c>
      <c r="B7" s="184" t="str">
        <f t="shared" si="0"/>
        <v>iaop</v>
      </c>
      <c r="C7" s="185" t="s">
        <v>151</v>
      </c>
      <c r="D7" s="186">
        <v>3</v>
      </c>
    </row>
    <row r="8" spans="1:4" ht="12" x14ac:dyDescent="0.2">
      <c r="A8" s="187">
        <f>2</f>
        <v>2</v>
      </c>
      <c r="B8" s="188" t="s">
        <v>165</v>
      </c>
      <c r="C8" s="181" t="s">
        <v>4</v>
      </c>
      <c r="D8" s="182">
        <v>78</v>
      </c>
    </row>
    <row r="9" spans="1:4" ht="12" x14ac:dyDescent="0.2">
      <c r="A9" s="179">
        <f>$A$8</f>
        <v>2</v>
      </c>
      <c r="B9" s="180" t="str">
        <f t="shared" ref="B9:B13" si="1">$B$8</f>
        <v>tamara</v>
      </c>
      <c r="C9" s="181" t="s">
        <v>5</v>
      </c>
      <c r="D9" s="182">
        <v>5</v>
      </c>
    </row>
    <row r="10" spans="1:4" ht="12" x14ac:dyDescent="0.2">
      <c r="A10" s="179">
        <v>2</v>
      </c>
      <c r="B10" s="180" t="str">
        <f t="shared" si="1"/>
        <v>tamara</v>
      </c>
      <c r="C10" s="181" t="s">
        <v>148</v>
      </c>
      <c r="D10" s="182">
        <v>94</v>
      </c>
    </row>
    <row r="11" spans="1:4" ht="12" x14ac:dyDescent="0.2">
      <c r="A11" s="179">
        <v>2</v>
      </c>
      <c r="B11" s="180" t="str">
        <f t="shared" si="1"/>
        <v>tamara</v>
      </c>
      <c r="C11" s="181" t="s">
        <v>149</v>
      </c>
      <c r="D11" s="182">
        <v>0.68</v>
      </c>
    </row>
    <row r="12" spans="1:4" ht="12" x14ac:dyDescent="0.2">
      <c r="A12" s="179">
        <v>2</v>
      </c>
      <c r="B12" s="180" t="str">
        <f t="shared" si="1"/>
        <v>tamara</v>
      </c>
      <c r="C12" s="181" t="s">
        <v>150</v>
      </c>
      <c r="D12" s="182">
        <v>146</v>
      </c>
    </row>
    <row r="13" spans="1:4" ht="12.75" thickBot="1" x14ac:dyDescent="0.25">
      <c r="A13" s="183">
        <v>2</v>
      </c>
      <c r="B13" s="184" t="str">
        <f t="shared" si="1"/>
        <v>tamara</v>
      </c>
      <c r="C13" s="185" t="s">
        <v>151</v>
      </c>
      <c r="D13" s="186">
        <v>0.25</v>
      </c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J60" zoomScale="90" zoomScaleNormal="90" workbookViewId="0">
      <selection activeCell="O69" sqref="O69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2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1-iaop</v>
      </c>
      <c r="C29" s="61"/>
      <c r="D29" s="62">
        <f ca="1">IFERROR(D103,0)</f>
        <v>0.98479891986569512</v>
      </c>
      <c r="E29" s="62">
        <f ca="1">IFERROR(D100,0)</f>
        <v>1.2085785102955755E-2</v>
      </c>
      <c r="F29" s="62">
        <f ca="1">IFERROR(E103,0)</f>
        <v>3.115295031349088E-3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2</v>
      </c>
    </row>
    <row r="30" spans="1:255" x14ac:dyDescent="0.2">
      <c r="A30" s="66"/>
      <c r="B30" s="67"/>
      <c r="C30" s="68"/>
      <c r="D30" s="62">
        <f ca="1">IFERROR(N103,0)</f>
        <v>0.97730708571500102</v>
      </c>
      <c r="E30" s="62">
        <f ca="1">IFERROR(M100,0)</f>
        <v>1.2080173049703633E-2</v>
      </c>
      <c r="F30" s="62">
        <f ca="1">IFERROR(M103,0)</f>
        <v>0.98323891580840173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323.93</v>
      </c>
      <c r="BD30" s="11">
        <f t="shared" ref="BD30:CG30" si="0">B219</f>
        <v>113.8</v>
      </c>
      <c r="BE30" s="11">
        <f t="shared" si="0"/>
        <v>323.93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113.8</v>
      </c>
      <c r="BD31" s="6">
        <f ca="1">IF(BD30=0,0,LOG(BD30/$BB$31,10))</f>
        <v>0</v>
      </c>
      <c r="BE31" s="6">
        <f t="shared" ref="BE31:CG31" ca="1" si="1">IF(BE30=0,0,LOG(BE30/$BB$31,10))</f>
        <v>0.45430890895551279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0.45430890895551279</v>
      </c>
      <c r="BD33" s="11">
        <f t="shared" ref="BD33:CG33" ca="1" si="2">BD31/$BB$33</f>
        <v>0</v>
      </c>
      <c r="BE33" s="6">
        <f t="shared" ca="1" si="2"/>
        <v>1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10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51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-1.5220130119234633E-3</v>
      </c>
      <c r="B79" s="122">
        <f>VLOOKUP(B78,A237:AE237,DIAG!$T$58+1,0)</f>
        <v>0.94463971880492092</v>
      </c>
      <c r="E79" s="121">
        <f>VLOOKUP(E78,A236:AE236,DIAG!$W$56+1,0)</f>
        <v>-7.0045582623259189E-3</v>
      </c>
      <c r="F79" s="122">
        <f>VLOOKUP(F78,A237:AE237,DIAG!$W$56+1,0)</f>
        <v>0.98169357577254346</v>
      </c>
      <c r="G79" s="121">
        <f>VLOOKUP(G78,A236:AE236,DIAG!$W$58+1,0)</f>
        <v>-7.0045582623259189E-3</v>
      </c>
      <c r="H79" s="122">
        <f>VLOOKUP(H78,A237:AE237,DIAG!$W$58+1,0)</f>
        <v>0.98169357577254346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1.7212254900215718</v>
      </c>
      <c r="D80" s="22">
        <f>IFERROR((B80*(A80-$E$79)-A80*(B80-$F$79))/(A80-$E$79),0)</f>
        <v>0.99375000000000002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-1.6799614372198588</v>
      </c>
      <c r="D81" s="22">
        <f>(B81*(A81-$G$79)-A81*(B81-$H$79))/(A81-$G$79)</f>
        <v>0.96992618800707608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36.373066958945913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5.6207310475794975E-6</v>
      </c>
      <c r="E87" s="131">
        <f ca="1">IFERROR(E91,0)</f>
        <v>-6.9939843172879121E-3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1.3247549118151146E-4</v>
      </c>
      <c r="N87" s="131">
        <f ca="1">IFERROR(N91,0)</f>
        <v>-7.0023247544792272E-3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0.9937596745455517</v>
      </c>
      <c r="E88" s="136">
        <f ca="1">IFERROR((C80*E87+D80),0)</f>
        <v>0.9817117759162729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0.96970363429051443</v>
      </c>
      <c r="N88" s="136">
        <f ca="1">IFERROR((C81*N87+D81),0)</f>
        <v>0.98168982356549117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5.6207310475794975E-6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1.3247549118151146E-4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-6.9939843172879121E-3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-7.0023247544792272E-3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1.3933640307330372E-2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1.3948982324207312E-2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1.8098754520051059E-3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0.99686520376175547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1.8098754520051059E-3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1.15289492479249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-6.9939843172879121E-3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1.2085785102955755E-2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1.2080173049703633E-2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1.135369676654286</v>
      </c>
      <c r="E102" s="147">
        <f ca="1">IFERROR(SQRT((D87-D94)^2+(D88-D95)^2),0)</f>
        <v>3.5916078308736244E-3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1.1353465054393932</v>
      </c>
      <c r="N102" s="147">
        <f ca="1">IFERROR(SQRT((M87-M94)^2+(M88-M95)^2),0)</f>
        <v>1.1284970180369691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0.98479891986569512</v>
      </c>
      <c r="E103" s="149">
        <f ca="1">IFERROR(E102/D98,0)</f>
        <v>3.115295031349088E-3</v>
      </c>
      <c r="G103" s="150"/>
      <c r="H103" s="151"/>
      <c r="I103" s="151"/>
      <c r="J103" s="151"/>
      <c r="K103" s="151"/>
      <c r="L103" s="138"/>
      <c r="M103" s="148">
        <f ca="1">IFERROR(M102/M98,0)</f>
        <v>0.98323891580840173</v>
      </c>
      <c r="N103" s="149">
        <f ca="1">IFERROR(N102/M98,0)</f>
        <v>0.97730708571500102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1.9726261745731064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-0.50650081756999243</v>
      </c>
      <c r="M108" s="103">
        <f ca="1">IFERROR(LOG(100*N103),0)</f>
        <v>1.990031047522745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8.227486780171242E-2</v>
      </c>
      <c r="M109" s="103">
        <f ca="1">IFERROR(LOG(100*M100),0)</f>
        <v>8.207315564215624E-2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1.9933475635863127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1.9926590592461568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1-iaop</v>
      </c>
      <c r="C211" s="10" t="str">
        <f>CONCATENATE(" 2-",Resumo!B12)</f>
        <v xml:space="preserve"> 2-tamara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21</v>
      </c>
      <c r="C212" s="13">
        <f>Resumo!G12</f>
        <v>78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3</v>
      </c>
      <c r="C213" s="13">
        <f>Resumo!G13</f>
        <v>5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1.5</v>
      </c>
      <c r="C214" s="13">
        <f>Resumo!G14</f>
        <v>94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0.3</v>
      </c>
      <c r="C215" s="13">
        <f>Resumo!G15</f>
        <v>0.68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85</v>
      </c>
      <c r="C216" s="13">
        <f>Resumo!G16</f>
        <v>146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3</v>
      </c>
      <c r="C217" s="13">
        <f>Resumo!G17</f>
        <v>0.25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</v>
      </c>
      <c r="C218" s="13">
        <f>Resumo!G18</f>
        <v>1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113.8</v>
      </c>
      <c r="C219" s="16">
        <f>Resumo!G19</f>
        <v>323.93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647.27513227513225</v>
      </c>
      <c r="C220" s="18">
        <f t="shared" ref="C220:AE220" si="18">IFERROR(C230/C232,0)</f>
        <v>17370.951096121418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0.94463971880492092</v>
      </c>
      <c r="C221" s="20">
        <f t="shared" ref="C221:AE221" si="19">IFERROR((C212+C214+C216)/C219,0)</f>
        <v>0.98169357577254346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2.6362038664323375E-2</v>
      </c>
      <c r="C222" s="20">
        <f t="shared" ref="C222:AE222" si="20">IFERROR(C213/C$219,0)</f>
        <v>1.5435433581329299E-2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2.6362038664323375E-2</v>
      </c>
      <c r="C223" s="20">
        <f t="shared" ref="C223:AE223" si="21">IFERROR(C218/C$219,0)</f>
        <v>3.0870867162658597E-3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0.94463971880492092</v>
      </c>
      <c r="C225" s="21">
        <f t="shared" ref="C225:AE225" si="22">IFERROR(((C212+C214+C216)/C219),0)</f>
        <v>0.98169357577254346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2.6362038664323375E-2</v>
      </c>
      <c r="C226" s="21">
        <f t="shared" ref="C226:AE226" si="23">IFERROR(C213/C219,0)</f>
        <v>1.5435433581329299E-2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2.6362038664323375E-2</v>
      </c>
      <c r="C227" s="24">
        <f t="shared" ref="C227:AE227" si="24">IFERROR(C218/C219,0)</f>
        <v>3.0870867162658597E-3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0.97100175746924433</v>
      </c>
      <c r="C228" s="28">
        <f t="shared" ref="C228:AE228" si="25">IFERROR(C225+C226,0)</f>
        <v>0.99712900935387272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0.99736379613356774</v>
      </c>
      <c r="C229" s="28">
        <f t="shared" ref="C229:AE229" si="26">IFERROR(C225+C226+C227,0)</f>
        <v>1.0002160960701385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37.93333333333333</v>
      </c>
      <c r="C230" s="34">
        <f t="shared" ref="C230:AE230" si="27">IFERROR(C219/C218,0)</f>
        <v>323.93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2.9864253393665156E-2</v>
      </c>
      <c r="C231" s="38">
        <f t="shared" ref="C231:AE231" si="28">IFERROR((C215+C217)/(C212+C214+C216+C213),0)</f>
        <v>2.8792569659442727E-3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5.8604651162790698E-2</v>
      </c>
      <c r="C232" s="38">
        <f t="shared" ref="C232:AE232" si="29">IFERROR((C213+C215+C217)/(C212+C214+C216),0)</f>
        <v>1.8647798742138365E-2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647.27513227513225</v>
      </c>
      <c r="C233" s="160">
        <f t="shared" ref="C233:AE233" si="30">IFERROR(C230/C232,0)</f>
        <v>17370.951096121418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1-iaop</v>
      </c>
      <c r="C235" s="45" t="str">
        <f t="shared" si="31"/>
        <v xml:space="preserve"> 2-tamara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-1.5220130119234633E-3</v>
      </c>
      <c r="C236" s="47">
        <f t="shared" ref="C236:AE236" si="32">IFERROR(((2*C227+C225-1)/SQRT(3)),0)</f>
        <v>-7.0045582623259189E-3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0.94463971880492092</v>
      </c>
      <c r="C237" s="52">
        <f>IF(DIAG!$H38,C225,-1)</f>
        <v>0.98169357577254346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2023-08-15T19:29:59Z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