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930411A7-B7B0-4801-B57C-A6101E51F41E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externalReferences>
    <externalReference r:id="rId6"/>
  </externalReference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Y57" i="6" l="1"/>
  <c r="AY56" i="6"/>
  <c r="AY54" i="6"/>
  <c r="AY53" i="6"/>
  <c r="AY51" i="6"/>
  <c r="AY50" i="6"/>
  <c r="AY48" i="6"/>
  <c r="AY47" i="6"/>
  <c r="AY45" i="6"/>
  <c r="AY44" i="6"/>
  <c r="AY42" i="6"/>
  <c r="AY41" i="6"/>
  <c r="AY39" i="6"/>
  <c r="AY38" i="6"/>
  <c r="AY36" i="6"/>
  <c r="AY35" i="6"/>
  <c r="AY33" i="6"/>
  <c r="AY32" i="6"/>
  <c r="AY29" i="6"/>
  <c r="AY30" i="6"/>
  <c r="AA1" i="1" l="1"/>
  <c r="H79" i="6" l="1"/>
  <c r="G79" i="6"/>
  <c r="F79" i="6"/>
  <c r="E79" i="6"/>
  <c r="B79" i="6"/>
  <c r="A79" i="6"/>
  <c r="GY30" i="6"/>
  <c r="GZ30" i="6"/>
  <c r="HA30" i="6"/>
  <c r="HB30" i="6"/>
  <c r="HC30" i="6"/>
  <c r="HD30" i="6"/>
  <c r="HE30" i="6"/>
  <c r="HF30" i="6"/>
  <c r="HG30" i="6"/>
  <c r="HH30" i="6"/>
  <c r="HI30" i="6"/>
  <c r="HJ30" i="6"/>
  <c r="HK30" i="6"/>
  <c r="HL30" i="6"/>
  <c r="HM30" i="6"/>
  <c r="HN30" i="6"/>
  <c r="HO30" i="6"/>
  <c r="HP30" i="6"/>
  <c r="HQ30" i="6"/>
  <c r="HR30" i="6"/>
  <c r="HS30" i="6"/>
  <c r="HT30" i="6"/>
  <c r="HU30" i="6"/>
  <c r="HV30" i="6"/>
  <c r="HW30" i="6"/>
  <c r="HX30" i="6"/>
  <c r="HY30" i="6"/>
  <c r="HZ30" i="6"/>
  <c r="IA30" i="6"/>
  <c r="IB30" i="6"/>
  <c r="IC30" i="6"/>
  <c r="ID30" i="6"/>
  <c r="IE30" i="6"/>
  <c r="IF30" i="6"/>
  <c r="IG30" i="6"/>
  <c r="IH30" i="6"/>
  <c r="II30" i="6"/>
  <c r="IJ30" i="6"/>
  <c r="IK30" i="6"/>
  <c r="IL30" i="6"/>
  <c r="IM30" i="6"/>
  <c r="IN30" i="6"/>
  <c r="IO30" i="6"/>
  <c r="IP30" i="6"/>
  <c r="IQ30" i="6"/>
  <c r="IR30" i="6"/>
  <c r="IS30" i="6"/>
  <c r="IT30" i="6"/>
  <c r="IU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DL30" i="6"/>
  <c r="DM30" i="6"/>
  <c r="DN30" i="6"/>
  <c r="DO30" i="6"/>
  <c r="DP30" i="6"/>
  <c r="DQ30" i="6"/>
  <c r="DR30" i="6"/>
  <c r="DS30" i="6"/>
  <c r="DT30" i="6"/>
  <c r="DU30" i="6"/>
  <c r="DV30" i="6"/>
  <c r="DW30" i="6"/>
  <c r="DX30" i="6"/>
  <c r="DY30" i="6"/>
  <c r="DZ30" i="6"/>
  <c r="EA30" i="6"/>
  <c r="EB30" i="6"/>
  <c r="EC30" i="6"/>
  <c r="ED30" i="6"/>
  <c r="EE30" i="6"/>
  <c r="EF30" i="6"/>
  <c r="EG30" i="6"/>
  <c r="EH30" i="6"/>
  <c r="EI30" i="6"/>
  <c r="EJ30" i="6"/>
  <c r="EK30" i="6"/>
  <c r="EL30" i="6"/>
  <c r="EM30" i="6"/>
  <c r="EN30" i="6"/>
  <c r="EO30" i="6"/>
  <c r="EP30" i="6"/>
  <c r="EQ30" i="6"/>
  <c r="ER30" i="6"/>
  <c r="ES30" i="6"/>
  <c r="ET30" i="6"/>
  <c r="EU30" i="6"/>
  <c r="EV30" i="6"/>
  <c r="EW30" i="6"/>
  <c r="EX30" i="6"/>
  <c r="EY30" i="6"/>
  <c r="EZ30" i="6"/>
  <c r="FA30" i="6"/>
  <c r="FB30" i="6"/>
  <c r="FC30" i="6"/>
  <c r="FD30" i="6"/>
  <c r="FE30" i="6"/>
  <c r="FF30" i="6"/>
  <c r="FG30" i="6"/>
  <c r="FH30" i="6"/>
  <c r="FI30" i="6"/>
  <c r="FJ30" i="6"/>
  <c r="FK30" i="6"/>
  <c r="FL30" i="6"/>
  <c r="FM30" i="6"/>
  <c r="FN30" i="6"/>
  <c r="FO30" i="6"/>
  <c r="FP30" i="6"/>
  <c r="FQ30" i="6"/>
  <c r="FR30" i="6"/>
  <c r="FS30" i="6"/>
  <c r="FT30" i="6"/>
  <c r="FU30" i="6"/>
  <c r="FV30" i="6"/>
  <c r="FW30" i="6"/>
  <c r="FX30" i="6"/>
  <c r="FY30" i="6"/>
  <c r="FZ30" i="6"/>
  <c r="GA30" i="6"/>
  <c r="GB30" i="6"/>
  <c r="GC30" i="6"/>
  <c r="GD30" i="6"/>
  <c r="GE30" i="6"/>
  <c r="GF30" i="6"/>
  <c r="GG30" i="6"/>
  <c r="GH30" i="6"/>
  <c r="GI30" i="6"/>
  <c r="GJ30" i="6"/>
  <c r="GK30" i="6"/>
  <c r="GL30" i="6"/>
  <c r="GM30" i="6"/>
  <c r="GN30" i="6"/>
  <c r="GO30" i="6"/>
  <c r="GP30" i="6"/>
  <c r="GQ30" i="6"/>
  <c r="GR30" i="6"/>
  <c r="GS30" i="6"/>
  <c r="GT30" i="6"/>
  <c r="GU30" i="6"/>
  <c r="GV30" i="6"/>
  <c r="GW30" i="6"/>
  <c r="GX30" i="6"/>
  <c r="S35" i="6"/>
  <c r="S37" i="6" s="1"/>
  <c r="T35" i="6"/>
  <c r="T37" i="6" s="1"/>
  <c r="U35" i="6"/>
  <c r="U37" i="6" s="1"/>
  <c r="V35" i="6"/>
  <c r="V37" i="6" s="1"/>
  <c r="W35" i="6"/>
  <c r="T74" i="6" l="1"/>
  <c r="U74" i="6"/>
  <c r="T70" i="6"/>
  <c r="U70" i="6"/>
  <c r="T66" i="6"/>
  <c r="U66" i="6"/>
  <c r="W58" i="6"/>
  <c r="T57" i="6"/>
  <c r="T50" i="6"/>
  <c r="U50" i="6"/>
  <c r="T47" i="6"/>
  <c r="U47" i="6"/>
  <c r="T46" i="6"/>
  <c r="U46" i="6"/>
  <c r="T45" i="6"/>
  <c r="U45" i="6"/>
  <c r="GS440" i="1" l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GL54" i="6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241" i="1"/>
  <c r="A240" i="1"/>
  <c r="A239" i="1"/>
  <c r="W21" i="1"/>
  <c r="A242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241" i="1"/>
  <c r="C240" i="1"/>
  <c r="C239" i="1"/>
  <c r="GL37" i="6" l="1"/>
  <c r="GL36" i="6"/>
  <c r="S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R46" i="6"/>
  <c r="S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R47" i="6"/>
  <c r="N47" i="6"/>
  <c r="N46" i="6"/>
  <c r="N45" i="6"/>
  <c r="R45" i="6"/>
  <c r="S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Q47" i="6"/>
  <c r="Q46" i="6"/>
  <c r="Q45" i="6"/>
  <c r="P47" i="6"/>
  <c r="P46" i="6"/>
  <c r="P45" i="6"/>
  <c r="O47" i="6"/>
  <c r="O46" i="6"/>
  <c r="O45" i="6"/>
  <c r="L47" i="6"/>
  <c r="L46" i="6"/>
  <c r="L45" i="6"/>
  <c r="V50" i="6"/>
  <c r="AX57" i="6"/>
  <c r="AX56" i="6"/>
  <c r="AW78" i="6"/>
  <c r="AV78" i="6"/>
  <c r="AU77" i="6"/>
  <c r="AT77" i="6"/>
  <c r="AS80" i="6"/>
  <c r="AR80" i="6"/>
  <c r="AQ79" i="6"/>
  <c r="AP79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AR70" i="6"/>
  <c r="AQ70" i="6"/>
  <c r="AP70" i="6"/>
  <c r="AO70" i="6"/>
  <c r="BG70" i="6"/>
  <c r="BG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AR66" i="6"/>
  <c r="AQ66" i="6"/>
  <c r="AP66" i="6"/>
  <c r="AO66" i="6"/>
  <c r="AO80" i="6"/>
  <c r="AO79" i="6"/>
  <c r="AO78" i="6"/>
  <c r="AO77" i="6"/>
  <c r="BG73" i="6"/>
  <c r="AM70" i="6"/>
  <c r="AM69" i="6"/>
  <c r="AM66" i="6"/>
  <c r="AM65" i="6"/>
  <c r="AG74" i="6"/>
  <c r="O74" i="6"/>
  <c r="AG70" i="6"/>
  <c r="O70" i="6"/>
  <c r="AG66" i="6"/>
  <c r="O66" i="6"/>
  <c r="O72" i="6"/>
  <c r="M74" i="6" s="1"/>
  <c r="O68" i="6"/>
  <c r="M69" i="6" s="1"/>
  <c r="O64" i="6"/>
  <c r="M66" i="6" s="1"/>
  <c r="U69" i="6" l="1"/>
  <c r="T69" i="6"/>
  <c r="M65" i="6"/>
  <c r="M70" i="6"/>
  <c r="BG69" i="6"/>
  <c r="M73" i="6"/>
  <c r="BF69" i="6"/>
  <c r="AZ69" i="6"/>
  <c r="AU69" i="6"/>
  <c r="AP69" i="6"/>
  <c r="BE69" i="6"/>
  <c r="BA69" i="6"/>
  <c r="AW69" i="6"/>
  <c r="AS69" i="6"/>
  <c r="AT69" i="6"/>
  <c r="AQ69" i="6"/>
  <c r="BD69" i="6"/>
  <c r="AV69" i="6"/>
  <c r="BB69" i="6"/>
  <c r="AR69" i="6"/>
  <c r="BC69" i="6"/>
  <c r="AY69" i="6"/>
  <c r="AX69" i="6"/>
  <c r="AO69" i="6"/>
  <c r="BG71" i="6"/>
  <c r="BG67" i="6"/>
  <c r="AG71" i="6"/>
  <c r="AG75" i="6"/>
  <c r="AG67" i="6"/>
  <c r="Z66" i="6" s="1"/>
  <c r="AG65" i="6"/>
  <c r="Z65" i="6" l="1"/>
  <c r="AG73" i="6"/>
  <c r="T73" i="6"/>
  <c r="U73" i="6"/>
  <c r="BC65" i="6"/>
  <c r="T65" i="6"/>
  <c r="U65" i="6"/>
  <c r="BB65" i="6"/>
  <c r="AW65" i="6"/>
  <c r="AX65" i="6"/>
  <c r="AZ65" i="6"/>
  <c r="BD65" i="6"/>
  <c r="AS65" i="6"/>
  <c r="BA65" i="6"/>
  <c r="O65" i="6"/>
  <c r="BE65" i="6"/>
  <c r="BF65" i="6"/>
  <c r="BG65" i="6"/>
  <c r="AQ65" i="6"/>
  <c r="AY65" i="6"/>
  <c r="O73" i="6"/>
  <c r="AP65" i="6"/>
  <c r="AT65" i="6"/>
  <c r="AO65" i="6"/>
  <c r="AV65" i="6"/>
  <c r="AU65" i="6"/>
  <c r="AR65" i="6"/>
  <c r="V70" i="6"/>
  <c r="V69" i="6" s="1"/>
  <c r="V66" i="6"/>
  <c r="V65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AF66" i="6"/>
  <c r="AF65" i="6" s="1"/>
  <c r="AA66" i="6"/>
  <c r="AA65" i="6" s="1"/>
  <c r="Q66" i="6"/>
  <c r="Q65" i="6" s="1"/>
  <c r="S66" i="6"/>
  <c r="S65" i="6" s="1"/>
  <c r="AC66" i="6"/>
  <c r="AC65" i="6" s="1"/>
  <c r="R66" i="6"/>
  <c r="R65" i="6" s="1"/>
  <c r="AE66" i="6"/>
  <c r="AE65" i="6" s="1"/>
  <c r="W66" i="6"/>
  <c r="W65" i="6" s="1"/>
  <c r="AB66" i="6"/>
  <c r="AB65" i="6" s="1"/>
  <c r="P66" i="6"/>
  <c r="P65" i="6" s="1"/>
  <c r="X66" i="6"/>
  <c r="X65" i="6" s="1"/>
  <c r="Y66" i="6"/>
  <c r="Y65" i="6" s="1"/>
  <c r="AD66" i="6"/>
  <c r="AD65" i="6" s="1"/>
  <c r="O69" i="6"/>
  <c r="AG69" i="6"/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BF41" i="6" l="1"/>
  <c r="BG41" i="6"/>
  <c r="BF40" i="6"/>
  <c r="BG40" i="6"/>
  <c r="T78" i="6" l="1"/>
  <c r="U78" i="6"/>
  <c r="X21" i="1" l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78" i="6"/>
  <c r="W78" i="6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A80" i="6"/>
  <c r="A81" i="6"/>
  <c r="A83" i="6"/>
  <c r="E94" i="6"/>
  <c r="N94" i="6"/>
  <c r="R95" i="6"/>
  <c r="P39" i="6" l="1"/>
  <c r="Q37" i="6"/>
  <c r="AD37" i="6"/>
  <c r="AD78" i="6"/>
  <c r="AC37" i="6"/>
  <c r="AC78" i="6"/>
  <c r="Y37" i="6"/>
  <c r="Y78" i="6"/>
  <c r="Q39" i="6"/>
  <c r="O78" i="6"/>
  <c r="Z37" i="6"/>
  <c r="Z78" i="6"/>
  <c r="V78" i="6"/>
  <c r="AH37" i="6"/>
  <c r="AG37" i="6"/>
  <c r="AE37" i="6"/>
  <c r="AE78" i="6"/>
  <c r="AA37" i="6"/>
  <c r="AA78" i="6"/>
  <c r="R37" i="6"/>
  <c r="AE62" i="1"/>
  <c r="AF63" i="1"/>
  <c r="AD61" i="1"/>
  <c r="AF61" i="1"/>
  <c r="AI37" i="6"/>
  <c r="W37" i="6"/>
  <c r="AF37" i="6"/>
  <c r="AB37" i="6"/>
  <c r="X37" i="6"/>
  <c r="P37" i="6"/>
  <c r="AF62" i="1" l="1"/>
  <c r="AD63" i="1"/>
  <c r="Z63" i="1"/>
  <c r="N51" i="6"/>
  <c r="BM30" i="6"/>
  <c r="AB61" i="1"/>
  <c r="AE61" i="1"/>
  <c r="Z61" i="1"/>
  <c r="X63" i="1"/>
  <c r="AB63" i="1"/>
  <c r="AD62" i="1"/>
  <c r="Y62" i="1"/>
  <c r="X61" i="1"/>
  <c r="B29" i="6" l="1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BF30" i="6" l="1"/>
  <c r="BG30" i="6"/>
  <c r="AA66" i="1"/>
  <c r="AA64" i="1"/>
  <c r="AA69" i="1" s="1"/>
  <c r="BH30" i="6"/>
  <c r="V57" i="6"/>
  <c r="Y60" i="6"/>
  <c r="AG64" i="1"/>
  <c r="AF66" i="1"/>
  <c r="BD3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Y67" i="1" l="1"/>
  <c r="R53" i="6"/>
  <c r="P51" i="6"/>
  <c r="AA67" i="1"/>
  <c r="AA65" i="1"/>
  <c r="AD65" i="1"/>
  <c r="Y50" i="6"/>
  <c r="S54" i="6"/>
  <c r="W50" i="6"/>
  <c r="BB31" i="6"/>
  <c r="AB68" i="1"/>
  <c r="W67" i="1"/>
  <c r="AB65" i="1"/>
  <c r="BB30" i="6"/>
  <c r="AF68" i="1"/>
  <c r="W66" i="1"/>
  <c r="AD68" i="1"/>
  <c r="Z66" i="1"/>
  <c r="X67" i="1"/>
  <c r="Q52" i="6"/>
  <c r="AE67" i="1"/>
  <c r="AE65" i="1"/>
  <c r="W65" i="1"/>
  <c r="Z67" i="1"/>
  <c r="AG69" i="1"/>
  <c r="Y66" i="1"/>
  <c r="AC68" i="1"/>
  <c r="AC65" i="1"/>
  <c r="X66" i="1"/>
  <c r="BN31" i="6" l="1"/>
  <c r="BR31" i="6"/>
  <c r="BV31" i="6"/>
  <c r="BZ31" i="6"/>
  <c r="CD31" i="6"/>
  <c r="CH31" i="6"/>
  <c r="CL31" i="6"/>
  <c r="CP31" i="6"/>
  <c r="CT31" i="6"/>
  <c r="CX31" i="6"/>
  <c r="DB31" i="6"/>
  <c r="DF31" i="6"/>
  <c r="DJ31" i="6"/>
  <c r="DN31" i="6"/>
  <c r="DR31" i="6"/>
  <c r="DV31" i="6"/>
  <c r="DZ31" i="6"/>
  <c r="ED31" i="6"/>
  <c r="EH31" i="6"/>
  <c r="EL31" i="6"/>
  <c r="EP31" i="6"/>
  <c r="ET31" i="6"/>
  <c r="EX31" i="6"/>
  <c r="FB31" i="6"/>
  <c r="FF31" i="6"/>
  <c r="FJ31" i="6"/>
  <c r="FN31" i="6"/>
  <c r="FR31" i="6"/>
  <c r="FV31" i="6"/>
  <c r="FZ31" i="6"/>
  <c r="GD31" i="6"/>
  <c r="GH31" i="6"/>
  <c r="GL31" i="6"/>
  <c r="GP31" i="6"/>
  <c r="GT31" i="6"/>
  <c r="GX31" i="6"/>
  <c r="HB31" i="6"/>
  <c r="HF31" i="6"/>
  <c r="HJ31" i="6"/>
  <c r="HN31" i="6"/>
  <c r="HR31" i="6"/>
  <c r="HV31" i="6"/>
  <c r="HZ31" i="6"/>
  <c r="ID31" i="6"/>
  <c r="IH31" i="6"/>
  <c r="IL31" i="6"/>
  <c r="IP31" i="6"/>
  <c r="IT31" i="6"/>
  <c r="BY31" i="6"/>
  <c r="CS31" i="6"/>
  <c r="DE31" i="6"/>
  <c r="DQ31" i="6"/>
  <c r="EC31" i="6"/>
  <c r="EO31" i="6"/>
  <c r="FA31" i="6"/>
  <c r="FM31" i="6"/>
  <c r="FY31" i="6"/>
  <c r="GK31" i="6"/>
  <c r="GW31" i="6"/>
  <c r="HE31" i="6"/>
  <c r="HQ31" i="6"/>
  <c r="IC31" i="6"/>
  <c r="IO31" i="6"/>
  <c r="BO31" i="6"/>
  <c r="BS31" i="6"/>
  <c r="BW31" i="6"/>
  <c r="CA31" i="6"/>
  <c r="CE31" i="6"/>
  <c r="CI31" i="6"/>
  <c r="CM31" i="6"/>
  <c r="CQ31" i="6"/>
  <c r="CU31" i="6"/>
  <c r="CY31" i="6"/>
  <c r="DC31" i="6"/>
  <c r="DG31" i="6"/>
  <c r="DK31" i="6"/>
  <c r="DO31" i="6"/>
  <c r="DS31" i="6"/>
  <c r="DW31" i="6"/>
  <c r="EA31" i="6"/>
  <c r="EE31" i="6"/>
  <c r="EI31" i="6"/>
  <c r="EM31" i="6"/>
  <c r="EQ31" i="6"/>
  <c r="EU31" i="6"/>
  <c r="EY31" i="6"/>
  <c r="FC31" i="6"/>
  <c r="FG31" i="6"/>
  <c r="FK31" i="6"/>
  <c r="FO31" i="6"/>
  <c r="FS31" i="6"/>
  <c r="FW31" i="6"/>
  <c r="GA31" i="6"/>
  <c r="GE31" i="6"/>
  <c r="GI31" i="6"/>
  <c r="GM31" i="6"/>
  <c r="GQ31" i="6"/>
  <c r="GU31" i="6"/>
  <c r="GY31" i="6"/>
  <c r="HC31" i="6"/>
  <c r="HG31" i="6"/>
  <c r="HK31" i="6"/>
  <c r="HO31" i="6"/>
  <c r="HS31" i="6"/>
  <c r="HW31" i="6"/>
  <c r="IA31" i="6"/>
  <c r="IE31" i="6"/>
  <c r="II31" i="6"/>
  <c r="IM31" i="6"/>
  <c r="IQ31" i="6"/>
  <c r="IU31" i="6"/>
  <c r="BU31" i="6"/>
  <c r="CC31" i="6"/>
  <c r="CG31" i="6"/>
  <c r="CO31" i="6"/>
  <c r="DA31" i="6"/>
  <c r="DM31" i="6"/>
  <c r="DY31" i="6"/>
  <c r="EK31" i="6"/>
  <c r="ES31" i="6"/>
  <c r="FE31" i="6"/>
  <c r="FU31" i="6"/>
  <c r="GG31" i="6"/>
  <c r="GS31" i="6"/>
  <c r="HI31" i="6"/>
  <c r="HU31" i="6"/>
  <c r="IG31" i="6"/>
  <c r="IS31" i="6"/>
  <c r="BP31" i="6"/>
  <c r="BT31" i="6"/>
  <c r="BX31" i="6"/>
  <c r="CB31" i="6"/>
  <c r="CF31" i="6"/>
  <c r="CJ31" i="6"/>
  <c r="CN31" i="6"/>
  <c r="CR31" i="6"/>
  <c r="CV31" i="6"/>
  <c r="CZ31" i="6"/>
  <c r="DD31" i="6"/>
  <c r="DH31" i="6"/>
  <c r="DL31" i="6"/>
  <c r="DP31" i="6"/>
  <c r="DT31" i="6"/>
  <c r="DX31" i="6"/>
  <c r="EB31" i="6"/>
  <c r="EF31" i="6"/>
  <c r="EJ31" i="6"/>
  <c r="EN31" i="6"/>
  <c r="ER31" i="6"/>
  <c r="EV31" i="6"/>
  <c r="EZ31" i="6"/>
  <c r="FD31" i="6"/>
  <c r="FH31" i="6"/>
  <c r="FL31" i="6"/>
  <c r="FP31" i="6"/>
  <c r="FT31" i="6"/>
  <c r="FX31" i="6"/>
  <c r="GB31" i="6"/>
  <c r="GF31" i="6"/>
  <c r="GJ31" i="6"/>
  <c r="GN31" i="6"/>
  <c r="GR31" i="6"/>
  <c r="GV31" i="6"/>
  <c r="GZ31" i="6"/>
  <c r="HD31" i="6"/>
  <c r="HH31" i="6"/>
  <c r="HL31" i="6"/>
  <c r="HP31" i="6"/>
  <c r="HT31" i="6"/>
  <c r="HX31" i="6"/>
  <c r="IB31" i="6"/>
  <c r="IF31" i="6"/>
  <c r="IJ31" i="6"/>
  <c r="IN31" i="6"/>
  <c r="IR31" i="6"/>
  <c r="BQ31" i="6"/>
  <c r="CK31" i="6"/>
  <c r="CW31" i="6"/>
  <c r="DI31" i="6"/>
  <c r="DU31" i="6"/>
  <c r="EG31" i="6"/>
  <c r="EW31" i="6"/>
  <c r="FI31" i="6"/>
  <c r="FQ31" i="6"/>
  <c r="GC31" i="6"/>
  <c r="GO31" i="6"/>
  <c r="HA31" i="6"/>
  <c r="HM31" i="6"/>
  <c r="HY31" i="6"/>
  <c r="IK31" i="6"/>
  <c r="AA68" i="1"/>
  <c r="BG31" i="6"/>
  <c r="BF31" i="6"/>
  <c r="BK31" i="6"/>
  <c r="BB33" i="6"/>
  <c r="BI31" i="6"/>
  <c r="BH31" i="6"/>
  <c r="BE31" i="6"/>
  <c r="BM31" i="6"/>
  <c r="X59" i="6"/>
  <c r="S50" i="6"/>
  <c r="X50" i="6"/>
  <c r="BL31" i="6"/>
  <c r="BD31" i="6"/>
  <c r="R50" i="6"/>
  <c r="Q50" i="6"/>
  <c r="BJ31" i="6"/>
  <c r="AG67" i="1"/>
  <c r="C80" i="6"/>
  <c r="W68" i="1"/>
  <c r="P50" i="6"/>
  <c r="AE68" i="1"/>
  <c r="Y68" i="1"/>
  <c r="Y65" i="1"/>
  <c r="AG66" i="1"/>
  <c r="Z65" i="1"/>
  <c r="Z68" i="1"/>
  <c r="X65" i="1"/>
  <c r="X68" i="1"/>
  <c r="HM33" i="6" l="1"/>
  <c r="HM35" i="6" s="1"/>
  <c r="FQ33" i="6"/>
  <c r="FQ35" i="6" s="1"/>
  <c r="DU33" i="6"/>
  <c r="DU35" i="6" s="1"/>
  <c r="BQ33" i="6"/>
  <c r="BQ35" i="6" s="1"/>
  <c r="IF33" i="6"/>
  <c r="IF35" i="6" s="1"/>
  <c r="HP33" i="6"/>
  <c r="HP35" i="6" s="1"/>
  <c r="GZ33" i="6"/>
  <c r="GZ35" i="6" s="1"/>
  <c r="GJ33" i="6"/>
  <c r="GJ35" i="6" s="1"/>
  <c r="FT33" i="6"/>
  <c r="FT35" i="6" s="1"/>
  <c r="FD33" i="6"/>
  <c r="FD35" i="6" s="1"/>
  <c r="EN33" i="6"/>
  <c r="EN35" i="6" s="1"/>
  <c r="DX33" i="6"/>
  <c r="DX35" i="6" s="1"/>
  <c r="DH33" i="6"/>
  <c r="DH35" i="6" s="1"/>
  <c r="CR33" i="6"/>
  <c r="CR35" i="6" s="1"/>
  <c r="CB33" i="6"/>
  <c r="CB35" i="6" s="1"/>
  <c r="IS33" i="6"/>
  <c r="IS35" i="6" s="1"/>
  <c r="GS33" i="6"/>
  <c r="GS35" i="6" s="1"/>
  <c r="ES33" i="6"/>
  <c r="ES35" i="6" s="1"/>
  <c r="DA33" i="6"/>
  <c r="DA35" i="6" s="1"/>
  <c r="BU33" i="6"/>
  <c r="BU35" i="6" s="1"/>
  <c r="II33" i="6"/>
  <c r="II35" i="6" s="1"/>
  <c r="HS33" i="6"/>
  <c r="HS35" i="6" s="1"/>
  <c r="HC33" i="6"/>
  <c r="HC35" i="6" s="1"/>
  <c r="GM33" i="6"/>
  <c r="GM35" i="6" s="1"/>
  <c r="FW33" i="6"/>
  <c r="FW35" i="6" s="1"/>
  <c r="FG33" i="6"/>
  <c r="FG35" i="6" s="1"/>
  <c r="EQ33" i="6"/>
  <c r="EQ35" i="6" s="1"/>
  <c r="EA33" i="6"/>
  <c r="EA35" i="6" s="1"/>
  <c r="DK33" i="6"/>
  <c r="DK35" i="6" s="1"/>
  <c r="CU33" i="6"/>
  <c r="CU35" i="6" s="1"/>
  <c r="CE33" i="6"/>
  <c r="CE35" i="6" s="1"/>
  <c r="BO33" i="6"/>
  <c r="BO35" i="6" s="1"/>
  <c r="HE33" i="6"/>
  <c r="HE35" i="6" s="1"/>
  <c r="FM33" i="6"/>
  <c r="FM35" i="6" s="1"/>
  <c r="DQ33" i="6"/>
  <c r="DQ35" i="6" s="1"/>
  <c r="IT33" i="6"/>
  <c r="IT35" i="6" s="1"/>
  <c r="ID33" i="6"/>
  <c r="ID35" i="6" s="1"/>
  <c r="HN33" i="6"/>
  <c r="HN35" i="6" s="1"/>
  <c r="GX33" i="6"/>
  <c r="GX35" i="6" s="1"/>
  <c r="GH33" i="6"/>
  <c r="GH35" i="6" s="1"/>
  <c r="FR33" i="6"/>
  <c r="FR35" i="6" s="1"/>
  <c r="FB33" i="6"/>
  <c r="FB35" i="6" s="1"/>
  <c r="EL33" i="6"/>
  <c r="EL35" i="6" s="1"/>
  <c r="DV33" i="6"/>
  <c r="DV35" i="6" s="1"/>
  <c r="DF33" i="6"/>
  <c r="DF35" i="6" s="1"/>
  <c r="CP33" i="6"/>
  <c r="CP35" i="6" s="1"/>
  <c r="BZ33" i="6"/>
  <c r="BZ35" i="6" s="1"/>
  <c r="HA33" i="6"/>
  <c r="HA35" i="6" s="1"/>
  <c r="FI33" i="6"/>
  <c r="FI35" i="6" s="1"/>
  <c r="DI33" i="6"/>
  <c r="DI35" i="6" s="1"/>
  <c r="IR33" i="6"/>
  <c r="IR35" i="6" s="1"/>
  <c r="IB33" i="6"/>
  <c r="IB35" i="6" s="1"/>
  <c r="HL33" i="6"/>
  <c r="HL35" i="6" s="1"/>
  <c r="GV33" i="6"/>
  <c r="GV35" i="6" s="1"/>
  <c r="GF33" i="6"/>
  <c r="GF35" i="6" s="1"/>
  <c r="FP33" i="6"/>
  <c r="FP35" i="6" s="1"/>
  <c r="EZ33" i="6"/>
  <c r="EZ35" i="6" s="1"/>
  <c r="EJ33" i="6"/>
  <c r="EJ35" i="6" s="1"/>
  <c r="DT33" i="6"/>
  <c r="DT35" i="6" s="1"/>
  <c r="DD33" i="6"/>
  <c r="DD35" i="6" s="1"/>
  <c r="CN33" i="6"/>
  <c r="CN35" i="6" s="1"/>
  <c r="BX33" i="6"/>
  <c r="BX35" i="6" s="1"/>
  <c r="IG33" i="6"/>
  <c r="IG35" i="6" s="1"/>
  <c r="GG33" i="6"/>
  <c r="GG35" i="6" s="1"/>
  <c r="EK33" i="6"/>
  <c r="EK35" i="6" s="1"/>
  <c r="CO33" i="6"/>
  <c r="CO35" i="6" s="1"/>
  <c r="IU33" i="6"/>
  <c r="IU35" i="6" s="1"/>
  <c r="IE33" i="6"/>
  <c r="IE35" i="6" s="1"/>
  <c r="HO33" i="6"/>
  <c r="HO35" i="6" s="1"/>
  <c r="GY33" i="6"/>
  <c r="GY35" i="6" s="1"/>
  <c r="GI33" i="6"/>
  <c r="GI35" i="6" s="1"/>
  <c r="FS33" i="6"/>
  <c r="FS35" i="6" s="1"/>
  <c r="FC33" i="6"/>
  <c r="FC35" i="6" s="1"/>
  <c r="EM33" i="6"/>
  <c r="EM35" i="6" s="1"/>
  <c r="DW33" i="6"/>
  <c r="DW35" i="6" s="1"/>
  <c r="DG33" i="6"/>
  <c r="DG35" i="6" s="1"/>
  <c r="CQ33" i="6"/>
  <c r="CQ35" i="6" s="1"/>
  <c r="CA33" i="6"/>
  <c r="CA35" i="6" s="1"/>
  <c r="IO33" i="6"/>
  <c r="IO35" i="6" s="1"/>
  <c r="GW33" i="6"/>
  <c r="GW35" i="6" s="1"/>
  <c r="FA33" i="6"/>
  <c r="FA35" i="6" s="1"/>
  <c r="DE33" i="6"/>
  <c r="DE35" i="6" s="1"/>
  <c r="IP33" i="6"/>
  <c r="IP35" i="6" s="1"/>
  <c r="HZ33" i="6"/>
  <c r="HZ35" i="6" s="1"/>
  <c r="HJ33" i="6"/>
  <c r="HJ35" i="6" s="1"/>
  <c r="GT33" i="6"/>
  <c r="GT35" i="6" s="1"/>
  <c r="GD33" i="6"/>
  <c r="GD35" i="6" s="1"/>
  <c r="FN33" i="6"/>
  <c r="FN35" i="6" s="1"/>
  <c r="EX33" i="6"/>
  <c r="EX35" i="6" s="1"/>
  <c r="EH33" i="6"/>
  <c r="EH35" i="6" s="1"/>
  <c r="DR33" i="6"/>
  <c r="DR35" i="6" s="1"/>
  <c r="DB33" i="6"/>
  <c r="DB35" i="6" s="1"/>
  <c r="CL33" i="6"/>
  <c r="CL35" i="6" s="1"/>
  <c r="BV33" i="6"/>
  <c r="BV35" i="6" s="1"/>
  <c r="IK33" i="6"/>
  <c r="IK35" i="6" s="1"/>
  <c r="GO33" i="6"/>
  <c r="GO35" i="6" s="1"/>
  <c r="EW33" i="6"/>
  <c r="EW35" i="6" s="1"/>
  <c r="CW33" i="6"/>
  <c r="CW35" i="6" s="1"/>
  <c r="IN33" i="6"/>
  <c r="IN35" i="6" s="1"/>
  <c r="HX33" i="6"/>
  <c r="HX35" i="6" s="1"/>
  <c r="HH33" i="6"/>
  <c r="HH35" i="6" s="1"/>
  <c r="GR33" i="6"/>
  <c r="GR35" i="6" s="1"/>
  <c r="GB33" i="6"/>
  <c r="GB35" i="6" s="1"/>
  <c r="FL33" i="6"/>
  <c r="FL35" i="6" s="1"/>
  <c r="EV33" i="6"/>
  <c r="EV35" i="6" s="1"/>
  <c r="EF33" i="6"/>
  <c r="EF35" i="6" s="1"/>
  <c r="DP33" i="6"/>
  <c r="DP35" i="6" s="1"/>
  <c r="CZ33" i="6"/>
  <c r="CZ35" i="6" s="1"/>
  <c r="CJ33" i="6"/>
  <c r="CJ35" i="6" s="1"/>
  <c r="BT33" i="6"/>
  <c r="BT35" i="6" s="1"/>
  <c r="HU33" i="6"/>
  <c r="HU35" i="6" s="1"/>
  <c r="FU33" i="6"/>
  <c r="FU35" i="6" s="1"/>
  <c r="DY33" i="6"/>
  <c r="DY35" i="6" s="1"/>
  <c r="CG33" i="6"/>
  <c r="CG35" i="6" s="1"/>
  <c r="IQ33" i="6"/>
  <c r="IQ35" i="6" s="1"/>
  <c r="IA33" i="6"/>
  <c r="IA35" i="6" s="1"/>
  <c r="HK33" i="6"/>
  <c r="HK35" i="6" s="1"/>
  <c r="GU33" i="6"/>
  <c r="GU35" i="6" s="1"/>
  <c r="GE33" i="6"/>
  <c r="GE35" i="6" s="1"/>
  <c r="FO33" i="6"/>
  <c r="FO35" i="6" s="1"/>
  <c r="EY33" i="6"/>
  <c r="EY35" i="6" s="1"/>
  <c r="EI33" i="6"/>
  <c r="EI35" i="6" s="1"/>
  <c r="DS33" i="6"/>
  <c r="DS35" i="6" s="1"/>
  <c r="DC33" i="6"/>
  <c r="DC35" i="6" s="1"/>
  <c r="CM33" i="6"/>
  <c r="CM35" i="6" s="1"/>
  <c r="BW33" i="6"/>
  <c r="BW35" i="6" s="1"/>
  <c r="IC33" i="6"/>
  <c r="IC35" i="6" s="1"/>
  <c r="GK33" i="6"/>
  <c r="GK35" i="6" s="1"/>
  <c r="EO33" i="6"/>
  <c r="EO35" i="6" s="1"/>
  <c r="CS33" i="6"/>
  <c r="CS35" i="6" s="1"/>
  <c r="IL33" i="6"/>
  <c r="IL35" i="6" s="1"/>
  <c r="HV33" i="6"/>
  <c r="HV35" i="6" s="1"/>
  <c r="HF33" i="6"/>
  <c r="HF35" i="6" s="1"/>
  <c r="GP33" i="6"/>
  <c r="GP35" i="6" s="1"/>
  <c r="FZ33" i="6"/>
  <c r="FZ35" i="6" s="1"/>
  <c r="FJ33" i="6"/>
  <c r="FJ35" i="6" s="1"/>
  <c r="ET33" i="6"/>
  <c r="ET35" i="6" s="1"/>
  <c r="ED33" i="6"/>
  <c r="ED35" i="6" s="1"/>
  <c r="DN33" i="6"/>
  <c r="DN35" i="6" s="1"/>
  <c r="CX33" i="6"/>
  <c r="CX35" i="6" s="1"/>
  <c r="CH33" i="6"/>
  <c r="CH35" i="6" s="1"/>
  <c r="BR33" i="6"/>
  <c r="BR35" i="6" s="1"/>
  <c r="HY33" i="6"/>
  <c r="HY35" i="6" s="1"/>
  <c r="GC33" i="6"/>
  <c r="GC35" i="6" s="1"/>
  <c r="EG33" i="6"/>
  <c r="EG35" i="6" s="1"/>
  <c r="CK33" i="6"/>
  <c r="CK35" i="6" s="1"/>
  <c r="IJ33" i="6"/>
  <c r="IJ35" i="6" s="1"/>
  <c r="HT33" i="6"/>
  <c r="HT35" i="6" s="1"/>
  <c r="HD33" i="6"/>
  <c r="HD35" i="6" s="1"/>
  <c r="GN33" i="6"/>
  <c r="GN35" i="6" s="1"/>
  <c r="FX33" i="6"/>
  <c r="FX35" i="6" s="1"/>
  <c r="FH33" i="6"/>
  <c r="FH35" i="6" s="1"/>
  <c r="ER33" i="6"/>
  <c r="ER35" i="6" s="1"/>
  <c r="EB33" i="6"/>
  <c r="EB35" i="6" s="1"/>
  <c r="DL33" i="6"/>
  <c r="DL35" i="6" s="1"/>
  <c r="CV33" i="6"/>
  <c r="CV35" i="6" s="1"/>
  <c r="CF33" i="6"/>
  <c r="CF35" i="6" s="1"/>
  <c r="BP33" i="6"/>
  <c r="BP35" i="6" s="1"/>
  <c r="HI33" i="6"/>
  <c r="HI35" i="6" s="1"/>
  <c r="FE33" i="6"/>
  <c r="FE35" i="6" s="1"/>
  <c r="DM33" i="6"/>
  <c r="DM35" i="6" s="1"/>
  <c r="CC33" i="6"/>
  <c r="CC35" i="6" s="1"/>
  <c r="IM33" i="6"/>
  <c r="IM35" i="6" s="1"/>
  <c r="HW33" i="6"/>
  <c r="HW35" i="6" s="1"/>
  <c r="HG33" i="6"/>
  <c r="HG35" i="6" s="1"/>
  <c r="GQ33" i="6"/>
  <c r="GQ35" i="6" s="1"/>
  <c r="GA33" i="6"/>
  <c r="GA35" i="6" s="1"/>
  <c r="FK33" i="6"/>
  <c r="FK35" i="6" s="1"/>
  <c r="EU33" i="6"/>
  <c r="EU35" i="6" s="1"/>
  <c r="EE33" i="6"/>
  <c r="EE35" i="6" s="1"/>
  <c r="DO33" i="6"/>
  <c r="DO35" i="6" s="1"/>
  <c r="CY33" i="6"/>
  <c r="CY35" i="6" s="1"/>
  <c r="CI33" i="6"/>
  <c r="CI35" i="6" s="1"/>
  <c r="BS33" i="6"/>
  <c r="BS35" i="6" s="1"/>
  <c r="HQ33" i="6"/>
  <c r="HQ35" i="6" s="1"/>
  <c r="FY33" i="6"/>
  <c r="FY35" i="6" s="1"/>
  <c r="EC33" i="6"/>
  <c r="EC35" i="6" s="1"/>
  <c r="BY33" i="6"/>
  <c r="BY35" i="6" s="1"/>
  <c r="IH33" i="6"/>
  <c r="IH35" i="6" s="1"/>
  <c r="HR33" i="6"/>
  <c r="HR35" i="6" s="1"/>
  <c r="HB33" i="6"/>
  <c r="HB35" i="6" s="1"/>
  <c r="GL33" i="6"/>
  <c r="GL35" i="6" s="1"/>
  <c r="FV33" i="6"/>
  <c r="FV35" i="6" s="1"/>
  <c r="FF33" i="6"/>
  <c r="FF35" i="6" s="1"/>
  <c r="EP33" i="6"/>
  <c r="EP35" i="6" s="1"/>
  <c r="DZ33" i="6"/>
  <c r="DZ35" i="6" s="1"/>
  <c r="DJ33" i="6"/>
  <c r="DJ35" i="6" s="1"/>
  <c r="CT33" i="6"/>
  <c r="CT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D80" i="6"/>
  <c r="O80" i="6" s="1"/>
  <c r="C82" i="6"/>
  <c r="AG68" i="1"/>
  <c r="AG65" i="1"/>
  <c r="GL38" i="6" l="1"/>
  <c r="GL40" i="6" s="1"/>
  <c r="R81" i="6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GL44" i="6" l="1"/>
  <c r="GL56" i="6" s="1"/>
  <c r="GL45" i="6"/>
  <c r="GL41" i="6"/>
  <c r="GL42" i="6"/>
  <c r="GL46" i="6"/>
  <c r="AP57" i="6" l="1"/>
  <c r="AQ57" i="6" s="1"/>
  <c r="AR57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45" i="6"/>
  <c r="AQ45" i="6" s="1"/>
  <c r="AR45" i="6" s="1"/>
  <c r="AS45" i="6" s="1"/>
  <c r="AT45" i="6" s="1"/>
  <c r="AU45" i="6" s="1"/>
  <c r="AV45" i="6" s="1"/>
  <c r="AW45" i="6" s="1"/>
  <c r="AX45" i="6" s="1"/>
  <c r="AP48" i="6"/>
  <c r="AQ48" i="6" s="1"/>
  <c r="AR48" i="6" s="1"/>
  <c r="AS48" i="6" s="1"/>
  <c r="AT48" i="6" s="1"/>
  <c r="AU48" i="6" s="1"/>
  <c r="AV48" i="6" s="1"/>
  <c r="AW48" i="6" s="1"/>
  <c r="AX48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0" i="6"/>
  <c r="AQ30" i="6" s="1"/>
  <c r="AR30" i="6" s="1"/>
  <c r="AS30" i="6" s="1"/>
  <c r="AT30" i="6" s="1"/>
  <c r="AU30" i="6" s="1"/>
  <c r="AV30" i="6" s="1"/>
  <c r="AW30" i="6" s="1"/>
  <c r="AX30" i="6" s="1"/>
  <c r="GL49" i="6"/>
  <c r="GL55" i="6"/>
  <c r="GL50" i="6"/>
  <c r="GL47" i="6"/>
  <c r="GL48" i="6"/>
  <c r="GL51" i="6"/>
  <c r="AP56" i="6" l="1"/>
  <c r="AQ56" i="6" s="1"/>
  <c r="AR56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44" i="6"/>
  <c r="AQ44" i="6" s="1"/>
  <c r="AR44" i="6" s="1"/>
  <c r="AS44" i="6" s="1"/>
  <c r="AT44" i="6" s="1"/>
  <c r="AU44" i="6" s="1"/>
  <c r="AV44" i="6" s="1"/>
  <c r="AW44" i="6" s="1"/>
  <c r="AX44" i="6" s="1"/>
  <c r="AP47" i="6"/>
  <c r="AQ47" i="6" s="1"/>
  <c r="AR47" i="6" s="1"/>
  <c r="AS47" i="6" s="1"/>
  <c r="AT47" i="6" s="1"/>
  <c r="AU47" i="6" s="1"/>
  <c r="AV47" i="6" s="1"/>
  <c r="AW47" i="6" s="1"/>
  <c r="AX47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29" i="6"/>
  <c r="AQ29" i="6" s="1"/>
  <c r="AR29" i="6" s="1"/>
  <c r="AS29" i="6" s="1"/>
  <c r="AT29" i="6" s="1"/>
  <c r="AU29" i="6" s="1"/>
  <c r="AV29" i="6" s="1"/>
  <c r="AW29" i="6" s="1"/>
  <c r="AX29" i="6" s="1"/>
  <c r="GL52" i="6"/>
  <c r="GL39" i="6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<sst xmlns="http://schemas.openxmlformats.org/spreadsheetml/2006/main" count="1211" uniqueCount="253">
  <si>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</si>
  <si>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</si>
  <si>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</si>
  <si>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</si>
  <si>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</si>
  <si>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</si>
  <si>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</si>
  <si>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</si>
  <si>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</si>
  <si>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</si>
  <si>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</si>
  <si>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</si>
  <si>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</si>
  <si>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</si>
  <si>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</si>
  <si>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</si>
  <si>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</si>
  <si>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</si>
  <si>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</si>
  <si>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</si>
  <si>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</si>
  <si>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</si>
  <si>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</si>
  <si>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</si>
  <si>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</si>
  <si>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</si>
  <si>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</si>
  <si>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</si>
  <si>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</si>
  <si>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</si>
  <si>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</si>
  <si>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</si>
  <si>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</si>
  <si>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</si>
  <si>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</si>
  <si>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</si>
  <si>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</si>
  <si>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</si>
  <si>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</si>
  <si>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</si>
  <si>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</si>
  <si>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</si>
  <si>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</si>
  <si>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</si>
  <si>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</si>
  <si>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</si>
  <si>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</si>
  <si>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</si>
  <si>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</si>
  <si>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</si>
  <si>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</si>
  <si>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</si>
  <si>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</si>
  <si>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</si>
  <si>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</si>
  <si>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</si>
  <si>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</si>
  <si>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</si>
  <si>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</si>
  <si>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</si>
  <si>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</si>
  <si>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</si>
  <si>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</si>
  <si>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</si>
  <si>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</si>
  <si>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</si>
  <si>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</si>
  <si>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</si>
  <si>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</si>
  <si>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</si>
  <si>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</si>
  <si>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</si>
  <si>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</si>
  <si>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</si>
  <si>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</si>
  <si>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</si>
  <si>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</si>
  <si>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</si>
  <si>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</si>
  <si>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</si>
  <si>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</si>
  <si>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</si>
  <si>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</si>
  <si>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</si>
  <si>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</si>
  <si>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</si>
  <si>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</si>
  <si>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</si>
  <si>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</si>
  <si>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</si>
  <si>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</si>
  <si>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</si>
  <si>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</si>
  <si>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</si>
  <si>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</si>
  <si>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</si>
  <si>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</si>
  <si>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</si>
  <si>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</si>
  <si>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</si>
  <si>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</si>
  <si>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</si>
  <si>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</si>
  <si>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</si>
  <si>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</si>
  <si>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</si>
  <si>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</si>
  <si>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</si>
  <si>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</si>
  <si>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</si>
  <si>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</si>
  <si>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</si>
  <si>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</si>
  <si>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</si>
  <si>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</si>
  <si>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</si>
  <si>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</si>
  <si>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</si>
  <si>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</si>
  <si>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</si>
  <si>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</si>
  <si>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</si>
  <si>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</si>
  <si>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Ponto2</t>
  </si>
  <si>
    <t>Ponto3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</si>
  <si>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</si>
  <si>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</si>
  <si>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</si>
  <si>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</si>
  <si>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</si>
  <si>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</si>
  <si>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</si>
  <si>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</si>
  <si>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Simergy</t>
  </si>
  <si>
    <t>Weighting</t>
  </si>
  <si>
    <t>F entre SI1 e SI5</t>
  </si>
  <si>
    <t>Middle value</t>
  </si>
  <si>
    <t>Ponto117</t>
  </si>
  <si>
    <t>Ponto 11</t>
  </si>
  <si>
    <t>Ponto 12</t>
  </si>
  <si>
    <t>Ponto 13</t>
  </si>
  <si>
    <t>Ponto 14</t>
  </si>
  <si>
    <t>Ponto 15</t>
  </si>
  <si>
    <t>Ponto 16</t>
  </si>
  <si>
    <t>Ponto 17</t>
  </si>
  <si>
    <t>Ponto 18</t>
  </si>
  <si>
    <t>Ponto 19</t>
  </si>
  <si>
    <t>Ponto 20</t>
  </si>
  <si>
    <t>Ponto 21</t>
  </si>
  <si>
    <t>Ponto 22</t>
  </si>
  <si>
    <t>Ponto 23</t>
  </si>
  <si>
    <t>Ponto 24</t>
  </si>
  <si>
    <t>Ponto 25</t>
  </si>
  <si>
    <t>Ponto 26</t>
  </si>
  <si>
    <t>Ponto 27</t>
  </si>
  <si>
    <t>Ponto 28</t>
  </si>
  <si>
    <t>Ponto 29</t>
  </si>
  <si>
    <t>Ponto 30</t>
  </si>
  <si>
    <t>Ponto 31</t>
  </si>
  <si>
    <t>Ponto 32</t>
  </si>
  <si>
    <t>Ponto 33</t>
  </si>
  <si>
    <t>Ponto 34</t>
  </si>
  <si>
    <t>Ponto 35</t>
  </si>
  <si>
    <t>Ponto 36</t>
  </si>
  <si>
    <t>Ponto 37</t>
  </si>
  <si>
    <t>Ponto 38</t>
  </si>
  <si>
    <t>Ponto 39</t>
  </si>
  <si>
    <t>Ponto 40</t>
  </si>
  <si>
    <t>Ponto 41</t>
  </si>
  <si>
    <t>Ponto 42</t>
  </si>
  <si>
    <t>Ponto 43</t>
  </si>
  <si>
    <t>Ponto 44</t>
  </si>
  <si>
    <t>Ponto 45</t>
  </si>
  <si>
    <t>Ponto 46</t>
  </si>
  <si>
    <t>Ponto 47</t>
  </si>
  <si>
    <t>Ponto 48</t>
  </si>
  <si>
    <t>Ponto 49</t>
  </si>
  <si>
    <t>Ponto 50</t>
  </si>
  <si>
    <t>Ponto 51</t>
  </si>
  <si>
    <t>Ponto 52</t>
  </si>
  <si>
    <t>Ponto 53</t>
  </si>
  <si>
    <t>Ponto 54</t>
  </si>
  <si>
    <t>Ponto 55</t>
  </si>
  <si>
    <t>Ponto 56</t>
  </si>
  <si>
    <t>Ponto 57</t>
  </si>
  <si>
    <t>Ponto 58</t>
  </si>
  <si>
    <t>Ponto 59</t>
  </si>
  <si>
    <t>Ponto 60</t>
  </si>
  <si>
    <t>Ponto 61</t>
  </si>
  <si>
    <t>Ponto 62</t>
  </si>
  <si>
    <t>Ponto 63</t>
  </si>
  <si>
    <t>Ponto 64</t>
  </si>
  <si>
    <t>Ponto 65</t>
  </si>
  <si>
    <t>Ponto 66</t>
  </si>
  <si>
    <t>Ponto 67</t>
  </si>
  <si>
    <t>Ponto 68</t>
  </si>
  <si>
    <t>Ponto 69</t>
  </si>
  <si>
    <t>Ponto 70</t>
  </si>
  <si>
    <t>Ponto 71</t>
  </si>
  <si>
    <t>Ponto 72</t>
  </si>
  <si>
    <t>Ponto 73</t>
  </si>
  <si>
    <t>Ponto 74</t>
  </si>
  <si>
    <t>Ponto 75</t>
  </si>
  <si>
    <t>Ponto 76</t>
  </si>
  <si>
    <t>Ponto 77</t>
  </si>
  <si>
    <t>Ponto 78</t>
  </si>
  <si>
    <t>Ponto 79</t>
  </si>
  <si>
    <t>Ponto 80</t>
  </si>
  <si>
    <t>Ponto 81</t>
  </si>
  <si>
    <t>Ponto 82</t>
  </si>
  <si>
    <t>Ponto 83</t>
  </si>
  <si>
    <t>Ponto 84</t>
  </si>
  <si>
    <t>Ponto 85</t>
  </si>
  <si>
    <t>Ponto 86</t>
  </si>
  <si>
    <t>Ponto 87</t>
  </si>
  <si>
    <t>Ponto 88</t>
  </si>
  <si>
    <t>Ponto 89</t>
  </si>
  <si>
    <t>Ponto 90</t>
  </si>
  <si>
    <t>Ponto 91</t>
  </si>
  <si>
    <t>Ponto 92</t>
  </si>
  <si>
    <t>Ponto 93</t>
  </si>
  <si>
    <t>Ponto 94</t>
  </si>
  <si>
    <t>Ponto 95</t>
  </si>
  <si>
    <t>Ponto 96</t>
  </si>
  <si>
    <t>Ponto 97</t>
  </si>
  <si>
    <t>Ponto 98</t>
  </si>
  <si>
    <t>Ponto 99</t>
  </si>
  <si>
    <t>Ponto 100</t>
  </si>
  <si>
    <t>K:\André\testes\NOVO\teste 12 pontos.eMe</t>
  </si>
  <si>
    <t>Thayna</t>
  </si>
  <si>
    <t>Henrique</t>
  </si>
  <si>
    <t>Andre</t>
  </si>
  <si>
    <t>Atala</t>
  </si>
  <si>
    <t>Bianca</t>
  </si>
  <si>
    <t>Guilherme</t>
  </si>
  <si>
    <t>Joao</t>
  </si>
  <si>
    <t>Biagio</t>
  </si>
  <si>
    <t>Cecilia</t>
  </si>
  <si>
    <t>Feni</t>
  </si>
  <si>
    <t>Mirela</t>
  </si>
  <si>
    <t>Antunes</t>
  </si>
  <si>
    <t>1-Thayna</t>
  </si>
  <si>
    <t>2-Henrique</t>
  </si>
  <si>
    <t>3-Andre</t>
  </si>
  <si>
    <t>4-Atala</t>
  </si>
  <si>
    <t>5-Bianca</t>
  </si>
  <si>
    <t>6-Guilherme</t>
  </si>
  <si>
    <t>7-Joao</t>
  </si>
  <si>
    <t>8-Biagio</t>
  </si>
  <si>
    <t>9-Cecilia</t>
  </si>
  <si>
    <t>10-Feni</t>
  </si>
  <si>
    <t>11-Mirela</t>
  </si>
  <si>
    <t>12-Antunes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</si>
</sst>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14" fillId="10" borderId="0" xfId="0" applyFont="1" applyFill="1" applyAlignment="1">
      <alignment horizontal="center" vertical="center"/>
    </xf>
    <xf numFmtId="0" fontId="8" fillId="0" borderId="0" xfId="0" applyFont="1" applyAlignment="1">
      <alignment wrapText="1"/>
    </xf>
    <xf numFmtId="0" fontId="5" fillId="2" borderId="16" xfId="0" applyFont="1" applyFill="1" applyBorder="1"/>
    <xf numFmtId="0" fontId="5" fillId="2" borderId="15" xfId="0" applyFont="1" applyFill="1" applyBorder="1"/>
    <xf numFmtId="0" fontId="5" fillId="2" borderId="0" xfId="0" applyFont="1" applyFill="1"/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0.53291988700628756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7.477597481230322E-2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0.55478034726513814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1.1269138105230435E-2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3.7498150020865914E-3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0.97405051898962025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4-Atala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8.6195072761755193E-4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0.40540173724212814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5-Bianca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0.56251329150824048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0.13391438647665083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Diagrama!$GL$34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Diagrama!$GL$55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Diagrama!$GL$56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7-Joao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0.33832622448038058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0.41042245561154805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8-Biagio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6.8485463787777033E-3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5.0196298373527759E-3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8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-0.49425886329757934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7.8747878559306053E-2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10-Feni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-5.22653927897977E-2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0.36378947368421055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Diagrama!$L$25</c:f>
              <c:strCache>
                <c:ptCount val="1"/>
                <c:pt idx="0">
                  <c:v>11-Mirela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-3.4035932899825087E-2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0.33476394849785407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Diagrama!$M$25</c:f>
              <c:strCache>
                <c:ptCount val="1"/>
                <c:pt idx="0">
                  <c:v>12-Antunes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 wrap="square" lIns="38100" tIns="19050" rIns="38100" bIns="19050" anchor="ctr">
                    <a:spAutoFit/>
                  </a:bodyPr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Diagrama!$M$26</c:f>
              <c:numCache>
                <c:formatCode>0.00</c:formatCode>
                <c:ptCount val="1"/>
                <c:pt idx="0">
                  <c:v>-3.4035932899825087E-2</c:v>
                </c:pt>
              </c:numCache>
            </c:numRef>
          </c:xVal>
          <c:yVal>
            <c:numRef>
              <c:f>Diagrama!$M$27</c:f>
              <c:numCache>
                <c:formatCode>0.00</c:formatCode>
                <c:ptCount val="1"/>
                <c:pt idx="0">
                  <c:v>0.32096069868995636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Diagrama!$N$26</c:f>
              <c:numCache>
                <c:formatCode>0.00</c:formatCode>
                <c:ptCount val="1"/>
              </c:numCache>
            </c:numRef>
          </c:xVal>
          <c:yVal>
            <c:numRef>
              <c:f>Diagrama!$N$27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Diagrama!$O$26</c:f>
              <c:numCache>
                <c:formatCode>0.00</c:formatCode>
                <c:ptCount val="1"/>
              </c:numCache>
            </c:numRef>
          </c:xVal>
          <c:yVal>
            <c:numRef>
              <c:f>Diagrama!$O$27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Diagrama!$P$26</c:f>
              <c:numCache>
                <c:formatCode>0.00</c:formatCode>
                <c:ptCount val="1"/>
              </c:numCache>
            </c:numRef>
          </c:xVal>
          <c:yVal>
            <c:numRef>
              <c:f>Diagrama!$P$27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Diagrama!$Q$26</c:f>
              <c:numCache>
                <c:formatCode>0.00</c:formatCode>
                <c:ptCount val="1"/>
              </c:numCache>
            </c:numRef>
          </c:xVal>
          <c:yVal>
            <c:numRef>
              <c:f>Diagrama!$Q$27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Diagrama!$R$26</c:f>
              <c:numCache>
                <c:formatCode>0.00</c:formatCode>
                <c:ptCount val="1"/>
              </c:numCache>
            </c:numRef>
          </c:xVal>
          <c:yVal>
            <c:numRef>
              <c:f>Diagrama!$R$27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Diagrama!$S$26</c:f>
              <c:numCache>
                <c:formatCode>0.00</c:formatCode>
                <c:ptCount val="1"/>
              </c:numCache>
            </c:numRef>
          </c:xVal>
          <c:yVal>
            <c:numRef>
              <c:f>Diagrama!$S$27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Diagrama!$T$26</c:f>
              <c:numCache>
                <c:formatCode>0.00</c:formatCode>
                <c:ptCount val="1"/>
              </c:numCache>
            </c:numRef>
          </c:xVal>
          <c:yVal>
            <c:numRef>
              <c:f>Diagrama!$T$27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Diagrama!$U$26</c:f>
              <c:numCache>
                <c:formatCode>0.00</c:formatCode>
                <c:ptCount val="1"/>
              </c:numCache>
            </c:numRef>
          </c:xVal>
          <c:yVal>
            <c:numRef>
              <c:f>Diagrama!$U$27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Diagrama!$V$26</c:f>
              <c:numCache>
                <c:formatCode>0.00</c:formatCode>
                <c:ptCount val="1"/>
              </c:numCache>
            </c:numRef>
          </c:xVal>
          <c:yVal>
            <c:numRef>
              <c:f>Diagrama!$V$27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Diagrama!$W$26</c:f>
              <c:numCache>
                <c:formatCode>0.00</c:formatCode>
                <c:ptCount val="1"/>
              </c:numCache>
            </c:numRef>
          </c:xVal>
          <c:yVal>
            <c:numRef>
              <c:f>Diagrama!$W$27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Diagrama!$X$26</c:f>
              <c:numCache>
                <c:formatCode>0.00</c:formatCode>
                <c:ptCount val="1"/>
              </c:numCache>
            </c:numRef>
          </c:xVal>
          <c:yVal>
            <c:numRef>
              <c:f>Diagrama!$X$27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Diagrama!$Y$26</c:f>
              <c:numCache>
                <c:formatCode>0.00</c:formatCode>
                <c:ptCount val="1"/>
              </c:numCache>
            </c:numRef>
          </c:xVal>
          <c:yVal>
            <c:numRef>
              <c:f>Diagrama!$Y$27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Diagrama!$Z$26</c:f>
              <c:numCache>
                <c:formatCode>0.00</c:formatCode>
                <c:ptCount val="1"/>
              </c:numCache>
            </c:numRef>
          </c:xVal>
          <c:yVal>
            <c:numRef>
              <c:f>Diagrama!$Z$27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Diagrama!$AA$26</c:f>
              <c:numCache>
                <c:formatCode>0.00</c:formatCode>
                <c:ptCount val="1"/>
              </c:numCache>
            </c:numRef>
          </c:xVal>
          <c:yVal>
            <c:numRef>
              <c:f>Diagrama!$AA$27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Diagrama!$AB$26</c:f>
              <c:numCache>
                <c:formatCode>0.00</c:formatCode>
                <c:ptCount val="1"/>
              </c:numCache>
            </c:numRef>
          </c:xVal>
          <c:yVal>
            <c:numRef>
              <c:f>Diagrama!$AB$27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Diagrama!$AC$26</c:f>
              <c:numCache>
                <c:formatCode>0.00</c:formatCode>
                <c:ptCount val="1"/>
              </c:numCache>
            </c:numRef>
          </c:xVal>
          <c:yVal>
            <c:numRef>
              <c:f>Diagrama!$AC$27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Diagrama!$AD$26</c:f>
              <c:numCache>
                <c:formatCode>0.00</c:formatCode>
                <c:ptCount val="1"/>
              </c:numCache>
            </c:numRef>
          </c:xVal>
          <c:yVal>
            <c:numRef>
              <c:f>Diagrama!$AD$27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Diagrama!$AE$26</c:f>
              <c:numCache>
                <c:formatCode>0.00</c:formatCode>
                <c:ptCount val="1"/>
              </c:numCache>
            </c:numRef>
          </c:xVal>
          <c:yVal>
            <c:numRef>
              <c:f>Diagrama!$AE$27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Diagrama!$AF$25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Diagrama!$AF$26</c:f>
              <c:numCache>
                <c:formatCode>0.00</c:formatCode>
                <c:ptCount val="1"/>
              </c:numCache>
            </c:numRef>
          </c:xVal>
          <c:yVal>
            <c:numRef>
              <c:f>Diagrama!$AF$27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Diagrama!$AG$25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Diagrama!$AG$26</c:f>
              <c:numCache>
                <c:formatCode>0.00</c:formatCode>
                <c:ptCount val="1"/>
              </c:numCache>
            </c:numRef>
          </c:xVal>
          <c:yVal>
            <c:numRef>
              <c:f>Diagrama!$AG$27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Diagrama!$AH$25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Diagrama!$AH$26</c:f>
              <c:numCache>
                <c:formatCode>0.00</c:formatCode>
                <c:ptCount val="1"/>
              </c:numCache>
            </c:numRef>
          </c:xVal>
          <c:yVal>
            <c:numRef>
              <c:f>Diagrama!$AH$27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Diagrama!$AI$25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Diagrama!$AI$26</c:f>
              <c:numCache>
                <c:formatCode>0.00</c:formatCode>
                <c:ptCount val="1"/>
              </c:numCache>
            </c:numRef>
          </c:xVal>
          <c:yVal>
            <c:numRef>
              <c:f>Diagrama!$AI$27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Diagrama!$AJ$25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Diagrama!$AJ$26</c:f>
              <c:numCache>
                <c:formatCode>0.00</c:formatCode>
                <c:ptCount val="1"/>
              </c:numCache>
            </c:numRef>
          </c:xVal>
          <c:yVal>
            <c:numRef>
              <c:f>Diagrama!$AJ$27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Diagrama!$AK$25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Diagrama!$AK$26</c:f>
              <c:numCache>
                <c:formatCode>0.00</c:formatCode>
                <c:ptCount val="1"/>
              </c:numCache>
            </c:numRef>
          </c:xVal>
          <c:yVal>
            <c:numRef>
              <c:f>Diagrama!$AK$27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Diagrama!$AL$25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Diagrama!$AL$26</c:f>
              <c:numCache>
                <c:formatCode>0.00</c:formatCode>
                <c:ptCount val="1"/>
              </c:numCache>
            </c:numRef>
          </c:xVal>
          <c:yVal>
            <c:numRef>
              <c:f>Diagrama!$AL$27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Diagrama!$AM$25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Diagrama!$AM$26</c:f>
              <c:numCache>
                <c:formatCode>0.00</c:formatCode>
                <c:ptCount val="1"/>
              </c:numCache>
            </c:numRef>
          </c:xVal>
          <c:yVal>
            <c:numRef>
              <c:f>Diagrama!$AM$27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Diagrama!$AN$25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Diagrama!$AN$26</c:f>
              <c:numCache>
                <c:formatCode>0.00</c:formatCode>
                <c:ptCount val="1"/>
              </c:numCache>
            </c:numRef>
          </c:xVal>
          <c:yVal>
            <c:numRef>
              <c:f>Diagrama!$AN$27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Diagrama!$AO$25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Diagrama!$AO$26</c:f>
              <c:numCache>
                <c:formatCode>0.00</c:formatCode>
                <c:ptCount val="1"/>
              </c:numCache>
            </c:numRef>
          </c:xVal>
          <c:yVal>
            <c:numRef>
              <c:f>Diagrama!$AO$27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Diagrama!$AP$25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Diagrama!$AP$26</c:f>
              <c:numCache>
                <c:formatCode>0.00</c:formatCode>
                <c:ptCount val="1"/>
              </c:numCache>
            </c:numRef>
          </c:xVal>
          <c:yVal>
            <c:numRef>
              <c:f>Diagrama!$AP$27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Diagrama!$AQ$25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Diagrama!$AQ$26</c:f>
              <c:numCache>
                <c:formatCode>0.00</c:formatCode>
                <c:ptCount val="1"/>
              </c:numCache>
            </c:numRef>
          </c:xVal>
          <c:yVal>
            <c:numRef>
              <c:f>Diagrama!$AQ$27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Diagrama!$AR$25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Diagrama!$AR$26</c:f>
              <c:numCache>
                <c:formatCode>0.00</c:formatCode>
                <c:ptCount val="1"/>
              </c:numCache>
            </c:numRef>
          </c:xVal>
          <c:yVal>
            <c:numRef>
              <c:f>Diagrama!$AR$27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Diagrama!$AS$25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Diagrama!$AS$26</c:f>
              <c:numCache>
                <c:formatCode>0.00</c:formatCode>
                <c:ptCount val="1"/>
              </c:numCache>
            </c:numRef>
          </c:xVal>
          <c:yVal>
            <c:numRef>
              <c:f>Diagrama!$AS$27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Diagrama!$AT$25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Diagrama!$AT$26</c:f>
              <c:numCache>
                <c:formatCode>0.00</c:formatCode>
                <c:ptCount val="1"/>
              </c:numCache>
            </c:numRef>
          </c:xVal>
          <c:yVal>
            <c:numRef>
              <c:f>Diagrama!$AT$27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Diagrama!$AU$25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Diagrama!$AU$26</c:f>
              <c:numCache>
                <c:formatCode>0.00</c:formatCode>
                <c:ptCount val="1"/>
              </c:numCache>
            </c:numRef>
          </c:xVal>
          <c:yVal>
            <c:numRef>
              <c:f>Diagrama!$AU$27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Diagrama!$AV$25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Diagrama!$AV$26</c:f>
              <c:numCache>
                <c:formatCode>0.00</c:formatCode>
                <c:ptCount val="1"/>
              </c:numCache>
            </c:numRef>
          </c:xVal>
          <c:yVal>
            <c:numRef>
              <c:f>Diagrama!$AV$27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Diagrama!$AW$25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Diagrama!$AW$26</c:f>
              <c:numCache>
                <c:formatCode>0.00</c:formatCode>
                <c:ptCount val="1"/>
              </c:numCache>
            </c:numRef>
          </c:xVal>
          <c:yVal>
            <c:numRef>
              <c:f>Diagrama!$AW$27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Diagrama!$AX$25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Diagrama!$AX$26</c:f>
              <c:numCache>
                <c:formatCode>0.00</c:formatCode>
                <c:ptCount val="1"/>
              </c:numCache>
            </c:numRef>
          </c:xVal>
          <c:yVal>
            <c:numRef>
              <c:f>Diagrama!$AX$27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Diagrama!$AY$25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Diagrama!$AY$26</c:f>
              <c:numCache>
                <c:formatCode>0.00</c:formatCode>
                <c:ptCount val="1"/>
              </c:numCache>
            </c:numRef>
          </c:xVal>
          <c:yVal>
            <c:numRef>
              <c:f>Diagrama!$AY$27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Diagrama!$AZ$25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Diagrama!$AZ$26</c:f>
              <c:numCache>
                <c:formatCode>0.00</c:formatCode>
                <c:ptCount val="1"/>
              </c:numCache>
            </c:numRef>
          </c:xVal>
          <c:yVal>
            <c:numRef>
              <c:f>Diagrama!$AZ$27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Diagrama!$BA$25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Diagrama!$BA$26</c:f>
              <c:numCache>
                <c:formatCode>0.00</c:formatCode>
                <c:ptCount val="1"/>
              </c:numCache>
            </c:numRef>
          </c:xVal>
          <c:yVal>
            <c:numRef>
              <c:f>Diagrama!$BA$27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Diagrama!$BB$25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Diagrama!$BB$26</c:f>
              <c:numCache>
                <c:formatCode>0.00</c:formatCode>
                <c:ptCount val="1"/>
              </c:numCache>
            </c:numRef>
          </c:xVal>
          <c:yVal>
            <c:numRef>
              <c:f>Diagrama!$BB$27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Diagrama!$BC$25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Diagrama!$BC$26</c:f>
              <c:numCache>
                <c:formatCode>0.00</c:formatCode>
                <c:ptCount val="1"/>
              </c:numCache>
            </c:numRef>
          </c:xVal>
          <c:yVal>
            <c:numRef>
              <c:f>Diagrama!$BC$27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Diagrama!$BD$25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Diagrama!$BD$26</c:f>
              <c:numCache>
                <c:formatCode>0.00</c:formatCode>
                <c:ptCount val="1"/>
              </c:numCache>
            </c:numRef>
          </c:xVal>
          <c:yVal>
            <c:numRef>
              <c:f>Diagrama!$BD$27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Diagrama!$BE$25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Diagrama!$BE$26</c:f>
              <c:numCache>
                <c:formatCode>0.00</c:formatCode>
                <c:ptCount val="1"/>
              </c:numCache>
            </c:numRef>
          </c:xVal>
          <c:yVal>
            <c:numRef>
              <c:f>Diagrama!$BE$27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Diagrama!$BF$25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Diagrama!$BF$26</c:f>
              <c:numCache>
                <c:formatCode>0.00</c:formatCode>
                <c:ptCount val="1"/>
              </c:numCache>
            </c:numRef>
          </c:xVal>
          <c:yVal>
            <c:numRef>
              <c:f>Diagrama!$BF$27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Diagrama!$BG$25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Diagrama!$BG$26</c:f>
              <c:numCache>
                <c:formatCode>0.00</c:formatCode>
                <c:ptCount val="1"/>
              </c:numCache>
            </c:numRef>
          </c:xVal>
          <c:yVal>
            <c:numRef>
              <c:f>Diagrama!$BG$27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Diagrama!$BH$25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Diagrama!$BH$26</c:f>
              <c:numCache>
                <c:formatCode>0.00</c:formatCode>
                <c:ptCount val="1"/>
              </c:numCache>
            </c:numRef>
          </c:xVal>
          <c:yVal>
            <c:numRef>
              <c:f>Diagrama!$BH$27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Diagrama!$BI$25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Diagrama!$BI$26</c:f>
              <c:numCache>
                <c:formatCode>0.00</c:formatCode>
                <c:ptCount val="1"/>
              </c:numCache>
            </c:numRef>
          </c:xVal>
          <c:yVal>
            <c:numRef>
              <c:f>Diagrama!$BI$27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Diagrama!$BJ$25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Diagrama!$BJ$26</c:f>
              <c:numCache>
                <c:formatCode>0.00</c:formatCode>
                <c:ptCount val="1"/>
              </c:numCache>
            </c:numRef>
          </c:xVal>
          <c:yVal>
            <c:numRef>
              <c:f>Diagrama!$BJ$27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Diagrama!$BK$25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Diagrama!$BK$26</c:f>
              <c:numCache>
                <c:formatCode>0.00</c:formatCode>
                <c:ptCount val="1"/>
              </c:numCache>
            </c:numRef>
          </c:xVal>
          <c:yVal>
            <c:numRef>
              <c:f>Diagrama!$BK$27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Diagrama!$BL$25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Diagrama!$BL$26</c:f>
              <c:numCache>
                <c:formatCode>0.00</c:formatCode>
                <c:ptCount val="1"/>
              </c:numCache>
            </c:numRef>
          </c:xVal>
          <c:yVal>
            <c:numRef>
              <c:f>Diagrama!$BL$27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Diagrama!$BM$25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Diagrama!$BM$26</c:f>
              <c:numCache>
                <c:formatCode>0.00</c:formatCode>
                <c:ptCount val="1"/>
              </c:numCache>
            </c:numRef>
          </c:xVal>
          <c:yVal>
            <c:numRef>
              <c:f>Diagrama!$BM$27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Diagrama!$BN$25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Diagrama!$BN$26</c:f>
              <c:numCache>
                <c:formatCode>0.00</c:formatCode>
                <c:ptCount val="1"/>
              </c:numCache>
            </c:numRef>
          </c:xVal>
          <c:yVal>
            <c:numRef>
              <c:f>Diagrama!$BN$27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Diagrama!$BO$25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Diagrama!$BO$26</c:f>
              <c:numCache>
                <c:formatCode>0.00</c:formatCode>
                <c:ptCount val="1"/>
              </c:numCache>
            </c:numRef>
          </c:xVal>
          <c:yVal>
            <c:numRef>
              <c:f>Diagrama!$BO$27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Diagrama!$BP$25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Diagrama!$BP$26</c:f>
              <c:numCache>
                <c:formatCode>0.00</c:formatCode>
                <c:ptCount val="1"/>
              </c:numCache>
            </c:numRef>
          </c:xVal>
          <c:yVal>
            <c:numRef>
              <c:f>Diagrama!$BP$27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Diagrama!$BQ$25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Diagrama!$BQ$26</c:f>
              <c:numCache>
                <c:formatCode>0.00</c:formatCode>
                <c:ptCount val="1"/>
              </c:numCache>
            </c:numRef>
          </c:xVal>
          <c:yVal>
            <c:numRef>
              <c:f>Diagrama!$BQ$27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Diagrama!$BR$25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Diagrama!$BR$26</c:f>
              <c:numCache>
                <c:formatCode>0.00</c:formatCode>
                <c:ptCount val="1"/>
              </c:numCache>
            </c:numRef>
          </c:xVal>
          <c:yVal>
            <c:numRef>
              <c:f>Diagrama!$BR$27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Diagrama!$BS$25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Diagrama!$BS$26</c:f>
              <c:numCache>
                <c:formatCode>0.00</c:formatCode>
                <c:ptCount val="1"/>
              </c:numCache>
            </c:numRef>
          </c:xVal>
          <c:yVal>
            <c:numRef>
              <c:f>Diagrama!$BS$27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Diagrama!$BT$25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Diagrama!$BT$26</c:f>
              <c:numCache>
                <c:formatCode>0.00</c:formatCode>
                <c:ptCount val="1"/>
              </c:numCache>
            </c:numRef>
          </c:xVal>
          <c:yVal>
            <c:numRef>
              <c:f>Diagrama!$BT$27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Diagrama!$BU$25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Diagrama!$BU$26</c:f>
              <c:numCache>
                <c:formatCode>0.00</c:formatCode>
                <c:ptCount val="1"/>
              </c:numCache>
            </c:numRef>
          </c:xVal>
          <c:yVal>
            <c:numRef>
              <c:f>Diagrama!$BU$27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Diagrama!$BV$25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Diagrama!$BV$26</c:f>
              <c:numCache>
                <c:formatCode>0.00</c:formatCode>
                <c:ptCount val="1"/>
              </c:numCache>
            </c:numRef>
          </c:xVal>
          <c:yVal>
            <c:numRef>
              <c:f>Diagrama!$BV$27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Diagrama!$BW$25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Diagrama!$BW$26</c:f>
              <c:numCache>
                <c:formatCode>0.00</c:formatCode>
                <c:ptCount val="1"/>
              </c:numCache>
            </c:numRef>
          </c:xVal>
          <c:yVal>
            <c:numRef>
              <c:f>Diagrama!$BW$27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Diagrama!$BX$25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Diagrama!$BX$26</c:f>
              <c:numCache>
                <c:formatCode>0.00</c:formatCode>
                <c:ptCount val="1"/>
              </c:numCache>
            </c:numRef>
          </c:xVal>
          <c:yVal>
            <c:numRef>
              <c:f>Diagrama!$BX$27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Diagrama!$BY$25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Diagrama!$BY$26</c:f>
              <c:numCache>
                <c:formatCode>0.00</c:formatCode>
                <c:ptCount val="1"/>
              </c:numCache>
            </c:numRef>
          </c:xVal>
          <c:yVal>
            <c:numRef>
              <c:f>Diagrama!$BY$27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Diagrama!$BZ$25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Diagrama!$BZ$26</c:f>
              <c:numCache>
                <c:formatCode>0.00</c:formatCode>
                <c:ptCount val="1"/>
              </c:numCache>
            </c:numRef>
          </c:xVal>
          <c:yVal>
            <c:numRef>
              <c:f>Diagrama!$BZ$27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Diagrama!$CA$25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Diagrama!$CA$26</c:f>
              <c:numCache>
                <c:formatCode>0.00</c:formatCode>
                <c:ptCount val="1"/>
              </c:numCache>
            </c:numRef>
          </c:xVal>
          <c:yVal>
            <c:numRef>
              <c:f>Diagrama!$CA$27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Diagrama!$CB$25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Diagrama!$CB$26</c:f>
              <c:numCache>
                <c:formatCode>0.00</c:formatCode>
                <c:ptCount val="1"/>
              </c:numCache>
            </c:numRef>
          </c:xVal>
          <c:yVal>
            <c:numRef>
              <c:f>Diagrama!$CB$27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Diagrama!$CC$25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Diagrama!$CC$26</c:f>
              <c:numCache>
                <c:formatCode>0.00</c:formatCode>
                <c:ptCount val="1"/>
              </c:numCache>
            </c:numRef>
          </c:xVal>
          <c:yVal>
            <c:numRef>
              <c:f>Diagrama!$CC$27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Diagrama!$CD$25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Diagrama!$CD$26</c:f>
              <c:numCache>
                <c:formatCode>0.00</c:formatCode>
                <c:ptCount val="1"/>
              </c:numCache>
            </c:numRef>
          </c:xVal>
          <c:yVal>
            <c:numRef>
              <c:f>Diagrama!$CD$27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Diagrama!$CE$25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Diagrama!$CE$26</c:f>
              <c:numCache>
                <c:formatCode>0.00</c:formatCode>
                <c:ptCount val="1"/>
              </c:numCache>
            </c:numRef>
          </c:xVal>
          <c:yVal>
            <c:numRef>
              <c:f>Diagrama!$CE$27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Diagrama!$CF$25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Diagrama!$CF$26</c:f>
              <c:numCache>
                <c:formatCode>0.00</c:formatCode>
                <c:ptCount val="1"/>
              </c:numCache>
            </c:numRef>
          </c:xVal>
          <c:yVal>
            <c:numRef>
              <c:f>Diagrama!$CF$27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Diagrama!$CG$25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Diagrama!$CG$26</c:f>
              <c:numCache>
                <c:formatCode>0.00</c:formatCode>
                <c:ptCount val="1"/>
              </c:numCache>
            </c:numRef>
          </c:xVal>
          <c:yVal>
            <c:numRef>
              <c:f>Diagrama!$CG$27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Diagrama!$CH$25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Diagrama!$CH$26</c:f>
              <c:numCache>
                <c:formatCode>0.00</c:formatCode>
                <c:ptCount val="1"/>
              </c:numCache>
            </c:numRef>
          </c:xVal>
          <c:yVal>
            <c:numRef>
              <c:f>Diagrama!$CH$27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Diagrama!$CI$25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Diagrama!$CI$26</c:f>
              <c:numCache>
                <c:formatCode>0.00</c:formatCode>
                <c:ptCount val="1"/>
              </c:numCache>
            </c:numRef>
          </c:xVal>
          <c:yVal>
            <c:numRef>
              <c:f>Diagrama!$CI$27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Diagrama!$CJ$25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Diagrama!$CJ$26</c:f>
              <c:numCache>
                <c:formatCode>0.00</c:formatCode>
                <c:ptCount val="1"/>
              </c:numCache>
            </c:numRef>
          </c:xVal>
          <c:yVal>
            <c:numRef>
              <c:f>Diagrama!$CJ$27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Diagrama!$CK$25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Diagrama!$CK$26</c:f>
              <c:numCache>
                <c:formatCode>0.00</c:formatCode>
                <c:ptCount val="1"/>
              </c:numCache>
            </c:numRef>
          </c:xVal>
          <c:yVal>
            <c:numRef>
              <c:f>Diagrama!$CK$27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Diagrama!$CL$25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Diagrama!$CL$26</c:f>
              <c:numCache>
                <c:formatCode>0.00</c:formatCode>
                <c:ptCount val="1"/>
              </c:numCache>
            </c:numRef>
          </c:xVal>
          <c:yVal>
            <c:numRef>
              <c:f>Diagrama!$CL$27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Diagrama!$CM$25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Diagrama!$CM$26</c:f>
              <c:numCache>
                <c:formatCode>0.00</c:formatCode>
                <c:ptCount val="1"/>
              </c:numCache>
            </c:numRef>
          </c:xVal>
          <c:yVal>
            <c:numRef>
              <c:f>Diagrama!$CM$27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Diagrama!$CN$25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Diagrama!$CN$26</c:f>
              <c:numCache>
                <c:formatCode>0.00</c:formatCode>
                <c:ptCount val="1"/>
              </c:numCache>
            </c:numRef>
          </c:xVal>
          <c:yVal>
            <c:numRef>
              <c:f>Diagrama!$CN$27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Diagrama!$CO$25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Diagrama!$CO$26</c:f>
              <c:numCache>
                <c:formatCode>0.00</c:formatCode>
                <c:ptCount val="1"/>
              </c:numCache>
            </c:numRef>
          </c:xVal>
          <c:yVal>
            <c:numRef>
              <c:f>Diagrama!$CO$27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Diagrama!$CP$25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Diagrama!$CP$26</c:f>
              <c:numCache>
                <c:formatCode>0.00</c:formatCode>
                <c:ptCount val="1"/>
              </c:numCache>
            </c:numRef>
          </c:xVal>
          <c:yVal>
            <c:numRef>
              <c:f>Diagrama!$CP$27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Diagrama!$CQ$25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Diagrama!$CQ$26</c:f>
              <c:numCache>
                <c:formatCode>0.00</c:formatCode>
                <c:ptCount val="1"/>
              </c:numCache>
            </c:numRef>
          </c:xVal>
          <c:yVal>
            <c:numRef>
              <c:f>Diagrama!$CQ$27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Diagrama!$CR$25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Diagrama!$CR$26</c:f>
              <c:numCache>
                <c:formatCode>0.00</c:formatCode>
                <c:ptCount val="1"/>
              </c:numCache>
            </c:numRef>
          </c:xVal>
          <c:yVal>
            <c:numRef>
              <c:f>Diagrama!$CR$27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Diagrama!$CS$25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Diagrama!$CS$26</c:f>
              <c:numCache>
                <c:formatCode>0.00</c:formatCode>
                <c:ptCount val="1"/>
              </c:numCache>
            </c:numRef>
          </c:xVal>
          <c:yVal>
            <c:numRef>
              <c:f>Diagrama!$CS$27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Diagrama!$CT$25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Diagrama!$CT$26</c:f>
              <c:numCache>
                <c:formatCode>0.00</c:formatCode>
                <c:ptCount val="1"/>
              </c:numCache>
            </c:numRef>
          </c:xVal>
          <c:yVal>
            <c:numRef>
              <c:f>Diagrama!$CT$27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Diagrama!$CU$25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Diagrama!$CU$26</c:f>
              <c:numCache>
                <c:formatCode>0.00</c:formatCode>
                <c:ptCount val="1"/>
              </c:numCache>
            </c:numRef>
          </c:xVal>
          <c:yVal>
            <c:numRef>
              <c:f>Diagrama!$CU$27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Diagrama!$CV$25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Diagrama!$CV$26</c:f>
              <c:numCache>
                <c:formatCode>0.00</c:formatCode>
                <c:ptCount val="1"/>
              </c:numCache>
            </c:numRef>
          </c:xVal>
          <c:yVal>
            <c:numRef>
              <c:f>Diagrama!$CV$27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Diagrama!$CW$25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Diagrama!$CW$26</c:f>
              <c:numCache>
                <c:formatCode>0.00</c:formatCode>
                <c:ptCount val="1"/>
              </c:numCache>
            </c:numRef>
          </c:xVal>
          <c:yVal>
            <c:numRef>
              <c:f>Diagrama!$CW$27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Diagrama!$CX$26</c:f>
              <c:numCache>
                <c:formatCode>0.00</c:formatCode>
                <c:ptCount val="1"/>
              </c:numCache>
            </c:numRef>
          </c:xVal>
          <c:yVal>
            <c:numRef>
              <c:f>Diagrama!$CX$27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250-4AB7-85F0-9E4846E1EDB9}"/>
            </c:ext>
          </c:extLst>
        </c:ser>
        <c:ser>
          <c:idx val="135"/>
          <c:order val="135"/>
          <c:tx>
            <c:strRef>
              <c:f>Diagrama!$CY$25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Diagrama!$CY$26</c:f>
              <c:numCache>
                <c:formatCode>0.00</c:formatCode>
                <c:ptCount val="1"/>
              </c:numCache>
            </c:numRef>
          </c:xVal>
          <c:yVal>
            <c:numRef>
              <c:f>Diagrama!$CY$27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250-4AB7-85F0-9E4846E1EDB9}"/>
            </c:ext>
          </c:extLst>
        </c:ser>
        <c:ser>
          <c:idx val="136"/>
          <c:order val="136"/>
          <c:tx>
            <c:strRef>
              <c:f>Diagrama!$CZ$25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Diagrama!$CZ$26</c:f>
              <c:numCache>
                <c:formatCode>0.00</c:formatCode>
                <c:ptCount val="1"/>
              </c:numCache>
            </c:numRef>
          </c:xVal>
          <c:yVal>
            <c:numRef>
              <c:f>Diagrama!$CZ$27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250-4AB7-85F0-9E4846E1EDB9}"/>
            </c:ext>
          </c:extLst>
        </c:ser>
        <c:ser>
          <c:idx val="137"/>
          <c:order val="137"/>
          <c:tx>
            <c:strRef>
              <c:f>Diagrama!$DA$25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Diagrama!$DA$26</c:f>
              <c:numCache>
                <c:formatCode>0.00</c:formatCode>
                <c:ptCount val="1"/>
              </c:numCache>
            </c:numRef>
          </c:xVal>
          <c:yVal>
            <c:numRef>
              <c:f>Diagrama!$DA$27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250-4AB7-85F0-9E4846E1EDB9}"/>
            </c:ext>
          </c:extLst>
        </c:ser>
        <c:ser>
          <c:idx val="138"/>
          <c:order val="138"/>
          <c:tx>
            <c:strRef>
              <c:f>Diagrama!$DB$25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Diagrama!$DB$26</c:f>
              <c:numCache>
                <c:formatCode>0.00</c:formatCode>
                <c:ptCount val="1"/>
              </c:numCache>
            </c:numRef>
          </c:xVal>
          <c:yVal>
            <c:numRef>
              <c:f>Diagrama!$DB$27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E250-4AB7-85F0-9E4846E1EDB9}"/>
            </c:ext>
          </c:extLst>
        </c:ser>
        <c:ser>
          <c:idx val="139"/>
          <c:order val="139"/>
          <c:tx>
            <c:strRef>
              <c:f>Diagrama!$DC$25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Diagrama!$DC$26</c:f>
              <c:numCache>
                <c:formatCode>0.00</c:formatCode>
                <c:ptCount val="1"/>
              </c:numCache>
            </c:numRef>
          </c:xVal>
          <c:yVal>
            <c:numRef>
              <c:f>Diagrama!$DC$27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250-4AB7-85F0-9E4846E1EDB9}"/>
            </c:ext>
          </c:extLst>
        </c:ser>
        <c:ser>
          <c:idx val="140"/>
          <c:order val="140"/>
          <c:tx>
            <c:strRef>
              <c:f>Diagrama!$DD$25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Diagrama!$DD$26</c:f>
              <c:numCache>
                <c:formatCode>0.00</c:formatCode>
                <c:ptCount val="1"/>
              </c:numCache>
            </c:numRef>
          </c:xVal>
          <c:yVal>
            <c:numRef>
              <c:f>Diagrama!$DD$27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250-4AB7-85F0-9E4846E1EDB9}"/>
            </c:ext>
          </c:extLst>
        </c:ser>
        <c:ser>
          <c:idx val="141"/>
          <c:order val="141"/>
          <c:tx>
            <c:strRef>
              <c:f>Diagrama!$DE$25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Diagrama!$DE$26</c:f>
              <c:numCache>
                <c:formatCode>0.00</c:formatCode>
                <c:ptCount val="1"/>
              </c:numCache>
            </c:numRef>
          </c:xVal>
          <c:yVal>
            <c:numRef>
              <c:f>Diagrama!$DE$27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250-4AB7-85F0-9E4846E1EDB9}"/>
            </c:ext>
          </c:extLst>
        </c:ser>
        <c:ser>
          <c:idx val="142"/>
          <c:order val="142"/>
          <c:tx>
            <c:strRef>
              <c:f>Diagrama!$DF$25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Diagrama!$DF$26</c:f>
              <c:numCache>
                <c:formatCode>0.00</c:formatCode>
                <c:ptCount val="1"/>
              </c:numCache>
            </c:numRef>
          </c:xVal>
          <c:yVal>
            <c:numRef>
              <c:f>Diagrama!$DF$27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250-4AB7-85F0-9E4846E1EDB9}"/>
            </c:ext>
          </c:extLst>
        </c:ser>
        <c:ser>
          <c:idx val="143"/>
          <c:order val="143"/>
          <c:tx>
            <c:strRef>
              <c:f>Diagrama!$DG$25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Diagrama!$DG$26</c:f>
              <c:numCache>
                <c:formatCode>0.00</c:formatCode>
                <c:ptCount val="1"/>
              </c:numCache>
            </c:numRef>
          </c:xVal>
          <c:yVal>
            <c:numRef>
              <c:f>Diagrama!$DG$27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250-4AB7-85F0-9E4846E1EDB9}"/>
            </c:ext>
          </c:extLst>
        </c:ser>
        <c:ser>
          <c:idx val="144"/>
          <c:order val="144"/>
          <c:tx>
            <c:strRef>
              <c:f>Diagrama!$DH$25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Diagrama!$DH$26</c:f>
              <c:numCache>
                <c:formatCode>0.00</c:formatCode>
                <c:ptCount val="1"/>
              </c:numCache>
            </c:numRef>
          </c:xVal>
          <c:yVal>
            <c:numRef>
              <c:f>Diagrama!$DH$27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250-4AB7-85F0-9E4846E1EDB9}"/>
            </c:ext>
          </c:extLst>
        </c:ser>
        <c:ser>
          <c:idx val="145"/>
          <c:order val="145"/>
          <c:tx>
            <c:strRef>
              <c:f>Diagrama!$DI$25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Diagrama!$DI$26</c:f>
              <c:numCache>
                <c:formatCode>0.00</c:formatCode>
                <c:ptCount val="1"/>
              </c:numCache>
            </c:numRef>
          </c:xVal>
          <c:yVal>
            <c:numRef>
              <c:f>Diagrama!$DI$27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250-4AB7-85F0-9E4846E1EDB9}"/>
            </c:ext>
          </c:extLst>
        </c:ser>
        <c:ser>
          <c:idx val="146"/>
          <c:order val="146"/>
          <c:tx>
            <c:strRef>
              <c:f>Diagrama!$DJ$25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Diagrama!$DJ$26</c:f>
              <c:numCache>
                <c:formatCode>0.00</c:formatCode>
                <c:ptCount val="1"/>
              </c:numCache>
            </c:numRef>
          </c:xVal>
          <c:yVal>
            <c:numRef>
              <c:f>Diagrama!$DJ$27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250-4AB7-85F0-9E4846E1EDB9}"/>
            </c:ext>
          </c:extLst>
        </c:ser>
        <c:ser>
          <c:idx val="147"/>
          <c:order val="147"/>
          <c:tx>
            <c:strRef>
              <c:f>Diagrama!$DK$25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Diagrama!$DK$26</c:f>
              <c:numCache>
                <c:formatCode>0.00</c:formatCode>
                <c:ptCount val="1"/>
              </c:numCache>
            </c:numRef>
          </c:xVal>
          <c:yVal>
            <c:numRef>
              <c:f>Diagrama!$DK$27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250-4AB7-85F0-9E4846E1EDB9}"/>
            </c:ext>
          </c:extLst>
        </c:ser>
        <c:ser>
          <c:idx val="148"/>
          <c:order val="148"/>
          <c:tx>
            <c:strRef>
              <c:f>Diagrama!$DL$25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Diagrama!$DL$26</c:f>
              <c:numCache>
                <c:formatCode>0.00</c:formatCode>
                <c:ptCount val="1"/>
              </c:numCache>
            </c:numRef>
          </c:xVal>
          <c:yVal>
            <c:numRef>
              <c:f>Diagrama!$DL$27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250-4AB7-85F0-9E4846E1EDB9}"/>
            </c:ext>
          </c:extLst>
        </c:ser>
        <c:ser>
          <c:idx val="149"/>
          <c:order val="149"/>
          <c:tx>
            <c:strRef>
              <c:f>Diagrama!$DM$25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Diagrama!$DM$26</c:f>
              <c:numCache>
                <c:formatCode>0.00</c:formatCode>
                <c:ptCount val="1"/>
              </c:numCache>
            </c:numRef>
          </c:xVal>
          <c:yVal>
            <c:numRef>
              <c:f>Diagrama!$DM$27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250-4AB7-85F0-9E4846E1EDB9}"/>
            </c:ext>
          </c:extLst>
        </c:ser>
        <c:ser>
          <c:idx val="150"/>
          <c:order val="150"/>
          <c:tx>
            <c:strRef>
              <c:f>Diagrama!$DN$25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2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2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Diagrama!$DN$26</c:f>
              <c:numCache>
                <c:formatCode>0.00</c:formatCode>
                <c:ptCount val="1"/>
              </c:numCache>
            </c:numRef>
          </c:xVal>
          <c:yVal>
            <c:numRef>
              <c:f>Diagrama!$DN$27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250-4AB7-85F0-9E4846E1EDB9}"/>
            </c:ext>
          </c:extLst>
        </c:ser>
        <c:ser>
          <c:idx val="151"/>
          <c:order val="151"/>
          <c:tx>
            <c:strRef>
              <c:f>Diagrama!$DO$25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Diagrama!$DO$26</c:f>
              <c:numCache>
                <c:formatCode>0.00</c:formatCode>
                <c:ptCount val="1"/>
              </c:numCache>
            </c:numRef>
          </c:xVal>
          <c:yVal>
            <c:numRef>
              <c:f>Diagrama!$DO$27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250-4AB7-85F0-9E4846E1EDB9}"/>
            </c:ext>
          </c:extLst>
        </c:ser>
        <c:ser>
          <c:idx val="152"/>
          <c:order val="152"/>
          <c:tx>
            <c:strRef>
              <c:f>Diagrama!$DP$25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Diagrama!$DP$26</c:f>
              <c:numCache>
                <c:formatCode>0.00</c:formatCode>
                <c:ptCount val="1"/>
              </c:numCache>
            </c:numRef>
          </c:xVal>
          <c:yVal>
            <c:numRef>
              <c:f>Diagrama!$DP$27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250-4AB7-85F0-9E4846E1EDB9}"/>
            </c:ext>
          </c:extLst>
        </c:ser>
        <c:ser>
          <c:idx val="153"/>
          <c:order val="153"/>
          <c:tx>
            <c:strRef>
              <c:f>Diagrama!$DQ$25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119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Diagrama!$DQ$26</c:f>
              <c:numCache>
                <c:formatCode>0.00</c:formatCode>
                <c:ptCount val="1"/>
              </c:numCache>
            </c:numRef>
          </c:xVal>
          <c:yVal>
            <c:numRef>
              <c:f>Diagrama!$DQ$27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250-4AB7-85F0-9E4846E1EDB9}"/>
            </c:ext>
          </c:extLst>
        </c:ser>
        <c:ser>
          <c:idx val="154"/>
          <c:order val="154"/>
          <c:tx>
            <c:strRef>
              <c:f>Diagrama!$DR$25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Diagrama!$DR$26</c:f>
              <c:numCache>
                <c:formatCode>0.00</c:formatCode>
                <c:ptCount val="1"/>
              </c:numCache>
            </c:numRef>
          </c:xVal>
          <c:yVal>
            <c:numRef>
              <c:f>Diagrama!$DR$27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250-4AB7-85F0-9E4846E1EDB9}"/>
            </c:ext>
          </c:extLst>
        </c:ser>
        <c:ser>
          <c:idx val="155"/>
          <c:order val="155"/>
          <c:tx>
            <c:strRef>
              <c:f>Diagrama!$DS$25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Diagrama!$DS$26</c:f>
              <c:numCache>
                <c:formatCode>0.00</c:formatCode>
                <c:ptCount val="1"/>
              </c:numCache>
            </c:numRef>
          </c:xVal>
          <c:yVal>
            <c:numRef>
              <c:f>Diagrama!$DS$27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250-4AB7-85F0-9E4846E1EDB9}"/>
            </c:ext>
          </c:extLst>
        </c:ser>
        <c:ser>
          <c:idx val="156"/>
          <c:order val="156"/>
          <c:tx>
            <c:strRef>
              <c:f>Diagrama!$DT$25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Diagrama!$DT$26</c:f>
              <c:numCache>
                <c:formatCode>0.00</c:formatCode>
                <c:ptCount val="1"/>
              </c:numCache>
            </c:numRef>
          </c:xVal>
          <c:yVal>
            <c:numRef>
              <c:f>Diagrama!$DT$27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250-4AB7-85F0-9E4846E1EDB9}"/>
            </c:ext>
          </c:extLst>
        </c:ser>
        <c:ser>
          <c:idx val="157"/>
          <c:order val="157"/>
          <c:tx>
            <c:strRef>
              <c:f>Diagrama!$DU$25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Diagrama!$DU$26</c:f>
              <c:numCache>
                <c:formatCode>0.00</c:formatCode>
                <c:ptCount val="1"/>
              </c:numCache>
            </c:numRef>
          </c:xVal>
          <c:yVal>
            <c:numRef>
              <c:f>Diagrama!$DU$27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250-4AB7-85F0-9E4846E1EDB9}"/>
            </c:ext>
          </c:extLst>
        </c:ser>
        <c:ser>
          <c:idx val="158"/>
          <c:order val="158"/>
          <c:tx>
            <c:strRef>
              <c:f>Diagrama!$DV$25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Diagrama!$DV$26</c:f>
              <c:numCache>
                <c:formatCode>0.00</c:formatCode>
                <c:ptCount val="1"/>
              </c:numCache>
            </c:numRef>
          </c:xVal>
          <c:yVal>
            <c:numRef>
              <c:f>Diagrama!$DV$27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E250-4AB7-85F0-9E4846E1EDB9}"/>
            </c:ext>
          </c:extLst>
        </c:ser>
        <c:ser>
          <c:idx val="159"/>
          <c:order val="159"/>
          <c:tx>
            <c:strRef>
              <c:f>Diagrama!$DW$25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Diagrama!$DW$26</c:f>
              <c:numCache>
                <c:formatCode>0.00</c:formatCode>
                <c:ptCount val="1"/>
              </c:numCache>
            </c:numRef>
          </c:xVal>
          <c:yVal>
            <c:numRef>
              <c:f>Diagrama!$DW$27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E250-4AB7-85F0-9E4846E1EDB9}"/>
            </c:ext>
          </c:extLst>
        </c:ser>
        <c:ser>
          <c:idx val="160"/>
          <c:order val="160"/>
          <c:tx>
            <c:strRef>
              <c:f>Diagrama!$DX$25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Diagrama!$DX$26</c:f>
              <c:numCache>
                <c:formatCode>0.00</c:formatCode>
                <c:ptCount val="1"/>
              </c:numCache>
            </c:numRef>
          </c:xVal>
          <c:yVal>
            <c:numRef>
              <c:f>Diagrama!$DX$27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E250-4AB7-85F0-9E4846E1EDB9}"/>
            </c:ext>
          </c:extLst>
        </c:ser>
        <c:ser>
          <c:idx val="161"/>
          <c:order val="161"/>
          <c:tx>
            <c:strRef>
              <c:f>Diagrama!$DY$25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Diagrama!$DY$26</c:f>
              <c:numCache>
                <c:formatCode>0.00</c:formatCode>
                <c:ptCount val="1"/>
              </c:numCache>
            </c:numRef>
          </c:xVal>
          <c:yVal>
            <c:numRef>
              <c:f>Diagrama!$DY$27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E250-4AB7-85F0-9E4846E1EDB9}"/>
            </c:ext>
          </c:extLst>
        </c:ser>
        <c:ser>
          <c:idx val="162"/>
          <c:order val="162"/>
          <c:tx>
            <c:strRef>
              <c:f>Diagrama!$DZ$25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Diagrama!$DZ$26</c:f>
              <c:numCache>
                <c:formatCode>0.00</c:formatCode>
                <c:ptCount val="1"/>
              </c:numCache>
            </c:numRef>
          </c:xVal>
          <c:yVal>
            <c:numRef>
              <c:f>Diagrama!$DZ$27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E250-4AB7-85F0-9E4846E1EDB9}"/>
            </c:ext>
          </c:extLst>
        </c:ser>
        <c:ser>
          <c:idx val="163"/>
          <c:order val="163"/>
          <c:tx>
            <c:strRef>
              <c:f>Diagrama!$EA$25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Diagrama!$EA$26</c:f>
              <c:numCache>
                <c:formatCode>0.00</c:formatCode>
                <c:ptCount val="1"/>
              </c:numCache>
            </c:numRef>
          </c:xVal>
          <c:yVal>
            <c:numRef>
              <c:f>Diagrama!$EA$27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E250-4AB7-85F0-9E4846E1EDB9}"/>
            </c:ext>
          </c:extLst>
        </c:ser>
        <c:ser>
          <c:idx val="164"/>
          <c:order val="164"/>
          <c:tx>
            <c:strRef>
              <c:f>Diagrama!$EB$25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Diagrama!$EB$26</c:f>
              <c:numCache>
                <c:formatCode>0.00</c:formatCode>
                <c:ptCount val="1"/>
              </c:numCache>
            </c:numRef>
          </c:xVal>
          <c:yVal>
            <c:numRef>
              <c:f>Diagrama!$EB$27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E250-4AB7-85F0-9E4846E1EDB9}"/>
            </c:ext>
          </c:extLst>
        </c:ser>
        <c:ser>
          <c:idx val="165"/>
          <c:order val="165"/>
          <c:tx>
            <c:strRef>
              <c:f>Diagrama!$EC$25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Diagrama!$EC$26</c:f>
              <c:numCache>
                <c:formatCode>0.00</c:formatCode>
                <c:ptCount val="1"/>
              </c:numCache>
            </c:numRef>
          </c:xVal>
          <c:yVal>
            <c:numRef>
              <c:f>Diagrama!$EC$27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E250-4AB7-85F0-9E4846E1EDB9}"/>
            </c:ext>
          </c:extLst>
        </c:ser>
        <c:ser>
          <c:idx val="166"/>
          <c:order val="166"/>
          <c:tx>
            <c:strRef>
              <c:f>Diagrama!$ED$25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3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3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Diagrama!$ED$26</c:f>
              <c:numCache>
                <c:formatCode>0.00</c:formatCode>
                <c:ptCount val="1"/>
              </c:numCache>
            </c:numRef>
          </c:xVal>
          <c:yVal>
            <c:numRef>
              <c:f>Diagrama!$ED$27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E250-4AB7-85F0-9E4846E1EDB9}"/>
            </c:ext>
          </c:extLst>
        </c:ser>
        <c:ser>
          <c:idx val="167"/>
          <c:order val="167"/>
          <c:tx>
            <c:strRef>
              <c:f>Diagrama!$EE$25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Diagrama!$EE$26</c:f>
              <c:numCache>
                <c:formatCode>0.00</c:formatCode>
                <c:ptCount val="1"/>
              </c:numCache>
            </c:numRef>
          </c:xVal>
          <c:yVal>
            <c:numRef>
              <c:f>Diagrama!$EE$27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E250-4AB7-85F0-9E4846E1EDB9}"/>
            </c:ext>
          </c:extLst>
        </c:ser>
        <c:ser>
          <c:idx val="168"/>
          <c:order val="168"/>
          <c:tx>
            <c:strRef>
              <c:f>Diagrama!$EF$25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Diagrama!$EF$26</c:f>
              <c:numCache>
                <c:formatCode>0.00</c:formatCode>
                <c:ptCount val="1"/>
              </c:numCache>
            </c:numRef>
          </c:xVal>
          <c:yVal>
            <c:numRef>
              <c:f>Diagrama!$EF$27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E250-4AB7-85F0-9E4846E1EDB9}"/>
            </c:ext>
          </c:extLst>
        </c:ser>
        <c:ser>
          <c:idx val="169"/>
          <c:order val="169"/>
          <c:tx>
            <c:strRef>
              <c:f>Diagrama!$EG$25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Diagrama!$EG$26</c:f>
              <c:numCache>
                <c:formatCode>0.00</c:formatCode>
                <c:ptCount val="1"/>
              </c:numCache>
            </c:numRef>
          </c:xVal>
          <c:yVal>
            <c:numRef>
              <c:f>Diagrama!$EG$27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E250-4AB7-85F0-9E4846E1EDB9}"/>
            </c:ext>
          </c:extLst>
        </c:ser>
        <c:ser>
          <c:idx val="170"/>
          <c:order val="170"/>
          <c:tx>
            <c:strRef>
              <c:f>Diagrama!$EH$25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Diagrama!$EH$26</c:f>
              <c:numCache>
                <c:formatCode>0.00</c:formatCode>
                <c:ptCount val="1"/>
              </c:numCache>
            </c:numRef>
          </c:xVal>
          <c:yVal>
            <c:numRef>
              <c:f>Diagrama!$EH$27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E250-4AB7-85F0-9E4846E1EDB9}"/>
            </c:ext>
          </c:extLst>
        </c:ser>
        <c:ser>
          <c:idx val="171"/>
          <c:order val="171"/>
          <c:tx>
            <c:strRef>
              <c:f>Diagrama!$EI$25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Diagrama!$EI$26</c:f>
              <c:numCache>
                <c:formatCode>0.00</c:formatCode>
                <c:ptCount val="1"/>
              </c:numCache>
            </c:numRef>
          </c:xVal>
          <c:yVal>
            <c:numRef>
              <c:f>Diagrama!$EI$27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E250-4AB7-85F0-9E4846E1EDB9}"/>
            </c:ext>
          </c:extLst>
        </c:ser>
        <c:ser>
          <c:idx val="172"/>
          <c:order val="172"/>
          <c:tx>
            <c:strRef>
              <c:f>Diagrama!$EJ$25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Diagrama!$EJ$26</c:f>
              <c:numCache>
                <c:formatCode>0.00</c:formatCode>
                <c:ptCount val="1"/>
              </c:numCache>
            </c:numRef>
          </c:xVal>
          <c:yVal>
            <c:numRef>
              <c:f>Diagrama!$EJ$27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E250-4AB7-85F0-9E4846E1EDB9}"/>
            </c:ext>
          </c:extLst>
        </c:ser>
        <c:ser>
          <c:idx val="173"/>
          <c:order val="173"/>
          <c:tx>
            <c:strRef>
              <c:f>Diagrama!$EK$25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139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Diagrama!$EK$26</c:f>
              <c:numCache>
                <c:formatCode>0.00</c:formatCode>
                <c:ptCount val="1"/>
              </c:numCache>
            </c:numRef>
          </c:xVal>
          <c:yVal>
            <c:numRef>
              <c:f>Diagrama!$EK$27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E250-4AB7-85F0-9E4846E1EDB9}"/>
            </c:ext>
          </c:extLst>
        </c:ser>
        <c:ser>
          <c:idx val="174"/>
          <c:order val="174"/>
          <c:tx>
            <c:strRef>
              <c:f>Diagrama!$EL$25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Diagrama!$EL$26</c:f>
              <c:numCache>
                <c:formatCode>0.00</c:formatCode>
                <c:ptCount val="1"/>
              </c:numCache>
            </c:numRef>
          </c:xVal>
          <c:yVal>
            <c:numRef>
              <c:f>Diagrama!$EL$27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E250-4AB7-85F0-9E4846E1EDB9}"/>
            </c:ext>
          </c:extLst>
        </c:ser>
        <c:ser>
          <c:idx val="175"/>
          <c:order val="175"/>
          <c:tx>
            <c:strRef>
              <c:f>Diagrama!$EM$25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Diagrama!$EM$26</c:f>
              <c:numCache>
                <c:formatCode>0.00</c:formatCode>
                <c:ptCount val="1"/>
              </c:numCache>
            </c:numRef>
          </c:xVal>
          <c:yVal>
            <c:numRef>
              <c:f>Diagrama!$EM$27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E250-4AB7-85F0-9E4846E1EDB9}"/>
            </c:ext>
          </c:extLst>
        </c:ser>
        <c:ser>
          <c:idx val="176"/>
          <c:order val="176"/>
          <c:tx>
            <c:strRef>
              <c:f>Diagrama!$EN$25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Diagrama!$EN$26</c:f>
              <c:numCache>
                <c:formatCode>0.00</c:formatCode>
                <c:ptCount val="1"/>
              </c:numCache>
            </c:numRef>
          </c:xVal>
          <c:yVal>
            <c:numRef>
              <c:f>Diagrama!$EN$27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250-4AB7-85F0-9E4846E1EDB9}"/>
            </c:ext>
          </c:extLst>
        </c:ser>
        <c:ser>
          <c:idx val="177"/>
          <c:order val="177"/>
          <c:tx>
            <c:strRef>
              <c:f>Diagrama!$EO$25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Diagrama!$EO$26</c:f>
              <c:numCache>
                <c:formatCode>0.00</c:formatCode>
                <c:ptCount val="1"/>
              </c:numCache>
            </c:numRef>
          </c:xVal>
          <c:yVal>
            <c:numRef>
              <c:f>Diagrama!$EO$27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250-4AB7-85F0-9E4846E1EDB9}"/>
            </c:ext>
          </c:extLst>
        </c:ser>
        <c:ser>
          <c:idx val="178"/>
          <c:order val="178"/>
          <c:tx>
            <c:strRef>
              <c:f>Diagrama!$EP$25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Diagrama!$EP$26</c:f>
              <c:numCache>
                <c:formatCode>0.00</c:formatCode>
                <c:ptCount val="1"/>
              </c:numCache>
            </c:numRef>
          </c:xVal>
          <c:yVal>
            <c:numRef>
              <c:f>Diagrama!$EP$27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250-4AB7-85F0-9E4846E1EDB9}"/>
            </c:ext>
          </c:extLst>
        </c:ser>
        <c:ser>
          <c:idx val="179"/>
          <c:order val="179"/>
          <c:tx>
            <c:strRef>
              <c:f>Diagrama!$EQ$25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Diagrama!$EQ$26</c:f>
              <c:numCache>
                <c:formatCode>0.00</c:formatCode>
                <c:ptCount val="1"/>
              </c:numCache>
            </c:numRef>
          </c:xVal>
          <c:yVal>
            <c:numRef>
              <c:f>Diagrama!$EQ$27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E250-4AB7-85F0-9E4846E1EDB9}"/>
            </c:ext>
          </c:extLst>
        </c:ser>
        <c:ser>
          <c:idx val="180"/>
          <c:order val="180"/>
          <c:tx>
            <c:strRef>
              <c:f>Diagrama!$ER$25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Diagrama!$ER$26</c:f>
              <c:numCache>
                <c:formatCode>0.00</c:formatCode>
                <c:ptCount val="1"/>
              </c:numCache>
            </c:numRef>
          </c:xVal>
          <c:yVal>
            <c:numRef>
              <c:f>Diagrama!$ER$27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E250-4AB7-85F0-9E4846E1EDB9}"/>
            </c:ext>
          </c:extLst>
        </c:ser>
        <c:ser>
          <c:idx val="181"/>
          <c:order val="181"/>
          <c:tx>
            <c:strRef>
              <c:f>Diagrama!$ES$25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Diagrama!$ES$26</c:f>
              <c:numCache>
                <c:formatCode>0.00</c:formatCode>
                <c:ptCount val="1"/>
              </c:numCache>
            </c:numRef>
          </c:xVal>
          <c:yVal>
            <c:numRef>
              <c:f>Diagrama!$ES$27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250-4AB7-85F0-9E4846E1EDB9}"/>
            </c:ext>
          </c:extLst>
        </c:ser>
        <c:ser>
          <c:idx val="182"/>
          <c:order val="182"/>
          <c:tx>
            <c:strRef>
              <c:f>Diagrama!$ET$25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4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4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Diagrama!$ET$26</c:f>
              <c:numCache>
                <c:formatCode>0.00</c:formatCode>
                <c:ptCount val="1"/>
              </c:numCache>
            </c:numRef>
          </c:xVal>
          <c:yVal>
            <c:numRef>
              <c:f>Diagrama!$ET$27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E250-4AB7-85F0-9E4846E1EDB9}"/>
            </c:ext>
          </c:extLst>
        </c:ser>
        <c:ser>
          <c:idx val="183"/>
          <c:order val="183"/>
          <c:tx>
            <c:strRef>
              <c:f>Diagrama!$EU$25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149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Diagrama!$EU$26</c:f>
              <c:numCache>
                <c:formatCode>0.00</c:formatCode>
                <c:ptCount val="1"/>
              </c:numCache>
            </c:numRef>
          </c:xVal>
          <c:yVal>
            <c:numRef>
              <c:f>Diagrama!$EU$27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E250-4AB7-85F0-9E4846E1EDB9}"/>
            </c:ext>
          </c:extLst>
        </c:ser>
        <c:ser>
          <c:idx val="184"/>
          <c:order val="184"/>
          <c:tx>
            <c:strRef>
              <c:f>Diagrama!$EV$25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Diagrama!$EV$26</c:f>
              <c:numCache>
                <c:formatCode>0.00</c:formatCode>
                <c:ptCount val="1"/>
              </c:numCache>
            </c:numRef>
          </c:xVal>
          <c:yVal>
            <c:numRef>
              <c:f>Diagrama!$EV$27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E250-4AB7-85F0-9E4846E1EDB9}"/>
            </c:ext>
          </c:extLst>
        </c:ser>
        <c:ser>
          <c:idx val="185"/>
          <c:order val="185"/>
          <c:tx>
            <c:strRef>
              <c:f>Diagrama!$EW$25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Diagrama!$EW$26</c:f>
              <c:numCache>
                <c:formatCode>0.00</c:formatCode>
                <c:ptCount val="1"/>
              </c:numCache>
            </c:numRef>
          </c:xVal>
          <c:yVal>
            <c:numRef>
              <c:f>Diagrama!$EW$27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E250-4AB7-85F0-9E4846E1EDB9}"/>
            </c:ext>
          </c:extLst>
        </c:ser>
        <c:ser>
          <c:idx val="186"/>
          <c:order val="186"/>
          <c:tx>
            <c:strRef>
              <c:f>Diagrama!$EX$25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Diagrama!$EX$26</c:f>
              <c:numCache>
                <c:formatCode>0.00</c:formatCode>
                <c:ptCount val="1"/>
              </c:numCache>
            </c:numRef>
          </c:xVal>
          <c:yVal>
            <c:numRef>
              <c:f>Diagrama!$EX$27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E250-4AB7-85F0-9E4846E1EDB9}"/>
            </c:ext>
          </c:extLst>
        </c:ser>
        <c:ser>
          <c:idx val="187"/>
          <c:order val="187"/>
          <c:tx>
            <c:strRef>
              <c:f>Diagrama!$EY$25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Diagrama!$EY$26</c:f>
              <c:numCache>
                <c:formatCode>0.00</c:formatCode>
                <c:ptCount val="1"/>
              </c:numCache>
            </c:numRef>
          </c:xVal>
          <c:yVal>
            <c:numRef>
              <c:f>Diagrama!$EY$27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E250-4AB7-85F0-9E4846E1EDB9}"/>
            </c:ext>
          </c:extLst>
        </c:ser>
        <c:ser>
          <c:idx val="188"/>
          <c:order val="188"/>
          <c:tx>
            <c:strRef>
              <c:f>Diagrama!$EZ$25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Diagrama!$EZ$26</c:f>
              <c:numCache>
                <c:formatCode>0.00</c:formatCode>
                <c:ptCount val="1"/>
              </c:numCache>
            </c:numRef>
          </c:xVal>
          <c:yVal>
            <c:numRef>
              <c:f>Diagrama!$EZ$27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E250-4AB7-85F0-9E4846E1EDB9}"/>
            </c:ext>
          </c:extLst>
        </c:ser>
        <c:ser>
          <c:idx val="189"/>
          <c:order val="189"/>
          <c:tx>
            <c:strRef>
              <c:f>Diagrama!$FA$25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Diagrama!$FA$26</c:f>
              <c:numCache>
                <c:formatCode>0.00</c:formatCode>
                <c:ptCount val="1"/>
              </c:numCache>
            </c:numRef>
          </c:xVal>
          <c:yVal>
            <c:numRef>
              <c:f>Diagrama!$FA$27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E250-4AB7-85F0-9E4846E1EDB9}"/>
            </c:ext>
          </c:extLst>
        </c:ser>
        <c:ser>
          <c:idx val="190"/>
          <c:order val="190"/>
          <c:tx>
            <c:strRef>
              <c:f>Diagrama!$FB$25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Diagrama!$FB$26</c:f>
              <c:numCache>
                <c:formatCode>0.00</c:formatCode>
                <c:ptCount val="1"/>
              </c:numCache>
            </c:numRef>
          </c:xVal>
          <c:yVal>
            <c:numRef>
              <c:f>Diagrama!$FB$27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E250-4AB7-85F0-9E4846E1EDB9}"/>
            </c:ext>
          </c:extLst>
        </c:ser>
        <c:ser>
          <c:idx val="191"/>
          <c:order val="191"/>
          <c:tx>
            <c:strRef>
              <c:f>Diagrama!$FC$25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Diagrama!$FC$26</c:f>
              <c:numCache>
                <c:formatCode>0.00</c:formatCode>
                <c:ptCount val="1"/>
              </c:numCache>
            </c:numRef>
          </c:xVal>
          <c:yVal>
            <c:numRef>
              <c:f>Diagrama!$FC$27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E250-4AB7-85F0-9E4846E1EDB9}"/>
            </c:ext>
          </c:extLst>
        </c:ser>
        <c:ser>
          <c:idx val="192"/>
          <c:order val="192"/>
          <c:tx>
            <c:strRef>
              <c:f>Diagrama!$FD$25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Diagrama!$FD$26</c:f>
              <c:numCache>
                <c:formatCode>0.00</c:formatCode>
                <c:ptCount val="1"/>
              </c:numCache>
            </c:numRef>
          </c:xVal>
          <c:yVal>
            <c:numRef>
              <c:f>Diagrama!$FD$27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E250-4AB7-85F0-9E4846E1EDB9}"/>
            </c:ext>
          </c:extLst>
        </c:ser>
        <c:ser>
          <c:idx val="193"/>
          <c:order val="193"/>
          <c:tx>
            <c:strRef>
              <c:f>Diagrama!$FE$25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159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Diagrama!$FE$26</c:f>
              <c:numCache>
                <c:formatCode>0.00</c:formatCode>
                <c:ptCount val="1"/>
              </c:numCache>
            </c:numRef>
          </c:xVal>
          <c:yVal>
            <c:numRef>
              <c:f>Diagrama!$FE$27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E250-4AB7-85F0-9E4846E1EDB9}"/>
            </c:ext>
          </c:extLst>
        </c:ser>
        <c:ser>
          <c:idx val="194"/>
          <c:order val="194"/>
          <c:tx>
            <c:strRef>
              <c:f>Diagrama!$FF$25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Diagrama!$FF$26</c:f>
              <c:numCache>
                <c:formatCode>0.00</c:formatCode>
                <c:ptCount val="1"/>
              </c:numCache>
            </c:numRef>
          </c:xVal>
          <c:yVal>
            <c:numRef>
              <c:f>Diagrama!$FF$27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E250-4AB7-85F0-9E4846E1EDB9}"/>
            </c:ext>
          </c:extLst>
        </c:ser>
        <c:ser>
          <c:idx val="195"/>
          <c:order val="195"/>
          <c:tx>
            <c:strRef>
              <c:f>Diagrama!$FG$25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Diagrama!$FG$26</c:f>
              <c:numCache>
                <c:formatCode>0.00</c:formatCode>
                <c:ptCount val="1"/>
              </c:numCache>
            </c:numRef>
          </c:xVal>
          <c:yVal>
            <c:numRef>
              <c:f>Diagrama!$FG$27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E250-4AB7-85F0-9E4846E1EDB9}"/>
            </c:ext>
          </c:extLst>
        </c:ser>
        <c:ser>
          <c:idx val="196"/>
          <c:order val="196"/>
          <c:tx>
            <c:strRef>
              <c:f>Diagrama!$FH$25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Diagrama!$FH$26</c:f>
              <c:numCache>
                <c:formatCode>0.00</c:formatCode>
                <c:ptCount val="1"/>
              </c:numCache>
            </c:numRef>
          </c:xVal>
          <c:yVal>
            <c:numRef>
              <c:f>Diagrama!$FH$27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E250-4AB7-85F0-9E4846E1EDB9}"/>
            </c:ext>
          </c:extLst>
        </c:ser>
        <c:ser>
          <c:idx val="197"/>
          <c:order val="197"/>
          <c:tx>
            <c:strRef>
              <c:f>Diagrama!$FI$25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Diagrama!$FI$26</c:f>
              <c:numCache>
                <c:formatCode>0.00</c:formatCode>
                <c:ptCount val="1"/>
              </c:numCache>
            </c:numRef>
          </c:xVal>
          <c:yVal>
            <c:numRef>
              <c:f>Diagrama!$FI$27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E250-4AB7-85F0-9E4846E1EDB9}"/>
            </c:ext>
          </c:extLst>
        </c:ser>
        <c:ser>
          <c:idx val="198"/>
          <c:order val="198"/>
          <c:tx>
            <c:strRef>
              <c:f>Diagrama!$FJ$25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5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5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Diagrama!$FJ$26</c:f>
              <c:numCache>
                <c:formatCode>0.00</c:formatCode>
                <c:ptCount val="1"/>
              </c:numCache>
            </c:numRef>
          </c:xVal>
          <c:yVal>
            <c:numRef>
              <c:f>Diagrama!$FJ$27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E250-4AB7-85F0-9E4846E1EDB9}"/>
            </c:ext>
          </c:extLst>
        </c:ser>
        <c:ser>
          <c:idx val="199"/>
          <c:order val="199"/>
          <c:tx>
            <c:strRef>
              <c:f>Diagrama!$FK$25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Diagrama!$FK$26</c:f>
              <c:numCache>
                <c:formatCode>0.00</c:formatCode>
                <c:ptCount val="1"/>
              </c:numCache>
            </c:numRef>
          </c:xVal>
          <c:yVal>
            <c:numRef>
              <c:f>Diagrama!$FK$27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E250-4AB7-85F0-9E4846E1EDB9}"/>
            </c:ext>
          </c:extLst>
        </c:ser>
        <c:ser>
          <c:idx val="200"/>
          <c:order val="200"/>
          <c:tx>
            <c:strRef>
              <c:f>Diagrama!$FL$25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Diagrama!$FL$26</c:f>
              <c:numCache>
                <c:formatCode>0.00</c:formatCode>
                <c:ptCount val="1"/>
              </c:numCache>
            </c:numRef>
          </c:xVal>
          <c:yVal>
            <c:numRef>
              <c:f>Diagrama!$FL$27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E250-4AB7-85F0-9E4846E1EDB9}"/>
            </c:ext>
          </c:extLst>
        </c:ser>
        <c:ser>
          <c:idx val="201"/>
          <c:order val="201"/>
          <c:tx>
            <c:strRef>
              <c:f>Diagrama!$FM$25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Diagrama!$FM$26</c:f>
              <c:numCache>
                <c:formatCode>0.00</c:formatCode>
                <c:ptCount val="1"/>
              </c:numCache>
            </c:numRef>
          </c:xVal>
          <c:yVal>
            <c:numRef>
              <c:f>Diagrama!$FM$27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E250-4AB7-85F0-9E4846E1EDB9}"/>
            </c:ext>
          </c:extLst>
        </c:ser>
        <c:ser>
          <c:idx val="202"/>
          <c:order val="202"/>
          <c:tx>
            <c:strRef>
              <c:f>Diagrama!$FN$25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Diagrama!$FN$26</c:f>
              <c:numCache>
                <c:formatCode>0.00</c:formatCode>
                <c:ptCount val="1"/>
              </c:numCache>
            </c:numRef>
          </c:xVal>
          <c:yVal>
            <c:numRef>
              <c:f>Diagrama!$FN$27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E250-4AB7-85F0-9E4846E1EDB9}"/>
            </c:ext>
          </c:extLst>
        </c:ser>
        <c:ser>
          <c:idx val="203"/>
          <c:order val="203"/>
          <c:tx>
            <c:strRef>
              <c:f>Diagrama!$FO$25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169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Diagrama!$FO$26</c:f>
              <c:numCache>
                <c:formatCode>0.00</c:formatCode>
                <c:ptCount val="1"/>
              </c:numCache>
            </c:numRef>
          </c:xVal>
          <c:yVal>
            <c:numRef>
              <c:f>Diagrama!$FO$27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E250-4AB7-85F0-9E4846E1EDB9}"/>
            </c:ext>
          </c:extLst>
        </c:ser>
        <c:ser>
          <c:idx val="204"/>
          <c:order val="204"/>
          <c:tx>
            <c:strRef>
              <c:f>Diagrama!$FP$25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Diagrama!$FP$26</c:f>
              <c:numCache>
                <c:formatCode>0.00</c:formatCode>
                <c:ptCount val="1"/>
              </c:numCache>
            </c:numRef>
          </c:xVal>
          <c:yVal>
            <c:numRef>
              <c:f>Diagrama!$FP$27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E250-4AB7-85F0-9E4846E1EDB9}"/>
            </c:ext>
          </c:extLst>
        </c:ser>
        <c:ser>
          <c:idx val="205"/>
          <c:order val="205"/>
          <c:tx>
            <c:strRef>
              <c:f>Diagrama!$FQ$25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Diagrama!$FQ$26</c:f>
              <c:numCache>
                <c:formatCode>0.00</c:formatCode>
                <c:ptCount val="1"/>
              </c:numCache>
            </c:numRef>
          </c:xVal>
          <c:yVal>
            <c:numRef>
              <c:f>Diagrama!$FQ$27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E250-4AB7-85F0-9E4846E1EDB9}"/>
            </c:ext>
          </c:extLst>
        </c:ser>
        <c:ser>
          <c:idx val="206"/>
          <c:order val="206"/>
          <c:tx>
            <c:strRef>
              <c:f>Diagrama!$FR$25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Diagrama!$FR$26</c:f>
              <c:numCache>
                <c:formatCode>0.00</c:formatCode>
                <c:ptCount val="1"/>
              </c:numCache>
            </c:numRef>
          </c:xVal>
          <c:yVal>
            <c:numRef>
              <c:f>Diagrama!$FR$27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E250-4AB7-85F0-9E4846E1EDB9}"/>
            </c:ext>
          </c:extLst>
        </c:ser>
        <c:ser>
          <c:idx val="207"/>
          <c:order val="207"/>
          <c:tx>
            <c:strRef>
              <c:f>Diagrama!$FS$25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Diagrama!$FS$26</c:f>
              <c:numCache>
                <c:formatCode>0.00</c:formatCode>
                <c:ptCount val="1"/>
              </c:numCache>
            </c:numRef>
          </c:xVal>
          <c:yVal>
            <c:numRef>
              <c:f>Diagrama!$FS$27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E250-4AB7-85F0-9E4846E1EDB9}"/>
            </c:ext>
          </c:extLst>
        </c:ser>
        <c:ser>
          <c:idx val="208"/>
          <c:order val="208"/>
          <c:tx>
            <c:strRef>
              <c:f>Diagrama!$FT$25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Diagrama!$FT$26</c:f>
              <c:numCache>
                <c:formatCode>0.00</c:formatCode>
                <c:ptCount val="1"/>
              </c:numCache>
            </c:numRef>
          </c:xVal>
          <c:yVal>
            <c:numRef>
              <c:f>Diagrama!$FT$27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E250-4AB7-85F0-9E4846E1EDB9}"/>
            </c:ext>
          </c:extLst>
        </c:ser>
        <c:ser>
          <c:idx val="209"/>
          <c:order val="209"/>
          <c:tx>
            <c:strRef>
              <c:f>Diagrama!$FU$25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Diagrama!$FU$26</c:f>
              <c:numCache>
                <c:formatCode>0.00</c:formatCode>
                <c:ptCount val="1"/>
              </c:numCache>
            </c:numRef>
          </c:xVal>
          <c:yVal>
            <c:numRef>
              <c:f>Diagrama!$FU$27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250-4AB7-85F0-9E4846E1EDB9}"/>
            </c:ext>
          </c:extLst>
        </c:ser>
        <c:ser>
          <c:idx val="210"/>
          <c:order val="210"/>
          <c:tx>
            <c:strRef>
              <c:f>Diagrama!$FV$25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Diagrama!$FV$26</c:f>
              <c:numCache>
                <c:formatCode>0.00</c:formatCode>
                <c:ptCount val="1"/>
              </c:numCache>
            </c:numRef>
          </c:xVal>
          <c:yVal>
            <c:numRef>
              <c:f>Diagrama!$FV$27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E250-4AB7-85F0-9E4846E1EDB9}"/>
            </c:ext>
          </c:extLst>
        </c:ser>
        <c:ser>
          <c:idx val="211"/>
          <c:order val="211"/>
          <c:tx>
            <c:strRef>
              <c:f>Diagrama!$FW$25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Diagrama!$FW$26</c:f>
              <c:numCache>
                <c:formatCode>0.00</c:formatCode>
                <c:ptCount val="1"/>
              </c:numCache>
            </c:numRef>
          </c:xVal>
          <c:yVal>
            <c:numRef>
              <c:f>Diagrama!$FW$27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E250-4AB7-85F0-9E4846E1EDB9}"/>
            </c:ext>
          </c:extLst>
        </c:ser>
        <c:ser>
          <c:idx val="212"/>
          <c:order val="212"/>
          <c:tx>
            <c:strRef>
              <c:f>Diagrama!$FX$25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Diagrama!$FX$26</c:f>
              <c:numCache>
                <c:formatCode>0.00</c:formatCode>
                <c:ptCount val="1"/>
              </c:numCache>
            </c:numRef>
          </c:xVal>
          <c:yVal>
            <c:numRef>
              <c:f>Diagrama!$FX$27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E250-4AB7-85F0-9E4846E1EDB9}"/>
            </c:ext>
          </c:extLst>
        </c:ser>
        <c:ser>
          <c:idx val="213"/>
          <c:order val="213"/>
          <c:tx>
            <c:strRef>
              <c:f>Diagrama!$FY$25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179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Diagrama!$FY$26</c:f>
              <c:numCache>
                <c:formatCode>0.00</c:formatCode>
                <c:ptCount val="1"/>
              </c:numCache>
            </c:numRef>
          </c:xVal>
          <c:yVal>
            <c:numRef>
              <c:f>Diagrama!$FY$27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E250-4AB7-85F0-9E4846E1EDB9}"/>
            </c:ext>
          </c:extLst>
        </c:ser>
        <c:ser>
          <c:idx val="214"/>
          <c:order val="214"/>
          <c:tx>
            <c:strRef>
              <c:f>Diagrama!$FZ$25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6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6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Diagrama!$FZ$26</c:f>
              <c:numCache>
                <c:formatCode>0.00</c:formatCode>
                <c:ptCount val="1"/>
              </c:numCache>
            </c:numRef>
          </c:xVal>
          <c:yVal>
            <c:numRef>
              <c:f>Diagrama!$FZ$27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E250-4AB7-85F0-9E4846E1EDB9}"/>
            </c:ext>
          </c:extLst>
        </c:ser>
        <c:ser>
          <c:idx val="215"/>
          <c:order val="215"/>
          <c:tx>
            <c:strRef>
              <c:f>Diagrama!$GA$25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Diagrama!$GA$26</c:f>
              <c:numCache>
                <c:formatCode>0.00</c:formatCode>
                <c:ptCount val="1"/>
              </c:numCache>
            </c:numRef>
          </c:xVal>
          <c:yVal>
            <c:numRef>
              <c:f>Diagrama!$GA$27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E250-4AB7-85F0-9E4846E1EDB9}"/>
            </c:ext>
          </c:extLst>
        </c:ser>
        <c:ser>
          <c:idx val="216"/>
          <c:order val="216"/>
          <c:tx>
            <c:strRef>
              <c:f>Diagrama!$GB$25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Diagrama!$GB$26</c:f>
              <c:numCache>
                <c:formatCode>0.00</c:formatCode>
                <c:ptCount val="1"/>
              </c:numCache>
            </c:numRef>
          </c:xVal>
          <c:yVal>
            <c:numRef>
              <c:f>Diagrama!$GB$27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E250-4AB7-85F0-9E4846E1EDB9}"/>
            </c:ext>
          </c:extLst>
        </c:ser>
        <c:ser>
          <c:idx val="217"/>
          <c:order val="217"/>
          <c:tx>
            <c:strRef>
              <c:f>Diagrama!$GC$25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Diagrama!$GC$26</c:f>
              <c:numCache>
                <c:formatCode>0.00</c:formatCode>
                <c:ptCount val="1"/>
              </c:numCache>
            </c:numRef>
          </c:xVal>
          <c:yVal>
            <c:numRef>
              <c:f>Diagrama!$GC$27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E250-4AB7-85F0-9E4846E1EDB9}"/>
            </c:ext>
          </c:extLst>
        </c:ser>
        <c:ser>
          <c:idx val="218"/>
          <c:order val="218"/>
          <c:tx>
            <c:strRef>
              <c:f>Diagrama!$GD$25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Diagrama!$GD$26</c:f>
              <c:numCache>
                <c:formatCode>0.00</c:formatCode>
                <c:ptCount val="1"/>
              </c:numCache>
            </c:numRef>
          </c:xVal>
          <c:yVal>
            <c:numRef>
              <c:f>Diagrama!$GD$27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E250-4AB7-85F0-9E4846E1EDB9}"/>
            </c:ext>
          </c:extLst>
        </c:ser>
        <c:ser>
          <c:idx val="219"/>
          <c:order val="219"/>
          <c:tx>
            <c:strRef>
              <c:f>Diagrama!$GE$25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Diagrama!$GE$26</c:f>
              <c:numCache>
                <c:formatCode>0.00</c:formatCode>
                <c:ptCount val="1"/>
              </c:numCache>
            </c:numRef>
          </c:xVal>
          <c:yVal>
            <c:numRef>
              <c:f>Diagrama!$GE$27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E250-4AB7-85F0-9E4846E1EDB9}"/>
            </c:ext>
          </c:extLst>
        </c:ser>
        <c:ser>
          <c:idx val="220"/>
          <c:order val="220"/>
          <c:tx>
            <c:strRef>
              <c:f>Diagrama!$GF$25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Diagrama!$GF$26</c:f>
              <c:numCache>
                <c:formatCode>0.00</c:formatCode>
                <c:ptCount val="1"/>
              </c:numCache>
            </c:numRef>
          </c:xVal>
          <c:yVal>
            <c:numRef>
              <c:f>Diagrama!$GF$27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E250-4AB7-85F0-9E4846E1EDB9}"/>
            </c:ext>
          </c:extLst>
        </c:ser>
        <c:ser>
          <c:idx val="221"/>
          <c:order val="221"/>
          <c:tx>
            <c:strRef>
              <c:f>Diagrama!$GG$25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Diagrama!$GG$26</c:f>
              <c:numCache>
                <c:formatCode>0.00</c:formatCode>
                <c:ptCount val="1"/>
              </c:numCache>
            </c:numRef>
          </c:xVal>
          <c:yVal>
            <c:numRef>
              <c:f>Diagrama!$GG$27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E250-4AB7-85F0-9E4846E1EDB9}"/>
            </c:ext>
          </c:extLst>
        </c:ser>
        <c:ser>
          <c:idx val="222"/>
          <c:order val="222"/>
          <c:tx>
            <c:strRef>
              <c:f>Diagrama!$GH$25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Diagrama!$GH$26</c:f>
              <c:numCache>
                <c:formatCode>0.00</c:formatCode>
                <c:ptCount val="1"/>
              </c:numCache>
            </c:numRef>
          </c:xVal>
          <c:yVal>
            <c:numRef>
              <c:f>Diagrama!$GH$27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E250-4AB7-85F0-9E4846E1EDB9}"/>
            </c:ext>
          </c:extLst>
        </c:ser>
        <c:ser>
          <c:idx val="223"/>
          <c:order val="223"/>
          <c:tx>
            <c:strRef>
              <c:f>Diagrama!$GI$25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189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Diagrama!$GI$26</c:f>
              <c:numCache>
                <c:formatCode>0.00</c:formatCode>
                <c:ptCount val="1"/>
              </c:numCache>
            </c:numRef>
          </c:xVal>
          <c:yVal>
            <c:numRef>
              <c:f>Diagrama!$GI$27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E250-4AB7-85F0-9E4846E1EDB9}"/>
            </c:ext>
          </c:extLst>
        </c:ser>
        <c:ser>
          <c:idx val="224"/>
          <c:order val="224"/>
          <c:tx>
            <c:strRef>
              <c:f>Diagrama!$GJ$25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Diagrama!$GJ$26</c:f>
              <c:numCache>
                <c:formatCode>0.00</c:formatCode>
                <c:ptCount val="1"/>
              </c:numCache>
            </c:numRef>
          </c:xVal>
          <c:yVal>
            <c:numRef>
              <c:f>Diagrama!$GJ$27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E250-4AB7-85F0-9E4846E1EDB9}"/>
            </c:ext>
          </c:extLst>
        </c:ser>
        <c:ser>
          <c:idx val="225"/>
          <c:order val="225"/>
          <c:tx>
            <c:strRef>
              <c:f>Diagrama!$GK$25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191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Diagrama!$GK$26</c:f>
              <c:numCache>
                <c:formatCode>0.00</c:formatCode>
                <c:ptCount val="1"/>
              </c:numCache>
            </c:numRef>
          </c:xVal>
          <c:yVal>
            <c:numRef>
              <c:f>Diagrama!$GK$27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E250-4AB7-85F0-9E4846E1EDB9}"/>
            </c:ext>
          </c:extLst>
        </c:ser>
        <c:ser>
          <c:idx val="226"/>
          <c:order val="226"/>
          <c:tx>
            <c:strRef>
              <c:f>Diagrama!$GL$25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192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Diagrama!$GL$26</c:f>
              <c:numCache>
                <c:formatCode>0.00</c:formatCode>
                <c:ptCount val="1"/>
              </c:numCache>
            </c:numRef>
          </c:xVal>
          <c:yVal>
            <c:numRef>
              <c:f>Diagrama!$GL$27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E250-4AB7-85F0-9E4846E1EDB9}"/>
            </c:ext>
          </c:extLst>
        </c:ser>
        <c:ser>
          <c:idx val="227"/>
          <c:order val="227"/>
          <c:tx>
            <c:strRef>
              <c:f>Diagrama!$GM$25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193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Diagrama!$GM$26</c:f>
              <c:numCache>
                <c:formatCode>0.00</c:formatCode>
                <c:ptCount val="1"/>
              </c:numCache>
            </c:numRef>
          </c:xVal>
          <c:yVal>
            <c:numRef>
              <c:f>Diagrama!$GM$27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E250-4AB7-85F0-9E4846E1EDB9}"/>
            </c:ext>
          </c:extLst>
        </c:ser>
        <c:ser>
          <c:idx val="228"/>
          <c:order val="228"/>
          <c:tx>
            <c:strRef>
              <c:f>Diagrama!$GN$25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Diagrama!$GN$26</c:f>
              <c:numCache>
                <c:formatCode>0.00</c:formatCode>
                <c:ptCount val="1"/>
              </c:numCache>
            </c:numRef>
          </c:xVal>
          <c:yVal>
            <c:numRef>
              <c:f>Diagrama!$GN$27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E250-4AB7-85F0-9E4846E1EDB9}"/>
            </c:ext>
          </c:extLst>
        </c:ser>
        <c:ser>
          <c:idx val="229"/>
          <c:order val="229"/>
          <c:tx>
            <c:strRef>
              <c:f>Diagrama!$GO$25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Diagrama!$GO$26</c:f>
              <c:numCache>
                <c:formatCode>0.00</c:formatCode>
                <c:ptCount val="1"/>
              </c:numCache>
            </c:numRef>
          </c:xVal>
          <c:yVal>
            <c:numRef>
              <c:f>Diagrama!$GO$27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E250-4AB7-85F0-9E4846E1EDB9}"/>
            </c:ext>
          </c:extLst>
        </c:ser>
        <c:ser>
          <c:idx val="230"/>
          <c:order val="230"/>
          <c:tx>
            <c:strRef>
              <c:f>Diagrama!$GP$25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7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7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Diagrama!$GP$26</c:f>
              <c:numCache>
                <c:formatCode>0.00</c:formatCode>
                <c:ptCount val="1"/>
              </c:numCache>
            </c:numRef>
          </c:xVal>
          <c:yVal>
            <c:numRef>
              <c:f>Diagrama!$GP$27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E250-4AB7-85F0-9E4846E1EDB9}"/>
            </c:ext>
          </c:extLst>
        </c:ser>
        <c:ser>
          <c:idx val="231"/>
          <c:order val="231"/>
          <c:tx>
            <c:strRef>
              <c:f>Diagrama!$GQ$25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Diagrama!$GQ$26</c:f>
              <c:numCache>
                <c:formatCode>0.00</c:formatCode>
                <c:ptCount val="1"/>
              </c:numCache>
            </c:numRef>
          </c:xVal>
          <c:yVal>
            <c:numRef>
              <c:f>Diagrama!$GQ$27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E250-4AB7-85F0-9E4846E1EDB9}"/>
            </c:ext>
          </c:extLst>
        </c:ser>
        <c:ser>
          <c:idx val="232"/>
          <c:order val="232"/>
          <c:tx>
            <c:strRef>
              <c:f>Diagrama!$GR$25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Diagrama!$GR$26</c:f>
              <c:numCache>
                <c:formatCode>0.00</c:formatCode>
                <c:ptCount val="1"/>
              </c:numCache>
            </c:numRef>
          </c:xVal>
          <c:yVal>
            <c:numRef>
              <c:f>Diagrama!$GR$27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E250-4AB7-85F0-9E4846E1EDB9}"/>
            </c:ext>
          </c:extLst>
        </c:ser>
        <c:ser>
          <c:idx val="233"/>
          <c:order val="233"/>
          <c:tx>
            <c:strRef>
              <c:f>Diagrama!$GS$25</c:f>
              <c:strCache>
                <c:ptCount val="1"/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8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199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8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Diagrama!$GS$26</c:f>
              <c:numCache>
                <c:formatCode>0.00</c:formatCode>
                <c:ptCount val="1"/>
              </c:numCache>
            </c:numRef>
          </c:xVal>
          <c:yVal>
            <c:numRef>
              <c:f>Diagrama!$GS$27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E250-4AB7-85F0-9E4846E1E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simergy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K:\Andr&#233;\Grafico\Grafico30.xlsm" TargetMode="External"/><Relationship Id="rId1" Type="http://schemas.openxmlformats.org/officeDocument/2006/relationships/externalLinkPath" Target="Grafico3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IAG"/>
      <sheetName val="Resumo"/>
      <sheetName val="Entrada_de_Dados_2"/>
      <sheetName val="Diagrama"/>
      <sheetName val="Espelho"/>
    </sheetNames>
    <sheetDataSet>
      <sheetData sheetId="0">
        <row r="44">
          <cell r="X44" t="b">
            <v>0</v>
          </cell>
        </row>
        <row r="51">
          <cell r="T51">
            <v>1</v>
          </cell>
        </row>
        <row r="52">
          <cell r="T52">
            <v>5</v>
          </cell>
        </row>
        <row r="53">
          <cell r="T53">
            <v>2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Zeros="0" tabSelected="1" topLeftCell="A4" zoomScale="75" zoomScaleNormal="75" workbookViewId="0">
      <selection activeCell="M22" sqref="M22"/>
    </sheetView>
  </sheetViews>
  <sheetFormatPr defaultRowHeight="12.75" x14ac:dyDescent="0.2"/>
  <cols>
    <col min="1" max="1" width="8.875" style="174" customWidth="1"/>
    <col min="2" max="6" width="9" style="174"/>
    <col min="7" max="7" width="11.875" style="174" customWidth="1"/>
    <col min="8" max="8" width="13" style="174" customWidth="1"/>
    <col min="9" max="9" width="13.125" style="174" customWidth="1"/>
    <col min="10" max="10" width="11.875" style="174" customWidth="1"/>
    <col min="11" max="11" width="9" style="174"/>
    <col min="12" max="12" width="11.125" style="174" bestFit="1" customWidth="1"/>
    <col min="13" max="14" width="12.5" style="174" customWidth="1"/>
    <col min="15" max="15" width="10.75" style="174" customWidth="1"/>
    <col min="16" max="16" width="15.375" style="174" customWidth="1"/>
    <col min="17" max="17" width="7" style="174" customWidth="1"/>
    <col min="18" max="18" width="15.25" style="174" bestFit="1" customWidth="1"/>
    <col min="19" max="19" width="12.25" style="175" customWidth="1"/>
    <col min="20" max="22" width="13.25" style="175" customWidth="1"/>
    <col min="23" max="23" width="13" style="174" customWidth="1"/>
    <col min="24" max="24" width="13.75" style="174" customWidth="1"/>
    <col min="25" max="25" width="12.75" style="174" customWidth="1"/>
    <col min="26" max="26" width="12.625" style="174" customWidth="1"/>
    <col min="27" max="27" width="13.5" style="174" customWidth="1"/>
    <col min="28" max="28" width="12.5" style="174" customWidth="1"/>
    <col min="29" max="29" width="9.75" style="174" customWidth="1"/>
    <col min="30" max="30" width="10.25" style="174" customWidth="1"/>
    <col min="31" max="31" width="11.375" style="174" customWidth="1"/>
    <col min="32" max="32" width="11.25" style="174" customWidth="1"/>
    <col min="33" max="33" width="9.625" style="174" customWidth="1"/>
    <col min="34" max="34" width="6.125" style="174" customWidth="1"/>
    <col min="35" max="38" width="2.75" style="174" customWidth="1"/>
    <col min="39" max="39" width="5" style="174" customWidth="1"/>
    <col min="40" max="40" width="16.125" style="174" customWidth="1"/>
    <col min="41" max="41" width="12.875" style="174" customWidth="1"/>
    <col min="42" max="42" width="13.375" style="174" customWidth="1"/>
    <col min="43" max="45" width="2.75" style="174" customWidth="1"/>
    <col min="46" max="16384" width="9" style="174"/>
  </cols>
  <sheetData>
    <row r="1" spans="8:46" ht="30" customHeight="1" x14ac:dyDescent="0.2">
      <c r="P1" s="174" t="s">
        <v>67</v>
      </c>
      <c r="Q1" s="174" t="s">
        <v>0</v>
      </c>
      <c r="R1" s="174" t="s">
        <v>19</v>
      </c>
      <c r="T1" s="175" t="s">
        <v>125</v>
      </c>
      <c r="U1" s="175" t="s">
        <v>125</v>
      </c>
      <c r="V1" s="175" t="s">
        <v>125</v>
      </c>
      <c r="W1" s="174">
        <v>12</v>
      </c>
      <c r="X1" s="176"/>
      <c r="Y1" s="176"/>
      <c r="AA1" s="174">
        <f>N5+O5+P5</f>
        <v>1</v>
      </c>
      <c r="AM1" s="174">
        <v>1</v>
      </c>
      <c r="AT1" s="174" t="s">
        <v>5</v>
      </c>
    </row>
    <row r="2" spans="8:46" x14ac:dyDescent="0.2">
      <c r="T2" s="175" t="s">
        <v>123</v>
      </c>
      <c r="U2" s="175" t="s">
        <v>123</v>
      </c>
      <c r="V2" s="175" t="s">
        <v>123</v>
      </c>
      <c r="AM2" s="174">
        <v>2</v>
      </c>
      <c r="AT2" s="174" t="s">
        <v>7</v>
      </c>
    </row>
    <row r="3" spans="8:46" x14ac:dyDescent="0.2">
      <c r="R3" s="174" t="s">
        <v>83</v>
      </c>
      <c r="T3" s="175" t="s">
        <v>124</v>
      </c>
      <c r="U3" s="175" t="s">
        <v>124</v>
      </c>
      <c r="V3" s="175" t="s">
        <v>124</v>
      </c>
      <c r="AM3" s="174">
        <v>3</v>
      </c>
      <c r="AT3" s="174" t="s">
        <v>6</v>
      </c>
    </row>
    <row r="4" spans="8:46" x14ac:dyDescent="0.2">
      <c r="T4" s="175" t="s">
        <v>126</v>
      </c>
      <c r="U4" s="175" t="s">
        <v>126</v>
      </c>
      <c r="V4" s="175" t="s">
        <v>126</v>
      </c>
      <c r="X4" s="174" t="s">
        <v>95</v>
      </c>
      <c r="AM4" s="174">
        <v>4</v>
      </c>
      <c r="AT4" s="174" t="s">
        <v>89</v>
      </c>
    </row>
    <row r="5" spans="8:46" x14ac:dyDescent="0.2">
      <c r="N5" s="174" t="b">
        <v>0</v>
      </c>
      <c r="O5" s="174" t="b">
        <v>0</v>
      </c>
      <c r="P5" s="174" t="b">
        <v>1</v>
      </c>
      <c r="T5" s="175" t="s">
        <v>127</v>
      </c>
      <c r="U5" s="175" t="s">
        <v>127</v>
      </c>
      <c r="V5" s="175" t="s">
        <v>127</v>
      </c>
      <c r="X5" s="174" t="s">
        <v>103</v>
      </c>
      <c r="Y5" s="174" t="s">
        <v>106</v>
      </c>
      <c r="Z5" s="174" t="s">
        <v>105</v>
      </c>
      <c r="AM5" s="174">
        <v>5</v>
      </c>
    </row>
    <row r="6" spans="8:46" x14ac:dyDescent="0.2">
      <c r="T6" s="175" t="s">
        <v>128</v>
      </c>
      <c r="U6" s="175" t="s">
        <v>128</v>
      </c>
      <c r="V6" s="175" t="s">
        <v>128</v>
      </c>
      <c r="X6" s="174" t="b">
        <v>0</v>
      </c>
      <c r="Y6" s="174" t="b">
        <v>0</v>
      </c>
      <c r="Z6" s="174" t="b">
        <v>0</v>
      </c>
      <c r="AM6" s="174">
        <v>6</v>
      </c>
    </row>
    <row r="7" spans="8:46" x14ac:dyDescent="0.2">
      <c r="T7" s="175" t="s">
        <v>129</v>
      </c>
      <c r="U7" s="175" t="s">
        <v>129</v>
      </c>
      <c r="V7" s="175" t="s">
        <v>129</v>
      </c>
      <c r="AM7" s="174">
        <v>7</v>
      </c>
    </row>
    <row r="8" spans="8:46" x14ac:dyDescent="0.2">
      <c r="T8" s="175" t="s">
        <v>130</v>
      </c>
      <c r="U8" s="175" t="s">
        <v>130</v>
      </c>
      <c r="V8" s="175" t="s">
        <v>130</v>
      </c>
      <c r="AM8" s="174">
        <v>8</v>
      </c>
    </row>
    <row r="9" spans="8:46" x14ac:dyDescent="0.2">
      <c r="T9" s="175" t="s">
        <v>131</v>
      </c>
      <c r="U9" s="175" t="s">
        <v>131</v>
      </c>
      <c r="V9" s="175" t="s">
        <v>131</v>
      </c>
      <c r="AM9" s="174">
        <v>9</v>
      </c>
    </row>
    <row r="10" spans="8:46" x14ac:dyDescent="0.2">
      <c r="T10" s="175" t="s">
        <v>132</v>
      </c>
      <c r="U10" s="175" t="s">
        <v>132</v>
      </c>
      <c r="V10" s="175" t="s">
        <v>132</v>
      </c>
      <c r="AM10" s="174">
        <v>10</v>
      </c>
    </row>
    <row r="11" spans="8:46" x14ac:dyDescent="0.2">
      <c r="R11" s="174" t="s">
        <v>66</v>
      </c>
      <c r="S11" s="175">
        <v>1</v>
      </c>
      <c r="T11" s="175" t="b">
        <v>1</v>
      </c>
      <c r="U11" s="175" t="b">
        <v>1</v>
      </c>
      <c r="V11" s="175" t="b">
        <v>1</v>
      </c>
      <c r="W11" s="205"/>
      <c r="X11" s="205"/>
      <c r="Y11" s="205"/>
      <c r="Z11" s="205"/>
      <c r="AA11" s="205"/>
      <c r="AB11" s="205"/>
    </row>
    <row r="12" spans="8:46" x14ac:dyDescent="0.2">
      <c r="S12" s="175">
        <v>2</v>
      </c>
      <c r="T12" s="175" t="b">
        <v>1</v>
      </c>
      <c r="U12" s="175" t="b">
        <v>1</v>
      </c>
      <c r="V12" s="175" t="b">
        <v>1</v>
      </c>
    </row>
    <row r="13" spans="8:46" x14ac:dyDescent="0.2">
      <c r="H13" s="185"/>
      <c r="I13" s="185"/>
      <c r="S13" s="175">
        <v>3</v>
      </c>
      <c r="T13" s="175" t="b">
        <v>1</v>
      </c>
      <c r="U13" s="175" t="b">
        <v>1</v>
      </c>
      <c r="V13" s="175" t="b">
        <v>1</v>
      </c>
    </row>
    <row r="14" spans="8:46" x14ac:dyDescent="0.2">
      <c r="S14" s="175">
        <v>4</v>
      </c>
      <c r="T14" s="175" t="b">
        <v>1</v>
      </c>
      <c r="U14" s="175" t="b">
        <v>1</v>
      </c>
      <c r="V14" s="175" t="b">
        <v>1</v>
      </c>
    </row>
    <row r="15" spans="8:46" x14ac:dyDescent="0.2">
      <c r="S15" s="175">
        <v>5</v>
      </c>
      <c r="T15" s="175" t="b">
        <v>1</v>
      </c>
      <c r="U15" s="175" t="b">
        <v>1</v>
      </c>
      <c r="V15" s="175" t="b">
        <v>1</v>
      </c>
    </row>
    <row r="16" spans="8:46" x14ac:dyDescent="0.2">
      <c r="S16" s="175">
        <v>6</v>
      </c>
      <c r="T16" s="175" t="b">
        <v>1</v>
      </c>
      <c r="U16" s="175" t="b">
        <v>1</v>
      </c>
      <c r="V16" s="175" t="b">
        <v>1</v>
      </c>
    </row>
    <row r="17" spans="1:32" x14ac:dyDescent="0.2">
      <c r="S17" s="175">
        <v>7</v>
      </c>
      <c r="T17" s="175" t="b">
        <v>1</v>
      </c>
      <c r="U17" s="175" t="b">
        <v>1</v>
      </c>
      <c r="V17" s="175" t="b">
        <v>1</v>
      </c>
    </row>
    <row r="18" spans="1:32" x14ac:dyDescent="0.2">
      <c r="S18" s="175">
        <v>8</v>
      </c>
      <c r="T18" s="175" t="b">
        <v>1</v>
      </c>
      <c r="U18" s="175" t="b">
        <v>1</v>
      </c>
      <c r="V18" s="175" t="b">
        <v>1</v>
      </c>
    </row>
    <row r="19" spans="1:32" x14ac:dyDescent="0.2">
      <c r="S19" s="175">
        <v>9</v>
      </c>
      <c r="T19" s="175" t="b">
        <v>1</v>
      </c>
      <c r="U19" s="175" t="b">
        <v>1</v>
      </c>
      <c r="V19" s="175" t="b">
        <v>1</v>
      </c>
    </row>
    <row r="20" spans="1:32" x14ac:dyDescent="0.2">
      <c r="S20" s="175">
        <v>10</v>
      </c>
      <c r="T20" s="175" t="b">
        <v>1</v>
      </c>
      <c r="U20" s="175" t="b">
        <v>1</v>
      </c>
      <c r="V20" s="175" t="b">
        <v>1</v>
      </c>
    </row>
    <row r="21" spans="1:32" x14ac:dyDescent="0.2">
      <c r="R21" s="174" t="s">
        <v>1</v>
      </c>
      <c r="S21" s="175">
        <v>1</v>
      </c>
      <c r="T21" s="175" t="b">
        <v>0</v>
      </c>
      <c r="U21" s="175" t="b">
        <v>0</v>
      </c>
      <c r="V21" s="175" t="b">
        <v>0</v>
      </c>
      <c r="W21" s="174">
        <f>IF(T21,1,0)</f>
        <v>0</v>
      </c>
      <c r="X21" s="174">
        <f>IF(T22,1,0)</f>
        <v>0</v>
      </c>
      <c r="Y21" s="174">
        <f>IF(T23,1,0)</f>
        <v>0</v>
      </c>
      <c r="Z21" s="174">
        <f>IF(T24,1,0)</f>
        <v>0</v>
      </c>
      <c r="AA21" s="174">
        <f>IF(T25,1,0)</f>
        <v>0</v>
      </c>
      <c r="AB21" s="174">
        <f>IF(T26,1,0)</f>
        <v>0</v>
      </c>
      <c r="AC21" s="174">
        <f>IF(T27,1,0)</f>
        <v>0</v>
      </c>
      <c r="AD21" s="174">
        <f>IF(T28,1,0)</f>
        <v>0</v>
      </c>
      <c r="AE21" s="174">
        <f>IF(T29,1,0)</f>
        <v>0</v>
      </c>
      <c r="AF21" s="174">
        <f>IF(T30,1,0)</f>
        <v>0</v>
      </c>
    </row>
    <row r="22" spans="1:32" x14ac:dyDescent="0.2">
      <c r="B22" s="186"/>
      <c r="S22" s="175">
        <v>2</v>
      </c>
      <c r="T22" s="175" t="b">
        <v>0</v>
      </c>
      <c r="U22" s="175" t="b">
        <v>0</v>
      </c>
      <c r="V22" s="175" t="b">
        <v>0</v>
      </c>
    </row>
    <row r="23" spans="1:32" x14ac:dyDescent="0.2">
      <c r="B23" s="186"/>
      <c r="S23" s="175">
        <v>3</v>
      </c>
      <c r="T23" s="175" t="b">
        <v>0</v>
      </c>
      <c r="U23" s="175" t="b">
        <v>0</v>
      </c>
      <c r="V23" s="175" t="b">
        <v>0</v>
      </c>
    </row>
    <row r="24" spans="1:32" x14ac:dyDescent="0.2">
      <c r="B24" s="186"/>
      <c r="S24" s="175">
        <v>4</v>
      </c>
      <c r="T24" s="175" t="b">
        <v>0</v>
      </c>
      <c r="U24" s="175" t="b">
        <v>0</v>
      </c>
      <c r="V24" s="175" t="b">
        <v>0</v>
      </c>
    </row>
    <row r="25" spans="1:32" x14ac:dyDescent="0.2">
      <c r="A25" s="186"/>
      <c r="B25" s="186"/>
      <c r="S25" s="175">
        <v>5</v>
      </c>
      <c r="T25" s="175" t="b">
        <v>0</v>
      </c>
      <c r="U25" s="175" t="b">
        <v>0</v>
      </c>
      <c r="V25" s="175" t="b">
        <v>0</v>
      </c>
    </row>
    <row r="26" spans="1:32" x14ac:dyDescent="0.2">
      <c r="A26" s="187"/>
      <c r="B26" s="187"/>
      <c r="C26" s="187"/>
      <c r="D26" s="187"/>
      <c r="E26" s="187"/>
      <c r="S26" s="175">
        <v>6</v>
      </c>
      <c r="T26" s="175" t="b">
        <v>0</v>
      </c>
      <c r="U26" s="175" t="b">
        <v>0</v>
      </c>
      <c r="V26" s="175" t="b">
        <v>0</v>
      </c>
    </row>
    <row r="27" spans="1:32" x14ac:dyDescent="0.2">
      <c r="A27" s="187"/>
      <c r="B27" s="187"/>
      <c r="C27" s="187"/>
      <c r="D27" s="187"/>
      <c r="E27" s="187"/>
      <c r="S27" s="175">
        <v>7</v>
      </c>
      <c r="T27" s="175" t="b">
        <v>0</v>
      </c>
      <c r="U27" s="175" t="b">
        <v>0</v>
      </c>
      <c r="V27" s="175" t="b">
        <v>0</v>
      </c>
    </row>
    <row r="28" spans="1:32" x14ac:dyDescent="0.2">
      <c r="A28" s="187"/>
      <c r="B28" s="187"/>
      <c r="C28" s="187"/>
      <c r="D28" s="187"/>
      <c r="E28" s="187"/>
      <c r="S28" s="175">
        <v>8</v>
      </c>
      <c r="T28" s="175" t="b">
        <v>0</v>
      </c>
      <c r="U28" s="175" t="b">
        <v>0</v>
      </c>
      <c r="V28" s="175" t="b">
        <v>0</v>
      </c>
    </row>
    <row r="29" spans="1:32" x14ac:dyDescent="0.2">
      <c r="A29" s="187"/>
      <c r="B29" s="187"/>
      <c r="C29" s="187"/>
      <c r="D29" s="187"/>
      <c r="E29" s="187"/>
      <c r="S29" s="175">
        <v>9</v>
      </c>
      <c r="T29" s="175" t="b">
        <v>0</v>
      </c>
      <c r="U29" s="175" t="b">
        <v>0</v>
      </c>
      <c r="V29" s="175" t="b">
        <v>0</v>
      </c>
    </row>
    <row r="30" spans="1:32" x14ac:dyDescent="0.2">
      <c r="A30" s="188"/>
      <c r="B30" s="188"/>
      <c r="C30" s="188"/>
      <c r="S30" s="175">
        <v>10</v>
      </c>
      <c r="T30" s="175" t="b">
        <v>0</v>
      </c>
      <c r="U30" s="175" t="b">
        <v>0</v>
      </c>
      <c r="V30" s="175" t="b">
        <v>0</v>
      </c>
    </row>
    <row r="31" spans="1:32" x14ac:dyDescent="0.2">
      <c r="R31" s="174" t="s">
        <v>2</v>
      </c>
      <c r="S31" s="175">
        <v>1</v>
      </c>
      <c r="T31" s="175">
        <v>1</v>
      </c>
      <c r="U31" s="175">
        <v>1</v>
      </c>
      <c r="V31" s="175">
        <v>1</v>
      </c>
      <c r="W31" s="174">
        <f>IF($T$41,T31,1)</f>
        <v>1</v>
      </c>
      <c r="X31" s="174">
        <f>IF($T$41,T32,1)</f>
        <v>1</v>
      </c>
      <c r="Y31" s="174">
        <f>IF($T$41,T33,1)</f>
        <v>1</v>
      </c>
      <c r="Z31" s="174">
        <f>IF($T$41,T34,1)</f>
        <v>1</v>
      </c>
      <c r="AA31" s="174">
        <f>IF($T$41,T35,1)</f>
        <v>1</v>
      </c>
      <c r="AB31" s="174">
        <f>IF($T$41,T36,1)</f>
        <v>1</v>
      </c>
      <c r="AC31" s="174">
        <f>IF($T$41,T37,1)</f>
        <v>1</v>
      </c>
      <c r="AD31" s="174">
        <f>IF($T$41,T38,1)</f>
        <v>1</v>
      </c>
      <c r="AE31" s="174">
        <f>IF($T$41,T39,1)</f>
        <v>1</v>
      </c>
      <c r="AF31" s="174">
        <f>IF($T$41,T40,1)</f>
        <v>1</v>
      </c>
    </row>
    <row r="32" spans="1:32" x14ac:dyDescent="0.2">
      <c r="S32" s="175">
        <v>2</v>
      </c>
      <c r="T32" s="175">
        <v>1</v>
      </c>
      <c r="U32" s="175">
        <v>1</v>
      </c>
      <c r="V32" s="175">
        <v>1</v>
      </c>
    </row>
    <row r="33" spans="1:24" x14ac:dyDescent="0.2">
      <c r="S33" s="175">
        <v>3</v>
      </c>
      <c r="T33" s="175">
        <v>1</v>
      </c>
      <c r="U33" s="175">
        <v>1</v>
      </c>
      <c r="V33" s="175">
        <v>1</v>
      </c>
    </row>
    <row r="34" spans="1:24" x14ac:dyDescent="0.2">
      <c r="S34" s="175">
        <v>4</v>
      </c>
      <c r="T34" s="175">
        <v>1</v>
      </c>
      <c r="U34" s="175">
        <v>1</v>
      </c>
      <c r="V34" s="175">
        <v>1</v>
      </c>
    </row>
    <row r="35" spans="1:24" x14ac:dyDescent="0.2">
      <c r="S35" s="175">
        <v>5</v>
      </c>
      <c r="T35" s="175">
        <v>1</v>
      </c>
      <c r="U35" s="175">
        <v>1</v>
      </c>
      <c r="V35" s="175">
        <v>1</v>
      </c>
    </row>
    <row r="36" spans="1:24" x14ac:dyDescent="0.2">
      <c r="S36" s="175">
        <v>6</v>
      </c>
      <c r="T36" s="175">
        <v>1</v>
      </c>
      <c r="U36" s="175">
        <v>1</v>
      </c>
      <c r="V36" s="175">
        <v>1</v>
      </c>
    </row>
    <row r="37" spans="1:24" x14ac:dyDescent="0.2">
      <c r="E37" s="175" t="s">
        <v>66</v>
      </c>
      <c r="F37" s="175">
        <v>1</v>
      </c>
      <c r="G37" s="175" t="b">
        <v>1</v>
      </c>
      <c r="H37" s="175" t="b">
        <v>1</v>
      </c>
      <c r="I37" s="175" t="b">
        <v>1</v>
      </c>
      <c r="K37" s="207">
        <v>1</v>
      </c>
      <c r="L37" s="207" t="s">
        <v>229</v>
      </c>
      <c r="M37" s="207" t="s">
        <v>229</v>
      </c>
      <c r="N37" s="207" t="s">
        <v>229</v>
      </c>
      <c r="O37" s="175" t="s">
        <v>19</v>
      </c>
      <c r="S37" s="175">
        <v>7</v>
      </c>
      <c r="T37" s="175">
        <v>1</v>
      </c>
      <c r="U37" s="175">
        <v>1</v>
      </c>
      <c r="V37" s="175">
        <v>1</v>
      </c>
    </row>
    <row r="38" spans="1:24" x14ac:dyDescent="0.2">
      <c r="F38" s="175">
        <v>2</v>
      </c>
      <c r="G38" s="175" t="b">
        <v>1</v>
      </c>
      <c r="H38" s="175" t="b">
        <v>1</v>
      </c>
      <c r="I38" s="175" t="b">
        <v>1</v>
      </c>
      <c r="K38" s="207">
        <v>2</v>
      </c>
      <c r="L38" s="207" t="s">
        <v>230</v>
      </c>
      <c r="M38" s="207" t="s">
        <v>230</v>
      </c>
      <c r="N38" s="207" t="s">
        <v>230</v>
      </c>
      <c r="S38" s="175">
        <v>8</v>
      </c>
      <c r="T38" s="175">
        <v>1</v>
      </c>
      <c r="U38" s="175">
        <v>1</v>
      </c>
      <c r="V38" s="175">
        <v>1</v>
      </c>
    </row>
    <row r="39" spans="1:24" x14ac:dyDescent="0.2">
      <c r="F39" s="175">
        <v>3</v>
      </c>
      <c r="G39" s="175" t="b">
        <v>1</v>
      </c>
      <c r="H39" s="175" t="b">
        <v>1</v>
      </c>
      <c r="I39" s="175" t="b">
        <v>1</v>
      </c>
      <c r="K39" s="207">
        <v>3</v>
      </c>
      <c r="L39" s="207" t="s">
        <v>231</v>
      </c>
      <c r="M39" s="207" t="s">
        <v>231</v>
      </c>
      <c r="N39" s="207" t="s">
        <v>231</v>
      </c>
      <c r="S39" s="175">
        <v>9</v>
      </c>
      <c r="T39" s="175">
        <v>1</v>
      </c>
      <c r="U39" s="175">
        <v>1</v>
      </c>
      <c r="V39" s="175">
        <v>1</v>
      </c>
    </row>
    <row r="40" spans="1:24" x14ac:dyDescent="0.2">
      <c r="F40" s="175">
        <v>4</v>
      </c>
      <c r="G40" s="175" t="b">
        <v>1</v>
      </c>
      <c r="H40" s="175" t="b">
        <v>1</v>
      </c>
      <c r="I40" s="175" t="b">
        <v>1</v>
      </c>
      <c r="K40" s="207">
        <v>4</v>
      </c>
      <c r="L40" s="207" t="s">
        <v>232</v>
      </c>
      <c r="M40" s="207" t="s">
        <v>232</v>
      </c>
      <c r="N40" s="207" t="s">
        <v>232</v>
      </c>
      <c r="S40" s="175">
        <v>10</v>
      </c>
      <c r="T40" s="175">
        <v>1</v>
      </c>
      <c r="U40" s="175">
        <v>1</v>
      </c>
      <c r="V40" s="175">
        <v>1</v>
      </c>
    </row>
    <row r="41" spans="1:24" x14ac:dyDescent="0.2">
      <c r="F41" s="175">
        <v>5</v>
      </c>
      <c r="G41" s="175" t="b">
        <v>1</v>
      </c>
      <c r="H41" s="175" t="b">
        <v>1</v>
      </c>
      <c r="I41" s="175" t="b">
        <v>1</v>
      </c>
      <c r="K41" s="207">
        <v>5</v>
      </c>
      <c r="L41" s="207" t="s">
        <v>233</v>
      </c>
      <c r="M41" s="207" t="s">
        <v>233</v>
      </c>
      <c r="N41" s="207" t="s">
        <v>233</v>
      </c>
      <c r="R41" s="174" t="s">
        <v>71</v>
      </c>
      <c r="S41" s="175">
        <v>0</v>
      </c>
      <c r="T41" s="175" t="b">
        <v>0</v>
      </c>
      <c r="U41" s="175" t="b">
        <v>0</v>
      </c>
      <c r="V41" s="175" t="b">
        <v>0</v>
      </c>
      <c r="X41" s="175" t="s">
        <v>92</v>
      </c>
    </row>
    <row r="42" spans="1:24" x14ac:dyDescent="0.2">
      <c r="F42" s="175">
        <v>6</v>
      </c>
      <c r="G42" s="175" t="b">
        <v>1</v>
      </c>
      <c r="H42" s="175" t="b">
        <v>1</v>
      </c>
      <c r="I42" s="175" t="b">
        <v>1</v>
      </c>
      <c r="K42" s="207">
        <v>6</v>
      </c>
      <c r="L42" s="207" t="s">
        <v>234</v>
      </c>
      <c r="M42" s="207" t="s">
        <v>234</v>
      </c>
      <c r="N42" s="207" t="s">
        <v>234</v>
      </c>
      <c r="Q42" s="174" t="s">
        <v>3</v>
      </c>
      <c r="R42" s="174" t="s">
        <v>69</v>
      </c>
      <c r="S42" s="175" t="s">
        <v>5</v>
      </c>
      <c r="T42" s="175" t="b">
        <v>0</v>
      </c>
      <c r="U42" s="175" t="b">
        <v>0</v>
      </c>
      <c r="V42" s="175" t="b">
        <v>0</v>
      </c>
      <c r="X42" s="176" t="b">
        <v>0</v>
      </c>
    </row>
    <row r="43" spans="1:24" x14ac:dyDescent="0.2">
      <c r="F43" s="175">
        <v>7</v>
      </c>
      <c r="G43" s="175" t="b">
        <v>1</v>
      </c>
      <c r="H43" s="175" t="b">
        <v>1</v>
      </c>
      <c r="I43" s="175" t="b">
        <v>1</v>
      </c>
      <c r="K43" s="207">
        <v>7</v>
      </c>
      <c r="L43" s="207" t="s">
        <v>235</v>
      </c>
      <c r="M43" s="207" t="s">
        <v>235</v>
      </c>
      <c r="N43" s="207" t="s">
        <v>235</v>
      </c>
      <c r="S43" s="175" t="s">
        <v>6</v>
      </c>
      <c r="T43" s="175" t="b">
        <v>0</v>
      </c>
      <c r="U43" s="175" t="b">
        <v>0</v>
      </c>
      <c r="V43" s="175" t="b">
        <v>0</v>
      </c>
      <c r="X43" s="175" t="s">
        <v>107</v>
      </c>
    </row>
    <row r="44" spans="1:24" x14ac:dyDescent="0.2">
      <c r="F44" s="175">
        <v>8</v>
      </c>
      <c r="G44" s="175" t="b">
        <v>1</v>
      </c>
      <c r="H44" s="175" t="b">
        <v>1</v>
      </c>
      <c r="I44" s="175" t="b">
        <v>1</v>
      </c>
      <c r="K44" s="207">
        <v>8</v>
      </c>
      <c r="L44" s="207" t="s">
        <v>236</v>
      </c>
      <c r="M44" s="207" t="s">
        <v>236</v>
      </c>
      <c r="N44" s="207" t="s">
        <v>236</v>
      </c>
      <c r="S44" s="175" t="s">
        <v>7</v>
      </c>
      <c r="T44" s="175" t="b">
        <v>0</v>
      </c>
      <c r="U44" s="175" t="b">
        <v>0</v>
      </c>
      <c r="V44" s="175" t="b">
        <v>0</v>
      </c>
      <c r="X44" s="176" t="b">
        <v>0</v>
      </c>
    </row>
    <row r="45" spans="1:24" x14ac:dyDescent="0.2">
      <c r="F45" s="175">
        <v>9</v>
      </c>
      <c r="G45" s="175" t="b">
        <v>1</v>
      </c>
      <c r="H45" s="175" t="b">
        <v>1</v>
      </c>
      <c r="I45" s="175" t="b">
        <v>1</v>
      </c>
      <c r="K45" s="207">
        <v>9</v>
      </c>
      <c r="L45" s="207" t="s">
        <v>237</v>
      </c>
      <c r="M45" s="207" t="s">
        <v>237</v>
      </c>
      <c r="N45" s="207" t="s">
        <v>237</v>
      </c>
      <c r="R45" s="174" t="s">
        <v>68</v>
      </c>
      <c r="S45" s="175" t="s">
        <v>5</v>
      </c>
      <c r="T45" s="175">
        <v>10</v>
      </c>
      <c r="U45" s="175">
        <v>10</v>
      </c>
      <c r="V45" s="175">
        <v>10</v>
      </c>
    </row>
    <row r="46" spans="1:24" x14ac:dyDescent="0.2">
      <c r="F46" s="175">
        <v>10</v>
      </c>
      <c r="G46" s="175" t="b">
        <v>1</v>
      </c>
      <c r="H46" s="175" t="b">
        <v>1</v>
      </c>
      <c r="I46" s="175" t="b">
        <v>1</v>
      </c>
      <c r="K46" s="207">
        <v>10</v>
      </c>
      <c r="L46" s="207" t="s">
        <v>238</v>
      </c>
      <c r="M46" s="207" t="s">
        <v>238</v>
      </c>
      <c r="N46" s="207" t="s">
        <v>238</v>
      </c>
      <c r="S46" s="175" t="s">
        <v>6</v>
      </c>
      <c r="T46" s="175">
        <v>10</v>
      </c>
      <c r="U46" s="175">
        <v>10</v>
      </c>
      <c r="V46" s="175">
        <v>10</v>
      </c>
    </row>
    <row r="47" spans="1:24" x14ac:dyDescent="0.2">
      <c r="A47" s="174" t="s">
        <v>228</v>
      </c>
      <c r="F47" s="175">
        <v>11</v>
      </c>
      <c r="G47" s="174" t="b">
        <v>1</v>
      </c>
      <c r="H47" s="174" t="b">
        <v>1</v>
      </c>
      <c r="I47" s="174" t="b">
        <v>1</v>
      </c>
      <c r="K47" s="207">
        <v>11</v>
      </c>
      <c r="L47" s="207" t="s">
        <v>239</v>
      </c>
      <c r="M47" s="207" t="s">
        <v>239</v>
      </c>
      <c r="N47" s="207" t="s">
        <v>239</v>
      </c>
      <c r="S47" s="175" t="s">
        <v>7</v>
      </c>
      <c r="T47" s="175">
        <v>10</v>
      </c>
      <c r="U47" s="175">
        <v>10</v>
      </c>
      <c r="V47" s="175">
        <v>10</v>
      </c>
    </row>
    <row r="48" spans="1:24" x14ac:dyDescent="0.2">
      <c r="F48" s="175">
        <v>12</v>
      </c>
      <c r="G48" s="174" t="b">
        <v>1</v>
      </c>
      <c r="H48" s="174" t="b">
        <v>1</v>
      </c>
      <c r="I48" s="174" t="b">
        <v>1</v>
      </c>
      <c r="K48" s="207">
        <v>12</v>
      </c>
      <c r="L48" s="207" t="s">
        <v>240</v>
      </c>
      <c r="M48" s="207" t="s">
        <v>240</v>
      </c>
      <c r="N48" s="207" t="s">
        <v>240</v>
      </c>
      <c r="Q48" s="174" t="s">
        <v>20</v>
      </c>
      <c r="R48" s="174" t="s">
        <v>66</v>
      </c>
      <c r="S48" s="175">
        <v>1</v>
      </c>
      <c r="T48" s="175" t="b">
        <v>0</v>
      </c>
      <c r="U48" s="175" t="b">
        <v>0</v>
      </c>
      <c r="V48" s="175" t="b">
        <v>0</v>
      </c>
    </row>
    <row r="49" spans="6:33" x14ac:dyDescent="0.2">
      <c r="F49" s="175">
        <v>13</v>
      </c>
      <c r="G49" s="174" t="b">
        <v>0</v>
      </c>
      <c r="H49" s="174" t="b">
        <v>0</v>
      </c>
      <c r="I49" s="174" t="b">
        <v>0</v>
      </c>
      <c r="K49" s="207">
        <v>13</v>
      </c>
      <c r="L49" s="207"/>
      <c r="M49" s="207"/>
      <c r="N49" s="207"/>
      <c r="S49" s="175">
        <v>5</v>
      </c>
      <c r="T49" s="175" t="b">
        <v>0</v>
      </c>
      <c r="U49" s="175" t="b">
        <v>0</v>
      </c>
      <c r="V49" s="175" t="b">
        <v>0</v>
      </c>
    </row>
    <row r="50" spans="6:33" x14ac:dyDescent="0.2">
      <c r="F50" s="175">
        <v>14</v>
      </c>
      <c r="G50" s="174" t="b">
        <v>0</v>
      </c>
      <c r="H50" s="174" t="b">
        <v>0</v>
      </c>
      <c r="I50" s="174" t="b">
        <v>0</v>
      </c>
      <c r="K50" s="207">
        <v>14</v>
      </c>
      <c r="L50" s="207"/>
      <c r="M50" s="207"/>
      <c r="N50" s="207"/>
      <c r="S50" s="175" t="s">
        <v>17</v>
      </c>
      <c r="T50" s="175" t="b">
        <v>0</v>
      </c>
      <c r="U50" s="175" t="b">
        <v>0</v>
      </c>
      <c r="V50" s="175" t="b">
        <v>0</v>
      </c>
    </row>
    <row r="51" spans="6:33" x14ac:dyDescent="0.2">
      <c r="F51" s="175">
        <v>15</v>
      </c>
      <c r="G51" s="174" t="b">
        <v>0</v>
      </c>
      <c r="H51" s="174" t="b">
        <v>0</v>
      </c>
      <c r="I51" s="174" t="b">
        <v>0</v>
      </c>
      <c r="K51" s="207">
        <v>15</v>
      </c>
      <c r="L51" s="207"/>
      <c r="M51" s="207"/>
      <c r="N51" s="207"/>
      <c r="R51" s="174" t="s">
        <v>11</v>
      </c>
      <c r="S51" s="175">
        <v>1</v>
      </c>
      <c r="T51" s="175">
        <v>1</v>
      </c>
      <c r="U51" s="175">
        <v>1</v>
      </c>
      <c r="V51" s="175">
        <v>1</v>
      </c>
    </row>
    <row r="52" spans="6:33" x14ac:dyDescent="0.2">
      <c r="F52" s="175">
        <v>16</v>
      </c>
      <c r="G52" s="174" t="b">
        <v>0</v>
      </c>
      <c r="H52" s="174" t="b">
        <v>0</v>
      </c>
      <c r="I52" s="174" t="b">
        <v>0</v>
      </c>
      <c r="K52" s="207">
        <v>16</v>
      </c>
      <c r="L52" s="207"/>
      <c r="M52" s="207"/>
      <c r="N52" s="207"/>
      <c r="S52" s="175">
        <v>5</v>
      </c>
      <c r="T52" s="175">
        <v>5</v>
      </c>
      <c r="U52" s="175">
        <v>5</v>
      </c>
      <c r="V52" s="175">
        <v>5</v>
      </c>
    </row>
    <row r="53" spans="6:33" x14ac:dyDescent="0.2">
      <c r="F53" s="175">
        <v>17</v>
      </c>
      <c r="G53" s="174" t="b">
        <v>0</v>
      </c>
      <c r="H53" s="174" t="b">
        <v>0</v>
      </c>
      <c r="I53" s="174" t="b">
        <v>0</v>
      </c>
      <c r="K53" s="207">
        <v>17</v>
      </c>
      <c r="L53" s="207"/>
      <c r="M53" s="207"/>
      <c r="N53" s="207"/>
      <c r="S53" s="175" t="s">
        <v>17</v>
      </c>
      <c r="T53" s="175">
        <v>2</v>
      </c>
      <c r="U53" s="175">
        <v>2</v>
      </c>
      <c r="V53" s="175">
        <v>2</v>
      </c>
    </row>
    <row r="54" spans="6:33" x14ac:dyDescent="0.2">
      <c r="F54" s="175">
        <v>18</v>
      </c>
      <c r="G54" s="174" t="b">
        <v>0</v>
      </c>
      <c r="H54" s="174" t="b">
        <v>0</v>
      </c>
      <c r="I54" s="174" t="b">
        <v>0</v>
      </c>
      <c r="K54" s="207">
        <v>18</v>
      </c>
      <c r="L54" s="207"/>
      <c r="M54" s="207"/>
      <c r="N54" s="207"/>
      <c r="Q54" s="174" t="s">
        <v>70</v>
      </c>
      <c r="R54" s="174" t="s">
        <v>66</v>
      </c>
      <c r="S54" s="175" t="s">
        <v>5</v>
      </c>
      <c r="T54" s="175" t="b">
        <v>0</v>
      </c>
      <c r="U54" s="175" t="b">
        <v>0</v>
      </c>
      <c r="V54" s="175" t="b">
        <v>0</v>
      </c>
    </row>
    <row r="55" spans="6:33" x14ac:dyDescent="0.2">
      <c r="F55" s="175">
        <v>19</v>
      </c>
      <c r="G55" s="174" t="b">
        <v>0</v>
      </c>
      <c r="H55" s="174" t="b">
        <v>0</v>
      </c>
      <c r="I55" s="174" t="b">
        <v>0</v>
      </c>
      <c r="K55" s="207">
        <v>19</v>
      </c>
      <c r="L55" s="207"/>
      <c r="M55" s="207"/>
      <c r="N55" s="207"/>
      <c r="S55" s="175" t="s">
        <v>6</v>
      </c>
      <c r="T55" s="175" t="b">
        <v>0</v>
      </c>
      <c r="U55" s="175" t="b">
        <v>0</v>
      </c>
      <c r="V55" s="175" t="b">
        <v>0</v>
      </c>
      <c r="W55" s="174" t="s">
        <v>137</v>
      </c>
      <c r="X55" s="174" t="s">
        <v>137</v>
      </c>
      <c r="Y55" s="174" t="s">
        <v>137</v>
      </c>
      <c r="AA55" s="174" t="s">
        <v>6</v>
      </c>
    </row>
    <row r="56" spans="6:33" x14ac:dyDescent="0.2">
      <c r="F56" s="175">
        <v>20</v>
      </c>
      <c r="G56" s="174" t="b">
        <v>0</v>
      </c>
      <c r="H56" s="174" t="b">
        <v>0</v>
      </c>
      <c r="I56" s="174" t="b">
        <v>0</v>
      </c>
      <c r="K56" s="207">
        <v>20</v>
      </c>
      <c r="L56" s="207"/>
      <c r="M56" s="207"/>
      <c r="N56" s="207"/>
      <c r="S56" s="175" t="s">
        <v>7</v>
      </c>
      <c r="T56" s="175" t="b">
        <v>0</v>
      </c>
      <c r="U56" s="175" t="b">
        <v>0</v>
      </c>
      <c r="V56" s="175" t="b">
        <v>0</v>
      </c>
      <c r="W56" s="174">
        <v>117</v>
      </c>
      <c r="X56" s="174">
        <v>117</v>
      </c>
      <c r="Y56" s="174">
        <v>117</v>
      </c>
    </row>
    <row r="57" spans="6:33" x14ac:dyDescent="0.2">
      <c r="F57" s="175">
        <v>21</v>
      </c>
      <c r="G57" s="174" t="b">
        <v>0</v>
      </c>
      <c r="H57" s="174" t="b">
        <v>0</v>
      </c>
      <c r="I57" s="174" t="b">
        <v>0</v>
      </c>
      <c r="K57" s="207">
        <v>21</v>
      </c>
      <c r="L57" s="207"/>
      <c r="M57" s="207"/>
      <c r="N57" s="207"/>
      <c r="R57" s="174" t="s">
        <v>90</v>
      </c>
      <c r="S57" s="175">
        <v>0</v>
      </c>
      <c r="T57" s="175" t="s">
        <v>229</v>
      </c>
      <c r="U57" s="175" t="s">
        <v>229</v>
      </c>
      <c r="V57" s="175" t="s">
        <v>229</v>
      </c>
      <c r="W57" s="174" t="s">
        <v>132</v>
      </c>
      <c r="X57" s="174" t="s">
        <v>132</v>
      </c>
      <c r="Y57" s="174" t="s">
        <v>132</v>
      </c>
      <c r="Z57" s="174" t="s">
        <v>5</v>
      </c>
      <c r="AA57" s="174" t="s">
        <v>7</v>
      </c>
    </row>
    <row r="58" spans="6:33" x14ac:dyDescent="0.2">
      <c r="F58" s="175">
        <v>22</v>
      </c>
      <c r="G58" s="174" t="b">
        <v>0</v>
      </c>
      <c r="H58" s="174" t="b">
        <v>0</v>
      </c>
      <c r="I58" s="174" t="b">
        <v>0</v>
      </c>
      <c r="K58" s="207">
        <v>22</v>
      </c>
      <c r="L58" s="207"/>
      <c r="M58" s="207"/>
      <c r="N58" s="207"/>
      <c r="R58" s="174" t="s">
        <v>91</v>
      </c>
      <c r="S58" s="175">
        <v>0</v>
      </c>
      <c r="T58" s="175">
        <v>1</v>
      </c>
      <c r="U58" s="175">
        <v>1</v>
      </c>
      <c r="V58" s="175">
        <v>1</v>
      </c>
      <c r="W58" s="174">
        <v>10</v>
      </c>
      <c r="X58" s="174">
        <v>10</v>
      </c>
      <c r="Y58" s="174">
        <v>10</v>
      </c>
    </row>
    <row r="59" spans="6:33" x14ac:dyDescent="0.2">
      <c r="F59" s="175">
        <v>23</v>
      </c>
      <c r="G59" s="174" t="b">
        <v>0</v>
      </c>
      <c r="H59" s="174" t="b">
        <v>0</v>
      </c>
      <c r="I59" s="174" t="b">
        <v>0</v>
      </c>
      <c r="K59" s="207">
        <v>23</v>
      </c>
      <c r="L59" s="207"/>
      <c r="M59" s="207"/>
      <c r="N59" s="207"/>
      <c r="R59" s="174" t="s">
        <v>72</v>
      </c>
      <c r="S59" s="175">
        <v>0</v>
      </c>
      <c r="T59" s="175" t="s">
        <v>229</v>
      </c>
      <c r="U59" s="175" t="s">
        <v>229</v>
      </c>
      <c r="V59" s="175" t="s">
        <v>229</v>
      </c>
      <c r="AG59" s="174" t="s">
        <v>1</v>
      </c>
    </row>
    <row r="60" spans="6:33" x14ac:dyDescent="0.2">
      <c r="F60" s="175">
        <v>24</v>
      </c>
      <c r="G60" s="174" t="b">
        <v>0</v>
      </c>
      <c r="H60" s="174" t="b">
        <v>0</v>
      </c>
      <c r="I60" s="174" t="b">
        <v>0</v>
      </c>
      <c r="K60" s="207">
        <v>24</v>
      </c>
      <c r="L60" s="207"/>
      <c r="M60" s="207"/>
      <c r="N60" s="207"/>
      <c r="S60" s="175">
        <v>0</v>
      </c>
      <c r="T60" s="175">
        <v>1</v>
      </c>
      <c r="U60" s="175">
        <v>1</v>
      </c>
      <c r="V60" s="175">
        <v>1</v>
      </c>
    </row>
    <row r="61" spans="6:33" x14ac:dyDescent="0.2">
      <c r="F61" s="175">
        <v>25</v>
      </c>
      <c r="G61" s="174" t="b">
        <v>0</v>
      </c>
      <c r="H61" s="174" t="b">
        <v>0</v>
      </c>
      <c r="I61" s="174" t="b">
        <v>0</v>
      </c>
      <c r="K61" s="207">
        <v>25</v>
      </c>
      <c r="L61" s="207"/>
      <c r="M61" s="207"/>
      <c r="N61" s="207"/>
      <c r="S61" s="175" t="s">
        <v>5</v>
      </c>
      <c r="T61" s="177">
        <v>156</v>
      </c>
      <c r="U61" s="177">
        <v>156</v>
      </c>
      <c r="V61" s="177">
        <v>156</v>
      </c>
      <c r="W61" s="178">
        <f>Diagrama!B6</f>
        <v>1235</v>
      </c>
      <c r="X61" s="178">
        <f>Diagrama!C6</f>
        <v>145</v>
      </c>
      <c r="Y61" s="178">
        <f>Diagrama!D6</f>
        <v>129876</v>
      </c>
      <c r="Z61" s="178">
        <f>Diagrama!E6</f>
        <v>2987</v>
      </c>
      <c r="AA61" s="178">
        <f>Diagrama!F6</f>
        <v>5297</v>
      </c>
      <c r="AB61" s="178">
        <f>Diagrama!G6</f>
        <v>127496</v>
      </c>
      <c r="AC61" s="178">
        <f>Diagrama!H6</f>
        <v>17429</v>
      </c>
      <c r="AD61" s="178">
        <f>Diagrama!I6</f>
        <v>179</v>
      </c>
      <c r="AE61" s="178">
        <f>Diagrama!J6</f>
        <v>4176</v>
      </c>
      <c r="AF61" s="178">
        <f>Diagrama!K6</f>
        <v>1728</v>
      </c>
      <c r="AG61" s="178">
        <f>Diagrama!L6</f>
        <v>156</v>
      </c>
    </row>
    <row r="62" spans="6:33" x14ac:dyDescent="0.2">
      <c r="F62" s="175">
        <v>26</v>
      </c>
      <c r="G62" s="174" t="b">
        <v>0</v>
      </c>
      <c r="H62" s="174" t="b">
        <v>0</v>
      </c>
      <c r="I62" s="174" t="b">
        <v>0</v>
      </c>
      <c r="K62" s="207">
        <v>26</v>
      </c>
      <c r="L62" s="207"/>
      <c r="M62" s="207"/>
      <c r="N62" s="207"/>
      <c r="S62" s="175" t="s">
        <v>6</v>
      </c>
      <c r="T62" s="177">
        <v>156</v>
      </c>
      <c r="U62" s="177">
        <v>156</v>
      </c>
      <c r="V62" s="177">
        <v>156</v>
      </c>
      <c r="W62" s="178">
        <f>Diagrama!B7</f>
        <v>18</v>
      </c>
      <c r="X62" s="178">
        <f>Diagrama!C7</f>
        <v>179</v>
      </c>
      <c r="Y62" s="178">
        <f>Diagrama!D7</f>
        <v>1297</v>
      </c>
      <c r="Z62" s="178">
        <f>Diagrama!E7</f>
        <v>2185</v>
      </c>
      <c r="AA62" s="178">
        <f>Diagrama!F7</f>
        <v>217</v>
      </c>
      <c r="AB62" s="178">
        <f>Diagrama!G7</f>
        <v>1742</v>
      </c>
      <c r="AC62" s="178">
        <f>Diagrama!H7</f>
        <v>76</v>
      </c>
      <c r="AD62" s="178">
        <f>Diagrama!I7</f>
        <v>17529</v>
      </c>
      <c r="AE62" s="178">
        <f>Diagrama!J7</f>
        <v>47126</v>
      </c>
      <c r="AF62" s="178">
        <f>Diagrama!K7</f>
        <v>1726</v>
      </c>
      <c r="AG62" s="178">
        <f>Diagrama!L7</f>
        <v>158</v>
      </c>
    </row>
    <row r="63" spans="6:33" x14ac:dyDescent="0.2">
      <c r="F63" s="175">
        <v>27</v>
      </c>
      <c r="G63" s="174" t="b">
        <v>0</v>
      </c>
      <c r="H63" s="174" t="b">
        <v>0</v>
      </c>
      <c r="I63" s="174" t="b">
        <v>0</v>
      </c>
      <c r="K63" s="207">
        <v>27</v>
      </c>
      <c r="L63" s="207"/>
      <c r="M63" s="207"/>
      <c r="N63" s="207"/>
      <c r="S63" s="175" t="s">
        <v>7</v>
      </c>
      <c r="T63" s="177">
        <v>156</v>
      </c>
      <c r="U63" s="177">
        <v>156</v>
      </c>
      <c r="V63" s="177">
        <v>156</v>
      </c>
      <c r="W63" s="178">
        <f>Diagrama!B8</f>
        <v>15263</v>
      </c>
      <c r="X63" s="178">
        <f>Diagrama!C8</f>
        <v>12543</v>
      </c>
      <c r="Y63" s="178">
        <f>Diagrama!D8</f>
        <v>2163</v>
      </c>
      <c r="Z63" s="178">
        <f>Diagrama!E8</f>
        <v>2196</v>
      </c>
      <c r="AA63" s="178">
        <f>Diagrama!F8</f>
        <v>217496</v>
      </c>
      <c r="AB63" s="178">
        <f>Diagrama!G8</f>
        <v>41297</v>
      </c>
      <c r="AC63" s="178">
        <f>Diagrama!H8</f>
        <v>24961</v>
      </c>
      <c r="AD63" s="178">
        <f>Diagrama!I8</f>
        <v>17952</v>
      </c>
      <c r="AE63" s="178">
        <f>Diagrama!J8</f>
        <v>1728</v>
      </c>
      <c r="AF63" s="178">
        <f>Diagrama!K8</f>
        <v>1296</v>
      </c>
      <c r="AG63" s="178">
        <f>Diagrama!L8</f>
        <v>152</v>
      </c>
    </row>
    <row r="64" spans="6:33" x14ac:dyDescent="0.2">
      <c r="F64" s="175">
        <v>28</v>
      </c>
      <c r="G64" s="174" t="b">
        <v>0</v>
      </c>
      <c r="H64" s="174" t="b">
        <v>0</v>
      </c>
      <c r="I64" s="174" t="b">
        <v>0</v>
      </c>
      <c r="K64" s="207">
        <v>28</v>
      </c>
      <c r="L64" s="207"/>
      <c r="M64" s="207"/>
      <c r="N64" s="207"/>
      <c r="S64" s="175" t="s">
        <v>16</v>
      </c>
      <c r="T64" s="177">
        <v>468</v>
      </c>
      <c r="U64" s="177">
        <v>468</v>
      </c>
      <c r="V64" s="177">
        <v>468</v>
      </c>
      <c r="W64" s="178">
        <f>Diagrama!B9</f>
        <v>16516</v>
      </c>
      <c r="X64" s="178">
        <f>Diagrama!C9</f>
        <v>12867</v>
      </c>
      <c r="Y64" s="178">
        <f>Diagrama!D9</f>
        <v>133336</v>
      </c>
      <c r="Z64" s="178">
        <f>Diagrama!E9</f>
        <v>7368</v>
      </c>
      <c r="AA64" s="178">
        <f>Diagrama!F9</f>
        <v>223010</v>
      </c>
      <c r="AB64" s="178">
        <f>Diagrama!G9</f>
        <v>170535</v>
      </c>
      <c r="AC64" s="178">
        <f>Diagrama!H9</f>
        <v>42466</v>
      </c>
      <c r="AD64" s="178">
        <f>Diagrama!I9</f>
        <v>35660</v>
      </c>
      <c r="AE64" s="178">
        <f>Diagrama!J9</f>
        <v>53030</v>
      </c>
      <c r="AF64" s="178">
        <f>Diagrama!K9</f>
        <v>4750</v>
      </c>
      <c r="AG64" s="178">
        <f>Diagrama!L9</f>
        <v>466</v>
      </c>
    </row>
    <row r="65" spans="6:33" x14ac:dyDescent="0.2">
      <c r="F65" s="175">
        <v>29</v>
      </c>
      <c r="G65" s="174" t="b">
        <v>0</v>
      </c>
      <c r="H65" s="174" t="b">
        <v>0</v>
      </c>
      <c r="I65" s="174" t="b">
        <v>0</v>
      </c>
      <c r="K65" s="207">
        <v>29</v>
      </c>
      <c r="L65" s="207"/>
      <c r="M65" s="207"/>
      <c r="N65" s="207"/>
      <c r="S65" s="175" t="s">
        <v>30</v>
      </c>
      <c r="T65" s="179">
        <v>3</v>
      </c>
      <c r="U65" s="180">
        <v>3</v>
      </c>
      <c r="V65" s="179">
        <v>3</v>
      </c>
      <c r="W65" s="181">
        <f>Diagrama!B20</f>
        <v>1.0820939526960625</v>
      </c>
      <c r="X65" s="181">
        <f>Diagrama!C20</f>
        <v>1.0258311408753886</v>
      </c>
      <c r="Y65" s="181">
        <f>Diagrama!D20</f>
        <v>61.644012944983814</v>
      </c>
      <c r="Z65" s="181">
        <f>Diagrama!E20</f>
        <v>3.3551912568306008</v>
      </c>
      <c r="AA65" s="181">
        <f>Diagrama!F20</f>
        <v>1.0253521903851106</v>
      </c>
      <c r="AB65" s="181">
        <f>Diagrama!G20</f>
        <v>4.1294767174371021</v>
      </c>
      <c r="AC65" s="181">
        <f>Diagrama!H20</f>
        <v>1.7012940186691237</v>
      </c>
      <c r="AD65" s="181">
        <f>Diagrama!I20</f>
        <v>1.9864081996434937</v>
      </c>
      <c r="AE65" s="181">
        <f>Diagrama!J20</f>
        <v>30.688657407407408</v>
      </c>
      <c r="AF65" s="181">
        <f>Diagrama!K20</f>
        <v>3.6651234567901234</v>
      </c>
      <c r="AG65" s="181">
        <f>Diagrama!L20</f>
        <v>3.0657894736842106</v>
      </c>
    </row>
    <row r="66" spans="6:33" x14ac:dyDescent="0.2">
      <c r="F66" s="175">
        <v>30</v>
      </c>
      <c r="G66" s="174" t="b">
        <v>0</v>
      </c>
      <c r="H66" s="174" t="b">
        <v>0</v>
      </c>
      <c r="I66" s="174" t="b">
        <v>0</v>
      </c>
      <c r="K66" s="207">
        <v>30</v>
      </c>
      <c r="L66" s="207"/>
      <c r="M66" s="207"/>
      <c r="N66" s="207"/>
      <c r="S66" s="175" t="s">
        <v>31</v>
      </c>
      <c r="T66" s="179">
        <v>0.49999999999999989</v>
      </c>
      <c r="U66" s="180">
        <v>0.49999999999999989</v>
      </c>
      <c r="V66" s="179">
        <v>0.49999999999999989</v>
      </c>
      <c r="W66" s="181">
        <f>Diagrama!B21</f>
        <v>12.181165203511574</v>
      </c>
      <c r="X66" s="181">
        <f>Diagrama!C21</f>
        <v>38.712962962962891</v>
      </c>
      <c r="Y66" s="181">
        <f>Diagrama!D21</f>
        <v>1.6489673942046E-2</v>
      </c>
      <c r="Z66" s="181">
        <f>Diagrama!E21</f>
        <v>0.42459396751740142</v>
      </c>
      <c r="AA66" s="181">
        <f>Diagrama!F21</f>
        <v>39.444323540079772</v>
      </c>
      <c r="AB66" s="181">
        <f>Diagrama!G21</f>
        <v>0.31954223989848191</v>
      </c>
      <c r="AC66" s="181">
        <f>Diagrama!H21</f>
        <v>1.4259354470151389</v>
      </c>
      <c r="AD66" s="181">
        <f>Diagrama!I21</f>
        <v>1.0137790829003841</v>
      </c>
      <c r="AE66" s="181">
        <f>Diagrama!J21</f>
        <v>3.368289735292971E-2</v>
      </c>
      <c r="AF66" s="181">
        <f>Diagrama!K21</f>
        <v>0.37521713954834973</v>
      </c>
      <c r="AG66" s="181">
        <f>Diagrama!L21</f>
        <v>0.48407643312101906</v>
      </c>
    </row>
    <row r="67" spans="6:33" x14ac:dyDescent="0.2">
      <c r="F67" s="175">
        <v>31</v>
      </c>
      <c r="G67" s="174" t="b">
        <v>0</v>
      </c>
      <c r="H67" s="174" t="b">
        <v>0</v>
      </c>
      <c r="I67" s="174" t="b">
        <v>0</v>
      </c>
      <c r="K67" s="207">
        <v>31</v>
      </c>
      <c r="L67" s="207"/>
      <c r="M67" s="207"/>
      <c r="N67" s="207"/>
      <c r="S67" s="175" t="s">
        <v>32</v>
      </c>
      <c r="T67" s="179">
        <v>2.0000000000000004</v>
      </c>
      <c r="U67" s="180">
        <v>2.0000000000000004</v>
      </c>
      <c r="V67" s="179">
        <v>2.0000000000000004</v>
      </c>
      <c r="W67" s="181">
        <f>Diagrama!B22</f>
        <v>12.373279352226721</v>
      </c>
      <c r="X67" s="181">
        <f>Diagrama!C22</f>
        <v>87.737931034482756</v>
      </c>
      <c r="Y67" s="181">
        <f>Diagrama!D22</f>
        <v>2.6640795836028165E-2</v>
      </c>
      <c r="Z67" s="181">
        <f>Diagrama!E22</f>
        <v>1.4666889856042851</v>
      </c>
      <c r="AA67" s="181">
        <f>Diagrama!F22</f>
        <v>41.101189352463656</v>
      </c>
      <c r="AB67" s="181">
        <f>Diagrama!G22</f>
        <v>0.33757137478822857</v>
      </c>
      <c r="AC67" s="181">
        <f>Diagrama!H22</f>
        <v>1.4365138562166504</v>
      </c>
      <c r="AD67" s="181">
        <f>Diagrama!I22</f>
        <v>198.21787709497207</v>
      </c>
      <c r="AE67" s="181">
        <f>Diagrama!J22</f>
        <v>11.69875478927203</v>
      </c>
      <c r="AF67" s="181">
        <f>Diagrama!K22</f>
        <v>1.7488425925925923</v>
      </c>
      <c r="AG67" s="181">
        <f>Diagrama!L22</f>
        <v>1.9871794871794872</v>
      </c>
    </row>
    <row r="68" spans="6:33" x14ac:dyDescent="0.2">
      <c r="F68" s="175">
        <v>32</v>
      </c>
      <c r="G68" s="174" t="b">
        <v>0</v>
      </c>
      <c r="H68" s="174" t="b">
        <v>0</v>
      </c>
      <c r="I68" s="174" t="b">
        <v>0</v>
      </c>
      <c r="K68" s="207">
        <v>32</v>
      </c>
      <c r="L68" s="207"/>
      <c r="M68" s="207"/>
      <c r="N68" s="207"/>
      <c r="S68" s="175" t="s">
        <v>20</v>
      </c>
      <c r="T68" s="179">
        <v>1.4999999999999996</v>
      </c>
      <c r="U68" s="180">
        <v>1.4999999999999996</v>
      </c>
      <c r="V68" s="179">
        <v>1.4999999999999996</v>
      </c>
      <c r="W68" s="181">
        <f>Diagrama!B23</f>
        <v>8.7454095385095021E-2</v>
      </c>
      <c r="X68" s="181">
        <f>Diagrama!C23</f>
        <v>1.1691991465723263E-2</v>
      </c>
      <c r="Y68" s="181">
        <f>Diagrama!D23</f>
        <v>2313.8953252146625</v>
      </c>
      <c r="Z68" s="181">
        <f>Diagrama!E23</f>
        <v>2.2875955909958927</v>
      </c>
      <c r="AA68" s="181">
        <f>Diagrama!F23</f>
        <v>2.4947019941252618E-2</v>
      </c>
      <c r="AB68" s="181">
        <f>Diagrama!G23</f>
        <v>12.232899546140963</v>
      </c>
      <c r="AC68" s="181">
        <f>Diagrama!H23</f>
        <v>1.1843213424685128</v>
      </c>
      <c r="AD68" s="181">
        <f>Diagrama!I23</f>
        <v>1.0021337271671751E-2</v>
      </c>
      <c r="AE68" s="181">
        <f>Diagrama!J23</f>
        <v>2.6232413586059145</v>
      </c>
      <c r="AF68" s="181">
        <f>Diagrama!K23</f>
        <v>2.0957423339951471</v>
      </c>
      <c r="AG68" s="181">
        <f>Diagrama!L23</f>
        <v>1.5427843803056027</v>
      </c>
    </row>
    <row r="69" spans="6:33" x14ac:dyDescent="0.2">
      <c r="F69" s="175">
        <v>33</v>
      </c>
      <c r="G69" s="174" t="b">
        <v>0</v>
      </c>
      <c r="H69" s="174" t="b">
        <v>0</v>
      </c>
      <c r="I69" s="174" t="b">
        <v>0</v>
      </c>
      <c r="K69" s="207">
        <v>33</v>
      </c>
      <c r="L69" s="207"/>
      <c r="M69" s="207"/>
      <c r="N69" s="207"/>
      <c r="S69" s="175" t="s">
        <v>12</v>
      </c>
      <c r="T69" s="182">
        <v>33.333333333333336</v>
      </c>
      <c r="U69" s="180">
        <v>33.333333333333336</v>
      </c>
      <c r="V69" s="182">
        <v>33.333333333333336</v>
      </c>
      <c r="W69" s="183">
        <f t="shared" ref="W69:AB69" si="0">100*W61/W64</f>
        <v>7.4775974812303225</v>
      </c>
      <c r="X69" s="183">
        <f t="shared" si="0"/>
        <v>1.1269138105230434</v>
      </c>
      <c r="Y69" s="183">
        <f t="shared" si="0"/>
        <v>97.405051898962014</v>
      </c>
      <c r="Z69" s="183">
        <f t="shared" si="0"/>
        <v>40.540173724212814</v>
      </c>
      <c r="AA69" s="183">
        <f t="shared" si="0"/>
        <v>2.375229810322407</v>
      </c>
      <c r="AB69" s="183">
        <f t="shared" si="0"/>
        <v>74.76236549681883</v>
      </c>
      <c r="AC69" s="183">
        <f>100*AC61/AC64</f>
        <v>41.042245561154807</v>
      </c>
      <c r="AD69" s="183">
        <f>100*AD61/AD64</f>
        <v>0.50196298373527759</v>
      </c>
      <c r="AE69" s="183">
        <f>100*AE61/AE64</f>
        <v>7.874787855930605</v>
      </c>
      <c r="AF69" s="183">
        <f>100*AF61/AF64</f>
        <v>36.378947368421052</v>
      </c>
      <c r="AG69" s="183">
        <f>100*AG61/AG64</f>
        <v>33.476394849785407</v>
      </c>
    </row>
    <row r="70" spans="6:33" x14ac:dyDescent="0.2">
      <c r="F70" s="175">
        <v>34</v>
      </c>
      <c r="G70" s="174" t="b">
        <v>0</v>
      </c>
      <c r="H70" s="174" t="b">
        <v>0</v>
      </c>
      <c r="I70" s="174" t="b">
        <v>0</v>
      </c>
      <c r="K70" s="207">
        <v>34</v>
      </c>
      <c r="L70" s="207"/>
      <c r="M70" s="207"/>
      <c r="N70" s="207"/>
      <c r="S70" s="175" t="s">
        <v>73</v>
      </c>
      <c r="T70" s="177">
        <v>0</v>
      </c>
      <c r="U70" s="177">
        <v>0</v>
      </c>
      <c r="V70" s="177">
        <v>0</v>
      </c>
    </row>
    <row r="71" spans="6:33" x14ac:dyDescent="0.2">
      <c r="F71" s="175">
        <v>35</v>
      </c>
      <c r="G71" s="174" t="b">
        <v>0</v>
      </c>
      <c r="H71" s="174" t="b">
        <v>0</v>
      </c>
      <c r="I71" s="174" t="b">
        <v>0</v>
      </c>
      <c r="K71" s="207">
        <v>35</v>
      </c>
      <c r="L71" s="207"/>
      <c r="M71" s="207"/>
      <c r="N71" s="207"/>
      <c r="S71" s="175" t="s">
        <v>74</v>
      </c>
    </row>
    <row r="72" spans="6:33" x14ac:dyDescent="0.2">
      <c r="F72" s="175">
        <v>36</v>
      </c>
      <c r="G72" s="174" t="b">
        <v>0</v>
      </c>
      <c r="H72" s="174" t="b">
        <v>0</v>
      </c>
      <c r="I72" s="174" t="b">
        <v>0</v>
      </c>
      <c r="K72" s="207">
        <v>36</v>
      </c>
      <c r="L72" s="207"/>
      <c r="M72" s="207"/>
      <c r="N72" s="207"/>
      <c r="R72" s="174" t="s">
        <v>88</v>
      </c>
      <c r="S72" s="175">
        <v>0</v>
      </c>
      <c r="T72" s="175" t="b">
        <v>0</v>
      </c>
      <c r="U72" s="175" t="b">
        <v>0</v>
      </c>
      <c r="V72" s="175" t="b">
        <v>0</v>
      </c>
      <c r="W72" s="176">
        <v>0.25</v>
      </c>
      <c r="X72" s="176"/>
      <c r="Y72" s="176"/>
    </row>
    <row r="73" spans="6:33" x14ac:dyDescent="0.2">
      <c r="F73" s="175">
        <v>37</v>
      </c>
      <c r="G73" s="174" t="b">
        <v>0</v>
      </c>
      <c r="H73" s="174" t="b">
        <v>0</v>
      </c>
      <c r="I73" s="174" t="b">
        <v>0</v>
      </c>
      <c r="K73" s="207">
        <v>37</v>
      </c>
      <c r="L73" s="207"/>
      <c r="M73" s="207"/>
      <c r="N73" s="207"/>
      <c r="T73" s="184"/>
      <c r="W73" s="176">
        <v>0</v>
      </c>
    </row>
    <row r="74" spans="6:33" x14ac:dyDescent="0.2">
      <c r="F74" s="175">
        <v>38</v>
      </c>
      <c r="G74" s="174" t="b">
        <v>0</v>
      </c>
      <c r="H74" s="174" t="b">
        <v>0</v>
      </c>
      <c r="I74" s="174" t="b">
        <v>0</v>
      </c>
      <c r="K74" s="207">
        <v>38</v>
      </c>
      <c r="L74" s="207"/>
      <c r="M74" s="207"/>
      <c r="N74" s="207"/>
      <c r="T74" s="184"/>
      <c r="W74" s="176">
        <v>0.75</v>
      </c>
    </row>
    <row r="75" spans="6:33" x14ac:dyDescent="0.2">
      <c r="F75" s="175">
        <v>39</v>
      </c>
      <c r="G75" s="174" t="b">
        <v>0</v>
      </c>
      <c r="H75" s="174" t="b">
        <v>0</v>
      </c>
      <c r="I75" s="174" t="b">
        <v>0</v>
      </c>
      <c r="K75" s="207">
        <v>39</v>
      </c>
      <c r="L75" s="207"/>
      <c r="M75" s="207"/>
      <c r="N75" s="207"/>
      <c r="T75" s="184"/>
    </row>
    <row r="76" spans="6:33" x14ac:dyDescent="0.2">
      <c r="F76" s="175">
        <v>40</v>
      </c>
      <c r="G76" s="174" t="b">
        <v>0</v>
      </c>
      <c r="H76" s="174" t="b">
        <v>0</v>
      </c>
      <c r="I76" s="174" t="b">
        <v>0</v>
      </c>
      <c r="K76" s="207">
        <v>40</v>
      </c>
      <c r="L76" s="207"/>
      <c r="M76" s="207"/>
      <c r="N76" s="207"/>
    </row>
    <row r="77" spans="6:33" x14ac:dyDescent="0.2">
      <c r="F77" s="175">
        <v>41</v>
      </c>
      <c r="G77" s="174" t="b">
        <v>0</v>
      </c>
      <c r="H77" s="174" t="b">
        <v>0</v>
      </c>
      <c r="I77" s="174" t="b">
        <v>0</v>
      </c>
      <c r="K77" s="207">
        <v>41</v>
      </c>
      <c r="L77" s="207"/>
      <c r="M77" s="207"/>
      <c r="N77" s="207"/>
    </row>
    <row r="78" spans="6:33" x14ac:dyDescent="0.2">
      <c r="F78" s="175">
        <v>42</v>
      </c>
      <c r="G78" s="174" t="b">
        <v>0</v>
      </c>
      <c r="H78" s="174" t="b">
        <v>0</v>
      </c>
      <c r="I78" s="174" t="b">
        <v>0</v>
      </c>
      <c r="K78" s="207">
        <v>42</v>
      </c>
      <c r="L78" s="207"/>
      <c r="M78" s="207"/>
      <c r="N78" s="207"/>
    </row>
    <row r="79" spans="6:33" x14ac:dyDescent="0.2">
      <c r="F79" s="175">
        <v>43</v>
      </c>
      <c r="G79" s="174" t="b">
        <v>0</v>
      </c>
      <c r="H79" s="174" t="b">
        <v>0</v>
      </c>
      <c r="I79" s="174" t="b">
        <v>0</v>
      </c>
      <c r="K79" s="207">
        <v>43</v>
      </c>
      <c r="L79" s="207"/>
      <c r="M79" s="207"/>
      <c r="N79" s="207"/>
    </row>
    <row r="80" spans="6:33" x14ac:dyDescent="0.2">
      <c r="F80" s="175">
        <v>44</v>
      </c>
      <c r="G80" s="174" t="b">
        <v>0</v>
      </c>
      <c r="H80" s="174" t="b">
        <v>0</v>
      </c>
      <c r="I80" s="174" t="b">
        <v>0</v>
      </c>
      <c r="K80" s="207">
        <v>44</v>
      </c>
      <c r="L80" s="207"/>
      <c r="M80" s="207"/>
      <c r="N80" s="207"/>
    </row>
    <row r="81" spans="6:14" x14ac:dyDescent="0.2">
      <c r="F81" s="175">
        <v>45</v>
      </c>
      <c r="G81" s="174" t="b">
        <v>0</v>
      </c>
      <c r="H81" s="174" t="b">
        <v>0</v>
      </c>
      <c r="I81" s="174" t="b">
        <v>0</v>
      </c>
      <c r="K81" s="207">
        <v>45</v>
      </c>
      <c r="L81" s="207"/>
      <c r="M81" s="207"/>
      <c r="N81" s="207"/>
    </row>
    <row r="82" spans="6:14" x14ac:dyDescent="0.2">
      <c r="F82" s="175">
        <v>46</v>
      </c>
      <c r="G82" s="174" t="b">
        <v>0</v>
      </c>
      <c r="H82" s="174" t="b">
        <v>0</v>
      </c>
      <c r="I82" s="174" t="b">
        <v>0</v>
      </c>
      <c r="K82" s="207">
        <v>46</v>
      </c>
      <c r="L82" s="207"/>
      <c r="M82" s="207"/>
      <c r="N82" s="207"/>
    </row>
    <row r="83" spans="6:14" x14ac:dyDescent="0.2">
      <c r="F83" s="175">
        <v>47</v>
      </c>
      <c r="G83" s="174" t="b">
        <v>0</v>
      </c>
      <c r="H83" s="174" t="b">
        <v>0</v>
      </c>
      <c r="I83" s="174" t="b">
        <v>0</v>
      </c>
      <c r="K83" s="207">
        <v>47</v>
      </c>
      <c r="L83" s="207"/>
      <c r="M83" s="207"/>
      <c r="N83" s="207"/>
    </row>
    <row r="84" spans="6:14" x14ac:dyDescent="0.2">
      <c r="F84" s="175">
        <v>48</v>
      </c>
      <c r="G84" s="174" t="b">
        <v>0</v>
      </c>
      <c r="H84" s="174" t="b">
        <v>0</v>
      </c>
      <c r="I84" s="174" t="b">
        <v>0</v>
      </c>
      <c r="K84" s="207">
        <v>48</v>
      </c>
      <c r="L84" s="207"/>
      <c r="M84" s="207"/>
      <c r="N84" s="207"/>
    </row>
    <row r="85" spans="6:14" x14ac:dyDescent="0.2">
      <c r="F85" s="175">
        <v>49</v>
      </c>
      <c r="G85" s="174" t="b">
        <v>0</v>
      </c>
      <c r="H85" s="174" t="b">
        <v>0</v>
      </c>
      <c r="I85" s="174" t="b">
        <v>0</v>
      </c>
      <c r="K85" s="207">
        <v>49</v>
      </c>
      <c r="L85" s="207"/>
      <c r="M85" s="207"/>
      <c r="N85" s="207"/>
    </row>
    <row r="86" spans="6:14" x14ac:dyDescent="0.2">
      <c r="F86" s="175">
        <v>50</v>
      </c>
      <c r="G86" s="174" t="b">
        <v>0</v>
      </c>
      <c r="H86" s="174" t="b">
        <v>0</v>
      </c>
      <c r="I86" s="174" t="b">
        <v>0</v>
      </c>
      <c r="K86" s="207">
        <v>50</v>
      </c>
      <c r="L86" s="207"/>
      <c r="M86" s="207"/>
      <c r="N86" s="207"/>
    </row>
    <row r="87" spans="6:14" x14ac:dyDescent="0.2">
      <c r="F87" s="175">
        <v>51</v>
      </c>
      <c r="G87" s="174" t="b">
        <v>0</v>
      </c>
      <c r="H87" s="174" t="b">
        <v>0</v>
      </c>
      <c r="I87" s="174" t="b">
        <v>0</v>
      </c>
      <c r="K87" s="207">
        <v>51</v>
      </c>
      <c r="L87" s="207"/>
      <c r="M87" s="207"/>
      <c r="N87" s="207"/>
    </row>
    <row r="88" spans="6:14" x14ac:dyDescent="0.2">
      <c r="F88" s="175">
        <v>52</v>
      </c>
      <c r="G88" s="174" t="b">
        <v>0</v>
      </c>
      <c r="H88" s="174" t="b">
        <v>0</v>
      </c>
      <c r="I88" s="174" t="b">
        <v>0</v>
      </c>
      <c r="K88" s="207">
        <v>52</v>
      </c>
      <c r="L88" s="207"/>
      <c r="M88" s="207"/>
      <c r="N88" s="207"/>
    </row>
    <row r="89" spans="6:14" x14ac:dyDescent="0.2">
      <c r="F89" s="175">
        <v>53</v>
      </c>
      <c r="G89" s="174" t="b">
        <v>0</v>
      </c>
      <c r="H89" s="174" t="b">
        <v>0</v>
      </c>
      <c r="I89" s="174" t="b">
        <v>0</v>
      </c>
      <c r="K89" s="207">
        <v>53</v>
      </c>
      <c r="L89" s="207"/>
      <c r="M89" s="207"/>
      <c r="N89" s="207"/>
    </row>
    <row r="90" spans="6:14" x14ac:dyDescent="0.2">
      <c r="F90" s="175">
        <v>54</v>
      </c>
      <c r="G90" s="174" t="b">
        <v>0</v>
      </c>
      <c r="H90" s="174" t="b">
        <v>0</v>
      </c>
      <c r="I90" s="174" t="b">
        <v>0</v>
      </c>
      <c r="K90" s="207">
        <v>54</v>
      </c>
      <c r="L90" s="207"/>
      <c r="M90" s="207"/>
      <c r="N90" s="207"/>
    </row>
    <row r="91" spans="6:14" x14ac:dyDescent="0.2">
      <c r="F91" s="175">
        <v>55</v>
      </c>
      <c r="G91" s="174" t="b">
        <v>0</v>
      </c>
      <c r="H91" s="174" t="b">
        <v>0</v>
      </c>
      <c r="I91" s="174" t="b">
        <v>0</v>
      </c>
      <c r="K91" s="207">
        <v>55</v>
      </c>
      <c r="L91" s="207"/>
      <c r="M91" s="207"/>
      <c r="N91" s="207"/>
    </row>
    <row r="92" spans="6:14" x14ac:dyDescent="0.2">
      <c r="F92" s="175">
        <v>56</v>
      </c>
      <c r="G92" s="174" t="b">
        <v>0</v>
      </c>
      <c r="H92" s="174" t="b">
        <v>0</v>
      </c>
      <c r="I92" s="174" t="b">
        <v>0</v>
      </c>
      <c r="K92" s="207">
        <v>56</v>
      </c>
      <c r="L92" s="207"/>
      <c r="M92" s="207"/>
      <c r="N92" s="207"/>
    </row>
    <row r="93" spans="6:14" x14ac:dyDescent="0.2">
      <c r="F93" s="175">
        <v>57</v>
      </c>
      <c r="G93" s="174" t="b">
        <v>0</v>
      </c>
      <c r="H93" s="174" t="b">
        <v>0</v>
      </c>
      <c r="I93" s="174" t="b">
        <v>0</v>
      </c>
      <c r="K93" s="207">
        <v>57</v>
      </c>
      <c r="L93" s="207"/>
      <c r="M93" s="207"/>
      <c r="N93" s="207"/>
    </row>
    <row r="94" spans="6:14" x14ac:dyDescent="0.2">
      <c r="F94" s="175">
        <v>58</v>
      </c>
      <c r="G94" s="174" t="b">
        <v>0</v>
      </c>
      <c r="H94" s="174" t="b">
        <v>0</v>
      </c>
      <c r="I94" s="174" t="b">
        <v>0</v>
      </c>
      <c r="K94" s="207">
        <v>58</v>
      </c>
      <c r="L94" s="207"/>
      <c r="M94" s="207"/>
      <c r="N94" s="207"/>
    </row>
    <row r="95" spans="6:14" x14ac:dyDescent="0.2">
      <c r="F95" s="175">
        <v>59</v>
      </c>
      <c r="G95" s="174" t="b">
        <v>0</v>
      </c>
      <c r="H95" s="174" t="b">
        <v>0</v>
      </c>
      <c r="I95" s="174" t="b">
        <v>0</v>
      </c>
      <c r="K95" s="207">
        <v>59</v>
      </c>
      <c r="L95" s="207"/>
      <c r="M95" s="207"/>
      <c r="N95" s="207"/>
    </row>
    <row r="96" spans="6:14" x14ac:dyDescent="0.2">
      <c r="F96" s="175">
        <v>60</v>
      </c>
      <c r="G96" s="174" t="b">
        <v>0</v>
      </c>
      <c r="H96" s="174" t="b">
        <v>0</v>
      </c>
      <c r="I96" s="174" t="b">
        <v>0</v>
      </c>
      <c r="K96" s="207">
        <v>60</v>
      </c>
      <c r="L96" s="207"/>
      <c r="M96" s="207"/>
      <c r="N96" s="207"/>
    </row>
    <row r="97" spans="6:14" x14ac:dyDescent="0.2">
      <c r="F97" s="175">
        <v>61</v>
      </c>
      <c r="G97" s="174" t="b">
        <v>0</v>
      </c>
      <c r="H97" s="174" t="b">
        <v>0</v>
      </c>
      <c r="I97" s="174" t="b">
        <v>0</v>
      </c>
      <c r="K97" s="207">
        <v>61</v>
      </c>
      <c r="L97" s="207"/>
      <c r="M97" s="207"/>
      <c r="N97" s="207"/>
    </row>
    <row r="98" spans="6:14" x14ac:dyDescent="0.2">
      <c r="F98" s="175">
        <v>62</v>
      </c>
      <c r="G98" s="174" t="b">
        <v>0</v>
      </c>
      <c r="H98" s="174" t="b">
        <v>0</v>
      </c>
      <c r="I98" s="174" t="b">
        <v>0</v>
      </c>
      <c r="K98" s="207">
        <v>62</v>
      </c>
      <c r="L98" s="207"/>
      <c r="M98" s="207"/>
      <c r="N98" s="207"/>
    </row>
    <row r="99" spans="6:14" x14ac:dyDescent="0.2">
      <c r="F99" s="175">
        <v>63</v>
      </c>
      <c r="G99" s="174" t="b">
        <v>0</v>
      </c>
      <c r="H99" s="174" t="b">
        <v>0</v>
      </c>
      <c r="I99" s="174" t="b">
        <v>0</v>
      </c>
      <c r="K99" s="207">
        <v>63</v>
      </c>
      <c r="L99" s="207"/>
      <c r="M99" s="207"/>
      <c r="N99" s="207"/>
    </row>
    <row r="100" spans="6:14" x14ac:dyDescent="0.2">
      <c r="F100" s="175">
        <v>64</v>
      </c>
      <c r="G100" s="174" t="b">
        <v>0</v>
      </c>
      <c r="H100" s="174" t="b">
        <v>0</v>
      </c>
      <c r="I100" s="174" t="b">
        <v>0</v>
      </c>
      <c r="K100" s="207">
        <v>64</v>
      </c>
      <c r="L100" s="207"/>
      <c r="M100" s="207"/>
      <c r="N100" s="207"/>
    </row>
    <row r="101" spans="6:14" x14ac:dyDescent="0.2">
      <c r="F101" s="175">
        <v>65</v>
      </c>
      <c r="G101" s="174" t="b">
        <v>0</v>
      </c>
      <c r="H101" s="174" t="b">
        <v>0</v>
      </c>
      <c r="I101" s="174" t="b">
        <v>0</v>
      </c>
      <c r="K101" s="207">
        <v>65</v>
      </c>
      <c r="L101" s="207"/>
      <c r="M101" s="207"/>
      <c r="N101" s="207"/>
    </row>
    <row r="102" spans="6:14" x14ac:dyDescent="0.2">
      <c r="F102" s="175">
        <v>66</v>
      </c>
      <c r="G102" s="174" t="b">
        <v>0</v>
      </c>
      <c r="H102" s="174" t="b">
        <v>0</v>
      </c>
      <c r="I102" s="174" t="b">
        <v>0</v>
      </c>
      <c r="K102" s="207">
        <v>66</v>
      </c>
      <c r="L102" s="207"/>
      <c r="M102" s="207"/>
      <c r="N102" s="207"/>
    </row>
    <row r="103" spans="6:14" x14ac:dyDescent="0.2">
      <c r="F103" s="175">
        <v>67</v>
      </c>
      <c r="G103" s="174" t="b">
        <v>0</v>
      </c>
      <c r="H103" s="174" t="b">
        <v>0</v>
      </c>
      <c r="I103" s="174" t="b">
        <v>0</v>
      </c>
      <c r="K103" s="207">
        <v>67</v>
      </c>
      <c r="L103" s="207"/>
      <c r="M103" s="207"/>
      <c r="N103" s="207"/>
    </row>
    <row r="104" spans="6:14" x14ac:dyDescent="0.2">
      <c r="F104" s="175">
        <v>68</v>
      </c>
      <c r="G104" s="174" t="b">
        <v>0</v>
      </c>
      <c r="H104" s="174" t="b">
        <v>0</v>
      </c>
      <c r="I104" s="174" t="b">
        <v>0</v>
      </c>
      <c r="K104" s="207">
        <v>68</v>
      </c>
      <c r="L104" s="207"/>
      <c r="M104" s="207"/>
      <c r="N104" s="207"/>
    </row>
    <row r="105" spans="6:14" x14ac:dyDescent="0.2">
      <c r="F105" s="175">
        <v>69</v>
      </c>
      <c r="G105" s="174" t="b">
        <v>0</v>
      </c>
      <c r="H105" s="174" t="b">
        <v>0</v>
      </c>
      <c r="I105" s="174" t="b">
        <v>0</v>
      </c>
      <c r="K105" s="207">
        <v>69</v>
      </c>
      <c r="L105" s="207"/>
      <c r="M105" s="207"/>
      <c r="N105" s="207"/>
    </row>
    <row r="106" spans="6:14" x14ac:dyDescent="0.2">
      <c r="F106" s="175">
        <v>70</v>
      </c>
      <c r="G106" s="174" t="b">
        <v>0</v>
      </c>
      <c r="H106" s="174" t="b">
        <v>0</v>
      </c>
      <c r="I106" s="174" t="b">
        <v>0</v>
      </c>
      <c r="K106" s="207">
        <v>70</v>
      </c>
      <c r="L106" s="207"/>
      <c r="M106" s="207"/>
      <c r="N106" s="207"/>
    </row>
    <row r="107" spans="6:14" x14ac:dyDescent="0.2">
      <c r="F107" s="175">
        <v>71</v>
      </c>
      <c r="G107" s="174" t="b">
        <v>0</v>
      </c>
      <c r="H107" s="174" t="b">
        <v>0</v>
      </c>
      <c r="I107" s="174" t="b">
        <v>0</v>
      </c>
      <c r="K107" s="207">
        <v>71</v>
      </c>
      <c r="L107" s="207"/>
      <c r="M107" s="207"/>
      <c r="N107" s="207"/>
    </row>
    <row r="108" spans="6:14" x14ac:dyDescent="0.2">
      <c r="F108" s="175">
        <v>72</v>
      </c>
      <c r="G108" s="174" t="b">
        <v>0</v>
      </c>
      <c r="H108" s="174" t="b">
        <v>0</v>
      </c>
      <c r="I108" s="174" t="b">
        <v>0</v>
      </c>
      <c r="K108" s="207">
        <v>72</v>
      </c>
      <c r="L108" s="207"/>
      <c r="M108" s="207"/>
      <c r="N108" s="207"/>
    </row>
    <row r="109" spans="6:14" x14ac:dyDescent="0.2">
      <c r="F109" s="175">
        <v>73</v>
      </c>
      <c r="G109" s="174" t="b">
        <v>0</v>
      </c>
      <c r="H109" s="174" t="b">
        <v>0</v>
      </c>
      <c r="I109" s="174" t="b">
        <v>0</v>
      </c>
      <c r="K109" s="207">
        <v>73</v>
      </c>
      <c r="L109" s="207"/>
      <c r="M109" s="207"/>
      <c r="N109" s="207"/>
    </row>
    <row r="110" spans="6:14" x14ac:dyDescent="0.2">
      <c r="F110" s="175">
        <v>74</v>
      </c>
      <c r="G110" s="174" t="b">
        <v>0</v>
      </c>
      <c r="H110" s="174" t="b">
        <v>0</v>
      </c>
      <c r="I110" s="174" t="b">
        <v>0</v>
      </c>
      <c r="K110" s="207">
        <v>74</v>
      </c>
      <c r="L110" s="207"/>
      <c r="M110" s="207"/>
      <c r="N110" s="207"/>
    </row>
    <row r="111" spans="6:14" x14ac:dyDescent="0.2">
      <c r="F111" s="175">
        <v>75</v>
      </c>
      <c r="G111" s="174" t="b">
        <v>0</v>
      </c>
      <c r="H111" s="174" t="b">
        <v>0</v>
      </c>
      <c r="I111" s="174" t="b">
        <v>0</v>
      </c>
      <c r="K111" s="207">
        <v>75</v>
      </c>
      <c r="L111" s="207"/>
      <c r="M111" s="207"/>
      <c r="N111" s="207"/>
    </row>
    <row r="112" spans="6:14" x14ac:dyDescent="0.2">
      <c r="F112" s="175">
        <v>76</v>
      </c>
      <c r="G112" s="174" t="b">
        <v>0</v>
      </c>
      <c r="H112" s="174" t="b">
        <v>0</v>
      </c>
      <c r="I112" s="174" t="b">
        <v>0</v>
      </c>
      <c r="K112" s="207">
        <v>76</v>
      </c>
      <c r="L112" s="207"/>
      <c r="M112" s="207"/>
      <c r="N112" s="207"/>
    </row>
    <row r="113" spans="6:14" x14ac:dyDescent="0.2">
      <c r="F113" s="175">
        <v>77</v>
      </c>
      <c r="G113" s="174" t="b">
        <v>0</v>
      </c>
      <c r="H113" s="174" t="b">
        <v>0</v>
      </c>
      <c r="I113" s="174" t="b">
        <v>0</v>
      </c>
      <c r="K113" s="207">
        <v>77</v>
      </c>
      <c r="L113" s="207"/>
      <c r="M113" s="207"/>
      <c r="N113" s="207"/>
    </row>
    <row r="114" spans="6:14" x14ac:dyDescent="0.2">
      <c r="F114" s="175">
        <v>78</v>
      </c>
      <c r="G114" s="174" t="b">
        <v>0</v>
      </c>
      <c r="H114" s="174" t="b">
        <v>0</v>
      </c>
      <c r="I114" s="174" t="b">
        <v>0</v>
      </c>
      <c r="K114" s="207">
        <v>78</v>
      </c>
      <c r="L114" s="207"/>
      <c r="M114" s="207"/>
      <c r="N114" s="207"/>
    </row>
    <row r="115" spans="6:14" x14ac:dyDescent="0.2">
      <c r="F115" s="175">
        <v>79</v>
      </c>
      <c r="G115" s="174" t="b">
        <v>0</v>
      </c>
      <c r="H115" s="174" t="b">
        <v>0</v>
      </c>
      <c r="I115" s="174" t="b">
        <v>0</v>
      </c>
      <c r="K115" s="207">
        <v>79</v>
      </c>
      <c r="L115" s="207"/>
      <c r="M115" s="207"/>
      <c r="N115" s="207"/>
    </row>
    <row r="116" spans="6:14" x14ac:dyDescent="0.2">
      <c r="F116" s="175">
        <v>80</v>
      </c>
      <c r="G116" s="174" t="b">
        <v>0</v>
      </c>
      <c r="H116" s="174" t="b">
        <v>0</v>
      </c>
      <c r="I116" s="174" t="b">
        <v>0</v>
      </c>
      <c r="K116" s="207">
        <v>80</v>
      </c>
      <c r="L116" s="207"/>
      <c r="M116" s="207"/>
      <c r="N116" s="207"/>
    </row>
    <row r="117" spans="6:14" x14ac:dyDescent="0.2">
      <c r="F117" s="175">
        <v>81</v>
      </c>
      <c r="G117" s="174" t="b">
        <v>0</v>
      </c>
      <c r="H117" s="174" t="b">
        <v>0</v>
      </c>
      <c r="I117" s="174" t="b">
        <v>0</v>
      </c>
      <c r="K117" s="207">
        <v>81</v>
      </c>
      <c r="L117" s="207"/>
      <c r="M117" s="207"/>
      <c r="N117" s="207"/>
    </row>
    <row r="118" spans="6:14" x14ac:dyDescent="0.2">
      <c r="F118" s="175">
        <v>82</v>
      </c>
      <c r="G118" s="174" t="b">
        <v>0</v>
      </c>
      <c r="H118" s="174" t="b">
        <v>0</v>
      </c>
      <c r="I118" s="174" t="b">
        <v>0</v>
      </c>
      <c r="K118" s="207">
        <v>82</v>
      </c>
      <c r="L118" s="207"/>
      <c r="M118" s="207"/>
      <c r="N118" s="207"/>
    </row>
    <row r="119" spans="6:14" x14ac:dyDescent="0.2">
      <c r="F119" s="175">
        <v>83</v>
      </c>
      <c r="G119" s="174" t="b">
        <v>0</v>
      </c>
      <c r="H119" s="174" t="b">
        <v>0</v>
      </c>
      <c r="I119" s="174" t="b">
        <v>0</v>
      </c>
      <c r="K119" s="207">
        <v>83</v>
      </c>
      <c r="L119" s="207"/>
      <c r="M119" s="207"/>
      <c r="N119" s="207"/>
    </row>
    <row r="120" spans="6:14" x14ac:dyDescent="0.2">
      <c r="F120" s="175">
        <v>84</v>
      </c>
      <c r="G120" s="174" t="b">
        <v>0</v>
      </c>
      <c r="H120" s="174" t="b">
        <v>0</v>
      </c>
      <c r="I120" s="174" t="b">
        <v>0</v>
      </c>
      <c r="K120" s="207">
        <v>84</v>
      </c>
      <c r="L120" s="207"/>
      <c r="M120" s="207"/>
      <c r="N120" s="207"/>
    </row>
    <row r="121" spans="6:14" x14ac:dyDescent="0.2">
      <c r="F121" s="175">
        <v>85</v>
      </c>
      <c r="G121" s="174" t="b">
        <v>0</v>
      </c>
      <c r="H121" s="174" t="b">
        <v>0</v>
      </c>
      <c r="I121" s="174" t="b">
        <v>0</v>
      </c>
      <c r="K121" s="207">
        <v>85</v>
      </c>
      <c r="L121" s="207"/>
      <c r="M121" s="207"/>
      <c r="N121" s="207"/>
    </row>
    <row r="122" spans="6:14" x14ac:dyDescent="0.2">
      <c r="F122" s="175">
        <v>86</v>
      </c>
      <c r="G122" s="174" t="b">
        <v>0</v>
      </c>
      <c r="H122" s="174" t="b">
        <v>0</v>
      </c>
      <c r="I122" s="174" t="b">
        <v>0</v>
      </c>
      <c r="K122" s="207">
        <v>86</v>
      </c>
      <c r="L122" s="207"/>
      <c r="M122" s="207"/>
      <c r="N122" s="207"/>
    </row>
    <row r="123" spans="6:14" x14ac:dyDescent="0.2">
      <c r="F123" s="175">
        <v>87</v>
      </c>
      <c r="G123" s="174" t="b">
        <v>0</v>
      </c>
      <c r="H123" s="174" t="b">
        <v>0</v>
      </c>
      <c r="I123" s="174" t="b">
        <v>0</v>
      </c>
      <c r="K123" s="207">
        <v>87</v>
      </c>
      <c r="L123" s="207"/>
      <c r="M123" s="207"/>
      <c r="N123" s="207"/>
    </row>
    <row r="124" spans="6:14" x14ac:dyDescent="0.2">
      <c r="F124" s="175">
        <v>88</v>
      </c>
      <c r="G124" s="174" t="b">
        <v>0</v>
      </c>
      <c r="H124" s="174" t="b">
        <v>0</v>
      </c>
      <c r="I124" s="174" t="b">
        <v>0</v>
      </c>
      <c r="K124" s="207">
        <v>88</v>
      </c>
      <c r="L124" s="207"/>
      <c r="M124" s="207"/>
      <c r="N124" s="207"/>
    </row>
    <row r="125" spans="6:14" x14ac:dyDescent="0.2">
      <c r="F125" s="175">
        <v>89</v>
      </c>
      <c r="G125" s="174" t="b">
        <v>0</v>
      </c>
      <c r="H125" s="174" t="b">
        <v>0</v>
      </c>
      <c r="I125" s="174" t="b">
        <v>0</v>
      </c>
      <c r="K125" s="207">
        <v>89</v>
      </c>
      <c r="L125" s="207"/>
      <c r="M125" s="207"/>
      <c r="N125" s="207"/>
    </row>
    <row r="126" spans="6:14" x14ac:dyDescent="0.2">
      <c r="F126" s="175">
        <v>90</v>
      </c>
      <c r="G126" s="174" t="b">
        <v>0</v>
      </c>
      <c r="H126" s="174" t="b">
        <v>0</v>
      </c>
      <c r="I126" s="174" t="b">
        <v>0</v>
      </c>
      <c r="K126" s="207">
        <v>90</v>
      </c>
      <c r="L126" s="207"/>
      <c r="M126" s="207"/>
      <c r="N126" s="207"/>
    </row>
    <row r="127" spans="6:14" x14ac:dyDescent="0.2">
      <c r="F127" s="175">
        <v>91</v>
      </c>
      <c r="G127" s="174" t="b">
        <v>0</v>
      </c>
      <c r="H127" s="174" t="b">
        <v>0</v>
      </c>
      <c r="I127" s="174" t="b">
        <v>0</v>
      </c>
      <c r="K127" s="207">
        <v>91</v>
      </c>
      <c r="L127" s="207"/>
      <c r="M127" s="207"/>
      <c r="N127" s="207"/>
    </row>
    <row r="128" spans="6:14" x14ac:dyDescent="0.2">
      <c r="F128" s="175">
        <v>92</v>
      </c>
      <c r="G128" s="174" t="b">
        <v>0</v>
      </c>
      <c r="H128" s="174" t="b">
        <v>0</v>
      </c>
      <c r="I128" s="174" t="b">
        <v>0</v>
      </c>
      <c r="K128" s="207">
        <v>92</v>
      </c>
      <c r="L128" s="207"/>
      <c r="M128" s="207"/>
      <c r="N128" s="207"/>
    </row>
    <row r="129" spans="6:14" x14ac:dyDescent="0.2">
      <c r="F129" s="175">
        <v>93</v>
      </c>
      <c r="G129" s="174" t="b">
        <v>0</v>
      </c>
      <c r="H129" s="174" t="b">
        <v>0</v>
      </c>
      <c r="I129" s="174" t="b">
        <v>0</v>
      </c>
      <c r="K129" s="207">
        <v>93</v>
      </c>
      <c r="L129" s="207"/>
      <c r="M129" s="207"/>
      <c r="N129" s="207"/>
    </row>
    <row r="130" spans="6:14" x14ac:dyDescent="0.2">
      <c r="F130" s="175">
        <v>94</v>
      </c>
      <c r="G130" s="174" t="b">
        <v>0</v>
      </c>
      <c r="H130" s="174" t="b">
        <v>0</v>
      </c>
      <c r="I130" s="174" t="b">
        <v>0</v>
      </c>
      <c r="K130" s="207">
        <v>94</v>
      </c>
      <c r="L130" s="207"/>
      <c r="M130" s="207"/>
      <c r="N130" s="207"/>
    </row>
    <row r="131" spans="6:14" x14ac:dyDescent="0.2">
      <c r="F131" s="175">
        <v>95</v>
      </c>
      <c r="G131" s="174" t="b">
        <v>0</v>
      </c>
      <c r="H131" s="174" t="b">
        <v>0</v>
      </c>
      <c r="I131" s="174" t="b">
        <v>0</v>
      </c>
      <c r="K131" s="207">
        <v>95</v>
      </c>
      <c r="L131" s="207"/>
      <c r="M131" s="207"/>
      <c r="N131" s="207"/>
    </row>
    <row r="132" spans="6:14" x14ac:dyDescent="0.2">
      <c r="F132" s="175">
        <v>96</v>
      </c>
      <c r="G132" s="174" t="b">
        <v>0</v>
      </c>
      <c r="H132" s="174" t="b">
        <v>0</v>
      </c>
      <c r="I132" s="174" t="b">
        <v>0</v>
      </c>
      <c r="K132" s="207">
        <v>96</v>
      </c>
      <c r="L132" s="207"/>
      <c r="M132" s="207"/>
      <c r="N132" s="207"/>
    </row>
    <row r="133" spans="6:14" x14ac:dyDescent="0.2">
      <c r="F133" s="175">
        <v>97</v>
      </c>
      <c r="G133" s="174" t="b">
        <v>0</v>
      </c>
      <c r="H133" s="174" t="b">
        <v>0</v>
      </c>
      <c r="I133" s="174" t="b">
        <v>0</v>
      </c>
      <c r="K133" s="207">
        <v>97</v>
      </c>
      <c r="L133" s="207"/>
      <c r="M133" s="207"/>
      <c r="N133" s="207"/>
    </row>
    <row r="134" spans="6:14" x14ac:dyDescent="0.2">
      <c r="F134" s="175">
        <v>98</v>
      </c>
      <c r="G134" s="174" t="b">
        <v>0</v>
      </c>
      <c r="H134" s="174" t="b">
        <v>0</v>
      </c>
      <c r="I134" s="174" t="b">
        <v>0</v>
      </c>
      <c r="K134" s="207">
        <v>98</v>
      </c>
      <c r="L134" s="207"/>
      <c r="M134" s="207"/>
      <c r="N134" s="207"/>
    </row>
    <row r="135" spans="6:14" x14ac:dyDescent="0.2">
      <c r="F135" s="175">
        <v>99</v>
      </c>
      <c r="G135" s="174" t="b">
        <v>0</v>
      </c>
      <c r="H135" s="174" t="b">
        <v>0</v>
      </c>
      <c r="I135" s="174" t="b">
        <v>0</v>
      </c>
      <c r="K135" s="207">
        <v>99</v>
      </c>
      <c r="L135" s="207"/>
      <c r="M135" s="207"/>
      <c r="N135" s="207"/>
    </row>
    <row r="136" spans="6:14" x14ac:dyDescent="0.2">
      <c r="F136" s="175">
        <v>100</v>
      </c>
      <c r="G136" s="174" t="b">
        <v>0</v>
      </c>
      <c r="H136" s="174" t="b">
        <v>0</v>
      </c>
      <c r="I136" s="174" t="b">
        <v>0</v>
      </c>
      <c r="K136" s="207">
        <v>100</v>
      </c>
      <c r="L136" s="207"/>
      <c r="M136" s="207"/>
      <c r="N136" s="207"/>
    </row>
    <row r="137" spans="6:14" x14ac:dyDescent="0.2">
      <c r="F137" s="175">
        <v>101</v>
      </c>
      <c r="G137" s="174" t="b">
        <v>0</v>
      </c>
      <c r="H137" s="174" t="b">
        <v>0</v>
      </c>
      <c r="I137" s="174" t="b">
        <v>0</v>
      </c>
      <c r="K137" s="207">
        <v>101</v>
      </c>
    </row>
    <row r="138" spans="6:14" x14ac:dyDescent="0.2">
      <c r="F138" s="175">
        <v>102</v>
      </c>
      <c r="G138" s="174" t="b">
        <v>0</v>
      </c>
      <c r="H138" s="174" t="b">
        <v>0</v>
      </c>
      <c r="I138" s="174" t="b">
        <v>0</v>
      </c>
      <c r="K138" s="207">
        <v>102</v>
      </c>
    </row>
    <row r="139" spans="6:14" x14ac:dyDescent="0.2">
      <c r="F139" s="175">
        <v>103</v>
      </c>
      <c r="G139" s="174" t="b">
        <v>0</v>
      </c>
      <c r="H139" s="174" t="b">
        <v>0</v>
      </c>
      <c r="I139" s="174" t="b">
        <v>0</v>
      </c>
      <c r="K139" s="207">
        <v>103</v>
      </c>
    </row>
    <row r="140" spans="6:14" x14ac:dyDescent="0.2">
      <c r="F140" s="175">
        <v>104</v>
      </c>
      <c r="G140" s="174" t="b">
        <v>0</v>
      </c>
      <c r="H140" s="174" t="b">
        <v>0</v>
      </c>
      <c r="I140" s="174" t="b">
        <v>0</v>
      </c>
      <c r="K140" s="207">
        <v>104</v>
      </c>
    </row>
    <row r="141" spans="6:14" x14ac:dyDescent="0.2">
      <c r="F141" s="175">
        <v>105</v>
      </c>
      <c r="G141" s="174" t="b">
        <v>0</v>
      </c>
      <c r="H141" s="174" t="b">
        <v>0</v>
      </c>
      <c r="I141" s="174" t="b">
        <v>0</v>
      </c>
      <c r="K141" s="207">
        <v>105</v>
      </c>
    </row>
    <row r="142" spans="6:14" x14ac:dyDescent="0.2">
      <c r="F142" s="175">
        <v>106</v>
      </c>
      <c r="G142" s="174" t="b">
        <v>0</v>
      </c>
      <c r="H142" s="174" t="b">
        <v>0</v>
      </c>
      <c r="I142" s="174" t="b">
        <v>0</v>
      </c>
      <c r="K142" s="207">
        <v>106</v>
      </c>
    </row>
    <row r="143" spans="6:14" x14ac:dyDescent="0.2">
      <c r="F143" s="175">
        <v>107</v>
      </c>
      <c r="G143" s="174" t="b">
        <v>0</v>
      </c>
      <c r="H143" s="174" t="b">
        <v>0</v>
      </c>
      <c r="I143" s="174" t="b">
        <v>0</v>
      </c>
      <c r="K143" s="207">
        <v>107</v>
      </c>
    </row>
    <row r="144" spans="6:14" x14ac:dyDescent="0.2">
      <c r="F144" s="175">
        <v>108</v>
      </c>
      <c r="G144" s="174" t="b">
        <v>0</v>
      </c>
      <c r="H144" s="174" t="b">
        <v>0</v>
      </c>
      <c r="I144" s="174" t="b">
        <v>0</v>
      </c>
      <c r="K144" s="207">
        <v>108</v>
      </c>
    </row>
    <row r="145" spans="6:11" x14ac:dyDescent="0.2">
      <c r="F145" s="175">
        <v>109</v>
      </c>
      <c r="G145" s="174" t="b">
        <v>0</v>
      </c>
      <c r="H145" s="174" t="b">
        <v>0</v>
      </c>
      <c r="I145" s="174" t="b">
        <v>0</v>
      </c>
      <c r="K145" s="207">
        <v>109</v>
      </c>
    </row>
    <row r="146" spans="6:11" x14ac:dyDescent="0.2">
      <c r="F146" s="175">
        <v>110</v>
      </c>
      <c r="G146" s="174" t="b">
        <v>0</v>
      </c>
      <c r="H146" s="174" t="b">
        <v>0</v>
      </c>
      <c r="I146" s="174" t="b">
        <v>0</v>
      </c>
      <c r="K146" s="207">
        <v>110</v>
      </c>
    </row>
    <row r="147" spans="6:11" x14ac:dyDescent="0.2">
      <c r="F147" s="175">
        <v>111</v>
      </c>
      <c r="G147" s="174" t="b">
        <v>0</v>
      </c>
      <c r="H147" s="174" t="b">
        <v>0</v>
      </c>
      <c r="I147" s="174" t="b">
        <v>0</v>
      </c>
      <c r="K147" s="207">
        <v>111</v>
      </c>
    </row>
    <row r="148" spans="6:11" x14ac:dyDescent="0.2">
      <c r="F148" s="175">
        <v>112</v>
      </c>
      <c r="G148" s="174" t="b">
        <v>0</v>
      </c>
      <c r="H148" s="174" t="b">
        <v>0</v>
      </c>
      <c r="I148" s="174" t="b">
        <v>0</v>
      </c>
      <c r="K148" s="207">
        <v>112</v>
      </c>
    </row>
    <row r="149" spans="6:11" x14ac:dyDescent="0.2">
      <c r="F149" s="175">
        <v>113</v>
      </c>
      <c r="G149" s="174" t="b">
        <v>0</v>
      </c>
      <c r="H149" s="174" t="b">
        <v>0</v>
      </c>
      <c r="I149" s="174" t="b">
        <v>0</v>
      </c>
      <c r="K149" s="207">
        <v>113</v>
      </c>
    </row>
    <row r="150" spans="6:11" x14ac:dyDescent="0.2">
      <c r="F150" s="175">
        <v>114</v>
      </c>
      <c r="G150" s="174" t="b">
        <v>0</v>
      </c>
      <c r="H150" s="174" t="b">
        <v>0</v>
      </c>
      <c r="I150" s="174" t="b">
        <v>0</v>
      </c>
      <c r="K150" s="207">
        <v>114</v>
      </c>
    </row>
    <row r="151" spans="6:11" x14ac:dyDescent="0.2">
      <c r="F151" s="175">
        <v>115</v>
      </c>
      <c r="G151" s="174" t="b">
        <v>0</v>
      </c>
      <c r="H151" s="174" t="b">
        <v>0</v>
      </c>
      <c r="I151" s="174" t="b">
        <v>0</v>
      </c>
      <c r="K151" s="207">
        <v>115</v>
      </c>
    </row>
    <row r="152" spans="6:11" x14ac:dyDescent="0.2">
      <c r="F152" s="175">
        <v>116</v>
      </c>
      <c r="G152" s="174" t="b">
        <v>0</v>
      </c>
      <c r="H152" s="174" t="b">
        <v>0</v>
      </c>
      <c r="I152" s="174" t="b">
        <v>0</v>
      </c>
      <c r="K152" s="207">
        <v>116</v>
      </c>
    </row>
    <row r="153" spans="6:11" x14ac:dyDescent="0.2">
      <c r="F153" s="175">
        <v>117</v>
      </c>
      <c r="G153" s="174" t="b">
        <v>0</v>
      </c>
      <c r="H153" s="174" t="b">
        <v>0</v>
      </c>
      <c r="I153" s="174" t="b">
        <v>0</v>
      </c>
      <c r="K153" s="207">
        <v>117</v>
      </c>
    </row>
    <row r="154" spans="6:11" x14ac:dyDescent="0.2">
      <c r="F154" s="175">
        <v>118</v>
      </c>
      <c r="G154" s="174" t="b">
        <v>0</v>
      </c>
      <c r="H154" s="174" t="b">
        <v>0</v>
      </c>
      <c r="I154" s="174" t="b">
        <v>0</v>
      </c>
      <c r="K154" s="207">
        <v>118</v>
      </c>
    </row>
    <row r="155" spans="6:11" x14ac:dyDescent="0.2">
      <c r="F155" s="175">
        <v>119</v>
      </c>
      <c r="G155" s="174" t="b">
        <v>0</v>
      </c>
      <c r="H155" s="174" t="b">
        <v>0</v>
      </c>
      <c r="I155" s="174" t="b">
        <v>0</v>
      </c>
      <c r="K155" s="207">
        <v>119</v>
      </c>
    </row>
    <row r="156" spans="6:11" x14ac:dyDescent="0.2">
      <c r="F156" s="175">
        <v>120</v>
      </c>
      <c r="G156" s="174" t="b">
        <v>0</v>
      </c>
      <c r="H156" s="174" t="b">
        <v>0</v>
      </c>
      <c r="I156" s="174" t="b">
        <v>0</v>
      </c>
      <c r="K156" s="207">
        <v>120</v>
      </c>
    </row>
    <row r="157" spans="6:11" x14ac:dyDescent="0.2">
      <c r="F157" s="175">
        <v>121</v>
      </c>
      <c r="G157" s="174" t="b">
        <v>0</v>
      </c>
      <c r="H157" s="174" t="b">
        <v>0</v>
      </c>
      <c r="I157" s="174" t="b">
        <v>0</v>
      </c>
      <c r="K157" s="207">
        <v>121</v>
      </c>
    </row>
    <row r="158" spans="6:11" x14ac:dyDescent="0.2">
      <c r="F158" s="175">
        <v>122</v>
      </c>
      <c r="G158" s="174" t="b">
        <v>0</v>
      </c>
      <c r="H158" s="174" t="b">
        <v>0</v>
      </c>
      <c r="I158" s="174" t="b">
        <v>0</v>
      </c>
      <c r="K158" s="207">
        <v>122</v>
      </c>
    </row>
    <row r="159" spans="6:11" x14ac:dyDescent="0.2">
      <c r="F159" s="175">
        <v>123</v>
      </c>
      <c r="G159" s="174" t="b">
        <v>0</v>
      </c>
      <c r="H159" s="174" t="b">
        <v>0</v>
      </c>
      <c r="I159" s="174" t="b">
        <v>0</v>
      </c>
      <c r="K159" s="207">
        <v>123</v>
      </c>
    </row>
    <row r="160" spans="6:11" x14ac:dyDescent="0.2">
      <c r="F160" s="175">
        <v>124</v>
      </c>
      <c r="G160" s="174" t="b">
        <v>0</v>
      </c>
      <c r="H160" s="174" t="b">
        <v>0</v>
      </c>
      <c r="I160" s="174" t="b">
        <v>0</v>
      </c>
      <c r="K160" s="207">
        <v>124</v>
      </c>
    </row>
    <row r="161" spans="6:11" x14ac:dyDescent="0.2">
      <c r="F161" s="175">
        <v>125</v>
      </c>
      <c r="G161" s="174" t="b">
        <v>0</v>
      </c>
      <c r="H161" s="174" t="b">
        <v>0</v>
      </c>
      <c r="I161" s="174" t="b">
        <v>0</v>
      </c>
      <c r="K161" s="207">
        <v>125</v>
      </c>
    </row>
    <row r="162" spans="6:11" x14ac:dyDescent="0.2">
      <c r="F162" s="175">
        <v>126</v>
      </c>
      <c r="G162" s="174" t="b">
        <v>0</v>
      </c>
      <c r="H162" s="174" t="b">
        <v>0</v>
      </c>
      <c r="I162" s="174" t="b">
        <v>0</v>
      </c>
      <c r="K162" s="207">
        <v>126</v>
      </c>
    </row>
    <row r="163" spans="6:11" x14ac:dyDescent="0.2">
      <c r="F163" s="175">
        <v>127</v>
      </c>
      <c r="G163" s="174" t="b">
        <v>0</v>
      </c>
      <c r="H163" s="174" t="b">
        <v>0</v>
      </c>
      <c r="I163" s="174" t="b">
        <v>0</v>
      </c>
      <c r="K163" s="207">
        <v>127</v>
      </c>
    </row>
    <row r="164" spans="6:11" x14ac:dyDescent="0.2">
      <c r="F164" s="175">
        <v>128</v>
      </c>
      <c r="G164" s="174" t="b">
        <v>0</v>
      </c>
      <c r="H164" s="174" t="b">
        <v>0</v>
      </c>
      <c r="I164" s="174" t="b">
        <v>0</v>
      </c>
      <c r="K164" s="207">
        <v>128</v>
      </c>
    </row>
    <row r="165" spans="6:11" x14ac:dyDescent="0.2">
      <c r="F165" s="175">
        <v>129</v>
      </c>
      <c r="G165" s="174" t="b">
        <v>0</v>
      </c>
      <c r="H165" s="174" t="b">
        <v>0</v>
      </c>
      <c r="I165" s="174" t="b">
        <v>0</v>
      </c>
      <c r="K165" s="207">
        <v>129</v>
      </c>
    </row>
    <row r="166" spans="6:11" x14ac:dyDescent="0.2">
      <c r="F166" s="175">
        <v>130</v>
      </c>
      <c r="G166" s="174" t="b">
        <v>0</v>
      </c>
      <c r="H166" s="174" t="b">
        <v>0</v>
      </c>
      <c r="I166" s="174" t="b">
        <v>0</v>
      </c>
      <c r="K166" s="207">
        <v>130</v>
      </c>
    </row>
    <row r="167" spans="6:11" x14ac:dyDescent="0.2">
      <c r="F167" s="175">
        <v>131</v>
      </c>
      <c r="G167" s="174" t="b">
        <v>0</v>
      </c>
      <c r="H167" s="174" t="b">
        <v>0</v>
      </c>
      <c r="I167" s="174" t="b">
        <v>0</v>
      </c>
      <c r="K167" s="207">
        <v>131</v>
      </c>
    </row>
    <row r="168" spans="6:11" x14ac:dyDescent="0.2">
      <c r="F168" s="175">
        <v>132</v>
      </c>
      <c r="G168" s="174" t="b">
        <v>0</v>
      </c>
      <c r="H168" s="174" t="b">
        <v>0</v>
      </c>
      <c r="I168" s="174" t="b">
        <v>0</v>
      </c>
      <c r="K168" s="207">
        <v>132</v>
      </c>
    </row>
    <row r="169" spans="6:11" x14ac:dyDescent="0.2">
      <c r="F169" s="175">
        <v>133</v>
      </c>
      <c r="G169" s="174" t="b">
        <v>0</v>
      </c>
      <c r="H169" s="174" t="b">
        <v>0</v>
      </c>
      <c r="I169" s="174" t="b">
        <v>0</v>
      </c>
      <c r="K169" s="207">
        <v>133</v>
      </c>
    </row>
    <row r="170" spans="6:11" x14ac:dyDescent="0.2">
      <c r="F170" s="175">
        <v>134</v>
      </c>
      <c r="G170" s="174" t="b">
        <v>0</v>
      </c>
      <c r="H170" s="174" t="b">
        <v>0</v>
      </c>
      <c r="I170" s="174" t="b">
        <v>0</v>
      </c>
      <c r="K170" s="207">
        <v>134</v>
      </c>
    </row>
    <row r="171" spans="6:11" x14ac:dyDescent="0.2">
      <c r="F171" s="175">
        <v>135</v>
      </c>
      <c r="G171" s="174" t="b">
        <v>0</v>
      </c>
      <c r="H171" s="174" t="b">
        <v>0</v>
      </c>
      <c r="I171" s="174" t="b">
        <v>0</v>
      </c>
      <c r="K171" s="207">
        <v>135</v>
      </c>
    </row>
    <row r="172" spans="6:11" x14ac:dyDescent="0.2">
      <c r="F172" s="175">
        <v>136</v>
      </c>
      <c r="G172" s="174" t="b">
        <v>0</v>
      </c>
      <c r="H172" s="174" t="b">
        <v>0</v>
      </c>
      <c r="I172" s="174" t="b">
        <v>0</v>
      </c>
      <c r="K172" s="207">
        <v>136</v>
      </c>
    </row>
    <row r="173" spans="6:11" x14ac:dyDescent="0.2">
      <c r="F173" s="175">
        <v>137</v>
      </c>
      <c r="G173" s="174" t="b">
        <v>0</v>
      </c>
      <c r="H173" s="174" t="b">
        <v>0</v>
      </c>
      <c r="I173" s="174" t="b">
        <v>0</v>
      </c>
      <c r="K173" s="207">
        <v>137</v>
      </c>
    </row>
    <row r="174" spans="6:11" x14ac:dyDescent="0.2">
      <c r="F174" s="175">
        <v>138</v>
      </c>
      <c r="G174" s="174" t="b">
        <v>0</v>
      </c>
      <c r="H174" s="174" t="b">
        <v>0</v>
      </c>
      <c r="I174" s="174" t="b">
        <v>0</v>
      </c>
      <c r="K174" s="207">
        <v>138</v>
      </c>
    </row>
    <row r="175" spans="6:11" x14ac:dyDescent="0.2">
      <c r="F175" s="175">
        <v>139</v>
      </c>
      <c r="G175" s="174" t="b">
        <v>0</v>
      </c>
      <c r="H175" s="174" t="b">
        <v>0</v>
      </c>
      <c r="I175" s="174" t="b">
        <v>0</v>
      </c>
      <c r="K175" s="207">
        <v>139</v>
      </c>
    </row>
    <row r="176" spans="6:11" x14ac:dyDescent="0.2">
      <c r="F176" s="175">
        <v>140</v>
      </c>
      <c r="G176" s="174" t="b">
        <v>0</v>
      </c>
      <c r="H176" s="174" t="b">
        <v>0</v>
      </c>
      <c r="I176" s="174" t="b">
        <v>0</v>
      </c>
      <c r="K176" s="207">
        <v>140</v>
      </c>
    </row>
    <row r="177" spans="6:11" x14ac:dyDescent="0.2">
      <c r="F177" s="175">
        <v>141</v>
      </c>
      <c r="G177" s="174" t="b">
        <v>0</v>
      </c>
      <c r="H177" s="174" t="b">
        <v>0</v>
      </c>
      <c r="I177" s="174" t="b">
        <v>0</v>
      </c>
      <c r="K177" s="207">
        <v>141</v>
      </c>
    </row>
    <row r="178" spans="6:11" x14ac:dyDescent="0.2">
      <c r="F178" s="175">
        <v>142</v>
      </c>
      <c r="G178" s="174" t="b">
        <v>0</v>
      </c>
      <c r="H178" s="174" t="b">
        <v>0</v>
      </c>
      <c r="I178" s="174" t="b">
        <v>0</v>
      </c>
      <c r="K178" s="207">
        <v>142</v>
      </c>
    </row>
    <row r="179" spans="6:11" x14ac:dyDescent="0.2">
      <c r="F179" s="175">
        <v>143</v>
      </c>
      <c r="G179" s="174" t="b">
        <v>0</v>
      </c>
      <c r="H179" s="174" t="b">
        <v>0</v>
      </c>
      <c r="I179" s="174" t="b">
        <v>0</v>
      </c>
      <c r="K179" s="207">
        <v>143</v>
      </c>
    </row>
    <row r="180" spans="6:11" x14ac:dyDescent="0.2">
      <c r="F180" s="175">
        <v>144</v>
      </c>
      <c r="G180" s="174" t="b">
        <v>0</v>
      </c>
      <c r="H180" s="174" t="b">
        <v>0</v>
      </c>
      <c r="I180" s="174" t="b">
        <v>0</v>
      </c>
      <c r="K180" s="207">
        <v>144</v>
      </c>
    </row>
    <row r="181" spans="6:11" x14ac:dyDescent="0.2">
      <c r="F181" s="175">
        <v>145</v>
      </c>
      <c r="G181" s="174" t="b">
        <v>0</v>
      </c>
      <c r="H181" s="174" t="b">
        <v>0</v>
      </c>
      <c r="I181" s="174" t="b">
        <v>0</v>
      </c>
      <c r="K181" s="207">
        <v>145</v>
      </c>
    </row>
    <row r="182" spans="6:11" x14ac:dyDescent="0.2">
      <c r="F182" s="175">
        <v>146</v>
      </c>
      <c r="G182" s="174" t="b">
        <v>0</v>
      </c>
      <c r="H182" s="174" t="b">
        <v>0</v>
      </c>
      <c r="I182" s="174" t="b">
        <v>0</v>
      </c>
      <c r="K182" s="207">
        <v>146</v>
      </c>
    </row>
    <row r="183" spans="6:11" x14ac:dyDescent="0.2">
      <c r="F183" s="175">
        <v>147</v>
      </c>
      <c r="G183" s="174" t="b">
        <v>0</v>
      </c>
      <c r="H183" s="174" t="b">
        <v>0</v>
      </c>
      <c r="I183" s="174" t="b">
        <v>0</v>
      </c>
      <c r="K183" s="207">
        <v>147</v>
      </c>
    </row>
    <row r="184" spans="6:11" x14ac:dyDescent="0.2">
      <c r="F184" s="175">
        <v>148</v>
      </c>
      <c r="G184" s="174" t="b">
        <v>0</v>
      </c>
      <c r="H184" s="174" t="b">
        <v>0</v>
      </c>
      <c r="I184" s="174" t="b">
        <v>0</v>
      </c>
      <c r="K184" s="207">
        <v>148</v>
      </c>
    </row>
    <row r="185" spans="6:11" x14ac:dyDescent="0.2">
      <c r="F185" s="175">
        <v>149</v>
      </c>
      <c r="G185" s="174" t="b">
        <v>0</v>
      </c>
      <c r="H185" s="174" t="b">
        <v>0</v>
      </c>
      <c r="I185" s="174" t="b">
        <v>0</v>
      </c>
      <c r="K185" s="207">
        <v>149</v>
      </c>
    </row>
    <row r="186" spans="6:11" x14ac:dyDescent="0.2">
      <c r="F186" s="175">
        <v>150</v>
      </c>
      <c r="G186" s="174" t="b">
        <v>0</v>
      </c>
      <c r="H186" s="174" t="b">
        <v>0</v>
      </c>
      <c r="I186" s="174" t="b">
        <v>0</v>
      </c>
      <c r="K186" s="207">
        <v>150</v>
      </c>
    </row>
    <row r="187" spans="6:11" x14ac:dyDescent="0.2">
      <c r="F187" s="175">
        <v>151</v>
      </c>
      <c r="G187" s="174" t="b">
        <v>0</v>
      </c>
      <c r="H187" s="174" t="b">
        <v>0</v>
      </c>
      <c r="I187" s="174" t="b">
        <v>0</v>
      </c>
      <c r="K187" s="207">
        <v>151</v>
      </c>
    </row>
    <row r="188" spans="6:11" x14ac:dyDescent="0.2">
      <c r="F188" s="175">
        <v>152</v>
      </c>
      <c r="G188" s="174" t="b">
        <v>0</v>
      </c>
      <c r="H188" s="174" t="b">
        <v>0</v>
      </c>
      <c r="I188" s="174" t="b">
        <v>0</v>
      </c>
      <c r="K188" s="207">
        <v>152</v>
      </c>
    </row>
    <row r="189" spans="6:11" x14ac:dyDescent="0.2">
      <c r="F189" s="175">
        <v>153</v>
      </c>
      <c r="G189" s="174" t="b">
        <v>0</v>
      </c>
      <c r="H189" s="174" t="b">
        <v>0</v>
      </c>
      <c r="I189" s="174" t="b">
        <v>0</v>
      </c>
      <c r="K189" s="207">
        <v>153</v>
      </c>
    </row>
    <row r="190" spans="6:11" x14ac:dyDescent="0.2">
      <c r="F190" s="175">
        <v>154</v>
      </c>
      <c r="G190" s="174" t="b">
        <v>0</v>
      </c>
      <c r="H190" s="174" t="b">
        <v>0</v>
      </c>
      <c r="I190" s="174" t="b">
        <v>0</v>
      </c>
      <c r="K190" s="207">
        <v>154</v>
      </c>
    </row>
    <row r="191" spans="6:11" x14ac:dyDescent="0.2">
      <c r="F191" s="175">
        <v>155</v>
      </c>
      <c r="G191" s="174" t="b">
        <v>0</v>
      </c>
      <c r="H191" s="174" t="b">
        <v>0</v>
      </c>
      <c r="I191" s="174" t="b">
        <v>0</v>
      </c>
      <c r="K191" s="207">
        <v>155</v>
      </c>
    </row>
    <row r="192" spans="6:11" x14ac:dyDescent="0.2">
      <c r="F192" s="175">
        <v>156</v>
      </c>
      <c r="G192" s="174" t="b">
        <v>0</v>
      </c>
      <c r="H192" s="174" t="b">
        <v>0</v>
      </c>
      <c r="I192" s="174" t="b">
        <v>0</v>
      </c>
      <c r="K192" s="207">
        <v>156</v>
      </c>
    </row>
    <row r="193" spans="6:11" x14ac:dyDescent="0.2">
      <c r="F193" s="175">
        <v>157</v>
      </c>
      <c r="G193" s="174" t="b">
        <v>0</v>
      </c>
      <c r="H193" s="174" t="b">
        <v>0</v>
      </c>
      <c r="I193" s="174" t="b">
        <v>0</v>
      </c>
      <c r="K193" s="207">
        <v>157</v>
      </c>
    </row>
    <row r="194" spans="6:11" x14ac:dyDescent="0.2">
      <c r="F194" s="175">
        <v>158</v>
      </c>
      <c r="G194" s="174" t="b">
        <v>0</v>
      </c>
      <c r="H194" s="174" t="b">
        <v>0</v>
      </c>
      <c r="I194" s="174" t="b">
        <v>0</v>
      </c>
      <c r="K194" s="207">
        <v>158</v>
      </c>
    </row>
    <row r="195" spans="6:11" x14ac:dyDescent="0.2">
      <c r="F195" s="175">
        <v>159</v>
      </c>
      <c r="G195" s="174" t="b">
        <v>0</v>
      </c>
      <c r="H195" s="174" t="b">
        <v>0</v>
      </c>
      <c r="I195" s="174" t="b">
        <v>0</v>
      </c>
      <c r="K195" s="207">
        <v>159</v>
      </c>
    </row>
    <row r="196" spans="6:11" x14ac:dyDescent="0.2">
      <c r="F196" s="175">
        <v>160</v>
      </c>
      <c r="G196" s="174" t="b">
        <v>0</v>
      </c>
      <c r="H196" s="174" t="b">
        <v>0</v>
      </c>
      <c r="I196" s="174" t="b">
        <v>0</v>
      </c>
      <c r="K196" s="207">
        <v>160</v>
      </c>
    </row>
    <row r="197" spans="6:11" x14ac:dyDescent="0.2">
      <c r="F197" s="175">
        <v>161</v>
      </c>
      <c r="G197" s="174" t="b">
        <v>0</v>
      </c>
      <c r="H197" s="174" t="b">
        <v>0</v>
      </c>
      <c r="I197" s="174" t="b">
        <v>0</v>
      </c>
      <c r="K197" s="207">
        <v>161</v>
      </c>
    </row>
    <row r="198" spans="6:11" x14ac:dyDescent="0.2">
      <c r="F198" s="175">
        <v>162</v>
      </c>
      <c r="G198" s="174" t="b">
        <v>0</v>
      </c>
      <c r="H198" s="174" t="b">
        <v>0</v>
      </c>
      <c r="I198" s="174" t="b">
        <v>0</v>
      </c>
      <c r="K198" s="207">
        <v>162</v>
      </c>
    </row>
    <row r="199" spans="6:11" x14ac:dyDescent="0.2">
      <c r="F199" s="175">
        <v>163</v>
      </c>
      <c r="G199" s="174" t="b">
        <v>0</v>
      </c>
      <c r="H199" s="174" t="b">
        <v>0</v>
      </c>
      <c r="I199" s="174" t="b">
        <v>0</v>
      </c>
      <c r="K199" s="207">
        <v>163</v>
      </c>
    </row>
    <row r="200" spans="6:11" x14ac:dyDescent="0.2">
      <c r="F200" s="175">
        <v>164</v>
      </c>
      <c r="G200" s="174" t="b">
        <v>0</v>
      </c>
      <c r="H200" s="174" t="b">
        <v>0</v>
      </c>
      <c r="I200" s="174" t="b">
        <v>0</v>
      </c>
      <c r="K200" s="207">
        <v>164</v>
      </c>
    </row>
    <row r="201" spans="6:11" x14ac:dyDescent="0.2">
      <c r="F201" s="175">
        <v>165</v>
      </c>
      <c r="G201" s="174" t="b">
        <v>0</v>
      </c>
      <c r="H201" s="174" t="b">
        <v>0</v>
      </c>
      <c r="I201" s="174" t="b">
        <v>0</v>
      </c>
      <c r="K201" s="207">
        <v>165</v>
      </c>
    </row>
    <row r="202" spans="6:11" x14ac:dyDescent="0.2">
      <c r="F202" s="175">
        <v>166</v>
      </c>
      <c r="G202" s="174" t="b">
        <v>0</v>
      </c>
      <c r="H202" s="174" t="b">
        <v>0</v>
      </c>
      <c r="I202" s="174" t="b">
        <v>0</v>
      </c>
      <c r="K202" s="207">
        <v>166</v>
      </c>
    </row>
    <row r="203" spans="6:11" x14ac:dyDescent="0.2">
      <c r="F203" s="175">
        <v>167</v>
      </c>
      <c r="G203" s="174" t="b">
        <v>0</v>
      </c>
      <c r="H203" s="174" t="b">
        <v>0</v>
      </c>
      <c r="I203" s="174" t="b">
        <v>0</v>
      </c>
      <c r="K203" s="207">
        <v>167</v>
      </c>
    </row>
    <row r="204" spans="6:11" x14ac:dyDescent="0.2">
      <c r="F204" s="175">
        <v>168</v>
      </c>
      <c r="G204" s="174" t="b">
        <v>0</v>
      </c>
      <c r="H204" s="174" t="b">
        <v>0</v>
      </c>
      <c r="I204" s="174" t="b">
        <v>0</v>
      </c>
      <c r="K204" s="207">
        <v>168</v>
      </c>
    </row>
    <row r="205" spans="6:11" x14ac:dyDescent="0.2">
      <c r="F205" s="175">
        <v>169</v>
      </c>
      <c r="G205" s="174" t="b">
        <v>0</v>
      </c>
      <c r="H205" s="174" t="b">
        <v>0</v>
      </c>
      <c r="I205" s="174" t="b">
        <v>0</v>
      </c>
      <c r="K205" s="207">
        <v>169</v>
      </c>
    </row>
    <row r="206" spans="6:11" x14ac:dyDescent="0.2">
      <c r="F206" s="175">
        <v>170</v>
      </c>
      <c r="G206" s="174" t="b">
        <v>0</v>
      </c>
      <c r="H206" s="174" t="b">
        <v>0</v>
      </c>
      <c r="I206" s="174" t="b">
        <v>0</v>
      </c>
      <c r="K206" s="207">
        <v>170</v>
      </c>
    </row>
    <row r="207" spans="6:11" x14ac:dyDescent="0.2">
      <c r="F207" s="175">
        <v>171</v>
      </c>
      <c r="G207" s="174" t="b">
        <v>0</v>
      </c>
      <c r="H207" s="174" t="b">
        <v>0</v>
      </c>
      <c r="I207" s="174" t="b">
        <v>0</v>
      </c>
      <c r="K207" s="207">
        <v>171</v>
      </c>
    </row>
    <row r="208" spans="6:11" x14ac:dyDescent="0.2">
      <c r="F208" s="175">
        <v>172</v>
      </c>
      <c r="G208" s="174" t="b">
        <v>0</v>
      </c>
      <c r="H208" s="174" t="b">
        <v>0</v>
      </c>
      <c r="I208" s="174" t="b">
        <v>0</v>
      </c>
      <c r="K208" s="207">
        <v>172</v>
      </c>
    </row>
    <row r="209" spans="6:11" x14ac:dyDescent="0.2">
      <c r="F209" s="175">
        <v>173</v>
      </c>
      <c r="G209" s="174" t="b">
        <v>0</v>
      </c>
      <c r="H209" s="174" t="b">
        <v>0</v>
      </c>
      <c r="I209" s="174" t="b">
        <v>0</v>
      </c>
      <c r="K209" s="207">
        <v>173</v>
      </c>
    </row>
    <row r="210" spans="6:11" x14ac:dyDescent="0.2">
      <c r="F210" s="175">
        <v>174</v>
      </c>
      <c r="G210" s="174" t="b">
        <v>0</v>
      </c>
      <c r="H210" s="174" t="b">
        <v>0</v>
      </c>
      <c r="I210" s="174" t="b">
        <v>0</v>
      </c>
      <c r="K210" s="207">
        <v>174</v>
      </c>
    </row>
    <row r="211" spans="6:11" x14ac:dyDescent="0.2">
      <c r="F211" s="175">
        <v>175</v>
      </c>
      <c r="G211" s="174" t="b">
        <v>0</v>
      </c>
      <c r="H211" s="174" t="b">
        <v>0</v>
      </c>
      <c r="I211" s="174" t="b">
        <v>0</v>
      </c>
      <c r="K211" s="207">
        <v>175</v>
      </c>
    </row>
    <row r="212" spans="6:11" x14ac:dyDescent="0.2">
      <c r="F212" s="175">
        <v>176</v>
      </c>
      <c r="G212" s="174" t="b">
        <v>0</v>
      </c>
      <c r="H212" s="174" t="b">
        <v>0</v>
      </c>
      <c r="I212" s="174" t="b">
        <v>0</v>
      </c>
      <c r="K212" s="207">
        <v>176</v>
      </c>
    </row>
    <row r="213" spans="6:11" x14ac:dyDescent="0.2">
      <c r="F213" s="175">
        <v>177</v>
      </c>
      <c r="G213" s="174" t="b">
        <v>0</v>
      </c>
      <c r="H213" s="174" t="b">
        <v>0</v>
      </c>
      <c r="I213" s="174" t="b">
        <v>0</v>
      </c>
      <c r="K213" s="207">
        <v>177</v>
      </c>
    </row>
    <row r="214" spans="6:11" x14ac:dyDescent="0.2">
      <c r="F214" s="175">
        <v>178</v>
      </c>
      <c r="G214" s="174" t="b">
        <v>0</v>
      </c>
      <c r="H214" s="174" t="b">
        <v>0</v>
      </c>
      <c r="I214" s="174" t="b">
        <v>0</v>
      </c>
      <c r="K214" s="207">
        <v>178</v>
      </c>
    </row>
    <row r="215" spans="6:11" x14ac:dyDescent="0.2">
      <c r="F215" s="175">
        <v>179</v>
      </c>
      <c r="G215" s="174" t="b">
        <v>0</v>
      </c>
      <c r="H215" s="174" t="b">
        <v>0</v>
      </c>
      <c r="I215" s="174" t="b">
        <v>0</v>
      </c>
      <c r="K215" s="207">
        <v>179</v>
      </c>
    </row>
    <row r="216" spans="6:11" x14ac:dyDescent="0.2">
      <c r="F216" s="175">
        <v>180</v>
      </c>
      <c r="G216" s="174" t="b">
        <v>0</v>
      </c>
      <c r="H216" s="174" t="b">
        <v>0</v>
      </c>
      <c r="I216" s="174" t="b">
        <v>0</v>
      </c>
      <c r="K216" s="207">
        <v>180</v>
      </c>
    </row>
    <row r="217" spans="6:11" x14ac:dyDescent="0.2">
      <c r="F217" s="175">
        <v>181</v>
      </c>
      <c r="G217" s="174" t="b">
        <v>0</v>
      </c>
      <c r="H217" s="174" t="b">
        <v>0</v>
      </c>
      <c r="I217" s="174" t="b">
        <v>0</v>
      </c>
      <c r="K217" s="207">
        <v>181</v>
      </c>
    </row>
    <row r="218" spans="6:11" x14ac:dyDescent="0.2">
      <c r="F218" s="175">
        <v>182</v>
      </c>
      <c r="G218" s="174" t="b">
        <v>0</v>
      </c>
      <c r="H218" s="174" t="b">
        <v>0</v>
      </c>
      <c r="I218" s="174" t="b">
        <v>0</v>
      </c>
      <c r="K218" s="207">
        <v>182</v>
      </c>
    </row>
    <row r="219" spans="6:11" x14ac:dyDescent="0.2">
      <c r="F219" s="175">
        <v>183</v>
      </c>
      <c r="G219" s="174" t="b">
        <v>0</v>
      </c>
      <c r="H219" s="174" t="b">
        <v>0</v>
      </c>
      <c r="I219" s="174" t="b">
        <v>0</v>
      </c>
      <c r="K219" s="207">
        <v>183</v>
      </c>
    </row>
    <row r="220" spans="6:11" x14ac:dyDescent="0.2">
      <c r="F220" s="175">
        <v>184</v>
      </c>
      <c r="G220" s="174" t="b">
        <v>0</v>
      </c>
      <c r="H220" s="174" t="b">
        <v>0</v>
      </c>
      <c r="I220" s="174" t="b">
        <v>0</v>
      </c>
      <c r="K220" s="207">
        <v>184</v>
      </c>
    </row>
    <row r="221" spans="6:11" x14ac:dyDescent="0.2">
      <c r="F221" s="175">
        <v>185</v>
      </c>
      <c r="G221" s="174" t="b">
        <v>0</v>
      </c>
      <c r="H221" s="174" t="b">
        <v>0</v>
      </c>
      <c r="I221" s="174" t="b">
        <v>0</v>
      </c>
      <c r="K221" s="207">
        <v>185</v>
      </c>
    </row>
    <row r="222" spans="6:11" x14ac:dyDescent="0.2">
      <c r="F222" s="175">
        <v>186</v>
      </c>
      <c r="G222" s="174" t="b">
        <v>0</v>
      </c>
      <c r="H222" s="174" t="b">
        <v>0</v>
      </c>
      <c r="I222" s="174" t="b">
        <v>0</v>
      </c>
      <c r="K222" s="207">
        <v>186</v>
      </c>
    </row>
    <row r="223" spans="6:11" x14ac:dyDescent="0.2">
      <c r="F223" s="175">
        <v>187</v>
      </c>
      <c r="G223" s="174" t="b">
        <v>0</v>
      </c>
      <c r="H223" s="174" t="b">
        <v>0</v>
      </c>
      <c r="I223" s="174" t="b">
        <v>0</v>
      </c>
      <c r="K223" s="207">
        <v>187</v>
      </c>
    </row>
    <row r="224" spans="6:11" x14ac:dyDescent="0.2">
      <c r="F224" s="175">
        <v>188</v>
      </c>
      <c r="G224" s="174" t="b">
        <v>0</v>
      </c>
      <c r="H224" s="174" t="b">
        <v>0</v>
      </c>
      <c r="I224" s="174" t="b">
        <v>0</v>
      </c>
      <c r="K224" s="207">
        <v>188</v>
      </c>
    </row>
    <row r="225" spans="1:15" x14ac:dyDescent="0.2">
      <c r="F225" s="175">
        <v>189</v>
      </c>
      <c r="G225" s="174" t="b">
        <v>0</v>
      </c>
      <c r="H225" s="174" t="b">
        <v>0</v>
      </c>
      <c r="I225" s="174" t="b">
        <v>0</v>
      </c>
      <c r="K225" s="207">
        <v>189</v>
      </c>
    </row>
    <row r="226" spans="1:15" x14ac:dyDescent="0.2">
      <c r="F226" s="175">
        <v>190</v>
      </c>
      <c r="G226" s="174" t="b">
        <v>0</v>
      </c>
      <c r="H226" s="174" t="b">
        <v>0</v>
      </c>
      <c r="I226" s="174" t="b">
        <v>0</v>
      </c>
      <c r="K226" s="207">
        <v>190</v>
      </c>
    </row>
    <row r="227" spans="1:15" x14ac:dyDescent="0.2">
      <c r="F227" s="175">
        <v>191</v>
      </c>
      <c r="G227" s="174" t="b">
        <v>0</v>
      </c>
      <c r="H227" s="174" t="b">
        <v>0</v>
      </c>
      <c r="I227" s="174" t="b">
        <v>0</v>
      </c>
      <c r="K227" s="207">
        <v>191</v>
      </c>
    </row>
    <row r="228" spans="1:15" x14ac:dyDescent="0.2">
      <c r="F228" s="175">
        <v>192</v>
      </c>
      <c r="G228" s="174" t="b">
        <v>0</v>
      </c>
      <c r="H228" s="174" t="b">
        <v>0</v>
      </c>
      <c r="I228" s="174" t="b">
        <v>0</v>
      </c>
      <c r="K228" s="207">
        <v>192</v>
      </c>
    </row>
    <row r="229" spans="1:15" x14ac:dyDescent="0.2">
      <c r="F229" s="175">
        <v>193</v>
      </c>
      <c r="G229" s="174" t="b">
        <v>0</v>
      </c>
      <c r="H229" s="174" t="b">
        <v>0</v>
      </c>
      <c r="I229" s="174" t="b">
        <v>0</v>
      </c>
      <c r="K229" s="207">
        <v>193</v>
      </c>
    </row>
    <row r="230" spans="1:15" x14ac:dyDescent="0.2">
      <c r="F230" s="175">
        <v>194</v>
      </c>
      <c r="G230" s="174" t="b">
        <v>0</v>
      </c>
      <c r="H230" s="174" t="b">
        <v>0</v>
      </c>
      <c r="I230" s="174" t="b">
        <v>0</v>
      </c>
      <c r="K230" s="207">
        <v>194</v>
      </c>
    </row>
    <row r="231" spans="1:15" x14ac:dyDescent="0.2">
      <c r="F231" s="175">
        <v>195</v>
      </c>
      <c r="G231" s="174" t="b">
        <v>0</v>
      </c>
      <c r="H231" s="174" t="b">
        <v>0</v>
      </c>
      <c r="I231" s="174" t="b">
        <v>0</v>
      </c>
      <c r="K231" s="207">
        <v>195</v>
      </c>
    </row>
    <row r="232" spans="1:15" x14ac:dyDescent="0.2">
      <c r="F232" s="175">
        <v>196</v>
      </c>
      <c r="G232" s="174" t="b">
        <v>0</v>
      </c>
      <c r="H232" s="174" t="b">
        <v>0</v>
      </c>
      <c r="I232" s="174" t="b">
        <v>0</v>
      </c>
      <c r="K232" s="207">
        <v>196</v>
      </c>
    </row>
    <row r="233" spans="1:15" x14ac:dyDescent="0.2">
      <c r="F233" s="175">
        <v>197</v>
      </c>
      <c r="G233" s="174" t="b">
        <v>0</v>
      </c>
      <c r="H233" s="174" t="b">
        <v>0</v>
      </c>
      <c r="I233" s="174" t="b">
        <v>0</v>
      </c>
      <c r="K233" s="207">
        <v>197</v>
      </c>
    </row>
    <row r="234" spans="1:15" x14ac:dyDescent="0.2">
      <c r="F234" s="175">
        <v>198</v>
      </c>
      <c r="G234" s="174" t="b">
        <v>0</v>
      </c>
      <c r="H234" s="174" t="b">
        <v>0</v>
      </c>
      <c r="I234" s="174" t="b">
        <v>0</v>
      </c>
      <c r="K234" s="207">
        <v>198</v>
      </c>
    </row>
    <row r="235" spans="1:15" x14ac:dyDescent="0.2">
      <c r="F235" s="175">
        <v>199</v>
      </c>
      <c r="G235" s="174" t="b">
        <v>0</v>
      </c>
      <c r="H235" s="174" t="b">
        <v>0</v>
      </c>
      <c r="I235" s="174" t="b">
        <v>0</v>
      </c>
      <c r="K235" s="207">
        <v>199</v>
      </c>
    </row>
    <row r="236" spans="1:15" x14ac:dyDescent="0.2">
      <c r="F236" s="175">
        <v>200</v>
      </c>
      <c r="G236" s="174" t="b">
        <v>0</v>
      </c>
      <c r="H236" s="174" t="b">
        <v>0</v>
      </c>
      <c r="I236" s="174" t="b">
        <v>0</v>
      </c>
      <c r="K236" s="207">
        <v>200</v>
      </c>
    </row>
    <row r="238" spans="1:15" x14ac:dyDescent="0.2">
      <c r="A238" s="174" t="s">
        <v>136</v>
      </c>
      <c r="C238" s="174" t="s">
        <v>134</v>
      </c>
    </row>
    <row r="239" spans="1:15" x14ac:dyDescent="0.2">
      <c r="A239" s="174">
        <f>IF(G239,1,0)</f>
        <v>0</v>
      </c>
      <c r="C239" s="174">
        <f>IF($T$41,L239,1)</f>
        <v>1</v>
      </c>
      <c r="E239" s="174" t="s">
        <v>133</v>
      </c>
      <c r="F239" s="175">
        <v>1</v>
      </c>
      <c r="G239" s="175" t="b">
        <v>0</v>
      </c>
      <c r="H239" s="175" t="b">
        <v>0</v>
      </c>
      <c r="I239" s="175" t="b">
        <v>0</v>
      </c>
      <c r="K239" s="175">
        <v>1</v>
      </c>
      <c r="L239" s="175">
        <v>1</v>
      </c>
      <c r="M239" s="175">
        <v>1</v>
      </c>
      <c r="N239" s="175">
        <v>1</v>
      </c>
      <c r="O239" s="174" t="s">
        <v>134</v>
      </c>
    </row>
    <row r="240" spans="1:15" x14ac:dyDescent="0.2">
      <c r="A240" s="174">
        <f>IF(G240,1,0)</f>
        <v>0</v>
      </c>
      <c r="C240" s="174">
        <f>IF($T$41,L240,1)</f>
        <v>1</v>
      </c>
      <c r="F240" s="175">
        <v>2</v>
      </c>
      <c r="G240" s="175" t="b">
        <v>0</v>
      </c>
      <c r="H240" s="175" t="b">
        <v>0</v>
      </c>
      <c r="I240" s="175" t="b">
        <v>0</v>
      </c>
      <c r="K240" s="175">
        <v>2</v>
      </c>
      <c r="L240" s="175">
        <v>1</v>
      </c>
      <c r="M240" s="175">
        <v>1</v>
      </c>
      <c r="N240" s="175">
        <v>1</v>
      </c>
    </row>
    <row r="241" spans="1:14" x14ac:dyDescent="0.2">
      <c r="A241" s="174">
        <f>IF(G241,1,0)</f>
        <v>0</v>
      </c>
      <c r="C241" s="174">
        <f>IF($T$41,L241,1)</f>
        <v>1</v>
      </c>
      <c r="F241" s="175">
        <v>3</v>
      </c>
      <c r="G241" s="175" t="b">
        <v>0</v>
      </c>
      <c r="H241" s="175" t="b">
        <v>0</v>
      </c>
      <c r="I241" s="175" t="b">
        <v>0</v>
      </c>
      <c r="K241" s="175">
        <v>3</v>
      </c>
      <c r="L241" s="175">
        <v>1</v>
      </c>
      <c r="M241" s="175">
        <v>1</v>
      </c>
      <c r="N241" s="175">
        <v>1</v>
      </c>
    </row>
    <row r="242" spans="1:14" x14ac:dyDescent="0.2">
      <c r="A242" s="174">
        <f>IF(G242,1,0)</f>
        <v>0</v>
      </c>
      <c r="C242" s="174">
        <f t="shared" ref="C242:C305" si="1">IF($T$41,L242,1)</f>
        <v>1</v>
      </c>
      <c r="F242" s="175">
        <v>4</v>
      </c>
      <c r="G242" s="175" t="b">
        <v>0</v>
      </c>
      <c r="H242" s="175" t="b">
        <v>0</v>
      </c>
      <c r="I242" s="175" t="b">
        <v>0</v>
      </c>
      <c r="K242" s="175">
        <v>4</v>
      </c>
      <c r="L242" s="175">
        <v>1</v>
      </c>
      <c r="M242" s="175">
        <v>1</v>
      </c>
      <c r="N242" s="175">
        <v>1</v>
      </c>
    </row>
    <row r="243" spans="1:14" x14ac:dyDescent="0.2">
      <c r="A243" s="174">
        <f t="shared" ref="A243:A306" si="2">IF(G243,1,0)</f>
        <v>0</v>
      </c>
      <c r="C243" s="174">
        <f t="shared" si="1"/>
        <v>1</v>
      </c>
      <c r="F243" s="175">
        <v>5</v>
      </c>
      <c r="G243" s="175" t="b">
        <v>0</v>
      </c>
      <c r="H243" s="175" t="b">
        <v>0</v>
      </c>
      <c r="I243" s="175" t="b">
        <v>0</v>
      </c>
      <c r="K243" s="175">
        <v>5</v>
      </c>
      <c r="L243" s="175">
        <v>1</v>
      </c>
      <c r="M243" s="175">
        <v>1</v>
      </c>
      <c r="N243" s="175">
        <v>1</v>
      </c>
    </row>
    <row r="244" spans="1:14" x14ac:dyDescent="0.2">
      <c r="A244" s="174">
        <f t="shared" si="2"/>
        <v>0</v>
      </c>
      <c r="C244" s="174">
        <f t="shared" si="1"/>
        <v>1</v>
      </c>
      <c r="F244" s="175">
        <v>6</v>
      </c>
      <c r="G244" s="175" t="b">
        <v>0</v>
      </c>
      <c r="H244" s="175" t="b">
        <v>0</v>
      </c>
      <c r="I244" s="175" t="b">
        <v>0</v>
      </c>
      <c r="K244" s="175">
        <v>6</v>
      </c>
      <c r="L244" s="175">
        <v>1</v>
      </c>
      <c r="M244" s="175">
        <v>1</v>
      </c>
      <c r="N244" s="175">
        <v>1</v>
      </c>
    </row>
    <row r="245" spans="1:14" x14ac:dyDescent="0.2">
      <c r="A245" s="174">
        <f t="shared" si="2"/>
        <v>0</v>
      </c>
      <c r="C245" s="174">
        <f t="shared" si="1"/>
        <v>1</v>
      </c>
      <c r="F245" s="175">
        <v>7</v>
      </c>
      <c r="G245" s="175" t="b">
        <v>0</v>
      </c>
      <c r="H245" s="175" t="b">
        <v>0</v>
      </c>
      <c r="I245" s="175" t="b">
        <v>0</v>
      </c>
      <c r="K245" s="175">
        <v>7</v>
      </c>
      <c r="L245" s="175">
        <v>1</v>
      </c>
      <c r="M245" s="175">
        <v>1</v>
      </c>
      <c r="N245" s="175">
        <v>1</v>
      </c>
    </row>
    <row r="246" spans="1:14" x14ac:dyDescent="0.2">
      <c r="A246" s="174">
        <f t="shared" si="2"/>
        <v>0</v>
      </c>
      <c r="C246" s="174">
        <f t="shared" si="1"/>
        <v>1</v>
      </c>
      <c r="F246" s="175">
        <v>8</v>
      </c>
      <c r="G246" s="175" t="b">
        <v>0</v>
      </c>
      <c r="H246" s="175" t="b">
        <v>0</v>
      </c>
      <c r="I246" s="175" t="b">
        <v>0</v>
      </c>
      <c r="K246" s="175">
        <v>8</v>
      </c>
      <c r="L246" s="175">
        <v>1</v>
      </c>
      <c r="M246" s="175">
        <v>1</v>
      </c>
      <c r="N246" s="175">
        <v>1</v>
      </c>
    </row>
    <row r="247" spans="1:14" x14ac:dyDescent="0.2">
      <c r="A247" s="174">
        <f t="shared" si="2"/>
        <v>0</v>
      </c>
      <c r="C247" s="174">
        <f t="shared" si="1"/>
        <v>1</v>
      </c>
      <c r="F247" s="175">
        <v>9</v>
      </c>
      <c r="G247" s="175" t="b">
        <v>0</v>
      </c>
      <c r="H247" s="175" t="b">
        <v>0</v>
      </c>
      <c r="I247" s="175" t="b">
        <v>0</v>
      </c>
      <c r="K247" s="175">
        <v>9</v>
      </c>
      <c r="L247" s="175">
        <v>1</v>
      </c>
      <c r="M247" s="175">
        <v>1</v>
      </c>
      <c r="N247" s="175">
        <v>1</v>
      </c>
    </row>
    <row r="248" spans="1:14" x14ac:dyDescent="0.2">
      <c r="A248" s="174">
        <f t="shared" si="2"/>
        <v>0</v>
      </c>
      <c r="C248" s="174">
        <f t="shared" si="1"/>
        <v>1</v>
      </c>
      <c r="F248" s="175">
        <v>10</v>
      </c>
      <c r="G248" s="175" t="b">
        <v>0</v>
      </c>
      <c r="H248" s="175" t="b">
        <v>0</v>
      </c>
      <c r="I248" s="175" t="b">
        <v>0</v>
      </c>
      <c r="K248" s="175">
        <v>10</v>
      </c>
      <c r="L248" s="175">
        <v>1</v>
      </c>
      <c r="M248" s="175">
        <v>1</v>
      </c>
      <c r="N248" s="175">
        <v>1</v>
      </c>
    </row>
    <row r="249" spans="1:14" x14ac:dyDescent="0.2">
      <c r="A249" s="174">
        <f t="shared" si="2"/>
        <v>0</v>
      </c>
      <c r="C249" s="174">
        <f t="shared" si="1"/>
        <v>1</v>
      </c>
      <c r="F249" s="175">
        <v>11</v>
      </c>
      <c r="G249" s="175" t="b">
        <v>0</v>
      </c>
      <c r="H249" s="175" t="b">
        <v>0</v>
      </c>
      <c r="I249" s="175" t="b">
        <v>0</v>
      </c>
      <c r="K249" s="175">
        <v>11</v>
      </c>
      <c r="L249" s="175">
        <v>1</v>
      </c>
      <c r="M249" s="175">
        <v>1</v>
      </c>
      <c r="N249" s="175">
        <v>1</v>
      </c>
    </row>
    <row r="250" spans="1:14" x14ac:dyDescent="0.2">
      <c r="A250" s="174">
        <f t="shared" si="2"/>
        <v>0</v>
      </c>
      <c r="C250" s="174">
        <f t="shared" si="1"/>
        <v>1</v>
      </c>
      <c r="F250" s="175">
        <v>12</v>
      </c>
      <c r="G250" s="175" t="b">
        <v>0</v>
      </c>
      <c r="H250" s="175" t="b">
        <v>0</v>
      </c>
      <c r="I250" s="175" t="b">
        <v>0</v>
      </c>
      <c r="K250" s="175">
        <v>12</v>
      </c>
      <c r="L250" s="175">
        <v>1</v>
      </c>
      <c r="M250" s="175">
        <v>1</v>
      </c>
      <c r="N250" s="175">
        <v>1</v>
      </c>
    </row>
    <row r="251" spans="1:14" x14ac:dyDescent="0.2">
      <c r="A251" s="174">
        <f t="shared" si="2"/>
        <v>0</v>
      </c>
      <c r="C251" s="174">
        <f t="shared" si="1"/>
        <v>1</v>
      </c>
      <c r="F251" s="175">
        <v>13</v>
      </c>
      <c r="G251" s="175" t="b">
        <v>0</v>
      </c>
      <c r="H251" s="175" t="b">
        <v>0</v>
      </c>
      <c r="I251" s="175" t="b">
        <v>0</v>
      </c>
      <c r="K251" s="175">
        <v>13</v>
      </c>
      <c r="L251" s="175">
        <v>1</v>
      </c>
      <c r="M251" s="175">
        <v>1</v>
      </c>
      <c r="N251" s="175">
        <v>1</v>
      </c>
    </row>
    <row r="252" spans="1:14" x14ac:dyDescent="0.2">
      <c r="A252" s="174">
        <f t="shared" si="2"/>
        <v>0</v>
      </c>
      <c r="C252" s="174">
        <f t="shared" si="1"/>
        <v>1</v>
      </c>
      <c r="F252" s="175">
        <v>14</v>
      </c>
      <c r="G252" s="175" t="b">
        <v>0</v>
      </c>
      <c r="H252" s="175" t="b">
        <v>0</v>
      </c>
      <c r="I252" s="175" t="b">
        <v>0</v>
      </c>
      <c r="K252" s="175">
        <v>14</v>
      </c>
      <c r="L252" s="175">
        <v>1</v>
      </c>
      <c r="M252" s="175">
        <v>1</v>
      </c>
      <c r="N252" s="175">
        <v>1</v>
      </c>
    </row>
    <row r="253" spans="1:14" x14ac:dyDescent="0.2">
      <c r="A253" s="174">
        <f t="shared" si="2"/>
        <v>0</v>
      </c>
      <c r="C253" s="174">
        <f t="shared" si="1"/>
        <v>1</v>
      </c>
      <c r="F253" s="175">
        <v>15</v>
      </c>
      <c r="G253" s="175" t="b">
        <v>0</v>
      </c>
      <c r="H253" s="175" t="b">
        <v>0</v>
      </c>
      <c r="I253" s="175" t="b">
        <v>0</v>
      </c>
      <c r="K253" s="175">
        <v>15</v>
      </c>
      <c r="L253" s="175">
        <v>1</v>
      </c>
      <c r="M253" s="175">
        <v>1</v>
      </c>
      <c r="N253" s="175">
        <v>1</v>
      </c>
    </row>
    <row r="254" spans="1:14" x14ac:dyDescent="0.2">
      <c r="A254" s="174">
        <f t="shared" si="2"/>
        <v>0</v>
      </c>
      <c r="C254" s="174">
        <f t="shared" si="1"/>
        <v>1</v>
      </c>
      <c r="F254" s="175">
        <v>16</v>
      </c>
      <c r="G254" s="175" t="b">
        <v>0</v>
      </c>
      <c r="H254" s="175" t="b">
        <v>0</v>
      </c>
      <c r="I254" s="175" t="b">
        <v>0</v>
      </c>
      <c r="K254" s="175">
        <v>16</v>
      </c>
      <c r="L254" s="175">
        <v>1</v>
      </c>
      <c r="M254" s="175">
        <v>1</v>
      </c>
      <c r="N254" s="175">
        <v>1</v>
      </c>
    </row>
    <row r="255" spans="1:14" x14ac:dyDescent="0.2">
      <c r="A255" s="174">
        <f t="shared" si="2"/>
        <v>0</v>
      </c>
      <c r="C255" s="174">
        <f t="shared" si="1"/>
        <v>1</v>
      </c>
      <c r="F255" s="175">
        <v>17</v>
      </c>
      <c r="G255" s="175" t="b">
        <v>0</v>
      </c>
      <c r="H255" s="175" t="b">
        <v>0</v>
      </c>
      <c r="I255" s="175" t="b">
        <v>0</v>
      </c>
      <c r="K255" s="175">
        <v>17</v>
      </c>
      <c r="L255" s="175">
        <v>1</v>
      </c>
      <c r="M255" s="175">
        <v>1</v>
      </c>
      <c r="N255" s="175">
        <v>1</v>
      </c>
    </row>
    <row r="256" spans="1:14" x14ac:dyDescent="0.2">
      <c r="A256" s="174">
        <f t="shared" si="2"/>
        <v>0</v>
      </c>
      <c r="C256" s="174">
        <f t="shared" si="1"/>
        <v>1</v>
      </c>
      <c r="F256" s="175">
        <v>18</v>
      </c>
      <c r="G256" s="175" t="b">
        <v>0</v>
      </c>
      <c r="H256" s="175" t="b">
        <v>0</v>
      </c>
      <c r="I256" s="175" t="b">
        <v>0</v>
      </c>
      <c r="K256" s="175">
        <v>18</v>
      </c>
      <c r="L256" s="175">
        <v>1</v>
      </c>
      <c r="M256" s="175">
        <v>1</v>
      </c>
      <c r="N256" s="175">
        <v>1</v>
      </c>
    </row>
    <row r="257" spans="1:14" x14ac:dyDescent="0.2">
      <c r="A257" s="174">
        <f t="shared" si="2"/>
        <v>0</v>
      </c>
      <c r="C257" s="174">
        <f t="shared" si="1"/>
        <v>1</v>
      </c>
      <c r="F257" s="175">
        <v>19</v>
      </c>
      <c r="G257" s="175" t="b">
        <v>0</v>
      </c>
      <c r="H257" s="175" t="b">
        <v>0</v>
      </c>
      <c r="I257" s="175" t="b">
        <v>0</v>
      </c>
      <c r="K257" s="175">
        <v>19</v>
      </c>
      <c r="L257" s="175">
        <v>1</v>
      </c>
      <c r="M257" s="175">
        <v>1</v>
      </c>
      <c r="N257" s="175">
        <v>1</v>
      </c>
    </row>
    <row r="258" spans="1:14" x14ac:dyDescent="0.2">
      <c r="A258" s="174">
        <f t="shared" si="2"/>
        <v>0</v>
      </c>
      <c r="C258" s="174">
        <f t="shared" si="1"/>
        <v>1</v>
      </c>
      <c r="F258" s="175">
        <v>20</v>
      </c>
      <c r="G258" s="175" t="b">
        <v>0</v>
      </c>
      <c r="H258" s="175" t="b">
        <v>0</v>
      </c>
      <c r="I258" s="175" t="b">
        <v>0</v>
      </c>
      <c r="K258" s="175">
        <v>20</v>
      </c>
      <c r="L258" s="175">
        <v>1</v>
      </c>
      <c r="M258" s="175">
        <v>1</v>
      </c>
      <c r="N258" s="175">
        <v>1</v>
      </c>
    </row>
    <row r="259" spans="1:14" x14ac:dyDescent="0.2">
      <c r="A259" s="174">
        <f t="shared" si="2"/>
        <v>0</v>
      </c>
      <c r="C259" s="174">
        <f t="shared" si="1"/>
        <v>1</v>
      </c>
      <c r="F259" s="175">
        <v>21</v>
      </c>
      <c r="G259" s="175" t="b">
        <v>0</v>
      </c>
      <c r="H259" s="175" t="b">
        <v>0</v>
      </c>
      <c r="I259" s="175" t="b">
        <v>0</v>
      </c>
      <c r="K259" s="175">
        <v>21</v>
      </c>
      <c r="L259" s="175">
        <v>1</v>
      </c>
      <c r="M259" s="175">
        <v>1</v>
      </c>
      <c r="N259" s="175">
        <v>1</v>
      </c>
    </row>
    <row r="260" spans="1:14" x14ac:dyDescent="0.2">
      <c r="A260" s="174">
        <f t="shared" si="2"/>
        <v>0</v>
      </c>
      <c r="C260" s="174">
        <f t="shared" si="1"/>
        <v>1</v>
      </c>
      <c r="F260" s="175">
        <v>22</v>
      </c>
      <c r="G260" s="175" t="b">
        <v>0</v>
      </c>
      <c r="H260" s="175" t="b">
        <v>0</v>
      </c>
      <c r="I260" s="175" t="b">
        <v>0</v>
      </c>
      <c r="K260" s="175">
        <v>22</v>
      </c>
      <c r="L260" s="175">
        <v>1</v>
      </c>
      <c r="M260" s="175">
        <v>1</v>
      </c>
      <c r="N260" s="175">
        <v>1</v>
      </c>
    </row>
    <row r="261" spans="1:14" x14ac:dyDescent="0.2">
      <c r="A261" s="174">
        <f t="shared" si="2"/>
        <v>0</v>
      </c>
      <c r="C261" s="174">
        <f t="shared" si="1"/>
        <v>1</v>
      </c>
      <c r="F261" s="175">
        <v>23</v>
      </c>
      <c r="G261" s="175" t="b">
        <v>0</v>
      </c>
      <c r="H261" s="175" t="b">
        <v>0</v>
      </c>
      <c r="I261" s="175" t="b">
        <v>0</v>
      </c>
      <c r="K261" s="175">
        <v>23</v>
      </c>
      <c r="L261" s="175">
        <v>1</v>
      </c>
      <c r="M261" s="175">
        <v>1</v>
      </c>
      <c r="N261" s="175">
        <v>1</v>
      </c>
    </row>
    <row r="262" spans="1:14" x14ac:dyDescent="0.2">
      <c r="A262" s="174">
        <f t="shared" si="2"/>
        <v>0</v>
      </c>
      <c r="C262" s="174">
        <f t="shared" si="1"/>
        <v>1</v>
      </c>
      <c r="F262" s="175">
        <v>24</v>
      </c>
      <c r="G262" s="175" t="b">
        <v>0</v>
      </c>
      <c r="H262" s="175" t="b">
        <v>0</v>
      </c>
      <c r="I262" s="175" t="b">
        <v>0</v>
      </c>
      <c r="K262" s="175">
        <v>24</v>
      </c>
      <c r="L262" s="175">
        <v>1</v>
      </c>
      <c r="M262" s="175">
        <v>1</v>
      </c>
      <c r="N262" s="175">
        <v>1</v>
      </c>
    </row>
    <row r="263" spans="1:14" x14ac:dyDescent="0.2">
      <c r="A263" s="174">
        <f t="shared" si="2"/>
        <v>0</v>
      </c>
      <c r="C263" s="174">
        <f t="shared" si="1"/>
        <v>1</v>
      </c>
      <c r="F263" s="175">
        <v>25</v>
      </c>
      <c r="G263" s="175" t="b">
        <v>0</v>
      </c>
      <c r="H263" s="175" t="b">
        <v>0</v>
      </c>
      <c r="I263" s="175" t="b">
        <v>0</v>
      </c>
      <c r="K263" s="175">
        <v>25</v>
      </c>
      <c r="L263" s="175">
        <v>1</v>
      </c>
      <c r="M263" s="175">
        <v>1</v>
      </c>
      <c r="N263" s="175">
        <v>1</v>
      </c>
    </row>
    <row r="264" spans="1:14" x14ac:dyDescent="0.2">
      <c r="A264" s="174">
        <f t="shared" si="2"/>
        <v>0</v>
      </c>
      <c r="C264" s="174">
        <f t="shared" si="1"/>
        <v>1</v>
      </c>
      <c r="F264" s="175">
        <v>26</v>
      </c>
      <c r="G264" s="175" t="b">
        <v>0</v>
      </c>
      <c r="H264" s="175" t="b">
        <v>0</v>
      </c>
      <c r="I264" s="175" t="b">
        <v>0</v>
      </c>
      <c r="K264" s="175">
        <v>26</v>
      </c>
      <c r="L264" s="175">
        <v>1</v>
      </c>
      <c r="M264" s="175">
        <v>1</v>
      </c>
      <c r="N264" s="175">
        <v>1</v>
      </c>
    </row>
    <row r="265" spans="1:14" x14ac:dyDescent="0.2">
      <c r="A265" s="174">
        <f t="shared" si="2"/>
        <v>0</v>
      </c>
      <c r="C265" s="174">
        <f t="shared" si="1"/>
        <v>1</v>
      </c>
      <c r="F265" s="175">
        <v>27</v>
      </c>
      <c r="G265" s="175" t="b">
        <v>0</v>
      </c>
      <c r="H265" s="175" t="b">
        <v>0</v>
      </c>
      <c r="I265" s="175" t="b">
        <v>0</v>
      </c>
      <c r="K265" s="175">
        <v>27</v>
      </c>
      <c r="L265" s="175">
        <v>1</v>
      </c>
      <c r="M265" s="175">
        <v>1</v>
      </c>
      <c r="N265" s="175">
        <v>1</v>
      </c>
    </row>
    <row r="266" spans="1:14" x14ac:dyDescent="0.2">
      <c r="A266" s="174">
        <f t="shared" si="2"/>
        <v>0</v>
      </c>
      <c r="C266" s="174">
        <f t="shared" si="1"/>
        <v>1</v>
      </c>
      <c r="F266" s="175">
        <v>28</v>
      </c>
      <c r="G266" s="175" t="b">
        <v>0</v>
      </c>
      <c r="H266" s="175" t="b">
        <v>0</v>
      </c>
      <c r="I266" s="175" t="b">
        <v>0</v>
      </c>
      <c r="K266" s="175">
        <v>28</v>
      </c>
      <c r="L266" s="175">
        <v>1</v>
      </c>
      <c r="M266" s="175">
        <v>1</v>
      </c>
      <c r="N266" s="175">
        <v>1</v>
      </c>
    </row>
    <row r="267" spans="1:14" x14ac:dyDescent="0.2">
      <c r="A267" s="174">
        <f t="shared" si="2"/>
        <v>0</v>
      </c>
      <c r="C267" s="174">
        <f t="shared" si="1"/>
        <v>1</v>
      </c>
      <c r="F267" s="175">
        <v>29</v>
      </c>
      <c r="G267" s="175" t="b">
        <v>0</v>
      </c>
      <c r="H267" s="175" t="b">
        <v>0</v>
      </c>
      <c r="I267" s="175" t="b">
        <v>0</v>
      </c>
      <c r="K267" s="175">
        <v>29</v>
      </c>
      <c r="L267" s="175">
        <v>1</v>
      </c>
      <c r="M267" s="175">
        <v>1</v>
      </c>
      <c r="N267" s="175">
        <v>1</v>
      </c>
    </row>
    <row r="268" spans="1:14" x14ac:dyDescent="0.2">
      <c r="A268" s="174">
        <f t="shared" si="2"/>
        <v>0</v>
      </c>
      <c r="C268" s="174">
        <f t="shared" si="1"/>
        <v>1</v>
      </c>
      <c r="F268" s="175">
        <v>30</v>
      </c>
      <c r="G268" s="175" t="b">
        <v>0</v>
      </c>
      <c r="H268" s="175" t="b">
        <v>0</v>
      </c>
      <c r="I268" s="175" t="b">
        <v>0</v>
      </c>
      <c r="K268" s="175">
        <v>30</v>
      </c>
      <c r="L268" s="175">
        <v>1</v>
      </c>
      <c r="M268" s="175">
        <v>1</v>
      </c>
      <c r="N268" s="175">
        <v>1</v>
      </c>
    </row>
    <row r="269" spans="1:14" x14ac:dyDescent="0.2">
      <c r="A269" s="174">
        <f t="shared" si="2"/>
        <v>0</v>
      </c>
      <c r="C269" s="174">
        <f t="shared" si="1"/>
        <v>1</v>
      </c>
      <c r="F269" s="175">
        <v>31</v>
      </c>
      <c r="G269" s="175" t="b">
        <v>0</v>
      </c>
      <c r="H269" s="175" t="b">
        <v>0</v>
      </c>
      <c r="I269" s="175" t="b">
        <v>0</v>
      </c>
      <c r="K269" s="175">
        <v>31</v>
      </c>
      <c r="L269" s="175">
        <v>1</v>
      </c>
      <c r="M269" s="175">
        <v>1</v>
      </c>
      <c r="N269" s="175">
        <v>1</v>
      </c>
    </row>
    <row r="270" spans="1:14" x14ac:dyDescent="0.2">
      <c r="A270" s="174">
        <f t="shared" si="2"/>
        <v>0</v>
      </c>
      <c r="C270" s="174">
        <f t="shared" si="1"/>
        <v>1</v>
      </c>
      <c r="F270" s="175">
        <v>32</v>
      </c>
      <c r="G270" s="175" t="b">
        <v>0</v>
      </c>
      <c r="H270" s="175" t="b">
        <v>0</v>
      </c>
      <c r="I270" s="175" t="b">
        <v>0</v>
      </c>
      <c r="K270" s="175">
        <v>32</v>
      </c>
      <c r="L270" s="175">
        <v>1</v>
      </c>
      <c r="M270" s="175">
        <v>1</v>
      </c>
      <c r="N270" s="175">
        <v>1</v>
      </c>
    </row>
    <row r="271" spans="1:14" x14ac:dyDescent="0.2">
      <c r="A271" s="174">
        <f t="shared" si="2"/>
        <v>0</v>
      </c>
      <c r="C271" s="174">
        <f t="shared" si="1"/>
        <v>1</v>
      </c>
      <c r="F271" s="175">
        <v>33</v>
      </c>
      <c r="G271" s="175" t="b">
        <v>0</v>
      </c>
      <c r="H271" s="175" t="b">
        <v>0</v>
      </c>
      <c r="I271" s="175" t="b">
        <v>0</v>
      </c>
      <c r="K271" s="175">
        <v>33</v>
      </c>
      <c r="L271" s="175">
        <v>1</v>
      </c>
      <c r="M271" s="175">
        <v>1</v>
      </c>
      <c r="N271" s="175">
        <v>1</v>
      </c>
    </row>
    <row r="272" spans="1:14" x14ac:dyDescent="0.2">
      <c r="A272" s="174">
        <f t="shared" si="2"/>
        <v>0</v>
      </c>
      <c r="C272" s="174">
        <f t="shared" si="1"/>
        <v>1</v>
      </c>
      <c r="F272" s="175">
        <v>34</v>
      </c>
      <c r="G272" s="175" t="b">
        <v>0</v>
      </c>
      <c r="H272" s="175" t="b">
        <v>0</v>
      </c>
      <c r="I272" s="175" t="b">
        <v>0</v>
      </c>
      <c r="K272" s="175">
        <v>34</v>
      </c>
      <c r="L272" s="175">
        <v>1</v>
      </c>
      <c r="M272" s="175">
        <v>1</v>
      </c>
      <c r="N272" s="175">
        <v>1</v>
      </c>
    </row>
    <row r="273" spans="1:14" x14ac:dyDescent="0.2">
      <c r="A273" s="174">
        <f t="shared" si="2"/>
        <v>0</v>
      </c>
      <c r="C273" s="174">
        <f t="shared" si="1"/>
        <v>1</v>
      </c>
      <c r="F273" s="175">
        <v>35</v>
      </c>
      <c r="G273" s="175" t="b">
        <v>0</v>
      </c>
      <c r="H273" s="175" t="b">
        <v>0</v>
      </c>
      <c r="I273" s="175" t="b">
        <v>0</v>
      </c>
      <c r="K273" s="175">
        <v>35</v>
      </c>
      <c r="L273" s="175">
        <v>1</v>
      </c>
      <c r="M273" s="175">
        <v>1</v>
      </c>
      <c r="N273" s="175">
        <v>1</v>
      </c>
    </row>
    <row r="274" spans="1:14" x14ac:dyDescent="0.2">
      <c r="A274" s="174">
        <f t="shared" si="2"/>
        <v>0</v>
      </c>
      <c r="C274" s="174">
        <f t="shared" si="1"/>
        <v>1</v>
      </c>
      <c r="F274" s="175">
        <v>36</v>
      </c>
      <c r="G274" s="175" t="b">
        <v>0</v>
      </c>
      <c r="H274" s="175" t="b">
        <v>0</v>
      </c>
      <c r="I274" s="175" t="b">
        <v>0</v>
      </c>
      <c r="K274" s="175">
        <v>36</v>
      </c>
      <c r="L274" s="175">
        <v>1</v>
      </c>
      <c r="M274" s="175">
        <v>1</v>
      </c>
      <c r="N274" s="175">
        <v>1</v>
      </c>
    </row>
    <row r="275" spans="1:14" x14ac:dyDescent="0.2">
      <c r="A275" s="174">
        <f t="shared" si="2"/>
        <v>0</v>
      </c>
      <c r="C275" s="174">
        <f t="shared" si="1"/>
        <v>1</v>
      </c>
      <c r="F275" s="175">
        <v>37</v>
      </c>
      <c r="G275" s="175" t="b">
        <v>0</v>
      </c>
      <c r="H275" s="175" t="b">
        <v>0</v>
      </c>
      <c r="I275" s="175" t="b">
        <v>0</v>
      </c>
      <c r="K275" s="175">
        <v>37</v>
      </c>
      <c r="L275" s="175">
        <v>1</v>
      </c>
      <c r="M275" s="175">
        <v>1</v>
      </c>
      <c r="N275" s="175">
        <v>1</v>
      </c>
    </row>
    <row r="276" spans="1:14" x14ac:dyDescent="0.2">
      <c r="A276" s="174">
        <f t="shared" si="2"/>
        <v>0</v>
      </c>
      <c r="C276" s="174">
        <f t="shared" si="1"/>
        <v>1</v>
      </c>
      <c r="F276" s="175">
        <v>38</v>
      </c>
      <c r="G276" s="175" t="b">
        <v>0</v>
      </c>
      <c r="H276" s="175" t="b">
        <v>0</v>
      </c>
      <c r="I276" s="175" t="b">
        <v>0</v>
      </c>
      <c r="K276" s="175">
        <v>38</v>
      </c>
      <c r="L276" s="175">
        <v>1</v>
      </c>
      <c r="M276" s="175">
        <v>1</v>
      </c>
      <c r="N276" s="175">
        <v>1</v>
      </c>
    </row>
    <row r="277" spans="1:14" x14ac:dyDescent="0.2">
      <c r="A277" s="174">
        <f t="shared" si="2"/>
        <v>0</v>
      </c>
      <c r="C277" s="174">
        <f t="shared" si="1"/>
        <v>1</v>
      </c>
      <c r="F277" s="175">
        <v>39</v>
      </c>
      <c r="G277" s="175" t="b">
        <v>0</v>
      </c>
      <c r="H277" s="175" t="b">
        <v>0</v>
      </c>
      <c r="I277" s="175" t="b">
        <v>0</v>
      </c>
      <c r="K277" s="175">
        <v>39</v>
      </c>
      <c r="L277" s="175">
        <v>1</v>
      </c>
      <c r="M277" s="175">
        <v>1</v>
      </c>
      <c r="N277" s="175">
        <v>1</v>
      </c>
    </row>
    <row r="278" spans="1:14" x14ac:dyDescent="0.2">
      <c r="A278" s="174">
        <f t="shared" si="2"/>
        <v>0</v>
      </c>
      <c r="C278" s="174">
        <f t="shared" si="1"/>
        <v>1</v>
      </c>
      <c r="F278" s="175">
        <v>40</v>
      </c>
      <c r="G278" s="175" t="b">
        <v>0</v>
      </c>
      <c r="H278" s="175" t="b">
        <v>0</v>
      </c>
      <c r="I278" s="175" t="b">
        <v>0</v>
      </c>
      <c r="K278" s="175">
        <v>40</v>
      </c>
      <c r="L278" s="175">
        <v>1</v>
      </c>
      <c r="M278" s="175">
        <v>1</v>
      </c>
      <c r="N278" s="175">
        <v>1</v>
      </c>
    </row>
    <row r="279" spans="1:14" x14ac:dyDescent="0.2">
      <c r="A279" s="174">
        <f t="shared" si="2"/>
        <v>0</v>
      </c>
      <c r="C279" s="174">
        <f t="shared" si="1"/>
        <v>1</v>
      </c>
      <c r="F279" s="175">
        <v>41</v>
      </c>
      <c r="G279" s="175" t="b">
        <v>0</v>
      </c>
      <c r="H279" s="175" t="b">
        <v>0</v>
      </c>
      <c r="I279" s="175" t="b">
        <v>0</v>
      </c>
      <c r="K279" s="175">
        <v>41</v>
      </c>
      <c r="L279" s="175">
        <v>1</v>
      </c>
      <c r="M279" s="175">
        <v>1</v>
      </c>
      <c r="N279" s="175">
        <v>1</v>
      </c>
    </row>
    <row r="280" spans="1:14" x14ac:dyDescent="0.2">
      <c r="A280" s="174">
        <f t="shared" si="2"/>
        <v>0</v>
      </c>
      <c r="C280" s="174">
        <f t="shared" si="1"/>
        <v>1</v>
      </c>
      <c r="F280" s="175">
        <v>42</v>
      </c>
      <c r="G280" s="175" t="b">
        <v>0</v>
      </c>
      <c r="H280" s="175" t="b">
        <v>0</v>
      </c>
      <c r="I280" s="175" t="b">
        <v>0</v>
      </c>
      <c r="K280" s="175">
        <v>42</v>
      </c>
      <c r="L280" s="175">
        <v>1</v>
      </c>
      <c r="M280" s="175">
        <v>1</v>
      </c>
      <c r="N280" s="175">
        <v>1</v>
      </c>
    </row>
    <row r="281" spans="1:14" x14ac:dyDescent="0.2">
      <c r="A281" s="174">
        <f t="shared" si="2"/>
        <v>0</v>
      </c>
      <c r="C281" s="174">
        <f t="shared" si="1"/>
        <v>1</v>
      </c>
      <c r="F281" s="175">
        <v>43</v>
      </c>
      <c r="G281" s="175" t="b">
        <v>0</v>
      </c>
      <c r="H281" s="175" t="b">
        <v>0</v>
      </c>
      <c r="I281" s="175" t="b">
        <v>0</v>
      </c>
      <c r="K281" s="175">
        <v>43</v>
      </c>
      <c r="L281" s="175">
        <v>1</v>
      </c>
      <c r="M281" s="175">
        <v>1</v>
      </c>
      <c r="N281" s="175">
        <v>1</v>
      </c>
    </row>
    <row r="282" spans="1:14" x14ac:dyDescent="0.2">
      <c r="A282" s="174">
        <f t="shared" si="2"/>
        <v>0</v>
      </c>
      <c r="C282" s="174">
        <f t="shared" si="1"/>
        <v>1</v>
      </c>
      <c r="F282" s="175">
        <v>44</v>
      </c>
      <c r="G282" s="175" t="b">
        <v>0</v>
      </c>
      <c r="H282" s="175" t="b">
        <v>0</v>
      </c>
      <c r="I282" s="175" t="b">
        <v>0</v>
      </c>
      <c r="K282" s="175">
        <v>44</v>
      </c>
      <c r="L282" s="175">
        <v>1</v>
      </c>
      <c r="M282" s="175">
        <v>1</v>
      </c>
      <c r="N282" s="175">
        <v>1</v>
      </c>
    </row>
    <row r="283" spans="1:14" x14ac:dyDescent="0.2">
      <c r="A283" s="174">
        <f t="shared" si="2"/>
        <v>0</v>
      </c>
      <c r="C283" s="174">
        <f t="shared" si="1"/>
        <v>1</v>
      </c>
      <c r="F283" s="175">
        <v>45</v>
      </c>
      <c r="G283" s="175" t="b">
        <v>0</v>
      </c>
      <c r="H283" s="175" t="b">
        <v>0</v>
      </c>
      <c r="I283" s="175" t="b">
        <v>0</v>
      </c>
      <c r="K283" s="175">
        <v>45</v>
      </c>
      <c r="L283" s="175">
        <v>1</v>
      </c>
      <c r="M283" s="175">
        <v>1</v>
      </c>
      <c r="N283" s="175">
        <v>1</v>
      </c>
    </row>
    <row r="284" spans="1:14" x14ac:dyDescent="0.2">
      <c r="A284" s="174">
        <f t="shared" si="2"/>
        <v>0</v>
      </c>
      <c r="C284" s="174">
        <f t="shared" si="1"/>
        <v>1</v>
      </c>
      <c r="F284" s="175">
        <v>46</v>
      </c>
      <c r="G284" s="175" t="b">
        <v>0</v>
      </c>
      <c r="H284" s="175" t="b">
        <v>0</v>
      </c>
      <c r="I284" s="175" t="b">
        <v>0</v>
      </c>
      <c r="K284" s="175">
        <v>46</v>
      </c>
      <c r="L284" s="175">
        <v>1</v>
      </c>
      <c r="M284" s="175">
        <v>1</v>
      </c>
      <c r="N284" s="175">
        <v>1</v>
      </c>
    </row>
    <row r="285" spans="1:14" x14ac:dyDescent="0.2">
      <c r="A285" s="174">
        <f t="shared" si="2"/>
        <v>0</v>
      </c>
      <c r="C285" s="174">
        <f t="shared" si="1"/>
        <v>1</v>
      </c>
      <c r="F285" s="175">
        <v>47</v>
      </c>
      <c r="G285" s="175" t="b">
        <v>0</v>
      </c>
      <c r="H285" s="175" t="b">
        <v>0</v>
      </c>
      <c r="I285" s="175" t="b">
        <v>0</v>
      </c>
      <c r="K285" s="175">
        <v>47</v>
      </c>
      <c r="L285" s="175">
        <v>1</v>
      </c>
      <c r="M285" s="175">
        <v>1</v>
      </c>
      <c r="N285" s="175">
        <v>1</v>
      </c>
    </row>
    <row r="286" spans="1:14" x14ac:dyDescent="0.2">
      <c r="A286" s="174">
        <f t="shared" si="2"/>
        <v>0</v>
      </c>
      <c r="C286" s="174">
        <f t="shared" si="1"/>
        <v>1</v>
      </c>
      <c r="F286" s="175">
        <v>48</v>
      </c>
      <c r="G286" s="175" t="b">
        <v>0</v>
      </c>
      <c r="H286" s="175" t="b">
        <v>0</v>
      </c>
      <c r="I286" s="175" t="b">
        <v>0</v>
      </c>
      <c r="K286" s="175">
        <v>48</v>
      </c>
      <c r="L286" s="175">
        <v>1</v>
      </c>
      <c r="M286" s="175">
        <v>1</v>
      </c>
      <c r="N286" s="175">
        <v>1</v>
      </c>
    </row>
    <row r="287" spans="1:14" x14ac:dyDescent="0.2">
      <c r="A287" s="174">
        <f t="shared" si="2"/>
        <v>0</v>
      </c>
      <c r="C287" s="174">
        <f t="shared" si="1"/>
        <v>1</v>
      </c>
      <c r="F287" s="175">
        <v>49</v>
      </c>
      <c r="G287" s="175" t="b">
        <v>0</v>
      </c>
      <c r="H287" s="175" t="b">
        <v>0</v>
      </c>
      <c r="I287" s="175" t="b">
        <v>0</v>
      </c>
      <c r="K287" s="175">
        <v>49</v>
      </c>
      <c r="L287" s="175">
        <v>1</v>
      </c>
      <c r="M287" s="175">
        <v>1</v>
      </c>
      <c r="N287" s="175">
        <v>1</v>
      </c>
    </row>
    <row r="288" spans="1:14" x14ac:dyDescent="0.2">
      <c r="A288" s="174">
        <f t="shared" si="2"/>
        <v>0</v>
      </c>
      <c r="C288" s="174">
        <f t="shared" si="1"/>
        <v>1</v>
      </c>
      <c r="F288" s="175">
        <v>50</v>
      </c>
      <c r="G288" s="175" t="b">
        <v>0</v>
      </c>
      <c r="H288" s="175" t="b">
        <v>0</v>
      </c>
      <c r="I288" s="175" t="b">
        <v>0</v>
      </c>
      <c r="K288" s="175">
        <v>50</v>
      </c>
      <c r="L288" s="175">
        <v>1</v>
      </c>
      <c r="M288" s="175">
        <v>1</v>
      </c>
      <c r="N288" s="175">
        <v>1</v>
      </c>
    </row>
    <row r="289" spans="1:14" x14ac:dyDescent="0.2">
      <c r="A289" s="174">
        <f t="shared" si="2"/>
        <v>0</v>
      </c>
      <c r="C289" s="174">
        <f t="shared" si="1"/>
        <v>1</v>
      </c>
      <c r="F289" s="175">
        <v>51</v>
      </c>
      <c r="G289" s="175" t="b">
        <v>0</v>
      </c>
      <c r="H289" s="175" t="b">
        <v>0</v>
      </c>
      <c r="I289" s="175" t="b">
        <v>0</v>
      </c>
      <c r="K289" s="175">
        <v>51</v>
      </c>
      <c r="L289" s="175">
        <v>1</v>
      </c>
      <c r="M289" s="175">
        <v>1</v>
      </c>
      <c r="N289" s="175">
        <v>1</v>
      </c>
    </row>
    <row r="290" spans="1:14" x14ac:dyDescent="0.2">
      <c r="A290" s="174">
        <f t="shared" si="2"/>
        <v>0</v>
      </c>
      <c r="C290" s="174">
        <f t="shared" si="1"/>
        <v>1</v>
      </c>
      <c r="F290" s="175">
        <v>52</v>
      </c>
      <c r="G290" s="175" t="b">
        <v>0</v>
      </c>
      <c r="H290" s="175" t="b">
        <v>0</v>
      </c>
      <c r="I290" s="175" t="b">
        <v>0</v>
      </c>
      <c r="K290" s="175">
        <v>52</v>
      </c>
      <c r="L290" s="175">
        <v>1</v>
      </c>
      <c r="M290" s="175">
        <v>1</v>
      </c>
      <c r="N290" s="175">
        <v>1</v>
      </c>
    </row>
    <row r="291" spans="1:14" x14ac:dyDescent="0.2">
      <c r="A291" s="174">
        <f t="shared" si="2"/>
        <v>0</v>
      </c>
      <c r="C291" s="174">
        <f t="shared" si="1"/>
        <v>1</v>
      </c>
      <c r="F291" s="175">
        <v>53</v>
      </c>
      <c r="G291" s="175" t="b">
        <v>0</v>
      </c>
      <c r="H291" s="175" t="b">
        <v>0</v>
      </c>
      <c r="I291" s="175" t="b">
        <v>0</v>
      </c>
      <c r="K291" s="175">
        <v>53</v>
      </c>
      <c r="L291" s="175">
        <v>1</v>
      </c>
      <c r="M291" s="175">
        <v>1</v>
      </c>
      <c r="N291" s="175">
        <v>1</v>
      </c>
    </row>
    <row r="292" spans="1:14" x14ac:dyDescent="0.2">
      <c r="A292" s="174">
        <f t="shared" si="2"/>
        <v>0</v>
      </c>
      <c r="C292" s="174">
        <f t="shared" si="1"/>
        <v>1</v>
      </c>
      <c r="F292" s="175">
        <v>54</v>
      </c>
      <c r="G292" s="175" t="b">
        <v>0</v>
      </c>
      <c r="H292" s="175" t="b">
        <v>0</v>
      </c>
      <c r="I292" s="175" t="b">
        <v>0</v>
      </c>
      <c r="K292" s="175">
        <v>54</v>
      </c>
      <c r="L292" s="175">
        <v>1</v>
      </c>
      <c r="M292" s="175">
        <v>1</v>
      </c>
      <c r="N292" s="175">
        <v>1</v>
      </c>
    </row>
    <row r="293" spans="1:14" x14ac:dyDescent="0.2">
      <c r="A293" s="174">
        <f t="shared" si="2"/>
        <v>0</v>
      </c>
      <c r="C293" s="174">
        <f t="shared" si="1"/>
        <v>1</v>
      </c>
      <c r="F293" s="175">
        <v>55</v>
      </c>
      <c r="G293" s="175" t="b">
        <v>0</v>
      </c>
      <c r="H293" s="175" t="b">
        <v>0</v>
      </c>
      <c r="I293" s="175" t="b">
        <v>0</v>
      </c>
      <c r="K293" s="175">
        <v>55</v>
      </c>
      <c r="L293" s="175">
        <v>1</v>
      </c>
      <c r="M293" s="175">
        <v>1</v>
      </c>
      <c r="N293" s="175">
        <v>1</v>
      </c>
    </row>
    <row r="294" spans="1:14" x14ac:dyDescent="0.2">
      <c r="A294" s="174">
        <f t="shared" si="2"/>
        <v>0</v>
      </c>
      <c r="C294" s="174">
        <f t="shared" si="1"/>
        <v>1</v>
      </c>
      <c r="F294" s="175">
        <v>56</v>
      </c>
      <c r="G294" s="175" t="b">
        <v>0</v>
      </c>
      <c r="H294" s="175" t="b">
        <v>0</v>
      </c>
      <c r="I294" s="175" t="b">
        <v>0</v>
      </c>
      <c r="K294" s="175">
        <v>56</v>
      </c>
      <c r="L294" s="175">
        <v>1</v>
      </c>
      <c r="M294" s="175">
        <v>1</v>
      </c>
      <c r="N294" s="175">
        <v>1</v>
      </c>
    </row>
    <row r="295" spans="1:14" x14ac:dyDescent="0.2">
      <c r="A295" s="174">
        <f t="shared" si="2"/>
        <v>0</v>
      </c>
      <c r="C295" s="174">
        <f t="shared" si="1"/>
        <v>1</v>
      </c>
      <c r="F295" s="175">
        <v>57</v>
      </c>
      <c r="G295" s="175" t="b">
        <v>0</v>
      </c>
      <c r="H295" s="175" t="b">
        <v>0</v>
      </c>
      <c r="I295" s="175" t="b">
        <v>0</v>
      </c>
      <c r="K295" s="175">
        <v>57</v>
      </c>
      <c r="L295" s="175">
        <v>1</v>
      </c>
      <c r="M295" s="175">
        <v>1</v>
      </c>
      <c r="N295" s="175">
        <v>1</v>
      </c>
    </row>
    <row r="296" spans="1:14" x14ac:dyDescent="0.2">
      <c r="A296" s="174">
        <f t="shared" si="2"/>
        <v>0</v>
      </c>
      <c r="C296" s="174">
        <f t="shared" si="1"/>
        <v>1</v>
      </c>
      <c r="F296" s="175">
        <v>58</v>
      </c>
      <c r="G296" s="175" t="b">
        <v>0</v>
      </c>
      <c r="H296" s="175" t="b">
        <v>0</v>
      </c>
      <c r="I296" s="175" t="b">
        <v>0</v>
      </c>
      <c r="K296" s="175">
        <v>58</v>
      </c>
      <c r="L296" s="175">
        <v>1</v>
      </c>
      <c r="M296" s="175">
        <v>1</v>
      </c>
      <c r="N296" s="175">
        <v>1</v>
      </c>
    </row>
    <row r="297" spans="1:14" x14ac:dyDescent="0.2">
      <c r="A297" s="174">
        <f t="shared" si="2"/>
        <v>0</v>
      </c>
      <c r="C297" s="174">
        <f t="shared" si="1"/>
        <v>1</v>
      </c>
      <c r="F297" s="175">
        <v>59</v>
      </c>
      <c r="G297" s="175" t="b">
        <v>0</v>
      </c>
      <c r="H297" s="175" t="b">
        <v>0</v>
      </c>
      <c r="I297" s="175" t="b">
        <v>0</v>
      </c>
      <c r="K297" s="175">
        <v>59</v>
      </c>
      <c r="L297" s="175">
        <v>1</v>
      </c>
      <c r="M297" s="175">
        <v>1</v>
      </c>
      <c r="N297" s="175">
        <v>1</v>
      </c>
    </row>
    <row r="298" spans="1:14" x14ac:dyDescent="0.2">
      <c r="A298" s="174">
        <f t="shared" si="2"/>
        <v>0</v>
      </c>
      <c r="C298" s="174">
        <f t="shared" si="1"/>
        <v>1</v>
      </c>
      <c r="F298" s="175">
        <v>60</v>
      </c>
      <c r="G298" s="175" t="b">
        <v>0</v>
      </c>
      <c r="H298" s="175" t="b">
        <v>0</v>
      </c>
      <c r="I298" s="175" t="b">
        <v>0</v>
      </c>
      <c r="K298" s="175">
        <v>60</v>
      </c>
      <c r="L298" s="175">
        <v>1</v>
      </c>
      <c r="M298" s="175">
        <v>1</v>
      </c>
      <c r="N298" s="175">
        <v>1</v>
      </c>
    </row>
    <row r="299" spans="1:14" x14ac:dyDescent="0.2">
      <c r="A299" s="174">
        <f t="shared" si="2"/>
        <v>0</v>
      </c>
      <c r="C299" s="174">
        <f t="shared" si="1"/>
        <v>1</v>
      </c>
      <c r="F299" s="175">
        <v>61</v>
      </c>
      <c r="G299" s="175" t="b">
        <v>0</v>
      </c>
      <c r="H299" s="175" t="b">
        <v>0</v>
      </c>
      <c r="I299" s="175" t="b">
        <v>0</v>
      </c>
      <c r="K299" s="175">
        <v>61</v>
      </c>
      <c r="L299" s="175">
        <v>1</v>
      </c>
      <c r="M299" s="175">
        <v>1</v>
      </c>
      <c r="N299" s="175">
        <v>1</v>
      </c>
    </row>
    <row r="300" spans="1:14" x14ac:dyDescent="0.2">
      <c r="A300" s="174">
        <f t="shared" si="2"/>
        <v>0</v>
      </c>
      <c r="C300" s="174">
        <f t="shared" si="1"/>
        <v>1</v>
      </c>
      <c r="F300" s="175">
        <v>62</v>
      </c>
      <c r="G300" s="175" t="b">
        <v>0</v>
      </c>
      <c r="H300" s="175" t="b">
        <v>0</v>
      </c>
      <c r="I300" s="175" t="b">
        <v>0</v>
      </c>
      <c r="K300" s="175">
        <v>62</v>
      </c>
      <c r="L300" s="175">
        <v>1</v>
      </c>
      <c r="M300" s="175">
        <v>1</v>
      </c>
      <c r="N300" s="175">
        <v>1</v>
      </c>
    </row>
    <row r="301" spans="1:14" x14ac:dyDescent="0.2">
      <c r="A301" s="174">
        <f t="shared" si="2"/>
        <v>0</v>
      </c>
      <c r="C301" s="174">
        <f t="shared" si="1"/>
        <v>1</v>
      </c>
      <c r="F301" s="175">
        <v>63</v>
      </c>
      <c r="G301" s="175" t="b">
        <v>0</v>
      </c>
      <c r="H301" s="175" t="b">
        <v>0</v>
      </c>
      <c r="I301" s="175" t="b">
        <v>0</v>
      </c>
      <c r="K301" s="175">
        <v>63</v>
      </c>
      <c r="L301" s="175">
        <v>1</v>
      </c>
      <c r="M301" s="175">
        <v>1</v>
      </c>
      <c r="N301" s="175">
        <v>1</v>
      </c>
    </row>
    <row r="302" spans="1:14" x14ac:dyDescent="0.2">
      <c r="A302" s="174">
        <f t="shared" si="2"/>
        <v>0</v>
      </c>
      <c r="C302" s="174">
        <f t="shared" si="1"/>
        <v>1</v>
      </c>
      <c r="F302" s="175">
        <v>64</v>
      </c>
      <c r="G302" s="175" t="b">
        <v>0</v>
      </c>
      <c r="H302" s="175" t="b">
        <v>0</v>
      </c>
      <c r="I302" s="175" t="b">
        <v>0</v>
      </c>
      <c r="K302" s="175">
        <v>64</v>
      </c>
      <c r="L302" s="175">
        <v>1</v>
      </c>
      <c r="M302" s="175">
        <v>1</v>
      </c>
      <c r="N302" s="175">
        <v>1</v>
      </c>
    </row>
    <row r="303" spans="1:14" x14ac:dyDescent="0.2">
      <c r="A303" s="174">
        <f t="shared" si="2"/>
        <v>0</v>
      </c>
      <c r="C303" s="174">
        <f t="shared" si="1"/>
        <v>1</v>
      </c>
      <c r="F303" s="175">
        <v>65</v>
      </c>
      <c r="G303" s="175" t="b">
        <v>0</v>
      </c>
      <c r="H303" s="175" t="b">
        <v>0</v>
      </c>
      <c r="I303" s="175" t="b">
        <v>0</v>
      </c>
      <c r="K303" s="175">
        <v>65</v>
      </c>
      <c r="L303" s="175">
        <v>1</v>
      </c>
      <c r="M303" s="175">
        <v>1</v>
      </c>
      <c r="N303" s="175">
        <v>1</v>
      </c>
    </row>
    <row r="304" spans="1:14" x14ac:dyDescent="0.2">
      <c r="A304" s="174">
        <f t="shared" si="2"/>
        <v>0</v>
      </c>
      <c r="C304" s="174">
        <f t="shared" si="1"/>
        <v>1</v>
      </c>
      <c r="F304" s="175">
        <v>66</v>
      </c>
      <c r="G304" s="175" t="b">
        <v>0</v>
      </c>
      <c r="H304" s="175" t="b">
        <v>0</v>
      </c>
      <c r="I304" s="175" t="b">
        <v>0</v>
      </c>
      <c r="K304" s="175">
        <v>66</v>
      </c>
      <c r="L304" s="175">
        <v>1</v>
      </c>
      <c r="M304" s="175">
        <v>1</v>
      </c>
      <c r="N304" s="175">
        <v>1</v>
      </c>
    </row>
    <row r="305" spans="1:14" x14ac:dyDescent="0.2">
      <c r="A305" s="174">
        <f t="shared" si="2"/>
        <v>0</v>
      </c>
      <c r="C305" s="174">
        <f t="shared" si="1"/>
        <v>1</v>
      </c>
      <c r="F305" s="175">
        <v>67</v>
      </c>
      <c r="G305" s="175" t="b">
        <v>0</v>
      </c>
      <c r="H305" s="175" t="b">
        <v>0</v>
      </c>
      <c r="I305" s="175" t="b">
        <v>0</v>
      </c>
      <c r="K305" s="175">
        <v>67</v>
      </c>
      <c r="L305" s="175">
        <v>1</v>
      </c>
      <c r="M305" s="175">
        <v>1</v>
      </c>
      <c r="N305" s="175">
        <v>1</v>
      </c>
    </row>
    <row r="306" spans="1:14" x14ac:dyDescent="0.2">
      <c r="A306" s="174">
        <f t="shared" si="2"/>
        <v>0</v>
      </c>
      <c r="C306" s="174">
        <f t="shared" ref="C306:C369" si="3">IF($T$41,L306,1)</f>
        <v>1</v>
      </c>
      <c r="F306" s="175">
        <v>68</v>
      </c>
      <c r="G306" s="175" t="b">
        <v>0</v>
      </c>
      <c r="H306" s="175" t="b">
        <v>0</v>
      </c>
      <c r="I306" s="175" t="b">
        <v>0</v>
      </c>
      <c r="K306" s="175">
        <v>68</v>
      </c>
      <c r="L306" s="175">
        <v>1</v>
      </c>
      <c r="M306" s="175">
        <v>1</v>
      </c>
      <c r="N306" s="175">
        <v>1</v>
      </c>
    </row>
    <row r="307" spans="1:14" x14ac:dyDescent="0.2">
      <c r="A307" s="174">
        <f t="shared" ref="A307:A370" si="4">IF(G307,1,0)</f>
        <v>0</v>
      </c>
      <c r="C307" s="174">
        <f t="shared" si="3"/>
        <v>1</v>
      </c>
      <c r="F307" s="175">
        <v>69</v>
      </c>
      <c r="G307" s="175" t="b">
        <v>0</v>
      </c>
      <c r="H307" s="175" t="b">
        <v>0</v>
      </c>
      <c r="I307" s="175" t="b">
        <v>0</v>
      </c>
      <c r="K307" s="175">
        <v>69</v>
      </c>
      <c r="L307" s="175">
        <v>1</v>
      </c>
      <c r="M307" s="175">
        <v>1</v>
      </c>
      <c r="N307" s="175">
        <v>1</v>
      </c>
    </row>
    <row r="308" spans="1:14" x14ac:dyDescent="0.2">
      <c r="A308" s="174">
        <f t="shared" si="4"/>
        <v>0</v>
      </c>
      <c r="C308" s="174">
        <f t="shared" si="3"/>
        <v>1</v>
      </c>
      <c r="F308" s="175">
        <v>70</v>
      </c>
      <c r="G308" s="175" t="b">
        <v>0</v>
      </c>
      <c r="H308" s="175" t="b">
        <v>0</v>
      </c>
      <c r="I308" s="175" t="b">
        <v>0</v>
      </c>
      <c r="K308" s="175">
        <v>70</v>
      </c>
      <c r="L308" s="175">
        <v>1</v>
      </c>
      <c r="M308" s="175">
        <v>1</v>
      </c>
      <c r="N308" s="175">
        <v>1</v>
      </c>
    </row>
    <row r="309" spans="1:14" x14ac:dyDescent="0.2">
      <c r="A309" s="174">
        <f t="shared" si="4"/>
        <v>0</v>
      </c>
      <c r="C309" s="174">
        <f t="shared" si="3"/>
        <v>1</v>
      </c>
      <c r="F309" s="175">
        <v>71</v>
      </c>
      <c r="G309" s="175" t="b">
        <v>0</v>
      </c>
      <c r="H309" s="175" t="b">
        <v>0</v>
      </c>
      <c r="I309" s="175" t="b">
        <v>0</v>
      </c>
      <c r="K309" s="175">
        <v>71</v>
      </c>
      <c r="L309" s="175">
        <v>1</v>
      </c>
      <c r="M309" s="175">
        <v>1</v>
      </c>
      <c r="N309" s="175">
        <v>1</v>
      </c>
    </row>
    <row r="310" spans="1:14" x14ac:dyDescent="0.2">
      <c r="A310" s="174">
        <f t="shared" si="4"/>
        <v>0</v>
      </c>
      <c r="C310" s="174">
        <f t="shared" si="3"/>
        <v>1</v>
      </c>
      <c r="F310" s="175">
        <v>72</v>
      </c>
      <c r="G310" s="175" t="b">
        <v>0</v>
      </c>
      <c r="H310" s="175" t="b">
        <v>0</v>
      </c>
      <c r="I310" s="175" t="b">
        <v>0</v>
      </c>
      <c r="K310" s="175">
        <v>72</v>
      </c>
      <c r="L310" s="175">
        <v>1</v>
      </c>
      <c r="M310" s="175">
        <v>1</v>
      </c>
      <c r="N310" s="175">
        <v>1</v>
      </c>
    </row>
    <row r="311" spans="1:14" x14ac:dyDescent="0.2">
      <c r="A311" s="174">
        <f t="shared" si="4"/>
        <v>0</v>
      </c>
      <c r="C311" s="174">
        <f t="shared" si="3"/>
        <v>1</v>
      </c>
      <c r="F311" s="175">
        <v>73</v>
      </c>
      <c r="G311" s="175" t="b">
        <v>0</v>
      </c>
      <c r="H311" s="175" t="b">
        <v>0</v>
      </c>
      <c r="I311" s="175" t="b">
        <v>0</v>
      </c>
      <c r="K311" s="175">
        <v>73</v>
      </c>
      <c r="L311" s="175">
        <v>1</v>
      </c>
      <c r="M311" s="175">
        <v>1</v>
      </c>
      <c r="N311" s="175">
        <v>1</v>
      </c>
    </row>
    <row r="312" spans="1:14" x14ac:dyDescent="0.2">
      <c r="A312" s="174">
        <f t="shared" si="4"/>
        <v>0</v>
      </c>
      <c r="C312" s="174">
        <f t="shared" si="3"/>
        <v>1</v>
      </c>
      <c r="F312" s="175">
        <v>74</v>
      </c>
      <c r="G312" s="175" t="b">
        <v>0</v>
      </c>
      <c r="H312" s="175" t="b">
        <v>0</v>
      </c>
      <c r="I312" s="175" t="b">
        <v>0</v>
      </c>
      <c r="K312" s="175">
        <v>74</v>
      </c>
      <c r="L312" s="175">
        <v>1</v>
      </c>
      <c r="M312" s="175">
        <v>1</v>
      </c>
      <c r="N312" s="175">
        <v>1</v>
      </c>
    </row>
    <row r="313" spans="1:14" x14ac:dyDescent="0.2">
      <c r="A313" s="174">
        <f t="shared" si="4"/>
        <v>0</v>
      </c>
      <c r="C313" s="174">
        <f t="shared" si="3"/>
        <v>1</v>
      </c>
      <c r="F313" s="175">
        <v>75</v>
      </c>
      <c r="G313" s="175" t="b">
        <v>0</v>
      </c>
      <c r="H313" s="175" t="b">
        <v>0</v>
      </c>
      <c r="I313" s="175" t="b">
        <v>0</v>
      </c>
      <c r="K313" s="175">
        <v>75</v>
      </c>
      <c r="L313" s="175">
        <v>1</v>
      </c>
      <c r="M313" s="175">
        <v>1</v>
      </c>
      <c r="N313" s="175">
        <v>1</v>
      </c>
    </row>
    <row r="314" spans="1:14" x14ac:dyDescent="0.2">
      <c r="A314" s="174">
        <f t="shared" si="4"/>
        <v>0</v>
      </c>
      <c r="C314" s="174">
        <f t="shared" si="3"/>
        <v>1</v>
      </c>
      <c r="F314" s="175">
        <v>76</v>
      </c>
      <c r="G314" s="175" t="b">
        <v>0</v>
      </c>
      <c r="H314" s="175" t="b">
        <v>0</v>
      </c>
      <c r="I314" s="175" t="b">
        <v>0</v>
      </c>
      <c r="K314" s="175">
        <v>76</v>
      </c>
      <c r="L314" s="175">
        <v>1</v>
      </c>
      <c r="M314" s="175">
        <v>1</v>
      </c>
      <c r="N314" s="175">
        <v>1</v>
      </c>
    </row>
    <row r="315" spans="1:14" x14ac:dyDescent="0.2">
      <c r="A315" s="174">
        <f t="shared" si="4"/>
        <v>0</v>
      </c>
      <c r="C315" s="174">
        <f t="shared" si="3"/>
        <v>1</v>
      </c>
      <c r="F315" s="175">
        <v>77</v>
      </c>
      <c r="G315" s="175" t="b">
        <v>0</v>
      </c>
      <c r="H315" s="175" t="b">
        <v>0</v>
      </c>
      <c r="I315" s="175" t="b">
        <v>0</v>
      </c>
      <c r="K315" s="175">
        <v>77</v>
      </c>
      <c r="L315" s="175">
        <v>1</v>
      </c>
      <c r="M315" s="175">
        <v>1</v>
      </c>
      <c r="N315" s="175">
        <v>1</v>
      </c>
    </row>
    <row r="316" spans="1:14" x14ac:dyDescent="0.2">
      <c r="A316" s="174">
        <f t="shared" si="4"/>
        <v>0</v>
      </c>
      <c r="C316" s="174">
        <f t="shared" si="3"/>
        <v>1</v>
      </c>
      <c r="F316" s="175">
        <v>78</v>
      </c>
      <c r="G316" s="175" t="b">
        <v>0</v>
      </c>
      <c r="H316" s="175" t="b">
        <v>0</v>
      </c>
      <c r="I316" s="175" t="b">
        <v>0</v>
      </c>
      <c r="K316" s="175">
        <v>78</v>
      </c>
      <c r="L316" s="175">
        <v>1</v>
      </c>
      <c r="M316" s="175">
        <v>1</v>
      </c>
      <c r="N316" s="175">
        <v>1</v>
      </c>
    </row>
    <row r="317" spans="1:14" x14ac:dyDescent="0.2">
      <c r="A317" s="174">
        <f t="shared" si="4"/>
        <v>0</v>
      </c>
      <c r="C317" s="174">
        <f t="shared" si="3"/>
        <v>1</v>
      </c>
      <c r="F317" s="175">
        <v>79</v>
      </c>
      <c r="G317" s="175" t="b">
        <v>0</v>
      </c>
      <c r="H317" s="175" t="b">
        <v>0</v>
      </c>
      <c r="I317" s="175" t="b">
        <v>0</v>
      </c>
      <c r="K317" s="175">
        <v>79</v>
      </c>
      <c r="L317" s="175">
        <v>1</v>
      </c>
      <c r="M317" s="175">
        <v>1</v>
      </c>
      <c r="N317" s="175">
        <v>1</v>
      </c>
    </row>
    <row r="318" spans="1:14" x14ac:dyDescent="0.2">
      <c r="A318" s="174">
        <f t="shared" si="4"/>
        <v>0</v>
      </c>
      <c r="C318" s="174">
        <f t="shared" si="3"/>
        <v>1</v>
      </c>
      <c r="F318" s="175">
        <v>80</v>
      </c>
      <c r="G318" s="175" t="b">
        <v>0</v>
      </c>
      <c r="H318" s="175" t="b">
        <v>0</v>
      </c>
      <c r="I318" s="175" t="b">
        <v>0</v>
      </c>
      <c r="K318" s="175">
        <v>80</v>
      </c>
      <c r="L318" s="175">
        <v>1</v>
      </c>
      <c r="M318" s="175">
        <v>1</v>
      </c>
      <c r="N318" s="175">
        <v>1</v>
      </c>
    </row>
    <row r="319" spans="1:14" x14ac:dyDescent="0.2">
      <c r="A319" s="174">
        <f t="shared" si="4"/>
        <v>0</v>
      </c>
      <c r="C319" s="174">
        <f t="shared" si="3"/>
        <v>1</v>
      </c>
      <c r="F319" s="175">
        <v>81</v>
      </c>
      <c r="G319" s="175" t="b">
        <v>0</v>
      </c>
      <c r="H319" s="175" t="b">
        <v>0</v>
      </c>
      <c r="I319" s="175" t="b">
        <v>0</v>
      </c>
      <c r="K319" s="175">
        <v>81</v>
      </c>
      <c r="L319" s="175">
        <v>1</v>
      </c>
      <c r="M319" s="175">
        <v>1</v>
      </c>
      <c r="N319" s="175">
        <v>1</v>
      </c>
    </row>
    <row r="320" spans="1:14" x14ac:dyDescent="0.2">
      <c r="A320" s="174">
        <f t="shared" si="4"/>
        <v>0</v>
      </c>
      <c r="C320" s="174">
        <f t="shared" si="3"/>
        <v>1</v>
      </c>
      <c r="F320" s="175">
        <v>82</v>
      </c>
      <c r="G320" s="175" t="b">
        <v>0</v>
      </c>
      <c r="H320" s="175" t="b">
        <v>0</v>
      </c>
      <c r="I320" s="175" t="b">
        <v>0</v>
      </c>
      <c r="K320" s="175">
        <v>82</v>
      </c>
      <c r="L320" s="175">
        <v>1</v>
      </c>
      <c r="M320" s="175">
        <v>1</v>
      </c>
      <c r="N320" s="175">
        <v>1</v>
      </c>
    </row>
    <row r="321" spans="1:14" x14ac:dyDescent="0.2">
      <c r="A321" s="174">
        <f t="shared" si="4"/>
        <v>0</v>
      </c>
      <c r="C321" s="174">
        <f t="shared" si="3"/>
        <v>1</v>
      </c>
      <c r="F321" s="175">
        <v>83</v>
      </c>
      <c r="G321" s="175" t="b">
        <v>0</v>
      </c>
      <c r="H321" s="175" t="b">
        <v>0</v>
      </c>
      <c r="I321" s="175" t="b">
        <v>0</v>
      </c>
      <c r="K321" s="175">
        <v>83</v>
      </c>
      <c r="L321" s="175">
        <v>1</v>
      </c>
      <c r="M321" s="175">
        <v>1</v>
      </c>
      <c r="N321" s="175">
        <v>1</v>
      </c>
    </row>
    <row r="322" spans="1:14" x14ac:dyDescent="0.2">
      <c r="A322" s="174">
        <f t="shared" si="4"/>
        <v>0</v>
      </c>
      <c r="C322" s="174">
        <f t="shared" si="3"/>
        <v>1</v>
      </c>
      <c r="F322" s="175">
        <v>84</v>
      </c>
      <c r="G322" s="175" t="b">
        <v>0</v>
      </c>
      <c r="H322" s="175" t="b">
        <v>0</v>
      </c>
      <c r="I322" s="175" t="b">
        <v>0</v>
      </c>
      <c r="K322" s="175">
        <v>84</v>
      </c>
      <c r="L322" s="175">
        <v>1</v>
      </c>
      <c r="M322" s="175">
        <v>1</v>
      </c>
      <c r="N322" s="175">
        <v>1</v>
      </c>
    </row>
    <row r="323" spans="1:14" x14ac:dyDescent="0.2">
      <c r="A323" s="174">
        <f t="shared" si="4"/>
        <v>0</v>
      </c>
      <c r="C323" s="174">
        <f t="shared" si="3"/>
        <v>1</v>
      </c>
      <c r="F323" s="175">
        <v>85</v>
      </c>
      <c r="G323" s="175" t="b">
        <v>0</v>
      </c>
      <c r="H323" s="175" t="b">
        <v>0</v>
      </c>
      <c r="I323" s="175" t="b">
        <v>0</v>
      </c>
      <c r="K323" s="175">
        <v>85</v>
      </c>
      <c r="L323" s="175">
        <v>1</v>
      </c>
      <c r="M323" s="175">
        <v>1</v>
      </c>
      <c r="N323" s="175">
        <v>1</v>
      </c>
    </row>
    <row r="324" spans="1:14" x14ac:dyDescent="0.2">
      <c r="A324" s="174">
        <f t="shared" si="4"/>
        <v>0</v>
      </c>
      <c r="C324" s="174">
        <f t="shared" si="3"/>
        <v>1</v>
      </c>
      <c r="F324" s="175">
        <v>86</v>
      </c>
      <c r="G324" s="175" t="b">
        <v>0</v>
      </c>
      <c r="H324" s="175" t="b">
        <v>0</v>
      </c>
      <c r="I324" s="175" t="b">
        <v>0</v>
      </c>
      <c r="K324" s="175">
        <v>86</v>
      </c>
      <c r="L324" s="175">
        <v>1</v>
      </c>
      <c r="M324" s="175">
        <v>1</v>
      </c>
      <c r="N324" s="175">
        <v>1</v>
      </c>
    </row>
    <row r="325" spans="1:14" x14ac:dyDescent="0.2">
      <c r="A325" s="174">
        <f t="shared" si="4"/>
        <v>0</v>
      </c>
      <c r="C325" s="174">
        <f t="shared" si="3"/>
        <v>1</v>
      </c>
      <c r="F325" s="175">
        <v>87</v>
      </c>
      <c r="G325" s="175" t="b">
        <v>0</v>
      </c>
      <c r="H325" s="175" t="b">
        <v>0</v>
      </c>
      <c r="I325" s="175" t="b">
        <v>0</v>
      </c>
      <c r="K325" s="175">
        <v>87</v>
      </c>
      <c r="L325" s="175">
        <v>1</v>
      </c>
      <c r="M325" s="175">
        <v>1</v>
      </c>
      <c r="N325" s="175">
        <v>1</v>
      </c>
    </row>
    <row r="326" spans="1:14" x14ac:dyDescent="0.2">
      <c r="A326" s="174">
        <f t="shared" si="4"/>
        <v>0</v>
      </c>
      <c r="C326" s="174">
        <f t="shared" si="3"/>
        <v>1</v>
      </c>
      <c r="F326" s="175">
        <v>88</v>
      </c>
      <c r="G326" s="175" t="b">
        <v>0</v>
      </c>
      <c r="H326" s="175" t="b">
        <v>0</v>
      </c>
      <c r="I326" s="175" t="b">
        <v>0</v>
      </c>
      <c r="K326" s="175">
        <v>88</v>
      </c>
      <c r="L326" s="175">
        <v>1</v>
      </c>
      <c r="M326" s="175">
        <v>1</v>
      </c>
      <c r="N326" s="175">
        <v>1</v>
      </c>
    </row>
    <row r="327" spans="1:14" x14ac:dyDescent="0.2">
      <c r="A327" s="174">
        <f t="shared" si="4"/>
        <v>0</v>
      </c>
      <c r="C327" s="174">
        <f t="shared" si="3"/>
        <v>1</v>
      </c>
      <c r="F327" s="175">
        <v>89</v>
      </c>
      <c r="G327" s="175" t="b">
        <v>0</v>
      </c>
      <c r="H327" s="175" t="b">
        <v>0</v>
      </c>
      <c r="I327" s="175" t="b">
        <v>0</v>
      </c>
      <c r="K327" s="175">
        <v>89</v>
      </c>
      <c r="L327" s="175">
        <v>1</v>
      </c>
      <c r="M327" s="175">
        <v>1</v>
      </c>
      <c r="N327" s="175">
        <v>1</v>
      </c>
    </row>
    <row r="328" spans="1:14" x14ac:dyDescent="0.2">
      <c r="A328" s="174">
        <f t="shared" si="4"/>
        <v>0</v>
      </c>
      <c r="C328" s="174">
        <f t="shared" si="3"/>
        <v>1</v>
      </c>
      <c r="F328" s="175">
        <v>90</v>
      </c>
      <c r="G328" s="175" t="b">
        <v>0</v>
      </c>
      <c r="H328" s="175" t="b">
        <v>0</v>
      </c>
      <c r="I328" s="175" t="b">
        <v>0</v>
      </c>
      <c r="K328" s="175">
        <v>90</v>
      </c>
      <c r="L328" s="175">
        <v>1</v>
      </c>
      <c r="M328" s="175">
        <v>1</v>
      </c>
      <c r="N328" s="175">
        <v>1</v>
      </c>
    </row>
    <row r="329" spans="1:14" x14ac:dyDescent="0.2">
      <c r="A329" s="174">
        <f t="shared" si="4"/>
        <v>0</v>
      </c>
      <c r="C329" s="174">
        <f t="shared" si="3"/>
        <v>1</v>
      </c>
      <c r="F329" s="175">
        <v>91</v>
      </c>
      <c r="G329" s="175" t="b">
        <v>0</v>
      </c>
      <c r="H329" s="175" t="b">
        <v>0</v>
      </c>
      <c r="I329" s="175" t="b">
        <v>0</v>
      </c>
      <c r="K329" s="175">
        <v>91</v>
      </c>
      <c r="L329" s="175">
        <v>1</v>
      </c>
      <c r="M329" s="175">
        <v>1</v>
      </c>
      <c r="N329" s="175">
        <v>1</v>
      </c>
    </row>
    <row r="330" spans="1:14" x14ac:dyDescent="0.2">
      <c r="A330" s="174">
        <f t="shared" si="4"/>
        <v>0</v>
      </c>
      <c r="C330" s="174">
        <f t="shared" si="3"/>
        <v>1</v>
      </c>
      <c r="F330" s="175">
        <v>92</v>
      </c>
      <c r="G330" s="175" t="b">
        <v>0</v>
      </c>
      <c r="H330" s="175" t="b">
        <v>0</v>
      </c>
      <c r="I330" s="175" t="b">
        <v>0</v>
      </c>
      <c r="K330" s="175">
        <v>92</v>
      </c>
      <c r="L330" s="175">
        <v>1</v>
      </c>
      <c r="M330" s="175">
        <v>1</v>
      </c>
      <c r="N330" s="175">
        <v>1</v>
      </c>
    </row>
    <row r="331" spans="1:14" x14ac:dyDescent="0.2">
      <c r="A331" s="174">
        <f t="shared" si="4"/>
        <v>0</v>
      </c>
      <c r="C331" s="174">
        <f t="shared" si="3"/>
        <v>1</v>
      </c>
      <c r="F331" s="175">
        <v>93</v>
      </c>
      <c r="G331" s="175" t="b">
        <v>0</v>
      </c>
      <c r="H331" s="175" t="b">
        <v>0</v>
      </c>
      <c r="I331" s="175" t="b">
        <v>0</v>
      </c>
      <c r="K331" s="175">
        <v>93</v>
      </c>
      <c r="L331" s="175">
        <v>1</v>
      </c>
      <c r="M331" s="175">
        <v>1</v>
      </c>
      <c r="N331" s="175">
        <v>1</v>
      </c>
    </row>
    <row r="332" spans="1:14" x14ac:dyDescent="0.2">
      <c r="A332" s="174">
        <f t="shared" si="4"/>
        <v>0</v>
      </c>
      <c r="C332" s="174">
        <f t="shared" si="3"/>
        <v>1</v>
      </c>
      <c r="F332" s="175">
        <v>94</v>
      </c>
      <c r="G332" s="175" t="b">
        <v>0</v>
      </c>
      <c r="H332" s="175" t="b">
        <v>0</v>
      </c>
      <c r="I332" s="175" t="b">
        <v>0</v>
      </c>
      <c r="K332" s="175">
        <v>94</v>
      </c>
      <c r="L332" s="175">
        <v>1</v>
      </c>
      <c r="M332" s="175">
        <v>1</v>
      </c>
      <c r="N332" s="175">
        <v>1</v>
      </c>
    </row>
    <row r="333" spans="1:14" x14ac:dyDescent="0.2">
      <c r="A333" s="174">
        <f t="shared" si="4"/>
        <v>0</v>
      </c>
      <c r="C333" s="174">
        <f t="shared" si="3"/>
        <v>1</v>
      </c>
      <c r="F333" s="175">
        <v>95</v>
      </c>
      <c r="G333" s="175" t="b">
        <v>0</v>
      </c>
      <c r="H333" s="175" t="b">
        <v>0</v>
      </c>
      <c r="I333" s="175" t="b">
        <v>0</v>
      </c>
      <c r="K333" s="175">
        <v>95</v>
      </c>
      <c r="L333" s="175">
        <v>1</v>
      </c>
      <c r="M333" s="175">
        <v>1</v>
      </c>
      <c r="N333" s="175">
        <v>1</v>
      </c>
    </row>
    <row r="334" spans="1:14" x14ac:dyDescent="0.2">
      <c r="A334" s="174">
        <f t="shared" si="4"/>
        <v>0</v>
      </c>
      <c r="C334" s="174">
        <f t="shared" si="3"/>
        <v>1</v>
      </c>
      <c r="F334" s="175">
        <v>96</v>
      </c>
      <c r="G334" s="175" t="b">
        <v>0</v>
      </c>
      <c r="H334" s="175" t="b">
        <v>0</v>
      </c>
      <c r="I334" s="175" t="b">
        <v>0</v>
      </c>
      <c r="K334" s="175">
        <v>96</v>
      </c>
      <c r="L334" s="175">
        <v>1</v>
      </c>
      <c r="M334" s="175">
        <v>1</v>
      </c>
      <c r="N334" s="175">
        <v>1</v>
      </c>
    </row>
    <row r="335" spans="1:14" x14ac:dyDescent="0.2">
      <c r="A335" s="174">
        <f t="shared" si="4"/>
        <v>0</v>
      </c>
      <c r="C335" s="174">
        <f t="shared" si="3"/>
        <v>1</v>
      </c>
      <c r="F335" s="175">
        <v>97</v>
      </c>
      <c r="G335" s="175" t="b">
        <v>0</v>
      </c>
      <c r="H335" s="175" t="b">
        <v>0</v>
      </c>
      <c r="I335" s="175" t="b">
        <v>0</v>
      </c>
      <c r="K335" s="175">
        <v>97</v>
      </c>
      <c r="L335" s="175">
        <v>1</v>
      </c>
      <c r="M335" s="175">
        <v>1</v>
      </c>
      <c r="N335" s="175">
        <v>1</v>
      </c>
    </row>
    <row r="336" spans="1:14" x14ac:dyDescent="0.2">
      <c r="A336" s="174">
        <f t="shared" si="4"/>
        <v>0</v>
      </c>
      <c r="C336" s="174">
        <f t="shared" si="3"/>
        <v>1</v>
      </c>
      <c r="F336" s="175">
        <v>98</v>
      </c>
      <c r="G336" s="175" t="b">
        <v>0</v>
      </c>
      <c r="H336" s="175" t="b">
        <v>0</v>
      </c>
      <c r="I336" s="175" t="b">
        <v>0</v>
      </c>
      <c r="K336" s="175">
        <v>98</v>
      </c>
      <c r="L336" s="175">
        <v>1</v>
      </c>
      <c r="M336" s="175">
        <v>1</v>
      </c>
      <c r="N336" s="175">
        <v>1</v>
      </c>
    </row>
    <row r="337" spans="1:14" x14ac:dyDescent="0.2">
      <c r="A337" s="174">
        <f t="shared" si="4"/>
        <v>0</v>
      </c>
      <c r="C337" s="174">
        <f t="shared" si="3"/>
        <v>1</v>
      </c>
      <c r="F337" s="175">
        <v>99</v>
      </c>
      <c r="G337" s="175" t="b">
        <v>0</v>
      </c>
      <c r="H337" s="175" t="b">
        <v>0</v>
      </c>
      <c r="I337" s="175" t="b">
        <v>0</v>
      </c>
      <c r="K337" s="175">
        <v>99</v>
      </c>
      <c r="L337" s="175">
        <v>1</v>
      </c>
      <c r="M337" s="175">
        <v>1</v>
      </c>
      <c r="N337" s="175">
        <v>1</v>
      </c>
    </row>
    <row r="338" spans="1:14" x14ac:dyDescent="0.2">
      <c r="A338" s="174">
        <f t="shared" si="4"/>
        <v>0</v>
      </c>
      <c r="C338" s="174">
        <f t="shared" si="3"/>
        <v>1</v>
      </c>
      <c r="F338" s="175">
        <v>100</v>
      </c>
      <c r="G338" s="175" t="b">
        <v>0</v>
      </c>
      <c r="H338" s="175" t="b">
        <v>0</v>
      </c>
      <c r="I338" s="175" t="b">
        <v>0</v>
      </c>
      <c r="K338" s="175">
        <v>100</v>
      </c>
      <c r="L338" s="175">
        <v>1</v>
      </c>
      <c r="M338" s="175">
        <v>1</v>
      </c>
      <c r="N338" s="175">
        <v>1</v>
      </c>
    </row>
    <row r="339" spans="1:14" x14ac:dyDescent="0.2">
      <c r="A339" s="174">
        <f t="shared" si="4"/>
        <v>0</v>
      </c>
      <c r="C339" s="174">
        <f t="shared" si="3"/>
        <v>1</v>
      </c>
      <c r="F339" s="175">
        <v>101</v>
      </c>
      <c r="G339" s="175" t="b">
        <v>0</v>
      </c>
      <c r="H339" s="175" t="b">
        <v>0</v>
      </c>
      <c r="I339" s="175" t="b">
        <v>0</v>
      </c>
      <c r="K339" s="175">
        <v>101</v>
      </c>
      <c r="L339" s="175">
        <v>1</v>
      </c>
      <c r="M339" s="175">
        <v>1</v>
      </c>
      <c r="N339" s="175">
        <v>1</v>
      </c>
    </row>
    <row r="340" spans="1:14" x14ac:dyDescent="0.2">
      <c r="A340" s="174">
        <f t="shared" si="4"/>
        <v>0</v>
      </c>
      <c r="C340" s="174">
        <f t="shared" si="3"/>
        <v>1</v>
      </c>
      <c r="F340" s="175">
        <v>102</v>
      </c>
      <c r="G340" s="175" t="b">
        <v>0</v>
      </c>
      <c r="H340" s="175" t="b">
        <v>0</v>
      </c>
      <c r="I340" s="175" t="b">
        <v>0</v>
      </c>
      <c r="K340" s="175">
        <v>102</v>
      </c>
      <c r="L340" s="175">
        <v>1</v>
      </c>
      <c r="M340" s="175">
        <v>1</v>
      </c>
      <c r="N340" s="175">
        <v>1</v>
      </c>
    </row>
    <row r="341" spans="1:14" x14ac:dyDescent="0.2">
      <c r="A341" s="174">
        <f t="shared" si="4"/>
        <v>0</v>
      </c>
      <c r="C341" s="174">
        <f t="shared" si="3"/>
        <v>1</v>
      </c>
      <c r="F341" s="175">
        <v>103</v>
      </c>
      <c r="G341" s="175" t="b">
        <v>0</v>
      </c>
      <c r="H341" s="175" t="b">
        <v>0</v>
      </c>
      <c r="I341" s="175" t="b">
        <v>0</v>
      </c>
      <c r="K341" s="175">
        <v>103</v>
      </c>
      <c r="L341" s="175">
        <v>1</v>
      </c>
      <c r="M341" s="175">
        <v>1</v>
      </c>
      <c r="N341" s="175">
        <v>1</v>
      </c>
    </row>
    <row r="342" spans="1:14" x14ac:dyDescent="0.2">
      <c r="A342" s="174">
        <f t="shared" si="4"/>
        <v>0</v>
      </c>
      <c r="C342" s="174">
        <f t="shared" si="3"/>
        <v>1</v>
      </c>
      <c r="F342" s="175">
        <v>104</v>
      </c>
      <c r="G342" s="175" t="b">
        <v>0</v>
      </c>
      <c r="H342" s="175" t="b">
        <v>0</v>
      </c>
      <c r="I342" s="175" t="b">
        <v>0</v>
      </c>
      <c r="K342" s="175">
        <v>104</v>
      </c>
      <c r="L342" s="175">
        <v>1</v>
      </c>
      <c r="M342" s="175">
        <v>1</v>
      </c>
      <c r="N342" s="175">
        <v>1</v>
      </c>
    </row>
    <row r="343" spans="1:14" x14ac:dyDescent="0.2">
      <c r="A343" s="174">
        <f t="shared" si="4"/>
        <v>0</v>
      </c>
      <c r="C343" s="174">
        <f t="shared" si="3"/>
        <v>1</v>
      </c>
      <c r="F343" s="175">
        <v>105</v>
      </c>
      <c r="G343" s="175" t="b">
        <v>0</v>
      </c>
      <c r="H343" s="175" t="b">
        <v>0</v>
      </c>
      <c r="I343" s="175" t="b">
        <v>0</v>
      </c>
      <c r="K343" s="175">
        <v>105</v>
      </c>
      <c r="L343" s="175">
        <v>1</v>
      </c>
      <c r="M343" s="175">
        <v>1</v>
      </c>
      <c r="N343" s="175">
        <v>1</v>
      </c>
    </row>
    <row r="344" spans="1:14" x14ac:dyDescent="0.2">
      <c r="A344" s="174">
        <f t="shared" si="4"/>
        <v>0</v>
      </c>
      <c r="C344" s="174">
        <f t="shared" si="3"/>
        <v>1</v>
      </c>
      <c r="F344" s="175">
        <v>106</v>
      </c>
      <c r="G344" s="175" t="b">
        <v>0</v>
      </c>
      <c r="H344" s="175" t="b">
        <v>0</v>
      </c>
      <c r="I344" s="175" t="b">
        <v>0</v>
      </c>
      <c r="K344" s="175">
        <v>106</v>
      </c>
      <c r="L344" s="175">
        <v>1</v>
      </c>
      <c r="M344" s="175">
        <v>1</v>
      </c>
      <c r="N344" s="175">
        <v>1</v>
      </c>
    </row>
    <row r="345" spans="1:14" x14ac:dyDescent="0.2">
      <c r="A345" s="174">
        <f t="shared" si="4"/>
        <v>0</v>
      </c>
      <c r="C345" s="174">
        <f t="shared" si="3"/>
        <v>1</v>
      </c>
      <c r="F345" s="175">
        <v>107</v>
      </c>
      <c r="G345" s="175" t="b">
        <v>0</v>
      </c>
      <c r="H345" s="175" t="b">
        <v>0</v>
      </c>
      <c r="I345" s="175" t="b">
        <v>0</v>
      </c>
      <c r="K345" s="175">
        <v>107</v>
      </c>
      <c r="L345" s="175">
        <v>1</v>
      </c>
      <c r="M345" s="175">
        <v>1</v>
      </c>
      <c r="N345" s="175">
        <v>1</v>
      </c>
    </row>
    <row r="346" spans="1:14" x14ac:dyDescent="0.2">
      <c r="A346" s="174">
        <f t="shared" si="4"/>
        <v>0</v>
      </c>
      <c r="C346" s="174">
        <f t="shared" si="3"/>
        <v>1</v>
      </c>
      <c r="F346" s="175">
        <v>108</v>
      </c>
      <c r="G346" s="175" t="b">
        <v>0</v>
      </c>
      <c r="H346" s="175" t="b">
        <v>0</v>
      </c>
      <c r="I346" s="175" t="b">
        <v>0</v>
      </c>
      <c r="K346" s="175">
        <v>108</v>
      </c>
      <c r="L346" s="175">
        <v>1</v>
      </c>
      <c r="M346" s="175">
        <v>1</v>
      </c>
      <c r="N346" s="175">
        <v>1</v>
      </c>
    </row>
    <row r="347" spans="1:14" x14ac:dyDescent="0.2">
      <c r="A347" s="174">
        <f t="shared" si="4"/>
        <v>0</v>
      </c>
      <c r="C347" s="174">
        <f t="shared" si="3"/>
        <v>1</v>
      </c>
      <c r="F347" s="175">
        <v>109</v>
      </c>
      <c r="G347" s="175" t="b">
        <v>0</v>
      </c>
      <c r="H347" s="175" t="b">
        <v>0</v>
      </c>
      <c r="I347" s="175" t="b">
        <v>0</v>
      </c>
      <c r="K347" s="175">
        <v>109</v>
      </c>
      <c r="L347" s="175">
        <v>1</v>
      </c>
      <c r="M347" s="175">
        <v>1</v>
      </c>
      <c r="N347" s="175">
        <v>1</v>
      </c>
    </row>
    <row r="348" spans="1:14" x14ac:dyDescent="0.2">
      <c r="A348" s="174">
        <f t="shared" si="4"/>
        <v>0</v>
      </c>
      <c r="C348" s="174">
        <f t="shared" si="3"/>
        <v>1</v>
      </c>
      <c r="F348" s="175">
        <v>110</v>
      </c>
      <c r="G348" s="175" t="b">
        <v>0</v>
      </c>
      <c r="H348" s="175" t="b">
        <v>0</v>
      </c>
      <c r="I348" s="175" t="b">
        <v>0</v>
      </c>
      <c r="K348" s="175">
        <v>110</v>
      </c>
      <c r="L348" s="175">
        <v>1</v>
      </c>
      <c r="M348" s="175">
        <v>1</v>
      </c>
      <c r="N348" s="175">
        <v>1</v>
      </c>
    </row>
    <row r="349" spans="1:14" x14ac:dyDescent="0.2">
      <c r="A349" s="174">
        <f t="shared" si="4"/>
        <v>0</v>
      </c>
      <c r="C349" s="174">
        <f t="shared" si="3"/>
        <v>1</v>
      </c>
      <c r="F349" s="175">
        <v>111</v>
      </c>
      <c r="G349" s="175" t="b">
        <v>0</v>
      </c>
      <c r="H349" s="175" t="b">
        <v>0</v>
      </c>
      <c r="I349" s="175" t="b">
        <v>0</v>
      </c>
      <c r="K349" s="175">
        <v>111</v>
      </c>
      <c r="L349" s="175">
        <v>1</v>
      </c>
      <c r="M349" s="175">
        <v>1</v>
      </c>
      <c r="N349" s="175">
        <v>1</v>
      </c>
    </row>
    <row r="350" spans="1:14" x14ac:dyDescent="0.2">
      <c r="A350" s="174">
        <f t="shared" si="4"/>
        <v>0</v>
      </c>
      <c r="C350" s="174">
        <f t="shared" si="3"/>
        <v>1</v>
      </c>
      <c r="F350" s="175">
        <v>112</v>
      </c>
      <c r="G350" s="175" t="b">
        <v>0</v>
      </c>
      <c r="H350" s="175" t="b">
        <v>0</v>
      </c>
      <c r="I350" s="175" t="b">
        <v>0</v>
      </c>
      <c r="K350" s="175">
        <v>112</v>
      </c>
      <c r="L350" s="175">
        <v>1</v>
      </c>
      <c r="M350" s="175">
        <v>1</v>
      </c>
      <c r="N350" s="175">
        <v>1</v>
      </c>
    </row>
    <row r="351" spans="1:14" x14ac:dyDescent="0.2">
      <c r="A351" s="174">
        <f t="shared" si="4"/>
        <v>0</v>
      </c>
      <c r="C351" s="174">
        <f t="shared" si="3"/>
        <v>1</v>
      </c>
      <c r="F351" s="175">
        <v>113</v>
      </c>
      <c r="G351" s="175" t="b">
        <v>0</v>
      </c>
      <c r="H351" s="175" t="b">
        <v>0</v>
      </c>
      <c r="I351" s="175" t="b">
        <v>0</v>
      </c>
      <c r="K351" s="175">
        <v>113</v>
      </c>
      <c r="L351" s="175">
        <v>1</v>
      </c>
      <c r="M351" s="175">
        <v>1</v>
      </c>
      <c r="N351" s="175">
        <v>1</v>
      </c>
    </row>
    <row r="352" spans="1:14" x14ac:dyDescent="0.2">
      <c r="A352" s="174">
        <f t="shared" si="4"/>
        <v>0</v>
      </c>
      <c r="C352" s="174">
        <f t="shared" si="3"/>
        <v>1</v>
      </c>
      <c r="F352" s="175">
        <v>114</v>
      </c>
      <c r="G352" s="175" t="b">
        <v>0</v>
      </c>
      <c r="H352" s="175" t="b">
        <v>0</v>
      </c>
      <c r="I352" s="175" t="b">
        <v>0</v>
      </c>
      <c r="K352" s="175">
        <v>114</v>
      </c>
      <c r="L352" s="175">
        <v>1</v>
      </c>
      <c r="M352" s="175">
        <v>1</v>
      </c>
      <c r="N352" s="175">
        <v>1</v>
      </c>
    </row>
    <row r="353" spans="1:14" x14ac:dyDescent="0.2">
      <c r="A353" s="174">
        <f t="shared" si="4"/>
        <v>0</v>
      </c>
      <c r="C353" s="174">
        <f t="shared" si="3"/>
        <v>1</v>
      </c>
      <c r="F353" s="175">
        <v>115</v>
      </c>
      <c r="G353" s="175" t="b">
        <v>0</v>
      </c>
      <c r="H353" s="175" t="b">
        <v>0</v>
      </c>
      <c r="I353" s="175" t="b">
        <v>0</v>
      </c>
      <c r="K353" s="175">
        <v>115</v>
      </c>
      <c r="L353" s="175">
        <v>1</v>
      </c>
      <c r="M353" s="175">
        <v>1</v>
      </c>
      <c r="N353" s="175">
        <v>1</v>
      </c>
    </row>
    <row r="354" spans="1:14" x14ac:dyDescent="0.2">
      <c r="A354" s="174">
        <f t="shared" si="4"/>
        <v>0</v>
      </c>
      <c r="C354" s="174">
        <f t="shared" si="3"/>
        <v>1</v>
      </c>
      <c r="F354" s="175">
        <v>116</v>
      </c>
      <c r="G354" s="175" t="b">
        <v>0</v>
      </c>
      <c r="H354" s="175" t="b">
        <v>0</v>
      </c>
      <c r="I354" s="175" t="b">
        <v>0</v>
      </c>
      <c r="K354" s="175">
        <v>116</v>
      </c>
      <c r="L354" s="175">
        <v>1</v>
      </c>
      <c r="M354" s="175">
        <v>1</v>
      </c>
      <c r="N354" s="175">
        <v>1</v>
      </c>
    </row>
    <row r="355" spans="1:14" x14ac:dyDescent="0.2">
      <c r="A355" s="174">
        <f t="shared" si="4"/>
        <v>0</v>
      </c>
      <c r="C355" s="174">
        <f t="shared" si="3"/>
        <v>1</v>
      </c>
      <c r="F355" s="175">
        <v>117</v>
      </c>
      <c r="G355" s="175" t="b">
        <v>0</v>
      </c>
      <c r="H355" s="175" t="b">
        <v>0</v>
      </c>
      <c r="I355" s="175" t="b">
        <v>0</v>
      </c>
      <c r="K355" s="175">
        <v>117</v>
      </c>
      <c r="L355" s="175">
        <v>1</v>
      </c>
      <c r="M355" s="175">
        <v>1</v>
      </c>
      <c r="N355" s="175">
        <v>1</v>
      </c>
    </row>
    <row r="356" spans="1:14" x14ac:dyDescent="0.2">
      <c r="A356" s="174">
        <f t="shared" si="4"/>
        <v>0</v>
      </c>
      <c r="C356" s="174">
        <f t="shared" si="3"/>
        <v>1</v>
      </c>
      <c r="F356" s="175">
        <v>118</v>
      </c>
      <c r="G356" s="175" t="b">
        <v>0</v>
      </c>
      <c r="H356" s="175" t="b">
        <v>0</v>
      </c>
      <c r="I356" s="175" t="b">
        <v>0</v>
      </c>
      <c r="K356" s="175">
        <v>118</v>
      </c>
      <c r="L356" s="175">
        <v>1</v>
      </c>
      <c r="M356" s="175">
        <v>1</v>
      </c>
      <c r="N356" s="175">
        <v>1</v>
      </c>
    </row>
    <row r="357" spans="1:14" x14ac:dyDescent="0.2">
      <c r="A357" s="174">
        <f t="shared" si="4"/>
        <v>0</v>
      </c>
      <c r="C357" s="174">
        <f t="shared" si="3"/>
        <v>1</v>
      </c>
      <c r="F357" s="175">
        <v>119</v>
      </c>
      <c r="G357" s="175" t="b">
        <v>0</v>
      </c>
      <c r="H357" s="175" t="b">
        <v>0</v>
      </c>
      <c r="I357" s="175" t="b">
        <v>0</v>
      </c>
      <c r="K357" s="175">
        <v>119</v>
      </c>
      <c r="L357" s="175">
        <v>1</v>
      </c>
      <c r="M357" s="175">
        <v>1</v>
      </c>
      <c r="N357" s="175">
        <v>1</v>
      </c>
    </row>
    <row r="358" spans="1:14" x14ac:dyDescent="0.2">
      <c r="A358" s="174">
        <f t="shared" si="4"/>
        <v>0</v>
      </c>
      <c r="C358" s="174">
        <f t="shared" si="3"/>
        <v>1</v>
      </c>
      <c r="F358" s="175">
        <v>120</v>
      </c>
      <c r="G358" s="175" t="b">
        <v>0</v>
      </c>
      <c r="H358" s="175" t="b">
        <v>0</v>
      </c>
      <c r="I358" s="175" t="b">
        <v>0</v>
      </c>
      <c r="K358" s="175">
        <v>120</v>
      </c>
      <c r="L358" s="175">
        <v>1</v>
      </c>
      <c r="M358" s="175">
        <v>1</v>
      </c>
      <c r="N358" s="175">
        <v>1</v>
      </c>
    </row>
    <row r="359" spans="1:14" x14ac:dyDescent="0.2">
      <c r="A359" s="174">
        <f t="shared" si="4"/>
        <v>0</v>
      </c>
      <c r="C359" s="174">
        <f t="shared" si="3"/>
        <v>1</v>
      </c>
      <c r="F359" s="175">
        <v>121</v>
      </c>
      <c r="G359" s="175" t="b">
        <v>0</v>
      </c>
      <c r="H359" s="175" t="b">
        <v>0</v>
      </c>
      <c r="I359" s="175" t="b">
        <v>0</v>
      </c>
      <c r="K359" s="175">
        <v>121</v>
      </c>
      <c r="L359" s="175">
        <v>1</v>
      </c>
      <c r="M359" s="175">
        <v>1</v>
      </c>
      <c r="N359" s="175">
        <v>1</v>
      </c>
    </row>
    <row r="360" spans="1:14" x14ac:dyDescent="0.2">
      <c r="A360" s="174">
        <f t="shared" si="4"/>
        <v>0</v>
      </c>
      <c r="C360" s="174">
        <f t="shared" si="3"/>
        <v>1</v>
      </c>
      <c r="F360" s="175">
        <v>122</v>
      </c>
      <c r="G360" s="175" t="b">
        <v>0</v>
      </c>
      <c r="H360" s="175" t="b">
        <v>0</v>
      </c>
      <c r="I360" s="175" t="b">
        <v>0</v>
      </c>
      <c r="K360" s="175">
        <v>122</v>
      </c>
      <c r="L360" s="175">
        <v>1</v>
      </c>
      <c r="M360" s="175">
        <v>1</v>
      </c>
      <c r="N360" s="175">
        <v>1</v>
      </c>
    </row>
    <row r="361" spans="1:14" x14ac:dyDescent="0.2">
      <c r="A361" s="174">
        <f t="shared" si="4"/>
        <v>0</v>
      </c>
      <c r="C361" s="174">
        <f t="shared" si="3"/>
        <v>1</v>
      </c>
      <c r="F361" s="175">
        <v>123</v>
      </c>
      <c r="G361" s="175" t="b">
        <v>0</v>
      </c>
      <c r="H361" s="175" t="b">
        <v>0</v>
      </c>
      <c r="I361" s="175" t="b">
        <v>0</v>
      </c>
      <c r="K361" s="175">
        <v>123</v>
      </c>
      <c r="L361" s="175">
        <v>1</v>
      </c>
      <c r="M361" s="175">
        <v>1</v>
      </c>
      <c r="N361" s="175">
        <v>1</v>
      </c>
    </row>
    <row r="362" spans="1:14" x14ac:dyDescent="0.2">
      <c r="A362" s="174">
        <f t="shared" si="4"/>
        <v>0</v>
      </c>
      <c r="C362" s="174">
        <f t="shared" si="3"/>
        <v>1</v>
      </c>
      <c r="F362" s="175">
        <v>124</v>
      </c>
      <c r="G362" s="175" t="b">
        <v>0</v>
      </c>
      <c r="H362" s="175" t="b">
        <v>0</v>
      </c>
      <c r="I362" s="175" t="b">
        <v>0</v>
      </c>
      <c r="K362" s="175">
        <v>124</v>
      </c>
      <c r="L362" s="175">
        <v>1</v>
      </c>
      <c r="M362" s="175">
        <v>1</v>
      </c>
      <c r="N362" s="175">
        <v>1</v>
      </c>
    </row>
    <row r="363" spans="1:14" x14ac:dyDescent="0.2">
      <c r="A363" s="174">
        <f t="shared" si="4"/>
        <v>0</v>
      </c>
      <c r="C363" s="174">
        <f t="shared" si="3"/>
        <v>1</v>
      </c>
      <c r="F363" s="175">
        <v>125</v>
      </c>
      <c r="G363" s="175" t="b">
        <v>0</v>
      </c>
      <c r="H363" s="175" t="b">
        <v>0</v>
      </c>
      <c r="I363" s="175" t="b">
        <v>0</v>
      </c>
      <c r="K363" s="175">
        <v>125</v>
      </c>
      <c r="L363" s="175">
        <v>1</v>
      </c>
      <c r="M363" s="175">
        <v>1</v>
      </c>
      <c r="N363" s="175">
        <v>1</v>
      </c>
    </row>
    <row r="364" spans="1:14" x14ac:dyDescent="0.2">
      <c r="A364" s="174">
        <f t="shared" si="4"/>
        <v>0</v>
      </c>
      <c r="C364" s="174">
        <f t="shared" si="3"/>
        <v>1</v>
      </c>
      <c r="F364" s="175">
        <v>126</v>
      </c>
      <c r="G364" s="175" t="b">
        <v>0</v>
      </c>
      <c r="H364" s="175" t="b">
        <v>0</v>
      </c>
      <c r="I364" s="175" t="b">
        <v>0</v>
      </c>
      <c r="K364" s="175">
        <v>126</v>
      </c>
      <c r="L364" s="175">
        <v>1</v>
      </c>
      <c r="M364" s="175">
        <v>1</v>
      </c>
      <c r="N364" s="175">
        <v>1</v>
      </c>
    </row>
    <row r="365" spans="1:14" x14ac:dyDescent="0.2">
      <c r="A365" s="174">
        <f t="shared" si="4"/>
        <v>0</v>
      </c>
      <c r="C365" s="174">
        <f t="shared" si="3"/>
        <v>1</v>
      </c>
      <c r="F365" s="175">
        <v>127</v>
      </c>
      <c r="G365" s="175" t="b">
        <v>0</v>
      </c>
      <c r="H365" s="175" t="b">
        <v>0</v>
      </c>
      <c r="I365" s="175" t="b">
        <v>0</v>
      </c>
      <c r="K365" s="175">
        <v>127</v>
      </c>
      <c r="L365" s="175">
        <v>1</v>
      </c>
      <c r="M365" s="175">
        <v>1</v>
      </c>
      <c r="N365" s="175">
        <v>1</v>
      </c>
    </row>
    <row r="366" spans="1:14" x14ac:dyDescent="0.2">
      <c r="A366" s="174">
        <f t="shared" si="4"/>
        <v>0</v>
      </c>
      <c r="C366" s="174">
        <f t="shared" si="3"/>
        <v>1</v>
      </c>
      <c r="F366" s="175">
        <v>128</v>
      </c>
      <c r="G366" s="175" t="b">
        <v>0</v>
      </c>
      <c r="H366" s="175" t="b">
        <v>0</v>
      </c>
      <c r="I366" s="175" t="b">
        <v>0</v>
      </c>
      <c r="K366" s="175">
        <v>128</v>
      </c>
      <c r="L366" s="175">
        <v>1</v>
      </c>
      <c r="M366" s="175">
        <v>1</v>
      </c>
      <c r="N366" s="175">
        <v>1</v>
      </c>
    </row>
    <row r="367" spans="1:14" x14ac:dyDescent="0.2">
      <c r="A367" s="174">
        <f t="shared" si="4"/>
        <v>0</v>
      </c>
      <c r="C367" s="174">
        <f t="shared" si="3"/>
        <v>1</v>
      </c>
      <c r="F367" s="175">
        <v>129</v>
      </c>
      <c r="G367" s="175" t="b">
        <v>0</v>
      </c>
      <c r="H367" s="175" t="b">
        <v>0</v>
      </c>
      <c r="I367" s="175" t="b">
        <v>0</v>
      </c>
      <c r="K367" s="175">
        <v>129</v>
      </c>
      <c r="L367" s="175">
        <v>1</v>
      </c>
      <c r="M367" s="175">
        <v>1</v>
      </c>
      <c r="N367" s="175">
        <v>1</v>
      </c>
    </row>
    <row r="368" spans="1:14" x14ac:dyDescent="0.2">
      <c r="A368" s="174">
        <f t="shared" si="4"/>
        <v>0</v>
      </c>
      <c r="C368" s="174">
        <f t="shared" si="3"/>
        <v>1</v>
      </c>
      <c r="F368" s="175">
        <v>130</v>
      </c>
      <c r="G368" s="175" t="b">
        <v>0</v>
      </c>
      <c r="H368" s="175" t="b">
        <v>0</v>
      </c>
      <c r="I368" s="175" t="b">
        <v>0</v>
      </c>
      <c r="K368" s="175">
        <v>130</v>
      </c>
      <c r="L368" s="175">
        <v>1</v>
      </c>
      <c r="M368" s="175">
        <v>1</v>
      </c>
      <c r="N368" s="175">
        <v>1</v>
      </c>
    </row>
    <row r="369" spans="1:14" x14ac:dyDescent="0.2">
      <c r="A369" s="174">
        <f t="shared" si="4"/>
        <v>0</v>
      </c>
      <c r="C369" s="174">
        <f t="shared" si="3"/>
        <v>1</v>
      </c>
      <c r="F369" s="175">
        <v>131</v>
      </c>
      <c r="G369" s="175" t="b">
        <v>0</v>
      </c>
      <c r="H369" s="175" t="b">
        <v>0</v>
      </c>
      <c r="I369" s="175" t="b">
        <v>0</v>
      </c>
      <c r="K369" s="175">
        <v>131</v>
      </c>
      <c r="L369" s="175">
        <v>1</v>
      </c>
      <c r="M369" s="175">
        <v>1</v>
      </c>
      <c r="N369" s="175">
        <v>1</v>
      </c>
    </row>
    <row r="370" spans="1:14" x14ac:dyDescent="0.2">
      <c r="A370" s="174">
        <f t="shared" si="4"/>
        <v>0</v>
      </c>
      <c r="C370" s="174">
        <f t="shared" ref="C370:C433" si="5">IF($T$41,L370,1)</f>
        <v>1</v>
      </c>
      <c r="F370" s="175">
        <v>132</v>
      </c>
      <c r="G370" s="175" t="b">
        <v>0</v>
      </c>
      <c r="H370" s="175" t="b">
        <v>0</v>
      </c>
      <c r="I370" s="175" t="b">
        <v>0</v>
      </c>
      <c r="K370" s="175">
        <v>132</v>
      </c>
      <c r="L370" s="175">
        <v>1</v>
      </c>
      <c r="M370" s="175">
        <v>1</v>
      </c>
      <c r="N370" s="175">
        <v>1</v>
      </c>
    </row>
    <row r="371" spans="1:14" x14ac:dyDescent="0.2">
      <c r="A371" s="174">
        <f t="shared" ref="A371:A434" si="6">IF(G371,1,0)</f>
        <v>0</v>
      </c>
      <c r="C371" s="174">
        <f t="shared" si="5"/>
        <v>1</v>
      </c>
      <c r="F371" s="175">
        <v>133</v>
      </c>
      <c r="G371" s="175" t="b">
        <v>0</v>
      </c>
      <c r="H371" s="175" t="b">
        <v>0</v>
      </c>
      <c r="I371" s="175" t="b">
        <v>0</v>
      </c>
      <c r="K371" s="175">
        <v>133</v>
      </c>
      <c r="L371" s="175">
        <v>1</v>
      </c>
      <c r="M371" s="175">
        <v>1</v>
      </c>
      <c r="N371" s="175">
        <v>1</v>
      </c>
    </row>
    <row r="372" spans="1:14" x14ac:dyDescent="0.2">
      <c r="A372" s="174">
        <f t="shared" si="6"/>
        <v>0</v>
      </c>
      <c r="C372" s="174">
        <f t="shared" si="5"/>
        <v>1</v>
      </c>
      <c r="F372" s="175">
        <v>134</v>
      </c>
      <c r="G372" s="175" t="b">
        <v>0</v>
      </c>
      <c r="H372" s="175" t="b">
        <v>0</v>
      </c>
      <c r="I372" s="175" t="b">
        <v>0</v>
      </c>
      <c r="K372" s="175">
        <v>134</v>
      </c>
      <c r="L372" s="175">
        <v>1</v>
      </c>
      <c r="M372" s="175">
        <v>1</v>
      </c>
      <c r="N372" s="175">
        <v>1</v>
      </c>
    </row>
    <row r="373" spans="1:14" x14ac:dyDescent="0.2">
      <c r="A373" s="174">
        <f t="shared" si="6"/>
        <v>0</v>
      </c>
      <c r="C373" s="174">
        <f t="shared" si="5"/>
        <v>1</v>
      </c>
      <c r="F373" s="175">
        <v>135</v>
      </c>
      <c r="G373" s="175" t="b">
        <v>0</v>
      </c>
      <c r="H373" s="175" t="b">
        <v>0</v>
      </c>
      <c r="I373" s="175" t="b">
        <v>0</v>
      </c>
      <c r="K373" s="175">
        <v>135</v>
      </c>
      <c r="L373" s="175">
        <v>1</v>
      </c>
      <c r="M373" s="175">
        <v>1</v>
      </c>
      <c r="N373" s="175">
        <v>1</v>
      </c>
    </row>
    <row r="374" spans="1:14" x14ac:dyDescent="0.2">
      <c r="A374" s="174">
        <f t="shared" si="6"/>
        <v>0</v>
      </c>
      <c r="C374" s="174">
        <f t="shared" si="5"/>
        <v>1</v>
      </c>
      <c r="F374" s="175">
        <v>136</v>
      </c>
      <c r="G374" s="175" t="b">
        <v>0</v>
      </c>
      <c r="H374" s="175" t="b">
        <v>0</v>
      </c>
      <c r="I374" s="175" t="b">
        <v>0</v>
      </c>
      <c r="K374" s="175">
        <v>136</v>
      </c>
      <c r="L374" s="175">
        <v>1</v>
      </c>
      <c r="M374" s="175">
        <v>1</v>
      </c>
      <c r="N374" s="175">
        <v>1</v>
      </c>
    </row>
    <row r="375" spans="1:14" x14ac:dyDescent="0.2">
      <c r="A375" s="174">
        <f t="shared" si="6"/>
        <v>0</v>
      </c>
      <c r="C375" s="174">
        <f t="shared" si="5"/>
        <v>1</v>
      </c>
      <c r="F375" s="175">
        <v>137</v>
      </c>
      <c r="G375" s="175" t="b">
        <v>0</v>
      </c>
      <c r="H375" s="175" t="b">
        <v>0</v>
      </c>
      <c r="I375" s="175" t="b">
        <v>0</v>
      </c>
      <c r="K375" s="175">
        <v>137</v>
      </c>
      <c r="L375" s="175">
        <v>1</v>
      </c>
      <c r="M375" s="175">
        <v>1</v>
      </c>
      <c r="N375" s="175">
        <v>1</v>
      </c>
    </row>
    <row r="376" spans="1:14" x14ac:dyDescent="0.2">
      <c r="A376" s="174">
        <f t="shared" si="6"/>
        <v>0</v>
      </c>
      <c r="C376" s="174">
        <f t="shared" si="5"/>
        <v>1</v>
      </c>
      <c r="F376" s="175">
        <v>138</v>
      </c>
      <c r="G376" s="175" t="b">
        <v>0</v>
      </c>
      <c r="H376" s="175" t="b">
        <v>0</v>
      </c>
      <c r="I376" s="175" t="b">
        <v>0</v>
      </c>
      <c r="K376" s="175">
        <v>138</v>
      </c>
      <c r="L376" s="175">
        <v>1</v>
      </c>
      <c r="M376" s="175">
        <v>1</v>
      </c>
      <c r="N376" s="175">
        <v>1</v>
      </c>
    </row>
    <row r="377" spans="1:14" x14ac:dyDescent="0.2">
      <c r="A377" s="174">
        <f t="shared" si="6"/>
        <v>0</v>
      </c>
      <c r="C377" s="174">
        <f t="shared" si="5"/>
        <v>1</v>
      </c>
      <c r="F377" s="175">
        <v>139</v>
      </c>
      <c r="G377" s="175" t="b">
        <v>0</v>
      </c>
      <c r="H377" s="175" t="b">
        <v>0</v>
      </c>
      <c r="I377" s="175" t="b">
        <v>0</v>
      </c>
      <c r="K377" s="175">
        <v>139</v>
      </c>
      <c r="L377" s="175">
        <v>1</v>
      </c>
      <c r="M377" s="175">
        <v>1</v>
      </c>
      <c r="N377" s="175">
        <v>1</v>
      </c>
    </row>
    <row r="378" spans="1:14" x14ac:dyDescent="0.2">
      <c r="A378" s="174">
        <f t="shared" si="6"/>
        <v>0</v>
      </c>
      <c r="C378" s="174">
        <f t="shared" si="5"/>
        <v>1</v>
      </c>
      <c r="F378" s="175">
        <v>140</v>
      </c>
      <c r="G378" s="175" t="b">
        <v>0</v>
      </c>
      <c r="H378" s="175" t="b">
        <v>0</v>
      </c>
      <c r="I378" s="175" t="b">
        <v>0</v>
      </c>
      <c r="K378" s="175">
        <v>140</v>
      </c>
      <c r="L378" s="175">
        <v>1</v>
      </c>
      <c r="M378" s="175">
        <v>1</v>
      </c>
      <c r="N378" s="175">
        <v>1</v>
      </c>
    </row>
    <row r="379" spans="1:14" x14ac:dyDescent="0.2">
      <c r="A379" s="174">
        <f t="shared" si="6"/>
        <v>0</v>
      </c>
      <c r="C379" s="174">
        <f t="shared" si="5"/>
        <v>1</v>
      </c>
      <c r="F379" s="175">
        <v>141</v>
      </c>
      <c r="G379" s="175" t="b">
        <v>0</v>
      </c>
      <c r="H379" s="175" t="b">
        <v>0</v>
      </c>
      <c r="I379" s="175" t="b">
        <v>0</v>
      </c>
      <c r="K379" s="175">
        <v>141</v>
      </c>
      <c r="L379" s="175">
        <v>1</v>
      </c>
      <c r="M379" s="175">
        <v>1</v>
      </c>
      <c r="N379" s="175">
        <v>1</v>
      </c>
    </row>
    <row r="380" spans="1:14" x14ac:dyDescent="0.2">
      <c r="A380" s="174">
        <f t="shared" si="6"/>
        <v>0</v>
      </c>
      <c r="C380" s="174">
        <f t="shared" si="5"/>
        <v>1</v>
      </c>
      <c r="F380" s="175">
        <v>142</v>
      </c>
      <c r="G380" s="175" t="b">
        <v>0</v>
      </c>
      <c r="H380" s="175" t="b">
        <v>0</v>
      </c>
      <c r="I380" s="175" t="b">
        <v>0</v>
      </c>
      <c r="K380" s="175">
        <v>142</v>
      </c>
      <c r="L380" s="175">
        <v>1</v>
      </c>
      <c r="M380" s="175">
        <v>1</v>
      </c>
      <c r="N380" s="175">
        <v>1</v>
      </c>
    </row>
    <row r="381" spans="1:14" x14ac:dyDescent="0.2">
      <c r="A381" s="174">
        <f t="shared" si="6"/>
        <v>0</v>
      </c>
      <c r="C381" s="174">
        <f t="shared" si="5"/>
        <v>1</v>
      </c>
      <c r="F381" s="175">
        <v>143</v>
      </c>
      <c r="G381" s="175" t="b">
        <v>0</v>
      </c>
      <c r="H381" s="175" t="b">
        <v>0</v>
      </c>
      <c r="I381" s="175" t="b">
        <v>0</v>
      </c>
      <c r="K381" s="175">
        <v>143</v>
      </c>
      <c r="L381" s="175">
        <v>1</v>
      </c>
      <c r="M381" s="175">
        <v>1</v>
      </c>
      <c r="N381" s="175">
        <v>1</v>
      </c>
    </row>
    <row r="382" spans="1:14" x14ac:dyDescent="0.2">
      <c r="A382" s="174">
        <f t="shared" si="6"/>
        <v>0</v>
      </c>
      <c r="C382" s="174">
        <f t="shared" si="5"/>
        <v>1</v>
      </c>
      <c r="F382" s="175">
        <v>144</v>
      </c>
      <c r="G382" s="175" t="b">
        <v>0</v>
      </c>
      <c r="H382" s="175" t="b">
        <v>0</v>
      </c>
      <c r="I382" s="175" t="b">
        <v>0</v>
      </c>
      <c r="K382" s="175">
        <v>144</v>
      </c>
      <c r="L382" s="175">
        <v>1</v>
      </c>
      <c r="M382" s="175">
        <v>1</v>
      </c>
      <c r="N382" s="175">
        <v>1</v>
      </c>
    </row>
    <row r="383" spans="1:14" x14ac:dyDescent="0.2">
      <c r="A383" s="174">
        <f t="shared" si="6"/>
        <v>0</v>
      </c>
      <c r="C383" s="174">
        <f t="shared" si="5"/>
        <v>1</v>
      </c>
      <c r="F383" s="175">
        <v>145</v>
      </c>
      <c r="G383" s="175" t="b">
        <v>0</v>
      </c>
      <c r="H383" s="175" t="b">
        <v>0</v>
      </c>
      <c r="I383" s="175" t="b">
        <v>0</v>
      </c>
      <c r="K383" s="175">
        <v>145</v>
      </c>
      <c r="L383" s="175">
        <v>1</v>
      </c>
      <c r="M383" s="175">
        <v>1</v>
      </c>
      <c r="N383" s="175">
        <v>1</v>
      </c>
    </row>
    <row r="384" spans="1:14" x14ac:dyDescent="0.2">
      <c r="A384" s="174">
        <f t="shared" si="6"/>
        <v>0</v>
      </c>
      <c r="C384" s="174">
        <f t="shared" si="5"/>
        <v>1</v>
      </c>
      <c r="F384" s="175">
        <v>146</v>
      </c>
      <c r="G384" s="175" t="b">
        <v>0</v>
      </c>
      <c r="H384" s="175" t="b">
        <v>0</v>
      </c>
      <c r="I384" s="175" t="b">
        <v>0</v>
      </c>
      <c r="K384" s="175">
        <v>146</v>
      </c>
      <c r="L384" s="175">
        <v>1</v>
      </c>
      <c r="M384" s="175">
        <v>1</v>
      </c>
      <c r="N384" s="175">
        <v>1</v>
      </c>
    </row>
    <row r="385" spans="1:14" x14ac:dyDescent="0.2">
      <c r="A385" s="174">
        <f t="shared" si="6"/>
        <v>0</v>
      </c>
      <c r="C385" s="174">
        <f t="shared" si="5"/>
        <v>1</v>
      </c>
      <c r="F385" s="175">
        <v>147</v>
      </c>
      <c r="G385" s="175" t="b">
        <v>0</v>
      </c>
      <c r="H385" s="175" t="b">
        <v>0</v>
      </c>
      <c r="I385" s="175" t="b">
        <v>0</v>
      </c>
      <c r="K385" s="175">
        <v>147</v>
      </c>
      <c r="L385" s="175">
        <v>1</v>
      </c>
      <c r="M385" s="175">
        <v>1</v>
      </c>
      <c r="N385" s="175">
        <v>1</v>
      </c>
    </row>
    <row r="386" spans="1:14" x14ac:dyDescent="0.2">
      <c r="A386" s="174">
        <f t="shared" si="6"/>
        <v>0</v>
      </c>
      <c r="C386" s="174">
        <f t="shared" si="5"/>
        <v>1</v>
      </c>
      <c r="F386" s="175">
        <v>148</v>
      </c>
      <c r="G386" s="175" t="b">
        <v>0</v>
      </c>
      <c r="H386" s="175" t="b">
        <v>0</v>
      </c>
      <c r="I386" s="175" t="b">
        <v>0</v>
      </c>
      <c r="K386" s="175">
        <v>148</v>
      </c>
      <c r="L386" s="175">
        <v>1</v>
      </c>
      <c r="M386" s="175">
        <v>1</v>
      </c>
      <c r="N386" s="175">
        <v>1</v>
      </c>
    </row>
    <row r="387" spans="1:14" x14ac:dyDescent="0.2">
      <c r="A387" s="174">
        <f t="shared" si="6"/>
        <v>0</v>
      </c>
      <c r="C387" s="174">
        <f t="shared" si="5"/>
        <v>1</v>
      </c>
      <c r="F387" s="175">
        <v>149</v>
      </c>
      <c r="G387" s="175" t="b">
        <v>0</v>
      </c>
      <c r="H387" s="175" t="b">
        <v>0</v>
      </c>
      <c r="I387" s="175" t="b">
        <v>0</v>
      </c>
      <c r="K387" s="175">
        <v>149</v>
      </c>
      <c r="L387" s="175">
        <v>1</v>
      </c>
      <c r="M387" s="175">
        <v>1</v>
      </c>
      <c r="N387" s="175">
        <v>1</v>
      </c>
    </row>
    <row r="388" spans="1:14" x14ac:dyDescent="0.2">
      <c r="A388" s="174">
        <f t="shared" si="6"/>
        <v>0</v>
      </c>
      <c r="C388" s="174">
        <f t="shared" si="5"/>
        <v>1</v>
      </c>
      <c r="F388" s="175">
        <v>150</v>
      </c>
      <c r="G388" s="175" t="b">
        <v>0</v>
      </c>
      <c r="H388" s="175" t="b">
        <v>0</v>
      </c>
      <c r="I388" s="175" t="b">
        <v>0</v>
      </c>
      <c r="K388" s="175">
        <v>150</v>
      </c>
      <c r="L388" s="175">
        <v>1</v>
      </c>
      <c r="M388" s="175">
        <v>1</v>
      </c>
      <c r="N388" s="175">
        <v>1</v>
      </c>
    </row>
    <row r="389" spans="1:14" x14ac:dyDescent="0.2">
      <c r="A389" s="174">
        <f t="shared" si="6"/>
        <v>0</v>
      </c>
      <c r="C389" s="174">
        <f t="shared" si="5"/>
        <v>1</v>
      </c>
      <c r="F389" s="175">
        <v>151</v>
      </c>
      <c r="G389" s="175" t="b">
        <v>0</v>
      </c>
      <c r="H389" s="175" t="b">
        <v>0</v>
      </c>
      <c r="I389" s="175" t="b">
        <v>0</v>
      </c>
      <c r="K389" s="175">
        <v>151</v>
      </c>
      <c r="L389" s="175">
        <v>1</v>
      </c>
      <c r="M389" s="175">
        <v>1</v>
      </c>
      <c r="N389" s="175">
        <v>1</v>
      </c>
    </row>
    <row r="390" spans="1:14" x14ac:dyDescent="0.2">
      <c r="A390" s="174">
        <f t="shared" si="6"/>
        <v>0</v>
      </c>
      <c r="C390" s="174">
        <f t="shared" si="5"/>
        <v>1</v>
      </c>
      <c r="F390" s="175">
        <v>152</v>
      </c>
      <c r="G390" s="175" t="b">
        <v>0</v>
      </c>
      <c r="H390" s="175" t="b">
        <v>0</v>
      </c>
      <c r="I390" s="175" t="b">
        <v>0</v>
      </c>
      <c r="K390" s="175">
        <v>152</v>
      </c>
      <c r="L390" s="175">
        <v>1</v>
      </c>
      <c r="M390" s="175">
        <v>1</v>
      </c>
      <c r="N390" s="175">
        <v>1</v>
      </c>
    </row>
    <row r="391" spans="1:14" x14ac:dyDescent="0.2">
      <c r="A391" s="174">
        <f t="shared" si="6"/>
        <v>0</v>
      </c>
      <c r="C391" s="174">
        <f t="shared" si="5"/>
        <v>1</v>
      </c>
      <c r="F391" s="175">
        <v>153</v>
      </c>
      <c r="G391" s="175" t="b">
        <v>0</v>
      </c>
      <c r="H391" s="175" t="b">
        <v>0</v>
      </c>
      <c r="I391" s="175" t="b">
        <v>0</v>
      </c>
      <c r="K391" s="175">
        <v>153</v>
      </c>
      <c r="L391" s="175">
        <v>1</v>
      </c>
      <c r="M391" s="175">
        <v>1</v>
      </c>
      <c r="N391" s="175">
        <v>1</v>
      </c>
    </row>
    <row r="392" spans="1:14" x14ac:dyDescent="0.2">
      <c r="A392" s="174">
        <f t="shared" si="6"/>
        <v>0</v>
      </c>
      <c r="C392" s="174">
        <f t="shared" si="5"/>
        <v>1</v>
      </c>
      <c r="F392" s="175">
        <v>154</v>
      </c>
      <c r="G392" s="175" t="b">
        <v>0</v>
      </c>
      <c r="H392" s="175" t="b">
        <v>0</v>
      </c>
      <c r="I392" s="175" t="b">
        <v>0</v>
      </c>
      <c r="K392" s="175">
        <v>154</v>
      </c>
      <c r="L392" s="175">
        <v>1</v>
      </c>
      <c r="M392" s="175">
        <v>1</v>
      </c>
      <c r="N392" s="175">
        <v>1</v>
      </c>
    </row>
    <row r="393" spans="1:14" x14ac:dyDescent="0.2">
      <c r="A393" s="174">
        <f t="shared" si="6"/>
        <v>0</v>
      </c>
      <c r="C393" s="174">
        <f t="shared" si="5"/>
        <v>1</v>
      </c>
      <c r="F393" s="175">
        <v>155</v>
      </c>
      <c r="G393" s="175" t="b">
        <v>0</v>
      </c>
      <c r="H393" s="175" t="b">
        <v>0</v>
      </c>
      <c r="I393" s="175" t="b">
        <v>0</v>
      </c>
      <c r="K393" s="175">
        <v>155</v>
      </c>
      <c r="L393" s="175">
        <v>1</v>
      </c>
      <c r="M393" s="175">
        <v>1</v>
      </c>
      <c r="N393" s="175">
        <v>1</v>
      </c>
    </row>
    <row r="394" spans="1:14" x14ac:dyDescent="0.2">
      <c r="A394" s="174">
        <f t="shared" si="6"/>
        <v>0</v>
      </c>
      <c r="C394" s="174">
        <f t="shared" si="5"/>
        <v>1</v>
      </c>
      <c r="F394" s="175">
        <v>156</v>
      </c>
      <c r="G394" s="175" t="b">
        <v>0</v>
      </c>
      <c r="H394" s="175" t="b">
        <v>0</v>
      </c>
      <c r="I394" s="175" t="b">
        <v>0</v>
      </c>
      <c r="K394" s="175">
        <v>156</v>
      </c>
      <c r="L394" s="175">
        <v>1</v>
      </c>
      <c r="M394" s="175">
        <v>1</v>
      </c>
      <c r="N394" s="175">
        <v>1</v>
      </c>
    </row>
    <row r="395" spans="1:14" x14ac:dyDescent="0.2">
      <c r="A395" s="174">
        <f t="shared" si="6"/>
        <v>0</v>
      </c>
      <c r="C395" s="174">
        <f t="shared" si="5"/>
        <v>1</v>
      </c>
      <c r="F395" s="175">
        <v>157</v>
      </c>
      <c r="G395" s="175" t="b">
        <v>0</v>
      </c>
      <c r="H395" s="175" t="b">
        <v>0</v>
      </c>
      <c r="I395" s="175" t="b">
        <v>0</v>
      </c>
      <c r="K395" s="175">
        <v>157</v>
      </c>
      <c r="L395" s="175">
        <v>1</v>
      </c>
      <c r="M395" s="175">
        <v>1</v>
      </c>
      <c r="N395" s="175">
        <v>1</v>
      </c>
    </row>
    <row r="396" spans="1:14" x14ac:dyDescent="0.2">
      <c r="A396" s="174">
        <f t="shared" si="6"/>
        <v>0</v>
      </c>
      <c r="C396" s="174">
        <f t="shared" si="5"/>
        <v>1</v>
      </c>
      <c r="F396" s="175">
        <v>158</v>
      </c>
      <c r="G396" s="175" t="b">
        <v>0</v>
      </c>
      <c r="H396" s="175" t="b">
        <v>0</v>
      </c>
      <c r="I396" s="175" t="b">
        <v>0</v>
      </c>
      <c r="K396" s="175">
        <v>158</v>
      </c>
      <c r="L396" s="175">
        <v>1</v>
      </c>
      <c r="M396" s="175">
        <v>1</v>
      </c>
      <c r="N396" s="175">
        <v>1</v>
      </c>
    </row>
    <row r="397" spans="1:14" x14ac:dyDescent="0.2">
      <c r="A397" s="174">
        <f t="shared" si="6"/>
        <v>0</v>
      </c>
      <c r="C397" s="174">
        <f t="shared" si="5"/>
        <v>1</v>
      </c>
      <c r="F397" s="175">
        <v>159</v>
      </c>
      <c r="G397" s="175" t="b">
        <v>0</v>
      </c>
      <c r="H397" s="175" t="b">
        <v>0</v>
      </c>
      <c r="I397" s="175" t="b">
        <v>0</v>
      </c>
      <c r="K397" s="175">
        <v>159</v>
      </c>
      <c r="L397" s="175">
        <v>1</v>
      </c>
      <c r="M397" s="175">
        <v>1</v>
      </c>
      <c r="N397" s="175">
        <v>1</v>
      </c>
    </row>
    <row r="398" spans="1:14" x14ac:dyDescent="0.2">
      <c r="A398" s="174">
        <f t="shared" si="6"/>
        <v>0</v>
      </c>
      <c r="C398" s="174">
        <f t="shared" si="5"/>
        <v>1</v>
      </c>
      <c r="F398" s="175">
        <v>160</v>
      </c>
      <c r="G398" s="175" t="b">
        <v>0</v>
      </c>
      <c r="H398" s="175" t="b">
        <v>0</v>
      </c>
      <c r="I398" s="175" t="b">
        <v>0</v>
      </c>
      <c r="K398" s="175">
        <v>160</v>
      </c>
      <c r="L398" s="175">
        <v>1</v>
      </c>
      <c r="M398" s="175">
        <v>1</v>
      </c>
      <c r="N398" s="175">
        <v>1</v>
      </c>
    </row>
    <row r="399" spans="1:14" x14ac:dyDescent="0.2">
      <c r="A399" s="174">
        <f t="shared" si="6"/>
        <v>0</v>
      </c>
      <c r="C399" s="174">
        <f t="shared" si="5"/>
        <v>1</v>
      </c>
      <c r="F399" s="175">
        <v>161</v>
      </c>
      <c r="G399" s="175" t="b">
        <v>0</v>
      </c>
      <c r="H399" s="175" t="b">
        <v>0</v>
      </c>
      <c r="I399" s="175" t="b">
        <v>0</v>
      </c>
      <c r="K399" s="175">
        <v>161</v>
      </c>
      <c r="L399" s="175">
        <v>1</v>
      </c>
      <c r="M399" s="175">
        <v>1</v>
      </c>
      <c r="N399" s="175">
        <v>1</v>
      </c>
    </row>
    <row r="400" spans="1:14" x14ac:dyDescent="0.2">
      <c r="A400" s="174">
        <f t="shared" si="6"/>
        <v>0</v>
      </c>
      <c r="C400" s="174">
        <f t="shared" si="5"/>
        <v>1</v>
      </c>
      <c r="F400" s="175">
        <v>162</v>
      </c>
      <c r="G400" s="175" t="b">
        <v>0</v>
      </c>
      <c r="H400" s="175" t="b">
        <v>0</v>
      </c>
      <c r="I400" s="175" t="b">
        <v>0</v>
      </c>
      <c r="K400" s="175">
        <v>162</v>
      </c>
      <c r="L400" s="175">
        <v>1</v>
      </c>
      <c r="M400" s="175">
        <v>1</v>
      </c>
      <c r="N400" s="175">
        <v>1</v>
      </c>
    </row>
    <row r="401" spans="1:14" x14ac:dyDescent="0.2">
      <c r="A401" s="174">
        <f t="shared" si="6"/>
        <v>0</v>
      </c>
      <c r="C401" s="174">
        <f t="shared" si="5"/>
        <v>1</v>
      </c>
      <c r="F401" s="175">
        <v>163</v>
      </c>
      <c r="G401" s="175" t="b">
        <v>0</v>
      </c>
      <c r="H401" s="175" t="b">
        <v>0</v>
      </c>
      <c r="I401" s="175" t="b">
        <v>0</v>
      </c>
      <c r="K401" s="175">
        <v>163</v>
      </c>
      <c r="L401" s="175">
        <v>1</v>
      </c>
      <c r="M401" s="175">
        <v>1</v>
      </c>
      <c r="N401" s="175">
        <v>1</v>
      </c>
    </row>
    <row r="402" spans="1:14" x14ac:dyDescent="0.2">
      <c r="A402" s="174">
        <f t="shared" si="6"/>
        <v>0</v>
      </c>
      <c r="C402" s="174">
        <f t="shared" si="5"/>
        <v>1</v>
      </c>
      <c r="F402" s="175">
        <v>164</v>
      </c>
      <c r="G402" s="175" t="b">
        <v>0</v>
      </c>
      <c r="H402" s="175" t="b">
        <v>0</v>
      </c>
      <c r="I402" s="175" t="b">
        <v>0</v>
      </c>
      <c r="K402" s="175">
        <v>164</v>
      </c>
      <c r="L402" s="175">
        <v>1</v>
      </c>
      <c r="M402" s="175">
        <v>1</v>
      </c>
      <c r="N402" s="175">
        <v>1</v>
      </c>
    </row>
    <row r="403" spans="1:14" x14ac:dyDescent="0.2">
      <c r="A403" s="174">
        <f t="shared" si="6"/>
        <v>0</v>
      </c>
      <c r="C403" s="174">
        <f t="shared" si="5"/>
        <v>1</v>
      </c>
      <c r="F403" s="175">
        <v>165</v>
      </c>
      <c r="G403" s="175" t="b">
        <v>0</v>
      </c>
      <c r="H403" s="175" t="b">
        <v>0</v>
      </c>
      <c r="I403" s="175" t="b">
        <v>0</v>
      </c>
      <c r="K403" s="175">
        <v>165</v>
      </c>
      <c r="L403" s="175">
        <v>1</v>
      </c>
      <c r="M403" s="175">
        <v>1</v>
      </c>
      <c r="N403" s="175">
        <v>1</v>
      </c>
    </row>
    <row r="404" spans="1:14" x14ac:dyDescent="0.2">
      <c r="A404" s="174">
        <f t="shared" si="6"/>
        <v>0</v>
      </c>
      <c r="C404" s="174">
        <f t="shared" si="5"/>
        <v>1</v>
      </c>
      <c r="F404" s="175">
        <v>166</v>
      </c>
      <c r="G404" s="175" t="b">
        <v>0</v>
      </c>
      <c r="H404" s="175" t="b">
        <v>0</v>
      </c>
      <c r="I404" s="175" t="b">
        <v>0</v>
      </c>
      <c r="K404" s="175">
        <v>166</v>
      </c>
      <c r="L404" s="175">
        <v>1</v>
      </c>
      <c r="M404" s="175">
        <v>1</v>
      </c>
      <c r="N404" s="175">
        <v>1</v>
      </c>
    </row>
    <row r="405" spans="1:14" x14ac:dyDescent="0.2">
      <c r="A405" s="174">
        <f t="shared" si="6"/>
        <v>0</v>
      </c>
      <c r="C405" s="174">
        <f t="shared" si="5"/>
        <v>1</v>
      </c>
      <c r="F405" s="175">
        <v>167</v>
      </c>
      <c r="G405" s="175" t="b">
        <v>0</v>
      </c>
      <c r="H405" s="175" t="b">
        <v>0</v>
      </c>
      <c r="I405" s="175" t="b">
        <v>0</v>
      </c>
      <c r="K405" s="175">
        <v>167</v>
      </c>
      <c r="L405" s="175">
        <v>1</v>
      </c>
      <c r="M405" s="175">
        <v>1</v>
      </c>
      <c r="N405" s="175">
        <v>1</v>
      </c>
    </row>
    <row r="406" spans="1:14" x14ac:dyDescent="0.2">
      <c r="A406" s="174">
        <f t="shared" si="6"/>
        <v>0</v>
      </c>
      <c r="C406" s="174">
        <f t="shared" si="5"/>
        <v>1</v>
      </c>
      <c r="F406" s="175">
        <v>168</v>
      </c>
      <c r="G406" s="175" t="b">
        <v>0</v>
      </c>
      <c r="H406" s="175" t="b">
        <v>0</v>
      </c>
      <c r="I406" s="175" t="b">
        <v>0</v>
      </c>
      <c r="K406" s="175">
        <v>168</v>
      </c>
      <c r="L406" s="175">
        <v>1</v>
      </c>
      <c r="M406" s="175">
        <v>1</v>
      </c>
      <c r="N406" s="175">
        <v>1</v>
      </c>
    </row>
    <row r="407" spans="1:14" x14ac:dyDescent="0.2">
      <c r="A407" s="174">
        <f t="shared" si="6"/>
        <v>0</v>
      </c>
      <c r="C407" s="174">
        <f t="shared" si="5"/>
        <v>1</v>
      </c>
      <c r="F407" s="175">
        <v>169</v>
      </c>
      <c r="G407" s="175" t="b">
        <v>0</v>
      </c>
      <c r="H407" s="175" t="b">
        <v>0</v>
      </c>
      <c r="I407" s="175" t="b">
        <v>0</v>
      </c>
      <c r="K407" s="175">
        <v>169</v>
      </c>
      <c r="L407" s="175">
        <v>1</v>
      </c>
      <c r="M407" s="175">
        <v>1</v>
      </c>
      <c r="N407" s="175">
        <v>1</v>
      </c>
    </row>
    <row r="408" spans="1:14" x14ac:dyDescent="0.2">
      <c r="A408" s="174">
        <f t="shared" si="6"/>
        <v>0</v>
      </c>
      <c r="C408" s="174">
        <f t="shared" si="5"/>
        <v>1</v>
      </c>
      <c r="F408" s="175">
        <v>170</v>
      </c>
      <c r="G408" s="175" t="b">
        <v>0</v>
      </c>
      <c r="H408" s="175" t="b">
        <v>0</v>
      </c>
      <c r="I408" s="175" t="b">
        <v>0</v>
      </c>
      <c r="K408" s="175">
        <v>170</v>
      </c>
      <c r="L408" s="175">
        <v>1</v>
      </c>
      <c r="M408" s="175">
        <v>1</v>
      </c>
      <c r="N408" s="175">
        <v>1</v>
      </c>
    </row>
    <row r="409" spans="1:14" x14ac:dyDescent="0.2">
      <c r="A409" s="174">
        <f t="shared" si="6"/>
        <v>0</v>
      </c>
      <c r="C409" s="174">
        <f t="shared" si="5"/>
        <v>1</v>
      </c>
      <c r="F409" s="175">
        <v>171</v>
      </c>
      <c r="G409" s="175" t="b">
        <v>0</v>
      </c>
      <c r="H409" s="175" t="b">
        <v>0</v>
      </c>
      <c r="I409" s="175" t="b">
        <v>0</v>
      </c>
      <c r="K409" s="175">
        <v>171</v>
      </c>
      <c r="L409" s="175">
        <v>1</v>
      </c>
      <c r="M409" s="175">
        <v>1</v>
      </c>
      <c r="N409" s="175">
        <v>1</v>
      </c>
    </row>
    <row r="410" spans="1:14" x14ac:dyDescent="0.2">
      <c r="A410" s="174">
        <f t="shared" si="6"/>
        <v>0</v>
      </c>
      <c r="C410" s="174">
        <f t="shared" si="5"/>
        <v>1</v>
      </c>
      <c r="F410" s="175">
        <v>172</v>
      </c>
      <c r="G410" s="175" t="b">
        <v>0</v>
      </c>
      <c r="H410" s="175" t="b">
        <v>0</v>
      </c>
      <c r="I410" s="175" t="b">
        <v>0</v>
      </c>
      <c r="K410" s="175">
        <v>172</v>
      </c>
      <c r="L410" s="175">
        <v>1</v>
      </c>
      <c r="M410" s="175">
        <v>1</v>
      </c>
      <c r="N410" s="175">
        <v>1</v>
      </c>
    </row>
    <row r="411" spans="1:14" x14ac:dyDescent="0.2">
      <c r="A411" s="174">
        <f t="shared" si="6"/>
        <v>0</v>
      </c>
      <c r="C411" s="174">
        <f t="shared" si="5"/>
        <v>1</v>
      </c>
      <c r="F411" s="175">
        <v>173</v>
      </c>
      <c r="G411" s="175" t="b">
        <v>0</v>
      </c>
      <c r="H411" s="175" t="b">
        <v>0</v>
      </c>
      <c r="I411" s="175" t="b">
        <v>0</v>
      </c>
      <c r="K411" s="175">
        <v>173</v>
      </c>
      <c r="L411" s="175">
        <v>1</v>
      </c>
      <c r="M411" s="175">
        <v>1</v>
      </c>
      <c r="N411" s="175">
        <v>1</v>
      </c>
    </row>
    <row r="412" spans="1:14" x14ac:dyDescent="0.2">
      <c r="A412" s="174">
        <f t="shared" si="6"/>
        <v>0</v>
      </c>
      <c r="C412" s="174">
        <f t="shared" si="5"/>
        <v>1</v>
      </c>
      <c r="F412" s="175">
        <v>174</v>
      </c>
      <c r="G412" s="175" t="b">
        <v>0</v>
      </c>
      <c r="H412" s="175" t="b">
        <v>0</v>
      </c>
      <c r="I412" s="175" t="b">
        <v>0</v>
      </c>
      <c r="K412" s="175">
        <v>174</v>
      </c>
      <c r="L412" s="175">
        <v>1</v>
      </c>
      <c r="M412" s="175">
        <v>1</v>
      </c>
      <c r="N412" s="175">
        <v>1</v>
      </c>
    </row>
    <row r="413" spans="1:14" x14ac:dyDescent="0.2">
      <c r="A413" s="174">
        <f t="shared" si="6"/>
        <v>0</v>
      </c>
      <c r="C413" s="174">
        <f t="shared" si="5"/>
        <v>1</v>
      </c>
      <c r="F413" s="175">
        <v>175</v>
      </c>
      <c r="G413" s="175" t="b">
        <v>0</v>
      </c>
      <c r="H413" s="175" t="b">
        <v>0</v>
      </c>
      <c r="I413" s="175" t="b">
        <v>0</v>
      </c>
      <c r="K413" s="175">
        <v>175</v>
      </c>
      <c r="L413" s="175">
        <v>1</v>
      </c>
      <c r="M413" s="175">
        <v>1</v>
      </c>
      <c r="N413" s="175">
        <v>1</v>
      </c>
    </row>
    <row r="414" spans="1:14" x14ac:dyDescent="0.2">
      <c r="A414" s="174">
        <f t="shared" si="6"/>
        <v>0</v>
      </c>
      <c r="C414" s="174">
        <f t="shared" si="5"/>
        <v>1</v>
      </c>
      <c r="F414" s="175">
        <v>176</v>
      </c>
      <c r="G414" s="175" t="b">
        <v>0</v>
      </c>
      <c r="H414" s="175" t="b">
        <v>0</v>
      </c>
      <c r="I414" s="175" t="b">
        <v>0</v>
      </c>
      <c r="K414" s="175">
        <v>176</v>
      </c>
      <c r="L414" s="175">
        <v>1</v>
      </c>
      <c r="M414" s="175">
        <v>1</v>
      </c>
      <c r="N414" s="175">
        <v>1</v>
      </c>
    </row>
    <row r="415" spans="1:14" x14ac:dyDescent="0.2">
      <c r="A415" s="174">
        <f t="shared" si="6"/>
        <v>0</v>
      </c>
      <c r="C415" s="174">
        <f t="shared" si="5"/>
        <v>1</v>
      </c>
      <c r="F415" s="175">
        <v>177</v>
      </c>
      <c r="G415" s="175" t="b">
        <v>0</v>
      </c>
      <c r="H415" s="175" t="b">
        <v>0</v>
      </c>
      <c r="I415" s="175" t="b">
        <v>0</v>
      </c>
      <c r="K415" s="175">
        <v>177</v>
      </c>
      <c r="L415" s="175">
        <v>1</v>
      </c>
      <c r="M415" s="175">
        <v>1</v>
      </c>
      <c r="N415" s="175">
        <v>1</v>
      </c>
    </row>
    <row r="416" spans="1:14" x14ac:dyDescent="0.2">
      <c r="A416" s="174">
        <f t="shared" si="6"/>
        <v>0</v>
      </c>
      <c r="C416" s="174">
        <f t="shared" si="5"/>
        <v>1</v>
      </c>
      <c r="F416" s="175">
        <v>178</v>
      </c>
      <c r="G416" s="175" t="b">
        <v>0</v>
      </c>
      <c r="H416" s="175" t="b">
        <v>0</v>
      </c>
      <c r="I416" s="175" t="b">
        <v>0</v>
      </c>
      <c r="K416" s="175">
        <v>178</v>
      </c>
      <c r="L416" s="175">
        <v>1</v>
      </c>
      <c r="M416" s="175">
        <v>1</v>
      </c>
      <c r="N416" s="175">
        <v>1</v>
      </c>
    </row>
    <row r="417" spans="1:14" x14ac:dyDescent="0.2">
      <c r="A417" s="174">
        <f t="shared" si="6"/>
        <v>0</v>
      </c>
      <c r="C417" s="174">
        <f t="shared" si="5"/>
        <v>1</v>
      </c>
      <c r="F417" s="175">
        <v>179</v>
      </c>
      <c r="G417" s="175" t="b">
        <v>0</v>
      </c>
      <c r="H417" s="175" t="b">
        <v>0</v>
      </c>
      <c r="I417" s="175" t="b">
        <v>0</v>
      </c>
      <c r="K417" s="175">
        <v>179</v>
      </c>
      <c r="L417" s="175">
        <v>1</v>
      </c>
      <c r="M417" s="175">
        <v>1</v>
      </c>
      <c r="N417" s="175">
        <v>1</v>
      </c>
    </row>
    <row r="418" spans="1:14" x14ac:dyDescent="0.2">
      <c r="A418" s="174">
        <f t="shared" si="6"/>
        <v>0</v>
      </c>
      <c r="C418" s="174">
        <f t="shared" si="5"/>
        <v>1</v>
      </c>
      <c r="F418" s="175">
        <v>180</v>
      </c>
      <c r="G418" s="175" t="b">
        <v>0</v>
      </c>
      <c r="H418" s="175" t="b">
        <v>0</v>
      </c>
      <c r="I418" s="175" t="b">
        <v>0</v>
      </c>
      <c r="K418" s="175">
        <v>180</v>
      </c>
      <c r="L418" s="175">
        <v>1</v>
      </c>
      <c r="M418" s="175">
        <v>1</v>
      </c>
      <c r="N418" s="175">
        <v>1</v>
      </c>
    </row>
    <row r="419" spans="1:14" x14ac:dyDescent="0.2">
      <c r="A419" s="174">
        <f t="shared" si="6"/>
        <v>0</v>
      </c>
      <c r="C419" s="174">
        <f t="shared" si="5"/>
        <v>1</v>
      </c>
      <c r="F419" s="175">
        <v>181</v>
      </c>
      <c r="G419" s="175" t="b">
        <v>0</v>
      </c>
      <c r="H419" s="175" t="b">
        <v>0</v>
      </c>
      <c r="I419" s="175" t="b">
        <v>0</v>
      </c>
      <c r="K419" s="175">
        <v>181</v>
      </c>
      <c r="L419" s="175">
        <v>1</v>
      </c>
      <c r="M419" s="175">
        <v>1</v>
      </c>
      <c r="N419" s="175">
        <v>1</v>
      </c>
    </row>
    <row r="420" spans="1:14" x14ac:dyDescent="0.2">
      <c r="A420" s="174">
        <f t="shared" si="6"/>
        <v>0</v>
      </c>
      <c r="C420" s="174">
        <f t="shared" si="5"/>
        <v>1</v>
      </c>
      <c r="F420" s="175">
        <v>182</v>
      </c>
      <c r="G420" s="175" t="b">
        <v>0</v>
      </c>
      <c r="H420" s="175" t="b">
        <v>0</v>
      </c>
      <c r="I420" s="175" t="b">
        <v>0</v>
      </c>
      <c r="K420" s="175">
        <v>182</v>
      </c>
      <c r="L420" s="175">
        <v>1</v>
      </c>
      <c r="M420" s="175">
        <v>1</v>
      </c>
      <c r="N420" s="175">
        <v>1</v>
      </c>
    </row>
    <row r="421" spans="1:14" x14ac:dyDescent="0.2">
      <c r="A421" s="174">
        <f t="shared" si="6"/>
        <v>0</v>
      </c>
      <c r="C421" s="174">
        <f t="shared" si="5"/>
        <v>1</v>
      </c>
      <c r="F421" s="175">
        <v>183</v>
      </c>
      <c r="G421" s="175" t="b">
        <v>0</v>
      </c>
      <c r="H421" s="175" t="b">
        <v>0</v>
      </c>
      <c r="I421" s="175" t="b">
        <v>0</v>
      </c>
      <c r="K421" s="175">
        <v>183</v>
      </c>
      <c r="L421" s="175">
        <v>1</v>
      </c>
      <c r="M421" s="175">
        <v>1</v>
      </c>
      <c r="N421" s="175">
        <v>1</v>
      </c>
    </row>
    <row r="422" spans="1:14" x14ac:dyDescent="0.2">
      <c r="A422" s="174">
        <f t="shared" si="6"/>
        <v>0</v>
      </c>
      <c r="C422" s="174">
        <f t="shared" si="5"/>
        <v>1</v>
      </c>
      <c r="F422" s="175">
        <v>184</v>
      </c>
      <c r="G422" s="175" t="b">
        <v>0</v>
      </c>
      <c r="H422" s="175" t="b">
        <v>0</v>
      </c>
      <c r="I422" s="175" t="b">
        <v>0</v>
      </c>
      <c r="K422" s="175">
        <v>184</v>
      </c>
      <c r="L422" s="175">
        <v>1</v>
      </c>
      <c r="M422" s="175">
        <v>1</v>
      </c>
      <c r="N422" s="175">
        <v>1</v>
      </c>
    </row>
    <row r="423" spans="1:14" x14ac:dyDescent="0.2">
      <c r="A423" s="174">
        <f t="shared" si="6"/>
        <v>0</v>
      </c>
      <c r="C423" s="174">
        <f t="shared" si="5"/>
        <v>1</v>
      </c>
      <c r="F423" s="175">
        <v>185</v>
      </c>
      <c r="G423" s="175" t="b">
        <v>0</v>
      </c>
      <c r="H423" s="175" t="b">
        <v>0</v>
      </c>
      <c r="I423" s="175" t="b">
        <v>0</v>
      </c>
      <c r="K423" s="175">
        <v>185</v>
      </c>
      <c r="L423" s="175">
        <v>1</v>
      </c>
      <c r="M423" s="175">
        <v>1</v>
      </c>
      <c r="N423" s="175">
        <v>1</v>
      </c>
    </row>
    <row r="424" spans="1:14" x14ac:dyDescent="0.2">
      <c r="A424" s="174">
        <f t="shared" si="6"/>
        <v>0</v>
      </c>
      <c r="C424" s="174">
        <f t="shared" si="5"/>
        <v>1</v>
      </c>
      <c r="F424" s="175">
        <v>186</v>
      </c>
      <c r="G424" s="175" t="b">
        <v>0</v>
      </c>
      <c r="H424" s="175" t="b">
        <v>0</v>
      </c>
      <c r="I424" s="175" t="b">
        <v>0</v>
      </c>
      <c r="K424" s="175">
        <v>186</v>
      </c>
      <c r="L424" s="175">
        <v>1</v>
      </c>
      <c r="M424" s="175">
        <v>1</v>
      </c>
      <c r="N424" s="175">
        <v>1</v>
      </c>
    </row>
    <row r="425" spans="1:14" x14ac:dyDescent="0.2">
      <c r="A425" s="174">
        <f t="shared" si="6"/>
        <v>0</v>
      </c>
      <c r="C425" s="174">
        <f t="shared" si="5"/>
        <v>1</v>
      </c>
      <c r="F425" s="175">
        <v>187</v>
      </c>
      <c r="G425" s="175" t="b">
        <v>0</v>
      </c>
      <c r="H425" s="175" t="b">
        <v>0</v>
      </c>
      <c r="I425" s="175" t="b">
        <v>0</v>
      </c>
      <c r="K425" s="175">
        <v>187</v>
      </c>
      <c r="L425" s="175">
        <v>1</v>
      </c>
      <c r="M425" s="175">
        <v>1</v>
      </c>
      <c r="N425" s="175">
        <v>1</v>
      </c>
    </row>
    <row r="426" spans="1:14" x14ac:dyDescent="0.2">
      <c r="A426" s="174">
        <f t="shared" si="6"/>
        <v>0</v>
      </c>
      <c r="C426" s="174">
        <f t="shared" si="5"/>
        <v>1</v>
      </c>
      <c r="F426" s="175">
        <v>188</v>
      </c>
      <c r="G426" s="175" t="b">
        <v>0</v>
      </c>
      <c r="H426" s="175" t="b">
        <v>0</v>
      </c>
      <c r="I426" s="175" t="b">
        <v>0</v>
      </c>
      <c r="K426" s="175">
        <v>188</v>
      </c>
      <c r="L426" s="175">
        <v>1</v>
      </c>
      <c r="M426" s="175">
        <v>1</v>
      </c>
      <c r="N426" s="175">
        <v>1</v>
      </c>
    </row>
    <row r="427" spans="1:14" x14ac:dyDescent="0.2">
      <c r="A427" s="174">
        <f t="shared" si="6"/>
        <v>0</v>
      </c>
      <c r="C427" s="174">
        <f t="shared" si="5"/>
        <v>1</v>
      </c>
      <c r="F427" s="175">
        <v>189</v>
      </c>
      <c r="G427" s="175" t="b">
        <v>0</v>
      </c>
      <c r="H427" s="175" t="b">
        <v>0</v>
      </c>
      <c r="I427" s="175" t="b">
        <v>0</v>
      </c>
      <c r="K427" s="175">
        <v>189</v>
      </c>
      <c r="L427" s="175">
        <v>1</v>
      </c>
      <c r="M427" s="175">
        <v>1</v>
      </c>
      <c r="N427" s="175">
        <v>1</v>
      </c>
    </row>
    <row r="428" spans="1:14" x14ac:dyDescent="0.2">
      <c r="A428" s="174">
        <f t="shared" si="6"/>
        <v>0</v>
      </c>
      <c r="C428" s="174">
        <f t="shared" si="5"/>
        <v>1</v>
      </c>
      <c r="F428" s="175">
        <v>190</v>
      </c>
      <c r="G428" s="175" t="b">
        <v>0</v>
      </c>
      <c r="H428" s="175" t="b">
        <v>0</v>
      </c>
      <c r="I428" s="175" t="b">
        <v>0</v>
      </c>
      <c r="K428" s="175">
        <v>190</v>
      </c>
      <c r="L428" s="175">
        <v>1</v>
      </c>
      <c r="M428" s="175">
        <v>1</v>
      </c>
      <c r="N428" s="175">
        <v>1</v>
      </c>
    </row>
    <row r="429" spans="1:14" x14ac:dyDescent="0.2">
      <c r="A429" s="174">
        <f t="shared" si="6"/>
        <v>0</v>
      </c>
      <c r="C429" s="174">
        <f t="shared" si="5"/>
        <v>1</v>
      </c>
      <c r="F429" s="175">
        <v>191</v>
      </c>
      <c r="G429" s="175" t="b">
        <v>0</v>
      </c>
      <c r="H429" s="175" t="b">
        <v>0</v>
      </c>
      <c r="I429" s="175" t="b">
        <v>0</v>
      </c>
      <c r="K429" s="175">
        <v>191</v>
      </c>
      <c r="L429" s="175">
        <v>1</v>
      </c>
      <c r="M429" s="175">
        <v>1</v>
      </c>
      <c r="N429" s="175">
        <v>1</v>
      </c>
    </row>
    <row r="430" spans="1:14" x14ac:dyDescent="0.2">
      <c r="A430" s="174">
        <f t="shared" si="6"/>
        <v>0</v>
      </c>
      <c r="C430" s="174">
        <f t="shared" si="5"/>
        <v>1</v>
      </c>
      <c r="F430" s="175">
        <v>192</v>
      </c>
      <c r="G430" s="175" t="b">
        <v>0</v>
      </c>
      <c r="H430" s="175" t="b">
        <v>0</v>
      </c>
      <c r="I430" s="175" t="b">
        <v>0</v>
      </c>
      <c r="K430" s="175">
        <v>192</v>
      </c>
      <c r="L430" s="175">
        <v>1</v>
      </c>
      <c r="M430" s="175">
        <v>1</v>
      </c>
      <c r="N430" s="175">
        <v>1</v>
      </c>
    </row>
    <row r="431" spans="1:14" x14ac:dyDescent="0.2">
      <c r="A431" s="174">
        <f t="shared" si="6"/>
        <v>0</v>
      </c>
      <c r="C431" s="174">
        <f t="shared" si="5"/>
        <v>1</v>
      </c>
      <c r="F431" s="175">
        <v>193</v>
      </c>
      <c r="G431" s="175" t="b">
        <v>0</v>
      </c>
      <c r="H431" s="175" t="b">
        <v>0</v>
      </c>
      <c r="I431" s="175" t="b">
        <v>0</v>
      </c>
      <c r="K431" s="175">
        <v>193</v>
      </c>
      <c r="L431" s="175">
        <v>1</v>
      </c>
      <c r="M431" s="175">
        <v>1</v>
      </c>
      <c r="N431" s="175">
        <v>1</v>
      </c>
    </row>
    <row r="432" spans="1:14" x14ac:dyDescent="0.2">
      <c r="A432" s="174">
        <f t="shared" si="6"/>
        <v>0</v>
      </c>
      <c r="C432" s="174">
        <f t="shared" si="5"/>
        <v>1</v>
      </c>
      <c r="F432" s="175">
        <v>194</v>
      </c>
      <c r="G432" s="175" t="b">
        <v>0</v>
      </c>
      <c r="H432" s="175" t="b">
        <v>0</v>
      </c>
      <c r="I432" s="175" t="b">
        <v>0</v>
      </c>
      <c r="K432" s="175">
        <v>194</v>
      </c>
      <c r="L432" s="175">
        <v>1</v>
      </c>
      <c r="M432" s="175">
        <v>1</v>
      </c>
      <c r="N432" s="175">
        <v>1</v>
      </c>
    </row>
    <row r="433" spans="1:201" x14ac:dyDescent="0.2">
      <c r="A433" s="174">
        <f t="shared" si="6"/>
        <v>0</v>
      </c>
      <c r="C433" s="174">
        <f t="shared" si="5"/>
        <v>1</v>
      </c>
      <c r="F433" s="175">
        <v>195</v>
      </c>
      <c r="G433" s="175" t="b">
        <v>0</v>
      </c>
      <c r="H433" s="175" t="b">
        <v>0</v>
      </c>
      <c r="I433" s="175" t="b">
        <v>0</v>
      </c>
      <c r="K433" s="175">
        <v>195</v>
      </c>
      <c r="L433" s="175">
        <v>1</v>
      </c>
      <c r="M433" s="175">
        <v>1</v>
      </c>
      <c r="N433" s="175">
        <v>1</v>
      </c>
    </row>
    <row r="434" spans="1:201" x14ac:dyDescent="0.2">
      <c r="A434" s="174">
        <f t="shared" si="6"/>
        <v>0</v>
      </c>
      <c r="C434" s="174">
        <f t="shared" ref="C434:C438" si="7">IF($T$41,L434,1)</f>
        <v>1</v>
      </c>
      <c r="F434" s="175">
        <v>196</v>
      </c>
      <c r="G434" s="175" t="b">
        <v>0</v>
      </c>
      <c r="H434" s="175" t="b">
        <v>0</v>
      </c>
      <c r="I434" s="175" t="b">
        <v>0</v>
      </c>
      <c r="K434" s="175">
        <v>196</v>
      </c>
      <c r="L434" s="175">
        <v>1</v>
      </c>
      <c r="M434" s="175">
        <v>1</v>
      </c>
      <c r="N434" s="175">
        <v>1</v>
      </c>
    </row>
    <row r="435" spans="1:201" x14ac:dyDescent="0.2">
      <c r="A435" s="174">
        <f t="shared" ref="A435:A438" si="8">IF(G435,1,0)</f>
        <v>0</v>
      </c>
      <c r="C435" s="174">
        <f t="shared" si="7"/>
        <v>1</v>
      </c>
      <c r="F435" s="175">
        <v>197</v>
      </c>
      <c r="G435" s="175" t="b">
        <v>0</v>
      </c>
      <c r="H435" s="175" t="b">
        <v>0</v>
      </c>
      <c r="I435" s="175" t="b">
        <v>0</v>
      </c>
      <c r="K435" s="175">
        <v>197</v>
      </c>
      <c r="L435" s="175">
        <v>1</v>
      </c>
      <c r="M435" s="175">
        <v>1</v>
      </c>
      <c r="N435" s="175">
        <v>1</v>
      </c>
    </row>
    <row r="436" spans="1:201" x14ac:dyDescent="0.2">
      <c r="A436" s="174">
        <f t="shared" si="8"/>
        <v>0</v>
      </c>
      <c r="C436" s="174">
        <f t="shared" si="7"/>
        <v>1</v>
      </c>
      <c r="F436" s="175">
        <v>198</v>
      </c>
      <c r="G436" s="175" t="b">
        <v>0</v>
      </c>
      <c r="H436" s="175" t="b">
        <v>0</v>
      </c>
      <c r="I436" s="175" t="b">
        <v>0</v>
      </c>
      <c r="K436" s="175">
        <v>198</v>
      </c>
      <c r="L436" s="175">
        <v>1</v>
      </c>
      <c r="M436" s="175">
        <v>1</v>
      </c>
      <c r="N436" s="175">
        <v>1</v>
      </c>
    </row>
    <row r="437" spans="1:201" x14ac:dyDescent="0.2">
      <c r="A437" s="174">
        <f t="shared" si="8"/>
        <v>0</v>
      </c>
      <c r="C437" s="174">
        <f t="shared" si="7"/>
        <v>1</v>
      </c>
      <c r="F437" s="175">
        <v>199</v>
      </c>
      <c r="G437" s="175" t="b">
        <v>0</v>
      </c>
      <c r="H437" s="175" t="b">
        <v>0</v>
      </c>
      <c r="I437" s="175" t="b">
        <v>0</v>
      </c>
      <c r="K437" s="175">
        <v>199</v>
      </c>
      <c r="L437" s="175">
        <v>1</v>
      </c>
      <c r="M437" s="175">
        <v>1</v>
      </c>
      <c r="N437" s="175">
        <v>1</v>
      </c>
    </row>
    <row r="438" spans="1:201" x14ac:dyDescent="0.2">
      <c r="A438" s="174">
        <f t="shared" si="8"/>
        <v>0</v>
      </c>
      <c r="C438" s="174">
        <f t="shared" si="7"/>
        <v>1</v>
      </c>
      <c r="F438" s="175">
        <v>200</v>
      </c>
      <c r="G438" s="175" t="b">
        <v>0</v>
      </c>
      <c r="H438" s="175" t="b">
        <v>0</v>
      </c>
      <c r="I438" s="175" t="b">
        <v>0</v>
      </c>
      <c r="K438" s="175">
        <v>200</v>
      </c>
      <c r="L438" s="175">
        <v>1</v>
      </c>
      <c r="M438" s="175">
        <v>1</v>
      </c>
      <c r="N438" s="175">
        <v>1</v>
      </c>
    </row>
    <row r="440" spans="1:201" x14ac:dyDescent="0.2">
      <c r="A440" s="174" t="s">
        <v>136</v>
      </c>
      <c r="B440" s="174">
        <f>IF(G239,1,0)</f>
        <v>0</v>
      </c>
      <c r="C440" s="174">
        <f>IF(G240,1,0)</f>
        <v>0</v>
      </c>
      <c r="D440" s="174">
        <f>IF(G241,1,0)</f>
        <v>0</v>
      </c>
      <c r="E440" s="174">
        <f>IF(G242,1,0)</f>
        <v>0</v>
      </c>
      <c r="F440" s="174">
        <f>IF(G243,1,0)</f>
        <v>0</v>
      </c>
      <c r="G440" s="174">
        <f>IF(G244,1,0)</f>
        <v>0</v>
      </c>
      <c r="H440" s="174">
        <f>IF(G245,1,0)</f>
        <v>0</v>
      </c>
      <c r="I440" s="174">
        <f>IF(G246,1,0)</f>
        <v>0</v>
      </c>
      <c r="J440" s="174">
        <f>IF(G247,1,0)</f>
        <v>0</v>
      </c>
      <c r="K440" s="174">
        <f>IF(G248,1,0)</f>
        <v>0</v>
      </c>
      <c r="L440" s="174">
        <f>IF(G249,1,0)</f>
        <v>0</v>
      </c>
      <c r="M440" s="174">
        <f>IF(G250,1,0)</f>
        <v>0</v>
      </c>
      <c r="N440" s="174">
        <f>IF(G251,1,0)</f>
        <v>0</v>
      </c>
      <c r="O440" s="174">
        <f>IF(G252,1,0)</f>
        <v>0</v>
      </c>
      <c r="P440" s="174">
        <f>IF(G253,1,0)</f>
        <v>0</v>
      </c>
      <c r="Q440" s="174">
        <f>IF(G254,1,0)</f>
        <v>0</v>
      </c>
      <c r="R440" s="174">
        <f>IF(G255,1,0)</f>
        <v>0</v>
      </c>
      <c r="S440" s="174">
        <f>IF(G256,1,0)</f>
        <v>0</v>
      </c>
      <c r="T440" s="174">
        <f>IF(G257,1,0)</f>
        <v>0</v>
      </c>
      <c r="U440" s="174">
        <f>IF(G258,1,0)</f>
        <v>0</v>
      </c>
      <c r="V440" s="174">
        <f>IF(G259,1,0)</f>
        <v>0</v>
      </c>
      <c r="W440" s="174">
        <f>IF(G260,1,0)</f>
        <v>0</v>
      </c>
      <c r="X440" s="174">
        <f>IF(G261,1,0)</f>
        <v>0</v>
      </c>
      <c r="Y440" s="174">
        <f>IF(G262,1,0)</f>
        <v>0</v>
      </c>
      <c r="Z440" s="174">
        <f>IF(G263,1,0)</f>
        <v>0</v>
      </c>
      <c r="AA440" s="174">
        <f>IF(G264,1,0)</f>
        <v>0</v>
      </c>
      <c r="AB440" s="174">
        <f>IF(G265,1,0)</f>
        <v>0</v>
      </c>
      <c r="AC440" s="174">
        <f>IF(G266,1,0)</f>
        <v>0</v>
      </c>
      <c r="AD440" s="174">
        <f>IF(G267,1,0)</f>
        <v>0</v>
      </c>
      <c r="AE440" s="174">
        <f>IF(G268,1,0)</f>
        <v>0</v>
      </c>
      <c r="AF440" s="174">
        <f>IF(G269,1,0)</f>
        <v>0</v>
      </c>
      <c r="AG440" s="174">
        <f>IF(G270,1,0)</f>
        <v>0</v>
      </c>
      <c r="AH440" s="174">
        <f>IF(G271,1,0)</f>
        <v>0</v>
      </c>
      <c r="AI440" s="174">
        <f>IF(G272,1,0)</f>
        <v>0</v>
      </c>
      <c r="AJ440" s="174">
        <f>IF(G273,1,0)</f>
        <v>0</v>
      </c>
      <c r="AK440" s="174">
        <f>IF(G274,1,0)</f>
        <v>0</v>
      </c>
      <c r="AL440" s="174">
        <f>IF(G275,1,0)</f>
        <v>0</v>
      </c>
      <c r="AM440" s="174">
        <f>IF(G276,1,0)</f>
        <v>0</v>
      </c>
      <c r="AN440" s="174">
        <f>IF(G277,1,0)</f>
        <v>0</v>
      </c>
      <c r="AO440" s="174">
        <f>IF(G278,1,0)</f>
        <v>0</v>
      </c>
      <c r="AP440" s="174">
        <f>IF(G279,1,0)</f>
        <v>0</v>
      </c>
      <c r="AQ440" s="174">
        <f>IF(G280,1,0)</f>
        <v>0</v>
      </c>
      <c r="AR440" s="174">
        <f>IF(G281,1,0)</f>
        <v>0</v>
      </c>
      <c r="AS440" s="174">
        <f>IF(G282,1,0)</f>
        <v>0</v>
      </c>
      <c r="AT440" s="174">
        <f>IF(G283,1,0)</f>
        <v>0</v>
      </c>
      <c r="AU440" s="174">
        <f>IF(G284,1,0)</f>
        <v>0</v>
      </c>
      <c r="AV440" s="174">
        <f>IF(G285,1,0)</f>
        <v>0</v>
      </c>
      <c r="AW440" s="174">
        <f>IF(G286,1,0)</f>
        <v>0</v>
      </c>
      <c r="AX440" s="174">
        <f>IF(G287,1,0)</f>
        <v>0</v>
      </c>
      <c r="AY440" s="174">
        <f>IF(G288,1,0)</f>
        <v>0</v>
      </c>
      <c r="AZ440" s="174">
        <f>IF(G289,1,0)</f>
        <v>0</v>
      </c>
      <c r="BA440" s="174">
        <f>IF(G290,1,0)</f>
        <v>0</v>
      </c>
      <c r="BB440" s="174">
        <f>IF(G291,1,0)</f>
        <v>0</v>
      </c>
      <c r="BC440" s="174">
        <f>IF(G292,1,0)</f>
        <v>0</v>
      </c>
      <c r="BD440" s="174">
        <f>IF(G293,1,0)</f>
        <v>0</v>
      </c>
      <c r="BE440" s="174">
        <f>IF(G294,1,0)</f>
        <v>0</v>
      </c>
      <c r="BF440" s="174">
        <f>IF(G295,1,0)</f>
        <v>0</v>
      </c>
      <c r="BG440" s="174">
        <f>IF(G296,1,0)</f>
        <v>0</v>
      </c>
      <c r="BH440" s="174">
        <f>IF(G297,1,0)</f>
        <v>0</v>
      </c>
      <c r="BI440" s="174">
        <f>IF(G298,1,0)</f>
        <v>0</v>
      </c>
      <c r="BJ440" s="174">
        <f>IF(G299,1,0)</f>
        <v>0</v>
      </c>
      <c r="BK440" s="174">
        <f>IF(G300,1,0)</f>
        <v>0</v>
      </c>
      <c r="BL440" s="174">
        <f>IF(G301,1,0)</f>
        <v>0</v>
      </c>
      <c r="BM440" s="174">
        <f>IF(G302,1,0)</f>
        <v>0</v>
      </c>
      <c r="BN440" s="174">
        <f>IF(G303,1,0)</f>
        <v>0</v>
      </c>
      <c r="BO440" s="174">
        <f>IF(G304,1,0)</f>
        <v>0</v>
      </c>
      <c r="BP440" s="174">
        <f>IF(G305,1,0)</f>
        <v>0</v>
      </c>
      <c r="BQ440" s="174">
        <f>IF(G306,1,0)</f>
        <v>0</v>
      </c>
      <c r="BR440" s="174">
        <f>IF(G307,1,0)</f>
        <v>0</v>
      </c>
      <c r="BS440" s="174">
        <f>IF(G308,1,0)</f>
        <v>0</v>
      </c>
      <c r="BT440" s="174">
        <f>IF(G309,1,0)</f>
        <v>0</v>
      </c>
      <c r="BU440" s="174">
        <f>IF(G310,1,0)</f>
        <v>0</v>
      </c>
      <c r="BV440" s="174">
        <f>IF(G311,1,0)</f>
        <v>0</v>
      </c>
      <c r="BW440" s="174">
        <f>IF(G312,1,0)</f>
        <v>0</v>
      </c>
      <c r="BX440" s="174">
        <f>IF(G313,1,0)</f>
        <v>0</v>
      </c>
      <c r="BY440" s="174">
        <f>IF(G314,1,0)</f>
        <v>0</v>
      </c>
      <c r="BZ440" s="174">
        <f>IF(G315,1,0)</f>
        <v>0</v>
      </c>
      <c r="CA440" s="174">
        <f>IF(G316,1,0)</f>
        <v>0</v>
      </c>
      <c r="CB440" s="174">
        <f>IF(G317,1,0)</f>
        <v>0</v>
      </c>
      <c r="CC440" s="174">
        <f>IF(G318,1,0)</f>
        <v>0</v>
      </c>
      <c r="CD440" s="174">
        <f>IF(G319,1,0)</f>
        <v>0</v>
      </c>
      <c r="CE440" s="174">
        <f>IF(G320,1,0)</f>
        <v>0</v>
      </c>
      <c r="CF440" s="174">
        <f>IF(G321,1,0)</f>
        <v>0</v>
      </c>
      <c r="CG440" s="174">
        <f>IF(G322,1,0)</f>
        <v>0</v>
      </c>
      <c r="CH440" s="174">
        <f>IF(G323,1,0)</f>
        <v>0</v>
      </c>
      <c r="CI440" s="174">
        <f>IF(G324,1,0)</f>
        <v>0</v>
      </c>
      <c r="CJ440" s="174">
        <f>IF(G325,1,0)</f>
        <v>0</v>
      </c>
      <c r="CK440" s="174">
        <f>IF(G326,1,0)</f>
        <v>0</v>
      </c>
      <c r="CL440" s="174">
        <f>IF(G327,1,0)</f>
        <v>0</v>
      </c>
      <c r="CM440" s="174">
        <f>IF(G328,1,0)</f>
        <v>0</v>
      </c>
      <c r="CN440" s="174">
        <f>IF(G329,1,0)</f>
        <v>0</v>
      </c>
      <c r="CO440" s="174">
        <f>IF(G330,1,0)</f>
        <v>0</v>
      </c>
      <c r="CP440" s="174">
        <f>IF(G331,1,0)</f>
        <v>0</v>
      </c>
      <c r="CQ440" s="174">
        <f>IF(G332,1,0)</f>
        <v>0</v>
      </c>
      <c r="CR440" s="174">
        <f>IF(G333,1,0)</f>
        <v>0</v>
      </c>
      <c r="CS440" s="174">
        <f>IF(G334,1,0)</f>
        <v>0</v>
      </c>
      <c r="CT440" s="174">
        <f>IF(G335,1,0)</f>
        <v>0</v>
      </c>
      <c r="CU440" s="174">
        <f>IF(G336,1,0)</f>
        <v>0</v>
      </c>
      <c r="CV440" s="174">
        <f>IF(G337,1,0)</f>
        <v>0</v>
      </c>
      <c r="CW440" s="174">
        <f>IF(G338,1,0)</f>
        <v>0</v>
      </c>
      <c r="CX440" s="174">
        <f>IF(G339,1,0)</f>
        <v>0</v>
      </c>
      <c r="CY440" s="174">
        <f>IF(G340,1,0)</f>
        <v>0</v>
      </c>
      <c r="CZ440" s="174">
        <f>IF(G341,1,0)</f>
        <v>0</v>
      </c>
      <c r="DA440" s="174">
        <f>IF(G342,1,0)</f>
        <v>0</v>
      </c>
      <c r="DB440" s="174">
        <f>IF(G343,1,0)</f>
        <v>0</v>
      </c>
      <c r="DC440" s="174">
        <f>IF(G344,1,0)</f>
        <v>0</v>
      </c>
      <c r="DD440" s="174">
        <f>IF(G345,1,0)</f>
        <v>0</v>
      </c>
      <c r="DE440" s="174">
        <f>IF(G346,1,0)</f>
        <v>0</v>
      </c>
      <c r="DF440" s="174">
        <f>IF(G347,1,0)</f>
        <v>0</v>
      </c>
      <c r="DG440" s="174">
        <f>IF(G348,1,0)</f>
        <v>0</v>
      </c>
      <c r="DH440" s="174">
        <f>IF(G349,1,0)</f>
        <v>0</v>
      </c>
      <c r="DI440" s="174">
        <f>IF(G350,1,0)</f>
        <v>0</v>
      </c>
      <c r="DJ440" s="174">
        <f>IF(G351,1,0)</f>
        <v>0</v>
      </c>
      <c r="DK440" s="174">
        <f>IF(G352,1,0)</f>
        <v>0</v>
      </c>
      <c r="DL440" s="174">
        <f>IF(G353,1,0)</f>
        <v>0</v>
      </c>
      <c r="DM440" s="174">
        <f>IF(G354,1,0)</f>
        <v>0</v>
      </c>
      <c r="DN440" s="174">
        <f>IF(G355,1,0)</f>
        <v>0</v>
      </c>
      <c r="DO440" s="174">
        <f>IF(G356,1,0)</f>
        <v>0</v>
      </c>
      <c r="DP440" s="174">
        <f>IF(G357,1,0)</f>
        <v>0</v>
      </c>
      <c r="DQ440" s="174">
        <f>IF(G358,1,0)</f>
        <v>0</v>
      </c>
      <c r="DR440" s="174">
        <f>IF(G359,1,0)</f>
        <v>0</v>
      </c>
      <c r="DS440" s="174">
        <f>IF(G360,1,0)</f>
        <v>0</v>
      </c>
      <c r="DT440" s="174">
        <f>IF(G361,1,0)</f>
        <v>0</v>
      </c>
      <c r="DU440" s="174">
        <f>IF(G362,1,0)</f>
        <v>0</v>
      </c>
      <c r="DV440" s="174">
        <f>IF(G363,1,0)</f>
        <v>0</v>
      </c>
      <c r="DW440" s="174">
        <f>IF(G364,1,0)</f>
        <v>0</v>
      </c>
      <c r="DX440" s="174">
        <f>IF(G365,1,0)</f>
        <v>0</v>
      </c>
      <c r="DY440" s="174">
        <f>IF(G366,1,0)</f>
        <v>0</v>
      </c>
      <c r="DZ440" s="174">
        <f>IF(G367,1,0)</f>
        <v>0</v>
      </c>
      <c r="EA440" s="174">
        <f>IF(G368,1,0)</f>
        <v>0</v>
      </c>
      <c r="EB440" s="174">
        <f>IF(G369,1,0)</f>
        <v>0</v>
      </c>
      <c r="EC440" s="174">
        <f>IF(G370,1,0)</f>
        <v>0</v>
      </c>
      <c r="ED440" s="174">
        <f>IF(G371,1,0)</f>
        <v>0</v>
      </c>
      <c r="EE440" s="174">
        <f>IF(G372,1,0)</f>
        <v>0</v>
      </c>
      <c r="EF440" s="174">
        <f>IF(G373,1,0)</f>
        <v>0</v>
      </c>
      <c r="EG440" s="174">
        <f>IF(G374,1,0)</f>
        <v>0</v>
      </c>
      <c r="EH440" s="174">
        <f>IF(G375,1,0)</f>
        <v>0</v>
      </c>
      <c r="EI440" s="174">
        <f>IF(G376,1,0)</f>
        <v>0</v>
      </c>
      <c r="EJ440" s="174">
        <f>IF(G377,1,0)</f>
        <v>0</v>
      </c>
      <c r="EK440" s="174">
        <f>IF(G378,1,0)</f>
        <v>0</v>
      </c>
      <c r="EL440" s="174">
        <f>IF(G379,1,0)</f>
        <v>0</v>
      </c>
      <c r="EM440" s="174">
        <f>IF(G380,1,0)</f>
        <v>0</v>
      </c>
      <c r="EN440" s="174">
        <f>IF(G381,1,0)</f>
        <v>0</v>
      </c>
      <c r="EO440" s="174">
        <f>IF(G382,1,0)</f>
        <v>0</v>
      </c>
      <c r="EP440" s="174">
        <f>IF(G383,1,0)</f>
        <v>0</v>
      </c>
      <c r="EQ440" s="174">
        <f>IF(G384,1,0)</f>
        <v>0</v>
      </c>
      <c r="ER440" s="174">
        <f>IF(G385,1,0)</f>
        <v>0</v>
      </c>
      <c r="ES440" s="174">
        <f>IF(G386,1,0)</f>
        <v>0</v>
      </c>
      <c r="ET440" s="174">
        <f>IF(G387,1,0)</f>
        <v>0</v>
      </c>
      <c r="EU440" s="174">
        <f>IF(G388,1,0)</f>
        <v>0</v>
      </c>
      <c r="EV440" s="174">
        <f>IF(G389,1,0)</f>
        <v>0</v>
      </c>
      <c r="EW440" s="174">
        <f>IF(G390,1,0)</f>
        <v>0</v>
      </c>
      <c r="EX440" s="174">
        <f>IF(G391,1,0)</f>
        <v>0</v>
      </c>
      <c r="EY440" s="174">
        <f>IF(G392,1,0)</f>
        <v>0</v>
      </c>
      <c r="EZ440" s="174">
        <f>IF(G393,1,0)</f>
        <v>0</v>
      </c>
      <c r="FA440" s="174">
        <f>IF(G394,1,0)</f>
        <v>0</v>
      </c>
      <c r="FB440" s="174">
        <f>IF(G395,1,0)</f>
        <v>0</v>
      </c>
      <c r="FC440" s="174">
        <f>IF(G396,1,0)</f>
        <v>0</v>
      </c>
      <c r="FD440" s="174">
        <f>IF(G397,1,0)</f>
        <v>0</v>
      </c>
      <c r="FE440" s="174">
        <f>IF(G398,1,0)</f>
        <v>0</v>
      </c>
      <c r="FF440" s="174">
        <f>IF(G399,1,0)</f>
        <v>0</v>
      </c>
      <c r="FG440" s="174">
        <f>IF(G400,1,0)</f>
        <v>0</v>
      </c>
      <c r="FH440" s="174">
        <f>IF(G401,1,0)</f>
        <v>0</v>
      </c>
      <c r="FI440" s="174">
        <f>IF(G402,1,0)</f>
        <v>0</v>
      </c>
      <c r="FJ440" s="174">
        <f>IF(G403,1,0)</f>
        <v>0</v>
      </c>
      <c r="FK440" s="174">
        <f>IF(G404,1,0)</f>
        <v>0</v>
      </c>
      <c r="FL440" s="174">
        <f>IF(G405,1,0)</f>
        <v>0</v>
      </c>
      <c r="FM440" s="174">
        <f>IF(G406,1,0)</f>
        <v>0</v>
      </c>
      <c r="FN440" s="174">
        <f>IF(G407,1,0)</f>
        <v>0</v>
      </c>
      <c r="FO440" s="174">
        <f>IF(G408,1,0)</f>
        <v>0</v>
      </c>
      <c r="FP440" s="174">
        <f>IF(G409,1,0)</f>
        <v>0</v>
      </c>
      <c r="FQ440" s="174">
        <f>IF(G410,1,0)</f>
        <v>0</v>
      </c>
      <c r="FR440" s="174">
        <f>IF(G411,1,0)</f>
        <v>0</v>
      </c>
      <c r="FS440" s="174">
        <f>IF(G412,1,0)</f>
        <v>0</v>
      </c>
      <c r="FT440" s="174">
        <f>IF(G413,1,0)</f>
        <v>0</v>
      </c>
      <c r="FU440" s="174">
        <f>IF(G414,1,0)</f>
        <v>0</v>
      </c>
      <c r="FV440" s="174">
        <f>IF(G415,1,0)</f>
        <v>0</v>
      </c>
      <c r="FW440" s="174">
        <f>IF(G416,1,0)</f>
        <v>0</v>
      </c>
      <c r="FX440" s="174">
        <f>IF(G417,1,0)</f>
        <v>0</v>
      </c>
      <c r="FY440" s="174">
        <f>IF(G418,1,0)</f>
        <v>0</v>
      </c>
      <c r="FZ440" s="174">
        <f>IF(G419,1,0)</f>
        <v>0</v>
      </c>
      <c r="GA440" s="174">
        <f>IF(G420,1,0)</f>
        <v>0</v>
      </c>
      <c r="GB440" s="174">
        <f>IF(G421,1,0)</f>
        <v>0</v>
      </c>
      <c r="GC440" s="174">
        <f>IF(G422,1,0)</f>
        <v>0</v>
      </c>
      <c r="GD440" s="174">
        <f>IF(G423,1,0)</f>
        <v>0</v>
      </c>
      <c r="GE440" s="174">
        <f>IF(G424,1,0)</f>
        <v>0</v>
      </c>
      <c r="GF440" s="174">
        <f>IF(G425,1,0)</f>
        <v>0</v>
      </c>
      <c r="GG440" s="174">
        <f>IF(G426,1,0)</f>
        <v>0</v>
      </c>
      <c r="GH440" s="174">
        <f>IF(G427,1,0)</f>
        <v>0</v>
      </c>
      <c r="GI440" s="174">
        <f>IF(G428,1,0)</f>
        <v>0</v>
      </c>
      <c r="GJ440" s="174">
        <f>IF(G429,1,0)</f>
        <v>0</v>
      </c>
      <c r="GK440" s="174">
        <f>IF(G430,1,0)</f>
        <v>0</v>
      </c>
      <c r="GL440" s="174">
        <f>IF(G431,1,0)</f>
        <v>0</v>
      </c>
      <c r="GM440" s="174">
        <f>IF(G432,1,0)</f>
        <v>0</v>
      </c>
      <c r="GN440" s="174">
        <f>IF(G433,1,0)</f>
        <v>0</v>
      </c>
      <c r="GO440" s="174">
        <f>IF(G434,1,0)</f>
        <v>0</v>
      </c>
      <c r="GP440" s="174">
        <f>IF(G435,1,0)</f>
        <v>0</v>
      </c>
      <c r="GQ440" s="174">
        <f>IF(G436,1,0)</f>
        <v>0</v>
      </c>
      <c r="GR440" s="174">
        <f>IF(G437,1,0)</f>
        <v>0</v>
      </c>
      <c r="GS440" s="174">
        <f>IF(G438,1,0)</f>
        <v>0</v>
      </c>
    </row>
    <row r="442" spans="1:201" x14ac:dyDescent="0.2">
      <c r="A442" s="174" t="s">
        <v>134</v>
      </c>
      <c r="B442" s="174">
        <f>IF($T$41,L239,1)</f>
        <v>1</v>
      </c>
      <c r="C442" s="174">
        <f>IF($T$41,L240,1)</f>
        <v>1</v>
      </c>
      <c r="D442" s="174">
        <f>IF($T$41,L241,1)</f>
        <v>1</v>
      </c>
      <c r="E442" s="174">
        <f>IF($T$41,L242,1)</f>
        <v>1</v>
      </c>
      <c r="F442" s="174">
        <f>IF($T$41,L243,1)</f>
        <v>1</v>
      </c>
      <c r="G442" s="174">
        <f>IF($T$41,L244,1)</f>
        <v>1</v>
      </c>
      <c r="H442" s="174">
        <f>IF($T$41,L245,1)</f>
        <v>1</v>
      </c>
      <c r="I442" s="174">
        <f>IF($T$41,L246,1)</f>
        <v>1</v>
      </c>
      <c r="J442" s="174">
        <f>IF($T$41,L247,1)</f>
        <v>1</v>
      </c>
      <c r="K442" s="174">
        <f>IF($T$41,L248,1)</f>
        <v>1</v>
      </c>
      <c r="L442" s="174">
        <f>IF($T$41,L249,1)</f>
        <v>1</v>
      </c>
      <c r="M442" s="174">
        <f>IF($T$41,L250,1)</f>
        <v>1</v>
      </c>
      <c r="N442" s="174">
        <f>IF($T$41,L251,1)</f>
        <v>1</v>
      </c>
      <c r="O442" s="174">
        <f>IF($T$41,L252,1)</f>
        <v>1</v>
      </c>
      <c r="P442" s="174">
        <f>IF($T$41,L253,1)</f>
        <v>1</v>
      </c>
      <c r="Q442" s="174">
        <f>IF($T$41,L254,1)</f>
        <v>1</v>
      </c>
      <c r="R442" s="174">
        <f>IF($T$41,L255,1)</f>
        <v>1</v>
      </c>
      <c r="S442" s="174">
        <f>IF($T$41,L256,1)</f>
        <v>1</v>
      </c>
      <c r="T442" s="174">
        <f>IF($T$41,L257,1)</f>
        <v>1</v>
      </c>
      <c r="U442" s="174">
        <f>IF($T$41,L258,1)</f>
        <v>1</v>
      </c>
      <c r="V442" s="174">
        <f>IF($T$41,L259,1)</f>
        <v>1</v>
      </c>
      <c r="W442" s="174">
        <f>IF($T$41,L260,1)</f>
        <v>1</v>
      </c>
      <c r="X442" s="174">
        <f>IF($T$41,L261,1)</f>
        <v>1</v>
      </c>
      <c r="Y442" s="174">
        <f>IF($T$41,L262,1)</f>
        <v>1</v>
      </c>
      <c r="Z442" s="174">
        <f>IF($T$41,L263,1)</f>
        <v>1</v>
      </c>
      <c r="AA442" s="174">
        <f>IF($T$41,L264,1)</f>
        <v>1</v>
      </c>
      <c r="AB442" s="174">
        <f>IF($T$41,L265,1)</f>
        <v>1</v>
      </c>
      <c r="AC442" s="174">
        <f>IF($T$41,L266,1)</f>
        <v>1</v>
      </c>
      <c r="AD442" s="174">
        <f>IF($T$41,L267,1)</f>
        <v>1</v>
      </c>
      <c r="AE442" s="174">
        <f>IF($T$41,L268,1)</f>
        <v>1</v>
      </c>
      <c r="AF442" s="174">
        <f>IF($T$41,L269,1)</f>
        <v>1</v>
      </c>
      <c r="AG442" s="174">
        <f>IF($T$41,L270,1)</f>
        <v>1</v>
      </c>
      <c r="AH442" s="174">
        <f>IF($T$41,L271,1)</f>
        <v>1</v>
      </c>
      <c r="AI442" s="174">
        <f>IF($T$41,L272,1)</f>
        <v>1</v>
      </c>
      <c r="AJ442" s="174">
        <f>IF($T$41,L273,1)</f>
        <v>1</v>
      </c>
      <c r="AK442" s="174">
        <f>IF($T$41,L274,1)</f>
        <v>1</v>
      </c>
      <c r="AL442" s="174">
        <f>IF($T$41,L275,1)</f>
        <v>1</v>
      </c>
      <c r="AM442" s="174">
        <f>IF($T$41,L276,1)</f>
        <v>1</v>
      </c>
      <c r="AN442" s="174">
        <f>IF($T$41,L277,1)</f>
        <v>1</v>
      </c>
      <c r="AO442" s="174">
        <f>IF($T$41,L278,1)</f>
        <v>1</v>
      </c>
      <c r="AP442" s="174">
        <f>IF($T$41,L279,1)</f>
        <v>1</v>
      </c>
      <c r="AQ442" s="174">
        <f>IF($T$41,L280,1)</f>
        <v>1</v>
      </c>
      <c r="AR442" s="174">
        <f>IF($T$41,L281,1)</f>
        <v>1</v>
      </c>
      <c r="AS442" s="174">
        <f>IF($T$41,L282,1)</f>
        <v>1</v>
      </c>
      <c r="AT442" s="174">
        <f>IF($T$41,L283,1)</f>
        <v>1</v>
      </c>
      <c r="AU442" s="174">
        <f>IF($T$41,L284,1)</f>
        <v>1</v>
      </c>
      <c r="AV442" s="174">
        <f>IF($T$41,L285,1)</f>
        <v>1</v>
      </c>
      <c r="AW442" s="174">
        <f>IF($T$41,L286,1)</f>
        <v>1</v>
      </c>
      <c r="AX442" s="174">
        <f>IF($T$41,L287,1)</f>
        <v>1</v>
      </c>
      <c r="AY442" s="174">
        <f>IF($T$41,L288,1)</f>
        <v>1</v>
      </c>
      <c r="AZ442" s="174">
        <f>IF($T$41,L289,1)</f>
        <v>1</v>
      </c>
      <c r="BA442" s="174">
        <f>IF($T$41,L290,1)</f>
        <v>1</v>
      </c>
      <c r="BB442" s="174">
        <f>IF($T$41,L291,1)</f>
        <v>1</v>
      </c>
      <c r="BC442" s="174">
        <f>IF($T$41,L292,1)</f>
        <v>1</v>
      </c>
      <c r="BD442" s="174">
        <f>IF($T$41,L293,1)</f>
        <v>1</v>
      </c>
      <c r="BE442" s="174">
        <f>IF($T$41,L294,1)</f>
        <v>1</v>
      </c>
      <c r="BF442" s="174">
        <f>IF($T$41,L295,1)</f>
        <v>1</v>
      </c>
      <c r="BG442" s="174">
        <f>IF($T$41,L296,1)</f>
        <v>1</v>
      </c>
      <c r="BH442" s="174">
        <f>IF($T$41,L297,1)</f>
        <v>1</v>
      </c>
      <c r="BI442" s="174">
        <f>IF($T$41,L298,1)</f>
        <v>1</v>
      </c>
      <c r="BJ442" s="174">
        <f>IF($T$41,L299,1)</f>
        <v>1</v>
      </c>
      <c r="BK442" s="174">
        <f>IF($T$41,L300,1)</f>
        <v>1</v>
      </c>
      <c r="BL442" s="174">
        <f>IF($T$41,L301,1)</f>
        <v>1</v>
      </c>
      <c r="BM442" s="174">
        <f>IF($T$41,L302,1)</f>
        <v>1</v>
      </c>
      <c r="BN442" s="174">
        <f>IF($T$41,L303,1)</f>
        <v>1</v>
      </c>
      <c r="BO442" s="174">
        <f>IF($T$41,L304,1)</f>
        <v>1</v>
      </c>
      <c r="BP442" s="174">
        <f>IF($T$41,L305,1)</f>
        <v>1</v>
      </c>
      <c r="BQ442" s="174">
        <f>IF($T$41,L306,1)</f>
        <v>1</v>
      </c>
      <c r="BR442" s="174">
        <f>IF($T$41,L307,1)</f>
        <v>1</v>
      </c>
      <c r="BS442" s="174">
        <f>IF($T$41,L308,1)</f>
        <v>1</v>
      </c>
      <c r="BT442" s="174">
        <f>IF($T$41,L309,1)</f>
        <v>1</v>
      </c>
      <c r="BU442" s="174">
        <f>IF($T$41,L310,1)</f>
        <v>1</v>
      </c>
      <c r="BV442" s="174">
        <f>IF($T$41,L311,1)</f>
        <v>1</v>
      </c>
      <c r="BW442" s="174">
        <f>IF($T$41,L312,1)</f>
        <v>1</v>
      </c>
      <c r="BX442" s="174">
        <f>IF($T$41,L313,1)</f>
        <v>1</v>
      </c>
      <c r="BY442" s="174">
        <f>IF($T$41,L314,1)</f>
        <v>1</v>
      </c>
      <c r="BZ442" s="174">
        <f>IF($T$41,L315,1)</f>
        <v>1</v>
      </c>
      <c r="CA442" s="174">
        <f>IF($T$41,L316,1)</f>
        <v>1</v>
      </c>
      <c r="CB442" s="174">
        <f>IF($T$41,L317,1)</f>
        <v>1</v>
      </c>
      <c r="CC442" s="174">
        <f>IF($T$41,L318,1)</f>
        <v>1</v>
      </c>
      <c r="CD442" s="174">
        <f>IF($T$41,L319,1)</f>
        <v>1</v>
      </c>
      <c r="CE442" s="174">
        <f>IF($T$41,L320,1)</f>
        <v>1</v>
      </c>
      <c r="CF442" s="174">
        <f>IF($T$41,L321,1)</f>
        <v>1</v>
      </c>
      <c r="CG442" s="174">
        <f>IF($T$41,L322,1)</f>
        <v>1</v>
      </c>
      <c r="CH442" s="174">
        <f>IF($T$41,L323,1)</f>
        <v>1</v>
      </c>
      <c r="CI442" s="174">
        <f>IF($T$41,L324,1)</f>
        <v>1</v>
      </c>
      <c r="CJ442" s="174">
        <f>IF($T$41,L325,1)</f>
        <v>1</v>
      </c>
      <c r="CK442" s="174">
        <f>IF($T$41,L326,1)</f>
        <v>1</v>
      </c>
      <c r="CL442" s="174">
        <f>IF($T$41,L327,1)</f>
        <v>1</v>
      </c>
      <c r="CM442" s="174">
        <f>IF($T$41,L328,1)</f>
        <v>1</v>
      </c>
      <c r="CN442" s="174">
        <f>IF($T$41,L329,1)</f>
        <v>1</v>
      </c>
      <c r="CO442" s="174">
        <f>IF($T$41,L330,1)</f>
        <v>1</v>
      </c>
      <c r="CP442" s="174">
        <f>IF($T$41,L331,1)</f>
        <v>1</v>
      </c>
      <c r="CQ442" s="174">
        <f>IF($T$41,L332,1)</f>
        <v>1</v>
      </c>
      <c r="CR442" s="174">
        <f>IF($T$41,L333,1)</f>
        <v>1</v>
      </c>
      <c r="CS442" s="174">
        <f>IF($T$41,L334,1)</f>
        <v>1</v>
      </c>
      <c r="CT442" s="174">
        <f>IF($T$41,L335,1)</f>
        <v>1</v>
      </c>
      <c r="CU442" s="174">
        <f>IF($T$41,L336,1)</f>
        <v>1</v>
      </c>
      <c r="CV442" s="174">
        <f>IF($T$41,L337,1)</f>
        <v>1</v>
      </c>
      <c r="CW442" s="174">
        <f>IF($T$41,L338,1)</f>
        <v>1</v>
      </c>
      <c r="CX442" s="174">
        <f>IF($T$41,L339,1)</f>
        <v>1</v>
      </c>
      <c r="CY442" s="174">
        <f>IF($T$41,L340,1)</f>
        <v>1</v>
      </c>
      <c r="CZ442" s="174">
        <f>IF($T$41,L341,1)</f>
        <v>1</v>
      </c>
      <c r="DA442" s="174">
        <f>IF($T$41,L342,1)</f>
        <v>1</v>
      </c>
      <c r="DB442" s="174">
        <f>IF($T$41,L343,1)</f>
        <v>1</v>
      </c>
      <c r="DC442" s="174">
        <f>IF($T$41,L344,1)</f>
        <v>1</v>
      </c>
      <c r="DD442" s="174">
        <f>IF($T$41,L345,1)</f>
        <v>1</v>
      </c>
      <c r="DE442" s="174">
        <f>IF($T$41,L346,1)</f>
        <v>1</v>
      </c>
      <c r="DF442" s="174">
        <f>IF($T$41,L347,1)</f>
        <v>1</v>
      </c>
      <c r="DG442" s="174">
        <f>IF($T$41,L348,1)</f>
        <v>1</v>
      </c>
      <c r="DH442" s="174">
        <f>IF($T$41,L349,1)</f>
        <v>1</v>
      </c>
      <c r="DI442" s="174">
        <f>IF($T$41,L350,1)</f>
        <v>1</v>
      </c>
      <c r="DJ442" s="174">
        <f>IF($T$41,L351,1)</f>
        <v>1</v>
      </c>
      <c r="DK442" s="174">
        <f>IF($T$41,L352,1)</f>
        <v>1</v>
      </c>
      <c r="DL442" s="174">
        <f>IF($T$41,L353,1)</f>
        <v>1</v>
      </c>
      <c r="DM442" s="174">
        <f>IF($T$41,L354,1)</f>
        <v>1</v>
      </c>
      <c r="DN442" s="174">
        <f>IF($T$41,L355,1)</f>
        <v>1</v>
      </c>
      <c r="DO442" s="174">
        <f>IF($T$41,L356,1)</f>
        <v>1</v>
      </c>
      <c r="DP442" s="174">
        <f>IF($T$41,L357,1)</f>
        <v>1</v>
      </c>
      <c r="DQ442" s="174">
        <f>IF($T$41,L358,1)</f>
        <v>1</v>
      </c>
      <c r="DR442" s="174">
        <f>IF($T$41,L359,1)</f>
        <v>1</v>
      </c>
      <c r="DS442" s="174">
        <f>IF($T$41,L360,1)</f>
        <v>1</v>
      </c>
      <c r="DT442" s="174">
        <f>IF($T$41,L361,1)</f>
        <v>1</v>
      </c>
      <c r="DU442" s="174">
        <f>IF($T$41,L362,1)</f>
        <v>1</v>
      </c>
      <c r="DV442" s="174">
        <f>IF($T$41,L363,1)</f>
        <v>1</v>
      </c>
      <c r="DW442" s="174">
        <f>IF($T$41,L364,1)</f>
        <v>1</v>
      </c>
      <c r="DX442" s="174">
        <f>IF($T$41,L365,1)</f>
        <v>1</v>
      </c>
      <c r="DY442" s="174">
        <f>IF($T$41,L366,1)</f>
        <v>1</v>
      </c>
      <c r="DZ442" s="174">
        <f>IF($T$41,L367,1)</f>
        <v>1</v>
      </c>
      <c r="EA442" s="174">
        <f>IF($T$41,L368,1)</f>
        <v>1</v>
      </c>
      <c r="EB442" s="174">
        <f>IF($T$41,L369,1)</f>
        <v>1</v>
      </c>
      <c r="EC442" s="174">
        <f>IF($T$41,L370,1)</f>
        <v>1</v>
      </c>
      <c r="ED442" s="174">
        <f>IF($T$41,L371,1)</f>
        <v>1</v>
      </c>
      <c r="EE442" s="174">
        <f>IF($T$41,L372,1)</f>
        <v>1</v>
      </c>
      <c r="EF442" s="174">
        <f>IF($T$41,L373,1)</f>
        <v>1</v>
      </c>
      <c r="EG442" s="174">
        <f>IF($T$41,L374,1)</f>
        <v>1</v>
      </c>
      <c r="EH442" s="174">
        <f>IF($T$41,L375,1)</f>
        <v>1</v>
      </c>
      <c r="EI442" s="174">
        <f>IF($T$41,L376,1)</f>
        <v>1</v>
      </c>
      <c r="EJ442" s="174">
        <f>IF($T$41,L377,1)</f>
        <v>1</v>
      </c>
      <c r="EK442" s="174">
        <f>IF($T$41,L378,1)</f>
        <v>1</v>
      </c>
      <c r="EL442" s="174">
        <f>IF($T$41,L379,1)</f>
        <v>1</v>
      </c>
      <c r="EM442" s="174">
        <f>IF($T$41,L380,1)</f>
        <v>1</v>
      </c>
      <c r="EN442" s="174">
        <f>IF($T$41,L381,1)</f>
        <v>1</v>
      </c>
      <c r="EO442" s="174">
        <f>IF($T$41,L382,1)</f>
        <v>1</v>
      </c>
      <c r="EP442" s="174">
        <f>IF($T$41,L383,1)</f>
        <v>1</v>
      </c>
      <c r="EQ442" s="174">
        <f>IF($T$41,L384,1)</f>
        <v>1</v>
      </c>
      <c r="ER442" s="174">
        <f>IF($T$41,L385,1)</f>
        <v>1</v>
      </c>
      <c r="ES442" s="174">
        <f>IF($T$41,L386,1)</f>
        <v>1</v>
      </c>
      <c r="ET442" s="174">
        <f>IF($T$41,L387,1)</f>
        <v>1</v>
      </c>
      <c r="EU442" s="174">
        <f>IF($T$41,L388,1)</f>
        <v>1</v>
      </c>
      <c r="EV442" s="174">
        <f>IF($T$41,L389,1)</f>
        <v>1</v>
      </c>
      <c r="EW442" s="174">
        <f>IF($T$41,L390,1)</f>
        <v>1</v>
      </c>
      <c r="EX442" s="174">
        <f>IF($T$41,L391,1)</f>
        <v>1</v>
      </c>
      <c r="EY442" s="174">
        <f>IF($T$41,L392,1)</f>
        <v>1</v>
      </c>
      <c r="EZ442" s="174">
        <f>IF($T$41,L393,1)</f>
        <v>1</v>
      </c>
      <c r="FA442" s="174">
        <f>IF($T$41,L394,1)</f>
        <v>1</v>
      </c>
      <c r="FB442" s="174">
        <f>IF($T$41,L395,1)</f>
        <v>1</v>
      </c>
      <c r="FC442" s="174">
        <f>IF($T$41,L396,1)</f>
        <v>1</v>
      </c>
      <c r="FD442" s="174">
        <f>IF($T$41,L397,1)</f>
        <v>1</v>
      </c>
      <c r="FE442" s="174">
        <f>IF($T$41,L398,1)</f>
        <v>1</v>
      </c>
      <c r="FF442" s="174">
        <f>IF($T$41,L399,1)</f>
        <v>1</v>
      </c>
      <c r="FG442" s="174">
        <f>IF($T$41,L400,1)</f>
        <v>1</v>
      </c>
      <c r="FH442" s="174">
        <f>IF($T$41,L401,1)</f>
        <v>1</v>
      </c>
      <c r="FI442" s="174">
        <f>IF($T$41,L402,1)</f>
        <v>1</v>
      </c>
      <c r="FJ442" s="174">
        <f>IF($T$41,L403,1)</f>
        <v>1</v>
      </c>
      <c r="FK442" s="174">
        <f>IF($T$41,L404,1)</f>
        <v>1</v>
      </c>
      <c r="FL442" s="174">
        <f>IF($T$41,L405,1)</f>
        <v>1</v>
      </c>
      <c r="FM442" s="174">
        <f>IF($T$41,L406,1)</f>
        <v>1</v>
      </c>
      <c r="FN442" s="174">
        <f>IF($T$41,L407,1)</f>
        <v>1</v>
      </c>
      <c r="FO442" s="174">
        <f>IF($T$41,L408,1)</f>
        <v>1</v>
      </c>
      <c r="FP442" s="174">
        <f>IF($T$41,L409,1)</f>
        <v>1</v>
      </c>
      <c r="FQ442" s="174">
        <f>IF($T$41,L410,1)</f>
        <v>1</v>
      </c>
      <c r="FR442" s="174">
        <f>IF($T$41,L411,1)</f>
        <v>1</v>
      </c>
      <c r="FS442" s="174">
        <f>IF($T$41,L412,1)</f>
        <v>1</v>
      </c>
      <c r="FT442" s="174">
        <f>IF($T$41,L413,1)</f>
        <v>1</v>
      </c>
      <c r="FU442" s="174">
        <f>IF($T$41,L414,1)</f>
        <v>1</v>
      </c>
      <c r="FV442" s="174">
        <f>IF($T$41,L415,1)</f>
        <v>1</v>
      </c>
      <c r="FW442" s="174">
        <f>IF($T$41,L416,1)</f>
        <v>1</v>
      </c>
      <c r="FX442" s="174">
        <f>IF($T$41,L417,1)</f>
        <v>1</v>
      </c>
      <c r="FY442" s="174">
        <f>IF($T$41,L418,1)</f>
        <v>1</v>
      </c>
      <c r="FZ442" s="174">
        <f>IF($T$41,L419,1)</f>
        <v>1</v>
      </c>
      <c r="GA442" s="174">
        <f>IF($T$41,L420,1)</f>
        <v>1</v>
      </c>
      <c r="GB442" s="174">
        <f>IF($T$41,L421,1)</f>
        <v>1</v>
      </c>
      <c r="GC442" s="174">
        <f>IF($T$41,L422,1)</f>
        <v>1</v>
      </c>
      <c r="GD442" s="174">
        <f>IF($T$41,L423,1)</f>
        <v>1</v>
      </c>
      <c r="GE442" s="174">
        <f>IF($T$41,L424,1)</f>
        <v>1</v>
      </c>
      <c r="GF442" s="174">
        <f>IF($T$41,L425,1)</f>
        <v>1</v>
      </c>
      <c r="GG442" s="174">
        <f>IF($T$41,L426,1)</f>
        <v>1</v>
      </c>
      <c r="GH442" s="174">
        <f>IF($T$41,L427,1)</f>
        <v>1</v>
      </c>
      <c r="GI442" s="174">
        <f>IF($T$41,L428,1)</f>
        <v>1</v>
      </c>
      <c r="GJ442" s="174">
        <f>IF($T$41,L429,1)</f>
        <v>1</v>
      </c>
      <c r="GK442" s="174">
        <f>IF($T$41,L430,1)</f>
        <v>1</v>
      </c>
      <c r="GL442" s="174">
        <f>IF($T$41,L431,1)</f>
        <v>1</v>
      </c>
      <c r="GM442" s="174">
        <f>IF($T$41,L432,1)</f>
        <v>1</v>
      </c>
      <c r="GN442" s="174">
        <f>IF($T$41,L433,1)</f>
        <v>1</v>
      </c>
      <c r="GO442" s="174">
        <f>IF($T$41,L434,1)</f>
        <v>1</v>
      </c>
      <c r="GP442" s="174">
        <f>IF($T$41,L435,1)</f>
        <v>1</v>
      </c>
      <c r="GQ442" s="174">
        <f>IF($T$41,L436,1)</f>
        <v>1</v>
      </c>
      <c r="GR442" s="174">
        <f>IF($T$41,L437,1)</f>
        <v>1</v>
      </c>
      <c r="GS442" s="174">
        <f>IF($T$41,L438,1)</f>
        <v>1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28" zoomScaleNormal="100" workbookViewId="0">
      <selection activeCell="B9" sqref="B9"/>
    </sheetView>
  </sheetViews>
  <sheetFormatPr defaultRowHeight="12" x14ac:dyDescent="0.2"/>
  <cols>
    <col min="1" max="1" width="4.5" style="204" bestFit="1" customWidth="1"/>
    <col min="2" max="2" width="9" style="203"/>
    <col min="3" max="3" width="3.875" style="204" customWidth="1"/>
    <col min="4" max="4" width="37.375" style="203" customWidth="1"/>
    <col min="5" max="5" width="16.625" style="203" customWidth="1"/>
    <col min="6" max="6" width="4.875" style="203" customWidth="1"/>
    <col min="7" max="7" width="15.625" style="203" customWidth="1"/>
    <col min="8" max="9" width="9.375" style="203" customWidth="1"/>
    <col min="10" max="10" width="9" style="203"/>
    <col min="11" max="11" width="3" style="203" customWidth="1"/>
    <col min="12" max="16384" width="9" style="203"/>
  </cols>
  <sheetData>
    <row r="1" spans="1:14" x14ac:dyDescent="0.2">
      <c r="A1" s="201" t="s">
        <v>10</v>
      </c>
      <c r="B1" s="202" t="s">
        <v>114</v>
      </c>
      <c r="C1" s="201"/>
      <c r="D1" s="202"/>
      <c r="E1" s="201" t="s">
        <v>115</v>
      </c>
      <c r="F1" s="201"/>
      <c r="G1" s="201" t="s">
        <v>116</v>
      </c>
      <c r="H1" s="201"/>
      <c r="I1" s="201"/>
      <c r="L1" s="204"/>
      <c r="N1" s="204"/>
    </row>
    <row r="2" spans="1:14" x14ac:dyDescent="0.2">
      <c r="A2" s="203">
        <v>1</v>
      </c>
      <c r="B2" s="203" t="s">
        <v>229</v>
      </c>
      <c r="C2" s="203"/>
      <c r="E2" s="203" t="s">
        <v>117</v>
      </c>
      <c r="G2" s="203">
        <v>1235</v>
      </c>
      <c r="H2" s="203" t="s">
        <v>12</v>
      </c>
      <c r="I2" s="203">
        <v>7.477597481230322E-2</v>
      </c>
    </row>
    <row r="3" spans="1:14" x14ac:dyDescent="0.2">
      <c r="A3" s="203">
        <v>1</v>
      </c>
      <c r="B3" s="203" t="s">
        <v>229</v>
      </c>
      <c r="C3" s="203"/>
      <c r="E3" s="203" t="s">
        <v>118</v>
      </c>
      <c r="G3" s="203">
        <v>18</v>
      </c>
      <c r="H3" s="203" t="s">
        <v>13</v>
      </c>
      <c r="I3" s="203">
        <v>1.0898522644708162E-3</v>
      </c>
    </row>
    <row r="4" spans="1:14" x14ac:dyDescent="0.2">
      <c r="A4" s="203">
        <v>1</v>
      </c>
      <c r="B4" s="203" t="s">
        <v>229</v>
      </c>
      <c r="C4" s="203"/>
      <c r="E4" s="203" t="s">
        <v>119</v>
      </c>
      <c r="G4" s="203">
        <v>15263</v>
      </c>
      <c r="H4" s="203" t="s">
        <v>14</v>
      </c>
      <c r="I4" s="203">
        <v>0.92413417292322597</v>
      </c>
    </row>
    <row r="5" spans="1:14" x14ac:dyDescent="0.2">
      <c r="A5" s="203"/>
      <c r="C5" s="203"/>
      <c r="E5" s="203" t="s">
        <v>122</v>
      </c>
      <c r="G5" s="203">
        <v>16516</v>
      </c>
      <c r="H5" s="203" t="s">
        <v>15</v>
      </c>
      <c r="I5" s="203">
        <v>1</v>
      </c>
    </row>
    <row r="6" spans="1:14" x14ac:dyDescent="0.2">
      <c r="A6" s="203"/>
      <c r="C6" s="203"/>
    </row>
    <row r="7" spans="1:14" x14ac:dyDescent="0.2">
      <c r="A7" s="203">
        <v>2</v>
      </c>
      <c r="B7" s="203" t="s">
        <v>230</v>
      </c>
      <c r="C7" s="203"/>
      <c r="E7" s="203" t="s">
        <v>117</v>
      </c>
      <c r="G7" s="203">
        <v>145</v>
      </c>
      <c r="H7" s="203" t="s">
        <v>12</v>
      </c>
      <c r="I7" s="203">
        <v>1.1269138105230435E-2</v>
      </c>
    </row>
    <row r="8" spans="1:14" x14ac:dyDescent="0.2">
      <c r="A8" s="203">
        <v>2</v>
      </c>
      <c r="B8" s="203" t="s">
        <v>230</v>
      </c>
      <c r="C8" s="203"/>
      <c r="E8" s="203" t="s">
        <v>118</v>
      </c>
      <c r="G8" s="203">
        <v>179</v>
      </c>
      <c r="H8" s="203" t="s">
        <v>13</v>
      </c>
      <c r="I8" s="203">
        <v>1.3911556695422399E-2</v>
      </c>
    </row>
    <row r="9" spans="1:14" x14ac:dyDescent="0.2">
      <c r="A9" s="203">
        <v>2</v>
      </c>
      <c r="B9" s="203" t="s">
        <v>230</v>
      </c>
      <c r="C9" s="203"/>
      <c r="E9" s="203" t="s">
        <v>119</v>
      </c>
      <c r="G9" s="203">
        <v>12543</v>
      </c>
      <c r="H9" s="203" t="s">
        <v>14</v>
      </c>
      <c r="I9" s="203">
        <v>0.97481930519934712</v>
      </c>
    </row>
    <row r="10" spans="1:14" x14ac:dyDescent="0.2">
      <c r="A10" s="203"/>
      <c r="C10" s="203"/>
      <c r="E10" s="203" t="s">
        <v>122</v>
      </c>
      <c r="G10" s="203">
        <v>12867</v>
      </c>
      <c r="H10" s="203" t="s">
        <v>15</v>
      </c>
      <c r="I10" s="203">
        <v>1</v>
      </c>
    </row>
    <row r="11" spans="1:14" x14ac:dyDescent="0.2">
      <c r="A11" s="203"/>
      <c r="C11" s="203"/>
    </row>
    <row r="12" spans="1:14" x14ac:dyDescent="0.2">
      <c r="A12" s="203">
        <v>3</v>
      </c>
      <c r="B12" s="203" t="s">
        <v>231</v>
      </c>
      <c r="C12" s="203"/>
      <c r="E12" s="203" t="s">
        <v>117</v>
      </c>
      <c r="G12" s="203">
        <v>129876</v>
      </c>
      <c r="H12" s="203" t="s">
        <v>12</v>
      </c>
      <c r="I12" s="203">
        <v>0.97405051898962025</v>
      </c>
    </row>
    <row r="13" spans="1:14" x14ac:dyDescent="0.2">
      <c r="A13" s="203">
        <v>3</v>
      </c>
      <c r="B13" s="203" t="s">
        <v>231</v>
      </c>
      <c r="C13" s="203"/>
      <c r="E13" s="203" t="s">
        <v>118</v>
      </c>
      <c r="G13" s="203">
        <v>1297</v>
      </c>
      <c r="H13" s="203" t="s">
        <v>13</v>
      </c>
      <c r="I13" s="203">
        <v>9.7273054538909217E-3</v>
      </c>
    </row>
    <row r="14" spans="1:14" x14ac:dyDescent="0.2">
      <c r="A14" s="203">
        <v>3</v>
      </c>
      <c r="B14" s="203" t="s">
        <v>231</v>
      </c>
      <c r="C14" s="203"/>
      <c r="E14" s="203" t="s">
        <v>119</v>
      </c>
      <c r="G14" s="203">
        <v>2163</v>
      </c>
      <c r="H14" s="203" t="s">
        <v>14</v>
      </c>
      <c r="I14" s="203">
        <v>1.6222175556488871E-2</v>
      </c>
    </row>
    <row r="15" spans="1:14" x14ac:dyDescent="0.2">
      <c r="A15" s="203"/>
      <c r="C15" s="203"/>
      <c r="E15" s="203" t="s">
        <v>122</v>
      </c>
      <c r="G15" s="203">
        <v>133336</v>
      </c>
      <c r="H15" s="203" t="s">
        <v>15</v>
      </c>
      <c r="I15" s="203">
        <v>1</v>
      </c>
    </row>
    <row r="16" spans="1:14" x14ac:dyDescent="0.2">
      <c r="A16" s="203"/>
      <c r="C16" s="203"/>
    </row>
    <row r="17" spans="1:9" x14ac:dyDescent="0.2">
      <c r="A17" s="203">
        <v>4</v>
      </c>
      <c r="B17" s="203" t="s">
        <v>232</v>
      </c>
      <c r="C17" s="203"/>
      <c r="E17" s="203" t="s">
        <v>117</v>
      </c>
      <c r="G17" s="203">
        <v>2987</v>
      </c>
      <c r="H17" s="203" t="s">
        <v>12</v>
      </c>
      <c r="I17" s="203">
        <v>0.40540173724212814</v>
      </c>
    </row>
    <row r="18" spans="1:9" x14ac:dyDescent="0.2">
      <c r="A18" s="203">
        <v>4</v>
      </c>
      <c r="B18" s="203" t="s">
        <v>232</v>
      </c>
      <c r="C18" s="203"/>
      <c r="E18" s="203" t="s">
        <v>118</v>
      </c>
      <c r="G18" s="203">
        <v>2185</v>
      </c>
      <c r="H18" s="203" t="s">
        <v>13</v>
      </c>
      <c r="I18" s="203">
        <v>0.29655266015200871</v>
      </c>
    </row>
    <row r="19" spans="1:9" x14ac:dyDescent="0.2">
      <c r="A19" s="203">
        <v>4</v>
      </c>
      <c r="B19" s="203" t="s">
        <v>232</v>
      </c>
      <c r="C19" s="203"/>
      <c r="E19" s="203" t="s">
        <v>119</v>
      </c>
      <c r="G19" s="203">
        <v>2196</v>
      </c>
      <c r="H19" s="203" t="s">
        <v>14</v>
      </c>
      <c r="I19" s="203">
        <v>0.29804560260586321</v>
      </c>
    </row>
    <row r="20" spans="1:9" x14ac:dyDescent="0.2">
      <c r="A20" s="203"/>
      <c r="C20" s="203"/>
      <c r="E20" s="203" t="s">
        <v>122</v>
      </c>
      <c r="G20" s="203">
        <v>7368</v>
      </c>
      <c r="H20" s="203" t="s">
        <v>15</v>
      </c>
      <c r="I20" s="203">
        <v>1</v>
      </c>
    </row>
    <row r="21" spans="1:9" x14ac:dyDescent="0.2">
      <c r="A21" s="203"/>
      <c r="C21" s="203"/>
    </row>
    <row r="22" spans="1:9" x14ac:dyDescent="0.2">
      <c r="A22" s="203">
        <v>5</v>
      </c>
      <c r="B22" s="203" t="s">
        <v>233</v>
      </c>
      <c r="C22" s="203"/>
      <c r="E22" s="203" t="s">
        <v>117</v>
      </c>
      <c r="G22" s="203">
        <v>5297</v>
      </c>
      <c r="H22" s="203" t="s">
        <v>12</v>
      </c>
      <c r="I22" s="203">
        <v>2.375229810322407E-2</v>
      </c>
    </row>
    <row r="23" spans="1:9" x14ac:dyDescent="0.2">
      <c r="A23" s="203">
        <v>5</v>
      </c>
      <c r="B23" s="203" t="s">
        <v>233</v>
      </c>
      <c r="C23" s="203"/>
      <c r="E23" s="203" t="s">
        <v>118</v>
      </c>
      <c r="G23" s="203">
        <v>217</v>
      </c>
      <c r="H23" s="203" t="s">
        <v>13</v>
      </c>
      <c r="I23" s="203">
        <v>9.7305053585041031E-4</v>
      </c>
    </row>
    <row r="24" spans="1:9" x14ac:dyDescent="0.2">
      <c r="A24" s="203">
        <v>5</v>
      </c>
      <c r="B24" s="203" t="s">
        <v>233</v>
      </c>
      <c r="C24" s="203"/>
      <c r="E24" s="203" t="s">
        <v>119</v>
      </c>
      <c r="G24" s="203">
        <v>217496</v>
      </c>
      <c r="H24" s="203" t="s">
        <v>14</v>
      </c>
      <c r="I24" s="203">
        <v>0.9752746513609255</v>
      </c>
    </row>
    <row r="25" spans="1:9" x14ac:dyDescent="0.2">
      <c r="A25" s="203"/>
      <c r="C25" s="203"/>
      <c r="E25" s="203" t="s">
        <v>122</v>
      </c>
      <c r="G25" s="203">
        <v>223010</v>
      </c>
      <c r="H25" s="203" t="s">
        <v>15</v>
      </c>
      <c r="I25" s="203">
        <v>1</v>
      </c>
    </row>
    <row r="26" spans="1:9" x14ac:dyDescent="0.2">
      <c r="A26" s="203"/>
      <c r="C26" s="203"/>
    </row>
    <row r="27" spans="1:9" x14ac:dyDescent="0.2">
      <c r="A27" s="203">
        <v>6</v>
      </c>
      <c r="B27" s="203" t="s">
        <v>234</v>
      </c>
      <c r="C27" s="203"/>
      <c r="E27" s="203" t="s">
        <v>117</v>
      </c>
      <c r="G27" s="203">
        <v>127496</v>
      </c>
      <c r="H27" s="203" t="s">
        <v>12</v>
      </c>
      <c r="I27" s="203">
        <v>0.74762365496818839</v>
      </c>
    </row>
    <row r="28" spans="1:9" x14ac:dyDescent="0.2">
      <c r="A28" s="203">
        <v>6</v>
      </c>
      <c r="B28" s="203" t="s">
        <v>234</v>
      </c>
      <c r="C28" s="203"/>
      <c r="E28" s="203" t="s">
        <v>118</v>
      </c>
      <c r="G28" s="203">
        <v>1742</v>
      </c>
      <c r="H28" s="203" t="s">
        <v>13</v>
      </c>
      <c r="I28" s="203">
        <v>1.0214911894918931E-2</v>
      </c>
    </row>
    <row r="29" spans="1:9" x14ac:dyDescent="0.2">
      <c r="A29" s="203">
        <v>6</v>
      </c>
      <c r="B29" s="203" t="s">
        <v>234</v>
      </c>
      <c r="C29" s="203"/>
      <c r="E29" s="203" t="s">
        <v>119</v>
      </c>
      <c r="G29" s="203">
        <v>41297</v>
      </c>
      <c r="H29" s="203" t="s">
        <v>14</v>
      </c>
      <c r="I29" s="203">
        <v>0.24216143313689273</v>
      </c>
    </row>
    <row r="30" spans="1:9" x14ac:dyDescent="0.2">
      <c r="A30" s="203"/>
      <c r="C30" s="203"/>
      <c r="E30" s="203" t="s">
        <v>122</v>
      </c>
      <c r="G30" s="203">
        <v>170535</v>
      </c>
      <c r="H30" s="203" t="s">
        <v>15</v>
      </c>
      <c r="I30" s="203">
        <v>1</v>
      </c>
    </row>
    <row r="31" spans="1:9" x14ac:dyDescent="0.2">
      <c r="A31" s="203"/>
      <c r="C31" s="203"/>
    </row>
    <row r="32" spans="1:9" x14ac:dyDescent="0.2">
      <c r="A32" s="203">
        <v>7</v>
      </c>
      <c r="B32" s="203" t="s">
        <v>235</v>
      </c>
      <c r="C32" s="203"/>
      <c r="E32" s="203" t="s">
        <v>117</v>
      </c>
      <c r="G32" s="203">
        <v>17429</v>
      </c>
      <c r="H32" s="203" t="s">
        <v>12</v>
      </c>
      <c r="I32" s="203">
        <v>0.41042245561154805</v>
      </c>
    </row>
    <row r="33" spans="1:9" x14ac:dyDescent="0.2">
      <c r="A33" s="203">
        <v>7</v>
      </c>
      <c r="B33" s="203" t="s">
        <v>235</v>
      </c>
      <c r="C33" s="203"/>
      <c r="E33" s="203" t="s">
        <v>118</v>
      </c>
      <c r="G33" s="203">
        <v>76</v>
      </c>
      <c r="H33" s="203" t="s">
        <v>13</v>
      </c>
      <c r="I33" s="203">
        <v>1.7896670277398388E-3</v>
      </c>
    </row>
    <row r="34" spans="1:9" x14ac:dyDescent="0.2">
      <c r="A34" s="203">
        <v>7</v>
      </c>
      <c r="B34" s="203" t="s">
        <v>235</v>
      </c>
      <c r="C34" s="203"/>
      <c r="E34" s="203" t="s">
        <v>119</v>
      </c>
      <c r="G34" s="203">
        <v>24961</v>
      </c>
      <c r="H34" s="203" t="s">
        <v>14</v>
      </c>
      <c r="I34" s="203">
        <v>0.58778787736071214</v>
      </c>
    </row>
    <row r="35" spans="1:9" x14ac:dyDescent="0.2">
      <c r="A35" s="203"/>
      <c r="C35" s="203"/>
      <c r="E35" s="203" t="s">
        <v>122</v>
      </c>
      <c r="G35" s="203">
        <v>42466</v>
      </c>
      <c r="H35" s="203" t="s">
        <v>15</v>
      </c>
      <c r="I35" s="203">
        <v>1</v>
      </c>
    </row>
    <row r="36" spans="1:9" x14ac:dyDescent="0.2">
      <c r="A36" s="203"/>
      <c r="C36" s="203"/>
    </row>
    <row r="37" spans="1:9" x14ac:dyDescent="0.2">
      <c r="A37" s="203">
        <v>8</v>
      </c>
      <c r="B37" s="203" t="s">
        <v>236</v>
      </c>
      <c r="C37" s="203"/>
      <c r="E37" s="203" t="s">
        <v>117</v>
      </c>
      <c r="G37" s="203">
        <v>179</v>
      </c>
      <c r="H37" s="203" t="s">
        <v>12</v>
      </c>
      <c r="I37" s="203">
        <v>5.0196298373527759E-3</v>
      </c>
    </row>
    <row r="38" spans="1:9" x14ac:dyDescent="0.2">
      <c r="A38" s="203">
        <v>8</v>
      </c>
      <c r="B38" s="203" t="s">
        <v>236</v>
      </c>
      <c r="C38" s="203"/>
      <c r="E38" s="203" t="s">
        <v>118</v>
      </c>
      <c r="G38" s="203">
        <v>17529</v>
      </c>
      <c r="H38" s="203" t="s">
        <v>13</v>
      </c>
      <c r="I38" s="203">
        <v>0.49155916993830623</v>
      </c>
    </row>
    <row r="39" spans="1:9" x14ac:dyDescent="0.2">
      <c r="A39" s="203">
        <v>8</v>
      </c>
      <c r="B39" s="203" t="s">
        <v>236</v>
      </c>
      <c r="C39" s="203"/>
      <c r="E39" s="203" t="s">
        <v>119</v>
      </c>
      <c r="G39" s="203">
        <v>17952</v>
      </c>
      <c r="H39" s="203" t="s">
        <v>14</v>
      </c>
      <c r="I39" s="203">
        <v>0.503421200224341</v>
      </c>
    </row>
    <row r="40" spans="1:9" x14ac:dyDescent="0.2">
      <c r="A40" s="203"/>
      <c r="C40" s="203"/>
      <c r="E40" s="203" t="s">
        <v>122</v>
      </c>
      <c r="G40" s="203">
        <v>35660</v>
      </c>
      <c r="H40" s="203" t="s">
        <v>15</v>
      </c>
      <c r="I40" s="203">
        <v>1</v>
      </c>
    </row>
    <row r="41" spans="1:9" x14ac:dyDescent="0.2">
      <c r="A41" s="203"/>
      <c r="C41" s="203"/>
    </row>
    <row r="42" spans="1:9" x14ac:dyDescent="0.2">
      <c r="A42" s="203">
        <v>9</v>
      </c>
      <c r="B42" s="203" t="s">
        <v>237</v>
      </c>
      <c r="C42" s="203"/>
      <c r="E42" s="203" t="s">
        <v>117</v>
      </c>
      <c r="G42" s="203">
        <v>4176</v>
      </c>
      <c r="H42" s="203" t="s">
        <v>12</v>
      </c>
      <c r="I42" s="203">
        <v>7.8747878559306053E-2</v>
      </c>
    </row>
    <row r="43" spans="1:9" x14ac:dyDescent="0.2">
      <c r="A43" s="203">
        <v>9</v>
      </c>
      <c r="B43" s="203" t="s">
        <v>237</v>
      </c>
      <c r="C43" s="203"/>
      <c r="E43" s="203" t="s">
        <v>118</v>
      </c>
      <c r="G43" s="203">
        <v>47126</v>
      </c>
      <c r="H43" s="203" t="s">
        <v>13</v>
      </c>
      <c r="I43" s="203">
        <v>0.88866679238167079</v>
      </c>
    </row>
    <row r="44" spans="1:9" x14ac:dyDescent="0.2">
      <c r="A44" s="203">
        <v>9</v>
      </c>
      <c r="B44" s="203" t="s">
        <v>237</v>
      </c>
      <c r="C44" s="203"/>
      <c r="E44" s="203" t="s">
        <v>119</v>
      </c>
      <c r="G44" s="203">
        <v>1728</v>
      </c>
      <c r="H44" s="203" t="s">
        <v>14</v>
      </c>
      <c r="I44" s="203">
        <v>3.2585329059023192E-2</v>
      </c>
    </row>
    <row r="45" spans="1:9" x14ac:dyDescent="0.2">
      <c r="A45" s="203"/>
      <c r="C45" s="203"/>
      <c r="E45" s="203" t="s">
        <v>122</v>
      </c>
      <c r="G45" s="203">
        <v>53030</v>
      </c>
      <c r="H45" s="203" t="s">
        <v>15</v>
      </c>
      <c r="I45" s="203">
        <v>1</v>
      </c>
    </row>
    <row r="46" spans="1:9" x14ac:dyDescent="0.2">
      <c r="A46" s="203"/>
      <c r="C46" s="203"/>
    </row>
    <row r="47" spans="1:9" x14ac:dyDescent="0.2">
      <c r="A47" s="203">
        <v>10</v>
      </c>
      <c r="B47" s="203" t="s">
        <v>238</v>
      </c>
      <c r="C47" s="203"/>
      <c r="E47" s="203" t="s">
        <v>117</v>
      </c>
      <c r="G47" s="203">
        <v>1728</v>
      </c>
      <c r="H47" s="203" t="s">
        <v>12</v>
      </c>
      <c r="I47" s="203">
        <v>0.36378947368421055</v>
      </c>
    </row>
    <row r="48" spans="1:9" x14ac:dyDescent="0.2">
      <c r="A48" s="203">
        <v>10</v>
      </c>
      <c r="B48" s="203" t="s">
        <v>238</v>
      </c>
      <c r="C48" s="203"/>
      <c r="E48" s="203" t="s">
        <v>118</v>
      </c>
      <c r="G48" s="203">
        <v>1726</v>
      </c>
      <c r="H48" s="203" t="s">
        <v>13</v>
      </c>
      <c r="I48" s="203">
        <v>0.36336842105263156</v>
      </c>
    </row>
    <row r="49" spans="1:9" x14ac:dyDescent="0.2">
      <c r="A49" s="203">
        <v>10</v>
      </c>
      <c r="B49" s="203" t="s">
        <v>238</v>
      </c>
      <c r="C49" s="203"/>
      <c r="E49" s="203" t="s">
        <v>119</v>
      </c>
      <c r="G49" s="203">
        <v>1296</v>
      </c>
      <c r="H49" s="203" t="s">
        <v>14</v>
      </c>
      <c r="I49" s="203">
        <v>0.27284210526315789</v>
      </c>
    </row>
    <row r="50" spans="1:9" x14ac:dyDescent="0.2">
      <c r="A50" s="203"/>
      <c r="C50" s="203"/>
      <c r="E50" s="203" t="s">
        <v>122</v>
      </c>
      <c r="G50" s="203">
        <v>4750</v>
      </c>
      <c r="H50" s="203" t="s">
        <v>15</v>
      </c>
      <c r="I50" s="203">
        <v>1</v>
      </c>
    </row>
    <row r="51" spans="1:9" x14ac:dyDescent="0.2">
      <c r="A51" s="203"/>
      <c r="C51" s="203"/>
    </row>
    <row r="52" spans="1:9" x14ac:dyDescent="0.2">
      <c r="A52" s="203">
        <v>11</v>
      </c>
      <c r="B52" s="203" t="s">
        <v>239</v>
      </c>
      <c r="C52" s="203"/>
      <c r="E52" s="203" t="s">
        <v>117</v>
      </c>
      <c r="G52" s="203">
        <v>156</v>
      </c>
      <c r="H52" s="203" t="s">
        <v>12</v>
      </c>
      <c r="I52" s="203">
        <v>0.33476394849785407</v>
      </c>
    </row>
    <row r="53" spans="1:9" x14ac:dyDescent="0.2">
      <c r="A53" s="203">
        <v>11</v>
      </c>
      <c r="B53" s="203" t="s">
        <v>239</v>
      </c>
      <c r="C53" s="203"/>
      <c r="E53" s="203" t="s">
        <v>118</v>
      </c>
      <c r="G53" s="203">
        <v>158</v>
      </c>
      <c r="H53" s="203" t="s">
        <v>13</v>
      </c>
      <c r="I53" s="203">
        <v>0.33905579399141633</v>
      </c>
    </row>
    <row r="54" spans="1:9" x14ac:dyDescent="0.2">
      <c r="A54" s="203">
        <v>11</v>
      </c>
      <c r="B54" s="203" t="s">
        <v>239</v>
      </c>
      <c r="C54" s="203"/>
      <c r="E54" s="203" t="s">
        <v>119</v>
      </c>
      <c r="G54" s="203">
        <v>152</v>
      </c>
      <c r="H54" s="203" t="s">
        <v>14</v>
      </c>
      <c r="I54" s="203">
        <v>0.3261802575107296</v>
      </c>
    </row>
    <row r="55" spans="1:9" x14ac:dyDescent="0.2">
      <c r="A55" s="203"/>
      <c r="C55" s="203"/>
      <c r="E55" s="203" t="s">
        <v>122</v>
      </c>
      <c r="G55" s="203">
        <v>466</v>
      </c>
      <c r="H55" s="203" t="s">
        <v>15</v>
      </c>
      <c r="I55" s="203">
        <v>1</v>
      </c>
    </row>
    <row r="56" spans="1:9" x14ac:dyDescent="0.2">
      <c r="A56" s="203"/>
      <c r="C56" s="203"/>
    </row>
    <row r="57" spans="1:9" x14ac:dyDescent="0.2">
      <c r="A57" s="203">
        <v>12</v>
      </c>
      <c r="B57" s="203" t="s">
        <v>240</v>
      </c>
      <c r="C57" s="203"/>
      <c r="E57" s="203" t="s">
        <v>117</v>
      </c>
      <c r="G57" s="203">
        <v>147</v>
      </c>
      <c r="H57" s="203" t="s">
        <v>12</v>
      </c>
      <c r="I57" s="203">
        <v>0.32096069868995636</v>
      </c>
    </row>
    <row r="58" spans="1:9" x14ac:dyDescent="0.2">
      <c r="A58" s="203">
        <v>12</v>
      </c>
      <c r="B58" s="203" t="s">
        <v>240</v>
      </c>
      <c r="C58" s="203"/>
      <c r="E58" s="203" t="s">
        <v>118</v>
      </c>
      <c r="G58" s="203">
        <v>169</v>
      </c>
      <c r="H58" s="203" t="s">
        <v>13</v>
      </c>
      <c r="I58" s="203">
        <v>0.36899563318777295</v>
      </c>
    </row>
    <row r="59" spans="1:9" x14ac:dyDescent="0.2">
      <c r="A59" s="203">
        <v>12</v>
      </c>
      <c r="B59" s="203" t="s">
        <v>240</v>
      </c>
      <c r="C59" s="203"/>
      <c r="E59" s="203" t="s">
        <v>119</v>
      </c>
      <c r="G59" s="203">
        <v>142</v>
      </c>
      <c r="H59" s="203" t="s">
        <v>14</v>
      </c>
      <c r="I59" s="203">
        <v>0.31004366812227074</v>
      </c>
    </row>
    <row r="60" spans="1:9" x14ac:dyDescent="0.2">
      <c r="A60" s="203"/>
      <c r="C60" s="203"/>
      <c r="E60" s="203" t="s">
        <v>122</v>
      </c>
      <c r="G60" s="203">
        <v>458</v>
      </c>
      <c r="H60" s="203" t="s">
        <v>15</v>
      </c>
      <c r="I60" s="203">
        <v>1</v>
      </c>
    </row>
    <row r="61" spans="1:9" x14ac:dyDescent="0.2">
      <c r="A61" s="203"/>
      <c r="C61" s="203"/>
    </row>
    <row r="62" spans="1:9" x14ac:dyDescent="0.2">
      <c r="A62" s="203"/>
      <c r="C62" s="203"/>
    </row>
    <row r="63" spans="1:9" x14ac:dyDescent="0.2">
      <c r="A63" s="203"/>
      <c r="C63" s="203"/>
    </row>
    <row r="64" spans="1:9" x14ac:dyDescent="0.2">
      <c r="A64" s="203"/>
      <c r="C64" s="203"/>
    </row>
    <row r="65" s="203" customFormat="1" x14ac:dyDescent="0.2"/>
    <row r="66" s="203" customFormat="1" x14ac:dyDescent="0.2"/>
    <row r="67" s="203" customFormat="1" x14ac:dyDescent="0.2"/>
    <row r="68" s="203" customFormat="1" x14ac:dyDescent="0.2"/>
    <row r="69" s="203" customFormat="1" x14ac:dyDescent="0.2"/>
    <row r="70" s="203" customFormat="1" x14ac:dyDescent="0.2"/>
    <row r="71" s="203" customFormat="1" x14ac:dyDescent="0.2"/>
    <row r="72" s="203" customFormat="1" x14ac:dyDescent="0.2"/>
    <row r="73" s="203" customFormat="1" x14ac:dyDescent="0.2"/>
    <row r="74" s="203" customFormat="1" x14ac:dyDescent="0.2"/>
    <row r="75" s="203" customFormat="1" x14ac:dyDescent="0.2"/>
    <row r="76" s="203" customFormat="1" x14ac:dyDescent="0.2"/>
    <row r="77" s="203" customFormat="1" ht="16.5" customHeight="1" x14ac:dyDescent="0.2"/>
    <row r="78" s="203" customFormat="1" x14ac:dyDescent="0.2"/>
    <row r="79" s="203" customFormat="1" x14ac:dyDescent="0.2"/>
    <row r="80" s="203" customFormat="1" x14ac:dyDescent="0.2"/>
    <row r="81" s="203" customFormat="1" x14ac:dyDescent="0.2"/>
    <row r="82" s="203" customFormat="1" x14ac:dyDescent="0.2"/>
    <row r="83" s="203" customFormat="1" x14ac:dyDescent="0.2"/>
    <row r="84" s="203" customFormat="1" x14ac:dyDescent="0.2"/>
    <row r="85" s="203" customFormat="1" x14ac:dyDescent="0.2"/>
    <row r="86" s="203" customFormat="1" x14ac:dyDescent="0.2"/>
    <row r="87" s="203" customFormat="1" x14ac:dyDescent="0.2"/>
    <row r="88" s="203" customFormat="1" x14ac:dyDescent="0.2"/>
    <row r="89" s="203" customFormat="1" x14ac:dyDescent="0.2"/>
    <row r="90" s="203" customFormat="1" x14ac:dyDescent="0.2"/>
    <row r="91" s="203" customFormat="1" x14ac:dyDescent="0.2"/>
    <row r="92" s="203" customFormat="1" x14ac:dyDescent="0.2"/>
    <row r="93" s="203" customFormat="1" x14ac:dyDescent="0.2"/>
    <row r="94" s="203" customFormat="1" x14ac:dyDescent="0.2"/>
    <row r="95" s="203" customFormat="1" x14ac:dyDescent="0.2"/>
    <row r="96" s="203" customFormat="1" x14ac:dyDescent="0.2"/>
    <row r="97" s="203" customFormat="1" x14ac:dyDescent="0.2"/>
    <row r="98" s="203" customFormat="1" x14ac:dyDescent="0.2"/>
    <row r="99" s="203" customFormat="1" x14ac:dyDescent="0.2"/>
    <row r="100" s="203" customFormat="1" x14ac:dyDescent="0.2"/>
    <row r="101" s="203" customFormat="1" x14ac:dyDescent="0.2"/>
    <row r="102" s="203" customFormat="1" x14ac:dyDescent="0.2"/>
    <row r="103" s="203" customFormat="1" x14ac:dyDescent="0.2"/>
    <row r="104" s="203" customFormat="1" x14ac:dyDescent="0.2"/>
    <row r="105" s="203" customFormat="1" x14ac:dyDescent="0.2"/>
    <row r="106" s="203" customFormat="1" x14ac:dyDescent="0.2"/>
    <row r="107" s="203" customFormat="1" x14ac:dyDescent="0.2"/>
    <row r="108" s="203" customFormat="1" x14ac:dyDescent="0.2"/>
    <row r="109" s="203" customFormat="1" x14ac:dyDescent="0.2"/>
    <row r="110" s="203" customFormat="1" x14ac:dyDescent="0.2"/>
    <row r="111" s="203" customFormat="1" x14ac:dyDescent="0.2"/>
    <row r="112" s="203" customFormat="1" x14ac:dyDescent="0.2"/>
    <row r="113" s="203" customFormat="1" x14ac:dyDescent="0.2"/>
    <row r="114" s="203" customFormat="1" x14ac:dyDescent="0.2"/>
    <row r="115" s="203" customFormat="1" x14ac:dyDescent="0.2"/>
    <row r="116" s="203" customFormat="1" x14ac:dyDescent="0.2"/>
    <row r="117" s="203" customFormat="1" x14ac:dyDescent="0.2"/>
    <row r="118" s="203" customFormat="1" x14ac:dyDescent="0.2"/>
    <row r="119" s="203" customFormat="1" x14ac:dyDescent="0.2"/>
    <row r="120" s="203" customFormat="1" x14ac:dyDescent="0.2"/>
    <row r="121" s="203" customFormat="1" x14ac:dyDescent="0.2"/>
    <row r="122" s="203" customFormat="1" x14ac:dyDescent="0.2"/>
    <row r="123" s="203" customFormat="1" x14ac:dyDescent="0.2"/>
    <row r="124" s="203" customFormat="1" x14ac:dyDescent="0.2"/>
    <row r="125" s="203" customFormat="1" x14ac:dyDescent="0.2"/>
    <row r="126" s="203" customFormat="1" x14ac:dyDescent="0.2"/>
    <row r="127" s="203" customFormat="1" x14ac:dyDescent="0.2"/>
    <row r="128" s="203" customFormat="1" x14ac:dyDescent="0.2"/>
    <row r="129" s="203" customFormat="1" x14ac:dyDescent="0.2"/>
    <row r="130" s="203" customFormat="1" x14ac:dyDescent="0.2"/>
    <row r="131" s="203" customFormat="1" x14ac:dyDescent="0.2"/>
    <row r="132" s="203" customFormat="1" x14ac:dyDescent="0.2"/>
    <row r="133" s="203" customFormat="1" x14ac:dyDescent="0.2"/>
    <row r="134" s="203" customFormat="1" x14ac:dyDescent="0.2"/>
    <row r="135" s="203" customFormat="1" x14ac:dyDescent="0.2"/>
    <row r="136" s="203" customFormat="1" x14ac:dyDescent="0.2"/>
    <row r="137" s="203" customFormat="1" x14ac:dyDescent="0.2"/>
    <row r="138" s="203" customFormat="1" x14ac:dyDescent="0.2"/>
    <row r="139" s="203" customFormat="1" x14ac:dyDescent="0.2"/>
    <row r="140" s="203" customFormat="1" x14ac:dyDescent="0.2"/>
    <row r="141" s="203" customFormat="1" x14ac:dyDescent="0.2"/>
    <row r="142" s="203" customFormat="1" x14ac:dyDescent="0.2"/>
    <row r="143" s="203" customFormat="1" x14ac:dyDescent="0.2"/>
    <row r="144" s="203" customFormat="1" x14ac:dyDescent="0.2"/>
    <row r="145" s="203" customFormat="1" x14ac:dyDescent="0.2"/>
    <row r="146" s="203" customFormat="1" x14ac:dyDescent="0.2"/>
    <row r="147" s="203" customFormat="1" x14ac:dyDescent="0.2"/>
    <row r="148" s="203" customFormat="1" x14ac:dyDescent="0.2"/>
    <row r="149" s="203" customFormat="1" x14ac:dyDescent="0.2"/>
    <row r="150" s="203" customFormat="1" x14ac:dyDescent="0.2"/>
    <row r="151" s="203" customFormat="1" x14ac:dyDescent="0.2"/>
    <row r="152" s="203" customFormat="1" x14ac:dyDescent="0.2"/>
    <row r="153" s="203" customFormat="1" x14ac:dyDescent="0.2"/>
    <row r="154" s="203" customFormat="1" x14ac:dyDescent="0.2"/>
    <row r="155" s="203" customFormat="1" x14ac:dyDescent="0.2"/>
    <row r="156" s="203" customFormat="1" x14ac:dyDescent="0.2"/>
    <row r="157" s="203" customFormat="1" x14ac:dyDescent="0.2"/>
    <row r="158" s="203" customFormat="1" x14ac:dyDescent="0.2"/>
    <row r="159" s="203" customFormat="1" x14ac:dyDescent="0.2"/>
    <row r="160" s="203" customFormat="1" x14ac:dyDescent="0.2"/>
    <row r="161" s="203" customFormat="1" x14ac:dyDescent="0.2"/>
    <row r="162" s="203" customFormat="1" x14ac:dyDescent="0.2"/>
    <row r="163" s="203" customFormat="1" x14ac:dyDescent="0.2"/>
    <row r="164" s="203" customFormat="1" x14ac:dyDescent="0.2"/>
    <row r="165" s="203" customFormat="1" x14ac:dyDescent="0.2"/>
    <row r="166" s="203" customFormat="1" x14ac:dyDescent="0.2"/>
    <row r="167" s="203" customFormat="1" x14ac:dyDescent="0.2"/>
    <row r="168" s="203" customFormat="1" x14ac:dyDescent="0.2"/>
    <row r="169" s="203" customFormat="1" x14ac:dyDescent="0.2"/>
    <row r="170" s="203" customFormat="1" x14ac:dyDescent="0.2"/>
    <row r="171" s="203" customFormat="1" x14ac:dyDescent="0.2"/>
    <row r="172" s="203" customFormat="1" x14ac:dyDescent="0.2"/>
    <row r="173" s="203" customFormat="1" x14ac:dyDescent="0.2"/>
    <row r="174" s="203" customFormat="1" x14ac:dyDescent="0.2"/>
    <row r="175" s="203" customFormat="1" x14ac:dyDescent="0.2"/>
    <row r="176" s="203" customFormat="1" x14ac:dyDescent="0.2"/>
    <row r="177" s="203" customFormat="1" x14ac:dyDescent="0.2"/>
    <row r="178" s="203" customFormat="1" x14ac:dyDescent="0.2"/>
    <row r="179" s="203" customFormat="1" x14ac:dyDescent="0.2"/>
    <row r="180" s="203" customFormat="1" x14ac:dyDescent="0.2"/>
    <row r="181" s="203" customFormat="1" x14ac:dyDescent="0.2"/>
    <row r="182" s="203" customFormat="1" x14ac:dyDescent="0.2"/>
    <row r="183" s="203" customFormat="1" x14ac:dyDescent="0.2"/>
    <row r="184" s="203" customFormat="1" x14ac:dyDescent="0.2"/>
    <row r="185" s="203" customFormat="1" x14ac:dyDescent="0.2"/>
    <row r="186" s="203" customFormat="1" x14ac:dyDescent="0.2"/>
    <row r="187" s="203" customFormat="1" x14ac:dyDescent="0.2"/>
    <row r="188" s="203" customFormat="1" x14ac:dyDescent="0.2"/>
    <row r="189" s="203" customFormat="1" x14ac:dyDescent="0.2"/>
    <row r="190" s="203" customFormat="1" x14ac:dyDescent="0.2"/>
    <row r="191" s="203" customFormat="1" x14ac:dyDescent="0.2"/>
    <row r="192" s="203" customFormat="1" x14ac:dyDescent="0.2"/>
    <row r="193" s="203" customFormat="1" x14ac:dyDescent="0.2"/>
    <row r="194" s="203" customFormat="1" x14ac:dyDescent="0.2"/>
    <row r="195" s="203" customFormat="1" x14ac:dyDescent="0.2"/>
    <row r="196" s="203" customFormat="1" x14ac:dyDescent="0.2"/>
    <row r="197" s="203" customFormat="1" x14ac:dyDescent="0.2"/>
    <row r="198" s="203" customFormat="1" x14ac:dyDescent="0.2"/>
    <row r="199" s="203" customFormat="1" x14ac:dyDescent="0.2"/>
    <row r="200" s="203" customFormat="1" x14ac:dyDescent="0.2"/>
    <row r="201" s="203" customFormat="1" x14ac:dyDescent="0.2"/>
    <row r="202" s="203" customFormat="1" x14ac:dyDescent="0.2"/>
    <row r="203" s="203" customFormat="1" x14ac:dyDescent="0.2"/>
    <row r="204" s="203" customFormat="1" x14ac:dyDescent="0.2"/>
    <row r="205" s="203" customFormat="1" x14ac:dyDescent="0.2"/>
    <row r="206" s="203" customFormat="1" x14ac:dyDescent="0.2"/>
    <row r="207" s="203" customFormat="1" x14ac:dyDescent="0.2"/>
    <row r="208" s="203" customFormat="1" x14ac:dyDescent="0.2"/>
    <row r="209" s="203" customFormat="1" x14ac:dyDescent="0.2"/>
    <row r="210" s="203" customFormat="1" x14ac:dyDescent="0.2"/>
    <row r="211" s="203" customFormat="1" x14ac:dyDescent="0.2"/>
    <row r="212" s="203" customFormat="1" x14ac:dyDescent="0.2"/>
    <row r="213" s="203" customFormat="1" x14ac:dyDescent="0.2"/>
    <row r="214" s="203" customFormat="1" x14ac:dyDescent="0.2"/>
    <row r="215" s="203" customFormat="1" x14ac:dyDescent="0.2"/>
    <row r="216" s="203" customFormat="1" x14ac:dyDescent="0.2"/>
    <row r="217" s="203" customFormat="1" x14ac:dyDescent="0.2"/>
    <row r="218" s="203" customFormat="1" x14ac:dyDescent="0.2"/>
    <row r="219" s="203" customFormat="1" x14ac:dyDescent="0.2"/>
    <row r="220" s="203" customFormat="1" x14ac:dyDescent="0.2"/>
    <row r="221" s="203" customFormat="1" x14ac:dyDescent="0.2"/>
    <row r="222" s="203" customFormat="1" x14ac:dyDescent="0.2"/>
    <row r="223" s="203" customFormat="1" x14ac:dyDescent="0.2"/>
    <row r="224" s="203" customFormat="1" x14ac:dyDescent="0.2"/>
    <row r="225" s="203" customFormat="1" x14ac:dyDescent="0.2"/>
    <row r="226" s="203" customFormat="1" x14ac:dyDescent="0.2"/>
    <row r="227" s="203" customFormat="1" x14ac:dyDescent="0.2"/>
    <row r="228" s="203" customFormat="1" x14ac:dyDescent="0.2"/>
    <row r="229" s="203" customFormat="1" x14ac:dyDescent="0.2"/>
    <row r="230" s="203" customFormat="1" x14ac:dyDescent="0.2"/>
    <row r="231" s="203" customFormat="1" x14ac:dyDescent="0.2"/>
    <row r="232" s="203" customFormat="1" x14ac:dyDescent="0.2"/>
    <row r="233" s="203" customFormat="1" x14ac:dyDescent="0.2"/>
    <row r="234" s="203" customFormat="1" x14ac:dyDescent="0.2"/>
    <row r="235" s="203" customFormat="1" x14ac:dyDescent="0.2"/>
    <row r="236" s="203" customFormat="1" x14ac:dyDescent="0.2"/>
    <row r="237" s="203" customFormat="1" x14ac:dyDescent="0.2"/>
    <row r="238" s="203" customFormat="1" x14ac:dyDescent="0.2"/>
    <row r="239" s="203" customFormat="1" x14ac:dyDescent="0.2"/>
    <row r="240" s="203" customFormat="1" x14ac:dyDescent="0.2"/>
    <row r="241" s="203" customFormat="1" x14ac:dyDescent="0.2"/>
    <row r="242" s="203" customFormat="1" x14ac:dyDescent="0.2"/>
    <row r="243" s="203" customFormat="1" x14ac:dyDescent="0.2"/>
    <row r="244" s="203" customFormat="1" x14ac:dyDescent="0.2"/>
    <row r="245" s="203" customFormat="1" x14ac:dyDescent="0.2"/>
    <row r="246" s="203" customFormat="1" x14ac:dyDescent="0.2"/>
    <row r="247" s="203" customFormat="1" x14ac:dyDescent="0.2"/>
    <row r="248" s="203" customFormat="1" x14ac:dyDescent="0.2"/>
    <row r="249" s="203" customFormat="1" x14ac:dyDescent="0.2"/>
    <row r="250" s="203" customFormat="1" x14ac:dyDescent="0.2"/>
    <row r="251" s="203" customFormat="1" x14ac:dyDescent="0.2"/>
    <row r="252" s="203" customFormat="1" x14ac:dyDescent="0.2"/>
    <row r="253" s="203" customFormat="1" x14ac:dyDescent="0.2"/>
    <row r="254" s="203" customFormat="1" x14ac:dyDescent="0.2"/>
    <row r="255" s="203" customFormat="1" x14ac:dyDescent="0.2"/>
    <row r="256" s="203" customFormat="1" x14ac:dyDescent="0.2"/>
    <row r="257" s="203" customFormat="1" x14ac:dyDescent="0.2"/>
    <row r="258" s="203" customFormat="1" x14ac:dyDescent="0.2"/>
    <row r="259" s="203" customFormat="1" x14ac:dyDescent="0.2"/>
    <row r="260" s="203" customFormat="1" x14ac:dyDescent="0.2"/>
    <row r="261" s="203" customFormat="1" x14ac:dyDescent="0.2"/>
    <row r="262" s="203" customFormat="1" x14ac:dyDescent="0.2"/>
    <row r="263" s="203" customFormat="1" x14ac:dyDescent="0.2"/>
    <row r="264" s="203" customFormat="1" x14ac:dyDescent="0.2"/>
    <row r="265" s="203" customFormat="1" x14ac:dyDescent="0.2"/>
    <row r="266" s="203" customFormat="1" x14ac:dyDescent="0.2"/>
    <row r="267" s="203" customFormat="1" x14ac:dyDescent="0.2"/>
    <row r="268" s="203" customFormat="1" x14ac:dyDescent="0.2"/>
    <row r="269" s="203" customFormat="1" x14ac:dyDescent="0.2"/>
    <row r="270" s="203" customFormat="1" x14ac:dyDescent="0.2"/>
    <row r="271" s="203" customFormat="1" x14ac:dyDescent="0.2"/>
    <row r="272" s="203" customFormat="1" x14ac:dyDescent="0.2"/>
    <row r="273" s="203" customFormat="1" x14ac:dyDescent="0.2"/>
    <row r="274" s="203" customFormat="1" x14ac:dyDescent="0.2"/>
    <row r="275" s="203" customFormat="1" x14ac:dyDescent="0.2"/>
    <row r="276" s="203" customFormat="1" x14ac:dyDescent="0.2"/>
    <row r="277" s="203" customFormat="1" x14ac:dyDescent="0.2"/>
    <row r="278" s="203" customFormat="1" x14ac:dyDescent="0.2"/>
    <row r="279" s="203" customFormat="1" x14ac:dyDescent="0.2"/>
    <row r="280" s="203" customFormat="1" x14ac:dyDescent="0.2"/>
    <row r="281" s="203" customFormat="1" x14ac:dyDescent="0.2"/>
    <row r="282" s="203" customFormat="1" x14ac:dyDescent="0.2"/>
    <row r="283" s="203" customFormat="1" x14ac:dyDescent="0.2"/>
    <row r="284" s="203" customFormat="1" x14ac:dyDescent="0.2"/>
    <row r="285" s="203" customFormat="1" x14ac:dyDescent="0.2"/>
    <row r="286" s="203" customFormat="1" x14ac:dyDescent="0.2"/>
    <row r="287" s="203" customFormat="1" x14ac:dyDescent="0.2"/>
    <row r="288" s="203" customFormat="1" x14ac:dyDescent="0.2"/>
    <row r="289" s="203" customFormat="1" x14ac:dyDescent="0.2"/>
    <row r="290" s="203" customFormat="1" x14ac:dyDescent="0.2"/>
    <row r="291" s="203" customFormat="1" x14ac:dyDescent="0.2"/>
    <row r="292" s="203" customFormat="1" x14ac:dyDescent="0.2"/>
    <row r="293" s="203" customFormat="1" x14ac:dyDescent="0.2"/>
    <row r="294" s="203" customFormat="1" x14ac:dyDescent="0.2"/>
    <row r="295" s="203" customFormat="1" x14ac:dyDescent="0.2"/>
    <row r="296" s="203" customFormat="1" x14ac:dyDescent="0.2"/>
    <row r="297" s="203" customFormat="1" x14ac:dyDescent="0.2"/>
    <row r="298" s="203" customFormat="1" x14ac:dyDescent="0.2"/>
    <row r="299" s="203" customFormat="1" x14ac:dyDescent="0.2"/>
    <row r="300" s="203" customFormat="1" x14ac:dyDescent="0.2"/>
    <row r="301" s="203" customFormat="1" x14ac:dyDescent="0.2"/>
    <row r="302" s="203" customFormat="1" x14ac:dyDescent="0.2"/>
    <row r="303" s="203" customFormat="1" x14ac:dyDescent="0.2"/>
    <row r="304" s="203" customFormat="1" x14ac:dyDescent="0.2"/>
    <row r="305" s="203" customFormat="1" x14ac:dyDescent="0.2"/>
    <row r="306" s="203" customFormat="1" x14ac:dyDescent="0.2"/>
    <row r="307" s="203" customFormat="1" x14ac:dyDescent="0.2"/>
    <row r="308" s="203" customFormat="1" x14ac:dyDescent="0.2"/>
    <row r="309" s="203" customFormat="1" x14ac:dyDescent="0.2"/>
    <row r="310" s="203" customFormat="1" x14ac:dyDescent="0.2"/>
    <row r="311" s="203" customFormat="1" x14ac:dyDescent="0.2"/>
    <row r="312" s="203" customFormat="1" x14ac:dyDescent="0.2"/>
    <row r="313" s="203" customFormat="1" x14ac:dyDescent="0.2"/>
    <row r="314" s="203" customFormat="1" x14ac:dyDescent="0.2"/>
    <row r="315" s="203" customFormat="1" x14ac:dyDescent="0.2"/>
    <row r="316" s="203" customFormat="1" x14ac:dyDescent="0.2"/>
    <row r="317" s="203" customFormat="1" x14ac:dyDescent="0.2"/>
    <row r="318" s="203" customFormat="1" x14ac:dyDescent="0.2"/>
    <row r="319" s="203" customFormat="1" x14ac:dyDescent="0.2"/>
    <row r="320" s="203" customFormat="1" x14ac:dyDescent="0.2"/>
    <row r="321" s="203" customFormat="1" x14ac:dyDescent="0.2"/>
    <row r="322" s="203" customFormat="1" x14ac:dyDescent="0.2"/>
    <row r="323" s="203" customFormat="1" x14ac:dyDescent="0.2"/>
    <row r="324" s="203" customFormat="1" x14ac:dyDescent="0.2"/>
    <row r="325" s="203" customFormat="1" x14ac:dyDescent="0.2"/>
    <row r="326" s="203" customFormat="1" x14ac:dyDescent="0.2"/>
    <row r="327" s="203" customFormat="1" x14ac:dyDescent="0.2"/>
    <row r="328" s="203" customFormat="1" x14ac:dyDescent="0.2"/>
    <row r="329" s="203" customFormat="1" x14ac:dyDescent="0.2"/>
    <row r="330" s="203" customFormat="1" x14ac:dyDescent="0.2"/>
    <row r="331" s="203" customFormat="1" x14ac:dyDescent="0.2"/>
    <row r="332" s="203" customFormat="1" x14ac:dyDescent="0.2"/>
    <row r="333" s="203" customFormat="1" x14ac:dyDescent="0.2"/>
    <row r="334" s="203" customFormat="1" x14ac:dyDescent="0.2"/>
    <row r="335" s="203" customFormat="1" x14ac:dyDescent="0.2"/>
    <row r="336" s="203" customFormat="1" x14ac:dyDescent="0.2"/>
    <row r="337" s="203" customFormat="1" x14ac:dyDescent="0.2"/>
    <row r="338" s="203" customFormat="1" x14ac:dyDescent="0.2"/>
    <row r="339" s="203" customFormat="1" x14ac:dyDescent="0.2"/>
    <row r="340" s="203" customFormat="1" x14ac:dyDescent="0.2"/>
    <row r="341" s="203" customFormat="1" x14ac:dyDescent="0.2"/>
    <row r="342" s="203" customFormat="1" x14ac:dyDescent="0.2"/>
    <row r="343" s="203" customFormat="1" x14ac:dyDescent="0.2"/>
    <row r="344" s="203" customFormat="1" x14ac:dyDescent="0.2"/>
    <row r="345" s="203" customFormat="1" x14ac:dyDescent="0.2"/>
    <row r="346" s="203" customFormat="1" x14ac:dyDescent="0.2"/>
    <row r="347" s="203" customFormat="1" x14ac:dyDescent="0.2"/>
    <row r="348" s="203" customFormat="1" x14ac:dyDescent="0.2"/>
    <row r="349" s="203" customFormat="1" x14ac:dyDescent="0.2"/>
    <row r="350" s="203" customFormat="1" x14ac:dyDescent="0.2"/>
    <row r="351" s="203" customFormat="1" x14ac:dyDescent="0.2"/>
    <row r="352" s="203" customFormat="1" x14ac:dyDescent="0.2"/>
    <row r="353" s="203" customFormat="1" x14ac:dyDescent="0.2"/>
    <row r="354" s="203" customFormat="1" x14ac:dyDescent="0.2"/>
    <row r="355" s="203" customFormat="1" x14ac:dyDescent="0.2"/>
    <row r="356" s="203" customFormat="1" x14ac:dyDescent="0.2"/>
    <row r="357" s="203" customFormat="1" x14ac:dyDescent="0.2"/>
    <row r="358" s="203" customFormat="1" x14ac:dyDescent="0.2"/>
    <row r="359" s="203" customFormat="1" x14ac:dyDescent="0.2"/>
    <row r="360" s="203" customFormat="1" x14ac:dyDescent="0.2"/>
    <row r="361" s="203" customFormat="1" x14ac:dyDescent="0.2"/>
    <row r="362" s="203" customFormat="1" x14ac:dyDescent="0.2"/>
    <row r="363" s="203" customFormat="1" x14ac:dyDescent="0.2"/>
    <row r="364" s="203" customFormat="1" x14ac:dyDescent="0.2"/>
    <row r="365" s="203" customFormat="1" x14ac:dyDescent="0.2"/>
    <row r="366" s="203" customFormat="1" x14ac:dyDescent="0.2"/>
    <row r="367" s="203" customFormat="1" x14ac:dyDescent="0.2"/>
    <row r="368" s="203" customFormat="1" x14ac:dyDescent="0.2"/>
    <row r="369" s="203" customFormat="1" x14ac:dyDescent="0.2"/>
    <row r="370" s="203" customFormat="1" x14ac:dyDescent="0.2"/>
    <row r="371" s="203" customFormat="1" x14ac:dyDescent="0.2"/>
    <row r="372" s="203" customFormat="1" x14ac:dyDescent="0.2"/>
    <row r="373" s="203" customFormat="1" x14ac:dyDescent="0.2"/>
    <row r="374" s="203" customFormat="1" x14ac:dyDescent="0.2"/>
    <row r="375" s="203" customFormat="1" x14ac:dyDescent="0.2"/>
    <row r="376" s="203" customFormat="1" x14ac:dyDescent="0.2"/>
    <row r="377" s="203" customFormat="1" x14ac:dyDescent="0.2"/>
    <row r="378" s="203" customFormat="1" x14ac:dyDescent="0.2"/>
    <row r="379" s="203" customFormat="1" x14ac:dyDescent="0.2"/>
    <row r="380" s="203" customFormat="1" x14ac:dyDescent="0.2"/>
    <row r="381" s="203" customFormat="1" x14ac:dyDescent="0.2"/>
    <row r="382" s="203" customFormat="1" x14ac:dyDescent="0.2"/>
    <row r="383" s="203" customFormat="1" x14ac:dyDescent="0.2"/>
    <row r="384" s="203" customFormat="1" x14ac:dyDescent="0.2"/>
    <row r="385" s="203" customFormat="1" x14ac:dyDescent="0.2"/>
    <row r="386" s="203" customFormat="1" x14ac:dyDescent="0.2"/>
    <row r="387" s="203" customFormat="1" x14ac:dyDescent="0.2"/>
    <row r="388" s="203" customFormat="1" x14ac:dyDescent="0.2"/>
    <row r="389" s="203" customFormat="1" x14ac:dyDescent="0.2"/>
    <row r="390" s="203" customFormat="1" x14ac:dyDescent="0.2"/>
    <row r="391" s="203" customFormat="1" x14ac:dyDescent="0.2"/>
    <row r="392" s="203" customFormat="1" x14ac:dyDescent="0.2"/>
    <row r="393" s="203" customFormat="1" x14ac:dyDescent="0.2"/>
    <row r="394" s="203" customFormat="1" x14ac:dyDescent="0.2"/>
    <row r="395" s="203" customFormat="1" x14ac:dyDescent="0.2"/>
    <row r="396" s="203" customFormat="1" x14ac:dyDescent="0.2"/>
    <row r="397" s="203" customFormat="1" x14ac:dyDescent="0.2"/>
    <row r="398" s="203" customFormat="1" x14ac:dyDescent="0.2"/>
    <row r="399" s="203" customFormat="1" x14ac:dyDescent="0.2"/>
    <row r="400" s="203" customFormat="1" x14ac:dyDescent="0.2"/>
    <row r="401" s="203" customFormat="1" x14ac:dyDescent="0.2"/>
    <row r="402" s="203" customFormat="1" x14ac:dyDescent="0.2"/>
    <row r="403" s="203" customFormat="1" x14ac:dyDescent="0.2"/>
    <row r="404" s="203" customFormat="1" x14ac:dyDescent="0.2"/>
    <row r="405" s="203" customFormat="1" x14ac:dyDescent="0.2"/>
    <row r="406" s="203" customFormat="1" x14ac:dyDescent="0.2"/>
    <row r="407" s="203" customFormat="1" x14ac:dyDescent="0.2"/>
    <row r="408" s="203" customFormat="1" x14ac:dyDescent="0.2"/>
    <row r="409" s="203" customFormat="1" x14ac:dyDescent="0.2"/>
    <row r="410" s="203" customFormat="1" x14ac:dyDescent="0.2"/>
    <row r="411" s="203" customFormat="1" x14ac:dyDescent="0.2"/>
    <row r="412" s="203" customFormat="1" x14ac:dyDescent="0.2"/>
    <row r="413" s="203" customFormat="1" x14ac:dyDescent="0.2"/>
    <row r="414" s="203" customFormat="1" x14ac:dyDescent="0.2"/>
    <row r="415" s="203" customFormat="1" x14ac:dyDescent="0.2"/>
    <row r="416" s="203" customFormat="1" x14ac:dyDescent="0.2"/>
    <row r="417" s="203" customFormat="1" x14ac:dyDescent="0.2"/>
    <row r="418" s="203" customFormat="1" x14ac:dyDescent="0.2"/>
    <row r="419" s="203" customFormat="1" x14ac:dyDescent="0.2"/>
    <row r="420" s="203" customFormat="1" x14ac:dyDescent="0.2"/>
    <row r="421" s="203" customFormat="1" x14ac:dyDescent="0.2"/>
    <row r="422" s="203" customFormat="1" x14ac:dyDescent="0.2"/>
    <row r="423" s="203" customFormat="1" x14ac:dyDescent="0.2"/>
    <row r="424" s="203" customFormat="1" x14ac:dyDescent="0.2"/>
    <row r="425" s="203" customFormat="1" x14ac:dyDescent="0.2"/>
    <row r="426" s="203" customFormat="1" x14ac:dyDescent="0.2"/>
    <row r="427" s="203" customFormat="1" x14ac:dyDescent="0.2"/>
    <row r="428" s="203" customFormat="1" x14ac:dyDescent="0.2"/>
    <row r="429" s="203" customFormat="1" x14ac:dyDescent="0.2"/>
    <row r="430" s="203" customFormat="1" x14ac:dyDescent="0.2"/>
    <row r="431" s="203" customFormat="1" x14ac:dyDescent="0.2"/>
    <row r="432" s="203" customFormat="1" x14ac:dyDescent="0.2"/>
    <row r="433" s="203" customFormat="1" x14ac:dyDescent="0.2"/>
    <row r="434" s="203" customFormat="1" x14ac:dyDescent="0.2"/>
    <row r="435" s="203" customFormat="1" x14ac:dyDescent="0.2"/>
    <row r="436" s="203" customFormat="1" x14ac:dyDescent="0.2"/>
    <row r="437" s="203" customFormat="1" x14ac:dyDescent="0.2"/>
    <row r="438" s="203" customFormat="1" x14ac:dyDescent="0.2"/>
    <row r="439" s="203" customFormat="1" x14ac:dyDescent="0.2"/>
    <row r="440" s="203" customFormat="1" x14ac:dyDescent="0.2"/>
    <row r="441" s="203" customFormat="1" x14ac:dyDescent="0.2"/>
    <row r="442" s="203" customFormat="1" x14ac:dyDescent="0.2"/>
    <row r="443" s="203" customFormat="1" x14ac:dyDescent="0.2"/>
    <row r="444" s="203" customFormat="1" x14ac:dyDescent="0.2"/>
    <row r="445" s="203" customFormat="1" x14ac:dyDescent="0.2"/>
    <row r="446" s="203" customFormat="1" x14ac:dyDescent="0.2"/>
    <row r="447" s="203" customFormat="1" x14ac:dyDescent="0.2"/>
    <row r="448" s="203" customFormat="1" x14ac:dyDescent="0.2"/>
    <row r="449" s="203" customFormat="1" x14ac:dyDescent="0.2"/>
    <row r="450" s="203" customFormat="1" x14ac:dyDescent="0.2"/>
    <row r="451" s="203" customFormat="1" x14ac:dyDescent="0.2"/>
    <row r="452" s="203" customFormat="1" x14ac:dyDescent="0.2"/>
    <row r="453" s="203" customFormat="1" x14ac:dyDescent="0.2"/>
    <row r="454" s="203" customFormat="1" x14ac:dyDescent="0.2"/>
    <row r="455" s="203" customFormat="1" x14ac:dyDescent="0.2"/>
    <row r="456" s="203" customFormat="1" x14ac:dyDescent="0.2"/>
    <row r="457" s="203" customFormat="1" x14ac:dyDescent="0.2"/>
    <row r="458" s="203" customFormat="1" x14ac:dyDescent="0.2"/>
    <row r="459" s="203" customFormat="1" x14ac:dyDescent="0.2"/>
    <row r="460" s="203" customFormat="1" x14ac:dyDescent="0.2"/>
    <row r="461" s="203" customFormat="1" x14ac:dyDescent="0.2"/>
    <row r="462" s="203" customFormat="1" x14ac:dyDescent="0.2"/>
    <row r="463" s="203" customFormat="1" x14ac:dyDescent="0.2"/>
    <row r="464" s="203" customFormat="1" x14ac:dyDescent="0.2"/>
    <row r="465" s="203" customFormat="1" x14ac:dyDescent="0.2"/>
    <row r="466" s="203" customFormat="1" x14ac:dyDescent="0.2"/>
    <row r="467" s="203" customFormat="1" x14ac:dyDescent="0.2"/>
    <row r="468" s="203" customFormat="1" x14ac:dyDescent="0.2"/>
    <row r="469" s="203" customFormat="1" x14ac:dyDescent="0.2"/>
    <row r="470" s="203" customFormat="1" x14ac:dyDescent="0.2"/>
    <row r="471" s="203" customFormat="1" x14ac:dyDescent="0.2"/>
    <row r="472" s="203" customFormat="1" x14ac:dyDescent="0.2"/>
    <row r="473" s="203" customFormat="1" x14ac:dyDescent="0.2"/>
    <row r="474" s="203" customFormat="1" x14ac:dyDescent="0.2"/>
    <row r="475" s="203" customFormat="1" x14ac:dyDescent="0.2"/>
    <row r="476" s="203" customFormat="1" x14ac:dyDescent="0.2"/>
    <row r="477" s="203" customFormat="1" x14ac:dyDescent="0.2"/>
    <row r="478" s="203" customFormat="1" x14ac:dyDescent="0.2"/>
    <row r="479" s="203" customFormat="1" x14ac:dyDescent="0.2"/>
    <row r="480" s="203" customFormat="1" x14ac:dyDescent="0.2"/>
    <row r="481" s="203" customFormat="1" x14ac:dyDescent="0.2"/>
    <row r="482" s="203" customFormat="1" x14ac:dyDescent="0.2"/>
    <row r="483" s="203" customFormat="1" x14ac:dyDescent="0.2"/>
    <row r="484" s="203" customFormat="1" x14ac:dyDescent="0.2"/>
    <row r="485" s="203" customFormat="1" x14ac:dyDescent="0.2"/>
    <row r="486" s="203" customFormat="1" x14ac:dyDescent="0.2"/>
    <row r="487" s="203" customFormat="1" x14ac:dyDescent="0.2"/>
    <row r="488" s="203" customFormat="1" x14ac:dyDescent="0.2"/>
    <row r="489" s="203" customFormat="1" x14ac:dyDescent="0.2"/>
    <row r="490" s="203" customFormat="1" x14ac:dyDescent="0.2"/>
    <row r="491" s="203" customFormat="1" x14ac:dyDescent="0.2"/>
    <row r="492" s="203" customFormat="1" x14ac:dyDescent="0.2"/>
    <row r="493" s="203" customFormat="1" x14ac:dyDescent="0.2"/>
    <row r="494" s="203" customFormat="1" x14ac:dyDescent="0.2"/>
    <row r="495" s="203" customFormat="1" x14ac:dyDescent="0.2"/>
    <row r="496" s="203" customFormat="1" x14ac:dyDescent="0.2"/>
    <row r="497" s="203" customFormat="1" x14ac:dyDescent="0.2"/>
    <row r="498" s="203" customFormat="1" x14ac:dyDescent="0.2"/>
    <row r="499" s="203" customFormat="1" x14ac:dyDescent="0.2"/>
    <row r="500" s="203" customFormat="1" x14ac:dyDescent="0.2"/>
    <row r="501" s="203" customFormat="1" x14ac:dyDescent="0.2"/>
    <row r="502" s="203" customFormat="1" x14ac:dyDescent="0.2"/>
    <row r="503" s="203" customFormat="1" x14ac:dyDescent="0.2"/>
    <row r="504" s="203" customFormat="1" x14ac:dyDescent="0.2"/>
    <row r="505" s="203" customFormat="1" x14ac:dyDescent="0.2"/>
    <row r="506" s="203" customFormat="1" x14ac:dyDescent="0.2"/>
    <row r="507" s="203" customFormat="1" x14ac:dyDescent="0.2"/>
    <row r="508" s="203" customFormat="1" x14ac:dyDescent="0.2"/>
    <row r="509" s="203" customFormat="1" x14ac:dyDescent="0.2"/>
    <row r="510" s="203" customFormat="1" x14ac:dyDescent="0.2"/>
    <row r="511" s="203" customFormat="1" x14ac:dyDescent="0.2"/>
    <row r="512" s="203" customFormat="1" x14ac:dyDescent="0.2"/>
    <row r="513" s="203" customFormat="1" x14ac:dyDescent="0.2"/>
    <row r="514" s="203" customFormat="1" x14ac:dyDescent="0.2"/>
    <row r="515" s="203" customFormat="1" x14ac:dyDescent="0.2"/>
    <row r="516" s="203" customFormat="1" x14ac:dyDescent="0.2"/>
    <row r="517" s="203" customFormat="1" x14ac:dyDescent="0.2"/>
    <row r="518" s="203" customFormat="1" x14ac:dyDescent="0.2"/>
    <row r="519" s="203" customFormat="1" x14ac:dyDescent="0.2"/>
    <row r="520" s="203" customFormat="1" x14ac:dyDescent="0.2"/>
    <row r="521" s="203" customFormat="1" x14ac:dyDescent="0.2"/>
    <row r="522" s="203" customFormat="1" x14ac:dyDescent="0.2"/>
    <row r="523" s="203" customFormat="1" x14ac:dyDescent="0.2"/>
    <row r="524" s="203" customFormat="1" x14ac:dyDescent="0.2"/>
    <row r="525" s="203" customFormat="1" x14ac:dyDescent="0.2"/>
    <row r="526" s="203" customFormat="1" x14ac:dyDescent="0.2"/>
    <row r="527" s="203" customFormat="1" x14ac:dyDescent="0.2"/>
    <row r="528" s="203" customFormat="1" x14ac:dyDescent="0.2"/>
    <row r="529" s="203" customFormat="1" x14ac:dyDescent="0.2"/>
    <row r="530" s="203" customFormat="1" x14ac:dyDescent="0.2"/>
    <row r="531" s="203" customFormat="1" x14ac:dyDescent="0.2"/>
    <row r="532" s="203" customFormat="1" x14ac:dyDescent="0.2"/>
    <row r="533" s="203" customFormat="1" x14ac:dyDescent="0.2"/>
    <row r="534" s="203" customFormat="1" x14ac:dyDescent="0.2"/>
    <row r="535" s="203" customFormat="1" x14ac:dyDescent="0.2"/>
    <row r="536" s="203" customFormat="1" x14ac:dyDescent="0.2"/>
    <row r="537" s="203" customFormat="1" x14ac:dyDescent="0.2"/>
    <row r="538" s="203" customFormat="1" x14ac:dyDescent="0.2"/>
    <row r="539" s="203" customFormat="1" x14ac:dyDescent="0.2"/>
    <row r="540" s="203" customFormat="1" x14ac:dyDescent="0.2"/>
    <row r="541" s="203" customFormat="1" x14ac:dyDescent="0.2"/>
    <row r="542" s="203" customFormat="1" x14ac:dyDescent="0.2"/>
    <row r="543" s="203" customFormat="1" x14ac:dyDescent="0.2"/>
    <row r="544" s="203" customFormat="1" x14ac:dyDescent="0.2"/>
    <row r="545" s="203" customFormat="1" x14ac:dyDescent="0.2"/>
    <row r="546" s="203" customFormat="1" x14ac:dyDescent="0.2"/>
    <row r="547" s="203" customFormat="1" x14ac:dyDescent="0.2"/>
    <row r="548" s="203" customFormat="1" x14ac:dyDescent="0.2"/>
    <row r="549" s="203" customFormat="1" x14ac:dyDescent="0.2"/>
    <row r="550" s="203" customFormat="1" x14ac:dyDescent="0.2"/>
    <row r="551" s="203" customFormat="1" x14ac:dyDescent="0.2"/>
    <row r="552" s="203" customFormat="1" x14ac:dyDescent="0.2"/>
    <row r="553" s="203" customFormat="1" x14ac:dyDescent="0.2"/>
    <row r="554" s="203" customFormat="1" x14ac:dyDescent="0.2"/>
    <row r="555" s="203" customFormat="1" x14ac:dyDescent="0.2"/>
    <row r="556" s="203" customFormat="1" x14ac:dyDescent="0.2"/>
    <row r="557" s="203" customFormat="1" x14ac:dyDescent="0.2"/>
    <row r="558" s="203" customFormat="1" x14ac:dyDescent="0.2"/>
    <row r="559" s="203" customFormat="1" x14ac:dyDescent="0.2"/>
    <row r="560" s="203" customFormat="1" x14ac:dyDescent="0.2"/>
    <row r="561" s="203" customFormat="1" x14ac:dyDescent="0.2"/>
    <row r="562" s="203" customFormat="1" x14ac:dyDescent="0.2"/>
    <row r="563" s="203" customFormat="1" x14ac:dyDescent="0.2"/>
    <row r="564" s="203" customFormat="1" x14ac:dyDescent="0.2"/>
    <row r="565" s="203" customFormat="1" x14ac:dyDescent="0.2"/>
    <row r="566" s="203" customFormat="1" x14ac:dyDescent="0.2"/>
    <row r="567" s="203" customFormat="1" x14ac:dyDescent="0.2"/>
    <row r="568" s="203" customFormat="1" x14ac:dyDescent="0.2"/>
    <row r="569" s="203" customFormat="1" x14ac:dyDescent="0.2"/>
    <row r="570" s="203" customFormat="1" x14ac:dyDescent="0.2"/>
    <row r="571" s="203" customFormat="1" x14ac:dyDescent="0.2"/>
    <row r="572" s="203" customFormat="1" x14ac:dyDescent="0.2"/>
    <row r="573" s="203" customFormat="1" x14ac:dyDescent="0.2"/>
    <row r="574" s="203" customFormat="1" x14ac:dyDescent="0.2"/>
    <row r="575" s="203" customFormat="1" x14ac:dyDescent="0.2"/>
    <row r="576" s="203" customFormat="1" x14ac:dyDescent="0.2"/>
    <row r="577" s="203" customFormat="1" x14ac:dyDescent="0.2"/>
    <row r="578" s="203" customFormat="1" x14ac:dyDescent="0.2"/>
    <row r="579" s="203" customFormat="1" x14ac:dyDescent="0.2"/>
    <row r="580" s="203" customFormat="1" x14ac:dyDescent="0.2"/>
    <row r="581" s="203" customFormat="1" x14ac:dyDescent="0.2"/>
    <row r="582" s="203" customFormat="1" x14ac:dyDescent="0.2"/>
    <row r="583" s="203" customFormat="1" x14ac:dyDescent="0.2"/>
    <row r="584" s="203" customFormat="1" x14ac:dyDescent="0.2"/>
    <row r="585" s="203" customFormat="1" x14ac:dyDescent="0.2"/>
    <row r="586" s="203" customFormat="1" x14ac:dyDescent="0.2"/>
    <row r="587" s="203" customFormat="1" x14ac:dyDescent="0.2"/>
    <row r="588" s="203" customFormat="1" x14ac:dyDescent="0.2"/>
    <row r="589" s="203" customFormat="1" x14ac:dyDescent="0.2"/>
    <row r="590" s="203" customFormat="1" x14ac:dyDescent="0.2"/>
    <row r="591" s="203" customFormat="1" x14ac:dyDescent="0.2"/>
    <row r="592" s="203" customFormat="1" x14ac:dyDescent="0.2"/>
    <row r="593" s="203" customFormat="1" x14ac:dyDescent="0.2"/>
    <row r="594" s="203" customFormat="1" x14ac:dyDescent="0.2"/>
    <row r="595" s="203" customFormat="1" x14ac:dyDescent="0.2"/>
    <row r="596" s="203" customFormat="1" x14ac:dyDescent="0.2"/>
    <row r="597" s="203" customFormat="1" x14ac:dyDescent="0.2"/>
    <row r="598" s="203" customFormat="1" x14ac:dyDescent="0.2"/>
    <row r="599" s="203" customFormat="1" x14ac:dyDescent="0.2"/>
    <row r="600" s="203" customFormat="1" x14ac:dyDescent="0.2"/>
    <row r="601" s="203" customFormat="1" x14ac:dyDescent="0.2"/>
    <row r="602" s="203" customFormat="1" x14ac:dyDescent="0.2"/>
    <row r="603" s="203" customFormat="1" x14ac:dyDescent="0.2"/>
    <row r="604" s="203" customFormat="1" x14ac:dyDescent="0.2"/>
    <row r="605" s="203" customFormat="1" x14ac:dyDescent="0.2"/>
    <row r="606" s="203" customFormat="1" x14ac:dyDescent="0.2"/>
    <row r="607" s="203" customFormat="1" x14ac:dyDescent="0.2"/>
    <row r="608" s="203" customFormat="1" x14ac:dyDescent="0.2"/>
    <row r="609" s="203" customFormat="1" x14ac:dyDescent="0.2"/>
    <row r="610" s="203" customFormat="1" x14ac:dyDescent="0.2"/>
    <row r="611" s="203" customFormat="1" x14ac:dyDescent="0.2"/>
    <row r="612" s="203" customFormat="1" x14ac:dyDescent="0.2"/>
    <row r="613" s="203" customFormat="1" x14ac:dyDescent="0.2"/>
    <row r="614" s="203" customFormat="1" x14ac:dyDescent="0.2"/>
    <row r="615" s="203" customFormat="1" x14ac:dyDescent="0.2"/>
    <row r="616" s="203" customFormat="1" x14ac:dyDescent="0.2"/>
    <row r="617" s="203" customFormat="1" x14ac:dyDescent="0.2"/>
    <row r="618" s="203" customFormat="1" x14ac:dyDescent="0.2"/>
    <row r="619" s="203" customFormat="1" x14ac:dyDescent="0.2"/>
    <row r="620" s="203" customFormat="1" x14ac:dyDescent="0.2"/>
    <row r="621" s="203" customFormat="1" x14ac:dyDescent="0.2"/>
    <row r="622" s="203" customFormat="1" x14ac:dyDescent="0.2"/>
    <row r="623" s="203" customFormat="1" x14ac:dyDescent="0.2"/>
    <row r="624" s="203" customFormat="1" x14ac:dyDescent="0.2"/>
    <row r="625" s="203" customFormat="1" x14ac:dyDescent="0.2"/>
    <row r="626" s="203" customFormat="1" x14ac:dyDescent="0.2"/>
    <row r="627" s="203" customFormat="1" x14ac:dyDescent="0.2"/>
    <row r="628" s="203" customFormat="1" x14ac:dyDescent="0.2"/>
    <row r="629" s="203" customFormat="1" x14ac:dyDescent="0.2"/>
    <row r="630" s="203" customFormat="1" x14ac:dyDescent="0.2"/>
    <row r="631" s="203" customFormat="1" x14ac:dyDescent="0.2"/>
    <row r="632" s="203" customFormat="1" x14ac:dyDescent="0.2"/>
    <row r="633" s="203" customFormat="1" x14ac:dyDescent="0.2"/>
    <row r="634" s="203" customFormat="1" x14ac:dyDescent="0.2"/>
    <row r="635" s="203" customFormat="1" x14ac:dyDescent="0.2"/>
    <row r="636" s="203" customFormat="1" x14ac:dyDescent="0.2"/>
    <row r="637" s="203" customFormat="1" x14ac:dyDescent="0.2"/>
    <row r="638" s="203" customFormat="1" x14ac:dyDescent="0.2"/>
    <row r="639" s="203" customFormat="1" x14ac:dyDescent="0.2"/>
    <row r="640" s="203" customFormat="1" x14ac:dyDescent="0.2"/>
    <row r="641" s="203" customFormat="1" x14ac:dyDescent="0.2"/>
    <row r="642" s="203" customFormat="1" x14ac:dyDescent="0.2"/>
    <row r="643" s="203" customFormat="1" x14ac:dyDescent="0.2"/>
    <row r="644" s="203" customFormat="1" x14ac:dyDescent="0.2"/>
    <row r="645" s="203" customFormat="1" x14ac:dyDescent="0.2"/>
    <row r="646" s="203" customFormat="1" x14ac:dyDescent="0.2"/>
    <row r="647" s="203" customFormat="1" x14ac:dyDescent="0.2"/>
    <row r="648" s="203" customFormat="1" x14ac:dyDescent="0.2"/>
    <row r="649" s="203" customFormat="1" x14ac:dyDescent="0.2"/>
    <row r="650" s="203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B38" sqref="B38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1" t="s">
        <v>10</v>
      </c>
      <c r="B1" s="192" t="s">
        <v>114</v>
      </c>
      <c r="C1" s="193" t="s">
        <v>115</v>
      </c>
      <c r="D1" s="194" t="s">
        <v>116</v>
      </c>
    </row>
    <row r="2" spans="1:4" x14ac:dyDescent="0.25">
      <c r="A2" s="195">
        <v>1</v>
      </c>
      <c r="B2" s="189" t="s">
        <v>229</v>
      </c>
      <c r="C2" s="196" t="s">
        <v>117</v>
      </c>
      <c r="D2" s="197">
        <v>1235</v>
      </c>
    </row>
    <row r="3" spans="1:4" x14ac:dyDescent="0.25">
      <c r="A3" s="198">
        <f>$A$2+0</f>
        <v>1</v>
      </c>
      <c r="B3" s="190" t="str">
        <f t="shared" ref="B3:B4" si="0">$B$2</f>
        <v>Thayna</v>
      </c>
      <c r="C3" s="196" t="s">
        <v>118</v>
      </c>
      <c r="D3" s="197">
        <v>18</v>
      </c>
    </row>
    <row r="4" spans="1:4" x14ac:dyDescent="0.25">
      <c r="A4" s="198">
        <f>$A$2+0</f>
        <v>1</v>
      </c>
      <c r="B4" s="190" t="str">
        <f t="shared" si="0"/>
        <v>Thayna</v>
      </c>
      <c r="C4" s="196" t="s">
        <v>119</v>
      </c>
      <c r="D4" s="197">
        <v>15263</v>
      </c>
    </row>
    <row r="5" spans="1:4" x14ac:dyDescent="0.25">
      <c r="A5" s="195">
        <f>2</f>
        <v>2</v>
      </c>
      <c r="B5" s="189" t="s">
        <v>230</v>
      </c>
      <c r="C5" s="196" t="s">
        <v>117</v>
      </c>
      <c r="D5" s="197">
        <v>145</v>
      </c>
    </row>
    <row r="6" spans="1:4" x14ac:dyDescent="0.25">
      <c r="A6" s="198">
        <f>$A$5</f>
        <v>2</v>
      </c>
      <c r="B6" s="190" t="str">
        <f t="shared" ref="B6:B7" si="1">$B$5</f>
        <v>Henrique</v>
      </c>
      <c r="C6" s="196" t="s">
        <v>118</v>
      </c>
      <c r="D6" s="197">
        <v>179</v>
      </c>
    </row>
    <row r="7" spans="1:4" x14ac:dyDescent="0.25">
      <c r="A7" s="198">
        <f>$A$5</f>
        <v>2</v>
      </c>
      <c r="B7" s="190" t="str">
        <f t="shared" si="1"/>
        <v>Henrique</v>
      </c>
      <c r="C7" s="196" t="s">
        <v>119</v>
      </c>
      <c r="D7" s="197">
        <v>12543</v>
      </c>
    </row>
    <row r="8" spans="1:4" x14ac:dyDescent="0.25">
      <c r="A8" s="195">
        <f>3</f>
        <v>3</v>
      </c>
      <c r="B8" s="189" t="s">
        <v>231</v>
      </c>
      <c r="C8" s="196" t="s">
        <v>117</v>
      </c>
      <c r="D8" s="197">
        <v>129876</v>
      </c>
    </row>
    <row r="9" spans="1:4" x14ac:dyDescent="0.25">
      <c r="A9" s="198">
        <f>$A$8</f>
        <v>3</v>
      </c>
      <c r="B9" s="190" t="str">
        <f t="shared" ref="B9:B10" si="2">$B$8</f>
        <v>Andre</v>
      </c>
      <c r="C9" s="196" t="s">
        <v>118</v>
      </c>
      <c r="D9" s="197">
        <v>1297</v>
      </c>
    </row>
    <row r="10" spans="1:4" x14ac:dyDescent="0.25">
      <c r="A10" s="198">
        <f>$A$8</f>
        <v>3</v>
      </c>
      <c r="B10" s="190" t="str">
        <f t="shared" si="2"/>
        <v>Andre</v>
      </c>
      <c r="C10" s="196" t="s">
        <v>119</v>
      </c>
      <c r="D10" s="197">
        <v>2163</v>
      </c>
    </row>
    <row r="11" spans="1:4" x14ac:dyDescent="0.25">
      <c r="A11" s="195">
        <f>4</f>
        <v>4</v>
      </c>
      <c r="B11" s="189" t="s">
        <v>232</v>
      </c>
      <c r="C11" s="196" t="s">
        <v>117</v>
      </c>
      <c r="D11" s="197">
        <v>2987</v>
      </c>
    </row>
    <row r="12" spans="1:4" x14ac:dyDescent="0.25">
      <c r="A12" s="198">
        <f>$A$11</f>
        <v>4</v>
      </c>
      <c r="B12" s="190" t="str">
        <f t="shared" ref="B12:B13" si="3">$B$11</f>
        <v>Atala</v>
      </c>
      <c r="C12" s="196" t="s">
        <v>118</v>
      </c>
      <c r="D12" s="197">
        <v>2185</v>
      </c>
    </row>
    <row r="13" spans="1:4" x14ac:dyDescent="0.25">
      <c r="A13" s="198">
        <f>$A$11</f>
        <v>4</v>
      </c>
      <c r="B13" s="190" t="str">
        <f t="shared" si="3"/>
        <v>Atala</v>
      </c>
      <c r="C13" s="196" t="s">
        <v>119</v>
      </c>
      <c r="D13" s="197">
        <v>2196</v>
      </c>
    </row>
    <row r="14" spans="1:4" x14ac:dyDescent="0.25">
      <c r="A14" s="195">
        <f>5</f>
        <v>5</v>
      </c>
      <c r="B14" s="189" t="s">
        <v>233</v>
      </c>
      <c r="C14" s="196" t="s">
        <v>117</v>
      </c>
      <c r="D14" s="197">
        <v>5297</v>
      </c>
    </row>
    <row r="15" spans="1:4" x14ac:dyDescent="0.25">
      <c r="A15" s="198">
        <f>$A$14</f>
        <v>5</v>
      </c>
      <c r="B15" s="190" t="str">
        <f t="shared" ref="B15:B16" si="4">$B$14</f>
        <v>Bianca</v>
      </c>
      <c r="C15" s="196" t="s">
        <v>118</v>
      </c>
      <c r="D15" s="197">
        <v>217</v>
      </c>
    </row>
    <row r="16" spans="1:4" x14ac:dyDescent="0.25">
      <c r="A16" s="198">
        <f>$A$14</f>
        <v>5</v>
      </c>
      <c r="B16" s="190" t="str">
        <f t="shared" si="4"/>
        <v>Bianca</v>
      </c>
      <c r="C16" s="196" t="s">
        <v>119</v>
      </c>
      <c r="D16" s="197">
        <v>217496</v>
      </c>
    </row>
    <row r="17" spans="1:9" x14ac:dyDescent="0.25">
      <c r="A17" s="195">
        <f>6</f>
        <v>6</v>
      </c>
      <c r="B17" s="189" t="s">
        <v>234</v>
      </c>
      <c r="C17" s="196" t="s">
        <v>117</v>
      </c>
      <c r="D17" s="197">
        <v>127496</v>
      </c>
    </row>
    <row r="18" spans="1:9" x14ac:dyDescent="0.25">
      <c r="A18" s="198">
        <f>$A$17</f>
        <v>6</v>
      </c>
      <c r="B18" s="190" t="str">
        <f t="shared" ref="B18:B19" si="5">$B$17</f>
        <v>Guilherme</v>
      </c>
      <c r="C18" s="196" t="s">
        <v>118</v>
      </c>
      <c r="D18" s="197">
        <v>1742</v>
      </c>
    </row>
    <row r="19" spans="1:9" x14ac:dyDescent="0.25">
      <c r="A19" s="198">
        <f>$A$17</f>
        <v>6</v>
      </c>
      <c r="B19" s="190" t="str">
        <f t="shared" si="5"/>
        <v>Guilherme</v>
      </c>
      <c r="C19" s="196" t="s">
        <v>119</v>
      </c>
      <c r="D19" s="197">
        <v>41297</v>
      </c>
    </row>
    <row r="20" spans="1:9" x14ac:dyDescent="0.25">
      <c r="A20" s="195">
        <f>7</f>
        <v>7</v>
      </c>
      <c r="B20" s="189" t="s">
        <v>235</v>
      </c>
      <c r="C20" s="196" t="s">
        <v>117</v>
      </c>
      <c r="D20" s="197">
        <v>17429</v>
      </c>
    </row>
    <row r="21" spans="1:9" x14ac:dyDescent="0.25">
      <c r="A21" s="198">
        <f>$A$20</f>
        <v>7</v>
      </c>
      <c r="B21" s="190" t="str">
        <f t="shared" ref="B21:B22" si="6">$B$20</f>
        <v>Joao</v>
      </c>
      <c r="C21" s="196" t="s">
        <v>118</v>
      </c>
      <c r="D21" s="197">
        <v>76</v>
      </c>
    </row>
    <row r="22" spans="1:9" x14ac:dyDescent="0.25">
      <c r="A22" s="198">
        <f>$A$20</f>
        <v>7</v>
      </c>
      <c r="B22" s="190" t="str">
        <f t="shared" si="6"/>
        <v>Joao</v>
      </c>
      <c r="C22" s="196" t="s">
        <v>119</v>
      </c>
      <c r="D22" s="197">
        <v>24961</v>
      </c>
    </row>
    <row r="23" spans="1:9" x14ac:dyDescent="0.25">
      <c r="A23" s="195">
        <f>8</f>
        <v>8</v>
      </c>
      <c r="B23" s="189" t="s">
        <v>236</v>
      </c>
      <c r="C23" s="196" t="s">
        <v>117</v>
      </c>
      <c r="D23" s="197">
        <v>179</v>
      </c>
    </row>
    <row r="24" spans="1:9" x14ac:dyDescent="0.25">
      <c r="A24" s="198">
        <f>$A$23</f>
        <v>8</v>
      </c>
      <c r="B24" s="190" t="str">
        <f t="shared" ref="B24:B25" si="7">$B$23</f>
        <v>Biagio</v>
      </c>
      <c r="C24" s="196" t="s">
        <v>118</v>
      </c>
      <c r="D24" s="197">
        <v>17529</v>
      </c>
    </row>
    <row r="25" spans="1:9" x14ac:dyDescent="0.25">
      <c r="A25" s="198">
        <f>$A$23</f>
        <v>8</v>
      </c>
      <c r="B25" s="190" t="str">
        <f t="shared" si="7"/>
        <v>Biagio</v>
      </c>
      <c r="C25" s="196" t="s">
        <v>119</v>
      </c>
      <c r="D25" s="197">
        <v>17952</v>
      </c>
    </row>
    <row r="26" spans="1:9" x14ac:dyDescent="0.25">
      <c r="A26" s="195">
        <f>9</f>
        <v>9</v>
      </c>
      <c r="B26" s="189" t="s">
        <v>237</v>
      </c>
      <c r="C26" s="196" t="s">
        <v>117</v>
      </c>
      <c r="D26" s="197">
        <v>4176</v>
      </c>
    </row>
    <row r="27" spans="1:9" x14ac:dyDescent="0.25">
      <c r="A27" s="198">
        <f>$A$26</f>
        <v>9</v>
      </c>
      <c r="B27" s="190" t="str">
        <f t="shared" ref="B27:B28" si="8">$B$26</f>
        <v>Cecilia</v>
      </c>
      <c r="C27" s="196" t="s">
        <v>118</v>
      </c>
      <c r="D27" s="197">
        <v>47126</v>
      </c>
    </row>
    <row r="28" spans="1:9" x14ac:dyDescent="0.25">
      <c r="A28" s="198">
        <f>$A$26</f>
        <v>9</v>
      </c>
      <c r="B28" s="190" t="str">
        <f t="shared" si="8"/>
        <v>Cecilia</v>
      </c>
      <c r="C28" s="196" t="s">
        <v>119</v>
      </c>
      <c r="D28" s="197">
        <v>1728</v>
      </c>
    </row>
    <row r="29" spans="1:9" x14ac:dyDescent="0.25">
      <c r="A29" s="199">
        <v>10</v>
      </c>
      <c r="B29" s="189" t="s">
        <v>238</v>
      </c>
      <c r="C29" s="196" t="s">
        <v>117</v>
      </c>
      <c r="D29" s="197">
        <v>1728</v>
      </c>
    </row>
    <row r="30" spans="1:9" x14ac:dyDescent="0.25">
      <c r="A30" s="198">
        <f>$A$29</f>
        <v>10</v>
      </c>
      <c r="B30" s="190" t="str">
        <f t="shared" ref="B30:B31" si="9">$B$29</f>
        <v>Feni</v>
      </c>
      <c r="C30" s="196" t="s">
        <v>118</v>
      </c>
      <c r="D30" s="197">
        <v>1726</v>
      </c>
    </row>
    <row r="31" spans="1:9" x14ac:dyDescent="0.25">
      <c r="A31" s="198">
        <f>$A$29</f>
        <v>10</v>
      </c>
      <c r="B31" s="190" t="str">
        <f t="shared" si="9"/>
        <v>Feni</v>
      </c>
      <c r="C31" s="196" t="s">
        <v>119</v>
      </c>
      <c r="D31" s="197">
        <v>1296</v>
      </c>
    </row>
    <row r="32" spans="1:9" ht="13.5" x14ac:dyDescent="0.25">
      <c r="A32" s="200">
        <v>11</v>
      </c>
      <c r="B32" s="189" t="s">
        <v>239</v>
      </c>
      <c r="C32" s="196" t="s">
        <v>117</v>
      </c>
      <c r="D32" s="197">
        <v>156</v>
      </c>
      <c r="E32" s="1"/>
      <c r="F32" s="1"/>
      <c r="G32" s="4"/>
      <c r="I32" s="1"/>
    </row>
    <row r="33" spans="1:9" ht="13.5" x14ac:dyDescent="0.25">
      <c r="A33" s="200">
        <v>11</v>
      </c>
      <c r="B33" s="190" t="str">
        <f t="shared" ref="B33:B34" si="10">$B$32</f>
        <v>Mirela</v>
      </c>
      <c r="C33" s="196" t="s">
        <v>118</v>
      </c>
      <c r="D33" s="197">
        <v>158</v>
      </c>
      <c r="E33" s="1"/>
      <c r="F33" s="1"/>
      <c r="G33" s="4"/>
      <c r="I33" s="1"/>
    </row>
    <row r="34" spans="1:9" ht="13.5" x14ac:dyDescent="0.25">
      <c r="A34" s="200">
        <v>11</v>
      </c>
      <c r="B34" s="190" t="str">
        <f t="shared" si="10"/>
        <v>Mirela</v>
      </c>
      <c r="C34" s="196" t="s">
        <v>119</v>
      </c>
      <c r="D34" s="197">
        <v>152</v>
      </c>
      <c r="E34" s="1"/>
      <c r="F34" s="1"/>
      <c r="G34" s="4"/>
    </row>
    <row r="35" spans="1:9" ht="13.5" x14ac:dyDescent="0.25">
      <c r="A35" s="200">
        <v>12</v>
      </c>
      <c r="B35" s="189" t="s">
        <v>240</v>
      </c>
      <c r="C35" s="196" t="s">
        <v>117</v>
      </c>
      <c r="D35" s="197">
        <v>147</v>
      </c>
      <c r="E35" s="1"/>
      <c r="F35" s="1"/>
      <c r="G35" s="4"/>
    </row>
    <row r="36" spans="1:9" ht="13.5" x14ac:dyDescent="0.25">
      <c r="A36" s="200">
        <v>12</v>
      </c>
      <c r="B36" s="190" t="str">
        <f t="shared" ref="B36:B37" si="11">$B$35</f>
        <v>Antunes</v>
      </c>
      <c r="C36" s="196" t="s">
        <v>118</v>
      </c>
      <c r="D36" s="197">
        <v>169</v>
      </c>
      <c r="E36" s="1"/>
      <c r="F36" s="1"/>
      <c r="G36" s="4"/>
    </row>
    <row r="37" spans="1:9" ht="13.5" x14ac:dyDescent="0.25">
      <c r="A37" s="200">
        <v>12</v>
      </c>
      <c r="B37" s="190" t="str">
        <f t="shared" si="11"/>
        <v>Antunes</v>
      </c>
      <c r="C37" s="196" t="s">
        <v>119</v>
      </c>
      <c r="D37" s="197">
        <v>142</v>
      </c>
      <c r="E37" s="1"/>
      <c r="F37" s="1"/>
      <c r="G37" s="4"/>
    </row>
    <row r="38" spans="1:9" ht="13.5" x14ac:dyDescent="0.25">
      <c r="A38" s="200">
        <v>13</v>
      </c>
      <c r="B38" s="189"/>
      <c r="C38" s="196" t="s">
        <v>117</v>
      </c>
      <c r="D38" s="197"/>
      <c r="E38" s="1"/>
      <c r="F38" s="1"/>
      <c r="G38" s="4"/>
    </row>
    <row r="39" spans="1:9" ht="13.5" x14ac:dyDescent="0.25">
      <c r="A39" s="200">
        <v>13</v>
      </c>
      <c r="B39" s="190">
        <f t="shared" ref="B39:B40" si="12">$B$38</f>
        <v>0</v>
      </c>
      <c r="C39" s="196" t="s">
        <v>118</v>
      </c>
      <c r="D39" s="197"/>
      <c r="E39" s="1"/>
      <c r="F39" s="1"/>
      <c r="G39" s="4"/>
    </row>
    <row r="40" spans="1:9" ht="13.5" x14ac:dyDescent="0.25">
      <c r="A40" s="200">
        <v>13</v>
      </c>
      <c r="B40" s="190">
        <f t="shared" si="12"/>
        <v>0</v>
      </c>
      <c r="C40" s="196" t="s">
        <v>119</v>
      </c>
      <c r="D40" s="197"/>
    </row>
    <row r="41" spans="1:9" ht="13.5" x14ac:dyDescent="0.25">
      <c r="A41" s="200">
        <v>14</v>
      </c>
      <c r="B41" s="189"/>
      <c r="C41" s="196" t="s">
        <v>117</v>
      </c>
      <c r="D41" s="197"/>
    </row>
    <row r="42" spans="1:9" ht="13.5" x14ac:dyDescent="0.25">
      <c r="A42" s="200">
        <v>14</v>
      </c>
      <c r="B42" s="190">
        <f t="shared" ref="B42:B43" si="13">$B$41</f>
        <v>0</v>
      </c>
      <c r="C42" s="196" t="s">
        <v>118</v>
      </c>
      <c r="D42" s="197"/>
    </row>
    <row r="43" spans="1:9" ht="13.5" x14ac:dyDescent="0.25">
      <c r="A43" s="200">
        <v>14</v>
      </c>
      <c r="B43" s="190">
        <f t="shared" si="13"/>
        <v>0</v>
      </c>
      <c r="C43" s="196" t="s">
        <v>119</v>
      </c>
      <c r="D43" s="197"/>
    </row>
    <row r="44" spans="1:9" ht="13.5" x14ac:dyDescent="0.25">
      <c r="A44" s="200">
        <v>15</v>
      </c>
      <c r="B44" s="189"/>
      <c r="C44" s="196" t="s">
        <v>117</v>
      </c>
      <c r="D44" s="197"/>
    </row>
    <row r="45" spans="1:9" ht="13.5" x14ac:dyDescent="0.25">
      <c r="A45" s="200">
        <v>15</v>
      </c>
      <c r="B45" s="190">
        <f t="shared" ref="B45:B46" si="14">$B$44</f>
        <v>0</v>
      </c>
      <c r="C45" s="196" t="s">
        <v>118</v>
      </c>
      <c r="D45" s="197"/>
    </row>
    <row r="46" spans="1:9" ht="13.5" x14ac:dyDescent="0.25">
      <c r="A46" s="200">
        <v>15</v>
      </c>
      <c r="B46" s="190">
        <f t="shared" si="14"/>
        <v>0</v>
      </c>
      <c r="C46" s="196" t="s">
        <v>119</v>
      </c>
      <c r="D46" s="197"/>
    </row>
    <row r="47" spans="1:9" ht="13.5" x14ac:dyDescent="0.25">
      <c r="A47" s="200">
        <v>16</v>
      </c>
      <c r="B47" s="189"/>
      <c r="C47" s="196" t="s">
        <v>117</v>
      </c>
      <c r="D47" s="197"/>
    </row>
    <row r="48" spans="1:9" ht="13.5" x14ac:dyDescent="0.25">
      <c r="A48" s="200">
        <v>16</v>
      </c>
      <c r="B48" s="190">
        <f t="shared" ref="B48:B49" si="15">$B$47</f>
        <v>0</v>
      </c>
      <c r="C48" s="196" t="s">
        <v>118</v>
      </c>
      <c r="D48" s="197"/>
    </row>
    <row r="49" spans="1:4" ht="13.5" x14ac:dyDescent="0.25">
      <c r="A49" s="200">
        <v>16</v>
      </c>
      <c r="B49" s="190">
        <f t="shared" si="15"/>
        <v>0</v>
      </c>
      <c r="C49" s="196" t="s">
        <v>119</v>
      </c>
      <c r="D49" s="197"/>
    </row>
    <row r="50" spans="1:4" ht="13.5" x14ac:dyDescent="0.25">
      <c r="A50" s="200">
        <v>17</v>
      </c>
      <c r="B50" s="189"/>
      <c r="C50" s="196" t="s">
        <v>117</v>
      </c>
      <c r="D50" s="197"/>
    </row>
    <row r="51" spans="1:4" ht="13.5" x14ac:dyDescent="0.25">
      <c r="A51" s="200">
        <v>17</v>
      </c>
      <c r="B51" s="190">
        <f t="shared" ref="B51:B52" si="16">$B$50</f>
        <v>0</v>
      </c>
      <c r="C51" s="196" t="s">
        <v>118</v>
      </c>
      <c r="D51" s="197"/>
    </row>
    <row r="52" spans="1:4" ht="13.5" x14ac:dyDescent="0.25">
      <c r="A52" s="200">
        <v>17</v>
      </c>
      <c r="B52" s="190">
        <f t="shared" si="16"/>
        <v>0</v>
      </c>
      <c r="C52" s="196" t="s">
        <v>119</v>
      </c>
      <c r="D52" s="197"/>
    </row>
    <row r="53" spans="1:4" ht="13.5" x14ac:dyDescent="0.25">
      <c r="A53" s="200">
        <v>18</v>
      </c>
      <c r="B53" s="189"/>
      <c r="C53" s="196" t="s">
        <v>117</v>
      </c>
      <c r="D53" s="197"/>
    </row>
    <row r="54" spans="1:4" ht="13.5" x14ac:dyDescent="0.25">
      <c r="A54" s="200">
        <v>18</v>
      </c>
      <c r="B54" s="190">
        <f t="shared" ref="B54:B55" si="17">$B$53</f>
        <v>0</v>
      </c>
      <c r="C54" s="196" t="s">
        <v>118</v>
      </c>
      <c r="D54" s="197"/>
    </row>
    <row r="55" spans="1:4" ht="13.5" x14ac:dyDescent="0.25">
      <c r="A55" s="200">
        <v>18</v>
      </c>
      <c r="B55" s="190">
        <f t="shared" si="17"/>
        <v>0</v>
      </c>
      <c r="C55" s="196" t="s">
        <v>119</v>
      </c>
      <c r="D55" s="197"/>
    </row>
    <row r="56" spans="1:4" ht="13.5" x14ac:dyDescent="0.25">
      <c r="A56" s="200">
        <v>19</v>
      </c>
      <c r="B56" s="189"/>
      <c r="C56" s="196" t="s">
        <v>117</v>
      </c>
      <c r="D56" s="197"/>
    </row>
    <row r="57" spans="1:4" ht="13.5" x14ac:dyDescent="0.25">
      <c r="A57" s="200">
        <v>19</v>
      </c>
      <c r="B57" s="190">
        <f t="shared" ref="B57:B58" si="18">$B$56</f>
        <v>0</v>
      </c>
      <c r="C57" s="196" t="s">
        <v>118</v>
      </c>
      <c r="D57" s="197"/>
    </row>
    <row r="58" spans="1:4" ht="13.5" x14ac:dyDescent="0.25">
      <c r="A58" s="200">
        <v>19</v>
      </c>
      <c r="B58" s="190">
        <f t="shared" si="18"/>
        <v>0</v>
      </c>
      <c r="C58" s="196" t="s">
        <v>119</v>
      </c>
      <c r="D58" s="197"/>
    </row>
    <row r="59" spans="1:4" ht="13.5" x14ac:dyDescent="0.25">
      <c r="A59" s="200">
        <v>20</v>
      </c>
      <c r="B59" s="189"/>
      <c r="C59" s="196" t="s">
        <v>117</v>
      </c>
      <c r="D59" s="197"/>
    </row>
    <row r="60" spans="1:4" ht="13.5" x14ac:dyDescent="0.25">
      <c r="A60" s="200">
        <v>20</v>
      </c>
      <c r="B60" s="190">
        <f t="shared" ref="B60:B61" si="19">$B$59</f>
        <v>0</v>
      </c>
      <c r="C60" s="196" t="s">
        <v>118</v>
      </c>
      <c r="D60" s="197"/>
    </row>
    <row r="61" spans="1:4" ht="13.5" x14ac:dyDescent="0.25">
      <c r="A61" s="200">
        <v>20</v>
      </c>
      <c r="B61" s="190">
        <f t="shared" si="19"/>
        <v>0</v>
      </c>
      <c r="C61" s="196" t="s">
        <v>119</v>
      </c>
      <c r="D61" s="197"/>
    </row>
    <row r="62" spans="1:4" ht="13.5" x14ac:dyDescent="0.25">
      <c r="A62" s="200">
        <v>21</v>
      </c>
      <c r="B62" s="189"/>
      <c r="C62" s="196" t="s">
        <v>117</v>
      </c>
      <c r="D62" s="197"/>
    </row>
    <row r="63" spans="1:4" ht="13.5" x14ac:dyDescent="0.25">
      <c r="A63" s="200">
        <v>21</v>
      </c>
      <c r="B63" s="190">
        <f t="shared" ref="B63:B64" si="20">$B$62</f>
        <v>0</v>
      </c>
      <c r="C63" s="196" t="s">
        <v>118</v>
      </c>
      <c r="D63" s="197"/>
    </row>
    <row r="64" spans="1:4" ht="13.5" x14ac:dyDescent="0.25">
      <c r="A64" s="200">
        <v>21</v>
      </c>
      <c r="B64" s="190">
        <f t="shared" si="20"/>
        <v>0</v>
      </c>
      <c r="C64" s="196" t="s">
        <v>119</v>
      </c>
      <c r="D64" s="197"/>
    </row>
    <row r="65" spans="1:4" ht="13.5" x14ac:dyDescent="0.25">
      <c r="A65" s="200">
        <v>22</v>
      </c>
      <c r="B65" s="189"/>
      <c r="C65" s="196" t="s">
        <v>117</v>
      </c>
      <c r="D65" s="197"/>
    </row>
    <row r="66" spans="1:4" ht="13.5" x14ac:dyDescent="0.25">
      <c r="A66" s="200">
        <v>22</v>
      </c>
      <c r="B66" s="190">
        <f t="shared" ref="B66:B67" si="21">$B$65</f>
        <v>0</v>
      </c>
      <c r="C66" s="196" t="s">
        <v>118</v>
      </c>
      <c r="D66" s="197"/>
    </row>
    <row r="67" spans="1:4" ht="13.5" x14ac:dyDescent="0.25">
      <c r="A67" s="200">
        <v>22</v>
      </c>
      <c r="B67" s="190">
        <f t="shared" si="21"/>
        <v>0</v>
      </c>
      <c r="C67" s="196" t="s">
        <v>119</v>
      </c>
      <c r="D67" s="197"/>
    </row>
    <row r="68" spans="1:4" ht="13.5" x14ac:dyDescent="0.25">
      <c r="A68" s="200">
        <v>23</v>
      </c>
      <c r="B68" s="189"/>
      <c r="C68" s="196" t="s">
        <v>117</v>
      </c>
      <c r="D68" s="197"/>
    </row>
    <row r="69" spans="1:4" ht="13.5" x14ac:dyDescent="0.25">
      <c r="A69" s="200">
        <v>23</v>
      </c>
      <c r="B69" s="190">
        <f t="shared" ref="B69:B70" si="22">$B$68</f>
        <v>0</v>
      </c>
      <c r="C69" s="196" t="s">
        <v>118</v>
      </c>
      <c r="D69" s="197"/>
    </row>
    <row r="70" spans="1:4" ht="13.5" x14ac:dyDescent="0.25">
      <c r="A70" s="200">
        <v>23</v>
      </c>
      <c r="B70" s="190">
        <f t="shared" si="22"/>
        <v>0</v>
      </c>
      <c r="C70" s="196" t="s">
        <v>119</v>
      </c>
      <c r="D70" s="197"/>
    </row>
    <row r="71" spans="1:4" ht="13.5" x14ac:dyDescent="0.25">
      <c r="A71" s="200">
        <v>24</v>
      </c>
      <c r="B71" s="189"/>
      <c r="C71" s="196" t="s">
        <v>117</v>
      </c>
      <c r="D71" s="197"/>
    </row>
    <row r="72" spans="1:4" ht="13.5" x14ac:dyDescent="0.25">
      <c r="A72" s="200">
        <v>24</v>
      </c>
      <c r="B72" s="190">
        <f t="shared" ref="B72:B73" si="23">$B$71</f>
        <v>0</v>
      </c>
      <c r="C72" s="196" t="s">
        <v>118</v>
      </c>
      <c r="D72" s="197"/>
    </row>
    <row r="73" spans="1:4" ht="13.5" x14ac:dyDescent="0.25">
      <c r="A73" s="200">
        <v>24</v>
      </c>
      <c r="B73" s="190">
        <f t="shared" si="23"/>
        <v>0</v>
      </c>
      <c r="C73" s="196" t="s">
        <v>119</v>
      </c>
      <c r="D73" s="197"/>
    </row>
    <row r="74" spans="1:4" ht="13.5" x14ac:dyDescent="0.25">
      <c r="A74" s="200">
        <v>25</v>
      </c>
      <c r="B74" s="189"/>
      <c r="C74" s="196" t="s">
        <v>117</v>
      </c>
      <c r="D74" s="197"/>
    </row>
    <row r="75" spans="1:4" ht="13.5" x14ac:dyDescent="0.25">
      <c r="A75" s="200">
        <v>25</v>
      </c>
      <c r="B75" s="190">
        <f t="shared" ref="B75:B76" si="24">$B$74</f>
        <v>0</v>
      </c>
      <c r="C75" s="196" t="s">
        <v>118</v>
      </c>
      <c r="D75" s="197"/>
    </row>
    <row r="76" spans="1:4" ht="13.5" x14ac:dyDescent="0.25">
      <c r="A76" s="200">
        <v>25</v>
      </c>
      <c r="B76" s="190">
        <f t="shared" si="24"/>
        <v>0</v>
      </c>
      <c r="C76" s="196" t="s">
        <v>119</v>
      </c>
      <c r="D76" s="197"/>
    </row>
    <row r="77" spans="1:4" ht="13.5" x14ac:dyDescent="0.25">
      <c r="A77" s="200">
        <v>26</v>
      </c>
      <c r="B77" s="189"/>
      <c r="C77" s="196" t="s">
        <v>117</v>
      </c>
      <c r="D77" s="197"/>
    </row>
    <row r="78" spans="1:4" ht="13.5" x14ac:dyDescent="0.25">
      <c r="A78" s="200">
        <v>26</v>
      </c>
      <c r="B78" s="190">
        <f t="shared" ref="B78:B79" si="25">$B$77</f>
        <v>0</v>
      </c>
      <c r="C78" s="196" t="s">
        <v>118</v>
      </c>
      <c r="D78" s="197"/>
    </row>
    <row r="79" spans="1:4" ht="13.5" x14ac:dyDescent="0.25">
      <c r="A79" s="200">
        <v>26</v>
      </c>
      <c r="B79" s="190">
        <f t="shared" si="25"/>
        <v>0</v>
      </c>
      <c r="C79" s="196" t="s">
        <v>119</v>
      </c>
      <c r="D79" s="197"/>
    </row>
    <row r="80" spans="1:4" ht="13.5" x14ac:dyDescent="0.25">
      <c r="A80" s="200">
        <v>27</v>
      </c>
      <c r="B80" s="189"/>
      <c r="C80" s="196" t="s">
        <v>117</v>
      </c>
      <c r="D80" s="197"/>
    </row>
    <row r="81" spans="1:4" ht="13.5" x14ac:dyDescent="0.25">
      <c r="A81" s="200">
        <v>27</v>
      </c>
      <c r="B81" s="190">
        <f t="shared" ref="B81:B82" si="26">$B$80</f>
        <v>0</v>
      </c>
      <c r="C81" s="196" t="s">
        <v>118</v>
      </c>
      <c r="D81" s="197"/>
    </row>
    <row r="82" spans="1:4" ht="13.5" x14ac:dyDescent="0.25">
      <c r="A82" s="200">
        <v>27</v>
      </c>
      <c r="B82" s="190">
        <f t="shared" si="26"/>
        <v>0</v>
      </c>
      <c r="C82" s="196" t="s">
        <v>119</v>
      </c>
      <c r="D82" s="197"/>
    </row>
    <row r="83" spans="1:4" ht="13.5" x14ac:dyDescent="0.25">
      <c r="A83" s="200">
        <v>28</v>
      </c>
      <c r="B83" s="189"/>
      <c r="C83" s="196" t="s">
        <v>117</v>
      </c>
      <c r="D83" s="197"/>
    </row>
    <row r="84" spans="1:4" ht="13.5" x14ac:dyDescent="0.25">
      <c r="A84" s="200">
        <v>28</v>
      </c>
      <c r="B84" s="190">
        <f t="shared" ref="B84:B85" si="27">$B$83</f>
        <v>0</v>
      </c>
      <c r="C84" s="196" t="s">
        <v>118</v>
      </c>
      <c r="D84" s="197"/>
    </row>
    <row r="85" spans="1:4" ht="13.5" x14ac:dyDescent="0.25">
      <c r="A85" s="200">
        <v>28</v>
      </c>
      <c r="B85" s="190">
        <f t="shared" si="27"/>
        <v>0</v>
      </c>
      <c r="C85" s="196" t="s">
        <v>119</v>
      </c>
      <c r="D85" s="197"/>
    </row>
    <row r="86" spans="1:4" ht="13.5" x14ac:dyDescent="0.25">
      <c r="A86" s="200">
        <v>29</v>
      </c>
      <c r="B86" s="189"/>
      <c r="C86" s="196" t="s">
        <v>117</v>
      </c>
      <c r="D86" s="197"/>
    </row>
    <row r="87" spans="1:4" ht="13.5" x14ac:dyDescent="0.25">
      <c r="A87" s="200">
        <v>29</v>
      </c>
      <c r="B87" s="190">
        <f t="shared" ref="B87:B88" si="28">$B$86</f>
        <v>0</v>
      </c>
      <c r="C87" s="196" t="s">
        <v>118</v>
      </c>
      <c r="D87" s="197"/>
    </row>
    <row r="88" spans="1:4" ht="13.5" x14ac:dyDescent="0.25">
      <c r="A88" s="200">
        <v>29</v>
      </c>
      <c r="B88" s="190">
        <f t="shared" si="28"/>
        <v>0</v>
      </c>
      <c r="C88" s="196" t="s">
        <v>119</v>
      </c>
      <c r="D88" s="197"/>
    </row>
    <row r="89" spans="1:4" ht="13.5" x14ac:dyDescent="0.25">
      <c r="A89" s="200">
        <v>30</v>
      </c>
      <c r="B89" s="189"/>
      <c r="C89" s="196" t="s">
        <v>117</v>
      </c>
      <c r="D89" s="197"/>
    </row>
    <row r="90" spans="1:4" ht="13.5" x14ac:dyDescent="0.25">
      <c r="A90" s="200">
        <v>30</v>
      </c>
      <c r="B90" s="190">
        <f t="shared" ref="B90:B91" si="29">$B$89</f>
        <v>0</v>
      </c>
      <c r="C90" s="196" t="s">
        <v>118</v>
      </c>
      <c r="D90" s="197"/>
    </row>
    <row r="91" spans="1:4" ht="13.5" x14ac:dyDescent="0.25">
      <c r="A91" s="200">
        <v>30</v>
      </c>
      <c r="B91" s="190">
        <f t="shared" si="29"/>
        <v>0</v>
      </c>
      <c r="C91" s="196" t="s">
        <v>119</v>
      </c>
      <c r="D91" s="197"/>
    </row>
    <row r="92" spans="1:4" ht="13.5" x14ac:dyDescent="0.25">
      <c r="A92" s="200">
        <v>31</v>
      </c>
      <c r="B92" s="189"/>
      <c r="C92" s="196" t="s">
        <v>117</v>
      </c>
      <c r="D92" s="197"/>
    </row>
    <row r="93" spans="1:4" ht="13.5" x14ac:dyDescent="0.25">
      <c r="A93" s="200">
        <v>31</v>
      </c>
      <c r="B93" s="190">
        <f t="shared" ref="B93:B94" si="30">$B$92</f>
        <v>0</v>
      </c>
      <c r="C93" s="196" t="s">
        <v>118</v>
      </c>
      <c r="D93" s="197"/>
    </row>
    <row r="94" spans="1:4" ht="13.5" x14ac:dyDescent="0.25">
      <c r="A94" s="200">
        <v>31</v>
      </c>
      <c r="B94" s="190">
        <f t="shared" si="30"/>
        <v>0</v>
      </c>
      <c r="C94" s="196" t="s">
        <v>119</v>
      </c>
      <c r="D94" s="197"/>
    </row>
    <row r="95" spans="1:4" ht="13.5" x14ac:dyDescent="0.25">
      <c r="A95" s="200">
        <v>32</v>
      </c>
      <c r="B95" s="189"/>
      <c r="C95" s="196" t="s">
        <v>117</v>
      </c>
      <c r="D95" s="197"/>
    </row>
    <row r="96" spans="1:4" ht="13.5" x14ac:dyDescent="0.25">
      <c r="A96" s="200">
        <v>32</v>
      </c>
      <c r="B96" s="190">
        <f t="shared" ref="B96:B97" si="31">$B$95</f>
        <v>0</v>
      </c>
      <c r="C96" s="196" t="s">
        <v>118</v>
      </c>
      <c r="D96" s="197"/>
    </row>
    <row r="97" spans="1:4" ht="13.5" x14ac:dyDescent="0.25">
      <c r="A97" s="200">
        <v>32</v>
      </c>
      <c r="B97" s="190">
        <f t="shared" si="31"/>
        <v>0</v>
      </c>
      <c r="C97" s="196" t="s">
        <v>119</v>
      </c>
      <c r="D97" s="197"/>
    </row>
    <row r="98" spans="1:4" ht="13.5" x14ac:dyDescent="0.25">
      <c r="A98" s="200">
        <v>33</v>
      </c>
      <c r="B98" s="189"/>
      <c r="C98" s="196" t="s">
        <v>117</v>
      </c>
      <c r="D98" s="197"/>
    </row>
    <row r="99" spans="1:4" ht="13.5" x14ac:dyDescent="0.25">
      <c r="A99" s="200">
        <v>33</v>
      </c>
      <c r="B99" s="190">
        <f t="shared" ref="B99:B100" si="32">$B$98</f>
        <v>0</v>
      </c>
      <c r="C99" s="196" t="s">
        <v>118</v>
      </c>
      <c r="D99" s="197"/>
    </row>
    <row r="100" spans="1:4" ht="13.5" x14ac:dyDescent="0.25">
      <c r="A100" s="200">
        <v>33</v>
      </c>
      <c r="B100" s="190">
        <f t="shared" si="32"/>
        <v>0</v>
      </c>
      <c r="C100" s="196" t="s">
        <v>119</v>
      </c>
      <c r="D100" s="197"/>
    </row>
    <row r="101" spans="1:4" ht="13.5" x14ac:dyDescent="0.25">
      <c r="A101" s="200">
        <v>34</v>
      </c>
      <c r="B101" s="189"/>
      <c r="C101" s="196" t="s">
        <v>117</v>
      </c>
      <c r="D101" s="197"/>
    </row>
    <row r="102" spans="1:4" ht="13.5" x14ac:dyDescent="0.25">
      <c r="A102" s="200">
        <v>34</v>
      </c>
      <c r="B102" s="190">
        <f t="shared" ref="B102:B103" si="33">$B$101</f>
        <v>0</v>
      </c>
      <c r="C102" s="196" t="s">
        <v>118</v>
      </c>
      <c r="D102" s="197"/>
    </row>
    <row r="103" spans="1:4" ht="13.5" x14ac:dyDescent="0.25">
      <c r="A103" s="200">
        <v>34</v>
      </c>
      <c r="B103" s="190">
        <f t="shared" si="33"/>
        <v>0</v>
      </c>
      <c r="C103" s="196" t="s">
        <v>119</v>
      </c>
      <c r="D103" s="197"/>
    </row>
    <row r="104" spans="1:4" ht="13.5" x14ac:dyDescent="0.25">
      <c r="A104" s="200">
        <v>35</v>
      </c>
      <c r="B104" s="189"/>
      <c r="C104" s="196" t="s">
        <v>117</v>
      </c>
      <c r="D104" s="197"/>
    </row>
    <row r="105" spans="1:4" ht="13.5" x14ac:dyDescent="0.25">
      <c r="A105" s="200">
        <v>35</v>
      </c>
      <c r="B105" s="190">
        <f t="shared" ref="B105:B106" si="34">$B$104</f>
        <v>0</v>
      </c>
      <c r="C105" s="196" t="s">
        <v>118</v>
      </c>
      <c r="D105" s="197"/>
    </row>
    <row r="106" spans="1:4" ht="13.5" x14ac:dyDescent="0.25">
      <c r="A106" s="200">
        <v>35</v>
      </c>
      <c r="B106" s="190">
        <f t="shared" si="34"/>
        <v>0</v>
      </c>
      <c r="C106" s="196" t="s">
        <v>119</v>
      </c>
      <c r="D106" s="197"/>
    </row>
    <row r="107" spans="1:4" ht="13.5" x14ac:dyDescent="0.25">
      <c r="A107" s="200">
        <v>36</v>
      </c>
      <c r="B107" s="189"/>
      <c r="C107" s="196" t="s">
        <v>117</v>
      </c>
      <c r="D107" s="197"/>
    </row>
    <row r="108" spans="1:4" ht="13.5" x14ac:dyDescent="0.25">
      <c r="A108" s="200">
        <v>36</v>
      </c>
      <c r="B108" s="190">
        <f t="shared" ref="B108:B109" si="35">$B$107</f>
        <v>0</v>
      </c>
      <c r="C108" s="196" t="s">
        <v>118</v>
      </c>
      <c r="D108" s="197"/>
    </row>
    <row r="109" spans="1:4" ht="13.5" x14ac:dyDescent="0.25">
      <c r="A109" s="200">
        <v>36</v>
      </c>
      <c r="B109" s="190">
        <f t="shared" si="35"/>
        <v>0</v>
      </c>
      <c r="C109" s="196" t="s">
        <v>119</v>
      </c>
      <c r="D109" s="197"/>
    </row>
    <row r="110" spans="1:4" ht="13.5" x14ac:dyDescent="0.25">
      <c r="A110" s="200">
        <v>37</v>
      </c>
      <c r="B110" s="189"/>
      <c r="C110" s="196" t="s">
        <v>117</v>
      </c>
      <c r="D110" s="197"/>
    </row>
    <row r="111" spans="1:4" ht="13.5" x14ac:dyDescent="0.25">
      <c r="A111" s="200">
        <v>37</v>
      </c>
      <c r="B111" s="190">
        <f t="shared" ref="B111:B112" si="36">$B$110</f>
        <v>0</v>
      </c>
      <c r="C111" s="196" t="s">
        <v>118</v>
      </c>
      <c r="D111" s="197"/>
    </row>
    <row r="112" spans="1:4" ht="13.5" x14ac:dyDescent="0.25">
      <c r="A112" s="200">
        <v>37</v>
      </c>
      <c r="B112" s="190">
        <f t="shared" si="36"/>
        <v>0</v>
      </c>
      <c r="C112" s="196" t="s">
        <v>119</v>
      </c>
      <c r="D112" s="197"/>
    </row>
    <row r="113" spans="1:4" ht="13.5" x14ac:dyDescent="0.25">
      <c r="A113" s="200">
        <v>38</v>
      </c>
      <c r="B113" s="189"/>
      <c r="C113" s="196" t="s">
        <v>117</v>
      </c>
      <c r="D113" s="197"/>
    </row>
    <row r="114" spans="1:4" ht="13.5" x14ac:dyDescent="0.25">
      <c r="A114" s="200">
        <v>38</v>
      </c>
      <c r="B114" s="190">
        <f t="shared" ref="B114:B115" si="37">$B$113</f>
        <v>0</v>
      </c>
      <c r="C114" s="196" t="s">
        <v>118</v>
      </c>
      <c r="D114" s="197"/>
    </row>
    <row r="115" spans="1:4" ht="13.5" x14ac:dyDescent="0.25">
      <c r="A115" s="200">
        <v>38</v>
      </c>
      <c r="B115" s="190">
        <f t="shared" si="37"/>
        <v>0</v>
      </c>
      <c r="C115" s="196" t="s">
        <v>119</v>
      </c>
      <c r="D115" s="197"/>
    </row>
    <row r="116" spans="1:4" ht="13.5" x14ac:dyDescent="0.25">
      <c r="A116" s="200">
        <v>39</v>
      </c>
      <c r="B116" s="189"/>
      <c r="C116" s="196" t="s">
        <v>117</v>
      </c>
      <c r="D116" s="197"/>
    </row>
    <row r="117" spans="1:4" ht="13.5" x14ac:dyDescent="0.25">
      <c r="A117" s="200">
        <v>39</v>
      </c>
      <c r="B117" s="190">
        <f t="shared" ref="B117:B118" si="38">$B$116</f>
        <v>0</v>
      </c>
      <c r="C117" s="196" t="s">
        <v>118</v>
      </c>
      <c r="D117" s="197"/>
    </row>
    <row r="118" spans="1:4" ht="13.5" x14ac:dyDescent="0.25">
      <c r="A118" s="200">
        <v>39</v>
      </c>
      <c r="B118" s="190">
        <f t="shared" si="38"/>
        <v>0</v>
      </c>
      <c r="C118" s="196" t="s">
        <v>119</v>
      </c>
      <c r="D118" s="197"/>
    </row>
    <row r="119" spans="1:4" ht="13.5" x14ac:dyDescent="0.25">
      <c r="A119" s="200">
        <v>40</v>
      </c>
      <c r="B119" s="189"/>
      <c r="C119" s="196" t="s">
        <v>117</v>
      </c>
      <c r="D119" s="197"/>
    </row>
    <row r="120" spans="1:4" ht="13.5" x14ac:dyDescent="0.25">
      <c r="A120" s="200">
        <v>40</v>
      </c>
      <c r="B120" s="190">
        <f t="shared" ref="B120:B121" si="39">$B$119</f>
        <v>0</v>
      </c>
      <c r="C120" s="196" t="s">
        <v>118</v>
      </c>
      <c r="D120" s="197"/>
    </row>
    <row r="121" spans="1:4" ht="13.5" x14ac:dyDescent="0.25">
      <c r="A121" s="200">
        <v>40</v>
      </c>
      <c r="B121" s="190">
        <f t="shared" si="39"/>
        <v>0</v>
      </c>
      <c r="C121" s="196" t="s">
        <v>119</v>
      </c>
      <c r="D121" s="197"/>
    </row>
    <row r="122" spans="1:4" ht="13.5" x14ac:dyDescent="0.25">
      <c r="A122" s="200">
        <v>41</v>
      </c>
      <c r="B122" s="189"/>
      <c r="C122" s="196" t="s">
        <v>117</v>
      </c>
      <c r="D122" s="197"/>
    </row>
    <row r="123" spans="1:4" ht="13.5" x14ac:dyDescent="0.25">
      <c r="A123" s="200">
        <v>41</v>
      </c>
      <c r="B123" s="190">
        <f t="shared" ref="B123:B124" si="40">$B$122</f>
        <v>0</v>
      </c>
      <c r="C123" s="196" t="s">
        <v>118</v>
      </c>
      <c r="D123" s="197"/>
    </row>
    <row r="124" spans="1:4" ht="13.5" x14ac:dyDescent="0.25">
      <c r="A124" s="200">
        <v>41</v>
      </c>
      <c r="B124" s="190">
        <f t="shared" si="40"/>
        <v>0</v>
      </c>
      <c r="C124" s="196" t="s">
        <v>119</v>
      </c>
      <c r="D124" s="197"/>
    </row>
    <row r="125" spans="1:4" ht="13.5" x14ac:dyDescent="0.25">
      <c r="A125" s="200">
        <v>42</v>
      </c>
      <c r="B125" s="189"/>
      <c r="C125" s="196" t="s">
        <v>117</v>
      </c>
      <c r="D125" s="197"/>
    </row>
    <row r="126" spans="1:4" ht="13.5" x14ac:dyDescent="0.25">
      <c r="A126" s="200">
        <v>42</v>
      </c>
      <c r="B126" s="190">
        <f t="shared" ref="B126:B127" si="41">$B$125</f>
        <v>0</v>
      </c>
      <c r="C126" s="196" t="s">
        <v>118</v>
      </c>
      <c r="D126" s="197"/>
    </row>
    <row r="127" spans="1:4" ht="13.5" x14ac:dyDescent="0.25">
      <c r="A127" s="200">
        <v>42</v>
      </c>
      <c r="B127" s="190">
        <f t="shared" si="41"/>
        <v>0</v>
      </c>
      <c r="C127" s="196" t="s">
        <v>119</v>
      </c>
      <c r="D127" s="197"/>
    </row>
    <row r="128" spans="1:4" ht="13.5" x14ac:dyDescent="0.25">
      <c r="A128" s="200">
        <v>43</v>
      </c>
      <c r="B128" s="189"/>
      <c r="C128" s="196" t="s">
        <v>117</v>
      </c>
      <c r="D128" s="197"/>
    </row>
    <row r="129" spans="1:4" ht="13.5" x14ac:dyDescent="0.25">
      <c r="A129" s="200">
        <v>43</v>
      </c>
      <c r="B129" s="190">
        <f t="shared" ref="B129:B130" si="42">$B$128</f>
        <v>0</v>
      </c>
      <c r="C129" s="196" t="s">
        <v>118</v>
      </c>
      <c r="D129" s="197"/>
    </row>
    <row r="130" spans="1:4" ht="13.5" x14ac:dyDescent="0.25">
      <c r="A130" s="200">
        <v>43</v>
      </c>
      <c r="B130" s="190">
        <f t="shared" si="42"/>
        <v>0</v>
      </c>
      <c r="C130" s="196" t="s">
        <v>119</v>
      </c>
      <c r="D130" s="197"/>
    </row>
    <row r="131" spans="1:4" ht="13.5" x14ac:dyDescent="0.25">
      <c r="A131" s="200">
        <v>44</v>
      </c>
      <c r="B131" s="189"/>
      <c r="C131" s="196" t="s">
        <v>117</v>
      </c>
      <c r="D131" s="197"/>
    </row>
    <row r="132" spans="1:4" ht="13.5" x14ac:dyDescent="0.25">
      <c r="A132" s="200">
        <v>44</v>
      </c>
      <c r="B132" s="190">
        <f t="shared" ref="B132:B133" si="43">$B$131</f>
        <v>0</v>
      </c>
      <c r="C132" s="196" t="s">
        <v>118</v>
      </c>
      <c r="D132" s="197"/>
    </row>
    <row r="133" spans="1:4" ht="13.5" x14ac:dyDescent="0.25">
      <c r="A133" s="200">
        <v>44</v>
      </c>
      <c r="B133" s="190">
        <f t="shared" si="43"/>
        <v>0</v>
      </c>
      <c r="C133" s="196" t="s">
        <v>119</v>
      </c>
      <c r="D133" s="197"/>
    </row>
    <row r="134" spans="1:4" ht="13.5" x14ac:dyDescent="0.25">
      <c r="A134" s="200">
        <v>45</v>
      </c>
      <c r="B134" s="189"/>
      <c r="C134" s="196" t="s">
        <v>117</v>
      </c>
      <c r="D134" s="197"/>
    </row>
    <row r="135" spans="1:4" ht="13.5" x14ac:dyDescent="0.25">
      <c r="A135" s="200">
        <v>45</v>
      </c>
      <c r="B135" s="190">
        <f t="shared" ref="B135:B136" si="44">$B$134</f>
        <v>0</v>
      </c>
      <c r="C135" s="196" t="s">
        <v>118</v>
      </c>
      <c r="D135" s="197"/>
    </row>
    <row r="136" spans="1:4" ht="13.5" x14ac:dyDescent="0.25">
      <c r="A136" s="200">
        <v>45</v>
      </c>
      <c r="B136" s="190">
        <f t="shared" si="44"/>
        <v>0</v>
      </c>
      <c r="C136" s="196" t="s">
        <v>119</v>
      </c>
      <c r="D136" s="197"/>
    </row>
    <row r="137" spans="1:4" ht="13.5" x14ac:dyDescent="0.25">
      <c r="A137" s="200">
        <v>46</v>
      </c>
      <c r="B137" s="189"/>
      <c r="C137" s="196" t="s">
        <v>117</v>
      </c>
      <c r="D137" s="197"/>
    </row>
    <row r="138" spans="1:4" ht="13.5" x14ac:dyDescent="0.25">
      <c r="A138" s="200">
        <v>46</v>
      </c>
      <c r="B138" s="190">
        <f t="shared" ref="B138:B139" si="45">$B$137</f>
        <v>0</v>
      </c>
      <c r="C138" s="196" t="s">
        <v>118</v>
      </c>
      <c r="D138" s="197"/>
    </row>
    <row r="139" spans="1:4" ht="13.5" x14ac:dyDescent="0.25">
      <c r="A139" s="200">
        <v>46</v>
      </c>
      <c r="B139" s="190">
        <f t="shared" si="45"/>
        <v>0</v>
      </c>
      <c r="C139" s="196" t="s">
        <v>119</v>
      </c>
      <c r="D139" s="197"/>
    </row>
    <row r="140" spans="1:4" ht="13.5" x14ac:dyDescent="0.25">
      <c r="A140" s="200">
        <v>47</v>
      </c>
      <c r="B140" s="189"/>
      <c r="C140" s="196" t="s">
        <v>117</v>
      </c>
      <c r="D140" s="197"/>
    </row>
    <row r="141" spans="1:4" ht="13.5" x14ac:dyDescent="0.25">
      <c r="A141" s="200">
        <v>47</v>
      </c>
      <c r="B141" s="190">
        <f t="shared" ref="B141:B142" si="46">$B$140</f>
        <v>0</v>
      </c>
      <c r="C141" s="196" t="s">
        <v>118</v>
      </c>
      <c r="D141" s="197"/>
    </row>
    <row r="142" spans="1:4" ht="13.5" x14ac:dyDescent="0.25">
      <c r="A142" s="200">
        <v>47</v>
      </c>
      <c r="B142" s="190">
        <f t="shared" si="46"/>
        <v>0</v>
      </c>
      <c r="C142" s="196" t="s">
        <v>119</v>
      </c>
      <c r="D142" s="197"/>
    </row>
    <row r="143" spans="1:4" ht="13.5" x14ac:dyDescent="0.25">
      <c r="A143" s="200">
        <v>48</v>
      </c>
      <c r="B143" s="189"/>
      <c r="C143" s="196" t="s">
        <v>117</v>
      </c>
      <c r="D143" s="197"/>
    </row>
    <row r="144" spans="1:4" ht="13.5" x14ac:dyDescent="0.25">
      <c r="A144" s="200">
        <v>48</v>
      </c>
      <c r="B144" s="190">
        <f t="shared" ref="B144:B145" si="47">$B$143</f>
        <v>0</v>
      </c>
      <c r="C144" s="196" t="s">
        <v>118</v>
      </c>
      <c r="D144" s="197"/>
    </row>
    <row r="145" spans="1:4" ht="13.5" x14ac:dyDescent="0.25">
      <c r="A145" s="200">
        <v>48</v>
      </c>
      <c r="B145" s="190">
        <f t="shared" si="47"/>
        <v>0</v>
      </c>
      <c r="C145" s="196" t="s">
        <v>119</v>
      </c>
      <c r="D145" s="197"/>
    </row>
    <row r="146" spans="1:4" ht="13.5" x14ac:dyDescent="0.25">
      <c r="A146" s="200">
        <v>49</v>
      </c>
      <c r="B146" s="189"/>
      <c r="C146" s="196" t="s">
        <v>117</v>
      </c>
      <c r="D146" s="197"/>
    </row>
    <row r="147" spans="1:4" ht="13.5" x14ac:dyDescent="0.25">
      <c r="A147" s="200">
        <v>49</v>
      </c>
      <c r="B147" s="190">
        <f t="shared" ref="B147:B148" si="48">$B$146</f>
        <v>0</v>
      </c>
      <c r="C147" s="196" t="s">
        <v>118</v>
      </c>
      <c r="D147" s="197"/>
    </row>
    <row r="148" spans="1:4" ht="13.5" x14ac:dyDescent="0.25">
      <c r="A148" s="200">
        <v>49</v>
      </c>
      <c r="B148" s="190">
        <f t="shared" si="48"/>
        <v>0</v>
      </c>
      <c r="C148" s="196" t="s">
        <v>119</v>
      </c>
      <c r="D148" s="197"/>
    </row>
    <row r="149" spans="1:4" ht="13.5" x14ac:dyDescent="0.25">
      <c r="A149" s="200">
        <v>50</v>
      </c>
      <c r="B149" s="189"/>
      <c r="C149" s="196" t="s">
        <v>117</v>
      </c>
      <c r="D149" s="197"/>
    </row>
    <row r="150" spans="1:4" ht="13.5" x14ac:dyDescent="0.25">
      <c r="A150" s="200">
        <v>50</v>
      </c>
      <c r="B150" s="190">
        <f t="shared" ref="B150:B151" si="49">$B$149</f>
        <v>0</v>
      </c>
      <c r="C150" s="196" t="s">
        <v>118</v>
      </c>
      <c r="D150" s="197"/>
    </row>
    <row r="151" spans="1:4" ht="13.5" x14ac:dyDescent="0.25">
      <c r="A151" s="200">
        <v>50</v>
      </c>
      <c r="B151" s="190">
        <f t="shared" si="49"/>
        <v>0</v>
      </c>
      <c r="C151" s="196" t="s">
        <v>119</v>
      </c>
      <c r="D151" s="197"/>
    </row>
    <row r="152" spans="1:4" ht="13.5" x14ac:dyDescent="0.25">
      <c r="A152" s="200">
        <v>51</v>
      </c>
      <c r="B152" s="189"/>
      <c r="C152" s="196" t="s">
        <v>117</v>
      </c>
      <c r="D152" s="197"/>
    </row>
    <row r="153" spans="1:4" ht="13.5" x14ac:dyDescent="0.25">
      <c r="A153" s="200">
        <v>51</v>
      </c>
      <c r="B153" s="190">
        <f t="shared" ref="B153:B154" si="50">$B$152</f>
        <v>0</v>
      </c>
      <c r="C153" s="196" t="s">
        <v>118</v>
      </c>
      <c r="D153" s="197"/>
    </row>
    <row r="154" spans="1:4" ht="13.5" x14ac:dyDescent="0.25">
      <c r="A154" s="200">
        <v>51</v>
      </c>
      <c r="B154" s="190">
        <f t="shared" si="50"/>
        <v>0</v>
      </c>
      <c r="C154" s="196" t="s">
        <v>119</v>
      </c>
      <c r="D154" s="197"/>
    </row>
    <row r="155" spans="1:4" ht="13.5" x14ac:dyDescent="0.25">
      <c r="A155" s="200">
        <v>52</v>
      </c>
      <c r="B155" s="189"/>
      <c r="C155" s="196" t="s">
        <v>117</v>
      </c>
      <c r="D155" s="197"/>
    </row>
    <row r="156" spans="1:4" ht="13.5" x14ac:dyDescent="0.25">
      <c r="A156" s="200">
        <v>52</v>
      </c>
      <c r="B156" s="190">
        <f t="shared" ref="B156:B157" si="51">$B$155</f>
        <v>0</v>
      </c>
      <c r="C156" s="196" t="s">
        <v>118</v>
      </c>
      <c r="D156" s="197"/>
    </row>
    <row r="157" spans="1:4" ht="13.5" x14ac:dyDescent="0.25">
      <c r="A157" s="200">
        <v>52</v>
      </c>
      <c r="B157" s="190">
        <f t="shared" si="51"/>
        <v>0</v>
      </c>
      <c r="C157" s="196" t="s">
        <v>119</v>
      </c>
      <c r="D157" s="197"/>
    </row>
    <row r="158" spans="1:4" ht="13.5" x14ac:dyDescent="0.25">
      <c r="A158" s="200">
        <v>53</v>
      </c>
      <c r="B158" s="189"/>
      <c r="C158" s="196" t="s">
        <v>117</v>
      </c>
      <c r="D158" s="197"/>
    </row>
    <row r="159" spans="1:4" ht="13.5" x14ac:dyDescent="0.25">
      <c r="A159" s="200">
        <v>53</v>
      </c>
      <c r="B159" s="190">
        <f t="shared" ref="B159:B160" si="52">$B$158</f>
        <v>0</v>
      </c>
      <c r="C159" s="196" t="s">
        <v>118</v>
      </c>
      <c r="D159" s="197"/>
    </row>
    <row r="160" spans="1:4" ht="13.5" x14ac:dyDescent="0.25">
      <c r="A160" s="200">
        <v>53</v>
      </c>
      <c r="B160" s="190">
        <f t="shared" si="52"/>
        <v>0</v>
      </c>
      <c r="C160" s="196" t="s">
        <v>119</v>
      </c>
      <c r="D160" s="197"/>
    </row>
    <row r="161" spans="1:4" ht="13.5" x14ac:dyDescent="0.25">
      <c r="A161" s="200">
        <v>54</v>
      </c>
      <c r="B161" s="189"/>
      <c r="C161" s="196" t="s">
        <v>117</v>
      </c>
      <c r="D161" s="197"/>
    </row>
    <row r="162" spans="1:4" ht="13.5" x14ac:dyDescent="0.25">
      <c r="A162" s="200">
        <v>54</v>
      </c>
      <c r="B162" s="190">
        <f t="shared" ref="B162:B163" si="53">$B$161</f>
        <v>0</v>
      </c>
      <c r="C162" s="196" t="s">
        <v>118</v>
      </c>
      <c r="D162" s="197"/>
    </row>
    <row r="163" spans="1:4" ht="13.5" x14ac:dyDescent="0.25">
      <c r="A163" s="200">
        <v>54</v>
      </c>
      <c r="B163" s="190">
        <f t="shared" si="53"/>
        <v>0</v>
      </c>
      <c r="C163" s="196" t="s">
        <v>119</v>
      </c>
      <c r="D163" s="197"/>
    </row>
    <row r="164" spans="1:4" ht="13.5" x14ac:dyDescent="0.25">
      <c r="A164" s="200">
        <v>55</v>
      </c>
      <c r="B164" s="189"/>
      <c r="C164" s="196" t="s">
        <v>117</v>
      </c>
      <c r="D164" s="197"/>
    </row>
    <row r="165" spans="1:4" ht="13.5" x14ac:dyDescent="0.25">
      <c r="A165" s="200">
        <v>55</v>
      </c>
      <c r="B165" s="190">
        <f t="shared" ref="B165:B166" si="54">$B$164</f>
        <v>0</v>
      </c>
      <c r="C165" s="196" t="s">
        <v>118</v>
      </c>
      <c r="D165" s="197"/>
    </row>
    <row r="166" spans="1:4" ht="13.5" x14ac:dyDescent="0.25">
      <c r="A166" s="200">
        <v>55</v>
      </c>
      <c r="B166" s="190">
        <f t="shared" si="54"/>
        <v>0</v>
      </c>
      <c r="C166" s="196" t="s">
        <v>119</v>
      </c>
      <c r="D166" s="197"/>
    </row>
    <row r="167" spans="1:4" ht="13.5" x14ac:dyDescent="0.25">
      <c r="A167" s="200">
        <v>56</v>
      </c>
      <c r="B167" s="189"/>
      <c r="C167" s="196" t="s">
        <v>117</v>
      </c>
      <c r="D167" s="197"/>
    </row>
    <row r="168" spans="1:4" ht="13.5" x14ac:dyDescent="0.25">
      <c r="A168" s="200">
        <v>56</v>
      </c>
      <c r="B168" s="190">
        <f t="shared" ref="B168:B169" si="55">$B$167</f>
        <v>0</v>
      </c>
      <c r="C168" s="196" t="s">
        <v>118</v>
      </c>
      <c r="D168" s="197"/>
    </row>
    <row r="169" spans="1:4" ht="13.5" x14ac:dyDescent="0.25">
      <c r="A169" s="200">
        <v>56</v>
      </c>
      <c r="B169" s="190">
        <f t="shared" si="55"/>
        <v>0</v>
      </c>
      <c r="C169" s="196" t="s">
        <v>119</v>
      </c>
      <c r="D169" s="197"/>
    </row>
    <row r="170" spans="1:4" ht="13.5" x14ac:dyDescent="0.25">
      <c r="A170" s="200">
        <v>57</v>
      </c>
      <c r="B170" s="189"/>
      <c r="C170" s="196" t="s">
        <v>117</v>
      </c>
      <c r="D170" s="197"/>
    </row>
    <row r="171" spans="1:4" ht="13.5" x14ac:dyDescent="0.25">
      <c r="A171" s="200">
        <v>57</v>
      </c>
      <c r="B171" s="190">
        <f t="shared" ref="B171:B172" si="56">$B$170</f>
        <v>0</v>
      </c>
      <c r="C171" s="196" t="s">
        <v>118</v>
      </c>
      <c r="D171" s="197"/>
    </row>
    <row r="172" spans="1:4" ht="13.5" x14ac:dyDescent="0.25">
      <c r="A172" s="200">
        <v>57</v>
      </c>
      <c r="B172" s="190">
        <f t="shared" si="56"/>
        <v>0</v>
      </c>
      <c r="C172" s="196" t="s">
        <v>119</v>
      </c>
      <c r="D172" s="197"/>
    </row>
    <row r="173" spans="1:4" ht="13.5" x14ac:dyDescent="0.25">
      <c r="A173" s="200">
        <v>58</v>
      </c>
      <c r="B173" s="189"/>
      <c r="C173" s="196" t="s">
        <v>117</v>
      </c>
      <c r="D173" s="197"/>
    </row>
    <row r="174" spans="1:4" ht="13.5" x14ac:dyDescent="0.25">
      <c r="A174" s="200">
        <v>58</v>
      </c>
      <c r="B174" s="190">
        <f t="shared" ref="B174:B175" si="57">$B$173</f>
        <v>0</v>
      </c>
      <c r="C174" s="196" t="s">
        <v>118</v>
      </c>
      <c r="D174" s="197"/>
    </row>
    <row r="175" spans="1:4" ht="13.5" x14ac:dyDescent="0.25">
      <c r="A175" s="200">
        <v>58</v>
      </c>
      <c r="B175" s="190">
        <f t="shared" si="57"/>
        <v>0</v>
      </c>
      <c r="C175" s="196" t="s">
        <v>119</v>
      </c>
      <c r="D175" s="197"/>
    </row>
    <row r="176" spans="1:4" ht="13.5" x14ac:dyDescent="0.25">
      <c r="A176" s="200">
        <v>59</v>
      </c>
      <c r="B176" s="189"/>
      <c r="C176" s="196" t="s">
        <v>117</v>
      </c>
      <c r="D176" s="197"/>
    </row>
    <row r="177" spans="1:4" ht="13.5" x14ac:dyDescent="0.25">
      <c r="A177" s="200">
        <v>59</v>
      </c>
      <c r="B177" s="190">
        <f t="shared" ref="B177:B178" si="58">$B$176</f>
        <v>0</v>
      </c>
      <c r="C177" s="196" t="s">
        <v>118</v>
      </c>
      <c r="D177" s="197"/>
    </row>
    <row r="178" spans="1:4" ht="13.5" x14ac:dyDescent="0.25">
      <c r="A178" s="200">
        <v>59</v>
      </c>
      <c r="B178" s="190">
        <f t="shared" si="58"/>
        <v>0</v>
      </c>
      <c r="C178" s="196" t="s">
        <v>119</v>
      </c>
      <c r="D178" s="197"/>
    </row>
    <row r="179" spans="1:4" ht="13.5" x14ac:dyDescent="0.25">
      <c r="A179" s="200">
        <v>60</v>
      </c>
      <c r="B179" s="189"/>
      <c r="C179" s="196" t="s">
        <v>117</v>
      </c>
      <c r="D179" s="197"/>
    </row>
    <row r="180" spans="1:4" ht="13.5" x14ac:dyDescent="0.25">
      <c r="A180" s="200">
        <v>60</v>
      </c>
      <c r="B180" s="190">
        <f t="shared" ref="B180:B181" si="59">$B$179</f>
        <v>0</v>
      </c>
      <c r="C180" s="196" t="s">
        <v>118</v>
      </c>
      <c r="D180" s="197"/>
    </row>
    <row r="181" spans="1:4" ht="13.5" x14ac:dyDescent="0.25">
      <c r="A181" s="200">
        <v>60</v>
      </c>
      <c r="B181" s="190">
        <f t="shared" si="59"/>
        <v>0</v>
      </c>
      <c r="C181" s="196" t="s">
        <v>119</v>
      </c>
      <c r="D181" s="197"/>
    </row>
    <row r="182" spans="1:4" ht="13.5" x14ac:dyDescent="0.25">
      <c r="A182" s="200">
        <v>61</v>
      </c>
      <c r="B182" s="189"/>
      <c r="C182" s="196" t="s">
        <v>117</v>
      </c>
      <c r="D182" s="197"/>
    </row>
    <row r="183" spans="1:4" ht="13.5" x14ac:dyDescent="0.25">
      <c r="A183" s="200">
        <v>61</v>
      </c>
      <c r="B183" s="190">
        <f t="shared" ref="B183:B184" si="60">$B$182</f>
        <v>0</v>
      </c>
      <c r="C183" s="196" t="s">
        <v>118</v>
      </c>
      <c r="D183" s="197"/>
    </row>
    <row r="184" spans="1:4" ht="13.5" x14ac:dyDescent="0.25">
      <c r="A184" s="200">
        <v>61</v>
      </c>
      <c r="B184" s="190">
        <f t="shared" si="60"/>
        <v>0</v>
      </c>
      <c r="C184" s="196" t="s">
        <v>119</v>
      </c>
      <c r="D184" s="197"/>
    </row>
    <row r="185" spans="1:4" ht="13.5" x14ac:dyDescent="0.25">
      <c r="A185" s="200">
        <v>62</v>
      </c>
      <c r="B185" s="189"/>
      <c r="C185" s="196" t="s">
        <v>117</v>
      </c>
      <c r="D185" s="197"/>
    </row>
    <row r="186" spans="1:4" ht="13.5" x14ac:dyDescent="0.25">
      <c r="A186" s="200">
        <v>62</v>
      </c>
      <c r="B186" s="190">
        <f t="shared" ref="B186:B187" si="61">$B$185</f>
        <v>0</v>
      </c>
      <c r="C186" s="196" t="s">
        <v>118</v>
      </c>
      <c r="D186" s="197"/>
    </row>
    <row r="187" spans="1:4" ht="13.5" x14ac:dyDescent="0.25">
      <c r="A187" s="200">
        <v>62</v>
      </c>
      <c r="B187" s="190">
        <f t="shared" si="61"/>
        <v>0</v>
      </c>
      <c r="C187" s="196" t="s">
        <v>119</v>
      </c>
      <c r="D187" s="197"/>
    </row>
    <row r="188" spans="1:4" ht="13.5" x14ac:dyDescent="0.25">
      <c r="A188" s="200">
        <v>63</v>
      </c>
      <c r="B188" s="189"/>
      <c r="C188" s="196" t="s">
        <v>117</v>
      </c>
      <c r="D188" s="197"/>
    </row>
    <row r="189" spans="1:4" ht="13.5" x14ac:dyDescent="0.25">
      <c r="A189" s="200">
        <v>63</v>
      </c>
      <c r="B189" s="190">
        <f t="shared" ref="B189:B190" si="62">$B$188</f>
        <v>0</v>
      </c>
      <c r="C189" s="196" t="s">
        <v>118</v>
      </c>
      <c r="D189" s="197"/>
    </row>
    <row r="190" spans="1:4" ht="13.5" x14ac:dyDescent="0.25">
      <c r="A190" s="200">
        <v>63</v>
      </c>
      <c r="B190" s="190">
        <f t="shared" si="62"/>
        <v>0</v>
      </c>
      <c r="C190" s="196" t="s">
        <v>119</v>
      </c>
      <c r="D190" s="197"/>
    </row>
    <row r="191" spans="1:4" ht="13.5" x14ac:dyDescent="0.25">
      <c r="A191" s="200">
        <v>64</v>
      </c>
      <c r="B191" s="189"/>
      <c r="C191" s="196" t="s">
        <v>117</v>
      </c>
      <c r="D191" s="197"/>
    </row>
    <row r="192" spans="1:4" ht="13.5" x14ac:dyDescent="0.25">
      <c r="A192" s="200">
        <v>64</v>
      </c>
      <c r="B192" s="190">
        <f t="shared" ref="B192:B193" si="63">$B$191</f>
        <v>0</v>
      </c>
      <c r="C192" s="196" t="s">
        <v>118</v>
      </c>
      <c r="D192" s="197"/>
    </row>
    <row r="193" spans="1:4" ht="13.5" x14ac:dyDescent="0.25">
      <c r="A193" s="200">
        <v>64</v>
      </c>
      <c r="B193" s="190">
        <f t="shared" si="63"/>
        <v>0</v>
      </c>
      <c r="C193" s="196" t="s">
        <v>119</v>
      </c>
      <c r="D193" s="197"/>
    </row>
    <row r="194" spans="1:4" ht="13.5" x14ac:dyDescent="0.25">
      <c r="A194" s="200">
        <v>65</v>
      </c>
      <c r="B194" s="189"/>
      <c r="C194" s="196" t="s">
        <v>117</v>
      </c>
      <c r="D194" s="197"/>
    </row>
    <row r="195" spans="1:4" ht="13.5" x14ac:dyDescent="0.25">
      <c r="A195" s="200">
        <v>65</v>
      </c>
      <c r="B195" s="190">
        <f t="shared" ref="B195:B196" si="64">$B$194</f>
        <v>0</v>
      </c>
      <c r="C195" s="196" t="s">
        <v>118</v>
      </c>
      <c r="D195" s="197"/>
    </row>
    <row r="196" spans="1:4" ht="13.5" x14ac:dyDescent="0.25">
      <c r="A196" s="200">
        <v>65</v>
      </c>
      <c r="B196" s="190">
        <f t="shared" si="64"/>
        <v>0</v>
      </c>
      <c r="C196" s="196" t="s">
        <v>119</v>
      </c>
      <c r="D196" s="197"/>
    </row>
    <row r="197" spans="1:4" ht="13.5" x14ac:dyDescent="0.25">
      <c r="A197" s="200">
        <v>66</v>
      </c>
      <c r="B197" s="189"/>
      <c r="C197" s="196" t="s">
        <v>117</v>
      </c>
      <c r="D197" s="197"/>
    </row>
    <row r="198" spans="1:4" ht="13.5" x14ac:dyDescent="0.25">
      <c r="A198" s="200">
        <v>66</v>
      </c>
      <c r="B198" s="190">
        <f t="shared" ref="B198:B199" si="65">$B$197</f>
        <v>0</v>
      </c>
      <c r="C198" s="196" t="s">
        <v>118</v>
      </c>
      <c r="D198" s="197"/>
    </row>
    <row r="199" spans="1:4" ht="13.5" x14ac:dyDescent="0.25">
      <c r="A199" s="200">
        <v>66</v>
      </c>
      <c r="B199" s="190">
        <f t="shared" si="65"/>
        <v>0</v>
      </c>
      <c r="C199" s="196" t="s">
        <v>119</v>
      </c>
      <c r="D199" s="197"/>
    </row>
    <row r="200" spans="1:4" ht="13.5" x14ac:dyDescent="0.25">
      <c r="A200" s="200">
        <v>67</v>
      </c>
      <c r="B200" s="189"/>
      <c r="C200" s="196" t="s">
        <v>117</v>
      </c>
      <c r="D200" s="197"/>
    </row>
    <row r="201" spans="1:4" ht="13.5" x14ac:dyDescent="0.25">
      <c r="A201" s="200">
        <v>67</v>
      </c>
      <c r="B201" s="190">
        <f t="shared" ref="B201:B202" si="66">$B$200</f>
        <v>0</v>
      </c>
      <c r="C201" s="196" t="s">
        <v>118</v>
      </c>
      <c r="D201" s="197"/>
    </row>
    <row r="202" spans="1:4" ht="13.5" x14ac:dyDescent="0.25">
      <c r="A202" s="200">
        <v>67</v>
      </c>
      <c r="B202" s="190">
        <f t="shared" si="66"/>
        <v>0</v>
      </c>
      <c r="C202" s="196" t="s">
        <v>119</v>
      </c>
      <c r="D202" s="197"/>
    </row>
    <row r="203" spans="1:4" ht="13.5" x14ac:dyDescent="0.25">
      <c r="A203" s="200">
        <v>68</v>
      </c>
      <c r="B203" s="189"/>
      <c r="C203" s="196" t="s">
        <v>117</v>
      </c>
      <c r="D203" s="197"/>
    </row>
    <row r="204" spans="1:4" ht="13.5" x14ac:dyDescent="0.25">
      <c r="A204" s="200">
        <v>68</v>
      </c>
      <c r="B204" s="190">
        <f t="shared" ref="B204:B205" si="67">$B$203</f>
        <v>0</v>
      </c>
      <c r="C204" s="196" t="s">
        <v>118</v>
      </c>
      <c r="D204" s="197"/>
    </row>
    <row r="205" spans="1:4" ht="13.5" x14ac:dyDescent="0.25">
      <c r="A205" s="200">
        <v>68</v>
      </c>
      <c r="B205" s="190">
        <f t="shared" si="67"/>
        <v>0</v>
      </c>
      <c r="C205" s="196" t="s">
        <v>119</v>
      </c>
      <c r="D205" s="197"/>
    </row>
    <row r="206" spans="1:4" ht="13.5" x14ac:dyDescent="0.25">
      <c r="A206" s="200">
        <v>69</v>
      </c>
      <c r="B206" s="189"/>
      <c r="C206" s="196" t="s">
        <v>117</v>
      </c>
      <c r="D206" s="197"/>
    </row>
    <row r="207" spans="1:4" ht="13.5" x14ac:dyDescent="0.25">
      <c r="A207" s="200">
        <v>69</v>
      </c>
      <c r="B207" s="190">
        <f t="shared" ref="B207:B208" si="68">$B$206</f>
        <v>0</v>
      </c>
      <c r="C207" s="196" t="s">
        <v>118</v>
      </c>
      <c r="D207" s="197"/>
    </row>
    <row r="208" spans="1:4" ht="13.5" x14ac:dyDescent="0.25">
      <c r="A208" s="200">
        <v>69</v>
      </c>
      <c r="B208" s="190">
        <f t="shared" si="68"/>
        <v>0</v>
      </c>
      <c r="C208" s="196" t="s">
        <v>119</v>
      </c>
      <c r="D208" s="197"/>
    </row>
    <row r="209" spans="1:4" ht="13.5" x14ac:dyDescent="0.25">
      <c r="A209" s="200">
        <v>70</v>
      </c>
      <c r="B209" s="189"/>
      <c r="C209" s="196" t="s">
        <v>117</v>
      </c>
      <c r="D209" s="197"/>
    </row>
    <row r="210" spans="1:4" ht="13.5" x14ac:dyDescent="0.25">
      <c r="A210" s="200">
        <v>70</v>
      </c>
      <c r="B210" s="190">
        <f t="shared" ref="B210:B211" si="69">$B$209</f>
        <v>0</v>
      </c>
      <c r="C210" s="196" t="s">
        <v>118</v>
      </c>
      <c r="D210" s="197"/>
    </row>
    <row r="211" spans="1:4" ht="13.5" x14ac:dyDescent="0.25">
      <c r="A211" s="200">
        <v>70</v>
      </c>
      <c r="B211" s="190">
        <f t="shared" si="69"/>
        <v>0</v>
      </c>
      <c r="C211" s="196" t="s">
        <v>119</v>
      </c>
      <c r="D211" s="197"/>
    </row>
    <row r="212" spans="1:4" ht="13.5" x14ac:dyDescent="0.25">
      <c r="A212" s="200">
        <v>71</v>
      </c>
      <c r="B212" s="189"/>
      <c r="C212" s="196" t="s">
        <v>117</v>
      </c>
      <c r="D212" s="197"/>
    </row>
    <row r="213" spans="1:4" ht="13.5" x14ac:dyDescent="0.25">
      <c r="A213" s="200">
        <v>71</v>
      </c>
      <c r="B213" s="190">
        <f t="shared" ref="B213:B214" si="70">$B$212</f>
        <v>0</v>
      </c>
      <c r="C213" s="196" t="s">
        <v>118</v>
      </c>
      <c r="D213" s="197"/>
    </row>
    <row r="214" spans="1:4" ht="13.5" x14ac:dyDescent="0.25">
      <c r="A214" s="200">
        <v>71</v>
      </c>
      <c r="B214" s="190">
        <f t="shared" si="70"/>
        <v>0</v>
      </c>
      <c r="C214" s="196" t="s">
        <v>119</v>
      </c>
      <c r="D214" s="197"/>
    </row>
    <row r="215" spans="1:4" ht="13.5" x14ac:dyDescent="0.25">
      <c r="A215" s="200">
        <v>72</v>
      </c>
      <c r="B215" s="189"/>
      <c r="C215" s="196" t="s">
        <v>117</v>
      </c>
      <c r="D215" s="197"/>
    </row>
    <row r="216" spans="1:4" ht="13.5" x14ac:dyDescent="0.25">
      <c r="A216" s="200">
        <v>72</v>
      </c>
      <c r="B216" s="190">
        <f t="shared" ref="B216:B217" si="71">$B$215</f>
        <v>0</v>
      </c>
      <c r="C216" s="196" t="s">
        <v>118</v>
      </c>
      <c r="D216" s="197"/>
    </row>
    <row r="217" spans="1:4" ht="13.5" x14ac:dyDescent="0.25">
      <c r="A217" s="200">
        <v>72</v>
      </c>
      <c r="B217" s="190">
        <f t="shared" si="71"/>
        <v>0</v>
      </c>
      <c r="C217" s="196" t="s">
        <v>119</v>
      </c>
      <c r="D217" s="197"/>
    </row>
    <row r="218" spans="1:4" ht="13.5" x14ac:dyDescent="0.25">
      <c r="A218" s="200">
        <v>73</v>
      </c>
      <c r="B218" s="189"/>
      <c r="C218" s="196" t="s">
        <v>117</v>
      </c>
      <c r="D218" s="197"/>
    </row>
    <row r="219" spans="1:4" ht="13.5" x14ac:dyDescent="0.25">
      <c r="A219" s="200">
        <v>73</v>
      </c>
      <c r="B219" s="190">
        <f t="shared" ref="B219:B220" si="72">$B$218</f>
        <v>0</v>
      </c>
      <c r="C219" s="196" t="s">
        <v>118</v>
      </c>
      <c r="D219" s="197"/>
    </row>
    <row r="220" spans="1:4" ht="13.5" x14ac:dyDescent="0.25">
      <c r="A220" s="200">
        <v>73</v>
      </c>
      <c r="B220" s="190">
        <f t="shared" si="72"/>
        <v>0</v>
      </c>
      <c r="C220" s="196" t="s">
        <v>119</v>
      </c>
      <c r="D220" s="197"/>
    </row>
    <row r="221" spans="1:4" ht="13.5" x14ac:dyDescent="0.25">
      <c r="A221" s="200">
        <v>74</v>
      </c>
      <c r="B221" s="189"/>
      <c r="C221" s="196" t="s">
        <v>117</v>
      </c>
      <c r="D221" s="197"/>
    </row>
    <row r="222" spans="1:4" ht="13.5" x14ac:dyDescent="0.25">
      <c r="A222" s="200">
        <v>74</v>
      </c>
      <c r="B222" s="190">
        <f t="shared" ref="B222:B223" si="73">$B$221</f>
        <v>0</v>
      </c>
      <c r="C222" s="196" t="s">
        <v>118</v>
      </c>
      <c r="D222" s="197"/>
    </row>
    <row r="223" spans="1:4" ht="13.5" x14ac:dyDescent="0.25">
      <c r="A223" s="200">
        <v>74</v>
      </c>
      <c r="B223" s="190">
        <f t="shared" si="73"/>
        <v>0</v>
      </c>
      <c r="C223" s="196" t="s">
        <v>119</v>
      </c>
      <c r="D223" s="197"/>
    </row>
    <row r="224" spans="1:4" ht="13.5" x14ac:dyDescent="0.25">
      <c r="A224" s="200">
        <v>75</v>
      </c>
      <c r="B224" s="189"/>
      <c r="C224" s="196" t="s">
        <v>117</v>
      </c>
      <c r="D224" s="197"/>
    </row>
    <row r="225" spans="1:4" ht="13.5" x14ac:dyDescent="0.25">
      <c r="A225" s="200">
        <v>75</v>
      </c>
      <c r="B225" s="190">
        <f t="shared" ref="B225:B226" si="74">$B$224</f>
        <v>0</v>
      </c>
      <c r="C225" s="196" t="s">
        <v>118</v>
      </c>
      <c r="D225" s="197"/>
    </row>
    <row r="226" spans="1:4" ht="13.5" x14ac:dyDescent="0.25">
      <c r="A226" s="200">
        <v>75</v>
      </c>
      <c r="B226" s="190">
        <f t="shared" si="74"/>
        <v>0</v>
      </c>
      <c r="C226" s="196" t="s">
        <v>119</v>
      </c>
      <c r="D226" s="197"/>
    </row>
    <row r="227" spans="1:4" ht="13.5" x14ac:dyDescent="0.25">
      <c r="A227" s="200">
        <v>76</v>
      </c>
      <c r="B227" s="189"/>
      <c r="C227" s="196" t="s">
        <v>117</v>
      </c>
      <c r="D227" s="197"/>
    </row>
    <row r="228" spans="1:4" ht="13.5" x14ac:dyDescent="0.25">
      <c r="A228" s="200">
        <v>76</v>
      </c>
      <c r="B228" s="190">
        <f t="shared" ref="B228:B229" si="75">$B$227</f>
        <v>0</v>
      </c>
      <c r="C228" s="196" t="s">
        <v>118</v>
      </c>
      <c r="D228" s="197"/>
    </row>
    <row r="229" spans="1:4" ht="13.5" x14ac:dyDescent="0.25">
      <c r="A229" s="200">
        <v>76</v>
      </c>
      <c r="B229" s="190">
        <f t="shared" si="75"/>
        <v>0</v>
      </c>
      <c r="C229" s="196" t="s">
        <v>119</v>
      </c>
      <c r="D229" s="197"/>
    </row>
    <row r="230" spans="1:4" ht="13.5" x14ac:dyDescent="0.25">
      <c r="A230" s="200">
        <v>77</v>
      </c>
      <c r="B230" s="189"/>
      <c r="C230" s="196" t="s">
        <v>117</v>
      </c>
      <c r="D230" s="197"/>
    </row>
    <row r="231" spans="1:4" ht="13.5" x14ac:dyDescent="0.25">
      <c r="A231" s="200">
        <v>77</v>
      </c>
      <c r="B231" s="190">
        <f t="shared" ref="B231:B232" si="76">$B$230</f>
        <v>0</v>
      </c>
      <c r="C231" s="196" t="s">
        <v>118</v>
      </c>
      <c r="D231" s="197"/>
    </row>
    <row r="232" spans="1:4" ht="13.5" x14ac:dyDescent="0.25">
      <c r="A232" s="200">
        <v>77</v>
      </c>
      <c r="B232" s="190">
        <f t="shared" si="76"/>
        <v>0</v>
      </c>
      <c r="C232" s="196" t="s">
        <v>119</v>
      </c>
      <c r="D232" s="197"/>
    </row>
    <row r="233" spans="1:4" ht="13.5" x14ac:dyDescent="0.25">
      <c r="A233" s="200">
        <v>78</v>
      </c>
      <c r="B233" s="189"/>
      <c r="C233" s="196" t="s">
        <v>117</v>
      </c>
      <c r="D233" s="197"/>
    </row>
    <row r="234" spans="1:4" ht="13.5" x14ac:dyDescent="0.25">
      <c r="A234" s="200">
        <v>78</v>
      </c>
      <c r="B234" s="190">
        <f t="shared" ref="B234:B235" si="77">$B$233</f>
        <v>0</v>
      </c>
      <c r="C234" s="196" t="s">
        <v>118</v>
      </c>
      <c r="D234" s="197"/>
    </row>
    <row r="235" spans="1:4" ht="13.5" x14ac:dyDescent="0.25">
      <c r="A235" s="200">
        <v>78</v>
      </c>
      <c r="B235" s="190">
        <f t="shared" si="77"/>
        <v>0</v>
      </c>
      <c r="C235" s="196" t="s">
        <v>119</v>
      </c>
      <c r="D235" s="197"/>
    </row>
    <row r="236" spans="1:4" ht="13.5" x14ac:dyDescent="0.25">
      <c r="A236" s="200">
        <v>79</v>
      </c>
      <c r="B236" s="189"/>
      <c r="C236" s="196" t="s">
        <v>117</v>
      </c>
      <c r="D236" s="197"/>
    </row>
    <row r="237" spans="1:4" ht="13.5" x14ac:dyDescent="0.25">
      <c r="A237" s="200">
        <v>79</v>
      </c>
      <c r="B237" s="190">
        <f t="shared" ref="B237:B238" si="78">$B$236</f>
        <v>0</v>
      </c>
      <c r="C237" s="196" t="s">
        <v>118</v>
      </c>
      <c r="D237" s="197"/>
    </row>
    <row r="238" spans="1:4" ht="13.5" x14ac:dyDescent="0.25">
      <c r="A238" s="200">
        <v>79</v>
      </c>
      <c r="B238" s="190">
        <f t="shared" si="78"/>
        <v>0</v>
      </c>
      <c r="C238" s="196" t="s">
        <v>119</v>
      </c>
      <c r="D238" s="197"/>
    </row>
    <row r="239" spans="1:4" ht="13.5" x14ac:dyDescent="0.25">
      <c r="A239" s="200">
        <v>80</v>
      </c>
      <c r="B239" s="189"/>
      <c r="C239" s="196" t="s">
        <v>117</v>
      </c>
      <c r="D239" s="197"/>
    </row>
    <row r="240" spans="1:4" ht="13.5" x14ac:dyDescent="0.25">
      <c r="A240" s="200">
        <v>80</v>
      </c>
      <c r="B240" s="190">
        <f t="shared" ref="B240:B241" si="79">$B$239</f>
        <v>0</v>
      </c>
      <c r="C240" s="196" t="s">
        <v>118</v>
      </c>
      <c r="D240" s="197"/>
    </row>
    <row r="241" spans="1:4" ht="13.5" x14ac:dyDescent="0.25">
      <c r="A241" s="200">
        <v>80</v>
      </c>
      <c r="B241" s="190">
        <f t="shared" si="79"/>
        <v>0</v>
      </c>
      <c r="C241" s="196" t="s">
        <v>119</v>
      </c>
      <c r="D241" s="197"/>
    </row>
    <row r="242" spans="1:4" ht="13.5" x14ac:dyDescent="0.25">
      <c r="A242" s="200">
        <v>81</v>
      </c>
      <c r="B242" s="189"/>
      <c r="C242" s="196" t="s">
        <v>117</v>
      </c>
      <c r="D242" s="197"/>
    </row>
    <row r="243" spans="1:4" ht="13.5" x14ac:dyDescent="0.25">
      <c r="A243" s="200">
        <v>81</v>
      </c>
      <c r="B243" s="190">
        <f t="shared" ref="B243:B244" si="80">$B$242</f>
        <v>0</v>
      </c>
      <c r="C243" s="196" t="s">
        <v>118</v>
      </c>
      <c r="D243" s="197"/>
    </row>
    <row r="244" spans="1:4" ht="13.5" x14ac:dyDescent="0.25">
      <c r="A244" s="200">
        <v>81</v>
      </c>
      <c r="B244" s="190">
        <f t="shared" si="80"/>
        <v>0</v>
      </c>
      <c r="C244" s="196" t="s">
        <v>119</v>
      </c>
      <c r="D244" s="197"/>
    </row>
    <row r="245" spans="1:4" ht="13.5" x14ac:dyDescent="0.25">
      <c r="A245" s="200">
        <v>82</v>
      </c>
      <c r="B245" s="189"/>
      <c r="C245" s="196" t="s">
        <v>117</v>
      </c>
      <c r="D245" s="197"/>
    </row>
    <row r="246" spans="1:4" ht="13.5" x14ac:dyDescent="0.25">
      <c r="A246" s="200">
        <v>82</v>
      </c>
      <c r="B246" s="190">
        <f t="shared" ref="B246:B247" si="81">$B$245</f>
        <v>0</v>
      </c>
      <c r="C246" s="196" t="s">
        <v>118</v>
      </c>
      <c r="D246" s="197"/>
    </row>
    <row r="247" spans="1:4" ht="13.5" x14ac:dyDescent="0.25">
      <c r="A247" s="200">
        <v>82</v>
      </c>
      <c r="B247" s="190">
        <f t="shared" si="81"/>
        <v>0</v>
      </c>
      <c r="C247" s="196" t="s">
        <v>119</v>
      </c>
      <c r="D247" s="197"/>
    </row>
    <row r="248" spans="1:4" ht="13.5" x14ac:dyDescent="0.25">
      <c r="A248" s="200">
        <v>83</v>
      </c>
      <c r="B248" s="189"/>
      <c r="C248" s="196" t="s">
        <v>117</v>
      </c>
      <c r="D248" s="197"/>
    </row>
    <row r="249" spans="1:4" ht="13.5" x14ac:dyDescent="0.25">
      <c r="A249" s="200">
        <v>83</v>
      </c>
      <c r="B249" s="190">
        <f t="shared" ref="B249:B250" si="82">$B$248</f>
        <v>0</v>
      </c>
      <c r="C249" s="196" t="s">
        <v>118</v>
      </c>
      <c r="D249" s="197"/>
    </row>
    <row r="250" spans="1:4" ht="13.5" x14ac:dyDescent="0.25">
      <c r="A250" s="200">
        <v>83</v>
      </c>
      <c r="B250" s="190">
        <f t="shared" si="82"/>
        <v>0</v>
      </c>
      <c r="C250" s="196" t="s">
        <v>119</v>
      </c>
      <c r="D250" s="197"/>
    </row>
    <row r="251" spans="1:4" ht="13.5" x14ac:dyDescent="0.25">
      <c r="A251" s="200">
        <v>84</v>
      </c>
      <c r="B251" s="189"/>
      <c r="C251" s="196" t="s">
        <v>117</v>
      </c>
      <c r="D251" s="197"/>
    </row>
    <row r="252" spans="1:4" ht="13.5" x14ac:dyDescent="0.25">
      <c r="A252" s="200">
        <v>84</v>
      </c>
      <c r="B252" s="190">
        <f t="shared" ref="B252:B253" si="83">$B$251</f>
        <v>0</v>
      </c>
      <c r="C252" s="196" t="s">
        <v>118</v>
      </c>
      <c r="D252" s="197"/>
    </row>
    <row r="253" spans="1:4" ht="13.5" x14ac:dyDescent="0.25">
      <c r="A253" s="200">
        <v>84</v>
      </c>
      <c r="B253" s="190">
        <f t="shared" si="83"/>
        <v>0</v>
      </c>
      <c r="C253" s="196" t="s">
        <v>119</v>
      </c>
      <c r="D253" s="197"/>
    </row>
    <row r="254" spans="1:4" ht="13.5" x14ac:dyDescent="0.25">
      <c r="A254" s="200">
        <v>85</v>
      </c>
      <c r="B254" s="189"/>
      <c r="C254" s="196" t="s">
        <v>117</v>
      </c>
      <c r="D254" s="197"/>
    </row>
    <row r="255" spans="1:4" ht="13.5" x14ac:dyDescent="0.25">
      <c r="A255" s="200">
        <v>85</v>
      </c>
      <c r="B255" s="190">
        <f t="shared" ref="B255:B256" si="84">$B$254</f>
        <v>0</v>
      </c>
      <c r="C255" s="196" t="s">
        <v>118</v>
      </c>
      <c r="D255" s="197"/>
    </row>
    <row r="256" spans="1:4" ht="13.5" x14ac:dyDescent="0.25">
      <c r="A256" s="200">
        <v>85</v>
      </c>
      <c r="B256" s="190">
        <f t="shared" si="84"/>
        <v>0</v>
      </c>
      <c r="C256" s="196" t="s">
        <v>119</v>
      </c>
      <c r="D256" s="197"/>
    </row>
    <row r="257" spans="1:4" ht="13.5" x14ac:dyDescent="0.25">
      <c r="A257" s="200">
        <v>86</v>
      </c>
      <c r="B257" s="189"/>
      <c r="C257" s="196" t="s">
        <v>117</v>
      </c>
      <c r="D257" s="197"/>
    </row>
    <row r="258" spans="1:4" ht="13.5" x14ac:dyDescent="0.25">
      <c r="A258" s="200">
        <v>86</v>
      </c>
      <c r="B258" s="190">
        <f t="shared" ref="B258:B259" si="85">$B$257</f>
        <v>0</v>
      </c>
      <c r="C258" s="196" t="s">
        <v>118</v>
      </c>
      <c r="D258" s="197"/>
    </row>
    <row r="259" spans="1:4" ht="13.5" x14ac:dyDescent="0.25">
      <c r="A259" s="200">
        <v>86</v>
      </c>
      <c r="B259" s="190">
        <f t="shared" si="85"/>
        <v>0</v>
      </c>
      <c r="C259" s="196" t="s">
        <v>119</v>
      </c>
      <c r="D259" s="197"/>
    </row>
    <row r="260" spans="1:4" ht="13.5" x14ac:dyDescent="0.25">
      <c r="A260" s="200">
        <v>87</v>
      </c>
      <c r="B260" s="189"/>
      <c r="C260" s="196" t="s">
        <v>117</v>
      </c>
      <c r="D260" s="197"/>
    </row>
    <row r="261" spans="1:4" ht="13.5" x14ac:dyDescent="0.25">
      <c r="A261" s="200">
        <v>87</v>
      </c>
      <c r="B261" s="190">
        <f t="shared" ref="B261:B262" si="86">$B$260</f>
        <v>0</v>
      </c>
      <c r="C261" s="196" t="s">
        <v>118</v>
      </c>
      <c r="D261" s="197"/>
    </row>
    <row r="262" spans="1:4" ht="13.5" x14ac:dyDescent="0.25">
      <c r="A262" s="200">
        <v>87</v>
      </c>
      <c r="B262" s="190">
        <f t="shared" si="86"/>
        <v>0</v>
      </c>
      <c r="C262" s="196" t="s">
        <v>119</v>
      </c>
      <c r="D262" s="197"/>
    </row>
    <row r="263" spans="1:4" ht="13.5" x14ac:dyDescent="0.25">
      <c r="A263" s="200">
        <v>88</v>
      </c>
      <c r="B263" s="189"/>
      <c r="C263" s="196" t="s">
        <v>117</v>
      </c>
      <c r="D263" s="197"/>
    </row>
    <row r="264" spans="1:4" ht="13.5" x14ac:dyDescent="0.25">
      <c r="A264" s="200">
        <v>88</v>
      </c>
      <c r="B264" s="190">
        <f t="shared" ref="B264:B265" si="87">$B$263</f>
        <v>0</v>
      </c>
      <c r="C264" s="196" t="s">
        <v>118</v>
      </c>
      <c r="D264" s="197"/>
    </row>
    <row r="265" spans="1:4" ht="13.5" x14ac:dyDescent="0.25">
      <c r="A265" s="200">
        <v>88</v>
      </c>
      <c r="B265" s="190">
        <f t="shared" si="87"/>
        <v>0</v>
      </c>
      <c r="C265" s="196" t="s">
        <v>119</v>
      </c>
      <c r="D265" s="197"/>
    </row>
    <row r="266" spans="1:4" ht="13.5" x14ac:dyDescent="0.25">
      <c r="A266" s="200">
        <v>89</v>
      </c>
      <c r="B266" s="189"/>
      <c r="C266" s="196" t="s">
        <v>117</v>
      </c>
      <c r="D266" s="197"/>
    </row>
    <row r="267" spans="1:4" ht="13.5" x14ac:dyDescent="0.25">
      <c r="A267" s="200">
        <v>89</v>
      </c>
      <c r="B267" s="190">
        <f t="shared" ref="B267:B268" si="88">$B$266</f>
        <v>0</v>
      </c>
      <c r="C267" s="196" t="s">
        <v>118</v>
      </c>
      <c r="D267" s="197"/>
    </row>
    <row r="268" spans="1:4" ht="13.5" x14ac:dyDescent="0.25">
      <c r="A268" s="200">
        <v>89</v>
      </c>
      <c r="B268" s="190">
        <f t="shared" si="88"/>
        <v>0</v>
      </c>
      <c r="C268" s="196" t="s">
        <v>119</v>
      </c>
      <c r="D268" s="197"/>
    </row>
    <row r="269" spans="1:4" ht="13.5" x14ac:dyDescent="0.25">
      <c r="A269" s="200">
        <v>90</v>
      </c>
      <c r="B269" s="189"/>
      <c r="C269" s="196" t="s">
        <v>117</v>
      </c>
      <c r="D269" s="197"/>
    </row>
    <row r="270" spans="1:4" ht="13.5" x14ac:dyDescent="0.25">
      <c r="A270" s="200">
        <v>90</v>
      </c>
      <c r="B270" s="190">
        <f t="shared" ref="B270:B271" si="89">$B$269</f>
        <v>0</v>
      </c>
      <c r="C270" s="196" t="s">
        <v>118</v>
      </c>
      <c r="D270" s="197"/>
    </row>
    <row r="271" spans="1:4" ht="13.5" x14ac:dyDescent="0.25">
      <c r="A271" s="200">
        <v>90</v>
      </c>
      <c r="B271" s="190">
        <f t="shared" si="89"/>
        <v>0</v>
      </c>
      <c r="C271" s="196" t="s">
        <v>119</v>
      </c>
      <c r="D271" s="197"/>
    </row>
    <row r="272" spans="1:4" ht="13.5" x14ac:dyDescent="0.25">
      <c r="A272" s="200">
        <v>91</v>
      </c>
      <c r="B272" s="189"/>
      <c r="C272" s="196" t="s">
        <v>117</v>
      </c>
      <c r="D272" s="197"/>
    </row>
    <row r="273" spans="1:4" ht="13.5" x14ac:dyDescent="0.25">
      <c r="A273" s="200">
        <v>91</v>
      </c>
      <c r="B273" s="190">
        <f t="shared" ref="B273:B274" si="90">$B$272</f>
        <v>0</v>
      </c>
      <c r="C273" s="196" t="s">
        <v>118</v>
      </c>
      <c r="D273" s="197"/>
    </row>
    <row r="274" spans="1:4" ht="13.5" x14ac:dyDescent="0.25">
      <c r="A274" s="200">
        <v>91</v>
      </c>
      <c r="B274" s="190">
        <f t="shared" si="90"/>
        <v>0</v>
      </c>
      <c r="C274" s="196" t="s">
        <v>119</v>
      </c>
      <c r="D274" s="197"/>
    </row>
    <row r="275" spans="1:4" ht="13.5" x14ac:dyDescent="0.25">
      <c r="A275" s="200">
        <v>92</v>
      </c>
      <c r="B275" s="189"/>
      <c r="C275" s="196" t="s">
        <v>117</v>
      </c>
      <c r="D275" s="197"/>
    </row>
    <row r="276" spans="1:4" ht="13.5" x14ac:dyDescent="0.25">
      <c r="A276" s="200">
        <v>92</v>
      </c>
      <c r="B276" s="190">
        <f t="shared" ref="B276:B277" si="91">$B$275</f>
        <v>0</v>
      </c>
      <c r="C276" s="196" t="s">
        <v>118</v>
      </c>
      <c r="D276" s="197"/>
    </row>
    <row r="277" spans="1:4" ht="13.5" x14ac:dyDescent="0.25">
      <c r="A277" s="200">
        <v>92</v>
      </c>
      <c r="B277" s="190">
        <f t="shared" si="91"/>
        <v>0</v>
      </c>
      <c r="C277" s="196" t="s">
        <v>119</v>
      </c>
      <c r="D277" s="197"/>
    </row>
    <row r="278" spans="1:4" ht="13.5" x14ac:dyDescent="0.25">
      <c r="A278" s="200">
        <v>93</v>
      </c>
      <c r="B278" s="189"/>
      <c r="C278" s="196" t="s">
        <v>117</v>
      </c>
      <c r="D278" s="197"/>
    </row>
    <row r="279" spans="1:4" ht="13.5" x14ac:dyDescent="0.25">
      <c r="A279" s="200">
        <v>93</v>
      </c>
      <c r="B279" s="190">
        <f t="shared" ref="B279:B280" si="92">$B$278</f>
        <v>0</v>
      </c>
      <c r="C279" s="196" t="s">
        <v>118</v>
      </c>
      <c r="D279" s="197"/>
    </row>
    <row r="280" spans="1:4" ht="13.5" x14ac:dyDescent="0.25">
      <c r="A280" s="200">
        <v>93</v>
      </c>
      <c r="B280" s="190">
        <f t="shared" si="92"/>
        <v>0</v>
      </c>
      <c r="C280" s="196" t="s">
        <v>119</v>
      </c>
      <c r="D280" s="197"/>
    </row>
    <row r="281" spans="1:4" ht="13.5" x14ac:dyDescent="0.25">
      <c r="A281" s="200">
        <v>94</v>
      </c>
      <c r="B281" s="189"/>
      <c r="C281" s="196" t="s">
        <v>117</v>
      </c>
      <c r="D281" s="197"/>
    </row>
    <row r="282" spans="1:4" ht="13.5" x14ac:dyDescent="0.25">
      <c r="A282" s="200">
        <v>94</v>
      </c>
      <c r="B282" s="190">
        <f t="shared" ref="B282:B283" si="93">$B$281</f>
        <v>0</v>
      </c>
      <c r="C282" s="196" t="s">
        <v>118</v>
      </c>
      <c r="D282" s="197"/>
    </row>
    <row r="283" spans="1:4" ht="13.5" x14ac:dyDescent="0.25">
      <c r="A283" s="200">
        <v>94</v>
      </c>
      <c r="B283" s="190">
        <f t="shared" si="93"/>
        <v>0</v>
      </c>
      <c r="C283" s="196" t="s">
        <v>119</v>
      </c>
      <c r="D283" s="197"/>
    </row>
    <row r="284" spans="1:4" ht="13.5" x14ac:dyDescent="0.25">
      <c r="A284" s="200">
        <v>95</v>
      </c>
      <c r="B284" s="189"/>
      <c r="C284" s="196" t="s">
        <v>117</v>
      </c>
      <c r="D284" s="197"/>
    </row>
    <row r="285" spans="1:4" ht="13.5" x14ac:dyDescent="0.25">
      <c r="A285" s="200">
        <v>95</v>
      </c>
      <c r="B285" s="190">
        <f t="shared" ref="B285:B286" si="94">$B$284</f>
        <v>0</v>
      </c>
      <c r="C285" s="196" t="s">
        <v>118</v>
      </c>
      <c r="D285" s="197"/>
    </row>
    <row r="286" spans="1:4" ht="13.5" x14ac:dyDescent="0.25">
      <c r="A286" s="200">
        <v>95</v>
      </c>
      <c r="B286" s="190">
        <f t="shared" si="94"/>
        <v>0</v>
      </c>
      <c r="C286" s="196" t="s">
        <v>119</v>
      </c>
      <c r="D286" s="197"/>
    </row>
    <row r="287" spans="1:4" ht="13.5" x14ac:dyDescent="0.25">
      <c r="A287" s="200">
        <v>96</v>
      </c>
      <c r="B287" s="189"/>
      <c r="C287" s="196" t="s">
        <v>117</v>
      </c>
      <c r="D287" s="197"/>
    </row>
    <row r="288" spans="1:4" ht="13.5" x14ac:dyDescent="0.25">
      <c r="A288" s="200">
        <v>96</v>
      </c>
      <c r="B288" s="190">
        <f t="shared" ref="B288:B289" si="95">$B$287</f>
        <v>0</v>
      </c>
      <c r="C288" s="196" t="s">
        <v>118</v>
      </c>
      <c r="D288" s="197"/>
    </row>
    <row r="289" spans="1:4" ht="13.5" x14ac:dyDescent="0.25">
      <c r="A289" s="200">
        <v>96</v>
      </c>
      <c r="B289" s="190">
        <f t="shared" si="95"/>
        <v>0</v>
      </c>
      <c r="C289" s="196" t="s">
        <v>119</v>
      </c>
      <c r="D289" s="197"/>
    </row>
    <row r="290" spans="1:4" ht="13.5" x14ac:dyDescent="0.25">
      <c r="A290" s="200">
        <v>97</v>
      </c>
      <c r="B290" s="189"/>
      <c r="C290" s="196" t="s">
        <v>117</v>
      </c>
      <c r="D290" s="197"/>
    </row>
    <row r="291" spans="1:4" ht="13.5" x14ac:dyDescent="0.25">
      <c r="A291" s="200">
        <v>97</v>
      </c>
      <c r="B291" s="190">
        <f t="shared" ref="B291:B292" si="96">$B$290</f>
        <v>0</v>
      </c>
      <c r="C291" s="196" t="s">
        <v>118</v>
      </c>
      <c r="D291" s="197"/>
    </row>
    <row r="292" spans="1:4" ht="13.5" x14ac:dyDescent="0.25">
      <c r="A292" s="200">
        <v>97</v>
      </c>
      <c r="B292" s="190">
        <f t="shared" si="96"/>
        <v>0</v>
      </c>
      <c r="C292" s="196" t="s">
        <v>119</v>
      </c>
      <c r="D292" s="197"/>
    </row>
    <row r="293" spans="1:4" ht="13.5" x14ac:dyDescent="0.25">
      <c r="A293" s="200">
        <v>98</v>
      </c>
      <c r="B293" s="189"/>
      <c r="C293" s="196" t="s">
        <v>117</v>
      </c>
      <c r="D293" s="197"/>
    </row>
    <row r="294" spans="1:4" ht="13.5" x14ac:dyDescent="0.25">
      <c r="A294" s="200">
        <v>98</v>
      </c>
      <c r="B294" s="190">
        <f t="shared" ref="B294:B295" si="97">$B$293</f>
        <v>0</v>
      </c>
      <c r="C294" s="196" t="s">
        <v>118</v>
      </c>
      <c r="D294" s="197"/>
    </row>
    <row r="295" spans="1:4" ht="13.5" x14ac:dyDescent="0.25">
      <c r="A295" s="200">
        <v>98</v>
      </c>
      <c r="B295" s="190">
        <f t="shared" si="97"/>
        <v>0</v>
      </c>
      <c r="C295" s="196" t="s">
        <v>119</v>
      </c>
      <c r="D295" s="197"/>
    </row>
    <row r="296" spans="1:4" ht="13.5" x14ac:dyDescent="0.25">
      <c r="A296" s="200">
        <v>99</v>
      </c>
      <c r="B296" s="189"/>
      <c r="C296" s="196" t="s">
        <v>117</v>
      </c>
      <c r="D296" s="197"/>
    </row>
    <row r="297" spans="1:4" ht="13.5" x14ac:dyDescent="0.25">
      <c r="A297" s="200">
        <v>99</v>
      </c>
      <c r="B297" s="190">
        <f t="shared" ref="B297:B298" si="98">$B$296</f>
        <v>0</v>
      </c>
      <c r="C297" s="196" t="s">
        <v>118</v>
      </c>
      <c r="D297" s="197"/>
    </row>
    <row r="298" spans="1:4" ht="13.5" x14ac:dyDescent="0.25">
      <c r="A298" s="200">
        <v>99</v>
      </c>
      <c r="B298" s="190">
        <f t="shared" si="98"/>
        <v>0</v>
      </c>
      <c r="C298" s="196" t="s">
        <v>119</v>
      </c>
      <c r="D298" s="197"/>
    </row>
    <row r="299" spans="1:4" ht="13.5" x14ac:dyDescent="0.25">
      <c r="A299" s="200">
        <v>100</v>
      </c>
      <c r="B299" s="189"/>
      <c r="C299" s="196" t="s">
        <v>117</v>
      </c>
      <c r="D299" s="197"/>
    </row>
    <row r="300" spans="1:4" ht="13.5" x14ac:dyDescent="0.25">
      <c r="A300" s="200">
        <v>100</v>
      </c>
      <c r="B300" s="190">
        <f t="shared" ref="B300:B301" si="99">$B$299</f>
        <v>0</v>
      </c>
      <c r="C300" s="196" t="s">
        <v>118</v>
      </c>
      <c r="D300" s="197"/>
    </row>
    <row r="301" spans="1:4" ht="13.5" x14ac:dyDescent="0.25">
      <c r="A301" s="200">
        <v>100</v>
      </c>
      <c r="B301" s="190">
        <f t="shared" si="99"/>
        <v>0</v>
      </c>
      <c r="C301" s="196" t="s">
        <v>119</v>
      </c>
      <c r="D301" s="197"/>
    </row>
    <row r="302" spans="1:4" ht="13.5" x14ac:dyDescent="0.25">
      <c r="A302" s="200">
        <v>101</v>
      </c>
      <c r="B302" s="189"/>
      <c r="C302" s="196" t="s">
        <v>117</v>
      </c>
      <c r="D302" s="197"/>
    </row>
    <row r="303" spans="1:4" ht="13.5" x14ac:dyDescent="0.25">
      <c r="A303" s="200">
        <v>101</v>
      </c>
      <c r="B303" s="190">
        <f t="shared" ref="B303:B304" si="100">$B$302</f>
        <v>0</v>
      </c>
      <c r="C303" s="196" t="s">
        <v>118</v>
      </c>
      <c r="D303" s="197"/>
    </row>
    <row r="304" spans="1:4" ht="13.5" x14ac:dyDescent="0.25">
      <c r="A304" s="200">
        <v>101</v>
      </c>
      <c r="B304" s="190">
        <f t="shared" si="100"/>
        <v>0</v>
      </c>
      <c r="C304" s="196" t="s">
        <v>119</v>
      </c>
      <c r="D304" s="197"/>
    </row>
    <row r="305" spans="1:4" ht="13.5" x14ac:dyDescent="0.25">
      <c r="A305" s="200">
        <v>102</v>
      </c>
      <c r="B305" s="189"/>
      <c r="C305" s="196" t="s">
        <v>117</v>
      </c>
      <c r="D305" s="197"/>
    </row>
    <row r="306" spans="1:4" ht="13.5" x14ac:dyDescent="0.25">
      <c r="A306" s="200">
        <v>102</v>
      </c>
      <c r="B306" s="190">
        <f t="shared" ref="B306:B307" si="101">$B$305</f>
        <v>0</v>
      </c>
      <c r="C306" s="196" t="s">
        <v>118</v>
      </c>
      <c r="D306" s="197"/>
    </row>
    <row r="307" spans="1:4" ht="13.5" x14ac:dyDescent="0.25">
      <c r="A307" s="200">
        <v>102</v>
      </c>
      <c r="B307" s="190">
        <f t="shared" si="101"/>
        <v>0</v>
      </c>
      <c r="C307" s="196" t="s">
        <v>119</v>
      </c>
      <c r="D307" s="197"/>
    </row>
    <row r="308" spans="1:4" ht="13.5" x14ac:dyDescent="0.25">
      <c r="A308" s="200">
        <v>103</v>
      </c>
      <c r="B308" s="189"/>
      <c r="C308" s="196" t="s">
        <v>117</v>
      </c>
      <c r="D308" s="197"/>
    </row>
    <row r="309" spans="1:4" ht="13.5" x14ac:dyDescent="0.25">
      <c r="A309" s="200">
        <v>103</v>
      </c>
      <c r="B309" s="190">
        <f t="shared" ref="B309:B310" si="102">$B$308</f>
        <v>0</v>
      </c>
      <c r="C309" s="196" t="s">
        <v>118</v>
      </c>
      <c r="D309" s="197"/>
    </row>
    <row r="310" spans="1:4" ht="13.5" x14ac:dyDescent="0.25">
      <c r="A310" s="200">
        <v>103</v>
      </c>
      <c r="B310" s="190">
        <f t="shared" si="102"/>
        <v>0</v>
      </c>
      <c r="C310" s="196" t="s">
        <v>119</v>
      </c>
      <c r="D310" s="197"/>
    </row>
    <row r="311" spans="1:4" ht="13.5" x14ac:dyDescent="0.25">
      <c r="A311" s="200">
        <v>104</v>
      </c>
      <c r="B311" s="189"/>
      <c r="C311" s="196" t="s">
        <v>117</v>
      </c>
      <c r="D311" s="197"/>
    </row>
    <row r="312" spans="1:4" ht="13.5" x14ac:dyDescent="0.25">
      <c r="A312" s="200">
        <v>104</v>
      </c>
      <c r="B312" s="190">
        <f t="shared" ref="B312:B313" si="103">$B$311</f>
        <v>0</v>
      </c>
      <c r="C312" s="196" t="s">
        <v>118</v>
      </c>
      <c r="D312" s="197"/>
    </row>
    <row r="313" spans="1:4" ht="13.5" x14ac:dyDescent="0.25">
      <c r="A313" s="200">
        <v>104</v>
      </c>
      <c r="B313" s="190">
        <f t="shared" si="103"/>
        <v>0</v>
      </c>
      <c r="C313" s="196" t="s">
        <v>119</v>
      </c>
      <c r="D313" s="197"/>
    </row>
    <row r="314" spans="1:4" ht="13.5" x14ac:dyDescent="0.25">
      <c r="A314" s="200">
        <v>105</v>
      </c>
      <c r="B314" s="189"/>
      <c r="C314" s="196" t="s">
        <v>117</v>
      </c>
      <c r="D314" s="197"/>
    </row>
    <row r="315" spans="1:4" ht="13.5" x14ac:dyDescent="0.25">
      <c r="A315" s="200">
        <v>105</v>
      </c>
      <c r="B315" s="190">
        <f t="shared" ref="B315:B316" si="104">$B$314</f>
        <v>0</v>
      </c>
      <c r="C315" s="196" t="s">
        <v>118</v>
      </c>
      <c r="D315" s="197"/>
    </row>
    <row r="316" spans="1:4" ht="13.5" x14ac:dyDescent="0.25">
      <c r="A316" s="200">
        <v>105</v>
      </c>
      <c r="B316" s="190">
        <f t="shared" si="104"/>
        <v>0</v>
      </c>
      <c r="C316" s="196" t="s">
        <v>119</v>
      </c>
      <c r="D316" s="197"/>
    </row>
    <row r="317" spans="1:4" ht="13.5" x14ac:dyDescent="0.25">
      <c r="A317" s="200">
        <v>106</v>
      </c>
      <c r="B317" s="189"/>
      <c r="C317" s="196" t="s">
        <v>117</v>
      </c>
      <c r="D317" s="197"/>
    </row>
    <row r="318" spans="1:4" ht="13.5" x14ac:dyDescent="0.25">
      <c r="A318" s="200">
        <v>106</v>
      </c>
      <c r="B318" s="190">
        <f t="shared" ref="B318:B319" si="105">$B$317</f>
        <v>0</v>
      </c>
      <c r="C318" s="196" t="s">
        <v>118</v>
      </c>
      <c r="D318" s="197"/>
    </row>
    <row r="319" spans="1:4" ht="13.5" x14ac:dyDescent="0.25">
      <c r="A319" s="200">
        <v>106</v>
      </c>
      <c r="B319" s="190">
        <f t="shared" si="105"/>
        <v>0</v>
      </c>
      <c r="C319" s="196" t="s">
        <v>119</v>
      </c>
      <c r="D319" s="197"/>
    </row>
    <row r="320" spans="1:4" ht="13.5" x14ac:dyDescent="0.25">
      <c r="A320" s="200">
        <v>107</v>
      </c>
      <c r="B320" s="189"/>
      <c r="C320" s="196" t="s">
        <v>117</v>
      </c>
      <c r="D320" s="197"/>
    </row>
    <row r="321" spans="1:4" ht="13.5" x14ac:dyDescent="0.25">
      <c r="A321" s="200">
        <v>107</v>
      </c>
      <c r="B321" s="190">
        <f t="shared" ref="B321:B322" si="106">$B$320</f>
        <v>0</v>
      </c>
      <c r="C321" s="196" t="s">
        <v>118</v>
      </c>
      <c r="D321" s="197"/>
    </row>
    <row r="322" spans="1:4" ht="13.5" x14ac:dyDescent="0.25">
      <c r="A322" s="200">
        <v>107</v>
      </c>
      <c r="B322" s="190">
        <f t="shared" si="106"/>
        <v>0</v>
      </c>
      <c r="C322" s="196" t="s">
        <v>119</v>
      </c>
      <c r="D322" s="197"/>
    </row>
    <row r="323" spans="1:4" ht="13.5" x14ac:dyDescent="0.25">
      <c r="A323" s="200">
        <v>108</v>
      </c>
      <c r="B323" s="189"/>
      <c r="C323" s="196" t="s">
        <v>117</v>
      </c>
      <c r="D323" s="197"/>
    </row>
    <row r="324" spans="1:4" ht="13.5" x14ac:dyDescent="0.25">
      <c r="A324" s="200">
        <v>108</v>
      </c>
      <c r="B324" s="190">
        <f t="shared" ref="B324:B325" si="107">$B$323</f>
        <v>0</v>
      </c>
      <c r="C324" s="196" t="s">
        <v>118</v>
      </c>
      <c r="D324" s="197"/>
    </row>
    <row r="325" spans="1:4" ht="13.5" x14ac:dyDescent="0.25">
      <c r="A325" s="200">
        <v>108</v>
      </c>
      <c r="B325" s="190">
        <f t="shared" si="107"/>
        <v>0</v>
      </c>
      <c r="C325" s="196" t="s">
        <v>119</v>
      </c>
      <c r="D325" s="197"/>
    </row>
    <row r="326" spans="1:4" ht="13.5" x14ac:dyDescent="0.25">
      <c r="A326" s="200">
        <v>109</v>
      </c>
      <c r="B326" s="189"/>
      <c r="C326" s="196" t="s">
        <v>117</v>
      </c>
      <c r="D326" s="197"/>
    </row>
    <row r="327" spans="1:4" ht="13.5" x14ac:dyDescent="0.25">
      <c r="A327" s="200">
        <v>109</v>
      </c>
      <c r="B327" s="190">
        <f t="shared" ref="B327:B328" si="108">$B$326</f>
        <v>0</v>
      </c>
      <c r="C327" s="196" t="s">
        <v>118</v>
      </c>
      <c r="D327" s="197"/>
    </row>
    <row r="328" spans="1:4" ht="13.5" x14ac:dyDescent="0.25">
      <c r="A328" s="200">
        <v>109</v>
      </c>
      <c r="B328" s="190">
        <f t="shared" si="108"/>
        <v>0</v>
      </c>
      <c r="C328" s="196" t="s">
        <v>119</v>
      </c>
      <c r="D328" s="197"/>
    </row>
    <row r="329" spans="1:4" ht="13.5" x14ac:dyDescent="0.25">
      <c r="A329" s="200">
        <v>110</v>
      </c>
      <c r="B329" s="189"/>
      <c r="C329" s="196" t="s">
        <v>117</v>
      </c>
      <c r="D329" s="197"/>
    </row>
    <row r="330" spans="1:4" ht="13.5" x14ac:dyDescent="0.25">
      <c r="A330" s="200">
        <v>110</v>
      </c>
      <c r="B330" s="190">
        <f t="shared" ref="B330:B331" si="109">$B$329</f>
        <v>0</v>
      </c>
      <c r="C330" s="196" t="s">
        <v>118</v>
      </c>
      <c r="D330" s="197"/>
    </row>
    <row r="331" spans="1:4" ht="13.5" x14ac:dyDescent="0.25">
      <c r="A331" s="200">
        <v>110</v>
      </c>
      <c r="B331" s="190">
        <f t="shared" si="109"/>
        <v>0</v>
      </c>
      <c r="C331" s="196" t="s">
        <v>119</v>
      </c>
      <c r="D331" s="197"/>
    </row>
    <row r="332" spans="1:4" ht="13.5" x14ac:dyDescent="0.25">
      <c r="A332" s="200">
        <v>111</v>
      </c>
      <c r="B332" s="189"/>
      <c r="C332" s="196" t="s">
        <v>117</v>
      </c>
      <c r="D332" s="197"/>
    </row>
    <row r="333" spans="1:4" ht="13.5" x14ac:dyDescent="0.25">
      <c r="A333" s="200">
        <v>111</v>
      </c>
      <c r="B333" s="190">
        <f t="shared" ref="B333:B334" si="110">$B$332</f>
        <v>0</v>
      </c>
      <c r="C333" s="196" t="s">
        <v>118</v>
      </c>
      <c r="D333" s="197"/>
    </row>
    <row r="334" spans="1:4" ht="13.5" x14ac:dyDescent="0.25">
      <c r="A334" s="200">
        <v>111</v>
      </c>
      <c r="B334" s="190">
        <f t="shared" si="110"/>
        <v>0</v>
      </c>
      <c r="C334" s="196" t="s">
        <v>119</v>
      </c>
      <c r="D334" s="197"/>
    </row>
    <row r="335" spans="1:4" ht="13.5" x14ac:dyDescent="0.25">
      <c r="A335" s="200">
        <v>112</v>
      </c>
      <c r="B335" s="189"/>
      <c r="C335" s="196" t="s">
        <v>117</v>
      </c>
      <c r="D335" s="197"/>
    </row>
    <row r="336" spans="1:4" ht="13.5" x14ac:dyDescent="0.25">
      <c r="A336" s="200">
        <v>112</v>
      </c>
      <c r="B336" s="190">
        <f t="shared" ref="B336:B337" si="111">$B$335</f>
        <v>0</v>
      </c>
      <c r="C336" s="196" t="s">
        <v>118</v>
      </c>
      <c r="D336" s="197"/>
    </row>
    <row r="337" spans="1:4" ht="13.5" x14ac:dyDescent="0.25">
      <c r="A337" s="200">
        <v>112</v>
      </c>
      <c r="B337" s="190">
        <f t="shared" si="111"/>
        <v>0</v>
      </c>
      <c r="C337" s="196" t="s">
        <v>119</v>
      </c>
      <c r="D337" s="197"/>
    </row>
    <row r="338" spans="1:4" ht="13.5" x14ac:dyDescent="0.25">
      <c r="A338" s="200">
        <v>113</v>
      </c>
      <c r="B338" s="189"/>
      <c r="C338" s="196" t="s">
        <v>117</v>
      </c>
      <c r="D338" s="197"/>
    </row>
    <row r="339" spans="1:4" ht="13.5" x14ac:dyDescent="0.25">
      <c r="A339" s="200">
        <v>113</v>
      </c>
      <c r="B339" s="190">
        <f t="shared" ref="B339:B340" si="112">$B$338</f>
        <v>0</v>
      </c>
      <c r="C339" s="196" t="s">
        <v>118</v>
      </c>
      <c r="D339" s="197"/>
    </row>
    <row r="340" spans="1:4" ht="13.5" x14ac:dyDescent="0.25">
      <c r="A340" s="200">
        <v>113</v>
      </c>
      <c r="B340" s="190">
        <f t="shared" si="112"/>
        <v>0</v>
      </c>
      <c r="C340" s="196" t="s">
        <v>119</v>
      </c>
      <c r="D340" s="197"/>
    </row>
    <row r="341" spans="1:4" ht="13.5" x14ac:dyDescent="0.25">
      <c r="A341" s="200">
        <v>114</v>
      </c>
      <c r="B341" s="189"/>
      <c r="C341" s="196" t="s">
        <v>117</v>
      </c>
      <c r="D341" s="197"/>
    </row>
    <row r="342" spans="1:4" ht="13.5" x14ac:dyDescent="0.25">
      <c r="A342" s="200">
        <v>114</v>
      </c>
      <c r="B342" s="190">
        <f t="shared" ref="B342:B343" si="113">$B$341</f>
        <v>0</v>
      </c>
      <c r="C342" s="196" t="s">
        <v>118</v>
      </c>
      <c r="D342" s="197"/>
    </row>
    <row r="343" spans="1:4" ht="13.5" x14ac:dyDescent="0.25">
      <c r="A343" s="200">
        <v>114</v>
      </c>
      <c r="B343" s="190">
        <f t="shared" si="113"/>
        <v>0</v>
      </c>
      <c r="C343" s="196" t="s">
        <v>119</v>
      </c>
      <c r="D343" s="197"/>
    </row>
    <row r="344" spans="1:4" ht="13.5" x14ac:dyDescent="0.25">
      <c r="A344" s="200">
        <v>115</v>
      </c>
      <c r="B344" s="189"/>
      <c r="C344" s="196" t="s">
        <v>117</v>
      </c>
      <c r="D344" s="197"/>
    </row>
    <row r="345" spans="1:4" ht="13.5" x14ac:dyDescent="0.25">
      <c r="A345" s="200">
        <v>115</v>
      </c>
      <c r="B345" s="190">
        <f t="shared" ref="B345:B346" si="114">$B$344</f>
        <v>0</v>
      </c>
      <c r="C345" s="196" t="s">
        <v>118</v>
      </c>
      <c r="D345" s="197"/>
    </row>
    <row r="346" spans="1:4" ht="13.5" x14ac:dyDescent="0.25">
      <c r="A346" s="200">
        <v>115</v>
      </c>
      <c r="B346" s="190">
        <f t="shared" si="114"/>
        <v>0</v>
      </c>
      <c r="C346" s="196" t="s">
        <v>119</v>
      </c>
      <c r="D346" s="197"/>
    </row>
    <row r="347" spans="1:4" ht="13.5" x14ac:dyDescent="0.25">
      <c r="A347" s="200">
        <v>116</v>
      </c>
      <c r="B347" s="189"/>
      <c r="C347" s="196" t="s">
        <v>117</v>
      </c>
      <c r="D347" s="197"/>
    </row>
    <row r="348" spans="1:4" ht="13.5" x14ac:dyDescent="0.25">
      <c r="A348" s="200">
        <v>116</v>
      </c>
      <c r="B348" s="190">
        <f t="shared" ref="B348:B349" si="115">$B$347</f>
        <v>0</v>
      </c>
      <c r="C348" s="196" t="s">
        <v>118</v>
      </c>
      <c r="D348" s="197"/>
    </row>
    <row r="349" spans="1:4" ht="13.5" x14ac:dyDescent="0.25">
      <c r="A349" s="200">
        <v>116</v>
      </c>
      <c r="B349" s="190">
        <f t="shared" si="115"/>
        <v>0</v>
      </c>
      <c r="C349" s="196" t="s">
        <v>119</v>
      </c>
      <c r="D349" s="197"/>
    </row>
    <row r="350" spans="1:4" ht="13.5" x14ac:dyDescent="0.25">
      <c r="A350" s="200">
        <v>117</v>
      </c>
      <c r="B350" s="189"/>
      <c r="C350" s="196" t="s">
        <v>117</v>
      </c>
      <c r="D350" s="197"/>
    </row>
    <row r="351" spans="1:4" ht="13.5" x14ac:dyDescent="0.25">
      <c r="A351" s="200">
        <v>117</v>
      </c>
      <c r="B351" s="190">
        <f t="shared" ref="B351:B352" si="116">$B$350</f>
        <v>0</v>
      </c>
      <c r="C351" s="196" t="s">
        <v>118</v>
      </c>
      <c r="D351" s="197"/>
    </row>
    <row r="352" spans="1:4" ht="13.5" x14ac:dyDescent="0.25">
      <c r="A352" s="200">
        <v>117</v>
      </c>
      <c r="B352" s="190">
        <f t="shared" si="116"/>
        <v>0</v>
      </c>
      <c r="C352" s="196" t="s">
        <v>119</v>
      </c>
      <c r="D352" s="197"/>
    </row>
    <row r="353" spans="1:4" ht="13.5" x14ac:dyDescent="0.25">
      <c r="A353" s="200">
        <v>118</v>
      </c>
      <c r="B353" s="189"/>
      <c r="C353" s="196" t="s">
        <v>117</v>
      </c>
      <c r="D353" s="197"/>
    </row>
    <row r="354" spans="1:4" ht="13.5" x14ac:dyDescent="0.25">
      <c r="A354" s="200">
        <v>118</v>
      </c>
      <c r="B354" s="190">
        <f t="shared" ref="B354:B355" si="117">$B$353</f>
        <v>0</v>
      </c>
      <c r="C354" s="196" t="s">
        <v>118</v>
      </c>
      <c r="D354" s="197"/>
    </row>
    <row r="355" spans="1:4" ht="13.5" x14ac:dyDescent="0.25">
      <c r="A355" s="200">
        <v>118</v>
      </c>
      <c r="B355" s="190">
        <f t="shared" si="117"/>
        <v>0</v>
      </c>
      <c r="C355" s="196" t="s">
        <v>119</v>
      </c>
      <c r="D355" s="197"/>
    </row>
    <row r="356" spans="1:4" ht="13.5" x14ac:dyDescent="0.25">
      <c r="A356" s="200">
        <v>119</v>
      </c>
      <c r="B356" s="189"/>
      <c r="C356" s="196" t="s">
        <v>117</v>
      </c>
      <c r="D356" s="197"/>
    </row>
    <row r="357" spans="1:4" ht="13.5" x14ac:dyDescent="0.25">
      <c r="A357" s="200">
        <v>119</v>
      </c>
      <c r="B357" s="190">
        <f t="shared" ref="B357:B358" si="118">$B$356</f>
        <v>0</v>
      </c>
      <c r="C357" s="196" t="s">
        <v>118</v>
      </c>
      <c r="D357" s="197"/>
    </row>
    <row r="358" spans="1:4" ht="13.5" x14ac:dyDescent="0.25">
      <c r="A358" s="200">
        <v>119</v>
      </c>
      <c r="B358" s="190">
        <f t="shared" si="118"/>
        <v>0</v>
      </c>
      <c r="C358" s="196" t="s">
        <v>119</v>
      </c>
      <c r="D358" s="197"/>
    </row>
    <row r="359" spans="1:4" ht="13.5" x14ac:dyDescent="0.25">
      <c r="A359" s="200">
        <v>120</v>
      </c>
      <c r="B359" s="189"/>
      <c r="C359" s="196" t="s">
        <v>117</v>
      </c>
      <c r="D359" s="197"/>
    </row>
    <row r="360" spans="1:4" ht="13.5" x14ac:dyDescent="0.25">
      <c r="A360" s="200">
        <v>120</v>
      </c>
      <c r="B360" s="190">
        <f t="shared" ref="B360:B361" si="119">$B$359</f>
        <v>0</v>
      </c>
      <c r="C360" s="196" t="s">
        <v>118</v>
      </c>
      <c r="D360" s="197"/>
    </row>
    <row r="361" spans="1:4" ht="13.5" x14ac:dyDescent="0.25">
      <c r="A361" s="200">
        <v>120</v>
      </c>
      <c r="B361" s="190">
        <f t="shared" si="119"/>
        <v>0</v>
      </c>
      <c r="C361" s="196" t="s">
        <v>119</v>
      </c>
      <c r="D361" s="197"/>
    </row>
    <row r="362" spans="1:4" ht="13.5" x14ac:dyDescent="0.25">
      <c r="A362" s="200">
        <v>121</v>
      </c>
      <c r="B362" s="189"/>
      <c r="C362" s="196" t="s">
        <v>117</v>
      </c>
      <c r="D362" s="197"/>
    </row>
    <row r="363" spans="1:4" ht="13.5" x14ac:dyDescent="0.25">
      <c r="A363" s="200">
        <v>121</v>
      </c>
      <c r="B363" s="190">
        <f t="shared" ref="B363:B364" si="120">$B$362</f>
        <v>0</v>
      </c>
      <c r="C363" s="196" t="s">
        <v>118</v>
      </c>
      <c r="D363" s="197"/>
    </row>
    <row r="364" spans="1:4" ht="13.5" x14ac:dyDescent="0.25">
      <c r="A364" s="200">
        <v>121</v>
      </c>
      <c r="B364" s="190">
        <f t="shared" si="120"/>
        <v>0</v>
      </c>
      <c r="C364" s="196" t="s">
        <v>119</v>
      </c>
      <c r="D364" s="197"/>
    </row>
    <row r="365" spans="1:4" ht="13.5" x14ac:dyDescent="0.25">
      <c r="A365" s="200">
        <v>122</v>
      </c>
      <c r="B365" s="189"/>
      <c r="C365" s="196" t="s">
        <v>117</v>
      </c>
      <c r="D365" s="197"/>
    </row>
    <row r="366" spans="1:4" ht="13.5" x14ac:dyDescent="0.25">
      <c r="A366" s="200">
        <v>122</v>
      </c>
      <c r="B366" s="190">
        <f t="shared" ref="B366:B367" si="121">$B$365</f>
        <v>0</v>
      </c>
      <c r="C366" s="196" t="s">
        <v>118</v>
      </c>
      <c r="D366" s="197"/>
    </row>
    <row r="367" spans="1:4" ht="13.5" x14ac:dyDescent="0.25">
      <c r="A367" s="200">
        <v>122</v>
      </c>
      <c r="B367" s="190">
        <f t="shared" si="121"/>
        <v>0</v>
      </c>
      <c r="C367" s="196" t="s">
        <v>119</v>
      </c>
      <c r="D367" s="197"/>
    </row>
    <row r="368" spans="1:4" ht="13.5" x14ac:dyDescent="0.25">
      <c r="A368" s="200">
        <v>123</v>
      </c>
      <c r="B368" s="189"/>
      <c r="C368" s="196" t="s">
        <v>117</v>
      </c>
      <c r="D368" s="197"/>
    </row>
    <row r="369" spans="1:4" ht="13.5" x14ac:dyDescent="0.25">
      <c r="A369" s="200">
        <v>123</v>
      </c>
      <c r="B369" s="190">
        <f t="shared" ref="B369:B370" si="122">$B$368</f>
        <v>0</v>
      </c>
      <c r="C369" s="196" t="s">
        <v>118</v>
      </c>
      <c r="D369" s="197"/>
    </row>
    <row r="370" spans="1:4" ht="13.5" x14ac:dyDescent="0.25">
      <c r="A370" s="200">
        <v>123</v>
      </c>
      <c r="B370" s="190">
        <f t="shared" si="122"/>
        <v>0</v>
      </c>
      <c r="C370" s="196" t="s">
        <v>119</v>
      </c>
      <c r="D370" s="197"/>
    </row>
    <row r="371" spans="1:4" ht="13.5" x14ac:dyDescent="0.25">
      <c r="A371" s="200">
        <v>124</v>
      </c>
      <c r="B371" s="189"/>
      <c r="C371" s="196" t="s">
        <v>117</v>
      </c>
      <c r="D371" s="197"/>
    </row>
    <row r="372" spans="1:4" ht="13.5" x14ac:dyDescent="0.25">
      <c r="A372" s="200">
        <v>124</v>
      </c>
      <c r="B372" s="190">
        <f t="shared" ref="B372:B373" si="123">$B$371</f>
        <v>0</v>
      </c>
      <c r="C372" s="196" t="s">
        <v>118</v>
      </c>
      <c r="D372" s="197"/>
    </row>
    <row r="373" spans="1:4" ht="13.5" x14ac:dyDescent="0.25">
      <c r="A373" s="200">
        <v>124</v>
      </c>
      <c r="B373" s="190">
        <f t="shared" si="123"/>
        <v>0</v>
      </c>
      <c r="C373" s="196" t="s">
        <v>119</v>
      </c>
      <c r="D373" s="197"/>
    </row>
    <row r="374" spans="1:4" ht="13.5" x14ac:dyDescent="0.25">
      <c r="A374" s="200">
        <v>125</v>
      </c>
      <c r="B374" s="189"/>
      <c r="C374" s="196" t="s">
        <v>117</v>
      </c>
      <c r="D374" s="197"/>
    </row>
    <row r="375" spans="1:4" ht="13.5" x14ac:dyDescent="0.25">
      <c r="A375" s="200">
        <v>125</v>
      </c>
      <c r="B375" s="190">
        <f t="shared" ref="B375:B376" si="124">$B$374</f>
        <v>0</v>
      </c>
      <c r="C375" s="196" t="s">
        <v>118</v>
      </c>
      <c r="D375" s="197"/>
    </row>
    <row r="376" spans="1:4" ht="13.5" x14ac:dyDescent="0.25">
      <c r="A376" s="200">
        <v>125</v>
      </c>
      <c r="B376" s="190">
        <f t="shared" si="124"/>
        <v>0</v>
      </c>
      <c r="C376" s="196" t="s">
        <v>119</v>
      </c>
      <c r="D376" s="197"/>
    </row>
    <row r="377" spans="1:4" ht="13.5" x14ac:dyDescent="0.25">
      <c r="A377" s="200">
        <v>126</v>
      </c>
      <c r="B377" s="189"/>
      <c r="C377" s="196" t="s">
        <v>117</v>
      </c>
      <c r="D377" s="197"/>
    </row>
    <row r="378" spans="1:4" ht="13.5" x14ac:dyDescent="0.25">
      <c r="A378" s="200">
        <v>126</v>
      </c>
      <c r="B378" s="190">
        <f t="shared" ref="B378:B379" si="125">$B$377</f>
        <v>0</v>
      </c>
      <c r="C378" s="196" t="s">
        <v>118</v>
      </c>
      <c r="D378" s="197"/>
    </row>
    <row r="379" spans="1:4" ht="13.5" x14ac:dyDescent="0.25">
      <c r="A379" s="200">
        <v>126</v>
      </c>
      <c r="B379" s="190">
        <f t="shared" si="125"/>
        <v>0</v>
      </c>
      <c r="C379" s="196" t="s">
        <v>119</v>
      </c>
      <c r="D379" s="197"/>
    </row>
    <row r="380" spans="1:4" ht="13.5" x14ac:dyDescent="0.25">
      <c r="A380" s="200">
        <v>127</v>
      </c>
      <c r="B380" s="189"/>
      <c r="C380" s="196" t="s">
        <v>117</v>
      </c>
      <c r="D380" s="197"/>
    </row>
    <row r="381" spans="1:4" ht="13.5" x14ac:dyDescent="0.25">
      <c r="A381" s="200">
        <v>127</v>
      </c>
      <c r="B381" s="190">
        <f t="shared" ref="B381:B382" si="126">$B$380</f>
        <v>0</v>
      </c>
      <c r="C381" s="196" t="s">
        <v>118</v>
      </c>
      <c r="D381" s="197"/>
    </row>
    <row r="382" spans="1:4" ht="13.5" x14ac:dyDescent="0.25">
      <c r="A382" s="200">
        <v>127</v>
      </c>
      <c r="B382" s="190">
        <f t="shared" si="126"/>
        <v>0</v>
      </c>
      <c r="C382" s="196" t="s">
        <v>119</v>
      </c>
      <c r="D382" s="197"/>
    </row>
    <row r="383" spans="1:4" ht="13.5" x14ac:dyDescent="0.25">
      <c r="A383" s="200">
        <v>128</v>
      </c>
      <c r="B383" s="189"/>
      <c r="C383" s="196" t="s">
        <v>117</v>
      </c>
      <c r="D383" s="197"/>
    </row>
    <row r="384" spans="1:4" ht="13.5" x14ac:dyDescent="0.25">
      <c r="A384" s="200">
        <v>128</v>
      </c>
      <c r="B384" s="190">
        <f t="shared" ref="B384:B385" si="127">$B$383</f>
        <v>0</v>
      </c>
      <c r="C384" s="196" t="s">
        <v>118</v>
      </c>
      <c r="D384" s="197"/>
    </row>
    <row r="385" spans="1:4" ht="13.5" x14ac:dyDescent="0.25">
      <c r="A385" s="200">
        <v>128</v>
      </c>
      <c r="B385" s="190">
        <f t="shared" si="127"/>
        <v>0</v>
      </c>
      <c r="C385" s="196" t="s">
        <v>119</v>
      </c>
      <c r="D385" s="197"/>
    </row>
    <row r="386" spans="1:4" ht="13.5" x14ac:dyDescent="0.25">
      <c r="A386" s="200">
        <v>129</v>
      </c>
      <c r="B386" s="189"/>
      <c r="C386" s="196" t="s">
        <v>117</v>
      </c>
      <c r="D386" s="197"/>
    </row>
    <row r="387" spans="1:4" ht="13.5" x14ac:dyDescent="0.25">
      <c r="A387" s="200">
        <v>129</v>
      </c>
      <c r="B387" s="190">
        <f t="shared" ref="B387:B388" si="128">$B$386</f>
        <v>0</v>
      </c>
      <c r="C387" s="196" t="s">
        <v>118</v>
      </c>
      <c r="D387" s="197"/>
    </row>
    <row r="388" spans="1:4" ht="13.5" x14ac:dyDescent="0.25">
      <c r="A388" s="200">
        <v>129</v>
      </c>
      <c r="B388" s="190">
        <f t="shared" si="128"/>
        <v>0</v>
      </c>
      <c r="C388" s="196" t="s">
        <v>119</v>
      </c>
      <c r="D388" s="197"/>
    </row>
    <row r="389" spans="1:4" ht="13.5" x14ac:dyDescent="0.25">
      <c r="A389" s="200">
        <v>130</v>
      </c>
      <c r="B389" s="189"/>
      <c r="C389" s="196" t="s">
        <v>117</v>
      </c>
      <c r="D389" s="197"/>
    </row>
    <row r="390" spans="1:4" ht="13.5" x14ac:dyDescent="0.25">
      <c r="A390" s="200">
        <v>130</v>
      </c>
      <c r="B390" s="190">
        <f t="shared" ref="B390:B391" si="129">$B$389</f>
        <v>0</v>
      </c>
      <c r="C390" s="196" t="s">
        <v>118</v>
      </c>
      <c r="D390" s="197"/>
    </row>
    <row r="391" spans="1:4" ht="13.5" x14ac:dyDescent="0.25">
      <c r="A391" s="200">
        <v>130</v>
      </c>
      <c r="B391" s="190">
        <f t="shared" si="129"/>
        <v>0</v>
      </c>
      <c r="C391" s="196" t="s">
        <v>119</v>
      </c>
      <c r="D391" s="197"/>
    </row>
    <row r="392" spans="1:4" ht="13.5" x14ac:dyDescent="0.25">
      <c r="A392" s="200">
        <v>131</v>
      </c>
      <c r="B392" s="189"/>
      <c r="C392" s="196" t="s">
        <v>117</v>
      </c>
      <c r="D392" s="197"/>
    </row>
    <row r="393" spans="1:4" ht="13.5" x14ac:dyDescent="0.25">
      <c r="A393" s="200">
        <v>131</v>
      </c>
      <c r="B393" s="190">
        <f t="shared" ref="B393:B394" si="130">$B$392</f>
        <v>0</v>
      </c>
      <c r="C393" s="196" t="s">
        <v>118</v>
      </c>
      <c r="D393" s="197"/>
    </row>
    <row r="394" spans="1:4" ht="13.5" x14ac:dyDescent="0.25">
      <c r="A394" s="200">
        <v>131</v>
      </c>
      <c r="B394" s="190">
        <f t="shared" si="130"/>
        <v>0</v>
      </c>
      <c r="C394" s="196" t="s">
        <v>119</v>
      </c>
      <c r="D394" s="197"/>
    </row>
    <row r="395" spans="1:4" ht="13.5" x14ac:dyDescent="0.25">
      <c r="A395" s="200">
        <v>132</v>
      </c>
      <c r="B395" s="189"/>
      <c r="C395" s="196" t="s">
        <v>117</v>
      </c>
      <c r="D395" s="197"/>
    </row>
    <row r="396" spans="1:4" ht="13.5" x14ac:dyDescent="0.25">
      <c r="A396" s="200">
        <v>132</v>
      </c>
      <c r="B396" s="190">
        <f t="shared" ref="B396:B397" si="131">$B$395</f>
        <v>0</v>
      </c>
      <c r="C396" s="196" t="s">
        <v>118</v>
      </c>
      <c r="D396" s="197"/>
    </row>
    <row r="397" spans="1:4" ht="13.5" x14ac:dyDescent="0.25">
      <c r="A397" s="200">
        <v>132</v>
      </c>
      <c r="B397" s="190">
        <f t="shared" si="131"/>
        <v>0</v>
      </c>
      <c r="C397" s="196" t="s">
        <v>119</v>
      </c>
      <c r="D397" s="197"/>
    </row>
    <row r="398" spans="1:4" ht="13.5" x14ac:dyDescent="0.25">
      <c r="A398" s="200">
        <v>133</v>
      </c>
      <c r="B398" s="189"/>
      <c r="C398" s="196" t="s">
        <v>117</v>
      </c>
      <c r="D398" s="197"/>
    </row>
    <row r="399" spans="1:4" ht="13.5" x14ac:dyDescent="0.25">
      <c r="A399" s="200">
        <v>133</v>
      </c>
      <c r="B399" s="190">
        <f t="shared" ref="B399:B400" si="132">$B$398</f>
        <v>0</v>
      </c>
      <c r="C399" s="196" t="s">
        <v>118</v>
      </c>
      <c r="D399" s="197"/>
    </row>
    <row r="400" spans="1:4" ht="13.5" x14ac:dyDescent="0.25">
      <c r="A400" s="200">
        <v>133</v>
      </c>
      <c r="B400" s="190">
        <f t="shared" si="132"/>
        <v>0</v>
      </c>
      <c r="C400" s="196" t="s">
        <v>119</v>
      </c>
      <c r="D400" s="197"/>
    </row>
    <row r="401" spans="1:4" ht="13.5" x14ac:dyDescent="0.25">
      <c r="A401" s="200">
        <v>134</v>
      </c>
      <c r="B401" s="189"/>
      <c r="C401" s="196" t="s">
        <v>117</v>
      </c>
      <c r="D401" s="197"/>
    </row>
    <row r="402" spans="1:4" ht="13.5" x14ac:dyDescent="0.25">
      <c r="A402" s="200">
        <v>134</v>
      </c>
      <c r="B402" s="190">
        <f t="shared" ref="B402:B403" si="133">$B$401</f>
        <v>0</v>
      </c>
      <c r="C402" s="196" t="s">
        <v>118</v>
      </c>
      <c r="D402" s="197"/>
    </row>
    <row r="403" spans="1:4" ht="13.5" x14ac:dyDescent="0.25">
      <c r="A403" s="200">
        <v>134</v>
      </c>
      <c r="B403" s="190">
        <f t="shared" si="133"/>
        <v>0</v>
      </c>
      <c r="C403" s="196" t="s">
        <v>119</v>
      </c>
      <c r="D403" s="197"/>
    </row>
    <row r="404" spans="1:4" ht="13.5" x14ac:dyDescent="0.25">
      <c r="A404" s="200">
        <v>135</v>
      </c>
      <c r="B404" s="189"/>
      <c r="C404" s="196" t="s">
        <v>117</v>
      </c>
      <c r="D404" s="197"/>
    </row>
    <row r="405" spans="1:4" ht="13.5" x14ac:dyDescent="0.25">
      <c r="A405" s="200">
        <v>135</v>
      </c>
      <c r="B405" s="190">
        <f t="shared" ref="B405:B406" si="134">$B$404</f>
        <v>0</v>
      </c>
      <c r="C405" s="196" t="s">
        <v>118</v>
      </c>
      <c r="D405" s="197"/>
    </row>
    <row r="406" spans="1:4" ht="13.5" x14ac:dyDescent="0.25">
      <c r="A406" s="200">
        <v>135</v>
      </c>
      <c r="B406" s="190">
        <f t="shared" si="134"/>
        <v>0</v>
      </c>
      <c r="C406" s="196" t="s">
        <v>119</v>
      </c>
      <c r="D406" s="197"/>
    </row>
    <row r="407" spans="1:4" ht="13.5" x14ac:dyDescent="0.25">
      <c r="A407" s="200">
        <v>136</v>
      </c>
      <c r="B407" s="189"/>
      <c r="C407" s="196" t="s">
        <v>117</v>
      </c>
      <c r="D407" s="197"/>
    </row>
    <row r="408" spans="1:4" ht="13.5" x14ac:dyDescent="0.25">
      <c r="A408" s="200">
        <v>136</v>
      </c>
      <c r="B408" s="190">
        <f t="shared" ref="B408:B409" si="135">$B$407</f>
        <v>0</v>
      </c>
      <c r="C408" s="196" t="s">
        <v>118</v>
      </c>
      <c r="D408" s="197"/>
    </row>
    <row r="409" spans="1:4" ht="13.5" x14ac:dyDescent="0.25">
      <c r="A409" s="200">
        <v>136</v>
      </c>
      <c r="B409" s="190">
        <f t="shared" si="135"/>
        <v>0</v>
      </c>
      <c r="C409" s="196" t="s">
        <v>119</v>
      </c>
      <c r="D409" s="197"/>
    </row>
    <row r="410" spans="1:4" ht="13.5" x14ac:dyDescent="0.25">
      <c r="A410" s="200">
        <v>137</v>
      </c>
      <c r="B410" s="189"/>
      <c r="C410" s="196" t="s">
        <v>117</v>
      </c>
      <c r="D410" s="197"/>
    </row>
    <row r="411" spans="1:4" ht="13.5" x14ac:dyDescent="0.25">
      <c r="A411" s="200">
        <v>137</v>
      </c>
      <c r="B411" s="190">
        <f t="shared" ref="B411:B412" si="136">$B$410</f>
        <v>0</v>
      </c>
      <c r="C411" s="196" t="s">
        <v>118</v>
      </c>
      <c r="D411" s="197"/>
    </row>
    <row r="412" spans="1:4" ht="13.5" x14ac:dyDescent="0.25">
      <c r="A412" s="200">
        <v>137</v>
      </c>
      <c r="B412" s="190">
        <f t="shared" si="136"/>
        <v>0</v>
      </c>
      <c r="C412" s="196" t="s">
        <v>119</v>
      </c>
      <c r="D412" s="197"/>
    </row>
    <row r="413" spans="1:4" ht="13.5" x14ac:dyDescent="0.25">
      <c r="A413" s="200">
        <v>138</v>
      </c>
      <c r="B413" s="189"/>
      <c r="C413" s="196" t="s">
        <v>117</v>
      </c>
      <c r="D413" s="197"/>
    </row>
    <row r="414" spans="1:4" ht="13.5" x14ac:dyDescent="0.25">
      <c r="A414" s="200">
        <v>138</v>
      </c>
      <c r="B414" s="190">
        <f t="shared" ref="B414:B415" si="137">$B$413</f>
        <v>0</v>
      </c>
      <c r="C414" s="196" t="s">
        <v>118</v>
      </c>
      <c r="D414" s="197"/>
    </row>
    <row r="415" spans="1:4" ht="13.5" x14ac:dyDescent="0.25">
      <c r="A415" s="200">
        <v>138</v>
      </c>
      <c r="B415" s="190">
        <f t="shared" si="137"/>
        <v>0</v>
      </c>
      <c r="C415" s="196" t="s">
        <v>119</v>
      </c>
      <c r="D415" s="197"/>
    </row>
    <row r="416" spans="1:4" ht="13.5" x14ac:dyDescent="0.25">
      <c r="A416" s="200">
        <v>139</v>
      </c>
      <c r="B416" s="189"/>
      <c r="C416" s="196" t="s">
        <v>117</v>
      </c>
      <c r="D416" s="197"/>
    </row>
    <row r="417" spans="1:4" ht="13.5" x14ac:dyDescent="0.25">
      <c r="A417" s="200">
        <v>139</v>
      </c>
      <c r="B417" s="190">
        <f t="shared" ref="B417:B418" si="138">$B$416</f>
        <v>0</v>
      </c>
      <c r="C417" s="196" t="s">
        <v>118</v>
      </c>
      <c r="D417" s="197"/>
    </row>
    <row r="418" spans="1:4" ht="13.5" x14ac:dyDescent="0.25">
      <c r="A418" s="200">
        <v>139</v>
      </c>
      <c r="B418" s="190">
        <f t="shared" si="138"/>
        <v>0</v>
      </c>
      <c r="C418" s="196" t="s">
        <v>119</v>
      </c>
      <c r="D418" s="197"/>
    </row>
    <row r="419" spans="1:4" ht="13.5" x14ac:dyDescent="0.25">
      <c r="A419" s="200">
        <v>140</v>
      </c>
      <c r="B419" s="189"/>
      <c r="C419" s="196" t="s">
        <v>117</v>
      </c>
      <c r="D419" s="197"/>
    </row>
    <row r="420" spans="1:4" ht="13.5" x14ac:dyDescent="0.25">
      <c r="A420" s="200">
        <v>140</v>
      </c>
      <c r="B420" s="190">
        <f t="shared" ref="B420:B421" si="139">$B$419</f>
        <v>0</v>
      </c>
      <c r="C420" s="196" t="s">
        <v>118</v>
      </c>
      <c r="D420" s="197"/>
    </row>
    <row r="421" spans="1:4" ht="13.5" x14ac:dyDescent="0.25">
      <c r="A421" s="200">
        <v>140</v>
      </c>
      <c r="B421" s="190">
        <f t="shared" si="139"/>
        <v>0</v>
      </c>
      <c r="C421" s="196" t="s">
        <v>119</v>
      </c>
      <c r="D421" s="197"/>
    </row>
    <row r="422" spans="1:4" ht="13.5" x14ac:dyDescent="0.25">
      <c r="A422" s="200">
        <v>141</v>
      </c>
      <c r="B422" s="189"/>
      <c r="C422" s="196" t="s">
        <v>117</v>
      </c>
      <c r="D422" s="197"/>
    </row>
    <row r="423" spans="1:4" ht="13.5" x14ac:dyDescent="0.25">
      <c r="A423" s="200">
        <v>141</v>
      </c>
      <c r="B423" s="190">
        <f t="shared" ref="B423:B424" si="140">$B$422</f>
        <v>0</v>
      </c>
      <c r="C423" s="196" t="s">
        <v>118</v>
      </c>
      <c r="D423" s="197"/>
    </row>
    <row r="424" spans="1:4" ht="13.5" x14ac:dyDescent="0.25">
      <c r="A424" s="200">
        <v>141</v>
      </c>
      <c r="B424" s="190">
        <f t="shared" si="140"/>
        <v>0</v>
      </c>
      <c r="C424" s="196" t="s">
        <v>119</v>
      </c>
      <c r="D424" s="197"/>
    </row>
    <row r="425" spans="1:4" ht="13.5" x14ac:dyDescent="0.25">
      <c r="A425" s="200">
        <v>142</v>
      </c>
      <c r="B425" s="189"/>
      <c r="C425" s="196" t="s">
        <v>117</v>
      </c>
      <c r="D425" s="197"/>
    </row>
    <row r="426" spans="1:4" ht="13.5" x14ac:dyDescent="0.25">
      <c r="A426" s="200">
        <v>142</v>
      </c>
      <c r="B426" s="190">
        <f t="shared" ref="B426:B427" si="141">$B$425</f>
        <v>0</v>
      </c>
      <c r="C426" s="196" t="s">
        <v>118</v>
      </c>
      <c r="D426" s="197"/>
    </row>
    <row r="427" spans="1:4" ht="13.5" x14ac:dyDescent="0.25">
      <c r="A427" s="200">
        <v>142</v>
      </c>
      <c r="B427" s="190">
        <f t="shared" si="141"/>
        <v>0</v>
      </c>
      <c r="C427" s="196" t="s">
        <v>119</v>
      </c>
      <c r="D427" s="197"/>
    </row>
    <row r="428" spans="1:4" ht="13.5" x14ac:dyDescent="0.25">
      <c r="A428" s="200">
        <v>143</v>
      </c>
      <c r="B428" s="189"/>
      <c r="C428" s="196" t="s">
        <v>117</v>
      </c>
      <c r="D428" s="197"/>
    </row>
    <row r="429" spans="1:4" ht="13.5" x14ac:dyDescent="0.25">
      <c r="A429" s="200">
        <v>143</v>
      </c>
      <c r="B429" s="190">
        <f t="shared" ref="B429:B430" si="142">$B$428</f>
        <v>0</v>
      </c>
      <c r="C429" s="196" t="s">
        <v>118</v>
      </c>
      <c r="D429" s="197"/>
    </row>
    <row r="430" spans="1:4" ht="13.5" x14ac:dyDescent="0.25">
      <c r="A430" s="200">
        <v>143</v>
      </c>
      <c r="B430" s="190">
        <f t="shared" si="142"/>
        <v>0</v>
      </c>
      <c r="C430" s="196" t="s">
        <v>119</v>
      </c>
      <c r="D430" s="197"/>
    </row>
    <row r="431" spans="1:4" ht="13.5" x14ac:dyDescent="0.25">
      <c r="A431" s="200">
        <v>144</v>
      </c>
      <c r="B431" s="189"/>
      <c r="C431" s="196" t="s">
        <v>117</v>
      </c>
      <c r="D431" s="197"/>
    </row>
    <row r="432" spans="1:4" ht="13.5" x14ac:dyDescent="0.25">
      <c r="A432" s="200">
        <v>144</v>
      </c>
      <c r="B432" s="190">
        <f t="shared" ref="B432:B433" si="143">$B$431</f>
        <v>0</v>
      </c>
      <c r="C432" s="196" t="s">
        <v>118</v>
      </c>
      <c r="D432" s="197"/>
    </row>
    <row r="433" spans="1:4" ht="13.5" x14ac:dyDescent="0.25">
      <c r="A433" s="200">
        <v>144</v>
      </c>
      <c r="B433" s="190">
        <f t="shared" si="143"/>
        <v>0</v>
      </c>
      <c r="C433" s="196" t="s">
        <v>119</v>
      </c>
      <c r="D433" s="197"/>
    </row>
    <row r="434" spans="1:4" ht="13.5" x14ac:dyDescent="0.25">
      <c r="A434" s="200">
        <v>145</v>
      </c>
      <c r="B434" s="189"/>
      <c r="C434" s="196" t="s">
        <v>117</v>
      </c>
      <c r="D434" s="197"/>
    </row>
    <row r="435" spans="1:4" ht="13.5" x14ac:dyDescent="0.25">
      <c r="A435" s="200">
        <v>145</v>
      </c>
      <c r="B435" s="190">
        <f t="shared" ref="B435:B436" si="144">$B$434</f>
        <v>0</v>
      </c>
      <c r="C435" s="196" t="s">
        <v>118</v>
      </c>
      <c r="D435" s="197"/>
    </row>
    <row r="436" spans="1:4" ht="13.5" x14ac:dyDescent="0.25">
      <c r="A436" s="200">
        <v>145</v>
      </c>
      <c r="B436" s="190">
        <f t="shared" si="144"/>
        <v>0</v>
      </c>
      <c r="C436" s="196" t="s">
        <v>119</v>
      </c>
      <c r="D436" s="197"/>
    </row>
    <row r="437" spans="1:4" ht="13.5" x14ac:dyDescent="0.25">
      <c r="A437" s="200">
        <v>146</v>
      </c>
      <c r="B437" s="189"/>
      <c r="C437" s="196" t="s">
        <v>117</v>
      </c>
      <c r="D437" s="197"/>
    </row>
    <row r="438" spans="1:4" ht="13.5" x14ac:dyDescent="0.25">
      <c r="A438" s="200">
        <v>146</v>
      </c>
      <c r="B438" s="190">
        <f t="shared" ref="B438:B439" si="145">$B$437</f>
        <v>0</v>
      </c>
      <c r="C438" s="196" t="s">
        <v>118</v>
      </c>
      <c r="D438" s="197"/>
    </row>
    <row r="439" spans="1:4" ht="13.5" x14ac:dyDescent="0.25">
      <c r="A439" s="200">
        <v>146</v>
      </c>
      <c r="B439" s="190">
        <f t="shared" si="145"/>
        <v>0</v>
      </c>
      <c r="C439" s="196" t="s">
        <v>119</v>
      </c>
      <c r="D439" s="197"/>
    </row>
    <row r="440" spans="1:4" ht="13.5" x14ac:dyDescent="0.25">
      <c r="A440" s="200">
        <v>147</v>
      </c>
      <c r="B440" s="189"/>
      <c r="C440" s="196" t="s">
        <v>117</v>
      </c>
      <c r="D440" s="197"/>
    </row>
    <row r="441" spans="1:4" ht="13.5" x14ac:dyDescent="0.25">
      <c r="A441" s="200">
        <v>147</v>
      </c>
      <c r="B441" s="190">
        <f t="shared" ref="B441:B442" si="146">$B$440</f>
        <v>0</v>
      </c>
      <c r="C441" s="196" t="s">
        <v>118</v>
      </c>
      <c r="D441" s="197"/>
    </row>
    <row r="442" spans="1:4" ht="13.5" x14ac:dyDescent="0.25">
      <c r="A442" s="200">
        <v>147</v>
      </c>
      <c r="B442" s="190">
        <f t="shared" si="146"/>
        <v>0</v>
      </c>
      <c r="C442" s="196" t="s">
        <v>119</v>
      </c>
      <c r="D442" s="197"/>
    </row>
    <row r="443" spans="1:4" ht="13.5" x14ac:dyDescent="0.25">
      <c r="A443" s="200">
        <v>148</v>
      </c>
      <c r="B443" s="189"/>
      <c r="C443" s="196" t="s">
        <v>117</v>
      </c>
      <c r="D443" s="197"/>
    </row>
    <row r="444" spans="1:4" ht="13.5" x14ac:dyDescent="0.25">
      <c r="A444" s="200">
        <v>148</v>
      </c>
      <c r="B444" s="190">
        <f t="shared" ref="B444:B445" si="147">$B$443</f>
        <v>0</v>
      </c>
      <c r="C444" s="196" t="s">
        <v>118</v>
      </c>
      <c r="D444" s="197"/>
    </row>
    <row r="445" spans="1:4" ht="13.5" x14ac:dyDescent="0.25">
      <c r="A445" s="200">
        <v>148</v>
      </c>
      <c r="B445" s="190">
        <f t="shared" si="147"/>
        <v>0</v>
      </c>
      <c r="C445" s="196" t="s">
        <v>119</v>
      </c>
      <c r="D445" s="197"/>
    </row>
    <row r="446" spans="1:4" ht="13.5" x14ac:dyDescent="0.25">
      <c r="A446" s="200">
        <v>149</v>
      </c>
      <c r="B446" s="189"/>
      <c r="C446" s="196" t="s">
        <v>117</v>
      </c>
      <c r="D446" s="197"/>
    </row>
    <row r="447" spans="1:4" ht="13.5" x14ac:dyDescent="0.25">
      <c r="A447" s="200">
        <v>149</v>
      </c>
      <c r="B447" s="190">
        <f t="shared" ref="B447:B448" si="148">$B$446</f>
        <v>0</v>
      </c>
      <c r="C447" s="196" t="s">
        <v>118</v>
      </c>
      <c r="D447" s="197"/>
    </row>
    <row r="448" spans="1:4" ht="13.5" x14ac:dyDescent="0.25">
      <c r="A448" s="200">
        <v>149</v>
      </c>
      <c r="B448" s="190">
        <f t="shared" si="148"/>
        <v>0</v>
      </c>
      <c r="C448" s="196" t="s">
        <v>119</v>
      </c>
      <c r="D448" s="197"/>
    </row>
    <row r="449" spans="1:4" ht="13.5" x14ac:dyDescent="0.25">
      <c r="A449" s="200">
        <v>150</v>
      </c>
      <c r="B449" s="189"/>
      <c r="C449" s="196" t="s">
        <v>117</v>
      </c>
      <c r="D449" s="197"/>
    </row>
    <row r="450" spans="1:4" ht="13.5" x14ac:dyDescent="0.25">
      <c r="A450" s="200">
        <v>150</v>
      </c>
      <c r="B450" s="190">
        <f t="shared" ref="B450:B451" si="149">$B$449</f>
        <v>0</v>
      </c>
      <c r="C450" s="196" t="s">
        <v>118</v>
      </c>
      <c r="D450" s="197"/>
    </row>
    <row r="451" spans="1:4" ht="13.5" x14ac:dyDescent="0.25">
      <c r="A451" s="200">
        <v>150</v>
      </c>
      <c r="B451" s="190">
        <f t="shared" si="149"/>
        <v>0</v>
      </c>
      <c r="C451" s="196" t="s">
        <v>119</v>
      </c>
      <c r="D451" s="197"/>
    </row>
    <row r="452" spans="1:4" ht="13.5" x14ac:dyDescent="0.25">
      <c r="A452" s="200">
        <v>151</v>
      </c>
      <c r="B452" s="189"/>
      <c r="C452" s="196" t="s">
        <v>117</v>
      </c>
      <c r="D452" s="197"/>
    </row>
    <row r="453" spans="1:4" ht="13.5" x14ac:dyDescent="0.25">
      <c r="A453" s="200">
        <v>151</v>
      </c>
      <c r="B453" s="190">
        <f t="shared" ref="B453:B454" si="150">$B$452</f>
        <v>0</v>
      </c>
      <c r="C453" s="196" t="s">
        <v>118</v>
      </c>
      <c r="D453" s="197"/>
    </row>
    <row r="454" spans="1:4" ht="13.5" x14ac:dyDescent="0.25">
      <c r="A454" s="200">
        <v>151</v>
      </c>
      <c r="B454" s="190">
        <f t="shared" si="150"/>
        <v>0</v>
      </c>
      <c r="C454" s="196" t="s">
        <v>119</v>
      </c>
      <c r="D454" s="197"/>
    </row>
    <row r="455" spans="1:4" ht="13.5" x14ac:dyDescent="0.25">
      <c r="A455" s="200">
        <v>152</v>
      </c>
      <c r="B455" s="189"/>
      <c r="C455" s="196" t="s">
        <v>117</v>
      </c>
      <c r="D455" s="197"/>
    </row>
    <row r="456" spans="1:4" ht="13.5" x14ac:dyDescent="0.25">
      <c r="A456" s="200">
        <v>152</v>
      </c>
      <c r="B456" s="190">
        <f t="shared" ref="B456:B457" si="151">$B$455</f>
        <v>0</v>
      </c>
      <c r="C456" s="196" t="s">
        <v>118</v>
      </c>
      <c r="D456" s="197"/>
    </row>
    <row r="457" spans="1:4" ht="13.5" x14ac:dyDescent="0.25">
      <c r="A457" s="200">
        <v>152</v>
      </c>
      <c r="B457" s="190">
        <f t="shared" si="151"/>
        <v>0</v>
      </c>
      <c r="C457" s="196" t="s">
        <v>119</v>
      </c>
      <c r="D457" s="197"/>
    </row>
    <row r="458" spans="1:4" ht="13.5" x14ac:dyDescent="0.25">
      <c r="A458" s="200">
        <v>153</v>
      </c>
      <c r="B458" s="189"/>
      <c r="C458" s="196" t="s">
        <v>117</v>
      </c>
      <c r="D458" s="197"/>
    </row>
    <row r="459" spans="1:4" ht="13.5" x14ac:dyDescent="0.25">
      <c r="A459" s="200">
        <v>153</v>
      </c>
      <c r="B459" s="190">
        <f t="shared" ref="B459:B460" si="152">$B$458</f>
        <v>0</v>
      </c>
      <c r="C459" s="196" t="s">
        <v>118</v>
      </c>
      <c r="D459" s="197"/>
    </row>
    <row r="460" spans="1:4" ht="13.5" x14ac:dyDescent="0.25">
      <c r="A460" s="200">
        <v>153</v>
      </c>
      <c r="B460" s="190">
        <f t="shared" si="152"/>
        <v>0</v>
      </c>
      <c r="C460" s="196" t="s">
        <v>119</v>
      </c>
      <c r="D460" s="197"/>
    </row>
    <row r="461" spans="1:4" ht="13.5" x14ac:dyDescent="0.25">
      <c r="A461" s="200">
        <v>154</v>
      </c>
      <c r="B461" s="189"/>
      <c r="C461" s="196" t="s">
        <v>117</v>
      </c>
      <c r="D461" s="197"/>
    </row>
    <row r="462" spans="1:4" ht="13.5" x14ac:dyDescent="0.25">
      <c r="A462" s="200">
        <v>154</v>
      </c>
      <c r="B462" s="190">
        <f t="shared" ref="B462:B463" si="153">$B$461</f>
        <v>0</v>
      </c>
      <c r="C462" s="196" t="s">
        <v>118</v>
      </c>
      <c r="D462" s="197"/>
    </row>
    <row r="463" spans="1:4" ht="13.5" x14ac:dyDescent="0.25">
      <c r="A463" s="200">
        <v>154</v>
      </c>
      <c r="B463" s="190">
        <f t="shared" si="153"/>
        <v>0</v>
      </c>
      <c r="C463" s="196" t="s">
        <v>119</v>
      </c>
      <c r="D463" s="197"/>
    </row>
    <row r="464" spans="1:4" ht="13.5" x14ac:dyDescent="0.25">
      <c r="A464" s="200">
        <v>155</v>
      </c>
      <c r="B464" s="189"/>
      <c r="C464" s="196" t="s">
        <v>117</v>
      </c>
      <c r="D464" s="197"/>
    </row>
    <row r="465" spans="1:4" ht="13.5" x14ac:dyDescent="0.25">
      <c r="A465" s="200">
        <v>155</v>
      </c>
      <c r="B465" s="190">
        <f t="shared" ref="B465:B466" si="154">$B$464</f>
        <v>0</v>
      </c>
      <c r="C465" s="196" t="s">
        <v>118</v>
      </c>
      <c r="D465" s="197"/>
    </row>
    <row r="466" spans="1:4" ht="13.5" x14ac:dyDescent="0.25">
      <c r="A466" s="200">
        <v>155</v>
      </c>
      <c r="B466" s="190">
        <f t="shared" si="154"/>
        <v>0</v>
      </c>
      <c r="C466" s="196" t="s">
        <v>119</v>
      </c>
      <c r="D466" s="197"/>
    </row>
    <row r="467" spans="1:4" ht="13.5" x14ac:dyDescent="0.25">
      <c r="A467" s="200">
        <v>156</v>
      </c>
      <c r="B467" s="189"/>
      <c r="C467" s="196" t="s">
        <v>117</v>
      </c>
      <c r="D467" s="197"/>
    </row>
    <row r="468" spans="1:4" ht="13.5" x14ac:dyDescent="0.25">
      <c r="A468" s="200">
        <v>156</v>
      </c>
      <c r="B468" s="190">
        <f t="shared" ref="B468:B469" si="155">$B$467</f>
        <v>0</v>
      </c>
      <c r="C468" s="196" t="s">
        <v>118</v>
      </c>
      <c r="D468" s="197"/>
    </row>
    <row r="469" spans="1:4" ht="13.5" x14ac:dyDescent="0.25">
      <c r="A469" s="200">
        <v>156</v>
      </c>
      <c r="B469" s="190">
        <f t="shared" si="155"/>
        <v>0</v>
      </c>
      <c r="C469" s="196" t="s">
        <v>119</v>
      </c>
      <c r="D469" s="197"/>
    </row>
    <row r="470" spans="1:4" ht="13.5" x14ac:dyDescent="0.25">
      <c r="A470" s="200">
        <v>157</v>
      </c>
      <c r="B470" s="189"/>
      <c r="C470" s="196" t="s">
        <v>117</v>
      </c>
      <c r="D470" s="197"/>
    </row>
    <row r="471" spans="1:4" ht="13.5" x14ac:dyDescent="0.25">
      <c r="A471" s="200">
        <v>157</v>
      </c>
      <c r="B471" s="190">
        <f t="shared" ref="B471:B472" si="156">$B$470</f>
        <v>0</v>
      </c>
      <c r="C471" s="196" t="s">
        <v>118</v>
      </c>
      <c r="D471" s="197"/>
    </row>
    <row r="472" spans="1:4" ht="13.5" x14ac:dyDescent="0.25">
      <c r="A472" s="200">
        <v>157</v>
      </c>
      <c r="B472" s="190">
        <f t="shared" si="156"/>
        <v>0</v>
      </c>
      <c r="C472" s="196" t="s">
        <v>119</v>
      </c>
      <c r="D472" s="197"/>
    </row>
    <row r="473" spans="1:4" ht="13.5" x14ac:dyDescent="0.25">
      <c r="A473" s="200">
        <v>158</v>
      </c>
      <c r="B473" s="189"/>
      <c r="C473" s="196" t="s">
        <v>117</v>
      </c>
      <c r="D473" s="197"/>
    </row>
    <row r="474" spans="1:4" ht="13.5" x14ac:dyDescent="0.25">
      <c r="A474" s="200">
        <v>158</v>
      </c>
      <c r="B474" s="190">
        <f t="shared" ref="B474:B475" si="157">$B$473</f>
        <v>0</v>
      </c>
      <c r="C474" s="196" t="s">
        <v>118</v>
      </c>
      <c r="D474" s="197"/>
    </row>
    <row r="475" spans="1:4" ht="13.5" x14ac:dyDescent="0.25">
      <c r="A475" s="200">
        <v>158</v>
      </c>
      <c r="B475" s="190">
        <f t="shared" si="157"/>
        <v>0</v>
      </c>
      <c r="C475" s="196" t="s">
        <v>119</v>
      </c>
      <c r="D475" s="197"/>
    </row>
    <row r="476" spans="1:4" ht="13.5" x14ac:dyDescent="0.25">
      <c r="A476" s="200">
        <v>159</v>
      </c>
      <c r="B476" s="189"/>
      <c r="C476" s="196" t="s">
        <v>117</v>
      </c>
      <c r="D476" s="197"/>
    </row>
    <row r="477" spans="1:4" ht="13.5" x14ac:dyDescent="0.25">
      <c r="A477" s="200">
        <v>159</v>
      </c>
      <c r="B477" s="190">
        <f t="shared" ref="B477:B478" si="158">$B$476</f>
        <v>0</v>
      </c>
      <c r="C477" s="196" t="s">
        <v>118</v>
      </c>
      <c r="D477" s="197"/>
    </row>
    <row r="478" spans="1:4" ht="13.5" x14ac:dyDescent="0.25">
      <c r="A478" s="200">
        <v>159</v>
      </c>
      <c r="B478" s="190">
        <f t="shared" si="158"/>
        <v>0</v>
      </c>
      <c r="C478" s="196" t="s">
        <v>119</v>
      </c>
      <c r="D478" s="197"/>
    </row>
    <row r="479" spans="1:4" ht="13.5" x14ac:dyDescent="0.25">
      <c r="A479" s="200">
        <v>160</v>
      </c>
      <c r="B479" s="189"/>
      <c r="C479" s="196" t="s">
        <v>117</v>
      </c>
      <c r="D479" s="197"/>
    </row>
    <row r="480" spans="1:4" ht="13.5" x14ac:dyDescent="0.25">
      <c r="A480" s="200">
        <v>160</v>
      </c>
      <c r="B480" s="190">
        <f t="shared" ref="B480:B481" si="159">$B$479</f>
        <v>0</v>
      </c>
      <c r="C480" s="196" t="s">
        <v>118</v>
      </c>
      <c r="D480" s="197"/>
    </row>
    <row r="481" spans="1:4" ht="13.5" x14ac:dyDescent="0.25">
      <c r="A481" s="200">
        <v>160</v>
      </c>
      <c r="B481" s="190">
        <f t="shared" si="159"/>
        <v>0</v>
      </c>
      <c r="C481" s="196" t="s">
        <v>119</v>
      </c>
      <c r="D481" s="197"/>
    </row>
    <row r="482" spans="1:4" ht="13.5" x14ac:dyDescent="0.25">
      <c r="A482" s="200">
        <v>161</v>
      </c>
      <c r="B482" s="189"/>
      <c r="C482" s="196" t="s">
        <v>117</v>
      </c>
      <c r="D482" s="197"/>
    </row>
    <row r="483" spans="1:4" ht="13.5" x14ac:dyDescent="0.25">
      <c r="A483" s="200">
        <v>161</v>
      </c>
      <c r="B483" s="190">
        <f t="shared" ref="B483:B484" si="160">$B$482</f>
        <v>0</v>
      </c>
      <c r="C483" s="196" t="s">
        <v>118</v>
      </c>
      <c r="D483" s="197"/>
    </row>
    <row r="484" spans="1:4" ht="13.5" x14ac:dyDescent="0.25">
      <c r="A484" s="200">
        <v>161</v>
      </c>
      <c r="B484" s="190">
        <f t="shared" si="160"/>
        <v>0</v>
      </c>
      <c r="C484" s="196" t="s">
        <v>119</v>
      </c>
      <c r="D484" s="197"/>
    </row>
    <row r="485" spans="1:4" ht="13.5" x14ac:dyDescent="0.25">
      <c r="A485" s="200">
        <v>162</v>
      </c>
      <c r="B485" s="189"/>
      <c r="C485" s="196" t="s">
        <v>117</v>
      </c>
      <c r="D485" s="197"/>
    </row>
    <row r="486" spans="1:4" ht="13.5" x14ac:dyDescent="0.25">
      <c r="A486" s="200">
        <v>162</v>
      </c>
      <c r="B486" s="190">
        <f t="shared" ref="B486:B487" si="161">$B$485</f>
        <v>0</v>
      </c>
      <c r="C486" s="196" t="s">
        <v>118</v>
      </c>
      <c r="D486" s="197"/>
    </row>
    <row r="487" spans="1:4" ht="13.5" x14ac:dyDescent="0.25">
      <c r="A487" s="200">
        <v>162</v>
      </c>
      <c r="B487" s="190">
        <f t="shared" si="161"/>
        <v>0</v>
      </c>
      <c r="C487" s="196" t="s">
        <v>119</v>
      </c>
      <c r="D487" s="197"/>
    </row>
    <row r="488" spans="1:4" ht="13.5" x14ac:dyDescent="0.25">
      <c r="A488" s="200">
        <v>163</v>
      </c>
      <c r="B488" s="189"/>
      <c r="C488" s="196" t="s">
        <v>117</v>
      </c>
      <c r="D488" s="197"/>
    </row>
    <row r="489" spans="1:4" ht="13.5" x14ac:dyDescent="0.25">
      <c r="A489" s="200">
        <v>163</v>
      </c>
      <c r="B489" s="190">
        <f t="shared" ref="B489:B490" si="162">$B$488</f>
        <v>0</v>
      </c>
      <c r="C489" s="196" t="s">
        <v>118</v>
      </c>
      <c r="D489" s="197"/>
    </row>
    <row r="490" spans="1:4" ht="13.5" x14ac:dyDescent="0.25">
      <c r="A490" s="200">
        <v>163</v>
      </c>
      <c r="B490" s="190">
        <f t="shared" si="162"/>
        <v>0</v>
      </c>
      <c r="C490" s="196" t="s">
        <v>119</v>
      </c>
      <c r="D490" s="197"/>
    </row>
    <row r="491" spans="1:4" ht="13.5" x14ac:dyDescent="0.25">
      <c r="A491" s="200">
        <v>164</v>
      </c>
      <c r="B491" s="189"/>
      <c r="C491" s="196" t="s">
        <v>117</v>
      </c>
      <c r="D491" s="197"/>
    </row>
    <row r="492" spans="1:4" ht="13.5" x14ac:dyDescent="0.25">
      <c r="A492" s="200">
        <v>164</v>
      </c>
      <c r="B492" s="190">
        <f t="shared" ref="B492:B493" si="163">$B$491</f>
        <v>0</v>
      </c>
      <c r="C492" s="196" t="s">
        <v>118</v>
      </c>
      <c r="D492" s="197"/>
    </row>
    <row r="493" spans="1:4" ht="13.5" x14ac:dyDescent="0.25">
      <c r="A493" s="200">
        <v>164</v>
      </c>
      <c r="B493" s="190">
        <f t="shared" si="163"/>
        <v>0</v>
      </c>
      <c r="C493" s="196" t="s">
        <v>119</v>
      </c>
      <c r="D493" s="197"/>
    </row>
    <row r="494" spans="1:4" ht="13.5" x14ac:dyDescent="0.25">
      <c r="A494" s="200">
        <v>165</v>
      </c>
      <c r="B494" s="189"/>
      <c r="C494" s="196" t="s">
        <v>117</v>
      </c>
      <c r="D494" s="197"/>
    </row>
    <row r="495" spans="1:4" ht="13.5" x14ac:dyDescent="0.25">
      <c r="A495" s="200">
        <v>165</v>
      </c>
      <c r="B495" s="190">
        <f t="shared" ref="B495:B496" si="164">$B$494</f>
        <v>0</v>
      </c>
      <c r="C495" s="196" t="s">
        <v>118</v>
      </c>
      <c r="D495" s="197"/>
    </row>
    <row r="496" spans="1:4" ht="13.5" x14ac:dyDescent="0.25">
      <c r="A496" s="200">
        <v>165</v>
      </c>
      <c r="B496" s="190">
        <f t="shared" si="164"/>
        <v>0</v>
      </c>
      <c r="C496" s="196" t="s">
        <v>119</v>
      </c>
      <c r="D496" s="197"/>
    </row>
    <row r="497" spans="1:4" ht="13.5" x14ac:dyDescent="0.25">
      <c r="A497" s="200">
        <v>166</v>
      </c>
      <c r="B497" s="189"/>
      <c r="C497" s="196" t="s">
        <v>117</v>
      </c>
      <c r="D497" s="197"/>
    </row>
    <row r="498" spans="1:4" ht="13.5" x14ac:dyDescent="0.25">
      <c r="A498" s="200">
        <v>166</v>
      </c>
      <c r="B498" s="190">
        <f t="shared" ref="B498:B499" si="165">$B$497</f>
        <v>0</v>
      </c>
      <c r="C498" s="196" t="s">
        <v>118</v>
      </c>
      <c r="D498" s="197"/>
    </row>
    <row r="499" spans="1:4" ht="13.5" x14ac:dyDescent="0.25">
      <c r="A499" s="200">
        <v>166</v>
      </c>
      <c r="B499" s="190">
        <f t="shared" si="165"/>
        <v>0</v>
      </c>
      <c r="C499" s="196" t="s">
        <v>119</v>
      </c>
      <c r="D499" s="197"/>
    </row>
    <row r="500" spans="1:4" ht="13.5" x14ac:dyDescent="0.25">
      <c r="A500" s="200">
        <v>167</v>
      </c>
      <c r="B500" s="189"/>
      <c r="C500" s="196" t="s">
        <v>117</v>
      </c>
      <c r="D500" s="197"/>
    </row>
    <row r="501" spans="1:4" ht="13.5" x14ac:dyDescent="0.25">
      <c r="A501" s="200">
        <v>167</v>
      </c>
      <c r="B501" s="190">
        <f t="shared" ref="B501:B502" si="166">$B$500</f>
        <v>0</v>
      </c>
      <c r="C501" s="196" t="s">
        <v>118</v>
      </c>
      <c r="D501" s="197"/>
    </row>
    <row r="502" spans="1:4" ht="13.5" x14ac:dyDescent="0.25">
      <c r="A502" s="200">
        <v>167</v>
      </c>
      <c r="B502" s="190">
        <f t="shared" si="166"/>
        <v>0</v>
      </c>
      <c r="C502" s="196" t="s">
        <v>119</v>
      </c>
      <c r="D502" s="197"/>
    </row>
    <row r="503" spans="1:4" ht="13.5" x14ac:dyDescent="0.25">
      <c r="A503" s="200">
        <v>168</v>
      </c>
      <c r="B503" s="189"/>
      <c r="C503" s="196" t="s">
        <v>117</v>
      </c>
      <c r="D503" s="197"/>
    </row>
    <row r="504" spans="1:4" ht="13.5" x14ac:dyDescent="0.25">
      <c r="A504" s="200">
        <v>168</v>
      </c>
      <c r="B504" s="190">
        <f t="shared" ref="B504:B505" si="167">$B$503</f>
        <v>0</v>
      </c>
      <c r="C504" s="196" t="s">
        <v>118</v>
      </c>
      <c r="D504" s="197"/>
    </row>
    <row r="505" spans="1:4" ht="13.5" x14ac:dyDescent="0.25">
      <c r="A505" s="200">
        <v>168</v>
      </c>
      <c r="B505" s="190">
        <f t="shared" si="167"/>
        <v>0</v>
      </c>
      <c r="C505" s="196" t="s">
        <v>119</v>
      </c>
      <c r="D505" s="197"/>
    </row>
    <row r="506" spans="1:4" ht="13.5" x14ac:dyDescent="0.25">
      <c r="A506" s="200">
        <v>169</v>
      </c>
      <c r="B506" s="189"/>
      <c r="C506" s="196" t="s">
        <v>117</v>
      </c>
      <c r="D506" s="197"/>
    </row>
    <row r="507" spans="1:4" ht="13.5" x14ac:dyDescent="0.25">
      <c r="A507" s="200">
        <v>169</v>
      </c>
      <c r="B507" s="190">
        <f t="shared" ref="B507:B508" si="168">$B$506</f>
        <v>0</v>
      </c>
      <c r="C507" s="196" t="s">
        <v>118</v>
      </c>
      <c r="D507" s="197"/>
    </row>
    <row r="508" spans="1:4" ht="13.5" x14ac:dyDescent="0.25">
      <c r="A508" s="200">
        <v>169</v>
      </c>
      <c r="B508" s="190">
        <f t="shared" si="168"/>
        <v>0</v>
      </c>
      <c r="C508" s="196" t="s">
        <v>119</v>
      </c>
      <c r="D508" s="197"/>
    </row>
    <row r="509" spans="1:4" ht="13.5" x14ac:dyDescent="0.25">
      <c r="A509" s="200">
        <v>170</v>
      </c>
      <c r="B509" s="189"/>
      <c r="C509" s="196" t="s">
        <v>117</v>
      </c>
      <c r="D509" s="197"/>
    </row>
    <row r="510" spans="1:4" ht="13.5" x14ac:dyDescent="0.25">
      <c r="A510" s="200">
        <v>170</v>
      </c>
      <c r="B510" s="190">
        <f t="shared" ref="B510:B511" si="169">$B$509</f>
        <v>0</v>
      </c>
      <c r="C510" s="196" t="s">
        <v>118</v>
      </c>
      <c r="D510" s="197"/>
    </row>
    <row r="511" spans="1:4" ht="13.5" x14ac:dyDescent="0.25">
      <c r="A511" s="200">
        <v>170</v>
      </c>
      <c r="B511" s="190">
        <f t="shared" si="169"/>
        <v>0</v>
      </c>
      <c r="C511" s="196" t="s">
        <v>119</v>
      </c>
      <c r="D511" s="197"/>
    </row>
    <row r="512" spans="1:4" ht="13.5" x14ac:dyDescent="0.25">
      <c r="A512" s="200">
        <v>171</v>
      </c>
      <c r="B512" s="189"/>
      <c r="C512" s="196" t="s">
        <v>117</v>
      </c>
      <c r="D512" s="197"/>
    </row>
    <row r="513" spans="1:4" ht="13.5" x14ac:dyDescent="0.25">
      <c r="A513" s="200">
        <v>171</v>
      </c>
      <c r="B513" s="190">
        <f t="shared" ref="B513:B514" si="170">$B$512</f>
        <v>0</v>
      </c>
      <c r="C513" s="196" t="s">
        <v>118</v>
      </c>
      <c r="D513" s="197"/>
    </row>
    <row r="514" spans="1:4" ht="13.5" x14ac:dyDescent="0.25">
      <c r="A514" s="200">
        <v>171</v>
      </c>
      <c r="B514" s="190">
        <f t="shared" si="170"/>
        <v>0</v>
      </c>
      <c r="C514" s="196" t="s">
        <v>119</v>
      </c>
      <c r="D514" s="197"/>
    </row>
    <row r="515" spans="1:4" ht="13.5" x14ac:dyDescent="0.25">
      <c r="A515" s="200">
        <v>172</v>
      </c>
      <c r="B515" s="189"/>
      <c r="C515" s="196" t="s">
        <v>117</v>
      </c>
      <c r="D515" s="197"/>
    </row>
    <row r="516" spans="1:4" ht="13.5" x14ac:dyDescent="0.25">
      <c r="A516" s="200">
        <v>172</v>
      </c>
      <c r="B516" s="190">
        <f t="shared" ref="B516:B517" si="171">$B$515</f>
        <v>0</v>
      </c>
      <c r="C516" s="196" t="s">
        <v>118</v>
      </c>
      <c r="D516" s="197"/>
    </row>
    <row r="517" spans="1:4" ht="13.5" x14ac:dyDescent="0.25">
      <c r="A517" s="200">
        <v>172</v>
      </c>
      <c r="B517" s="190">
        <f t="shared" si="171"/>
        <v>0</v>
      </c>
      <c r="C517" s="196" t="s">
        <v>119</v>
      </c>
      <c r="D517" s="197"/>
    </row>
    <row r="518" spans="1:4" ht="13.5" x14ac:dyDescent="0.25">
      <c r="A518" s="200">
        <v>173</v>
      </c>
      <c r="B518" s="189"/>
      <c r="C518" s="196" t="s">
        <v>117</v>
      </c>
      <c r="D518" s="197"/>
    </row>
    <row r="519" spans="1:4" ht="13.5" x14ac:dyDescent="0.25">
      <c r="A519" s="200">
        <v>173</v>
      </c>
      <c r="B519" s="190">
        <f t="shared" ref="B519:B520" si="172">$B$518</f>
        <v>0</v>
      </c>
      <c r="C519" s="196" t="s">
        <v>118</v>
      </c>
      <c r="D519" s="197"/>
    </row>
    <row r="520" spans="1:4" ht="13.5" x14ac:dyDescent="0.25">
      <c r="A520" s="200">
        <v>173</v>
      </c>
      <c r="B520" s="190">
        <f t="shared" si="172"/>
        <v>0</v>
      </c>
      <c r="C520" s="196" t="s">
        <v>119</v>
      </c>
      <c r="D520" s="197"/>
    </row>
    <row r="521" spans="1:4" ht="13.5" x14ac:dyDescent="0.25">
      <c r="A521" s="200">
        <v>174</v>
      </c>
      <c r="B521" s="189"/>
      <c r="C521" s="196" t="s">
        <v>117</v>
      </c>
      <c r="D521" s="197"/>
    </row>
    <row r="522" spans="1:4" ht="13.5" x14ac:dyDescent="0.25">
      <c r="A522" s="200">
        <v>174</v>
      </c>
      <c r="B522" s="190">
        <f t="shared" ref="B522:B523" si="173">$B$521</f>
        <v>0</v>
      </c>
      <c r="C522" s="196" t="s">
        <v>118</v>
      </c>
      <c r="D522" s="197"/>
    </row>
    <row r="523" spans="1:4" ht="13.5" x14ac:dyDescent="0.25">
      <c r="A523" s="200">
        <v>174</v>
      </c>
      <c r="B523" s="190">
        <f t="shared" si="173"/>
        <v>0</v>
      </c>
      <c r="C523" s="196" t="s">
        <v>119</v>
      </c>
      <c r="D523" s="197"/>
    </row>
    <row r="524" spans="1:4" ht="13.5" x14ac:dyDescent="0.25">
      <c r="A524" s="200">
        <v>175</v>
      </c>
      <c r="B524" s="189"/>
      <c r="C524" s="196" t="s">
        <v>117</v>
      </c>
      <c r="D524" s="197"/>
    </row>
    <row r="525" spans="1:4" ht="13.5" x14ac:dyDescent="0.25">
      <c r="A525" s="200">
        <v>175</v>
      </c>
      <c r="B525" s="190">
        <f t="shared" ref="B525:B526" si="174">$B$524</f>
        <v>0</v>
      </c>
      <c r="C525" s="196" t="s">
        <v>118</v>
      </c>
      <c r="D525" s="197"/>
    </row>
    <row r="526" spans="1:4" ht="13.5" x14ac:dyDescent="0.25">
      <c r="A526" s="200">
        <v>175</v>
      </c>
      <c r="B526" s="190">
        <f t="shared" si="174"/>
        <v>0</v>
      </c>
      <c r="C526" s="196" t="s">
        <v>119</v>
      </c>
      <c r="D526" s="197"/>
    </row>
    <row r="527" spans="1:4" ht="13.5" x14ac:dyDescent="0.25">
      <c r="A527" s="200">
        <v>176</v>
      </c>
      <c r="B527" s="189"/>
      <c r="C527" s="196" t="s">
        <v>117</v>
      </c>
      <c r="D527" s="197"/>
    </row>
    <row r="528" spans="1:4" ht="13.5" x14ac:dyDescent="0.25">
      <c r="A528" s="200">
        <v>176</v>
      </c>
      <c r="B528" s="190">
        <f t="shared" ref="B528:B529" si="175">$B$527</f>
        <v>0</v>
      </c>
      <c r="C528" s="196" t="s">
        <v>118</v>
      </c>
      <c r="D528" s="197"/>
    </row>
    <row r="529" spans="1:4" ht="13.5" x14ac:dyDescent="0.25">
      <c r="A529" s="200">
        <v>176</v>
      </c>
      <c r="B529" s="190">
        <f t="shared" si="175"/>
        <v>0</v>
      </c>
      <c r="C529" s="196" t="s">
        <v>119</v>
      </c>
      <c r="D529" s="197"/>
    </row>
    <row r="530" spans="1:4" ht="13.5" x14ac:dyDescent="0.25">
      <c r="A530" s="200">
        <v>177</v>
      </c>
      <c r="B530" s="189"/>
      <c r="C530" s="196" t="s">
        <v>117</v>
      </c>
      <c r="D530" s="197"/>
    </row>
    <row r="531" spans="1:4" ht="13.5" x14ac:dyDescent="0.25">
      <c r="A531" s="200">
        <v>177</v>
      </c>
      <c r="B531" s="190">
        <f t="shared" ref="B531:B532" si="176">$B$530</f>
        <v>0</v>
      </c>
      <c r="C531" s="196" t="s">
        <v>118</v>
      </c>
      <c r="D531" s="197"/>
    </row>
    <row r="532" spans="1:4" ht="13.5" x14ac:dyDescent="0.25">
      <c r="A532" s="200">
        <v>177</v>
      </c>
      <c r="B532" s="190">
        <f t="shared" si="176"/>
        <v>0</v>
      </c>
      <c r="C532" s="196" t="s">
        <v>119</v>
      </c>
      <c r="D532" s="197"/>
    </row>
    <row r="533" spans="1:4" ht="13.5" x14ac:dyDescent="0.25">
      <c r="A533" s="200">
        <v>178</v>
      </c>
      <c r="B533" s="189"/>
      <c r="C533" s="196" t="s">
        <v>117</v>
      </c>
      <c r="D533" s="197"/>
    </row>
    <row r="534" spans="1:4" ht="13.5" x14ac:dyDescent="0.25">
      <c r="A534" s="200">
        <v>178</v>
      </c>
      <c r="B534" s="190">
        <f t="shared" ref="B534:B535" si="177">$B$533</f>
        <v>0</v>
      </c>
      <c r="C534" s="196" t="s">
        <v>118</v>
      </c>
      <c r="D534" s="197"/>
    </row>
    <row r="535" spans="1:4" ht="13.5" x14ac:dyDescent="0.25">
      <c r="A535" s="200">
        <v>178</v>
      </c>
      <c r="B535" s="190">
        <f t="shared" si="177"/>
        <v>0</v>
      </c>
      <c r="C535" s="196" t="s">
        <v>119</v>
      </c>
      <c r="D535" s="197"/>
    </row>
    <row r="536" spans="1:4" ht="13.5" x14ac:dyDescent="0.25">
      <c r="A536" s="200">
        <v>179</v>
      </c>
      <c r="B536" s="189"/>
      <c r="C536" s="196" t="s">
        <v>117</v>
      </c>
      <c r="D536" s="197"/>
    </row>
    <row r="537" spans="1:4" ht="13.5" x14ac:dyDescent="0.25">
      <c r="A537" s="200">
        <v>179</v>
      </c>
      <c r="B537" s="190">
        <f t="shared" ref="B537:B538" si="178">$B$536</f>
        <v>0</v>
      </c>
      <c r="C537" s="196" t="s">
        <v>118</v>
      </c>
      <c r="D537" s="197"/>
    </row>
    <row r="538" spans="1:4" ht="13.5" x14ac:dyDescent="0.25">
      <c r="A538" s="200">
        <v>179</v>
      </c>
      <c r="B538" s="190">
        <f t="shared" si="178"/>
        <v>0</v>
      </c>
      <c r="C538" s="196" t="s">
        <v>119</v>
      </c>
      <c r="D538" s="197"/>
    </row>
    <row r="539" spans="1:4" ht="13.5" x14ac:dyDescent="0.25">
      <c r="A539" s="200">
        <v>180</v>
      </c>
      <c r="B539" s="189"/>
      <c r="C539" s="196" t="s">
        <v>117</v>
      </c>
      <c r="D539" s="197"/>
    </row>
    <row r="540" spans="1:4" ht="13.5" x14ac:dyDescent="0.25">
      <c r="A540" s="200">
        <v>180</v>
      </c>
      <c r="B540" s="190">
        <f t="shared" ref="B540:B541" si="179">$B$539</f>
        <v>0</v>
      </c>
      <c r="C540" s="196" t="s">
        <v>118</v>
      </c>
      <c r="D540" s="197"/>
    </row>
    <row r="541" spans="1:4" ht="13.5" x14ac:dyDescent="0.25">
      <c r="A541" s="200">
        <v>180</v>
      </c>
      <c r="B541" s="190">
        <f t="shared" si="179"/>
        <v>0</v>
      </c>
      <c r="C541" s="196" t="s">
        <v>119</v>
      </c>
      <c r="D541" s="197"/>
    </row>
    <row r="542" spans="1:4" ht="13.5" x14ac:dyDescent="0.25">
      <c r="A542" s="200">
        <v>181</v>
      </c>
      <c r="B542" s="189"/>
      <c r="C542" s="196" t="s">
        <v>117</v>
      </c>
      <c r="D542" s="197"/>
    </row>
    <row r="543" spans="1:4" ht="13.5" x14ac:dyDescent="0.25">
      <c r="A543" s="200">
        <v>181</v>
      </c>
      <c r="B543" s="190">
        <f t="shared" ref="B543:B544" si="180">$B$542</f>
        <v>0</v>
      </c>
      <c r="C543" s="196" t="s">
        <v>118</v>
      </c>
      <c r="D543" s="197"/>
    </row>
    <row r="544" spans="1:4" ht="13.5" x14ac:dyDescent="0.25">
      <c r="A544" s="200">
        <v>181</v>
      </c>
      <c r="B544" s="190">
        <f t="shared" si="180"/>
        <v>0</v>
      </c>
      <c r="C544" s="196" t="s">
        <v>119</v>
      </c>
      <c r="D544" s="197"/>
    </row>
    <row r="545" spans="1:4" ht="13.5" x14ac:dyDescent="0.25">
      <c r="A545" s="200">
        <v>182</v>
      </c>
      <c r="B545" s="189"/>
      <c r="C545" s="196" t="s">
        <v>117</v>
      </c>
      <c r="D545" s="197"/>
    </row>
    <row r="546" spans="1:4" ht="13.5" x14ac:dyDescent="0.25">
      <c r="A546" s="200">
        <v>182</v>
      </c>
      <c r="B546" s="190">
        <f t="shared" ref="B546:B547" si="181">$B$545</f>
        <v>0</v>
      </c>
      <c r="C546" s="196" t="s">
        <v>118</v>
      </c>
      <c r="D546" s="197"/>
    </row>
    <row r="547" spans="1:4" ht="13.5" x14ac:dyDescent="0.25">
      <c r="A547" s="200">
        <v>182</v>
      </c>
      <c r="B547" s="190">
        <f t="shared" si="181"/>
        <v>0</v>
      </c>
      <c r="C547" s="196" t="s">
        <v>119</v>
      </c>
      <c r="D547" s="197"/>
    </row>
    <row r="548" spans="1:4" ht="13.5" x14ac:dyDescent="0.25">
      <c r="A548" s="200">
        <v>183</v>
      </c>
      <c r="B548" s="189"/>
      <c r="C548" s="196" t="s">
        <v>117</v>
      </c>
      <c r="D548" s="197"/>
    </row>
    <row r="549" spans="1:4" ht="13.5" x14ac:dyDescent="0.25">
      <c r="A549" s="200">
        <v>183</v>
      </c>
      <c r="B549" s="190">
        <f t="shared" ref="B549:B550" si="182">$B$548</f>
        <v>0</v>
      </c>
      <c r="C549" s="196" t="s">
        <v>118</v>
      </c>
      <c r="D549" s="197"/>
    </row>
    <row r="550" spans="1:4" ht="13.5" x14ac:dyDescent="0.25">
      <c r="A550" s="200">
        <v>183</v>
      </c>
      <c r="B550" s="190">
        <f t="shared" si="182"/>
        <v>0</v>
      </c>
      <c r="C550" s="196" t="s">
        <v>119</v>
      </c>
      <c r="D550" s="197"/>
    </row>
    <row r="551" spans="1:4" ht="13.5" x14ac:dyDescent="0.25">
      <c r="A551" s="200">
        <v>184</v>
      </c>
      <c r="B551" s="189"/>
      <c r="C551" s="196" t="s">
        <v>117</v>
      </c>
      <c r="D551" s="197"/>
    </row>
    <row r="552" spans="1:4" ht="13.5" x14ac:dyDescent="0.25">
      <c r="A552" s="200">
        <v>184</v>
      </c>
      <c r="B552" s="190">
        <f t="shared" ref="B552:B553" si="183">$B$551</f>
        <v>0</v>
      </c>
      <c r="C552" s="196" t="s">
        <v>118</v>
      </c>
      <c r="D552" s="197"/>
    </row>
    <row r="553" spans="1:4" ht="13.5" x14ac:dyDescent="0.25">
      <c r="A553" s="200">
        <v>184</v>
      </c>
      <c r="B553" s="190">
        <f t="shared" si="183"/>
        <v>0</v>
      </c>
      <c r="C553" s="196" t="s">
        <v>119</v>
      </c>
      <c r="D553" s="197"/>
    </row>
    <row r="554" spans="1:4" ht="13.5" x14ac:dyDescent="0.25">
      <c r="A554" s="200">
        <v>185</v>
      </c>
      <c r="B554" s="189"/>
      <c r="C554" s="196" t="s">
        <v>117</v>
      </c>
      <c r="D554" s="197"/>
    </row>
    <row r="555" spans="1:4" ht="13.5" x14ac:dyDescent="0.25">
      <c r="A555" s="200">
        <v>185</v>
      </c>
      <c r="B555" s="190">
        <f t="shared" ref="B555:B556" si="184">$B$554</f>
        <v>0</v>
      </c>
      <c r="C555" s="196" t="s">
        <v>118</v>
      </c>
      <c r="D555" s="197"/>
    </row>
    <row r="556" spans="1:4" ht="13.5" x14ac:dyDescent="0.25">
      <c r="A556" s="200">
        <v>185</v>
      </c>
      <c r="B556" s="190">
        <f t="shared" si="184"/>
        <v>0</v>
      </c>
      <c r="C556" s="196" t="s">
        <v>119</v>
      </c>
      <c r="D556" s="197"/>
    </row>
    <row r="557" spans="1:4" ht="13.5" x14ac:dyDescent="0.25">
      <c r="A557" s="200">
        <v>186</v>
      </c>
      <c r="B557" s="189"/>
      <c r="C557" s="196" t="s">
        <v>117</v>
      </c>
      <c r="D557" s="197"/>
    </row>
    <row r="558" spans="1:4" ht="13.5" x14ac:dyDescent="0.25">
      <c r="A558" s="200">
        <v>186</v>
      </c>
      <c r="B558" s="190">
        <f t="shared" ref="B558:B559" si="185">$B$557</f>
        <v>0</v>
      </c>
      <c r="C558" s="196" t="s">
        <v>118</v>
      </c>
      <c r="D558" s="197"/>
    </row>
    <row r="559" spans="1:4" ht="13.5" x14ac:dyDescent="0.25">
      <c r="A559" s="200">
        <v>186</v>
      </c>
      <c r="B559" s="190">
        <f t="shared" si="185"/>
        <v>0</v>
      </c>
      <c r="C559" s="196" t="s">
        <v>119</v>
      </c>
      <c r="D559" s="197"/>
    </row>
    <row r="560" spans="1:4" ht="13.5" x14ac:dyDescent="0.25">
      <c r="A560" s="200">
        <v>187</v>
      </c>
      <c r="B560" s="189"/>
      <c r="C560" s="196" t="s">
        <v>117</v>
      </c>
      <c r="D560" s="197"/>
    </row>
    <row r="561" spans="1:4" ht="13.5" x14ac:dyDescent="0.25">
      <c r="A561" s="200">
        <v>187</v>
      </c>
      <c r="B561" s="190">
        <f t="shared" ref="B561:B562" si="186">$B$560</f>
        <v>0</v>
      </c>
      <c r="C561" s="196" t="s">
        <v>118</v>
      </c>
      <c r="D561" s="197"/>
    </row>
    <row r="562" spans="1:4" ht="13.5" x14ac:dyDescent="0.25">
      <c r="A562" s="200">
        <v>187</v>
      </c>
      <c r="B562" s="190">
        <f t="shared" si="186"/>
        <v>0</v>
      </c>
      <c r="C562" s="196" t="s">
        <v>119</v>
      </c>
      <c r="D562" s="197"/>
    </row>
    <row r="563" spans="1:4" ht="13.5" x14ac:dyDescent="0.25">
      <c r="A563" s="200">
        <v>188</v>
      </c>
      <c r="B563" s="189"/>
      <c r="C563" s="196" t="s">
        <v>117</v>
      </c>
      <c r="D563" s="197"/>
    </row>
    <row r="564" spans="1:4" ht="13.5" x14ac:dyDescent="0.25">
      <c r="A564" s="200">
        <v>188</v>
      </c>
      <c r="B564" s="190">
        <f t="shared" ref="B564:B565" si="187">$B$563</f>
        <v>0</v>
      </c>
      <c r="C564" s="196" t="s">
        <v>118</v>
      </c>
      <c r="D564" s="197"/>
    </row>
    <row r="565" spans="1:4" ht="13.5" x14ac:dyDescent="0.25">
      <c r="A565" s="200">
        <v>188</v>
      </c>
      <c r="B565" s="190">
        <f t="shared" si="187"/>
        <v>0</v>
      </c>
      <c r="C565" s="196" t="s">
        <v>119</v>
      </c>
      <c r="D565" s="197"/>
    </row>
    <row r="566" spans="1:4" ht="13.5" x14ac:dyDescent="0.25">
      <c r="A566" s="200">
        <v>189</v>
      </c>
      <c r="B566" s="189"/>
      <c r="C566" s="196" t="s">
        <v>117</v>
      </c>
      <c r="D566" s="197"/>
    </row>
    <row r="567" spans="1:4" ht="13.5" x14ac:dyDescent="0.25">
      <c r="A567" s="200">
        <v>189</v>
      </c>
      <c r="B567" s="190">
        <f t="shared" ref="B567:B568" si="188">$B$566</f>
        <v>0</v>
      </c>
      <c r="C567" s="196" t="s">
        <v>118</v>
      </c>
      <c r="D567" s="197"/>
    </row>
    <row r="568" spans="1:4" ht="13.5" x14ac:dyDescent="0.25">
      <c r="A568" s="200">
        <v>189</v>
      </c>
      <c r="B568" s="190">
        <f t="shared" si="188"/>
        <v>0</v>
      </c>
      <c r="C568" s="196" t="s">
        <v>119</v>
      </c>
      <c r="D568" s="197"/>
    </row>
    <row r="569" spans="1:4" ht="13.5" x14ac:dyDescent="0.25">
      <c r="A569" s="200">
        <v>190</v>
      </c>
      <c r="B569" s="189"/>
      <c r="C569" s="196" t="s">
        <v>117</v>
      </c>
      <c r="D569" s="197"/>
    </row>
    <row r="570" spans="1:4" ht="13.5" x14ac:dyDescent="0.25">
      <c r="A570" s="200">
        <v>190</v>
      </c>
      <c r="B570" s="190">
        <f t="shared" ref="B570:B571" si="189">$B$569</f>
        <v>0</v>
      </c>
      <c r="C570" s="196" t="s">
        <v>118</v>
      </c>
      <c r="D570" s="197"/>
    </row>
    <row r="571" spans="1:4" ht="13.5" x14ac:dyDescent="0.25">
      <c r="A571" s="200">
        <v>190</v>
      </c>
      <c r="B571" s="190">
        <f t="shared" si="189"/>
        <v>0</v>
      </c>
      <c r="C571" s="196" t="s">
        <v>119</v>
      </c>
      <c r="D571" s="197"/>
    </row>
    <row r="572" spans="1:4" ht="13.5" x14ac:dyDescent="0.25">
      <c r="A572" s="200">
        <v>191</v>
      </c>
      <c r="B572" s="189"/>
      <c r="C572" s="196" t="s">
        <v>117</v>
      </c>
      <c r="D572" s="197"/>
    </row>
    <row r="573" spans="1:4" ht="13.5" x14ac:dyDescent="0.25">
      <c r="A573" s="200">
        <v>191</v>
      </c>
      <c r="B573" s="190">
        <f t="shared" ref="B573:B574" si="190">$B$572</f>
        <v>0</v>
      </c>
      <c r="C573" s="196" t="s">
        <v>118</v>
      </c>
      <c r="D573" s="197"/>
    </row>
    <row r="574" spans="1:4" ht="13.5" x14ac:dyDescent="0.25">
      <c r="A574" s="200">
        <v>191</v>
      </c>
      <c r="B574" s="190">
        <f t="shared" si="190"/>
        <v>0</v>
      </c>
      <c r="C574" s="196" t="s">
        <v>119</v>
      </c>
      <c r="D574" s="197"/>
    </row>
    <row r="575" spans="1:4" ht="13.5" x14ac:dyDescent="0.25">
      <c r="A575" s="200">
        <v>192</v>
      </c>
      <c r="B575" s="189"/>
      <c r="C575" s="196" t="s">
        <v>117</v>
      </c>
      <c r="D575" s="197"/>
    </row>
    <row r="576" spans="1:4" ht="13.5" x14ac:dyDescent="0.25">
      <c r="A576" s="200">
        <v>192</v>
      </c>
      <c r="B576" s="190">
        <f t="shared" ref="B576:B577" si="191">$B$575</f>
        <v>0</v>
      </c>
      <c r="C576" s="196" t="s">
        <v>118</v>
      </c>
      <c r="D576" s="197"/>
    </row>
    <row r="577" spans="1:4" ht="13.5" x14ac:dyDescent="0.25">
      <c r="A577" s="200">
        <v>192</v>
      </c>
      <c r="B577" s="190">
        <f t="shared" si="191"/>
        <v>0</v>
      </c>
      <c r="C577" s="196" t="s">
        <v>119</v>
      </c>
      <c r="D577" s="197"/>
    </row>
    <row r="578" spans="1:4" ht="13.5" x14ac:dyDescent="0.25">
      <c r="A578" s="200">
        <v>193</v>
      </c>
      <c r="B578" s="189"/>
      <c r="C578" s="196" t="s">
        <v>117</v>
      </c>
      <c r="D578" s="197"/>
    </row>
    <row r="579" spans="1:4" ht="13.5" x14ac:dyDescent="0.25">
      <c r="A579" s="200">
        <v>193</v>
      </c>
      <c r="B579" s="190">
        <f t="shared" ref="B579:B580" si="192">$B$578</f>
        <v>0</v>
      </c>
      <c r="C579" s="196" t="s">
        <v>118</v>
      </c>
      <c r="D579" s="197"/>
    </row>
    <row r="580" spans="1:4" ht="13.5" x14ac:dyDescent="0.25">
      <c r="A580" s="200">
        <v>193</v>
      </c>
      <c r="B580" s="190">
        <f t="shared" si="192"/>
        <v>0</v>
      </c>
      <c r="C580" s="196" t="s">
        <v>119</v>
      </c>
      <c r="D580" s="197"/>
    </row>
    <row r="581" spans="1:4" ht="13.5" x14ac:dyDescent="0.25">
      <c r="A581" s="200">
        <v>194</v>
      </c>
      <c r="B581" s="189"/>
      <c r="C581" s="196" t="s">
        <v>117</v>
      </c>
      <c r="D581" s="197"/>
    </row>
    <row r="582" spans="1:4" ht="13.5" x14ac:dyDescent="0.25">
      <c r="A582" s="200">
        <v>194</v>
      </c>
      <c r="B582" s="190">
        <f t="shared" ref="B582:B583" si="193">$B$581</f>
        <v>0</v>
      </c>
      <c r="C582" s="196" t="s">
        <v>118</v>
      </c>
      <c r="D582" s="197"/>
    </row>
    <row r="583" spans="1:4" ht="13.5" x14ac:dyDescent="0.25">
      <c r="A583" s="200">
        <v>194</v>
      </c>
      <c r="B583" s="190">
        <f t="shared" si="193"/>
        <v>0</v>
      </c>
      <c r="C583" s="196" t="s">
        <v>119</v>
      </c>
      <c r="D583" s="197"/>
    </row>
    <row r="584" spans="1:4" ht="13.5" x14ac:dyDescent="0.25">
      <c r="A584" s="200">
        <v>195</v>
      </c>
      <c r="B584" s="189"/>
      <c r="C584" s="196" t="s">
        <v>117</v>
      </c>
      <c r="D584" s="197"/>
    </row>
    <row r="585" spans="1:4" ht="13.5" x14ac:dyDescent="0.25">
      <c r="A585" s="200">
        <v>195</v>
      </c>
      <c r="B585" s="190">
        <f t="shared" ref="B585:B586" si="194">$B$584</f>
        <v>0</v>
      </c>
      <c r="C585" s="196" t="s">
        <v>118</v>
      </c>
      <c r="D585" s="197"/>
    </row>
    <row r="586" spans="1:4" ht="13.5" x14ac:dyDescent="0.25">
      <c r="A586" s="200">
        <v>195</v>
      </c>
      <c r="B586" s="190">
        <f t="shared" si="194"/>
        <v>0</v>
      </c>
      <c r="C586" s="196" t="s">
        <v>119</v>
      </c>
      <c r="D586" s="197"/>
    </row>
    <row r="587" spans="1:4" ht="13.5" x14ac:dyDescent="0.25">
      <c r="A587" s="200">
        <v>196</v>
      </c>
      <c r="B587" s="189"/>
      <c r="C587" s="196" t="s">
        <v>117</v>
      </c>
      <c r="D587" s="197"/>
    </row>
    <row r="588" spans="1:4" ht="13.5" x14ac:dyDescent="0.25">
      <c r="A588" s="200">
        <v>196</v>
      </c>
      <c r="B588" s="190">
        <f t="shared" ref="B588:B589" si="195">$B$587</f>
        <v>0</v>
      </c>
      <c r="C588" s="196" t="s">
        <v>118</v>
      </c>
      <c r="D588" s="197"/>
    </row>
    <row r="589" spans="1:4" ht="13.5" x14ac:dyDescent="0.25">
      <c r="A589" s="200">
        <v>196</v>
      </c>
      <c r="B589" s="190">
        <f t="shared" si="195"/>
        <v>0</v>
      </c>
      <c r="C589" s="196" t="s">
        <v>119</v>
      </c>
      <c r="D589" s="197"/>
    </row>
    <row r="590" spans="1:4" ht="13.5" x14ac:dyDescent="0.25">
      <c r="A590" s="200">
        <v>197</v>
      </c>
      <c r="B590" s="189"/>
      <c r="C590" s="196" t="s">
        <v>117</v>
      </c>
      <c r="D590" s="197"/>
    </row>
    <row r="591" spans="1:4" ht="13.5" x14ac:dyDescent="0.25">
      <c r="A591" s="200">
        <v>197</v>
      </c>
      <c r="B591" s="190">
        <f t="shared" ref="B591:B592" si="196">$B$590</f>
        <v>0</v>
      </c>
      <c r="C591" s="196" t="s">
        <v>118</v>
      </c>
      <c r="D591" s="197"/>
    </row>
    <row r="592" spans="1:4" ht="13.5" x14ac:dyDescent="0.25">
      <c r="A592" s="200">
        <v>197</v>
      </c>
      <c r="B592" s="190">
        <f t="shared" si="196"/>
        <v>0</v>
      </c>
      <c r="C592" s="196" t="s">
        <v>119</v>
      </c>
      <c r="D592" s="197"/>
    </row>
    <row r="593" spans="1:4" ht="13.5" x14ac:dyDescent="0.25">
      <c r="A593" s="200">
        <v>198</v>
      </c>
      <c r="B593" s="189"/>
      <c r="C593" s="196" t="s">
        <v>117</v>
      </c>
      <c r="D593" s="197"/>
    </row>
    <row r="594" spans="1:4" ht="13.5" x14ac:dyDescent="0.25">
      <c r="A594" s="200">
        <v>198</v>
      </c>
      <c r="B594" s="190">
        <f t="shared" ref="B594:B595" si="197">$B$593</f>
        <v>0</v>
      </c>
      <c r="C594" s="196" t="s">
        <v>118</v>
      </c>
      <c r="D594" s="197"/>
    </row>
    <row r="595" spans="1:4" ht="13.5" x14ac:dyDescent="0.25">
      <c r="A595" s="200">
        <v>198</v>
      </c>
      <c r="B595" s="190">
        <f t="shared" si="197"/>
        <v>0</v>
      </c>
      <c r="C595" s="196" t="s">
        <v>119</v>
      </c>
      <c r="D595" s="197"/>
    </row>
    <row r="596" spans="1:4" ht="13.5" x14ac:dyDescent="0.25">
      <c r="A596" s="200">
        <v>199</v>
      </c>
      <c r="B596" s="189"/>
      <c r="C596" s="196" t="s">
        <v>117</v>
      </c>
      <c r="D596" s="197"/>
    </row>
    <row r="597" spans="1:4" ht="13.5" x14ac:dyDescent="0.25">
      <c r="A597" s="200">
        <v>199</v>
      </c>
      <c r="B597" s="190">
        <f t="shared" ref="B597:B598" si="198">$B$596</f>
        <v>0</v>
      </c>
      <c r="C597" s="196" t="s">
        <v>118</v>
      </c>
      <c r="D597" s="197"/>
    </row>
    <row r="598" spans="1:4" ht="13.5" x14ac:dyDescent="0.25">
      <c r="A598" s="200">
        <v>199</v>
      </c>
      <c r="B598" s="190">
        <f t="shared" si="198"/>
        <v>0</v>
      </c>
      <c r="C598" s="196" t="s">
        <v>119</v>
      </c>
      <c r="D598" s="197"/>
    </row>
    <row r="599" spans="1:4" ht="13.5" x14ac:dyDescent="0.25">
      <c r="A599" s="200">
        <v>200</v>
      </c>
      <c r="B599" s="189"/>
      <c r="C599" s="196" t="s">
        <v>117</v>
      </c>
      <c r="D599" s="197"/>
    </row>
    <row r="600" spans="1:4" ht="13.5" x14ac:dyDescent="0.25">
      <c r="A600" s="200">
        <v>200</v>
      </c>
      <c r="B600" s="190">
        <f t="shared" ref="B600:B601" si="199">$B$599</f>
        <v>0</v>
      </c>
      <c r="C600" s="196" t="s">
        <v>118</v>
      </c>
      <c r="D600" s="197"/>
    </row>
    <row r="601" spans="1:4" ht="13.5" x14ac:dyDescent="0.25">
      <c r="A601" s="200">
        <v>200</v>
      </c>
      <c r="B601" s="190">
        <f t="shared" si="199"/>
        <v>0</v>
      </c>
      <c r="C601" s="196" t="s">
        <v>119</v>
      </c>
      <c r="D601" s="197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10"/>
  <sheetViews>
    <sheetView windowProtection="1" showGridLines="0" topLeftCell="A109" zoomScale="98" zoomScaleNormal="98" workbookViewId="0">
      <selection activeCell="G188" sqref="G188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10.375" style="9" customWidth="1"/>
    <col min="6" max="6" width="9" style="9" bestFit="1" customWidth="1"/>
    <col min="7" max="7" width="14.5" style="10" bestFit="1" customWidth="1"/>
    <col min="8" max="8" width="10.5" style="10" customWidth="1"/>
    <col min="9" max="9" width="11.125" style="10" bestFit="1" customWidth="1"/>
    <col min="10" max="10" width="9.5" style="10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3.875" style="9" customWidth="1"/>
    <col min="16" max="16" width="16.625" style="9" customWidth="1"/>
    <col min="17" max="17" width="14.875" style="9" customWidth="1"/>
    <col min="18" max="18" width="11" style="9" bestFit="1" customWidth="1"/>
    <col min="19" max="19" width="14.75" style="9" bestFit="1" customWidth="1"/>
    <col min="20" max="20" width="11" style="9" bestFit="1" customWidth="1"/>
    <col min="21" max="21" width="17.875" style="9" customWidth="1"/>
    <col min="22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13.3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00" width="9" style="9"/>
    <col min="101" max="101" width="11.5" style="9" customWidth="1"/>
    <col min="102" max="193" width="9" style="9"/>
    <col min="194" max="194" width="14.75" style="9" customWidth="1"/>
    <col min="195" max="16384" width="9" style="9"/>
  </cols>
  <sheetData>
    <row r="1" spans="1:201" x14ac:dyDescent="0.2">
      <c r="A1" s="9">
        <v>12</v>
      </c>
      <c r="B1" s="219"/>
      <c r="C1" s="219"/>
      <c r="D1" s="10"/>
      <c r="E1" s="219"/>
      <c r="F1" s="219"/>
    </row>
    <row r="4" spans="1:201" x14ac:dyDescent="0.2">
      <c r="A4" s="212" t="s">
        <v>18</v>
      </c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D4" s="213"/>
      <c r="AE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  <c r="AS4" s="213"/>
      <c r="AT4" s="213"/>
      <c r="AU4" s="213"/>
      <c r="AV4" s="213"/>
      <c r="AW4" s="213"/>
      <c r="AX4" s="213"/>
      <c r="AY4" s="213"/>
      <c r="AZ4" s="213"/>
      <c r="BA4" s="213"/>
      <c r="BB4" s="213"/>
      <c r="BC4" s="213"/>
      <c r="BD4" s="213"/>
      <c r="BE4" s="213"/>
      <c r="BF4" s="213"/>
      <c r="BG4" s="213"/>
      <c r="BH4" s="213"/>
      <c r="BI4" s="213"/>
      <c r="BJ4" s="213"/>
      <c r="BK4" s="213"/>
      <c r="BL4" s="213"/>
      <c r="BM4" s="213"/>
      <c r="BN4" s="213"/>
      <c r="BO4" s="213"/>
      <c r="BP4" s="213"/>
      <c r="BQ4" s="213"/>
      <c r="BR4" s="213"/>
      <c r="BS4" s="213"/>
      <c r="BT4" s="213"/>
      <c r="BU4" s="213"/>
      <c r="BV4" s="213"/>
      <c r="BW4" s="213"/>
      <c r="BX4" s="213"/>
      <c r="BY4" s="213"/>
      <c r="BZ4" s="213"/>
      <c r="CA4" s="213"/>
      <c r="CB4" s="213"/>
      <c r="CC4" s="213"/>
      <c r="CD4" s="213"/>
      <c r="CE4" s="213"/>
      <c r="CF4" s="213"/>
      <c r="CG4" s="213"/>
      <c r="CH4" s="213"/>
      <c r="CI4" s="213"/>
      <c r="CJ4" s="213"/>
      <c r="CK4" s="213"/>
      <c r="CL4" s="213"/>
      <c r="CM4" s="213"/>
      <c r="CN4" s="213"/>
      <c r="CO4" s="213"/>
      <c r="CP4" s="213"/>
      <c r="CQ4" s="213"/>
      <c r="CR4" s="213"/>
      <c r="CS4" s="213"/>
      <c r="CT4" s="213"/>
      <c r="CU4" s="213"/>
      <c r="CV4" s="213"/>
      <c r="CW4" s="213"/>
      <c r="CX4" s="213"/>
      <c r="CY4" s="213"/>
      <c r="CZ4" s="213"/>
      <c r="DA4" s="213"/>
      <c r="DB4" s="213"/>
      <c r="DC4" s="213"/>
      <c r="DD4" s="213"/>
      <c r="DE4" s="213"/>
      <c r="DF4" s="213"/>
      <c r="DG4" s="213"/>
      <c r="DH4" s="213"/>
      <c r="DI4" s="213"/>
      <c r="DJ4" s="213"/>
      <c r="DK4" s="213"/>
      <c r="DL4" s="213"/>
      <c r="DM4" s="213"/>
      <c r="DN4" s="213"/>
      <c r="DO4" s="213"/>
      <c r="DP4" s="213"/>
      <c r="DQ4" s="213"/>
      <c r="DR4" s="213"/>
      <c r="DS4" s="213"/>
      <c r="DT4" s="213"/>
      <c r="DU4" s="213"/>
      <c r="DV4" s="213"/>
      <c r="DW4" s="213"/>
      <c r="DX4" s="213"/>
      <c r="DY4" s="213"/>
      <c r="DZ4" s="213"/>
      <c r="EA4" s="213"/>
      <c r="EB4" s="213"/>
      <c r="EC4" s="213"/>
      <c r="ED4" s="213"/>
      <c r="EE4" s="213"/>
      <c r="EF4" s="213"/>
      <c r="EG4" s="213"/>
      <c r="EH4" s="213"/>
      <c r="EI4" s="213"/>
      <c r="EJ4" s="213"/>
      <c r="EK4" s="213"/>
      <c r="EL4" s="213"/>
      <c r="EM4" s="213"/>
      <c r="EN4" s="213"/>
      <c r="EO4" s="213"/>
      <c r="EP4" s="213"/>
      <c r="EQ4" s="213"/>
      <c r="ER4" s="213"/>
      <c r="ES4" s="213"/>
      <c r="ET4" s="213"/>
      <c r="EU4" s="213"/>
      <c r="EV4" s="213"/>
      <c r="EW4" s="213"/>
      <c r="EX4" s="213"/>
      <c r="EY4" s="213"/>
      <c r="EZ4" s="213"/>
      <c r="FA4" s="213"/>
      <c r="FB4" s="213"/>
      <c r="FC4" s="213"/>
      <c r="FD4" s="213"/>
      <c r="FE4" s="213"/>
      <c r="FF4" s="213"/>
      <c r="FG4" s="213"/>
      <c r="FH4" s="213"/>
      <c r="FI4" s="213"/>
      <c r="FJ4" s="213"/>
      <c r="FK4" s="213"/>
      <c r="FL4" s="213"/>
      <c r="FM4" s="213"/>
      <c r="FN4" s="213"/>
      <c r="FO4" s="213"/>
      <c r="FP4" s="213"/>
      <c r="FQ4" s="213"/>
      <c r="FR4" s="213"/>
      <c r="FS4" s="213"/>
      <c r="FT4" s="213"/>
      <c r="FU4" s="213"/>
      <c r="FV4" s="213"/>
      <c r="FW4" s="213"/>
      <c r="FX4" s="213"/>
      <c r="FY4" s="213"/>
      <c r="FZ4" s="213"/>
      <c r="GA4" s="213"/>
      <c r="GB4" s="213"/>
      <c r="GC4" s="213"/>
      <c r="GD4" s="213"/>
      <c r="GE4" s="213"/>
      <c r="GF4" s="213"/>
      <c r="GG4" s="213"/>
      <c r="GH4" s="213"/>
      <c r="GI4" s="213"/>
      <c r="GJ4" s="213"/>
      <c r="GK4" s="213"/>
      <c r="GL4" s="213"/>
      <c r="GM4" s="213"/>
      <c r="GN4" s="213"/>
      <c r="GO4" s="213"/>
      <c r="GP4" s="213"/>
      <c r="GQ4" s="213"/>
      <c r="GR4" s="213"/>
      <c r="GS4" s="213"/>
    </row>
    <row r="5" spans="1:201" x14ac:dyDescent="0.2">
      <c r="A5" s="12" t="s">
        <v>19</v>
      </c>
      <c r="B5" s="13" t="s">
        <v>241</v>
      </c>
      <c r="C5" s="13" t="s">
        <v>242</v>
      </c>
      <c r="D5" s="13" t="s">
        <v>243</v>
      </c>
      <c r="E5" s="13" t="s">
        <v>244</v>
      </c>
      <c r="F5" s="13" t="s">
        <v>245</v>
      </c>
      <c r="G5" s="13" t="s">
        <v>246</v>
      </c>
      <c r="H5" s="13" t="s">
        <v>247</v>
      </c>
      <c r="I5" s="13" t="s">
        <v>248</v>
      </c>
      <c r="J5" s="13" t="s">
        <v>249</v>
      </c>
      <c r="K5" s="13" t="s">
        <v>250</v>
      </c>
      <c r="L5" s="13" t="s">
        <v>251</v>
      </c>
      <c r="M5" s="13" t="s">
        <v>252</v>
      </c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1235</v>
      </c>
      <c r="C6" s="16">
        <v>145</v>
      </c>
      <c r="D6" s="16">
        <v>129876</v>
      </c>
      <c r="E6" s="16">
        <v>2987</v>
      </c>
      <c r="F6" s="16">
        <v>5297</v>
      </c>
      <c r="G6" s="16">
        <v>127496</v>
      </c>
      <c r="H6" s="16">
        <v>17429</v>
      </c>
      <c r="I6" s="16">
        <v>179</v>
      </c>
      <c r="J6" s="16">
        <v>4176</v>
      </c>
      <c r="K6" s="16">
        <v>1728</v>
      </c>
      <c r="L6" s="16">
        <v>156</v>
      </c>
      <c r="M6" s="16">
        <v>147</v>
      </c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16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16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18</v>
      </c>
      <c r="C7" s="16">
        <v>179</v>
      </c>
      <c r="D7" s="16">
        <v>1297</v>
      </c>
      <c r="E7" s="16">
        <v>2185</v>
      </c>
      <c r="F7" s="16">
        <v>217</v>
      </c>
      <c r="G7" s="16">
        <v>1742</v>
      </c>
      <c r="H7" s="16">
        <v>76</v>
      </c>
      <c r="I7" s="16">
        <v>17529</v>
      </c>
      <c r="J7" s="16">
        <v>47126</v>
      </c>
      <c r="K7" s="16">
        <v>1726</v>
      </c>
      <c r="L7" s="16">
        <v>158</v>
      </c>
      <c r="M7" s="16">
        <v>169</v>
      </c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6"/>
      <c r="CH7" s="16"/>
      <c r="CI7" s="16"/>
      <c r="CJ7" s="16"/>
      <c r="CK7" s="16"/>
      <c r="CL7" s="16"/>
      <c r="CM7" s="16"/>
      <c r="CN7" s="16"/>
      <c r="CO7" s="16"/>
      <c r="CP7" s="16"/>
      <c r="CQ7" s="16"/>
      <c r="CR7" s="16"/>
      <c r="CS7" s="16"/>
      <c r="CT7" s="16"/>
      <c r="CU7" s="16"/>
      <c r="CV7" s="16"/>
      <c r="CW7" s="16"/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15263</v>
      </c>
      <c r="C8" s="19">
        <v>12543</v>
      </c>
      <c r="D8" s="19">
        <v>2163</v>
      </c>
      <c r="E8" s="19">
        <v>2196</v>
      </c>
      <c r="F8" s="19">
        <v>217496</v>
      </c>
      <c r="G8" s="19">
        <v>41297</v>
      </c>
      <c r="H8" s="16">
        <v>24961</v>
      </c>
      <c r="I8" s="16">
        <v>17952</v>
      </c>
      <c r="J8" s="16">
        <v>1728</v>
      </c>
      <c r="K8" s="16">
        <v>1296</v>
      </c>
      <c r="L8" s="16">
        <v>152</v>
      </c>
      <c r="M8" s="16">
        <v>142</v>
      </c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16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16516</v>
      </c>
      <c r="C9" s="20">
        <v>12867</v>
      </c>
      <c r="D9" s="20">
        <v>133336</v>
      </c>
      <c r="E9" s="20">
        <v>7368</v>
      </c>
      <c r="F9" s="20">
        <v>223010</v>
      </c>
      <c r="G9" s="20">
        <v>170535</v>
      </c>
      <c r="H9" s="21">
        <v>42466</v>
      </c>
      <c r="I9" s="22">
        <v>35660</v>
      </c>
      <c r="J9" s="22">
        <v>53030</v>
      </c>
      <c r="K9" s="22">
        <v>4750</v>
      </c>
      <c r="L9" s="22">
        <v>466</v>
      </c>
      <c r="M9" s="22">
        <v>458</v>
      </c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8.7454095385095021E-2</v>
      </c>
      <c r="C10" s="25">
        <v>1.1691991465723263E-2</v>
      </c>
      <c r="D10" s="25">
        <v>2313.8953252146625</v>
      </c>
      <c r="E10" s="25">
        <v>2.2875955909958927</v>
      </c>
      <c r="F10" s="25">
        <v>2.4947019941252618E-2</v>
      </c>
      <c r="G10" s="25">
        <v>12.232899546140963</v>
      </c>
      <c r="H10" s="25">
        <v>1.1843213424685128</v>
      </c>
      <c r="I10" s="25">
        <v>1.0021337271671751E-2</v>
      </c>
      <c r="J10" s="25">
        <v>2.6232413586059145</v>
      </c>
      <c r="K10" s="25">
        <v>2.0957423339951471</v>
      </c>
      <c r="L10" s="25">
        <v>1.5427843803056027</v>
      </c>
      <c r="M10" s="25">
        <v>1.5245233458629592</v>
      </c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7.477597481230322E-2</v>
      </c>
      <c r="C11" s="26">
        <v>1.1269138105230435E-2</v>
      </c>
      <c r="D11" s="26">
        <v>0.97405051898962025</v>
      </c>
      <c r="E11" s="26">
        <v>0.40540173724212814</v>
      </c>
      <c r="F11" s="26">
        <v>2.375229810322407E-2</v>
      </c>
      <c r="G11" s="26">
        <v>0.74762365496818839</v>
      </c>
      <c r="H11" s="26">
        <v>0.41042245561154805</v>
      </c>
      <c r="I11" s="26">
        <v>5.0196298373527759E-3</v>
      </c>
      <c r="J11" s="26">
        <v>7.8747878559306053E-2</v>
      </c>
      <c r="K11" s="26">
        <v>0.36378947368421055</v>
      </c>
      <c r="L11" s="26">
        <v>0.33476394849785407</v>
      </c>
      <c r="M11" s="26">
        <v>0.32096069868995636</v>
      </c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1.0898522644708162E-3</v>
      </c>
      <c r="C12" s="26">
        <v>1.3911556695422399E-2</v>
      </c>
      <c r="D12" s="26">
        <v>9.7273054538909217E-3</v>
      </c>
      <c r="E12" s="26">
        <v>0.29655266015200871</v>
      </c>
      <c r="F12" s="26">
        <v>9.7305053585041031E-4</v>
      </c>
      <c r="G12" s="26">
        <v>1.0214911894918931E-2</v>
      </c>
      <c r="H12" s="26">
        <v>1.7896670277398388E-3</v>
      </c>
      <c r="I12" s="26">
        <v>0.49155916993830623</v>
      </c>
      <c r="J12" s="26">
        <v>0.88866679238167079</v>
      </c>
      <c r="K12" s="26">
        <v>0.36336842105263156</v>
      </c>
      <c r="L12" s="26">
        <v>0.33905579399141633</v>
      </c>
      <c r="M12" s="26">
        <v>0.36899563318777295</v>
      </c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0.92413417292322597</v>
      </c>
      <c r="C13" s="26">
        <v>0.97481930519934712</v>
      </c>
      <c r="D13" s="26">
        <v>1.6222175556488871E-2</v>
      </c>
      <c r="E13" s="26">
        <v>0.29804560260586321</v>
      </c>
      <c r="F13" s="26">
        <v>0.9752746513609255</v>
      </c>
      <c r="G13" s="26">
        <v>0.24216143313689273</v>
      </c>
      <c r="H13" s="26">
        <v>0.58778787736071214</v>
      </c>
      <c r="I13" s="26">
        <v>0.503421200224341</v>
      </c>
      <c r="J13" s="26">
        <v>3.2585329059023192E-2</v>
      </c>
      <c r="K13" s="26">
        <v>0.27284210526315789</v>
      </c>
      <c r="L13" s="26">
        <v>0.3261802575107296</v>
      </c>
      <c r="M13" s="26">
        <v>0.31004366812227074</v>
      </c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4" t="s">
        <v>21</v>
      </c>
      <c r="B14" s="215"/>
      <c r="C14" s="215"/>
      <c r="D14" s="215"/>
      <c r="E14" s="215"/>
      <c r="F14" s="215"/>
      <c r="G14" s="215"/>
      <c r="H14" s="215"/>
      <c r="I14" s="215"/>
      <c r="J14" s="215"/>
      <c r="K14" s="215"/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  <c r="CI14" s="215"/>
      <c r="CJ14" s="215"/>
      <c r="CK14" s="215"/>
      <c r="CL14" s="215"/>
      <c r="CM14" s="215"/>
      <c r="CN14" s="215"/>
      <c r="CO14" s="215"/>
      <c r="CP14" s="215"/>
      <c r="CQ14" s="215"/>
      <c r="CR14" s="215"/>
      <c r="CS14" s="215"/>
      <c r="CT14" s="215"/>
      <c r="CU14" s="215"/>
      <c r="CV14" s="215"/>
      <c r="CW14" s="215"/>
      <c r="CX14" s="215"/>
      <c r="CY14" s="215"/>
      <c r="CZ14" s="215"/>
      <c r="DA14" s="215"/>
      <c r="DB14" s="215"/>
      <c r="DC14" s="215"/>
      <c r="DD14" s="215"/>
      <c r="DE14" s="215"/>
      <c r="DF14" s="215"/>
      <c r="DG14" s="215"/>
      <c r="DH14" s="215"/>
      <c r="DI14" s="215"/>
      <c r="DJ14" s="215"/>
      <c r="DK14" s="215"/>
      <c r="DL14" s="215"/>
      <c r="DM14" s="215"/>
      <c r="DN14" s="215"/>
      <c r="DO14" s="215"/>
      <c r="DP14" s="215"/>
      <c r="DQ14" s="215"/>
      <c r="DR14" s="215"/>
      <c r="DS14" s="215"/>
      <c r="DT14" s="215"/>
      <c r="DU14" s="215"/>
      <c r="DV14" s="215"/>
      <c r="DW14" s="215"/>
      <c r="DX14" s="215"/>
      <c r="DY14" s="215"/>
      <c r="DZ14" s="215"/>
      <c r="EA14" s="215"/>
      <c r="EB14" s="215"/>
      <c r="EC14" s="215"/>
      <c r="ED14" s="215"/>
      <c r="EE14" s="215"/>
      <c r="EF14" s="215"/>
      <c r="EG14" s="215"/>
      <c r="EH14" s="215"/>
      <c r="EI14" s="215"/>
      <c r="EJ14" s="215"/>
      <c r="EK14" s="215"/>
      <c r="EL14" s="215"/>
      <c r="EM14" s="215"/>
      <c r="EN14" s="215"/>
      <c r="EO14" s="215"/>
      <c r="EP14" s="215"/>
      <c r="EQ14" s="215"/>
      <c r="ER14" s="215"/>
      <c r="ES14" s="215"/>
      <c r="ET14" s="215"/>
      <c r="EU14" s="215"/>
      <c r="EV14" s="215"/>
      <c r="EW14" s="215"/>
      <c r="EX14" s="215"/>
      <c r="EY14" s="215"/>
      <c r="EZ14" s="215"/>
      <c r="FA14" s="215"/>
      <c r="FB14" s="215"/>
      <c r="FC14" s="215"/>
      <c r="FD14" s="215"/>
      <c r="FE14" s="215"/>
      <c r="FF14" s="215"/>
      <c r="FG14" s="215"/>
      <c r="FH14" s="215"/>
      <c r="FI14" s="215"/>
      <c r="FJ14" s="215"/>
      <c r="FK14" s="215"/>
      <c r="FL14" s="215"/>
      <c r="FM14" s="215"/>
      <c r="FN14" s="215"/>
      <c r="FO14" s="215"/>
      <c r="FP14" s="215"/>
      <c r="FQ14" s="215"/>
      <c r="FR14" s="215"/>
      <c r="FS14" s="215"/>
      <c r="FT14" s="215"/>
      <c r="FU14" s="215"/>
      <c r="FV14" s="215"/>
      <c r="FW14" s="215"/>
      <c r="FX14" s="215"/>
      <c r="FY14" s="215"/>
      <c r="FZ14" s="215"/>
      <c r="GA14" s="215"/>
      <c r="GB14" s="215"/>
      <c r="GC14" s="215"/>
      <c r="GD14" s="215"/>
      <c r="GE14" s="215"/>
      <c r="GF14" s="215"/>
      <c r="GG14" s="215"/>
      <c r="GH14" s="215"/>
      <c r="GI14" s="215"/>
      <c r="GJ14" s="215"/>
      <c r="GK14" s="215"/>
      <c r="GL14" s="215"/>
      <c r="GM14" s="215"/>
      <c r="GN14" s="215"/>
      <c r="GO14" s="215"/>
      <c r="GP14" s="215"/>
      <c r="GQ14" s="215"/>
      <c r="GR14" s="215"/>
      <c r="GS14" s="215"/>
    </row>
    <row r="15" spans="1:201" x14ac:dyDescent="0.2">
      <c r="A15" s="7" t="s">
        <v>22</v>
      </c>
      <c r="B15" s="27">
        <v>7.477597481230322E-2</v>
      </c>
      <c r="C15" s="28">
        <v>1.1269138105230435E-2</v>
      </c>
      <c r="D15" s="28">
        <v>0.97405051898962025</v>
      </c>
      <c r="E15" s="28">
        <v>0.40540173724212814</v>
      </c>
      <c r="F15" s="28">
        <v>2.375229810322407E-2</v>
      </c>
      <c r="G15" s="28">
        <v>0.74762365496818839</v>
      </c>
      <c r="H15" s="28">
        <v>0.41042245561154805</v>
      </c>
      <c r="I15" s="28">
        <v>5.0196298373527759E-3</v>
      </c>
      <c r="J15" s="28">
        <v>7.8747878559306053E-2</v>
      </c>
      <c r="K15" s="28">
        <v>0.36378947368421055</v>
      </c>
      <c r="L15" s="28">
        <v>0.33476394849785407</v>
      </c>
      <c r="M15" s="27">
        <v>0.32096069868995636</v>
      </c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7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7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7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7"/>
      <c r="BF15" s="28"/>
      <c r="BG15" s="28"/>
      <c r="BH15" s="28"/>
      <c r="BI15" s="28"/>
      <c r="BJ15" s="28"/>
      <c r="BK15" s="28"/>
      <c r="BL15" s="28"/>
      <c r="BM15" s="28"/>
      <c r="BN15" s="28"/>
      <c r="BO15" s="28"/>
      <c r="BP15" s="27"/>
      <c r="BQ15" s="28"/>
      <c r="BR15" s="28"/>
      <c r="BS15" s="28"/>
      <c r="BT15" s="28"/>
      <c r="BU15" s="28"/>
      <c r="BV15" s="28"/>
      <c r="BW15" s="28"/>
      <c r="BX15" s="28"/>
      <c r="BY15" s="28"/>
      <c r="BZ15" s="28"/>
      <c r="CA15" s="27"/>
      <c r="CB15" s="28"/>
      <c r="CC15" s="28"/>
      <c r="CD15" s="28"/>
      <c r="CE15" s="28"/>
      <c r="CF15" s="28"/>
      <c r="CG15" s="28"/>
      <c r="CH15" s="28"/>
      <c r="CI15" s="28"/>
      <c r="CJ15" s="28"/>
      <c r="CK15" s="28"/>
      <c r="CL15" s="27"/>
      <c r="CM15" s="28"/>
      <c r="CN15" s="28"/>
      <c r="CO15" s="28"/>
      <c r="CP15" s="28"/>
      <c r="CQ15" s="28"/>
      <c r="CR15" s="28"/>
      <c r="CS15" s="28"/>
      <c r="CT15" s="28"/>
      <c r="CU15" s="28"/>
      <c r="CV15" s="28"/>
      <c r="CW15" s="27"/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1.0898522644708162E-3</v>
      </c>
      <c r="C16" s="28">
        <v>1.3911556695422399E-2</v>
      </c>
      <c r="D16" s="28">
        <v>9.7273054538909217E-3</v>
      </c>
      <c r="E16" s="28">
        <v>0.29655266015200871</v>
      </c>
      <c r="F16" s="28">
        <v>9.7305053585041031E-4</v>
      </c>
      <c r="G16" s="28">
        <v>1.0214911894918931E-2</v>
      </c>
      <c r="H16" s="28">
        <v>1.7896670277398388E-3</v>
      </c>
      <c r="I16" s="28">
        <v>0.49155916993830623</v>
      </c>
      <c r="J16" s="28">
        <v>0.88866679238167079</v>
      </c>
      <c r="K16" s="28">
        <v>0.36336842105263156</v>
      </c>
      <c r="L16" s="28">
        <v>0.33905579399141633</v>
      </c>
      <c r="M16" s="27">
        <v>0.36899563318777295</v>
      </c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7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7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7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7"/>
      <c r="BF16" s="28"/>
      <c r="BG16" s="28"/>
      <c r="BH16" s="28"/>
      <c r="BI16" s="28"/>
      <c r="BJ16" s="28"/>
      <c r="BK16" s="28"/>
      <c r="BL16" s="28"/>
      <c r="BM16" s="28"/>
      <c r="BN16" s="28"/>
      <c r="BO16" s="28"/>
      <c r="BP16" s="27"/>
      <c r="BQ16" s="28"/>
      <c r="BR16" s="28"/>
      <c r="BS16" s="28"/>
      <c r="BT16" s="28"/>
      <c r="BU16" s="28"/>
      <c r="BV16" s="28"/>
      <c r="BW16" s="28"/>
      <c r="BX16" s="28"/>
      <c r="BY16" s="28"/>
      <c r="BZ16" s="28"/>
      <c r="CA16" s="27"/>
      <c r="CB16" s="28"/>
      <c r="CC16" s="28"/>
      <c r="CD16" s="28"/>
      <c r="CE16" s="28"/>
      <c r="CF16" s="28"/>
      <c r="CG16" s="28"/>
      <c r="CH16" s="28"/>
      <c r="CI16" s="28"/>
      <c r="CJ16" s="28"/>
      <c r="CK16" s="28"/>
      <c r="CL16" s="27"/>
      <c r="CM16" s="28"/>
      <c r="CN16" s="28"/>
      <c r="CO16" s="28"/>
      <c r="CP16" s="28"/>
      <c r="CQ16" s="28"/>
      <c r="CR16" s="28"/>
      <c r="CS16" s="28"/>
      <c r="CT16" s="28"/>
      <c r="CU16" s="28"/>
      <c r="CV16" s="28"/>
      <c r="CW16" s="27"/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55" x14ac:dyDescent="0.2">
      <c r="A17" s="8" t="s">
        <v>24</v>
      </c>
      <c r="B17" s="31">
        <v>0.92413417292322597</v>
      </c>
      <c r="C17" s="32">
        <v>0.97481930519934712</v>
      </c>
      <c r="D17" s="32">
        <v>1.6222175556488871E-2</v>
      </c>
      <c r="E17" s="32">
        <v>0.29804560260586321</v>
      </c>
      <c r="F17" s="32">
        <v>0.9752746513609255</v>
      </c>
      <c r="G17" s="32">
        <v>0.24216143313689273</v>
      </c>
      <c r="H17" s="32">
        <v>0.58778787736071214</v>
      </c>
      <c r="I17" s="32">
        <v>0.503421200224341</v>
      </c>
      <c r="J17" s="32">
        <v>3.2585329059023192E-2</v>
      </c>
      <c r="K17" s="32">
        <v>0.27284210526315789</v>
      </c>
      <c r="L17" s="32">
        <v>0.3261802575107296</v>
      </c>
      <c r="M17" s="31">
        <v>0.31004366812227074</v>
      </c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1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1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1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1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1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1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1"/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55" x14ac:dyDescent="0.2">
      <c r="A18" s="35" t="s">
        <v>25</v>
      </c>
      <c r="B18" s="36">
        <v>7.5865827076774042E-2</v>
      </c>
      <c r="C18" s="37">
        <v>2.5180694800652832E-2</v>
      </c>
      <c r="D18" s="37">
        <v>0.98377782444351114</v>
      </c>
      <c r="E18" s="37">
        <v>0.7019543973941369</v>
      </c>
      <c r="F18" s="37">
        <v>2.4725348639074479E-2</v>
      </c>
      <c r="G18" s="37">
        <v>0.75783856686310735</v>
      </c>
      <c r="H18" s="37">
        <v>0.41221212263928791</v>
      </c>
      <c r="I18" s="37">
        <v>0.496578799775659</v>
      </c>
      <c r="J18" s="37">
        <v>0.96741467094097688</v>
      </c>
      <c r="K18" s="37">
        <v>0.72715789473684211</v>
      </c>
      <c r="L18" s="37">
        <v>0.67381974248927046</v>
      </c>
      <c r="M18" s="36">
        <v>0.68995633187772931</v>
      </c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6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6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6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6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6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6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6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55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1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6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6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6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6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6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6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6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55" x14ac:dyDescent="0.2">
      <c r="A20" s="41" t="s">
        <v>30</v>
      </c>
      <c r="B20" s="42">
        <v>1.0820939526960625</v>
      </c>
      <c r="C20" s="43">
        <v>1.0258311408753886</v>
      </c>
      <c r="D20" s="43">
        <v>61.644012944983814</v>
      </c>
      <c r="E20" s="43">
        <v>3.3551912568306008</v>
      </c>
      <c r="F20" s="43">
        <v>1.0253521903851106</v>
      </c>
      <c r="G20" s="43">
        <v>4.1294767174371021</v>
      </c>
      <c r="H20" s="43">
        <v>1.7012940186691237</v>
      </c>
      <c r="I20" s="43">
        <v>1.9864081996434937</v>
      </c>
      <c r="J20" s="43">
        <v>30.688657407407408</v>
      </c>
      <c r="K20" s="43">
        <v>3.6651234567901234</v>
      </c>
      <c r="L20" s="43">
        <v>3.0657894736842106</v>
      </c>
      <c r="M20" s="43">
        <v>3.2253521126760565</v>
      </c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43"/>
      <c r="BN20" s="43"/>
      <c r="BO20" s="43"/>
      <c r="BP20" s="43"/>
      <c r="BQ20" s="43"/>
      <c r="BR20" s="43"/>
      <c r="BS20" s="43"/>
      <c r="BT20" s="43"/>
      <c r="BU20" s="43"/>
      <c r="BV20" s="43"/>
      <c r="BW20" s="43"/>
      <c r="BX20" s="43"/>
      <c r="BY20" s="43"/>
      <c r="BZ20" s="43"/>
      <c r="CA20" s="43"/>
      <c r="CB20" s="43"/>
      <c r="CC20" s="43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/>
      <c r="CS20" s="43"/>
      <c r="CT20" s="43"/>
      <c r="CU20" s="43"/>
      <c r="CV20" s="43"/>
      <c r="CW20" s="43"/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55" x14ac:dyDescent="0.2">
      <c r="A21" s="46" t="s">
        <v>31</v>
      </c>
      <c r="B21" s="47">
        <v>12.181165203511574</v>
      </c>
      <c r="C21" s="48">
        <v>38.712962962962891</v>
      </c>
      <c r="D21" s="48">
        <v>1.6489673942046E-2</v>
      </c>
      <c r="E21" s="48">
        <v>0.42459396751740142</v>
      </c>
      <c r="F21" s="48">
        <v>39.444323540079772</v>
      </c>
      <c r="G21" s="48">
        <v>0.31954223989848191</v>
      </c>
      <c r="H21" s="48">
        <v>1.4259354470151389</v>
      </c>
      <c r="I21" s="48">
        <v>1.0137790829003841</v>
      </c>
      <c r="J21" s="48">
        <v>3.368289735292971E-2</v>
      </c>
      <c r="K21" s="48">
        <v>0.37521713954834973</v>
      </c>
      <c r="L21" s="48">
        <v>0.48407643312101906</v>
      </c>
      <c r="M21" s="48">
        <v>0.44936708860759489</v>
      </c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8"/>
      <c r="CJ21" s="48"/>
      <c r="CK21" s="48"/>
      <c r="CL21" s="48"/>
      <c r="CM21" s="48"/>
      <c r="CN21" s="48"/>
      <c r="CO21" s="48"/>
      <c r="CP21" s="48"/>
      <c r="CQ21" s="48"/>
      <c r="CR21" s="48"/>
      <c r="CS21" s="48"/>
      <c r="CT21" s="48"/>
      <c r="CU21" s="48"/>
      <c r="CV21" s="48"/>
      <c r="CW21" s="48"/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55" x14ac:dyDescent="0.2">
      <c r="A22" s="46" t="s">
        <v>32</v>
      </c>
      <c r="B22" s="47">
        <v>12.373279352226721</v>
      </c>
      <c r="C22" s="48">
        <v>87.737931034482756</v>
      </c>
      <c r="D22" s="48">
        <v>2.6640795836028165E-2</v>
      </c>
      <c r="E22" s="48">
        <v>1.4666889856042851</v>
      </c>
      <c r="F22" s="48">
        <v>41.101189352463656</v>
      </c>
      <c r="G22" s="48">
        <v>0.33757137478822857</v>
      </c>
      <c r="H22" s="48">
        <v>1.4365138562166504</v>
      </c>
      <c r="I22" s="48">
        <v>198.21787709497207</v>
      </c>
      <c r="J22" s="48">
        <v>11.69875478927203</v>
      </c>
      <c r="K22" s="48">
        <v>1.7488425925925923</v>
      </c>
      <c r="L22" s="48">
        <v>1.9871794871794872</v>
      </c>
      <c r="M22" s="48">
        <v>2.1156462585034013</v>
      </c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8"/>
      <c r="CJ22" s="48"/>
      <c r="CK22" s="48"/>
      <c r="CL22" s="48"/>
      <c r="CM22" s="48"/>
      <c r="CN22" s="48"/>
      <c r="CO22" s="48"/>
      <c r="CP22" s="48"/>
      <c r="CQ22" s="48"/>
      <c r="CR22" s="48"/>
      <c r="CS22" s="48"/>
      <c r="CT22" s="48"/>
      <c r="CU22" s="48"/>
      <c r="CV22" s="48"/>
      <c r="CW22" s="48"/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55" x14ac:dyDescent="0.2">
      <c r="A23" s="51" t="s">
        <v>20</v>
      </c>
      <c r="B23" s="206">
        <v>8.7454095385095021E-2</v>
      </c>
      <c r="C23" s="52">
        <v>1.1691991465723263E-2</v>
      </c>
      <c r="D23" s="52">
        <v>2313.8953252146625</v>
      </c>
      <c r="E23" s="52">
        <v>2.2875955909958927</v>
      </c>
      <c r="F23" s="52">
        <v>2.4947019941252618E-2</v>
      </c>
      <c r="G23" s="52">
        <v>12.232899546140963</v>
      </c>
      <c r="H23" s="52">
        <v>1.1843213424685128</v>
      </c>
      <c r="I23" s="52">
        <v>1.0021337271671751E-2</v>
      </c>
      <c r="J23" s="52">
        <v>2.6232413586059145</v>
      </c>
      <c r="K23" s="52">
        <v>2.0957423339951471</v>
      </c>
      <c r="L23" s="52">
        <v>1.5427843803056027</v>
      </c>
      <c r="M23" s="52">
        <v>1.5245233458629592</v>
      </c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52"/>
      <c r="CE23" s="52"/>
      <c r="CF23" s="52"/>
      <c r="CG23" s="52"/>
      <c r="CH23" s="52"/>
      <c r="CI23" s="52"/>
      <c r="CJ23" s="52"/>
      <c r="CK23" s="52"/>
      <c r="CL23" s="52"/>
      <c r="CM23" s="52"/>
      <c r="CN23" s="52"/>
      <c r="CO23" s="52"/>
      <c r="CP23" s="52"/>
      <c r="CQ23" s="52"/>
      <c r="CR23" s="52"/>
      <c r="CS23" s="52"/>
      <c r="CT23" s="52"/>
      <c r="CU23" s="52"/>
      <c r="CV23" s="52"/>
      <c r="CW23" s="52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55" x14ac:dyDescent="0.2">
      <c r="A24" s="214" t="s">
        <v>33</v>
      </c>
      <c r="B24" s="215"/>
      <c r="C24" s="215"/>
      <c r="D24" s="215"/>
      <c r="E24" s="215"/>
      <c r="F24" s="215"/>
      <c r="G24" s="215"/>
      <c r="H24" s="215"/>
      <c r="I24" s="215"/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215"/>
      <c r="W24" s="215"/>
      <c r="X24" s="215"/>
      <c r="Y24" s="215"/>
      <c r="Z24" s="215"/>
      <c r="AA24" s="215"/>
      <c r="AB24" s="215"/>
      <c r="AC24" s="215"/>
      <c r="AD24" s="215"/>
      <c r="AE24" s="215"/>
      <c r="AF24" s="215"/>
      <c r="AG24" s="215"/>
      <c r="AH24" s="215"/>
      <c r="AI24" s="215"/>
      <c r="AJ24" s="215"/>
      <c r="AK24" s="215"/>
      <c r="AL24" s="215"/>
      <c r="AM24" s="215"/>
      <c r="AN24" s="215"/>
      <c r="AO24" s="215"/>
      <c r="AP24" s="215"/>
      <c r="AQ24" s="215"/>
      <c r="AR24" s="215"/>
      <c r="AS24" s="215"/>
      <c r="AT24" s="215"/>
      <c r="AU24" s="215"/>
      <c r="AV24" s="215"/>
      <c r="AW24" s="215"/>
      <c r="AX24" s="215"/>
      <c r="AY24" s="215"/>
      <c r="AZ24" s="215"/>
      <c r="BA24" s="215"/>
      <c r="BB24" s="215"/>
      <c r="BC24" s="215"/>
      <c r="BD24" s="215"/>
      <c r="BE24" s="215"/>
      <c r="BF24" s="215"/>
      <c r="BG24" s="215"/>
      <c r="BH24" s="215"/>
      <c r="BI24" s="215"/>
      <c r="BJ24" s="215"/>
      <c r="BK24" s="215"/>
      <c r="BL24" s="215"/>
      <c r="BM24" s="215"/>
      <c r="BN24" s="215"/>
      <c r="BO24" s="215"/>
      <c r="BP24" s="215"/>
      <c r="BQ24" s="215"/>
      <c r="BR24" s="215"/>
      <c r="BS24" s="215"/>
      <c r="BT24" s="215"/>
      <c r="BU24" s="215"/>
      <c r="BV24" s="215"/>
      <c r="BW24" s="215"/>
      <c r="BX24" s="215"/>
      <c r="BY24" s="215"/>
      <c r="BZ24" s="215"/>
      <c r="CA24" s="215"/>
      <c r="CB24" s="215"/>
      <c r="CC24" s="215"/>
      <c r="CD24" s="215"/>
      <c r="CE24" s="215"/>
      <c r="CF24" s="215"/>
      <c r="CG24" s="215"/>
      <c r="CH24" s="215"/>
      <c r="CI24" s="215"/>
      <c r="CJ24" s="215"/>
      <c r="CK24" s="215"/>
      <c r="CL24" s="215"/>
      <c r="CM24" s="215"/>
      <c r="CN24" s="215"/>
      <c r="CO24" s="215"/>
      <c r="CP24" s="215"/>
      <c r="CQ24" s="215"/>
      <c r="CR24" s="215"/>
      <c r="CS24" s="215"/>
      <c r="CT24" s="215"/>
      <c r="CU24" s="215"/>
      <c r="CV24" s="215"/>
      <c r="CW24" s="215"/>
      <c r="CX24" s="215"/>
      <c r="CY24" s="215"/>
      <c r="CZ24" s="215"/>
      <c r="DA24" s="215"/>
      <c r="DB24" s="215"/>
      <c r="DC24" s="215"/>
      <c r="DD24" s="215"/>
      <c r="DE24" s="215"/>
      <c r="DF24" s="215"/>
      <c r="DG24" s="215"/>
      <c r="DH24" s="215"/>
      <c r="DI24" s="215"/>
      <c r="DJ24" s="215"/>
      <c r="DK24" s="215"/>
      <c r="DL24" s="215"/>
      <c r="DM24" s="215"/>
      <c r="DN24" s="215"/>
      <c r="DO24" s="215"/>
      <c r="DP24" s="215"/>
      <c r="DQ24" s="215"/>
      <c r="DR24" s="215"/>
      <c r="DS24" s="215"/>
      <c r="DT24" s="215"/>
      <c r="DU24" s="215"/>
      <c r="DV24" s="215"/>
      <c r="DW24" s="215"/>
      <c r="DX24" s="215"/>
      <c r="DY24" s="215"/>
      <c r="DZ24" s="215"/>
      <c r="EA24" s="215"/>
      <c r="EB24" s="215"/>
      <c r="EC24" s="215"/>
      <c r="ED24" s="215"/>
      <c r="EE24" s="215"/>
      <c r="EF24" s="215"/>
      <c r="EG24" s="215"/>
      <c r="EH24" s="215"/>
      <c r="EI24" s="215"/>
      <c r="EJ24" s="215"/>
      <c r="EK24" s="215"/>
      <c r="EL24" s="215"/>
      <c r="EM24" s="215"/>
      <c r="EN24" s="215"/>
      <c r="EO24" s="215"/>
      <c r="EP24" s="215"/>
      <c r="EQ24" s="215"/>
      <c r="ER24" s="215"/>
      <c r="ES24" s="215"/>
      <c r="ET24" s="215"/>
      <c r="EU24" s="215"/>
      <c r="EV24" s="215"/>
      <c r="EW24" s="215"/>
      <c r="EX24" s="215"/>
      <c r="EY24" s="215"/>
      <c r="EZ24" s="215"/>
      <c r="FA24" s="215"/>
      <c r="FB24" s="215"/>
      <c r="FC24" s="215"/>
      <c r="FD24" s="215"/>
      <c r="FE24" s="215"/>
      <c r="FF24" s="215"/>
      <c r="FG24" s="215"/>
      <c r="FH24" s="215"/>
      <c r="FI24" s="215"/>
      <c r="FJ24" s="215"/>
      <c r="FK24" s="215"/>
      <c r="FL24" s="215"/>
      <c r="FM24" s="215"/>
      <c r="FN24" s="215"/>
      <c r="FO24" s="215"/>
      <c r="FP24" s="215"/>
      <c r="FQ24" s="215"/>
      <c r="FR24" s="215"/>
      <c r="FS24" s="215"/>
      <c r="FT24" s="215"/>
      <c r="FU24" s="215"/>
      <c r="FV24" s="215"/>
      <c r="FW24" s="215"/>
      <c r="FX24" s="215"/>
      <c r="FY24" s="215"/>
      <c r="FZ24" s="215"/>
      <c r="GA24" s="215"/>
      <c r="GB24" s="215"/>
      <c r="GC24" s="215"/>
      <c r="GD24" s="215"/>
      <c r="GE24" s="215"/>
      <c r="GF24" s="215"/>
      <c r="GG24" s="215"/>
      <c r="GH24" s="215"/>
      <c r="GI24" s="215"/>
      <c r="GJ24" s="215"/>
      <c r="GK24" s="215"/>
      <c r="GL24" s="215"/>
      <c r="GM24" s="215"/>
      <c r="GN24" s="215"/>
      <c r="GO24" s="215"/>
      <c r="GP24" s="215"/>
      <c r="GQ24" s="215"/>
      <c r="GR24" s="215"/>
      <c r="GS24" s="215"/>
    </row>
    <row r="25" spans="1:255" x14ac:dyDescent="0.2">
      <c r="A25" s="55" t="s">
        <v>34</v>
      </c>
      <c r="B25" s="56" t="s">
        <v>241</v>
      </c>
      <c r="C25" s="13" t="s">
        <v>242</v>
      </c>
      <c r="D25" s="13" t="s">
        <v>243</v>
      </c>
      <c r="E25" s="13" t="s">
        <v>244</v>
      </c>
      <c r="F25" s="13" t="s">
        <v>245</v>
      </c>
      <c r="G25" s="13" t="s">
        <v>246</v>
      </c>
      <c r="H25" s="13" t="s">
        <v>247</v>
      </c>
      <c r="I25" s="13" t="s">
        <v>248</v>
      </c>
      <c r="J25" s="13" t="s">
        <v>249</v>
      </c>
      <c r="K25" s="13" t="s">
        <v>250</v>
      </c>
      <c r="L25" s="13" t="s">
        <v>251</v>
      </c>
      <c r="M25" s="13" t="s">
        <v>252</v>
      </c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55" ht="15.75" x14ac:dyDescent="0.3">
      <c r="A26" s="57" t="s">
        <v>109</v>
      </c>
      <c r="B26" s="58">
        <v>0.53291988700628756</v>
      </c>
      <c r="C26" s="59">
        <v>0.55478034726513814</v>
      </c>
      <c r="D26" s="59">
        <v>3.7498150020865914E-3</v>
      </c>
      <c r="E26" s="59">
        <v>8.6195072761755193E-4</v>
      </c>
      <c r="F26" s="59">
        <v>0.56251329150824048</v>
      </c>
      <c r="G26" s="59">
        <v>0.13391438647665083</v>
      </c>
      <c r="H26" s="59">
        <v>0.33832622448038058</v>
      </c>
      <c r="I26" s="59">
        <v>6.8485463787777033E-3</v>
      </c>
      <c r="J26" s="59">
        <v>-0.49425886329757934</v>
      </c>
      <c r="K26" s="59">
        <v>-5.22653927897977E-2</v>
      </c>
      <c r="L26" s="59">
        <v>-7.4336944530853325E-3</v>
      </c>
      <c r="M26" s="59">
        <v>-3.4035932899825087E-2</v>
      </c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59"/>
      <c r="BW26" s="59"/>
      <c r="BX26" s="59"/>
      <c r="BY26" s="59"/>
      <c r="BZ26" s="59"/>
      <c r="CA26" s="59"/>
      <c r="CB26" s="59"/>
      <c r="CC26" s="59"/>
      <c r="CD26" s="59"/>
      <c r="CE26" s="59"/>
      <c r="CF26" s="59"/>
      <c r="CG26" s="59"/>
      <c r="CH26" s="59"/>
      <c r="CI26" s="59"/>
      <c r="CJ26" s="59"/>
      <c r="CK26" s="59"/>
      <c r="CL26" s="59"/>
      <c r="CM26" s="59"/>
      <c r="CN26" s="59"/>
      <c r="CO26" s="59"/>
      <c r="CP26" s="59"/>
      <c r="CQ26" s="59"/>
      <c r="CR26" s="59"/>
      <c r="CS26" s="59"/>
      <c r="CT26" s="59"/>
      <c r="CU26" s="59"/>
      <c r="CV26" s="59"/>
      <c r="CW26" s="59"/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55" ht="15.75" x14ac:dyDescent="0.3">
      <c r="A27" s="63" t="s">
        <v>110</v>
      </c>
      <c r="B27" s="64">
        <v>7.477597481230322E-2</v>
      </c>
      <c r="C27" s="65">
        <v>1.1269138105230435E-2</v>
      </c>
      <c r="D27" s="65">
        <v>0.97405051898962025</v>
      </c>
      <c r="E27" s="65">
        <v>0.40540173724212814</v>
      </c>
      <c r="F27" s="65">
        <v>2.375229810322407E-2</v>
      </c>
      <c r="G27" s="59">
        <v>0.74762365496818839</v>
      </c>
      <c r="H27" s="59">
        <v>0.41042245561154805</v>
      </c>
      <c r="I27" s="59">
        <v>5.0196298373527759E-3</v>
      </c>
      <c r="J27" s="59">
        <v>7.8747878559306053E-2</v>
      </c>
      <c r="K27" s="59">
        <v>0.36378947368421055</v>
      </c>
      <c r="L27" s="59">
        <v>0.33476394849785407</v>
      </c>
      <c r="M27" s="59">
        <v>0.32096069868995636</v>
      </c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59"/>
      <c r="BW27" s="59"/>
      <c r="BX27" s="59"/>
      <c r="BY27" s="59"/>
      <c r="BZ27" s="59"/>
      <c r="CA27" s="59"/>
      <c r="CB27" s="59"/>
      <c r="CC27" s="59"/>
      <c r="CD27" s="59"/>
      <c r="CE27" s="59"/>
      <c r="CF27" s="59"/>
      <c r="CG27" s="59"/>
      <c r="CH27" s="59"/>
      <c r="CI27" s="59"/>
      <c r="CJ27" s="59"/>
      <c r="CK27" s="59"/>
      <c r="CL27" s="59"/>
      <c r="CM27" s="59"/>
      <c r="CN27" s="59"/>
      <c r="CO27" s="59"/>
      <c r="CP27" s="59"/>
      <c r="CQ27" s="59"/>
      <c r="CR27" s="59"/>
      <c r="CS27" s="59"/>
      <c r="CT27" s="59"/>
      <c r="CU27" s="59"/>
      <c r="CV27" s="59"/>
      <c r="CW27" s="59"/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55" x14ac:dyDescent="0.2">
      <c r="A28" s="216" t="s">
        <v>34</v>
      </c>
      <c r="B28" s="217"/>
      <c r="C28" s="218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  <c r="BN28" s="10">
        <v>11</v>
      </c>
      <c r="BO28" s="10">
        <v>12</v>
      </c>
      <c r="BP28" s="10">
        <v>13</v>
      </c>
      <c r="BQ28" s="10">
        <v>14</v>
      </c>
      <c r="BR28" s="10">
        <v>15</v>
      </c>
      <c r="BS28" s="10">
        <v>16</v>
      </c>
      <c r="BT28" s="10">
        <v>17</v>
      </c>
      <c r="BU28" s="10">
        <v>18</v>
      </c>
      <c r="BV28" s="10">
        <v>19</v>
      </c>
      <c r="BW28" s="10">
        <v>20</v>
      </c>
      <c r="BX28" s="10">
        <v>21</v>
      </c>
      <c r="BY28" s="10">
        <v>22</v>
      </c>
      <c r="BZ28" s="10">
        <v>23</v>
      </c>
      <c r="CA28" s="10">
        <v>24</v>
      </c>
      <c r="CB28" s="10">
        <v>25</v>
      </c>
      <c r="CC28" s="10">
        <v>26</v>
      </c>
      <c r="CD28" s="10">
        <v>27</v>
      </c>
      <c r="CE28" s="10">
        <v>28</v>
      </c>
      <c r="CF28" s="10">
        <v>29</v>
      </c>
      <c r="CG28" s="10">
        <v>30</v>
      </c>
      <c r="CH28" s="10">
        <v>31</v>
      </c>
      <c r="CI28" s="10">
        <v>32</v>
      </c>
      <c r="CJ28" s="10">
        <v>33</v>
      </c>
      <c r="CK28" s="10">
        <v>34</v>
      </c>
      <c r="CL28" s="10">
        <v>35</v>
      </c>
      <c r="CM28" s="10">
        <v>36</v>
      </c>
      <c r="CN28" s="10">
        <v>37</v>
      </c>
      <c r="CO28" s="10">
        <v>38</v>
      </c>
      <c r="CP28" s="10">
        <v>39</v>
      </c>
      <c r="CQ28" s="10">
        <v>40</v>
      </c>
      <c r="CR28" s="10">
        <v>41</v>
      </c>
      <c r="CS28" s="10">
        <v>42</v>
      </c>
      <c r="CT28" s="10">
        <v>43</v>
      </c>
      <c r="CU28" s="10">
        <v>44</v>
      </c>
      <c r="CV28" s="10">
        <v>45</v>
      </c>
      <c r="CW28" s="10">
        <v>46</v>
      </c>
      <c r="CX28" s="10">
        <v>47</v>
      </c>
      <c r="CY28" s="10">
        <v>48</v>
      </c>
      <c r="CZ28" s="10">
        <v>49</v>
      </c>
      <c r="DA28" s="10">
        <v>50</v>
      </c>
      <c r="DB28" s="10">
        <v>51</v>
      </c>
      <c r="DC28" s="10">
        <v>52</v>
      </c>
      <c r="DD28" s="10">
        <v>53</v>
      </c>
      <c r="DE28" s="10">
        <v>54</v>
      </c>
      <c r="DF28" s="10">
        <v>55</v>
      </c>
      <c r="DG28" s="10">
        <v>56</v>
      </c>
      <c r="DH28" s="10">
        <v>57</v>
      </c>
      <c r="DI28" s="10">
        <v>58</v>
      </c>
      <c r="DJ28" s="10">
        <v>59</v>
      </c>
      <c r="DK28" s="10">
        <v>60</v>
      </c>
      <c r="DL28" s="10">
        <v>61</v>
      </c>
      <c r="DM28" s="10">
        <v>62</v>
      </c>
      <c r="DN28" s="10">
        <v>63</v>
      </c>
      <c r="DO28" s="10">
        <v>64</v>
      </c>
      <c r="DP28" s="10">
        <v>65</v>
      </c>
      <c r="DQ28" s="10">
        <v>66</v>
      </c>
      <c r="DR28" s="10">
        <v>67</v>
      </c>
      <c r="DS28" s="10">
        <v>68</v>
      </c>
      <c r="DT28" s="10">
        <v>69</v>
      </c>
      <c r="DU28" s="10">
        <v>70</v>
      </c>
      <c r="DV28" s="10">
        <v>71</v>
      </c>
      <c r="DW28" s="10">
        <v>72</v>
      </c>
      <c r="DX28" s="10">
        <v>73</v>
      </c>
      <c r="DY28" s="10">
        <v>74</v>
      </c>
      <c r="DZ28" s="10">
        <v>75</v>
      </c>
      <c r="EA28" s="10">
        <v>76</v>
      </c>
      <c r="EB28" s="10">
        <v>77</v>
      </c>
      <c r="EC28" s="10">
        <v>78</v>
      </c>
      <c r="ED28" s="10">
        <v>79</v>
      </c>
      <c r="EE28" s="10">
        <v>80</v>
      </c>
      <c r="EF28" s="10">
        <v>81</v>
      </c>
      <c r="EG28" s="10">
        <v>82</v>
      </c>
      <c r="EH28" s="10">
        <v>83</v>
      </c>
      <c r="EI28" s="10">
        <v>84</v>
      </c>
      <c r="EJ28" s="10">
        <v>85</v>
      </c>
      <c r="EK28" s="10">
        <v>86</v>
      </c>
      <c r="EL28" s="10">
        <v>87</v>
      </c>
      <c r="EM28" s="10">
        <v>88</v>
      </c>
      <c r="EN28" s="10">
        <v>89</v>
      </c>
      <c r="EO28" s="10">
        <v>90</v>
      </c>
      <c r="EP28" s="10">
        <v>91</v>
      </c>
      <c r="EQ28" s="10">
        <v>92</v>
      </c>
      <c r="ER28" s="10">
        <v>93</v>
      </c>
      <c r="ES28" s="10">
        <v>94</v>
      </c>
      <c r="ET28" s="10">
        <v>95</v>
      </c>
      <c r="EU28" s="10">
        <v>96</v>
      </c>
      <c r="EV28" s="10">
        <v>97</v>
      </c>
      <c r="EW28" s="10">
        <v>98</v>
      </c>
      <c r="EX28" s="10">
        <v>99</v>
      </c>
      <c r="EY28" s="10">
        <v>100</v>
      </c>
      <c r="EZ28" s="10">
        <v>101</v>
      </c>
      <c r="FA28" s="10">
        <v>102</v>
      </c>
      <c r="FB28" s="10">
        <v>103</v>
      </c>
      <c r="FC28" s="10">
        <v>104</v>
      </c>
      <c r="FD28" s="10">
        <v>105</v>
      </c>
      <c r="FE28" s="10">
        <v>106</v>
      </c>
      <c r="FF28" s="10">
        <v>107</v>
      </c>
      <c r="FG28" s="10">
        <v>108</v>
      </c>
      <c r="FH28" s="10">
        <v>109</v>
      </c>
      <c r="FI28" s="10">
        <v>110</v>
      </c>
      <c r="FJ28" s="10">
        <v>111</v>
      </c>
      <c r="FK28" s="10">
        <v>112</v>
      </c>
      <c r="FL28" s="10">
        <v>113</v>
      </c>
      <c r="FM28" s="10">
        <v>114</v>
      </c>
      <c r="FN28" s="10">
        <v>115</v>
      </c>
      <c r="FO28" s="10">
        <v>116</v>
      </c>
      <c r="FP28" s="10">
        <v>117</v>
      </c>
      <c r="FQ28" s="10">
        <v>118</v>
      </c>
      <c r="FR28" s="10">
        <v>119</v>
      </c>
      <c r="FS28" s="10">
        <v>120</v>
      </c>
      <c r="FT28" s="10">
        <v>121</v>
      </c>
      <c r="FU28" s="10">
        <v>122</v>
      </c>
      <c r="FV28" s="10">
        <v>123</v>
      </c>
      <c r="FW28" s="10">
        <v>124</v>
      </c>
      <c r="FX28" s="10">
        <v>125</v>
      </c>
      <c r="FY28" s="10">
        <v>126</v>
      </c>
      <c r="FZ28" s="10">
        <v>127</v>
      </c>
      <c r="GA28" s="10">
        <v>128</v>
      </c>
      <c r="GB28" s="10">
        <v>129</v>
      </c>
      <c r="GC28" s="10">
        <v>130</v>
      </c>
      <c r="GD28" s="10">
        <v>131</v>
      </c>
      <c r="GE28" s="10">
        <v>132</v>
      </c>
      <c r="GF28" s="10">
        <v>133</v>
      </c>
      <c r="GG28" s="10">
        <v>134</v>
      </c>
      <c r="GH28" s="10">
        <v>135</v>
      </c>
      <c r="GI28" s="10">
        <v>136</v>
      </c>
      <c r="GJ28" s="10">
        <v>137</v>
      </c>
      <c r="GK28" s="10">
        <v>138</v>
      </c>
      <c r="GL28" s="10">
        <v>139</v>
      </c>
      <c r="GM28" s="10">
        <v>140</v>
      </c>
      <c r="GN28" s="10">
        <v>141</v>
      </c>
      <c r="GO28" s="10">
        <v>142</v>
      </c>
      <c r="GP28" s="10">
        <v>143</v>
      </c>
      <c r="GQ28" s="10">
        <v>144</v>
      </c>
      <c r="GR28" s="10">
        <v>145</v>
      </c>
      <c r="GS28" s="10">
        <v>146</v>
      </c>
      <c r="GT28" s="10">
        <v>147</v>
      </c>
      <c r="GU28" s="10">
        <v>148</v>
      </c>
      <c r="GV28" s="10">
        <v>149</v>
      </c>
      <c r="GW28" s="10">
        <v>150</v>
      </c>
      <c r="GX28" s="10">
        <v>151</v>
      </c>
      <c r="GY28" s="10">
        <v>152</v>
      </c>
      <c r="GZ28" s="10">
        <v>153</v>
      </c>
      <c r="HA28" s="10">
        <v>154</v>
      </c>
      <c r="HB28" s="10">
        <v>155</v>
      </c>
      <c r="HC28" s="10">
        <v>156</v>
      </c>
      <c r="HD28" s="10">
        <v>157</v>
      </c>
      <c r="HE28" s="10">
        <v>158</v>
      </c>
      <c r="HF28" s="10">
        <v>159</v>
      </c>
      <c r="HG28" s="10">
        <v>160</v>
      </c>
      <c r="HH28" s="10">
        <v>161</v>
      </c>
      <c r="HI28" s="10">
        <v>162</v>
      </c>
      <c r="HJ28" s="10">
        <v>163</v>
      </c>
      <c r="HK28" s="10">
        <v>164</v>
      </c>
      <c r="HL28" s="10">
        <v>165</v>
      </c>
      <c r="HM28" s="10">
        <v>166</v>
      </c>
      <c r="HN28" s="10">
        <v>167</v>
      </c>
      <c r="HO28" s="10">
        <v>168</v>
      </c>
      <c r="HP28" s="10">
        <v>169</v>
      </c>
      <c r="HQ28" s="10">
        <v>170</v>
      </c>
      <c r="HR28" s="10">
        <v>171</v>
      </c>
      <c r="HS28" s="10">
        <v>172</v>
      </c>
      <c r="HT28" s="10">
        <v>173</v>
      </c>
      <c r="HU28" s="10">
        <v>174</v>
      </c>
      <c r="HV28" s="10">
        <v>175</v>
      </c>
      <c r="HW28" s="10">
        <v>176</v>
      </c>
      <c r="HX28" s="10">
        <v>177</v>
      </c>
      <c r="HY28" s="10">
        <v>178</v>
      </c>
      <c r="HZ28" s="10">
        <v>179</v>
      </c>
      <c r="IA28" s="10">
        <v>180</v>
      </c>
      <c r="IB28" s="10">
        <v>181</v>
      </c>
      <c r="IC28" s="10">
        <v>182</v>
      </c>
      <c r="ID28" s="10">
        <v>183</v>
      </c>
      <c r="IE28" s="10">
        <v>184</v>
      </c>
      <c r="IF28" s="10">
        <v>185</v>
      </c>
      <c r="IG28" s="10">
        <v>186</v>
      </c>
      <c r="IH28" s="10">
        <v>187</v>
      </c>
      <c r="II28" s="10">
        <v>188</v>
      </c>
      <c r="IJ28" s="10">
        <v>189</v>
      </c>
      <c r="IK28" s="10">
        <v>190</v>
      </c>
      <c r="IL28" s="10">
        <v>191</v>
      </c>
      <c r="IM28" s="10">
        <v>192</v>
      </c>
      <c r="IN28" s="10">
        <v>193</v>
      </c>
      <c r="IO28" s="10">
        <v>194</v>
      </c>
      <c r="IP28" s="10">
        <v>195</v>
      </c>
      <c r="IQ28" s="10">
        <v>196</v>
      </c>
      <c r="IR28" s="10">
        <v>197</v>
      </c>
      <c r="IS28" s="10">
        <v>198</v>
      </c>
      <c r="IT28" s="10">
        <v>199</v>
      </c>
      <c r="IU28" s="10">
        <v>200</v>
      </c>
    </row>
    <row r="29" spans="1:255" x14ac:dyDescent="0.2">
      <c r="A29" s="72"/>
      <c r="B29" s="73" t="str">
        <f>VLOOKUP(A28,A25:G25,A83,0)</f>
        <v>4-Atala</v>
      </c>
      <c r="C29" s="74"/>
      <c r="D29" s="75" t="e">
        <f ca="1">D103</f>
        <v>#REF!</v>
      </c>
      <c r="E29" s="75" t="e">
        <f ca="1">D100</f>
        <v>#REF!</v>
      </c>
      <c r="F29" s="75" t="e">
        <f ca="1">E103</f>
        <v>#REF!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IF(DIAG!H239,$GL$55,-1)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IF(DIAG!H239,$B$26,-1)</f>
        <v>-1</v>
      </c>
      <c r="BA29" s="11" t="s">
        <v>86</v>
      </c>
      <c r="BB29" s="9">
        <f>DIAG!W1</f>
        <v>12</v>
      </c>
    </row>
    <row r="30" spans="1:255" x14ac:dyDescent="0.2">
      <c r="A30" s="79"/>
      <c r="B30" s="80"/>
      <c r="C30" s="81"/>
      <c r="D30" s="75" t="e">
        <f ca="1">N103</f>
        <v>#REF!</v>
      </c>
      <c r="E30" s="75" t="e">
        <f ca="1">M100</f>
        <v>#REF!</v>
      </c>
      <c r="F30" s="75" t="e">
        <f ca="1">M103</f>
        <v>#REF!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IF(DIAG!H239,$GL$56,-1)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IF(DIAG!H239,$B$27,-1)</f>
        <v>-1</v>
      </c>
      <c r="BA30" s="11" t="s">
        <v>84</v>
      </c>
      <c r="BB30" s="14">
        <f ca="1">IF(BB29=0,0,MAX(OFFSET(BC29,1,1,1,BB29)))</f>
        <v>223010</v>
      </c>
      <c r="BD30" s="14">
        <f t="shared" ref="BD30:BM30" si="0">B9</f>
        <v>16516</v>
      </c>
      <c r="BE30" s="14">
        <f t="shared" si="0"/>
        <v>12867</v>
      </c>
      <c r="BF30" s="14">
        <f t="shared" si="0"/>
        <v>133336</v>
      </c>
      <c r="BG30" s="14">
        <f t="shared" si="0"/>
        <v>7368</v>
      </c>
      <c r="BH30" s="14">
        <f t="shared" si="0"/>
        <v>223010</v>
      </c>
      <c r="BI30" s="14">
        <f t="shared" si="0"/>
        <v>170535</v>
      </c>
      <c r="BJ30" s="14">
        <f t="shared" si="0"/>
        <v>42466</v>
      </c>
      <c r="BK30" s="14">
        <f t="shared" si="0"/>
        <v>35660</v>
      </c>
      <c r="BL30" s="14">
        <f t="shared" si="0"/>
        <v>53030</v>
      </c>
      <c r="BM30" s="14">
        <f t="shared" si="0"/>
        <v>4750</v>
      </c>
      <c r="BN30" s="14">
        <f t="shared" ref="BN30" si="1">L9</f>
        <v>466</v>
      </c>
      <c r="BO30" s="14">
        <f t="shared" ref="BO30" si="2">M9</f>
        <v>458</v>
      </c>
      <c r="BP30" s="14">
        <f t="shared" ref="BP30" si="3">N9</f>
        <v>0</v>
      </c>
      <c r="BQ30" s="14">
        <f t="shared" ref="BQ30" si="4">O9</f>
        <v>0</v>
      </c>
      <c r="BR30" s="14">
        <f t="shared" ref="BR30" si="5">P9</f>
        <v>0</v>
      </c>
      <c r="BS30" s="14">
        <f t="shared" ref="BS30" si="6">Q9</f>
        <v>0</v>
      </c>
      <c r="BT30" s="14">
        <f t="shared" ref="BT30" si="7">R9</f>
        <v>0</v>
      </c>
      <c r="BU30" s="14">
        <f t="shared" ref="BU30" si="8">S9</f>
        <v>0</v>
      </c>
      <c r="BV30" s="14">
        <f t="shared" ref="BV30" si="9">T9</f>
        <v>0</v>
      </c>
      <c r="BW30" s="14">
        <f t="shared" ref="BW30" si="10">U9</f>
        <v>0</v>
      </c>
      <c r="BX30" s="14">
        <f t="shared" ref="BX30" si="11">V9</f>
        <v>0</v>
      </c>
      <c r="BY30" s="14">
        <f t="shared" ref="BY30" si="12">W9</f>
        <v>0</v>
      </c>
      <c r="BZ30" s="14">
        <f t="shared" ref="BZ30" si="13">X9</f>
        <v>0</v>
      </c>
      <c r="CA30" s="14">
        <f t="shared" ref="CA30" si="14">Y9</f>
        <v>0</v>
      </c>
      <c r="CB30" s="14">
        <f t="shared" ref="CB30" si="15">Z9</f>
        <v>0</v>
      </c>
      <c r="CC30" s="14">
        <f t="shared" ref="CC30" si="16">AA9</f>
        <v>0</v>
      </c>
      <c r="CD30" s="14">
        <f t="shared" ref="CD30" si="17">AB9</f>
        <v>0</v>
      </c>
      <c r="CE30" s="14">
        <f t="shared" ref="CE30" si="18">AC9</f>
        <v>0</v>
      </c>
      <c r="CF30" s="14">
        <f t="shared" ref="CF30" si="19">AD9</f>
        <v>0</v>
      </c>
      <c r="CG30" s="14">
        <f t="shared" ref="CG30" si="20">AE9</f>
        <v>0</v>
      </c>
      <c r="CH30" s="14">
        <f t="shared" ref="CH30" si="21">AF9</f>
        <v>0</v>
      </c>
      <c r="CI30" s="14">
        <f t="shared" ref="CI30" si="22">AG9</f>
        <v>0</v>
      </c>
      <c r="CJ30" s="14">
        <f t="shared" ref="CJ30" si="23">AH9</f>
        <v>0</v>
      </c>
      <c r="CK30" s="14">
        <f t="shared" ref="CK30" si="24">AI9</f>
        <v>0</v>
      </c>
      <c r="CL30" s="14">
        <f t="shared" ref="CL30" si="25">AJ9</f>
        <v>0</v>
      </c>
      <c r="CM30" s="14">
        <f t="shared" ref="CM30" si="26">AK9</f>
        <v>0</v>
      </c>
      <c r="CN30" s="14">
        <f t="shared" ref="CN30" si="27">AL9</f>
        <v>0</v>
      </c>
      <c r="CO30" s="14">
        <f t="shared" ref="CO30" si="28">AM9</f>
        <v>0</v>
      </c>
      <c r="CP30" s="14">
        <f t="shared" ref="CP30" si="29">AN9</f>
        <v>0</v>
      </c>
      <c r="CQ30" s="14">
        <f t="shared" ref="CQ30" si="30">AO9</f>
        <v>0</v>
      </c>
      <c r="CR30" s="14">
        <f t="shared" ref="CR30" si="31">AP9</f>
        <v>0</v>
      </c>
      <c r="CS30" s="14">
        <f t="shared" ref="CS30" si="32">AQ9</f>
        <v>0</v>
      </c>
      <c r="CT30" s="14">
        <f t="shared" ref="CT30" si="33">AR9</f>
        <v>0</v>
      </c>
      <c r="CU30" s="14">
        <f t="shared" ref="CU30" si="34">AS9</f>
        <v>0</v>
      </c>
      <c r="CV30" s="14">
        <f t="shared" ref="CV30" si="35">AT9</f>
        <v>0</v>
      </c>
      <c r="CW30" s="14">
        <f t="shared" ref="CW30" si="36">AU9</f>
        <v>0</v>
      </c>
      <c r="CX30" s="14">
        <f t="shared" ref="CX30" si="37">AV9</f>
        <v>0</v>
      </c>
      <c r="CY30" s="14">
        <f t="shared" ref="CY30" si="38">AW9</f>
        <v>0</v>
      </c>
      <c r="CZ30" s="14">
        <f t="shared" ref="CZ30" si="39">AX9</f>
        <v>0</v>
      </c>
      <c r="DA30" s="14">
        <f t="shared" ref="DA30" si="40">AY9</f>
        <v>0</v>
      </c>
      <c r="DB30" s="14">
        <f t="shared" ref="DB30" si="41">AZ9</f>
        <v>0</v>
      </c>
      <c r="DC30" s="14">
        <f t="shared" ref="DC30" si="42">BA9</f>
        <v>0</v>
      </c>
      <c r="DD30" s="14">
        <f t="shared" ref="DD30" si="43">BB9</f>
        <v>0</v>
      </c>
      <c r="DE30" s="14">
        <f t="shared" ref="DE30" si="44">BC9</f>
        <v>0</v>
      </c>
      <c r="DF30" s="14">
        <f t="shared" ref="DF30" si="45">BD9</f>
        <v>0</v>
      </c>
      <c r="DG30" s="14">
        <f t="shared" ref="DG30" si="46">BE9</f>
        <v>0</v>
      </c>
      <c r="DH30" s="14">
        <f t="shared" ref="DH30" si="47">BF9</f>
        <v>0</v>
      </c>
      <c r="DI30" s="14">
        <f t="shared" ref="DI30" si="48">BG9</f>
        <v>0</v>
      </c>
      <c r="DJ30" s="14">
        <f t="shared" ref="DJ30" si="49">BH9</f>
        <v>0</v>
      </c>
      <c r="DK30" s="14">
        <f t="shared" ref="DK30" si="50">BI9</f>
        <v>0</v>
      </c>
      <c r="DL30" s="14">
        <f t="shared" ref="DL30" si="51">BJ9</f>
        <v>0</v>
      </c>
      <c r="DM30" s="14">
        <f t="shared" ref="DM30" si="52">BK9</f>
        <v>0</v>
      </c>
      <c r="DN30" s="14">
        <f t="shared" ref="DN30" si="53">BL9</f>
        <v>0</v>
      </c>
      <c r="DO30" s="14">
        <f t="shared" ref="DO30" si="54">BM9</f>
        <v>0</v>
      </c>
      <c r="DP30" s="14">
        <f t="shared" ref="DP30" si="55">BN9</f>
        <v>0</v>
      </c>
      <c r="DQ30" s="14">
        <f t="shared" ref="DQ30" si="56">BO9</f>
        <v>0</v>
      </c>
      <c r="DR30" s="14">
        <f t="shared" ref="DR30" si="57">BP9</f>
        <v>0</v>
      </c>
      <c r="DS30" s="14">
        <f t="shared" ref="DS30" si="58">BQ9</f>
        <v>0</v>
      </c>
      <c r="DT30" s="14">
        <f t="shared" ref="DT30" si="59">BR9</f>
        <v>0</v>
      </c>
      <c r="DU30" s="14">
        <f t="shared" ref="DU30" si="60">BS9</f>
        <v>0</v>
      </c>
      <c r="DV30" s="14">
        <f t="shared" ref="DV30" si="61">BT9</f>
        <v>0</v>
      </c>
      <c r="DW30" s="14">
        <f t="shared" ref="DW30" si="62">BU9</f>
        <v>0</v>
      </c>
      <c r="DX30" s="14">
        <f t="shared" ref="DX30" si="63">BV9</f>
        <v>0</v>
      </c>
      <c r="DY30" s="14">
        <f t="shared" ref="DY30" si="64">BW9</f>
        <v>0</v>
      </c>
      <c r="DZ30" s="14">
        <f t="shared" ref="DZ30" si="65">BX9</f>
        <v>0</v>
      </c>
      <c r="EA30" s="14">
        <f t="shared" ref="EA30" si="66">BY9</f>
        <v>0</v>
      </c>
      <c r="EB30" s="14">
        <f t="shared" ref="EB30" si="67">BZ9</f>
        <v>0</v>
      </c>
      <c r="EC30" s="14">
        <f t="shared" ref="EC30" si="68">CA9</f>
        <v>0</v>
      </c>
      <c r="ED30" s="14">
        <f t="shared" ref="ED30" si="69">CB9</f>
        <v>0</v>
      </c>
      <c r="EE30" s="14">
        <f t="shared" ref="EE30" si="70">CC9</f>
        <v>0</v>
      </c>
      <c r="EF30" s="14">
        <f t="shared" ref="EF30" si="71">CD9</f>
        <v>0</v>
      </c>
      <c r="EG30" s="14">
        <f t="shared" ref="EG30" si="72">CE9</f>
        <v>0</v>
      </c>
      <c r="EH30" s="14">
        <f t="shared" ref="EH30" si="73">CF9</f>
        <v>0</v>
      </c>
      <c r="EI30" s="14">
        <f t="shared" ref="EI30" si="74">CG9</f>
        <v>0</v>
      </c>
      <c r="EJ30" s="14">
        <f t="shared" ref="EJ30" si="75">CH9</f>
        <v>0</v>
      </c>
      <c r="EK30" s="14">
        <f t="shared" ref="EK30" si="76">CI9</f>
        <v>0</v>
      </c>
      <c r="EL30" s="14">
        <f t="shared" ref="EL30" si="77">CJ9</f>
        <v>0</v>
      </c>
      <c r="EM30" s="14">
        <f t="shared" ref="EM30" si="78">CK9</f>
        <v>0</v>
      </c>
      <c r="EN30" s="14">
        <f t="shared" ref="EN30" si="79">CL9</f>
        <v>0</v>
      </c>
      <c r="EO30" s="14">
        <f t="shared" ref="EO30" si="80">CM9</f>
        <v>0</v>
      </c>
      <c r="EP30" s="14">
        <f t="shared" ref="EP30" si="81">CN9</f>
        <v>0</v>
      </c>
      <c r="EQ30" s="14">
        <f t="shared" ref="EQ30" si="82">CO9</f>
        <v>0</v>
      </c>
      <c r="ER30" s="14">
        <f t="shared" ref="ER30" si="83">CP9</f>
        <v>0</v>
      </c>
      <c r="ES30" s="14">
        <f t="shared" ref="ES30" si="84">CQ9</f>
        <v>0</v>
      </c>
      <c r="ET30" s="14">
        <f t="shared" ref="ET30" si="85">CR9</f>
        <v>0</v>
      </c>
      <c r="EU30" s="14">
        <f t="shared" ref="EU30" si="86">CS9</f>
        <v>0</v>
      </c>
      <c r="EV30" s="14">
        <f t="shared" ref="EV30" si="87">CT9</f>
        <v>0</v>
      </c>
      <c r="EW30" s="14">
        <f t="shared" ref="EW30" si="88">CU9</f>
        <v>0</v>
      </c>
      <c r="EX30" s="14">
        <f t="shared" ref="EX30" si="89">CV9</f>
        <v>0</v>
      </c>
      <c r="EY30" s="14">
        <f t="shared" ref="EY30" si="90">CW9</f>
        <v>0</v>
      </c>
      <c r="EZ30" s="14">
        <f t="shared" ref="EZ30" si="91">CX9</f>
        <v>0</v>
      </c>
      <c r="FA30" s="14">
        <f t="shared" ref="FA30" si="92">CY9</f>
        <v>0</v>
      </c>
      <c r="FB30" s="14">
        <f t="shared" ref="FB30" si="93">CZ9</f>
        <v>0</v>
      </c>
      <c r="FC30" s="14">
        <f t="shared" ref="FC30" si="94">DA9</f>
        <v>0</v>
      </c>
      <c r="FD30" s="14">
        <f t="shared" ref="FD30" si="95">DB9</f>
        <v>0</v>
      </c>
      <c r="FE30" s="14">
        <f t="shared" ref="FE30" si="96">DC9</f>
        <v>0</v>
      </c>
      <c r="FF30" s="14">
        <f t="shared" ref="FF30" si="97">DD9</f>
        <v>0</v>
      </c>
      <c r="FG30" s="14">
        <f t="shared" ref="FG30" si="98">DE9</f>
        <v>0</v>
      </c>
      <c r="FH30" s="14">
        <f t="shared" ref="FH30" si="99">DF9</f>
        <v>0</v>
      </c>
      <c r="FI30" s="14">
        <f t="shared" ref="FI30" si="100">DG9</f>
        <v>0</v>
      </c>
      <c r="FJ30" s="14">
        <f t="shared" ref="FJ30" si="101">DH9</f>
        <v>0</v>
      </c>
      <c r="FK30" s="14">
        <f t="shared" ref="FK30" si="102">DI9</f>
        <v>0</v>
      </c>
      <c r="FL30" s="14">
        <f t="shared" ref="FL30" si="103">DJ9</f>
        <v>0</v>
      </c>
      <c r="FM30" s="14">
        <f t="shared" ref="FM30" si="104">DK9</f>
        <v>0</v>
      </c>
      <c r="FN30" s="14">
        <f t="shared" ref="FN30" si="105">DL9</f>
        <v>0</v>
      </c>
      <c r="FO30" s="14">
        <f t="shared" ref="FO30" si="106">DM9</f>
        <v>0</v>
      </c>
      <c r="FP30" s="14">
        <f t="shared" ref="FP30" si="107">DN9</f>
        <v>0</v>
      </c>
      <c r="FQ30" s="14">
        <f t="shared" ref="FQ30" si="108">DO9</f>
        <v>0</v>
      </c>
      <c r="FR30" s="14">
        <f t="shared" ref="FR30" si="109">DP9</f>
        <v>0</v>
      </c>
      <c r="FS30" s="14">
        <f t="shared" ref="FS30" si="110">DQ9</f>
        <v>0</v>
      </c>
      <c r="FT30" s="14">
        <f t="shared" ref="FT30" si="111">DR9</f>
        <v>0</v>
      </c>
      <c r="FU30" s="14">
        <f t="shared" ref="FU30" si="112">DS9</f>
        <v>0</v>
      </c>
      <c r="FV30" s="14">
        <f t="shared" ref="FV30" si="113">DT9</f>
        <v>0</v>
      </c>
      <c r="FW30" s="14">
        <f t="shared" ref="FW30" si="114">DU9</f>
        <v>0</v>
      </c>
      <c r="FX30" s="14">
        <f t="shared" ref="FX30" si="115">DV9</f>
        <v>0</v>
      </c>
      <c r="FY30" s="14">
        <f t="shared" ref="FY30" si="116">DW9</f>
        <v>0</v>
      </c>
      <c r="FZ30" s="14">
        <f t="shared" ref="FZ30" si="117">DX9</f>
        <v>0</v>
      </c>
      <c r="GA30" s="14">
        <f t="shared" ref="GA30" si="118">DY9</f>
        <v>0</v>
      </c>
      <c r="GB30" s="14">
        <f t="shared" ref="GB30" si="119">DZ9</f>
        <v>0</v>
      </c>
      <c r="GC30" s="14">
        <f t="shared" ref="GC30" si="120">EA9</f>
        <v>0</v>
      </c>
      <c r="GD30" s="14">
        <f t="shared" ref="GD30" si="121">EB9</f>
        <v>0</v>
      </c>
      <c r="GE30" s="14">
        <f t="shared" ref="GE30" si="122">EC9</f>
        <v>0</v>
      </c>
      <c r="GF30" s="14">
        <f t="shared" ref="GF30" si="123">ED9</f>
        <v>0</v>
      </c>
      <c r="GG30" s="14">
        <f t="shared" ref="GG30" si="124">EE9</f>
        <v>0</v>
      </c>
      <c r="GH30" s="14">
        <f t="shared" ref="GH30" si="125">EF9</f>
        <v>0</v>
      </c>
      <c r="GI30" s="14">
        <f t="shared" ref="GI30" si="126">EG9</f>
        <v>0</v>
      </c>
      <c r="GJ30" s="14">
        <f t="shared" ref="GJ30" si="127">EH9</f>
        <v>0</v>
      </c>
      <c r="GK30" s="14">
        <f t="shared" ref="GK30" si="128">EI9</f>
        <v>0</v>
      </c>
      <c r="GL30" s="14">
        <f t="shared" ref="GL30" si="129">EJ9</f>
        <v>0</v>
      </c>
      <c r="GM30" s="14">
        <f t="shared" ref="GM30" si="130">EK9</f>
        <v>0</v>
      </c>
      <c r="GN30" s="14">
        <f t="shared" ref="GN30" si="131">EL9</f>
        <v>0</v>
      </c>
      <c r="GO30" s="14">
        <f t="shared" ref="GO30" si="132">EM9</f>
        <v>0</v>
      </c>
      <c r="GP30" s="14">
        <f t="shared" ref="GP30" si="133">EN9</f>
        <v>0</v>
      </c>
      <c r="GQ30" s="14">
        <f t="shared" ref="GQ30" si="134">EO9</f>
        <v>0</v>
      </c>
      <c r="GR30" s="14">
        <f t="shared" ref="GR30" si="135">EP9</f>
        <v>0</v>
      </c>
      <c r="GS30" s="14">
        <f t="shared" ref="GS30" si="136">EQ9</f>
        <v>0</v>
      </c>
      <c r="GT30" s="14">
        <f t="shared" ref="GT30" si="137">ER9</f>
        <v>0</v>
      </c>
      <c r="GU30" s="14">
        <f t="shared" ref="GU30" si="138">ES9</f>
        <v>0</v>
      </c>
      <c r="GV30" s="14">
        <f t="shared" ref="GV30" si="139">ET9</f>
        <v>0</v>
      </c>
      <c r="GW30" s="14">
        <f t="shared" ref="GW30" si="140">EU9</f>
        <v>0</v>
      </c>
      <c r="GX30" s="14">
        <f t="shared" ref="GX30" si="141">EV9</f>
        <v>0</v>
      </c>
      <c r="GY30" s="14">
        <f t="shared" ref="GY30" si="142">EW9</f>
        <v>0</v>
      </c>
      <c r="GZ30" s="14">
        <f t="shared" ref="GZ30" si="143">EX9</f>
        <v>0</v>
      </c>
      <c r="HA30" s="14">
        <f t="shared" ref="HA30" si="144">EY9</f>
        <v>0</v>
      </c>
      <c r="HB30" s="14">
        <f t="shared" ref="HB30" si="145">EZ9</f>
        <v>0</v>
      </c>
      <c r="HC30" s="14">
        <f t="shared" ref="HC30" si="146">FA9</f>
        <v>0</v>
      </c>
      <c r="HD30" s="14">
        <f t="shared" ref="HD30" si="147">FB9</f>
        <v>0</v>
      </c>
      <c r="HE30" s="14">
        <f t="shared" ref="HE30" si="148">FC9</f>
        <v>0</v>
      </c>
      <c r="HF30" s="14">
        <f t="shared" ref="HF30" si="149">FD9</f>
        <v>0</v>
      </c>
      <c r="HG30" s="14">
        <f t="shared" ref="HG30" si="150">FE9</f>
        <v>0</v>
      </c>
      <c r="HH30" s="14">
        <f t="shared" ref="HH30" si="151">FF9</f>
        <v>0</v>
      </c>
      <c r="HI30" s="14">
        <f t="shared" ref="HI30" si="152">FG9</f>
        <v>0</v>
      </c>
      <c r="HJ30" s="14">
        <f t="shared" ref="HJ30" si="153">FH9</f>
        <v>0</v>
      </c>
      <c r="HK30" s="14">
        <f t="shared" ref="HK30" si="154">FI9</f>
        <v>0</v>
      </c>
      <c r="HL30" s="14">
        <f t="shared" ref="HL30" si="155">FJ9</f>
        <v>0</v>
      </c>
      <c r="HM30" s="14">
        <f t="shared" ref="HM30" si="156">FK9</f>
        <v>0</v>
      </c>
      <c r="HN30" s="14">
        <f t="shared" ref="HN30" si="157">FL9</f>
        <v>0</v>
      </c>
      <c r="HO30" s="14">
        <f t="shared" ref="HO30" si="158">FM9</f>
        <v>0</v>
      </c>
      <c r="HP30" s="14">
        <f t="shared" ref="HP30" si="159">FN9</f>
        <v>0</v>
      </c>
      <c r="HQ30" s="14">
        <f t="shared" ref="HQ30" si="160">FO9</f>
        <v>0</v>
      </c>
      <c r="HR30" s="14">
        <f t="shared" ref="HR30" si="161">FP9</f>
        <v>0</v>
      </c>
      <c r="HS30" s="14">
        <f t="shared" ref="HS30" si="162">FQ9</f>
        <v>0</v>
      </c>
      <c r="HT30" s="14">
        <f t="shared" ref="HT30" si="163">FR9</f>
        <v>0</v>
      </c>
      <c r="HU30" s="14">
        <f t="shared" ref="HU30" si="164">FS9</f>
        <v>0</v>
      </c>
      <c r="HV30" s="14">
        <f t="shared" ref="HV30" si="165">FT9</f>
        <v>0</v>
      </c>
      <c r="HW30" s="14">
        <f t="shared" ref="HW30" si="166">FU9</f>
        <v>0</v>
      </c>
      <c r="HX30" s="14">
        <f t="shared" ref="HX30" si="167">FV9</f>
        <v>0</v>
      </c>
      <c r="HY30" s="14">
        <f t="shared" ref="HY30" si="168">FW9</f>
        <v>0</v>
      </c>
      <c r="HZ30" s="14">
        <f t="shared" ref="HZ30" si="169">FX9</f>
        <v>0</v>
      </c>
      <c r="IA30" s="14">
        <f t="shared" ref="IA30" si="170">FY9</f>
        <v>0</v>
      </c>
      <c r="IB30" s="14">
        <f t="shared" ref="IB30" si="171">FZ9</f>
        <v>0</v>
      </c>
      <c r="IC30" s="14">
        <f t="shared" ref="IC30" si="172">GA9</f>
        <v>0</v>
      </c>
      <c r="ID30" s="14">
        <f t="shared" ref="ID30" si="173">GB9</f>
        <v>0</v>
      </c>
      <c r="IE30" s="14">
        <f t="shared" ref="IE30" si="174">GC9</f>
        <v>0</v>
      </c>
      <c r="IF30" s="14">
        <f t="shared" ref="IF30" si="175">GD9</f>
        <v>0</v>
      </c>
      <c r="IG30" s="14">
        <f t="shared" ref="IG30" si="176">GE9</f>
        <v>0</v>
      </c>
      <c r="IH30" s="14">
        <f t="shared" ref="IH30" si="177">GF9</f>
        <v>0</v>
      </c>
      <c r="II30" s="14">
        <f t="shared" ref="II30" si="178">GG9</f>
        <v>0</v>
      </c>
      <c r="IJ30" s="14">
        <f t="shared" ref="IJ30" si="179">GH9</f>
        <v>0</v>
      </c>
      <c r="IK30" s="14">
        <f t="shared" ref="IK30" si="180">GI9</f>
        <v>0</v>
      </c>
      <c r="IL30" s="14">
        <f t="shared" ref="IL30" si="181">GJ9</f>
        <v>0</v>
      </c>
      <c r="IM30" s="14">
        <f t="shared" ref="IM30" si="182">GK9</f>
        <v>0</v>
      </c>
      <c r="IN30" s="14">
        <f t="shared" ref="IN30" si="183">GL9</f>
        <v>0</v>
      </c>
      <c r="IO30" s="14">
        <f t="shared" ref="IO30" si="184">GM9</f>
        <v>0</v>
      </c>
      <c r="IP30" s="14">
        <f t="shared" ref="IP30" si="185">GN9</f>
        <v>0</v>
      </c>
      <c r="IQ30" s="14">
        <f t="shared" ref="IQ30" si="186">GO9</f>
        <v>0</v>
      </c>
      <c r="IR30" s="14">
        <f t="shared" ref="IR30" si="187">GP9</f>
        <v>0</v>
      </c>
      <c r="IS30" s="14">
        <f t="shared" ref="IS30" si="188">GQ9</f>
        <v>0</v>
      </c>
      <c r="IT30" s="14">
        <f t="shared" ref="IT30" si="189">GR9</f>
        <v>0</v>
      </c>
      <c r="IU30" s="14">
        <f t="shared" ref="IU30" si="190">GS9</f>
        <v>0</v>
      </c>
    </row>
    <row r="31" spans="1:255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85</v>
      </c>
      <c r="BB31" s="14">
        <f ca="1">IF(BB29=0,0,MIN(OFFSET(BC29,1,1,1,BB29)))</f>
        <v>458</v>
      </c>
      <c r="BD31" s="9">
        <f t="shared" ref="BD31:DO31" ca="1" si="191">IF(BD30=0,0,LOG(BD30/$BB$31,10))</f>
        <v>1.5570393961987954</v>
      </c>
      <c r="BE31" s="9">
        <f t="shared" ca="1" si="191"/>
        <v>1.4486118229548663</v>
      </c>
      <c r="BF31" s="9">
        <f t="shared" ca="1" si="191"/>
        <v>2.4640819444072108</v>
      </c>
      <c r="BG31" s="9">
        <f t="shared" ca="1" si="191"/>
        <v>1.2064841391849233</v>
      </c>
      <c r="BH31" s="9">
        <f t="shared" ca="1" si="191"/>
        <v>2.6874588596965174</v>
      </c>
      <c r="BI31" s="9">
        <f t="shared" ca="1" si="191"/>
        <v>2.5709480475353881</v>
      </c>
      <c r="BJ31" s="9">
        <f t="shared" ca="1" si="191"/>
        <v>1.9671758774125212</v>
      </c>
      <c r="BK31" s="9">
        <f t="shared" ca="1" si="191"/>
        <v>1.8913158608354663</v>
      </c>
      <c r="BL31" s="9">
        <f t="shared" ca="1" si="191"/>
        <v>2.0636561491146934</v>
      </c>
      <c r="BM31" s="9">
        <f t="shared" ca="1" si="191"/>
        <v>1.0158281316209972</v>
      </c>
      <c r="BN31" s="9">
        <f t="shared" ca="1" si="191"/>
        <v>7.5204386861309949E-3</v>
      </c>
      <c r="BO31" s="9">
        <f t="shared" ca="1" si="191"/>
        <v>0</v>
      </c>
      <c r="BP31" s="9">
        <f t="shared" si="191"/>
        <v>0</v>
      </c>
      <c r="BQ31" s="9">
        <f t="shared" si="191"/>
        <v>0</v>
      </c>
      <c r="BR31" s="9">
        <f t="shared" si="191"/>
        <v>0</v>
      </c>
      <c r="BS31" s="9">
        <f t="shared" si="191"/>
        <v>0</v>
      </c>
      <c r="BT31" s="9">
        <f t="shared" si="191"/>
        <v>0</v>
      </c>
      <c r="BU31" s="9">
        <f t="shared" si="191"/>
        <v>0</v>
      </c>
      <c r="BV31" s="9">
        <f t="shared" si="191"/>
        <v>0</v>
      </c>
      <c r="BW31" s="9">
        <f t="shared" si="191"/>
        <v>0</v>
      </c>
      <c r="BX31" s="9">
        <f t="shared" si="191"/>
        <v>0</v>
      </c>
      <c r="BY31" s="9">
        <f t="shared" si="191"/>
        <v>0</v>
      </c>
      <c r="BZ31" s="9">
        <f t="shared" si="191"/>
        <v>0</v>
      </c>
      <c r="CA31" s="9">
        <f t="shared" si="191"/>
        <v>0</v>
      </c>
      <c r="CB31" s="9">
        <f t="shared" si="191"/>
        <v>0</v>
      </c>
      <c r="CC31" s="9">
        <f t="shared" si="191"/>
        <v>0</v>
      </c>
      <c r="CD31" s="9">
        <f t="shared" si="191"/>
        <v>0</v>
      </c>
      <c r="CE31" s="9">
        <f t="shared" si="191"/>
        <v>0</v>
      </c>
      <c r="CF31" s="9">
        <f t="shared" si="191"/>
        <v>0</v>
      </c>
      <c r="CG31" s="9">
        <f t="shared" si="191"/>
        <v>0</v>
      </c>
      <c r="CH31" s="9">
        <f t="shared" si="191"/>
        <v>0</v>
      </c>
      <c r="CI31" s="9">
        <f t="shared" si="191"/>
        <v>0</v>
      </c>
      <c r="CJ31" s="9">
        <f t="shared" si="191"/>
        <v>0</v>
      </c>
      <c r="CK31" s="9">
        <f t="shared" si="191"/>
        <v>0</v>
      </c>
      <c r="CL31" s="9">
        <f t="shared" si="191"/>
        <v>0</v>
      </c>
      <c r="CM31" s="9">
        <f t="shared" si="191"/>
        <v>0</v>
      </c>
      <c r="CN31" s="9">
        <f t="shared" si="191"/>
        <v>0</v>
      </c>
      <c r="CO31" s="9">
        <f t="shared" si="191"/>
        <v>0</v>
      </c>
      <c r="CP31" s="9">
        <f t="shared" si="191"/>
        <v>0</v>
      </c>
      <c r="CQ31" s="9">
        <f t="shared" si="191"/>
        <v>0</v>
      </c>
      <c r="CR31" s="9">
        <f t="shared" si="191"/>
        <v>0</v>
      </c>
      <c r="CS31" s="9">
        <f t="shared" si="191"/>
        <v>0</v>
      </c>
      <c r="CT31" s="9">
        <f t="shared" si="191"/>
        <v>0</v>
      </c>
      <c r="CU31" s="9">
        <f t="shared" si="191"/>
        <v>0</v>
      </c>
      <c r="CV31" s="9">
        <f t="shared" si="191"/>
        <v>0</v>
      </c>
      <c r="CW31" s="9">
        <f t="shared" si="191"/>
        <v>0</v>
      </c>
      <c r="CX31" s="9">
        <f t="shared" si="191"/>
        <v>0</v>
      </c>
      <c r="CY31" s="9">
        <f t="shared" si="191"/>
        <v>0</v>
      </c>
      <c r="CZ31" s="9">
        <f t="shared" si="191"/>
        <v>0</v>
      </c>
      <c r="DA31" s="9">
        <f t="shared" si="191"/>
        <v>0</v>
      </c>
      <c r="DB31" s="9">
        <f t="shared" si="191"/>
        <v>0</v>
      </c>
      <c r="DC31" s="9">
        <f t="shared" si="191"/>
        <v>0</v>
      </c>
      <c r="DD31" s="9">
        <f t="shared" si="191"/>
        <v>0</v>
      </c>
      <c r="DE31" s="9">
        <f t="shared" si="191"/>
        <v>0</v>
      </c>
      <c r="DF31" s="9">
        <f t="shared" si="191"/>
        <v>0</v>
      </c>
      <c r="DG31" s="9">
        <f t="shared" si="191"/>
        <v>0</v>
      </c>
      <c r="DH31" s="9">
        <f t="shared" si="191"/>
        <v>0</v>
      </c>
      <c r="DI31" s="9">
        <f t="shared" si="191"/>
        <v>0</v>
      </c>
      <c r="DJ31" s="9">
        <f t="shared" si="191"/>
        <v>0</v>
      </c>
      <c r="DK31" s="9">
        <f t="shared" si="191"/>
        <v>0</v>
      </c>
      <c r="DL31" s="9">
        <f t="shared" si="191"/>
        <v>0</v>
      </c>
      <c r="DM31" s="9">
        <f t="shared" si="191"/>
        <v>0</v>
      </c>
      <c r="DN31" s="9">
        <f t="shared" si="191"/>
        <v>0</v>
      </c>
      <c r="DO31" s="9">
        <f t="shared" si="191"/>
        <v>0</v>
      </c>
      <c r="DP31" s="9">
        <f t="shared" ref="DP31:GA31" si="192">IF(DP30=0,0,LOG(DP30/$BB$31,10))</f>
        <v>0</v>
      </c>
      <c r="DQ31" s="9">
        <f t="shared" si="192"/>
        <v>0</v>
      </c>
      <c r="DR31" s="9">
        <f t="shared" si="192"/>
        <v>0</v>
      </c>
      <c r="DS31" s="9">
        <f t="shared" si="192"/>
        <v>0</v>
      </c>
      <c r="DT31" s="9">
        <f t="shared" si="192"/>
        <v>0</v>
      </c>
      <c r="DU31" s="9">
        <f t="shared" si="192"/>
        <v>0</v>
      </c>
      <c r="DV31" s="9">
        <f t="shared" si="192"/>
        <v>0</v>
      </c>
      <c r="DW31" s="9">
        <f t="shared" si="192"/>
        <v>0</v>
      </c>
      <c r="DX31" s="9">
        <f t="shared" si="192"/>
        <v>0</v>
      </c>
      <c r="DY31" s="9">
        <f t="shared" si="192"/>
        <v>0</v>
      </c>
      <c r="DZ31" s="9">
        <f t="shared" si="192"/>
        <v>0</v>
      </c>
      <c r="EA31" s="9">
        <f t="shared" si="192"/>
        <v>0</v>
      </c>
      <c r="EB31" s="9">
        <f t="shared" si="192"/>
        <v>0</v>
      </c>
      <c r="EC31" s="9">
        <f t="shared" si="192"/>
        <v>0</v>
      </c>
      <c r="ED31" s="9">
        <f t="shared" si="192"/>
        <v>0</v>
      </c>
      <c r="EE31" s="9">
        <f t="shared" si="192"/>
        <v>0</v>
      </c>
      <c r="EF31" s="9">
        <f t="shared" si="192"/>
        <v>0</v>
      </c>
      <c r="EG31" s="9">
        <f t="shared" si="192"/>
        <v>0</v>
      </c>
      <c r="EH31" s="9">
        <f t="shared" si="192"/>
        <v>0</v>
      </c>
      <c r="EI31" s="9">
        <f t="shared" si="192"/>
        <v>0</v>
      </c>
      <c r="EJ31" s="9">
        <f t="shared" si="192"/>
        <v>0</v>
      </c>
      <c r="EK31" s="9">
        <f t="shared" si="192"/>
        <v>0</v>
      </c>
      <c r="EL31" s="9">
        <f t="shared" si="192"/>
        <v>0</v>
      </c>
      <c r="EM31" s="9">
        <f t="shared" si="192"/>
        <v>0</v>
      </c>
      <c r="EN31" s="9">
        <f t="shared" si="192"/>
        <v>0</v>
      </c>
      <c r="EO31" s="9">
        <f t="shared" si="192"/>
        <v>0</v>
      </c>
      <c r="EP31" s="9">
        <f t="shared" si="192"/>
        <v>0</v>
      </c>
      <c r="EQ31" s="9">
        <f t="shared" si="192"/>
        <v>0</v>
      </c>
      <c r="ER31" s="9">
        <f t="shared" si="192"/>
        <v>0</v>
      </c>
      <c r="ES31" s="9">
        <f t="shared" si="192"/>
        <v>0</v>
      </c>
      <c r="ET31" s="9">
        <f t="shared" si="192"/>
        <v>0</v>
      </c>
      <c r="EU31" s="9">
        <f t="shared" si="192"/>
        <v>0</v>
      </c>
      <c r="EV31" s="9">
        <f t="shared" si="192"/>
        <v>0</v>
      </c>
      <c r="EW31" s="9">
        <f t="shared" si="192"/>
        <v>0</v>
      </c>
      <c r="EX31" s="9">
        <f t="shared" si="192"/>
        <v>0</v>
      </c>
      <c r="EY31" s="9">
        <f t="shared" si="192"/>
        <v>0</v>
      </c>
      <c r="EZ31" s="9">
        <f t="shared" si="192"/>
        <v>0</v>
      </c>
      <c r="FA31" s="9">
        <f t="shared" si="192"/>
        <v>0</v>
      </c>
      <c r="FB31" s="9">
        <f t="shared" si="192"/>
        <v>0</v>
      </c>
      <c r="FC31" s="9">
        <f t="shared" si="192"/>
        <v>0</v>
      </c>
      <c r="FD31" s="9">
        <f t="shared" si="192"/>
        <v>0</v>
      </c>
      <c r="FE31" s="9">
        <f t="shared" si="192"/>
        <v>0</v>
      </c>
      <c r="FF31" s="9">
        <f t="shared" si="192"/>
        <v>0</v>
      </c>
      <c r="FG31" s="9">
        <f t="shared" si="192"/>
        <v>0</v>
      </c>
      <c r="FH31" s="9">
        <f t="shared" si="192"/>
        <v>0</v>
      </c>
      <c r="FI31" s="9">
        <f t="shared" si="192"/>
        <v>0</v>
      </c>
      <c r="FJ31" s="9">
        <f t="shared" si="192"/>
        <v>0</v>
      </c>
      <c r="FK31" s="9">
        <f t="shared" si="192"/>
        <v>0</v>
      </c>
      <c r="FL31" s="9">
        <f t="shared" si="192"/>
        <v>0</v>
      </c>
      <c r="FM31" s="9">
        <f t="shared" si="192"/>
        <v>0</v>
      </c>
      <c r="FN31" s="9">
        <f t="shared" si="192"/>
        <v>0</v>
      </c>
      <c r="FO31" s="9">
        <f t="shared" si="192"/>
        <v>0</v>
      </c>
      <c r="FP31" s="9">
        <f t="shared" si="192"/>
        <v>0</v>
      </c>
      <c r="FQ31" s="9">
        <f t="shared" si="192"/>
        <v>0</v>
      </c>
      <c r="FR31" s="9">
        <f t="shared" si="192"/>
        <v>0</v>
      </c>
      <c r="FS31" s="9">
        <f t="shared" si="192"/>
        <v>0</v>
      </c>
      <c r="FT31" s="9">
        <f t="shared" si="192"/>
        <v>0</v>
      </c>
      <c r="FU31" s="9">
        <f t="shared" si="192"/>
        <v>0</v>
      </c>
      <c r="FV31" s="9">
        <f t="shared" si="192"/>
        <v>0</v>
      </c>
      <c r="FW31" s="9">
        <f t="shared" si="192"/>
        <v>0</v>
      </c>
      <c r="FX31" s="9">
        <f t="shared" si="192"/>
        <v>0</v>
      </c>
      <c r="FY31" s="9">
        <f t="shared" si="192"/>
        <v>0</v>
      </c>
      <c r="FZ31" s="9">
        <f t="shared" si="192"/>
        <v>0</v>
      </c>
      <c r="GA31" s="9">
        <f t="shared" si="192"/>
        <v>0</v>
      </c>
      <c r="GB31" s="9">
        <f t="shared" ref="GB31:IM31" si="193">IF(GB30=0,0,LOG(GB30/$BB$31,10))</f>
        <v>0</v>
      </c>
      <c r="GC31" s="9">
        <f t="shared" si="193"/>
        <v>0</v>
      </c>
      <c r="GD31" s="9">
        <f t="shared" si="193"/>
        <v>0</v>
      </c>
      <c r="GE31" s="9">
        <f t="shared" si="193"/>
        <v>0</v>
      </c>
      <c r="GF31" s="9">
        <f t="shared" si="193"/>
        <v>0</v>
      </c>
      <c r="GG31" s="9">
        <f t="shared" si="193"/>
        <v>0</v>
      </c>
      <c r="GH31" s="9">
        <f t="shared" si="193"/>
        <v>0</v>
      </c>
      <c r="GI31" s="9">
        <f t="shared" si="193"/>
        <v>0</v>
      </c>
      <c r="GJ31" s="9">
        <f t="shared" si="193"/>
        <v>0</v>
      </c>
      <c r="GK31" s="9">
        <f t="shared" si="193"/>
        <v>0</v>
      </c>
      <c r="GL31" s="9">
        <f t="shared" si="193"/>
        <v>0</v>
      </c>
      <c r="GM31" s="9">
        <f t="shared" si="193"/>
        <v>0</v>
      </c>
      <c r="GN31" s="9">
        <f t="shared" si="193"/>
        <v>0</v>
      </c>
      <c r="GO31" s="9">
        <f t="shared" si="193"/>
        <v>0</v>
      </c>
      <c r="GP31" s="9">
        <f t="shared" si="193"/>
        <v>0</v>
      </c>
      <c r="GQ31" s="9">
        <f t="shared" si="193"/>
        <v>0</v>
      </c>
      <c r="GR31" s="9">
        <f t="shared" si="193"/>
        <v>0</v>
      </c>
      <c r="GS31" s="9">
        <f t="shared" si="193"/>
        <v>0</v>
      </c>
      <c r="GT31" s="9">
        <f t="shared" si="193"/>
        <v>0</v>
      </c>
      <c r="GU31" s="9">
        <f t="shared" si="193"/>
        <v>0</v>
      </c>
      <c r="GV31" s="9">
        <f t="shared" si="193"/>
        <v>0</v>
      </c>
      <c r="GW31" s="9">
        <f t="shared" si="193"/>
        <v>0</v>
      </c>
      <c r="GX31" s="9">
        <f t="shared" si="193"/>
        <v>0</v>
      </c>
      <c r="GY31" s="9">
        <f t="shared" si="193"/>
        <v>0</v>
      </c>
      <c r="GZ31" s="9">
        <f t="shared" si="193"/>
        <v>0</v>
      </c>
      <c r="HA31" s="9">
        <f t="shared" si="193"/>
        <v>0</v>
      </c>
      <c r="HB31" s="9">
        <f t="shared" si="193"/>
        <v>0</v>
      </c>
      <c r="HC31" s="9">
        <f t="shared" si="193"/>
        <v>0</v>
      </c>
      <c r="HD31" s="9">
        <f t="shared" si="193"/>
        <v>0</v>
      </c>
      <c r="HE31" s="9">
        <f t="shared" si="193"/>
        <v>0</v>
      </c>
      <c r="HF31" s="9">
        <f t="shared" si="193"/>
        <v>0</v>
      </c>
      <c r="HG31" s="9">
        <f t="shared" si="193"/>
        <v>0</v>
      </c>
      <c r="HH31" s="9">
        <f t="shared" si="193"/>
        <v>0</v>
      </c>
      <c r="HI31" s="9">
        <f t="shared" si="193"/>
        <v>0</v>
      </c>
      <c r="HJ31" s="9">
        <f t="shared" si="193"/>
        <v>0</v>
      </c>
      <c r="HK31" s="9">
        <f t="shared" si="193"/>
        <v>0</v>
      </c>
      <c r="HL31" s="9">
        <f t="shared" si="193"/>
        <v>0</v>
      </c>
      <c r="HM31" s="9">
        <f t="shared" si="193"/>
        <v>0</v>
      </c>
      <c r="HN31" s="9">
        <f t="shared" si="193"/>
        <v>0</v>
      </c>
      <c r="HO31" s="9">
        <f t="shared" si="193"/>
        <v>0</v>
      </c>
      <c r="HP31" s="9">
        <f t="shared" si="193"/>
        <v>0</v>
      </c>
      <c r="HQ31" s="9">
        <f t="shared" si="193"/>
        <v>0</v>
      </c>
      <c r="HR31" s="9">
        <f t="shared" si="193"/>
        <v>0</v>
      </c>
      <c r="HS31" s="9">
        <f t="shared" si="193"/>
        <v>0</v>
      </c>
      <c r="HT31" s="9">
        <f t="shared" si="193"/>
        <v>0</v>
      </c>
      <c r="HU31" s="9">
        <f t="shared" si="193"/>
        <v>0</v>
      </c>
      <c r="HV31" s="9">
        <f t="shared" si="193"/>
        <v>0</v>
      </c>
      <c r="HW31" s="9">
        <f t="shared" si="193"/>
        <v>0</v>
      </c>
      <c r="HX31" s="9">
        <f t="shared" si="193"/>
        <v>0</v>
      </c>
      <c r="HY31" s="9">
        <f t="shared" si="193"/>
        <v>0</v>
      </c>
      <c r="HZ31" s="9">
        <f t="shared" si="193"/>
        <v>0</v>
      </c>
      <c r="IA31" s="9">
        <f t="shared" si="193"/>
        <v>0</v>
      </c>
      <c r="IB31" s="9">
        <f t="shared" si="193"/>
        <v>0</v>
      </c>
      <c r="IC31" s="9">
        <f t="shared" si="193"/>
        <v>0</v>
      </c>
      <c r="ID31" s="9">
        <f t="shared" si="193"/>
        <v>0</v>
      </c>
      <c r="IE31" s="9">
        <f t="shared" si="193"/>
        <v>0</v>
      </c>
      <c r="IF31" s="9">
        <f t="shared" si="193"/>
        <v>0</v>
      </c>
      <c r="IG31" s="9">
        <f t="shared" si="193"/>
        <v>0</v>
      </c>
      <c r="IH31" s="9">
        <f t="shared" si="193"/>
        <v>0</v>
      </c>
      <c r="II31" s="9">
        <f t="shared" si="193"/>
        <v>0</v>
      </c>
      <c r="IJ31" s="9">
        <f t="shared" si="193"/>
        <v>0</v>
      </c>
      <c r="IK31" s="9">
        <f t="shared" si="193"/>
        <v>0</v>
      </c>
      <c r="IL31" s="9">
        <f t="shared" si="193"/>
        <v>0</v>
      </c>
      <c r="IM31" s="9">
        <f t="shared" si="193"/>
        <v>0</v>
      </c>
      <c r="IN31" s="9">
        <f t="shared" ref="IN31:IU31" si="194">IF(IN30=0,0,LOG(IN30/$BB$31,10))</f>
        <v>0</v>
      </c>
      <c r="IO31" s="9">
        <f t="shared" si="194"/>
        <v>0</v>
      </c>
      <c r="IP31" s="9">
        <f t="shared" si="194"/>
        <v>0</v>
      </c>
      <c r="IQ31" s="9">
        <f t="shared" si="194"/>
        <v>0</v>
      </c>
      <c r="IR31" s="9">
        <f t="shared" si="194"/>
        <v>0</v>
      </c>
      <c r="IS31" s="9">
        <f t="shared" si="194"/>
        <v>0</v>
      </c>
      <c r="IT31" s="9">
        <f t="shared" si="194"/>
        <v>0</v>
      </c>
      <c r="IU31" s="9">
        <f t="shared" si="194"/>
        <v>0</v>
      </c>
    </row>
    <row r="32" spans="1:255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IF(DIAG!H240,$GL$55,-1)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IF(DIAG!H240,$C$26,-1)</f>
        <v>-1</v>
      </c>
      <c r="BB32" s="17"/>
    </row>
    <row r="33" spans="1:255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IF(DIAG!H240,$GL$56,-1)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IF(DIAG!H240,$C$27,-1)</f>
        <v>-1</v>
      </c>
      <c r="BA33" s="9" t="s">
        <v>87</v>
      </c>
      <c r="BB33" s="14">
        <f ca="1">IF(OR(BB29=0,BB30=BB31),1,LOG(BB30/BB31,10))</f>
        <v>2.6874588596965174</v>
      </c>
      <c r="BD33" s="14">
        <f t="shared" ref="BD33:DO33" ca="1" si="195">BD31/$BB$33</f>
        <v>0.57937236530371472</v>
      </c>
      <c r="BE33" s="9">
        <f t="shared" ca="1" si="195"/>
        <v>0.53902660415737547</v>
      </c>
      <c r="BF33" s="14">
        <f t="shared" ca="1" si="195"/>
        <v>0.91688173588840294</v>
      </c>
      <c r="BG33" s="9">
        <f t="shared" ca="1" si="195"/>
        <v>0.44893120310729745</v>
      </c>
      <c r="BH33" s="9">
        <f t="shared" ca="1" si="195"/>
        <v>1</v>
      </c>
      <c r="BI33" s="9">
        <f t="shared" ca="1" si="195"/>
        <v>0.95664647600436703</v>
      </c>
      <c r="BJ33" s="9">
        <f t="shared" ca="1" si="195"/>
        <v>0.73198362472222755</v>
      </c>
      <c r="BK33" s="9">
        <f t="shared" ca="1" si="195"/>
        <v>0.70375620970400421</v>
      </c>
      <c r="BL33" s="9">
        <f t="shared" ca="1" si="195"/>
        <v>0.76788381026518593</v>
      </c>
      <c r="BM33" s="9">
        <f t="shared" ca="1" si="195"/>
        <v>0.37798834685629756</v>
      </c>
      <c r="BN33" s="14">
        <f t="shared" ca="1" si="195"/>
        <v>2.7983456040626587E-3</v>
      </c>
      <c r="BO33" s="9">
        <f t="shared" ca="1" si="195"/>
        <v>0</v>
      </c>
      <c r="BP33" s="14">
        <f t="shared" ca="1" si="195"/>
        <v>0</v>
      </c>
      <c r="BQ33" s="9">
        <f t="shared" ca="1" si="195"/>
        <v>0</v>
      </c>
      <c r="BR33" s="9">
        <f t="shared" ca="1" si="195"/>
        <v>0</v>
      </c>
      <c r="BS33" s="9">
        <f t="shared" ca="1" si="195"/>
        <v>0</v>
      </c>
      <c r="BT33" s="9">
        <f t="shared" ca="1" si="195"/>
        <v>0</v>
      </c>
      <c r="BU33" s="9">
        <f t="shared" ca="1" si="195"/>
        <v>0</v>
      </c>
      <c r="BV33" s="9">
        <f t="shared" ca="1" si="195"/>
        <v>0</v>
      </c>
      <c r="BW33" s="9">
        <f t="shared" ca="1" si="195"/>
        <v>0</v>
      </c>
      <c r="BX33" s="14">
        <f t="shared" ca="1" si="195"/>
        <v>0</v>
      </c>
      <c r="BY33" s="9">
        <f t="shared" ca="1" si="195"/>
        <v>0</v>
      </c>
      <c r="BZ33" s="14">
        <f t="shared" ca="1" si="195"/>
        <v>0</v>
      </c>
      <c r="CA33" s="9">
        <f t="shared" ca="1" si="195"/>
        <v>0</v>
      </c>
      <c r="CB33" s="9">
        <f t="shared" ca="1" si="195"/>
        <v>0</v>
      </c>
      <c r="CC33" s="9">
        <f t="shared" ca="1" si="195"/>
        <v>0</v>
      </c>
      <c r="CD33" s="9">
        <f t="shared" ca="1" si="195"/>
        <v>0</v>
      </c>
      <c r="CE33" s="9">
        <f t="shared" ca="1" si="195"/>
        <v>0</v>
      </c>
      <c r="CF33" s="9">
        <f t="shared" ca="1" si="195"/>
        <v>0</v>
      </c>
      <c r="CG33" s="9">
        <f t="shared" ca="1" si="195"/>
        <v>0</v>
      </c>
      <c r="CH33" s="14">
        <f t="shared" ca="1" si="195"/>
        <v>0</v>
      </c>
      <c r="CI33" s="9">
        <f t="shared" ca="1" si="195"/>
        <v>0</v>
      </c>
      <c r="CJ33" s="14">
        <f t="shared" ca="1" si="195"/>
        <v>0</v>
      </c>
      <c r="CK33" s="9">
        <f t="shared" ca="1" si="195"/>
        <v>0</v>
      </c>
      <c r="CL33" s="9">
        <f t="shared" ca="1" si="195"/>
        <v>0</v>
      </c>
      <c r="CM33" s="9">
        <f t="shared" ca="1" si="195"/>
        <v>0</v>
      </c>
      <c r="CN33" s="9">
        <f t="shared" ca="1" si="195"/>
        <v>0</v>
      </c>
      <c r="CO33" s="9">
        <f t="shared" ca="1" si="195"/>
        <v>0</v>
      </c>
      <c r="CP33" s="9">
        <f t="shared" ca="1" si="195"/>
        <v>0</v>
      </c>
      <c r="CQ33" s="9">
        <f t="shared" ca="1" si="195"/>
        <v>0</v>
      </c>
      <c r="CR33" s="14">
        <f t="shared" ca="1" si="195"/>
        <v>0</v>
      </c>
      <c r="CS33" s="9">
        <f t="shared" ca="1" si="195"/>
        <v>0</v>
      </c>
      <c r="CT33" s="14">
        <f t="shared" ca="1" si="195"/>
        <v>0</v>
      </c>
      <c r="CU33" s="9">
        <f t="shared" ca="1" si="195"/>
        <v>0</v>
      </c>
      <c r="CV33" s="9">
        <f t="shared" ca="1" si="195"/>
        <v>0</v>
      </c>
      <c r="CW33" s="9">
        <f t="shared" ca="1" si="195"/>
        <v>0</v>
      </c>
      <c r="CX33" s="9">
        <f t="shared" ca="1" si="195"/>
        <v>0</v>
      </c>
      <c r="CY33" s="9">
        <f t="shared" ca="1" si="195"/>
        <v>0</v>
      </c>
      <c r="CZ33" s="9">
        <f t="shared" ca="1" si="195"/>
        <v>0</v>
      </c>
      <c r="DA33" s="9">
        <f t="shared" ca="1" si="195"/>
        <v>0</v>
      </c>
      <c r="DB33" s="14">
        <f t="shared" ca="1" si="195"/>
        <v>0</v>
      </c>
      <c r="DC33" s="9">
        <f t="shared" ca="1" si="195"/>
        <v>0</v>
      </c>
      <c r="DD33" s="14">
        <f t="shared" ca="1" si="195"/>
        <v>0</v>
      </c>
      <c r="DE33" s="9">
        <f t="shared" ca="1" si="195"/>
        <v>0</v>
      </c>
      <c r="DF33" s="9">
        <f t="shared" ca="1" si="195"/>
        <v>0</v>
      </c>
      <c r="DG33" s="9">
        <f t="shared" ca="1" si="195"/>
        <v>0</v>
      </c>
      <c r="DH33" s="9">
        <f t="shared" ca="1" si="195"/>
        <v>0</v>
      </c>
      <c r="DI33" s="9">
        <f t="shared" ca="1" si="195"/>
        <v>0</v>
      </c>
      <c r="DJ33" s="9">
        <f t="shared" ca="1" si="195"/>
        <v>0</v>
      </c>
      <c r="DK33" s="9">
        <f t="shared" ca="1" si="195"/>
        <v>0</v>
      </c>
      <c r="DL33" s="14">
        <f t="shared" ca="1" si="195"/>
        <v>0</v>
      </c>
      <c r="DM33" s="9">
        <f t="shared" ca="1" si="195"/>
        <v>0</v>
      </c>
      <c r="DN33" s="14">
        <f t="shared" ca="1" si="195"/>
        <v>0</v>
      </c>
      <c r="DO33" s="9">
        <f t="shared" ca="1" si="195"/>
        <v>0</v>
      </c>
      <c r="DP33" s="9">
        <f t="shared" ref="DP33:GA33" ca="1" si="196">DP31/$BB$33</f>
        <v>0</v>
      </c>
      <c r="DQ33" s="9">
        <f t="shared" ca="1" si="196"/>
        <v>0</v>
      </c>
      <c r="DR33" s="9">
        <f t="shared" ca="1" si="196"/>
        <v>0</v>
      </c>
      <c r="DS33" s="9">
        <f t="shared" ca="1" si="196"/>
        <v>0</v>
      </c>
      <c r="DT33" s="9">
        <f t="shared" ca="1" si="196"/>
        <v>0</v>
      </c>
      <c r="DU33" s="9">
        <f t="shared" ca="1" si="196"/>
        <v>0</v>
      </c>
      <c r="DV33" s="14">
        <f t="shared" ca="1" si="196"/>
        <v>0</v>
      </c>
      <c r="DW33" s="9">
        <f t="shared" ca="1" si="196"/>
        <v>0</v>
      </c>
      <c r="DX33" s="14">
        <f t="shared" ca="1" si="196"/>
        <v>0</v>
      </c>
      <c r="DY33" s="9">
        <f t="shared" ca="1" si="196"/>
        <v>0</v>
      </c>
      <c r="DZ33" s="9">
        <f t="shared" ca="1" si="196"/>
        <v>0</v>
      </c>
      <c r="EA33" s="9">
        <f t="shared" ca="1" si="196"/>
        <v>0</v>
      </c>
      <c r="EB33" s="9">
        <f t="shared" ca="1" si="196"/>
        <v>0</v>
      </c>
      <c r="EC33" s="9">
        <f t="shared" ca="1" si="196"/>
        <v>0</v>
      </c>
      <c r="ED33" s="9">
        <f t="shared" ca="1" si="196"/>
        <v>0</v>
      </c>
      <c r="EE33" s="9">
        <f t="shared" ca="1" si="196"/>
        <v>0</v>
      </c>
      <c r="EF33" s="14">
        <f t="shared" ca="1" si="196"/>
        <v>0</v>
      </c>
      <c r="EG33" s="9">
        <f t="shared" ca="1" si="196"/>
        <v>0</v>
      </c>
      <c r="EH33" s="14">
        <f t="shared" ca="1" si="196"/>
        <v>0</v>
      </c>
      <c r="EI33" s="9">
        <f t="shared" ca="1" si="196"/>
        <v>0</v>
      </c>
      <c r="EJ33" s="9">
        <f t="shared" ca="1" si="196"/>
        <v>0</v>
      </c>
      <c r="EK33" s="9">
        <f t="shared" ca="1" si="196"/>
        <v>0</v>
      </c>
      <c r="EL33" s="9">
        <f t="shared" ca="1" si="196"/>
        <v>0</v>
      </c>
      <c r="EM33" s="9">
        <f t="shared" ca="1" si="196"/>
        <v>0</v>
      </c>
      <c r="EN33" s="9">
        <f t="shared" ca="1" si="196"/>
        <v>0</v>
      </c>
      <c r="EO33" s="9">
        <f t="shared" ca="1" si="196"/>
        <v>0</v>
      </c>
      <c r="EP33" s="14">
        <f t="shared" ca="1" si="196"/>
        <v>0</v>
      </c>
      <c r="EQ33" s="9">
        <f t="shared" ca="1" si="196"/>
        <v>0</v>
      </c>
      <c r="ER33" s="14">
        <f t="shared" ca="1" si="196"/>
        <v>0</v>
      </c>
      <c r="ES33" s="9">
        <f t="shared" ca="1" si="196"/>
        <v>0</v>
      </c>
      <c r="ET33" s="9">
        <f t="shared" ca="1" si="196"/>
        <v>0</v>
      </c>
      <c r="EU33" s="9">
        <f t="shared" ca="1" si="196"/>
        <v>0</v>
      </c>
      <c r="EV33" s="9">
        <f t="shared" ca="1" si="196"/>
        <v>0</v>
      </c>
      <c r="EW33" s="9">
        <f t="shared" ca="1" si="196"/>
        <v>0</v>
      </c>
      <c r="EX33" s="9">
        <f t="shared" ca="1" si="196"/>
        <v>0</v>
      </c>
      <c r="EY33" s="9">
        <f t="shared" ca="1" si="196"/>
        <v>0</v>
      </c>
      <c r="EZ33" s="14">
        <f t="shared" ca="1" si="196"/>
        <v>0</v>
      </c>
      <c r="FA33" s="9">
        <f t="shared" ca="1" si="196"/>
        <v>0</v>
      </c>
      <c r="FB33" s="14">
        <f t="shared" ca="1" si="196"/>
        <v>0</v>
      </c>
      <c r="FC33" s="9">
        <f t="shared" ca="1" si="196"/>
        <v>0</v>
      </c>
      <c r="FD33" s="9">
        <f t="shared" ca="1" si="196"/>
        <v>0</v>
      </c>
      <c r="FE33" s="9">
        <f t="shared" ca="1" si="196"/>
        <v>0</v>
      </c>
      <c r="FF33" s="9">
        <f t="shared" ca="1" si="196"/>
        <v>0</v>
      </c>
      <c r="FG33" s="9">
        <f t="shared" ca="1" si="196"/>
        <v>0</v>
      </c>
      <c r="FH33" s="9">
        <f t="shared" ca="1" si="196"/>
        <v>0</v>
      </c>
      <c r="FI33" s="9">
        <f t="shared" ca="1" si="196"/>
        <v>0</v>
      </c>
      <c r="FJ33" s="14">
        <f t="shared" ca="1" si="196"/>
        <v>0</v>
      </c>
      <c r="FK33" s="9">
        <f t="shared" ca="1" si="196"/>
        <v>0</v>
      </c>
      <c r="FL33" s="14">
        <f t="shared" ca="1" si="196"/>
        <v>0</v>
      </c>
      <c r="FM33" s="9">
        <f t="shared" ca="1" si="196"/>
        <v>0</v>
      </c>
      <c r="FN33" s="9">
        <f t="shared" ca="1" si="196"/>
        <v>0</v>
      </c>
      <c r="FO33" s="9">
        <f t="shared" ca="1" si="196"/>
        <v>0</v>
      </c>
      <c r="FP33" s="9">
        <f t="shared" ca="1" si="196"/>
        <v>0</v>
      </c>
      <c r="FQ33" s="9">
        <f t="shared" ca="1" si="196"/>
        <v>0</v>
      </c>
      <c r="FR33" s="9">
        <f t="shared" ca="1" si="196"/>
        <v>0</v>
      </c>
      <c r="FS33" s="9">
        <f t="shared" ca="1" si="196"/>
        <v>0</v>
      </c>
      <c r="FT33" s="14">
        <f t="shared" ca="1" si="196"/>
        <v>0</v>
      </c>
      <c r="FU33" s="9">
        <f t="shared" ca="1" si="196"/>
        <v>0</v>
      </c>
      <c r="FV33" s="14">
        <f t="shared" ca="1" si="196"/>
        <v>0</v>
      </c>
      <c r="FW33" s="9">
        <f t="shared" ca="1" si="196"/>
        <v>0</v>
      </c>
      <c r="FX33" s="9">
        <f t="shared" ca="1" si="196"/>
        <v>0</v>
      </c>
      <c r="FY33" s="9">
        <f t="shared" ca="1" si="196"/>
        <v>0</v>
      </c>
      <c r="FZ33" s="9">
        <f t="shared" ca="1" si="196"/>
        <v>0</v>
      </c>
      <c r="GA33" s="9">
        <f t="shared" ca="1" si="196"/>
        <v>0</v>
      </c>
      <c r="GB33" s="9">
        <f t="shared" ref="GB33:IM33" ca="1" si="197">GB31/$BB$33</f>
        <v>0</v>
      </c>
      <c r="GC33" s="9">
        <f t="shared" ca="1" si="197"/>
        <v>0</v>
      </c>
      <c r="GD33" s="14">
        <f t="shared" ca="1" si="197"/>
        <v>0</v>
      </c>
      <c r="GE33" s="9">
        <f t="shared" ca="1" si="197"/>
        <v>0</v>
      </c>
      <c r="GF33" s="14">
        <f t="shared" ca="1" si="197"/>
        <v>0</v>
      </c>
      <c r="GG33" s="9">
        <f t="shared" ca="1" si="197"/>
        <v>0</v>
      </c>
      <c r="GH33" s="9">
        <f t="shared" ca="1" si="197"/>
        <v>0</v>
      </c>
      <c r="GI33" s="9">
        <f t="shared" ca="1" si="197"/>
        <v>0</v>
      </c>
      <c r="GJ33" s="9">
        <f t="shared" ca="1" si="197"/>
        <v>0</v>
      </c>
      <c r="GK33" s="9">
        <f t="shared" ca="1" si="197"/>
        <v>0</v>
      </c>
      <c r="GL33" s="9">
        <f t="shared" ca="1" si="197"/>
        <v>0</v>
      </c>
      <c r="GM33" s="9">
        <f t="shared" ca="1" si="197"/>
        <v>0</v>
      </c>
      <c r="GN33" s="14">
        <f t="shared" ca="1" si="197"/>
        <v>0</v>
      </c>
      <c r="GO33" s="9">
        <f t="shared" ca="1" si="197"/>
        <v>0</v>
      </c>
      <c r="GP33" s="14">
        <f t="shared" ca="1" si="197"/>
        <v>0</v>
      </c>
      <c r="GQ33" s="9">
        <f t="shared" ca="1" si="197"/>
        <v>0</v>
      </c>
      <c r="GR33" s="9">
        <f t="shared" ca="1" si="197"/>
        <v>0</v>
      </c>
      <c r="GS33" s="9">
        <f t="shared" ca="1" si="197"/>
        <v>0</v>
      </c>
      <c r="GT33" s="9">
        <f t="shared" ca="1" si="197"/>
        <v>0</v>
      </c>
      <c r="GU33" s="9">
        <f t="shared" ca="1" si="197"/>
        <v>0</v>
      </c>
      <c r="GV33" s="9">
        <f t="shared" ca="1" si="197"/>
        <v>0</v>
      </c>
      <c r="GW33" s="9">
        <f t="shared" ca="1" si="197"/>
        <v>0</v>
      </c>
      <c r="GX33" s="14">
        <f t="shared" ca="1" si="197"/>
        <v>0</v>
      </c>
      <c r="GY33" s="9">
        <f t="shared" ca="1" si="197"/>
        <v>0</v>
      </c>
      <c r="GZ33" s="14">
        <f t="shared" ca="1" si="197"/>
        <v>0</v>
      </c>
      <c r="HA33" s="9">
        <f t="shared" ca="1" si="197"/>
        <v>0</v>
      </c>
      <c r="HB33" s="9">
        <f t="shared" ca="1" si="197"/>
        <v>0</v>
      </c>
      <c r="HC33" s="9">
        <f t="shared" ca="1" si="197"/>
        <v>0</v>
      </c>
      <c r="HD33" s="9">
        <f t="shared" ca="1" si="197"/>
        <v>0</v>
      </c>
      <c r="HE33" s="9">
        <f t="shared" ca="1" si="197"/>
        <v>0</v>
      </c>
      <c r="HF33" s="9">
        <f t="shared" ca="1" si="197"/>
        <v>0</v>
      </c>
      <c r="HG33" s="9">
        <f t="shared" ca="1" si="197"/>
        <v>0</v>
      </c>
      <c r="HH33" s="14">
        <f t="shared" ca="1" si="197"/>
        <v>0</v>
      </c>
      <c r="HI33" s="9">
        <f t="shared" ca="1" si="197"/>
        <v>0</v>
      </c>
      <c r="HJ33" s="14">
        <f t="shared" ca="1" si="197"/>
        <v>0</v>
      </c>
      <c r="HK33" s="9">
        <f t="shared" ca="1" si="197"/>
        <v>0</v>
      </c>
      <c r="HL33" s="9">
        <f t="shared" ca="1" si="197"/>
        <v>0</v>
      </c>
      <c r="HM33" s="9">
        <f t="shared" ca="1" si="197"/>
        <v>0</v>
      </c>
      <c r="HN33" s="9">
        <f t="shared" ca="1" si="197"/>
        <v>0</v>
      </c>
      <c r="HO33" s="9">
        <f t="shared" ca="1" si="197"/>
        <v>0</v>
      </c>
      <c r="HP33" s="9">
        <f t="shared" ca="1" si="197"/>
        <v>0</v>
      </c>
      <c r="HQ33" s="9">
        <f t="shared" ca="1" si="197"/>
        <v>0</v>
      </c>
      <c r="HR33" s="14">
        <f t="shared" ca="1" si="197"/>
        <v>0</v>
      </c>
      <c r="HS33" s="9">
        <f t="shared" ca="1" si="197"/>
        <v>0</v>
      </c>
      <c r="HT33" s="14">
        <f t="shared" ca="1" si="197"/>
        <v>0</v>
      </c>
      <c r="HU33" s="9">
        <f t="shared" ca="1" si="197"/>
        <v>0</v>
      </c>
      <c r="HV33" s="9">
        <f t="shared" ca="1" si="197"/>
        <v>0</v>
      </c>
      <c r="HW33" s="9">
        <f t="shared" ca="1" si="197"/>
        <v>0</v>
      </c>
      <c r="HX33" s="9">
        <f t="shared" ca="1" si="197"/>
        <v>0</v>
      </c>
      <c r="HY33" s="9">
        <f t="shared" ca="1" si="197"/>
        <v>0</v>
      </c>
      <c r="HZ33" s="9">
        <f t="shared" ca="1" si="197"/>
        <v>0</v>
      </c>
      <c r="IA33" s="9">
        <f t="shared" ca="1" si="197"/>
        <v>0</v>
      </c>
      <c r="IB33" s="14">
        <f t="shared" ca="1" si="197"/>
        <v>0</v>
      </c>
      <c r="IC33" s="9">
        <f t="shared" ca="1" si="197"/>
        <v>0</v>
      </c>
      <c r="ID33" s="14">
        <f t="shared" ca="1" si="197"/>
        <v>0</v>
      </c>
      <c r="IE33" s="9">
        <f t="shared" ca="1" si="197"/>
        <v>0</v>
      </c>
      <c r="IF33" s="9">
        <f t="shared" ca="1" si="197"/>
        <v>0</v>
      </c>
      <c r="IG33" s="9">
        <f t="shared" ca="1" si="197"/>
        <v>0</v>
      </c>
      <c r="IH33" s="9">
        <f t="shared" ca="1" si="197"/>
        <v>0</v>
      </c>
      <c r="II33" s="9">
        <f t="shared" ca="1" si="197"/>
        <v>0</v>
      </c>
      <c r="IJ33" s="9">
        <f t="shared" ca="1" si="197"/>
        <v>0</v>
      </c>
      <c r="IK33" s="9">
        <f t="shared" ca="1" si="197"/>
        <v>0</v>
      </c>
      <c r="IL33" s="14">
        <f t="shared" ca="1" si="197"/>
        <v>0</v>
      </c>
      <c r="IM33" s="9">
        <f t="shared" ca="1" si="197"/>
        <v>0</v>
      </c>
      <c r="IN33" s="14">
        <f t="shared" ref="IN33:IU33" ca="1" si="198">IN31/$BB$33</f>
        <v>0</v>
      </c>
      <c r="IO33" s="9">
        <f t="shared" ca="1" si="198"/>
        <v>0</v>
      </c>
      <c r="IP33" s="9">
        <f t="shared" ca="1" si="198"/>
        <v>0</v>
      </c>
      <c r="IQ33" s="9">
        <f t="shared" ca="1" si="198"/>
        <v>0</v>
      </c>
      <c r="IR33" s="9">
        <f t="shared" ca="1" si="198"/>
        <v>0</v>
      </c>
      <c r="IS33" s="9">
        <f t="shared" ca="1" si="198"/>
        <v>0</v>
      </c>
      <c r="IT33" s="9">
        <f t="shared" ca="1" si="198"/>
        <v>0</v>
      </c>
      <c r="IU33" s="9">
        <f t="shared" ca="1" si="198"/>
        <v>0</v>
      </c>
    </row>
    <row r="34" spans="1:255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5</v>
      </c>
      <c r="U34" s="5">
        <v>6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  <c r="GK34" s="12" t="s">
        <v>19</v>
      </c>
      <c r="GL34" s="13" t="s">
        <v>1</v>
      </c>
    </row>
    <row r="35" spans="1:255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199">-1/SQRT(3)+P34*(1/SQRT(3)/10)</f>
        <v>-0.51961524227066325</v>
      </c>
      <c r="Q35" s="96">
        <f t="shared" si="199"/>
        <v>-0.46188021535170065</v>
      </c>
      <c r="R35" s="96">
        <f t="shared" si="199"/>
        <v>-0.40414518843273811</v>
      </c>
      <c r="S35" s="96">
        <f t="shared" si="199"/>
        <v>-0.34641016151377552</v>
      </c>
      <c r="T35" s="96">
        <f t="shared" si="199"/>
        <v>-0.28867513459481292</v>
      </c>
      <c r="U35" s="96">
        <f t="shared" si="199"/>
        <v>-0.23094010767585038</v>
      </c>
      <c r="V35" s="96">
        <f t="shared" si="199"/>
        <v>-0.17320508075688779</v>
      </c>
      <c r="W35" s="96">
        <f t="shared" si="199"/>
        <v>-0.11547005383792519</v>
      </c>
      <c r="X35" s="96">
        <f t="shared" si="199"/>
        <v>-5.7735026918962595E-2</v>
      </c>
      <c r="Y35" s="34">
        <f>-1/SQRT(3)+Y34*(1/SQRT(3)/10)</f>
        <v>0</v>
      </c>
      <c r="Z35" s="96">
        <f t="shared" ref="Z35:AH35" si="200">1/SQRT(3)-Z34*1/SQRT(3)/10</f>
        <v>5.7735026918962595E-2</v>
      </c>
      <c r="AA35" s="96">
        <f t="shared" si="200"/>
        <v>0.11547005383792519</v>
      </c>
      <c r="AB35" s="96">
        <f t="shared" si="200"/>
        <v>0.17320508075688779</v>
      </c>
      <c r="AC35" s="96">
        <f t="shared" si="200"/>
        <v>0.23094010767585038</v>
      </c>
      <c r="AD35" s="96">
        <f t="shared" si="200"/>
        <v>0.28867513459481292</v>
      </c>
      <c r="AE35" s="96">
        <f t="shared" si="200"/>
        <v>0.34641016151377552</v>
      </c>
      <c r="AF35" s="96">
        <f t="shared" si="200"/>
        <v>0.40414518843273811</v>
      </c>
      <c r="AG35" s="96">
        <f t="shared" si="200"/>
        <v>0.46188021535170065</v>
      </c>
      <c r="AH35" s="96">
        <f t="shared" si="200"/>
        <v>0.51961524227066325</v>
      </c>
      <c r="AI35" s="97">
        <f>1/SQRT(3)</f>
        <v>0.57735026918962584</v>
      </c>
      <c r="AN35" s="9" t="s">
        <v>42</v>
      </c>
      <c r="AO35" s="34"/>
      <c r="AP35" s="60">
        <f>IF(DIAG!H241,$GL$55,-1)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IF(DIAG!H241,$D$26,-1)</f>
        <v>-1</v>
      </c>
      <c r="BA35" s="9" t="s">
        <v>11</v>
      </c>
      <c r="BD35" s="9">
        <f ca="1">ROUND(10*BD33,0)</f>
        <v>6</v>
      </c>
      <c r="BE35" s="9">
        <f t="shared" ref="BE35:DP35" ca="1" si="201">ROUND(10*BE33,0)</f>
        <v>5</v>
      </c>
      <c r="BF35" s="9">
        <f ca="1">ROUND(10*BF33,0)</f>
        <v>9</v>
      </c>
      <c r="BG35" s="9">
        <f t="shared" ref="BG35" ca="1" si="202">ROUND(10*BG33,0)</f>
        <v>4</v>
      </c>
      <c r="BH35" s="9">
        <f t="shared" ca="1" si="201"/>
        <v>10</v>
      </c>
      <c r="BI35" s="9">
        <f t="shared" ca="1" si="201"/>
        <v>10</v>
      </c>
      <c r="BJ35" s="9">
        <f t="shared" ca="1" si="201"/>
        <v>7</v>
      </c>
      <c r="BK35" s="9">
        <f t="shared" ca="1" si="201"/>
        <v>7</v>
      </c>
      <c r="BL35" s="9">
        <f t="shared" ca="1" si="201"/>
        <v>8</v>
      </c>
      <c r="BM35" s="9">
        <f t="shared" ca="1" si="201"/>
        <v>4</v>
      </c>
      <c r="BN35" s="9">
        <f t="shared" ca="1" si="201"/>
        <v>0</v>
      </c>
      <c r="BO35" s="9">
        <f t="shared" ca="1" si="201"/>
        <v>0</v>
      </c>
      <c r="BP35" s="9">
        <f t="shared" ca="1" si="201"/>
        <v>0</v>
      </c>
      <c r="BQ35" s="9">
        <f t="shared" ca="1" si="201"/>
        <v>0</v>
      </c>
      <c r="BR35" s="9">
        <f t="shared" ca="1" si="201"/>
        <v>0</v>
      </c>
      <c r="BS35" s="9">
        <f t="shared" ca="1" si="201"/>
        <v>0</v>
      </c>
      <c r="BT35" s="9">
        <f t="shared" ca="1" si="201"/>
        <v>0</v>
      </c>
      <c r="BU35" s="9">
        <f t="shared" ca="1" si="201"/>
        <v>0</v>
      </c>
      <c r="BV35" s="9">
        <f t="shared" ca="1" si="201"/>
        <v>0</v>
      </c>
      <c r="BW35" s="9">
        <f t="shared" ca="1" si="201"/>
        <v>0</v>
      </c>
      <c r="BX35" s="9">
        <f t="shared" ca="1" si="201"/>
        <v>0</v>
      </c>
      <c r="BY35" s="9">
        <f t="shared" ca="1" si="201"/>
        <v>0</v>
      </c>
      <c r="BZ35" s="9">
        <f t="shared" ca="1" si="201"/>
        <v>0</v>
      </c>
      <c r="CA35" s="9">
        <f t="shared" ca="1" si="201"/>
        <v>0</v>
      </c>
      <c r="CB35" s="9">
        <f t="shared" ca="1" si="201"/>
        <v>0</v>
      </c>
      <c r="CC35" s="9">
        <f t="shared" ca="1" si="201"/>
        <v>0</v>
      </c>
      <c r="CD35" s="9">
        <f t="shared" ca="1" si="201"/>
        <v>0</v>
      </c>
      <c r="CE35" s="9">
        <f t="shared" ca="1" si="201"/>
        <v>0</v>
      </c>
      <c r="CF35" s="9">
        <f t="shared" ca="1" si="201"/>
        <v>0</v>
      </c>
      <c r="CG35" s="9">
        <f t="shared" ca="1" si="201"/>
        <v>0</v>
      </c>
      <c r="CH35" s="9">
        <f t="shared" ca="1" si="201"/>
        <v>0</v>
      </c>
      <c r="CI35" s="9">
        <f t="shared" ca="1" si="201"/>
        <v>0</v>
      </c>
      <c r="CJ35" s="9">
        <f t="shared" ca="1" si="201"/>
        <v>0</v>
      </c>
      <c r="CK35" s="9">
        <f t="shared" ca="1" si="201"/>
        <v>0</v>
      </c>
      <c r="CL35" s="9">
        <f t="shared" ca="1" si="201"/>
        <v>0</v>
      </c>
      <c r="CM35" s="9">
        <f t="shared" ca="1" si="201"/>
        <v>0</v>
      </c>
      <c r="CN35" s="9">
        <f t="shared" ca="1" si="201"/>
        <v>0</v>
      </c>
      <c r="CO35" s="9">
        <f t="shared" ca="1" si="201"/>
        <v>0</v>
      </c>
      <c r="CP35" s="9">
        <f t="shared" ca="1" si="201"/>
        <v>0</v>
      </c>
      <c r="CQ35" s="9">
        <f t="shared" ca="1" si="201"/>
        <v>0</v>
      </c>
      <c r="CR35" s="9">
        <f t="shared" ca="1" si="201"/>
        <v>0</v>
      </c>
      <c r="CS35" s="9">
        <f t="shared" ca="1" si="201"/>
        <v>0</v>
      </c>
      <c r="CT35" s="9">
        <f t="shared" ca="1" si="201"/>
        <v>0</v>
      </c>
      <c r="CU35" s="9">
        <f t="shared" ca="1" si="201"/>
        <v>0</v>
      </c>
      <c r="CV35" s="9">
        <f t="shared" ca="1" si="201"/>
        <v>0</v>
      </c>
      <c r="CW35" s="9">
        <f t="shared" ca="1" si="201"/>
        <v>0</v>
      </c>
      <c r="CX35" s="9">
        <f t="shared" ca="1" si="201"/>
        <v>0</v>
      </c>
      <c r="CY35" s="9">
        <f t="shared" ca="1" si="201"/>
        <v>0</v>
      </c>
      <c r="CZ35" s="9">
        <f t="shared" ca="1" si="201"/>
        <v>0</v>
      </c>
      <c r="DA35" s="9">
        <f t="shared" ca="1" si="201"/>
        <v>0</v>
      </c>
      <c r="DB35" s="9">
        <f t="shared" ca="1" si="201"/>
        <v>0</v>
      </c>
      <c r="DC35" s="9">
        <f t="shared" ca="1" si="201"/>
        <v>0</v>
      </c>
      <c r="DD35" s="9">
        <f t="shared" ca="1" si="201"/>
        <v>0</v>
      </c>
      <c r="DE35" s="9">
        <f t="shared" ca="1" si="201"/>
        <v>0</v>
      </c>
      <c r="DF35" s="9">
        <f t="shared" ca="1" si="201"/>
        <v>0</v>
      </c>
      <c r="DG35" s="9">
        <f t="shared" ca="1" si="201"/>
        <v>0</v>
      </c>
      <c r="DH35" s="9">
        <f t="shared" ca="1" si="201"/>
        <v>0</v>
      </c>
      <c r="DI35" s="9">
        <f t="shared" ca="1" si="201"/>
        <v>0</v>
      </c>
      <c r="DJ35" s="9">
        <f t="shared" ca="1" si="201"/>
        <v>0</v>
      </c>
      <c r="DK35" s="9">
        <f t="shared" ca="1" si="201"/>
        <v>0</v>
      </c>
      <c r="DL35" s="9">
        <f t="shared" ca="1" si="201"/>
        <v>0</v>
      </c>
      <c r="DM35" s="9">
        <f t="shared" ca="1" si="201"/>
        <v>0</v>
      </c>
      <c r="DN35" s="9">
        <f t="shared" ca="1" si="201"/>
        <v>0</v>
      </c>
      <c r="DO35" s="9">
        <f t="shared" ca="1" si="201"/>
        <v>0</v>
      </c>
      <c r="DP35" s="9">
        <f t="shared" ca="1" si="201"/>
        <v>0</v>
      </c>
      <c r="DQ35" s="9">
        <f t="shared" ref="DQ35:GB35" ca="1" si="203">ROUND(10*DQ33,0)</f>
        <v>0</v>
      </c>
      <c r="DR35" s="9">
        <f t="shared" ca="1" si="203"/>
        <v>0</v>
      </c>
      <c r="DS35" s="9">
        <f t="shared" ca="1" si="203"/>
        <v>0</v>
      </c>
      <c r="DT35" s="9">
        <f t="shared" ca="1" si="203"/>
        <v>0</v>
      </c>
      <c r="DU35" s="9">
        <f t="shared" ca="1" si="203"/>
        <v>0</v>
      </c>
      <c r="DV35" s="9">
        <f t="shared" ca="1" si="203"/>
        <v>0</v>
      </c>
      <c r="DW35" s="9">
        <f t="shared" ca="1" si="203"/>
        <v>0</v>
      </c>
      <c r="DX35" s="9">
        <f t="shared" ca="1" si="203"/>
        <v>0</v>
      </c>
      <c r="DY35" s="9">
        <f t="shared" ca="1" si="203"/>
        <v>0</v>
      </c>
      <c r="DZ35" s="9">
        <f t="shared" ca="1" si="203"/>
        <v>0</v>
      </c>
      <c r="EA35" s="9">
        <f t="shared" ca="1" si="203"/>
        <v>0</v>
      </c>
      <c r="EB35" s="9">
        <f t="shared" ca="1" si="203"/>
        <v>0</v>
      </c>
      <c r="EC35" s="9">
        <f t="shared" ca="1" si="203"/>
        <v>0</v>
      </c>
      <c r="ED35" s="9">
        <f t="shared" ca="1" si="203"/>
        <v>0</v>
      </c>
      <c r="EE35" s="9">
        <f t="shared" ca="1" si="203"/>
        <v>0</v>
      </c>
      <c r="EF35" s="9">
        <f t="shared" ca="1" si="203"/>
        <v>0</v>
      </c>
      <c r="EG35" s="9">
        <f t="shared" ca="1" si="203"/>
        <v>0</v>
      </c>
      <c r="EH35" s="9">
        <f t="shared" ca="1" si="203"/>
        <v>0</v>
      </c>
      <c r="EI35" s="9">
        <f t="shared" ca="1" si="203"/>
        <v>0</v>
      </c>
      <c r="EJ35" s="9">
        <f t="shared" ca="1" si="203"/>
        <v>0</v>
      </c>
      <c r="EK35" s="9">
        <f t="shared" ca="1" si="203"/>
        <v>0</v>
      </c>
      <c r="EL35" s="9">
        <f t="shared" ca="1" si="203"/>
        <v>0</v>
      </c>
      <c r="EM35" s="9">
        <f t="shared" ca="1" si="203"/>
        <v>0</v>
      </c>
      <c r="EN35" s="9">
        <f t="shared" ca="1" si="203"/>
        <v>0</v>
      </c>
      <c r="EO35" s="9">
        <f t="shared" ca="1" si="203"/>
        <v>0</v>
      </c>
      <c r="EP35" s="9">
        <f t="shared" ca="1" si="203"/>
        <v>0</v>
      </c>
      <c r="EQ35" s="9">
        <f t="shared" ca="1" si="203"/>
        <v>0</v>
      </c>
      <c r="ER35" s="9">
        <f t="shared" ca="1" si="203"/>
        <v>0</v>
      </c>
      <c r="ES35" s="9">
        <f t="shared" ca="1" si="203"/>
        <v>0</v>
      </c>
      <c r="ET35" s="9">
        <f t="shared" ca="1" si="203"/>
        <v>0</v>
      </c>
      <c r="EU35" s="9">
        <f t="shared" ca="1" si="203"/>
        <v>0</v>
      </c>
      <c r="EV35" s="9">
        <f t="shared" ca="1" si="203"/>
        <v>0</v>
      </c>
      <c r="EW35" s="9">
        <f t="shared" ca="1" si="203"/>
        <v>0</v>
      </c>
      <c r="EX35" s="9">
        <f t="shared" ca="1" si="203"/>
        <v>0</v>
      </c>
      <c r="EY35" s="9">
        <f t="shared" ca="1" si="203"/>
        <v>0</v>
      </c>
      <c r="EZ35" s="9">
        <f t="shared" ca="1" si="203"/>
        <v>0</v>
      </c>
      <c r="FA35" s="9">
        <f t="shared" ca="1" si="203"/>
        <v>0</v>
      </c>
      <c r="FB35" s="9">
        <f t="shared" ca="1" si="203"/>
        <v>0</v>
      </c>
      <c r="FC35" s="9">
        <f t="shared" ca="1" si="203"/>
        <v>0</v>
      </c>
      <c r="FD35" s="9">
        <f t="shared" ca="1" si="203"/>
        <v>0</v>
      </c>
      <c r="FE35" s="9">
        <f t="shared" ca="1" si="203"/>
        <v>0</v>
      </c>
      <c r="FF35" s="9">
        <f t="shared" ca="1" si="203"/>
        <v>0</v>
      </c>
      <c r="FG35" s="9">
        <f t="shared" ca="1" si="203"/>
        <v>0</v>
      </c>
      <c r="FH35" s="9">
        <f t="shared" ca="1" si="203"/>
        <v>0</v>
      </c>
      <c r="FI35" s="9">
        <f t="shared" ca="1" si="203"/>
        <v>0</v>
      </c>
      <c r="FJ35" s="9">
        <f t="shared" ca="1" si="203"/>
        <v>0</v>
      </c>
      <c r="FK35" s="9">
        <f t="shared" ca="1" si="203"/>
        <v>0</v>
      </c>
      <c r="FL35" s="9">
        <f t="shared" ca="1" si="203"/>
        <v>0</v>
      </c>
      <c r="FM35" s="9">
        <f t="shared" ca="1" si="203"/>
        <v>0</v>
      </c>
      <c r="FN35" s="9">
        <f t="shared" ca="1" si="203"/>
        <v>0</v>
      </c>
      <c r="FO35" s="9">
        <f t="shared" ca="1" si="203"/>
        <v>0</v>
      </c>
      <c r="FP35" s="9">
        <f t="shared" ca="1" si="203"/>
        <v>0</v>
      </c>
      <c r="FQ35" s="9">
        <f t="shared" ca="1" si="203"/>
        <v>0</v>
      </c>
      <c r="FR35" s="9">
        <f t="shared" ca="1" si="203"/>
        <v>0</v>
      </c>
      <c r="FS35" s="9">
        <f t="shared" ca="1" si="203"/>
        <v>0</v>
      </c>
      <c r="FT35" s="9">
        <f t="shared" ca="1" si="203"/>
        <v>0</v>
      </c>
      <c r="FU35" s="9">
        <f t="shared" ca="1" si="203"/>
        <v>0</v>
      </c>
      <c r="FV35" s="9">
        <f t="shared" ca="1" si="203"/>
        <v>0</v>
      </c>
      <c r="FW35" s="9">
        <f t="shared" ca="1" si="203"/>
        <v>0</v>
      </c>
      <c r="FX35" s="9">
        <f t="shared" ca="1" si="203"/>
        <v>0</v>
      </c>
      <c r="FY35" s="9">
        <f t="shared" ca="1" si="203"/>
        <v>0</v>
      </c>
      <c r="FZ35" s="9">
        <f t="shared" ca="1" si="203"/>
        <v>0</v>
      </c>
      <c r="GA35" s="9">
        <f t="shared" ca="1" si="203"/>
        <v>0</v>
      </c>
      <c r="GB35" s="9">
        <f t="shared" ca="1" si="203"/>
        <v>0</v>
      </c>
      <c r="GC35" s="9">
        <f t="shared" ref="GC35:IN35" ca="1" si="204">ROUND(10*GC33,0)</f>
        <v>0</v>
      </c>
      <c r="GD35" s="9">
        <f t="shared" ca="1" si="204"/>
        <v>0</v>
      </c>
      <c r="GE35" s="9">
        <f t="shared" ca="1" si="204"/>
        <v>0</v>
      </c>
      <c r="GF35" s="9">
        <f t="shared" ca="1" si="204"/>
        <v>0</v>
      </c>
      <c r="GG35" s="9">
        <f t="shared" ca="1" si="204"/>
        <v>0</v>
      </c>
      <c r="GH35" s="9">
        <f t="shared" ca="1" si="204"/>
        <v>0</v>
      </c>
      <c r="GI35" s="9">
        <f t="shared" ca="1" si="204"/>
        <v>0</v>
      </c>
      <c r="GJ35" s="9">
        <f t="shared" ca="1" si="204"/>
        <v>0</v>
      </c>
      <c r="GK35" s="9">
        <f t="shared" ca="1" si="204"/>
        <v>0</v>
      </c>
      <c r="GL35" s="9">
        <f t="shared" ca="1" si="204"/>
        <v>0</v>
      </c>
      <c r="GM35" s="9">
        <f t="shared" ca="1" si="204"/>
        <v>0</v>
      </c>
      <c r="GN35" s="9">
        <f t="shared" ca="1" si="204"/>
        <v>0</v>
      </c>
      <c r="GO35" s="9">
        <f t="shared" ca="1" si="204"/>
        <v>0</v>
      </c>
      <c r="GP35" s="9">
        <f t="shared" ca="1" si="204"/>
        <v>0</v>
      </c>
      <c r="GQ35" s="9">
        <f t="shared" ca="1" si="204"/>
        <v>0</v>
      </c>
      <c r="GR35" s="9">
        <f t="shared" ca="1" si="204"/>
        <v>0</v>
      </c>
      <c r="GS35" s="9">
        <f t="shared" ca="1" si="204"/>
        <v>0</v>
      </c>
      <c r="GT35" s="9">
        <f t="shared" ca="1" si="204"/>
        <v>0</v>
      </c>
      <c r="GU35" s="9">
        <f t="shared" ca="1" si="204"/>
        <v>0</v>
      </c>
      <c r="GV35" s="9">
        <f t="shared" ca="1" si="204"/>
        <v>0</v>
      </c>
      <c r="GW35" s="9">
        <f t="shared" ca="1" si="204"/>
        <v>0</v>
      </c>
      <c r="GX35" s="9">
        <f t="shared" ca="1" si="204"/>
        <v>0</v>
      </c>
      <c r="GY35" s="9">
        <f t="shared" ca="1" si="204"/>
        <v>0</v>
      </c>
      <c r="GZ35" s="9">
        <f t="shared" ca="1" si="204"/>
        <v>0</v>
      </c>
      <c r="HA35" s="9">
        <f t="shared" ca="1" si="204"/>
        <v>0</v>
      </c>
      <c r="HB35" s="9">
        <f t="shared" ca="1" si="204"/>
        <v>0</v>
      </c>
      <c r="HC35" s="9">
        <f t="shared" ca="1" si="204"/>
        <v>0</v>
      </c>
      <c r="HD35" s="9">
        <f t="shared" ca="1" si="204"/>
        <v>0</v>
      </c>
      <c r="HE35" s="9">
        <f t="shared" ca="1" si="204"/>
        <v>0</v>
      </c>
      <c r="HF35" s="9">
        <f t="shared" ca="1" si="204"/>
        <v>0</v>
      </c>
      <c r="HG35" s="9">
        <f t="shared" ca="1" si="204"/>
        <v>0</v>
      </c>
      <c r="HH35" s="9">
        <f t="shared" ca="1" si="204"/>
        <v>0</v>
      </c>
      <c r="HI35" s="9">
        <f t="shared" ca="1" si="204"/>
        <v>0</v>
      </c>
      <c r="HJ35" s="9">
        <f t="shared" ca="1" si="204"/>
        <v>0</v>
      </c>
      <c r="HK35" s="9">
        <f t="shared" ca="1" si="204"/>
        <v>0</v>
      </c>
      <c r="HL35" s="9">
        <f t="shared" ca="1" si="204"/>
        <v>0</v>
      </c>
      <c r="HM35" s="9">
        <f t="shared" ca="1" si="204"/>
        <v>0</v>
      </c>
      <c r="HN35" s="9">
        <f t="shared" ca="1" si="204"/>
        <v>0</v>
      </c>
      <c r="HO35" s="9">
        <f t="shared" ca="1" si="204"/>
        <v>0</v>
      </c>
      <c r="HP35" s="9">
        <f t="shared" ca="1" si="204"/>
        <v>0</v>
      </c>
      <c r="HQ35" s="9">
        <f t="shared" ca="1" si="204"/>
        <v>0</v>
      </c>
      <c r="HR35" s="9">
        <f t="shared" ca="1" si="204"/>
        <v>0</v>
      </c>
      <c r="HS35" s="9">
        <f t="shared" ca="1" si="204"/>
        <v>0</v>
      </c>
      <c r="HT35" s="9">
        <f t="shared" ca="1" si="204"/>
        <v>0</v>
      </c>
      <c r="HU35" s="9">
        <f t="shared" ca="1" si="204"/>
        <v>0</v>
      </c>
      <c r="HV35" s="9">
        <f t="shared" ca="1" si="204"/>
        <v>0</v>
      </c>
      <c r="HW35" s="9">
        <f t="shared" ca="1" si="204"/>
        <v>0</v>
      </c>
      <c r="HX35" s="9">
        <f t="shared" ca="1" si="204"/>
        <v>0</v>
      </c>
      <c r="HY35" s="9">
        <f t="shared" ca="1" si="204"/>
        <v>0</v>
      </c>
      <c r="HZ35" s="9">
        <f t="shared" ca="1" si="204"/>
        <v>0</v>
      </c>
      <c r="IA35" s="9">
        <f t="shared" ca="1" si="204"/>
        <v>0</v>
      </c>
      <c r="IB35" s="9">
        <f t="shared" ca="1" si="204"/>
        <v>0</v>
      </c>
      <c r="IC35" s="9">
        <f t="shared" ca="1" si="204"/>
        <v>0</v>
      </c>
      <c r="ID35" s="9">
        <f t="shared" ca="1" si="204"/>
        <v>0</v>
      </c>
      <c r="IE35" s="9">
        <f t="shared" ca="1" si="204"/>
        <v>0</v>
      </c>
      <c r="IF35" s="9">
        <f t="shared" ca="1" si="204"/>
        <v>0</v>
      </c>
      <c r="IG35" s="9">
        <f t="shared" ca="1" si="204"/>
        <v>0</v>
      </c>
      <c r="IH35" s="9">
        <f t="shared" ca="1" si="204"/>
        <v>0</v>
      </c>
      <c r="II35" s="9">
        <f t="shared" ca="1" si="204"/>
        <v>0</v>
      </c>
      <c r="IJ35" s="9">
        <f t="shared" ca="1" si="204"/>
        <v>0</v>
      </c>
      <c r="IK35" s="9">
        <f t="shared" ca="1" si="204"/>
        <v>0</v>
      </c>
      <c r="IL35" s="9">
        <f t="shared" ca="1" si="204"/>
        <v>0</v>
      </c>
      <c r="IM35" s="9">
        <f t="shared" ca="1" si="204"/>
        <v>0</v>
      </c>
      <c r="IN35" s="9">
        <f t="shared" ca="1" si="204"/>
        <v>0</v>
      </c>
      <c r="IO35" s="9">
        <f t="shared" ref="IO35:IU35" ca="1" si="205">ROUND(10*IO33,0)</f>
        <v>0</v>
      </c>
      <c r="IP35" s="9">
        <f t="shared" ca="1" si="205"/>
        <v>0</v>
      </c>
      <c r="IQ35" s="9">
        <f t="shared" ca="1" si="205"/>
        <v>0</v>
      </c>
      <c r="IR35" s="9">
        <f t="shared" ca="1" si="205"/>
        <v>0</v>
      </c>
      <c r="IS35" s="9">
        <f t="shared" ca="1" si="205"/>
        <v>0</v>
      </c>
      <c r="IT35" s="9">
        <f t="shared" ca="1" si="205"/>
        <v>0</v>
      </c>
      <c r="IU35" s="9">
        <f t="shared" ca="1" si="205"/>
        <v>0</v>
      </c>
    </row>
    <row r="36" spans="1:255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IF(DIAG!H241,$GL$56,-1)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IF(DIAG!H241,$D$27,-1)</f>
        <v>-1</v>
      </c>
      <c r="CW36" s="16"/>
      <c r="GK36" s="15" t="s">
        <v>6</v>
      </c>
      <c r="GL36" s="16">
        <f>SUMPRODUCT(B7:GS7,DIAG!$B$440:$GS$440,DIAG!$B$442:$GS$442)</f>
        <v>0</v>
      </c>
    </row>
    <row r="37" spans="1:255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206">SQRT(3)*P35+1</f>
        <v>9.9999999999999978E-2</v>
      </c>
      <c r="Q37" s="6">
        <f t="shared" si="206"/>
        <v>0.19999999999999996</v>
      </c>
      <c r="R37" s="6">
        <f t="shared" si="206"/>
        <v>0.29999999999999993</v>
      </c>
      <c r="S37" s="6">
        <f t="shared" si="206"/>
        <v>0.39999999999999991</v>
      </c>
      <c r="T37" s="6">
        <f t="shared" si="206"/>
        <v>0.5</v>
      </c>
      <c r="U37" s="6">
        <f t="shared" si="206"/>
        <v>0.59999999999999987</v>
      </c>
      <c r="V37" s="6">
        <f t="shared" si="206"/>
        <v>0.7</v>
      </c>
      <c r="W37" s="6">
        <f t="shared" si="206"/>
        <v>0.79999999999999993</v>
      </c>
      <c r="X37" s="6">
        <f t="shared" si="206"/>
        <v>0.89999999999999991</v>
      </c>
      <c r="Y37" s="33">
        <f>SQRT(3)*Y35+1</f>
        <v>1</v>
      </c>
      <c r="Z37" s="6">
        <f t="shared" ref="Z37:AH37" si="207">1-SQRT(3)*Z35</f>
        <v>0.89999999999999991</v>
      </c>
      <c r="AA37" s="6">
        <f t="shared" si="207"/>
        <v>0.79999999999999993</v>
      </c>
      <c r="AB37" s="6">
        <f t="shared" si="207"/>
        <v>0.7</v>
      </c>
      <c r="AC37" s="6">
        <f t="shared" si="207"/>
        <v>0.59999999999999987</v>
      </c>
      <c r="AD37" s="6">
        <f t="shared" si="207"/>
        <v>0.5</v>
      </c>
      <c r="AE37" s="6">
        <f t="shared" si="207"/>
        <v>0.39999999999999991</v>
      </c>
      <c r="AF37" s="6">
        <f t="shared" si="207"/>
        <v>0.29999999999999993</v>
      </c>
      <c r="AG37" s="6">
        <f t="shared" si="207"/>
        <v>0.19999999999999996</v>
      </c>
      <c r="AH37" s="6">
        <f t="shared" si="207"/>
        <v>9.9999999999999978E-2</v>
      </c>
      <c r="AI37" s="102">
        <f>1-SQRT(3)*AI35</f>
        <v>0</v>
      </c>
      <c r="AK37" s="10"/>
      <c r="AL37" s="10"/>
      <c r="AM37" s="10"/>
      <c r="CW37" s="16"/>
      <c r="GK37" s="18" t="s">
        <v>7</v>
      </c>
      <c r="GL37" s="16">
        <f>SUMPRODUCT(B8:GS8,DIAG!$B$440:$GS$440,DIAG!$B$442:$GS$442)</f>
        <v>0</v>
      </c>
    </row>
    <row r="38" spans="1:255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IF(DIAG!H242,$GL$55,-1)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IF(DIAG!H242,$E$26,-1)</f>
        <v>-1</v>
      </c>
      <c r="CW38" s="16"/>
      <c r="GK38" s="18" t="s">
        <v>16</v>
      </c>
      <c r="GL38" s="22">
        <f ca="1">SUM(GL35:GL37)</f>
        <v>0</v>
      </c>
    </row>
    <row r="39" spans="1:255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IF(DIAG!H242,$GL$56,-1)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IF(DIAG!H242,$E$27,-1)</f>
        <v>-1</v>
      </c>
      <c r="BF39" s="9" t="s">
        <v>95</v>
      </c>
      <c r="BG39" s="9" t="s">
        <v>95</v>
      </c>
      <c r="BH39" s="9" t="s">
        <v>95</v>
      </c>
      <c r="BK39" s="10" t="s">
        <v>103</v>
      </c>
      <c r="BL39" s="10" t="s">
        <v>104</v>
      </c>
      <c r="BM39" s="10" t="s">
        <v>105</v>
      </c>
      <c r="CW39" s="22"/>
      <c r="GK39" s="23" t="s">
        <v>20</v>
      </c>
      <c r="GL39" s="25" t="e">
        <f t="shared" ref="GL39" ca="1" si="208">GL49/GL51</f>
        <v>#DIV/0!</v>
      </c>
    </row>
    <row r="40" spans="1:255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209">BF43*$BK$40+BF45*$BL$40+BF47*$BM$40</f>
        <v>-0.57999999999999996</v>
      </c>
      <c r="BG40" s="29">
        <f t="shared" si="209"/>
        <v>0.57999999999999996</v>
      </c>
      <c r="BH40" s="29">
        <f t="shared" si="209"/>
        <v>0.57999999999999996</v>
      </c>
      <c r="BI40" s="29">
        <f t="shared" si="209"/>
        <v>-0.57999999999999996</v>
      </c>
      <c r="BJ40" s="29">
        <f t="shared" si="209"/>
        <v>-0.57999999999999996</v>
      </c>
      <c r="BK40" s="30" t="b">
        <v>1</v>
      </c>
      <c r="BL40" s="30" t="b">
        <v>0</v>
      </c>
      <c r="BM40" s="30" t="b">
        <v>0</v>
      </c>
      <c r="CW40" s="25"/>
      <c r="GK40" s="23" t="s">
        <v>12</v>
      </c>
      <c r="GL40" s="26" t="e">
        <f ca="1">GL35/GL$38</f>
        <v>#DIV/0!</v>
      </c>
    </row>
    <row r="41" spans="1:255" x14ac:dyDescent="0.2">
      <c r="A41" s="109"/>
      <c r="N41" s="93" t="s">
        <v>7</v>
      </c>
      <c r="O41" s="110"/>
      <c r="P41" s="110">
        <v>0</v>
      </c>
      <c r="Q41" s="111"/>
      <c r="S41" s="9" t="s">
        <v>93</v>
      </c>
      <c r="Z41" s="9" t="s">
        <v>94</v>
      </c>
      <c r="AN41" s="9" t="s">
        <v>49</v>
      </c>
      <c r="AP41" s="60">
        <f>IF(DIAG!H243,$GL$55,-1)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IF(DIAG!H243,$F$26,-1)</f>
        <v>-1</v>
      </c>
      <c r="BE41" s="9" t="s">
        <v>54</v>
      </c>
      <c r="BF41" s="29">
        <f t="shared" si="209"/>
        <v>-0.1</v>
      </c>
      <c r="BG41" s="29">
        <f t="shared" si="209"/>
        <v>-0.1</v>
      </c>
      <c r="BH41" s="29">
        <f t="shared" si="209"/>
        <v>1.1000000000000001</v>
      </c>
      <c r="BI41" s="29">
        <f t="shared" si="209"/>
        <v>1.1000000000000001</v>
      </c>
      <c r="BJ41" s="29">
        <f t="shared" si="209"/>
        <v>-0.1</v>
      </c>
      <c r="CW41" s="26"/>
      <c r="GK41" s="23" t="s">
        <v>14</v>
      </c>
      <c r="GL41" s="26" t="e">
        <f ca="1">GL36/GL$38</f>
        <v>#DIV/0!</v>
      </c>
    </row>
    <row r="42" spans="1:255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IF(DIAG!H243,$GL$56,-1)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IF(DIAG!H243,$F$27,-1)</f>
        <v>-1</v>
      </c>
      <c r="BK42" s="33"/>
      <c r="BL42" s="33" t="s">
        <v>102</v>
      </c>
      <c r="BM42" s="33"/>
      <c r="BN42" s="33"/>
      <c r="BO42" s="33"/>
      <c r="BU42" s="10"/>
      <c r="CW42" s="26"/>
      <c r="GK42" s="23" t="s">
        <v>13</v>
      </c>
      <c r="GL42" s="26" t="e">
        <f ca="1">GL37/GL$38</f>
        <v>#DIV/0!</v>
      </c>
    </row>
    <row r="43" spans="1:255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97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  <c r="CW43" s="26"/>
      <c r="GK43" s="210" t="s">
        <v>21</v>
      </c>
      <c r="GL43" s="209"/>
    </row>
    <row r="44" spans="1:255" x14ac:dyDescent="0.2">
      <c r="A44" s="82"/>
      <c r="B44" s="83"/>
      <c r="D44" s="84"/>
      <c r="E44" s="84"/>
      <c r="F44" s="84"/>
      <c r="G44" s="208"/>
      <c r="H44" s="208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IF(DIAG!H244,$GL$55,-1)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IF(DIAG!H244,$G$26,-1)</f>
        <v>-1</v>
      </c>
      <c r="BE44" s="9" t="s">
        <v>98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  <c r="GK44" s="7" t="s">
        <v>22</v>
      </c>
      <c r="GL44" s="28" t="e">
        <f t="shared" ref="GL44" ca="1" si="210">GL35/GL38</f>
        <v>#DIV/0!</v>
      </c>
    </row>
    <row r="45" spans="1:255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88">
        <f>IF(DIAG!$T$43,IF(1-$L$45-SQRT(3)*(AI35)&gt;1,1,1-$L$45-SQRT(3)*(AI35)),-1)</f>
        <v>-1</v>
      </c>
      <c r="AP45" s="66">
        <f>IF(DIAG!H244,$GL$56,-1)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IF(DIAG!H244,$G$27,-1)</f>
        <v>-1</v>
      </c>
      <c r="BE45" s="9" t="s">
        <v>96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  <c r="CW45" s="37"/>
      <c r="GK45" s="7" t="s">
        <v>23</v>
      </c>
      <c r="GL45" s="28" t="e">
        <f t="shared" ref="GL45" ca="1" si="211">GL36/GL38</f>
        <v>#DIV/0!</v>
      </c>
    </row>
    <row r="46" spans="1:255" x14ac:dyDescent="0.2">
      <c r="A46" s="109"/>
      <c r="F46" s="9" t="s">
        <v>7</v>
      </c>
      <c r="L46" s="121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93">
        <f>IF(DIAG!$T$44,IF(1-$L$46+SQRT(3)*(AI35)&gt;1,1,1-$L$46+SQRT(3)*(AI35)),-1)</f>
        <v>-1</v>
      </c>
      <c r="BE46" s="9" t="s">
        <v>99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  <c r="CW46" s="37"/>
      <c r="GK46" s="8" t="s">
        <v>24</v>
      </c>
      <c r="GL46" s="32" t="e">
        <f t="shared" ref="GL46" ca="1" si="212">GL37/GL38</f>
        <v>#DIV/0!</v>
      </c>
    </row>
    <row r="47" spans="1:255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3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99">
        <f>IF(DIAG!$T$42,$L$47,-1)</f>
        <v>-1</v>
      </c>
      <c r="AN47" s="9" t="s">
        <v>75</v>
      </c>
      <c r="AP47" s="60">
        <f>IF(DIAG!H245,$GL$55,-1)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IF(DIAG!H245,$H$26,-1)</f>
        <v>-1</v>
      </c>
      <c r="BE47" s="9" t="s">
        <v>100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  <c r="GK47" s="35" t="s">
        <v>25</v>
      </c>
      <c r="GL47" s="37" t="e">
        <f t="shared" ref="GL47" ca="1" si="213">GL44+GL45</f>
        <v>#DIV/0!</v>
      </c>
    </row>
    <row r="48" spans="1:255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IF(DIAG!H245,$GL$56,-1)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IF(DIAG!H245,$H$27,-1)</f>
        <v>-1</v>
      </c>
      <c r="BE48" s="9" t="s">
        <v>101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  <c r="GK48" s="35" t="s">
        <v>27</v>
      </c>
      <c r="GL48" s="37" t="e">
        <f t="shared" ref="GL48" ca="1" si="214">GL44+GL45+GL46</f>
        <v>#DIV/0!</v>
      </c>
    </row>
    <row r="49" spans="1:196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  <c r="GK49" s="41" t="s">
        <v>30</v>
      </c>
      <c r="GL49" s="43" t="e">
        <f t="shared" ref="GL49" ca="1" si="215">1/GL46</f>
        <v>#DIV/0!</v>
      </c>
    </row>
    <row r="50" spans="1:196" x14ac:dyDescent="0.2">
      <c r="A50" s="103" t="s">
        <v>79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4">
        <f t="shared" ref="P50:S50" si="216">B26</f>
        <v>0.53291988700628756</v>
      </c>
      <c r="Q50" s="124">
        <f t="shared" si="216"/>
        <v>0.55478034726513814</v>
      </c>
      <c r="R50" s="124">
        <f t="shared" si="216"/>
        <v>3.7498150020865914E-3</v>
      </c>
      <c r="S50" s="124">
        <f t="shared" si="216"/>
        <v>8.6195072761755193E-4</v>
      </c>
      <c r="T50" s="124">
        <f t="shared" ref="T50" si="217">F26</f>
        <v>0.56251329150824048</v>
      </c>
      <c r="U50" s="124">
        <f t="shared" ref="U50" si="218">G26</f>
        <v>0.13391438647665083</v>
      </c>
      <c r="V50" s="124">
        <f t="shared" ref="V50" si="219">H26</f>
        <v>0.33832622448038058</v>
      </c>
      <c r="W50" s="124">
        <f t="shared" ref="W50:Y50" si="220">I26</f>
        <v>6.8485463787777033E-3</v>
      </c>
      <c r="X50" s="124">
        <f t="shared" si="220"/>
        <v>-0.49425886329757934</v>
      </c>
      <c r="Y50" s="125">
        <f t="shared" si="220"/>
        <v>-5.22653927897977E-2</v>
      </c>
      <c r="Z50" s="34"/>
      <c r="AA50" s="34"/>
      <c r="AB50" s="34"/>
      <c r="AN50" s="9" t="s">
        <v>76</v>
      </c>
      <c r="AP50" s="60">
        <f>IF(DIAG!H246,$GL$55,-1)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IF(DIAG!H246,$I$26,-1)</f>
        <v>-1</v>
      </c>
      <c r="GK50" s="46" t="s">
        <v>31</v>
      </c>
      <c r="GL50" s="48" t="e">
        <f t="shared" ref="GL50" ca="1" si="221">GL46/(1-GL46)</f>
        <v>#DIV/0!</v>
      </c>
    </row>
    <row r="51" spans="1:196" x14ac:dyDescent="0.2">
      <c r="A51" s="109"/>
      <c r="N51" s="93" t="str">
        <f>B5</f>
        <v>1-Thayna</v>
      </c>
      <c r="O51" s="93"/>
      <c r="P51" s="94">
        <f>B27</f>
        <v>7.477597481230322E-2</v>
      </c>
      <c r="Q51" s="93"/>
      <c r="R51" s="93"/>
      <c r="S51" s="93"/>
      <c r="T51" s="93"/>
      <c r="U51" s="93"/>
      <c r="V51" s="93"/>
      <c r="W51" s="93"/>
      <c r="X51" s="93"/>
      <c r="Y51" s="122"/>
      <c r="AP51" s="66">
        <f>IF(DIAG!H246,$GL$56,-1)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IF(DIAG!H246,$I$27,-1)</f>
        <v>-1</v>
      </c>
      <c r="GK51" s="46" t="s">
        <v>32</v>
      </c>
      <c r="GL51" s="48" t="e">
        <f t="shared" ref="GL51" ca="1" si="222">(1-GL44)/GL44</f>
        <v>#DIV/0!</v>
      </c>
    </row>
    <row r="52" spans="1:196" x14ac:dyDescent="0.2">
      <c r="A52" s="109"/>
      <c r="N52" s="93" t="str">
        <f>C5</f>
        <v>2-Henrique</v>
      </c>
      <c r="O52" s="93"/>
      <c r="P52" s="93"/>
      <c r="Q52" s="94">
        <f>C27</f>
        <v>1.1269138105230435E-2</v>
      </c>
      <c r="R52" s="93"/>
      <c r="S52" s="93"/>
      <c r="T52" s="93"/>
      <c r="U52" s="93"/>
      <c r="V52" s="93"/>
      <c r="W52" s="93"/>
      <c r="X52" s="93"/>
      <c r="Y52" s="122"/>
      <c r="GK52" s="51" t="s">
        <v>20</v>
      </c>
      <c r="GL52" s="52" t="e">
        <f t="shared" ref="GL52" ca="1" si="223">GL49/GL51</f>
        <v>#DIV/0!</v>
      </c>
    </row>
    <row r="53" spans="1:196" x14ac:dyDescent="0.2">
      <c r="A53" s="109"/>
      <c r="N53" s="93" t="str">
        <f>D5</f>
        <v>3-Andre</v>
      </c>
      <c r="O53" s="93"/>
      <c r="P53" s="93"/>
      <c r="Q53" s="93"/>
      <c r="R53" s="94">
        <f>D27</f>
        <v>0.97405051898962025</v>
      </c>
      <c r="S53" s="93"/>
      <c r="T53" s="93"/>
      <c r="U53" s="93"/>
      <c r="V53" s="93"/>
      <c r="W53" s="93"/>
      <c r="X53" s="93"/>
      <c r="Y53" s="122"/>
      <c r="AN53" s="9" t="s">
        <v>77</v>
      </c>
      <c r="AP53" s="60">
        <f>IF(DIAG!H247,$GL$55,-1)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IF(DIAG!H247,$J$26,-1)</f>
        <v>-1</v>
      </c>
      <c r="GK53" s="210" t="s">
        <v>33</v>
      </c>
      <c r="GL53" s="209"/>
      <c r="GM53" s="211"/>
      <c r="GN53" s="211"/>
    </row>
    <row r="54" spans="1:196" x14ac:dyDescent="0.2">
      <c r="A54" s="109"/>
      <c r="N54" s="93" t="str">
        <f>E5</f>
        <v>4-Atala</v>
      </c>
      <c r="O54" s="93"/>
      <c r="P54" s="93"/>
      <c r="Q54" s="93"/>
      <c r="R54" s="93"/>
      <c r="S54" s="94">
        <f>E27</f>
        <v>0.40540173724212814</v>
      </c>
      <c r="T54" s="93"/>
      <c r="U54" s="93"/>
      <c r="V54" s="93"/>
      <c r="W54" s="93"/>
      <c r="X54" s="93"/>
      <c r="Y54" s="122"/>
      <c r="AP54" s="66">
        <f>IF(DIAG!H247,$GL$56,-1)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IF(DIAG!H247,$J$27,-1)</f>
        <v>-1</v>
      </c>
      <c r="GK54" s="55" t="s">
        <v>34</v>
      </c>
      <c r="GL54" s="13" t="str">
        <f t="shared" ref="GL54" si="224">GL34</f>
        <v>Simergia</v>
      </c>
    </row>
    <row r="55" spans="1:196" ht="15.75" x14ac:dyDescent="0.3">
      <c r="A55" s="109"/>
      <c r="N55" s="93" t="str">
        <f>F5</f>
        <v>5-Bianca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2"/>
      <c r="GK55" s="57" t="s">
        <v>109</v>
      </c>
      <c r="GL55" s="37" t="e">
        <f t="shared" ref="GL55" ca="1" si="225">(2*GL46+GL44-1)/SQRT(3)</f>
        <v>#DIV/0!</v>
      </c>
    </row>
    <row r="56" spans="1:196" ht="15.75" x14ac:dyDescent="0.3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N56" s="93" t="str">
        <f>G5</f>
        <v>6-Guilherme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2"/>
      <c r="AN56" s="9" t="s">
        <v>78</v>
      </c>
      <c r="AP56" s="60">
        <f>IF(DIAG!H248,$GL$55,-1)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IF(DIAG!H248,$K$26,-1)</f>
        <v>-1</v>
      </c>
      <c r="GK56" s="63" t="s">
        <v>110</v>
      </c>
      <c r="GL56" s="37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GL44,-1)</f>
        <v>-1</v>
      </c>
    </row>
    <row r="57" spans="1:196" x14ac:dyDescent="0.2">
      <c r="A57" s="109"/>
      <c r="B57" s="10"/>
      <c r="C57" s="10"/>
      <c r="D57" s="10"/>
      <c r="E57" s="10"/>
      <c r="F57" s="10"/>
      <c r="N57" s="93" t="str">
        <f>H5</f>
        <v>7-Joao</v>
      </c>
      <c r="O57" s="93"/>
      <c r="P57" s="93"/>
      <c r="Q57" s="93"/>
      <c r="R57" s="93"/>
      <c r="S57" s="93"/>
      <c r="T57" s="94">
        <f>F27</f>
        <v>2.375229810322407E-2</v>
      </c>
      <c r="U57" s="94">
        <v>0.31372549019607798</v>
      </c>
      <c r="V57" s="94">
        <f>H27</f>
        <v>0.41042245561154805</v>
      </c>
      <c r="W57" s="93"/>
      <c r="X57" s="93"/>
      <c r="Y57" s="122"/>
      <c r="AP57" s="66">
        <f>IF(DIAG!H248,$GL$56,-1)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IF(DIAG!H248,$K$27,-1)</f>
        <v>-1</v>
      </c>
    </row>
    <row r="58" spans="1:196" x14ac:dyDescent="0.2">
      <c r="A58" s="109"/>
      <c r="B58" s="10"/>
      <c r="C58" s="10"/>
      <c r="D58" s="10"/>
      <c r="E58" s="10"/>
      <c r="F58" s="10"/>
      <c r="N58" s="93" t="str">
        <f>I5</f>
        <v>8-Biagio</v>
      </c>
      <c r="O58" s="93"/>
      <c r="P58" s="93"/>
      <c r="Q58" s="93"/>
      <c r="R58" s="93"/>
      <c r="S58" s="93"/>
      <c r="T58" s="93"/>
      <c r="U58" s="94"/>
      <c r="V58" s="93"/>
      <c r="W58" s="94">
        <f>I27</f>
        <v>5.0196298373527759E-3</v>
      </c>
      <c r="X58" s="93"/>
      <c r="Y58" s="122"/>
    </row>
    <row r="59" spans="1:196" x14ac:dyDescent="0.2">
      <c r="A59" s="109"/>
      <c r="B59" s="10"/>
      <c r="C59" s="10"/>
      <c r="D59" s="10"/>
      <c r="E59" s="10"/>
      <c r="F59" s="10"/>
      <c r="N59" s="93" t="str">
        <f>J5</f>
        <v>9-Cecilia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7.8747878559306053E-2</v>
      </c>
      <c r="Y59" s="122"/>
    </row>
    <row r="60" spans="1:196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10-Feni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6">
        <f>K27</f>
        <v>0.36378947368421055</v>
      </c>
    </row>
    <row r="61" spans="1:196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108</v>
      </c>
    </row>
    <row r="62" spans="1:196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196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196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80</v>
      </c>
      <c r="O64" s="110">
        <f>[1]DIAG!$T$51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80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226">(2*O66*($M65+1)-$M65-$M65*O66^2)/(SQRT(3)*$M65*(1-O66))</f>
        <v>-1.7320508075688774</v>
      </c>
      <c r="P65" s="89">
        <f t="shared" si="226"/>
        <v>-1.7320508075688774</v>
      </c>
      <c r="Q65" s="89">
        <f t="shared" si="226"/>
        <v>-1.7320508075688774</v>
      </c>
      <c r="R65" s="89">
        <f t="shared" si="226"/>
        <v>-1.7320508075688774</v>
      </c>
      <c r="S65" s="89">
        <f t="shared" si="226"/>
        <v>-1.7320508075688774</v>
      </c>
      <c r="T65" s="89">
        <f t="shared" si="226"/>
        <v>-1.7320508075688774</v>
      </c>
      <c r="U65" s="89">
        <f t="shared" si="226"/>
        <v>-1.7320508075688774</v>
      </c>
      <c r="V65" s="89">
        <f t="shared" si="226"/>
        <v>-1.7320508075688774</v>
      </c>
      <c r="W65" s="89">
        <f t="shared" si="226"/>
        <v>-1.7320508075688774</v>
      </c>
      <c r="X65" s="89">
        <f t="shared" si="226"/>
        <v>-1.7320508075688774</v>
      </c>
      <c r="Y65" s="89">
        <f t="shared" si="226"/>
        <v>-1.7320508075688774</v>
      </c>
      <c r="Z65" s="89">
        <f t="shared" si="226"/>
        <v>-1.7320508075688774</v>
      </c>
      <c r="AA65" s="89">
        <f t="shared" si="226"/>
        <v>-1.7320508075688774</v>
      </c>
      <c r="AB65" s="89">
        <f t="shared" si="226"/>
        <v>-1.7320508075688774</v>
      </c>
      <c r="AC65" s="89">
        <f t="shared" si="226"/>
        <v>-1.7320508075688774</v>
      </c>
      <c r="AD65" s="89">
        <f t="shared" si="226"/>
        <v>-1.7320508075688774</v>
      </c>
      <c r="AE65" s="89">
        <f t="shared" si="226"/>
        <v>-1.7320508075688774</v>
      </c>
      <c r="AF65" s="89">
        <f t="shared" si="226"/>
        <v>-1.7320508075688774</v>
      </c>
      <c r="AG65" s="127">
        <f t="shared" si="226"/>
        <v>-1.7320508075688774</v>
      </c>
      <c r="AM65" s="57">
        <f>AO64</f>
        <v>1</v>
      </c>
      <c r="AN65" s="88" t="s">
        <v>53</v>
      </c>
      <c r="AO65" s="89">
        <f t="shared" ref="AO65:BG65" si="227">(2*AO66*($M65+1)-$M65-$M65*AO66^2)/(SQRT(3)*$M65*(1-AO66))</f>
        <v>-1.7320508075688774</v>
      </c>
      <c r="AP65" s="89">
        <f t="shared" si="227"/>
        <v>-1.7320508075688774</v>
      </c>
      <c r="AQ65" s="89">
        <f t="shared" si="227"/>
        <v>-1.7320508075688774</v>
      </c>
      <c r="AR65" s="89">
        <f t="shared" si="227"/>
        <v>-1.7320508075688774</v>
      </c>
      <c r="AS65" s="89">
        <f t="shared" si="227"/>
        <v>-1.7320508075688774</v>
      </c>
      <c r="AT65" s="89">
        <f t="shared" si="227"/>
        <v>-1.7320508075688774</v>
      </c>
      <c r="AU65" s="89">
        <f t="shared" si="227"/>
        <v>-1.7320508075688774</v>
      </c>
      <c r="AV65" s="89">
        <f t="shared" si="227"/>
        <v>-1.7320508075688774</v>
      </c>
      <c r="AW65" s="89">
        <f t="shared" si="227"/>
        <v>-1.7320508075688774</v>
      </c>
      <c r="AX65" s="89">
        <f t="shared" si="227"/>
        <v>-1.7320508075688774</v>
      </c>
      <c r="AY65" s="89">
        <f t="shared" si="227"/>
        <v>-1.7320508075688774</v>
      </c>
      <c r="AZ65" s="89">
        <f t="shared" si="227"/>
        <v>-1.7320508075688774</v>
      </c>
      <c r="BA65" s="89">
        <f t="shared" si="227"/>
        <v>-1.7320508075688774</v>
      </c>
      <c r="BB65" s="89">
        <f t="shared" si="227"/>
        <v>-1.7320508075688774</v>
      </c>
      <c r="BC65" s="89">
        <f t="shared" si="227"/>
        <v>-1.7320508075688774</v>
      </c>
      <c r="BD65" s="89">
        <f t="shared" si="227"/>
        <v>-1.7320508075688774</v>
      </c>
      <c r="BE65" s="89">
        <f t="shared" si="227"/>
        <v>-1.7320508075688774</v>
      </c>
      <c r="BF65" s="89">
        <f t="shared" si="227"/>
        <v>-1.7320508075688774</v>
      </c>
      <c r="BG65" s="127">
        <f t="shared" si="227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28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29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0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0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82</v>
      </c>
      <c r="O68" s="110">
        <f>[1]DIAG!$T$52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81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228">(2*O70*($M69+1)-$M69-$M69*O70^2)/(SQRT(3)*$M69*(1-O70))</f>
        <v>-1.2701705922171769</v>
      </c>
      <c r="P69" s="89">
        <f t="shared" si="228"/>
        <v>-1.2701705922171769</v>
      </c>
      <c r="Q69" s="89">
        <f t="shared" si="228"/>
        <v>-1.2701705922171769</v>
      </c>
      <c r="R69" s="89">
        <f t="shared" si="228"/>
        <v>-1.2701705922171769</v>
      </c>
      <c r="S69" s="89">
        <f t="shared" si="228"/>
        <v>-1.2701705922171769</v>
      </c>
      <c r="T69" s="89">
        <f t="shared" si="228"/>
        <v>-1.2701705922171769</v>
      </c>
      <c r="U69" s="89">
        <f t="shared" si="228"/>
        <v>-1.2701705922171769</v>
      </c>
      <c r="V69" s="89">
        <f t="shared" si="228"/>
        <v>-1.2701705922171769</v>
      </c>
      <c r="W69" s="89">
        <f t="shared" si="228"/>
        <v>-1.2701705922171769</v>
      </c>
      <c r="X69" s="89">
        <f t="shared" si="228"/>
        <v>-1.2701705922171769</v>
      </c>
      <c r="Y69" s="89">
        <f t="shared" si="228"/>
        <v>-1.2701705922171769</v>
      </c>
      <c r="Z69" s="89">
        <f t="shared" si="228"/>
        <v>-1.2701705922171769</v>
      </c>
      <c r="AA69" s="89">
        <f t="shared" si="228"/>
        <v>-1.2701705922171769</v>
      </c>
      <c r="AB69" s="89">
        <f t="shared" si="228"/>
        <v>-1.2701705922171769</v>
      </c>
      <c r="AC69" s="89">
        <f t="shared" si="228"/>
        <v>-1.2701705922171769</v>
      </c>
      <c r="AD69" s="89">
        <f t="shared" si="228"/>
        <v>-1.2701705922171769</v>
      </c>
      <c r="AE69" s="89">
        <f t="shared" si="228"/>
        <v>-1.2701705922171769</v>
      </c>
      <c r="AF69" s="89">
        <f t="shared" si="228"/>
        <v>-1.2701705922171769</v>
      </c>
      <c r="AG69" s="127">
        <f t="shared" si="228"/>
        <v>-1.2701705922171769</v>
      </c>
      <c r="AM69" s="57">
        <f>AO68</f>
        <v>5</v>
      </c>
      <c r="AN69" s="88" t="s">
        <v>53</v>
      </c>
      <c r="AO69" s="89">
        <f t="shared" ref="AO69:BG69" si="229">(2*AO70*($M69+1)-$M69-$M69*AO70^2)/(SQRT(3)*$M69*(1-AO70))</f>
        <v>-1.2701705922171769</v>
      </c>
      <c r="AP69" s="89">
        <f t="shared" si="229"/>
        <v>-1.2701705922171769</v>
      </c>
      <c r="AQ69" s="89">
        <f t="shared" si="229"/>
        <v>-1.2701705922171769</v>
      </c>
      <c r="AR69" s="89">
        <f t="shared" si="229"/>
        <v>-1.2701705922171769</v>
      </c>
      <c r="AS69" s="89">
        <f t="shared" si="229"/>
        <v>-1.2701705922171769</v>
      </c>
      <c r="AT69" s="89">
        <f t="shared" si="229"/>
        <v>-1.2701705922171769</v>
      </c>
      <c r="AU69" s="89">
        <f t="shared" si="229"/>
        <v>-1.2701705922171769</v>
      </c>
      <c r="AV69" s="89">
        <f t="shared" si="229"/>
        <v>-1.2701705922171769</v>
      </c>
      <c r="AW69" s="89">
        <f t="shared" si="229"/>
        <v>-1.2701705922171769</v>
      </c>
      <c r="AX69" s="89">
        <f t="shared" si="229"/>
        <v>-1.2701705922171769</v>
      </c>
      <c r="AY69" s="89">
        <f t="shared" si="229"/>
        <v>-1.2701705922171769</v>
      </c>
      <c r="AZ69" s="89">
        <f t="shared" si="229"/>
        <v>-1.2701705922171769</v>
      </c>
      <c r="BA69" s="89">
        <f t="shared" si="229"/>
        <v>-1.2701705922171769</v>
      </c>
      <c r="BB69" s="89">
        <f t="shared" si="229"/>
        <v>-1.2701705922171769</v>
      </c>
      <c r="BC69" s="89">
        <f t="shared" si="229"/>
        <v>-1.2701705922171769</v>
      </c>
      <c r="BD69" s="89">
        <f t="shared" si="229"/>
        <v>-1.2701705922171769</v>
      </c>
      <c r="BE69" s="89">
        <f t="shared" si="229"/>
        <v>-1.2701705922171769</v>
      </c>
      <c r="BF69" s="89">
        <f t="shared" si="229"/>
        <v>-1.2701705922171769</v>
      </c>
      <c r="BG69" s="127">
        <f t="shared" si="229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28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29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0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0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121</v>
      </c>
      <c r="O72" s="110">
        <f>[1]DIAG!$T$53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230">(2*P74*($M73+1)-$M73-$M73*P74^2)/(SQRT(3)*$M73*(1-P74))</f>
        <v>-1.4433756729740645</v>
      </c>
      <c r="Q73" s="89">
        <f t="shared" si="230"/>
        <v>-1.4433756729740645</v>
      </c>
      <c r="R73" s="89">
        <f t="shared" si="230"/>
        <v>-1.4433756729740645</v>
      </c>
      <c r="S73" s="89">
        <f t="shared" si="230"/>
        <v>-1.4433756729740645</v>
      </c>
      <c r="T73" s="89">
        <f t="shared" si="230"/>
        <v>-1.4433756729740645</v>
      </c>
      <c r="U73" s="89">
        <f t="shared" si="230"/>
        <v>-1.4433756729740645</v>
      </c>
      <c r="V73" s="89">
        <f t="shared" si="230"/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230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230"/>
        <v>-1.4433756729740645</v>
      </c>
      <c r="AF73" s="89">
        <f t="shared" si="230"/>
        <v>-1.4433756729740645</v>
      </c>
      <c r="AG73" s="127">
        <f t="shared" si="230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0">
        <f>(BG74-AO74)/18</f>
        <v>0</v>
      </c>
    </row>
    <row r="74" spans="1:59" x14ac:dyDescent="0.2">
      <c r="A74" s="131"/>
      <c r="B74" s="132"/>
      <c r="C74" s="33"/>
      <c r="D74" s="133"/>
      <c r="E74" s="133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28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0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4" t="s">
        <v>7</v>
      </c>
      <c r="I76" s="85"/>
      <c r="J76" s="85"/>
      <c r="K76" s="85"/>
      <c r="Z76" s="34"/>
      <c r="AA76" s="34"/>
      <c r="AB76" s="34"/>
      <c r="AO76" s="9" t="s">
        <v>45</v>
      </c>
      <c r="AP76" s="135">
        <v>-0.52500000000000002</v>
      </c>
      <c r="AQ76" s="135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6"/>
      <c r="T77" s="136"/>
      <c r="U77" s="136"/>
      <c r="V77" s="136"/>
      <c r="W77" s="136"/>
      <c r="X77" s="136"/>
      <c r="Y77" s="136"/>
      <c r="Z77" s="136"/>
      <c r="AA77" s="136"/>
      <c r="AB77" s="136"/>
      <c r="AC77" s="90"/>
      <c r="AD77" s="90"/>
      <c r="AE77" s="90"/>
      <c r="AF77" s="90"/>
      <c r="AG77" s="90"/>
      <c r="AH77" s="90"/>
      <c r="AI77" s="91"/>
      <c r="AM77" s="121">
        <v>1</v>
      </c>
      <c r="AN77" s="93"/>
      <c r="AO77" s="93" t="str">
        <f>IF([1]DIAG!X44,CONCATENATE("F=",TRUNC(AM77/2,2)),"")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109</v>
      </c>
      <c r="B78" s="137" t="s">
        <v>110</v>
      </c>
      <c r="C78" s="10" t="s">
        <v>56</v>
      </c>
      <c r="D78" s="10" t="s">
        <v>57</v>
      </c>
      <c r="E78" s="35" t="s">
        <v>109</v>
      </c>
      <c r="F78" s="137" t="s">
        <v>110</v>
      </c>
      <c r="G78" s="35" t="s">
        <v>109</v>
      </c>
      <c r="H78" s="137" t="s">
        <v>110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231">Q35</f>
        <v>-0.46188021535170065</v>
      </c>
      <c r="R78" s="29">
        <f t="shared" si="231"/>
        <v>-0.40414518843273811</v>
      </c>
      <c r="S78" s="29">
        <f t="shared" si="231"/>
        <v>-0.34641016151377552</v>
      </c>
      <c r="T78" s="29">
        <f t="shared" si="231"/>
        <v>-0.28867513459481292</v>
      </c>
      <c r="U78" s="29">
        <f t="shared" si="231"/>
        <v>-0.23094010767585038</v>
      </c>
      <c r="V78" s="29">
        <f t="shared" si="231"/>
        <v>-0.17320508075688779</v>
      </c>
      <c r="W78" s="29">
        <f t="shared" si="231"/>
        <v>-0.11547005383792519</v>
      </c>
      <c r="X78" s="29">
        <f t="shared" si="231"/>
        <v>-5.7735026918962595E-2</v>
      </c>
      <c r="Y78" s="29">
        <f t="shared" si="231"/>
        <v>0</v>
      </c>
      <c r="Z78" s="29">
        <f t="shared" si="231"/>
        <v>5.7735026918962595E-2</v>
      </c>
      <c r="AA78" s="29">
        <f t="shared" si="231"/>
        <v>0.11547005383792519</v>
      </c>
      <c r="AB78" s="29">
        <f t="shared" si="231"/>
        <v>0.17320508075688779</v>
      </c>
      <c r="AC78" s="29">
        <f t="shared" si="231"/>
        <v>0.23094010767585038</v>
      </c>
      <c r="AD78" s="29">
        <f t="shared" si="231"/>
        <v>0.28867513459481292</v>
      </c>
      <c r="AE78" s="29">
        <f t="shared" si="231"/>
        <v>0.34641016151377552</v>
      </c>
      <c r="AF78" s="29">
        <f t="shared" si="231"/>
        <v>0.40414518843273811</v>
      </c>
      <c r="AG78" s="29">
        <f t="shared" si="231"/>
        <v>0.46188021535170065</v>
      </c>
      <c r="AH78" s="29">
        <f t="shared" si="231"/>
        <v>0.51961524227066325</v>
      </c>
      <c r="AI78" s="29">
        <f t="shared" si="231"/>
        <v>0.57735026918962584</v>
      </c>
      <c r="AM78" s="121">
        <v>0.4</v>
      </c>
      <c r="AN78" s="93"/>
      <c r="AO78" s="93" t="str">
        <f>IF([1]DIAG!X44,CONCATENATE("F=",TRUNC(AM78/2,2)),"")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39">
        <f>VLOOKUP(A78,A26:GS26,DIAG!$T$58+1,0)</f>
        <v>0.53291988700628756</v>
      </c>
      <c r="B79" s="140">
        <f>VLOOKUP(B78,A27:GS27,DIAG!$T$58+1,0)</f>
        <v>7.477597481230322E-2</v>
      </c>
      <c r="E79" s="139">
        <f>VLOOKUP(E78,A26:GS26,DIAG!$W$56+1,0)</f>
        <v>0</v>
      </c>
      <c r="F79" s="140">
        <f>VLOOKUP(F78,A27:GS27,DIAG!$W$56+1,0)</f>
        <v>0</v>
      </c>
      <c r="G79" s="139">
        <f>VLOOKUP(G78,A26:GS26,DIAG!$W$58+1,0)</f>
        <v>-5.22653927897977E-2</v>
      </c>
      <c r="H79" s="140">
        <f>VLOOKUP(H78,A27:GS27,DIAG!$W$58+1,0)</f>
        <v>0.36378947368421055</v>
      </c>
      <c r="N79" s="10" t="s">
        <v>120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-0.28867513459481292</v>
      </c>
      <c r="U79" s="29">
        <f>IF(A79&lt;&gt;0,U35,0)</f>
        <v>-0.23094010767585038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38">
        <f>IF(A79&lt;&gt;0,AI35,0)</f>
        <v>0.57735026918962584</v>
      </c>
      <c r="AM79" s="123">
        <v>9.0909000000000004E-2</v>
      </c>
      <c r="AN79" s="99"/>
      <c r="AO79" s="99" t="str">
        <f>IF([1]DIAG!X44,CONCATENATE("R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2">
        <f>-1/SQRT(3)</f>
        <v>-0.57735026918962584</v>
      </c>
      <c r="B80" s="129">
        <v>0</v>
      </c>
      <c r="C80" s="29">
        <f>(B80-$F$79)/(A80-$E$79)</f>
        <v>0</v>
      </c>
      <c r="D80" s="29">
        <f>(B80*(A80-$E$79)-A80*(B80-$F$79))/(A80-$E$79)</f>
        <v>0</v>
      </c>
      <c r="E80" s="29" t="s">
        <v>5</v>
      </c>
      <c r="F80" s="29"/>
      <c r="N80" s="10" t="s">
        <v>111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38">
        <f>IF(DIAG!$T$55,($C$80*AI35+$D$80),-1)</f>
        <v>-1</v>
      </c>
      <c r="AM80" s="123">
        <v>0.33333000000000002</v>
      </c>
      <c r="AN80" s="99"/>
      <c r="AO80" s="99" t="str">
        <f>IF([1]DIAG!X44,CONCATENATE("R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2">
        <f>1/SQRT(3)</f>
        <v>0.57735026918962584</v>
      </c>
      <c r="B81" s="129">
        <v>0</v>
      </c>
      <c r="C81" s="29">
        <f>(B81-$H$79)/(A81-$G$79)</f>
        <v>-0.57779609951332433</v>
      </c>
      <c r="D81" s="29">
        <f>(B81*(A81-$G$79)-A81*(B81-$H$79))/(A81-$G$79)</f>
        <v>0.3335907335907336</v>
      </c>
      <c r="E81" s="29" t="s">
        <v>7</v>
      </c>
      <c r="N81" s="10" t="s">
        <v>112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38">
        <f>IF(DIAG!$T$56,($C$81*AI35+$D$81),-1)</f>
        <v>-1</v>
      </c>
    </row>
    <row r="82" spans="1:35" ht="15.75" x14ac:dyDescent="0.3">
      <c r="A82" s="143">
        <v>0</v>
      </c>
      <c r="B82" s="144">
        <v>1</v>
      </c>
      <c r="C82" s="29">
        <f>(B82-$B$79)/(A82-$A$79)</f>
        <v>-1.7361409242676296</v>
      </c>
      <c r="D82" s="29">
        <f>(B82*(A82-$A$79)-A82*(B82-$B$79))/(A82-$A$79)</f>
        <v>1</v>
      </c>
      <c r="E82" s="29" t="s">
        <v>6</v>
      </c>
      <c r="N82" s="10" t="s">
        <v>113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38">
        <f>IFERROR(IF(DIAG!$T$54,($C$82*AI35+$D$82),-1),4.33)</f>
        <v>-1</v>
      </c>
    </row>
    <row r="83" spans="1:35" x14ac:dyDescent="0.2">
      <c r="A83" s="145">
        <f>B83+1</f>
        <v>5</v>
      </c>
      <c r="B83" s="10">
        <v>4</v>
      </c>
      <c r="E83" s="29"/>
      <c r="AI83" s="141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/>
      <c r="AI84" s="141"/>
    </row>
    <row r="85" spans="1:35" x14ac:dyDescent="0.2">
      <c r="A85" s="109"/>
      <c r="AI85" s="141"/>
    </row>
    <row r="86" spans="1:35" x14ac:dyDescent="0.2">
      <c r="A86" s="109"/>
      <c r="D86" s="9">
        <v>1</v>
      </c>
      <c r="E86" s="9">
        <v>2</v>
      </c>
      <c r="AI86" s="141"/>
    </row>
    <row r="87" spans="1:35" x14ac:dyDescent="0.2">
      <c r="A87" s="109"/>
      <c r="B87" s="146" t="s">
        <v>5</v>
      </c>
      <c r="C87" s="147" t="s">
        <v>53</v>
      </c>
      <c r="D87" s="148" t="e">
        <f ca="1">D90</f>
        <v>#REF!</v>
      </c>
      <c r="E87" s="149" t="e">
        <f ca="1">E91</f>
        <v>#REF!</v>
      </c>
      <c r="G87" s="146" t="s">
        <v>7</v>
      </c>
      <c r="H87" s="147"/>
      <c r="I87" s="147"/>
      <c r="J87" s="147"/>
      <c r="K87" s="147"/>
      <c r="L87" s="147" t="s">
        <v>53</v>
      </c>
      <c r="M87" s="148" t="e">
        <f ca="1">M90</f>
        <v>#REF!</v>
      </c>
      <c r="N87" s="149" t="e">
        <f ca="1">N91</f>
        <v>#REF!</v>
      </c>
      <c r="P87" s="150" t="s">
        <v>6</v>
      </c>
      <c r="Q87" s="90" t="s">
        <v>53</v>
      </c>
      <c r="R87" s="136" t="e">
        <f ca="1">R90</f>
        <v>#DIV/0!</v>
      </c>
      <c r="S87" s="62" t="e">
        <f ca="1">S91</f>
        <v>#DIV/0!</v>
      </c>
      <c r="AI87" s="141"/>
    </row>
    <row r="88" spans="1:35" x14ac:dyDescent="0.2">
      <c r="A88" s="109"/>
      <c r="B88" s="151"/>
      <c r="C88" s="152" t="s">
        <v>54</v>
      </c>
      <c r="D88" s="153" t="e">
        <f ca="1">C80*D87+D80</f>
        <v>#REF!</v>
      </c>
      <c r="E88" s="154" t="e">
        <f ca="1">C80*E87+D80</f>
        <v>#REF!</v>
      </c>
      <c r="G88" s="151"/>
      <c r="H88" s="152"/>
      <c r="I88" s="152"/>
      <c r="J88" s="152"/>
      <c r="K88" s="152"/>
      <c r="L88" s="152" t="s">
        <v>54</v>
      </c>
      <c r="M88" s="153" t="e">
        <f ca="1">C81*M87+D81</f>
        <v>#REF!</v>
      </c>
      <c r="N88" s="154" t="e">
        <f ca="1">C81*N87+D81</f>
        <v>#REF!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1"/>
    </row>
    <row r="89" spans="1:35" x14ac:dyDescent="0.2">
      <c r="A89" s="109"/>
      <c r="B89" s="151"/>
      <c r="C89" s="152"/>
      <c r="D89" s="153"/>
      <c r="E89" s="154"/>
      <c r="G89" s="151"/>
      <c r="H89" s="152"/>
      <c r="I89" s="152"/>
      <c r="J89" s="152"/>
      <c r="K89" s="152"/>
      <c r="L89" s="152"/>
      <c r="M89" s="153"/>
      <c r="N89" s="154"/>
      <c r="P89" s="109"/>
      <c r="S89" s="141"/>
      <c r="AI89" s="141"/>
    </row>
    <row r="90" spans="1:35" x14ac:dyDescent="0.2">
      <c r="A90" s="109"/>
      <c r="B90" s="151" t="s">
        <v>8</v>
      </c>
      <c r="C90" s="152" t="s">
        <v>58</v>
      </c>
      <c r="D90" s="153" t="e">
        <f ca="1">(SQRT(D88^2-2*D88+5)-2)/SQRT(3)</f>
        <v>#REF!</v>
      </c>
      <c r="E90" s="154"/>
      <c r="G90" s="151" t="s">
        <v>8</v>
      </c>
      <c r="H90" s="152"/>
      <c r="I90" s="152"/>
      <c r="J90" s="152"/>
      <c r="K90" s="152"/>
      <c r="L90" s="152" t="s">
        <v>58</v>
      </c>
      <c r="M90" s="153" t="e">
        <f ca="1">(SQRT(M88^2-2*M88+5)-2)/SQRT(3)</f>
        <v>#REF!</v>
      </c>
      <c r="N90" s="154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1"/>
    </row>
    <row r="91" spans="1:35" x14ac:dyDescent="0.2">
      <c r="A91" s="109"/>
      <c r="B91" s="151" t="s">
        <v>9</v>
      </c>
      <c r="C91" s="152" t="s">
        <v>59</v>
      </c>
      <c r="D91" s="153"/>
      <c r="E91" s="154" t="e">
        <f ca="1">(SQRT(25*E88^2-10*E88+21)-6)/(5*SQRT(3))</f>
        <v>#REF!</v>
      </c>
      <c r="G91" s="151" t="s">
        <v>9</v>
      </c>
      <c r="H91" s="152"/>
      <c r="I91" s="152"/>
      <c r="J91" s="152"/>
      <c r="K91" s="152"/>
      <c r="L91" s="152" t="s">
        <v>59</v>
      </c>
      <c r="M91" s="153"/>
      <c r="N91" s="154" t="e">
        <f ca="1">(SQRT(25*N88*N88-10*N88+21)-6)/(5*SQRT(3))</f>
        <v>#REF!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1"/>
    </row>
    <row r="92" spans="1:35" x14ac:dyDescent="0.2">
      <c r="A92" s="109"/>
      <c r="B92" s="155" t="s">
        <v>60</v>
      </c>
      <c r="C92" s="156"/>
      <c r="D92" s="157" t="e">
        <f ca="1">SQRT((D87-E87)^2+(D88-E88)^2)</f>
        <v>#REF!</v>
      </c>
      <c r="E92" s="158"/>
      <c r="G92" s="155" t="s">
        <v>60</v>
      </c>
      <c r="H92" s="156"/>
      <c r="I92" s="156"/>
      <c r="J92" s="156"/>
      <c r="K92" s="156"/>
      <c r="L92" s="156"/>
      <c r="M92" s="157" t="e">
        <f ca="1">SQRT((M87-N87)^2+(M88-N88)^2)</f>
        <v>#REF!</v>
      </c>
      <c r="N92" s="158"/>
      <c r="P92" s="112" t="s">
        <v>60</v>
      </c>
      <c r="Q92" s="33"/>
      <c r="R92" s="159" t="e">
        <f ca="1">SQRT((R87-S87)^2+(R88-S88)^2)</f>
        <v>#DIV/0!</v>
      </c>
      <c r="S92" s="68"/>
      <c r="AI92" s="141"/>
    </row>
    <row r="93" spans="1:35" x14ac:dyDescent="0.2">
      <c r="A93" s="109"/>
      <c r="D93" s="9">
        <v>3</v>
      </c>
      <c r="E93" s="9">
        <v>0</v>
      </c>
      <c r="AI93" s="141"/>
    </row>
    <row r="94" spans="1:35" x14ac:dyDescent="0.2">
      <c r="A94" s="109"/>
      <c r="B94" s="146" t="s">
        <v>5</v>
      </c>
      <c r="C94" s="147" t="s">
        <v>53</v>
      </c>
      <c r="D94" s="148" t="e">
        <f ca="1">D97</f>
        <v>#REF!</v>
      </c>
      <c r="E94" s="149">
        <f>-1/SQRT(3)</f>
        <v>-0.57735026918962584</v>
      </c>
      <c r="G94" s="146" t="s">
        <v>7</v>
      </c>
      <c r="H94" s="147"/>
      <c r="I94" s="147"/>
      <c r="J94" s="147"/>
      <c r="K94" s="147"/>
      <c r="L94" s="147" t="s">
        <v>53</v>
      </c>
      <c r="M94" s="148" t="e">
        <f ca="1">M97</f>
        <v>#REF!</v>
      </c>
      <c r="N94" s="149">
        <f>1/SQRT(3)</f>
        <v>0.57735026918962584</v>
      </c>
      <c r="P94" s="150" t="s">
        <v>6</v>
      </c>
      <c r="Q94" s="90" t="s">
        <v>53</v>
      </c>
      <c r="R94" s="136">
        <f>(R95-D82)/C82</f>
        <v>0.57599010888003699</v>
      </c>
      <c r="S94" s="62">
        <v>0</v>
      </c>
      <c r="AI94" s="141"/>
    </row>
    <row r="95" spans="1:35" x14ac:dyDescent="0.2">
      <c r="A95" s="109"/>
      <c r="B95" s="151"/>
      <c r="C95" s="152" t="s">
        <v>54</v>
      </c>
      <c r="D95" s="153" t="e">
        <f ca="1">C80*D94+D80</f>
        <v>#REF!</v>
      </c>
      <c r="E95" s="154">
        <v>0</v>
      </c>
      <c r="G95" s="151"/>
      <c r="H95" s="152"/>
      <c r="I95" s="152"/>
      <c r="J95" s="152"/>
      <c r="K95" s="152"/>
      <c r="L95" s="152" t="s">
        <v>54</v>
      </c>
      <c r="M95" s="153" t="e">
        <f ca="1">C81*M94+D81</f>
        <v>#REF!</v>
      </c>
      <c r="N95" s="154">
        <v>0</v>
      </c>
      <c r="P95" s="109"/>
      <c r="Q95" s="9" t="s">
        <v>54</v>
      </c>
      <c r="R95" s="34">
        <f>R97</f>
        <v>0</v>
      </c>
      <c r="S95" s="97">
        <v>1</v>
      </c>
      <c r="AI95" s="141"/>
    </row>
    <row r="96" spans="1:35" x14ac:dyDescent="0.2">
      <c r="A96" s="109"/>
      <c r="B96" s="151"/>
      <c r="C96" s="152"/>
      <c r="D96" s="153"/>
      <c r="E96" s="154"/>
      <c r="G96" s="151"/>
      <c r="H96" s="152"/>
      <c r="I96" s="152"/>
      <c r="J96" s="152"/>
      <c r="K96" s="152"/>
      <c r="L96" s="152"/>
      <c r="M96" s="153"/>
      <c r="N96" s="154"/>
      <c r="P96" s="109"/>
      <c r="R96" s="34"/>
      <c r="S96" s="97"/>
      <c r="AI96" s="141"/>
    </row>
    <row r="97" spans="1:35" x14ac:dyDescent="0.2">
      <c r="A97" s="109"/>
      <c r="B97" s="151" t="s">
        <v>5</v>
      </c>
      <c r="C97" s="152" t="s">
        <v>58</v>
      </c>
      <c r="D97" s="153" t="e">
        <f ca="1">(1-D95)/SQRT(3)</f>
        <v>#REF!</v>
      </c>
      <c r="E97" s="154"/>
      <c r="G97" s="151" t="s">
        <v>7</v>
      </c>
      <c r="H97" s="152"/>
      <c r="I97" s="152"/>
      <c r="J97" s="152"/>
      <c r="K97" s="152"/>
      <c r="L97" s="152" t="s">
        <v>58</v>
      </c>
      <c r="M97" s="153" t="e">
        <f ca="1">-(1-M95)/SQRT(3)</f>
        <v>#REF!</v>
      </c>
      <c r="N97" s="154"/>
      <c r="P97" s="109" t="s">
        <v>6</v>
      </c>
      <c r="Q97" s="9" t="s">
        <v>61</v>
      </c>
      <c r="R97" s="34">
        <v>0</v>
      </c>
      <c r="S97" s="97"/>
      <c r="AI97" s="141"/>
    </row>
    <row r="98" spans="1:35" x14ac:dyDescent="0.2">
      <c r="A98" s="109"/>
      <c r="B98" s="155" t="s">
        <v>60</v>
      </c>
      <c r="C98" s="156"/>
      <c r="D98" s="157" t="e">
        <f ca="1">SQRT((D94-E94)^2+(D95-E95)^2)</f>
        <v>#REF!</v>
      </c>
      <c r="E98" s="158"/>
      <c r="G98" s="155" t="s">
        <v>60</v>
      </c>
      <c r="H98" s="156"/>
      <c r="I98" s="156"/>
      <c r="J98" s="156"/>
      <c r="K98" s="156"/>
      <c r="L98" s="156"/>
      <c r="M98" s="157" t="e">
        <f ca="1">SQRT((M94-N94)^2+(M95-N95)^2)</f>
        <v>#REF!</v>
      </c>
      <c r="N98" s="158"/>
      <c r="P98" s="112" t="s">
        <v>60</v>
      </c>
      <c r="Q98" s="33"/>
      <c r="R98" s="159">
        <f>SQRT((R94-S94)^2+(R95-S95)^2)</f>
        <v>1.1540210593952074</v>
      </c>
      <c r="S98" s="68"/>
      <c r="W98" s="9" t="e">
        <f ca="1">(SQRT(25*E88^2-10*E88+21)-6)/(5*SQRT(3))</f>
        <v>#REF!</v>
      </c>
      <c r="AI98" s="141"/>
    </row>
    <row r="99" spans="1:35" x14ac:dyDescent="0.2">
      <c r="A99" s="109"/>
      <c r="G99" s="9"/>
      <c r="H99" s="9"/>
      <c r="I99" s="9"/>
      <c r="J99" s="9"/>
      <c r="K99" s="9"/>
      <c r="AI99" s="141"/>
    </row>
    <row r="100" spans="1:35" x14ac:dyDescent="0.2">
      <c r="A100" s="109"/>
      <c r="B100" s="146" t="s">
        <v>62</v>
      </c>
      <c r="C100" s="147"/>
      <c r="D100" s="160" t="e">
        <f ca="1">D92/D98</f>
        <v>#REF!</v>
      </c>
      <c r="E100" s="161"/>
      <c r="G100" s="146" t="s">
        <v>135</v>
      </c>
      <c r="H100" s="147"/>
      <c r="I100" s="147"/>
      <c r="J100" s="147"/>
      <c r="K100" s="147"/>
      <c r="L100" s="147"/>
      <c r="M100" s="160" t="e">
        <f ca="1">M92/M98</f>
        <v>#REF!</v>
      </c>
      <c r="N100" s="161"/>
      <c r="P100" s="9" t="s">
        <v>63</v>
      </c>
      <c r="R100" s="162" t="e">
        <f ca="1">R92/R98</f>
        <v>#DIV/0!</v>
      </c>
      <c r="AI100" s="141"/>
    </row>
    <row r="101" spans="1:35" x14ac:dyDescent="0.2">
      <c r="A101" s="109"/>
      <c r="B101" s="151"/>
      <c r="C101" s="152"/>
      <c r="D101" s="163" t="s">
        <v>36</v>
      </c>
      <c r="E101" s="164" t="s">
        <v>38</v>
      </c>
      <c r="G101" s="165"/>
      <c r="H101" s="163"/>
      <c r="I101" s="163"/>
      <c r="J101" s="163"/>
      <c r="K101" s="163"/>
      <c r="L101" s="152"/>
      <c r="M101" s="163" t="s">
        <v>38</v>
      </c>
      <c r="N101" s="164" t="s">
        <v>36</v>
      </c>
      <c r="R101" s="10"/>
      <c r="S101" s="10"/>
      <c r="AI101" s="141"/>
    </row>
    <row r="102" spans="1:35" x14ac:dyDescent="0.2">
      <c r="A102" s="109"/>
      <c r="B102" s="151"/>
      <c r="C102" s="152"/>
      <c r="D102" s="152" t="e">
        <f ca="1">SQRT((E87-E94)^2+(E88-E95)^2)</f>
        <v>#REF!</v>
      </c>
      <c r="E102" s="166" t="e">
        <f ca="1">SQRT((D87-D94)^2+(D88-D95)^2)</f>
        <v>#REF!</v>
      </c>
      <c r="G102" s="165"/>
      <c r="H102" s="163"/>
      <c r="I102" s="163"/>
      <c r="J102" s="163"/>
      <c r="K102" s="163"/>
      <c r="L102" s="152"/>
      <c r="M102" s="152" t="e">
        <f ca="1">SQRT((M87-N94)^2+(M88-N95)^2)</f>
        <v>#REF!</v>
      </c>
      <c r="N102" s="166" t="e">
        <f ca="1">SQRT((N87-M94)^2+(N88-M95)^2)</f>
        <v>#REF!</v>
      </c>
      <c r="AI102" s="141"/>
    </row>
    <row r="103" spans="1:35" x14ac:dyDescent="0.2">
      <c r="A103" s="109"/>
      <c r="B103" s="155"/>
      <c r="C103" s="156"/>
      <c r="D103" s="167" t="e">
        <f ca="1">D102/D98</f>
        <v>#REF!</v>
      </c>
      <c r="E103" s="168" t="e">
        <f ca="1">E102/D98</f>
        <v>#REF!</v>
      </c>
      <c r="G103" s="169"/>
      <c r="H103" s="170"/>
      <c r="I103" s="170"/>
      <c r="J103" s="170"/>
      <c r="K103" s="170"/>
      <c r="L103" s="156"/>
      <c r="M103" s="167" t="e">
        <f ca="1">M102/M98</f>
        <v>#REF!</v>
      </c>
      <c r="N103" s="168" t="e">
        <f ca="1">N102/M98</f>
        <v>#REF!</v>
      </c>
      <c r="R103" s="171"/>
      <c r="S103" s="171"/>
      <c r="AI103" s="141"/>
    </row>
    <row r="104" spans="1:35" x14ac:dyDescent="0.2">
      <c r="A104" s="109"/>
      <c r="AI104" s="141"/>
    </row>
    <row r="105" spans="1:35" x14ac:dyDescent="0.2">
      <c r="A105" s="109"/>
      <c r="D105" s="172" t="e">
        <f ca="1">D100+D103+E103</f>
        <v>#REF!</v>
      </c>
      <c r="M105" s="172" t="e">
        <f ca="1">M100+M103+N103</f>
        <v>#REF!</v>
      </c>
      <c r="R105" s="172"/>
      <c r="AI105" s="141"/>
    </row>
    <row r="106" spans="1:35" x14ac:dyDescent="0.2">
      <c r="A106" s="109"/>
      <c r="AI106" s="141"/>
    </row>
    <row r="107" spans="1:35" x14ac:dyDescent="0.2">
      <c r="A107" s="109"/>
      <c r="AI107" s="141"/>
    </row>
    <row r="108" spans="1:35" x14ac:dyDescent="0.2">
      <c r="A108" s="109"/>
      <c r="D108" s="116" t="e">
        <f ca="1">LOG(100*E103)</f>
        <v>#REF!</v>
      </c>
      <c r="M108" s="116" t="e">
        <f ca="1">LOG(100*N103)</f>
        <v>#REF!</v>
      </c>
      <c r="AI108" s="141"/>
    </row>
    <row r="109" spans="1:35" x14ac:dyDescent="0.2">
      <c r="A109" s="109"/>
      <c r="D109" s="116" t="e">
        <f ca="1">LOG(100*D100)</f>
        <v>#REF!</v>
      </c>
      <c r="M109" s="116" t="e">
        <f ca="1">LOG(100*M100)</f>
        <v>#REF!</v>
      </c>
      <c r="AI109" s="141"/>
    </row>
    <row r="110" spans="1:35" x14ac:dyDescent="0.2">
      <c r="A110" s="112"/>
      <c r="B110" s="33"/>
      <c r="C110" s="33"/>
      <c r="D110" s="173" t="e">
        <f ca="1">LOG(100*D103)</f>
        <v>#REF!</v>
      </c>
      <c r="E110" s="33"/>
      <c r="F110" s="33"/>
      <c r="G110" s="113"/>
      <c r="H110" s="113"/>
      <c r="I110" s="113"/>
      <c r="J110" s="113"/>
      <c r="K110" s="113"/>
      <c r="L110" s="33"/>
      <c r="M110" s="173" t="e">
        <f ca="1">LOG(100*M103)</f>
        <v>#REF!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  <row r="111" spans="1:35" x14ac:dyDescent="0.2">
      <c r="G111" s="9"/>
      <c r="H111" s="9"/>
      <c r="I111" s="9"/>
      <c r="J111" s="9"/>
      <c r="K111" s="9"/>
    </row>
    <row r="112" spans="1:35" x14ac:dyDescent="0.2">
      <c r="G112" s="9"/>
      <c r="H112" s="9"/>
      <c r="I112" s="9"/>
      <c r="J112" s="9"/>
      <c r="K112" s="9"/>
    </row>
    <row r="113" spans="3:14" x14ac:dyDescent="0.2">
      <c r="C113" s="9" t="s">
        <v>35</v>
      </c>
      <c r="E113" s="60">
        <v>-1</v>
      </c>
      <c r="F113" s="61">
        <v>-1</v>
      </c>
      <c r="G113" s="61">
        <v>-1</v>
      </c>
      <c r="H113" s="61">
        <v>-1</v>
      </c>
      <c r="I113" s="61">
        <v>-1</v>
      </c>
      <c r="J113" s="61">
        <v>-1</v>
      </c>
      <c r="K113" s="61">
        <v>-1</v>
      </c>
      <c r="L113" s="61">
        <v>-1</v>
      </c>
      <c r="M113" s="61">
        <v>-1</v>
      </c>
      <c r="N113" s="62">
        <v>-1</v>
      </c>
    </row>
    <row r="114" spans="3:14" x14ac:dyDescent="0.2">
      <c r="E114" s="66">
        <v>-1</v>
      </c>
      <c r="F114" s="67">
        <v>-1</v>
      </c>
      <c r="G114" s="67">
        <v>-1</v>
      </c>
      <c r="H114" s="67">
        <v>-1</v>
      </c>
      <c r="I114" s="67">
        <v>-1</v>
      </c>
      <c r="J114" s="67">
        <v>-1</v>
      </c>
      <c r="K114" s="67">
        <v>-1</v>
      </c>
      <c r="L114" s="67">
        <v>-1</v>
      </c>
      <c r="M114" s="67">
        <v>-1</v>
      </c>
      <c r="N114" s="68">
        <v>-1</v>
      </c>
    </row>
    <row r="115" spans="3:14" x14ac:dyDescent="0.2">
      <c r="D115" s="34"/>
      <c r="E115" s="34"/>
      <c r="F115" s="34"/>
      <c r="G115" s="34"/>
      <c r="H115" s="34"/>
      <c r="I115" s="34"/>
      <c r="J115" s="34"/>
      <c r="K115" s="9"/>
    </row>
    <row r="116" spans="3:14" x14ac:dyDescent="0.2">
      <c r="C116" s="9" t="s">
        <v>40</v>
      </c>
      <c r="D116" s="34"/>
      <c r="E116" s="60">
        <v>-1</v>
      </c>
      <c r="F116" s="61">
        <v>-1</v>
      </c>
      <c r="G116" s="61">
        <v>-1</v>
      </c>
      <c r="H116" s="61">
        <v>-1</v>
      </c>
      <c r="I116" s="61">
        <v>-1</v>
      </c>
      <c r="J116" s="61">
        <v>-1</v>
      </c>
      <c r="K116" s="61">
        <v>-1</v>
      </c>
      <c r="L116" s="61">
        <v>-1</v>
      </c>
      <c r="M116" s="61">
        <v>-1</v>
      </c>
      <c r="N116" s="62">
        <v>-1</v>
      </c>
    </row>
    <row r="117" spans="3:14" x14ac:dyDescent="0.2">
      <c r="D117" s="34"/>
      <c r="E117" s="66">
        <v>-1</v>
      </c>
      <c r="F117" s="67">
        <v>-1</v>
      </c>
      <c r="G117" s="67">
        <v>-1</v>
      </c>
      <c r="H117" s="67">
        <v>-1</v>
      </c>
      <c r="I117" s="67">
        <v>-1</v>
      </c>
      <c r="J117" s="67">
        <v>-1</v>
      </c>
      <c r="K117" s="67">
        <v>-1</v>
      </c>
      <c r="L117" s="67">
        <v>-1</v>
      </c>
      <c r="M117" s="67">
        <v>-1</v>
      </c>
      <c r="N117" s="68">
        <v>-1</v>
      </c>
    </row>
    <row r="118" spans="3:14" x14ac:dyDescent="0.2">
      <c r="D118" s="34"/>
      <c r="G118" s="9"/>
      <c r="H118" s="34"/>
      <c r="I118" s="34"/>
      <c r="J118" s="34"/>
      <c r="K118" s="9"/>
    </row>
    <row r="119" spans="3:14" x14ac:dyDescent="0.2">
      <c r="C119" s="9" t="s">
        <v>42</v>
      </c>
      <c r="D119" s="34"/>
      <c r="E119" s="60">
        <v>-1</v>
      </c>
      <c r="F119" s="61">
        <v>-1</v>
      </c>
      <c r="G119" s="61">
        <v>-1</v>
      </c>
      <c r="H119" s="61">
        <v>-1</v>
      </c>
      <c r="I119" s="61">
        <v>-1</v>
      </c>
      <c r="J119" s="61">
        <v>-1</v>
      </c>
      <c r="K119" s="61">
        <v>-1</v>
      </c>
      <c r="L119" s="61">
        <v>-1</v>
      </c>
      <c r="M119" s="61">
        <v>-1</v>
      </c>
      <c r="N119" s="62">
        <v>-1</v>
      </c>
    </row>
    <row r="120" spans="3:14" x14ac:dyDescent="0.2">
      <c r="D120" s="34"/>
      <c r="E120" s="66">
        <v>-1</v>
      </c>
      <c r="F120" s="67">
        <v>-1</v>
      </c>
      <c r="G120" s="67">
        <v>-1</v>
      </c>
      <c r="H120" s="67">
        <v>-1</v>
      </c>
      <c r="I120" s="67">
        <v>-1</v>
      </c>
      <c r="J120" s="67">
        <v>-1</v>
      </c>
      <c r="K120" s="67">
        <v>-1</v>
      </c>
      <c r="L120" s="67">
        <v>-1</v>
      </c>
      <c r="M120" s="67">
        <v>-1</v>
      </c>
      <c r="N120" s="68">
        <v>-1</v>
      </c>
    </row>
    <row r="121" spans="3:14" x14ac:dyDescent="0.2">
      <c r="G121" s="9"/>
      <c r="H121" s="9"/>
      <c r="I121" s="9"/>
      <c r="J121" s="9"/>
      <c r="K121" s="9"/>
    </row>
    <row r="122" spans="3:14" x14ac:dyDescent="0.2">
      <c r="C122" s="9" t="s">
        <v>46</v>
      </c>
      <c r="E122" s="60">
        <v>-1</v>
      </c>
      <c r="F122" s="61">
        <v>-1</v>
      </c>
      <c r="G122" s="61">
        <v>-1</v>
      </c>
      <c r="H122" s="61">
        <v>-1</v>
      </c>
      <c r="I122" s="61">
        <v>-1</v>
      </c>
      <c r="J122" s="61">
        <v>-1</v>
      </c>
      <c r="K122" s="61">
        <v>-1</v>
      </c>
      <c r="L122" s="61">
        <v>-1</v>
      </c>
      <c r="M122" s="61">
        <v>-1</v>
      </c>
      <c r="N122" s="62">
        <v>-1</v>
      </c>
    </row>
    <row r="123" spans="3:14" x14ac:dyDescent="0.2">
      <c r="E123" s="66">
        <v>-1</v>
      </c>
      <c r="F123" s="67">
        <v>-1</v>
      </c>
      <c r="G123" s="67">
        <v>-1</v>
      </c>
      <c r="H123" s="67">
        <v>-1</v>
      </c>
      <c r="I123" s="67">
        <v>-1</v>
      </c>
      <c r="J123" s="67">
        <v>-1</v>
      </c>
      <c r="K123" s="67">
        <v>-1</v>
      </c>
      <c r="L123" s="67">
        <v>-1</v>
      </c>
      <c r="M123" s="67">
        <v>-1</v>
      </c>
      <c r="N123" s="68">
        <v>-1</v>
      </c>
    </row>
    <row r="124" spans="3:14" x14ac:dyDescent="0.2">
      <c r="G124" s="9"/>
      <c r="H124" s="9"/>
      <c r="I124" s="9"/>
      <c r="J124" s="9"/>
      <c r="K124" s="9"/>
    </row>
    <row r="125" spans="3:14" x14ac:dyDescent="0.2">
      <c r="C125" s="9" t="s">
        <v>49</v>
      </c>
      <c r="E125" s="60">
        <v>-1</v>
      </c>
      <c r="F125" s="61">
        <v>-1</v>
      </c>
      <c r="G125" s="61">
        <v>-1</v>
      </c>
      <c r="H125" s="61">
        <v>-1</v>
      </c>
      <c r="I125" s="61">
        <v>-1</v>
      </c>
      <c r="J125" s="61">
        <v>-1</v>
      </c>
      <c r="K125" s="61">
        <v>-1</v>
      </c>
      <c r="L125" s="61">
        <v>-1</v>
      </c>
      <c r="M125" s="61">
        <v>-1</v>
      </c>
      <c r="N125" s="62">
        <v>-1</v>
      </c>
    </row>
    <row r="126" spans="3:14" x14ac:dyDescent="0.2">
      <c r="E126" s="66">
        <v>-1</v>
      </c>
      <c r="F126" s="67">
        <v>-1</v>
      </c>
      <c r="G126" s="67">
        <v>-1</v>
      </c>
      <c r="H126" s="67">
        <v>-1</v>
      </c>
      <c r="I126" s="67">
        <v>-1</v>
      </c>
      <c r="J126" s="67">
        <v>-1</v>
      </c>
      <c r="K126" s="67">
        <v>-1</v>
      </c>
      <c r="L126" s="67">
        <v>-1</v>
      </c>
      <c r="M126" s="67">
        <v>-1</v>
      </c>
      <c r="N126" s="68">
        <v>-1</v>
      </c>
    </row>
    <row r="127" spans="3:14" x14ac:dyDescent="0.2">
      <c r="G127" s="9"/>
      <c r="H127" s="9"/>
      <c r="I127" s="9"/>
      <c r="J127" s="9"/>
      <c r="K127" s="9"/>
    </row>
    <row r="128" spans="3:14" x14ac:dyDescent="0.2">
      <c r="C128" s="9" t="s">
        <v>51</v>
      </c>
      <c r="E128" s="60">
        <v>-1</v>
      </c>
      <c r="F128" s="61">
        <v>-1</v>
      </c>
      <c r="G128" s="61">
        <v>-1</v>
      </c>
      <c r="H128" s="61">
        <v>-1</v>
      </c>
      <c r="I128" s="61">
        <v>-1</v>
      </c>
      <c r="J128" s="61">
        <v>-1</v>
      </c>
      <c r="K128" s="61">
        <v>-1</v>
      </c>
      <c r="L128" s="61">
        <v>-1</v>
      </c>
      <c r="M128" s="61">
        <v>-1</v>
      </c>
      <c r="N128" s="62">
        <v>-1</v>
      </c>
    </row>
    <row r="129" spans="3:14" x14ac:dyDescent="0.2">
      <c r="E129" s="66">
        <v>-1</v>
      </c>
      <c r="F129" s="67">
        <v>-1</v>
      </c>
      <c r="G129" s="67">
        <v>-1</v>
      </c>
      <c r="H129" s="67">
        <v>-1</v>
      </c>
      <c r="I129" s="67">
        <v>-1</v>
      </c>
      <c r="J129" s="67">
        <v>-1</v>
      </c>
      <c r="K129" s="67">
        <v>-1</v>
      </c>
      <c r="L129" s="67">
        <v>-1</v>
      </c>
      <c r="M129" s="67">
        <v>-1</v>
      </c>
      <c r="N129" s="68">
        <v>-1</v>
      </c>
    </row>
    <row r="130" spans="3:14" x14ac:dyDescent="0.2">
      <c r="G130" s="9"/>
      <c r="H130" s="9"/>
      <c r="I130" s="9"/>
      <c r="J130" s="9"/>
      <c r="K130" s="9"/>
    </row>
    <row r="131" spans="3:14" x14ac:dyDescent="0.2">
      <c r="C131" s="9" t="s">
        <v>75</v>
      </c>
      <c r="E131" s="60">
        <v>-1</v>
      </c>
      <c r="F131" s="61">
        <v>-1</v>
      </c>
      <c r="G131" s="61">
        <v>-1</v>
      </c>
      <c r="H131" s="61">
        <v>-1</v>
      </c>
      <c r="I131" s="61">
        <v>-1</v>
      </c>
      <c r="J131" s="61">
        <v>-1</v>
      </c>
      <c r="K131" s="61">
        <v>-1</v>
      </c>
      <c r="L131" s="61">
        <v>-1</v>
      </c>
      <c r="M131" s="61">
        <v>-1</v>
      </c>
      <c r="N131" s="62">
        <v>-1</v>
      </c>
    </row>
    <row r="132" spans="3:14" x14ac:dyDescent="0.2">
      <c r="E132" s="66">
        <v>-1</v>
      </c>
      <c r="F132" s="67">
        <v>-1</v>
      </c>
      <c r="G132" s="67">
        <v>-1</v>
      </c>
      <c r="H132" s="67">
        <v>-1</v>
      </c>
      <c r="I132" s="67">
        <v>-1</v>
      </c>
      <c r="J132" s="67">
        <v>-1</v>
      </c>
      <c r="K132" s="67">
        <v>-1</v>
      </c>
      <c r="L132" s="67">
        <v>-1</v>
      </c>
      <c r="M132" s="67">
        <v>-1</v>
      </c>
      <c r="N132" s="68">
        <v>-1</v>
      </c>
    </row>
    <row r="133" spans="3:14" x14ac:dyDescent="0.2">
      <c r="G133" s="9"/>
      <c r="H133" s="9"/>
      <c r="I133" s="9"/>
      <c r="J133" s="9"/>
      <c r="K133" s="9"/>
    </row>
    <row r="134" spans="3:14" x14ac:dyDescent="0.2">
      <c r="C134" s="9" t="s">
        <v>76</v>
      </c>
      <c r="E134" s="60">
        <v>-1</v>
      </c>
      <c r="F134" s="61">
        <v>-1</v>
      </c>
      <c r="G134" s="61">
        <v>-1</v>
      </c>
      <c r="H134" s="61">
        <v>-1</v>
      </c>
      <c r="I134" s="61">
        <v>-1</v>
      </c>
      <c r="J134" s="61">
        <v>-1</v>
      </c>
      <c r="K134" s="61">
        <v>-1</v>
      </c>
      <c r="L134" s="61">
        <v>-1</v>
      </c>
      <c r="M134" s="61">
        <v>-1</v>
      </c>
      <c r="N134" s="62">
        <v>-1</v>
      </c>
    </row>
    <row r="135" spans="3:14" x14ac:dyDescent="0.2">
      <c r="E135" s="66">
        <v>-1</v>
      </c>
      <c r="F135" s="67">
        <v>-1</v>
      </c>
      <c r="G135" s="67">
        <v>-1</v>
      </c>
      <c r="H135" s="67">
        <v>-1</v>
      </c>
      <c r="I135" s="67">
        <v>-1</v>
      </c>
      <c r="J135" s="67">
        <v>-1</v>
      </c>
      <c r="K135" s="67">
        <v>-1</v>
      </c>
      <c r="L135" s="67">
        <v>-1</v>
      </c>
      <c r="M135" s="67">
        <v>-1</v>
      </c>
      <c r="N135" s="68">
        <v>-1</v>
      </c>
    </row>
    <row r="136" spans="3:14" x14ac:dyDescent="0.2">
      <c r="G136" s="9"/>
      <c r="H136" s="9"/>
      <c r="I136" s="9"/>
      <c r="J136" s="9"/>
      <c r="K136" s="9"/>
    </row>
    <row r="137" spans="3:14" x14ac:dyDescent="0.2">
      <c r="C137" s="9" t="s">
        <v>77</v>
      </c>
      <c r="E137" s="60">
        <v>-1</v>
      </c>
      <c r="F137" s="61">
        <v>-1</v>
      </c>
      <c r="G137" s="61">
        <v>-1</v>
      </c>
      <c r="H137" s="61">
        <v>-1</v>
      </c>
      <c r="I137" s="61">
        <v>-1</v>
      </c>
      <c r="J137" s="61">
        <v>-1</v>
      </c>
      <c r="K137" s="61">
        <v>-1</v>
      </c>
      <c r="L137" s="61">
        <v>-1</v>
      </c>
      <c r="M137" s="61">
        <v>-1</v>
      </c>
      <c r="N137" s="62">
        <v>-1</v>
      </c>
    </row>
    <row r="138" spans="3:14" x14ac:dyDescent="0.2">
      <c r="E138" s="66">
        <v>-1</v>
      </c>
      <c r="F138" s="67">
        <v>-1</v>
      </c>
      <c r="G138" s="67">
        <v>-1</v>
      </c>
      <c r="H138" s="67">
        <v>-1</v>
      </c>
      <c r="I138" s="67">
        <v>-1</v>
      </c>
      <c r="J138" s="67">
        <v>-1</v>
      </c>
      <c r="K138" s="67">
        <v>-1</v>
      </c>
      <c r="L138" s="67">
        <v>-1</v>
      </c>
      <c r="M138" s="67">
        <v>-1</v>
      </c>
      <c r="N138" s="68">
        <v>-1</v>
      </c>
    </row>
    <row r="139" spans="3:14" x14ac:dyDescent="0.2">
      <c r="G139" s="9"/>
      <c r="H139" s="9"/>
      <c r="I139" s="9"/>
      <c r="J139" s="9"/>
      <c r="K139" s="9"/>
    </row>
    <row r="140" spans="3:14" x14ac:dyDescent="0.2">
      <c r="C140" s="9" t="s">
        <v>78</v>
      </c>
      <c r="E140" s="60">
        <v>-1</v>
      </c>
      <c r="F140" s="61">
        <v>-1</v>
      </c>
      <c r="G140" s="61">
        <v>-1</v>
      </c>
      <c r="H140" s="61">
        <v>-1</v>
      </c>
      <c r="I140" s="61">
        <v>-1</v>
      </c>
      <c r="J140" s="61">
        <v>-1</v>
      </c>
      <c r="K140" s="61">
        <v>-1</v>
      </c>
      <c r="L140" s="61">
        <v>-1</v>
      </c>
      <c r="M140" s="61">
        <v>-1</v>
      </c>
      <c r="N140" s="62">
        <v>-1</v>
      </c>
    </row>
    <row r="141" spans="3:14" x14ac:dyDescent="0.2">
      <c r="E141" s="66">
        <v>-1</v>
      </c>
      <c r="F141" s="67">
        <v>-1</v>
      </c>
      <c r="G141" s="67">
        <v>-1</v>
      </c>
      <c r="H141" s="67">
        <v>-1</v>
      </c>
      <c r="I141" s="67">
        <v>-1</v>
      </c>
      <c r="J141" s="67">
        <v>-1</v>
      </c>
      <c r="K141" s="67">
        <v>-1</v>
      </c>
      <c r="L141" s="67">
        <v>-1</v>
      </c>
      <c r="M141" s="67">
        <v>-1</v>
      </c>
      <c r="N141" s="68">
        <v>-1</v>
      </c>
    </row>
    <row r="142" spans="3:14" x14ac:dyDescent="0.2">
      <c r="G142" s="9"/>
      <c r="H142" s="9"/>
      <c r="I142" s="9"/>
      <c r="J142" s="9"/>
      <c r="K142" s="9"/>
    </row>
    <row r="143" spans="3:14" x14ac:dyDescent="0.2">
      <c r="C143" s="9" t="s">
        <v>138</v>
      </c>
      <c r="E143" s="150">
        <v>-1</v>
      </c>
      <c r="F143" s="90">
        <v>-1</v>
      </c>
      <c r="G143" s="90">
        <v>-1</v>
      </c>
      <c r="H143" s="90">
        <v>-1</v>
      </c>
      <c r="I143" s="90">
        <v>-1</v>
      </c>
      <c r="J143" s="90">
        <v>-1</v>
      </c>
      <c r="K143" s="90">
        <v>-1</v>
      </c>
      <c r="L143" s="90">
        <v>-1</v>
      </c>
      <c r="M143" s="90">
        <v>-1</v>
      </c>
      <c r="N143" s="91">
        <v>-1</v>
      </c>
    </row>
    <row r="144" spans="3:14" x14ac:dyDescent="0.2">
      <c r="E144" s="112">
        <v>-1</v>
      </c>
      <c r="F144" s="33">
        <v>-1</v>
      </c>
      <c r="G144" s="33">
        <v>-1</v>
      </c>
      <c r="H144" s="33">
        <v>-1</v>
      </c>
      <c r="I144" s="33">
        <v>-1</v>
      </c>
      <c r="J144" s="33">
        <v>-1</v>
      </c>
      <c r="K144" s="33">
        <v>-1</v>
      </c>
      <c r="L144" s="33">
        <v>-1</v>
      </c>
      <c r="M144" s="33">
        <v>-1</v>
      </c>
      <c r="N144" s="102">
        <v>-1</v>
      </c>
    </row>
    <row r="145" spans="3:14" x14ac:dyDescent="0.2">
      <c r="G145" s="9"/>
      <c r="H145" s="9"/>
      <c r="I145" s="9"/>
      <c r="J145" s="9"/>
      <c r="K145" s="9"/>
    </row>
    <row r="146" spans="3:14" x14ac:dyDescent="0.2">
      <c r="C146" s="9" t="s">
        <v>139</v>
      </c>
      <c r="E146" s="150">
        <v>-1</v>
      </c>
      <c r="F146" s="90">
        <v>-1</v>
      </c>
      <c r="G146" s="90">
        <v>-1</v>
      </c>
      <c r="H146" s="90">
        <v>-1</v>
      </c>
      <c r="I146" s="90">
        <v>-1</v>
      </c>
      <c r="J146" s="90">
        <v>-1</v>
      </c>
      <c r="K146" s="90">
        <v>-1</v>
      </c>
      <c r="L146" s="90">
        <v>-1</v>
      </c>
      <c r="M146" s="90">
        <v>-1</v>
      </c>
      <c r="N146" s="91">
        <v>-1</v>
      </c>
    </row>
    <row r="147" spans="3:14" x14ac:dyDescent="0.2">
      <c r="E147" s="112">
        <v>-1</v>
      </c>
      <c r="F147" s="33">
        <v>-1</v>
      </c>
      <c r="G147" s="33">
        <v>-1</v>
      </c>
      <c r="H147" s="33">
        <v>-1</v>
      </c>
      <c r="I147" s="33">
        <v>-1</v>
      </c>
      <c r="J147" s="33">
        <v>-1</v>
      </c>
      <c r="K147" s="33">
        <v>-1</v>
      </c>
      <c r="L147" s="33">
        <v>-1</v>
      </c>
      <c r="M147" s="33">
        <v>-1</v>
      </c>
      <c r="N147" s="102">
        <v>-1</v>
      </c>
    </row>
    <row r="148" spans="3:14" x14ac:dyDescent="0.2">
      <c r="G148" s="9"/>
      <c r="H148" s="9"/>
      <c r="I148" s="9"/>
      <c r="J148" s="9"/>
      <c r="K148" s="9"/>
    </row>
    <row r="149" spans="3:14" x14ac:dyDescent="0.2">
      <c r="C149" s="9" t="s">
        <v>140</v>
      </c>
      <c r="E149" s="150"/>
      <c r="F149" s="90"/>
      <c r="G149" s="90"/>
      <c r="H149" s="90"/>
      <c r="I149" s="90"/>
      <c r="J149" s="90"/>
      <c r="K149" s="90"/>
      <c r="L149" s="90"/>
      <c r="M149" s="90"/>
      <c r="N149" s="91"/>
    </row>
    <row r="150" spans="3:14" x14ac:dyDescent="0.2">
      <c r="E150" s="112"/>
      <c r="F150" s="33"/>
      <c r="G150" s="33"/>
      <c r="H150" s="33"/>
      <c r="I150" s="33"/>
      <c r="J150" s="33"/>
      <c r="K150" s="33"/>
      <c r="L150" s="33"/>
      <c r="M150" s="33"/>
      <c r="N150" s="102"/>
    </row>
    <row r="151" spans="3:14" x14ac:dyDescent="0.2">
      <c r="G151" s="9"/>
      <c r="H151" s="9"/>
      <c r="I151" s="9"/>
      <c r="J151" s="9"/>
      <c r="K151" s="9"/>
    </row>
    <row r="152" spans="3:14" x14ac:dyDescent="0.2">
      <c r="C152" s="9" t="s">
        <v>141</v>
      </c>
      <c r="E152" s="150"/>
      <c r="F152" s="90"/>
      <c r="G152" s="90"/>
      <c r="H152" s="90"/>
      <c r="I152" s="90"/>
      <c r="J152" s="90"/>
      <c r="K152" s="90"/>
      <c r="L152" s="90"/>
      <c r="M152" s="90"/>
      <c r="N152" s="91"/>
    </row>
    <row r="153" spans="3:14" x14ac:dyDescent="0.2">
      <c r="E153" s="112"/>
      <c r="F153" s="33"/>
      <c r="G153" s="33"/>
      <c r="H153" s="33"/>
      <c r="I153" s="33"/>
      <c r="J153" s="33"/>
      <c r="K153" s="33"/>
      <c r="L153" s="33"/>
      <c r="M153" s="33"/>
      <c r="N153" s="102"/>
    </row>
    <row r="154" spans="3:14" x14ac:dyDescent="0.2">
      <c r="G154" s="9"/>
      <c r="H154" s="9"/>
      <c r="I154" s="9"/>
      <c r="J154" s="9"/>
      <c r="K154" s="9"/>
    </row>
    <row r="155" spans="3:14" x14ac:dyDescent="0.2">
      <c r="C155" s="9" t="s">
        <v>142</v>
      </c>
      <c r="G155" s="9"/>
      <c r="H155" s="9"/>
      <c r="I155" s="9"/>
      <c r="J155" s="9"/>
      <c r="K155" s="9"/>
    </row>
    <row r="156" spans="3:14" x14ac:dyDescent="0.2">
      <c r="G156" s="9"/>
      <c r="H156" s="9"/>
      <c r="I156" s="9"/>
      <c r="J156" s="9"/>
      <c r="K156" s="9"/>
    </row>
    <row r="157" spans="3:14" x14ac:dyDescent="0.2">
      <c r="G157" s="9"/>
      <c r="H157" s="9"/>
      <c r="I157" s="9"/>
      <c r="J157" s="9"/>
      <c r="K157" s="9"/>
    </row>
    <row r="158" spans="3:14" x14ac:dyDescent="0.2">
      <c r="C158" s="9" t="s">
        <v>143</v>
      </c>
      <c r="G158" s="9"/>
      <c r="H158" s="9"/>
      <c r="I158" s="9"/>
      <c r="J158" s="9"/>
      <c r="K158" s="9"/>
    </row>
    <row r="159" spans="3:14" x14ac:dyDescent="0.2">
      <c r="G159" s="9"/>
      <c r="H159" s="9"/>
      <c r="I159" s="9"/>
      <c r="J159" s="9"/>
      <c r="K159" s="9"/>
    </row>
    <row r="160" spans="3:14" x14ac:dyDescent="0.2">
      <c r="G160" s="9"/>
      <c r="H160" s="9"/>
      <c r="I160" s="9"/>
      <c r="J160" s="9"/>
      <c r="K160" s="9"/>
    </row>
    <row r="161" spans="3:11" x14ac:dyDescent="0.2">
      <c r="C161" s="9" t="s">
        <v>144</v>
      </c>
      <c r="G161" s="9"/>
      <c r="H161" s="9"/>
      <c r="I161" s="9"/>
      <c r="J161" s="9"/>
      <c r="K161" s="9"/>
    </row>
    <row r="162" spans="3:11" x14ac:dyDescent="0.2">
      <c r="G162" s="9"/>
      <c r="H162" s="9"/>
      <c r="I162" s="9"/>
      <c r="J162" s="9"/>
      <c r="K162" s="9"/>
    </row>
    <row r="163" spans="3:11" x14ac:dyDescent="0.2">
      <c r="G163" s="9"/>
      <c r="H163" s="9"/>
      <c r="I163" s="9"/>
      <c r="J163" s="9"/>
      <c r="K163" s="9"/>
    </row>
    <row r="164" spans="3:11" x14ac:dyDescent="0.2">
      <c r="C164" s="9" t="s">
        <v>145</v>
      </c>
      <c r="G164" s="9"/>
      <c r="H164" s="9"/>
      <c r="I164" s="9"/>
      <c r="J164" s="9"/>
      <c r="K164" s="9"/>
    </row>
    <row r="165" spans="3:11" x14ac:dyDescent="0.2">
      <c r="G165" s="9"/>
      <c r="H165" s="9"/>
      <c r="I165" s="9"/>
      <c r="J165" s="9"/>
      <c r="K165" s="9"/>
    </row>
    <row r="166" spans="3:11" x14ac:dyDescent="0.2">
      <c r="G166" s="9"/>
      <c r="H166" s="9"/>
      <c r="I166" s="9"/>
      <c r="J166" s="9"/>
      <c r="K166" s="9"/>
    </row>
    <row r="167" spans="3:11" x14ac:dyDescent="0.2">
      <c r="C167" s="9" t="s">
        <v>146</v>
      </c>
      <c r="G167" s="9"/>
      <c r="H167" s="9"/>
      <c r="I167" s="9"/>
      <c r="J167" s="9"/>
      <c r="K167" s="9"/>
    </row>
    <row r="168" spans="3:11" x14ac:dyDescent="0.2">
      <c r="G168" s="9"/>
      <c r="H168" s="9"/>
      <c r="I168" s="9"/>
      <c r="J168" s="9"/>
      <c r="K168" s="9"/>
    </row>
    <row r="169" spans="3:11" x14ac:dyDescent="0.2">
      <c r="G169" s="9"/>
      <c r="H169" s="9"/>
      <c r="I169" s="9"/>
      <c r="J169" s="9"/>
      <c r="K169" s="9"/>
    </row>
    <row r="170" spans="3:11" x14ac:dyDescent="0.2">
      <c r="C170" s="9" t="s">
        <v>147</v>
      </c>
      <c r="G170" s="9"/>
      <c r="H170" s="9"/>
      <c r="I170" s="9"/>
      <c r="J170" s="9"/>
      <c r="K170" s="9"/>
    </row>
    <row r="171" spans="3:11" x14ac:dyDescent="0.2">
      <c r="G171" s="9"/>
      <c r="H171" s="9"/>
      <c r="I171" s="9"/>
      <c r="J171" s="9"/>
      <c r="K171" s="9"/>
    </row>
    <row r="172" spans="3:11" x14ac:dyDescent="0.2">
      <c r="G172" s="9"/>
      <c r="H172" s="9"/>
      <c r="I172" s="9"/>
      <c r="J172" s="9"/>
      <c r="K172" s="9"/>
    </row>
    <row r="173" spans="3:11" x14ac:dyDescent="0.2">
      <c r="C173" s="9" t="s">
        <v>148</v>
      </c>
      <c r="G173" s="9"/>
      <c r="H173" s="9"/>
      <c r="I173" s="9"/>
      <c r="J173" s="9"/>
      <c r="K173" s="9"/>
    </row>
    <row r="174" spans="3:11" x14ac:dyDescent="0.2">
      <c r="G174" s="9"/>
      <c r="H174" s="9"/>
      <c r="I174" s="9"/>
      <c r="J174" s="9"/>
      <c r="K174" s="9"/>
    </row>
    <row r="175" spans="3:11" x14ac:dyDescent="0.2">
      <c r="G175" s="9"/>
      <c r="H175" s="9"/>
      <c r="I175" s="9"/>
      <c r="J175" s="9"/>
      <c r="K175" s="9"/>
    </row>
    <row r="176" spans="3:11" x14ac:dyDescent="0.2">
      <c r="C176" s="9" t="s">
        <v>149</v>
      </c>
      <c r="G176" s="9"/>
      <c r="H176" s="9"/>
      <c r="I176" s="9"/>
      <c r="J176" s="9"/>
      <c r="K176" s="9"/>
    </row>
    <row r="177" spans="3:11" x14ac:dyDescent="0.2">
      <c r="G177" s="9"/>
      <c r="H177" s="9"/>
      <c r="I177" s="9"/>
      <c r="J177" s="9"/>
      <c r="K177" s="9"/>
    </row>
    <row r="178" spans="3:11" x14ac:dyDescent="0.2">
      <c r="G178" s="9"/>
      <c r="H178" s="9"/>
      <c r="I178" s="9"/>
      <c r="J178" s="9"/>
      <c r="K178" s="9"/>
    </row>
    <row r="179" spans="3:11" x14ac:dyDescent="0.2">
      <c r="C179" s="9" t="s">
        <v>150</v>
      </c>
      <c r="G179" s="9"/>
      <c r="H179" s="9"/>
      <c r="I179" s="9"/>
      <c r="J179" s="9"/>
      <c r="K179" s="9"/>
    </row>
    <row r="180" spans="3:11" x14ac:dyDescent="0.2">
      <c r="G180" s="9"/>
      <c r="H180" s="9"/>
      <c r="I180" s="9"/>
      <c r="J180" s="9"/>
      <c r="K180" s="9"/>
    </row>
    <row r="181" spans="3:11" x14ac:dyDescent="0.2">
      <c r="G181" s="9"/>
      <c r="H181" s="9"/>
      <c r="I181" s="9"/>
      <c r="J181" s="9"/>
      <c r="K181" s="9"/>
    </row>
    <row r="182" spans="3:11" x14ac:dyDescent="0.2">
      <c r="C182" s="9" t="s">
        <v>151</v>
      </c>
      <c r="G182" s="9"/>
      <c r="H182" s="9"/>
      <c r="I182" s="9"/>
      <c r="J182" s="9"/>
      <c r="K182" s="9"/>
    </row>
    <row r="183" spans="3:11" x14ac:dyDescent="0.2">
      <c r="G183" s="9"/>
      <c r="H183" s="9"/>
      <c r="I183" s="9"/>
      <c r="J183" s="9"/>
      <c r="K183" s="9"/>
    </row>
    <row r="184" spans="3:11" x14ac:dyDescent="0.2">
      <c r="G184" s="9"/>
      <c r="H184" s="9"/>
      <c r="I184" s="9"/>
      <c r="J184" s="9"/>
      <c r="K184" s="9"/>
    </row>
    <row r="185" spans="3:11" x14ac:dyDescent="0.2">
      <c r="C185" s="9" t="s">
        <v>152</v>
      </c>
      <c r="G185" s="9"/>
      <c r="H185" s="9"/>
      <c r="I185" s="9"/>
      <c r="J185" s="9"/>
      <c r="K185" s="9"/>
    </row>
    <row r="186" spans="3:11" x14ac:dyDescent="0.2">
      <c r="G186" s="9"/>
      <c r="H186" s="9"/>
      <c r="I186" s="9"/>
      <c r="J186" s="9"/>
      <c r="K186" s="9"/>
    </row>
    <row r="187" spans="3:11" x14ac:dyDescent="0.2">
      <c r="G187" s="9"/>
      <c r="H187" s="9"/>
      <c r="I187" s="9"/>
      <c r="J187" s="9"/>
      <c r="K187" s="9"/>
    </row>
    <row r="188" spans="3:11" x14ac:dyDescent="0.2">
      <c r="C188" s="9" t="s">
        <v>153</v>
      </c>
      <c r="G188" s="9"/>
      <c r="H188" s="9"/>
      <c r="I188" s="9"/>
      <c r="J188" s="9"/>
      <c r="K188" s="9"/>
    </row>
    <row r="189" spans="3:11" x14ac:dyDescent="0.2">
      <c r="G189" s="9"/>
      <c r="H189" s="9"/>
      <c r="I189" s="9"/>
      <c r="J189" s="9"/>
      <c r="K189" s="9"/>
    </row>
    <row r="190" spans="3:11" x14ac:dyDescent="0.2">
      <c r="G190" s="9"/>
      <c r="H190" s="9"/>
      <c r="I190" s="9"/>
      <c r="J190" s="9"/>
      <c r="K190" s="9"/>
    </row>
    <row r="191" spans="3:11" x14ac:dyDescent="0.2">
      <c r="C191" s="9" t="s">
        <v>154</v>
      </c>
      <c r="G191" s="9"/>
      <c r="H191" s="9"/>
      <c r="I191" s="9"/>
      <c r="J191" s="9"/>
      <c r="K191" s="9"/>
    </row>
    <row r="192" spans="3:11" x14ac:dyDescent="0.2">
      <c r="G192" s="9"/>
      <c r="H192" s="9"/>
      <c r="I192" s="9"/>
      <c r="J192" s="9"/>
      <c r="K192" s="9"/>
    </row>
    <row r="193" spans="3:11" x14ac:dyDescent="0.2">
      <c r="G193" s="9"/>
      <c r="H193" s="9"/>
      <c r="I193" s="9"/>
      <c r="J193" s="9"/>
      <c r="K193" s="9"/>
    </row>
    <row r="194" spans="3:11" x14ac:dyDescent="0.2">
      <c r="C194" s="9" t="s">
        <v>155</v>
      </c>
      <c r="G194" s="9"/>
      <c r="H194" s="9"/>
      <c r="I194" s="9"/>
      <c r="J194" s="9"/>
      <c r="K194" s="9"/>
    </row>
    <row r="195" spans="3:11" x14ac:dyDescent="0.2">
      <c r="G195" s="9"/>
      <c r="H195" s="9"/>
      <c r="I195" s="9"/>
      <c r="J195" s="9"/>
      <c r="K195" s="9"/>
    </row>
    <row r="196" spans="3:11" x14ac:dyDescent="0.2">
      <c r="G196" s="9"/>
      <c r="H196" s="9"/>
      <c r="I196" s="9"/>
      <c r="J196" s="9"/>
      <c r="K196" s="9"/>
    </row>
    <row r="197" spans="3:11" x14ac:dyDescent="0.2">
      <c r="C197" s="9" t="s">
        <v>156</v>
      </c>
      <c r="G197" s="9"/>
      <c r="H197" s="9"/>
      <c r="I197" s="9"/>
      <c r="J197" s="9"/>
      <c r="K197" s="9"/>
    </row>
    <row r="198" spans="3:11" x14ac:dyDescent="0.2">
      <c r="G198" s="9"/>
      <c r="H198" s="9"/>
      <c r="I198" s="9"/>
      <c r="J198" s="9"/>
      <c r="K198" s="9"/>
    </row>
    <row r="199" spans="3:11" x14ac:dyDescent="0.2">
      <c r="G199" s="9"/>
      <c r="H199" s="9"/>
      <c r="I199" s="9"/>
      <c r="J199" s="9"/>
      <c r="K199" s="9"/>
    </row>
    <row r="200" spans="3:11" x14ac:dyDescent="0.2">
      <c r="C200" s="9" t="s">
        <v>157</v>
      </c>
      <c r="G200" s="9"/>
      <c r="H200" s="9"/>
      <c r="I200" s="9"/>
      <c r="J200" s="9"/>
      <c r="K200" s="9"/>
    </row>
    <row r="201" spans="3:11" x14ac:dyDescent="0.2">
      <c r="G201" s="9"/>
      <c r="H201" s="9"/>
      <c r="I201" s="9"/>
      <c r="J201" s="9"/>
      <c r="K201" s="9"/>
    </row>
    <row r="202" spans="3:11" x14ac:dyDescent="0.2">
      <c r="G202" s="9"/>
      <c r="H202" s="9"/>
      <c r="I202" s="9"/>
      <c r="J202" s="9"/>
      <c r="K202" s="9"/>
    </row>
    <row r="203" spans="3:11" x14ac:dyDescent="0.2">
      <c r="C203" s="9" t="s">
        <v>158</v>
      </c>
      <c r="G203" s="9"/>
      <c r="H203" s="9"/>
      <c r="I203" s="9"/>
      <c r="J203" s="9"/>
      <c r="K203" s="9"/>
    </row>
    <row r="204" spans="3:11" x14ac:dyDescent="0.2">
      <c r="G204" s="9"/>
      <c r="H204" s="9"/>
      <c r="I204" s="9"/>
      <c r="J204" s="9"/>
      <c r="K204" s="9"/>
    </row>
    <row r="205" spans="3:11" x14ac:dyDescent="0.2">
      <c r="G205" s="9"/>
      <c r="H205" s="9"/>
      <c r="I205" s="9"/>
      <c r="J205" s="9"/>
      <c r="K205" s="9"/>
    </row>
    <row r="206" spans="3:11" x14ac:dyDescent="0.2">
      <c r="C206" s="9" t="s">
        <v>159</v>
      </c>
      <c r="G206" s="9"/>
      <c r="H206" s="9"/>
      <c r="I206" s="9"/>
      <c r="J206" s="9"/>
      <c r="K206" s="9"/>
    </row>
    <row r="207" spans="3:11" x14ac:dyDescent="0.2">
      <c r="G207" s="9"/>
      <c r="H207" s="9"/>
      <c r="I207" s="9"/>
      <c r="J207" s="9"/>
      <c r="K207" s="9"/>
    </row>
    <row r="208" spans="3:11" x14ac:dyDescent="0.2">
      <c r="G208" s="9"/>
      <c r="H208" s="9"/>
      <c r="I208" s="9"/>
      <c r="J208" s="9"/>
      <c r="K208" s="9"/>
    </row>
    <row r="209" spans="3:11" x14ac:dyDescent="0.2">
      <c r="C209" s="9" t="s">
        <v>160</v>
      </c>
      <c r="G209" s="9"/>
      <c r="H209" s="9"/>
      <c r="I209" s="9"/>
      <c r="J209" s="9"/>
      <c r="K209" s="9"/>
    </row>
    <row r="210" spans="3:11" x14ac:dyDescent="0.2">
      <c r="G210" s="9"/>
      <c r="H210" s="9"/>
      <c r="I210" s="9"/>
      <c r="J210" s="9"/>
      <c r="K210" s="9"/>
    </row>
    <row r="211" spans="3:11" x14ac:dyDescent="0.2">
      <c r="G211" s="9"/>
      <c r="H211" s="9"/>
      <c r="I211" s="9"/>
      <c r="J211" s="9"/>
      <c r="K211" s="9"/>
    </row>
    <row r="212" spans="3:11" x14ac:dyDescent="0.2">
      <c r="C212" s="9" t="s">
        <v>161</v>
      </c>
      <c r="G212" s="9"/>
      <c r="H212" s="9"/>
      <c r="I212" s="9"/>
      <c r="J212" s="9"/>
      <c r="K212" s="9"/>
    </row>
    <row r="213" spans="3:11" x14ac:dyDescent="0.2">
      <c r="G213" s="9"/>
      <c r="H213" s="9"/>
      <c r="I213" s="9"/>
      <c r="J213" s="9"/>
      <c r="K213" s="9"/>
    </row>
    <row r="214" spans="3:11" x14ac:dyDescent="0.2">
      <c r="G214" s="9"/>
      <c r="H214" s="9"/>
      <c r="I214" s="9"/>
      <c r="J214" s="9"/>
      <c r="K214" s="9"/>
    </row>
    <row r="215" spans="3:11" x14ac:dyDescent="0.2">
      <c r="C215" s="9" t="s">
        <v>162</v>
      </c>
      <c r="G215" s="9"/>
      <c r="H215" s="9"/>
      <c r="I215" s="9"/>
      <c r="J215" s="9"/>
      <c r="K215" s="9"/>
    </row>
    <row r="216" spans="3:11" x14ac:dyDescent="0.2">
      <c r="G216" s="9"/>
      <c r="H216" s="9"/>
      <c r="I216" s="9"/>
      <c r="J216" s="9"/>
      <c r="K216" s="9"/>
    </row>
    <row r="217" spans="3:11" x14ac:dyDescent="0.2">
      <c r="G217" s="9"/>
      <c r="H217" s="9"/>
      <c r="I217" s="9"/>
      <c r="J217" s="9"/>
      <c r="K217" s="9"/>
    </row>
    <row r="218" spans="3:11" x14ac:dyDescent="0.2">
      <c r="C218" s="9" t="s">
        <v>163</v>
      </c>
      <c r="G218" s="9"/>
      <c r="H218" s="9"/>
      <c r="I218" s="9"/>
      <c r="J218" s="9"/>
      <c r="K218" s="9"/>
    </row>
    <row r="219" spans="3:11" x14ac:dyDescent="0.2">
      <c r="G219" s="9"/>
      <c r="H219" s="9"/>
      <c r="I219" s="9"/>
      <c r="J219" s="9"/>
      <c r="K219" s="9"/>
    </row>
    <row r="220" spans="3:11" x14ac:dyDescent="0.2">
      <c r="G220" s="9"/>
      <c r="H220" s="9"/>
      <c r="I220" s="9"/>
      <c r="J220" s="9"/>
      <c r="K220" s="9"/>
    </row>
    <row r="221" spans="3:11" x14ac:dyDescent="0.2">
      <c r="C221" s="9" t="s">
        <v>164</v>
      </c>
      <c r="G221" s="9"/>
      <c r="H221" s="9"/>
      <c r="I221" s="9"/>
      <c r="J221" s="9"/>
      <c r="K221" s="9"/>
    </row>
    <row r="222" spans="3:11" x14ac:dyDescent="0.2">
      <c r="G222" s="9"/>
      <c r="H222" s="9"/>
      <c r="I222" s="9"/>
      <c r="J222" s="9"/>
      <c r="K222" s="9"/>
    </row>
    <row r="223" spans="3:11" x14ac:dyDescent="0.2">
      <c r="G223" s="9"/>
      <c r="H223" s="9"/>
      <c r="I223" s="9"/>
      <c r="J223" s="9"/>
      <c r="K223" s="9"/>
    </row>
    <row r="224" spans="3:11" x14ac:dyDescent="0.2">
      <c r="C224" s="9" t="s">
        <v>165</v>
      </c>
      <c r="G224" s="9"/>
      <c r="H224" s="9"/>
      <c r="I224" s="9"/>
      <c r="J224" s="9"/>
      <c r="K224" s="9"/>
    </row>
    <row r="225" spans="3:11" x14ac:dyDescent="0.2">
      <c r="G225" s="9"/>
      <c r="H225" s="9"/>
      <c r="I225" s="9"/>
      <c r="J225" s="9"/>
      <c r="K225" s="9"/>
    </row>
    <row r="226" spans="3:11" x14ac:dyDescent="0.2">
      <c r="G226" s="9"/>
      <c r="H226" s="9"/>
      <c r="I226" s="9"/>
      <c r="J226" s="9"/>
      <c r="K226" s="9"/>
    </row>
    <row r="227" spans="3:11" x14ac:dyDescent="0.2">
      <c r="C227" s="9" t="s">
        <v>166</v>
      </c>
      <c r="G227" s="9"/>
      <c r="H227" s="9"/>
      <c r="I227" s="9"/>
      <c r="J227" s="9"/>
      <c r="K227" s="9"/>
    </row>
    <row r="228" spans="3:11" x14ac:dyDescent="0.2">
      <c r="G228" s="9"/>
      <c r="H228" s="9"/>
      <c r="I228" s="9"/>
      <c r="J228" s="9"/>
      <c r="K228" s="9"/>
    </row>
    <row r="229" spans="3:11" x14ac:dyDescent="0.2">
      <c r="G229" s="9"/>
      <c r="H229" s="9"/>
      <c r="I229" s="9"/>
      <c r="J229" s="9"/>
      <c r="K229" s="9"/>
    </row>
    <row r="230" spans="3:11" x14ac:dyDescent="0.2">
      <c r="C230" s="9" t="s">
        <v>167</v>
      </c>
      <c r="G230" s="9"/>
      <c r="H230" s="9"/>
      <c r="I230" s="9"/>
      <c r="J230" s="9"/>
      <c r="K230" s="9"/>
    </row>
    <row r="231" spans="3:11" x14ac:dyDescent="0.2">
      <c r="G231" s="9"/>
      <c r="H231" s="9"/>
      <c r="I231" s="9"/>
      <c r="J231" s="9"/>
      <c r="K231" s="9"/>
    </row>
    <row r="232" spans="3:11" x14ac:dyDescent="0.2">
      <c r="G232" s="9"/>
      <c r="H232" s="9"/>
      <c r="I232" s="9"/>
      <c r="J232" s="9"/>
      <c r="K232" s="9"/>
    </row>
    <row r="233" spans="3:11" x14ac:dyDescent="0.2">
      <c r="C233" s="9" t="s">
        <v>168</v>
      </c>
      <c r="G233" s="9"/>
      <c r="H233" s="9"/>
      <c r="I233" s="9"/>
      <c r="J233" s="9"/>
      <c r="K233" s="9"/>
    </row>
    <row r="234" spans="3:11" x14ac:dyDescent="0.2">
      <c r="G234" s="9"/>
      <c r="H234" s="9"/>
      <c r="I234" s="9"/>
      <c r="J234" s="9"/>
      <c r="K234" s="9"/>
    </row>
    <row r="235" spans="3:11" x14ac:dyDescent="0.2">
      <c r="G235" s="9"/>
      <c r="H235" s="9"/>
      <c r="I235" s="9"/>
      <c r="J235" s="9"/>
      <c r="K235" s="9"/>
    </row>
    <row r="236" spans="3:11" x14ac:dyDescent="0.2">
      <c r="C236" s="9" t="s">
        <v>169</v>
      </c>
      <c r="G236" s="9"/>
      <c r="H236" s="9"/>
      <c r="I236" s="9"/>
      <c r="J236" s="9"/>
      <c r="K236" s="9"/>
    </row>
    <row r="237" spans="3:11" x14ac:dyDescent="0.2">
      <c r="G237" s="9"/>
      <c r="H237" s="9"/>
      <c r="I237" s="9"/>
      <c r="J237" s="9"/>
      <c r="K237" s="9"/>
    </row>
    <row r="238" spans="3:11" x14ac:dyDescent="0.2">
      <c r="G238" s="9"/>
      <c r="H238" s="9"/>
      <c r="I238" s="9"/>
      <c r="J238" s="9"/>
      <c r="K238" s="9"/>
    </row>
    <row r="239" spans="3:11" x14ac:dyDescent="0.2">
      <c r="C239" s="9" t="s">
        <v>170</v>
      </c>
      <c r="G239" s="9"/>
      <c r="H239" s="9"/>
      <c r="I239" s="9"/>
      <c r="J239" s="9"/>
      <c r="K239" s="9"/>
    </row>
    <row r="240" spans="3:11" x14ac:dyDescent="0.2">
      <c r="G240" s="9"/>
      <c r="H240" s="9"/>
      <c r="I240" s="9"/>
      <c r="J240" s="9"/>
      <c r="K240" s="9"/>
    </row>
    <row r="241" spans="3:11" x14ac:dyDescent="0.2">
      <c r="G241" s="9"/>
      <c r="H241" s="9"/>
      <c r="I241" s="9"/>
      <c r="J241" s="9"/>
      <c r="K241" s="9"/>
    </row>
    <row r="242" spans="3:11" x14ac:dyDescent="0.2">
      <c r="C242" s="9" t="s">
        <v>171</v>
      </c>
      <c r="G242" s="9"/>
      <c r="H242" s="9"/>
      <c r="I242" s="9"/>
      <c r="J242" s="9"/>
      <c r="K242" s="9"/>
    </row>
    <row r="243" spans="3:11" x14ac:dyDescent="0.2">
      <c r="G243" s="9"/>
      <c r="H243" s="9"/>
      <c r="I243" s="9"/>
      <c r="J243" s="9"/>
      <c r="K243" s="9"/>
    </row>
    <row r="244" spans="3:11" x14ac:dyDescent="0.2">
      <c r="G244" s="9"/>
      <c r="H244" s="9"/>
      <c r="I244" s="9"/>
      <c r="J244" s="9"/>
      <c r="K244" s="9"/>
    </row>
    <row r="245" spans="3:11" x14ac:dyDescent="0.2">
      <c r="C245" s="9" t="s">
        <v>172</v>
      </c>
      <c r="G245" s="9"/>
      <c r="H245" s="9"/>
      <c r="I245" s="9"/>
      <c r="J245" s="9"/>
      <c r="K245" s="9"/>
    </row>
    <row r="246" spans="3:11" x14ac:dyDescent="0.2">
      <c r="G246" s="9"/>
      <c r="H246" s="9"/>
      <c r="I246" s="9"/>
      <c r="J246" s="9"/>
      <c r="K246" s="9"/>
    </row>
    <row r="247" spans="3:11" x14ac:dyDescent="0.2">
      <c r="G247" s="9"/>
      <c r="H247" s="9"/>
      <c r="I247" s="9"/>
      <c r="J247" s="9"/>
      <c r="K247" s="9"/>
    </row>
    <row r="248" spans="3:11" x14ac:dyDescent="0.2">
      <c r="C248" s="9" t="s">
        <v>173</v>
      </c>
      <c r="G248" s="9"/>
      <c r="H248" s="9"/>
      <c r="I248" s="9"/>
      <c r="J248" s="9"/>
      <c r="K248" s="9"/>
    </row>
    <row r="249" spans="3:11" x14ac:dyDescent="0.2">
      <c r="G249" s="9"/>
      <c r="H249" s="9"/>
      <c r="I249" s="9"/>
      <c r="J249" s="9"/>
      <c r="K249" s="9"/>
    </row>
    <row r="250" spans="3:11" x14ac:dyDescent="0.2">
      <c r="G250" s="9"/>
      <c r="H250" s="9"/>
      <c r="I250" s="9"/>
      <c r="J250" s="9"/>
      <c r="K250" s="9"/>
    </row>
    <row r="251" spans="3:11" x14ac:dyDescent="0.2">
      <c r="C251" s="9" t="s">
        <v>174</v>
      </c>
      <c r="G251" s="9"/>
      <c r="H251" s="9"/>
      <c r="I251" s="9"/>
      <c r="J251" s="9"/>
      <c r="K251" s="9"/>
    </row>
    <row r="252" spans="3:11" x14ac:dyDescent="0.2">
      <c r="G252" s="9"/>
      <c r="H252" s="9"/>
      <c r="I252" s="9"/>
      <c r="J252" s="9"/>
      <c r="K252" s="9"/>
    </row>
    <row r="253" spans="3:11" x14ac:dyDescent="0.2">
      <c r="G253" s="9"/>
      <c r="H253" s="9"/>
      <c r="I253" s="9"/>
      <c r="J253" s="9"/>
      <c r="K253" s="9"/>
    </row>
    <row r="254" spans="3:11" x14ac:dyDescent="0.2">
      <c r="C254" s="9" t="s">
        <v>175</v>
      </c>
      <c r="G254" s="9"/>
      <c r="H254" s="9"/>
      <c r="I254" s="9"/>
      <c r="J254" s="9"/>
      <c r="K254" s="9"/>
    </row>
    <row r="255" spans="3:11" x14ac:dyDescent="0.2">
      <c r="G255" s="9"/>
      <c r="H255" s="9"/>
      <c r="I255" s="9"/>
      <c r="J255" s="9"/>
      <c r="K255" s="9"/>
    </row>
    <row r="256" spans="3:11" x14ac:dyDescent="0.2">
      <c r="G256" s="9"/>
      <c r="H256" s="9"/>
      <c r="I256" s="9"/>
      <c r="J256" s="9"/>
      <c r="K256" s="9"/>
    </row>
    <row r="257" spans="3:11" x14ac:dyDescent="0.2">
      <c r="C257" s="9" t="s">
        <v>176</v>
      </c>
      <c r="G257" s="9"/>
      <c r="H257" s="9"/>
      <c r="I257" s="9"/>
      <c r="J257" s="9"/>
      <c r="K257" s="9"/>
    </row>
    <row r="258" spans="3:11" x14ac:dyDescent="0.2">
      <c r="G258" s="9"/>
      <c r="H258" s="9"/>
      <c r="I258" s="9"/>
      <c r="J258" s="9"/>
      <c r="K258" s="9"/>
    </row>
    <row r="259" spans="3:11" x14ac:dyDescent="0.2">
      <c r="G259" s="9"/>
      <c r="H259" s="9"/>
      <c r="I259" s="9"/>
      <c r="J259" s="9"/>
      <c r="K259" s="9"/>
    </row>
    <row r="260" spans="3:11" x14ac:dyDescent="0.2">
      <c r="C260" s="9" t="s">
        <v>177</v>
      </c>
      <c r="G260" s="9"/>
      <c r="H260" s="9"/>
      <c r="I260" s="9"/>
      <c r="J260" s="9"/>
      <c r="K260" s="9"/>
    </row>
    <row r="261" spans="3:11" x14ac:dyDescent="0.2">
      <c r="G261" s="9"/>
      <c r="H261" s="9"/>
      <c r="I261" s="9"/>
      <c r="J261" s="9"/>
      <c r="K261" s="9"/>
    </row>
    <row r="262" spans="3:11" x14ac:dyDescent="0.2">
      <c r="G262" s="9"/>
      <c r="H262" s="9"/>
      <c r="I262" s="9"/>
      <c r="J262" s="9"/>
      <c r="K262" s="9"/>
    </row>
    <row r="263" spans="3:11" x14ac:dyDescent="0.2">
      <c r="C263" s="9" t="s">
        <v>178</v>
      </c>
      <c r="G263" s="9"/>
      <c r="H263" s="9"/>
      <c r="I263" s="9"/>
      <c r="J263" s="9"/>
      <c r="K263" s="9"/>
    </row>
    <row r="264" spans="3:11" x14ac:dyDescent="0.2">
      <c r="G264" s="9"/>
      <c r="H264" s="9"/>
      <c r="I264" s="9"/>
      <c r="J264" s="9"/>
      <c r="K264" s="9"/>
    </row>
    <row r="265" spans="3:11" x14ac:dyDescent="0.2">
      <c r="G265" s="9"/>
      <c r="H265" s="9"/>
      <c r="I265" s="9"/>
      <c r="J265" s="9"/>
      <c r="K265" s="9"/>
    </row>
    <row r="266" spans="3:11" x14ac:dyDescent="0.2">
      <c r="C266" s="9" t="s">
        <v>179</v>
      </c>
      <c r="G266" s="9"/>
      <c r="H266" s="9"/>
      <c r="I266" s="9"/>
      <c r="J266" s="9"/>
      <c r="K266" s="9"/>
    </row>
    <row r="267" spans="3:11" x14ac:dyDescent="0.2">
      <c r="G267" s="9"/>
      <c r="H267" s="9"/>
      <c r="I267" s="9"/>
      <c r="J267" s="9"/>
      <c r="K267" s="9"/>
    </row>
    <row r="268" spans="3:11" x14ac:dyDescent="0.2">
      <c r="G268" s="9"/>
      <c r="H268" s="9"/>
      <c r="I268" s="9"/>
      <c r="J268" s="9"/>
      <c r="K268" s="9"/>
    </row>
    <row r="269" spans="3:11" x14ac:dyDescent="0.2">
      <c r="C269" s="9" t="s">
        <v>180</v>
      </c>
      <c r="G269" s="9"/>
      <c r="H269" s="9"/>
      <c r="I269" s="9"/>
      <c r="J269" s="9"/>
      <c r="K269" s="9"/>
    </row>
    <row r="270" spans="3:11" x14ac:dyDescent="0.2">
      <c r="G270" s="9"/>
      <c r="H270" s="9"/>
      <c r="I270" s="9"/>
      <c r="J270" s="9"/>
      <c r="K270" s="9"/>
    </row>
    <row r="271" spans="3:11" x14ac:dyDescent="0.2">
      <c r="G271" s="9"/>
      <c r="H271" s="9"/>
      <c r="I271" s="9"/>
      <c r="J271" s="9"/>
      <c r="K271" s="9"/>
    </row>
    <row r="272" spans="3:11" x14ac:dyDescent="0.2">
      <c r="C272" s="9" t="s">
        <v>181</v>
      </c>
      <c r="G272" s="9"/>
      <c r="H272" s="9"/>
      <c r="I272" s="9"/>
      <c r="J272" s="9"/>
      <c r="K272" s="9"/>
    </row>
    <row r="273" spans="3:11" x14ac:dyDescent="0.2">
      <c r="G273" s="9"/>
      <c r="H273" s="9"/>
      <c r="I273" s="9"/>
      <c r="J273" s="9"/>
      <c r="K273" s="9"/>
    </row>
    <row r="274" spans="3:11" x14ac:dyDescent="0.2">
      <c r="G274" s="9"/>
      <c r="H274" s="9"/>
      <c r="I274" s="9"/>
      <c r="J274" s="9"/>
      <c r="K274" s="9"/>
    </row>
    <row r="275" spans="3:11" x14ac:dyDescent="0.2">
      <c r="C275" s="9" t="s">
        <v>182</v>
      </c>
      <c r="G275" s="9"/>
      <c r="H275" s="9"/>
      <c r="I275" s="9"/>
      <c r="J275" s="9"/>
      <c r="K275" s="9"/>
    </row>
    <row r="276" spans="3:11" x14ac:dyDescent="0.2">
      <c r="G276" s="9"/>
      <c r="H276" s="9"/>
      <c r="I276" s="9"/>
      <c r="J276" s="9"/>
      <c r="K276" s="9"/>
    </row>
    <row r="277" spans="3:11" x14ac:dyDescent="0.2">
      <c r="G277" s="9"/>
      <c r="H277" s="9"/>
      <c r="I277" s="9"/>
      <c r="J277" s="9"/>
      <c r="K277" s="9"/>
    </row>
    <row r="278" spans="3:11" x14ac:dyDescent="0.2">
      <c r="C278" s="9" t="s">
        <v>183</v>
      </c>
      <c r="G278" s="9"/>
      <c r="H278" s="9"/>
      <c r="I278" s="9"/>
      <c r="J278" s="9"/>
      <c r="K278" s="9"/>
    </row>
    <row r="279" spans="3:11" x14ac:dyDescent="0.2">
      <c r="G279" s="9"/>
      <c r="H279" s="9"/>
      <c r="I279" s="9"/>
      <c r="J279" s="9"/>
      <c r="K279" s="9"/>
    </row>
    <row r="280" spans="3:11" x14ac:dyDescent="0.2">
      <c r="G280" s="9"/>
      <c r="H280" s="9"/>
      <c r="I280" s="9"/>
      <c r="J280" s="9"/>
      <c r="K280" s="9"/>
    </row>
    <row r="281" spans="3:11" x14ac:dyDescent="0.2">
      <c r="C281" s="9" t="s">
        <v>184</v>
      </c>
      <c r="G281" s="9"/>
      <c r="H281" s="9"/>
      <c r="I281" s="9"/>
      <c r="J281" s="9"/>
      <c r="K281" s="9"/>
    </row>
    <row r="282" spans="3:11" x14ac:dyDescent="0.2">
      <c r="G282" s="9"/>
      <c r="H282" s="9"/>
      <c r="I282" s="9"/>
      <c r="J282" s="9"/>
      <c r="K282" s="9"/>
    </row>
    <row r="283" spans="3:11" x14ac:dyDescent="0.2">
      <c r="G283" s="9"/>
      <c r="H283" s="9"/>
      <c r="I283" s="9"/>
      <c r="J283" s="9"/>
      <c r="K283" s="9"/>
    </row>
    <row r="284" spans="3:11" x14ac:dyDescent="0.2">
      <c r="C284" s="9" t="s">
        <v>185</v>
      </c>
      <c r="G284" s="9"/>
      <c r="H284" s="9"/>
      <c r="I284" s="9"/>
      <c r="J284" s="9"/>
      <c r="K284" s="9"/>
    </row>
    <row r="285" spans="3:11" x14ac:dyDescent="0.2">
      <c r="G285" s="9"/>
      <c r="H285" s="9"/>
      <c r="I285" s="9"/>
      <c r="J285" s="9"/>
      <c r="K285" s="9"/>
    </row>
    <row r="286" spans="3:11" x14ac:dyDescent="0.2">
      <c r="G286" s="9"/>
      <c r="H286" s="9"/>
      <c r="I286" s="9"/>
      <c r="J286" s="9"/>
      <c r="K286" s="9"/>
    </row>
    <row r="287" spans="3:11" x14ac:dyDescent="0.2">
      <c r="C287" s="9" t="s">
        <v>186</v>
      </c>
      <c r="G287" s="9"/>
      <c r="H287" s="9"/>
      <c r="I287" s="9"/>
      <c r="J287" s="9"/>
      <c r="K287" s="9"/>
    </row>
    <row r="288" spans="3:11" x14ac:dyDescent="0.2">
      <c r="G288" s="9"/>
      <c r="H288" s="9"/>
      <c r="I288" s="9"/>
      <c r="J288" s="9"/>
      <c r="K288" s="9"/>
    </row>
    <row r="289" spans="3:11" x14ac:dyDescent="0.2">
      <c r="G289" s="9"/>
      <c r="H289" s="9"/>
      <c r="I289" s="9"/>
      <c r="J289" s="9"/>
      <c r="K289" s="9"/>
    </row>
    <row r="290" spans="3:11" x14ac:dyDescent="0.2">
      <c r="C290" s="9" t="s">
        <v>187</v>
      </c>
      <c r="G290" s="9"/>
      <c r="H290" s="9"/>
      <c r="I290" s="9"/>
      <c r="J290" s="9"/>
      <c r="K290" s="9"/>
    </row>
    <row r="291" spans="3:11" x14ac:dyDescent="0.2">
      <c r="G291" s="9"/>
      <c r="H291" s="9"/>
      <c r="I291" s="9"/>
      <c r="J291" s="9"/>
      <c r="K291" s="9"/>
    </row>
    <row r="292" spans="3:11" x14ac:dyDescent="0.2">
      <c r="G292" s="9"/>
      <c r="H292" s="9"/>
      <c r="I292" s="9"/>
      <c r="J292" s="9"/>
      <c r="K292" s="9"/>
    </row>
    <row r="293" spans="3:11" x14ac:dyDescent="0.2">
      <c r="C293" s="9" t="s">
        <v>188</v>
      </c>
      <c r="G293" s="9"/>
      <c r="H293" s="9"/>
      <c r="I293" s="9"/>
      <c r="J293" s="9"/>
      <c r="K293" s="9"/>
    </row>
    <row r="294" spans="3:11" x14ac:dyDescent="0.2">
      <c r="G294" s="9"/>
      <c r="H294" s="9"/>
      <c r="I294" s="9"/>
      <c r="J294" s="9"/>
      <c r="K294" s="9"/>
    </row>
    <row r="295" spans="3:11" x14ac:dyDescent="0.2">
      <c r="G295" s="9"/>
      <c r="H295" s="9"/>
      <c r="I295" s="9"/>
      <c r="J295" s="9"/>
      <c r="K295" s="9"/>
    </row>
    <row r="296" spans="3:11" x14ac:dyDescent="0.2">
      <c r="C296" s="9" t="s">
        <v>189</v>
      </c>
      <c r="G296" s="9"/>
      <c r="H296" s="9"/>
      <c r="I296" s="9"/>
      <c r="J296" s="9"/>
      <c r="K296" s="9"/>
    </row>
    <row r="297" spans="3:11" x14ac:dyDescent="0.2">
      <c r="G297" s="9"/>
      <c r="H297" s="9"/>
      <c r="I297" s="9"/>
      <c r="J297" s="9"/>
      <c r="K297" s="9"/>
    </row>
    <row r="298" spans="3:11" x14ac:dyDescent="0.2">
      <c r="G298" s="9"/>
      <c r="H298" s="9"/>
      <c r="I298" s="9"/>
      <c r="J298" s="9"/>
      <c r="K298" s="9"/>
    </row>
    <row r="299" spans="3:11" x14ac:dyDescent="0.2">
      <c r="C299" s="9" t="s">
        <v>190</v>
      </c>
      <c r="G299" s="9"/>
      <c r="H299" s="9"/>
      <c r="I299" s="9"/>
      <c r="J299" s="9"/>
      <c r="K299" s="9"/>
    </row>
    <row r="300" spans="3:11" x14ac:dyDescent="0.2">
      <c r="G300" s="9"/>
      <c r="H300" s="9"/>
      <c r="I300" s="9"/>
      <c r="J300" s="9"/>
      <c r="K300" s="9"/>
    </row>
    <row r="301" spans="3:11" x14ac:dyDescent="0.2">
      <c r="G301" s="9"/>
      <c r="H301" s="9"/>
      <c r="I301" s="9"/>
      <c r="J301" s="9"/>
      <c r="K301" s="9"/>
    </row>
    <row r="302" spans="3:11" x14ac:dyDescent="0.2">
      <c r="C302" s="9" t="s">
        <v>191</v>
      </c>
      <c r="G302" s="9"/>
      <c r="H302" s="9"/>
      <c r="I302" s="9"/>
      <c r="J302" s="9"/>
      <c r="K302" s="9"/>
    </row>
    <row r="303" spans="3:11" x14ac:dyDescent="0.2">
      <c r="G303" s="9"/>
      <c r="H303" s="9"/>
      <c r="I303" s="9"/>
      <c r="J303" s="9"/>
      <c r="K303" s="9"/>
    </row>
    <row r="304" spans="3:11" x14ac:dyDescent="0.2">
      <c r="G304" s="9"/>
      <c r="H304" s="9"/>
      <c r="I304" s="9"/>
      <c r="J304" s="9"/>
      <c r="K304" s="9"/>
    </row>
    <row r="305" spans="3:11" x14ac:dyDescent="0.2">
      <c r="C305" s="9" t="s">
        <v>192</v>
      </c>
      <c r="G305" s="9"/>
      <c r="H305" s="9"/>
      <c r="I305" s="9"/>
      <c r="J305" s="9"/>
      <c r="K305" s="9"/>
    </row>
    <row r="306" spans="3:11" x14ac:dyDescent="0.2">
      <c r="G306" s="9"/>
      <c r="H306" s="9"/>
      <c r="I306" s="9"/>
      <c r="J306" s="9"/>
      <c r="K306" s="9"/>
    </row>
    <row r="307" spans="3:11" x14ac:dyDescent="0.2">
      <c r="G307" s="9"/>
      <c r="H307" s="9"/>
      <c r="I307" s="9"/>
      <c r="J307" s="9"/>
      <c r="K307" s="9"/>
    </row>
    <row r="308" spans="3:11" x14ac:dyDescent="0.2">
      <c r="C308" s="9" t="s">
        <v>193</v>
      </c>
      <c r="G308" s="9"/>
      <c r="H308" s="9"/>
      <c r="I308" s="9"/>
      <c r="J308" s="9"/>
      <c r="K308" s="9"/>
    </row>
    <row r="309" spans="3:11" x14ac:dyDescent="0.2">
      <c r="G309" s="9"/>
      <c r="H309" s="9"/>
      <c r="I309" s="9"/>
      <c r="J309" s="9"/>
      <c r="K309" s="9"/>
    </row>
    <row r="310" spans="3:11" x14ac:dyDescent="0.2">
      <c r="G310" s="9"/>
      <c r="H310" s="9"/>
      <c r="I310" s="9"/>
      <c r="J310" s="9"/>
      <c r="K310" s="9"/>
    </row>
    <row r="311" spans="3:11" x14ac:dyDescent="0.2">
      <c r="C311" s="9" t="s">
        <v>194</v>
      </c>
      <c r="G311" s="9"/>
      <c r="H311" s="9"/>
      <c r="I311" s="9"/>
      <c r="J311" s="9"/>
      <c r="K311" s="9"/>
    </row>
    <row r="314" spans="3:11" x14ac:dyDescent="0.2">
      <c r="C314" s="9" t="s">
        <v>195</v>
      </c>
    </row>
    <row r="317" spans="3:11" x14ac:dyDescent="0.2">
      <c r="C317" s="9" t="s">
        <v>196</v>
      </c>
    </row>
    <row r="320" spans="3:11" x14ac:dyDescent="0.2">
      <c r="C320" s="9" t="s">
        <v>197</v>
      </c>
    </row>
    <row r="323" spans="3:3" x14ac:dyDescent="0.2">
      <c r="C323" s="9" t="s">
        <v>198</v>
      </c>
    </row>
    <row r="326" spans="3:3" x14ac:dyDescent="0.2">
      <c r="C326" s="9" t="s">
        <v>199</v>
      </c>
    </row>
    <row r="329" spans="3:3" x14ac:dyDescent="0.2">
      <c r="C329" s="9" t="s">
        <v>200</v>
      </c>
    </row>
    <row r="332" spans="3:3" x14ac:dyDescent="0.2">
      <c r="C332" s="9" t="s">
        <v>201</v>
      </c>
    </row>
    <row r="335" spans="3:3" x14ac:dyDescent="0.2">
      <c r="C335" s="9" t="s">
        <v>202</v>
      </c>
    </row>
    <row r="338" spans="3:3" x14ac:dyDescent="0.2">
      <c r="C338" s="9" t="s">
        <v>203</v>
      </c>
    </row>
    <row r="341" spans="3:3" x14ac:dyDescent="0.2">
      <c r="C341" s="9" t="s">
        <v>204</v>
      </c>
    </row>
    <row r="344" spans="3:3" x14ac:dyDescent="0.2">
      <c r="C344" s="9" t="s">
        <v>205</v>
      </c>
    </row>
    <row r="347" spans="3:3" x14ac:dyDescent="0.2">
      <c r="C347" s="9" t="s">
        <v>206</v>
      </c>
    </row>
    <row r="350" spans="3:3" x14ac:dyDescent="0.2">
      <c r="C350" s="9" t="s">
        <v>207</v>
      </c>
    </row>
    <row r="353" spans="3:3" x14ac:dyDescent="0.2">
      <c r="C353" s="9" t="s">
        <v>208</v>
      </c>
    </row>
    <row r="356" spans="3:3" x14ac:dyDescent="0.2">
      <c r="C356" s="9" t="s">
        <v>209</v>
      </c>
    </row>
    <row r="359" spans="3:3" x14ac:dyDescent="0.2">
      <c r="C359" s="9" t="s">
        <v>210</v>
      </c>
    </row>
    <row r="362" spans="3:3" x14ac:dyDescent="0.2">
      <c r="C362" s="9" t="s">
        <v>211</v>
      </c>
    </row>
    <row r="365" spans="3:3" x14ac:dyDescent="0.2">
      <c r="C365" s="9" t="s">
        <v>212</v>
      </c>
    </row>
    <row r="368" spans="3:3" x14ac:dyDescent="0.2">
      <c r="C368" s="9" t="s">
        <v>213</v>
      </c>
    </row>
    <row r="371" spans="3:3" x14ac:dyDescent="0.2">
      <c r="C371" s="9" t="s">
        <v>214</v>
      </c>
    </row>
    <row r="374" spans="3:3" x14ac:dyDescent="0.2">
      <c r="C374" s="9" t="s">
        <v>215</v>
      </c>
    </row>
    <row r="377" spans="3:3" x14ac:dyDescent="0.2">
      <c r="C377" s="9" t="s">
        <v>216</v>
      </c>
    </row>
    <row r="380" spans="3:3" x14ac:dyDescent="0.2">
      <c r="C380" s="9" t="s">
        <v>217</v>
      </c>
    </row>
    <row r="383" spans="3:3" x14ac:dyDescent="0.2">
      <c r="C383" s="9" t="s">
        <v>218</v>
      </c>
    </row>
    <row r="386" spans="3:3" x14ac:dyDescent="0.2">
      <c r="C386" s="9" t="s">
        <v>219</v>
      </c>
    </row>
    <row r="389" spans="3:3" x14ac:dyDescent="0.2">
      <c r="C389" s="9" t="s">
        <v>220</v>
      </c>
    </row>
    <row r="392" spans="3:3" x14ac:dyDescent="0.2">
      <c r="C392" s="9" t="s">
        <v>221</v>
      </c>
    </row>
    <row r="395" spans="3:3" x14ac:dyDescent="0.2">
      <c r="C395" s="9" t="s">
        <v>222</v>
      </c>
    </row>
    <row r="398" spans="3:3" x14ac:dyDescent="0.2">
      <c r="C398" s="9" t="s">
        <v>223</v>
      </c>
    </row>
    <row r="401" spans="3:3" x14ac:dyDescent="0.2">
      <c r="C401" s="9" t="s">
        <v>224</v>
      </c>
    </row>
    <row r="404" spans="3:3" x14ac:dyDescent="0.2">
      <c r="C404" s="9" t="s">
        <v>225</v>
      </c>
    </row>
    <row r="407" spans="3:3" x14ac:dyDescent="0.2">
      <c r="C407" s="9" t="s">
        <v>226</v>
      </c>
    </row>
    <row r="410" spans="3:3" x14ac:dyDescent="0.2">
      <c r="C410" s="9" t="s">
        <v>227</v>
      </c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23" priority="37" stopIfTrue="1" operator="greaterThanOrEqual">
      <formula>5</formula>
    </cfRule>
    <cfRule type="cellIs" dxfId="22" priority="38" stopIfTrue="1" operator="between">
      <formula>2</formula>
      <formula>5</formula>
    </cfRule>
    <cfRule type="cellIs" dxfId="21" priority="39" stopIfTrue="1" operator="lessThan">
      <formula>2</formula>
    </cfRule>
  </conditionalFormatting>
  <conditionalFormatting sqref="B21:GS21">
    <cfRule type="cellIs" dxfId="20" priority="40" stopIfTrue="1" operator="lessThanOrEqual">
      <formula>0.25</formula>
    </cfRule>
    <cfRule type="cellIs" dxfId="19" priority="41" stopIfTrue="1" operator="between">
      <formula>0.25</formula>
      <formula>1</formula>
    </cfRule>
    <cfRule type="cellIs" dxfId="18" priority="42" stopIfTrue="1" operator="greaterThan">
      <formula>1</formula>
    </cfRule>
  </conditionalFormatting>
  <conditionalFormatting sqref="B22:GS22">
    <cfRule type="cellIs" dxfId="17" priority="43" stopIfTrue="1" operator="lessThanOrEqual">
      <formula>2</formula>
    </cfRule>
    <cfRule type="cellIs" dxfId="16" priority="44" stopIfTrue="1" operator="between">
      <formula>2</formula>
      <formula>10</formula>
    </cfRule>
    <cfRule type="cellIs" dxfId="15" priority="45" stopIfTrue="1" operator="greaterThan">
      <formula>10</formula>
    </cfRule>
  </conditionalFormatting>
  <conditionalFormatting sqref="B23:GS23">
    <cfRule type="cellIs" dxfId="14" priority="46" stopIfTrue="1" operator="greaterThanOrEqual">
      <formula>5</formula>
    </cfRule>
    <cfRule type="cellIs" dxfId="13" priority="47" stopIfTrue="1" operator="between">
      <formula>1</formula>
      <formula>5</formula>
    </cfRule>
    <cfRule type="cellIs" dxfId="12" priority="48" stopIfTrue="1" operator="lessThan">
      <formula>1</formula>
    </cfRule>
  </conditionalFormatting>
  <conditionalFormatting sqref="GL4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GL5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GL5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GL5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2023-05-10T02:06:15Z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