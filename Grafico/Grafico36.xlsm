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D7BDDB02-85DC-4A0F-8447-625DAA213ECA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<sst xmlns="http://schemas.openxmlformats.org/spreadsheetml/2006/main" count="3676" uniqueCount="527">
  <si>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</si>
  <si>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</si>
  <si>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</si>
  <si>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</si>
  <si>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</si>
  <si>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</si>
  <si>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</si>
  <si>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</si>
  <si>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</si>
  <si>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</si>
  <si>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</si>
  <si>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</si>
  <si>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</si>
  <si>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</si>
  <si>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</si>
  <si>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</si>
  <si>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</si>
  <si>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</si>
  <si>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</si>
  <si>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</si>
  <si>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</si>
  <si>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</si>
  <si>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</si>
  <si>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</si>
  <si>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</si>
  <si>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</si>
  <si>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</si>
  <si>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</si>
  <si>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</si>
  <si>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</si>
  <si>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</si>
  <si>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</si>
  <si>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</si>
  <si>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</si>
  <si>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</si>
  <si>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</si>
  <si>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</si>
  <si>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</si>
  <si>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</si>
  <si>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</si>
  <si>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</si>
  <si>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</si>
  <si>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</si>
  <si>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</si>
  <si>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</si>
  <si>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</si>
  <si>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</si>
  <si>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</si>
  <si>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</si>
  <si>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</si>
  <si>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</si>
  <si>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</si>
  <si>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</si>
  <si>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</si>
  <si>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</si>
  <si>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</si>
  <si>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</si>
  <si>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</si>
  <si>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</si>
  <si>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</si>
  <si>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</si>
  <si>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</si>
  <si>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</si>
  <si>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</si>
  <si>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</si>
  <si>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</si>
  <si>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</si>
  <si>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</si>
  <si>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</si>
  <si>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</si>
  <si>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</si>
  <si>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</si>
  <si>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</si>
  <si>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</si>
  <si>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</si>
  <si>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</si>
  <si>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</si>
  <si>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</si>
  <si>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</si>
  <si>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</si>
  <si>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</si>
  <si>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</si>
  <si>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</si>
  <si>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</si>
  <si>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</si>
  <si>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</si>
  <si>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</si>
  <si>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</si>
  <si>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</si>
  <si>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</si>
  <si>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</si>
  <si>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</si>
  <si>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</si>
  <si>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</si>
  <si>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</si>
  <si>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</si>
  <si>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</si>
  <si>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</si>
  <si>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</si>
  <si>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</si>
  <si>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</si>
  <si>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</si>
  <si>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</si>
  <si>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</si>
  <si>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</si>
  <si>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</si>
  <si>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</si>
  <si>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</si>
  <si>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</si>
  <si>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</si>
  <si>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</si>
  <si>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</si>
  <si>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</si>
  <si>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</si>
  <si>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</si>
  <si>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</si>
  <si>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</si>
  <si>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</si>
  <si>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</si>
  <si>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</si>
  <si>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</si>
  <si>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</si>
  <si>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</si>
  <si>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</si>
  <si>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</si>
  <si>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</si>
  <si>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Ponto13</t>
  </si>
  <si>
    <t>Ponto14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</si>
  <si>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</si>
  <si>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</si>
  <si>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</si>
  <si>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</si>
  <si>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</si>
  <si>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</si>
  <si>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</si>
  <si>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</si>
  <si>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</si>
  <si>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</si>
  <si>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</si>
  <si>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</si>
  <si>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</si>
  <si>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</si>
  <si>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</si>
  <si>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</si>
  <si>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</si>
  <si>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</si>
  <si>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</si>
  <si>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</si>
  <si>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</si>
  <si>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</si>
  <si>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</si>
  <si>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</si>
  <si>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</si>
  <si>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</si>
  <si>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</si>
  <si>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</si>
  <si>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</si>
  <si>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</si>
  <si>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</si>
  <si>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</si>
  <si>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</si>
  <si>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</si>
  <si>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</si>
  <si>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</si>
  <si>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</si>
  <si>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</si>
  <si>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</si>
  <si>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</si>
  <si>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</si>
  <si>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</si>
  <si>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</si>
  <si>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</si>
  <si>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</si>
  <si>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</si>
  <si>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</si>
  <si>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</si>
  <si>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</si>
  <si>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</si>
  <si>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</si>
  <si>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</si>
  <si>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</si>
  <si>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</si>
  <si>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</si>
  <si>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</si>
  <si>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</si>
  <si>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</si>
  <si>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</si>
  <si>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</si>
  <si>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</si>
  <si>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</si>
  <si>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</si>
  <si>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</si>
  <si>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</si>
  <si>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</si>
  <si>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</si>
  <si>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</si>
  <si>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</si>
  <si>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</si>
  <si>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K:\André\testes\NOVO\teste 200 pontos.eMe</t>
  </si>
  <si>
    <t>Ponto1</t>
  </si>
  <si>
    <t>Ponto2</t>
  </si>
  <si>
    <t>Ponto3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</si>
  <si>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</si>
  <si>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</si>
  <si>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</si>
  <si>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</si>
  <si>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</si>
  <si>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</si>
  <si>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</si>
  <si>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</si>
  <si>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</si>
  <si>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</si>
  <si>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</si>
  <si>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</si>
  <si>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</si>
  <si>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</si>
  <si>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</si>
  <si>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</si>
  <si>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</si>
  <si>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</si>
  <si>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</si>
  <si>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</si>
  <si>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</si>
  <si>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</si>
  <si>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</si>
  <si>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Ponto15</t>
  </si>
  <si>
    <t>15-Ponto15</t>
  </si>
  <si>
    <t>Ponto16</t>
  </si>
  <si>
    <t>Ponto17</t>
  </si>
  <si>
    <t>16-Ponto16</t>
  </si>
  <si>
    <t>Ponto18</t>
  </si>
  <si>
    <t>17-Ponto17</t>
  </si>
  <si>
    <t>18-Ponto18</t>
  </si>
  <si>
    <t>Ponto19</t>
  </si>
  <si>
    <t>19-Ponto19</t>
  </si>
  <si>
    <t>Ponto20</t>
  </si>
  <si>
    <t>20-Ponto20</t>
  </si>
  <si>
    <t>Ponto21</t>
  </si>
  <si>
    <t>21-Ponto21</t>
  </si>
  <si>
    <t>Ponto22</t>
  </si>
  <si>
    <t>22-Ponto22</t>
  </si>
  <si>
    <t>Ponto23</t>
  </si>
  <si>
    <t>23-Ponto23</t>
  </si>
  <si>
    <t>Ponto24</t>
  </si>
  <si>
    <t>24-Ponto24</t>
  </si>
  <si>
    <t>Ponto25</t>
  </si>
  <si>
    <t>25-Ponto25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</si>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</sst>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2" fontId="8" fillId="4" borderId="1" xfId="0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  <c:pt idx="0">
                  <c:v>24-Ponto24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6.0140653040586444E-3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opLeftCell="A10" zoomScale="73" zoomScaleNormal="73" workbookViewId="0">
      <selection activeCell="O13" sqref="O13"/>
    </sheetView>
  </sheetViews>
  <sheetFormatPr defaultRowHeight="12.75" x14ac:dyDescent="0.2"/>
  <cols>
    <col min="1" max="1" width="8.875" style="176" customWidth="1"/>
    <col min="2" max="9" width="9" style="176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0.7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45" width="2.75" style="176" customWidth="1"/>
    <col min="46" max="16384" width="9" style="176"/>
  </cols>
  <sheetData>
    <row r="1" spans="8:46" ht="27" customHeight="1" x14ac:dyDescent="0.2">
      <c r="P1" s="176" t="s">
        <v>68</v>
      </c>
      <c r="Q1" s="176" t="s">
        <v>0</v>
      </c>
      <c r="R1" s="176" t="s">
        <v>19</v>
      </c>
      <c r="S1" s="177">
        <v>1</v>
      </c>
      <c r="T1" s="177" t="s">
        <v>199</v>
      </c>
      <c r="U1" s="177" t="s">
        <v>199</v>
      </c>
      <c r="V1" s="177" t="s">
        <v>199</v>
      </c>
      <c r="W1" s="176">
        <v>10</v>
      </c>
      <c r="X1" s="178"/>
      <c r="Y1" s="178"/>
      <c r="AA1" s="176">
        <f>X1+Y1+Z1</f>
        <v>0</v>
      </c>
      <c r="AT1" s="176" t="s">
        <v>5</v>
      </c>
    </row>
    <row r="2" spans="8:46" x14ac:dyDescent="0.2">
      <c r="S2" s="177">
        <v>2</v>
      </c>
      <c r="T2" s="177" t="s">
        <v>200</v>
      </c>
      <c r="U2" s="177" t="s">
        <v>200</v>
      </c>
      <c r="V2" s="177" t="s">
        <v>200</v>
      </c>
      <c r="AT2" s="176" t="s">
        <v>7</v>
      </c>
    </row>
    <row r="3" spans="8:46" x14ac:dyDescent="0.2">
      <c r="R3" s="176" t="s">
        <v>84</v>
      </c>
      <c r="S3" s="177">
        <v>3</v>
      </c>
      <c r="T3" s="177" t="s">
        <v>201</v>
      </c>
      <c r="U3" s="177" t="s">
        <v>201</v>
      </c>
      <c r="V3" s="177" t="s">
        <v>201</v>
      </c>
      <c r="AT3" s="176" t="s">
        <v>6</v>
      </c>
    </row>
    <row r="4" spans="8:46" x14ac:dyDescent="0.2">
      <c r="S4" s="177">
        <v>4</v>
      </c>
      <c r="T4" s="177" t="s">
        <v>202</v>
      </c>
      <c r="U4" s="177" t="s">
        <v>202</v>
      </c>
      <c r="V4" s="177" t="s">
        <v>202</v>
      </c>
      <c r="X4" s="176" t="s">
        <v>96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S5" s="177">
        <v>5</v>
      </c>
      <c r="T5" s="177" t="s">
        <v>203</v>
      </c>
      <c r="U5" s="177" t="s">
        <v>203</v>
      </c>
      <c r="V5" s="177" t="s">
        <v>203</v>
      </c>
      <c r="X5" s="176" t="s">
        <v>104</v>
      </c>
      <c r="Y5" s="176" t="s">
        <v>107</v>
      </c>
      <c r="Z5" s="176" t="s">
        <v>106</v>
      </c>
    </row>
    <row r="6" spans="8:46" x14ac:dyDescent="0.2">
      <c r="S6" s="177">
        <v>6</v>
      </c>
      <c r="T6" s="177" t="s">
        <v>204</v>
      </c>
      <c r="U6" s="177" t="s">
        <v>204</v>
      </c>
      <c r="V6" s="177" t="s">
        <v>204</v>
      </c>
      <c r="X6" s="176" t="b">
        <v>0</v>
      </c>
      <c r="Y6" s="176" t="b">
        <v>0</v>
      </c>
      <c r="Z6" s="176" t="b">
        <v>0</v>
      </c>
    </row>
    <row r="7" spans="8:46" x14ac:dyDescent="0.2">
      <c r="S7" s="177">
        <v>7</v>
      </c>
      <c r="T7" s="177" t="s">
        <v>205</v>
      </c>
      <c r="U7" s="177" t="s">
        <v>205</v>
      </c>
      <c r="V7" s="177" t="s">
        <v>205</v>
      </c>
    </row>
    <row r="8" spans="8:46" x14ac:dyDescent="0.2">
      <c r="S8" s="177">
        <v>8</v>
      </c>
      <c r="T8" s="177" t="s">
        <v>206</v>
      </c>
      <c r="U8" s="177" t="s">
        <v>206</v>
      </c>
      <c r="V8" s="177" t="s">
        <v>206</v>
      </c>
    </row>
    <row r="9" spans="8:46" x14ac:dyDescent="0.2">
      <c r="S9" s="177">
        <v>9</v>
      </c>
      <c r="T9" s="177" t="s">
        <v>207</v>
      </c>
      <c r="U9" s="177" t="s">
        <v>207</v>
      </c>
      <c r="V9" s="177" t="s">
        <v>207</v>
      </c>
    </row>
    <row r="10" spans="8:46" x14ac:dyDescent="0.2">
      <c r="S10" s="177">
        <v>10</v>
      </c>
      <c r="T10" s="177" t="s">
        <v>208</v>
      </c>
      <c r="U10" s="177" t="s">
        <v>208</v>
      </c>
      <c r="V10" s="177" t="s">
        <v>208</v>
      </c>
    </row>
    <row r="11" spans="8:46" x14ac:dyDescent="0.2">
      <c r="R11" s="176" t="s">
        <v>67</v>
      </c>
      <c r="S11" s="177">
        <v>1</v>
      </c>
      <c r="T11" s="207" t="b">
        <v>1</v>
      </c>
      <c r="U11" s="207" t="b">
        <v>1</v>
      </c>
      <c r="V11" s="207" t="b">
        <v>1</v>
      </c>
      <c r="W11" s="207">
        <v>5</v>
      </c>
      <c r="X11" s="207">
        <v>6</v>
      </c>
      <c r="Y11" s="207">
        <v>7</v>
      </c>
      <c r="Z11" s="207">
        <v>8</v>
      </c>
      <c r="AA11" s="207">
        <v>9</v>
      </c>
      <c r="AB11" s="207">
        <v>10</v>
      </c>
    </row>
    <row r="12" spans="8:46" x14ac:dyDescent="0.2">
      <c r="S12" s="177">
        <v>2</v>
      </c>
      <c r="T12" s="177" t="b">
        <v>1</v>
      </c>
      <c r="U12" s="177" t="b">
        <v>1</v>
      </c>
      <c r="V12" s="177" t="b">
        <v>1</v>
      </c>
    </row>
    <row r="13" spans="8:46" x14ac:dyDescent="0.2">
      <c r="H13" s="187"/>
      <c r="I13" s="187"/>
      <c r="S13" s="177">
        <v>3</v>
      </c>
      <c r="T13" s="177" t="b">
        <v>1</v>
      </c>
      <c r="U13" s="177" t="b">
        <v>1</v>
      </c>
      <c r="V13" s="177" t="b">
        <v>1</v>
      </c>
    </row>
    <row r="14" spans="8:46" x14ac:dyDescent="0.2">
      <c r="S14" s="177">
        <v>4</v>
      </c>
      <c r="T14" s="177" t="b">
        <v>1</v>
      </c>
      <c r="U14" s="177" t="b">
        <v>1</v>
      </c>
      <c r="V14" s="177" t="b">
        <v>1</v>
      </c>
    </row>
    <row r="15" spans="8:46" x14ac:dyDescent="0.2">
      <c r="S15" s="177">
        <v>5</v>
      </c>
      <c r="T15" s="177" t="b">
        <v>1</v>
      </c>
      <c r="U15" s="177" t="b">
        <v>1</v>
      </c>
      <c r="V15" s="177" t="b">
        <v>1</v>
      </c>
    </row>
    <row r="16" spans="8:46" x14ac:dyDescent="0.2">
      <c r="S16" s="177">
        <v>6</v>
      </c>
      <c r="T16" s="177" t="b">
        <v>1</v>
      </c>
      <c r="U16" s="177" t="b">
        <v>1</v>
      </c>
      <c r="V16" s="177" t="b">
        <v>1</v>
      </c>
    </row>
    <row r="17" spans="1:32" x14ac:dyDescent="0.2">
      <c r="S17" s="177">
        <v>7</v>
      </c>
      <c r="T17" s="177" t="b">
        <v>1</v>
      </c>
      <c r="U17" s="177" t="b">
        <v>1</v>
      </c>
      <c r="V17" s="177" t="b">
        <v>1</v>
      </c>
    </row>
    <row r="18" spans="1:32" x14ac:dyDescent="0.2">
      <c r="S18" s="177">
        <v>8</v>
      </c>
      <c r="T18" s="177" t="b">
        <v>1</v>
      </c>
      <c r="U18" s="177" t="b">
        <v>1</v>
      </c>
      <c r="V18" s="177" t="b">
        <v>1</v>
      </c>
    </row>
    <row r="19" spans="1:32" x14ac:dyDescent="0.2">
      <c r="S19" s="177">
        <v>9</v>
      </c>
      <c r="T19" s="177" t="b">
        <v>1</v>
      </c>
      <c r="U19" s="177" t="b">
        <v>1</v>
      </c>
      <c r="V19" s="177" t="b">
        <v>1</v>
      </c>
    </row>
    <row r="20" spans="1:32" x14ac:dyDescent="0.2">
      <c r="S20" s="177">
        <v>10</v>
      </c>
      <c r="T20" s="177" t="b">
        <v>1</v>
      </c>
      <c r="U20" s="177" t="b">
        <v>1</v>
      </c>
      <c r="V20" s="177" t="b">
        <v>1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198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17:34" x14ac:dyDescent="0.2">
      <c r="S49" s="177">
        <v>5</v>
      </c>
      <c r="T49" s="177" t="b">
        <v>0</v>
      </c>
      <c r="U49" s="177" t="b">
        <v>0</v>
      </c>
      <c r="V49" s="177" t="b">
        <v>0</v>
      </c>
    </row>
    <row r="50" spans="17:34" x14ac:dyDescent="0.2">
      <c r="S50" s="177" t="s">
        <v>17</v>
      </c>
      <c r="T50" s="177" t="b">
        <v>0</v>
      </c>
      <c r="U50" s="177" t="b">
        <v>0</v>
      </c>
      <c r="V50" s="177" t="b">
        <v>0</v>
      </c>
    </row>
    <row r="51" spans="17:34" x14ac:dyDescent="0.2"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17:34" x14ac:dyDescent="0.2">
      <c r="S52" s="177">
        <v>5</v>
      </c>
      <c r="T52" s="177">
        <v>5</v>
      </c>
      <c r="U52" s="177">
        <v>5</v>
      </c>
      <c r="V52" s="177">
        <v>5</v>
      </c>
    </row>
    <row r="53" spans="17:34" x14ac:dyDescent="0.2">
      <c r="S53" s="177" t="s">
        <v>17</v>
      </c>
      <c r="T53" s="177">
        <v>2</v>
      </c>
      <c r="U53" s="177">
        <v>2</v>
      </c>
      <c r="V53" s="177">
        <v>2</v>
      </c>
    </row>
    <row r="54" spans="17:34" x14ac:dyDescent="0.2"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17:34" x14ac:dyDescent="0.2"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121</v>
      </c>
      <c r="X55" s="176" t="s">
        <v>121</v>
      </c>
      <c r="Y55" s="176" t="s">
        <v>121</v>
      </c>
      <c r="AA55" s="176" t="s">
        <v>6</v>
      </c>
    </row>
    <row r="56" spans="17:34" x14ac:dyDescent="0.2">
      <c r="S56" s="177" t="s">
        <v>7</v>
      </c>
      <c r="T56" s="177" t="b">
        <v>0</v>
      </c>
      <c r="U56" s="177" t="b">
        <v>0</v>
      </c>
      <c r="V56" s="177" t="b">
        <v>0</v>
      </c>
      <c r="W56" s="176">
        <v>1</v>
      </c>
      <c r="X56" s="176">
        <v>1</v>
      </c>
      <c r="Y56" s="176">
        <v>1</v>
      </c>
    </row>
    <row r="57" spans="17:34" x14ac:dyDescent="0.2">
      <c r="R57" s="176" t="s">
        <v>91</v>
      </c>
      <c r="S57" s="177">
        <v>0</v>
      </c>
      <c r="T57" s="177" t="s">
        <v>199</v>
      </c>
      <c r="U57" s="177" t="s">
        <v>199</v>
      </c>
      <c r="V57" s="177" t="s">
        <v>199</v>
      </c>
      <c r="W57" s="176" t="s">
        <v>122</v>
      </c>
      <c r="X57" s="176" t="s">
        <v>122</v>
      </c>
      <c r="Y57" s="176" t="s">
        <v>122</v>
      </c>
      <c r="Z57" s="176" t="s">
        <v>5</v>
      </c>
      <c r="AA57" s="176" t="s">
        <v>7</v>
      </c>
    </row>
    <row r="58" spans="17:34" x14ac:dyDescent="0.2"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17:34" x14ac:dyDescent="0.2">
      <c r="R59" s="176" t="s">
        <v>73</v>
      </c>
      <c r="S59" s="177">
        <v>0</v>
      </c>
      <c r="T59" s="177" t="s">
        <v>199</v>
      </c>
      <c r="U59" s="177" t="s">
        <v>199</v>
      </c>
      <c r="V59" s="177" t="s">
        <v>199</v>
      </c>
      <c r="AG59" s="176" t="s">
        <v>1</v>
      </c>
    </row>
    <row r="60" spans="17:34" x14ac:dyDescent="0.2">
      <c r="S60" s="177">
        <v>0</v>
      </c>
      <c r="T60" s="177">
        <v>1</v>
      </c>
      <c r="U60" s="177">
        <v>1</v>
      </c>
      <c r="V60" s="177">
        <v>1</v>
      </c>
    </row>
    <row r="61" spans="17:34" x14ac:dyDescent="0.2"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</v>
      </c>
      <c r="X61" s="180">
        <f>Diagrama!C6</f>
        <v>4</v>
      </c>
      <c r="Y61" s="180">
        <f>Diagrama!D6</f>
        <v>7</v>
      </c>
      <c r="Z61" s="180">
        <f>Diagrama!E6</f>
        <v>10</v>
      </c>
      <c r="AA61" s="180">
        <f>Diagrama!F6</f>
        <v>13</v>
      </c>
      <c r="AB61" s="180">
        <f>Diagrama!G6</f>
        <v>16</v>
      </c>
      <c r="AC61" s="180">
        <f>Diagrama!H6</f>
        <v>19</v>
      </c>
      <c r="AD61" s="180">
        <f>Diagrama!I6</f>
        <v>22</v>
      </c>
      <c r="AE61" s="180">
        <f>Diagrama!J6</f>
        <v>25</v>
      </c>
      <c r="AF61" s="180">
        <f>Diagrama!K6</f>
        <v>28</v>
      </c>
      <c r="AG61" s="180">
        <f>Diagrama!L6</f>
        <v>31</v>
      </c>
      <c r="AH61" s="178">
        <v>0.25</v>
      </c>
    </row>
    <row r="62" spans="17:34" x14ac:dyDescent="0.2"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2</v>
      </c>
      <c r="X62" s="180">
        <f>Diagrama!C7</f>
        <v>5</v>
      </c>
      <c r="Y62" s="180">
        <f>Diagrama!D7</f>
        <v>8</v>
      </c>
      <c r="Z62" s="180">
        <f>Diagrama!E7</f>
        <v>11</v>
      </c>
      <c r="AA62" s="180">
        <f>Diagrama!F7</f>
        <v>14</v>
      </c>
      <c r="AB62" s="180">
        <f>Diagrama!G7</f>
        <v>17</v>
      </c>
      <c r="AC62" s="180">
        <f>Diagrama!H7</f>
        <v>20</v>
      </c>
      <c r="AD62" s="180">
        <f>Diagrama!I7</f>
        <v>23</v>
      </c>
      <c r="AE62" s="180">
        <f>Diagrama!J7</f>
        <v>26</v>
      </c>
      <c r="AF62" s="180">
        <f>Diagrama!K7</f>
        <v>29</v>
      </c>
      <c r="AG62" s="180">
        <f>Diagrama!L7</f>
        <v>32</v>
      </c>
      <c r="AH62" s="178">
        <v>0</v>
      </c>
    </row>
    <row r="63" spans="17:34" x14ac:dyDescent="0.2"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3</v>
      </c>
      <c r="X63" s="180">
        <f>Diagrama!C8</f>
        <v>6</v>
      </c>
      <c r="Y63" s="180">
        <f>Diagrama!D8</f>
        <v>9</v>
      </c>
      <c r="Z63" s="180">
        <f>Diagrama!E8</f>
        <v>12</v>
      </c>
      <c r="AA63" s="180">
        <f>Diagrama!F8</f>
        <v>15</v>
      </c>
      <c r="AB63" s="180">
        <f>Diagrama!G8</f>
        <v>18</v>
      </c>
      <c r="AC63" s="180">
        <f>Diagrama!H8</f>
        <v>21</v>
      </c>
      <c r="AD63" s="180">
        <f>Diagrama!I8</f>
        <v>24</v>
      </c>
      <c r="AE63" s="180">
        <f>Diagrama!J8</f>
        <v>27</v>
      </c>
      <c r="AF63" s="180">
        <f>Diagrama!K8</f>
        <v>30</v>
      </c>
      <c r="AG63" s="180">
        <f>Diagrama!L8</f>
        <v>33</v>
      </c>
      <c r="AH63" s="178">
        <v>0.75</v>
      </c>
    </row>
    <row r="64" spans="17:34" x14ac:dyDescent="0.2"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6</v>
      </c>
      <c r="X64" s="180">
        <f>Diagrama!C9</f>
        <v>15</v>
      </c>
      <c r="Y64" s="180">
        <f>Diagrama!D9</f>
        <v>24</v>
      </c>
      <c r="Z64" s="180">
        <f>Diagrama!E9</f>
        <v>33</v>
      </c>
      <c r="AA64" s="180">
        <f>Diagrama!F9</f>
        <v>42</v>
      </c>
      <c r="AB64" s="180">
        <f>Diagrama!G9</f>
        <v>51</v>
      </c>
      <c r="AC64" s="180">
        <f>Diagrama!H9</f>
        <v>60</v>
      </c>
      <c r="AD64" s="180">
        <f>Diagrama!I9</f>
        <v>69</v>
      </c>
      <c r="AE64" s="180">
        <f>Diagrama!J9</f>
        <v>78</v>
      </c>
      <c r="AF64" s="180">
        <f>Diagrama!K9</f>
        <v>87</v>
      </c>
      <c r="AG64" s="180">
        <f>Diagrama!L9</f>
        <v>96</v>
      </c>
    </row>
    <row r="65" spans="18:33" x14ac:dyDescent="0.2"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2</v>
      </c>
      <c r="X65" s="183">
        <f>Diagrama!C20</f>
        <v>2.5</v>
      </c>
      <c r="Y65" s="183">
        <f>Diagrama!D20</f>
        <v>2.6666666666666665</v>
      </c>
      <c r="Z65" s="183">
        <f>Diagrama!E20</f>
        <v>2.75</v>
      </c>
      <c r="AA65" s="183">
        <f>Diagrama!F20</f>
        <v>2.8</v>
      </c>
      <c r="AB65" s="183">
        <f>Diagrama!G20</f>
        <v>2.833333333333333</v>
      </c>
      <c r="AC65" s="183">
        <f>Diagrama!H20</f>
        <v>2.8571428571428572</v>
      </c>
      <c r="AD65" s="183">
        <f>Diagrama!I20</f>
        <v>2.875</v>
      </c>
      <c r="AE65" s="183">
        <f>Diagrama!J20</f>
        <v>2.8888888888888888</v>
      </c>
      <c r="AF65" s="183">
        <f>Diagrama!K20</f>
        <v>2.9</v>
      </c>
      <c r="AG65" s="183">
        <f>Diagrama!L20</f>
        <v>2.9090909090909092</v>
      </c>
    </row>
    <row r="66" spans="18:33" x14ac:dyDescent="0.2"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</v>
      </c>
      <c r="X66" s="183">
        <f>Diagrama!C21</f>
        <v>0.66666666666666674</v>
      </c>
      <c r="Y66" s="183">
        <f>Diagrama!D21</f>
        <v>0.6</v>
      </c>
      <c r="Z66" s="183">
        <f>Diagrama!E21</f>
        <v>0.57142857142857151</v>
      </c>
      <c r="AA66" s="183">
        <f>Diagrama!F21</f>
        <v>0.55555555555555558</v>
      </c>
      <c r="AB66" s="183">
        <f>Diagrama!G21</f>
        <v>0.54545454545454553</v>
      </c>
      <c r="AC66" s="183">
        <f>Diagrama!H21</f>
        <v>0.53846153846153844</v>
      </c>
      <c r="AD66" s="183">
        <f>Diagrama!I21</f>
        <v>0.53333333333333333</v>
      </c>
      <c r="AE66" s="183">
        <f>Diagrama!J21</f>
        <v>0.52941176470588236</v>
      </c>
      <c r="AF66" s="183">
        <f>Diagrama!K21</f>
        <v>0.52631578947368429</v>
      </c>
      <c r="AG66" s="183">
        <f>Diagrama!L21</f>
        <v>0.52380952380952384</v>
      </c>
    </row>
    <row r="67" spans="18:33" x14ac:dyDescent="0.2"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5.0000000000000009</v>
      </c>
      <c r="X67" s="183">
        <f>Diagrama!C22</f>
        <v>2.7500000000000004</v>
      </c>
      <c r="Y67" s="183">
        <f>Diagrama!D22</f>
        <v>2.4285714285714284</v>
      </c>
      <c r="Z67" s="183">
        <f>Diagrama!E22</f>
        <v>2.3000000000000003</v>
      </c>
      <c r="AA67" s="183">
        <f>Diagrama!F22</f>
        <v>2.2307692307692308</v>
      </c>
      <c r="AB67" s="183">
        <f>Diagrama!G22</f>
        <v>2.1875</v>
      </c>
      <c r="AC67" s="183">
        <f>Diagrama!H22</f>
        <v>2.1578947368421053</v>
      </c>
      <c r="AD67" s="183">
        <f>Diagrama!I22</f>
        <v>2.1363636363636367</v>
      </c>
      <c r="AE67" s="183">
        <f>Diagrama!J22</f>
        <v>2.12</v>
      </c>
      <c r="AF67" s="183">
        <f>Diagrama!K22</f>
        <v>2.1071428571428572</v>
      </c>
      <c r="AG67" s="183">
        <f>Diagrama!L22</f>
        <v>2.0967741935483866</v>
      </c>
    </row>
    <row r="68" spans="18:33" x14ac:dyDescent="0.2"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0.39999999999999991</v>
      </c>
      <c r="X68" s="183">
        <f>Diagrama!C23</f>
        <v>0.90909090909090895</v>
      </c>
      <c r="Y68" s="183">
        <f>Diagrama!D23</f>
        <v>1.0980392156862746</v>
      </c>
      <c r="Z68" s="183">
        <f>Diagrama!E23</f>
        <v>1.1956521739130432</v>
      </c>
      <c r="AA68" s="183">
        <f>Diagrama!F23</f>
        <v>1.2551724137931033</v>
      </c>
      <c r="AB68" s="183">
        <f>Diagrama!G23</f>
        <v>1.2952380952380951</v>
      </c>
      <c r="AC68" s="183">
        <f>Diagrama!H23</f>
        <v>1.3240418118466899</v>
      </c>
      <c r="AD68" s="183">
        <f>Diagrama!I23</f>
        <v>1.3457446808510636</v>
      </c>
      <c r="AE68" s="183">
        <f>Diagrama!J23</f>
        <v>1.3626834381551363</v>
      </c>
      <c r="AF68" s="183">
        <f>Diagrama!K23</f>
        <v>1.3762711864406778</v>
      </c>
      <c r="AG68" s="183">
        <f>Diagrama!L23</f>
        <v>1.3874125874125878</v>
      </c>
    </row>
    <row r="69" spans="18:33" x14ac:dyDescent="0.2"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16.666666666666668</v>
      </c>
      <c r="X69" s="185">
        <f t="shared" si="0"/>
        <v>26.666666666666668</v>
      </c>
      <c r="Y69" s="185">
        <f t="shared" si="0"/>
        <v>29.166666666666668</v>
      </c>
      <c r="Z69" s="185">
        <f t="shared" si="0"/>
        <v>30.303030303030305</v>
      </c>
      <c r="AA69" s="185">
        <f t="shared" si="0"/>
        <v>30.952380952380953</v>
      </c>
      <c r="AB69" s="185">
        <f t="shared" si="0"/>
        <v>31.372549019607842</v>
      </c>
      <c r="AC69" s="185">
        <f>100*AC61/AC64</f>
        <v>31.666666666666668</v>
      </c>
      <c r="AD69" s="185">
        <f>100*AD61/AD64</f>
        <v>31.884057971014492</v>
      </c>
      <c r="AE69" s="185">
        <f>100*AE61/AE64</f>
        <v>32.051282051282051</v>
      </c>
      <c r="AF69" s="185">
        <f>100*AF61/AF64</f>
        <v>32.183908045977013</v>
      </c>
      <c r="AG69" s="185">
        <f>100*AG61/AG64</f>
        <v>32.291666666666664</v>
      </c>
    </row>
    <row r="70" spans="18:33" x14ac:dyDescent="0.2">
      <c r="S70" s="177" t="s">
        <v>74</v>
      </c>
      <c r="T70" s="179">
        <v>0</v>
      </c>
      <c r="U70" s="179">
        <v>0</v>
      </c>
      <c r="V70" s="179">
        <v>0</v>
      </c>
    </row>
    <row r="71" spans="18:33" x14ac:dyDescent="0.2">
      <c r="S71" s="177" t="s">
        <v>75</v>
      </c>
    </row>
    <row r="72" spans="18:33" x14ac:dyDescent="0.2"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7">
        <f>IF(T72,1,0)</f>
        <v>0</v>
      </c>
      <c r="X72" s="178"/>
      <c r="Y72" s="178"/>
    </row>
    <row r="73" spans="18:33" x14ac:dyDescent="0.2">
      <c r="T73" s="186"/>
    </row>
    <row r="74" spans="18:33" x14ac:dyDescent="0.2">
      <c r="T74" s="186"/>
    </row>
    <row r="75" spans="18:33" x14ac:dyDescent="0.2">
      <c r="T75" s="18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topLeftCell="A982" zoomScaleNormal="100" workbookViewId="0">
      <selection activeCell="B100" sqref="B100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199</v>
      </c>
      <c r="C2" s="205"/>
      <c r="E2" s="205" t="s">
        <v>118</v>
      </c>
      <c r="G2" s="205">
        <v>1</v>
      </c>
      <c r="H2" s="205" t="s">
        <v>12</v>
      </c>
      <c r="I2" s="205">
        <v>0.16666666666666666</v>
      </c>
    </row>
    <row r="3" spans="1:14" x14ac:dyDescent="0.2">
      <c r="A3" s="205">
        <v>1</v>
      </c>
      <c r="B3" s="205" t="s">
        <v>199</v>
      </c>
      <c r="C3" s="205"/>
      <c r="E3" s="205" t="s">
        <v>119</v>
      </c>
      <c r="G3" s="205">
        <v>2</v>
      </c>
      <c r="H3" s="205" t="s">
        <v>13</v>
      </c>
      <c r="I3" s="205">
        <v>0.33333333333333331</v>
      </c>
    </row>
    <row r="4" spans="1:14" x14ac:dyDescent="0.2">
      <c r="A4" s="205">
        <v>1</v>
      </c>
      <c r="B4" s="205" t="s">
        <v>199</v>
      </c>
      <c r="C4" s="205"/>
      <c r="E4" s="205" t="s">
        <v>120</v>
      </c>
      <c r="G4" s="205">
        <v>3</v>
      </c>
      <c r="H4" s="205" t="s">
        <v>14</v>
      </c>
      <c r="I4" s="205">
        <v>0.5</v>
      </c>
    </row>
    <row r="5" spans="1:14" x14ac:dyDescent="0.2">
      <c r="A5" s="205"/>
      <c r="C5" s="205"/>
      <c r="E5" s="205" t="s">
        <v>125</v>
      </c>
      <c r="G5" s="205">
        <v>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200</v>
      </c>
      <c r="C7" s="205"/>
      <c r="E7" s="205" t="s">
        <v>118</v>
      </c>
      <c r="G7" s="205">
        <v>4</v>
      </c>
      <c r="H7" s="205" t="s">
        <v>12</v>
      </c>
      <c r="I7" s="205">
        <v>0.26666666666666666</v>
      </c>
    </row>
    <row r="8" spans="1:14" x14ac:dyDescent="0.2">
      <c r="A8" s="205">
        <v>2</v>
      </c>
      <c r="B8" s="205" t="s">
        <v>200</v>
      </c>
      <c r="C8" s="205"/>
      <c r="E8" s="205" t="s">
        <v>119</v>
      </c>
      <c r="G8" s="205">
        <v>5</v>
      </c>
      <c r="H8" s="205" t="s">
        <v>13</v>
      </c>
      <c r="I8" s="205">
        <v>0.33333333333333331</v>
      </c>
    </row>
    <row r="9" spans="1:14" x14ac:dyDescent="0.2">
      <c r="A9" s="205">
        <v>2</v>
      </c>
      <c r="B9" s="205" t="s">
        <v>200</v>
      </c>
      <c r="C9" s="205"/>
      <c r="E9" s="205" t="s">
        <v>120</v>
      </c>
      <c r="G9" s="205">
        <v>6</v>
      </c>
      <c r="H9" s="205" t="s">
        <v>14</v>
      </c>
      <c r="I9" s="205">
        <v>0.4</v>
      </c>
    </row>
    <row r="10" spans="1:14" x14ac:dyDescent="0.2">
      <c r="A10" s="205"/>
      <c r="C10" s="205"/>
      <c r="E10" s="205" t="s">
        <v>125</v>
      </c>
      <c r="G10" s="205">
        <v>15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201</v>
      </c>
      <c r="C12" s="205"/>
      <c r="E12" s="205" t="s">
        <v>118</v>
      </c>
      <c r="G12" s="205">
        <v>7</v>
      </c>
      <c r="H12" s="205" t="s">
        <v>12</v>
      </c>
      <c r="I12" s="205">
        <v>0.29166666666666669</v>
      </c>
    </row>
    <row r="13" spans="1:14" x14ac:dyDescent="0.2">
      <c r="A13" s="205">
        <v>3</v>
      </c>
      <c r="B13" s="205" t="s">
        <v>201</v>
      </c>
      <c r="C13" s="205"/>
      <c r="E13" s="205" t="s">
        <v>119</v>
      </c>
      <c r="G13" s="205">
        <v>8</v>
      </c>
      <c r="H13" s="205" t="s">
        <v>13</v>
      </c>
      <c r="I13" s="205">
        <v>0.33333333333333331</v>
      </c>
    </row>
    <row r="14" spans="1:14" x14ac:dyDescent="0.2">
      <c r="A14" s="205">
        <v>3</v>
      </c>
      <c r="B14" s="205" t="s">
        <v>201</v>
      </c>
      <c r="C14" s="205"/>
      <c r="E14" s="205" t="s">
        <v>120</v>
      </c>
      <c r="G14" s="205">
        <v>9</v>
      </c>
      <c r="H14" s="205" t="s">
        <v>14</v>
      </c>
      <c r="I14" s="205">
        <v>0.375</v>
      </c>
    </row>
    <row r="15" spans="1:14" x14ac:dyDescent="0.2">
      <c r="A15" s="205"/>
      <c r="C15" s="205"/>
      <c r="E15" s="205" t="s">
        <v>125</v>
      </c>
      <c r="G15" s="205">
        <v>24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202</v>
      </c>
      <c r="C17" s="205"/>
      <c r="E17" s="205" t="s">
        <v>118</v>
      </c>
      <c r="G17" s="205">
        <v>10</v>
      </c>
      <c r="H17" s="205" t="s">
        <v>12</v>
      </c>
      <c r="I17" s="205">
        <v>0.30303030303030304</v>
      </c>
    </row>
    <row r="18" spans="1:9" x14ac:dyDescent="0.2">
      <c r="A18" s="205">
        <v>4</v>
      </c>
      <c r="B18" s="205" t="s">
        <v>202</v>
      </c>
      <c r="C18" s="205"/>
      <c r="E18" s="205" t="s">
        <v>119</v>
      </c>
      <c r="G18" s="205">
        <v>11</v>
      </c>
      <c r="H18" s="205" t="s">
        <v>13</v>
      </c>
      <c r="I18" s="205">
        <v>0.33333333333333331</v>
      </c>
    </row>
    <row r="19" spans="1:9" x14ac:dyDescent="0.2">
      <c r="A19" s="205">
        <v>4</v>
      </c>
      <c r="B19" s="205" t="s">
        <v>202</v>
      </c>
      <c r="C19" s="205"/>
      <c r="E19" s="205" t="s">
        <v>120</v>
      </c>
      <c r="G19" s="205">
        <v>12</v>
      </c>
      <c r="H19" s="205" t="s">
        <v>14</v>
      </c>
      <c r="I19" s="205">
        <v>0.36363636363636365</v>
      </c>
    </row>
    <row r="20" spans="1:9" x14ac:dyDescent="0.2">
      <c r="A20" s="205"/>
      <c r="C20" s="205"/>
      <c r="E20" s="205" t="s">
        <v>125</v>
      </c>
      <c r="G20" s="205">
        <v>33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203</v>
      </c>
      <c r="C22" s="205"/>
      <c r="E22" s="205" t="s">
        <v>118</v>
      </c>
      <c r="G22" s="205">
        <v>13</v>
      </c>
      <c r="H22" s="205" t="s">
        <v>12</v>
      </c>
      <c r="I22" s="205">
        <v>0.30952380952380953</v>
      </c>
    </row>
    <row r="23" spans="1:9" x14ac:dyDescent="0.2">
      <c r="A23" s="205">
        <v>5</v>
      </c>
      <c r="B23" s="205" t="s">
        <v>203</v>
      </c>
      <c r="C23" s="205"/>
      <c r="E23" s="205" t="s">
        <v>119</v>
      </c>
      <c r="G23" s="205">
        <v>14</v>
      </c>
      <c r="H23" s="205" t="s">
        <v>13</v>
      </c>
      <c r="I23" s="205">
        <v>0.33333333333333331</v>
      </c>
    </row>
    <row r="24" spans="1:9" x14ac:dyDescent="0.2">
      <c r="A24" s="205">
        <v>5</v>
      </c>
      <c r="B24" s="205" t="s">
        <v>203</v>
      </c>
      <c r="C24" s="205"/>
      <c r="E24" s="205" t="s">
        <v>120</v>
      </c>
      <c r="G24" s="205">
        <v>15</v>
      </c>
      <c r="H24" s="205" t="s">
        <v>14</v>
      </c>
      <c r="I24" s="205">
        <v>0.35714285714285715</v>
      </c>
    </row>
    <row r="25" spans="1:9" x14ac:dyDescent="0.2">
      <c r="A25" s="205"/>
      <c r="C25" s="205"/>
      <c r="E25" s="205" t="s">
        <v>125</v>
      </c>
      <c r="G25" s="205">
        <v>42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204</v>
      </c>
      <c r="C27" s="205"/>
      <c r="E27" s="205" t="s">
        <v>118</v>
      </c>
      <c r="G27" s="205">
        <v>16</v>
      </c>
      <c r="H27" s="205" t="s">
        <v>12</v>
      </c>
      <c r="I27" s="205">
        <v>0.31372549019607843</v>
      </c>
    </row>
    <row r="28" spans="1:9" x14ac:dyDescent="0.2">
      <c r="A28" s="205">
        <v>6</v>
      </c>
      <c r="B28" s="205" t="s">
        <v>204</v>
      </c>
      <c r="C28" s="205"/>
      <c r="E28" s="205" t="s">
        <v>119</v>
      </c>
      <c r="G28" s="205">
        <v>17</v>
      </c>
      <c r="H28" s="205" t="s">
        <v>13</v>
      </c>
      <c r="I28" s="205">
        <v>0.33333333333333331</v>
      </c>
    </row>
    <row r="29" spans="1:9" x14ac:dyDescent="0.2">
      <c r="A29" s="205">
        <v>6</v>
      </c>
      <c r="B29" s="205" t="s">
        <v>204</v>
      </c>
      <c r="C29" s="205"/>
      <c r="E29" s="205" t="s">
        <v>120</v>
      </c>
      <c r="G29" s="205">
        <v>18</v>
      </c>
      <c r="H29" s="205" t="s">
        <v>14</v>
      </c>
      <c r="I29" s="205">
        <v>0.35294117647058826</v>
      </c>
    </row>
    <row r="30" spans="1:9" x14ac:dyDescent="0.2">
      <c r="A30" s="205"/>
      <c r="C30" s="205"/>
      <c r="E30" s="205" t="s">
        <v>125</v>
      </c>
      <c r="G30" s="205">
        <v>51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205</v>
      </c>
      <c r="C32" s="205"/>
      <c r="E32" s="205" t="s">
        <v>118</v>
      </c>
      <c r="G32" s="205">
        <v>19</v>
      </c>
      <c r="H32" s="205" t="s">
        <v>12</v>
      </c>
      <c r="I32" s="205">
        <v>0.31666666666666665</v>
      </c>
    </row>
    <row r="33" spans="1:9" x14ac:dyDescent="0.2">
      <c r="A33" s="205">
        <v>7</v>
      </c>
      <c r="B33" s="205" t="s">
        <v>205</v>
      </c>
      <c r="C33" s="205"/>
      <c r="E33" s="205" t="s">
        <v>119</v>
      </c>
      <c r="G33" s="205">
        <v>20</v>
      </c>
      <c r="H33" s="205" t="s">
        <v>13</v>
      </c>
      <c r="I33" s="205">
        <v>0.33333333333333331</v>
      </c>
    </row>
    <row r="34" spans="1:9" x14ac:dyDescent="0.2">
      <c r="A34" s="205">
        <v>7</v>
      </c>
      <c r="B34" s="205" t="s">
        <v>205</v>
      </c>
      <c r="C34" s="205"/>
      <c r="E34" s="205" t="s">
        <v>120</v>
      </c>
      <c r="G34" s="205">
        <v>21</v>
      </c>
      <c r="H34" s="205" t="s">
        <v>14</v>
      </c>
      <c r="I34" s="205">
        <v>0.35</v>
      </c>
    </row>
    <row r="35" spans="1:9" x14ac:dyDescent="0.2">
      <c r="A35" s="205"/>
      <c r="C35" s="205"/>
      <c r="E35" s="205" t="s">
        <v>125</v>
      </c>
      <c r="G35" s="205">
        <v>60</v>
      </c>
      <c r="H35" s="205" t="s">
        <v>15</v>
      </c>
      <c r="I35" s="205">
        <v>0.99999999999999989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206</v>
      </c>
      <c r="C37" s="205"/>
      <c r="E37" s="205" t="s">
        <v>118</v>
      </c>
      <c r="G37" s="205">
        <v>22</v>
      </c>
      <c r="H37" s="205" t="s">
        <v>12</v>
      </c>
      <c r="I37" s="205">
        <v>0.3188405797101449</v>
      </c>
    </row>
    <row r="38" spans="1:9" x14ac:dyDescent="0.2">
      <c r="A38" s="205">
        <v>8</v>
      </c>
      <c r="B38" s="205" t="s">
        <v>206</v>
      </c>
      <c r="C38" s="205"/>
      <c r="E38" s="205" t="s">
        <v>119</v>
      </c>
      <c r="G38" s="205">
        <v>23</v>
      </c>
      <c r="H38" s="205" t="s">
        <v>13</v>
      </c>
      <c r="I38" s="205">
        <v>0.33333333333333331</v>
      </c>
    </row>
    <row r="39" spans="1:9" x14ac:dyDescent="0.2">
      <c r="A39" s="205">
        <v>8</v>
      </c>
      <c r="B39" s="205" t="s">
        <v>206</v>
      </c>
      <c r="C39" s="205"/>
      <c r="E39" s="205" t="s">
        <v>120</v>
      </c>
      <c r="G39" s="205">
        <v>24</v>
      </c>
      <c r="H39" s="205" t="s">
        <v>14</v>
      </c>
      <c r="I39" s="205">
        <v>0.34782608695652173</v>
      </c>
    </row>
    <row r="40" spans="1:9" x14ac:dyDescent="0.2">
      <c r="A40" s="205"/>
      <c r="C40" s="205"/>
      <c r="E40" s="205" t="s">
        <v>125</v>
      </c>
      <c r="G40" s="205">
        <v>69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207</v>
      </c>
      <c r="C42" s="205"/>
      <c r="E42" s="205" t="s">
        <v>118</v>
      </c>
      <c r="G42" s="205">
        <v>25</v>
      </c>
      <c r="H42" s="205" t="s">
        <v>12</v>
      </c>
      <c r="I42" s="205">
        <v>0.32051282051282054</v>
      </c>
    </row>
    <row r="43" spans="1:9" x14ac:dyDescent="0.2">
      <c r="A43" s="205">
        <v>9</v>
      </c>
      <c r="B43" s="205" t="s">
        <v>207</v>
      </c>
      <c r="C43" s="205"/>
      <c r="E43" s="205" t="s">
        <v>119</v>
      </c>
      <c r="G43" s="205">
        <v>26</v>
      </c>
      <c r="H43" s="205" t="s">
        <v>13</v>
      </c>
      <c r="I43" s="205">
        <v>0.33333333333333331</v>
      </c>
    </row>
    <row r="44" spans="1:9" x14ac:dyDescent="0.2">
      <c r="A44" s="205">
        <v>9</v>
      </c>
      <c r="B44" s="205" t="s">
        <v>207</v>
      </c>
      <c r="C44" s="205"/>
      <c r="E44" s="205" t="s">
        <v>120</v>
      </c>
      <c r="G44" s="205">
        <v>27</v>
      </c>
      <c r="H44" s="205" t="s">
        <v>14</v>
      </c>
      <c r="I44" s="205">
        <v>0.34615384615384615</v>
      </c>
    </row>
    <row r="45" spans="1:9" x14ac:dyDescent="0.2">
      <c r="A45" s="205"/>
      <c r="C45" s="205"/>
      <c r="E45" s="205" t="s">
        <v>125</v>
      </c>
      <c r="G45" s="205">
        <v>78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208</v>
      </c>
      <c r="C47" s="205"/>
      <c r="E47" s="205" t="s">
        <v>118</v>
      </c>
      <c r="G47" s="205">
        <v>28</v>
      </c>
      <c r="H47" s="205" t="s">
        <v>12</v>
      </c>
      <c r="I47" s="205">
        <v>0.32183908045977011</v>
      </c>
    </row>
    <row r="48" spans="1:9" x14ac:dyDescent="0.2">
      <c r="A48" s="205">
        <v>10</v>
      </c>
      <c r="B48" s="205" t="s">
        <v>208</v>
      </c>
      <c r="C48" s="205"/>
      <c r="E48" s="205" t="s">
        <v>119</v>
      </c>
      <c r="G48" s="205">
        <v>29</v>
      </c>
      <c r="H48" s="205" t="s">
        <v>13</v>
      </c>
      <c r="I48" s="205">
        <v>0.33333333333333331</v>
      </c>
    </row>
    <row r="49" spans="1:9" x14ac:dyDescent="0.2">
      <c r="A49" s="205">
        <v>10</v>
      </c>
      <c r="B49" s="205" t="s">
        <v>208</v>
      </c>
      <c r="C49" s="205"/>
      <c r="E49" s="205" t="s">
        <v>120</v>
      </c>
      <c r="G49" s="205">
        <v>30</v>
      </c>
      <c r="H49" s="205" t="s">
        <v>14</v>
      </c>
      <c r="I49" s="205">
        <v>0.34482758620689657</v>
      </c>
    </row>
    <row r="50" spans="1:9" x14ac:dyDescent="0.2">
      <c r="A50" s="205"/>
      <c r="C50" s="205"/>
      <c r="E50" s="205" t="s">
        <v>125</v>
      </c>
      <c r="G50" s="205">
        <v>87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209</v>
      </c>
      <c r="C52" s="205"/>
      <c r="E52" s="205" t="s">
        <v>118</v>
      </c>
      <c r="G52" s="205">
        <v>31</v>
      </c>
      <c r="H52" s="205" t="s">
        <v>12</v>
      </c>
      <c r="I52" s="205">
        <v>0.32291666666666669</v>
      </c>
    </row>
    <row r="53" spans="1:9" x14ac:dyDescent="0.2">
      <c r="A53" s="205">
        <v>11</v>
      </c>
      <c r="B53" s="205" t="s">
        <v>209</v>
      </c>
      <c r="C53" s="205"/>
      <c r="E53" s="205" t="s">
        <v>119</v>
      </c>
      <c r="G53" s="205">
        <v>32</v>
      </c>
      <c r="H53" s="205" t="s">
        <v>13</v>
      </c>
      <c r="I53" s="205">
        <v>0.33333333333333331</v>
      </c>
    </row>
    <row r="54" spans="1:9" x14ac:dyDescent="0.2">
      <c r="A54" s="205">
        <v>11</v>
      </c>
      <c r="B54" s="205" t="s">
        <v>209</v>
      </c>
      <c r="C54" s="205"/>
      <c r="E54" s="205" t="s">
        <v>120</v>
      </c>
      <c r="G54" s="205">
        <v>33</v>
      </c>
      <c r="H54" s="205" t="s">
        <v>14</v>
      </c>
      <c r="I54" s="205">
        <v>0.34375</v>
      </c>
    </row>
    <row r="55" spans="1:9" x14ac:dyDescent="0.2">
      <c r="A55" s="205"/>
      <c r="C55" s="205"/>
      <c r="E55" s="205" t="s">
        <v>125</v>
      </c>
      <c r="G55" s="205">
        <v>96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210</v>
      </c>
      <c r="C57" s="205"/>
      <c r="E57" s="205" t="s">
        <v>118</v>
      </c>
      <c r="G57" s="205">
        <v>34</v>
      </c>
      <c r="H57" s="205" t="s">
        <v>12</v>
      </c>
      <c r="I57" s="205">
        <v>0.32380952380952382</v>
      </c>
    </row>
    <row r="58" spans="1:9" x14ac:dyDescent="0.2">
      <c r="A58" s="205">
        <v>12</v>
      </c>
      <c r="B58" s="205" t="s">
        <v>210</v>
      </c>
      <c r="C58" s="205"/>
      <c r="E58" s="205" t="s">
        <v>119</v>
      </c>
      <c r="G58" s="205">
        <v>35</v>
      </c>
      <c r="H58" s="205" t="s">
        <v>13</v>
      </c>
      <c r="I58" s="205">
        <v>0.33333333333333331</v>
      </c>
    </row>
    <row r="59" spans="1:9" x14ac:dyDescent="0.2">
      <c r="A59" s="205">
        <v>12</v>
      </c>
      <c r="B59" s="205" t="s">
        <v>210</v>
      </c>
      <c r="C59" s="205"/>
      <c r="E59" s="205" t="s">
        <v>120</v>
      </c>
      <c r="G59" s="205">
        <v>36</v>
      </c>
      <c r="H59" s="205" t="s">
        <v>14</v>
      </c>
      <c r="I59" s="205">
        <v>0.34285714285714286</v>
      </c>
    </row>
    <row r="60" spans="1:9" x14ac:dyDescent="0.2">
      <c r="A60" s="205"/>
      <c r="C60" s="205"/>
      <c r="E60" s="205" t="s">
        <v>125</v>
      </c>
      <c r="G60" s="205">
        <v>105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126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126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126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125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127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127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127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125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225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225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225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125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>
        <v>16</v>
      </c>
      <c r="B77" s="205" t="s">
        <v>227</v>
      </c>
      <c r="C77" s="205"/>
      <c r="E77" s="205" t="s">
        <v>118</v>
      </c>
      <c r="G77" s="205">
        <v>46</v>
      </c>
      <c r="H77" s="205" t="s">
        <v>12</v>
      </c>
      <c r="I77" s="205">
        <v>0.32624113475177308</v>
      </c>
    </row>
    <row r="78" spans="1:9" x14ac:dyDescent="0.2">
      <c r="A78" s="205">
        <v>16</v>
      </c>
      <c r="B78" s="205" t="s">
        <v>227</v>
      </c>
      <c r="C78" s="205"/>
      <c r="E78" s="205" t="s">
        <v>119</v>
      </c>
      <c r="G78" s="205">
        <v>47</v>
      </c>
      <c r="H78" s="205" t="s">
        <v>13</v>
      </c>
      <c r="I78" s="205">
        <v>0.33333333333333331</v>
      </c>
    </row>
    <row r="79" spans="1:9" x14ac:dyDescent="0.2">
      <c r="A79" s="205">
        <v>16</v>
      </c>
      <c r="B79" s="205" t="s">
        <v>227</v>
      </c>
      <c r="C79" s="205"/>
      <c r="E79" s="205" t="s">
        <v>120</v>
      </c>
      <c r="G79" s="205">
        <v>48</v>
      </c>
      <c r="H79" s="205" t="s">
        <v>14</v>
      </c>
      <c r="I79" s="205">
        <v>0.34042553191489361</v>
      </c>
    </row>
    <row r="80" spans="1:9" x14ac:dyDescent="0.2">
      <c r="A80" s="205"/>
      <c r="C80" s="205"/>
      <c r="E80" s="205" t="s">
        <v>125</v>
      </c>
      <c r="G80" s="205">
        <v>141</v>
      </c>
      <c r="H80" s="205" t="s">
        <v>15</v>
      </c>
      <c r="I80" s="205">
        <v>1</v>
      </c>
    </row>
    <row r="81" spans="1:9" x14ac:dyDescent="0.2">
      <c r="A81" s="205"/>
      <c r="C81" s="205"/>
    </row>
    <row r="82" spans="1:9" x14ac:dyDescent="0.2">
      <c r="A82" s="205">
        <v>17</v>
      </c>
      <c r="B82" s="205" t="s">
        <v>228</v>
      </c>
      <c r="C82" s="205"/>
      <c r="E82" s="205" t="s">
        <v>118</v>
      </c>
      <c r="G82" s="205">
        <v>49</v>
      </c>
      <c r="H82" s="205" t="s">
        <v>12</v>
      </c>
      <c r="I82" s="205">
        <v>0.32666666666666666</v>
      </c>
    </row>
    <row r="83" spans="1:9" x14ac:dyDescent="0.2">
      <c r="A83" s="205">
        <v>17</v>
      </c>
      <c r="B83" s="205" t="s">
        <v>228</v>
      </c>
      <c r="C83" s="205"/>
      <c r="E83" s="205" t="s">
        <v>119</v>
      </c>
      <c r="G83" s="205">
        <v>50</v>
      </c>
      <c r="H83" s="205" t="s">
        <v>13</v>
      </c>
      <c r="I83" s="205">
        <v>0.33333333333333331</v>
      </c>
    </row>
    <row r="84" spans="1:9" x14ac:dyDescent="0.2">
      <c r="A84" s="205">
        <v>17</v>
      </c>
      <c r="B84" s="205" t="s">
        <v>228</v>
      </c>
      <c r="C84" s="205"/>
      <c r="E84" s="205" t="s">
        <v>120</v>
      </c>
      <c r="G84" s="205">
        <v>51</v>
      </c>
      <c r="H84" s="205" t="s">
        <v>14</v>
      </c>
      <c r="I84" s="205">
        <v>0.34</v>
      </c>
    </row>
    <row r="85" spans="1:9" x14ac:dyDescent="0.2">
      <c r="A85" s="205"/>
      <c r="C85" s="205"/>
      <c r="E85" s="205" t="s">
        <v>125</v>
      </c>
      <c r="G85" s="205">
        <v>150</v>
      </c>
      <c r="H85" s="205" t="s">
        <v>15</v>
      </c>
      <c r="I85" s="205">
        <v>1</v>
      </c>
    </row>
    <row r="86" spans="1:9" x14ac:dyDescent="0.2">
      <c r="A86" s="205"/>
      <c r="C86" s="205"/>
    </row>
    <row r="87" spans="1:9" x14ac:dyDescent="0.2">
      <c r="A87" s="205">
        <v>18</v>
      </c>
      <c r="B87" s="205" t="s">
        <v>230</v>
      </c>
      <c r="C87" s="205"/>
      <c r="E87" s="205" t="s">
        <v>118</v>
      </c>
      <c r="G87" s="205">
        <v>52</v>
      </c>
      <c r="H87" s="205" t="s">
        <v>12</v>
      </c>
      <c r="I87" s="205">
        <v>0.32704402515723269</v>
      </c>
    </row>
    <row r="88" spans="1:9" x14ac:dyDescent="0.2">
      <c r="A88" s="205">
        <v>18</v>
      </c>
      <c r="B88" s="205" t="s">
        <v>230</v>
      </c>
      <c r="C88" s="205"/>
      <c r="E88" s="205" t="s">
        <v>119</v>
      </c>
      <c r="G88" s="205">
        <v>53</v>
      </c>
      <c r="H88" s="205" t="s">
        <v>13</v>
      </c>
      <c r="I88" s="205">
        <v>0.33333333333333331</v>
      </c>
    </row>
    <row r="89" spans="1:9" x14ac:dyDescent="0.2">
      <c r="A89" s="205">
        <v>18</v>
      </c>
      <c r="B89" s="205" t="s">
        <v>230</v>
      </c>
      <c r="C89" s="205"/>
      <c r="E89" s="205" t="s">
        <v>120</v>
      </c>
      <c r="G89" s="205">
        <v>54</v>
      </c>
      <c r="H89" s="205" t="s">
        <v>14</v>
      </c>
      <c r="I89" s="205">
        <v>0.33962264150943394</v>
      </c>
    </row>
    <row r="90" spans="1:9" x14ac:dyDescent="0.2">
      <c r="A90" s="205"/>
      <c r="C90" s="205"/>
      <c r="E90" s="205" t="s">
        <v>125</v>
      </c>
      <c r="G90" s="205">
        <v>159</v>
      </c>
      <c r="H90" s="205" t="s">
        <v>15</v>
      </c>
      <c r="I90" s="205">
        <v>1</v>
      </c>
    </row>
    <row r="91" spans="1:9" x14ac:dyDescent="0.2">
      <c r="A91" s="205"/>
      <c r="C91" s="205"/>
    </row>
    <row r="92" spans="1:9" x14ac:dyDescent="0.2">
      <c r="A92" s="205">
        <v>19</v>
      </c>
      <c r="B92" s="205" t="s">
        <v>233</v>
      </c>
      <c r="C92" s="205"/>
      <c r="E92" s="205" t="s">
        <v>118</v>
      </c>
      <c r="G92" s="205">
        <v>55</v>
      </c>
      <c r="H92" s="205" t="s">
        <v>12</v>
      </c>
      <c r="I92" s="205">
        <v>0.32738095238095238</v>
      </c>
    </row>
    <row r="93" spans="1:9" x14ac:dyDescent="0.2">
      <c r="A93" s="205">
        <v>19</v>
      </c>
      <c r="B93" s="205" t="s">
        <v>233</v>
      </c>
      <c r="C93" s="205"/>
      <c r="E93" s="205" t="s">
        <v>119</v>
      </c>
      <c r="G93" s="205">
        <v>56</v>
      </c>
      <c r="H93" s="205" t="s">
        <v>13</v>
      </c>
      <c r="I93" s="205">
        <v>0.33333333333333331</v>
      </c>
    </row>
    <row r="94" spans="1:9" x14ac:dyDescent="0.2">
      <c r="A94" s="205">
        <v>19</v>
      </c>
      <c r="B94" s="205" t="s">
        <v>233</v>
      </c>
      <c r="C94" s="205"/>
      <c r="E94" s="205" t="s">
        <v>120</v>
      </c>
      <c r="G94" s="205">
        <v>57</v>
      </c>
      <c r="H94" s="205" t="s">
        <v>14</v>
      </c>
      <c r="I94" s="205">
        <v>0.3392857142857143</v>
      </c>
    </row>
    <row r="95" spans="1:9" x14ac:dyDescent="0.2">
      <c r="A95" s="205"/>
      <c r="C95" s="205"/>
      <c r="E95" s="205" t="s">
        <v>125</v>
      </c>
      <c r="G95" s="205">
        <v>168</v>
      </c>
      <c r="H95" s="205" t="s">
        <v>15</v>
      </c>
      <c r="I95" s="205">
        <v>1</v>
      </c>
    </row>
    <row r="96" spans="1:9" x14ac:dyDescent="0.2">
      <c r="A96" s="205"/>
      <c r="C96" s="205"/>
    </row>
    <row r="97" spans="1:9" x14ac:dyDescent="0.2">
      <c r="A97" s="205">
        <v>20</v>
      </c>
      <c r="B97" s="205" t="s">
        <v>235</v>
      </c>
      <c r="C97" s="205"/>
      <c r="E97" s="205" t="s">
        <v>118</v>
      </c>
      <c r="G97" s="205">
        <v>58</v>
      </c>
      <c r="H97" s="205" t="s">
        <v>12</v>
      </c>
      <c r="I97" s="205">
        <v>0.32768361581920902</v>
      </c>
    </row>
    <row r="98" spans="1:9" x14ac:dyDescent="0.2">
      <c r="A98" s="205">
        <v>20</v>
      </c>
      <c r="B98" s="205" t="s">
        <v>235</v>
      </c>
      <c r="C98" s="205"/>
      <c r="E98" s="205" t="s">
        <v>119</v>
      </c>
      <c r="G98" s="205">
        <v>59</v>
      </c>
      <c r="H98" s="205" t="s">
        <v>13</v>
      </c>
      <c r="I98" s="205">
        <v>0.33333333333333331</v>
      </c>
    </row>
    <row r="99" spans="1:9" x14ac:dyDescent="0.2">
      <c r="A99" s="205">
        <v>20</v>
      </c>
      <c r="B99" s="205" t="s">
        <v>235</v>
      </c>
      <c r="C99" s="205"/>
      <c r="E99" s="205" t="s">
        <v>120</v>
      </c>
      <c r="G99" s="205">
        <v>60</v>
      </c>
      <c r="H99" s="205" t="s">
        <v>14</v>
      </c>
      <c r="I99" s="205">
        <v>0.33898305084745761</v>
      </c>
    </row>
    <row r="100" spans="1:9" x14ac:dyDescent="0.2">
      <c r="A100" s="205"/>
      <c r="C100" s="205"/>
      <c r="E100" s="205" t="s">
        <v>125</v>
      </c>
      <c r="G100" s="205">
        <v>177</v>
      </c>
      <c r="H100" s="205" t="s">
        <v>15</v>
      </c>
      <c r="I100" s="205">
        <v>1</v>
      </c>
    </row>
    <row r="101" spans="1:9" x14ac:dyDescent="0.2">
      <c r="A101" s="205"/>
      <c r="C101" s="205"/>
    </row>
    <row r="102" spans="1:9" x14ac:dyDescent="0.2">
      <c r="A102" s="205">
        <v>21</v>
      </c>
      <c r="B102" s="205" t="s">
        <v>237</v>
      </c>
      <c r="C102" s="205"/>
      <c r="E102" s="205" t="s">
        <v>118</v>
      </c>
      <c r="G102" s="205">
        <v>61</v>
      </c>
      <c r="H102" s="205" t="s">
        <v>12</v>
      </c>
      <c r="I102" s="205">
        <v>0.32795698924731181</v>
      </c>
    </row>
    <row r="103" spans="1:9" x14ac:dyDescent="0.2">
      <c r="A103" s="205">
        <v>21</v>
      </c>
      <c r="B103" s="205" t="s">
        <v>237</v>
      </c>
      <c r="C103" s="205"/>
      <c r="E103" s="205" t="s">
        <v>119</v>
      </c>
      <c r="G103" s="205">
        <v>62</v>
      </c>
      <c r="H103" s="205" t="s">
        <v>13</v>
      </c>
      <c r="I103" s="205">
        <v>0.33333333333333331</v>
      </c>
    </row>
    <row r="104" spans="1:9" x14ac:dyDescent="0.2">
      <c r="A104" s="205">
        <v>21</v>
      </c>
      <c r="B104" s="205" t="s">
        <v>237</v>
      </c>
      <c r="C104" s="205"/>
      <c r="E104" s="205" t="s">
        <v>120</v>
      </c>
      <c r="G104" s="205">
        <v>63</v>
      </c>
      <c r="H104" s="205" t="s">
        <v>14</v>
      </c>
      <c r="I104" s="205">
        <v>0.33870967741935482</v>
      </c>
    </row>
    <row r="105" spans="1:9" x14ac:dyDescent="0.2">
      <c r="A105" s="205"/>
      <c r="C105" s="205"/>
      <c r="E105" s="205" t="s">
        <v>125</v>
      </c>
      <c r="G105" s="205">
        <v>186</v>
      </c>
      <c r="H105" s="205" t="s">
        <v>15</v>
      </c>
      <c r="I105" s="205">
        <v>1</v>
      </c>
    </row>
    <row r="106" spans="1:9" x14ac:dyDescent="0.2">
      <c r="A106" s="205"/>
      <c r="C106" s="205"/>
    </row>
    <row r="107" spans="1:9" x14ac:dyDescent="0.2">
      <c r="A107" s="205">
        <v>22</v>
      </c>
      <c r="B107" s="205" t="s">
        <v>239</v>
      </c>
      <c r="C107" s="205"/>
      <c r="E107" s="205" t="s">
        <v>118</v>
      </c>
      <c r="G107" s="205">
        <v>64</v>
      </c>
      <c r="H107" s="205" t="s">
        <v>12</v>
      </c>
      <c r="I107" s="205">
        <v>0.3282051282051282</v>
      </c>
    </row>
    <row r="108" spans="1:9" x14ac:dyDescent="0.2">
      <c r="A108" s="205">
        <v>22</v>
      </c>
      <c r="B108" s="205" t="s">
        <v>239</v>
      </c>
      <c r="C108" s="205"/>
      <c r="E108" s="205" t="s">
        <v>119</v>
      </c>
      <c r="G108" s="205">
        <v>65</v>
      </c>
      <c r="H108" s="205" t="s">
        <v>13</v>
      </c>
      <c r="I108" s="205">
        <v>0.33333333333333331</v>
      </c>
    </row>
    <row r="109" spans="1:9" x14ac:dyDescent="0.2">
      <c r="A109" s="205">
        <v>22</v>
      </c>
      <c r="B109" s="205" t="s">
        <v>239</v>
      </c>
      <c r="C109" s="205"/>
      <c r="E109" s="205" t="s">
        <v>120</v>
      </c>
      <c r="G109" s="205">
        <v>66</v>
      </c>
      <c r="H109" s="205" t="s">
        <v>14</v>
      </c>
      <c r="I109" s="205">
        <v>0.33846153846153848</v>
      </c>
    </row>
    <row r="110" spans="1:9" x14ac:dyDescent="0.2">
      <c r="A110" s="205"/>
      <c r="C110" s="205"/>
      <c r="E110" s="205" t="s">
        <v>125</v>
      </c>
      <c r="G110" s="205">
        <v>195</v>
      </c>
      <c r="H110" s="205" t="s">
        <v>15</v>
      </c>
      <c r="I110" s="205">
        <v>1</v>
      </c>
    </row>
    <row r="111" spans="1:9" x14ac:dyDescent="0.2">
      <c r="A111" s="205"/>
      <c r="C111" s="205"/>
    </row>
    <row r="112" spans="1:9" x14ac:dyDescent="0.2">
      <c r="A112" s="205">
        <v>23</v>
      </c>
      <c r="B112" s="205" t="s">
        <v>241</v>
      </c>
      <c r="C112" s="205"/>
      <c r="E112" s="205" t="s">
        <v>118</v>
      </c>
      <c r="G112" s="205">
        <v>67</v>
      </c>
      <c r="H112" s="205" t="s">
        <v>12</v>
      </c>
      <c r="I112" s="205">
        <v>0.32843137254901961</v>
      </c>
    </row>
    <row r="113" spans="1:9" x14ac:dyDescent="0.2">
      <c r="A113" s="205">
        <v>23</v>
      </c>
      <c r="B113" s="205" t="s">
        <v>241</v>
      </c>
      <c r="C113" s="205"/>
      <c r="E113" s="205" t="s">
        <v>119</v>
      </c>
      <c r="G113" s="205">
        <v>68</v>
      </c>
      <c r="H113" s="205" t="s">
        <v>13</v>
      </c>
      <c r="I113" s="205">
        <v>0.33333333333333331</v>
      </c>
    </row>
    <row r="114" spans="1:9" x14ac:dyDescent="0.2">
      <c r="A114" s="205">
        <v>23</v>
      </c>
      <c r="B114" s="205" t="s">
        <v>241</v>
      </c>
      <c r="C114" s="205"/>
      <c r="E114" s="205" t="s">
        <v>120</v>
      </c>
      <c r="G114" s="205">
        <v>69</v>
      </c>
      <c r="H114" s="205" t="s">
        <v>14</v>
      </c>
      <c r="I114" s="205">
        <v>0.33823529411764708</v>
      </c>
    </row>
    <row r="115" spans="1:9" x14ac:dyDescent="0.2">
      <c r="A115" s="205"/>
      <c r="C115" s="205"/>
      <c r="E115" s="205" t="s">
        <v>125</v>
      </c>
      <c r="G115" s="205">
        <v>204</v>
      </c>
      <c r="H115" s="205" t="s">
        <v>15</v>
      </c>
      <c r="I115" s="205">
        <v>1</v>
      </c>
    </row>
    <row r="116" spans="1:9" x14ac:dyDescent="0.2">
      <c r="A116" s="205"/>
      <c r="C116" s="205"/>
    </row>
    <row r="117" spans="1:9" x14ac:dyDescent="0.2">
      <c r="A117" s="205">
        <v>24</v>
      </c>
      <c r="B117" s="205" t="s">
        <v>243</v>
      </c>
      <c r="C117" s="205"/>
      <c r="E117" s="205" t="s">
        <v>118</v>
      </c>
      <c r="G117" s="205">
        <v>70</v>
      </c>
      <c r="H117" s="205" t="s">
        <v>12</v>
      </c>
      <c r="I117" s="205">
        <v>0.32863849765258218</v>
      </c>
    </row>
    <row r="118" spans="1:9" x14ac:dyDescent="0.2">
      <c r="A118" s="205">
        <v>24</v>
      </c>
      <c r="B118" s="205" t="s">
        <v>243</v>
      </c>
      <c r="C118" s="205"/>
      <c r="E118" s="205" t="s">
        <v>119</v>
      </c>
      <c r="G118" s="205">
        <v>71</v>
      </c>
      <c r="H118" s="205" t="s">
        <v>13</v>
      </c>
      <c r="I118" s="205">
        <v>0.33333333333333331</v>
      </c>
    </row>
    <row r="119" spans="1:9" x14ac:dyDescent="0.2">
      <c r="A119" s="205">
        <v>24</v>
      </c>
      <c r="B119" s="205" t="s">
        <v>243</v>
      </c>
      <c r="C119" s="205"/>
      <c r="E119" s="205" t="s">
        <v>120</v>
      </c>
      <c r="G119" s="205">
        <v>72</v>
      </c>
      <c r="H119" s="205" t="s">
        <v>14</v>
      </c>
      <c r="I119" s="205">
        <v>0.3380281690140845</v>
      </c>
    </row>
    <row r="120" spans="1:9" x14ac:dyDescent="0.2">
      <c r="A120" s="205"/>
      <c r="C120" s="205"/>
      <c r="E120" s="205" t="s">
        <v>125</v>
      </c>
      <c r="G120" s="205">
        <v>213</v>
      </c>
      <c r="H120" s="205" t="s">
        <v>15</v>
      </c>
      <c r="I120" s="205">
        <v>1</v>
      </c>
    </row>
    <row r="121" spans="1:9" x14ac:dyDescent="0.2">
      <c r="A121" s="205"/>
      <c r="C121" s="205"/>
    </row>
    <row r="122" spans="1:9" x14ac:dyDescent="0.2">
      <c r="A122" s="205">
        <v>25</v>
      </c>
      <c r="B122" s="205" t="s">
        <v>245</v>
      </c>
      <c r="C122" s="205"/>
      <c r="E122" s="205" t="s">
        <v>118</v>
      </c>
      <c r="G122" s="205">
        <v>73</v>
      </c>
      <c r="H122" s="205" t="s">
        <v>12</v>
      </c>
      <c r="I122" s="205">
        <v>0.32882882882882886</v>
      </c>
    </row>
    <row r="123" spans="1:9" x14ac:dyDescent="0.2">
      <c r="A123" s="205">
        <v>25</v>
      </c>
      <c r="B123" s="205" t="s">
        <v>245</v>
      </c>
      <c r="C123" s="205"/>
      <c r="E123" s="205" t="s">
        <v>119</v>
      </c>
      <c r="G123" s="205">
        <v>74</v>
      </c>
      <c r="H123" s="205" t="s">
        <v>13</v>
      </c>
      <c r="I123" s="205">
        <v>0.33333333333333331</v>
      </c>
    </row>
    <row r="124" spans="1:9" x14ac:dyDescent="0.2">
      <c r="A124" s="205">
        <v>25</v>
      </c>
      <c r="B124" s="205" t="s">
        <v>245</v>
      </c>
      <c r="C124" s="205"/>
      <c r="E124" s="205" t="s">
        <v>120</v>
      </c>
      <c r="G124" s="205">
        <v>75</v>
      </c>
      <c r="H124" s="205" t="s">
        <v>14</v>
      </c>
      <c r="I124" s="205">
        <v>0.33783783783783783</v>
      </c>
    </row>
    <row r="125" spans="1:9" x14ac:dyDescent="0.2">
      <c r="A125" s="205"/>
      <c r="C125" s="205"/>
      <c r="E125" s="205" t="s">
        <v>125</v>
      </c>
      <c r="G125" s="205">
        <v>222</v>
      </c>
      <c r="H125" s="205" t="s">
        <v>15</v>
      </c>
      <c r="I125" s="205">
        <v>1</v>
      </c>
    </row>
    <row r="126" spans="1:9" x14ac:dyDescent="0.2">
      <c r="A126" s="205"/>
      <c r="C126" s="205"/>
    </row>
    <row r="127" spans="1:9" x14ac:dyDescent="0.2">
      <c r="A127" s="205">
        <v>26</v>
      </c>
      <c r="B127" s="205" t="s">
        <v>247</v>
      </c>
      <c r="C127" s="205"/>
      <c r="E127" s="205" t="s">
        <v>118</v>
      </c>
      <c r="G127" s="205">
        <v>76</v>
      </c>
      <c r="H127" s="205" t="s">
        <v>12</v>
      </c>
      <c r="I127" s="205">
        <v>0.32900432900432902</v>
      </c>
    </row>
    <row r="128" spans="1:9" x14ac:dyDescent="0.2">
      <c r="A128" s="205">
        <v>26</v>
      </c>
      <c r="B128" s="205" t="s">
        <v>247</v>
      </c>
      <c r="C128" s="205"/>
      <c r="E128" s="205" t="s">
        <v>119</v>
      </c>
      <c r="G128" s="205">
        <v>77</v>
      </c>
      <c r="H128" s="205" t="s">
        <v>13</v>
      </c>
      <c r="I128" s="205">
        <v>0.33333333333333331</v>
      </c>
    </row>
    <row r="129" spans="1:9" x14ac:dyDescent="0.2">
      <c r="A129" s="205">
        <v>26</v>
      </c>
      <c r="B129" s="205" t="s">
        <v>247</v>
      </c>
      <c r="C129" s="205"/>
      <c r="E129" s="205" t="s">
        <v>120</v>
      </c>
      <c r="G129" s="205">
        <v>78</v>
      </c>
      <c r="H129" s="205" t="s">
        <v>14</v>
      </c>
      <c r="I129" s="205">
        <v>0.33766233766233766</v>
      </c>
    </row>
    <row r="130" spans="1:9" x14ac:dyDescent="0.2">
      <c r="A130" s="205"/>
      <c r="C130" s="205"/>
      <c r="E130" s="205" t="s">
        <v>125</v>
      </c>
      <c r="G130" s="205">
        <v>231</v>
      </c>
      <c r="H130" s="205" t="s">
        <v>15</v>
      </c>
      <c r="I130" s="205">
        <v>1</v>
      </c>
    </row>
    <row r="131" spans="1:9" x14ac:dyDescent="0.2">
      <c r="A131" s="205"/>
      <c r="C131" s="205"/>
    </row>
    <row r="132" spans="1:9" x14ac:dyDescent="0.2">
      <c r="A132" s="205">
        <v>27</v>
      </c>
      <c r="B132" s="205" t="s">
        <v>248</v>
      </c>
      <c r="C132" s="205"/>
      <c r="E132" s="205" t="s">
        <v>118</v>
      </c>
      <c r="G132" s="205">
        <v>79</v>
      </c>
      <c r="H132" s="205" t="s">
        <v>12</v>
      </c>
      <c r="I132" s="205">
        <v>0.32916666666666666</v>
      </c>
    </row>
    <row r="133" spans="1:9" x14ac:dyDescent="0.2">
      <c r="A133" s="205">
        <v>27</v>
      </c>
      <c r="B133" s="205" t="s">
        <v>248</v>
      </c>
      <c r="C133" s="205"/>
      <c r="E133" s="205" t="s">
        <v>119</v>
      </c>
      <c r="G133" s="205">
        <v>80</v>
      </c>
      <c r="H133" s="205" t="s">
        <v>13</v>
      </c>
      <c r="I133" s="205">
        <v>0.33333333333333331</v>
      </c>
    </row>
    <row r="134" spans="1:9" x14ac:dyDescent="0.2">
      <c r="A134" s="205">
        <v>27</v>
      </c>
      <c r="B134" s="205" t="s">
        <v>248</v>
      </c>
      <c r="C134" s="205"/>
      <c r="E134" s="205" t="s">
        <v>120</v>
      </c>
      <c r="G134" s="205">
        <v>81</v>
      </c>
      <c r="H134" s="205" t="s">
        <v>14</v>
      </c>
      <c r="I134" s="205">
        <v>0.33750000000000002</v>
      </c>
    </row>
    <row r="135" spans="1:9" x14ac:dyDescent="0.2">
      <c r="A135" s="205"/>
      <c r="C135" s="205"/>
      <c r="E135" s="205" t="s">
        <v>125</v>
      </c>
      <c r="G135" s="205">
        <v>240</v>
      </c>
      <c r="H135" s="205" t="s">
        <v>15</v>
      </c>
      <c r="I135" s="205">
        <v>1</v>
      </c>
    </row>
    <row r="136" spans="1:9" x14ac:dyDescent="0.2">
      <c r="A136" s="205"/>
      <c r="C136" s="205"/>
    </row>
    <row r="137" spans="1:9" x14ac:dyDescent="0.2">
      <c r="A137" s="205">
        <v>28</v>
      </c>
      <c r="B137" s="205" t="s">
        <v>249</v>
      </c>
      <c r="C137" s="205"/>
      <c r="E137" s="205" t="s">
        <v>118</v>
      </c>
      <c r="G137" s="205">
        <v>82</v>
      </c>
      <c r="H137" s="205" t="s">
        <v>12</v>
      </c>
      <c r="I137" s="205">
        <v>0.32931726907630521</v>
      </c>
    </row>
    <row r="138" spans="1:9" x14ac:dyDescent="0.2">
      <c r="A138" s="205">
        <v>28</v>
      </c>
      <c r="B138" s="205" t="s">
        <v>249</v>
      </c>
      <c r="C138" s="205"/>
      <c r="E138" s="205" t="s">
        <v>119</v>
      </c>
      <c r="G138" s="205">
        <v>83</v>
      </c>
      <c r="H138" s="205" t="s">
        <v>13</v>
      </c>
      <c r="I138" s="205">
        <v>0.33333333333333331</v>
      </c>
    </row>
    <row r="139" spans="1:9" x14ac:dyDescent="0.2">
      <c r="A139" s="205">
        <v>28</v>
      </c>
      <c r="B139" s="205" t="s">
        <v>249</v>
      </c>
      <c r="C139" s="205"/>
      <c r="E139" s="205" t="s">
        <v>120</v>
      </c>
      <c r="G139" s="205">
        <v>84</v>
      </c>
      <c r="H139" s="205" t="s">
        <v>14</v>
      </c>
      <c r="I139" s="205">
        <v>0.33734939759036142</v>
      </c>
    </row>
    <row r="140" spans="1:9" x14ac:dyDescent="0.2">
      <c r="A140" s="205"/>
      <c r="C140" s="205"/>
      <c r="E140" s="205" t="s">
        <v>125</v>
      </c>
      <c r="G140" s="205">
        <v>249</v>
      </c>
      <c r="H140" s="205" t="s">
        <v>15</v>
      </c>
      <c r="I140" s="205">
        <v>1</v>
      </c>
    </row>
    <row r="141" spans="1:9" x14ac:dyDescent="0.2">
      <c r="A141" s="205"/>
      <c r="C141" s="205"/>
    </row>
    <row r="142" spans="1:9" x14ac:dyDescent="0.2">
      <c r="A142" s="205">
        <v>29</v>
      </c>
      <c r="B142" s="205" t="s">
        <v>250</v>
      </c>
      <c r="C142" s="205"/>
      <c r="E142" s="205" t="s">
        <v>118</v>
      </c>
      <c r="G142" s="205">
        <v>85</v>
      </c>
      <c r="H142" s="205" t="s">
        <v>12</v>
      </c>
      <c r="I142" s="205">
        <v>0.32945736434108525</v>
      </c>
    </row>
    <row r="143" spans="1:9" x14ac:dyDescent="0.2">
      <c r="A143" s="205">
        <v>29</v>
      </c>
      <c r="B143" s="205" t="s">
        <v>250</v>
      </c>
      <c r="C143" s="205"/>
      <c r="E143" s="205" t="s">
        <v>119</v>
      </c>
      <c r="G143" s="205">
        <v>86</v>
      </c>
      <c r="H143" s="205" t="s">
        <v>13</v>
      </c>
      <c r="I143" s="205">
        <v>0.33333333333333331</v>
      </c>
    </row>
    <row r="144" spans="1:9" x14ac:dyDescent="0.2">
      <c r="A144" s="205">
        <v>29</v>
      </c>
      <c r="B144" s="205" t="s">
        <v>250</v>
      </c>
      <c r="C144" s="205"/>
      <c r="E144" s="205" t="s">
        <v>120</v>
      </c>
      <c r="G144" s="205">
        <v>87</v>
      </c>
      <c r="H144" s="205" t="s">
        <v>14</v>
      </c>
      <c r="I144" s="205">
        <v>0.33720930232558138</v>
      </c>
    </row>
    <row r="145" spans="1:9" x14ac:dyDescent="0.2">
      <c r="A145" s="205"/>
      <c r="C145" s="205"/>
      <c r="E145" s="205" t="s">
        <v>125</v>
      </c>
      <c r="G145" s="205">
        <v>258</v>
      </c>
      <c r="H145" s="205" t="s">
        <v>15</v>
      </c>
      <c r="I145" s="205">
        <v>1</v>
      </c>
    </row>
    <row r="146" spans="1:9" x14ac:dyDescent="0.2">
      <c r="A146" s="205"/>
      <c r="C146" s="205"/>
    </row>
    <row r="147" spans="1:9" x14ac:dyDescent="0.2">
      <c r="A147" s="205">
        <v>30</v>
      </c>
      <c r="B147" s="205" t="s">
        <v>251</v>
      </c>
      <c r="C147" s="205"/>
      <c r="E147" s="205" t="s">
        <v>118</v>
      </c>
      <c r="G147" s="205">
        <v>88</v>
      </c>
      <c r="H147" s="205" t="s">
        <v>12</v>
      </c>
      <c r="I147" s="205">
        <v>0.32958801498127338</v>
      </c>
    </row>
    <row r="148" spans="1:9" x14ac:dyDescent="0.2">
      <c r="A148" s="205">
        <v>30</v>
      </c>
      <c r="B148" s="205" t="s">
        <v>251</v>
      </c>
      <c r="C148" s="205"/>
      <c r="E148" s="205" t="s">
        <v>119</v>
      </c>
      <c r="G148" s="205">
        <v>89</v>
      </c>
      <c r="H148" s="205" t="s">
        <v>13</v>
      </c>
      <c r="I148" s="205">
        <v>0.33333333333333331</v>
      </c>
    </row>
    <row r="149" spans="1:9" x14ac:dyDescent="0.2">
      <c r="A149" s="205">
        <v>30</v>
      </c>
      <c r="B149" s="205" t="s">
        <v>251</v>
      </c>
      <c r="C149" s="205"/>
      <c r="E149" s="205" t="s">
        <v>120</v>
      </c>
      <c r="G149" s="205">
        <v>90</v>
      </c>
      <c r="H149" s="205" t="s">
        <v>14</v>
      </c>
      <c r="I149" s="205">
        <v>0.33707865168539325</v>
      </c>
    </row>
    <row r="150" spans="1:9" x14ac:dyDescent="0.2">
      <c r="A150" s="205"/>
      <c r="C150" s="205"/>
      <c r="E150" s="205" t="s">
        <v>125</v>
      </c>
      <c r="G150" s="205">
        <v>267</v>
      </c>
      <c r="H150" s="205" t="s">
        <v>15</v>
      </c>
      <c r="I150" s="205">
        <v>1</v>
      </c>
    </row>
    <row r="151" spans="1:9" x14ac:dyDescent="0.2">
      <c r="A151" s="205"/>
      <c r="C151" s="205"/>
    </row>
    <row r="152" spans="1:9" x14ac:dyDescent="0.2">
      <c r="A152" s="205">
        <v>31</v>
      </c>
      <c r="B152" s="205" t="s">
        <v>252</v>
      </c>
      <c r="C152" s="205"/>
      <c r="E152" s="205" t="s">
        <v>118</v>
      </c>
      <c r="G152" s="205">
        <v>91</v>
      </c>
      <c r="H152" s="205" t="s">
        <v>12</v>
      </c>
      <c r="I152" s="205">
        <v>0.32971014492753625</v>
      </c>
    </row>
    <row r="153" spans="1:9" x14ac:dyDescent="0.2">
      <c r="A153" s="205">
        <v>31</v>
      </c>
      <c r="B153" s="205" t="s">
        <v>252</v>
      </c>
      <c r="C153" s="205"/>
      <c r="E153" s="205" t="s">
        <v>119</v>
      </c>
      <c r="G153" s="205">
        <v>92</v>
      </c>
      <c r="H153" s="205" t="s">
        <v>13</v>
      </c>
      <c r="I153" s="205">
        <v>0.33333333333333331</v>
      </c>
    </row>
    <row r="154" spans="1:9" x14ac:dyDescent="0.2">
      <c r="A154" s="205">
        <v>31</v>
      </c>
      <c r="B154" s="205" t="s">
        <v>252</v>
      </c>
      <c r="C154" s="205"/>
      <c r="E154" s="205" t="s">
        <v>120</v>
      </c>
      <c r="G154" s="205">
        <v>93</v>
      </c>
      <c r="H154" s="205" t="s">
        <v>14</v>
      </c>
      <c r="I154" s="205">
        <v>0.33695652173913043</v>
      </c>
    </row>
    <row r="155" spans="1:9" x14ac:dyDescent="0.2">
      <c r="A155" s="205"/>
      <c r="C155" s="205"/>
      <c r="E155" s="205" t="s">
        <v>125</v>
      </c>
      <c r="G155" s="205">
        <v>276</v>
      </c>
      <c r="H155" s="205" t="s">
        <v>15</v>
      </c>
      <c r="I155" s="205">
        <v>1</v>
      </c>
    </row>
    <row r="156" spans="1:9" x14ac:dyDescent="0.2">
      <c r="A156" s="205"/>
      <c r="C156" s="205"/>
    </row>
    <row r="157" spans="1:9" x14ac:dyDescent="0.2">
      <c r="A157" s="205">
        <v>32</v>
      </c>
      <c r="B157" s="205" t="s">
        <v>253</v>
      </c>
      <c r="C157" s="205"/>
      <c r="E157" s="205" t="s">
        <v>118</v>
      </c>
      <c r="G157" s="205">
        <v>94</v>
      </c>
      <c r="H157" s="205" t="s">
        <v>12</v>
      </c>
      <c r="I157" s="205">
        <v>0.3298245614035088</v>
      </c>
    </row>
    <row r="158" spans="1:9" x14ac:dyDescent="0.2">
      <c r="A158" s="205">
        <v>32</v>
      </c>
      <c r="B158" s="205" t="s">
        <v>253</v>
      </c>
      <c r="C158" s="205"/>
      <c r="E158" s="205" t="s">
        <v>119</v>
      </c>
      <c r="G158" s="205">
        <v>95</v>
      </c>
      <c r="H158" s="205" t="s">
        <v>13</v>
      </c>
      <c r="I158" s="205">
        <v>0.33333333333333331</v>
      </c>
    </row>
    <row r="159" spans="1:9" x14ac:dyDescent="0.2">
      <c r="A159" s="205">
        <v>32</v>
      </c>
      <c r="B159" s="205" t="s">
        <v>253</v>
      </c>
      <c r="C159" s="205"/>
      <c r="E159" s="205" t="s">
        <v>120</v>
      </c>
      <c r="G159" s="205">
        <v>96</v>
      </c>
      <c r="H159" s="205" t="s">
        <v>14</v>
      </c>
      <c r="I159" s="205">
        <v>0.33684210526315789</v>
      </c>
    </row>
    <row r="160" spans="1:9" x14ac:dyDescent="0.2">
      <c r="A160" s="205"/>
      <c r="C160" s="205"/>
      <c r="E160" s="205" t="s">
        <v>125</v>
      </c>
      <c r="G160" s="205">
        <v>285</v>
      </c>
      <c r="H160" s="205" t="s">
        <v>15</v>
      </c>
      <c r="I160" s="205">
        <v>1</v>
      </c>
    </row>
    <row r="161" spans="1:9" x14ac:dyDescent="0.2">
      <c r="A161" s="205"/>
      <c r="C161" s="205"/>
    </row>
    <row r="162" spans="1:9" x14ac:dyDescent="0.2">
      <c r="A162" s="205">
        <v>33</v>
      </c>
      <c r="B162" s="205" t="s">
        <v>254</v>
      </c>
      <c r="C162" s="205"/>
      <c r="E162" s="205" t="s">
        <v>118</v>
      </c>
      <c r="G162" s="205">
        <v>97</v>
      </c>
      <c r="H162" s="205" t="s">
        <v>12</v>
      </c>
      <c r="I162" s="205">
        <v>0.32993197278911562</v>
      </c>
    </row>
    <row r="163" spans="1:9" x14ac:dyDescent="0.2">
      <c r="A163" s="205">
        <v>33</v>
      </c>
      <c r="B163" s="205" t="s">
        <v>254</v>
      </c>
      <c r="C163" s="205"/>
      <c r="E163" s="205" t="s">
        <v>119</v>
      </c>
      <c r="G163" s="205">
        <v>98</v>
      </c>
      <c r="H163" s="205" t="s">
        <v>13</v>
      </c>
      <c r="I163" s="205">
        <v>0.33333333333333331</v>
      </c>
    </row>
    <row r="164" spans="1:9" x14ac:dyDescent="0.2">
      <c r="A164" s="205">
        <v>33</v>
      </c>
      <c r="B164" s="205" t="s">
        <v>254</v>
      </c>
      <c r="C164" s="205"/>
      <c r="E164" s="205" t="s">
        <v>120</v>
      </c>
      <c r="G164" s="205">
        <v>99</v>
      </c>
      <c r="H164" s="205" t="s">
        <v>14</v>
      </c>
      <c r="I164" s="205">
        <v>0.33673469387755101</v>
      </c>
    </row>
    <row r="165" spans="1:9" x14ac:dyDescent="0.2">
      <c r="A165" s="205"/>
      <c r="C165" s="205"/>
      <c r="E165" s="205" t="s">
        <v>125</v>
      </c>
      <c r="G165" s="205">
        <v>294</v>
      </c>
      <c r="H165" s="205" t="s">
        <v>15</v>
      </c>
      <c r="I165" s="205">
        <v>1</v>
      </c>
    </row>
    <row r="166" spans="1:9" x14ac:dyDescent="0.2">
      <c r="A166" s="205"/>
      <c r="C166" s="205"/>
    </row>
    <row r="167" spans="1:9" x14ac:dyDescent="0.2">
      <c r="A167" s="205">
        <v>34</v>
      </c>
      <c r="B167" s="205" t="s">
        <v>255</v>
      </c>
      <c r="C167" s="205"/>
      <c r="E167" s="205" t="s">
        <v>118</v>
      </c>
      <c r="G167" s="205">
        <v>100</v>
      </c>
      <c r="H167" s="205" t="s">
        <v>12</v>
      </c>
      <c r="I167" s="205">
        <v>0.33003300330033003</v>
      </c>
    </row>
    <row r="168" spans="1:9" x14ac:dyDescent="0.2">
      <c r="A168" s="205">
        <v>34</v>
      </c>
      <c r="B168" s="205" t="s">
        <v>255</v>
      </c>
      <c r="C168" s="205"/>
      <c r="E168" s="205" t="s">
        <v>119</v>
      </c>
      <c r="G168" s="205">
        <v>101</v>
      </c>
      <c r="H168" s="205" t="s">
        <v>13</v>
      </c>
      <c r="I168" s="205">
        <v>0.33333333333333331</v>
      </c>
    </row>
    <row r="169" spans="1:9" x14ac:dyDescent="0.2">
      <c r="A169" s="205">
        <v>34</v>
      </c>
      <c r="B169" s="205" t="s">
        <v>255</v>
      </c>
      <c r="C169" s="205"/>
      <c r="E169" s="205" t="s">
        <v>120</v>
      </c>
      <c r="G169" s="205">
        <v>102</v>
      </c>
      <c r="H169" s="205" t="s">
        <v>14</v>
      </c>
      <c r="I169" s="205">
        <v>0.33663366336633666</v>
      </c>
    </row>
    <row r="170" spans="1:9" x14ac:dyDescent="0.2">
      <c r="A170" s="205"/>
      <c r="C170" s="205"/>
      <c r="E170" s="205" t="s">
        <v>125</v>
      </c>
      <c r="G170" s="205">
        <v>303</v>
      </c>
      <c r="H170" s="205" t="s">
        <v>15</v>
      </c>
      <c r="I170" s="205">
        <v>1</v>
      </c>
    </row>
    <row r="171" spans="1:9" x14ac:dyDescent="0.2">
      <c r="A171" s="205"/>
      <c r="C171" s="205"/>
    </row>
    <row r="172" spans="1:9" x14ac:dyDescent="0.2">
      <c r="A172" s="205">
        <v>35</v>
      </c>
      <c r="B172" s="205" t="s">
        <v>256</v>
      </c>
      <c r="C172" s="205"/>
      <c r="E172" s="205" t="s">
        <v>118</v>
      </c>
      <c r="G172" s="205">
        <v>103</v>
      </c>
      <c r="H172" s="205" t="s">
        <v>12</v>
      </c>
      <c r="I172" s="205">
        <v>0.33012820512820512</v>
      </c>
    </row>
    <row r="173" spans="1:9" x14ac:dyDescent="0.2">
      <c r="A173" s="205">
        <v>35</v>
      </c>
      <c r="B173" s="205" t="s">
        <v>256</v>
      </c>
      <c r="C173" s="205"/>
      <c r="E173" s="205" t="s">
        <v>119</v>
      </c>
      <c r="G173" s="205">
        <v>104</v>
      </c>
      <c r="H173" s="205" t="s">
        <v>13</v>
      </c>
      <c r="I173" s="205">
        <v>0.33333333333333331</v>
      </c>
    </row>
    <row r="174" spans="1:9" x14ac:dyDescent="0.2">
      <c r="A174" s="205">
        <v>35</v>
      </c>
      <c r="B174" s="205" t="s">
        <v>256</v>
      </c>
      <c r="C174" s="205"/>
      <c r="E174" s="205" t="s">
        <v>120</v>
      </c>
      <c r="G174" s="205">
        <v>105</v>
      </c>
      <c r="H174" s="205" t="s">
        <v>14</v>
      </c>
      <c r="I174" s="205">
        <v>0.33653846153846156</v>
      </c>
    </row>
    <row r="175" spans="1:9" x14ac:dyDescent="0.2">
      <c r="A175" s="205"/>
      <c r="C175" s="205"/>
      <c r="E175" s="205" t="s">
        <v>125</v>
      </c>
      <c r="G175" s="205">
        <v>312</v>
      </c>
      <c r="H175" s="205" t="s">
        <v>15</v>
      </c>
      <c r="I175" s="205">
        <v>1</v>
      </c>
    </row>
    <row r="176" spans="1:9" x14ac:dyDescent="0.2">
      <c r="A176" s="205"/>
      <c r="C176" s="205"/>
    </row>
    <row r="177" spans="1:9" x14ac:dyDescent="0.2">
      <c r="A177" s="205">
        <v>36</v>
      </c>
      <c r="B177" s="205" t="s">
        <v>257</v>
      </c>
      <c r="C177" s="205"/>
      <c r="E177" s="205" t="s">
        <v>118</v>
      </c>
      <c r="G177" s="205">
        <v>106</v>
      </c>
      <c r="H177" s="205" t="s">
        <v>12</v>
      </c>
      <c r="I177" s="205">
        <v>0.33021806853582553</v>
      </c>
    </row>
    <row r="178" spans="1:9" x14ac:dyDescent="0.2">
      <c r="A178" s="205">
        <v>36</v>
      </c>
      <c r="B178" s="205" t="s">
        <v>257</v>
      </c>
      <c r="C178" s="205"/>
      <c r="E178" s="205" t="s">
        <v>119</v>
      </c>
      <c r="G178" s="205">
        <v>107</v>
      </c>
      <c r="H178" s="205" t="s">
        <v>13</v>
      </c>
      <c r="I178" s="205">
        <v>0.33333333333333331</v>
      </c>
    </row>
    <row r="179" spans="1:9" x14ac:dyDescent="0.2">
      <c r="A179" s="205">
        <v>36</v>
      </c>
      <c r="B179" s="205" t="s">
        <v>257</v>
      </c>
      <c r="C179" s="205"/>
      <c r="E179" s="205" t="s">
        <v>120</v>
      </c>
      <c r="G179" s="205">
        <v>108</v>
      </c>
      <c r="H179" s="205" t="s">
        <v>14</v>
      </c>
      <c r="I179" s="205">
        <v>0.3364485981308411</v>
      </c>
    </row>
    <row r="180" spans="1:9" x14ac:dyDescent="0.2">
      <c r="A180" s="205"/>
      <c r="C180" s="205"/>
      <c r="E180" s="205" t="s">
        <v>125</v>
      </c>
      <c r="G180" s="205">
        <v>321</v>
      </c>
      <c r="H180" s="205" t="s">
        <v>15</v>
      </c>
      <c r="I180" s="205">
        <v>1</v>
      </c>
    </row>
    <row r="181" spans="1:9" x14ac:dyDescent="0.2">
      <c r="A181" s="205"/>
      <c r="C181" s="205"/>
    </row>
    <row r="182" spans="1:9" x14ac:dyDescent="0.2">
      <c r="A182" s="205">
        <v>37</v>
      </c>
      <c r="B182" s="205" t="s">
        <v>258</v>
      </c>
      <c r="C182" s="205"/>
      <c r="E182" s="205" t="s">
        <v>118</v>
      </c>
      <c r="G182" s="205">
        <v>109</v>
      </c>
      <c r="H182" s="205" t="s">
        <v>12</v>
      </c>
      <c r="I182" s="205">
        <v>0.33030303030303032</v>
      </c>
    </row>
    <row r="183" spans="1:9" x14ac:dyDescent="0.2">
      <c r="A183" s="205">
        <v>37</v>
      </c>
      <c r="B183" s="205" t="s">
        <v>258</v>
      </c>
      <c r="C183" s="205"/>
      <c r="E183" s="205" t="s">
        <v>119</v>
      </c>
      <c r="G183" s="205">
        <v>110</v>
      </c>
      <c r="H183" s="205" t="s">
        <v>13</v>
      </c>
      <c r="I183" s="205">
        <v>0.33333333333333331</v>
      </c>
    </row>
    <row r="184" spans="1:9" x14ac:dyDescent="0.2">
      <c r="A184" s="205">
        <v>37</v>
      </c>
      <c r="B184" s="205" t="s">
        <v>258</v>
      </c>
      <c r="C184" s="205"/>
      <c r="E184" s="205" t="s">
        <v>120</v>
      </c>
      <c r="G184" s="205">
        <v>111</v>
      </c>
      <c r="H184" s="205" t="s">
        <v>14</v>
      </c>
      <c r="I184" s="205">
        <v>0.33636363636363636</v>
      </c>
    </row>
    <row r="185" spans="1:9" x14ac:dyDescent="0.2">
      <c r="A185" s="205"/>
      <c r="C185" s="205"/>
      <c r="E185" s="205" t="s">
        <v>125</v>
      </c>
      <c r="G185" s="205">
        <v>330</v>
      </c>
      <c r="H185" s="205" t="s">
        <v>15</v>
      </c>
      <c r="I185" s="205">
        <v>1</v>
      </c>
    </row>
    <row r="186" spans="1:9" x14ac:dyDescent="0.2">
      <c r="A186" s="205"/>
      <c r="C186" s="205"/>
    </row>
    <row r="187" spans="1:9" x14ac:dyDescent="0.2">
      <c r="A187" s="205">
        <v>38</v>
      </c>
      <c r="B187" s="205" t="s">
        <v>259</v>
      </c>
      <c r="C187" s="205"/>
      <c r="E187" s="205" t="s">
        <v>118</v>
      </c>
      <c r="G187" s="205">
        <v>112</v>
      </c>
      <c r="H187" s="205" t="s">
        <v>12</v>
      </c>
      <c r="I187" s="205">
        <v>0.3303834808259587</v>
      </c>
    </row>
    <row r="188" spans="1:9" x14ac:dyDescent="0.2">
      <c r="A188" s="205">
        <v>38</v>
      </c>
      <c r="B188" s="205" t="s">
        <v>259</v>
      </c>
      <c r="C188" s="205"/>
      <c r="E188" s="205" t="s">
        <v>119</v>
      </c>
      <c r="G188" s="205">
        <v>113</v>
      </c>
      <c r="H188" s="205" t="s">
        <v>13</v>
      </c>
      <c r="I188" s="205">
        <v>0.33333333333333331</v>
      </c>
    </row>
    <row r="189" spans="1:9" x14ac:dyDescent="0.2">
      <c r="A189" s="205">
        <v>38</v>
      </c>
      <c r="B189" s="205" t="s">
        <v>259</v>
      </c>
      <c r="C189" s="205"/>
      <c r="E189" s="205" t="s">
        <v>120</v>
      </c>
      <c r="G189" s="205">
        <v>114</v>
      </c>
      <c r="H189" s="205" t="s">
        <v>14</v>
      </c>
      <c r="I189" s="205">
        <v>0.33628318584070799</v>
      </c>
    </row>
    <row r="190" spans="1:9" x14ac:dyDescent="0.2">
      <c r="A190" s="205"/>
      <c r="C190" s="205"/>
      <c r="E190" s="205" t="s">
        <v>125</v>
      </c>
      <c r="G190" s="205">
        <v>339</v>
      </c>
      <c r="H190" s="205" t="s">
        <v>15</v>
      </c>
      <c r="I190" s="205">
        <v>1</v>
      </c>
    </row>
    <row r="191" spans="1:9" x14ac:dyDescent="0.2">
      <c r="A191" s="205"/>
      <c r="C191" s="205"/>
    </row>
    <row r="192" spans="1:9" x14ac:dyDescent="0.2">
      <c r="A192" s="205">
        <v>39</v>
      </c>
      <c r="B192" s="205" t="s">
        <v>260</v>
      </c>
      <c r="C192" s="205"/>
      <c r="E192" s="205" t="s">
        <v>118</v>
      </c>
      <c r="G192" s="205">
        <v>115</v>
      </c>
      <c r="H192" s="205" t="s">
        <v>12</v>
      </c>
      <c r="I192" s="205">
        <v>0.33045977011494254</v>
      </c>
    </row>
    <row r="193" spans="1:9" x14ac:dyDescent="0.2">
      <c r="A193" s="205">
        <v>39</v>
      </c>
      <c r="B193" s="205" t="s">
        <v>260</v>
      </c>
      <c r="C193" s="205"/>
      <c r="E193" s="205" t="s">
        <v>119</v>
      </c>
      <c r="G193" s="205">
        <v>116</v>
      </c>
      <c r="H193" s="205" t="s">
        <v>13</v>
      </c>
      <c r="I193" s="205">
        <v>0.33333333333333331</v>
      </c>
    </row>
    <row r="194" spans="1:9" x14ac:dyDescent="0.2">
      <c r="A194" s="205">
        <v>39</v>
      </c>
      <c r="B194" s="205" t="s">
        <v>260</v>
      </c>
      <c r="C194" s="205"/>
      <c r="E194" s="205" t="s">
        <v>120</v>
      </c>
      <c r="G194" s="205">
        <v>117</v>
      </c>
      <c r="H194" s="205" t="s">
        <v>14</v>
      </c>
      <c r="I194" s="205">
        <v>0.33620689655172414</v>
      </c>
    </row>
    <row r="195" spans="1:9" x14ac:dyDescent="0.2">
      <c r="A195" s="205"/>
      <c r="C195" s="205"/>
      <c r="E195" s="205" t="s">
        <v>125</v>
      </c>
      <c r="G195" s="205">
        <v>348</v>
      </c>
      <c r="H195" s="205" t="s">
        <v>15</v>
      </c>
      <c r="I195" s="205">
        <v>1</v>
      </c>
    </row>
    <row r="196" spans="1:9" x14ac:dyDescent="0.2">
      <c r="A196" s="205"/>
      <c r="C196" s="205"/>
    </row>
    <row r="197" spans="1:9" x14ac:dyDescent="0.2">
      <c r="A197" s="205">
        <v>40</v>
      </c>
      <c r="B197" s="205" t="s">
        <v>261</v>
      </c>
      <c r="C197" s="205"/>
      <c r="E197" s="205" t="s">
        <v>118</v>
      </c>
      <c r="G197" s="205">
        <v>118</v>
      </c>
      <c r="H197" s="205" t="s">
        <v>12</v>
      </c>
      <c r="I197" s="205">
        <v>0.33053221288515405</v>
      </c>
    </row>
    <row r="198" spans="1:9" x14ac:dyDescent="0.2">
      <c r="A198" s="205">
        <v>40</v>
      </c>
      <c r="B198" s="205" t="s">
        <v>261</v>
      </c>
      <c r="C198" s="205"/>
      <c r="E198" s="205" t="s">
        <v>119</v>
      </c>
      <c r="G198" s="205">
        <v>119</v>
      </c>
      <c r="H198" s="205" t="s">
        <v>13</v>
      </c>
      <c r="I198" s="205">
        <v>0.33333333333333331</v>
      </c>
    </row>
    <row r="199" spans="1:9" x14ac:dyDescent="0.2">
      <c r="A199" s="205">
        <v>40</v>
      </c>
      <c r="B199" s="205" t="s">
        <v>261</v>
      </c>
      <c r="C199" s="205"/>
      <c r="E199" s="205" t="s">
        <v>120</v>
      </c>
      <c r="G199" s="205">
        <v>120</v>
      </c>
      <c r="H199" s="205" t="s">
        <v>14</v>
      </c>
      <c r="I199" s="205">
        <v>0.33613445378151263</v>
      </c>
    </row>
    <row r="200" spans="1:9" x14ac:dyDescent="0.2">
      <c r="A200" s="205"/>
      <c r="C200" s="205"/>
      <c r="E200" s="205" t="s">
        <v>125</v>
      </c>
      <c r="G200" s="205">
        <v>357</v>
      </c>
      <c r="H200" s="205" t="s">
        <v>15</v>
      </c>
      <c r="I200" s="205">
        <v>1</v>
      </c>
    </row>
    <row r="201" spans="1:9" x14ac:dyDescent="0.2">
      <c r="A201" s="205"/>
      <c r="C201" s="205"/>
    </row>
    <row r="202" spans="1:9" x14ac:dyDescent="0.2">
      <c r="A202" s="205">
        <v>41</v>
      </c>
      <c r="B202" s="205" t="s">
        <v>262</v>
      </c>
      <c r="C202" s="205"/>
      <c r="E202" s="205" t="s">
        <v>118</v>
      </c>
      <c r="G202" s="205">
        <v>121</v>
      </c>
      <c r="H202" s="205" t="s">
        <v>12</v>
      </c>
      <c r="I202" s="205">
        <v>0.33060109289617484</v>
      </c>
    </row>
    <row r="203" spans="1:9" x14ac:dyDescent="0.2">
      <c r="A203" s="205">
        <v>41</v>
      </c>
      <c r="B203" s="205" t="s">
        <v>262</v>
      </c>
      <c r="C203" s="205"/>
      <c r="E203" s="205" t="s">
        <v>119</v>
      </c>
      <c r="G203" s="205">
        <v>122</v>
      </c>
      <c r="H203" s="205" t="s">
        <v>13</v>
      </c>
      <c r="I203" s="205">
        <v>0.33333333333333331</v>
      </c>
    </row>
    <row r="204" spans="1:9" x14ac:dyDescent="0.2">
      <c r="A204" s="205">
        <v>41</v>
      </c>
      <c r="B204" s="205" t="s">
        <v>262</v>
      </c>
      <c r="C204" s="205"/>
      <c r="E204" s="205" t="s">
        <v>120</v>
      </c>
      <c r="G204" s="205">
        <v>123</v>
      </c>
      <c r="H204" s="205" t="s">
        <v>14</v>
      </c>
      <c r="I204" s="205">
        <v>0.33606557377049179</v>
      </c>
    </row>
    <row r="205" spans="1:9" x14ac:dyDescent="0.2">
      <c r="A205" s="205"/>
      <c r="C205" s="205"/>
      <c r="E205" s="205" t="s">
        <v>125</v>
      </c>
      <c r="G205" s="205">
        <v>366</v>
      </c>
      <c r="H205" s="205" t="s">
        <v>15</v>
      </c>
      <c r="I205" s="205">
        <v>1</v>
      </c>
    </row>
    <row r="206" spans="1:9" x14ac:dyDescent="0.2">
      <c r="A206" s="205"/>
      <c r="C206" s="205"/>
    </row>
    <row r="207" spans="1:9" x14ac:dyDescent="0.2">
      <c r="A207" s="205">
        <v>42</v>
      </c>
      <c r="B207" s="205" t="s">
        <v>263</v>
      </c>
      <c r="C207" s="205"/>
      <c r="E207" s="205" t="s">
        <v>118</v>
      </c>
      <c r="G207" s="205">
        <v>124</v>
      </c>
      <c r="H207" s="205" t="s">
        <v>12</v>
      </c>
      <c r="I207" s="205">
        <v>0.33066666666666666</v>
      </c>
    </row>
    <row r="208" spans="1:9" x14ac:dyDescent="0.2">
      <c r="A208" s="205">
        <v>42</v>
      </c>
      <c r="B208" s="205" t="s">
        <v>263</v>
      </c>
      <c r="C208" s="205"/>
      <c r="E208" s="205" t="s">
        <v>119</v>
      </c>
      <c r="G208" s="205">
        <v>125</v>
      </c>
      <c r="H208" s="205" t="s">
        <v>13</v>
      </c>
      <c r="I208" s="205">
        <v>0.33333333333333331</v>
      </c>
    </row>
    <row r="209" spans="1:9" x14ac:dyDescent="0.2">
      <c r="A209" s="205">
        <v>42</v>
      </c>
      <c r="B209" s="205" t="s">
        <v>263</v>
      </c>
      <c r="C209" s="205"/>
      <c r="E209" s="205" t="s">
        <v>120</v>
      </c>
      <c r="G209" s="205">
        <v>126</v>
      </c>
      <c r="H209" s="205" t="s">
        <v>14</v>
      </c>
      <c r="I209" s="205">
        <v>0.33600000000000002</v>
      </c>
    </row>
    <row r="210" spans="1:9" x14ac:dyDescent="0.2">
      <c r="A210" s="205"/>
      <c r="C210" s="205"/>
      <c r="E210" s="205" t="s">
        <v>125</v>
      </c>
      <c r="G210" s="205">
        <v>375</v>
      </c>
      <c r="H210" s="205" t="s">
        <v>15</v>
      </c>
      <c r="I210" s="205">
        <v>1</v>
      </c>
    </row>
    <row r="211" spans="1:9" x14ac:dyDescent="0.2">
      <c r="A211" s="205"/>
      <c r="C211" s="205"/>
    </row>
    <row r="212" spans="1:9" x14ac:dyDescent="0.2">
      <c r="A212" s="205">
        <v>43</v>
      </c>
      <c r="B212" s="205" t="s">
        <v>264</v>
      </c>
      <c r="C212" s="205"/>
      <c r="E212" s="205" t="s">
        <v>118</v>
      </c>
      <c r="G212" s="205">
        <v>127</v>
      </c>
      <c r="H212" s="205" t="s">
        <v>12</v>
      </c>
      <c r="I212" s="205">
        <v>0.33072916666666669</v>
      </c>
    </row>
    <row r="213" spans="1:9" x14ac:dyDescent="0.2">
      <c r="A213" s="205">
        <v>43</v>
      </c>
      <c r="B213" s="205" t="s">
        <v>264</v>
      </c>
      <c r="C213" s="205"/>
      <c r="E213" s="205" t="s">
        <v>119</v>
      </c>
      <c r="G213" s="205">
        <v>128</v>
      </c>
      <c r="H213" s="205" t="s">
        <v>13</v>
      </c>
      <c r="I213" s="205">
        <v>0.33333333333333331</v>
      </c>
    </row>
    <row r="214" spans="1:9" x14ac:dyDescent="0.2">
      <c r="A214" s="205">
        <v>43</v>
      </c>
      <c r="B214" s="205" t="s">
        <v>264</v>
      </c>
      <c r="C214" s="205"/>
      <c r="E214" s="205" t="s">
        <v>120</v>
      </c>
      <c r="G214" s="205">
        <v>129</v>
      </c>
      <c r="H214" s="205" t="s">
        <v>14</v>
      </c>
      <c r="I214" s="205">
        <v>0.3359375</v>
      </c>
    </row>
    <row r="215" spans="1:9" x14ac:dyDescent="0.2">
      <c r="A215" s="205"/>
      <c r="C215" s="205"/>
      <c r="E215" s="205" t="s">
        <v>125</v>
      </c>
      <c r="G215" s="205">
        <v>384</v>
      </c>
      <c r="H215" s="205" t="s">
        <v>15</v>
      </c>
      <c r="I215" s="205">
        <v>1</v>
      </c>
    </row>
    <row r="216" spans="1:9" x14ac:dyDescent="0.2">
      <c r="A216" s="205"/>
      <c r="C216" s="205"/>
    </row>
    <row r="217" spans="1:9" x14ac:dyDescent="0.2">
      <c r="A217" s="205">
        <v>44</v>
      </c>
      <c r="B217" s="205" t="s">
        <v>265</v>
      </c>
      <c r="C217" s="205"/>
      <c r="E217" s="205" t="s">
        <v>118</v>
      </c>
      <c r="G217" s="205">
        <v>130</v>
      </c>
      <c r="H217" s="205" t="s">
        <v>12</v>
      </c>
      <c r="I217" s="205">
        <v>0.33078880407124683</v>
      </c>
    </row>
    <row r="218" spans="1:9" x14ac:dyDescent="0.2">
      <c r="A218" s="205">
        <v>44</v>
      </c>
      <c r="B218" s="205" t="s">
        <v>265</v>
      </c>
      <c r="C218" s="205"/>
      <c r="E218" s="205" t="s">
        <v>119</v>
      </c>
      <c r="G218" s="205">
        <v>131</v>
      </c>
      <c r="H218" s="205" t="s">
        <v>13</v>
      </c>
      <c r="I218" s="205">
        <v>0.33333333333333331</v>
      </c>
    </row>
    <row r="219" spans="1:9" x14ac:dyDescent="0.2">
      <c r="A219" s="205">
        <v>44</v>
      </c>
      <c r="B219" s="205" t="s">
        <v>265</v>
      </c>
      <c r="C219" s="205"/>
      <c r="E219" s="205" t="s">
        <v>120</v>
      </c>
      <c r="G219" s="205">
        <v>132</v>
      </c>
      <c r="H219" s="205" t="s">
        <v>14</v>
      </c>
      <c r="I219" s="205">
        <v>0.33587786259541985</v>
      </c>
    </row>
    <row r="220" spans="1:9" x14ac:dyDescent="0.2">
      <c r="A220" s="205"/>
      <c r="C220" s="205"/>
      <c r="E220" s="205" t="s">
        <v>125</v>
      </c>
      <c r="G220" s="205">
        <v>393</v>
      </c>
      <c r="H220" s="205" t="s">
        <v>15</v>
      </c>
      <c r="I220" s="205">
        <v>1</v>
      </c>
    </row>
    <row r="221" spans="1:9" x14ac:dyDescent="0.2">
      <c r="A221" s="205"/>
      <c r="C221" s="205"/>
    </row>
    <row r="222" spans="1:9" x14ac:dyDescent="0.2">
      <c r="A222" s="205">
        <v>45</v>
      </c>
      <c r="B222" s="205" t="s">
        <v>266</v>
      </c>
      <c r="C222" s="205"/>
      <c r="E222" s="205" t="s">
        <v>118</v>
      </c>
      <c r="G222" s="205">
        <v>133</v>
      </c>
      <c r="H222" s="205" t="s">
        <v>12</v>
      </c>
      <c r="I222" s="205">
        <v>0.3308457711442786</v>
      </c>
    </row>
    <row r="223" spans="1:9" x14ac:dyDescent="0.2">
      <c r="A223" s="205">
        <v>45</v>
      </c>
      <c r="B223" s="205" t="s">
        <v>266</v>
      </c>
      <c r="C223" s="205"/>
      <c r="E223" s="205" t="s">
        <v>119</v>
      </c>
      <c r="G223" s="205">
        <v>134</v>
      </c>
      <c r="H223" s="205" t="s">
        <v>13</v>
      </c>
      <c r="I223" s="205">
        <v>0.33333333333333331</v>
      </c>
    </row>
    <row r="224" spans="1:9" x14ac:dyDescent="0.2">
      <c r="A224" s="205">
        <v>45</v>
      </c>
      <c r="B224" s="205" t="s">
        <v>266</v>
      </c>
      <c r="C224" s="205"/>
      <c r="E224" s="205" t="s">
        <v>120</v>
      </c>
      <c r="G224" s="205">
        <v>135</v>
      </c>
      <c r="H224" s="205" t="s">
        <v>14</v>
      </c>
      <c r="I224" s="205">
        <v>0.33582089552238809</v>
      </c>
    </row>
    <row r="225" spans="1:9" x14ac:dyDescent="0.2">
      <c r="A225" s="205"/>
      <c r="C225" s="205"/>
      <c r="E225" s="205" t="s">
        <v>125</v>
      </c>
      <c r="G225" s="205">
        <v>402</v>
      </c>
      <c r="H225" s="205" t="s">
        <v>15</v>
      </c>
      <c r="I225" s="205">
        <v>1</v>
      </c>
    </row>
    <row r="226" spans="1:9" x14ac:dyDescent="0.2">
      <c r="A226" s="205"/>
      <c r="C226" s="205"/>
    </row>
    <row r="227" spans="1:9" x14ac:dyDescent="0.2">
      <c r="A227" s="205">
        <v>46</v>
      </c>
      <c r="B227" s="205" t="s">
        <v>267</v>
      </c>
      <c r="C227" s="205"/>
      <c r="E227" s="205" t="s">
        <v>118</v>
      </c>
      <c r="G227" s="205">
        <v>136</v>
      </c>
      <c r="H227" s="205" t="s">
        <v>12</v>
      </c>
      <c r="I227" s="205">
        <v>0.33090024330900242</v>
      </c>
    </row>
    <row r="228" spans="1:9" x14ac:dyDescent="0.2">
      <c r="A228" s="205">
        <v>46</v>
      </c>
      <c r="B228" s="205" t="s">
        <v>267</v>
      </c>
      <c r="C228" s="205"/>
      <c r="E228" s="205" t="s">
        <v>119</v>
      </c>
      <c r="G228" s="205">
        <v>137</v>
      </c>
      <c r="H228" s="205" t="s">
        <v>13</v>
      </c>
      <c r="I228" s="205">
        <v>0.33333333333333331</v>
      </c>
    </row>
    <row r="229" spans="1:9" x14ac:dyDescent="0.2">
      <c r="A229" s="205">
        <v>46</v>
      </c>
      <c r="B229" s="205" t="s">
        <v>267</v>
      </c>
      <c r="C229" s="205"/>
      <c r="E229" s="205" t="s">
        <v>120</v>
      </c>
      <c r="G229" s="205">
        <v>138</v>
      </c>
      <c r="H229" s="205" t="s">
        <v>14</v>
      </c>
      <c r="I229" s="205">
        <v>0.33576642335766421</v>
      </c>
    </row>
    <row r="230" spans="1:9" x14ac:dyDescent="0.2">
      <c r="A230" s="205"/>
      <c r="C230" s="205"/>
      <c r="E230" s="205" t="s">
        <v>125</v>
      </c>
      <c r="G230" s="205">
        <v>411</v>
      </c>
      <c r="H230" s="205" t="s">
        <v>15</v>
      </c>
      <c r="I230" s="205">
        <v>1</v>
      </c>
    </row>
    <row r="231" spans="1:9" x14ac:dyDescent="0.2">
      <c r="A231" s="205"/>
      <c r="C231" s="205"/>
    </row>
    <row r="232" spans="1:9" x14ac:dyDescent="0.2">
      <c r="A232" s="205">
        <v>47</v>
      </c>
      <c r="B232" s="205" t="s">
        <v>268</v>
      </c>
      <c r="C232" s="205"/>
      <c r="E232" s="205" t="s">
        <v>118</v>
      </c>
      <c r="G232" s="205">
        <v>139</v>
      </c>
      <c r="H232" s="205" t="s">
        <v>12</v>
      </c>
      <c r="I232" s="205">
        <v>0.33095238095238094</v>
      </c>
    </row>
    <row r="233" spans="1:9" x14ac:dyDescent="0.2">
      <c r="A233" s="205">
        <v>47</v>
      </c>
      <c r="B233" s="205" t="s">
        <v>268</v>
      </c>
      <c r="C233" s="205"/>
      <c r="E233" s="205" t="s">
        <v>119</v>
      </c>
      <c r="G233" s="205">
        <v>140</v>
      </c>
      <c r="H233" s="205" t="s">
        <v>13</v>
      </c>
      <c r="I233" s="205">
        <v>0.33333333333333331</v>
      </c>
    </row>
    <row r="234" spans="1:9" x14ac:dyDescent="0.2">
      <c r="A234" s="205">
        <v>47</v>
      </c>
      <c r="B234" s="205" t="s">
        <v>268</v>
      </c>
      <c r="C234" s="205"/>
      <c r="E234" s="205" t="s">
        <v>120</v>
      </c>
      <c r="G234" s="205">
        <v>141</v>
      </c>
      <c r="H234" s="205" t="s">
        <v>14</v>
      </c>
      <c r="I234" s="205">
        <v>0.33571428571428569</v>
      </c>
    </row>
    <row r="235" spans="1:9" x14ac:dyDescent="0.2">
      <c r="A235" s="205"/>
      <c r="C235" s="205"/>
      <c r="E235" s="205" t="s">
        <v>125</v>
      </c>
      <c r="G235" s="205">
        <v>420</v>
      </c>
      <c r="H235" s="205" t="s">
        <v>15</v>
      </c>
      <c r="I235" s="205">
        <v>1</v>
      </c>
    </row>
    <row r="236" spans="1:9" x14ac:dyDescent="0.2">
      <c r="A236" s="205"/>
      <c r="C236" s="205"/>
    </row>
    <row r="237" spans="1:9" x14ac:dyDescent="0.2">
      <c r="A237" s="205">
        <v>48</v>
      </c>
      <c r="B237" s="205" t="s">
        <v>269</v>
      </c>
      <c r="C237" s="205"/>
      <c r="E237" s="205" t="s">
        <v>118</v>
      </c>
      <c r="G237" s="205">
        <v>142</v>
      </c>
      <c r="H237" s="205" t="s">
        <v>12</v>
      </c>
      <c r="I237" s="205">
        <v>0.33100233100233101</v>
      </c>
    </row>
    <row r="238" spans="1:9" x14ac:dyDescent="0.2">
      <c r="A238" s="205">
        <v>48</v>
      </c>
      <c r="B238" s="205" t="s">
        <v>269</v>
      </c>
      <c r="C238" s="205"/>
      <c r="E238" s="205" t="s">
        <v>119</v>
      </c>
      <c r="G238" s="205">
        <v>143</v>
      </c>
      <c r="H238" s="205" t="s">
        <v>13</v>
      </c>
      <c r="I238" s="205">
        <v>0.33333333333333331</v>
      </c>
    </row>
    <row r="239" spans="1:9" x14ac:dyDescent="0.2">
      <c r="A239" s="205">
        <v>48</v>
      </c>
      <c r="B239" s="205" t="s">
        <v>269</v>
      </c>
      <c r="C239" s="205"/>
      <c r="E239" s="205" t="s">
        <v>120</v>
      </c>
      <c r="G239" s="205">
        <v>144</v>
      </c>
      <c r="H239" s="205" t="s">
        <v>14</v>
      </c>
      <c r="I239" s="205">
        <v>0.33566433566433568</v>
      </c>
    </row>
    <row r="240" spans="1:9" x14ac:dyDescent="0.2">
      <c r="A240" s="205"/>
      <c r="C240" s="205"/>
      <c r="E240" s="205" t="s">
        <v>125</v>
      </c>
      <c r="G240" s="205">
        <v>429</v>
      </c>
      <c r="H240" s="205" t="s">
        <v>15</v>
      </c>
      <c r="I240" s="205">
        <v>1</v>
      </c>
    </row>
    <row r="241" spans="1:9" x14ac:dyDescent="0.2">
      <c r="A241" s="205"/>
      <c r="C241" s="205"/>
    </row>
    <row r="242" spans="1:9" x14ac:dyDescent="0.2">
      <c r="A242" s="205">
        <v>49</v>
      </c>
      <c r="B242" s="205" t="s">
        <v>270</v>
      </c>
      <c r="C242" s="205"/>
      <c r="E242" s="205" t="s">
        <v>118</v>
      </c>
      <c r="G242" s="205">
        <v>145</v>
      </c>
      <c r="H242" s="205" t="s">
        <v>12</v>
      </c>
      <c r="I242" s="205">
        <v>0.33105022831050229</v>
      </c>
    </row>
    <row r="243" spans="1:9" x14ac:dyDescent="0.2">
      <c r="A243" s="205">
        <v>49</v>
      </c>
      <c r="B243" s="205" t="s">
        <v>270</v>
      </c>
      <c r="C243" s="205"/>
      <c r="E243" s="205" t="s">
        <v>119</v>
      </c>
      <c r="G243" s="205">
        <v>146</v>
      </c>
      <c r="H243" s="205" t="s">
        <v>13</v>
      </c>
      <c r="I243" s="205">
        <v>0.33333333333333331</v>
      </c>
    </row>
    <row r="244" spans="1:9" x14ac:dyDescent="0.2">
      <c r="A244" s="205">
        <v>49</v>
      </c>
      <c r="B244" s="205" t="s">
        <v>270</v>
      </c>
      <c r="C244" s="205"/>
      <c r="E244" s="205" t="s">
        <v>120</v>
      </c>
      <c r="G244" s="205">
        <v>147</v>
      </c>
      <c r="H244" s="205" t="s">
        <v>14</v>
      </c>
      <c r="I244" s="205">
        <v>0.33561643835616439</v>
      </c>
    </row>
    <row r="245" spans="1:9" x14ac:dyDescent="0.2">
      <c r="A245" s="205"/>
      <c r="C245" s="205"/>
      <c r="E245" s="205" t="s">
        <v>125</v>
      </c>
      <c r="G245" s="205">
        <v>438</v>
      </c>
      <c r="H245" s="205" t="s">
        <v>15</v>
      </c>
      <c r="I245" s="205">
        <v>1</v>
      </c>
    </row>
    <row r="246" spans="1:9" x14ac:dyDescent="0.2">
      <c r="A246" s="205"/>
      <c r="C246" s="205"/>
    </row>
    <row r="247" spans="1:9" x14ac:dyDescent="0.2">
      <c r="A247" s="205">
        <v>50</v>
      </c>
      <c r="B247" s="205" t="s">
        <v>271</v>
      </c>
      <c r="C247" s="205"/>
      <c r="E247" s="205" t="s">
        <v>118</v>
      </c>
      <c r="G247" s="205">
        <v>148</v>
      </c>
      <c r="H247" s="205" t="s">
        <v>12</v>
      </c>
      <c r="I247" s="205">
        <v>0.33109619686800895</v>
      </c>
    </row>
    <row r="248" spans="1:9" x14ac:dyDescent="0.2">
      <c r="A248" s="205">
        <v>50</v>
      </c>
      <c r="B248" s="205" t="s">
        <v>271</v>
      </c>
      <c r="C248" s="205"/>
      <c r="E248" s="205" t="s">
        <v>119</v>
      </c>
      <c r="G248" s="205">
        <v>149</v>
      </c>
      <c r="H248" s="205" t="s">
        <v>13</v>
      </c>
      <c r="I248" s="205">
        <v>0.33333333333333331</v>
      </c>
    </row>
    <row r="249" spans="1:9" x14ac:dyDescent="0.2">
      <c r="A249" s="205">
        <v>50</v>
      </c>
      <c r="B249" s="205" t="s">
        <v>271</v>
      </c>
      <c r="C249" s="205"/>
      <c r="E249" s="205" t="s">
        <v>120</v>
      </c>
      <c r="G249" s="205">
        <v>150</v>
      </c>
      <c r="H249" s="205" t="s">
        <v>14</v>
      </c>
      <c r="I249" s="205">
        <v>0.33557046979865773</v>
      </c>
    </row>
    <row r="250" spans="1:9" x14ac:dyDescent="0.2">
      <c r="A250" s="205"/>
      <c r="C250" s="205"/>
      <c r="E250" s="205" t="s">
        <v>125</v>
      </c>
      <c r="G250" s="205">
        <v>447</v>
      </c>
      <c r="H250" s="205" t="s">
        <v>15</v>
      </c>
      <c r="I250" s="205">
        <v>1</v>
      </c>
    </row>
    <row r="251" spans="1:9" x14ac:dyDescent="0.2">
      <c r="A251" s="205"/>
      <c r="C251" s="205"/>
    </row>
    <row r="252" spans="1:9" x14ac:dyDescent="0.2">
      <c r="A252" s="205">
        <v>51</v>
      </c>
      <c r="B252" s="205" t="s">
        <v>272</v>
      </c>
      <c r="C252" s="205"/>
      <c r="E252" s="205" t="s">
        <v>118</v>
      </c>
      <c r="G252" s="205">
        <v>151</v>
      </c>
      <c r="H252" s="205" t="s">
        <v>12</v>
      </c>
      <c r="I252" s="205">
        <v>0.33114035087719296</v>
      </c>
    </row>
    <row r="253" spans="1:9" x14ac:dyDescent="0.2">
      <c r="A253" s="205">
        <v>51</v>
      </c>
      <c r="B253" s="205" t="s">
        <v>272</v>
      </c>
      <c r="C253" s="205"/>
      <c r="E253" s="205" t="s">
        <v>119</v>
      </c>
      <c r="G253" s="205">
        <v>152</v>
      </c>
      <c r="H253" s="205" t="s">
        <v>13</v>
      </c>
      <c r="I253" s="205">
        <v>0.33333333333333331</v>
      </c>
    </row>
    <row r="254" spans="1:9" x14ac:dyDescent="0.2">
      <c r="A254" s="205">
        <v>51</v>
      </c>
      <c r="B254" s="205" t="s">
        <v>272</v>
      </c>
      <c r="C254" s="205"/>
      <c r="E254" s="205" t="s">
        <v>120</v>
      </c>
      <c r="G254" s="205">
        <v>153</v>
      </c>
      <c r="H254" s="205" t="s">
        <v>14</v>
      </c>
      <c r="I254" s="205">
        <v>0.33552631578947367</v>
      </c>
    </row>
    <row r="255" spans="1:9" x14ac:dyDescent="0.2">
      <c r="A255" s="205"/>
      <c r="C255" s="205"/>
      <c r="E255" s="205" t="s">
        <v>125</v>
      </c>
      <c r="G255" s="205">
        <v>456</v>
      </c>
      <c r="H255" s="205" t="s">
        <v>15</v>
      </c>
      <c r="I255" s="205">
        <v>1</v>
      </c>
    </row>
    <row r="256" spans="1:9" x14ac:dyDescent="0.2">
      <c r="A256" s="205"/>
      <c r="C256" s="205"/>
    </row>
    <row r="257" spans="1:9" x14ac:dyDescent="0.2">
      <c r="A257" s="205">
        <v>52</v>
      </c>
      <c r="B257" s="205" t="s">
        <v>273</v>
      </c>
      <c r="C257" s="205"/>
      <c r="E257" s="205" t="s">
        <v>118</v>
      </c>
      <c r="G257" s="205">
        <v>154</v>
      </c>
      <c r="H257" s="205" t="s">
        <v>12</v>
      </c>
      <c r="I257" s="205">
        <v>0.33118279569892473</v>
      </c>
    </row>
    <row r="258" spans="1:9" x14ac:dyDescent="0.2">
      <c r="A258" s="205">
        <v>52</v>
      </c>
      <c r="B258" s="205" t="s">
        <v>273</v>
      </c>
      <c r="C258" s="205"/>
      <c r="E258" s="205" t="s">
        <v>119</v>
      </c>
      <c r="G258" s="205">
        <v>155</v>
      </c>
      <c r="H258" s="205" t="s">
        <v>13</v>
      </c>
      <c r="I258" s="205">
        <v>0.33333333333333331</v>
      </c>
    </row>
    <row r="259" spans="1:9" x14ac:dyDescent="0.2">
      <c r="A259" s="205">
        <v>52</v>
      </c>
      <c r="B259" s="205" t="s">
        <v>273</v>
      </c>
      <c r="C259" s="205"/>
      <c r="E259" s="205" t="s">
        <v>120</v>
      </c>
      <c r="G259" s="205">
        <v>156</v>
      </c>
      <c r="H259" s="205" t="s">
        <v>14</v>
      </c>
      <c r="I259" s="205">
        <v>0.33548387096774196</v>
      </c>
    </row>
    <row r="260" spans="1:9" x14ac:dyDescent="0.2">
      <c r="A260" s="205"/>
      <c r="C260" s="205"/>
      <c r="E260" s="205" t="s">
        <v>125</v>
      </c>
      <c r="G260" s="205">
        <v>465</v>
      </c>
      <c r="H260" s="205" t="s">
        <v>15</v>
      </c>
      <c r="I260" s="205">
        <v>1</v>
      </c>
    </row>
    <row r="261" spans="1:9" x14ac:dyDescent="0.2">
      <c r="A261" s="205"/>
      <c r="C261" s="205"/>
    </row>
    <row r="262" spans="1:9" x14ac:dyDescent="0.2">
      <c r="A262" s="205">
        <v>53</v>
      </c>
      <c r="B262" s="205" t="s">
        <v>274</v>
      </c>
      <c r="C262" s="205"/>
      <c r="E262" s="205" t="s">
        <v>118</v>
      </c>
      <c r="G262" s="205">
        <v>157</v>
      </c>
      <c r="H262" s="205" t="s">
        <v>12</v>
      </c>
      <c r="I262" s="205">
        <v>0.33122362869198313</v>
      </c>
    </row>
    <row r="263" spans="1:9" x14ac:dyDescent="0.2">
      <c r="A263" s="205">
        <v>53</v>
      </c>
      <c r="B263" s="205" t="s">
        <v>274</v>
      </c>
      <c r="C263" s="205"/>
      <c r="E263" s="205" t="s">
        <v>119</v>
      </c>
      <c r="G263" s="205">
        <v>158</v>
      </c>
      <c r="H263" s="205" t="s">
        <v>13</v>
      </c>
      <c r="I263" s="205">
        <v>0.33333333333333331</v>
      </c>
    </row>
    <row r="264" spans="1:9" x14ac:dyDescent="0.2">
      <c r="A264" s="205">
        <v>53</v>
      </c>
      <c r="B264" s="205" t="s">
        <v>274</v>
      </c>
      <c r="C264" s="205"/>
      <c r="E264" s="205" t="s">
        <v>120</v>
      </c>
      <c r="G264" s="205">
        <v>159</v>
      </c>
      <c r="H264" s="205" t="s">
        <v>14</v>
      </c>
      <c r="I264" s="205">
        <v>0.33544303797468356</v>
      </c>
    </row>
    <row r="265" spans="1:9" x14ac:dyDescent="0.2">
      <c r="A265" s="205"/>
      <c r="C265" s="205"/>
      <c r="E265" s="205" t="s">
        <v>125</v>
      </c>
      <c r="G265" s="205">
        <v>474</v>
      </c>
      <c r="H265" s="205" t="s">
        <v>15</v>
      </c>
      <c r="I265" s="205">
        <v>1</v>
      </c>
    </row>
    <row r="266" spans="1:9" x14ac:dyDescent="0.2">
      <c r="A266" s="205"/>
      <c r="C266" s="205"/>
    </row>
    <row r="267" spans="1:9" x14ac:dyDescent="0.2">
      <c r="A267" s="205">
        <v>54</v>
      </c>
      <c r="B267" s="205" t="s">
        <v>275</v>
      </c>
      <c r="C267" s="205"/>
      <c r="E267" s="205" t="s">
        <v>118</v>
      </c>
      <c r="G267" s="205">
        <v>160</v>
      </c>
      <c r="H267" s="205" t="s">
        <v>12</v>
      </c>
      <c r="I267" s="205">
        <v>0.33126293995859213</v>
      </c>
    </row>
    <row r="268" spans="1:9" x14ac:dyDescent="0.2">
      <c r="A268" s="205">
        <v>54</v>
      </c>
      <c r="B268" s="205" t="s">
        <v>275</v>
      </c>
      <c r="C268" s="205"/>
      <c r="E268" s="205" t="s">
        <v>119</v>
      </c>
      <c r="G268" s="205">
        <v>161</v>
      </c>
      <c r="H268" s="205" t="s">
        <v>13</v>
      </c>
      <c r="I268" s="205">
        <v>0.33333333333333331</v>
      </c>
    </row>
    <row r="269" spans="1:9" x14ac:dyDescent="0.2">
      <c r="A269" s="205">
        <v>54</v>
      </c>
      <c r="B269" s="205" t="s">
        <v>275</v>
      </c>
      <c r="C269" s="205"/>
      <c r="E269" s="205" t="s">
        <v>120</v>
      </c>
      <c r="G269" s="205">
        <v>162</v>
      </c>
      <c r="H269" s="205" t="s">
        <v>14</v>
      </c>
      <c r="I269" s="205">
        <v>0.33540372670807456</v>
      </c>
    </row>
    <row r="270" spans="1:9" x14ac:dyDescent="0.2">
      <c r="A270" s="205"/>
      <c r="C270" s="205"/>
      <c r="E270" s="205" t="s">
        <v>125</v>
      </c>
      <c r="G270" s="205">
        <v>483</v>
      </c>
      <c r="H270" s="205" t="s">
        <v>15</v>
      </c>
      <c r="I270" s="205">
        <v>1</v>
      </c>
    </row>
    <row r="271" spans="1:9" x14ac:dyDescent="0.2">
      <c r="A271" s="205"/>
      <c r="C271" s="205"/>
    </row>
    <row r="272" spans="1:9" x14ac:dyDescent="0.2">
      <c r="A272" s="205">
        <v>55</v>
      </c>
      <c r="B272" s="205" t="s">
        <v>276</v>
      </c>
      <c r="C272" s="205"/>
      <c r="E272" s="205" t="s">
        <v>118</v>
      </c>
      <c r="G272" s="205">
        <v>163</v>
      </c>
      <c r="H272" s="205" t="s">
        <v>12</v>
      </c>
      <c r="I272" s="205">
        <v>0.33130081300813008</v>
      </c>
    </row>
    <row r="273" spans="1:9" x14ac:dyDescent="0.2">
      <c r="A273" s="205">
        <v>55</v>
      </c>
      <c r="B273" s="205" t="s">
        <v>276</v>
      </c>
      <c r="C273" s="205"/>
      <c r="E273" s="205" t="s">
        <v>119</v>
      </c>
      <c r="G273" s="205">
        <v>164</v>
      </c>
      <c r="H273" s="205" t="s">
        <v>13</v>
      </c>
      <c r="I273" s="205">
        <v>0.33333333333333331</v>
      </c>
    </row>
    <row r="274" spans="1:9" x14ac:dyDescent="0.2">
      <c r="A274" s="205">
        <v>55</v>
      </c>
      <c r="B274" s="205" t="s">
        <v>276</v>
      </c>
      <c r="C274" s="205"/>
      <c r="E274" s="205" t="s">
        <v>120</v>
      </c>
      <c r="G274" s="205">
        <v>165</v>
      </c>
      <c r="H274" s="205" t="s">
        <v>14</v>
      </c>
      <c r="I274" s="205">
        <v>0.33536585365853661</v>
      </c>
    </row>
    <row r="275" spans="1:9" x14ac:dyDescent="0.2">
      <c r="A275" s="205"/>
      <c r="C275" s="205"/>
      <c r="E275" s="205" t="s">
        <v>125</v>
      </c>
      <c r="G275" s="205">
        <v>492</v>
      </c>
      <c r="H275" s="205" t="s">
        <v>15</v>
      </c>
      <c r="I275" s="205">
        <v>1</v>
      </c>
    </row>
    <row r="276" spans="1:9" x14ac:dyDescent="0.2">
      <c r="A276" s="205"/>
      <c r="C276" s="205"/>
    </row>
    <row r="277" spans="1:9" x14ac:dyDescent="0.2">
      <c r="A277" s="205">
        <v>56</v>
      </c>
      <c r="B277" s="205" t="s">
        <v>277</v>
      </c>
      <c r="C277" s="205"/>
      <c r="E277" s="205" t="s">
        <v>118</v>
      </c>
      <c r="G277" s="205">
        <v>166</v>
      </c>
      <c r="H277" s="205" t="s">
        <v>12</v>
      </c>
      <c r="I277" s="205">
        <v>0.33133732534930138</v>
      </c>
    </row>
    <row r="278" spans="1:9" x14ac:dyDescent="0.2">
      <c r="A278" s="205">
        <v>56</v>
      </c>
      <c r="B278" s="205" t="s">
        <v>277</v>
      </c>
      <c r="C278" s="205"/>
      <c r="E278" s="205" t="s">
        <v>119</v>
      </c>
      <c r="G278" s="205">
        <v>167</v>
      </c>
      <c r="H278" s="205" t="s">
        <v>13</v>
      </c>
      <c r="I278" s="205">
        <v>0.33333333333333331</v>
      </c>
    </row>
    <row r="279" spans="1:9" x14ac:dyDescent="0.2">
      <c r="A279" s="205">
        <v>56</v>
      </c>
      <c r="B279" s="205" t="s">
        <v>277</v>
      </c>
      <c r="C279" s="205"/>
      <c r="E279" s="205" t="s">
        <v>120</v>
      </c>
      <c r="G279" s="205">
        <v>168</v>
      </c>
      <c r="H279" s="205" t="s">
        <v>14</v>
      </c>
      <c r="I279" s="205">
        <v>0.33532934131736525</v>
      </c>
    </row>
    <row r="280" spans="1:9" x14ac:dyDescent="0.2">
      <c r="A280" s="205"/>
      <c r="C280" s="205"/>
      <c r="E280" s="205" t="s">
        <v>125</v>
      </c>
      <c r="G280" s="205">
        <v>501</v>
      </c>
      <c r="H280" s="205" t="s">
        <v>15</v>
      </c>
      <c r="I280" s="205">
        <v>1</v>
      </c>
    </row>
    <row r="281" spans="1:9" x14ac:dyDescent="0.2">
      <c r="A281" s="205"/>
      <c r="C281" s="205"/>
    </row>
    <row r="282" spans="1:9" x14ac:dyDescent="0.2">
      <c r="A282" s="205">
        <v>57</v>
      </c>
      <c r="B282" s="205" t="s">
        <v>278</v>
      </c>
      <c r="C282" s="205"/>
      <c r="E282" s="205" t="s">
        <v>118</v>
      </c>
      <c r="G282" s="205">
        <v>169</v>
      </c>
      <c r="H282" s="205" t="s">
        <v>12</v>
      </c>
      <c r="I282" s="205">
        <v>0.33137254901960783</v>
      </c>
    </row>
    <row r="283" spans="1:9" x14ac:dyDescent="0.2">
      <c r="A283" s="205">
        <v>57</v>
      </c>
      <c r="B283" s="205" t="s">
        <v>278</v>
      </c>
      <c r="C283" s="205"/>
      <c r="E283" s="205" t="s">
        <v>119</v>
      </c>
      <c r="G283" s="205">
        <v>170</v>
      </c>
      <c r="H283" s="205" t="s">
        <v>13</v>
      </c>
      <c r="I283" s="205">
        <v>0.33333333333333331</v>
      </c>
    </row>
    <row r="284" spans="1:9" x14ac:dyDescent="0.2">
      <c r="A284" s="205">
        <v>57</v>
      </c>
      <c r="B284" s="205" t="s">
        <v>278</v>
      </c>
      <c r="C284" s="205"/>
      <c r="E284" s="205" t="s">
        <v>120</v>
      </c>
      <c r="G284" s="205">
        <v>171</v>
      </c>
      <c r="H284" s="205" t="s">
        <v>14</v>
      </c>
      <c r="I284" s="205">
        <v>0.3352941176470588</v>
      </c>
    </row>
    <row r="285" spans="1:9" x14ac:dyDescent="0.2">
      <c r="A285" s="205"/>
      <c r="C285" s="205"/>
      <c r="E285" s="205" t="s">
        <v>125</v>
      </c>
      <c r="G285" s="205">
        <v>510</v>
      </c>
      <c r="H285" s="205" t="s">
        <v>15</v>
      </c>
      <c r="I285" s="205">
        <v>1</v>
      </c>
    </row>
    <row r="286" spans="1:9" x14ac:dyDescent="0.2">
      <c r="A286" s="205"/>
      <c r="C286" s="205"/>
    </row>
    <row r="287" spans="1:9" x14ac:dyDescent="0.2">
      <c r="A287" s="205">
        <v>58</v>
      </c>
      <c r="B287" s="205" t="s">
        <v>279</v>
      </c>
      <c r="C287" s="205"/>
      <c r="E287" s="205" t="s">
        <v>118</v>
      </c>
      <c r="G287" s="205">
        <v>172</v>
      </c>
      <c r="H287" s="205" t="s">
        <v>12</v>
      </c>
      <c r="I287" s="205">
        <v>0.33140655105973027</v>
      </c>
    </row>
    <row r="288" spans="1:9" x14ac:dyDescent="0.2">
      <c r="A288" s="205">
        <v>58</v>
      </c>
      <c r="B288" s="205" t="s">
        <v>279</v>
      </c>
      <c r="C288" s="205"/>
      <c r="E288" s="205" t="s">
        <v>119</v>
      </c>
      <c r="G288" s="205">
        <v>173</v>
      </c>
      <c r="H288" s="205" t="s">
        <v>13</v>
      </c>
      <c r="I288" s="205">
        <v>0.33333333333333331</v>
      </c>
    </row>
    <row r="289" spans="1:9" x14ac:dyDescent="0.2">
      <c r="A289" s="205">
        <v>58</v>
      </c>
      <c r="B289" s="205" t="s">
        <v>279</v>
      </c>
      <c r="C289" s="205"/>
      <c r="E289" s="205" t="s">
        <v>120</v>
      </c>
      <c r="G289" s="205">
        <v>174</v>
      </c>
      <c r="H289" s="205" t="s">
        <v>14</v>
      </c>
      <c r="I289" s="205">
        <v>0.33526011560693642</v>
      </c>
    </row>
    <row r="290" spans="1:9" x14ac:dyDescent="0.2">
      <c r="A290" s="205"/>
      <c r="C290" s="205"/>
      <c r="E290" s="205" t="s">
        <v>125</v>
      </c>
      <c r="G290" s="205">
        <v>519</v>
      </c>
      <c r="H290" s="205" t="s">
        <v>15</v>
      </c>
      <c r="I290" s="205">
        <v>1</v>
      </c>
    </row>
    <row r="291" spans="1:9" x14ac:dyDescent="0.2">
      <c r="A291" s="205"/>
      <c r="C291" s="205"/>
    </row>
    <row r="292" spans="1:9" x14ac:dyDescent="0.2">
      <c r="A292" s="205">
        <v>59</v>
      </c>
      <c r="B292" s="205" t="s">
        <v>280</v>
      </c>
      <c r="C292" s="205"/>
      <c r="E292" s="205" t="s">
        <v>118</v>
      </c>
      <c r="G292" s="205">
        <v>175</v>
      </c>
      <c r="H292" s="205" t="s">
        <v>12</v>
      </c>
      <c r="I292" s="205">
        <v>0.33143939393939392</v>
      </c>
    </row>
    <row r="293" spans="1:9" x14ac:dyDescent="0.2">
      <c r="A293" s="205">
        <v>59</v>
      </c>
      <c r="B293" s="205" t="s">
        <v>280</v>
      </c>
      <c r="C293" s="205"/>
      <c r="E293" s="205" t="s">
        <v>119</v>
      </c>
      <c r="G293" s="205">
        <v>176</v>
      </c>
      <c r="H293" s="205" t="s">
        <v>13</v>
      </c>
      <c r="I293" s="205">
        <v>0.33333333333333331</v>
      </c>
    </row>
    <row r="294" spans="1:9" x14ac:dyDescent="0.2">
      <c r="A294" s="205">
        <v>59</v>
      </c>
      <c r="B294" s="205" t="s">
        <v>280</v>
      </c>
      <c r="C294" s="205"/>
      <c r="E294" s="205" t="s">
        <v>120</v>
      </c>
      <c r="G294" s="205">
        <v>177</v>
      </c>
      <c r="H294" s="205" t="s">
        <v>14</v>
      </c>
      <c r="I294" s="205">
        <v>0.33522727272727271</v>
      </c>
    </row>
    <row r="295" spans="1:9" x14ac:dyDescent="0.2">
      <c r="A295" s="205"/>
      <c r="C295" s="205"/>
      <c r="E295" s="205" t="s">
        <v>125</v>
      </c>
      <c r="G295" s="205">
        <v>528</v>
      </c>
      <c r="H295" s="205" t="s">
        <v>15</v>
      </c>
      <c r="I295" s="205">
        <v>1</v>
      </c>
    </row>
    <row r="296" spans="1:9" x14ac:dyDescent="0.2">
      <c r="A296" s="205"/>
      <c r="C296" s="205"/>
    </row>
    <row r="297" spans="1:9" x14ac:dyDescent="0.2">
      <c r="A297" s="205">
        <v>60</v>
      </c>
      <c r="B297" s="205" t="s">
        <v>281</v>
      </c>
      <c r="C297" s="205"/>
      <c r="E297" s="205" t="s">
        <v>118</v>
      </c>
      <c r="G297" s="205">
        <v>178</v>
      </c>
      <c r="H297" s="205" t="s">
        <v>12</v>
      </c>
      <c r="I297" s="205">
        <v>0.33147113594040967</v>
      </c>
    </row>
    <row r="298" spans="1:9" x14ac:dyDescent="0.2">
      <c r="A298" s="205">
        <v>60</v>
      </c>
      <c r="B298" s="205" t="s">
        <v>281</v>
      </c>
      <c r="C298" s="205"/>
      <c r="E298" s="205" t="s">
        <v>119</v>
      </c>
      <c r="G298" s="205">
        <v>179</v>
      </c>
      <c r="H298" s="205" t="s">
        <v>13</v>
      </c>
      <c r="I298" s="205">
        <v>0.33333333333333331</v>
      </c>
    </row>
    <row r="299" spans="1:9" x14ac:dyDescent="0.2">
      <c r="A299" s="205">
        <v>60</v>
      </c>
      <c r="B299" s="205" t="s">
        <v>281</v>
      </c>
      <c r="C299" s="205"/>
      <c r="E299" s="205" t="s">
        <v>120</v>
      </c>
      <c r="G299" s="205">
        <v>180</v>
      </c>
      <c r="H299" s="205" t="s">
        <v>14</v>
      </c>
      <c r="I299" s="205">
        <v>0.33519553072625696</v>
      </c>
    </row>
    <row r="300" spans="1:9" x14ac:dyDescent="0.2">
      <c r="A300" s="205"/>
      <c r="C300" s="205"/>
      <c r="E300" s="205" t="s">
        <v>125</v>
      </c>
      <c r="G300" s="205">
        <v>537</v>
      </c>
      <c r="H300" s="205" t="s">
        <v>15</v>
      </c>
      <c r="I300" s="205">
        <v>0.99999999999999989</v>
      </c>
    </row>
    <row r="301" spans="1:9" x14ac:dyDescent="0.2">
      <c r="A301" s="205"/>
      <c r="C301" s="205"/>
    </row>
    <row r="302" spans="1:9" x14ac:dyDescent="0.2">
      <c r="A302" s="205">
        <v>61</v>
      </c>
      <c r="B302" s="205" t="s">
        <v>282</v>
      </c>
      <c r="C302" s="205"/>
      <c r="E302" s="205" t="s">
        <v>118</v>
      </c>
      <c r="G302" s="205">
        <v>181</v>
      </c>
      <c r="H302" s="205" t="s">
        <v>12</v>
      </c>
      <c r="I302" s="205">
        <v>0.33150183150183149</v>
      </c>
    </row>
    <row r="303" spans="1:9" x14ac:dyDescent="0.2">
      <c r="A303" s="205">
        <v>61</v>
      </c>
      <c r="B303" s="205" t="s">
        <v>282</v>
      </c>
      <c r="C303" s="205"/>
      <c r="E303" s="205" t="s">
        <v>119</v>
      </c>
      <c r="G303" s="205">
        <v>182</v>
      </c>
      <c r="H303" s="205" t="s">
        <v>13</v>
      </c>
      <c r="I303" s="205">
        <v>0.33333333333333331</v>
      </c>
    </row>
    <row r="304" spans="1:9" x14ac:dyDescent="0.2">
      <c r="A304" s="205">
        <v>61</v>
      </c>
      <c r="B304" s="205" t="s">
        <v>282</v>
      </c>
      <c r="C304" s="205"/>
      <c r="E304" s="205" t="s">
        <v>120</v>
      </c>
      <c r="G304" s="205">
        <v>183</v>
      </c>
      <c r="H304" s="205" t="s">
        <v>14</v>
      </c>
      <c r="I304" s="205">
        <v>0.33516483516483514</v>
      </c>
    </row>
    <row r="305" spans="1:9" x14ac:dyDescent="0.2">
      <c r="A305" s="205"/>
      <c r="C305" s="205"/>
      <c r="E305" s="205" t="s">
        <v>125</v>
      </c>
      <c r="G305" s="205">
        <v>546</v>
      </c>
      <c r="H305" s="205" t="s">
        <v>15</v>
      </c>
      <c r="I305" s="205">
        <v>1</v>
      </c>
    </row>
    <row r="306" spans="1:9" x14ac:dyDescent="0.2">
      <c r="A306" s="205"/>
      <c r="C306" s="205"/>
    </row>
    <row r="307" spans="1:9" x14ac:dyDescent="0.2">
      <c r="A307" s="205">
        <v>62</v>
      </c>
      <c r="B307" s="205" t="s">
        <v>283</v>
      </c>
      <c r="C307" s="205"/>
      <c r="E307" s="205" t="s">
        <v>118</v>
      </c>
      <c r="G307" s="205">
        <v>184</v>
      </c>
      <c r="H307" s="205" t="s">
        <v>12</v>
      </c>
      <c r="I307" s="205">
        <v>0.33153153153153153</v>
      </c>
    </row>
    <row r="308" spans="1:9" x14ac:dyDescent="0.2">
      <c r="A308" s="205">
        <v>62</v>
      </c>
      <c r="B308" s="205" t="s">
        <v>283</v>
      </c>
      <c r="C308" s="205"/>
      <c r="E308" s="205" t="s">
        <v>119</v>
      </c>
      <c r="G308" s="205">
        <v>185</v>
      </c>
      <c r="H308" s="205" t="s">
        <v>13</v>
      </c>
      <c r="I308" s="205">
        <v>0.33333333333333331</v>
      </c>
    </row>
    <row r="309" spans="1:9" x14ac:dyDescent="0.2">
      <c r="A309" s="205">
        <v>62</v>
      </c>
      <c r="B309" s="205" t="s">
        <v>283</v>
      </c>
      <c r="C309" s="205"/>
      <c r="E309" s="205" t="s">
        <v>120</v>
      </c>
      <c r="G309" s="205">
        <v>186</v>
      </c>
      <c r="H309" s="205" t="s">
        <v>14</v>
      </c>
      <c r="I309" s="205">
        <v>0.33513513513513515</v>
      </c>
    </row>
    <row r="310" spans="1:9" x14ac:dyDescent="0.2">
      <c r="A310" s="205"/>
      <c r="C310" s="205"/>
      <c r="E310" s="205" t="s">
        <v>125</v>
      </c>
      <c r="G310" s="205">
        <v>555</v>
      </c>
      <c r="H310" s="205" t="s">
        <v>15</v>
      </c>
      <c r="I310" s="205">
        <v>1</v>
      </c>
    </row>
    <row r="311" spans="1:9" x14ac:dyDescent="0.2">
      <c r="A311" s="205"/>
      <c r="C311" s="205"/>
    </row>
    <row r="312" spans="1:9" x14ac:dyDescent="0.2">
      <c r="A312" s="205">
        <v>63</v>
      </c>
      <c r="B312" s="205" t="s">
        <v>284</v>
      </c>
      <c r="C312" s="205"/>
      <c r="E312" s="205" t="s">
        <v>118</v>
      </c>
      <c r="G312" s="205">
        <v>187</v>
      </c>
      <c r="H312" s="205" t="s">
        <v>12</v>
      </c>
      <c r="I312" s="205">
        <v>0.33156028368794327</v>
      </c>
    </row>
    <row r="313" spans="1:9" x14ac:dyDescent="0.2">
      <c r="A313" s="205">
        <v>63</v>
      </c>
      <c r="B313" s="205" t="s">
        <v>284</v>
      </c>
      <c r="C313" s="205"/>
      <c r="E313" s="205" t="s">
        <v>119</v>
      </c>
      <c r="G313" s="205">
        <v>188</v>
      </c>
      <c r="H313" s="205" t="s">
        <v>13</v>
      </c>
      <c r="I313" s="205">
        <v>0.33333333333333331</v>
      </c>
    </row>
    <row r="314" spans="1:9" x14ac:dyDescent="0.2">
      <c r="A314" s="205">
        <v>63</v>
      </c>
      <c r="B314" s="205" t="s">
        <v>284</v>
      </c>
      <c r="C314" s="205"/>
      <c r="E314" s="205" t="s">
        <v>120</v>
      </c>
      <c r="G314" s="205">
        <v>189</v>
      </c>
      <c r="H314" s="205" t="s">
        <v>14</v>
      </c>
      <c r="I314" s="205">
        <v>0.33510638297872342</v>
      </c>
    </row>
    <row r="315" spans="1:9" x14ac:dyDescent="0.2">
      <c r="A315" s="205"/>
      <c r="C315" s="205"/>
      <c r="E315" s="205" t="s">
        <v>125</v>
      </c>
      <c r="G315" s="205">
        <v>564</v>
      </c>
      <c r="H315" s="205" t="s">
        <v>15</v>
      </c>
      <c r="I315" s="205">
        <v>1</v>
      </c>
    </row>
    <row r="316" spans="1:9" x14ac:dyDescent="0.2">
      <c r="A316" s="205"/>
      <c r="C316" s="205"/>
    </row>
    <row r="317" spans="1:9" x14ac:dyDescent="0.2">
      <c r="A317" s="205">
        <v>64</v>
      </c>
      <c r="B317" s="205" t="s">
        <v>285</v>
      </c>
      <c r="C317" s="205"/>
      <c r="E317" s="205" t="s">
        <v>118</v>
      </c>
      <c r="G317" s="205">
        <v>190</v>
      </c>
      <c r="H317" s="205" t="s">
        <v>12</v>
      </c>
      <c r="I317" s="205">
        <v>0.33158813263525305</v>
      </c>
    </row>
    <row r="318" spans="1:9" x14ac:dyDescent="0.2">
      <c r="A318" s="205">
        <v>64</v>
      </c>
      <c r="B318" s="205" t="s">
        <v>285</v>
      </c>
      <c r="C318" s="205"/>
      <c r="E318" s="205" t="s">
        <v>119</v>
      </c>
      <c r="G318" s="205">
        <v>191</v>
      </c>
      <c r="H318" s="205" t="s">
        <v>13</v>
      </c>
      <c r="I318" s="205">
        <v>0.33333333333333331</v>
      </c>
    </row>
    <row r="319" spans="1:9" x14ac:dyDescent="0.2">
      <c r="A319" s="205">
        <v>64</v>
      </c>
      <c r="B319" s="205" t="s">
        <v>285</v>
      </c>
      <c r="C319" s="205"/>
      <c r="E319" s="205" t="s">
        <v>120</v>
      </c>
      <c r="G319" s="205">
        <v>192</v>
      </c>
      <c r="H319" s="205" t="s">
        <v>14</v>
      </c>
      <c r="I319" s="205">
        <v>0.33507853403141363</v>
      </c>
    </row>
    <row r="320" spans="1:9" x14ac:dyDescent="0.2">
      <c r="A320" s="205"/>
      <c r="C320" s="205"/>
      <c r="E320" s="205" t="s">
        <v>125</v>
      </c>
      <c r="G320" s="205">
        <v>573</v>
      </c>
      <c r="H320" s="205" t="s">
        <v>15</v>
      </c>
      <c r="I320" s="205">
        <v>1</v>
      </c>
    </row>
    <row r="321" spans="1:9" x14ac:dyDescent="0.2">
      <c r="A321" s="205"/>
      <c r="C321" s="205"/>
    </row>
    <row r="322" spans="1:9" x14ac:dyDescent="0.2">
      <c r="A322" s="205">
        <v>65</v>
      </c>
      <c r="B322" s="205" t="s">
        <v>286</v>
      </c>
      <c r="C322" s="205"/>
      <c r="E322" s="205" t="s">
        <v>118</v>
      </c>
      <c r="G322" s="205">
        <v>193</v>
      </c>
      <c r="H322" s="205" t="s">
        <v>12</v>
      </c>
      <c r="I322" s="205">
        <v>0.33161512027491408</v>
      </c>
    </row>
    <row r="323" spans="1:9" x14ac:dyDescent="0.2">
      <c r="A323" s="205">
        <v>65</v>
      </c>
      <c r="B323" s="205" t="s">
        <v>286</v>
      </c>
      <c r="C323" s="205"/>
      <c r="E323" s="205" t="s">
        <v>119</v>
      </c>
      <c r="G323" s="205">
        <v>194</v>
      </c>
      <c r="H323" s="205" t="s">
        <v>13</v>
      </c>
      <c r="I323" s="205">
        <v>0.33333333333333331</v>
      </c>
    </row>
    <row r="324" spans="1:9" x14ac:dyDescent="0.2">
      <c r="A324" s="205">
        <v>65</v>
      </c>
      <c r="B324" s="205" t="s">
        <v>286</v>
      </c>
      <c r="C324" s="205"/>
      <c r="E324" s="205" t="s">
        <v>120</v>
      </c>
      <c r="G324" s="205">
        <v>195</v>
      </c>
      <c r="H324" s="205" t="s">
        <v>14</v>
      </c>
      <c r="I324" s="205">
        <v>0.33505154639175255</v>
      </c>
    </row>
    <row r="325" spans="1:9" x14ac:dyDescent="0.2">
      <c r="A325" s="205"/>
      <c r="C325" s="205"/>
      <c r="E325" s="205" t="s">
        <v>125</v>
      </c>
      <c r="G325" s="205">
        <v>582</v>
      </c>
      <c r="H325" s="205" t="s">
        <v>15</v>
      </c>
      <c r="I325" s="205">
        <v>1</v>
      </c>
    </row>
    <row r="326" spans="1:9" x14ac:dyDescent="0.2">
      <c r="A326" s="205"/>
      <c r="C326" s="205"/>
    </row>
    <row r="327" spans="1:9" x14ac:dyDescent="0.2">
      <c r="A327" s="205">
        <v>66</v>
      </c>
      <c r="B327" s="205" t="s">
        <v>287</v>
      </c>
      <c r="C327" s="205"/>
      <c r="E327" s="205" t="s">
        <v>118</v>
      </c>
      <c r="G327" s="205">
        <v>196</v>
      </c>
      <c r="H327" s="205" t="s">
        <v>12</v>
      </c>
      <c r="I327" s="205">
        <v>0.33164128595600678</v>
      </c>
    </row>
    <row r="328" spans="1:9" x14ac:dyDescent="0.2">
      <c r="A328" s="205">
        <v>66</v>
      </c>
      <c r="B328" s="205" t="s">
        <v>287</v>
      </c>
      <c r="C328" s="205"/>
      <c r="E328" s="205" t="s">
        <v>119</v>
      </c>
      <c r="G328" s="205">
        <v>197</v>
      </c>
      <c r="H328" s="205" t="s">
        <v>13</v>
      </c>
      <c r="I328" s="205">
        <v>0.33333333333333331</v>
      </c>
    </row>
    <row r="329" spans="1:9" x14ac:dyDescent="0.2">
      <c r="A329" s="205">
        <v>66</v>
      </c>
      <c r="B329" s="205" t="s">
        <v>287</v>
      </c>
      <c r="C329" s="205"/>
      <c r="E329" s="205" t="s">
        <v>120</v>
      </c>
      <c r="G329" s="205">
        <v>198</v>
      </c>
      <c r="H329" s="205" t="s">
        <v>14</v>
      </c>
      <c r="I329" s="205">
        <v>0.3350253807106599</v>
      </c>
    </row>
    <row r="330" spans="1:9" x14ac:dyDescent="0.2">
      <c r="A330" s="205"/>
      <c r="C330" s="205"/>
      <c r="E330" s="205" t="s">
        <v>125</v>
      </c>
      <c r="G330" s="205">
        <v>591</v>
      </c>
      <c r="H330" s="205" t="s">
        <v>15</v>
      </c>
      <c r="I330" s="205">
        <v>1</v>
      </c>
    </row>
    <row r="331" spans="1:9" x14ac:dyDescent="0.2">
      <c r="A331" s="205"/>
      <c r="C331" s="205"/>
    </row>
    <row r="332" spans="1:9" x14ac:dyDescent="0.2">
      <c r="A332" s="205">
        <v>67</v>
      </c>
      <c r="B332" s="205" t="s">
        <v>288</v>
      </c>
      <c r="C332" s="205"/>
      <c r="E332" s="205" t="s">
        <v>118</v>
      </c>
      <c r="G332" s="205">
        <v>199</v>
      </c>
      <c r="H332" s="205" t="s">
        <v>12</v>
      </c>
      <c r="I332" s="205">
        <v>0.33166666666666667</v>
      </c>
    </row>
    <row r="333" spans="1:9" x14ac:dyDescent="0.2">
      <c r="A333" s="205">
        <v>67</v>
      </c>
      <c r="B333" s="205" t="s">
        <v>288</v>
      </c>
      <c r="C333" s="205"/>
      <c r="E333" s="205" t="s">
        <v>119</v>
      </c>
      <c r="G333" s="205">
        <v>200</v>
      </c>
      <c r="H333" s="205" t="s">
        <v>13</v>
      </c>
      <c r="I333" s="205">
        <v>0.33333333333333331</v>
      </c>
    </row>
    <row r="334" spans="1:9" x14ac:dyDescent="0.2">
      <c r="A334" s="205">
        <v>67</v>
      </c>
      <c r="B334" s="205" t="s">
        <v>288</v>
      </c>
      <c r="C334" s="205"/>
      <c r="E334" s="205" t="s">
        <v>120</v>
      </c>
      <c r="G334" s="205">
        <v>201</v>
      </c>
      <c r="H334" s="205" t="s">
        <v>14</v>
      </c>
      <c r="I334" s="205">
        <v>0.33500000000000002</v>
      </c>
    </row>
    <row r="335" spans="1:9" x14ac:dyDescent="0.2">
      <c r="A335" s="205"/>
      <c r="C335" s="205"/>
      <c r="E335" s="205" t="s">
        <v>125</v>
      </c>
      <c r="G335" s="205">
        <v>600</v>
      </c>
      <c r="H335" s="205" t="s">
        <v>15</v>
      </c>
      <c r="I335" s="205">
        <v>1</v>
      </c>
    </row>
    <row r="336" spans="1:9" x14ac:dyDescent="0.2">
      <c r="A336" s="205"/>
      <c r="C336" s="205"/>
    </row>
    <row r="337" spans="1:9" x14ac:dyDescent="0.2">
      <c r="A337" s="205">
        <v>68</v>
      </c>
      <c r="B337" s="205" t="s">
        <v>289</v>
      </c>
      <c r="C337" s="205"/>
      <c r="E337" s="205" t="s">
        <v>118</v>
      </c>
      <c r="G337" s="205">
        <v>202</v>
      </c>
      <c r="H337" s="205" t="s">
        <v>12</v>
      </c>
      <c r="I337" s="205">
        <v>0.33169129720853857</v>
      </c>
    </row>
    <row r="338" spans="1:9" x14ac:dyDescent="0.2">
      <c r="A338" s="205">
        <v>68</v>
      </c>
      <c r="B338" s="205" t="s">
        <v>289</v>
      </c>
      <c r="C338" s="205"/>
      <c r="E338" s="205" t="s">
        <v>119</v>
      </c>
      <c r="G338" s="205">
        <v>203</v>
      </c>
      <c r="H338" s="205" t="s">
        <v>13</v>
      </c>
      <c r="I338" s="205">
        <v>0.33333333333333331</v>
      </c>
    </row>
    <row r="339" spans="1:9" x14ac:dyDescent="0.2">
      <c r="A339" s="205">
        <v>68</v>
      </c>
      <c r="B339" s="205" t="s">
        <v>289</v>
      </c>
      <c r="C339" s="205"/>
      <c r="E339" s="205" t="s">
        <v>120</v>
      </c>
      <c r="G339" s="205">
        <v>204</v>
      </c>
      <c r="H339" s="205" t="s">
        <v>14</v>
      </c>
      <c r="I339" s="205">
        <v>0.33497536945812806</v>
      </c>
    </row>
    <row r="340" spans="1:9" x14ac:dyDescent="0.2">
      <c r="A340" s="205"/>
      <c r="C340" s="205"/>
      <c r="E340" s="205" t="s">
        <v>125</v>
      </c>
      <c r="G340" s="205">
        <v>609</v>
      </c>
      <c r="H340" s="205" t="s">
        <v>15</v>
      </c>
      <c r="I340" s="205">
        <v>1</v>
      </c>
    </row>
    <row r="341" spans="1:9" x14ac:dyDescent="0.2">
      <c r="A341" s="205"/>
      <c r="C341" s="205"/>
    </row>
    <row r="342" spans="1:9" x14ac:dyDescent="0.2">
      <c r="A342" s="205">
        <v>69</v>
      </c>
      <c r="B342" s="205" t="s">
        <v>290</v>
      </c>
      <c r="C342" s="205"/>
      <c r="E342" s="205" t="s">
        <v>118</v>
      </c>
      <c r="G342" s="205">
        <v>205</v>
      </c>
      <c r="H342" s="205" t="s">
        <v>12</v>
      </c>
      <c r="I342" s="205">
        <v>0.33171521035598706</v>
      </c>
    </row>
    <row r="343" spans="1:9" x14ac:dyDescent="0.2">
      <c r="A343" s="205">
        <v>69</v>
      </c>
      <c r="B343" s="205" t="s">
        <v>290</v>
      </c>
      <c r="C343" s="205"/>
      <c r="E343" s="205" t="s">
        <v>119</v>
      </c>
      <c r="G343" s="205">
        <v>206</v>
      </c>
      <c r="H343" s="205" t="s">
        <v>13</v>
      </c>
      <c r="I343" s="205">
        <v>0.33333333333333331</v>
      </c>
    </row>
    <row r="344" spans="1:9" x14ac:dyDescent="0.2">
      <c r="A344" s="205">
        <v>69</v>
      </c>
      <c r="B344" s="205" t="s">
        <v>290</v>
      </c>
      <c r="C344" s="205"/>
      <c r="E344" s="205" t="s">
        <v>120</v>
      </c>
      <c r="G344" s="205">
        <v>207</v>
      </c>
      <c r="H344" s="205" t="s">
        <v>14</v>
      </c>
      <c r="I344" s="205">
        <v>0.33495145631067963</v>
      </c>
    </row>
    <row r="345" spans="1:9" x14ac:dyDescent="0.2">
      <c r="A345" s="205"/>
      <c r="C345" s="205"/>
      <c r="E345" s="205" t="s">
        <v>125</v>
      </c>
      <c r="G345" s="205">
        <v>618</v>
      </c>
      <c r="H345" s="205" t="s">
        <v>15</v>
      </c>
      <c r="I345" s="205">
        <v>1</v>
      </c>
    </row>
    <row r="346" spans="1:9" x14ac:dyDescent="0.2">
      <c r="A346" s="205"/>
      <c r="C346" s="205"/>
    </row>
    <row r="347" spans="1:9" x14ac:dyDescent="0.2">
      <c r="A347" s="205">
        <v>70</v>
      </c>
      <c r="B347" s="205" t="s">
        <v>291</v>
      </c>
      <c r="C347" s="205"/>
      <c r="E347" s="205" t="s">
        <v>118</v>
      </c>
      <c r="G347" s="205">
        <v>208</v>
      </c>
      <c r="H347" s="205" t="s">
        <v>12</v>
      </c>
      <c r="I347" s="205">
        <v>0.33173843700159489</v>
      </c>
    </row>
    <row r="348" spans="1:9" x14ac:dyDescent="0.2">
      <c r="A348" s="205">
        <v>70</v>
      </c>
      <c r="B348" s="205" t="s">
        <v>291</v>
      </c>
      <c r="C348" s="205"/>
      <c r="E348" s="205" t="s">
        <v>119</v>
      </c>
      <c r="G348" s="205">
        <v>209</v>
      </c>
      <c r="H348" s="205" t="s">
        <v>13</v>
      </c>
      <c r="I348" s="205">
        <v>0.33333333333333331</v>
      </c>
    </row>
    <row r="349" spans="1:9" x14ac:dyDescent="0.2">
      <c r="A349" s="205">
        <v>70</v>
      </c>
      <c r="B349" s="205" t="s">
        <v>291</v>
      </c>
      <c r="C349" s="205"/>
      <c r="E349" s="205" t="s">
        <v>120</v>
      </c>
      <c r="G349" s="205">
        <v>210</v>
      </c>
      <c r="H349" s="205" t="s">
        <v>14</v>
      </c>
      <c r="I349" s="205">
        <v>0.3349282296650718</v>
      </c>
    </row>
    <row r="350" spans="1:9" x14ac:dyDescent="0.2">
      <c r="A350" s="205"/>
      <c r="C350" s="205"/>
      <c r="E350" s="205" t="s">
        <v>125</v>
      </c>
      <c r="G350" s="205">
        <v>627</v>
      </c>
      <c r="H350" s="205" t="s">
        <v>15</v>
      </c>
      <c r="I350" s="205">
        <v>1</v>
      </c>
    </row>
    <row r="351" spans="1:9" x14ac:dyDescent="0.2">
      <c r="A351" s="205"/>
      <c r="C351" s="205"/>
    </row>
    <row r="352" spans="1:9" x14ac:dyDescent="0.2">
      <c r="A352" s="205">
        <v>71</v>
      </c>
      <c r="B352" s="205" t="s">
        <v>292</v>
      </c>
      <c r="C352" s="205"/>
      <c r="E352" s="205" t="s">
        <v>118</v>
      </c>
      <c r="G352" s="205">
        <v>211</v>
      </c>
      <c r="H352" s="205" t="s">
        <v>12</v>
      </c>
      <c r="I352" s="205">
        <v>0.33176100628930816</v>
      </c>
    </row>
    <row r="353" spans="1:9" x14ac:dyDescent="0.2">
      <c r="A353" s="205">
        <v>71</v>
      </c>
      <c r="B353" s="205" t="s">
        <v>292</v>
      </c>
      <c r="C353" s="205"/>
      <c r="E353" s="205" t="s">
        <v>119</v>
      </c>
      <c r="G353" s="205">
        <v>212</v>
      </c>
      <c r="H353" s="205" t="s">
        <v>13</v>
      </c>
      <c r="I353" s="205">
        <v>0.33333333333333331</v>
      </c>
    </row>
    <row r="354" spans="1:9" x14ac:dyDescent="0.2">
      <c r="A354" s="205">
        <v>71</v>
      </c>
      <c r="B354" s="205" t="s">
        <v>292</v>
      </c>
      <c r="C354" s="205"/>
      <c r="E354" s="205" t="s">
        <v>120</v>
      </c>
      <c r="G354" s="205">
        <v>213</v>
      </c>
      <c r="H354" s="205" t="s">
        <v>14</v>
      </c>
      <c r="I354" s="205">
        <v>0.33490566037735847</v>
      </c>
    </row>
    <row r="355" spans="1:9" x14ac:dyDescent="0.2">
      <c r="A355" s="205"/>
      <c r="C355" s="205"/>
      <c r="E355" s="205" t="s">
        <v>125</v>
      </c>
      <c r="G355" s="205">
        <v>636</v>
      </c>
      <c r="H355" s="205" t="s">
        <v>15</v>
      </c>
      <c r="I355" s="205">
        <v>0.99999999999999989</v>
      </c>
    </row>
    <row r="356" spans="1:9" x14ac:dyDescent="0.2">
      <c r="A356" s="205"/>
      <c r="C356" s="205"/>
    </row>
    <row r="357" spans="1:9" x14ac:dyDescent="0.2">
      <c r="A357" s="205">
        <v>72</v>
      </c>
      <c r="B357" s="205" t="s">
        <v>293</v>
      </c>
      <c r="C357" s="205"/>
      <c r="E357" s="205" t="s">
        <v>118</v>
      </c>
      <c r="G357" s="205">
        <v>214</v>
      </c>
      <c r="H357" s="205" t="s">
        <v>12</v>
      </c>
      <c r="I357" s="205">
        <v>0.33178294573643413</v>
      </c>
    </row>
    <row r="358" spans="1:9" x14ac:dyDescent="0.2">
      <c r="A358" s="205">
        <v>72</v>
      </c>
      <c r="B358" s="205" t="s">
        <v>293</v>
      </c>
      <c r="C358" s="205"/>
      <c r="E358" s="205" t="s">
        <v>119</v>
      </c>
      <c r="G358" s="205">
        <v>215</v>
      </c>
      <c r="H358" s="205" t="s">
        <v>13</v>
      </c>
      <c r="I358" s="205">
        <v>0.33333333333333331</v>
      </c>
    </row>
    <row r="359" spans="1:9" x14ac:dyDescent="0.2">
      <c r="A359" s="205">
        <v>72</v>
      </c>
      <c r="B359" s="205" t="s">
        <v>293</v>
      </c>
      <c r="C359" s="205"/>
      <c r="E359" s="205" t="s">
        <v>120</v>
      </c>
      <c r="G359" s="205">
        <v>216</v>
      </c>
      <c r="H359" s="205" t="s">
        <v>14</v>
      </c>
      <c r="I359" s="205">
        <v>0.33488372093023255</v>
      </c>
    </row>
    <row r="360" spans="1:9" x14ac:dyDescent="0.2">
      <c r="A360" s="205"/>
      <c r="C360" s="205"/>
      <c r="E360" s="205" t="s">
        <v>125</v>
      </c>
      <c r="G360" s="205">
        <v>645</v>
      </c>
      <c r="H360" s="205" t="s">
        <v>15</v>
      </c>
      <c r="I360" s="205">
        <v>1</v>
      </c>
    </row>
    <row r="361" spans="1:9" x14ac:dyDescent="0.2">
      <c r="A361" s="205"/>
      <c r="C361" s="205"/>
    </row>
    <row r="362" spans="1:9" x14ac:dyDescent="0.2">
      <c r="A362" s="205">
        <v>73</v>
      </c>
      <c r="B362" s="205" t="s">
        <v>294</v>
      </c>
      <c r="C362" s="205"/>
      <c r="E362" s="205" t="s">
        <v>118</v>
      </c>
      <c r="G362" s="205">
        <v>217</v>
      </c>
      <c r="H362" s="205" t="s">
        <v>12</v>
      </c>
      <c r="I362" s="205">
        <v>0.33180428134556578</v>
      </c>
    </row>
    <row r="363" spans="1:9" x14ac:dyDescent="0.2">
      <c r="A363" s="205">
        <v>73</v>
      </c>
      <c r="B363" s="205" t="s">
        <v>294</v>
      </c>
      <c r="C363" s="205"/>
      <c r="E363" s="205" t="s">
        <v>119</v>
      </c>
      <c r="G363" s="205">
        <v>218</v>
      </c>
      <c r="H363" s="205" t="s">
        <v>13</v>
      </c>
      <c r="I363" s="205">
        <v>0.33333333333333331</v>
      </c>
    </row>
    <row r="364" spans="1:9" x14ac:dyDescent="0.2">
      <c r="A364" s="205">
        <v>73</v>
      </c>
      <c r="B364" s="205" t="s">
        <v>294</v>
      </c>
      <c r="C364" s="205"/>
      <c r="E364" s="205" t="s">
        <v>120</v>
      </c>
      <c r="G364" s="205">
        <v>219</v>
      </c>
      <c r="H364" s="205" t="s">
        <v>14</v>
      </c>
      <c r="I364" s="205">
        <v>0.33486238532110091</v>
      </c>
    </row>
    <row r="365" spans="1:9" x14ac:dyDescent="0.2">
      <c r="A365" s="205"/>
      <c r="C365" s="205"/>
      <c r="E365" s="205" t="s">
        <v>125</v>
      </c>
      <c r="G365" s="205">
        <v>654</v>
      </c>
      <c r="H365" s="205" t="s">
        <v>15</v>
      </c>
      <c r="I365" s="205">
        <v>1</v>
      </c>
    </row>
    <row r="366" spans="1:9" x14ac:dyDescent="0.2">
      <c r="A366" s="205"/>
      <c r="C366" s="205"/>
    </row>
    <row r="367" spans="1:9" x14ac:dyDescent="0.2">
      <c r="A367" s="205">
        <v>74</v>
      </c>
      <c r="B367" s="205" t="s">
        <v>295</v>
      </c>
      <c r="C367" s="205"/>
      <c r="E367" s="205" t="s">
        <v>118</v>
      </c>
      <c r="G367" s="205">
        <v>220</v>
      </c>
      <c r="H367" s="205" t="s">
        <v>12</v>
      </c>
      <c r="I367" s="205">
        <v>0.33182503770739064</v>
      </c>
    </row>
    <row r="368" spans="1:9" x14ac:dyDescent="0.2">
      <c r="A368" s="205">
        <v>74</v>
      </c>
      <c r="B368" s="205" t="s">
        <v>295</v>
      </c>
      <c r="C368" s="205"/>
      <c r="E368" s="205" t="s">
        <v>119</v>
      </c>
      <c r="G368" s="205">
        <v>221</v>
      </c>
      <c r="H368" s="205" t="s">
        <v>13</v>
      </c>
      <c r="I368" s="205">
        <v>0.33333333333333331</v>
      </c>
    </row>
    <row r="369" spans="1:9" x14ac:dyDescent="0.2">
      <c r="A369" s="205">
        <v>74</v>
      </c>
      <c r="B369" s="205" t="s">
        <v>295</v>
      </c>
      <c r="C369" s="205"/>
      <c r="E369" s="205" t="s">
        <v>120</v>
      </c>
      <c r="G369" s="205">
        <v>222</v>
      </c>
      <c r="H369" s="205" t="s">
        <v>14</v>
      </c>
      <c r="I369" s="205">
        <v>0.33484162895927599</v>
      </c>
    </row>
    <row r="370" spans="1:9" x14ac:dyDescent="0.2">
      <c r="A370" s="205"/>
      <c r="C370" s="205"/>
      <c r="E370" s="205" t="s">
        <v>125</v>
      </c>
      <c r="G370" s="205">
        <v>663</v>
      </c>
      <c r="H370" s="205" t="s">
        <v>15</v>
      </c>
      <c r="I370" s="205">
        <v>1</v>
      </c>
    </row>
    <row r="371" spans="1:9" x14ac:dyDescent="0.2">
      <c r="A371" s="205"/>
      <c r="C371" s="205"/>
    </row>
    <row r="372" spans="1:9" x14ac:dyDescent="0.2">
      <c r="A372" s="205">
        <v>75</v>
      </c>
      <c r="B372" s="205" t="s">
        <v>296</v>
      </c>
      <c r="C372" s="205"/>
      <c r="E372" s="205" t="s">
        <v>118</v>
      </c>
      <c r="G372" s="205">
        <v>223</v>
      </c>
      <c r="H372" s="205" t="s">
        <v>12</v>
      </c>
      <c r="I372" s="205">
        <v>0.33184523809523808</v>
      </c>
    </row>
    <row r="373" spans="1:9" x14ac:dyDescent="0.2">
      <c r="A373" s="205">
        <v>75</v>
      </c>
      <c r="B373" s="205" t="s">
        <v>296</v>
      </c>
      <c r="C373" s="205"/>
      <c r="E373" s="205" t="s">
        <v>119</v>
      </c>
      <c r="G373" s="205">
        <v>224</v>
      </c>
      <c r="H373" s="205" t="s">
        <v>13</v>
      </c>
      <c r="I373" s="205">
        <v>0.33333333333333331</v>
      </c>
    </row>
    <row r="374" spans="1:9" x14ac:dyDescent="0.2">
      <c r="A374" s="205">
        <v>75</v>
      </c>
      <c r="B374" s="205" t="s">
        <v>296</v>
      </c>
      <c r="C374" s="205"/>
      <c r="E374" s="205" t="s">
        <v>120</v>
      </c>
      <c r="G374" s="205">
        <v>225</v>
      </c>
      <c r="H374" s="205" t="s">
        <v>14</v>
      </c>
      <c r="I374" s="205">
        <v>0.33482142857142855</v>
      </c>
    </row>
    <row r="375" spans="1:9" x14ac:dyDescent="0.2">
      <c r="A375" s="205"/>
      <c r="C375" s="205"/>
      <c r="E375" s="205" t="s">
        <v>125</v>
      </c>
      <c r="G375" s="205">
        <v>672</v>
      </c>
      <c r="H375" s="205" t="s">
        <v>15</v>
      </c>
      <c r="I375" s="205">
        <v>1</v>
      </c>
    </row>
    <row r="376" spans="1:9" x14ac:dyDescent="0.2">
      <c r="A376" s="205"/>
      <c r="C376" s="205"/>
    </row>
    <row r="377" spans="1:9" x14ac:dyDescent="0.2">
      <c r="A377" s="205">
        <v>76</v>
      </c>
      <c r="B377" s="205" t="s">
        <v>297</v>
      </c>
      <c r="C377" s="205"/>
      <c r="E377" s="205" t="s">
        <v>118</v>
      </c>
      <c r="G377" s="205">
        <v>226</v>
      </c>
      <c r="H377" s="205" t="s">
        <v>12</v>
      </c>
      <c r="I377" s="205">
        <v>0.33186490455212925</v>
      </c>
    </row>
    <row r="378" spans="1:9" x14ac:dyDescent="0.2">
      <c r="A378" s="205">
        <v>76</v>
      </c>
      <c r="B378" s="205" t="s">
        <v>297</v>
      </c>
      <c r="C378" s="205"/>
      <c r="E378" s="205" t="s">
        <v>119</v>
      </c>
      <c r="G378" s="205">
        <v>227</v>
      </c>
      <c r="H378" s="205" t="s">
        <v>13</v>
      </c>
      <c r="I378" s="205">
        <v>0.33333333333333331</v>
      </c>
    </row>
    <row r="379" spans="1:9" x14ac:dyDescent="0.2">
      <c r="A379" s="205">
        <v>76</v>
      </c>
      <c r="B379" s="205" t="s">
        <v>297</v>
      </c>
      <c r="C379" s="205"/>
      <c r="E379" s="205" t="s">
        <v>120</v>
      </c>
      <c r="G379" s="205">
        <v>228</v>
      </c>
      <c r="H379" s="205" t="s">
        <v>14</v>
      </c>
      <c r="I379" s="205">
        <v>0.33480176211453744</v>
      </c>
    </row>
    <row r="380" spans="1:9" x14ac:dyDescent="0.2">
      <c r="A380" s="205"/>
      <c r="C380" s="205"/>
      <c r="E380" s="205" t="s">
        <v>125</v>
      </c>
      <c r="G380" s="205">
        <v>681</v>
      </c>
      <c r="H380" s="205" t="s">
        <v>15</v>
      </c>
      <c r="I380" s="205">
        <v>1</v>
      </c>
    </row>
    <row r="381" spans="1:9" x14ac:dyDescent="0.2">
      <c r="A381" s="205"/>
      <c r="C381" s="205"/>
    </row>
    <row r="382" spans="1:9" x14ac:dyDescent="0.2">
      <c r="A382" s="205">
        <v>77</v>
      </c>
      <c r="B382" s="205" t="s">
        <v>298</v>
      </c>
      <c r="C382" s="205"/>
      <c r="E382" s="205" t="s">
        <v>118</v>
      </c>
      <c r="G382" s="205">
        <v>229</v>
      </c>
      <c r="H382" s="205" t="s">
        <v>12</v>
      </c>
      <c r="I382" s="205">
        <v>0.3318840579710145</v>
      </c>
    </row>
    <row r="383" spans="1:9" x14ac:dyDescent="0.2">
      <c r="A383" s="205">
        <v>77</v>
      </c>
      <c r="B383" s="205" t="s">
        <v>298</v>
      </c>
      <c r="C383" s="205"/>
      <c r="E383" s="205" t="s">
        <v>119</v>
      </c>
      <c r="G383" s="205">
        <v>230</v>
      </c>
      <c r="H383" s="205" t="s">
        <v>13</v>
      </c>
      <c r="I383" s="205">
        <v>0.33333333333333331</v>
      </c>
    </row>
    <row r="384" spans="1:9" x14ac:dyDescent="0.2">
      <c r="A384" s="205">
        <v>77</v>
      </c>
      <c r="B384" s="205" t="s">
        <v>298</v>
      </c>
      <c r="C384" s="205"/>
      <c r="E384" s="205" t="s">
        <v>120</v>
      </c>
      <c r="G384" s="205">
        <v>231</v>
      </c>
      <c r="H384" s="205" t="s">
        <v>14</v>
      </c>
      <c r="I384" s="205">
        <v>0.33478260869565218</v>
      </c>
    </row>
    <row r="385" spans="1:9" x14ac:dyDescent="0.2">
      <c r="A385" s="205"/>
      <c r="C385" s="205"/>
      <c r="E385" s="205" t="s">
        <v>125</v>
      </c>
      <c r="G385" s="205">
        <v>690</v>
      </c>
      <c r="H385" s="205" t="s">
        <v>15</v>
      </c>
      <c r="I385" s="205">
        <v>1</v>
      </c>
    </row>
    <row r="386" spans="1:9" x14ac:dyDescent="0.2">
      <c r="A386" s="205"/>
      <c r="C386" s="205"/>
    </row>
    <row r="387" spans="1:9" x14ac:dyDescent="0.2">
      <c r="A387" s="205">
        <v>78</v>
      </c>
      <c r="B387" s="205" t="s">
        <v>299</v>
      </c>
      <c r="C387" s="205"/>
      <c r="E387" s="205" t="s">
        <v>118</v>
      </c>
      <c r="G387" s="205">
        <v>232</v>
      </c>
      <c r="H387" s="205" t="s">
        <v>12</v>
      </c>
      <c r="I387" s="205">
        <v>0.33190271816881262</v>
      </c>
    </row>
    <row r="388" spans="1:9" x14ac:dyDescent="0.2">
      <c r="A388" s="205">
        <v>78</v>
      </c>
      <c r="B388" s="205" t="s">
        <v>299</v>
      </c>
      <c r="C388" s="205"/>
      <c r="E388" s="205" t="s">
        <v>119</v>
      </c>
      <c r="G388" s="205">
        <v>233</v>
      </c>
      <c r="H388" s="205" t="s">
        <v>13</v>
      </c>
      <c r="I388" s="205">
        <v>0.33333333333333331</v>
      </c>
    </row>
    <row r="389" spans="1:9" x14ac:dyDescent="0.2">
      <c r="A389" s="205">
        <v>78</v>
      </c>
      <c r="B389" s="205" t="s">
        <v>299</v>
      </c>
      <c r="C389" s="205"/>
      <c r="E389" s="205" t="s">
        <v>120</v>
      </c>
      <c r="G389" s="205">
        <v>234</v>
      </c>
      <c r="H389" s="205" t="s">
        <v>14</v>
      </c>
      <c r="I389" s="205">
        <v>0.33476394849785407</v>
      </c>
    </row>
    <row r="390" spans="1:9" x14ac:dyDescent="0.2">
      <c r="A390" s="205"/>
      <c r="C390" s="205"/>
      <c r="E390" s="205" t="s">
        <v>125</v>
      </c>
      <c r="G390" s="205">
        <v>699</v>
      </c>
      <c r="H390" s="205" t="s">
        <v>15</v>
      </c>
      <c r="I390" s="205">
        <v>1</v>
      </c>
    </row>
    <row r="391" spans="1:9" x14ac:dyDescent="0.2">
      <c r="A391" s="205"/>
      <c r="C391" s="205"/>
    </row>
    <row r="392" spans="1:9" x14ac:dyDescent="0.2">
      <c r="A392" s="205">
        <v>79</v>
      </c>
      <c r="B392" s="205" t="s">
        <v>300</v>
      </c>
      <c r="C392" s="205"/>
      <c r="E392" s="205" t="s">
        <v>118</v>
      </c>
      <c r="G392" s="205">
        <v>235</v>
      </c>
      <c r="H392" s="205" t="s">
        <v>12</v>
      </c>
      <c r="I392" s="205">
        <v>0.33192090395480228</v>
      </c>
    </row>
    <row r="393" spans="1:9" x14ac:dyDescent="0.2">
      <c r="A393" s="205">
        <v>79</v>
      </c>
      <c r="B393" s="205" t="s">
        <v>300</v>
      </c>
      <c r="C393" s="205"/>
      <c r="E393" s="205" t="s">
        <v>119</v>
      </c>
      <c r="G393" s="205">
        <v>236</v>
      </c>
      <c r="H393" s="205" t="s">
        <v>13</v>
      </c>
      <c r="I393" s="205">
        <v>0.33333333333333331</v>
      </c>
    </row>
    <row r="394" spans="1:9" x14ac:dyDescent="0.2">
      <c r="A394" s="205">
        <v>79</v>
      </c>
      <c r="B394" s="205" t="s">
        <v>300</v>
      </c>
      <c r="C394" s="205"/>
      <c r="E394" s="205" t="s">
        <v>120</v>
      </c>
      <c r="G394" s="205">
        <v>237</v>
      </c>
      <c r="H394" s="205" t="s">
        <v>14</v>
      </c>
      <c r="I394" s="205">
        <v>0.3347457627118644</v>
      </c>
    </row>
    <row r="395" spans="1:9" x14ac:dyDescent="0.2">
      <c r="A395" s="205"/>
      <c r="C395" s="205"/>
      <c r="E395" s="205" t="s">
        <v>125</v>
      </c>
      <c r="G395" s="205">
        <v>708</v>
      </c>
      <c r="H395" s="205" t="s">
        <v>15</v>
      </c>
      <c r="I395" s="205">
        <v>1</v>
      </c>
    </row>
    <row r="396" spans="1:9" x14ac:dyDescent="0.2">
      <c r="A396" s="205"/>
      <c r="C396" s="205"/>
    </row>
    <row r="397" spans="1:9" x14ac:dyDescent="0.2">
      <c r="A397" s="205">
        <v>80</v>
      </c>
      <c r="B397" s="205" t="s">
        <v>301</v>
      </c>
      <c r="C397" s="205"/>
      <c r="E397" s="205" t="s">
        <v>118</v>
      </c>
      <c r="G397" s="205">
        <v>238</v>
      </c>
      <c r="H397" s="205" t="s">
        <v>12</v>
      </c>
      <c r="I397" s="205">
        <v>0.3319386331938633</v>
      </c>
    </row>
    <row r="398" spans="1:9" x14ac:dyDescent="0.2">
      <c r="A398" s="205">
        <v>80</v>
      </c>
      <c r="B398" s="205" t="s">
        <v>301</v>
      </c>
      <c r="C398" s="205"/>
      <c r="E398" s="205" t="s">
        <v>119</v>
      </c>
      <c r="G398" s="205">
        <v>239</v>
      </c>
      <c r="H398" s="205" t="s">
        <v>13</v>
      </c>
      <c r="I398" s="205">
        <v>0.33333333333333331</v>
      </c>
    </row>
    <row r="399" spans="1:9" x14ac:dyDescent="0.2">
      <c r="A399" s="205">
        <v>80</v>
      </c>
      <c r="B399" s="205" t="s">
        <v>301</v>
      </c>
      <c r="C399" s="205"/>
      <c r="E399" s="205" t="s">
        <v>120</v>
      </c>
      <c r="G399" s="205">
        <v>240</v>
      </c>
      <c r="H399" s="205" t="s">
        <v>14</v>
      </c>
      <c r="I399" s="205">
        <v>0.33472803347280333</v>
      </c>
    </row>
    <row r="400" spans="1:9" x14ac:dyDescent="0.2">
      <c r="A400" s="205"/>
      <c r="C400" s="205"/>
      <c r="E400" s="205" t="s">
        <v>125</v>
      </c>
      <c r="G400" s="205">
        <v>717</v>
      </c>
      <c r="H400" s="205" t="s">
        <v>15</v>
      </c>
      <c r="I400" s="205">
        <v>1</v>
      </c>
    </row>
    <row r="401" spans="1:9" x14ac:dyDescent="0.2">
      <c r="A401" s="205"/>
      <c r="C401" s="205"/>
    </row>
    <row r="402" spans="1:9" x14ac:dyDescent="0.2">
      <c r="A402" s="205">
        <v>81</v>
      </c>
      <c r="B402" s="205" t="s">
        <v>302</v>
      </c>
      <c r="C402" s="205"/>
      <c r="E402" s="205" t="s">
        <v>118</v>
      </c>
      <c r="G402" s="205">
        <v>241</v>
      </c>
      <c r="H402" s="205" t="s">
        <v>12</v>
      </c>
      <c r="I402" s="205">
        <v>0.3319559228650138</v>
      </c>
    </row>
    <row r="403" spans="1:9" x14ac:dyDescent="0.2">
      <c r="A403" s="205">
        <v>81</v>
      </c>
      <c r="B403" s="205" t="s">
        <v>302</v>
      </c>
      <c r="C403" s="205"/>
      <c r="E403" s="205" t="s">
        <v>119</v>
      </c>
      <c r="G403" s="205">
        <v>242</v>
      </c>
      <c r="H403" s="205" t="s">
        <v>13</v>
      </c>
      <c r="I403" s="205">
        <v>0.33333333333333331</v>
      </c>
    </row>
    <row r="404" spans="1:9" x14ac:dyDescent="0.2">
      <c r="A404" s="205">
        <v>81</v>
      </c>
      <c r="B404" s="205" t="s">
        <v>302</v>
      </c>
      <c r="C404" s="205"/>
      <c r="E404" s="205" t="s">
        <v>120</v>
      </c>
      <c r="G404" s="205">
        <v>243</v>
      </c>
      <c r="H404" s="205" t="s">
        <v>14</v>
      </c>
      <c r="I404" s="205">
        <v>0.33471074380165289</v>
      </c>
    </row>
    <row r="405" spans="1:9" x14ac:dyDescent="0.2">
      <c r="A405" s="205"/>
      <c r="C405" s="205"/>
      <c r="E405" s="205" t="s">
        <v>125</v>
      </c>
      <c r="G405" s="205">
        <v>726</v>
      </c>
      <c r="H405" s="205" t="s">
        <v>15</v>
      </c>
      <c r="I405" s="205">
        <v>1</v>
      </c>
    </row>
    <row r="406" spans="1:9" x14ac:dyDescent="0.2">
      <c r="A406" s="205"/>
      <c r="C406" s="205"/>
    </row>
    <row r="407" spans="1:9" x14ac:dyDescent="0.2">
      <c r="A407" s="205">
        <v>82</v>
      </c>
      <c r="B407" s="205" t="s">
        <v>303</v>
      </c>
      <c r="C407" s="205"/>
      <c r="E407" s="205" t="s">
        <v>118</v>
      </c>
      <c r="G407" s="205">
        <v>244</v>
      </c>
      <c r="H407" s="205" t="s">
        <v>12</v>
      </c>
      <c r="I407" s="205">
        <v>0.33197278911564626</v>
      </c>
    </row>
    <row r="408" spans="1:9" x14ac:dyDescent="0.2">
      <c r="A408" s="205">
        <v>82</v>
      </c>
      <c r="B408" s="205" t="s">
        <v>303</v>
      </c>
      <c r="C408" s="205"/>
      <c r="E408" s="205" t="s">
        <v>119</v>
      </c>
      <c r="G408" s="205">
        <v>245</v>
      </c>
      <c r="H408" s="205" t="s">
        <v>13</v>
      </c>
      <c r="I408" s="205">
        <v>0.33333333333333331</v>
      </c>
    </row>
    <row r="409" spans="1:9" x14ac:dyDescent="0.2">
      <c r="A409" s="205">
        <v>82</v>
      </c>
      <c r="B409" s="205" t="s">
        <v>303</v>
      </c>
      <c r="C409" s="205"/>
      <c r="E409" s="205" t="s">
        <v>120</v>
      </c>
      <c r="G409" s="205">
        <v>246</v>
      </c>
      <c r="H409" s="205" t="s">
        <v>14</v>
      </c>
      <c r="I409" s="205">
        <v>0.33469387755102042</v>
      </c>
    </row>
    <row r="410" spans="1:9" x14ac:dyDescent="0.2">
      <c r="A410" s="205"/>
      <c r="C410" s="205"/>
      <c r="E410" s="205" t="s">
        <v>125</v>
      </c>
      <c r="G410" s="205">
        <v>735</v>
      </c>
      <c r="H410" s="205" t="s">
        <v>15</v>
      </c>
      <c r="I410" s="205">
        <v>1</v>
      </c>
    </row>
    <row r="411" spans="1:9" x14ac:dyDescent="0.2">
      <c r="A411" s="205"/>
      <c r="C411" s="205"/>
    </row>
    <row r="412" spans="1:9" x14ac:dyDescent="0.2">
      <c r="A412" s="205">
        <v>83</v>
      </c>
      <c r="B412" s="205" t="s">
        <v>304</v>
      </c>
      <c r="C412" s="205"/>
      <c r="E412" s="205" t="s">
        <v>118</v>
      </c>
      <c r="G412" s="205">
        <v>247</v>
      </c>
      <c r="H412" s="205" t="s">
        <v>12</v>
      </c>
      <c r="I412" s="205">
        <v>0.33198924731182794</v>
      </c>
    </row>
    <row r="413" spans="1:9" x14ac:dyDescent="0.2">
      <c r="A413" s="205">
        <v>83</v>
      </c>
      <c r="B413" s="205" t="s">
        <v>304</v>
      </c>
      <c r="C413" s="205"/>
      <c r="E413" s="205" t="s">
        <v>119</v>
      </c>
      <c r="G413" s="205">
        <v>248</v>
      </c>
      <c r="H413" s="205" t="s">
        <v>13</v>
      </c>
      <c r="I413" s="205">
        <v>0.33333333333333331</v>
      </c>
    </row>
    <row r="414" spans="1:9" x14ac:dyDescent="0.2">
      <c r="A414" s="205">
        <v>83</v>
      </c>
      <c r="B414" s="205" t="s">
        <v>304</v>
      </c>
      <c r="C414" s="205"/>
      <c r="E414" s="205" t="s">
        <v>120</v>
      </c>
      <c r="G414" s="205">
        <v>249</v>
      </c>
      <c r="H414" s="205" t="s">
        <v>14</v>
      </c>
      <c r="I414" s="205">
        <v>0.33467741935483869</v>
      </c>
    </row>
    <row r="415" spans="1:9" x14ac:dyDescent="0.2">
      <c r="A415" s="205"/>
      <c r="C415" s="205"/>
      <c r="E415" s="205" t="s">
        <v>125</v>
      </c>
      <c r="G415" s="205">
        <v>744</v>
      </c>
      <c r="H415" s="205" t="s">
        <v>15</v>
      </c>
      <c r="I415" s="205">
        <v>1</v>
      </c>
    </row>
    <row r="416" spans="1:9" x14ac:dyDescent="0.2">
      <c r="A416" s="205"/>
      <c r="C416" s="205"/>
    </row>
    <row r="417" spans="1:9" x14ac:dyDescent="0.2">
      <c r="A417" s="205">
        <v>84</v>
      </c>
      <c r="B417" s="205" t="s">
        <v>305</v>
      </c>
      <c r="C417" s="205"/>
      <c r="E417" s="205" t="s">
        <v>118</v>
      </c>
      <c r="G417" s="205">
        <v>250</v>
      </c>
      <c r="H417" s="205" t="s">
        <v>12</v>
      </c>
      <c r="I417" s="205">
        <v>0.33200531208499334</v>
      </c>
    </row>
    <row r="418" spans="1:9" x14ac:dyDescent="0.2">
      <c r="A418" s="205">
        <v>84</v>
      </c>
      <c r="B418" s="205" t="s">
        <v>305</v>
      </c>
      <c r="C418" s="205"/>
      <c r="E418" s="205" t="s">
        <v>119</v>
      </c>
      <c r="G418" s="205">
        <v>251</v>
      </c>
      <c r="H418" s="205" t="s">
        <v>13</v>
      </c>
      <c r="I418" s="205">
        <v>0.33333333333333331</v>
      </c>
    </row>
    <row r="419" spans="1:9" x14ac:dyDescent="0.2">
      <c r="A419" s="205">
        <v>84</v>
      </c>
      <c r="B419" s="205" t="s">
        <v>305</v>
      </c>
      <c r="C419" s="205"/>
      <c r="E419" s="205" t="s">
        <v>120</v>
      </c>
      <c r="G419" s="205">
        <v>252</v>
      </c>
      <c r="H419" s="205" t="s">
        <v>14</v>
      </c>
      <c r="I419" s="205">
        <v>0.33466135458167329</v>
      </c>
    </row>
    <row r="420" spans="1:9" x14ac:dyDescent="0.2">
      <c r="A420" s="205"/>
      <c r="C420" s="205"/>
      <c r="E420" s="205" t="s">
        <v>125</v>
      </c>
      <c r="G420" s="205">
        <v>753</v>
      </c>
      <c r="H420" s="205" t="s">
        <v>15</v>
      </c>
      <c r="I420" s="205">
        <v>1</v>
      </c>
    </row>
    <row r="421" spans="1:9" x14ac:dyDescent="0.2">
      <c r="A421" s="205"/>
      <c r="C421" s="205"/>
    </row>
    <row r="422" spans="1:9" x14ac:dyDescent="0.2">
      <c r="A422" s="205">
        <v>85</v>
      </c>
      <c r="B422" s="205" t="s">
        <v>306</v>
      </c>
      <c r="C422" s="205"/>
      <c r="E422" s="205" t="s">
        <v>118</v>
      </c>
      <c r="G422" s="205">
        <v>253</v>
      </c>
      <c r="H422" s="205" t="s">
        <v>12</v>
      </c>
      <c r="I422" s="205">
        <v>0.33202099737532809</v>
      </c>
    </row>
    <row r="423" spans="1:9" x14ac:dyDescent="0.2">
      <c r="A423" s="205">
        <v>85</v>
      </c>
      <c r="B423" s="205" t="s">
        <v>306</v>
      </c>
      <c r="C423" s="205"/>
      <c r="E423" s="205" t="s">
        <v>119</v>
      </c>
      <c r="G423" s="205">
        <v>254</v>
      </c>
      <c r="H423" s="205" t="s">
        <v>13</v>
      </c>
      <c r="I423" s="205">
        <v>0.33333333333333331</v>
      </c>
    </row>
    <row r="424" spans="1:9" x14ac:dyDescent="0.2">
      <c r="A424" s="205">
        <v>85</v>
      </c>
      <c r="B424" s="205" t="s">
        <v>306</v>
      </c>
      <c r="C424" s="205"/>
      <c r="E424" s="205" t="s">
        <v>120</v>
      </c>
      <c r="G424" s="205">
        <v>255</v>
      </c>
      <c r="H424" s="205" t="s">
        <v>14</v>
      </c>
      <c r="I424" s="205">
        <v>0.3346456692913386</v>
      </c>
    </row>
    <row r="425" spans="1:9" x14ac:dyDescent="0.2">
      <c r="A425" s="205"/>
      <c r="C425" s="205"/>
      <c r="E425" s="205" t="s">
        <v>125</v>
      </c>
      <c r="G425" s="205">
        <v>762</v>
      </c>
      <c r="H425" s="205" t="s">
        <v>15</v>
      </c>
      <c r="I425" s="205">
        <v>1</v>
      </c>
    </row>
    <row r="426" spans="1:9" x14ac:dyDescent="0.2">
      <c r="A426" s="205"/>
      <c r="C426" s="205"/>
    </row>
    <row r="427" spans="1:9" x14ac:dyDescent="0.2">
      <c r="A427" s="205">
        <v>86</v>
      </c>
      <c r="B427" s="205" t="s">
        <v>307</v>
      </c>
      <c r="C427" s="205"/>
      <c r="E427" s="205" t="s">
        <v>118</v>
      </c>
      <c r="G427" s="205">
        <v>256</v>
      </c>
      <c r="H427" s="205" t="s">
        <v>12</v>
      </c>
      <c r="I427" s="205">
        <v>0.33203631647211412</v>
      </c>
    </row>
    <row r="428" spans="1:9" x14ac:dyDescent="0.2">
      <c r="A428" s="205">
        <v>86</v>
      </c>
      <c r="B428" s="205" t="s">
        <v>307</v>
      </c>
      <c r="C428" s="205"/>
      <c r="E428" s="205" t="s">
        <v>119</v>
      </c>
      <c r="G428" s="205">
        <v>257</v>
      </c>
      <c r="H428" s="205" t="s">
        <v>13</v>
      </c>
      <c r="I428" s="205">
        <v>0.33333333333333331</v>
      </c>
    </row>
    <row r="429" spans="1:9" x14ac:dyDescent="0.2">
      <c r="A429" s="205">
        <v>86</v>
      </c>
      <c r="B429" s="205" t="s">
        <v>307</v>
      </c>
      <c r="C429" s="205"/>
      <c r="E429" s="205" t="s">
        <v>120</v>
      </c>
      <c r="G429" s="205">
        <v>258</v>
      </c>
      <c r="H429" s="205" t="s">
        <v>14</v>
      </c>
      <c r="I429" s="205">
        <v>0.33463035019455251</v>
      </c>
    </row>
    <row r="430" spans="1:9" x14ac:dyDescent="0.2">
      <c r="A430" s="205"/>
      <c r="C430" s="205"/>
      <c r="E430" s="205" t="s">
        <v>125</v>
      </c>
      <c r="G430" s="205">
        <v>771</v>
      </c>
      <c r="H430" s="205" t="s">
        <v>15</v>
      </c>
      <c r="I430" s="205">
        <v>1</v>
      </c>
    </row>
    <row r="431" spans="1:9" x14ac:dyDescent="0.2">
      <c r="A431" s="205"/>
      <c r="C431" s="205"/>
    </row>
    <row r="432" spans="1:9" x14ac:dyDescent="0.2">
      <c r="A432" s="205">
        <v>87</v>
      </c>
      <c r="B432" s="205" t="s">
        <v>308</v>
      </c>
      <c r="C432" s="205"/>
      <c r="E432" s="205" t="s">
        <v>118</v>
      </c>
      <c r="G432" s="205">
        <v>259</v>
      </c>
      <c r="H432" s="205" t="s">
        <v>12</v>
      </c>
      <c r="I432" s="205">
        <v>0.33205128205128204</v>
      </c>
    </row>
    <row r="433" spans="1:9" x14ac:dyDescent="0.2">
      <c r="A433" s="205">
        <v>87</v>
      </c>
      <c r="B433" s="205" t="s">
        <v>308</v>
      </c>
      <c r="C433" s="205"/>
      <c r="E433" s="205" t="s">
        <v>119</v>
      </c>
      <c r="G433" s="205">
        <v>260</v>
      </c>
      <c r="H433" s="205" t="s">
        <v>13</v>
      </c>
      <c r="I433" s="205">
        <v>0.33333333333333331</v>
      </c>
    </row>
    <row r="434" spans="1:9" x14ac:dyDescent="0.2">
      <c r="A434" s="205">
        <v>87</v>
      </c>
      <c r="B434" s="205" t="s">
        <v>308</v>
      </c>
      <c r="C434" s="205"/>
      <c r="E434" s="205" t="s">
        <v>120</v>
      </c>
      <c r="G434" s="205">
        <v>261</v>
      </c>
      <c r="H434" s="205" t="s">
        <v>14</v>
      </c>
      <c r="I434" s="205">
        <v>0.33461538461538459</v>
      </c>
    </row>
    <row r="435" spans="1:9" x14ac:dyDescent="0.2">
      <c r="A435" s="205"/>
      <c r="C435" s="205"/>
      <c r="E435" s="205" t="s">
        <v>125</v>
      </c>
      <c r="G435" s="205">
        <v>780</v>
      </c>
      <c r="H435" s="205" t="s">
        <v>15</v>
      </c>
      <c r="I435" s="205">
        <v>1</v>
      </c>
    </row>
    <row r="436" spans="1:9" x14ac:dyDescent="0.2">
      <c r="A436" s="205"/>
      <c r="C436" s="205"/>
    </row>
    <row r="437" spans="1:9" x14ac:dyDescent="0.2">
      <c r="A437" s="205">
        <v>88</v>
      </c>
      <c r="B437" s="205" t="s">
        <v>309</v>
      </c>
      <c r="C437" s="205"/>
      <c r="E437" s="205" t="s">
        <v>118</v>
      </c>
      <c r="G437" s="205">
        <v>262</v>
      </c>
      <c r="H437" s="205" t="s">
        <v>12</v>
      </c>
      <c r="I437" s="205">
        <v>0.33206590621039289</v>
      </c>
    </row>
    <row r="438" spans="1:9" x14ac:dyDescent="0.2">
      <c r="A438" s="205">
        <v>88</v>
      </c>
      <c r="B438" s="205" t="s">
        <v>309</v>
      </c>
      <c r="C438" s="205"/>
      <c r="E438" s="205" t="s">
        <v>119</v>
      </c>
      <c r="G438" s="205">
        <v>263</v>
      </c>
      <c r="H438" s="205" t="s">
        <v>13</v>
      </c>
      <c r="I438" s="205">
        <v>0.33333333333333331</v>
      </c>
    </row>
    <row r="439" spans="1:9" x14ac:dyDescent="0.2">
      <c r="A439" s="205">
        <v>88</v>
      </c>
      <c r="B439" s="205" t="s">
        <v>309</v>
      </c>
      <c r="C439" s="205"/>
      <c r="E439" s="205" t="s">
        <v>120</v>
      </c>
      <c r="G439" s="205">
        <v>264</v>
      </c>
      <c r="H439" s="205" t="s">
        <v>14</v>
      </c>
      <c r="I439" s="205">
        <v>0.33460076045627374</v>
      </c>
    </row>
    <row r="440" spans="1:9" x14ac:dyDescent="0.2">
      <c r="A440" s="205"/>
      <c r="C440" s="205"/>
      <c r="E440" s="205" t="s">
        <v>125</v>
      </c>
      <c r="G440" s="205">
        <v>789</v>
      </c>
      <c r="H440" s="205" t="s">
        <v>15</v>
      </c>
      <c r="I440" s="205">
        <v>1</v>
      </c>
    </row>
    <row r="441" spans="1:9" x14ac:dyDescent="0.2">
      <c r="A441" s="205"/>
      <c r="C441" s="205"/>
    </row>
    <row r="442" spans="1:9" x14ac:dyDescent="0.2">
      <c r="A442" s="205">
        <v>89</v>
      </c>
      <c r="B442" s="205" t="s">
        <v>310</v>
      </c>
      <c r="C442" s="205"/>
      <c r="E442" s="205" t="s">
        <v>118</v>
      </c>
      <c r="G442" s="205">
        <v>265</v>
      </c>
      <c r="H442" s="205" t="s">
        <v>12</v>
      </c>
      <c r="I442" s="205">
        <v>0.33208020050125314</v>
      </c>
    </row>
    <row r="443" spans="1:9" x14ac:dyDescent="0.2">
      <c r="A443" s="205">
        <v>89</v>
      </c>
      <c r="B443" s="205" t="s">
        <v>310</v>
      </c>
      <c r="C443" s="205"/>
      <c r="E443" s="205" t="s">
        <v>119</v>
      </c>
      <c r="G443" s="205">
        <v>266</v>
      </c>
      <c r="H443" s="205" t="s">
        <v>13</v>
      </c>
      <c r="I443" s="205">
        <v>0.33333333333333331</v>
      </c>
    </row>
    <row r="444" spans="1:9" x14ac:dyDescent="0.2">
      <c r="A444" s="205">
        <v>89</v>
      </c>
      <c r="B444" s="205" t="s">
        <v>310</v>
      </c>
      <c r="C444" s="205"/>
      <c r="E444" s="205" t="s">
        <v>120</v>
      </c>
      <c r="G444" s="205">
        <v>267</v>
      </c>
      <c r="H444" s="205" t="s">
        <v>14</v>
      </c>
      <c r="I444" s="205">
        <v>0.33458646616541354</v>
      </c>
    </row>
    <row r="445" spans="1:9" x14ac:dyDescent="0.2">
      <c r="A445" s="205"/>
      <c r="C445" s="205"/>
      <c r="E445" s="205" t="s">
        <v>125</v>
      </c>
      <c r="G445" s="205">
        <v>798</v>
      </c>
      <c r="H445" s="205" t="s">
        <v>15</v>
      </c>
      <c r="I445" s="205">
        <v>1</v>
      </c>
    </row>
    <row r="446" spans="1:9" x14ac:dyDescent="0.2">
      <c r="A446" s="205"/>
      <c r="C446" s="205"/>
    </row>
    <row r="447" spans="1:9" x14ac:dyDescent="0.2">
      <c r="A447" s="205">
        <v>90</v>
      </c>
      <c r="B447" s="205" t="s">
        <v>311</v>
      </c>
      <c r="C447" s="205"/>
      <c r="E447" s="205" t="s">
        <v>118</v>
      </c>
      <c r="G447" s="205">
        <v>268</v>
      </c>
      <c r="H447" s="205" t="s">
        <v>12</v>
      </c>
      <c r="I447" s="205">
        <v>0.33209417596034696</v>
      </c>
    </row>
    <row r="448" spans="1:9" x14ac:dyDescent="0.2">
      <c r="A448" s="205">
        <v>90</v>
      </c>
      <c r="B448" s="205" t="s">
        <v>311</v>
      </c>
      <c r="C448" s="205"/>
      <c r="E448" s="205" t="s">
        <v>119</v>
      </c>
      <c r="G448" s="205">
        <v>269</v>
      </c>
      <c r="H448" s="205" t="s">
        <v>13</v>
      </c>
      <c r="I448" s="205">
        <v>0.33333333333333331</v>
      </c>
    </row>
    <row r="449" spans="1:9" x14ac:dyDescent="0.2">
      <c r="A449" s="205">
        <v>90</v>
      </c>
      <c r="B449" s="205" t="s">
        <v>311</v>
      </c>
      <c r="C449" s="205"/>
      <c r="E449" s="205" t="s">
        <v>120</v>
      </c>
      <c r="G449" s="205">
        <v>270</v>
      </c>
      <c r="H449" s="205" t="s">
        <v>14</v>
      </c>
      <c r="I449" s="205">
        <v>0.33457249070631973</v>
      </c>
    </row>
    <row r="450" spans="1:9" x14ac:dyDescent="0.2">
      <c r="A450" s="205"/>
      <c r="C450" s="205"/>
      <c r="E450" s="205" t="s">
        <v>125</v>
      </c>
      <c r="G450" s="205">
        <v>807</v>
      </c>
      <c r="H450" s="205" t="s">
        <v>15</v>
      </c>
      <c r="I450" s="205">
        <v>1</v>
      </c>
    </row>
    <row r="451" spans="1:9" x14ac:dyDescent="0.2">
      <c r="A451" s="205"/>
      <c r="C451" s="205"/>
    </row>
    <row r="452" spans="1:9" x14ac:dyDescent="0.2">
      <c r="A452" s="205">
        <v>91</v>
      </c>
      <c r="B452" s="205" t="s">
        <v>312</v>
      </c>
      <c r="C452" s="205"/>
      <c r="E452" s="205" t="s">
        <v>118</v>
      </c>
      <c r="G452" s="205">
        <v>271</v>
      </c>
      <c r="H452" s="205" t="s">
        <v>12</v>
      </c>
      <c r="I452" s="205">
        <v>0.33210784313725489</v>
      </c>
    </row>
    <row r="453" spans="1:9" x14ac:dyDescent="0.2">
      <c r="A453" s="205">
        <v>91</v>
      </c>
      <c r="B453" s="205" t="s">
        <v>312</v>
      </c>
      <c r="C453" s="205"/>
      <c r="E453" s="205" t="s">
        <v>119</v>
      </c>
      <c r="G453" s="205">
        <v>272</v>
      </c>
      <c r="H453" s="205" t="s">
        <v>13</v>
      </c>
      <c r="I453" s="205">
        <v>0.33333333333333331</v>
      </c>
    </row>
    <row r="454" spans="1:9" x14ac:dyDescent="0.2">
      <c r="A454" s="205">
        <v>91</v>
      </c>
      <c r="B454" s="205" t="s">
        <v>312</v>
      </c>
      <c r="C454" s="205"/>
      <c r="E454" s="205" t="s">
        <v>120</v>
      </c>
      <c r="G454" s="205">
        <v>273</v>
      </c>
      <c r="H454" s="205" t="s">
        <v>14</v>
      </c>
      <c r="I454" s="205">
        <v>0.33455882352941174</v>
      </c>
    </row>
    <row r="455" spans="1:9" x14ac:dyDescent="0.2">
      <c r="A455" s="205"/>
      <c r="C455" s="205"/>
      <c r="E455" s="205" t="s">
        <v>125</v>
      </c>
      <c r="G455" s="205">
        <v>816</v>
      </c>
      <c r="H455" s="205" t="s">
        <v>15</v>
      </c>
      <c r="I455" s="205">
        <v>1</v>
      </c>
    </row>
    <row r="456" spans="1:9" x14ac:dyDescent="0.2">
      <c r="A456" s="205"/>
      <c r="C456" s="205"/>
    </row>
    <row r="457" spans="1:9" x14ac:dyDescent="0.2">
      <c r="A457" s="205">
        <v>92</v>
      </c>
      <c r="B457" s="205" t="s">
        <v>313</v>
      </c>
      <c r="C457" s="205"/>
      <c r="E457" s="205" t="s">
        <v>118</v>
      </c>
      <c r="G457" s="205">
        <v>274</v>
      </c>
      <c r="H457" s="205" t="s">
        <v>12</v>
      </c>
      <c r="I457" s="205">
        <v>0.33212121212121209</v>
      </c>
    </row>
    <row r="458" spans="1:9" x14ac:dyDescent="0.2">
      <c r="A458" s="205">
        <v>92</v>
      </c>
      <c r="B458" s="205" t="s">
        <v>313</v>
      </c>
      <c r="C458" s="205"/>
      <c r="E458" s="205" t="s">
        <v>119</v>
      </c>
      <c r="G458" s="205">
        <v>275</v>
      </c>
      <c r="H458" s="205" t="s">
        <v>13</v>
      </c>
      <c r="I458" s="205">
        <v>0.33333333333333331</v>
      </c>
    </row>
    <row r="459" spans="1:9" x14ac:dyDescent="0.2">
      <c r="A459" s="205">
        <v>92</v>
      </c>
      <c r="B459" s="205" t="s">
        <v>313</v>
      </c>
      <c r="C459" s="205"/>
      <c r="E459" s="205" t="s">
        <v>120</v>
      </c>
      <c r="G459" s="205">
        <v>276</v>
      </c>
      <c r="H459" s="205" t="s">
        <v>14</v>
      </c>
      <c r="I459" s="205">
        <v>0.33454545454545453</v>
      </c>
    </row>
    <row r="460" spans="1:9" x14ac:dyDescent="0.2">
      <c r="A460" s="205"/>
      <c r="C460" s="205"/>
      <c r="E460" s="205" t="s">
        <v>125</v>
      </c>
      <c r="G460" s="205">
        <v>825</v>
      </c>
      <c r="H460" s="205" t="s">
        <v>15</v>
      </c>
      <c r="I460" s="205">
        <v>1</v>
      </c>
    </row>
    <row r="461" spans="1:9" x14ac:dyDescent="0.2">
      <c r="A461" s="205"/>
      <c r="C461" s="205"/>
    </row>
    <row r="462" spans="1:9" x14ac:dyDescent="0.2">
      <c r="A462" s="205">
        <v>93</v>
      </c>
      <c r="B462" s="205" t="s">
        <v>314</v>
      </c>
      <c r="C462" s="205"/>
      <c r="E462" s="205" t="s">
        <v>118</v>
      </c>
      <c r="G462" s="205">
        <v>277</v>
      </c>
      <c r="H462" s="205" t="s">
        <v>12</v>
      </c>
      <c r="I462" s="205">
        <v>0.33213429256594723</v>
      </c>
    </row>
    <row r="463" spans="1:9" x14ac:dyDescent="0.2">
      <c r="A463" s="205">
        <v>93</v>
      </c>
      <c r="B463" s="205" t="s">
        <v>314</v>
      </c>
      <c r="C463" s="205"/>
      <c r="E463" s="205" t="s">
        <v>119</v>
      </c>
      <c r="G463" s="205">
        <v>278</v>
      </c>
      <c r="H463" s="205" t="s">
        <v>13</v>
      </c>
      <c r="I463" s="205">
        <v>0.33333333333333331</v>
      </c>
    </row>
    <row r="464" spans="1:9" x14ac:dyDescent="0.2">
      <c r="A464" s="205">
        <v>93</v>
      </c>
      <c r="B464" s="205" t="s">
        <v>314</v>
      </c>
      <c r="C464" s="205"/>
      <c r="E464" s="205" t="s">
        <v>120</v>
      </c>
      <c r="G464" s="205">
        <v>279</v>
      </c>
      <c r="H464" s="205" t="s">
        <v>14</v>
      </c>
      <c r="I464" s="205">
        <v>0.3345323741007194</v>
      </c>
    </row>
    <row r="465" spans="1:9" x14ac:dyDescent="0.2">
      <c r="A465" s="205"/>
      <c r="C465" s="205"/>
      <c r="E465" s="205" t="s">
        <v>125</v>
      </c>
      <c r="G465" s="205">
        <v>834</v>
      </c>
      <c r="H465" s="205" t="s">
        <v>15</v>
      </c>
      <c r="I465" s="205">
        <v>1</v>
      </c>
    </row>
    <row r="466" spans="1:9" x14ac:dyDescent="0.2">
      <c r="A466" s="205"/>
      <c r="C466" s="205"/>
    </row>
    <row r="467" spans="1:9" x14ac:dyDescent="0.2">
      <c r="A467" s="205">
        <v>94</v>
      </c>
      <c r="B467" s="205" t="s">
        <v>315</v>
      </c>
      <c r="C467" s="205"/>
      <c r="E467" s="205" t="s">
        <v>118</v>
      </c>
      <c r="G467" s="205">
        <v>280</v>
      </c>
      <c r="H467" s="205" t="s">
        <v>12</v>
      </c>
      <c r="I467" s="205">
        <v>0.33214709371293</v>
      </c>
    </row>
    <row r="468" spans="1:9" x14ac:dyDescent="0.2">
      <c r="A468" s="205">
        <v>94</v>
      </c>
      <c r="B468" s="205" t="s">
        <v>315</v>
      </c>
      <c r="C468" s="205"/>
      <c r="E468" s="205" t="s">
        <v>119</v>
      </c>
      <c r="G468" s="205">
        <v>281</v>
      </c>
      <c r="H468" s="205" t="s">
        <v>13</v>
      </c>
      <c r="I468" s="205">
        <v>0.33333333333333331</v>
      </c>
    </row>
    <row r="469" spans="1:9" x14ac:dyDescent="0.2">
      <c r="A469" s="205">
        <v>94</v>
      </c>
      <c r="B469" s="205" t="s">
        <v>315</v>
      </c>
      <c r="C469" s="205"/>
      <c r="E469" s="205" t="s">
        <v>120</v>
      </c>
      <c r="G469" s="205">
        <v>282</v>
      </c>
      <c r="H469" s="205" t="s">
        <v>14</v>
      </c>
      <c r="I469" s="205">
        <v>0.33451957295373663</v>
      </c>
    </row>
    <row r="470" spans="1:9" x14ac:dyDescent="0.2">
      <c r="A470" s="205"/>
      <c r="C470" s="205"/>
      <c r="E470" s="205" t="s">
        <v>125</v>
      </c>
      <c r="G470" s="205">
        <v>843</v>
      </c>
      <c r="H470" s="205" t="s">
        <v>15</v>
      </c>
      <c r="I470" s="205">
        <v>1</v>
      </c>
    </row>
    <row r="471" spans="1:9" x14ac:dyDescent="0.2">
      <c r="A471" s="205"/>
      <c r="C471" s="205"/>
    </row>
    <row r="472" spans="1:9" x14ac:dyDescent="0.2">
      <c r="A472" s="205">
        <v>95</v>
      </c>
      <c r="B472" s="205" t="s">
        <v>316</v>
      </c>
      <c r="C472" s="205"/>
      <c r="E472" s="205" t="s">
        <v>118</v>
      </c>
      <c r="G472" s="205">
        <v>283</v>
      </c>
      <c r="H472" s="205" t="s">
        <v>12</v>
      </c>
      <c r="I472" s="205">
        <v>0.33215962441314556</v>
      </c>
    </row>
    <row r="473" spans="1:9" x14ac:dyDescent="0.2">
      <c r="A473" s="205">
        <v>95</v>
      </c>
      <c r="B473" s="205" t="s">
        <v>316</v>
      </c>
      <c r="C473" s="205"/>
      <c r="E473" s="205" t="s">
        <v>119</v>
      </c>
      <c r="G473" s="205">
        <v>284</v>
      </c>
      <c r="H473" s="205" t="s">
        <v>13</v>
      </c>
      <c r="I473" s="205">
        <v>0.33333333333333331</v>
      </c>
    </row>
    <row r="474" spans="1:9" x14ac:dyDescent="0.2">
      <c r="A474" s="205">
        <v>95</v>
      </c>
      <c r="B474" s="205" t="s">
        <v>316</v>
      </c>
      <c r="C474" s="205"/>
      <c r="E474" s="205" t="s">
        <v>120</v>
      </c>
      <c r="G474" s="205">
        <v>285</v>
      </c>
      <c r="H474" s="205" t="s">
        <v>14</v>
      </c>
      <c r="I474" s="205">
        <v>0.33450704225352113</v>
      </c>
    </row>
    <row r="475" spans="1:9" x14ac:dyDescent="0.2">
      <c r="A475" s="205"/>
      <c r="C475" s="205"/>
      <c r="E475" s="205" t="s">
        <v>125</v>
      </c>
      <c r="G475" s="205">
        <v>852</v>
      </c>
      <c r="H475" s="205" t="s">
        <v>15</v>
      </c>
      <c r="I475" s="205">
        <v>1</v>
      </c>
    </row>
    <row r="476" spans="1:9" x14ac:dyDescent="0.2">
      <c r="A476" s="205"/>
      <c r="C476" s="205"/>
    </row>
    <row r="477" spans="1:9" x14ac:dyDescent="0.2">
      <c r="A477" s="205">
        <v>96</v>
      </c>
      <c r="B477" s="205" t="s">
        <v>317</v>
      </c>
      <c r="C477" s="205"/>
      <c r="E477" s="205" t="s">
        <v>118</v>
      </c>
      <c r="G477" s="205">
        <v>286</v>
      </c>
      <c r="H477" s="205" t="s">
        <v>12</v>
      </c>
      <c r="I477" s="205">
        <v>0.33217189314750289</v>
      </c>
    </row>
    <row r="478" spans="1:9" x14ac:dyDescent="0.2">
      <c r="A478" s="205">
        <v>96</v>
      </c>
      <c r="B478" s="205" t="s">
        <v>317</v>
      </c>
      <c r="C478" s="205"/>
      <c r="E478" s="205" t="s">
        <v>119</v>
      </c>
      <c r="G478" s="205">
        <v>287</v>
      </c>
      <c r="H478" s="205" t="s">
        <v>13</v>
      </c>
      <c r="I478" s="205">
        <v>0.33333333333333331</v>
      </c>
    </row>
    <row r="479" spans="1:9" x14ac:dyDescent="0.2">
      <c r="A479" s="205">
        <v>96</v>
      </c>
      <c r="B479" s="205" t="s">
        <v>317</v>
      </c>
      <c r="C479" s="205"/>
      <c r="E479" s="205" t="s">
        <v>120</v>
      </c>
      <c r="G479" s="205">
        <v>288</v>
      </c>
      <c r="H479" s="205" t="s">
        <v>14</v>
      </c>
      <c r="I479" s="205">
        <v>0.33449477351916379</v>
      </c>
    </row>
    <row r="480" spans="1:9" x14ac:dyDescent="0.2">
      <c r="A480" s="205"/>
      <c r="C480" s="205"/>
      <c r="E480" s="205" t="s">
        <v>125</v>
      </c>
      <c r="G480" s="205">
        <v>861</v>
      </c>
      <c r="H480" s="205" t="s">
        <v>15</v>
      </c>
      <c r="I480" s="205">
        <v>1</v>
      </c>
    </row>
    <row r="481" spans="1:9" x14ac:dyDescent="0.2">
      <c r="A481" s="205"/>
      <c r="C481" s="205"/>
    </row>
    <row r="482" spans="1:9" x14ac:dyDescent="0.2">
      <c r="A482" s="205">
        <v>97</v>
      </c>
      <c r="B482" s="205" t="s">
        <v>318</v>
      </c>
      <c r="C482" s="205"/>
      <c r="E482" s="205" t="s">
        <v>118</v>
      </c>
      <c r="G482" s="205">
        <v>289</v>
      </c>
      <c r="H482" s="205" t="s">
        <v>12</v>
      </c>
      <c r="I482" s="205">
        <v>0.33218390804597703</v>
      </c>
    </row>
    <row r="483" spans="1:9" x14ac:dyDescent="0.2">
      <c r="A483" s="205">
        <v>97</v>
      </c>
      <c r="B483" s="205" t="s">
        <v>318</v>
      </c>
      <c r="C483" s="205"/>
      <c r="E483" s="205" t="s">
        <v>119</v>
      </c>
      <c r="G483" s="205">
        <v>290</v>
      </c>
      <c r="H483" s="205" t="s">
        <v>13</v>
      </c>
      <c r="I483" s="205">
        <v>0.33333333333333331</v>
      </c>
    </row>
    <row r="484" spans="1:9" x14ac:dyDescent="0.2">
      <c r="A484" s="205">
        <v>97</v>
      </c>
      <c r="B484" s="205" t="s">
        <v>318</v>
      </c>
      <c r="C484" s="205"/>
      <c r="E484" s="205" t="s">
        <v>120</v>
      </c>
      <c r="G484" s="205">
        <v>291</v>
      </c>
      <c r="H484" s="205" t="s">
        <v>14</v>
      </c>
      <c r="I484" s="205">
        <v>0.33448275862068966</v>
      </c>
    </row>
    <row r="485" spans="1:9" x14ac:dyDescent="0.2">
      <c r="A485" s="205"/>
      <c r="C485" s="205"/>
      <c r="E485" s="205" t="s">
        <v>125</v>
      </c>
      <c r="G485" s="205">
        <v>870</v>
      </c>
      <c r="H485" s="205" t="s">
        <v>15</v>
      </c>
      <c r="I485" s="205">
        <v>1</v>
      </c>
    </row>
    <row r="486" spans="1:9" x14ac:dyDescent="0.2">
      <c r="A486" s="205"/>
      <c r="C486" s="205"/>
    </row>
    <row r="487" spans="1:9" x14ac:dyDescent="0.2">
      <c r="A487" s="205">
        <v>98</v>
      </c>
      <c r="B487" s="205" t="s">
        <v>319</v>
      </c>
      <c r="C487" s="205"/>
      <c r="E487" s="205" t="s">
        <v>118</v>
      </c>
      <c r="G487" s="205">
        <v>292</v>
      </c>
      <c r="H487" s="205" t="s">
        <v>12</v>
      </c>
      <c r="I487" s="205">
        <v>0.3321956769055745</v>
      </c>
    </row>
    <row r="488" spans="1:9" x14ac:dyDescent="0.2">
      <c r="A488" s="205">
        <v>98</v>
      </c>
      <c r="B488" s="205" t="s">
        <v>319</v>
      </c>
      <c r="C488" s="205"/>
      <c r="E488" s="205" t="s">
        <v>119</v>
      </c>
      <c r="G488" s="205">
        <v>293</v>
      </c>
      <c r="H488" s="205" t="s">
        <v>13</v>
      </c>
      <c r="I488" s="205">
        <v>0.33333333333333331</v>
      </c>
    </row>
    <row r="489" spans="1:9" x14ac:dyDescent="0.2">
      <c r="A489" s="205">
        <v>98</v>
      </c>
      <c r="B489" s="205" t="s">
        <v>319</v>
      </c>
      <c r="C489" s="205"/>
      <c r="E489" s="205" t="s">
        <v>120</v>
      </c>
      <c r="G489" s="205">
        <v>294</v>
      </c>
      <c r="H489" s="205" t="s">
        <v>14</v>
      </c>
      <c r="I489" s="205">
        <v>0.33447098976109213</v>
      </c>
    </row>
    <row r="490" spans="1:9" x14ac:dyDescent="0.2">
      <c r="A490" s="205"/>
      <c r="C490" s="205"/>
      <c r="E490" s="205" t="s">
        <v>125</v>
      </c>
      <c r="G490" s="205">
        <v>879</v>
      </c>
      <c r="H490" s="205" t="s">
        <v>15</v>
      </c>
      <c r="I490" s="205">
        <v>0.99999999999999989</v>
      </c>
    </row>
    <row r="491" spans="1:9" x14ac:dyDescent="0.2">
      <c r="A491" s="205"/>
      <c r="C491" s="205"/>
    </row>
    <row r="492" spans="1:9" x14ac:dyDescent="0.2">
      <c r="A492" s="205">
        <v>99</v>
      </c>
      <c r="B492" s="205" t="s">
        <v>320</v>
      </c>
      <c r="C492" s="205"/>
      <c r="E492" s="205" t="s">
        <v>118</v>
      </c>
      <c r="G492" s="205">
        <v>295</v>
      </c>
      <c r="H492" s="205" t="s">
        <v>12</v>
      </c>
      <c r="I492" s="205">
        <v>0.3322072072072072</v>
      </c>
    </row>
    <row r="493" spans="1:9" x14ac:dyDescent="0.2">
      <c r="A493" s="205">
        <v>99</v>
      </c>
      <c r="B493" s="205" t="s">
        <v>320</v>
      </c>
      <c r="C493" s="205"/>
      <c r="E493" s="205" t="s">
        <v>119</v>
      </c>
      <c r="G493" s="205">
        <v>296</v>
      </c>
      <c r="H493" s="205" t="s">
        <v>13</v>
      </c>
      <c r="I493" s="205">
        <v>0.33333333333333331</v>
      </c>
    </row>
    <row r="494" spans="1:9" x14ac:dyDescent="0.2">
      <c r="A494" s="205">
        <v>99</v>
      </c>
      <c r="B494" s="205" t="s">
        <v>320</v>
      </c>
      <c r="C494" s="205"/>
      <c r="E494" s="205" t="s">
        <v>120</v>
      </c>
      <c r="G494" s="205">
        <v>297</v>
      </c>
      <c r="H494" s="205" t="s">
        <v>14</v>
      </c>
      <c r="I494" s="205">
        <v>0.33445945945945948</v>
      </c>
    </row>
    <row r="495" spans="1:9" x14ac:dyDescent="0.2">
      <c r="A495" s="205"/>
      <c r="C495" s="205"/>
      <c r="E495" s="205" t="s">
        <v>125</v>
      </c>
      <c r="G495" s="205">
        <v>888</v>
      </c>
      <c r="H495" s="205" t="s">
        <v>15</v>
      </c>
      <c r="I495" s="205">
        <v>1</v>
      </c>
    </row>
    <row r="496" spans="1:9" x14ac:dyDescent="0.2">
      <c r="A496" s="205"/>
      <c r="C496" s="205"/>
    </row>
    <row r="497" spans="1:9" x14ac:dyDescent="0.2">
      <c r="A497" s="205">
        <v>100</v>
      </c>
      <c r="B497" s="205" t="s">
        <v>321</v>
      </c>
      <c r="C497" s="205"/>
      <c r="E497" s="205" t="s">
        <v>118</v>
      </c>
      <c r="G497" s="205">
        <v>298</v>
      </c>
      <c r="H497" s="205" t="s">
        <v>12</v>
      </c>
      <c r="I497" s="205">
        <v>0.33221850613154963</v>
      </c>
    </row>
    <row r="498" spans="1:9" x14ac:dyDescent="0.2">
      <c r="A498" s="205">
        <v>100</v>
      </c>
      <c r="B498" s="205" t="s">
        <v>321</v>
      </c>
      <c r="C498" s="205"/>
      <c r="E498" s="205" t="s">
        <v>119</v>
      </c>
      <c r="G498" s="205">
        <v>299</v>
      </c>
      <c r="H498" s="205" t="s">
        <v>13</v>
      </c>
      <c r="I498" s="205">
        <v>0.33333333333333331</v>
      </c>
    </row>
    <row r="499" spans="1:9" x14ac:dyDescent="0.2">
      <c r="A499" s="205">
        <v>100</v>
      </c>
      <c r="B499" s="205" t="s">
        <v>321</v>
      </c>
      <c r="C499" s="205"/>
      <c r="E499" s="205" t="s">
        <v>120</v>
      </c>
      <c r="G499" s="205">
        <v>300</v>
      </c>
      <c r="H499" s="205" t="s">
        <v>14</v>
      </c>
      <c r="I499" s="205">
        <v>0.33444816053511706</v>
      </c>
    </row>
    <row r="500" spans="1:9" x14ac:dyDescent="0.2">
      <c r="A500" s="205"/>
      <c r="C500" s="205"/>
      <c r="E500" s="205" t="s">
        <v>125</v>
      </c>
      <c r="G500" s="205">
        <v>897</v>
      </c>
      <c r="H500" s="205" t="s">
        <v>15</v>
      </c>
      <c r="I500" s="205">
        <v>1</v>
      </c>
    </row>
    <row r="501" spans="1:9" x14ac:dyDescent="0.2">
      <c r="A501" s="205"/>
      <c r="C501" s="205"/>
    </row>
    <row r="502" spans="1:9" x14ac:dyDescent="0.2">
      <c r="A502" s="205">
        <v>101</v>
      </c>
      <c r="B502" s="205" t="s">
        <v>322</v>
      </c>
      <c r="C502" s="205"/>
      <c r="E502" s="205" t="s">
        <v>118</v>
      </c>
      <c r="G502" s="205">
        <v>301</v>
      </c>
      <c r="H502" s="205" t="s">
        <v>12</v>
      </c>
      <c r="I502" s="205">
        <v>0.33222958057395141</v>
      </c>
    </row>
    <row r="503" spans="1:9" x14ac:dyDescent="0.2">
      <c r="A503" s="205">
        <v>101</v>
      </c>
      <c r="B503" s="205" t="s">
        <v>322</v>
      </c>
      <c r="C503" s="205"/>
      <c r="E503" s="205" t="s">
        <v>119</v>
      </c>
      <c r="G503" s="205">
        <v>302</v>
      </c>
      <c r="H503" s="205" t="s">
        <v>13</v>
      </c>
      <c r="I503" s="205">
        <v>0.33333333333333331</v>
      </c>
    </row>
    <row r="504" spans="1:9" x14ac:dyDescent="0.2">
      <c r="A504" s="205">
        <v>101</v>
      </c>
      <c r="B504" s="205" t="s">
        <v>322</v>
      </c>
      <c r="C504" s="205"/>
      <c r="E504" s="205" t="s">
        <v>120</v>
      </c>
      <c r="G504" s="205">
        <v>303</v>
      </c>
      <c r="H504" s="205" t="s">
        <v>14</v>
      </c>
      <c r="I504" s="205">
        <v>0.33443708609271522</v>
      </c>
    </row>
    <row r="505" spans="1:9" x14ac:dyDescent="0.2">
      <c r="A505" s="205"/>
      <c r="C505" s="205"/>
      <c r="E505" s="205" t="s">
        <v>125</v>
      </c>
      <c r="G505" s="205">
        <v>906</v>
      </c>
      <c r="H505" s="205" t="s">
        <v>15</v>
      </c>
      <c r="I505" s="205">
        <v>1</v>
      </c>
    </row>
    <row r="506" spans="1:9" x14ac:dyDescent="0.2">
      <c r="A506" s="205"/>
      <c r="C506" s="205"/>
    </row>
    <row r="507" spans="1:9" x14ac:dyDescent="0.2">
      <c r="A507" s="205">
        <v>102</v>
      </c>
      <c r="B507" s="205" t="s">
        <v>323</v>
      </c>
      <c r="C507" s="205"/>
      <c r="E507" s="205" t="s">
        <v>118</v>
      </c>
      <c r="G507" s="205">
        <v>304</v>
      </c>
      <c r="H507" s="205" t="s">
        <v>12</v>
      </c>
      <c r="I507" s="205">
        <v>0.33224043715846996</v>
      </c>
    </row>
    <row r="508" spans="1:9" x14ac:dyDescent="0.2">
      <c r="A508" s="205">
        <v>102</v>
      </c>
      <c r="B508" s="205" t="s">
        <v>323</v>
      </c>
      <c r="C508" s="205"/>
      <c r="E508" s="205" t="s">
        <v>119</v>
      </c>
      <c r="G508" s="205">
        <v>305</v>
      </c>
      <c r="H508" s="205" t="s">
        <v>13</v>
      </c>
      <c r="I508" s="205">
        <v>0.33333333333333331</v>
      </c>
    </row>
    <row r="509" spans="1:9" x14ac:dyDescent="0.2">
      <c r="A509" s="205">
        <v>102</v>
      </c>
      <c r="B509" s="205" t="s">
        <v>323</v>
      </c>
      <c r="C509" s="205"/>
      <c r="E509" s="205" t="s">
        <v>120</v>
      </c>
      <c r="G509" s="205">
        <v>306</v>
      </c>
      <c r="H509" s="205" t="s">
        <v>14</v>
      </c>
      <c r="I509" s="205">
        <v>0.33442622950819673</v>
      </c>
    </row>
    <row r="510" spans="1:9" x14ac:dyDescent="0.2">
      <c r="A510" s="205"/>
      <c r="C510" s="205"/>
      <c r="E510" s="205" t="s">
        <v>125</v>
      </c>
      <c r="G510" s="205">
        <v>915</v>
      </c>
      <c r="H510" s="205" t="s">
        <v>15</v>
      </c>
      <c r="I510" s="205">
        <v>1</v>
      </c>
    </row>
    <row r="511" spans="1:9" x14ac:dyDescent="0.2">
      <c r="A511" s="205"/>
      <c r="C511" s="205"/>
    </row>
    <row r="512" spans="1:9" x14ac:dyDescent="0.2">
      <c r="A512" s="205">
        <v>103</v>
      </c>
      <c r="B512" s="205" t="s">
        <v>324</v>
      </c>
      <c r="C512" s="205"/>
      <c r="E512" s="205" t="s">
        <v>118</v>
      </c>
      <c r="G512" s="205">
        <v>307</v>
      </c>
      <c r="H512" s="205" t="s">
        <v>12</v>
      </c>
      <c r="I512" s="205">
        <v>0.33225108225108224</v>
      </c>
    </row>
    <row r="513" spans="1:9" x14ac:dyDescent="0.2">
      <c r="A513" s="205">
        <v>103</v>
      </c>
      <c r="B513" s="205" t="s">
        <v>324</v>
      </c>
      <c r="C513" s="205"/>
      <c r="E513" s="205" t="s">
        <v>119</v>
      </c>
      <c r="G513" s="205">
        <v>308</v>
      </c>
      <c r="H513" s="205" t="s">
        <v>13</v>
      </c>
      <c r="I513" s="205">
        <v>0.33333333333333331</v>
      </c>
    </row>
    <row r="514" spans="1:9" x14ac:dyDescent="0.2">
      <c r="A514" s="205">
        <v>103</v>
      </c>
      <c r="B514" s="205" t="s">
        <v>324</v>
      </c>
      <c r="C514" s="205"/>
      <c r="E514" s="205" t="s">
        <v>120</v>
      </c>
      <c r="G514" s="205">
        <v>309</v>
      </c>
      <c r="H514" s="205" t="s">
        <v>14</v>
      </c>
      <c r="I514" s="205">
        <v>0.33441558441558439</v>
      </c>
    </row>
    <row r="515" spans="1:9" x14ac:dyDescent="0.2">
      <c r="A515" s="205"/>
      <c r="C515" s="205"/>
      <c r="E515" s="205" t="s">
        <v>125</v>
      </c>
      <c r="G515" s="205">
        <v>924</v>
      </c>
      <c r="H515" s="205" t="s">
        <v>15</v>
      </c>
      <c r="I515" s="205">
        <v>0.99999999999999989</v>
      </c>
    </row>
    <row r="516" spans="1:9" x14ac:dyDescent="0.2">
      <c r="A516" s="205"/>
      <c r="C516" s="205"/>
    </row>
    <row r="517" spans="1:9" x14ac:dyDescent="0.2">
      <c r="A517" s="205">
        <v>104</v>
      </c>
      <c r="B517" s="205" t="s">
        <v>325</v>
      </c>
      <c r="C517" s="205"/>
      <c r="E517" s="205" t="s">
        <v>118</v>
      </c>
      <c r="G517" s="205">
        <v>310</v>
      </c>
      <c r="H517" s="205" t="s">
        <v>12</v>
      </c>
      <c r="I517" s="205">
        <v>0.33226152197213288</v>
      </c>
    </row>
    <row r="518" spans="1:9" x14ac:dyDescent="0.2">
      <c r="A518" s="205">
        <v>104</v>
      </c>
      <c r="B518" s="205" t="s">
        <v>325</v>
      </c>
      <c r="C518" s="205"/>
      <c r="E518" s="205" t="s">
        <v>119</v>
      </c>
      <c r="G518" s="205">
        <v>311</v>
      </c>
      <c r="H518" s="205" t="s">
        <v>13</v>
      </c>
      <c r="I518" s="205">
        <v>0.33333333333333331</v>
      </c>
    </row>
    <row r="519" spans="1:9" x14ac:dyDescent="0.2">
      <c r="A519" s="205">
        <v>104</v>
      </c>
      <c r="B519" s="205" t="s">
        <v>325</v>
      </c>
      <c r="C519" s="205"/>
      <c r="E519" s="205" t="s">
        <v>120</v>
      </c>
      <c r="G519" s="205">
        <v>312</v>
      </c>
      <c r="H519" s="205" t="s">
        <v>14</v>
      </c>
      <c r="I519" s="205">
        <v>0.33440514469453375</v>
      </c>
    </row>
    <row r="520" spans="1:9" x14ac:dyDescent="0.2">
      <c r="A520" s="205"/>
      <c r="C520" s="205"/>
      <c r="E520" s="205" t="s">
        <v>125</v>
      </c>
      <c r="G520" s="205">
        <v>933</v>
      </c>
      <c r="H520" s="205" t="s">
        <v>15</v>
      </c>
      <c r="I520" s="205">
        <v>1</v>
      </c>
    </row>
    <row r="521" spans="1:9" x14ac:dyDescent="0.2">
      <c r="A521" s="205"/>
      <c r="C521" s="205"/>
    </row>
    <row r="522" spans="1:9" x14ac:dyDescent="0.2">
      <c r="A522" s="205">
        <v>105</v>
      </c>
      <c r="B522" s="205" t="s">
        <v>326</v>
      </c>
      <c r="C522" s="205"/>
      <c r="E522" s="205" t="s">
        <v>118</v>
      </c>
      <c r="G522" s="205">
        <v>313</v>
      </c>
      <c r="H522" s="205" t="s">
        <v>12</v>
      </c>
      <c r="I522" s="205">
        <v>0.33227176220806792</v>
      </c>
    </row>
    <row r="523" spans="1:9" x14ac:dyDescent="0.2">
      <c r="A523" s="205">
        <v>105</v>
      </c>
      <c r="B523" s="205" t="s">
        <v>326</v>
      </c>
      <c r="C523" s="205"/>
      <c r="E523" s="205" t="s">
        <v>119</v>
      </c>
      <c r="G523" s="205">
        <v>314</v>
      </c>
      <c r="H523" s="205" t="s">
        <v>13</v>
      </c>
      <c r="I523" s="205">
        <v>0.33333333333333331</v>
      </c>
    </row>
    <row r="524" spans="1:9" x14ac:dyDescent="0.2">
      <c r="A524" s="205">
        <v>105</v>
      </c>
      <c r="B524" s="205" t="s">
        <v>326</v>
      </c>
      <c r="C524" s="205"/>
      <c r="E524" s="205" t="s">
        <v>120</v>
      </c>
      <c r="G524" s="205">
        <v>315</v>
      </c>
      <c r="H524" s="205" t="s">
        <v>14</v>
      </c>
      <c r="I524" s="205">
        <v>0.33439490445859871</v>
      </c>
    </row>
    <row r="525" spans="1:9" x14ac:dyDescent="0.2">
      <c r="A525" s="205"/>
      <c r="C525" s="205"/>
      <c r="E525" s="205" t="s">
        <v>125</v>
      </c>
      <c r="G525" s="205">
        <v>942</v>
      </c>
      <c r="H525" s="205" t="s">
        <v>15</v>
      </c>
      <c r="I525" s="205">
        <v>1</v>
      </c>
    </row>
    <row r="526" spans="1:9" x14ac:dyDescent="0.2">
      <c r="A526" s="205"/>
      <c r="C526" s="205"/>
    </row>
    <row r="527" spans="1:9" x14ac:dyDescent="0.2">
      <c r="A527" s="205">
        <v>106</v>
      </c>
      <c r="B527" s="205" t="s">
        <v>327</v>
      </c>
      <c r="C527" s="205"/>
      <c r="E527" s="205" t="s">
        <v>118</v>
      </c>
      <c r="G527" s="205">
        <v>316</v>
      </c>
      <c r="H527" s="205" t="s">
        <v>12</v>
      </c>
      <c r="I527" s="205">
        <v>0.33228180862250262</v>
      </c>
    </row>
    <row r="528" spans="1:9" x14ac:dyDescent="0.2">
      <c r="A528" s="205">
        <v>106</v>
      </c>
      <c r="B528" s="205" t="s">
        <v>327</v>
      </c>
      <c r="C528" s="205"/>
      <c r="E528" s="205" t="s">
        <v>119</v>
      </c>
      <c r="G528" s="205">
        <v>317</v>
      </c>
      <c r="H528" s="205" t="s">
        <v>13</v>
      </c>
      <c r="I528" s="205">
        <v>0.33333333333333331</v>
      </c>
    </row>
    <row r="529" spans="1:9" x14ac:dyDescent="0.2">
      <c r="A529" s="205">
        <v>106</v>
      </c>
      <c r="B529" s="205" t="s">
        <v>327</v>
      </c>
      <c r="C529" s="205"/>
      <c r="E529" s="205" t="s">
        <v>120</v>
      </c>
      <c r="G529" s="205">
        <v>318</v>
      </c>
      <c r="H529" s="205" t="s">
        <v>14</v>
      </c>
      <c r="I529" s="205">
        <v>0.33438485804416401</v>
      </c>
    </row>
    <row r="530" spans="1:9" x14ac:dyDescent="0.2">
      <c r="A530" s="205"/>
      <c r="C530" s="205"/>
      <c r="E530" s="205" t="s">
        <v>125</v>
      </c>
      <c r="G530" s="205">
        <v>951</v>
      </c>
      <c r="H530" s="205" t="s">
        <v>15</v>
      </c>
      <c r="I530" s="205">
        <v>1</v>
      </c>
    </row>
    <row r="531" spans="1:9" x14ac:dyDescent="0.2">
      <c r="A531" s="205"/>
      <c r="C531" s="205"/>
    </row>
    <row r="532" spans="1:9" x14ac:dyDescent="0.2">
      <c r="A532" s="205">
        <v>107</v>
      </c>
      <c r="B532" s="205" t="s">
        <v>328</v>
      </c>
      <c r="C532" s="205"/>
      <c r="E532" s="205" t="s">
        <v>118</v>
      </c>
      <c r="G532" s="205">
        <v>319</v>
      </c>
      <c r="H532" s="205" t="s">
        <v>12</v>
      </c>
      <c r="I532" s="205">
        <v>0.33229166666666665</v>
      </c>
    </row>
    <row r="533" spans="1:9" x14ac:dyDescent="0.2">
      <c r="A533" s="205">
        <v>107</v>
      </c>
      <c r="B533" s="205" t="s">
        <v>328</v>
      </c>
      <c r="C533" s="205"/>
      <c r="E533" s="205" t="s">
        <v>119</v>
      </c>
      <c r="G533" s="205">
        <v>320</v>
      </c>
      <c r="H533" s="205" t="s">
        <v>13</v>
      </c>
      <c r="I533" s="205">
        <v>0.33333333333333331</v>
      </c>
    </row>
    <row r="534" spans="1:9" x14ac:dyDescent="0.2">
      <c r="A534" s="205">
        <v>107</v>
      </c>
      <c r="B534" s="205" t="s">
        <v>328</v>
      </c>
      <c r="C534" s="205"/>
      <c r="E534" s="205" t="s">
        <v>120</v>
      </c>
      <c r="G534" s="205">
        <v>321</v>
      </c>
      <c r="H534" s="205" t="s">
        <v>14</v>
      </c>
      <c r="I534" s="205">
        <v>0.33437499999999998</v>
      </c>
    </row>
    <row r="535" spans="1:9" x14ac:dyDescent="0.2">
      <c r="A535" s="205"/>
      <c r="C535" s="205"/>
      <c r="E535" s="205" t="s">
        <v>125</v>
      </c>
      <c r="G535" s="205">
        <v>960</v>
      </c>
      <c r="H535" s="205" t="s">
        <v>15</v>
      </c>
      <c r="I535" s="205">
        <v>0.99999999999999989</v>
      </c>
    </row>
    <row r="536" spans="1:9" x14ac:dyDescent="0.2">
      <c r="A536" s="205"/>
      <c r="C536" s="205"/>
    </row>
    <row r="537" spans="1:9" x14ac:dyDescent="0.2">
      <c r="A537" s="205">
        <v>108</v>
      </c>
      <c r="B537" s="205" t="s">
        <v>329</v>
      </c>
      <c r="C537" s="205"/>
      <c r="E537" s="205" t="s">
        <v>118</v>
      </c>
      <c r="G537" s="205">
        <v>322</v>
      </c>
      <c r="H537" s="205" t="s">
        <v>12</v>
      </c>
      <c r="I537" s="205">
        <v>0.33230134158926727</v>
      </c>
    </row>
    <row r="538" spans="1:9" x14ac:dyDescent="0.2">
      <c r="A538" s="205">
        <v>108</v>
      </c>
      <c r="B538" s="205" t="s">
        <v>329</v>
      </c>
      <c r="C538" s="205"/>
      <c r="E538" s="205" t="s">
        <v>119</v>
      </c>
      <c r="G538" s="205">
        <v>323</v>
      </c>
      <c r="H538" s="205" t="s">
        <v>13</v>
      </c>
      <c r="I538" s="205">
        <v>0.33333333333333331</v>
      </c>
    </row>
    <row r="539" spans="1:9" x14ac:dyDescent="0.2">
      <c r="A539" s="205">
        <v>108</v>
      </c>
      <c r="B539" s="205" t="s">
        <v>329</v>
      </c>
      <c r="C539" s="205"/>
      <c r="E539" s="205" t="s">
        <v>120</v>
      </c>
      <c r="G539" s="205">
        <v>324</v>
      </c>
      <c r="H539" s="205" t="s">
        <v>14</v>
      </c>
      <c r="I539" s="205">
        <v>0.33436532507739936</v>
      </c>
    </row>
    <row r="540" spans="1:9" x14ac:dyDescent="0.2">
      <c r="A540" s="205"/>
      <c r="C540" s="205"/>
      <c r="E540" s="205" t="s">
        <v>125</v>
      </c>
      <c r="G540" s="205">
        <v>969</v>
      </c>
      <c r="H540" s="205" t="s">
        <v>15</v>
      </c>
      <c r="I540" s="205">
        <v>0.99999999999999989</v>
      </c>
    </row>
    <row r="541" spans="1:9" x14ac:dyDescent="0.2">
      <c r="A541" s="205"/>
      <c r="C541" s="205"/>
    </row>
    <row r="542" spans="1:9" x14ac:dyDescent="0.2">
      <c r="A542" s="205">
        <v>109</v>
      </c>
      <c r="B542" s="205" t="s">
        <v>330</v>
      </c>
      <c r="C542" s="205"/>
      <c r="E542" s="205" t="s">
        <v>118</v>
      </c>
      <c r="G542" s="205">
        <v>325</v>
      </c>
      <c r="H542" s="205" t="s">
        <v>12</v>
      </c>
      <c r="I542" s="205">
        <v>0.33231083844580778</v>
      </c>
    </row>
    <row r="543" spans="1:9" x14ac:dyDescent="0.2">
      <c r="A543" s="205">
        <v>109</v>
      </c>
      <c r="B543" s="205" t="s">
        <v>330</v>
      </c>
      <c r="C543" s="205"/>
      <c r="E543" s="205" t="s">
        <v>119</v>
      </c>
      <c r="G543" s="205">
        <v>326</v>
      </c>
      <c r="H543" s="205" t="s">
        <v>13</v>
      </c>
      <c r="I543" s="205">
        <v>0.33333333333333331</v>
      </c>
    </row>
    <row r="544" spans="1:9" x14ac:dyDescent="0.2">
      <c r="A544" s="205">
        <v>109</v>
      </c>
      <c r="B544" s="205" t="s">
        <v>330</v>
      </c>
      <c r="C544" s="205"/>
      <c r="E544" s="205" t="s">
        <v>120</v>
      </c>
      <c r="G544" s="205">
        <v>327</v>
      </c>
      <c r="H544" s="205" t="s">
        <v>14</v>
      </c>
      <c r="I544" s="205">
        <v>0.33435582822085891</v>
      </c>
    </row>
    <row r="545" spans="1:9" x14ac:dyDescent="0.2">
      <c r="A545" s="205"/>
      <c r="C545" s="205"/>
      <c r="E545" s="205" t="s">
        <v>125</v>
      </c>
      <c r="G545" s="205">
        <v>978</v>
      </c>
      <c r="H545" s="205" t="s">
        <v>15</v>
      </c>
      <c r="I545" s="205">
        <v>1</v>
      </c>
    </row>
    <row r="546" spans="1:9" x14ac:dyDescent="0.2">
      <c r="A546" s="205"/>
      <c r="C546" s="205"/>
    </row>
    <row r="547" spans="1:9" x14ac:dyDescent="0.2">
      <c r="A547" s="205">
        <v>110</v>
      </c>
      <c r="B547" s="205" t="s">
        <v>331</v>
      </c>
      <c r="C547" s="205"/>
      <c r="E547" s="205" t="s">
        <v>118</v>
      </c>
      <c r="G547" s="205">
        <v>328</v>
      </c>
      <c r="H547" s="205" t="s">
        <v>12</v>
      </c>
      <c r="I547" s="205">
        <v>0.33232016210739618</v>
      </c>
    </row>
    <row r="548" spans="1:9" x14ac:dyDescent="0.2">
      <c r="A548" s="205">
        <v>110</v>
      </c>
      <c r="B548" s="205" t="s">
        <v>331</v>
      </c>
      <c r="C548" s="205"/>
      <c r="E548" s="205" t="s">
        <v>119</v>
      </c>
      <c r="G548" s="205">
        <v>329</v>
      </c>
      <c r="H548" s="205" t="s">
        <v>13</v>
      </c>
      <c r="I548" s="205">
        <v>0.33333333333333331</v>
      </c>
    </row>
    <row r="549" spans="1:9" x14ac:dyDescent="0.2">
      <c r="A549" s="205">
        <v>110</v>
      </c>
      <c r="B549" s="205" t="s">
        <v>331</v>
      </c>
      <c r="C549" s="205"/>
      <c r="E549" s="205" t="s">
        <v>120</v>
      </c>
      <c r="G549" s="205">
        <v>330</v>
      </c>
      <c r="H549" s="205" t="s">
        <v>14</v>
      </c>
      <c r="I549" s="205">
        <v>0.33434650455927051</v>
      </c>
    </row>
    <row r="550" spans="1:9" x14ac:dyDescent="0.2">
      <c r="A550" s="205"/>
      <c r="C550" s="205"/>
      <c r="E550" s="205" t="s">
        <v>125</v>
      </c>
      <c r="G550" s="205">
        <v>987</v>
      </c>
      <c r="H550" s="205" t="s">
        <v>15</v>
      </c>
      <c r="I550" s="205">
        <v>1</v>
      </c>
    </row>
    <row r="551" spans="1:9" x14ac:dyDescent="0.2">
      <c r="A551" s="205"/>
      <c r="C551" s="205"/>
    </row>
    <row r="552" spans="1:9" x14ac:dyDescent="0.2">
      <c r="A552" s="205">
        <v>111</v>
      </c>
      <c r="B552" s="205" t="s">
        <v>332</v>
      </c>
      <c r="C552" s="205"/>
      <c r="E552" s="205" t="s">
        <v>118</v>
      </c>
      <c r="G552" s="205">
        <v>331</v>
      </c>
      <c r="H552" s="205" t="s">
        <v>12</v>
      </c>
      <c r="I552" s="205">
        <v>0.33232931726907633</v>
      </c>
    </row>
    <row r="553" spans="1:9" x14ac:dyDescent="0.2">
      <c r="A553" s="205">
        <v>111</v>
      </c>
      <c r="B553" s="205" t="s">
        <v>332</v>
      </c>
      <c r="C553" s="205"/>
      <c r="E553" s="205" t="s">
        <v>119</v>
      </c>
      <c r="G553" s="205">
        <v>332</v>
      </c>
      <c r="H553" s="205" t="s">
        <v>13</v>
      </c>
      <c r="I553" s="205">
        <v>0.33333333333333331</v>
      </c>
    </row>
    <row r="554" spans="1:9" x14ac:dyDescent="0.2">
      <c r="A554" s="205">
        <v>111</v>
      </c>
      <c r="B554" s="205" t="s">
        <v>332</v>
      </c>
      <c r="C554" s="205"/>
      <c r="E554" s="205" t="s">
        <v>120</v>
      </c>
      <c r="G554" s="205">
        <v>333</v>
      </c>
      <c r="H554" s="205" t="s">
        <v>14</v>
      </c>
      <c r="I554" s="205">
        <v>0.33433734939759036</v>
      </c>
    </row>
    <row r="555" spans="1:9" x14ac:dyDescent="0.2">
      <c r="A555" s="205"/>
      <c r="C555" s="205"/>
      <c r="E555" s="205" t="s">
        <v>125</v>
      </c>
      <c r="G555" s="205">
        <v>996</v>
      </c>
      <c r="H555" s="205" t="s">
        <v>15</v>
      </c>
      <c r="I555" s="205">
        <v>1</v>
      </c>
    </row>
    <row r="556" spans="1:9" x14ac:dyDescent="0.2">
      <c r="A556" s="205"/>
      <c r="C556" s="205"/>
    </row>
    <row r="557" spans="1:9" x14ac:dyDescent="0.2">
      <c r="A557" s="205">
        <v>112</v>
      </c>
      <c r="B557" s="205" t="s">
        <v>333</v>
      </c>
      <c r="C557" s="205"/>
      <c r="E557" s="205" t="s">
        <v>118</v>
      </c>
      <c r="G557" s="205">
        <v>334</v>
      </c>
      <c r="H557" s="205" t="s">
        <v>12</v>
      </c>
      <c r="I557" s="205">
        <v>0.33233830845771145</v>
      </c>
    </row>
    <row r="558" spans="1:9" x14ac:dyDescent="0.2">
      <c r="A558" s="205">
        <v>112</v>
      </c>
      <c r="B558" s="205" t="s">
        <v>333</v>
      </c>
      <c r="C558" s="205"/>
      <c r="E558" s="205" t="s">
        <v>119</v>
      </c>
      <c r="G558" s="205">
        <v>335</v>
      </c>
      <c r="H558" s="205" t="s">
        <v>13</v>
      </c>
      <c r="I558" s="205">
        <v>0.33333333333333331</v>
      </c>
    </row>
    <row r="559" spans="1:9" x14ac:dyDescent="0.2">
      <c r="A559" s="205">
        <v>112</v>
      </c>
      <c r="B559" s="205" t="s">
        <v>333</v>
      </c>
      <c r="C559" s="205"/>
      <c r="E559" s="205" t="s">
        <v>120</v>
      </c>
      <c r="G559" s="205">
        <v>336</v>
      </c>
      <c r="H559" s="205" t="s">
        <v>14</v>
      </c>
      <c r="I559" s="205">
        <v>0.33432835820895523</v>
      </c>
    </row>
    <row r="560" spans="1:9" x14ac:dyDescent="0.2">
      <c r="A560" s="205"/>
      <c r="C560" s="205"/>
      <c r="E560" s="205" t="s">
        <v>125</v>
      </c>
      <c r="G560" s="205">
        <v>1005</v>
      </c>
      <c r="H560" s="205" t="s">
        <v>15</v>
      </c>
      <c r="I560" s="205">
        <v>1</v>
      </c>
    </row>
    <row r="561" spans="1:9" x14ac:dyDescent="0.2">
      <c r="A561" s="205"/>
      <c r="C561" s="205"/>
    </row>
    <row r="562" spans="1:9" x14ac:dyDescent="0.2">
      <c r="A562" s="205">
        <v>113</v>
      </c>
      <c r="B562" s="205" t="s">
        <v>334</v>
      </c>
      <c r="C562" s="205"/>
      <c r="E562" s="205" t="s">
        <v>118</v>
      </c>
      <c r="G562" s="205">
        <v>337</v>
      </c>
      <c r="H562" s="205" t="s">
        <v>12</v>
      </c>
      <c r="I562" s="205">
        <v>0.33234714003944771</v>
      </c>
    </row>
    <row r="563" spans="1:9" x14ac:dyDescent="0.2">
      <c r="A563" s="205">
        <v>113</v>
      </c>
      <c r="B563" s="205" t="s">
        <v>334</v>
      </c>
      <c r="C563" s="205"/>
      <c r="E563" s="205" t="s">
        <v>119</v>
      </c>
      <c r="G563" s="205">
        <v>338</v>
      </c>
      <c r="H563" s="205" t="s">
        <v>13</v>
      </c>
      <c r="I563" s="205">
        <v>0.33333333333333331</v>
      </c>
    </row>
    <row r="564" spans="1:9" x14ac:dyDescent="0.2">
      <c r="A564" s="205">
        <v>113</v>
      </c>
      <c r="B564" s="205" t="s">
        <v>334</v>
      </c>
      <c r="C564" s="205"/>
      <c r="E564" s="205" t="s">
        <v>120</v>
      </c>
      <c r="G564" s="205">
        <v>339</v>
      </c>
      <c r="H564" s="205" t="s">
        <v>14</v>
      </c>
      <c r="I564" s="205">
        <v>0.33431952662721892</v>
      </c>
    </row>
    <row r="565" spans="1:9" x14ac:dyDescent="0.2">
      <c r="A565" s="205"/>
      <c r="C565" s="205"/>
      <c r="E565" s="205" t="s">
        <v>125</v>
      </c>
      <c r="G565" s="205">
        <v>1014</v>
      </c>
      <c r="H565" s="205" t="s">
        <v>15</v>
      </c>
      <c r="I565" s="205">
        <v>1</v>
      </c>
    </row>
    <row r="566" spans="1:9" x14ac:dyDescent="0.2">
      <c r="A566" s="205"/>
      <c r="C566" s="205"/>
    </row>
    <row r="567" spans="1:9" x14ac:dyDescent="0.2">
      <c r="A567" s="205">
        <v>114</v>
      </c>
      <c r="B567" s="205" t="s">
        <v>335</v>
      </c>
      <c r="C567" s="205"/>
      <c r="E567" s="205" t="s">
        <v>118</v>
      </c>
      <c r="G567" s="205">
        <v>340</v>
      </c>
      <c r="H567" s="205" t="s">
        <v>12</v>
      </c>
      <c r="I567" s="205">
        <v>0.33235581622678395</v>
      </c>
    </row>
    <row r="568" spans="1:9" x14ac:dyDescent="0.2">
      <c r="A568" s="205">
        <v>114</v>
      </c>
      <c r="B568" s="205" t="s">
        <v>335</v>
      </c>
      <c r="C568" s="205"/>
      <c r="E568" s="205" t="s">
        <v>119</v>
      </c>
      <c r="G568" s="205">
        <v>341</v>
      </c>
      <c r="H568" s="205" t="s">
        <v>13</v>
      </c>
      <c r="I568" s="205">
        <v>0.33333333333333331</v>
      </c>
    </row>
    <row r="569" spans="1:9" x14ac:dyDescent="0.2">
      <c r="A569" s="205">
        <v>114</v>
      </c>
      <c r="B569" s="205" t="s">
        <v>335</v>
      </c>
      <c r="C569" s="205"/>
      <c r="E569" s="205" t="s">
        <v>120</v>
      </c>
      <c r="G569" s="205">
        <v>342</v>
      </c>
      <c r="H569" s="205" t="s">
        <v>14</v>
      </c>
      <c r="I569" s="205">
        <v>0.33431085043988268</v>
      </c>
    </row>
    <row r="570" spans="1:9" x14ac:dyDescent="0.2">
      <c r="A570" s="205"/>
      <c r="C570" s="205"/>
      <c r="E570" s="205" t="s">
        <v>125</v>
      </c>
      <c r="G570" s="205">
        <v>1023</v>
      </c>
      <c r="H570" s="205" t="s">
        <v>15</v>
      </c>
      <c r="I570" s="205">
        <v>1</v>
      </c>
    </row>
    <row r="571" spans="1:9" x14ac:dyDescent="0.2">
      <c r="A571" s="205"/>
      <c r="C571" s="205"/>
    </row>
    <row r="572" spans="1:9" x14ac:dyDescent="0.2">
      <c r="A572" s="205">
        <v>115</v>
      </c>
      <c r="B572" s="205" t="s">
        <v>336</v>
      </c>
      <c r="C572" s="205"/>
      <c r="E572" s="205" t="s">
        <v>118</v>
      </c>
      <c r="G572" s="205">
        <v>343</v>
      </c>
      <c r="H572" s="205" t="s">
        <v>12</v>
      </c>
      <c r="I572" s="205">
        <v>0.3323643410852713</v>
      </c>
    </row>
    <row r="573" spans="1:9" x14ac:dyDescent="0.2">
      <c r="A573" s="205">
        <v>115</v>
      </c>
      <c r="B573" s="205" t="s">
        <v>336</v>
      </c>
      <c r="C573" s="205"/>
      <c r="E573" s="205" t="s">
        <v>119</v>
      </c>
      <c r="G573" s="205">
        <v>344</v>
      </c>
      <c r="H573" s="205" t="s">
        <v>13</v>
      </c>
      <c r="I573" s="205">
        <v>0.33333333333333331</v>
      </c>
    </row>
    <row r="574" spans="1:9" x14ac:dyDescent="0.2">
      <c r="A574" s="205">
        <v>115</v>
      </c>
      <c r="B574" s="205" t="s">
        <v>336</v>
      </c>
      <c r="C574" s="205"/>
      <c r="E574" s="205" t="s">
        <v>120</v>
      </c>
      <c r="G574" s="205">
        <v>345</v>
      </c>
      <c r="H574" s="205" t="s">
        <v>14</v>
      </c>
      <c r="I574" s="205">
        <v>0.33430232558139533</v>
      </c>
    </row>
    <row r="575" spans="1:9" x14ac:dyDescent="0.2">
      <c r="A575" s="205"/>
      <c r="C575" s="205"/>
      <c r="E575" s="205" t="s">
        <v>125</v>
      </c>
      <c r="G575" s="205">
        <v>1032</v>
      </c>
      <c r="H575" s="205" t="s">
        <v>15</v>
      </c>
      <c r="I575" s="205">
        <v>1</v>
      </c>
    </row>
    <row r="576" spans="1:9" x14ac:dyDescent="0.2">
      <c r="A576" s="205"/>
      <c r="C576" s="205"/>
    </row>
    <row r="577" spans="1:9" x14ac:dyDescent="0.2">
      <c r="A577" s="205">
        <v>116</v>
      </c>
      <c r="B577" s="205" t="s">
        <v>337</v>
      </c>
      <c r="C577" s="205"/>
      <c r="E577" s="205" t="s">
        <v>118</v>
      </c>
      <c r="G577" s="205">
        <v>346</v>
      </c>
      <c r="H577" s="205" t="s">
        <v>12</v>
      </c>
      <c r="I577" s="205">
        <v>0.3323727185398655</v>
      </c>
    </row>
    <row r="578" spans="1:9" x14ac:dyDescent="0.2">
      <c r="A578" s="205">
        <v>116</v>
      </c>
      <c r="B578" s="205" t="s">
        <v>337</v>
      </c>
      <c r="C578" s="205"/>
      <c r="E578" s="205" t="s">
        <v>119</v>
      </c>
      <c r="G578" s="205">
        <v>347</v>
      </c>
      <c r="H578" s="205" t="s">
        <v>13</v>
      </c>
      <c r="I578" s="205">
        <v>0.33333333333333331</v>
      </c>
    </row>
    <row r="579" spans="1:9" x14ac:dyDescent="0.2">
      <c r="A579" s="205">
        <v>116</v>
      </c>
      <c r="B579" s="205" t="s">
        <v>337</v>
      </c>
      <c r="C579" s="205"/>
      <c r="E579" s="205" t="s">
        <v>120</v>
      </c>
      <c r="G579" s="205">
        <v>348</v>
      </c>
      <c r="H579" s="205" t="s">
        <v>14</v>
      </c>
      <c r="I579" s="205">
        <v>0.33429394812680113</v>
      </c>
    </row>
    <row r="580" spans="1:9" x14ac:dyDescent="0.2">
      <c r="A580" s="205"/>
      <c r="C580" s="205"/>
      <c r="E580" s="205" t="s">
        <v>125</v>
      </c>
      <c r="G580" s="205">
        <v>1041</v>
      </c>
      <c r="H580" s="205" t="s">
        <v>15</v>
      </c>
      <c r="I580" s="205">
        <v>0.99999999999999989</v>
      </c>
    </row>
    <row r="581" spans="1:9" x14ac:dyDescent="0.2">
      <c r="A581" s="205"/>
      <c r="C581" s="205"/>
    </row>
    <row r="582" spans="1:9" x14ac:dyDescent="0.2">
      <c r="A582" s="205">
        <v>117</v>
      </c>
      <c r="B582" s="205" t="s">
        <v>338</v>
      </c>
      <c r="C582" s="205"/>
      <c r="E582" s="205" t="s">
        <v>118</v>
      </c>
      <c r="G582" s="205">
        <v>349</v>
      </c>
      <c r="H582" s="205" t="s">
        <v>12</v>
      </c>
      <c r="I582" s="205">
        <v>0.33238095238095239</v>
      </c>
    </row>
    <row r="583" spans="1:9" x14ac:dyDescent="0.2">
      <c r="A583" s="205">
        <v>117</v>
      </c>
      <c r="B583" s="205" t="s">
        <v>338</v>
      </c>
      <c r="C583" s="205"/>
      <c r="E583" s="205" t="s">
        <v>119</v>
      </c>
      <c r="G583" s="205">
        <v>350</v>
      </c>
      <c r="H583" s="205" t="s">
        <v>13</v>
      </c>
      <c r="I583" s="205">
        <v>0.33333333333333331</v>
      </c>
    </row>
    <row r="584" spans="1:9" x14ac:dyDescent="0.2">
      <c r="A584" s="205">
        <v>117</v>
      </c>
      <c r="B584" s="205" t="s">
        <v>338</v>
      </c>
      <c r="C584" s="205"/>
      <c r="E584" s="205" t="s">
        <v>120</v>
      </c>
      <c r="G584" s="205">
        <v>351</v>
      </c>
      <c r="H584" s="205" t="s">
        <v>14</v>
      </c>
      <c r="I584" s="205">
        <v>0.3342857142857143</v>
      </c>
    </row>
    <row r="585" spans="1:9" x14ac:dyDescent="0.2">
      <c r="A585" s="205"/>
      <c r="C585" s="205"/>
      <c r="E585" s="205" t="s">
        <v>125</v>
      </c>
      <c r="G585" s="205">
        <v>1050</v>
      </c>
      <c r="H585" s="205" t="s">
        <v>15</v>
      </c>
      <c r="I585" s="205">
        <v>1</v>
      </c>
    </row>
    <row r="586" spans="1:9" x14ac:dyDescent="0.2">
      <c r="A586" s="205"/>
      <c r="C586" s="205"/>
    </row>
    <row r="587" spans="1:9" x14ac:dyDescent="0.2">
      <c r="A587" s="205">
        <v>118</v>
      </c>
      <c r="B587" s="205" t="s">
        <v>339</v>
      </c>
      <c r="C587" s="205"/>
      <c r="E587" s="205" t="s">
        <v>118</v>
      </c>
      <c r="G587" s="205">
        <v>352</v>
      </c>
      <c r="H587" s="205" t="s">
        <v>12</v>
      </c>
      <c r="I587" s="205">
        <v>0.3323890462700661</v>
      </c>
    </row>
    <row r="588" spans="1:9" x14ac:dyDescent="0.2">
      <c r="A588" s="205">
        <v>118</v>
      </c>
      <c r="B588" s="205" t="s">
        <v>339</v>
      </c>
      <c r="C588" s="205"/>
      <c r="E588" s="205" t="s">
        <v>119</v>
      </c>
      <c r="G588" s="205">
        <v>353</v>
      </c>
      <c r="H588" s="205" t="s">
        <v>13</v>
      </c>
      <c r="I588" s="205">
        <v>0.33333333333333331</v>
      </c>
    </row>
    <row r="589" spans="1:9" x14ac:dyDescent="0.2">
      <c r="A589" s="205">
        <v>118</v>
      </c>
      <c r="B589" s="205" t="s">
        <v>339</v>
      </c>
      <c r="C589" s="205"/>
      <c r="E589" s="205" t="s">
        <v>120</v>
      </c>
      <c r="G589" s="205">
        <v>354</v>
      </c>
      <c r="H589" s="205" t="s">
        <v>14</v>
      </c>
      <c r="I589" s="205">
        <v>0.33427762039660058</v>
      </c>
    </row>
    <row r="590" spans="1:9" x14ac:dyDescent="0.2">
      <c r="A590" s="205"/>
      <c r="C590" s="205"/>
      <c r="E590" s="205" t="s">
        <v>125</v>
      </c>
      <c r="G590" s="205">
        <v>1059</v>
      </c>
      <c r="H590" s="205" t="s">
        <v>15</v>
      </c>
      <c r="I590" s="205">
        <v>1</v>
      </c>
    </row>
    <row r="591" spans="1:9" x14ac:dyDescent="0.2">
      <c r="A591" s="205"/>
      <c r="C591" s="205"/>
    </row>
    <row r="592" spans="1:9" x14ac:dyDescent="0.2">
      <c r="A592" s="205">
        <v>119</v>
      </c>
      <c r="B592" s="205" t="s">
        <v>340</v>
      </c>
      <c r="C592" s="205"/>
      <c r="E592" s="205" t="s">
        <v>118</v>
      </c>
      <c r="G592" s="205">
        <v>355</v>
      </c>
      <c r="H592" s="205" t="s">
        <v>12</v>
      </c>
      <c r="I592" s="205">
        <v>0.33239700374531833</v>
      </c>
    </row>
    <row r="593" spans="1:9" x14ac:dyDescent="0.2">
      <c r="A593" s="205">
        <v>119</v>
      </c>
      <c r="B593" s="205" t="s">
        <v>340</v>
      </c>
      <c r="C593" s="205"/>
      <c r="E593" s="205" t="s">
        <v>119</v>
      </c>
      <c r="G593" s="205">
        <v>356</v>
      </c>
      <c r="H593" s="205" t="s">
        <v>13</v>
      </c>
      <c r="I593" s="205">
        <v>0.33333333333333331</v>
      </c>
    </row>
    <row r="594" spans="1:9" x14ac:dyDescent="0.2">
      <c r="A594" s="205">
        <v>119</v>
      </c>
      <c r="B594" s="205" t="s">
        <v>340</v>
      </c>
      <c r="C594" s="205"/>
      <c r="E594" s="205" t="s">
        <v>120</v>
      </c>
      <c r="G594" s="205">
        <v>357</v>
      </c>
      <c r="H594" s="205" t="s">
        <v>14</v>
      </c>
      <c r="I594" s="205">
        <v>0.3342696629213483</v>
      </c>
    </row>
    <row r="595" spans="1:9" x14ac:dyDescent="0.2">
      <c r="A595" s="205"/>
      <c r="C595" s="205"/>
      <c r="E595" s="205" t="s">
        <v>125</v>
      </c>
      <c r="G595" s="205">
        <v>1068</v>
      </c>
      <c r="H595" s="205" t="s">
        <v>15</v>
      </c>
      <c r="I595" s="205">
        <v>0.99999999999999989</v>
      </c>
    </row>
    <row r="596" spans="1:9" x14ac:dyDescent="0.2">
      <c r="A596" s="205"/>
      <c r="C596" s="205"/>
    </row>
    <row r="597" spans="1:9" x14ac:dyDescent="0.2">
      <c r="A597" s="205">
        <v>120</v>
      </c>
      <c r="B597" s="205" t="s">
        <v>341</v>
      </c>
      <c r="C597" s="205"/>
      <c r="E597" s="205" t="s">
        <v>118</v>
      </c>
      <c r="G597" s="205">
        <v>358</v>
      </c>
      <c r="H597" s="205" t="s">
        <v>12</v>
      </c>
      <c r="I597" s="205">
        <v>0.33240482822655526</v>
      </c>
    </row>
    <row r="598" spans="1:9" x14ac:dyDescent="0.2">
      <c r="A598" s="205">
        <v>120</v>
      </c>
      <c r="B598" s="205" t="s">
        <v>341</v>
      </c>
      <c r="C598" s="205"/>
      <c r="E598" s="205" t="s">
        <v>119</v>
      </c>
      <c r="G598" s="205">
        <v>359</v>
      </c>
      <c r="H598" s="205" t="s">
        <v>13</v>
      </c>
      <c r="I598" s="205">
        <v>0.33333333333333331</v>
      </c>
    </row>
    <row r="599" spans="1:9" x14ac:dyDescent="0.2">
      <c r="A599" s="205">
        <v>120</v>
      </c>
      <c r="B599" s="205" t="s">
        <v>341</v>
      </c>
      <c r="C599" s="205"/>
      <c r="E599" s="205" t="s">
        <v>120</v>
      </c>
      <c r="G599" s="205">
        <v>360</v>
      </c>
      <c r="H599" s="205" t="s">
        <v>14</v>
      </c>
      <c r="I599" s="205">
        <v>0.33426183844011143</v>
      </c>
    </row>
    <row r="600" spans="1:9" x14ac:dyDescent="0.2">
      <c r="A600" s="205"/>
      <c r="C600" s="205"/>
      <c r="E600" s="205" t="s">
        <v>125</v>
      </c>
      <c r="G600" s="205">
        <v>1077</v>
      </c>
      <c r="H600" s="205" t="s">
        <v>15</v>
      </c>
      <c r="I600" s="205">
        <v>1</v>
      </c>
    </row>
    <row r="601" spans="1:9" x14ac:dyDescent="0.2">
      <c r="A601" s="205"/>
      <c r="C601" s="205"/>
    </row>
    <row r="602" spans="1:9" x14ac:dyDescent="0.2">
      <c r="A602" s="205">
        <v>121</v>
      </c>
      <c r="B602" s="205" t="s">
        <v>342</v>
      </c>
      <c r="C602" s="205"/>
      <c r="E602" s="205" t="s">
        <v>118</v>
      </c>
      <c r="G602" s="205">
        <v>361</v>
      </c>
      <c r="H602" s="205" t="s">
        <v>12</v>
      </c>
      <c r="I602" s="205">
        <v>0.33241252302025781</v>
      </c>
    </row>
    <row r="603" spans="1:9" x14ac:dyDescent="0.2">
      <c r="A603" s="205">
        <v>121</v>
      </c>
      <c r="B603" s="205" t="s">
        <v>342</v>
      </c>
      <c r="C603" s="205"/>
      <c r="E603" s="205" t="s">
        <v>119</v>
      </c>
      <c r="G603" s="205">
        <v>362</v>
      </c>
      <c r="H603" s="205" t="s">
        <v>13</v>
      </c>
      <c r="I603" s="205">
        <v>0.33333333333333331</v>
      </c>
    </row>
    <row r="604" spans="1:9" x14ac:dyDescent="0.2">
      <c r="A604" s="205">
        <v>121</v>
      </c>
      <c r="B604" s="205" t="s">
        <v>342</v>
      </c>
      <c r="C604" s="205"/>
      <c r="E604" s="205" t="s">
        <v>120</v>
      </c>
      <c r="G604" s="205">
        <v>363</v>
      </c>
      <c r="H604" s="205" t="s">
        <v>14</v>
      </c>
      <c r="I604" s="205">
        <v>0.33425414364640882</v>
      </c>
    </row>
    <row r="605" spans="1:9" x14ac:dyDescent="0.2">
      <c r="A605" s="205"/>
      <c r="C605" s="205"/>
      <c r="E605" s="205" t="s">
        <v>125</v>
      </c>
      <c r="G605" s="205">
        <v>1086</v>
      </c>
      <c r="H605" s="205" t="s">
        <v>15</v>
      </c>
      <c r="I605" s="205">
        <v>1</v>
      </c>
    </row>
    <row r="606" spans="1:9" x14ac:dyDescent="0.2">
      <c r="A606" s="205"/>
      <c r="C606" s="205"/>
    </row>
    <row r="607" spans="1:9" x14ac:dyDescent="0.2">
      <c r="A607" s="205">
        <v>122</v>
      </c>
      <c r="B607" s="205" t="s">
        <v>343</v>
      </c>
      <c r="C607" s="205"/>
      <c r="E607" s="205" t="s">
        <v>118</v>
      </c>
      <c r="G607" s="205">
        <v>364</v>
      </c>
      <c r="H607" s="205" t="s">
        <v>12</v>
      </c>
      <c r="I607" s="205">
        <v>0.33242009132420092</v>
      </c>
    </row>
    <row r="608" spans="1:9" x14ac:dyDescent="0.2">
      <c r="A608" s="205">
        <v>122</v>
      </c>
      <c r="B608" s="205" t="s">
        <v>343</v>
      </c>
      <c r="C608" s="205"/>
      <c r="E608" s="205" t="s">
        <v>119</v>
      </c>
      <c r="G608" s="205">
        <v>365</v>
      </c>
      <c r="H608" s="205" t="s">
        <v>13</v>
      </c>
      <c r="I608" s="205">
        <v>0.33333333333333331</v>
      </c>
    </row>
    <row r="609" spans="1:9" x14ac:dyDescent="0.2">
      <c r="A609" s="205">
        <v>122</v>
      </c>
      <c r="B609" s="205" t="s">
        <v>343</v>
      </c>
      <c r="C609" s="205"/>
      <c r="E609" s="205" t="s">
        <v>120</v>
      </c>
      <c r="G609" s="205">
        <v>366</v>
      </c>
      <c r="H609" s="205" t="s">
        <v>14</v>
      </c>
      <c r="I609" s="205">
        <v>0.33424657534246577</v>
      </c>
    </row>
    <row r="610" spans="1:9" x14ac:dyDescent="0.2">
      <c r="A610" s="205"/>
      <c r="C610" s="205"/>
      <c r="E610" s="205" t="s">
        <v>125</v>
      </c>
      <c r="G610" s="205">
        <v>1095</v>
      </c>
      <c r="H610" s="205" t="s">
        <v>15</v>
      </c>
      <c r="I610" s="205">
        <v>1</v>
      </c>
    </row>
    <row r="611" spans="1:9" x14ac:dyDescent="0.2">
      <c r="A611" s="205"/>
      <c r="C611" s="205"/>
    </row>
    <row r="612" spans="1:9" x14ac:dyDescent="0.2">
      <c r="A612" s="205">
        <v>123</v>
      </c>
      <c r="B612" s="205" t="s">
        <v>344</v>
      </c>
      <c r="C612" s="205"/>
      <c r="E612" s="205" t="s">
        <v>118</v>
      </c>
      <c r="G612" s="205">
        <v>367</v>
      </c>
      <c r="H612" s="205" t="s">
        <v>12</v>
      </c>
      <c r="I612" s="205">
        <v>0.33242753623188404</v>
      </c>
    </row>
    <row r="613" spans="1:9" x14ac:dyDescent="0.2">
      <c r="A613" s="205">
        <v>123</v>
      </c>
      <c r="B613" s="205" t="s">
        <v>344</v>
      </c>
      <c r="C613" s="205"/>
      <c r="E613" s="205" t="s">
        <v>119</v>
      </c>
      <c r="G613" s="205">
        <v>368</v>
      </c>
      <c r="H613" s="205" t="s">
        <v>13</v>
      </c>
      <c r="I613" s="205">
        <v>0.33333333333333331</v>
      </c>
    </row>
    <row r="614" spans="1:9" x14ac:dyDescent="0.2">
      <c r="A614" s="205">
        <v>123</v>
      </c>
      <c r="B614" s="205" t="s">
        <v>344</v>
      </c>
      <c r="C614" s="205"/>
      <c r="E614" s="205" t="s">
        <v>120</v>
      </c>
      <c r="G614" s="205">
        <v>369</v>
      </c>
      <c r="H614" s="205" t="s">
        <v>14</v>
      </c>
      <c r="I614" s="205">
        <v>0.33423913043478259</v>
      </c>
    </row>
    <row r="615" spans="1:9" x14ac:dyDescent="0.2">
      <c r="A615" s="205"/>
      <c r="C615" s="205"/>
      <c r="E615" s="205" t="s">
        <v>125</v>
      </c>
      <c r="G615" s="205">
        <v>1104</v>
      </c>
      <c r="H615" s="205" t="s">
        <v>15</v>
      </c>
      <c r="I615" s="205">
        <v>0.99999999999999989</v>
      </c>
    </row>
    <row r="616" spans="1:9" x14ac:dyDescent="0.2">
      <c r="A616" s="205"/>
      <c r="C616" s="205"/>
    </row>
    <row r="617" spans="1:9" x14ac:dyDescent="0.2">
      <c r="A617" s="205">
        <v>124</v>
      </c>
      <c r="B617" s="205" t="s">
        <v>345</v>
      </c>
      <c r="C617" s="205"/>
      <c r="E617" s="205" t="s">
        <v>118</v>
      </c>
      <c r="G617" s="205">
        <v>370</v>
      </c>
      <c r="H617" s="205" t="s">
        <v>12</v>
      </c>
      <c r="I617" s="205">
        <v>0.33243486073674755</v>
      </c>
    </row>
    <row r="618" spans="1:9" x14ac:dyDescent="0.2">
      <c r="A618" s="205">
        <v>124</v>
      </c>
      <c r="B618" s="205" t="s">
        <v>345</v>
      </c>
      <c r="C618" s="205"/>
      <c r="E618" s="205" t="s">
        <v>119</v>
      </c>
      <c r="G618" s="205">
        <v>371</v>
      </c>
      <c r="H618" s="205" t="s">
        <v>13</v>
      </c>
      <c r="I618" s="205">
        <v>0.33333333333333331</v>
      </c>
    </row>
    <row r="619" spans="1:9" x14ac:dyDescent="0.2">
      <c r="A619" s="205">
        <v>124</v>
      </c>
      <c r="B619" s="205" t="s">
        <v>345</v>
      </c>
      <c r="C619" s="205"/>
      <c r="E619" s="205" t="s">
        <v>120</v>
      </c>
      <c r="G619" s="205">
        <v>372</v>
      </c>
      <c r="H619" s="205" t="s">
        <v>14</v>
      </c>
      <c r="I619" s="205">
        <v>0.33423180592991913</v>
      </c>
    </row>
    <row r="620" spans="1:9" x14ac:dyDescent="0.2">
      <c r="A620" s="205"/>
      <c r="C620" s="205"/>
      <c r="E620" s="205" t="s">
        <v>125</v>
      </c>
      <c r="G620" s="205">
        <v>1113</v>
      </c>
      <c r="H620" s="205" t="s">
        <v>15</v>
      </c>
      <c r="I620" s="205">
        <v>1</v>
      </c>
    </row>
    <row r="621" spans="1:9" x14ac:dyDescent="0.2">
      <c r="A621" s="205"/>
      <c r="C621" s="205"/>
    </row>
    <row r="622" spans="1:9" x14ac:dyDescent="0.2">
      <c r="A622" s="205">
        <v>125</v>
      </c>
      <c r="B622" s="205" t="s">
        <v>346</v>
      </c>
      <c r="C622" s="205"/>
      <c r="E622" s="205" t="s">
        <v>118</v>
      </c>
      <c r="G622" s="205">
        <v>373</v>
      </c>
      <c r="H622" s="205" t="s">
        <v>12</v>
      </c>
      <c r="I622" s="205">
        <v>0.3324420677361854</v>
      </c>
    </row>
    <row r="623" spans="1:9" x14ac:dyDescent="0.2">
      <c r="A623" s="205">
        <v>125</v>
      </c>
      <c r="B623" s="205" t="s">
        <v>346</v>
      </c>
      <c r="C623" s="205"/>
      <c r="E623" s="205" t="s">
        <v>119</v>
      </c>
      <c r="G623" s="205">
        <v>374</v>
      </c>
      <c r="H623" s="205" t="s">
        <v>13</v>
      </c>
      <c r="I623" s="205">
        <v>0.33333333333333331</v>
      </c>
    </row>
    <row r="624" spans="1:9" x14ac:dyDescent="0.2">
      <c r="A624" s="205">
        <v>125</v>
      </c>
      <c r="B624" s="205" t="s">
        <v>346</v>
      </c>
      <c r="C624" s="205"/>
      <c r="E624" s="205" t="s">
        <v>120</v>
      </c>
      <c r="G624" s="205">
        <v>375</v>
      </c>
      <c r="H624" s="205" t="s">
        <v>14</v>
      </c>
      <c r="I624" s="205">
        <v>0.33422459893048129</v>
      </c>
    </row>
    <row r="625" spans="1:9" x14ac:dyDescent="0.2">
      <c r="A625" s="205"/>
      <c r="C625" s="205"/>
      <c r="E625" s="205" t="s">
        <v>125</v>
      </c>
      <c r="G625" s="205">
        <v>1122</v>
      </c>
      <c r="H625" s="205" t="s">
        <v>15</v>
      </c>
      <c r="I625" s="205">
        <v>1</v>
      </c>
    </row>
    <row r="626" spans="1:9" x14ac:dyDescent="0.2">
      <c r="A626" s="205"/>
      <c r="C626" s="205"/>
    </row>
    <row r="627" spans="1:9" x14ac:dyDescent="0.2">
      <c r="A627" s="205">
        <v>126</v>
      </c>
      <c r="B627" s="205" t="s">
        <v>347</v>
      </c>
      <c r="C627" s="205"/>
      <c r="E627" s="205" t="s">
        <v>118</v>
      </c>
      <c r="G627" s="205">
        <v>376</v>
      </c>
      <c r="H627" s="205" t="s">
        <v>12</v>
      </c>
      <c r="I627" s="205">
        <v>0.33244916003536695</v>
      </c>
    </row>
    <row r="628" spans="1:9" x14ac:dyDescent="0.2">
      <c r="A628" s="205">
        <v>126</v>
      </c>
      <c r="B628" s="205" t="s">
        <v>347</v>
      </c>
      <c r="C628" s="205"/>
      <c r="E628" s="205" t="s">
        <v>119</v>
      </c>
      <c r="G628" s="205">
        <v>377</v>
      </c>
      <c r="H628" s="205" t="s">
        <v>13</v>
      </c>
      <c r="I628" s="205">
        <v>0.33333333333333331</v>
      </c>
    </row>
    <row r="629" spans="1:9" x14ac:dyDescent="0.2">
      <c r="A629" s="205">
        <v>126</v>
      </c>
      <c r="B629" s="205" t="s">
        <v>347</v>
      </c>
      <c r="C629" s="205"/>
      <c r="E629" s="205" t="s">
        <v>120</v>
      </c>
      <c r="G629" s="205">
        <v>378</v>
      </c>
      <c r="H629" s="205" t="s">
        <v>14</v>
      </c>
      <c r="I629" s="205">
        <v>0.33421750663129973</v>
      </c>
    </row>
    <row r="630" spans="1:9" x14ac:dyDescent="0.2">
      <c r="A630" s="205"/>
      <c r="C630" s="205"/>
      <c r="E630" s="205" t="s">
        <v>125</v>
      </c>
      <c r="G630" s="205">
        <v>1131</v>
      </c>
      <c r="H630" s="205" t="s">
        <v>15</v>
      </c>
      <c r="I630" s="205">
        <v>1</v>
      </c>
    </row>
    <row r="631" spans="1:9" x14ac:dyDescent="0.2">
      <c r="A631" s="205"/>
      <c r="C631" s="205"/>
    </row>
    <row r="632" spans="1:9" x14ac:dyDescent="0.2">
      <c r="A632" s="205">
        <v>127</v>
      </c>
      <c r="B632" s="205" t="s">
        <v>348</v>
      </c>
      <c r="C632" s="205"/>
      <c r="E632" s="205" t="s">
        <v>118</v>
      </c>
      <c r="G632" s="205">
        <v>379</v>
      </c>
      <c r="H632" s="205" t="s">
        <v>12</v>
      </c>
      <c r="I632" s="205">
        <v>0.33245614035087717</v>
      </c>
    </row>
    <row r="633" spans="1:9" x14ac:dyDescent="0.2">
      <c r="A633" s="205">
        <v>127</v>
      </c>
      <c r="B633" s="205" t="s">
        <v>348</v>
      </c>
      <c r="C633" s="205"/>
      <c r="E633" s="205" t="s">
        <v>119</v>
      </c>
      <c r="G633" s="205">
        <v>380</v>
      </c>
      <c r="H633" s="205" t="s">
        <v>13</v>
      </c>
      <c r="I633" s="205">
        <v>0.33333333333333331</v>
      </c>
    </row>
    <row r="634" spans="1:9" x14ac:dyDescent="0.2">
      <c r="A634" s="205">
        <v>127</v>
      </c>
      <c r="B634" s="205" t="s">
        <v>348</v>
      </c>
      <c r="C634" s="205"/>
      <c r="E634" s="205" t="s">
        <v>120</v>
      </c>
      <c r="G634" s="205">
        <v>381</v>
      </c>
      <c r="H634" s="205" t="s">
        <v>14</v>
      </c>
      <c r="I634" s="205">
        <v>0.33421052631578946</v>
      </c>
    </row>
    <row r="635" spans="1:9" x14ac:dyDescent="0.2">
      <c r="A635" s="205"/>
      <c r="C635" s="205"/>
      <c r="E635" s="205" t="s">
        <v>125</v>
      </c>
      <c r="G635" s="205">
        <v>1140</v>
      </c>
      <c r="H635" s="205" t="s">
        <v>15</v>
      </c>
      <c r="I635" s="205">
        <v>1</v>
      </c>
    </row>
    <row r="636" spans="1:9" x14ac:dyDescent="0.2">
      <c r="A636" s="205"/>
      <c r="C636" s="205"/>
    </row>
    <row r="637" spans="1:9" x14ac:dyDescent="0.2">
      <c r="A637" s="205">
        <v>128</v>
      </c>
      <c r="B637" s="205" t="s">
        <v>349</v>
      </c>
      <c r="C637" s="205"/>
      <c r="E637" s="205" t="s">
        <v>118</v>
      </c>
      <c r="G637" s="205">
        <v>382</v>
      </c>
      <c r="H637" s="205" t="s">
        <v>12</v>
      </c>
      <c r="I637" s="205">
        <v>0.33246301131418626</v>
      </c>
    </row>
    <row r="638" spans="1:9" x14ac:dyDescent="0.2">
      <c r="A638" s="205">
        <v>128</v>
      </c>
      <c r="B638" s="205" t="s">
        <v>349</v>
      </c>
      <c r="C638" s="205"/>
      <c r="E638" s="205" t="s">
        <v>119</v>
      </c>
      <c r="G638" s="205">
        <v>383</v>
      </c>
      <c r="H638" s="205" t="s">
        <v>13</v>
      </c>
      <c r="I638" s="205">
        <v>0.33333333333333331</v>
      </c>
    </row>
    <row r="639" spans="1:9" x14ac:dyDescent="0.2">
      <c r="A639" s="205">
        <v>128</v>
      </c>
      <c r="B639" s="205" t="s">
        <v>349</v>
      </c>
      <c r="C639" s="205"/>
      <c r="E639" s="205" t="s">
        <v>120</v>
      </c>
      <c r="G639" s="205">
        <v>384</v>
      </c>
      <c r="H639" s="205" t="s">
        <v>14</v>
      </c>
      <c r="I639" s="205">
        <v>0.33420365535248042</v>
      </c>
    </row>
    <row r="640" spans="1:9" x14ac:dyDescent="0.2">
      <c r="A640" s="205"/>
      <c r="C640" s="205"/>
      <c r="E640" s="205" t="s">
        <v>125</v>
      </c>
      <c r="G640" s="205">
        <v>1149</v>
      </c>
      <c r="H640" s="205" t="s">
        <v>15</v>
      </c>
      <c r="I640" s="205">
        <v>1</v>
      </c>
    </row>
    <row r="641" spans="1:9" x14ac:dyDescent="0.2">
      <c r="A641" s="205"/>
      <c r="C641" s="205"/>
    </row>
    <row r="642" spans="1:9" x14ac:dyDescent="0.2">
      <c r="A642" s="205">
        <v>129</v>
      </c>
      <c r="B642" s="205" t="s">
        <v>350</v>
      </c>
      <c r="C642" s="205"/>
      <c r="E642" s="205" t="s">
        <v>118</v>
      </c>
      <c r="G642" s="205">
        <v>385</v>
      </c>
      <c r="H642" s="205" t="s">
        <v>12</v>
      </c>
      <c r="I642" s="205">
        <v>0.33246977547495682</v>
      </c>
    </row>
    <row r="643" spans="1:9" x14ac:dyDescent="0.2">
      <c r="A643" s="205">
        <v>129</v>
      </c>
      <c r="B643" s="205" t="s">
        <v>350</v>
      </c>
      <c r="C643" s="205"/>
      <c r="E643" s="205" t="s">
        <v>119</v>
      </c>
      <c r="G643" s="205">
        <v>386</v>
      </c>
      <c r="H643" s="205" t="s">
        <v>13</v>
      </c>
      <c r="I643" s="205">
        <v>0.33333333333333331</v>
      </c>
    </row>
    <row r="644" spans="1:9" x14ac:dyDescent="0.2">
      <c r="A644" s="205">
        <v>129</v>
      </c>
      <c r="B644" s="205" t="s">
        <v>350</v>
      </c>
      <c r="C644" s="205"/>
      <c r="E644" s="205" t="s">
        <v>120</v>
      </c>
      <c r="G644" s="205">
        <v>387</v>
      </c>
      <c r="H644" s="205" t="s">
        <v>14</v>
      </c>
      <c r="I644" s="205">
        <v>0.33419689119170987</v>
      </c>
    </row>
    <row r="645" spans="1:9" x14ac:dyDescent="0.2">
      <c r="A645" s="205"/>
      <c r="C645" s="205"/>
      <c r="E645" s="205" t="s">
        <v>125</v>
      </c>
      <c r="G645" s="205">
        <v>1158</v>
      </c>
      <c r="H645" s="205" t="s">
        <v>15</v>
      </c>
      <c r="I645" s="205">
        <v>1</v>
      </c>
    </row>
    <row r="646" spans="1:9" x14ac:dyDescent="0.2">
      <c r="A646" s="205"/>
      <c r="C646" s="205"/>
    </row>
    <row r="647" spans="1:9" x14ac:dyDescent="0.2">
      <c r="A647" s="205">
        <v>130</v>
      </c>
      <c r="B647" s="205" t="s">
        <v>351</v>
      </c>
      <c r="C647" s="205"/>
      <c r="E647" s="205" t="s">
        <v>118</v>
      </c>
      <c r="G647" s="205">
        <v>388</v>
      </c>
      <c r="H647" s="205" t="s">
        <v>12</v>
      </c>
      <c r="I647" s="205">
        <v>0.33247643530419879</v>
      </c>
    </row>
    <row r="648" spans="1:9" x14ac:dyDescent="0.2">
      <c r="A648" s="205">
        <v>130</v>
      </c>
      <c r="B648" s="205" t="s">
        <v>351</v>
      </c>
      <c r="C648" s="205"/>
      <c r="E648" s="205" t="s">
        <v>119</v>
      </c>
      <c r="G648" s="205">
        <v>389</v>
      </c>
      <c r="H648" s="205" t="s">
        <v>13</v>
      </c>
      <c r="I648" s="205">
        <v>0.33333333333333331</v>
      </c>
    </row>
    <row r="649" spans="1:9" x14ac:dyDescent="0.2">
      <c r="A649" s="205">
        <v>130</v>
      </c>
      <c r="B649" s="205" t="s">
        <v>351</v>
      </c>
      <c r="C649" s="205"/>
      <c r="E649" s="205" t="s">
        <v>120</v>
      </c>
      <c r="G649" s="205">
        <v>390</v>
      </c>
      <c r="H649" s="205" t="s">
        <v>14</v>
      </c>
      <c r="I649" s="205">
        <v>0.33419023136246789</v>
      </c>
    </row>
    <row r="650" spans="1:9" x14ac:dyDescent="0.2">
      <c r="A650" s="205"/>
      <c r="C650" s="205"/>
      <c r="E650" s="205" t="s">
        <v>125</v>
      </c>
      <c r="G650" s="205">
        <v>1167</v>
      </c>
      <c r="H650" s="205" t="s">
        <v>15</v>
      </c>
      <c r="I650" s="205">
        <v>1</v>
      </c>
    </row>
    <row r="652" spans="1:9" x14ac:dyDescent="0.2">
      <c r="A652" s="206">
        <v>131</v>
      </c>
      <c r="B652" s="205" t="s">
        <v>128</v>
      </c>
      <c r="E652" s="205" t="s">
        <v>118</v>
      </c>
      <c r="G652" s="205">
        <v>391</v>
      </c>
      <c r="H652" s="205" t="s">
        <v>12</v>
      </c>
      <c r="I652" s="205">
        <v>0.33248299319727892</v>
      </c>
    </row>
    <row r="653" spans="1:9" x14ac:dyDescent="0.2">
      <c r="A653" s="206">
        <v>131</v>
      </c>
      <c r="B653" s="205" t="s">
        <v>128</v>
      </c>
      <c r="E653" s="205" t="s">
        <v>119</v>
      </c>
      <c r="G653" s="205">
        <v>392</v>
      </c>
      <c r="H653" s="205" t="s">
        <v>13</v>
      </c>
      <c r="I653" s="205">
        <v>0.33333333333333331</v>
      </c>
    </row>
    <row r="654" spans="1:9" x14ac:dyDescent="0.2">
      <c r="A654" s="206">
        <v>131</v>
      </c>
      <c r="B654" s="205" t="s">
        <v>128</v>
      </c>
      <c r="E654" s="205" t="s">
        <v>120</v>
      </c>
      <c r="G654" s="205">
        <v>393</v>
      </c>
      <c r="H654" s="205" t="s">
        <v>14</v>
      </c>
      <c r="I654" s="205">
        <v>0.33418367346938777</v>
      </c>
    </row>
    <row r="655" spans="1:9" x14ac:dyDescent="0.2">
      <c r="E655" s="205" t="s">
        <v>125</v>
      </c>
      <c r="G655" s="205">
        <v>1176</v>
      </c>
      <c r="H655" s="205" t="s">
        <v>15</v>
      </c>
      <c r="I655" s="205">
        <v>1</v>
      </c>
    </row>
    <row r="657" spans="1:9" x14ac:dyDescent="0.2">
      <c r="A657" s="206">
        <v>132</v>
      </c>
      <c r="B657" s="205" t="s">
        <v>129</v>
      </c>
      <c r="E657" s="205" t="s">
        <v>118</v>
      </c>
      <c r="G657" s="205">
        <v>394</v>
      </c>
      <c r="H657" s="205" t="s">
        <v>12</v>
      </c>
      <c r="I657" s="205">
        <v>0.33248945147679326</v>
      </c>
    </row>
    <row r="658" spans="1:9" x14ac:dyDescent="0.2">
      <c r="A658" s="206">
        <v>132</v>
      </c>
      <c r="B658" s="205" t="s">
        <v>129</v>
      </c>
      <c r="E658" s="205" t="s">
        <v>119</v>
      </c>
      <c r="G658" s="205">
        <v>395</v>
      </c>
      <c r="H658" s="205" t="s">
        <v>13</v>
      </c>
      <c r="I658" s="205">
        <v>0.33333333333333331</v>
      </c>
    </row>
    <row r="659" spans="1:9" x14ac:dyDescent="0.2">
      <c r="A659" s="206">
        <v>132</v>
      </c>
      <c r="B659" s="205" t="s">
        <v>129</v>
      </c>
      <c r="E659" s="205" t="s">
        <v>120</v>
      </c>
      <c r="G659" s="205">
        <v>396</v>
      </c>
      <c r="H659" s="205" t="s">
        <v>14</v>
      </c>
      <c r="I659" s="205">
        <v>0.33417721518987342</v>
      </c>
    </row>
    <row r="660" spans="1:9" x14ac:dyDescent="0.2">
      <c r="E660" s="205" t="s">
        <v>125</v>
      </c>
      <c r="G660" s="205">
        <v>1185</v>
      </c>
      <c r="H660" s="205" t="s">
        <v>15</v>
      </c>
      <c r="I660" s="205">
        <v>1</v>
      </c>
    </row>
    <row r="662" spans="1:9" x14ac:dyDescent="0.2">
      <c r="A662" s="206">
        <v>133</v>
      </c>
      <c r="B662" s="205" t="s">
        <v>130</v>
      </c>
      <c r="E662" s="205" t="s">
        <v>118</v>
      </c>
      <c r="G662" s="205">
        <v>397</v>
      </c>
      <c r="H662" s="205" t="s">
        <v>12</v>
      </c>
      <c r="I662" s="205">
        <v>0.3324958123953099</v>
      </c>
    </row>
    <row r="663" spans="1:9" x14ac:dyDescent="0.2">
      <c r="A663" s="206">
        <v>133</v>
      </c>
      <c r="B663" s="205" t="s">
        <v>130</v>
      </c>
      <c r="E663" s="205" t="s">
        <v>119</v>
      </c>
      <c r="G663" s="205">
        <v>398</v>
      </c>
      <c r="H663" s="205" t="s">
        <v>13</v>
      </c>
      <c r="I663" s="205">
        <v>0.33333333333333331</v>
      </c>
    </row>
    <row r="664" spans="1:9" x14ac:dyDescent="0.2">
      <c r="A664" s="206">
        <v>133</v>
      </c>
      <c r="B664" s="205" t="s">
        <v>130</v>
      </c>
      <c r="E664" s="205" t="s">
        <v>120</v>
      </c>
      <c r="G664" s="205">
        <v>399</v>
      </c>
      <c r="H664" s="205" t="s">
        <v>14</v>
      </c>
      <c r="I664" s="205">
        <v>0.33417085427135679</v>
      </c>
    </row>
    <row r="665" spans="1:9" x14ac:dyDescent="0.2">
      <c r="E665" s="205" t="s">
        <v>125</v>
      </c>
      <c r="G665" s="205">
        <v>1194</v>
      </c>
      <c r="H665" s="205" t="s">
        <v>15</v>
      </c>
      <c r="I665" s="205">
        <v>1</v>
      </c>
    </row>
    <row r="667" spans="1:9" x14ac:dyDescent="0.2">
      <c r="A667" s="206">
        <v>134</v>
      </c>
      <c r="B667" s="205" t="s">
        <v>131</v>
      </c>
      <c r="E667" s="205" t="s">
        <v>118</v>
      </c>
      <c r="G667" s="205">
        <v>400</v>
      </c>
      <c r="H667" s="205" t="s">
        <v>12</v>
      </c>
      <c r="I667" s="205">
        <v>0.33250207813798838</v>
      </c>
    </row>
    <row r="668" spans="1:9" x14ac:dyDescent="0.2">
      <c r="A668" s="206">
        <v>134</v>
      </c>
      <c r="B668" s="205" t="s">
        <v>131</v>
      </c>
      <c r="E668" s="205" t="s">
        <v>119</v>
      </c>
      <c r="G668" s="205">
        <v>401</v>
      </c>
      <c r="H668" s="205" t="s">
        <v>13</v>
      </c>
      <c r="I668" s="205">
        <v>0.33333333333333331</v>
      </c>
    </row>
    <row r="669" spans="1:9" x14ac:dyDescent="0.2">
      <c r="A669" s="206">
        <v>134</v>
      </c>
      <c r="B669" s="205" t="s">
        <v>131</v>
      </c>
      <c r="E669" s="205" t="s">
        <v>120</v>
      </c>
      <c r="G669" s="205">
        <v>402</v>
      </c>
      <c r="H669" s="205" t="s">
        <v>14</v>
      </c>
      <c r="I669" s="205">
        <v>0.33416458852867831</v>
      </c>
    </row>
    <row r="670" spans="1:9" x14ac:dyDescent="0.2">
      <c r="E670" s="205" t="s">
        <v>125</v>
      </c>
      <c r="G670" s="205">
        <v>1203</v>
      </c>
      <c r="H670" s="205" t="s">
        <v>15</v>
      </c>
      <c r="I670" s="205">
        <v>1</v>
      </c>
    </row>
    <row r="672" spans="1:9" x14ac:dyDescent="0.2">
      <c r="A672" s="206">
        <v>135</v>
      </c>
      <c r="B672" s="205" t="s">
        <v>132</v>
      </c>
      <c r="E672" s="205" t="s">
        <v>118</v>
      </c>
      <c r="G672" s="205">
        <v>403</v>
      </c>
      <c r="H672" s="205" t="s">
        <v>12</v>
      </c>
      <c r="I672" s="205">
        <v>0.33250825082508251</v>
      </c>
    </row>
    <row r="673" spans="1:9" x14ac:dyDescent="0.2">
      <c r="A673" s="206">
        <v>135</v>
      </c>
      <c r="B673" s="205" t="s">
        <v>132</v>
      </c>
      <c r="E673" s="205" t="s">
        <v>119</v>
      </c>
      <c r="G673" s="205">
        <v>404</v>
      </c>
      <c r="H673" s="205" t="s">
        <v>13</v>
      </c>
      <c r="I673" s="205">
        <v>0.33333333333333331</v>
      </c>
    </row>
    <row r="674" spans="1:9" x14ac:dyDescent="0.2">
      <c r="A674" s="206">
        <v>135</v>
      </c>
      <c r="B674" s="205" t="s">
        <v>132</v>
      </c>
      <c r="E674" s="205" t="s">
        <v>120</v>
      </c>
      <c r="G674" s="205">
        <v>405</v>
      </c>
      <c r="H674" s="205" t="s">
        <v>14</v>
      </c>
      <c r="I674" s="205">
        <v>0.33415841584158418</v>
      </c>
    </row>
    <row r="675" spans="1:9" x14ac:dyDescent="0.2">
      <c r="E675" s="205" t="s">
        <v>125</v>
      </c>
      <c r="G675" s="205">
        <v>1212</v>
      </c>
      <c r="H675" s="205" t="s">
        <v>15</v>
      </c>
      <c r="I675" s="205">
        <v>1</v>
      </c>
    </row>
    <row r="677" spans="1:9" x14ac:dyDescent="0.2">
      <c r="A677" s="206">
        <v>136</v>
      </c>
      <c r="B677" s="205" t="s">
        <v>133</v>
      </c>
      <c r="E677" s="205" t="s">
        <v>118</v>
      </c>
      <c r="G677" s="205">
        <v>406</v>
      </c>
      <c r="H677" s="205" t="s">
        <v>12</v>
      </c>
      <c r="I677" s="205">
        <v>0.33251433251433249</v>
      </c>
    </row>
    <row r="678" spans="1:9" x14ac:dyDescent="0.2">
      <c r="A678" s="206">
        <v>136</v>
      </c>
      <c r="B678" s="205" t="s">
        <v>133</v>
      </c>
      <c r="E678" s="205" t="s">
        <v>119</v>
      </c>
      <c r="G678" s="205">
        <v>407</v>
      </c>
      <c r="H678" s="205" t="s">
        <v>13</v>
      </c>
      <c r="I678" s="205">
        <v>0.33333333333333331</v>
      </c>
    </row>
    <row r="679" spans="1:9" x14ac:dyDescent="0.2">
      <c r="A679" s="206">
        <v>136</v>
      </c>
      <c r="B679" s="205" t="s">
        <v>133</v>
      </c>
      <c r="E679" s="205" t="s">
        <v>120</v>
      </c>
      <c r="G679" s="205">
        <v>408</v>
      </c>
      <c r="H679" s="205" t="s">
        <v>14</v>
      </c>
      <c r="I679" s="205">
        <v>0.33415233415233414</v>
      </c>
    </row>
    <row r="680" spans="1:9" x14ac:dyDescent="0.2">
      <c r="E680" s="205" t="s">
        <v>125</v>
      </c>
      <c r="G680" s="205">
        <v>1221</v>
      </c>
      <c r="H680" s="205" t="s">
        <v>15</v>
      </c>
      <c r="I680" s="205">
        <v>0.99999999999999989</v>
      </c>
    </row>
    <row r="682" spans="1:9" x14ac:dyDescent="0.2">
      <c r="A682" s="206">
        <v>137</v>
      </c>
      <c r="B682" s="205" t="s">
        <v>134</v>
      </c>
      <c r="E682" s="205" t="s">
        <v>118</v>
      </c>
      <c r="G682" s="205">
        <v>409</v>
      </c>
      <c r="H682" s="205" t="s">
        <v>12</v>
      </c>
      <c r="I682" s="205">
        <v>0.33252032520325203</v>
      </c>
    </row>
    <row r="683" spans="1:9" x14ac:dyDescent="0.2">
      <c r="A683" s="206">
        <v>137</v>
      </c>
      <c r="B683" s="205" t="s">
        <v>134</v>
      </c>
      <c r="E683" s="205" t="s">
        <v>119</v>
      </c>
      <c r="G683" s="205">
        <v>410</v>
      </c>
      <c r="H683" s="205" t="s">
        <v>13</v>
      </c>
      <c r="I683" s="205">
        <v>0.33333333333333331</v>
      </c>
    </row>
    <row r="684" spans="1:9" x14ac:dyDescent="0.2">
      <c r="A684" s="206">
        <v>137</v>
      </c>
      <c r="B684" s="205" t="s">
        <v>134</v>
      </c>
      <c r="E684" s="205" t="s">
        <v>120</v>
      </c>
      <c r="G684" s="205">
        <v>411</v>
      </c>
      <c r="H684" s="205" t="s">
        <v>14</v>
      </c>
      <c r="I684" s="205">
        <v>0.33414634146341465</v>
      </c>
    </row>
    <row r="685" spans="1:9" x14ac:dyDescent="0.2">
      <c r="E685" s="205" t="s">
        <v>125</v>
      </c>
      <c r="G685" s="205">
        <v>1230</v>
      </c>
      <c r="H685" s="205" t="s">
        <v>15</v>
      </c>
      <c r="I685" s="205">
        <v>1</v>
      </c>
    </row>
    <row r="687" spans="1:9" x14ac:dyDescent="0.2">
      <c r="A687" s="206">
        <v>138</v>
      </c>
      <c r="B687" s="205" t="s">
        <v>135</v>
      </c>
      <c r="E687" s="205" t="s">
        <v>118</v>
      </c>
      <c r="G687" s="205">
        <v>412</v>
      </c>
      <c r="H687" s="205" t="s">
        <v>12</v>
      </c>
      <c r="I687" s="205">
        <v>0.33252623083131555</v>
      </c>
    </row>
    <row r="688" spans="1:9" x14ac:dyDescent="0.2">
      <c r="A688" s="206">
        <v>138</v>
      </c>
      <c r="B688" s="205" t="s">
        <v>135</v>
      </c>
      <c r="E688" s="205" t="s">
        <v>119</v>
      </c>
      <c r="G688" s="205">
        <v>413</v>
      </c>
      <c r="H688" s="205" t="s">
        <v>13</v>
      </c>
      <c r="I688" s="205">
        <v>0.33333333333333331</v>
      </c>
    </row>
    <row r="689" spans="1:9" x14ac:dyDescent="0.2">
      <c r="A689" s="206">
        <v>138</v>
      </c>
      <c r="B689" s="205" t="s">
        <v>135</v>
      </c>
      <c r="E689" s="205" t="s">
        <v>120</v>
      </c>
      <c r="G689" s="205">
        <v>414</v>
      </c>
      <c r="H689" s="205" t="s">
        <v>14</v>
      </c>
      <c r="I689" s="205">
        <v>0.33414043583535108</v>
      </c>
    </row>
    <row r="690" spans="1:9" x14ac:dyDescent="0.2">
      <c r="E690" s="205" t="s">
        <v>125</v>
      </c>
      <c r="G690" s="205">
        <v>1239</v>
      </c>
      <c r="H690" s="205" t="s">
        <v>15</v>
      </c>
      <c r="I690" s="205">
        <v>1</v>
      </c>
    </row>
    <row r="692" spans="1:9" x14ac:dyDescent="0.2">
      <c r="A692" s="206">
        <v>139</v>
      </c>
      <c r="B692" s="205" t="s">
        <v>136</v>
      </c>
      <c r="E692" s="205" t="s">
        <v>118</v>
      </c>
      <c r="G692" s="205">
        <v>415</v>
      </c>
      <c r="H692" s="205" t="s">
        <v>12</v>
      </c>
      <c r="I692" s="205">
        <v>0.33253205128205127</v>
      </c>
    </row>
    <row r="693" spans="1:9" x14ac:dyDescent="0.2">
      <c r="A693" s="206">
        <v>139</v>
      </c>
      <c r="B693" s="205" t="s">
        <v>136</v>
      </c>
      <c r="E693" s="205" t="s">
        <v>119</v>
      </c>
      <c r="G693" s="205">
        <v>416</v>
      </c>
      <c r="H693" s="205" t="s">
        <v>13</v>
      </c>
      <c r="I693" s="205">
        <v>0.33333333333333331</v>
      </c>
    </row>
    <row r="694" spans="1:9" x14ac:dyDescent="0.2">
      <c r="A694" s="206">
        <v>139</v>
      </c>
      <c r="B694" s="205" t="s">
        <v>136</v>
      </c>
      <c r="E694" s="205" t="s">
        <v>120</v>
      </c>
      <c r="G694" s="205">
        <v>417</v>
      </c>
      <c r="H694" s="205" t="s">
        <v>14</v>
      </c>
      <c r="I694" s="205">
        <v>0.33413461538461536</v>
      </c>
    </row>
    <row r="695" spans="1:9" x14ac:dyDescent="0.2">
      <c r="E695" s="205" t="s">
        <v>125</v>
      </c>
      <c r="G695" s="205">
        <v>1248</v>
      </c>
      <c r="H695" s="205" t="s">
        <v>15</v>
      </c>
      <c r="I695" s="205">
        <v>1</v>
      </c>
    </row>
    <row r="697" spans="1:9" x14ac:dyDescent="0.2">
      <c r="A697" s="206">
        <v>140</v>
      </c>
      <c r="B697" s="205" t="s">
        <v>137</v>
      </c>
      <c r="E697" s="205" t="s">
        <v>118</v>
      </c>
      <c r="G697" s="205">
        <v>418</v>
      </c>
      <c r="H697" s="205" t="s">
        <v>12</v>
      </c>
      <c r="I697" s="205">
        <v>0.33253778838504378</v>
      </c>
    </row>
    <row r="698" spans="1:9" x14ac:dyDescent="0.2">
      <c r="A698" s="206">
        <v>140</v>
      </c>
      <c r="B698" s="205" t="s">
        <v>137</v>
      </c>
      <c r="E698" s="205" t="s">
        <v>119</v>
      </c>
      <c r="G698" s="205">
        <v>419</v>
      </c>
      <c r="H698" s="205" t="s">
        <v>13</v>
      </c>
      <c r="I698" s="205">
        <v>0.33333333333333331</v>
      </c>
    </row>
    <row r="699" spans="1:9" x14ac:dyDescent="0.2">
      <c r="A699" s="206">
        <v>140</v>
      </c>
      <c r="B699" s="205" t="s">
        <v>137</v>
      </c>
      <c r="E699" s="205" t="s">
        <v>120</v>
      </c>
      <c r="G699" s="205">
        <v>420</v>
      </c>
      <c r="H699" s="205" t="s">
        <v>14</v>
      </c>
      <c r="I699" s="205">
        <v>0.33412887828162291</v>
      </c>
    </row>
    <row r="700" spans="1:9" x14ac:dyDescent="0.2">
      <c r="E700" s="205" t="s">
        <v>125</v>
      </c>
      <c r="G700" s="205">
        <v>1257</v>
      </c>
      <c r="H700" s="205" t="s">
        <v>15</v>
      </c>
      <c r="I700" s="205">
        <v>1</v>
      </c>
    </row>
    <row r="702" spans="1:9" x14ac:dyDescent="0.2">
      <c r="A702" s="206">
        <v>141</v>
      </c>
      <c r="B702" s="205" t="s">
        <v>138</v>
      </c>
      <c r="E702" s="205" t="s">
        <v>118</v>
      </c>
      <c r="G702" s="205">
        <v>421</v>
      </c>
      <c r="H702" s="205" t="s">
        <v>12</v>
      </c>
      <c r="I702" s="205">
        <v>0.33254344391785151</v>
      </c>
    </row>
    <row r="703" spans="1:9" x14ac:dyDescent="0.2">
      <c r="A703" s="206">
        <v>141</v>
      </c>
      <c r="B703" s="205" t="s">
        <v>138</v>
      </c>
      <c r="E703" s="205" t="s">
        <v>119</v>
      </c>
      <c r="G703" s="205">
        <v>422</v>
      </c>
      <c r="H703" s="205" t="s">
        <v>13</v>
      </c>
      <c r="I703" s="205">
        <v>0.33333333333333331</v>
      </c>
    </row>
    <row r="704" spans="1:9" x14ac:dyDescent="0.2">
      <c r="A704" s="206">
        <v>141</v>
      </c>
      <c r="B704" s="205" t="s">
        <v>138</v>
      </c>
      <c r="E704" s="205" t="s">
        <v>120</v>
      </c>
      <c r="G704" s="205">
        <v>423</v>
      </c>
      <c r="H704" s="205" t="s">
        <v>14</v>
      </c>
      <c r="I704" s="205">
        <v>0.33412322274881517</v>
      </c>
    </row>
    <row r="705" spans="1:9" x14ac:dyDescent="0.2">
      <c r="E705" s="205" t="s">
        <v>125</v>
      </c>
      <c r="G705" s="205">
        <v>1266</v>
      </c>
      <c r="H705" s="205" t="s">
        <v>15</v>
      </c>
      <c r="I705" s="205">
        <v>1</v>
      </c>
    </row>
    <row r="707" spans="1:9" x14ac:dyDescent="0.2">
      <c r="A707" s="206">
        <v>142</v>
      </c>
      <c r="B707" s="205" t="s">
        <v>139</v>
      </c>
      <c r="E707" s="205" t="s">
        <v>118</v>
      </c>
      <c r="G707" s="205">
        <v>424</v>
      </c>
      <c r="H707" s="205" t="s">
        <v>12</v>
      </c>
      <c r="I707" s="205">
        <v>0.33254901960784311</v>
      </c>
    </row>
    <row r="708" spans="1:9" x14ac:dyDescent="0.2">
      <c r="A708" s="206">
        <v>142</v>
      </c>
      <c r="B708" s="205" t="s">
        <v>139</v>
      </c>
      <c r="E708" s="205" t="s">
        <v>119</v>
      </c>
      <c r="G708" s="205">
        <v>425</v>
      </c>
      <c r="H708" s="205" t="s">
        <v>13</v>
      </c>
      <c r="I708" s="205">
        <v>0.33333333333333331</v>
      </c>
    </row>
    <row r="709" spans="1:9" x14ac:dyDescent="0.2">
      <c r="A709" s="206">
        <v>142</v>
      </c>
      <c r="B709" s="205" t="s">
        <v>139</v>
      </c>
      <c r="E709" s="205" t="s">
        <v>120</v>
      </c>
      <c r="G709" s="205">
        <v>426</v>
      </c>
      <c r="H709" s="205" t="s">
        <v>14</v>
      </c>
      <c r="I709" s="205">
        <v>0.33411764705882352</v>
      </c>
    </row>
    <row r="710" spans="1:9" x14ac:dyDescent="0.2">
      <c r="E710" s="205" t="s">
        <v>125</v>
      </c>
      <c r="G710" s="205">
        <v>1275</v>
      </c>
      <c r="H710" s="205" t="s">
        <v>15</v>
      </c>
      <c r="I710" s="205">
        <v>0.99999999999999989</v>
      </c>
    </row>
    <row r="712" spans="1:9" x14ac:dyDescent="0.2">
      <c r="A712" s="206">
        <v>143</v>
      </c>
      <c r="B712" s="205" t="s">
        <v>140</v>
      </c>
      <c r="E712" s="205" t="s">
        <v>118</v>
      </c>
      <c r="G712" s="205">
        <v>427</v>
      </c>
      <c r="H712" s="205" t="s">
        <v>12</v>
      </c>
      <c r="I712" s="205">
        <v>0.3325545171339564</v>
      </c>
    </row>
    <row r="713" spans="1:9" x14ac:dyDescent="0.2">
      <c r="A713" s="206">
        <v>143</v>
      </c>
      <c r="B713" s="205" t="s">
        <v>140</v>
      </c>
      <c r="E713" s="205" t="s">
        <v>119</v>
      </c>
      <c r="G713" s="205">
        <v>428</v>
      </c>
      <c r="H713" s="205" t="s">
        <v>13</v>
      </c>
      <c r="I713" s="205">
        <v>0.33333333333333331</v>
      </c>
    </row>
    <row r="714" spans="1:9" x14ac:dyDescent="0.2">
      <c r="A714" s="206">
        <v>143</v>
      </c>
      <c r="B714" s="205" t="s">
        <v>140</v>
      </c>
      <c r="E714" s="205" t="s">
        <v>120</v>
      </c>
      <c r="G714" s="205">
        <v>429</v>
      </c>
      <c r="H714" s="205" t="s">
        <v>14</v>
      </c>
      <c r="I714" s="205">
        <v>0.33411214953271029</v>
      </c>
    </row>
    <row r="715" spans="1:9" x14ac:dyDescent="0.2">
      <c r="E715" s="205" t="s">
        <v>125</v>
      </c>
      <c r="G715" s="205">
        <v>1284</v>
      </c>
      <c r="H715" s="205" t="s">
        <v>15</v>
      </c>
      <c r="I715" s="205">
        <v>1</v>
      </c>
    </row>
    <row r="717" spans="1:9" x14ac:dyDescent="0.2">
      <c r="A717" s="206">
        <v>144</v>
      </c>
      <c r="B717" s="205" t="s">
        <v>141</v>
      </c>
      <c r="E717" s="205" t="s">
        <v>118</v>
      </c>
      <c r="G717" s="205">
        <v>430</v>
      </c>
      <c r="H717" s="205" t="s">
        <v>12</v>
      </c>
      <c r="I717" s="205">
        <v>0.33255993812838358</v>
      </c>
    </row>
    <row r="718" spans="1:9" x14ac:dyDescent="0.2">
      <c r="A718" s="206">
        <v>144</v>
      </c>
      <c r="B718" s="205" t="s">
        <v>141</v>
      </c>
      <c r="E718" s="205" t="s">
        <v>119</v>
      </c>
      <c r="G718" s="205">
        <v>431</v>
      </c>
      <c r="H718" s="205" t="s">
        <v>13</v>
      </c>
      <c r="I718" s="205">
        <v>0.33333333333333331</v>
      </c>
    </row>
    <row r="719" spans="1:9" x14ac:dyDescent="0.2">
      <c r="A719" s="206">
        <v>144</v>
      </c>
      <c r="B719" s="205" t="s">
        <v>141</v>
      </c>
      <c r="E719" s="205" t="s">
        <v>120</v>
      </c>
      <c r="G719" s="205">
        <v>432</v>
      </c>
      <c r="H719" s="205" t="s">
        <v>14</v>
      </c>
      <c r="I719" s="205">
        <v>0.33410672853828305</v>
      </c>
    </row>
    <row r="720" spans="1:9" x14ac:dyDescent="0.2">
      <c r="E720" s="205" t="s">
        <v>125</v>
      </c>
      <c r="G720" s="205">
        <v>1293</v>
      </c>
      <c r="H720" s="205" t="s">
        <v>15</v>
      </c>
      <c r="I720" s="205">
        <v>1</v>
      </c>
    </row>
    <row r="722" spans="1:9" x14ac:dyDescent="0.2">
      <c r="A722" s="206">
        <v>145</v>
      </c>
      <c r="B722" s="205" t="s">
        <v>142</v>
      </c>
      <c r="E722" s="205" t="s">
        <v>118</v>
      </c>
      <c r="G722" s="205">
        <v>433</v>
      </c>
      <c r="H722" s="205" t="s">
        <v>12</v>
      </c>
      <c r="I722" s="205">
        <v>0.33256528417818743</v>
      </c>
    </row>
    <row r="723" spans="1:9" x14ac:dyDescent="0.2">
      <c r="A723" s="206">
        <v>145</v>
      </c>
      <c r="B723" s="205" t="s">
        <v>142</v>
      </c>
      <c r="E723" s="205" t="s">
        <v>119</v>
      </c>
      <c r="G723" s="205">
        <v>434</v>
      </c>
      <c r="H723" s="205" t="s">
        <v>13</v>
      </c>
      <c r="I723" s="205">
        <v>0.33333333333333331</v>
      </c>
    </row>
    <row r="724" spans="1:9" x14ac:dyDescent="0.2">
      <c r="A724" s="206">
        <v>145</v>
      </c>
      <c r="B724" s="205" t="s">
        <v>142</v>
      </c>
      <c r="E724" s="205" t="s">
        <v>120</v>
      </c>
      <c r="G724" s="205">
        <v>435</v>
      </c>
      <c r="H724" s="205" t="s">
        <v>14</v>
      </c>
      <c r="I724" s="205">
        <v>0.33410138248847926</v>
      </c>
    </row>
    <row r="725" spans="1:9" x14ac:dyDescent="0.2">
      <c r="E725" s="205" t="s">
        <v>125</v>
      </c>
      <c r="G725" s="205">
        <v>1302</v>
      </c>
      <c r="H725" s="205" t="s">
        <v>15</v>
      </c>
      <c r="I725" s="205">
        <v>1</v>
      </c>
    </row>
    <row r="727" spans="1:9" x14ac:dyDescent="0.2">
      <c r="A727" s="206">
        <v>146</v>
      </c>
      <c r="B727" s="205" t="s">
        <v>143</v>
      </c>
      <c r="E727" s="205" t="s">
        <v>118</v>
      </c>
      <c r="G727" s="205">
        <v>436</v>
      </c>
      <c r="H727" s="205" t="s">
        <v>12</v>
      </c>
      <c r="I727" s="205">
        <v>0.33257055682684972</v>
      </c>
    </row>
    <row r="728" spans="1:9" x14ac:dyDescent="0.2">
      <c r="A728" s="206">
        <v>146</v>
      </c>
      <c r="B728" s="205" t="s">
        <v>143</v>
      </c>
      <c r="E728" s="205" t="s">
        <v>119</v>
      </c>
      <c r="G728" s="205">
        <v>437</v>
      </c>
      <c r="H728" s="205" t="s">
        <v>13</v>
      </c>
      <c r="I728" s="205">
        <v>0.33333333333333331</v>
      </c>
    </row>
    <row r="729" spans="1:9" x14ac:dyDescent="0.2">
      <c r="A729" s="206">
        <v>146</v>
      </c>
      <c r="B729" s="205" t="s">
        <v>143</v>
      </c>
      <c r="E729" s="205" t="s">
        <v>120</v>
      </c>
      <c r="G729" s="205">
        <v>438</v>
      </c>
      <c r="H729" s="205" t="s">
        <v>14</v>
      </c>
      <c r="I729" s="205">
        <v>0.33409610983981691</v>
      </c>
    </row>
    <row r="730" spans="1:9" x14ac:dyDescent="0.2">
      <c r="E730" s="205" t="s">
        <v>125</v>
      </c>
      <c r="G730" s="205">
        <v>1311</v>
      </c>
      <c r="H730" s="205" t="s">
        <v>15</v>
      </c>
      <c r="I730" s="205">
        <v>1</v>
      </c>
    </row>
    <row r="732" spans="1:9" x14ac:dyDescent="0.2">
      <c r="A732" s="206">
        <v>147</v>
      </c>
      <c r="B732" s="205" t="s">
        <v>144</v>
      </c>
      <c r="E732" s="205" t="s">
        <v>118</v>
      </c>
      <c r="G732" s="205">
        <v>439</v>
      </c>
      <c r="H732" s="205" t="s">
        <v>12</v>
      </c>
      <c r="I732" s="205">
        <v>0.33257575757575758</v>
      </c>
    </row>
    <row r="733" spans="1:9" x14ac:dyDescent="0.2">
      <c r="A733" s="206">
        <v>147</v>
      </c>
      <c r="B733" s="205" t="s">
        <v>144</v>
      </c>
      <c r="E733" s="205" t="s">
        <v>119</v>
      </c>
      <c r="G733" s="205">
        <v>440</v>
      </c>
      <c r="H733" s="205" t="s">
        <v>13</v>
      </c>
      <c r="I733" s="205">
        <v>0.33333333333333331</v>
      </c>
    </row>
    <row r="734" spans="1:9" x14ac:dyDescent="0.2">
      <c r="A734" s="206">
        <v>147</v>
      </c>
      <c r="B734" s="205" t="s">
        <v>144</v>
      </c>
      <c r="E734" s="205" t="s">
        <v>120</v>
      </c>
      <c r="G734" s="205">
        <v>441</v>
      </c>
      <c r="H734" s="205" t="s">
        <v>14</v>
      </c>
      <c r="I734" s="205">
        <v>0.33409090909090911</v>
      </c>
    </row>
    <row r="735" spans="1:9" x14ac:dyDescent="0.2">
      <c r="E735" s="205" t="s">
        <v>125</v>
      </c>
      <c r="G735" s="205">
        <v>1320</v>
      </c>
      <c r="H735" s="205" t="s">
        <v>15</v>
      </c>
      <c r="I735" s="205">
        <v>1</v>
      </c>
    </row>
    <row r="737" spans="1:9" x14ac:dyDescent="0.2">
      <c r="A737" s="206">
        <v>148</v>
      </c>
      <c r="B737" s="205" t="s">
        <v>145</v>
      </c>
      <c r="E737" s="205" t="s">
        <v>118</v>
      </c>
      <c r="G737" s="205">
        <v>442</v>
      </c>
      <c r="H737" s="205" t="s">
        <v>12</v>
      </c>
      <c r="I737" s="205">
        <v>0.33258088788562828</v>
      </c>
    </row>
    <row r="738" spans="1:9" x14ac:dyDescent="0.2">
      <c r="A738" s="206">
        <v>148</v>
      </c>
      <c r="B738" s="205" t="s">
        <v>145</v>
      </c>
      <c r="E738" s="205" t="s">
        <v>119</v>
      </c>
      <c r="G738" s="205">
        <v>443</v>
      </c>
      <c r="H738" s="205" t="s">
        <v>13</v>
      </c>
      <c r="I738" s="205">
        <v>0.33333333333333331</v>
      </c>
    </row>
    <row r="739" spans="1:9" x14ac:dyDescent="0.2">
      <c r="A739" s="206">
        <v>148</v>
      </c>
      <c r="B739" s="205" t="s">
        <v>145</v>
      </c>
      <c r="E739" s="205" t="s">
        <v>120</v>
      </c>
      <c r="G739" s="205">
        <v>444</v>
      </c>
      <c r="H739" s="205" t="s">
        <v>14</v>
      </c>
      <c r="I739" s="205">
        <v>0.3340857787810384</v>
      </c>
    </row>
    <row r="740" spans="1:9" x14ac:dyDescent="0.2">
      <c r="E740" s="205" t="s">
        <v>125</v>
      </c>
      <c r="G740" s="205">
        <v>1329</v>
      </c>
      <c r="H740" s="205" t="s">
        <v>15</v>
      </c>
      <c r="I740" s="205">
        <v>1</v>
      </c>
    </row>
    <row r="742" spans="1:9" x14ac:dyDescent="0.2">
      <c r="A742" s="206">
        <v>149</v>
      </c>
      <c r="B742" s="205" t="s">
        <v>146</v>
      </c>
      <c r="E742" s="205" t="s">
        <v>118</v>
      </c>
      <c r="G742" s="205">
        <v>445</v>
      </c>
      <c r="H742" s="205" t="s">
        <v>12</v>
      </c>
      <c r="I742" s="205">
        <v>0.33258594917787743</v>
      </c>
    </row>
    <row r="743" spans="1:9" x14ac:dyDescent="0.2">
      <c r="A743" s="206">
        <v>149</v>
      </c>
      <c r="B743" s="205" t="s">
        <v>146</v>
      </c>
      <c r="E743" s="205" t="s">
        <v>119</v>
      </c>
      <c r="G743" s="205">
        <v>446</v>
      </c>
      <c r="H743" s="205" t="s">
        <v>13</v>
      </c>
      <c r="I743" s="205">
        <v>0.33333333333333331</v>
      </c>
    </row>
    <row r="744" spans="1:9" x14ac:dyDescent="0.2">
      <c r="A744" s="206">
        <v>149</v>
      </c>
      <c r="B744" s="205" t="s">
        <v>146</v>
      </c>
      <c r="E744" s="205" t="s">
        <v>120</v>
      </c>
      <c r="G744" s="205">
        <v>447</v>
      </c>
      <c r="H744" s="205" t="s">
        <v>14</v>
      </c>
      <c r="I744" s="205">
        <v>0.33408071748878926</v>
      </c>
    </row>
    <row r="745" spans="1:9" x14ac:dyDescent="0.2">
      <c r="E745" s="205" t="s">
        <v>125</v>
      </c>
      <c r="G745" s="205">
        <v>1338</v>
      </c>
      <c r="H745" s="205" t="s">
        <v>15</v>
      </c>
      <c r="I745" s="205">
        <v>1</v>
      </c>
    </row>
    <row r="747" spans="1:9" x14ac:dyDescent="0.2">
      <c r="A747" s="206">
        <v>150</v>
      </c>
      <c r="B747" s="205" t="s">
        <v>147</v>
      </c>
      <c r="E747" s="205" t="s">
        <v>118</v>
      </c>
      <c r="G747" s="205">
        <v>448</v>
      </c>
      <c r="H747" s="205" t="s">
        <v>12</v>
      </c>
      <c r="I747" s="205">
        <v>0.33259094283593171</v>
      </c>
    </row>
    <row r="748" spans="1:9" x14ac:dyDescent="0.2">
      <c r="A748" s="206">
        <v>150</v>
      </c>
      <c r="B748" s="205" t="s">
        <v>147</v>
      </c>
      <c r="E748" s="205" t="s">
        <v>119</v>
      </c>
      <c r="G748" s="205">
        <v>449</v>
      </c>
      <c r="H748" s="205" t="s">
        <v>13</v>
      </c>
      <c r="I748" s="205">
        <v>0.33333333333333331</v>
      </c>
    </row>
    <row r="749" spans="1:9" x14ac:dyDescent="0.2">
      <c r="A749" s="206">
        <v>150</v>
      </c>
      <c r="B749" s="205" t="s">
        <v>147</v>
      </c>
      <c r="E749" s="205" t="s">
        <v>120</v>
      </c>
      <c r="G749" s="205">
        <v>450</v>
      </c>
      <c r="H749" s="205" t="s">
        <v>14</v>
      </c>
      <c r="I749" s="205">
        <v>0.33407572383073497</v>
      </c>
    </row>
    <row r="750" spans="1:9" x14ac:dyDescent="0.2">
      <c r="E750" s="205" t="s">
        <v>125</v>
      </c>
      <c r="G750" s="205">
        <v>1347</v>
      </c>
      <c r="H750" s="205" t="s">
        <v>15</v>
      </c>
      <c r="I750" s="205">
        <v>1</v>
      </c>
    </row>
    <row r="752" spans="1:9" x14ac:dyDescent="0.2">
      <c r="A752" s="206">
        <v>151</v>
      </c>
      <c r="B752" s="205" t="s">
        <v>148</v>
      </c>
      <c r="E752" s="205" t="s">
        <v>118</v>
      </c>
      <c r="G752" s="205">
        <v>451</v>
      </c>
      <c r="H752" s="205" t="s">
        <v>12</v>
      </c>
      <c r="I752" s="205">
        <v>0.33259587020648967</v>
      </c>
    </row>
    <row r="753" spans="1:9" x14ac:dyDescent="0.2">
      <c r="A753" s="206">
        <v>151</v>
      </c>
      <c r="B753" s="205" t="s">
        <v>148</v>
      </c>
      <c r="E753" s="205" t="s">
        <v>119</v>
      </c>
      <c r="G753" s="205">
        <v>452</v>
      </c>
      <c r="H753" s="205" t="s">
        <v>13</v>
      </c>
      <c r="I753" s="205">
        <v>0.33333333333333331</v>
      </c>
    </row>
    <row r="754" spans="1:9" x14ac:dyDescent="0.2">
      <c r="A754" s="206">
        <v>151</v>
      </c>
      <c r="B754" s="205" t="s">
        <v>148</v>
      </c>
      <c r="E754" s="205" t="s">
        <v>120</v>
      </c>
      <c r="G754" s="205">
        <v>453</v>
      </c>
      <c r="H754" s="205" t="s">
        <v>14</v>
      </c>
      <c r="I754" s="205">
        <v>0.33407079646017701</v>
      </c>
    </row>
    <row r="755" spans="1:9" x14ac:dyDescent="0.2">
      <c r="E755" s="205" t="s">
        <v>125</v>
      </c>
      <c r="G755" s="205">
        <v>1356</v>
      </c>
      <c r="H755" s="205" t="s">
        <v>15</v>
      </c>
      <c r="I755" s="205">
        <v>1</v>
      </c>
    </row>
    <row r="757" spans="1:9" x14ac:dyDescent="0.2">
      <c r="A757" s="206">
        <v>152</v>
      </c>
      <c r="B757" s="205" t="s">
        <v>149</v>
      </c>
      <c r="E757" s="205" t="s">
        <v>118</v>
      </c>
      <c r="G757" s="205">
        <v>454</v>
      </c>
      <c r="H757" s="205" t="s">
        <v>12</v>
      </c>
      <c r="I757" s="205">
        <v>0.33260073260073258</v>
      </c>
    </row>
    <row r="758" spans="1:9" x14ac:dyDescent="0.2">
      <c r="A758" s="206">
        <v>152</v>
      </c>
      <c r="B758" s="205" t="s">
        <v>149</v>
      </c>
      <c r="E758" s="205" t="s">
        <v>119</v>
      </c>
      <c r="G758" s="205">
        <v>455</v>
      </c>
      <c r="H758" s="205" t="s">
        <v>13</v>
      </c>
      <c r="I758" s="205">
        <v>0.33333333333333331</v>
      </c>
    </row>
    <row r="759" spans="1:9" x14ac:dyDescent="0.2">
      <c r="A759" s="206">
        <v>152</v>
      </c>
      <c r="B759" s="205" t="s">
        <v>149</v>
      </c>
      <c r="E759" s="205" t="s">
        <v>120</v>
      </c>
      <c r="G759" s="205">
        <v>456</v>
      </c>
      <c r="H759" s="205" t="s">
        <v>14</v>
      </c>
      <c r="I759" s="205">
        <v>0.33406593406593404</v>
      </c>
    </row>
    <row r="760" spans="1:9" x14ac:dyDescent="0.2">
      <c r="E760" s="205" t="s">
        <v>125</v>
      </c>
      <c r="G760" s="205">
        <v>1365</v>
      </c>
      <c r="H760" s="205" t="s">
        <v>15</v>
      </c>
      <c r="I760" s="205">
        <v>1</v>
      </c>
    </row>
    <row r="762" spans="1:9" x14ac:dyDescent="0.2">
      <c r="A762" s="206">
        <v>153</v>
      </c>
      <c r="B762" s="205" t="s">
        <v>150</v>
      </c>
      <c r="E762" s="205" t="s">
        <v>118</v>
      </c>
      <c r="G762" s="205">
        <v>457</v>
      </c>
      <c r="H762" s="205" t="s">
        <v>12</v>
      </c>
      <c r="I762" s="205">
        <v>0.33260553129548764</v>
      </c>
    </row>
    <row r="763" spans="1:9" x14ac:dyDescent="0.2">
      <c r="A763" s="206">
        <v>153</v>
      </c>
      <c r="B763" s="205" t="s">
        <v>150</v>
      </c>
      <c r="E763" s="205" t="s">
        <v>119</v>
      </c>
      <c r="G763" s="205">
        <v>458</v>
      </c>
      <c r="H763" s="205" t="s">
        <v>13</v>
      </c>
      <c r="I763" s="205">
        <v>0.33333333333333331</v>
      </c>
    </row>
    <row r="764" spans="1:9" x14ac:dyDescent="0.2">
      <c r="A764" s="206">
        <v>153</v>
      </c>
      <c r="B764" s="205" t="s">
        <v>150</v>
      </c>
      <c r="E764" s="205" t="s">
        <v>120</v>
      </c>
      <c r="G764" s="205">
        <v>459</v>
      </c>
      <c r="H764" s="205" t="s">
        <v>14</v>
      </c>
      <c r="I764" s="205">
        <v>0.33406113537117904</v>
      </c>
    </row>
    <row r="765" spans="1:9" x14ac:dyDescent="0.2">
      <c r="E765" s="205" t="s">
        <v>125</v>
      </c>
      <c r="G765" s="205">
        <v>1374</v>
      </c>
      <c r="H765" s="205" t="s">
        <v>15</v>
      </c>
      <c r="I765" s="205">
        <v>1</v>
      </c>
    </row>
    <row r="767" spans="1:9" x14ac:dyDescent="0.2">
      <c r="A767" s="206">
        <v>154</v>
      </c>
      <c r="B767" s="205" t="s">
        <v>151</v>
      </c>
      <c r="E767" s="205" t="s">
        <v>118</v>
      </c>
      <c r="G767" s="205">
        <v>460</v>
      </c>
      <c r="H767" s="205" t="s">
        <v>12</v>
      </c>
      <c r="I767" s="205">
        <v>0.33261026753434564</v>
      </c>
    </row>
    <row r="768" spans="1:9" x14ac:dyDescent="0.2">
      <c r="A768" s="206">
        <v>154</v>
      </c>
      <c r="B768" s="205" t="s">
        <v>151</v>
      </c>
      <c r="E768" s="205" t="s">
        <v>119</v>
      </c>
      <c r="G768" s="205">
        <v>461</v>
      </c>
      <c r="H768" s="205" t="s">
        <v>13</v>
      </c>
      <c r="I768" s="205">
        <v>0.33333333333333331</v>
      </c>
    </row>
    <row r="769" spans="1:9" x14ac:dyDescent="0.2">
      <c r="A769" s="206">
        <v>154</v>
      </c>
      <c r="B769" s="205" t="s">
        <v>151</v>
      </c>
      <c r="E769" s="205" t="s">
        <v>120</v>
      </c>
      <c r="G769" s="205">
        <v>462</v>
      </c>
      <c r="H769" s="205" t="s">
        <v>14</v>
      </c>
      <c r="I769" s="205">
        <v>0.33405639913232105</v>
      </c>
    </row>
    <row r="770" spans="1:9" x14ac:dyDescent="0.2">
      <c r="E770" s="205" t="s">
        <v>125</v>
      </c>
      <c r="G770" s="205">
        <v>1383</v>
      </c>
      <c r="H770" s="205" t="s">
        <v>15</v>
      </c>
      <c r="I770" s="205">
        <v>1</v>
      </c>
    </row>
    <row r="772" spans="1:9" x14ac:dyDescent="0.2">
      <c r="A772" s="206">
        <v>155</v>
      </c>
      <c r="B772" s="205" t="s">
        <v>152</v>
      </c>
      <c r="E772" s="205" t="s">
        <v>118</v>
      </c>
      <c r="G772" s="205">
        <v>463</v>
      </c>
      <c r="H772" s="205" t="s">
        <v>12</v>
      </c>
      <c r="I772" s="205">
        <v>0.33261494252873564</v>
      </c>
    </row>
    <row r="773" spans="1:9" x14ac:dyDescent="0.2">
      <c r="A773" s="206">
        <v>155</v>
      </c>
      <c r="B773" s="205" t="s">
        <v>152</v>
      </c>
      <c r="E773" s="205" t="s">
        <v>119</v>
      </c>
      <c r="G773" s="205">
        <v>464</v>
      </c>
      <c r="H773" s="205" t="s">
        <v>13</v>
      </c>
      <c r="I773" s="205">
        <v>0.33333333333333331</v>
      </c>
    </row>
    <row r="774" spans="1:9" x14ac:dyDescent="0.2">
      <c r="A774" s="206">
        <v>155</v>
      </c>
      <c r="B774" s="205" t="s">
        <v>152</v>
      </c>
      <c r="E774" s="205" t="s">
        <v>120</v>
      </c>
      <c r="G774" s="205">
        <v>465</v>
      </c>
      <c r="H774" s="205" t="s">
        <v>14</v>
      </c>
      <c r="I774" s="205">
        <v>0.33405172413793105</v>
      </c>
    </row>
    <row r="775" spans="1:9" x14ac:dyDescent="0.2">
      <c r="E775" s="205" t="s">
        <v>125</v>
      </c>
      <c r="G775" s="205">
        <v>1392</v>
      </c>
      <c r="H775" s="205" t="s">
        <v>15</v>
      </c>
      <c r="I775" s="205">
        <v>1</v>
      </c>
    </row>
    <row r="777" spans="1:9" x14ac:dyDescent="0.2">
      <c r="A777" s="206">
        <v>156</v>
      </c>
      <c r="B777" s="205" t="s">
        <v>153</v>
      </c>
      <c r="E777" s="205" t="s">
        <v>118</v>
      </c>
      <c r="G777" s="205">
        <v>466</v>
      </c>
      <c r="H777" s="205" t="s">
        <v>12</v>
      </c>
      <c r="I777" s="205">
        <v>0.33261955745895788</v>
      </c>
    </row>
    <row r="778" spans="1:9" x14ac:dyDescent="0.2">
      <c r="A778" s="206">
        <v>156</v>
      </c>
      <c r="B778" s="205" t="s">
        <v>153</v>
      </c>
      <c r="E778" s="205" t="s">
        <v>119</v>
      </c>
      <c r="G778" s="205">
        <v>467</v>
      </c>
      <c r="H778" s="205" t="s">
        <v>13</v>
      </c>
      <c r="I778" s="205">
        <v>0.33333333333333331</v>
      </c>
    </row>
    <row r="779" spans="1:9" x14ac:dyDescent="0.2">
      <c r="A779" s="206">
        <v>156</v>
      </c>
      <c r="B779" s="205" t="s">
        <v>153</v>
      </c>
      <c r="E779" s="205" t="s">
        <v>120</v>
      </c>
      <c r="G779" s="205">
        <v>468</v>
      </c>
      <c r="H779" s="205" t="s">
        <v>14</v>
      </c>
      <c r="I779" s="205">
        <v>0.3340471092077088</v>
      </c>
    </row>
    <row r="780" spans="1:9" x14ac:dyDescent="0.2">
      <c r="E780" s="205" t="s">
        <v>125</v>
      </c>
      <c r="G780" s="205">
        <v>1401</v>
      </c>
      <c r="H780" s="205" t="s">
        <v>15</v>
      </c>
      <c r="I780" s="205">
        <v>1</v>
      </c>
    </row>
    <row r="782" spans="1:9" x14ac:dyDescent="0.2">
      <c r="A782" s="206">
        <v>157</v>
      </c>
      <c r="B782" s="205" t="s">
        <v>154</v>
      </c>
      <c r="E782" s="205" t="s">
        <v>118</v>
      </c>
      <c r="G782" s="205">
        <v>469</v>
      </c>
      <c r="H782" s="205" t="s">
        <v>12</v>
      </c>
      <c r="I782" s="205">
        <v>0.33262411347517729</v>
      </c>
    </row>
    <row r="783" spans="1:9" x14ac:dyDescent="0.2">
      <c r="A783" s="206">
        <v>157</v>
      </c>
      <c r="B783" s="205" t="s">
        <v>154</v>
      </c>
      <c r="E783" s="205" t="s">
        <v>119</v>
      </c>
      <c r="G783" s="205">
        <v>470</v>
      </c>
      <c r="H783" s="205" t="s">
        <v>13</v>
      </c>
      <c r="I783" s="205">
        <v>0.33333333333333331</v>
      </c>
    </row>
    <row r="784" spans="1:9" x14ac:dyDescent="0.2">
      <c r="A784" s="206">
        <v>157</v>
      </c>
      <c r="B784" s="205" t="s">
        <v>154</v>
      </c>
      <c r="E784" s="205" t="s">
        <v>120</v>
      </c>
      <c r="G784" s="205">
        <v>471</v>
      </c>
      <c r="H784" s="205" t="s">
        <v>14</v>
      </c>
      <c r="I784" s="205">
        <v>0.33404255319148934</v>
      </c>
    </row>
    <row r="785" spans="1:9" x14ac:dyDescent="0.2">
      <c r="E785" s="205" t="s">
        <v>125</v>
      </c>
      <c r="G785" s="205">
        <v>1410</v>
      </c>
      <c r="H785" s="205" t="s">
        <v>15</v>
      </c>
      <c r="I785" s="205">
        <v>0.99999999999999989</v>
      </c>
    </row>
    <row r="787" spans="1:9" x14ac:dyDescent="0.2">
      <c r="A787" s="206">
        <v>158</v>
      </c>
      <c r="B787" s="205" t="s">
        <v>155</v>
      </c>
      <c r="E787" s="205" t="s">
        <v>118</v>
      </c>
      <c r="G787" s="205">
        <v>472</v>
      </c>
      <c r="H787" s="205" t="s">
        <v>12</v>
      </c>
      <c r="I787" s="205">
        <v>0.33262861169837915</v>
      </c>
    </row>
    <row r="788" spans="1:9" x14ac:dyDescent="0.2">
      <c r="A788" s="206">
        <v>158</v>
      </c>
      <c r="B788" s="205" t="s">
        <v>155</v>
      </c>
      <c r="E788" s="205" t="s">
        <v>119</v>
      </c>
      <c r="G788" s="205">
        <v>473</v>
      </c>
      <c r="H788" s="205" t="s">
        <v>13</v>
      </c>
      <c r="I788" s="205">
        <v>0.33333333333333331</v>
      </c>
    </row>
    <row r="789" spans="1:9" x14ac:dyDescent="0.2">
      <c r="A789" s="206">
        <v>158</v>
      </c>
      <c r="B789" s="205" t="s">
        <v>155</v>
      </c>
      <c r="E789" s="205" t="s">
        <v>120</v>
      </c>
      <c r="G789" s="205">
        <v>474</v>
      </c>
      <c r="H789" s="205" t="s">
        <v>14</v>
      </c>
      <c r="I789" s="205">
        <v>0.33403805496828753</v>
      </c>
    </row>
    <row r="790" spans="1:9" x14ac:dyDescent="0.2">
      <c r="E790" s="205" t="s">
        <v>125</v>
      </c>
      <c r="G790" s="205">
        <v>1419</v>
      </c>
      <c r="H790" s="205" t="s">
        <v>15</v>
      </c>
      <c r="I790" s="205">
        <v>1</v>
      </c>
    </row>
    <row r="792" spans="1:9" x14ac:dyDescent="0.2">
      <c r="A792" s="206">
        <v>159</v>
      </c>
      <c r="B792" s="205" t="s">
        <v>156</v>
      </c>
      <c r="E792" s="205" t="s">
        <v>118</v>
      </c>
      <c r="G792" s="205">
        <v>475</v>
      </c>
      <c r="H792" s="205" t="s">
        <v>12</v>
      </c>
      <c r="I792" s="205">
        <v>0.3326330532212885</v>
      </c>
    </row>
    <row r="793" spans="1:9" x14ac:dyDescent="0.2">
      <c r="A793" s="206">
        <v>159</v>
      </c>
      <c r="B793" s="205" t="s">
        <v>156</v>
      </c>
      <c r="E793" s="205" t="s">
        <v>119</v>
      </c>
      <c r="G793" s="205">
        <v>476</v>
      </c>
      <c r="H793" s="205" t="s">
        <v>13</v>
      </c>
      <c r="I793" s="205">
        <v>0.33333333333333331</v>
      </c>
    </row>
    <row r="794" spans="1:9" x14ac:dyDescent="0.2">
      <c r="A794" s="206">
        <v>159</v>
      </c>
      <c r="B794" s="205" t="s">
        <v>156</v>
      </c>
      <c r="E794" s="205" t="s">
        <v>120</v>
      </c>
      <c r="G794" s="205">
        <v>477</v>
      </c>
      <c r="H794" s="205" t="s">
        <v>14</v>
      </c>
      <c r="I794" s="205">
        <v>0.33403361344537813</v>
      </c>
    </row>
    <row r="795" spans="1:9" x14ac:dyDescent="0.2">
      <c r="E795" s="205" t="s">
        <v>125</v>
      </c>
      <c r="G795" s="205">
        <v>1428</v>
      </c>
      <c r="H795" s="205" t="s">
        <v>15</v>
      </c>
      <c r="I795" s="205">
        <v>1</v>
      </c>
    </row>
    <row r="797" spans="1:9" x14ac:dyDescent="0.2">
      <c r="A797" s="206">
        <v>160</v>
      </c>
      <c r="B797" s="205" t="s">
        <v>157</v>
      </c>
      <c r="E797" s="205" t="s">
        <v>118</v>
      </c>
      <c r="G797" s="205">
        <v>478</v>
      </c>
      <c r="H797" s="205" t="s">
        <v>12</v>
      </c>
      <c r="I797" s="205">
        <v>0.33263743910925542</v>
      </c>
    </row>
    <row r="798" spans="1:9" x14ac:dyDescent="0.2">
      <c r="A798" s="206">
        <v>160</v>
      </c>
      <c r="B798" s="205" t="s">
        <v>157</v>
      </c>
      <c r="E798" s="205" t="s">
        <v>119</v>
      </c>
      <c r="G798" s="205">
        <v>479</v>
      </c>
      <c r="H798" s="205" t="s">
        <v>13</v>
      </c>
      <c r="I798" s="205">
        <v>0.33333333333333331</v>
      </c>
    </row>
    <row r="799" spans="1:9" x14ac:dyDescent="0.2">
      <c r="A799" s="206">
        <v>160</v>
      </c>
      <c r="B799" s="205" t="s">
        <v>157</v>
      </c>
      <c r="E799" s="205" t="s">
        <v>120</v>
      </c>
      <c r="G799" s="205">
        <v>480</v>
      </c>
      <c r="H799" s="205" t="s">
        <v>14</v>
      </c>
      <c r="I799" s="205">
        <v>0.33402922755741127</v>
      </c>
    </row>
    <row r="800" spans="1:9" x14ac:dyDescent="0.2">
      <c r="E800" s="205" t="s">
        <v>125</v>
      </c>
      <c r="G800" s="205">
        <v>1437</v>
      </c>
      <c r="H800" s="205" t="s">
        <v>15</v>
      </c>
      <c r="I800" s="205">
        <v>1</v>
      </c>
    </row>
    <row r="802" spans="1:9" x14ac:dyDescent="0.2">
      <c r="A802" s="206">
        <v>161</v>
      </c>
      <c r="B802" s="205" t="s">
        <v>158</v>
      </c>
      <c r="E802" s="205" t="s">
        <v>118</v>
      </c>
      <c r="G802" s="205">
        <v>481</v>
      </c>
      <c r="H802" s="205" t="s">
        <v>12</v>
      </c>
      <c r="I802" s="205">
        <v>0.33264177040110648</v>
      </c>
    </row>
    <row r="803" spans="1:9" x14ac:dyDescent="0.2">
      <c r="A803" s="206">
        <v>161</v>
      </c>
      <c r="B803" s="205" t="s">
        <v>158</v>
      </c>
      <c r="E803" s="205" t="s">
        <v>119</v>
      </c>
      <c r="G803" s="205">
        <v>482</v>
      </c>
      <c r="H803" s="205" t="s">
        <v>13</v>
      </c>
      <c r="I803" s="205">
        <v>0.33333333333333331</v>
      </c>
    </row>
    <row r="804" spans="1:9" x14ac:dyDescent="0.2">
      <c r="A804" s="206">
        <v>161</v>
      </c>
      <c r="B804" s="205" t="s">
        <v>158</v>
      </c>
      <c r="E804" s="205" t="s">
        <v>120</v>
      </c>
      <c r="G804" s="205">
        <v>483</v>
      </c>
      <c r="H804" s="205" t="s">
        <v>14</v>
      </c>
      <c r="I804" s="205">
        <v>0.33402489626556015</v>
      </c>
    </row>
    <row r="805" spans="1:9" x14ac:dyDescent="0.2">
      <c r="E805" s="205" t="s">
        <v>125</v>
      </c>
      <c r="G805" s="205">
        <v>1446</v>
      </c>
      <c r="H805" s="205" t="s">
        <v>15</v>
      </c>
      <c r="I805" s="205">
        <v>1</v>
      </c>
    </row>
    <row r="807" spans="1:9" x14ac:dyDescent="0.2">
      <c r="A807" s="206">
        <v>162</v>
      </c>
      <c r="B807" s="205" t="s">
        <v>159</v>
      </c>
      <c r="E807" s="205" t="s">
        <v>118</v>
      </c>
      <c r="G807" s="205">
        <v>484</v>
      </c>
      <c r="H807" s="205" t="s">
        <v>12</v>
      </c>
      <c r="I807" s="205">
        <v>0.33264604810996562</v>
      </c>
    </row>
    <row r="808" spans="1:9" x14ac:dyDescent="0.2">
      <c r="A808" s="206">
        <v>162</v>
      </c>
      <c r="B808" s="205" t="s">
        <v>159</v>
      </c>
      <c r="E808" s="205" t="s">
        <v>119</v>
      </c>
      <c r="G808" s="205">
        <v>485</v>
      </c>
      <c r="H808" s="205" t="s">
        <v>13</v>
      </c>
      <c r="I808" s="205">
        <v>0.33333333333333331</v>
      </c>
    </row>
    <row r="809" spans="1:9" x14ac:dyDescent="0.2">
      <c r="A809" s="206">
        <v>162</v>
      </c>
      <c r="B809" s="205" t="s">
        <v>159</v>
      </c>
      <c r="E809" s="205" t="s">
        <v>120</v>
      </c>
      <c r="G809" s="205">
        <v>486</v>
      </c>
      <c r="H809" s="205" t="s">
        <v>14</v>
      </c>
      <c r="I809" s="205">
        <v>0.33402061855670101</v>
      </c>
    </row>
    <row r="810" spans="1:9" x14ac:dyDescent="0.2">
      <c r="E810" s="205" t="s">
        <v>125</v>
      </c>
      <c r="G810" s="205">
        <v>1455</v>
      </c>
      <c r="H810" s="205" t="s">
        <v>15</v>
      </c>
      <c r="I810" s="205">
        <v>1</v>
      </c>
    </row>
    <row r="812" spans="1:9" x14ac:dyDescent="0.2">
      <c r="A812" s="206">
        <v>163</v>
      </c>
      <c r="B812" s="205" t="s">
        <v>160</v>
      </c>
      <c r="E812" s="205" t="s">
        <v>118</v>
      </c>
      <c r="G812" s="205">
        <v>487</v>
      </c>
      <c r="H812" s="205" t="s">
        <v>12</v>
      </c>
      <c r="I812" s="205">
        <v>0.33265027322404372</v>
      </c>
    </row>
    <row r="813" spans="1:9" x14ac:dyDescent="0.2">
      <c r="A813" s="206">
        <v>163</v>
      </c>
      <c r="B813" s="205" t="s">
        <v>160</v>
      </c>
      <c r="E813" s="205" t="s">
        <v>119</v>
      </c>
      <c r="G813" s="205">
        <v>488</v>
      </c>
      <c r="H813" s="205" t="s">
        <v>13</v>
      </c>
      <c r="I813" s="205">
        <v>0.33333333333333331</v>
      </c>
    </row>
    <row r="814" spans="1:9" x14ac:dyDescent="0.2">
      <c r="A814" s="206">
        <v>163</v>
      </c>
      <c r="B814" s="205" t="s">
        <v>160</v>
      </c>
      <c r="E814" s="205" t="s">
        <v>120</v>
      </c>
      <c r="G814" s="205">
        <v>489</v>
      </c>
      <c r="H814" s="205" t="s">
        <v>14</v>
      </c>
      <c r="I814" s="205">
        <v>0.33401639344262296</v>
      </c>
    </row>
    <row r="815" spans="1:9" x14ac:dyDescent="0.2">
      <c r="E815" s="205" t="s">
        <v>125</v>
      </c>
      <c r="G815" s="205">
        <v>1464</v>
      </c>
      <c r="H815" s="205" t="s">
        <v>15</v>
      </c>
      <c r="I815" s="205">
        <v>1</v>
      </c>
    </row>
    <row r="817" spans="1:9" x14ac:dyDescent="0.2">
      <c r="A817" s="206">
        <v>164</v>
      </c>
      <c r="B817" s="205" t="s">
        <v>161</v>
      </c>
      <c r="E817" s="205" t="s">
        <v>118</v>
      </c>
      <c r="G817" s="205">
        <v>490</v>
      </c>
      <c r="H817" s="205" t="s">
        <v>12</v>
      </c>
      <c r="I817" s="205">
        <v>0.33265444670739985</v>
      </c>
    </row>
    <row r="818" spans="1:9" x14ac:dyDescent="0.2">
      <c r="A818" s="206">
        <v>164</v>
      </c>
      <c r="B818" s="205" t="s">
        <v>161</v>
      </c>
      <c r="E818" s="205" t="s">
        <v>119</v>
      </c>
      <c r="G818" s="205">
        <v>491</v>
      </c>
      <c r="H818" s="205" t="s">
        <v>13</v>
      </c>
      <c r="I818" s="205">
        <v>0.33333333333333331</v>
      </c>
    </row>
    <row r="819" spans="1:9" x14ac:dyDescent="0.2">
      <c r="A819" s="206">
        <v>164</v>
      </c>
      <c r="B819" s="205" t="s">
        <v>161</v>
      </c>
      <c r="E819" s="205" t="s">
        <v>120</v>
      </c>
      <c r="G819" s="205">
        <v>492</v>
      </c>
      <c r="H819" s="205" t="s">
        <v>14</v>
      </c>
      <c r="I819" s="205">
        <v>0.33401221995926678</v>
      </c>
    </row>
    <row r="820" spans="1:9" x14ac:dyDescent="0.2">
      <c r="E820" s="205" t="s">
        <v>125</v>
      </c>
      <c r="G820" s="205">
        <v>1473</v>
      </c>
      <c r="H820" s="205" t="s">
        <v>15</v>
      </c>
      <c r="I820" s="205">
        <v>1</v>
      </c>
    </row>
    <row r="822" spans="1:9" x14ac:dyDescent="0.2">
      <c r="A822" s="206">
        <v>165</v>
      </c>
      <c r="B822" s="205" t="s">
        <v>162</v>
      </c>
      <c r="E822" s="205" t="s">
        <v>118</v>
      </c>
      <c r="G822" s="205">
        <v>493</v>
      </c>
      <c r="H822" s="205" t="s">
        <v>12</v>
      </c>
      <c r="I822" s="205">
        <v>0.33265856950067474</v>
      </c>
    </row>
    <row r="823" spans="1:9" x14ac:dyDescent="0.2">
      <c r="A823" s="206">
        <v>165</v>
      </c>
      <c r="B823" s="205" t="s">
        <v>162</v>
      </c>
      <c r="E823" s="205" t="s">
        <v>119</v>
      </c>
      <c r="G823" s="205">
        <v>494</v>
      </c>
      <c r="H823" s="205" t="s">
        <v>13</v>
      </c>
      <c r="I823" s="205">
        <v>0.33333333333333331</v>
      </c>
    </row>
    <row r="824" spans="1:9" x14ac:dyDescent="0.2">
      <c r="A824" s="206">
        <v>165</v>
      </c>
      <c r="B824" s="205" t="s">
        <v>162</v>
      </c>
      <c r="E824" s="205" t="s">
        <v>120</v>
      </c>
      <c r="G824" s="205">
        <v>495</v>
      </c>
      <c r="H824" s="205" t="s">
        <v>14</v>
      </c>
      <c r="I824" s="205">
        <v>0.33400809716599189</v>
      </c>
    </row>
    <row r="825" spans="1:9" x14ac:dyDescent="0.2">
      <c r="E825" s="205" t="s">
        <v>125</v>
      </c>
      <c r="G825" s="205">
        <v>1482</v>
      </c>
      <c r="H825" s="205" t="s">
        <v>15</v>
      </c>
      <c r="I825" s="205">
        <v>0.99999999999999989</v>
      </c>
    </row>
    <row r="827" spans="1:9" x14ac:dyDescent="0.2">
      <c r="A827" s="206">
        <v>166</v>
      </c>
      <c r="B827" s="205" t="s">
        <v>163</v>
      </c>
      <c r="E827" s="205" t="s">
        <v>118</v>
      </c>
      <c r="G827" s="205">
        <v>496</v>
      </c>
      <c r="H827" s="205" t="s">
        <v>12</v>
      </c>
      <c r="I827" s="205">
        <v>0.33266264252179745</v>
      </c>
    </row>
    <row r="828" spans="1:9" x14ac:dyDescent="0.2">
      <c r="A828" s="206">
        <v>166</v>
      </c>
      <c r="B828" s="205" t="s">
        <v>163</v>
      </c>
      <c r="E828" s="205" t="s">
        <v>119</v>
      </c>
      <c r="G828" s="205">
        <v>497</v>
      </c>
      <c r="H828" s="205" t="s">
        <v>13</v>
      </c>
      <c r="I828" s="205">
        <v>0.33333333333333331</v>
      </c>
    </row>
    <row r="829" spans="1:9" x14ac:dyDescent="0.2">
      <c r="A829" s="206">
        <v>166</v>
      </c>
      <c r="B829" s="205" t="s">
        <v>163</v>
      </c>
      <c r="E829" s="205" t="s">
        <v>120</v>
      </c>
      <c r="G829" s="205">
        <v>498</v>
      </c>
      <c r="H829" s="205" t="s">
        <v>14</v>
      </c>
      <c r="I829" s="205">
        <v>0.33400402414486924</v>
      </c>
    </row>
    <row r="830" spans="1:9" x14ac:dyDescent="0.2">
      <c r="E830" s="205" t="s">
        <v>125</v>
      </c>
      <c r="G830" s="205">
        <v>1491</v>
      </c>
      <c r="H830" s="205" t="s">
        <v>15</v>
      </c>
      <c r="I830" s="205">
        <v>1</v>
      </c>
    </row>
    <row r="832" spans="1:9" x14ac:dyDescent="0.2">
      <c r="A832" s="206">
        <v>167</v>
      </c>
      <c r="B832" s="205" t="s">
        <v>164</v>
      </c>
      <c r="E832" s="205" t="s">
        <v>118</v>
      </c>
      <c r="G832" s="205">
        <v>499</v>
      </c>
      <c r="H832" s="205" t="s">
        <v>12</v>
      </c>
      <c r="I832" s="205">
        <v>0.33266666666666667</v>
      </c>
    </row>
    <row r="833" spans="1:9" x14ac:dyDescent="0.2">
      <c r="A833" s="206">
        <v>167</v>
      </c>
      <c r="B833" s="205" t="s">
        <v>164</v>
      </c>
      <c r="E833" s="205" t="s">
        <v>119</v>
      </c>
      <c r="G833" s="205">
        <v>500</v>
      </c>
      <c r="H833" s="205" t="s">
        <v>13</v>
      </c>
      <c r="I833" s="205">
        <v>0.33333333333333331</v>
      </c>
    </row>
    <row r="834" spans="1:9" x14ac:dyDescent="0.2">
      <c r="A834" s="206">
        <v>167</v>
      </c>
      <c r="B834" s="205" t="s">
        <v>164</v>
      </c>
      <c r="E834" s="205" t="s">
        <v>120</v>
      </c>
      <c r="G834" s="205">
        <v>501</v>
      </c>
      <c r="H834" s="205" t="s">
        <v>14</v>
      </c>
      <c r="I834" s="205">
        <v>0.33400000000000002</v>
      </c>
    </row>
    <row r="835" spans="1:9" x14ac:dyDescent="0.2">
      <c r="E835" s="205" t="s">
        <v>125</v>
      </c>
      <c r="G835" s="205">
        <v>1500</v>
      </c>
      <c r="H835" s="205" t="s">
        <v>15</v>
      </c>
      <c r="I835" s="205">
        <v>1</v>
      </c>
    </row>
    <row r="837" spans="1:9" x14ac:dyDescent="0.2">
      <c r="A837" s="206">
        <v>168</v>
      </c>
      <c r="B837" s="205" t="s">
        <v>165</v>
      </c>
      <c r="E837" s="205" t="s">
        <v>118</v>
      </c>
      <c r="G837" s="205">
        <v>502</v>
      </c>
      <c r="H837" s="205" t="s">
        <v>12</v>
      </c>
      <c r="I837" s="205">
        <v>0.33267064280980779</v>
      </c>
    </row>
    <row r="838" spans="1:9" x14ac:dyDescent="0.2">
      <c r="A838" s="206">
        <v>168</v>
      </c>
      <c r="B838" s="205" t="s">
        <v>165</v>
      </c>
      <c r="E838" s="205" t="s">
        <v>119</v>
      </c>
      <c r="G838" s="205">
        <v>503</v>
      </c>
      <c r="H838" s="205" t="s">
        <v>13</v>
      </c>
      <c r="I838" s="205">
        <v>0.33333333333333331</v>
      </c>
    </row>
    <row r="839" spans="1:9" x14ac:dyDescent="0.2">
      <c r="A839" s="206">
        <v>168</v>
      </c>
      <c r="B839" s="205" t="s">
        <v>165</v>
      </c>
      <c r="E839" s="205" t="s">
        <v>120</v>
      </c>
      <c r="G839" s="205">
        <v>504</v>
      </c>
      <c r="H839" s="205" t="s">
        <v>14</v>
      </c>
      <c r="I839" s="205">
        <v>0.33399602385685884</v>
      </c>
    </row>
    <row r="840" spans="1:9" x14ac:dyDescent="0.2">
      <c r="E840" s="205" t="s">
        <v>125</v>
      </c>
      <c r="G840" s="205">
        <v>1509</v>
      </c>
      <c r="H840" s="205" t="s">
        <v>15</v>
      </c>
      <c r="I840" s="205">
        <v>1</v>
      </c>
    </row>
    <row r="842" spans="1:9" x14ac:dyDescent="0.2">
      <c r="A842" s="206">
        <v>169</v>
      </c>
      <c r="B842" s="205" t="s">
        <v>166</v>
      </c>
      <c r="E842" s="205" t="s">
        <v>118</v>
      </c>
      <c r="G842" s="205">
        <v>505</v>
      </c>
      <c r="H842" s="205" t="s">
        <v>12</v>
      </c>
      <c r="I842" s="205">
        <v>0.33267457180500659</v>
      </c>
    </row>
    <row r="843" spans="1:9" x14ac:dyDescent="0.2">
      <c r="A843" s="206">
        <v>169</v>
      </c>
      <c r="B843" s="205" t="s">
        <v>166</v>
      </c>
      <c r="E843" s="205" t="s">
        <v>119</v>
      </c>
      <c r="G843" s="205">
        <v>506</v>
      </c>
      <c r="H843" s="205" t="s">
        <v>13</v>
      </c>
      <c r="I843" s="205">
        <v>0.33333333333333331</v>
      </c>
    </row>
    <row r="844" spans="1:9" x14ac:dyDescent="0.2">
      <c r="A844" s="206">
        <v>169</v>
      </c>
      <c r="B844" s="205" t="s">
        <v>166</v>
      </c>
      <c r="E844" s="205" t="s">
        <v>120</v>
      </c>
      <c r="G844" s="205">
        <v>507</v>
      </c>
      <c r="H844" s="205" t="s">
        <v>14</v>
      </c>
      <c r="I844" s="205">
        <v>0.33399209486166009</v>
      </c>
    </row>
    <row r="845" spans="1:9" x14ac:dyDescent="0.2">
      <c r="E845" s="205" t="s">
        <v>125</v>
      </c>
      <c r="G845" s="205">
        <v>1518</v>
      </c>
      <c r="H845" s="205" t="s">
        <v>15</v>
      </c>
      <c r="I845" s="205">
        <v>1</v>
      </c>
    </row>
    <row r="847" spans="1:9" x14ac:dyDescent="0.2">
      <c r="A847" s="206">
        <v>170</v>
      </c>
      <c r="B847" s="205" t="s">
        <v>167</v>
      </c>
      <c r="E847" s="205" t="s">
        <v>118</v>
      </c>
      <c r="G847" s="205">
        <v>508</v>
      </c>
      <c r="H847" s="205" t="s">
        <v>12</v>
      </c>
      <c r="I847" s="205">
        <v>0.33267845448592009</v>
      </c>
    </row>
    <row r="848" spans="1:9" x14ac:dyDescent="0.2">
      <c r="A848" s="206">
        <v>170</v>
      </c>
      <c r="B848" s="205" t="s">
        <v>167</v>
      </c>
      <c r="E848" s="205" t="s">
        <v>119</v>
      </c>
      <c r="G848" s="205">
        <v>509</v>
      </c>
      <c r="H848" s="205" t="s">
        <v>13</v>
      </c>
      <c r="I848" s="205">
        <v>0.33333333333333331</v>
      </c>
    </row>
    <row r="849" spans="1:9" x14ac:dyDescent="0.2">
      <c r="A849" s="206">
        <v>170</v>
      </c>
      <c r="B849" s="205" t="s">
        <v>167</v>
      </c>
      <c r="E849" s="205" t="s">
        <v>120</v>
      </c>
      <c r="G849" s="205">
        <v>510</v>
      </c>
      <c r="H849" s="205" t="s">
        <v>14</v>
      </c>
      <c r="I849" s="205">
        <v>0.33398821218074654</v>
      </c>
    </row>
    <row r="850" spans="1:9" x14ac:dyDescent="0.2">
      <c r="E850" s="205" t="s">
        <v>125</v>
      </c>
      <c r="G850" s="205">
        <v>1527</v>
      </c>
      <c r="H850" s="205" t="s">
        <v>15</v>
      </c>
      <c r="I850" s="205">
        <v>1</v>
      </c>
    </row>
    <row r="852" spans="1:9" x14ac:dyDescent="0.2">
      <c r="A852" s="206">
        <v>171</v>
      </c>
      <c r="B852" s="205" t="s">
        <v>168</v>
      </c>
      <c r="E852" s="205" t="s">
        <v>118</v>
      </c>
      <c r="G852" s="205">
        <v>511</v>
      </c>
      <c r="H852" s="205" t="s">
        <v>12</v>
      </c>
      <c r="I852" s="205">
        <v>0.33268229166666669</v>
      </c>
    </row>
    <row r="853" spans="1:9" x14ac:dyDescent="0.2">
      <c r="A853" s="206">
        <v>171</v>
      </c>
      <c r="B853" s="205" t="s">
        <v>168</v>
      </c>
      <c r="E853" s="205" t="s">
        <v>119</v>
      </c>
      <c r="G853" s="205">
        <v>512</v>
      </c>
      <c r="H853" s="205" t="s">
        <v>13</v>
      </c>
      <c r="I853" s="205">
        <v>0.33333333333333331</v>
      </c>
    </row>
    <row r="854" spans="1:9" x14ac:dyDescent="0.2">
      <c r="A854" s="206">
        <v>171</v>
      </c>
      <c r="B854" s="205" t="s">
        <v>168</v>
      </c>
      <c r="E854" s="205" t="s">
        <v>120</v>
      </c>
      <c r="G854" s="205">
        <v>513</v>
      </c>
      <c r="H854" s="205" t="s">
        <v>14</v>
      </c>
      <c r="I854" s="205">
        <v>0.333984375</v>
      </c>
    </row>
    <row r="855" spans="1:9" x14ac:dyDescent="0.2">
      <c r="E855" s="205" t="s">
        <v>125</v>
      </c>
      <c r="G855" s="205">
        <v>1536</v>
      </c>
      <c r="H855" s="205" t="s">
        <v>15</v>
      </c>
      <c r="I855" s="205">
        <v>1</v>
      </c>
    </row>
    <row r="857" spans="1:9" x14ac:dyDescent="0.2">
      <c r="A857" s="206">
        <v>172</v>
      </c>
      <c r="B857" s="205" t="s">
        <v>169</v>
      </c>
      <c r="E857" s="205" t="s">
        <v>118</v>
      </c>
      <c r="G857" s="205">
        <v>514</v>
      </c>
      <c r="H857" s="205" t="s">
        <v>12</v>
      </c>
      <c r="I857" s="205">
        <v>0.33268608414239481</v>
      </c>
    </row>
    <row r="858" spans="1:9" x14ac:dyDescent="0.2">
      <c r="A858" s="206">
        <v>172</v>
      </c>
      <c r="B858" s="205" t="s">
        <v>169</v>
      </c>
      <c r="E858" s="205" t="s">
        <v>119</v>
      </c>
      <c r="G858" s="205">
        <v>515</v>
      </c>
      <c r="H858" s="205" t="s">
        <v>13</v>
      </c>
      <c r="I858" s="205">
        <v>0.33333333333333331</v>
      </c>
    </row>
    <row r="859" spans="1:9" x14ac:dyDescent="0.2">
      <c r="A859" s="206">
        <v>172</v>
      </c>
      <c r="B859" s="205" t="s">
        <v>169</v>
      </c>
      <c r="E859" s="205" t="s">
        <v>120</v>
      </c>
      <c r="G859" s="205">
        <v>516</v>
      </c>
      <c r="H859" s="205" t="s">
        <v>14</v>
      </c>
      <c r="I859" s="205">
        <v>0.33398058252427182</v>
      </c>
    </row>
    <row r="860" spans="1:9" x14ac:dyDescent="0.2">
      <c r="E860" s="205" t="s">
        <v>125</v>
      </c>
      <c r="G860" s="205">
        <v>1545</v>
      </c>
      <c r="H860" s="205" t="s">
        <v>15</v>
      </c>
      <c r="I860" s="205">
        <v>1</v>
      </c>
    </row>
    <row r="862" spans="1:9" x14ac:dyDescent="0.2">
      <c r="A862" s="206">
        <v>173</v>
      </c>
      <c r="B862" s="205" t="s">
        <v>170</v>
      </c>
      <c r="E862" s="205" t="s">
        <v>118</v>
      </c>
      <c r="G862" s="205">
        <v>517</v>
      </c>
      <c r="H862" s="205" t="s">
        <v>12</v>
      </c>
      <c r="I862" s="205">
        <v>0.33268983268983271</v>
      </c>
    </row>
    <row r="863" spans="1:9" x14ac:dyDescent="0.2">
      <c r="A863" s="206">
        <v>173</v>
      </c>
      <c r="B863" s="205" t="s">
        <v>170</v>
      </c>
      <c r="E863" s="205" t="s">
        <v>119</v>
      </c>
      <c r="G863" s="205">
        <v>518</v>
      </c>
      <c r="H863" s="205" t="s">
        <v>13</v>
      </c>
      <c r="I863" s="205">
        <v>0.33333333333333331</v>
      </c>
    </row>
    <row r="864" spans="1:9" x14ac:dyDescent="0.2">
      <c r="A864" s="206">
        <v>173</v>
      </c>
      <c r="B864" s="205" t="s">
        <v>170</v>
      </c>
      <c r="E864" s="205" t="s">
        <v>120</v>
      </c>
      <c r="G864" s="205">
        <v>519</v>
      </c>
      <c r="H864" s="205" t="s">
        <v>14</v>
      </c>
      <c r="I864" s="205">
        <v>0.33397683397683398</v>
      </c>
    </row>
    <row r="865" spans="1:9" x14ac:dyDescent="0.2">
      <c r="E865" s="205" t="s">
        <v>125</v>
      </c>
      <c r="G865" s="205">
        <v>1554</v>
      </c>
      <c r="H865" s="205" t="s">
        <v>15</v>
      </c>
      <c r="I865" s="205">
        <v>1</v>
      </c>
    </row>
    <row r="867" spans="1:9" x14ac:dyDescent="0.2">
      <c r="A867" s="206">
        <v>174</v>
      </c>
      <c r="B867" s="205" t="s">
        <v>171</v>
      </c>
      <c r="E867" s="205" t="s">
        <v>118</v>
      </c>
      <c r="G867" s="205">
        <v>520</v>
      </c>
      <c r="H867" s="205" t="s">
        <v>12</v>
      </c>
      <c r="I867" s="205">
        <v>0.33269353806781832</v>
      </c>
    </row>
    <row r="868" spans="1:9" x14ac:dyDescent="0.2">
      <c r="A868" s="206">
        <v>174</v>
      </c>
      <c r="B868" s="205" t="s">
        <v>171</v>
      </c>
      <c r="E868" s="205" t="s">
        <v>119</v>
      </c>
      <c r="G868" s="205">
        <v>521</v>
      </c>
      <c r="H868" s="205" t="s">
        <v>13</v>
      </c>
      <c r="I868" s="205">
        <v>0.33333333333333331</v>
      </c>
    </row>
    <row r="869" spans="1:9" x14ac:dyDescent="0.2">
      <c r="A869" s="206">
        <v>174</v>
      </c>
      <c r="B869" s="205" t="s">
        <v>171</v>
      </c>
      <c r="E869" s="205" t="s">
        <v>120</v>
      </c>
      <c r="G869" s="205">
        <v>522</v>
      </c>
      <c r="H869" s="205" t="s">
        <v>14</v>
      </c>
      <c r="I869" s="205">
        <v>0.33397312859884837</v>
      </c>
    </row>
    <row r="870" spans="1:9" x14ac:dyDescent="0.2">
      <c r="E870" s="205" t="s">
        <v>125</v>
      </c>
      <c r="G870" s="205">
        <v>1563</v>
      </c>
      <c r="H870" s="205" t="s">
        <v>15</v>
      </c>
      <c r="I870" s="205">
        <v>1</v>
      </c>
    </row>
    <row r="872" spans="1:9" x14ac:dyDescent="0.2">
      <c r="A872" s="206">
        <v>175</v>
      </c>
      <c r="B872" s="205" t="s">
        <v>172</v>
      </c>
      <c r="E872" s="205" t="s">
        <v>118</v>
      </c>
      <c r="G872" s="205">
        <v>523</v>
      </c>
      <c r="H872" s="205" t="s">
        <v>12</v>
      </c>
      <c r="I872" s="205">
        <v>0.33269720101781169</v>
      </c>
    </row>
    <row r="873" spans="1:9" x14ac:dyDescent="0.2">
      <c r="A873" s="206">
        <v>175</v>
      </c>
      <c r="B873" s="205" t="s">
        <v>172</v>
      </c>
      <c r="E873" s="205" t="s">
        <v>119</v>
      </c>
      <c r="G873" s="205">
        <v>524</v>
      </c>
      <c r="H873" s="205" t="s">
        <v>13</v>
      </c>
      <c r="I873" s="205">
        <v>0.33333333333333331</v>
      </c>
    </row>
    <row r="874" spans="1:9" x14ac:dyDescent="0.2">
      <c r="A874" s="206">
        <v>175</v>
      </c>
      <c r="B874" s="205" t="s">
        <v>172</v>
      </c>
      <c r="E874" s="205" t="s">
        <v>120</v>
      </c>
      <c r="G874" s="205">
        <v>525</v>
      </c>
      <c r="H874" s="205" t="s">
        <v>14</v>
      </c>
      <c r="I874" s="205">
        <v>0.33396946564885494</v>
      </c>
    </row>
    <row r="875" spans="1:9" x14ac:dyDescent="0.2">
      <c r="E875" s="205" t="s">
        <v>125</v>
      </c>
      <c r="G875" s="205">
        <v>1572</v>
      </c>
      <c r="H875" s="205" t="s">
        <v>15</v>
      </c>
      <c r="I875" s="205">
        <v>1</v>
      </c>
    </row>
    <row r="877" spans="1:9" x14ac:dyDescent="0.2">
      <c r="A877" s="206">
        <v>176</v>
      </c>
      <c r="B877" s="205" t="s">
        <v>173</v>
      </c>
      <c r="E877" s="205" t="s">
        <v>118</v>
      </c>
      <c r="G877" s="205">
        <v>526</v>
      </c>
      <c r="H877" s="205" t="s">
        <v>12</v>
      </c>
      <c r="I877" s="205">
        <v>0.33270082226438963</v>
      </c>
    </row>
    <row r="878" spans="1:9" x14ac:dyDescent="0.2">
      <c r="A878" s="206">
        <v>176</v>
      </c>
      <c r="B878" s="205" t="s">
        <v>173</v>
      </c>
      <c r="E878" s="205" t="s">
        <v>119</v>
      </c>
      <c r="G878" s="205">
        <v>527</v>
      </c>
      <c r="H878" s="205" t="s">
        <v>13</v>
      </c>
      <c r="I878" s="205">
        <v>0.33333333333333331</v>
      </c>
    </row>
    <row r="879" spans="1:9" x14ac:dyDescent="0.2">
      <c r="A879" s="206">
        <v>176</v>
      </c>
      <c r="B879" s="205" t="s">
        <v>173</v>
      </c>
      <c r="E879" s="205" t="s">
        <v>120</v>
      </c>
      <c r="G879" s="205">
        <v>528</v>
      </c>
      <c r="H879" s="205" t="s">
        <v>14</v>
      </c>
      <c r="I879" s="205">
        <v>0.33396584440227706</v>
      </c>
    </row>
    <row r="880" spans="1:9" x14ac:dyDescent="0.2">
      <c r="E880" s="205" t="s">
        <v>125</v>
      </c>
      <c r="G880" s="205">
        <v>1581</v>
      </c>
      <c r="H880" s="205" t="s">
        <v>15</v>
      </c>
      <c r="I880" s="205">
        <v>1</v>
      </c>
    </row>
    <row r="882" spans="1:9" x14ac:dyDescent="0.2">
      <c r="A882" s="206">
        <v>177</v>
      </c>
      <c r="B882" s="205" t="s">
        <v>174</v>
      </c>
      <c r="E882" s="205" t="s">
        <v>118</v>
      </c>
      <c r="G882" s="205">
        <v>529</v>
      </c>
      <c r="H882" s="205" t="s">
        <v>12</v>
      </c>
      <c r="I882" s="205">
        <v>0.33270440251572325</v>
      </c>
    </row>
    <row r="883" spans="1:9" x14ac:dyDescent="0.2">
      <c r="A883" s="206">
        <v>177</v>
      </c>
      <c r="B883" s="205" t="s">
        <v>174</v>
      </c>
      <c r="E883" s="205" t="s">
        <v>119</v>
      </c>
      <c r="G883" s="205">
        <v>530</v>
      </c>
      <c r="H883" s="205" t="s">
        <v>13</v>
      </c>
      <c r="I883" s="205">
        <v>0.33333333333333331</v>
      </c>
    </row>
    <row r="884" spans="1:9" x14ac:dyDescent="0.2">
      <c r="A884" s="206">
        <v>177</v>
      </c>
      <c r="B884" s="205" t="s">
        <v>174</v>
      </c>
      <c r="E884" s="205" t="s">
        <v>120</v>
      </c>
      <c r="G884" s="205">
        <v>531</v>
      </c>
      <c r="H884" s="205" t="s">
        <v>14</v>
      </c>
      <c r="I884" s="205">
        <v>0.33396226415094338</v>
      </c>
    </row>
    <row r="885" spans="1:9" x14ac:dyDescent="0.2">
      <c r="E885" s="205" t="s">
        <v>125</v>
      </c>
      <c r="G885" s="205">
        <v>1590</v>
      </c>
      <c r="H885" s="205" t="s">
        <v>15</v>
      </c>
      <c r="I885" s="205">
        <v>1</v>
      </c>
    </row>
    <row r="887" spans="1:9" x14ac:dyDescent="0.2">
      <c r="A887" s="206">
        <v>178</v>
      </c>
      <c r="B887" s="205" t="s">
        <v>175</v>
      </c>
      <c r="E887" s="205" t="s">
        <v>118</v>
      </c>
      <c r="G887" s="205">
        <v>532</v>
      </c>
      <c r="H887" s="205" t="s">
        <v>12</v>
      </c>
      <c r="I887" s="205">
        <v>0.33270794246404001</v>
      </c>
    </row>
    <row r="888" spans="1:9" x14ac:dyDescent="0.2">
      <c r="A888" s="206">
        <v>178</v>
      </c>
      <c r="B888" s="205" t="s">
        <v>175</v>
      </c>
      <c r="E888" s="205" t="s">
        <v>119</v>
      </c>
      <c r="G888" s="205">
        <v>533</v>
      </c>
      <c r="H888" s="205" t="s">
        <v>13</v>
      </c>
      <c r="I888" s="205">
        <v>0.33333333333333331</v>
      </c>
    </row>
    <row r="889" spans="1:9" x14ac:dyDescent="0.2">
      <c r="A889" s="206">
        <v>178</v>
      </c>
      <c r="B889" s="205" t="s">
        <v>175</v>
      </c>
      <c r="E889" s="205" t="s">
        <v>120</v>
      </c>
      <c r="G889" s="205">
        <v>534</v>
      </c>
      <c r="H889" s="205" t="s">
        <v>14</v>
      </c>
      <c r="I889" s="205">
        <v>0.33395872420262662</v>
      </c>
    </row>
    <row r="890" spans="1:9" x14ac:dyDescent="0.2">
      <c r="E890" s="205" t="s">
        <v>125</v>
      </c>
      <c r="G890" s="205">
        <v>1599</v>
      </c>
      <c r="H890" s="205" t="s">
        <v>15</v>
      </c>
      <c r="I890" s="205">
        <v>0.99999999999999989</v>
      </c>
    </row>
    <row r="892" spans="1:9" x14ac:dyDescent="0.2">
      <c r="A892" s="206">
        <v>179</v>
      </c>
      <c r="B892" s="205" t="s">
        <v>176</v>
      </c>
      <c r="E892" s="205" t="s">
        <v>118</v>
      </c>
      <c r="G892" s="205">
        <v>535</v>
      </c>
      <c r="H892" s="205" t="s">
        <v>12</v>
      </c>
      <c r="I892" s="205">
        <v>0.33271144278606968</v>
      </c>
    </row>
    <row r="893" spans="1:9" x14ac:dyDescent="0.2">
      <c r="A893" s="206">
        <v>179</v>
      </c>
      <c r="B893" s="205" t="s">
        <v>176</v>
      </c>
      <c r="E893" s="205" t="s">
        <v>119</v>
      </c>
      <c r="G893" s="205">
        <v>536</v>
      </c>
      <c r="H893" s="205" t="s">
        <v>13</v>
      </c>
      <c r="I893" s="205">
        <v>0.33333333333333331</v>
      </c>
    </row>
    <row r="894" spans="1:9" x14ac:dyDescent="0.2">
      <c r="A894" s="206">
        <v>179</v>
      </c>
      <c r="B894" s="205" t="s">
        <v>176</v>
      </c>
      <c r="E894" s="205" t="s">
        <v>120</v>
      </c>
      <c r="G894" s="205">
        <v>537</v>
      </c>
      <c r="H894" s="205" t="s">
        <v>14</v>
      </c>
      <c r="I894" s="205">
        <v>0.33395522388059701</v>
      </c>
    </row>
    <row r="895" spans="1:9" x14ac:dyDescent="0.2">
      <c r="E895" s="205" t="s">
        <v>125</v>
      </c>
      <c r="G895" s="205">
        <v>1608</v>
      </c>
      <c r="H895" s="205" t="s">
        <v>15</v>
      </c>
      <c r="I895" s="205">
        <v>1</v>
      </c>
    </row>
    <row r="897" spans="1:9" x14ac:dyDescent="0.2">
      <c r="A897" s="206">
        <v>180</v>
      </c>
      <c r="B897" s="205" t="s">
        <v>177</v>
      </c>
      <c r="E897" s="205" t="s">
        <v>118</v>
      </c>
      <c r="G897" s="205">
        <v>538</v>
      </c>
      <c r="H897" s="205" t="s">
        <v>12</v>
      </c>
      <c r="I897" s="205">
        <v>0.3327149041434756</v>
      </c>
    </row>
    <row r="898" spans="1:9" x14ac:dyDescent="0.2">
      <c r="A898" s="206">
        <v>180</v>
      </c>
      <c r="B898" s="205" t="s">
        <v>177</v>
      </c>
      <c r="E898" s="205" t="s">
        <v>119</v>
      </c>
      <c r="G898" s="205">
        <v>539</v>
      </c>
      <c r="H898" s="205" t="s">
        <v>13</v>
      </c>
      <c r="I898" s="205">
        <v>0.33333333333333331</v>
      </c>
    </row>
    <row r="899" spans="1:9" x14ac:dyDescent="0.2">
      <c r="A899" s="206">
        <v>180</v>
      </c>
      <c r="B899" s="205" t="s">
        <v>177</v>
      </c>
      <c r="E899" s="205" t="s">
        <v>120</v>
      </c>
      <c r="G899" s="205">
        <v>540</v>
      </c>
      <c r="H899" s="205" t="s">
        <v>14</v>
      </c>
      <c r="I899" s="205">
        <v>0.33395176252319109</v>
      </c>
    </row>
    <row r="900" spans="1:9" x14ac:dyDescent="0.2">
      <c r="E900" s="205" t="s">
        <v>125</v>
      </c>
      <c r="G900" s="205">
        <v>1617</v>
      </c>
      <c r="H900" s="205" t="s">
        <v>15</v>
      </c>
      <c r="I900" s="205">
        <v>1</v>
      </c>
    </row>
    <row r="902" spans="1:9" x14ac:dyDescent="0.2">
      <c r="A902" s="206">
        <v>181</v>
      </c>
      <c r="B902" s="205" t="s">
        <v>178</v>
      </c>
      <c r="E902" s="205" t="s">
        <v>118</v>
      </c>
      <c r="G902" s="205">
        <v>541</v>
      </c>
      <c r="H902" s="205" t="s">
        <v>12</v>
      </c>
      <c r="I902" s="205">
        <v>0.33271832718327182</v>
      </c>
    </row>
    <row r="903" spans="1:9" x14ac:dyDescent="0.2">
      <c r="A903" s="206">
        <v>181</v>
      </c>
      <c r="B903" s="205" t="s">
        <v>178</v>
      </c>
      <c r="E903" s="205" t="s">
        <v>119</v>
      </c>
      <c r="G903" s="205">
        <v>542</v>
      </c>
      <c r="H903" s="205" t="s">
        <v>13</v>
      </c>
      <c r="I903" s="205">
        <v>0.33333333333333331</v>
      </c>
    </row>
    <row r="904" spans="1:9" x14ac:dyDescent="0.2">
      <c r="A904" s="206">
        <v>181</v>
      </c>
      <c r="B904" s="205" t="s">
        <v>178</v>
      </c>
      <c r="E904" s="205" t="s">
        <v>120</v>
      </c>
      <c r="G904" s="205">
        <v>543</v>
      </c>
      <c r="H904" s="205" t="s">
        <v>14</v>
      </c>
      <c r="I904" s="205">
        <v>0.33394833948339481</v>
      </c>
    </row>
    <row r="905" spans="1:9" x14ac:dyDescent="0.2">
      <c r="E905" s="205" t="s">
        <v>125</v>
      </c>
      <c r="G905" s="205">
        <v>1626</v>
      </c>
      <c r="H905" s="205" t="s">
        <v>15</v>
      </c>
      <c r="I905" s="205">
        <v>1</v>
      </c>
    </row>
    <row r="907" spans="1:9" x14ac:dyDescent="0.2">
      <c r="A907" s="206">
        <v>182</v>
      </c>
      <c r="B907" s="205" t="s">
        <v>179</v>
      </c>
      <c r="E907" s="205" t="s">
        <v>118</v>
      </c>
      <c r="G907" s="205">
        <v>544</v>
      </c>
      <c r="H907" s="205" t="s">
        <v>12</v>
      </c>
      <c r="I907" s="205">
        <v>0.3327217125382263</v>
      </c>
    </row>
    <row r="908" spans="1:9" x14ac:dyDescent="0.2">
      <c r="A908" s="206">
        <v>182</v>
      </c>
      <c r="B908" s="205" t="s">
        <v>179</v>
      </c>
      <c r="E908" s="205" t="s">
        <v>119</v>
      </c>
      <c r="G908" s="205">
        <v>545</v>
      </c>
      <c r="H908" s="205" t="s">
        <v>13</v>
      </c>
      <c r="I908" s="205">
        <v>0.33333333333333331</v>
      </c>
    </row>
    <row r="909" spans="1:9" x14ac:dyDescent="0.2">
      <c r="A909" s="206">
        <v>182</v>
      </c>
      <c r="B909" s="205" t="s">
        <v>179</v>
      </c>
      <c r="E909" s="205" t="s">
        <v>120</v>
      </c>
      <c r="G909" s="205">
        <v>546</v>
      </c>
      <c r="H909" s="205" t="s">
        <v>14</v>
      </c>
      <c r="I909" s="205">
        <v>0.33394495412844039</v>
      </c>
    </row>
    <row r="910" spans="1:9" x14ac:dyDescent="0.2">
      <c r="E910" s="205" t="s">
        <v>125</v>
      </c>
      <c r="G910" s="205">
        <v>1635</v>
      </c>
      <c r="H910" s="205" t="s">
        <v>15</v>
      </c>
      <c r="I910" s="205">
        <v>1</v>
      </c>
    </row>
    <row r="912" spans="1:9" x14ac:dyDescent="0.2">
      <c r="A912" s="206">
        <v>183</v>
      </c>
      <c r="B912" s="205" t="s">
        <v>180</v>
      </c>
      <c r="E912" s="205" t="s">
        <v>118</v>
      </c>
      <c r="G912" s="205">
        <v>547</v>
      </c>
      <c r="H912" s="205" t="s">
        <v>12</v>
      </c>
      <c r="I912" s="205">
        <v>0.33272506082725062</v>
      </c>
    </row>
    <row r="913" spans="1:9" x14ac:dyDescent="0.2">
      <c r="A913" s="206">
        <v>183</v>
      </c>
      <c r="B913" s="205" t="s">
        <v>180</v>
      </c>
      <c r="E913" s="205" t="s">
        <v>119</v>
      </c>
      <c r="G913" s="205">
        <v>548</v>
      </c>
      <c r="H913" s="205" t="s">
        <v>13</v>
      </c>
      <c r="I913" s="205">
        <v>0.33333333333333331</v>
      </c>
    </row>
    <row r="914" spans="1:9" x14ac:dyDescent="0.2">
      <c r="A914" s="206">
        <v>183</v>
      </c>
      <c r="B914" s="205" t="s">
        <v>180</v>
      </c>
      <c r="E914" s="205" t="s">
        <v>120</v>
      </c>
      <c r="G914" s="205">
        <v>549</v>
      </c>
      <c r="H914" s="205" t="s">
        <v>14</v>
      </c>
      <c r="I914" s="205">
        <v>0.33394160583941607</v>
      </c>
    </row>
    <row r="915" spans="1:9" x14ac:dyDescent="0.2">
      <c r="E915" s="205" t="s">
        <v>125</v>
      </c>
      <c r="G915" s="205">
        <v>1644</v>
      </c>
      <c r="H915" s="205" t="s">
        <v>15</v>
      </c>
      <c r="I915" s="205">
        <v>1</v>
      </c>
    </row>
    <row r="917" spans="1:9" x14ac:dyDescent="0.2">
      <c r="A917" s="206">
        <v>184</v>
      </c>
      <c r="B917" s="205" t="s">
        <v>181</v>
      </c>
      <c r="E917" s="205" t="s">
        <v>118</v>
      </c>
      <c r="G917" s="205">
        <v>550</v>
      </c>
      <c r="H917" s="205" t="s">
        <v>12</v>
      </c>
      <c r="I917" s="205">
        <v>0.33272837265577737</v>
      </c>
    </row>
    <row r="918" spans="1:9" x14ac:dyDescent="0.2">
      <c r="A918" s="206">
        <v>184</v>
      </c>
      <c r="B918" s="205" t="s">
        <v>181</v>
      </c>
      <c r="E918" s="205" t="s">
        <v>119</v>
      </c>
      <c r="G918" s="205">
        <v>551</v>
      </c>
      <c r="H918" s="205" t="s">
        <v>13</v>
      </c>
      <c r="I918" s="205">
        <v>0.33333333333333331</v>
      </c>
    </row>
    <row r="919" spans="1:9" x14ac:dyDescent="0.2">
      <c r="A919" s="206">
        <v>184</v>
      </c>
      <c r="B919" s="205" t="s">
        <v>181</v>
      </c>
      <c r="E919" s="205" t="s">
        <v>120</v>
      </c>
      <c r="G919" s="205">
        <v>552</v>
      </c>
      <c r="H919" s="205" t="s">
        <v>14</v>
      </c>
      <c r="I919" s="205">
        <v>0.33393829401088931</v>
      </c>
    </row>
    <row r="920" spans="1:9" x14ac:dyDescent="0.2">
      <c r="E920" s="205" t="s">
        <v>125</v>
      </c>
      <c r="G920" s="205">
        <v>1653</v>
      </c>
      <c r="H920" s="205" t="s">
        <v>15</v>
      </c>
      <c r="I920" s="205">
        <v>1</v>
      </c>
    </row>
    <row r="922" spans="1:9" x14ac:dyDescent="0.2">
      <c r="A922" s="206">
        <v>185</v>
      </c>
      <c r="B922" s="205" t="s">
        <v>182</v>
      </c>
      <c r="E922" s="205" t="s">
        <v>118</v>
      </c>
      <c r="G922" s="205">
        <v>553</v>
      </c>
      <c r="H922" s="205" t="s">
        <v>12</v>
      </c>
      <c r="I922" s="205">
        <v>0.33273164861612514</v>
      </c>
    </row>
    <row r="923" spans="1:9" x14ac:dyDescent="0.2">
      <c r="A923" s="206">
        <v>185</v>
      </c>
      <c r="B923" s="205" t="s">
        <v>182</v>
      </c>
      <c r="E923" s="205" t="s">
        <v>119</v>
      </c>
      <c r="G923" s="205">
        <v>554</v>
      </c>
      <c r="H923" s="205" t="s">
        <v>13</v>
      </c>
      <c r="I923" s="205">
        <v>0.33333333333333331</v>
      </c>
    </row>
    <row r="924" spans="1:9" x14ac:dyDescent="0.2">
      <c r="A924" s="206">
        <v>185</v>
      </c>
      <c r="B924" s="205" t="s">
        <v>182</v>
      </c>
      <c r="E924" s="205" t="s">
        <v>120</v>
      </c>
      <c r="G924" s="205">
        <v>555</v>
      </c>
      <c r="H924" s="205" t="s">
        <v>14</v>
      </c>
      <c r="I924" s="205">
        <v>0.33393501805054154</v>
      </c>
    </row>
    <row r="925" spans="1:9" x14ac:dyDescent="0.2">
      <c r="E925" s="205" t="s">
        <v>125</v>
      </c>
      <c r="G925" s="205">
        <v>1662</v>
      </c>
      <c r="H925" s="205" t="s">
        <v>15</v>
      </c>
      <c r="I925" s="205">
        <v>1</v>
      </c>
    </row>
    <row r="927" spans="1:9" x14ac:dyDescent="0.2">
      <c r="A927" s="206">
        <v>186</v>
      </c>
      <c r="B927" s="205" t="s">
        <v>183</v>
      </c>
      <c r="E927" s="205" t="s">
        <v>118</v>
      </c>
      <c r="G927" s="205">
        <v>556</v>
      </c>
      <c r="H927" s="205" t="s">
        <v>12</v>
      </c>
      <c r="I927" s="205">
        <v>0.33273488928785161</v>
      </c>
    </row>
    <row r="928" spans="1:9" x14ac:dyDescent="0.2">
      <c r="A928" s="206">
        <v>186</v>
      </c>
      <c r="B928" s="205" t="s">
        <v>183</v>
      </c>
      <c r="E928" s="205" t="s">
        <v>119</v>
      </c>
      <c r="G928" s="205">
        <v>557</v>
      </c>
      <c r="H928" s="205" t="s">
        <v>13</v>
      </c>
      <c r="I928" s="205">
        <v>0.33333333333333331</v>
      </c>
    </row>
    <row r="929" spans="1:9" x14ac:dyDescent="0.2">
      <c r="A929" s="206">
        <v>186</v>
      </c>
      <c r="B929" s="205" t="s">
        <v>183</v>
      </c>
      <c r="E929" s="205" t="s">
        <v>120</v>
      </c>
      <c r="G929" s="205">
        <v>558</v>
      </c>
      <c r="H929" s="205" t="s">
        <v>14</v>
      </c>
      <c r="I929" s="205">
        <v>0.33393177737881508</v>
      </c>
    </row>
    <row r="930" spans="1:9" x14ac:dyDescent="0.2">
      <c r="E930" s="205" t="s">
        <v>125</v>
      </c>
      <c r="G930" s="205">
        <v>1671</v>
      </c>
      <c r="H930" s="205" t="s">
        <v>15</v>
      </c>
      <c r="I930" s="205">
        <v>1</v>
      </c>
    </row>
    <row r="932" spans="1:9" x14ac:dyDescent="0.2">
      <c r="A932" s="206">
        <v>187</v>
      </c>
      <c r="B932" s="205" t="s">
        <v>184</v>
      </c>
      <c r="E932" s="205" t="s">
        <v>118</v>
      </c>
      <c r="G932" s="205">
        <v>559</v>
      </c>
      <c r="H932" s="205" t="s">
        <v>12</v>
      </c>
      <c r="I932" s="205">
        <v>0.33273809523809522</v>
      </c>
    </row>
    <row r="933" spans="1:9" x14ac:dyDescent="0.2">
      <c r="A933" s="206">
        <v>187</v>
      </c>
      <c r="B933" s="205" t="s">
        <v>184</v>
      </c>
      <c r="E933" s="205" t="s">
        <v>119</v>
      </c>
      <c r="G933" s="205">
        <v>560</v>
      </c>
      <c r="H933" s="205" t="s">
        <v>13</v>
      </c>
      <c r="I933" s="205">
        <v>0.33333333333333331</v>
      </c>
    </row>
    <row r="934" spans="1:9" x14ac:dyDescent="0.2">
      <c r="A934" s="206">
        <v>187</v>
      </c>
      <c r="B934" s="205" t="s">
        <v>184</v>
      </c>
      <c r="E934" s="205" t="s">
        <v>120</v>
      </c>
      <c r="G934" s="205">
        <v>561</v>
      </c>
      <c r="H934" s="205" t="s">
        <v>14</v>
      </c>
      <c r="I934" s="205">
        <v>0.33392857142857141</v>
      </c>
    </row>
    <row r="935" spans="1:9" x14ac:dyDescent="0.2">
      <c r="E935" s="205" t="s">
        <v>125</v>
      </c>
      <c r="G935" s="205">
        <v>1680</v>
      </c>
      <c r="H935" s="205" t="s">
        <v>15</v>
      </c>
      <c r="I935" s="205">
        <v>1</v>
      </c>
    </row>
    <row r="937" spans="1:9" x14ac:dyDescent="0.2">
      <c r="A937" s="206">
        <v>188</v>
      </c>
      <c r="B937" s="205" t="s">
        <v>185</v>
      </c>
      <c r="E937" s="205" t="s">
        <v>118</v>
      </c>
      <c r="G937" s="205">
        <v>562</v>
      </c>
      <c r="H937" s="205" t="s">
        <v>12</v>
      </c>
      <c r="I937" s="205">
        <v>0.33274126702190643</v>
      </c>
    </row>
    <row r="938" spans="1:9" x14ac:dyDescent="0.2">
      <c r="A938" s="206">
        <v>188</v>
      </c>
      <c r="B938" s="205" t="s">
        <v>185</v>
      </c>
      <c r="E938" s="205" t="s">
        <v>119</v>
      </c>
      <c r="G938" s="205">
        <v>563</v>
      </c>
      <c r="H938" s="205" t="s">
        <v>13</v>
      </c>
      <c r="I938" s="205">
        <v>0.33333333333333331</v>
      </c>
    </row>
    <row r="939" spans="1:9" x14ac:dyDescent="0.2">
      <c r="A939" s="206">
        <v>188</v>
      </c>
      <c r="B939" s="205" t="s">
        <v>185</v>
      </c>
      <c r="E939" s="205" t="s">
        <v>120</v>
      </c>
      <c r="G939" s="205">
        <v>564</v>
      </c>
      <c r="H939" s="205" t="s">
        <v>14</v>
      </c>
      <c r="I939" s="205">
        <v>0.3339253996447602</v>
      </c>
    </row>
    <row r="940" spans="1:9" x14ac:dyDescent="0.2">
      <c r="E940" s="205" t="s">
        <v>125</v>
      </c>
      <c r="G940" s="205">
        <v>1689</v>
      </c>
      <c r="H940" s="205" t="s">
        <v>15</v>
      </c>
      <c r="I940" s="205">
        <v>1</v>
      </c>
    </row>
    <row r="942" spans="1:9" x14ac:dyDescent="0.2">
      <c r="A942" s="206">
        <v>189</v>
      </c>
      <c r="B942" s="205" t="s">
        <v>186</v>
      </c>
      <c r="E942" s="205" t="s">
        <v>118</v>
      </c>
      <c r="G942" s="205">
        <v>565</v>
      </c>
      <c r="H942" s="205" t="s">
        <v>12</v>
      </c>
      <c r="I942" s="205">
        <v>0.3327444051825677</v>
      </c>
    </row>
    <row r="943" spans="1:9" x14ac:dyDescent="0.2">
      <c r="A943" s="206">
        <v>189</v>
      </c>
      <c r="B943" s="205" t="s">
        <v>186</v>
      </c>
      <c r="E943" s="205" t="s">
        <v>119</v>
      </c>
      <c r="G943" s="205">
        <v>566</v>
      </c>
      <c r="H943" s="205" t="s">
        <v>13</v>
      </c>
      <c r="I943" s="205">
        <v>0.33333333333333331</v>
      </c>
    </row>
    <row r="944" spans="1:9" x14ac:dyDescent="0.2">
      <c r="A944" s="206">
        <v>189</v>
      </c>
      <c r="B944" s="205" t="s">
        <v>186</v>
      </c>
      <c r="E944" s="205" t="s">
        <v>120</v>
      </c>
      <c r="G944" s="205">
        <v>567</v>
      </c>
      <c r="H944" s="205" t="s">
        <v>14</v>
      </c>
      <c r="I944" s="205">
        <v>0.33392226148409893</v>
      </c>
    </row>
    <row r="945" spans="1:9" x14ac:dyDescent="0.2">
      <c r="E945" s="205" t="s">
        <v>125</v>
      </c>
      <c r="G945" s="205">
        <v>1698</v>
      </c>
      <c r="H945" s="205" t="s">
        <v>15</v>
      </c>
      <c r="I945" s="205">
        <v>1</v>
      </c>
    </row>
    <row r="947" spans="1:9" x14ac:dyDescent="0.2">
      <c r="A947" s="206">
        <v>190</v>
      </c>
      <c r="B947" s="205" t="s">
        <v>187</v>
      </c>
      <c r="E947" s="205" t="s">
        <v>118</v>
      </c>
      <c r="G947" s="205">
        <v>568</v>
      </c>
      <c r="H947" s="205" t="s">
        <v>12</v>
      </c>
      <c r="I947" s="205">
        <v>0.33274751025190391</v>
      </c>
    </row>
    <row r="948" spans="1:9" x14ac:dyDescent="0.2">
      <c r="A948" s="206">
        <v>190</v>
      </c>
      <c r="B948" s="205" t="s">
        <v>187</v>
      </c>
      <c r="E948" s="205" t="s">
        <v>119</v>
      </c>
      <c r="G948" s="205">
        <v>569</v>
      </c>
      <c r="H948" s="205" t="s">
        <v>13</v>
      </c>
      <c r="I948" s="205">
        <v>0.33333333333333331</v>
      </c>
    </row>
    <row r="949" spans="1:9" x14ac:dyDescent="0.2">
      <c r="A949" s="206">
        <v>190</v>
      </c>
      <c r="B949" s="205" t="s">
        <v>187</v>
      </c>
      <c r="E949" s="205" t="s">
        <v>120</v>
      </c>
      <c r="G949" s="205">
        <v>570</v>
      </c>
      <c r="H949" s="205" t="s">
        <v>14</v>
      </c>
      <c r="I949" s="205">
        <v>0.33391915641476272</v>
      </c>
    </row>
    <row r="950" spans="1:9" x14ac:dyDescent="0.2">
      <c r="E950" s="205" t="s">
        <v>125</v>
      </c>
      <c r="G950" s="205">
        <v>1707</v>
      </c>
      <c r="H950" s="205" t="s">
        <v>15</v>
      </c>
      <c r="I950" s="205">
        <v>1</v>
      </c>
    </row>
    <row r="952" spans="1:9" x14ac:dyDescent="0.2">
      <c r="A952" s="206">
        <v>191</v>
      </c>
      <c r="B952" s="205" t="s">
        <v>188</v>
      </c>
      <c r="E952" s="205" t="s">
        <v>118</v>
      </c>
      <c r="G952" s="205">
        <v>571</v>
      </c>
      <c r="H952" s="205" t="s">
        <v>12</v>
      </c>
      <c r="I952" s="205">
        <v>0.33275058275058272</v>
      </c>
    </row>
    <row r="953" spans="1:9" x14ac:dyDescent="0.2">
      <c r="A953" s="206">
        <v>191</v>
      </c>
      <c r="B953" s="205" t="s">
        <v>188</v>
      </c>
      <c r="E953" s="205" t="s">
        <v>119</v>
      </c>
      <c r="G953" s="205">
        <v>572</v>
      </c>
      <c r="H953" s="205" t="s">
        <v>13</v>
      </c>
      <c r="I953" s="205">
        <v>0.33333333333333331</v>
      </c>
    </row>
    <row r="954" spans="1:9" x14ac:dyDescent="0.2">
      <c r="A954" s="206">
        <v>191</v>
      </c>
      <c r="B954" s="205" t="s">
        <v>188</v>
      </c>
      <c r="E954" s="205" t="s">
        <v>120</v>
      </c>
      <c r="G954" s="205">
        <v>573</v>
      </c>
      <c r="H954" s="205" t="s">
        <v>14</v>
      </c>
      <c r="I954" s="205">
        <v>0.33391608391608391</v>
      </c>
    </row>
    <row r="955" spans="1:9" x14ac:dyDescent="0.2">
      <c r="E955" s="205" t="s">
        <v>125</v>
      </c>
      <c r="G955" s="205">
        <v>1716</v>
      </c>
      <c r="H955" s="205" t="s">
        <v>15</v>
      </c>
      <c r="I955" s="205">
        <v>1</v>
      </c>
    </row>
    <row r="957" spans="1:9" x14ac:dyDescent="0.2">
      <c r="A957" s="206">
        <v>192</v>
      </c>
      <c r="B957" s="205" t="s">
        <v>189</v>
      </c>
      <c r="E957" s="205" t="s">
        <v>118</v>
      </c>
      <c r="G957" s="205">
        <v>574</v>
      </c>
      <c r="H957" s="205" t="s">
        <v>12</v>
      </c>
      <c r="I957" s="205">
        <v>0.33275362318840579</v>
      </c>
    </row>
    <row r="958" spans="1:9" x14ac:dyDescent="0.2">
      <c r="A958" s="206">
        <v>192</v>
      </c>
      <c r="B958" s="205" t="s">
        <v>189</v>
      </c>
      <c r="E958" s="205" t="s">
        <v>119</v>
      </c>
      <c r="G958" s="205">
        <v>575</v>
      </c>
      <c r="H958" s="205" t="s">
        <v>13</v>
      </c>
      <c r="I958" s="205">
        <v>0.33333333333333331</v>
      </c>
    </row>
    <row r="959" spans="1:9" x14ac:dyDescent="0.2">
      <c r="A959" s="206">
        <v>192</v>
      </c>
      <c r="B959" s="205" t="s">
        <v>189</v>
      </c>
      <c r="E959" s="205" t="s">
        <v>120</v>
      </c>
      <c r="G959" s="205">
        <v>576</v>
      </c>
      <c r="H959" s="205" t="s">
        <v>14</v>
      </c>
      <c r="I959" s="205">
        <v>0.3339130434782609</v>
      </c>
    </row>
    <row r="960" spans="1:9" x14ac:dyDescent="0.2">
      <c r="E960" s="205" t="s">
        <v>125</v>
      </c>
      <c r="G960" s="205">
        <v>1725</v>
      </c>
      <c r="H960" s="205" t="s">
        <v>15</v>
      </c>
      <c r="I960" s="205">
        <v>1</v>
      </c>
    </row>
    <row r="962" spans="1:9" x14ac:dyDescent="0.2">
      <c r="A962" s="206">
        <v>193</v>
      </c>
      <c r="B962" s="205" t="s">
        <v>190</v>
      </c>
      <c r="E962" s="205" t="s">
        <v>118</v>
      </c>
      <c r="G962" s="205">
        <v>577</v>
      </c>
      <c r="H962" s="205" t="s">
        <v>12</v>
      </c>
      <c r="I962" s="205">
        <v>0.33275663206459055</v>
      </c>
    </row>
    <row r="963" spans="1:9" x14ac:dyDescent="0.2">
      <c r="A963" s="206">
        <v>193</v>
      </c>
      <c r="B963" s="205" t="s">
        <v>190</v>
      </c>
      <c r="E963" s="205" t="s">
        <v>119</v>
      </c>
      <c r="G963" s="205">
        <v>578</v>
      </c>
      <c r="H963" s="205" t="s">
        <v>13</v>
      </c>
      <c r="I963" s="205">
        <v>0.33333333333333331</v>
      </c>
    </row>
    <row r="964" spans="1:9" x14ac:dyDescent="0.2">
      <c r="A964" s="206">
        <v>193</v>
      </c>
      <c r="B964" s="205" t="s">
        <v>190</v>
      </c>
      <c r="E964" s="205" t="s">
        <v>120</v>
      </c>
      <c r="G964" s="205">
        <v>579</v>
      </c>
      <c r="H964" s="205" t="s">
        <v>14</v>
      </c>
      <c r="I964" s="205">
        <v>0.33391003460207613</v>
      </c>
    </row>
    <row r="965" spans="1:9" x14ac:dyDescent="0.2">
      <c r="E965" s="205" t="s">
        <v>125</v>
      </c>
      <c r="G965" s="205">
        <v>1734</v>
      </c>
      <c r="H965" s="205" t="s">
        <v>15</v>
      </c>
      <c r="I965" s="205">
        <v>1</v>
      </c>
    </row>
    <row r="967" spans="1:9" x14ac:dyDescent="0.2">
      <c r="A967" s="206">
        <v>194</v>
      </c>
      <c r="B967" s="205" t="s">
        <v>191</v>
      </c>
      <c r="E967" s="205" t="s">
        <v>118</v>
      </c>
      <c r="G967" s="205">
        <v>580</v>
      </c>
      <c r="H967" s="205" t="s">
        <v>12</v>
      </c>
      <c r="I967" s="205">
        <v>0.33275960986804359</v>
      </c>
    </row>
    <row r="968" spans="1:9" x14ac:dyDescent="0.2">
      <c r="A968" s="206">
        <v>194</v>
      </c>
      <c r="B968" s="205" t="s">
        <v>191</v>
      </c>
      <c r="E968" s="205" t="s">
        <v>119</v>
      </c>
      <c r="G968" s="205">
        <v>581</v>
      </c>
      <c r="H968" s="205" t="s">
        <v>13</v>
      </c>
      <c r="I968" s="205">
        <v>0.33333333333333331</v>
      </c>
    </row>
    <row r="969" spans="1:9" x14ac:dyDescent="0.2">
      <c r="A969" s="206">
        <v>194</v>
      </c>
      <c r="B969" s="205" t="s">
        <v>191</v>
      </c>
      <c r="E969" s="205" t="s">
        <v>120</v>
      </c>
      <c r="G969" s="205">
        <v>582</v>
      </c>
      <c r="H969" s="205" t="s">
        <v>14</v>
      </c>
      <c r="I969" s="205">
        <v>0.33390705679862304</v>
      </c>
    </row>
    <row r="970" spans="1:9" x14ac:dyDescent="0.2">
      <c r="E970" s="205" t="s">
        <v>125</v>
      </c>
      <c r="G970" s="205">
        <v>1743</v>
      </c>
      <c r="H970" s="205" t="s">
        <v>15</v>
      </c>
      <c r="I970" s="205">
        <v>1</v>
      </c>
    </row>
    <row r="972" spans="1:9" x14ac:dyDescent="0.2">
      <c r="A972" s="206">
        <v>195</v>
      </c>
      <c r="B972" s="205" t="s">
        <v>192</v>
      </c>
      <c r="E972" s="205" t="s">
        <v>118</v>
      </c>
      <c r="G972" s="205">
        <v>583</v>
      </c>
      <c r="H972" s="205" t="s">
        <v>12</v>
      </c>
      <c r="I972" s="205">
        <v>0.33276255707762559</v>
      </c>
    </row>
    <row r="973" spans="1:9" x14ac:dyDescent="0.2">
      <c r="A973" s="206">
        <v>195</v>
      </c>
      <c r="B973" s="205" t="s">
        <v>192</v>
      </c>
      <c r="E973" s="205" t="s">
        <v>119</v>
      </c>
      <c r="G973" s="205">
        <v>584</v>
      </c>
      <c r="H973" s="205" t="s">
        <v>13</v>
      </c>
      <c r="I973" s="205">
        <v>0.33333333333333331</v>
      </c>
    </row>
    <row r="974" spans="1:9" x14ac:dyDescent="0.2">
      <c r="A974" s="206">
        <v>195</v>
      </c>
      <c r="B974" s="205" t="s">
        <v>192</v>
      </c>
      <c r="E974" s="205" t="s">
        <v>120</v>
      </c>
      <c r="G974" s="205">
        <v>585</v>
      </c>
      <c r="H974" s="205" t="s">
        <v>14</v>
      </c>
      <c r="I974" s="205">
        <v>0.3339041095890411</v>
      </c>
    </row>
    <row r="975" spans="1:9" x14ac:dyDescent="0.2">
      <c r="E975" s="205" t="s">
        <v>125</v>
      </c>
      <c r="G975" s="205">
        <v>1752</v>
      </c>
      <c r="H975" s="205" t="s">
        <v>15</v>
      </c>
      <c r="I975" s="205">
        <v>1</v>
      </c>
    </row>
    <row r="977" spans="1:9" x14ac:dyDescent="0.2">
      <c r="A977" s="206">
        <v>196</v>
      </c>
      <c r="B977" s="205" t="s">
        <v>193</v>
      </c>
      <c r="E977" s="205" t="s">
        <v>118</v>
      </c>
      <c r="G977" s="205">
        <v>586</v>
      </c>
      <c r="H977" s="205" t="s">
        <v>12</v>
      </c>
      <c r="I977" s="205">
        <v>0.3327654741624077</v>
      </c>
    </row>
    <row r="978" spans="1:9" x14ac:dyDescent="0.2">
      <c r="A978" s="206">
        <v>196</v>
      </c>
      <c r="B978" s="205" t="s">
        <v>193</v>
      </c>
      <c r="E978" s="205" t="s">
        <v>119</v>
      </c>
      <c r="G978" s="205">
        <v>587</v>
      </c>
      <c r="H978" s="205" t="s">
        <v>13</v>
      </c>
      <c r="I978" s="205">
        <v>0.33333333333333331</v>
      </c>
    </row>
    <row r="979" spans="1:9" x14ac:dyDescent="0.2">
      <c r="A979" s="206">
        <v>196</v>
      </c>
      <c r="B979" s="205" t="s">
        <v>193</v>
      </c>
      <c r="E979" s="205" t="s">
        <v>120</v>
      </c>
      <c r="G979" s="205">
        <v>588</v>
      </c>
      <c r="H979" s="205" t="s">
        <v>14</v>
      </c>
      <c r="I979" s="205">
        <v>0.33390119250425893</v>
      </c>
    </row>
    <row r="980" spans="1:9" x14ac:dyDescent="0.2">
      <c r="E980" s="205" t="s">
        <v>125</v>
      </c>
      <c r="G980" s="205">
        <v>1761</v>
      </c>
      <c r="H980" s="205" t="s">
        <v>15</v>
      </c>
      <c r="I980" s="205">
        <v>1</v>
      </c>
    </row>
    <row r="982" spans="1:9" x14ac:dyDescent="0.2">
      <c r="A982" s="206">
        <v>197</v>
      </c>
      <c r="B982" s="205" t="s">
        <v>194</v>
      </c>
      <c r="E982" s="205" t="s">
        <v>118</v>
      </c>
      <c r="G982" s="205">
        <v>589</v>
      </c>
      <c r="H982" s="205" t="s">
        <v>12</v>
      </c>
      <c r="I982" s="205">
        <v>0.33276836158192091</v>
      </c>
    </row>
    <row r="983" spans="1:9" x14ac:dyDescent="0.2">
      <c r="A983" s="206">
        <v>197</v>
      </c>
      <c r="B983" s="205" t="s">
        <v>194</v>
      </c>
      <c r="E983" s="205" t="s">
        <v>119</v>
      </c>
      <c r="G983" s="205">
        <v>590</v>
      </c>
      <c r="H983" s="205" t="s">
        <v>13</v>
      </c>
      <c r="I983" s="205">
        <v>0.33333333333333331</v>
      </c>
    </row>
    <row r="984" spans="1:9" x14ac:dyDescent="0.2">
      <c r="A984" s="206">
        <v>197</v>
      </c>
      <c r="B984" s="205" t="s">
        <v>194</v>
      </c>
      <c r="E984" s="205" t="s">
        <v>120</v>
      </c>
      <c r="G984" s="205">
        <v>591</v>
      </c>
      <c r="H984" s="205" t="s">
        <v>14</v>
      </c>
      <c r="I984" s="205">
        <v>0.33389830508474577</v>
      </c>
    </row>
    <row r="985" spans="1:9" x14ac:dyDescent="0.2">
      <c r="E985" s="205" t="s">
        <v>125</v>
      </c>
      <c r="G985" s="205">
        <v>1770</v>
      </c>
      <c r="H985" s="205" t="s">
        <v>15</v>
      </c>
      <c r="I985" s="205">
        <v>1</v>
      </c>
    </row>
    <row r="987" spans="1:9" x14ac:dyDescent="0.2">
      <c r="A987" s="206">
        <v>198</v>
      </c>
      <c r="B987" s="205" t="s">
        <v>195</v>
      </c>
      <c r="E987" s="205" t="s">
        <v>118</v>
      </c>
      <c r="G987" s="205">
        <v>592</v>
      </c>
      <c r="H987" s="205" t="s">
        <v>12</v>
      </c>
      <c r="I987" s="205">
        <v>0.33277121978639684</v>
      </c>
    </row>
    <row r="988" spans="1:9" x14ac:dyDescent="0.2">
      <c r="A988" s="206">
        <v>198</v>
      </c>
      <c r="B988" s="205" t="s">
        <v>195</v>
      </c>
      <c r="E988" s="205" t="s">
        <v>119</v>
      </c>
      <c r="G988" s="205">
        <v>593</v>
      </c>
      <c r="H988" s="205" t="s">
        <v>13</v>
      </c>
      <c r="I988" s="205">
        <v>0.33333333333333331</v>
      </c>
    </row>
    <row r="989" spans="1:9" x14ac:dyDescent="0.2">
      <c r="A989" s="206">
        <v>198</v>
      </c>
      <c r="B989" s="205" t="s">
        <v>195</v>
      </c>
      <c r="E989" s="205" t="s">
        <v>120</v>
      </c>
      <c r="G989" s="205">
        <v>594</v>
      </c>
      <c r="H989" s="205" t="s">
        <v>14</v>
      </c>
      <c r="I989" s="205">
        <v>0.33389544688026984</v>
      </c>
    </row>
    <row r="990" spans="1:9" x14ac:dyDescent="0.2">
      <c r="E990" s="205" t="s">
        <v>125</v>
      </c>
      <c r="G990" s="205">
        <v>1779</v>
      </c>
      <c r="H990" s="205" t="s">
        <v>15</v>
      </c>
      <c r="I990" s="205">
        <v>1</v>
      </c>
    </row>
    <row r="992" spans="1:9" x14ac:dyDescent="0.2">
      <c r="A992" s="206">
        <v>199</v>
      </c>
      <c r="B992" s="205" t="s">
        <v>196</v>
      </c>
      <c r="E992" s="205" t="s">
        <v>118</v>
      </c>
      <c r="G992" s="205">
        <v>595</v>
      </c>
      <c r="H992" s="205" t="s">
        <v>12</v>
      </c>
      <c r="I992" s="205">
        <v>0.33277404921700221</v>
      </c>
    </row>
    <row r="993" spans="1:9" x14ac:dyDescent="0.2">
      <c r="A993" s="206">
        <v>199</v>
      </c>
      <c r="B993" s="205" t="s">
        <v>196</v>
      </c>
      <c r="E993" s="205" t="s">
        <v>119</v>
      </c>
      <c r="G993" s="205">
        <v>596</v>
      </c>
      <c r="H993" s="205" t="s">
        <v>13</v>
      </c>
      <c r="I993" s="205">
        <v>0.33333333333333331</v>
      </c>
    </row>
    <row r="994" spans="1:9" x14ac:dyDescent="0.2">
      <c r="A994" s="206">
        <v>199</v>
      </c>
      <c r="B994" s="205" t="s">
        <v>196</v>
      </c>
      <c r="E994" s="205" t="s">
        <v>120</v>
      </c>
      <c r="G994" s="205">
        <v>597</v>
      </c>
      <c r="H994" s="205" t="s">
        <v>14</v>
      </c>
      <c r="I994" s="205">
        <v>0.33389261744966442</v>
      </c>
    </row>
    <row r="995" spans="1:9" x14ac:dyDescent="0.2">
      <c r="E995" s="205" t="s">
        <v>125</v>
      </c>
      <c r="G995" s="205">
        <v>1788</v>
      </c>
      <c r="H995" s="205" t="s">
        <v>15</v>
      </c>
      <c r="I995" s="205">
        <v>1</v>
      </c>
    </row>
    <row r="997" spans="1:9" x14ac:dyDescent="0.2">
      <c r="A997" s="206">
        <v>200</v>
      </c>
      <c r="B997" s="205" t="s">
        <v>197</v>
      </c>
      <c r="E997" s="205" t="s">
        <v>118</v>
      </c>
      <c r="G997" s="205">
        <v>598</v>
      </c>
      <c r="H997" s="205" t="s">
        <v>12</v>
      </c>
      <c r="I997" s="205">
        <v>0.33277685030606569</v>
      </c>
    </row>
    <row r="998" spans="1:9" x14ac:dyDescent="0.2">
      <c r="A998" s="206">
        <v>200</v>
      </c>
      <c r="B998" s="205" t="s">
        <v>197</v>
      </c>
      <c r="E998" s="205" t="s">
        <v>119</v>
      </c>
      <c r="G998" s="205">
        <v>599</v>
      </c>
      <c r="H998" s="205" t="s">
        <v>13</v>
      </c>
      <c r="I998" s="205">
        <v>0.33333333333333331</v>
      </c>
    </row>
    <row r="999" spans="1:9" x14ac:dyDescent="0.2">
      <c r="A999" s="206">
        <v>200</v>
      </c>
      <c r="B999" s="205" t="s">
        <v>197</v>
      </c>
      <c r="E999" s="205" t="s">
        <v>120</v>
      </c>
      <c r="G999" s="205">
        <v>600</v>
      </c>
      <c r="H999" s="205" t="s">
        <v>14</v>
      </c>
      <c r="I999" s="205">
        <v>0.333889816360601</v>
      </c>
    </row>
    <row r="1000" spans="1:9" x14ac:dyDescent="0.2">
      <c r="E1000" s="205" t="s">
        <v>125</v>
      </c>
      <c r="G1000" s="205">
        <v>1797</v>
      </c>
      <c r="H1000" s="205" t="s">
        <v>15</v>
      </c>
      <c r="I1000" s="205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602" sqref="B6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199</v>
      </c>
      <c r="C2" s="198" t="s">
        <v>118</v>
      </c>
      <c r="D2" s="199">
        <v>1</v>
      </c>
    </row>
    <row r="3" spans="1:4" x14ac:dyDescent="0.25">
      <c r="A3" s="200">
        <f>$A$2+0</f>
        <v>1</v>
      </c>
      <c r="B3" s="192" t="str">
        <f t="shared" ref="B3:B4" si="0">$B$2</f>
        <v>Ponto1</v>
      </c>
      <c r="C3" s="198" t="s">
        <v>119</v>
      </c>
      <c r="D3" s="199">
        <v>2</v>
      </c>
    </row>
    <row r="4" spans="1:4" x14ac:dyDescent="0.25">
      <c r="A4" s="200">
        <f>$A$2+0</f>
        <v>1</v>
      </c>
      <c r="B4" s="192" t="str">
        <f t="shared" si="0"/>
        <v>Ponto1</v>
      </c>
      <c r="C4" s="198" t="s">
        <v>120</v>
      </c>
      <c r="D4" s="199">
        <v>3</v>
      </c>
    </row>
    <row r="5" spans="1:4" x14ac:dyDescent="0.25">
      <c r="A5" s="197">
        <f>2</f>
        <v>2</v>
      </c>
      <c r="B5" s="191" t="s">
        <v>200</v>
      </c>
      <c r="C5" s="198" t="s">
        <v>118</v>
      </c>
      <c r="D5" s="199">
        <v>4</v>
      </c>
    </row>
    <row r="6" spans="1:4" x14ac:dyDescent="0.25">
      <c r="A6" s="200">
        <f>$A$5</f>
        <v>2</v>
      </c>
      <c r="B6" s="192" t="str">
        <f t="shared" ref="B6:B7" si="1">$B$5</f>
        <v>Ponto2</v>
      </c>
      <c r="C6" s="198" t="s">
        <v>119</v>
      </c>
      <c r="D6" s="199">
        <v>5</v>
      </c>
    </row>
    <row r="7" spans="1:4" x14ac:dyDescent="0.25">
      <c r="A7" s="200">
        <f>$A$5</f>
        <v>2</v>
      </c>
      <c r="B7" s="192" t="str">
        <f t="shared" si="1"/>
        <v>Ponto2</v>
      </c>
      <c r="C7" s="198" t="s">
        <v>120</v>
      </c>
      <c r="D7" s="199">
        <v>6</v>
      </c>
    </row>
    <row r="8" spans="1:4" x14ac:dyDescent="0.25">
      <c r="A8" s="197">
        <f>3</f>
        <v>3</v>
      </c>
      <c r="B8" s="191" t="s">
        <v>201</v>
      </c>
      <c r="C8" s="198" t="s">
        <v>118</v>
      </c>
      <c r="D8" s="199">
        <v>7</v>
      </c>
    </row>
    <row r="9" spans="1:4" x14ac:dyDescent="0.25">
      <c r="A9" s="200">
        <f>$A$8</f>
        <v>3</v>
      </c>
      <c r="B9" s="192" t="str">
        <f t="shared" ref="B9:B10" si="2">$B$8</f>
        <v>Ponto3</v>
      </c>
      <c r="C9" s="198" t="s">
        <v>119</v>
      </c>
      <c r="D9" s="199">
        <v>8</v>
      </c>
    </row>
    <row r="10" spans="1:4" x14ac:dyDescent="0.25">
      <c r="A10" s="200">
        <f>$A$8</f>
        <v>3</v>
      </c>
      <c r="B10" s="192" t="str">
        <f t="shared" si="2"/>
        <v>Ponto3</v>
      </c>
      <c r="C10" s="198" t="s">
        <v>120</v>
      </c>
      <c r="D10" s="199">
        <v>9</v>
      </c>
    </row>
    <row r="11" spans="1:4" x14ac:dyDescent="0.25">
      <c r="A11" s="197">
        <f>4</f>
        <v>4</v>
      </c>
      <c r="B11" s="191" t="s">
        <v>202</v>
      </c>
      <c r="C11" s="198" t="s">
        <v>118</v>
      </c>
      <c r="D11" s="199">
        <v>10</v>
      </c>
    </row>
    <row r="12" spans="1:4" x14ac:dyDescent="0.25">
      <c r="A12" s="200">
        <f>$A$11</f>
        <v>4</v>
      </c>
      <c r="B12" s="192" t="str">
        <f t="shared" ref="B12:B13" si="3">$B$11</f>
        <v>Ponto4</v>
      </c>
      <c r="C12" s="198" t="s">
        <v>119</v>
      </c>
      <c r="D12" s="199">
        <v>11</v>
      </c>
    </row>
    <row r="13" spans="1:4" x14ac:dyDescent="0.25">
      <c r="A13" s="200">
        <f>$A$11</f>
        <v>4</v>
      </c>
      <c r="B13" s="192" t="str">
        <f t="shared" si="3"/>
        <v>Ponto4</v>
      </c>
      <c r="C13" s="198" t="s">
        <v>120</v>
      </c>
      <c r="D13" s="199">
        <v>12</v>
      </c>
    </row>
    <row r="14" spans="1:4" x14ac:dyDescent="0.25">
      <c r="A14" s="197">
        <f>5</f>
        <v>5</v>
      </c>
      <c r="B14" s="191" t="s">
        <v>203</v>
      </c>
      <c r="C14" s="198" t="s">
        <v>118</v>
      </c>
      <c r="D14" s="199">
        <v>13</v>
      </c>
    </row>
    <row r="15" spans="1:4" x14ac:dyDescent="0.25">
      <c r="A15" s="200">
        <f>$A$14</f>
        <v>5</v>
      </c>
      <c r="B15" s="192" t="str">
        <f t="shared" ref="B15:B16" si="4">$B$14</f>
        <v>Ponto5</v>
      </c>
      <c r="C15" s="198" t="s">
        <v>119</v>
      </c>
      <c r="D15" s="199">
        <v>14</v>
      </c>
    </row>
    <row r="16" spans="1:4" x14ac:dyDescent="0.25">
      <c r="A16" s="200">
        <f>$A$14</f>
        <v>5</v>
      </c>
      <c r="B16" s="192" t="str">
        <f t="shared" si="4"/>
        <v>Ponto5</v>
      </c>
      <c r="C16" s="198" t="s">
        <v>120</v>
      </c>
      <c r="D16" s="199">
        <v>15</v>
      </c>
    </row>
    <row r="17" spans="1:9" x14ac:dyDescent="0.25">
      <c r="A17" s="197">
        <f>6</f>
        <v>6</v>
      </c>
      <c r="B17" s="191" t="s">
        <v>204</v>
      </c>
      <c r="C17" s="198" t="s">
        <v>118</v>
      </c>
      <c r="D17" s="199">
        <v>16</v>
      </c>
    </row>
    <row r="18" spans="1:9" x14ac:dyDescent="0.25">
      <c r="A18" s="200">
        <f>$A$17</f>
        <v>6</v>
      </c>
      <c r="B18" s="192" t="str">
        <f t="shared" ref="B18:B19" si="5">$B$17</f>
        <v>Ponto6</v>
      </c>
      <c r="C18" s="198" t="s">
        <v>119</v>
      </c>
      <c r="D18" s="199">
        <v>17</v>
      </c>
    </row>
    <row r="19" spans="1:9" x14ac:dyDescent="0.25">
      <c r="A19" s="200">
        <f>$A$17</f>
        <v>6</v>
      </c>
      <c r="B19" s="192" t="str">
        <f t="shared" si="5"/>
        <v>Ponto6</v>
      </c>
      <c r="C19" s="198" t="s">
        <v>120</v>
      </c>
      <c r="D19" s="199">
        <v>18</v>
      </c>
    </row>
    <row r="20" spans="1:9" x14ac:dyDescent="0.25">
      <c r="A20" s="197">
        <f>7</f>
        <v>7</v>
      </c>
      <c r="B20" s="191" t="s">
        <v>205</v>
      </c>
      <c r="C20" s="198" t="s">
        <v>118</v>
      </c>
      <c r="D20" s="199">
        <v>19</v>
      </c>
    </row>
    <row r="21" spans="1:9" x14ac:dyDescent="0.25">
      <c r="A21" s="200">
        <f>$A$20</f>
        <v>7</v>
      </c>
      <c r="B21" s="192" t="str">
        <f t="shared" ref="B21:B22" si="6">$B$20</f>
        <v>Ponto7</v>
      </c>
      <c r="C21" s="198" t="s">
        <v>119</v>
      </c>
      <c r="D21" s="199">
        <v>20</v>
      </c>
    </row>
    <row r="22" spans="1:9" x14ac:dyDescent="0.25">
      <c r="A22" s="200">
        <f>$A$20</f>
        <v>7</v>
      </c>
      <c r="B22" s="192" t="str">
        <f t="shared" si="6"/>
        <v>Ponto7</v>
      </c>
      <c r="C22" s="198" t="s">
        <v>120</v>
      </c>
      <c r="D22" s="199">
        <v>21</v>
      </c>
    </row>
    <row r="23" spans="1:9" x14ac:dyDescent="0.25">
      <c r="A23" s="197">
        <f>8</f>
        <v>8</v>
      </c>
      <c r="B23" s="191" t="s">
        <v>206</v>
      </c>
      <c r="C23" s="198" t="s">
        <v>118</v>
      </c>
      <c r="D23" s="199">
        <v>22</v>
      </c>
    </row>
    <row r="24" spans="1:9" x14ac:dyDescent="0.25">
      <c r="A24" s="200">
        <f>$A$23</f>
        <v>8</v>
      </c>
      <c r="B24" s="192" t="str">
        <f t="shared" ref="B24:B25" si="7">$B$23</f>
        <v>Ponto8</v>
      </c>
      <c r="C24" s="198" t="s">
        <v>119</v>
      </c>
      <c r="D24" s="199">
        <v>23</v>
      </c>
    </row>
    <row r="25" spans="1:9" x14ac:dyDescent="0.25">
      <c r="A25" s="200">
        <f>$A$23</f>
        <v>8</v>
      </c>
      <c r="B25" s="192" t="str">
        <f t="shared" si="7"/>
        <v>Ponto8</v>
      </c>
      <c r="C25" s="198" t="s">
        <v>120</v>
      </c>
      <c r="D25" s="199">
        <v>24</v>
      </c>
    </row>
    <row r="26" spans="1:9" x14ac:dyDescent="0.25">
      <c r="A26" s="197">
        <f>9</f>
        <v>9</v>
      </c>
      <c r="B26" s="191" t="s">
        <v>207</v>
      </c>
      <c r="C26" s="198" t="s">
        <v>118</v>
      </c>
      <c r="D26" s="199">
        <v>25</v>
      </c>
    </row>
    <row r="27" spans="1:9" x14ac:dyDescent="0.25">
      <c r="A27" s="200">
        <f>$A$26</f>
        <v>9</v>
      </c>
      <c r="B27" s="192" t="str">
        <f t="shared" ref="B27:B28" si="8">$B$26</f>
        <v>Ponto9</v>
      </c>
      <c r="C27" s="198" t="s">
        <v>119</v>
      </c>
      <c r="D27" s="199">
        <v>26</v>
      </c>
    </row>
    <row r="28" spans="1:9" x14ac:dyDescent="0.25">
      <c r="A28" s="200">
        <f>$A$26</f>
        <v>9</v>
      </c>
      <c r="B28" s="192" t="str">
        <f t="shared" si="8"/>
        <v>Ponto9</v>
      </c>
      <c r="C28" s="198" t="s">
        <v>120</v>
      </c>
      <c r="D28" s="199">
        <v>27</v>
      </c>
    </row>
    <row r="29" spans="1:9" x14ac:dyDescent="0.25">
      <c r="A29" s="201">
        <v>10</v>
      </c>
      <c r="B29" s="191" t="s">
        <v>208</v>
      </c>
      <c r="C29" s="198" t="s">
        <v>118</v>
      </c>
      <c r="D29" s="199">
        <v>28</v>
      </c>
    </row>
    <row r="30" spans="1:9" x14ac:dyDescent="0.25">
      <c r="A30" s="200">
        <f>$A$29</f>
        <v>10</v>
      </c>
      <c r="B30" s="192" t="str">
        <f t="shared" ref="B30:B31" si="9">$B$29</f>
        <v>Ponto10</v>
      </c>
      <c r="C30" s="198" t="s">
        <v>119</v>
      </c>
      <c r="D30" s="199">
        <v>29</v>
      </c>
    </row>
    <row r="31" spans="1:9" x14ac:dyDescent="0.25">
      <c r="A31" s="200">
        <f>$A$29</f>
        <v>10</v>
      </c>
      <c r="B31" s="192" t="str">
        <f t="shared" si="9"/>
        <v>Ponto10</v>
      </c>
      <c r="C31" s="198" t="s">
        <v>120</v>
      </c>
      <c r="D31" s="199">
        <v>30</v>
      </c>
    </row>
    <row r="32" spans="1:9" ht="13.5" x14ac:dyDescent="0.25">
      <c r="A32" s="202">
        <v>11</v>
      </c>
      <c r="B32" s="191" t="s">
        <v>209</v>
      </c>
      <c r="C32" s="198" t="s">
        <v>118</v>
      </c>
      <c r="D32" s="199">
        <v>31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Ponto11</v>
      </c>
      <c r="C33" s="198" t="s">
        <v>119</v>
      </c>
      <c r="D33" s="199">
        <v>32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Ponto11</v>
      </c>
      <c r="C34" s="198" t="s">
        <v>120</v>
      </c>
      <c r="D34" s="199">
        <v>33</v>
      </c>
      <c r="E34" s="1"/>
      <c r="F34" s="1"/>
      <c r="G34" s="4"/>
    </row>
    <row r="35" spans="1:9" ht="13.5" x14ac:dyDescent="0.25">
      <c r="A35" s="202">
        <v>12</v>
      </c>
      <c r="B35" s="191" t="s">
        <v>210</v>
      </c>
      <c r="C35" s="198" t="s">
        <v>118</v>
      </c>
      <c r="D35" s="199">
        <v>34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Ponto12</v>
      </c>
      <c r="C36" s="198" t="s">
        <v>119</v>
      </c>
      <c r="D36" s="199">
        <v>35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Ponto12</v>
      </c>
      <c r="C37" s="198" t="s">
        <v>120</v>
      </c>
      <c r="D37" s="199">
        <v>36</v>
      </c>
      <c r="E37" s="1"/>
      <c r="F37" s="1"/>
      <c r="G37" s="4"/>
    </row>
    <row r="38" spans="1:9" ht="13.5" x14ac:dyDescent="0.25">
      <c r="A38" s="202">
        <v>13</v>
      </c>
      <c r="B38" s="191" t="s">
        <v>126</v>
      </c>
      <c r="C38" s="198" t="s">
        <v>118</v>
      </c>
      <c r="D38" s="199">
        <v>37</v>
      </c>
      <c r="E38" s="1"/>
      <c r="F38" s="1"/>
      <c r="G38" s="4"/>
    </row>
    <row r="39" spans="1:9" ht="13.5" x14ac:dyDescent="0.25">
      <c r="A39" s="202">
        <v>13</v>
      </c>
      <c r="B39" s="192" t="str">
        <f t="shared" ref="B39:B40" si="12">$B$38</f>
        <v>Ponto13</v>
      </c>
      <c r="C39" s="198" t="s">
        <v>119</v>
      </c>
      <c r="D39" s="199">
        <v>38</v>
      </c>
      <c r="E39" s="1"/>
      <c r="F39" s="1"/>
      <c r="G39" s="4"/>
    </row>
    <row r="40" spans="1:9" ht="13.5" x14ac:dyDescent="0.25">
      <c r="A40" s="202">
        <v>13</v>
      </c>
      <c r="B40" s="192" t="str">
        <f t="shared" si="12"/>
        <v>Ponto13</v>
      </c>
      <c r="C40" s="198" t="s">
        <v>120</v>
      </c>
      <c r="D40" s="199">
        <v>39</v>
      </c>
    </row>
    <row r="41" spans="1:9" ht="13.5" x14ac:dyDescent="0.25">
      <c r="A41" s="202">
        <v>14</v>
      </c>
      <c r="B41" s="191" t="s">
        <v>127</v>
      </c>
      <c r="C41" s="198" t="s">
        <v>118</v>
      </c>
      <c r="D41" s="199">
        <v>40</v>
      </c>
    </row>
    <row r="42" spans="1:9" ht="13.5" x14ac:dyDescent="0.25">
      <c r="A42" s="202">
        <v>14</v>
      </c>
      <c r="B42" s="192" t="str">
        <f t="shared" ref="B42:B43" si="13">$B$41</f>
        <v>Ponto14</v>
      </c>
      <c r="C42" s="198" t="s">
        <v>119</v>
      </c>
      <c r="D42" s="199">
        <v>41</v>
      </c>
    </row>
    <row r="43" spans="1:9" ht="13.5" x14ac:dyDescent="0.25">
      <c r="A43" s="202">
        <v>14</v>
      </c>
      <c r="B43" s="192" t="str">
        <f t="shared" si="13"/>
        <v>Ponto14</v>
      </c>
      <c r="C43" s="198" t="s">
        <v>120</v>
      </c>
      <c r="D43" s="199">
        <v>42</v>
      </c>
    </row>
    <row r="44" spans="1:9" ht="13.5" x14ac:dyDescent="0.25">
      <c r="A44" s="202">
        <v>15</v>
      </c>
      <c r="B44" s="191" t="s">
        <v>225</v>
      </c>
      <c r="C44" s="198" t="s">
        <v>118</v>
      </c>
      <c r="D44" s="199">
        <v>43</v>
      </c>
    </row>
    <row r="45" spans="1:9" ht="13.5" x14ac:dyDescent="0.25">
      <c r="A45" s="202">
        <v>15</v>
      </c>
      <c r="B45" s="192" t="str">
        <f t="shared" ref="B45:B46" si="14">$B$44</f>
        <v>Ponto15</v>
      </c>
      <c r="C45" s="198" t="s">
        <v>119</v>
      </c>
      <c r="D45" s="199">
        <v>44</v>
      </c>
    </row>
    <row r="46" spans="1:9" ht="13.5" x14ac:dyDescent="0.25">
      <c r="A46" s="202">
        <v>15</v>
      </c>
      <c r="B46" s="192" t="str">
        <f t="shared" si="14"/>
        <v>Ponto15</v>
      </c>
      <c r="C46" s="198" t="s">
        <v>120</v>
      </c>
      <c r="D46" s="199">
        <v>45</v>
      </c>
    </row>
    <row r="47" spans="1:9" ht="13.5" x14ac:dyDescent="0.25">
      <c r="A47" s="202">
        <v>16</v>
      </c>
      <c r="B47" s="191" t="s">
        <v>227</v>
      </c>
      <c r="C47" s="198" t="s">
        <v>118</v>
      </c>
      <c r="D47" s="199">
        <v>46</v>
      </c>
    </row>
    <row r="48" spans="1:9" ht="13.5" x14ac:dyDescent="0.25">
      <c r="A48" s="202">
        <v>16</v>
      </c>
      <c r="B48" s="192" t="str">
        <f t="shared" ref="B48:B49" si="15">$B$47</f>
        <v>Ponto16</v>
      </c>
      <c r="C48" s="198" t="s">
        <v>119</v>
      </c>
      <c r="D48" s="199">
        <v>47</v>
      </c>
    </row>
    <row r="49" spans="1:4" ht="13.5" x14ac:dyDescent="0.25">
      <c r="A49" s="202">
        <v>16</v>
      </c>
      <c r="B49" s="192" t="str">
        <f t="shared" si="15"/>
        <v>Ponto16</v>
      </c>
      <c r="C49" s="198" t="s">
        <v>120</v>
      </c>
      <c r="D49" s="199">
        <v>48</v>
      </c>
    </row>
    <row r="50" spans="1:4" ht="13.5" x14ac:dyDescent="0.25">
      <c r="A50" s="202">
        <v>17</v>
      </c>
      <c r="B50" s="191" t="s">
        <v>228</v>
      </c>
      <c r="C50" s="198" t="s">
        <v>118</v>
      </c>
      <c r="D50" s="199">
        <v>49</v>
      </c>
    </row>
    <row r="51" spans="1:4" ht="13.5" x14ac:dyDescent="0.25">
      <c r="A51" s="202">
        <v>17</v>
      </c>
      <c r="B51" s="192" t="str">
        <f t="shared" ref="B51:B52" si="16">$B$50</f>
        <v>Ponto17</v>
      </c>
      <c r="C51" s="198" t="s">
        <v>119</v>
      </c>
      <c r="D51" s="199">
        <v>50</v>
      </c>
    </row>
    <row r="52" spans="1:4" ht="13.5" x14ac:dyDescent="0.25">
      <c r="A52" s="202">
        <v>17</v>
      </c>
      <c r="B52" s="192" t="str">
        <f t="shared" si="16"/>
        <v>Ponto17</v>
      </c>
      <c r="C52" s="198" t="s">
        <v>120</v>
      </c>
      <c r="D52" s="199">
        <v>51</v>
      </c>
    </row>
    <row r="53" spans="1:4" ht="13.5" x14ac:dyDescent="0.25">
      <c r="A53" s="202">
        <v>18</v>
      </c>
      <c r="B53" s="191" t="s">
        <v>230</v>
      </c>
      <c r="C53" s="198" t="s">
        <v>118</v>
      </c>
      <c r="D53" s="199">
        <v>52</v>
      </c>
    </row>
    <row r="54" spans="1:4" ht="13.5" x14ac:dyDescent="0.25">
      <c r="A54" s="202">
        <v>18</v>
      </c>
      <c r="B54" s="192" t="str">
        <f t="shared" ref="B54:B55" si="17">$B$53</f>
        <v>Ponto18</v>
      </c>
      <c r="C54" s="198" t="s">
        <v>119</v>
      </c>
      <c r="D54" s="199">
        <v>53</v>
      </c>
    </row>
    <row r="55" spans="1:4" ht="13.5" x14ac:dyDescent="0.25">
      <c r="A55" s="202">
        <v>18</v>
      </c>
      <c r="B55" s="192" t="str">
        <f t="shared" si="17"/>
        <v>Ponto18</v>
      </c>
      <c r="C55" s="198" t="s">
        <v>120</v>
      </c>
      <c r="D55" s="199">
        <v>54</v>
      </c>
    </row>
    <row r="56" spans="1:4" ht="13.5" x14ac:dyDescent="0.25">
      <c r="A56" s="202">
        <v>19</v>
      </c>
      <c r="B56" s="191" t="s">
        <v>233</v>
      </c>
      <c r="C56" s="198" t="s">
        <v>118</v>
      </c>
      <c r="D56" s="199">
        <v>55</v>
      </c>
    </row>
    <row r="57" spans="1:4" ht="13.5" x14ac:dyDescent="0.25">
      <c r="A57" s="202">
        <v>19</v>
      </c>
      <c r="B57" s="192" t="str">
        <f t="shared" ref="B57:B58" si="18">$B$56</f>
        <v>Ponto19</v>
      </c>
      <c r="C57" s="198" t="s">
        <v>119</v>
      </c>
      <c r="D57" s="199">
        <v>56</v>
      </c>
    </row>
    <row r="58" spans="1:4" ht="13.5" x14ac:dyDescent="0.25">
      <c r="A58" s="202">
        <v>19</v>
      </c>
      <c r="B58" s="192" t="str">
        <f t="shared" si="18"/>
        <v>Ponto19</v>
      </c>
      <c r="C58" s="198" t="s">
        <v>120</v>
      </c>
      <c r="D58" s="199">
        <v>57</v>
      </c>
    </row>
    <row r="59" spans="1:4" ht="13.5" x14ac:dyDescent="0.25">
      <c r="A59" s="202">
        <v>20</v>
      </c>
      <c r="B59" s="191" t="s">
        <v>235</v>
      </c>
      <c r="C59" s="198" t="s">
        <v>118</v>
      </c>
      <c r="D59" s="199">
        <v>58</v>
      </c>
    </row>
    <row r="60" spans="1:4" ht="13.5" x14ac:dyDescent="0.25">
      <c r="A60" s="202">
        <v>20</v>
      </c>
      <c r="B60" s="192" t="str">
        <f t="shared" ref="B60:B61" si="19">$B$59</f>
        <v>Ponto20</v>
      </c>
      <c r="C60" s="198" t="s">
        <v>119</v>
      </c>
      <c r="D60" s="199">
        <v>59</v>
      </c>
    </row>
    <row r="61" spans="1:4" ht="13.5" x14ac:dyDescent="0.25">
      <c r="A61" s="202">
        <v>20</v>
      </c>
      <c r="B61" s="192" t="str">
        <f t="shared" si="19"/>
        <v>Ponto20</v>
      </c>
      <c r="C61" s="198" t="s">
        <v>120</v>
      </c>
      <c r="D61" s="199">
        <v>60</v>
      </c>
    </row>
    <row r="62" spans="1:4" ht="13.5" x14ac:dyDescent="0.25">
      <c r="A62" s="202">
        <v>21</v>
      </c>
      <c r="B62" s="191" t="s">
        <v>237</v>
      </c>
      <c r="C62" s="198" t="s">
        <v>118</v>
      </c>
      <c r="D62" s="199">
        <v>61</v>
      </c>
    </row>
    <row r="63" spans="1:4" ht="13.5" x14ac:dyDescent="0.25">
      <c r="A63" s="202">
        <v>21</v>
      </c>
      <c r="B63" s="192" t="str">
        <f t="shared" ref="B63:B64" si="20">$B$62</f>
        <v>Ponto21</v>
      </c>
      <c r="C63" s="198" t="s">
        <v>119</v>
      </c>
      <c r="D63" s="199">
        <v>62</v>
      </c>
    </row>
    <row r="64" spans="1:4" ht="13.5" x14ac:dyDescent="0.25">
      <c r="A64" s="202">
        <v>21</v>
      </c>
      <c r="B64" s="192" t="str">
        <f t="shared" si="20"/>
        <v>Ponto21</v>
      </c>
      <c r="C64" s="198" t="s">
        <v>120</v>
      </c>
      <c r="D64" s="199">
        <v>63</v>
      </c>
    </row>
    <row r="65" spans="1:4" ht="13.5" x14ac:dyDescent="0.25">
      <c r="A65" s="202">
        <v>22</v>
      </c>
      <c r="B65" s="191" t="s">
        <v>239</v>
      </c>
      <c r="C65" s="198" t="s">
        <v>118</v>
      </c>
      <c r="D65" s="199">
        <v>64</v>
      </c>
    </row>
    <row r="66" spans="1:4" ht="13.5" x14ac:dyDescent="0.25">
      <c r="A66" s="202">
        <v>22</v>
      </c>
      <c r="B66" s="192" t="str">
        <f t="shared" ref="B66:B67" si="21">$B$65</f>
        <v>Ponto22</v>
      </c>
      <c r="C66" s="198" t="s">
        <v>119</v>
      </c>
      <c r="D66" s="199">
        <v>65</v>
      </c>
    </row>
    <row r="67" spans="1:4" ht="13.5" x14ac:dyDescent="0.25">
      <c r="A67" s="202">
        <v>22</v>
      </c>
      <c r="B67" s="192" t="str">
        <f t="shared" si="21"/>
        <v>Ponto22</v>
      </c>
      <c r="C67" s="198" t="s">
        <v>120</v>
      </c>
      <c r="D67" s="199">
        <v>66</v>
      </c>
    </row>
    <row r="68" spans="1:4" ht="13.5" x14ac:dyDescent="0.25">
      <c r="A68" s="202">
        <v>23</v>
      </c>
      <c r="B68" s="191" t="s">
        <v>241</v>
      </c>
      <c r="C68" s="198" t="s">
        <v>118</v>
      </c>
      <c r="D68" s="199">
        <v>67</v>
      </c>
    </row>
    <row r="69" spans="1:4" ht="13.5" x14ac:dyDescent="0.25">
      <c r="A69" s="202">
        <v>23</v>
      </c>
      <c r="B69" s="192" t="str">
        <f t="shared" ref="B69:B70" si="22">$B$68</f>
        <v>Ponto23</v>
      </c>
      <c r="C69" s="198" t="s">
        <v>119</v>
      </c>
      <c r="D69" s="199">
        <v>68</v>
      </c>
    </row>
    <row r="70" spans="1:4" ht="13.5" x14ac:dyDescent="0.25">
      <c r="A70" s="202">
        <v>23</v>
      </c>
      <c r="B70" s="192" t="str">
        <f t="shared" si="22"/>
        <v>Ponto23</v>
      </c>
      <c r="C70" s="198" t="s">
        <v>120</v>
      </c>
      <c r="D70" s="199">
        <v>69</v>
      </c>
    </row>
    <row r="71" spans="1:4" ht="13.5" x14ac:dyDescent="0.25">
      <c r="A71" s="202">
        <v>24</v>
      </c>
      <c r="B71" s="191" t="s">
        <v>243</v>
      </c>
      <c r="C71" s="198" t="s">
        <v>118</v>
      </c>
      <c r="D71" s="199">
        <v>70</v>
      </c>
    </row>
    <row r="72" spans="1:4" ht="13.5" x14ac:dyDescent="0.25">
      <c r="A72" s="202">
        <v>24</v>
      </c>
      <c r="B72" s="192" t="str">
        <f t="shared" ref="B72:B73" si="23">$B$71</f>
        <v>Ponto24</v>
      </c>
      <c r="C72" s="198" t="s">
        <v>119</v>
      </c>
      <c r="D72" s="199">
        <v>71</v>
      </c>
    </row>
    <row r="73" spans="1:4" ht="13.5" x14ac:dyDescent="0.25">
      <c r="A73" s="202">
        <v>24</v>
      </c>
      <c r="B73" s="192" t="str">
        <f t="shared" si="23"/>
        <v>Ponto24</v>
      </c>
      <c r="C73" s="198" t="s">
        <v>120</v>
      </c>
      <c r="D73" s="199">
        <v>72</v>
      </c>
    </row>
    <row r="74" spans="1:4" ht="13.5" x14ac:dyDescent="0.25">
      <c r="A74" s="202">
        <v>25</v>
      </c>
      <c r="B74" s="191" t="s">
        <v>245</v>
      </c>
      <c r="C74" s="198" t="s">
        <v>118</v>
      </c>
      <c r="D74" s="199">
        <v>73</v>
      </c>
    </row>
    <row r="75" spans="1:4" ht="13.5" x14ac:dyDescent="0.25">
      <c r="A75" s="202">
        <v>25</v>
      </c>
      <c r="B75" s="192" t="str">
        <f t="shared" ref="B75:B76" si="24">$B$74</f>
        <v>Ponto25</v>
      </c>
      <c r="C75" s="198" t="s">
        <v>119</v>
      </c>
      <c r="D75" s="199">
        <v>74</v>
      </c>
    </row>
    <row r="76" spans="1:4" ht="13.5" x14ac:dyDescent="0.25">
      <c r="A76" s="202">
        <v>25</v>
      </c>
      <c r="B76" s="192" t="str">
        <f t="shared" si="24"/>
        <v>Ponto25</v>
      </c>
      <c r="C76" s="198" t="s">
        <v>120</v>
      </c>
      <c r="D76" s="199">
        <v>75</v>
      </c>
    </row>
    <row r="77" spans="1:4" ht="13.5" x14ac:dyDescent="0.25">
      <c r="A77" s="202">
        <v>26</v>
      </c>
      <c r="B77" s="191" t="s">
        <v>247</v>
      </c>
      <c r="C77" s="198" t="s">
        <v>118</v>
      </c>
      <c r="D77" s="199">
        <v>76</v>
      </c>
    </row>
    <row r="78" spans="1:4" ht="13.5" x14ac:dyDescent="0.25">
      <c r="A78" s="202">
        <v>26</v>
      </c>
      <c r="B78" s="192" t="str">
        <f t="shared" ref="B78:B79" si="25">$B$77</f>
        <v>Ponto26</v>
      </c>
      <c r="C78" s="198" t="s">
        <v>119</v>
      </c>
      <c r="D78" s="199">
        <v>77</v>
      </c>
    </row>
    <row r="79" spans="1:4" ht="13.5" x14ac:dyDescent="0.25">
      <c r="A79" s="202">
        <v>26</v>
      </c>
      <c r="B79" s="192" t="str">
        <f t="shared" si="25"/>
        <v>Ponto26</v>
      </c>
      <c r="C79" s="198" t="s">
        <v>120</v>
      </c>
      <c r="D79" s="199">
        <v>78</v>
      </c>
    </row>
    <row r="80" spans="1:4" ht="13.5" x14ac:dyDescent="0.25">
      <c r="A80" s="202">
        <v>27</v>
      </c>
      <c r="B80" s="191" t="s">
        <v>248</v>
      </c>
      <c r="C80" s="198" t="s">
        <v>118</v>
      </c>
      <c r="D80" s="199">
        <v>79</v>
      </c>
    </row>
    <row r="81" spans="1:4" ht="13.5" x14ac:dyDescent="0.25">
      <c r="A81" s="202">
        <v>27</v>
      </c>
      <c r="B81" s="192" t="str">
        <f t="shared" ref="B81:B82" si="26">$B$80</f>
        <v>Ponto27</v>
      </c>
      <c r="C81" s="198" t="s">
        <v>119</v>
      </c>
      <c r="D81" s="199">
        <v>80</v>
      </c>
    </row>
    <row r="82" spans="1:4" ht="13.5" x14ac:dyDescent="0.25">
      <c r="A82" s="202">
        <v>27</v>
      </c>
      <c r="B82" s="192" t="str">
        <f t="shared" si="26"/>
        <v>Ponto27</v>
      </c>
      <c r="C82" s="198" t="s">
        <v>120</v>
      </c>
      <c r="D82" s="199">
        <v>81</v>
      </c>
    </row>
    <row r="83" spans="1:4" ht="13.5" x14ac:dyDescent="0.25">
      <c r="A83" s="202">
        <v>28</v>
      </c>
      <c r="B83" s="191" t="s">
        <v>249</v>
      </c>
      <c r="C83" s="198" t="s">
        <v>118</v>
      </c>
      <c r="D83" s="199">
        <v>82</v>
      </c>
    </row>
    <row r="84" spans="1:4" ht="13.5" x14ac:dyDescent="0.25">
      <c r="A84" s="202">
        <v>28</v>
      </c>
      <c r="B84" s="192" t="str">
        <f t="shared" ref="B84:B85" si="27">$B$83</f>
        <v>Ponto28</v>
      </c>
      <c r="C84" s="198" t="s">
        <v>119</v>
      </c>
      <c r="D84" s="199">
        <v>83</v>
      </c>
    </row>
    <row r="85" spans="1:4" ht="13.5" x14ac:dyDescent="0.25">
      <c r="A85" s="202">
        <v>28</v>
      </c>
      <c r="B85" s="192" t="str">
        <f t="shared" si="27"/>
        <v>Ponto28</v>
      </c>
      <c r="C85" s="198" t="s">
        <v>120</v>
      </c>
      <c r="D85" s="199">
        <v>84</v>
      </c>
    </row>
    <row r="86" spans="1:4" ht="13.5" x14ac:dyDescent="0.25">
      <c r="A86" s="202">
        <v>29</v>
      </c>
      <c r="B86" s="191" t="s">
        <v>250</v>
      </c>
      <c r="C86" s="198" t="s">
        <v>118</v>
      </c>
      <c r="D86" s="199">
        <v>85</v>
      </c>
    </row>
    <row r="87" spans="1:4" ht="13.5" x14ac:dyDescent="0.25">
      <c r="A87" s="202">
        <v>29</v>
      </c>
      <c r="B87" s="192" t="str">
        <f t="shared" ref="B87:B88" si="28">$B$86</f>
        <v>Ponto29</v>
      </c>
      <c r="C87" s="198" t="s">
        <v>119</v>
      </c>
      <c r="D87" s="199">
        <v>86</v>
      </c>
    </row>
    <row r="88" spans="1:4" ht="13.5" x14ac:dyDescent="0.25">
      <c r="A88" s="202">
        <v>29</v>
      </c>
      <c r="B88" s="192" t="str">
        <f t="shared" si="28"/>
        <v>Ponto29</v>
      </c>
      <c r="C88" s="198" t="s">
        <v>120</v>
      </c>
      <c r="D88" s="199">
        <v>87</v>
      </c>
    </row>
    <row r="89" spans="1:4" ht="13.5" x14ac:dyDescent="0.25">
      <c r="A89" s="202">
        <v>30</v>
      </c>
      <c r="B89" s="191" t="s">
        <v>251</v>
      </c>
      <c r="C89" s="198" t="s">
        <v>118</v>
      </c>
      <c r="D89" s="199">
        <v>88</v>
      </c>
    </row>
    <row r="90" spans="1:4" ht="13.5" x14ac:dyDescent="0.25">
      <c r="A90" s="202">
        <v>30</v>
      </c>
      <c r="B90" s="192" t="str">
        <f t="shared" ref="B90:B91" si="29">$B$89</f>
        <v>Ponto30</v>
      </c>
      <c r="C90" s="198" t="s">
        <v>119</v>
      </c>
      <c r="D90" s="199">
        <v>89</v>
      </c>
    </row>
    <row r="91" spans="1:4" ht="13.5" x14ac:dyDescent="0.25">
      <c r="A91" s="202">
        <v>30</v>
      </c>
      <c r="B91" s="192" t="str">
        <f t="shared" si="29"/>
        <v>Ponto30</v>
      </c>
      <c r="C91" s="198" t="s">
        <v>120</v>
      </c>
      <c r="D91" s="199">
        <v>90</v>
      </c>
    </row>
    <row r="92" spans="1:4" ht="13.5" x14ac:dyDescent="0.25">
      <c r="A92" s="202">
        <v>31</v>
      </c>
      <c r="B92" s="191" t="s">
        <v>252</v>
      </c>
      <c r="C92" s="198" t="s">
        <v>118</v>
      </c>
      <c r="D92" s="199">
        <v>91</v>
      </c>
    </row>
    <row r="93" spans="1:4" ht="13.5" x14ac:dyDescent="0.25">
      <c r="A93" s="202">
        <v>31</v>
      </c>
      <c r="B93" s="192" t="str">
        <f t="shared" ref="B93:B94" si="30">$B$92</f>
        <v>Ponto31</v>
      </c>
      <c r="C93" s="198" t="s">
        <v>119</v>
      </c>
      <c r="D93" s="199">
        <v>92</v>
      </c>
    </row>
    <row r="94" spans="1:4" ht="13.5" x14ac:dyDescent="0.25">
      <c r="A94" s="202">
        <v>31</v>
      </c>
      <c r="B94" s="192" t="str">
        <f t="shared" si="30"/>
        <v>Ponto31</v>
      </c>
      <c r="C94" s="198" t="s">
        <v>120</v>
      </c>
      <c r="D94" s="199">
        <v>93</v>
      </c>
    </row>
    <row r="95" spans="1:4" ht="13.5" x14ac:dyDescent="0.25">
      <c r="A95" s="202">
        <v>32</v>
      </c>
      <c r="B95" s="191" t="s">
        <v>253</v>
      </c>
      <c r="C95" s="198" t="s">
        <v>118</v>
      </c>
      <c r="D95" s="199">
        <v>94</v>
      </c>
    </row>
    <row r="96" spans="1:4" ht="13.5" x14ac:dyDescent="0.25">
      <c r="A96" s="202">
        <v>32</v>
      </c>
      <c r="B96" s="192" t="str">
        <f t="shared" ref="B96:B97" si="31">$B$95</f>
        <v>Ponto32</v>
      </c>
      <c r="C96" s="198" t="s">
        <v>119</v>
      </c>
      <c r="D96" s="199">
        <v>95</v>
      </c>
    </row>
    <row r="97" spans="1:4" ht="13.5" x14ac:dyDescent="0.25">
      <c r="A97" s="202">
        <v>32</v>
      </c>
      <c r="B97" s="192" t="str">
        <f t="shared" si="31"/>
        <v>Ponto32</v>
      </c>
      <c r="C97" s="198" t="s">
        <v>120</v>
      </c>
      <c r="D97" s="199">
        <v>96</v>
      </c>
    </row>
    <row r="98" spans="1:4" ht="13.5" x14ac:dyDescent="0.25">
      <c r="A98" s="202">
        <v>33</v>
      </c>
      <c r="B98" s="191" t="s">
        <v>254</v>
      </c>
      <c r="C98" s="198" t="s">
        <v>118</v>
      </c>
      <c r="D98" s="199">
        <v>97</v>
      </c>
    </row>
    <row r="99" spans="1:4" ht="13.5" x14ac:dyDescent="0.25">
      <c r="A99" s="202">
        <v>33</v>
      </c>
      <c r="B99" s="192" t="str">
        <f t="shared" ref="B99:B100" si="32">$B$98</f>
        <v>Ponto33</v>
      </c>
      <c r="C99" s="198" t="s">
        <v>119</v>
      </c>
      <c r="D99" s="199">
        <v>98</v>
      </c>
    </row>
    <row r="100" spans="1:4" ht="13.5" x14ac:dyDescent="0.25">
      <c r="A100" s="202">
        <v>33</v>
      </c>
      <c r="B100" s="192" t="str">
        <f t="shared" si="32"/>
        <v>Ponto33</v>
      </c>
      <c r="C100" s="198" t="s">
        <v>120</v>
      </c>
      <c r="D100" s="199">
        <v>99</v>
      </c>
    </row>
    <row r="101" spans="1:4" ht="13.5" x14ac:dyDescent="0.25">
      <c r="A101" s="202">
        <v>34</v>
      </c>
      <c r="B101" s="191" t="s">
        <v>255</v>
      </c>
      <c r="C101" s="198" t="s">
        <v>118</v>
      </c>
      <c r="D101" s="199">
        <v>100</v>
      </c>
    </row>
    <row r="102" spans="1:4" ht="13.5" x14ac:dyDescent="0.25">
      <c r="A102" s="202">
        <v>34</v>
      </c>
      <c r="B102" s="192" t="str">
        <f t="shared" ref="B102:B103" si="33">$B$101</f>
        <v>Ponto34</v>
      </c>
      <c r="C102" s="198" t="s">
        <v>119</v>
      </c>
      <c r="D102" s="199">
        <v>101</v>
      </c>
    </row>
    <row r="103" spans="1:4" ht="13.5" x14ac:dyDescent="0.25">
      <c r="A103" s="202">
        <v>34</v>
      </c>
      <c r="B103" s="192" t="str">
        <f t="shared" si="33"/>
        <v>Ponto34</v>
      </c>
      <c r="C103" s="198" t="s">
        <v>120</v>
      </c>
      <c r="D103" s="199">
        <v>102</v>
      </c>
    </row>
    <row r="104" spans="1:4" ht="13.5" x14ac:dyDescent="0.25">
      <c r="A104" s="202">
        <v>35</v>
      </c>
      <c r="B104" s="191" t="s">
        <v>256</v>
      </c>
      <c r="C104" s="198" t="s">
        <v>118</v>
      </c>
      <c r="D104" s="199">
        <v>103</v>
      </c>
    </row>
    <row r="105" spans="1:4" ht="13.5" x14ac:dyDescent="0.25">
      <c r="A105" s="202">
        <v>35</v>
      </c>
      <c r="B105" s="192" t="str">
        <f t="shared" ref="B105:B106" si="34">$B$104</f>
        <v>Ponto35</v>
      </c>
      <c r="C105" s="198" t="s">
        <v>119</v>
      </c>
      <c r="D105" s="199">
        <v>104</v>
      </c>
    </row>
    <row r="106" spans="1:4" ht="13.5" x14ac:dyDescent="0.25">
      <c r="A106" s="202">
        <v>35</v>
      </c>
      <c r="B106" s="192" t="str">
        <f t="shared" si="34"/>
        <v>Ponto35</v>
      </c>
      <c r="C106" s="198" t="s">
        <v>120</v>
      </c>
      <c r="D106" s="199">
        <v>105</v>
      </c>
    </row>
    <row r="107" spans="1:4" ht="13.5" x14ac:dyDescent="0.25">
      <c r="A107" s="202">
        <v>36</v>
      </c>
      <c r="B107" s="191" t="s">
        <v>257</v>
      </c>
      <c r="C107" s="198" t="s">
        <v>118</v>
      </c>
      <c r="D107" s="199">
        <v>106</v>
      </c>
    </row>
    <row r="108" spans="1:4" ht="13.5" x14ac:dyDescent="0.25">
      <c r="A108" s="202">
        <v>36</v>
      </c>
      <c r="B108" s="192" t="str">
        <f t="shared" ref="B108:B109" si="35">$B$107</f>
        <v>Ponto36</v>
      </c>
      <c r="C108" s="198" t="s">
        <v>119</v>
      </c>
      <c r="D108" s="199">
        <v>107</v>
      </c>
    </row>
    <row r="109" spans="1:4" ht="13.5" x14ac:dyDescent="0.25">
      <c r="A109" s="202">
        <v>36</v>
      </c>
      <c r="B109" s="192" t="str">
        <f t="shared" si="35"/>
        <v>Ponto36</v>
      </c>
      <c r="C109" s="198" t="s">
        <v>120</v>
      </c>
      <c r="D109" s="199">
        <v>108</v>
      </c>
    </row>
    <row r="110" spans="1:4" ht="13.5" x14ac:dyDescent="0.25">
      <c r="A110" s="202">
        <v>37</v>
      </c>
      <c r="B110" s="191" t="s">
        <v>258</v>
      </c>
      <c r="C110" s="198" t="s">
        <v>118</v>
      </c>
      <c r="D110" s="199">
        <v>109</v>
      </c>
    </row>
    <row r="111" spans="1:4" ht="13.5" x14ac:dyDescent="0.25">
      <c r="A111" s="202">
        <v>37</v>
      </c>
      <c r="B111" s="192" t="str">
        <f t="shared" ref="B111:B112" si="36">$B$110</f>
        <v>Ponto37</v>
      </c>
      <c r="C111" s="198" t="s">
        <v>119</v>
      </c>
      <c r="D111" s="199">
        <v>110</v>
      </c>
    </row>
    <row r="112" spans="1:4" ht="13.5" x14ac:dyDescent="0.25">
      <c r="A112" s="202">
        <v>37</v>
      </c>
      <c r="B112" s="192" t="str">
        <f t="shared" si="36"/>
        <v>Ponto37</v>
      </c>
      <c r="C112" s="198" t="s">
        <v>120</v>
      </c>
      <c r="D112" s="199">
        <v>111</v>
      </c>
    </row>
    <row r="113" spans="1:4" ht="13.5" x14ac:dyDescent="0.25">
      <c r="A113" s="202">
        <v>38</v>
      </c>
      <c r="B113" s="191" t="s">
        <v>259</v>
      </c>
      <c r="C113" s="198" t="s">
        <v>118</v>
      </c>
      <c r="D113" s="199">
        <v>112</v>
      </c>
    </row>
    <row r="114" spans="1:4" ht="13.5" x14ac:dyDescent="0.25">
      <c r="A114" s="202">
        <v>38</v>
      </c>
      <c r="B114" s="192" t="str">
        <f t="shared" ref="B114:B115" si="37">$B$113</f>
        <v>Ponto38</v>
      </c>
      <c r="C114" s="198" t="s">
        <v>119</v>
      </c>
      <c r="D114" s="199">
        <v>113</v>
      </c>
    </row>
    <row r="115" spans="1:4" ht="13.5" x14ac:dyDescent="0.25">
      <c r="A115" s="202">
        <v>38</v>
      </c>
      <c r="B115" s="192" t="str">
        <f t="shared" si="37"/>
        <v>Ponto38</v>
      </c>
      <c r="C115" s="198" t="s">
        <v>120</v>
      </c>
      <c r="D115" s="199">
        <v>114</v>
      </c>
    </row>
    <row r="116" spans="1:4" ht="13.5" x14ac:dyDescent="0.25">
      <c r="A116" s="202">
        <v>39</v>
      </c>
      <c r="B116" s="191" t="s">
        <v>260</v>
      </c>
      <c r="C116" s="198" t="s">
        <v>118</v>
      </c>
      <c r="D116" s="199">
        <v>115</v>
      </c>
    </row>
    <row r="117" spans="1:4" ht="13.5" x14ac:dyDescent="0.25">
      <c r="A117" s="202">
        <v>39</v>
      </c>
      <c r="B117" s="192" t="str">
        <f t="shared" ref="B117:B118" si="38">$B$116</f>
        <v>Ponto39</v>
      </c>
      <c r="C117" s="198" t="s">
        <v>119</v>
      </c>
      <c r="D117" s="199">
        <v>116</v>
      </c>
    </row>
    <row r="118" spans="1:4" ht="13.5" x14ac:dyDescent="0.25">
      <c r="A118" s="202">
        <v>39</v>
      </c>
      <c r="B118" s="192" t="str">
        <f t="shared" si="38"/>
        <v>Ponto39</v>
      </c>
      <c r="C118" s="198" t="s">
        <v>120</v>
      </c>
      <c r="D118" s="199">
        <v>117</v>
      </c>
    </row>
    <row r="119" spans="1:4" ht="13.5" x14ac:dyDescent="0.25">
      <c r="A119" s="202">
        <v>40</v>
      </c>
      <c r="B119" s="191" t="s">
        <v>261</v>
      </c>
      <c r="C119" s="198" t="s">
        <v>118</v>
      </c>
      <c r="D119" s="199">
        <v>118</v>
      </c>
    </row>
    <row r="120" spans="1:4" ht="13.5" x14ac:dyDescent="0.25">
      <c r="A120" s="202">
        <v>40</v>
      </c>
      <c r="B120" s="192" t="str">
        <f t="shared" ref="B120:B121" si="39">$B$119</f>
        <v>Ponto40</v>
      </c>
      <c r="C120" s="198" t="s">
        <v>119</v>
      </c>
      <c r="D120" s="199">
        <v>119</v>
      </c>
    </row>
    <row r="121" spans="1:4" ht="13.5" x14ac:dyDescent="0.25">
      <c r="A121" s="202">
        <v>40</v>
      </c>
      <c r="B121" s="192" t="str">
        <f t="shared" si="39"/>
        <v>Ponto40</v>
      </c>
      <c r="C121" s="198" t="s">
        <v>120</v>
      </c>
      <c r="D121" s="199">
        <v>120</v>
      </c>
    </row>
    <row r="122" spans="1:4" ht="13.5" x14ac:dyDescent="0.25">
      <c r="A122" s="202">
        <v>41</v>
      </c>
      <c r="B122" s="191" t="s">
        <v>262</v>
      </c>
      <c r="C122" s="198" t="s">
        <v>118</v>
      </c>
      <c r="D122" s="199">
        <v>121</v>
      </c>
    </row>
    <row r="123" spans="1:4" ht="13.5" x14ac:dyDescent="0.25">
      <c r="A123" s="202">
        <v>41</v>
      </c>
      <c r="B123" s="192" t="str">
        <f t="shared" ref="B123:B124" si="40">$B$122</f>
        <v>Ponto41</v>
      </c>
      <c r="C123" s="198" t="s">
        <v>119</v>
      </c>
      <c r="D123" s="199">
        <v>122</v>
      </c>
    </row>
    <row r="124" spans="1:4" ht="13.5" x14ac:dyDescent="0.25">
      <c r="A124" s="202">
        <v>41</v>
      </c>
      <c r="B124" s="192" t="str">
        <f t="shared" si="40"/>
        <v>Ponto41</v>
      </c>
      <c r="C124" s="198" t="s">
        <v>120</v>
      </c>
      <c r="D124" s="199">
        <v>123</v>
      </c>
    </row>
    <row r="125" spans="1:4" ht="13.5" x14ac:dyDescent="0.25">
      <c r="A125" s="202">
        <v>42</v>
      </c>
      <c r="B125" s="191" t="s">
        <v>263</v>
      </c>
      <c r="C125" s="198" t="s">
        <v>118</v>
      </c>
      <c r="D125" s="199">
        <v>124</v>
      </c>
    </row>
    <row r="126" spans="1:4" ht="13.5" x14ac:dyDescent="0.25">
      <c r="A126" s="202">
        <v>42</v>
      </c>
      <c r="B126" s="192" t="str">
        <f t="shared" ref="B126:B127" si="41">$B$125</f>
        <v>Ponto42</v>
      </c>
      <c r="C126" s="198" t="s">
        <v>119</v>
      </c>
      <c r="D126" s="199">
        <v>125</v>
      </c>
    </row>
    <row r="127" spans="1:4" ht="13.5" x14ac:dyDescent="0.25">
      <c r="A127" s="202">
        <v>42</v>
      </c>
      <c r="B127" s="192" t="str">
        <f t="shared" si="41"/>
        <v>Ponto42</v>
      </c>
      <c r="C127" s="198" t="s">
        <v>120</v>
      </c>
      <c r="D127" s="199">
        <v>126</v>
      </c>
    </row>
    <row r="128" spans="1:4" ht="13.5" x14ac:dyDescent="0.25">
      <c r="A128" s="202">
        <v>43</v>
      </c>
      <c r="B128" s="191" t="s">
        <v>264</v>
      </c>
      <c r="C128" s="198" t="s">
        <v>118</v>
      </c>
      <c r="D128" s="199">
        <v>127</v>
      </c>
    </row>
    <row r="129" spans="1:4" ht="13.5" x14ac:dyDescent="0.25">
      <c r="A129" s="202">
        <v>43</v>
      </c>
      <c r="B129" s="192" t="str">
        <f t="shared" ref="B129:B130" si="42">$B$128</f>
        <v>Ponto43</v>
      </c>
      <c r="C129" s="198" t="s">
        <v>119</v>
      </c>
      <c r="D129" s="199">
        <v>128</v>
      </c>
    </row>
    <row r="130" spans="1:4" ht="13.5" x14ac:dyDescent="0.25">
      <c r="A130" s="202">
        <v>43</v>
      </c>
      <c r="B130" s="192" t="str">
        <f t="shared" si="42"/>
        <v>Ponto43</v>
      </c>
      <c r="C130" s="198" t="s">
        <v>120</v>
      </c>
      <c r="D130" s="199">
        <v>129</v>
      </c>
    </row>
    <row r="131" spans="1:4" ht="13.5" x14ac:dyDescent="0.25">
      <c r="A131" s="202">
        <v>44</v>
      </c>
      <c r="B131" s="191" t="s">
        <v>265</v>
      </c>
      <c r="C131" s="198" t="s">
        <v>118</v>
      </c>
      <c r="D131" s="199">
        <v>130</v>
      </c>
    </row>
    <row r="132" spans="1:4" ht="13.5" x14ac:dyDescent="0.25">
      <c r="A132" s="202">
        <v>44</v>
      </c>
      <c r="B132" s="192" t="str">
        <f t="shared" ref="B132:B133" si="43">$B$131</f>
        <v>Ponto44</v>
      </c>
      <c r="C132" s="198" t="s">
        <v>119</v>
      </c>
      <c r="D132" s="199">
        <v>131</v>
      </c>
    </row>
    <row r="133" spans="1:4" ht="13.5" x14ac:dyDescent="0.25">
      <c r="A133" s="202">
        <v>44</v>
      </c>
      <c r="B133" s="192" t="str">
        <f t="shared" si="43"/>
        <v>Ponto44</v>
      </c>
      <c r="C133" s="198" t="s">
        <v>120</v>
      </c>
      <c r="D133" s="199">
        <v>132</v>
      </c>
    </row>
    <row r="134" spans="1:4" ht="13.5" x14ac:dyDescent="0.25">
      <c r="A134" s="202">
        <v>45</v>
      </c>
      <c r="B134" s="191" t="s">
        <v>266</v>
      </c>
      <c r="C134" s="198" t="s">
        <v>118</v>
      </c>
      <c r="D134" s="199">
        <v>133</v>
      </c>
    </row>
    <row r="135" spans="1:4" ht="13.5" x14ac:dyDescent="0.25">
      <c r="A135" s="202">
        <v>45</v>
      </c>
      <c r="B135" s="192" t="str">
        <f t="shared" ref="B135:B136" si="44">$B$134</f>
        <v>Ponto45</v>
      </c>
      <c r="C135" s="198" t="s">
        <v>119</v>
      </c>
      <c r="D135" s="199">
        <v>134</v>
      </c>
    </row>
    <row r="136" spans="1:4" ht="13.5" x14ac:dyDescent="0.25">
      <c r="A136" s="202">
        <v>45</v>
      </c>
      <c r="B136" s="192" t="str">
        <f t="shared" si="44"/>
        <v>Ponto45</v>
      </c>
      <c r="C136" s="198" t="s">
        <v>120</v>
      </c>
      <c r="D136" s="199">
        <v>135</v>
      </c>
    </row>
    <row r="137" spans="1:4" ht="13.5" x14ac:dyDescent="0.25">
      <c r="A137" s="202">
        <v>46</v>
      </c>
      <c r="B137" s="191" t="s">
        <v>267</v>
      </c>
      <c r="C137" s="198" t="s">
        <v>118</v>
      </c>
      <c r="D137" s="199">
        <v>136</v>
      </c>
    </row>
    <row r="138" spans="1:4" ht="13.5" x14ac:dyDescent="0.25">
      <c r="A138" s="202">
        <v>46</v>
      </c>
      <c r="B138" s="192" t="str">
        <f t="shared" ref="B138:B139" si="45">$B$137</f>
        <v>Ponto46</v>
      </c>
      <c r="C138" s="198" t="s">
        <v>119</v>
      </c>
      <c r="D138" s="199">
        <v>137</v>
      </c>
    </row>
    <row r="139" spans="1:4" ht="13.5" x14ac:dyDescent="0.25">
      <c r="A139" s="202">
        <v>46</v>
      </c>
      <c r="B139" s="192" t="str">
        <f t="shared" si="45"/>
        <v>Ponto46</v>
      </c>
      <c r="C139" s="198" t="s">
        <v>120</v>
      </c>
      <c r="D139" s="199">
        <v>138</v>
      </c>
    </row>
    <row r="140" spans="1:4" ht="13.5" x14ac:dyDescent="0.25">
      <c r="A140" s="202">
        <v>47</v>
      </c>
      <c r="B140" s="191" t="s">
        <v>268</v>
      </c>
      <c r="C140" s="198" t="s">
        <v>118</v>
      </c>
      <c r="D140" s="199">
        <v>139</v>
      </c>
    </row>
    <row r="141" spans="1:4" ht="13.5" x14ac:dyDescent="0.25">
      <c r="A141" s="202">
        <v>47</v>
      </c>
      <c r="B141" s="192" t="str">
        <f t="shared" ref="B141:B142" si="46">$B$140</f>
        <v>Ponto47</v>
      </c>
      <c r="C141" s="198" t="s">
        <v>119</v>
      </c>
      <c r="D141" s="199">
        <v>140</v>
      </c>
    </row>
    <row r="142" spans="1:4" ht="13.5" x14ac:dyDescent="0.25">
      <c r="A142" s="202">
        <v>47</v>
      </c>
      <c r="B142" s="192" t="str">
        <f t="shared" si="46"/>
        <v>Ponto47</v>
      </c>
      <c r="C142" s="198" t="s">
        <v>120</v>
      </c>
      <c r="D142" s="199">
        <v>141</v>
      </c>
    </row>
    <row r="143" spans="1:4" ht="13.5" x14ac:dyDescent="0.25">
      <c r="A143" s="202">
        <v>48</v>
      </c>
      <c r="B143" s="191" t="s">
        <v>269</v>
      </c>
      <c r="C143" s="198" t="s">
        <v>118</v>
      </c>
      <c r="D143" s="199">
        <v>142</v>
      </c>
    </row>
    <row r="144" spans="1:4" ht="13.5" x14ac:dyDescent="0.25">
      <c r="A144" s="202">
        <v>48</v>
      </c>
      <c r="B144" s="192" t="str">
        <f t="shared" ref="B144:B145" si="47">$B$143</f>
        <v>Ponto48</v>
      </c>
      <c r="C144" s="198" t="s">
        <v>119</v>
      </c>
      <c r="D144" s="199">
        <v>143</v>
      </c>
    </row>
    <row r="145" spans="1:4" ht="13.5" x14ac:dyDescent="0.25">
      <c r="A145" s="202">
        <v>48</v>
      </c>
      <c r="B145" s="192" t="str">
        <f t="shared" si="47"/>
        <v>Ponto48</v>
      </c>
      <c r="C145" s="198" t="s">
        <v>120</v>
      </c>
      <c r="D145" s="199">
        <v>144</v>
      </c>
    </row>
    <row r="146" spans="1:4" ht="13.5" x14ac:dyDescent="0.25">
      <c r="A146" s="202">
        <v>49</v>
      </c>
      <c r="B146" s="191" t="s">
        <v>270</v>
      </c>
      <c r="C146" s="198" t="s">
        <v>118</v>
      </c>
      <c r="D146" s="199">
        <v>145</v>
      </c>
    </row>
    <row r="147" spans="1:4" ht="13.5" x14ac:dyDescent="0.25">
      <c r="A147" s="202">
        <v>49</v>
      </c>
      <c r="B147" s="192" t="str">
        <f t="shared" ref="B147:B148" si="48">$B$146</f>
        <v>Ponto49</v>
      </c>
      <c r="C147" s="198" t="s">
        <v>119</v>
      </c>
      <c r="D147" s="199">
        <v>146</v>
      </c>
    </row>
    <row r="148" spans="1:4" ht="13.5" x14ac:dyDescent="0.25">
      <c r="A148" s="202">
        <v>49</v>
      </c>
      <c r="B148" s="192" t="str">
        <f t="shared" si="48"/>
        <v>Ponto49</v>
      </c>
      <c r="C148" s="198" t="s">
        <v>120</v>
      </c>
      <c r="D148" s="199">
        <v>147</v>
      </c>
    </row>
    <row r="149" spans="1:4" ht="13.5" x14ac:dyDescent="0.25">
      <c r="A149" s="202">
        <v>50</v>
      </c>
      <c r="B149" s="191" t="s">
        <v>271</v>
      </c>
      <c r="C149" s="198" t="s">
        <v>118</v>
      </c>
      <c r="D149" s="199">
        <v>148</v>
      </c>
    </row>
    <row r="150" spans="1:4" ht="13.5" x14ac:dyDescent="0.25">
      <c r="A150" s="202">
        <v>50</v>
      </c>
      <c r="B150" s="192" t="str">
        <f t="shared" ref="B150:B151" si="49">$B$149</f>
        <v>Ponto50</v>
      </c>
      <c r="C150" s="198" t="s">
        <v>119</v>
      </c>
      <c r="D150" s="199">
        <v>149</v>
      </c>
    </row>
    <row r="151" spans="1:4" ht="13.5" x14ac:dyDescent="0.25">
      <c r="A151" s="202">
        <v>50</v>
      </c>
      <c r="B151" s="192" t="str">
        <f t="shared" si="49"/>
        <v>Ponto50</v>
      </c>
      <c r="C151" s="198" t="s">
        <v>120</v>
      </c>
      <c r="D151" s="199">
        <v>150</v>
      </c>
    </row>
    <row r="152" spans="1:4" ht="13.5" x14ac:dyDescent="0.25">
      <c r="A152" s="202">
        <v>51</v>
      </c>
      <c r="B152" s="191" t="s">
        <v>272</v>
      </c>
      <c r="C152" s="198" t="s">
        <v>118</v>
      </c>
      <c r="D152" s="199">
        <v>151</v>
      </c>
    </row>
    <row r="153" spans="1:4" ht="13.5" x14ac:dyDescent="0.25">
      <c r="A153" s="202">
        <v>51</v>
      </c>
      <c r="B153" s="192" t="str">
        <f t="shared" ref="B153:B154" si="50">$B$152</f>
        <v>Ponto51</v>
      </c>
      <c r="C153" s="198" t="s">
        <v>119</v>
      </c>
      <c r="D153" s="199">
        <v>152</v>
      </c>
    </row>
    <row r="154" spans="1:4" ht="13.5" x14ac:dyDescent="0.25">
      <c r="A154" s="202">
        <v>51</v>
      </c>
      <c r="B154" s="192" t="str">
        <f t="shared" si="50"/>
        <v>Ponto51</v>
      </c>
      <c r="C154" s="198" t="s">
        <v>120</v>
      </c>
      <c r="D154" s="199">
        <v>153</v>
      </c>
    </row>
    <row r="155" spans="1:4" ht="13.5" x14ac:dyDescent="0.25">
      <c r="A155" s="202">
        <v>52</v>
      </c>
      <c r="B155" s="191" t="s">
        <v>273</v>
      </c>
      <c r="C155" s="198" t="s">
        <v>118</v>
      </c>
      <c r="D155" s="199">
        <v>154</v>
      </c>
    </row>
    <row r="156" spans="1:4" ht="13.5" x14ac:dyDescent="0.25">
      <c r="A156" s="202">
        <v>52</v>
      </c>
      <c r="B156" s="192" t="str">
        <f t="shared" ref="B156:B157" si="51">$B$155</f>
        <v>Ponto52</v>
      </c>
      <c r="C156" s="198" t="s">
        <v>119</v>
      </c>
      <c r="D156" s="199">
        <v>155</v>
      </c>
    </row>
    <row r="157" spans="1:4" ht="13.5" x14ac:dyDescent="0.25">
      <c r="A157" s="202">
        <v>52</v>
      </c>
      <c r="B157" s="192" t="str">
        <f t="shared" si="51"/>
        <v>Ponto52</v>
      </c>
      <c r="C157" s="198" t="s">
        <v>120</v>
      </c>
      <c r="D157" s="199">
        <v>156</v>
      </c>
    </row>
    <row r="158" spans="1:4" ht="13.5" x14ac:dyDescent="0.25">
      <c r="A158" s="202">
        <v>53</v>
      </c>
      <c r="B158" s="191" t="s">
        <v>274</v>
      </c>
      <c r="C158" s="198" t="s">
        <v>118</v>
      </c>
      <c r="D158" s="199">
        <v>157</v>
      </c>
    </row>
    <row r="159" spans="1:4" ht="13.5" x14ac:dyDescent="0.25">
      <c r="A159" s="202">
        <v>53</v>
      </c>
      <c r="B159" s="192" t="str">
        <f t="shared" ref="B159:B160" si="52">$B$158</f>
        <v>Ponto53</v>
      </c>
      <c r="C159" s="198" t="s">
        <v>119</v>
      </c>
      <c r="D159" s="199">
        <v>158</v>
      </c>
    </row>
    <row r="160" spans="1:4" ht="13.5" x14ac:dyDescent="0.25">
      <c r="A160" s="202">
        <v>53</v>
      </c>
      <c r="B160" s="192" t="str">
        <f t="shared" si="52"/>
        <v>Ponto53</v>
      </c>
      <c r="C160" s="198" t="s">
        <v>120</v>
      </c>
      <c r="D160" s="199">
        <v>159</v>
      </c>
    </row>
    <row r="161" spans="1:4" ht="13.5" x14ac:dyDescent="0.25">
      <c r="A161" s="202">
        <v>54</v>
      </c>
      <c r="B161" s="191" t="s">
        <v>275</v>
      </c>
      <c r="C161" s="198" t="s">
        <v>118</v>
      </c>
      <c r="D161" s="199">
        <v>160</v>
      </c>
    </row>
    <row r="162" spans="1:4" ht="13.5" x14ac:dyDescent="0.25">
      <c r="A162" s="202">
        <v>54</v>
      </c>
      <c r="B162" s="192" t="str">
        <f t="shared" ref="B162:B163" si="53">$B$161</f>
        <v>Ponto54</v>
      </c>
      <c r="C162" s="198" t="s">
        <v>119</v>
      </c>
      <c r="D162" s="199">
        <v>161</v>
      </c>
    </row>
    <row r="163" spans="1:4" ht="13.5" x14ac:dyDescent="0.25">
      <c r="A163" s="202">
        <v>54</v>
      </c>
      <c r="B163" s="192" t="str">
        <f t="shared" si="53"/>
        <v>Ponto54</v>
      </c>
      <c r="C163" s="198" t="s">
        <v>120</v>
      </c>
      <c r="D163" s="199">
        <v>162</v>
      </c>
    </row>
    <row r="164" spans="1:4" ht="13.5" x14ac:dyDescent="0.25">
      <c r="A164" s="202">
        <v>55</v>
      </c>
      <c r="B164" s="191" t="s">
        <v>276</v>
      </c>
      <c r="C164" s="198" t="s">
        <v>118</v>
      </c>
      <c r="D164" s="199">
        <v>163</v>
      </c>
    </row>
    <row r="165" spans="1:4" ht="13.5" x14ac:dyDescent="0.25">
      <c r="A165" s="202">
        <v>55</v>
      </c>
      <c r="B165" s="192" t="str">
        <f t="shared" ref="B165:B166" si="54">$B$164</f>
        <v>Ponto55</v>
      </c>
      <c r="C165" s="198" t="s">
        <v>119</v>
      </c>
      <c r="D165" s="199">
        <v>164</v>
      </c>
    </row>
    <row r="166" spans="1:4" ht="13.5" x14ac:dyDescent="0.25">
      <c r="A166" s="202">
        <v>55</v>
      </c>
      <c r="B166" s="192" t="str">
        <f t="shared" si="54"/>
        <v>Ponto55</v>
      </c>
      <c r="C166" s="198" t="s">
        <v>120</v>
      </c>
      <c r="D166" s="199">
        <v>165</v>
      </c>
    </row>
    <row r="167" spans="1:4" ht="13.5" x14ac:dyDescent="0.25">
      <c r="A167" s="202">
        <v>56</v>
      </c>
      <c r="B167" s="191" t="s">
        <v>277</v>
      </c>
      <c r="C167" s="198" t="s">
        <v>118</v>
      </c>
      <c r="D167" s="199">
        <v>166</v>
      </c>
    </row>
    <row r="168" spans="1:4" ht="13.5" x14ac:dyDescent="0.25">
      <c r="A168" s="202">
        <v>56</v>
      </c>
      <c r="B168" s="192" t="str">
        <f t="shared" ref="B168:B169" si="55">$B$167</f>
        <v>Ponto56</v>
      </c>
      <c r="C168" s="198" t="s">
        <v>119</v>
      </c>
      <c r="D168" s="199">
        <v>167</v>
      </c>
    </row>
    <row r="169" spans="1:4" ht="13.5" x14ac:dyDescent="0.25">
      <c r="A169" s="202">
        <v>56</v>
      </c>
      <c r="B169" s="192" t="str">
        <f t="shared" si="55"/>
        <v>Ponto56</v>
      </c>
      <c r="C169" s="198" t="s">
        <v>120</v>
      </c>
      <c r="D169" s="199">
        <v>168</v>
      </c>
    </row>
    <row r="170" spans="1:4" ht="13.5" x14ac:dyDescent="0.25">
      <c r="A170" s="202">
        <v>57</v>
      </c>
      <c r="B170" s="191" t="s">
        <v>278</v>
      </c>
      <c r="C170" s="198" t="s">
        <v>118</v>
      </c>
      <c r="D170" s="199">
        <v>169</v>
      </c>
    </row>
    <row r="171" spans="1:4" ht="13.5" x14ac:dyDescent="0.25">
      <c r="A171" s="202">
        <v>57</v>
      </c>
      <c r="B171" s="192" t="str">
        <f t="shared" ref="B171:B172" si="56">$B$170</f>
        <v>Ponto57</v>
      </c>
      <c r="C171" s="198" t="s">
        <v>119</v>
      </c>
      <c r="D171" s="199">
        <v>170</v>
      </c>
    </row>
    <row r="172" spans="1:4" ht="13.5" x14ac:dyDescent="0.25">
      <c r="A172" s="202">
        <v>57</v>
      </c>
      <c r="B172" s="192" t="str">
        <f t="shared" si="56"/>
        <v>Ponto57</v>
      </c>
      <c r="C172" s="198" t="s">
        <v>120</v>
      </c>
      <c r="D172" s="199">
        <v>171</v>
      </c>
    </row>
    <row r="173" spans="1:4" ht="13.5" x14ac:dyDescent="0.25">
      <c r="A173" s="202">
        <v>58</v>
      </c>
      <c r="B173" s="191" t="s">
        <v>279</v>
      </c>
      <c r="C173" s="198" t="s">
        <v>118</v>
      </c>
      <c r="D173" s="199">
        <v>172</v>
      </c>
    </row>
    <row r="174" spans="1:4" ht="13.5" x14ac:dyDescent="0.25">
      <c r="A174" s="202">
        <v>58</v>
      </c>
      <c r="B174" s="192" t="str">
        <f t="shared" ref="B174:B175" si="57">$B$173</f>
        <v>Ponto58</v>
      </c>
      <c r="C174" s="198" t="s">
        <v>119</v>
      </c>
      <c r="D174" s="199">
        <v>173</v>
      </c>
    </row>
    <row r="175" spans="1:4" ht="13.5" x14ac:dyDescent="0.25">
      <c r="A175" s="202">
        <v>58</v>
      </c>
      <c r="B175" s="192" t="str">
        <f t="shared" si="57"/>
        <v>Ponto58</v>
      </c>
      <c r="C175" s="198" t="s">
        <v>120</v>
      </c>
      <c r="D175" s="199">
        <v>174</v>
      </c>
    </row>
    <row r="176" spans="1:4" ht="13.5" x14ac:dyDescent="0.25">
      <c r="A176" s="202">
        <v>59</v>
      </c>
      <c r="B176" s="191" t="s">
        <v>280</v>
      </c>
      <c r="C176" s="198" t="s">
        <v>118</v>
      </c>
      <c r="D176" s="199">
        <v>175</v>
      </c>
    </row>
    <row r="177" spans="1:4" ht="13.5" x14ac:dyDescent="0.25">
      <c r="A177" s="202">
        <v>59</v>
      </c>
      <c r="B177" s="192" t="str">
        <f t="shared" ref="B177:B178" si="58">$B$176</f>
        <v>Ponto59</v>
      </c>
      <c r="C177" s="198" t="s">
        <v>119</v>
      </c>
      <c r="D177" s="199">
        <v>176</v>
      </c>
    </row>
    <row r="178" spans="1:4" ht="13.5" x14ac:dyDescent="0.25">
      <c r="A178" s="202">
        <v>59</v>
      </c>
      <c r="B178" s="192" t="str">
        <f t="shared" si="58"/>
        <v>Ponto59</v>
      </c>
      <c r="C178" s="198" t="s">
        <v>120</v>
      </c>
      <c r="D178" s="199">
        <v>177</v>
      </c>
    </row>
    <row r="179" spans="1:4" ht="13.5" x14ac:dyDescent="0.25">
      <c r="A179" s="202">
        <v>60</v>
      </c>
      <c r="B179" s="191" t="s">
        <v>281</v>
      </c>
      <c r="C179" s="198" t="s">
        <v>118</v>
      </c>
      <c r="D179" s="199">
        <v>178</v>
      </c>
    </row>
    <row r="180" spans="1:4" ht="13.5" x14ac:dyDescent="0.25">
      <c r="A180" s="202">
        <v>60</v>
      </c>
      <c r="B180" s="192" t="str">
        <f t="shared" ref="B180:B181" si="59">$B$179</f>
        <v>Ponto60</v>
      </c>
      <c r="C180" s="198" t="s">
        <v>119</v>
      </c>
      <c r="D180" s="199">
        <v>179</v>
      </c>
    </row>
    <row r="181" spans="1:4" ht="13.5" x14ac:dyDescent="0.25">
      <c r="A181" s="202">
        <v>60</v>
      </c>
      <c r="B181" s="192" t="str">
        <f t="shared" si="59"/>
        <v>Ponto60</v>
      </c>
      <c r="C181" s="198" t="s">
        <v>120</v>
      </c>
      <c r="D181" s="199">
        <v>180</v>
      </c>
    </row>
    <row r="182" spans="1:4" ht="13.5" x14ac:dyDescent="0.25">
      <c r="A182" s="202">
        <v>61</v>
      </c>
      <c r="B182" s="191" t="s">
        <v>282</v>
      </c>
      <c r="C182" s="198" t="s">
        <v>118</v>
      </c>
      <c r="D182" s="199">
        <v>181</v>
      </c>
    </row>
    <row r="183" spans="1:4" ht="13.5" x14ac:dyDescent="0.25">
      <c r="A183" s="202">
        <v>61</v>
      </c>
      <c r="B183" s="192" t="str">
        <f t="shared" ref="B183:B184" si="60">$B$182</f>
        <v>Ponto61</v>
      </c>
      <c r="C183" s="198" t="s">
        <v>119</v>
      </c>
      <c r="D183" s="199">
        <v>182</v>
      </c>
    </row>
    <row r="184" spans="1:4" ht="13.5" x14ac:dyDescent="0.25">
      <c r="A184" s="202">
        <v>61</v>
      </c>
      <c r="B184" s="192" t="str">
        <f t="shared" si="60"/>
        <v>Ponto61</v>
      </c>
      <c r="C184" s="198" t="s">
        <v>120</v>
      </c>
      <c r="D184" s="199">
        <v>183</v>
      </c>
    </row>
    <row r="185" spans="1:4" ht="13.5" x14ac:dyDescent="0.25">
      <c r="A185" s="202">
        <v>62</v>
      </c>
      <c r="B185" s="191" t="s">
        <v>283</v>
      </c>
      <c r="C185" s="198" t="s">
        <v>118</v>
      </c>
      <c r="D185" s="199">
        <v>184</v>
      </c>
    </row>
    <row r="186" spans="1:4" ht="13.5" x14ac:dyDescent="0.25">
      <c r="A186" s="202">
        <v>62</v>
      </c>
      <c r="B186" s="192" t="str">
        <f t="shared" ref="B186:B187" si="61">$B$185</f>
        <v>Ponto62</v>
      </c>
      <c r="C186" s="198" t="s">
        <v>119</v>
      </c>
      <c r="D186" s="199">
        <v>185</v>
      </c>
    </row>
    <row r="187" spans="1:4" ht="13.5" x14ac:dyDescent="0.25">
      <c r="A187" s="202">
        <v>62</v>
      </c>
      <c r="B187" s="192" t="str">
        <f t="shared" si="61"/>
        <v>Ponto62</v>
      </c>
      <c r="C187" s="198" t="s">
        <v>120</v>
      </c>
      <c r="D187" s="199">
        <v>186</v>
      </c>
    </row>
    <row r="188" spans="1:4" ht="13.5" x14ac:dyDescent="0.25">
      <c r="A188" s="202">
        <v>63</v>
      </c>
      <c r="B188" s="191" t="s">
        <v>284</v>
      </c>
      <c r="C188" s="198" t="s">
        <v>118</v>
      </c>
      <c r="D188" s="199">
        <v>187</v>
      </c>
    </row>
    <row r="189" spans="1:4" ht="13.5" x14ac:dyDescent="0.25">
      <c r="A189" s="202">
        <v>63</v>
      </c>
      <c r="B189" s="192" t="str">
        <f t="shared" ref="B189:B190" si="62">$B$188</f>
        <v>Ponto63</v>
      </c>
      <c r="C189" s="198" t="s">
        <v>119</v>
      </c>
      <c r="D189" s="199">
        <v>188</v>
      </c>
    </row>
    <row r="190" spans="1:4" ht="13.5" x14ac:dyDescent="0.25">
      <c r="A190" s="202">
        <v>63</v>
      </c>
      <c r="B190" s="192" t="str">
        <f t="shared" si="62"/>
        <v>Ponto63</v>
      </c>
      <c r="C190" s="198" t="s">
        <v>120</v>
      </c>
      <c r="D190" s="199">
        <v>189</v>
      </c>
    </row>
    <row r="191" spans="1:4" ht="13.5" x14ac:dyDescent="0.25">
      <c r="A191" s="202">
        <v>64</v>
      </c>
      <c r="B191" s="191" t="s">
        <v>285</v>
      </c>
      <c r="C191" s="198" t="s">
        <v>118</v>
      </c>
      <c r="D191" s="199">
        <v>190</v>
      </c>
    </row>
    <row r="192" spans="1:4" ht="13.5" x14ac:dyDescent="0.25">
      <c r="A192" s="202">
        <v>64</v>
      </c>
      <c r="B192" s="192" t="str">
        <f t="shared" ref="B192:B193" si="63">$B$191</f>
        <v>Ponto64</v>
      </c>
      <c r="C192" s="198" t="s">
        <v>119</v>
      </c>
      <c r="D192" s="199">
        <v>191</v>
      </c>
    </row>
    <row r="193" spans="1:4" ht="13.5" x14ac:dyDescent="0.25">
      <c r="A193" s="202">
        <v>64</v>
      </c>
      <c r="B193" s="192" t="str">
        <f t="shared" si="63"/>
        <v>Ponto64</v>
      </c>
      <c r="C193" s="198" t="s">
        <v>120</v>
      </c>
      <c r="D193" s="199">
        <v>192</v>
      </c>
    </row>
    <row r="194" spans="1:4" ht="13.5" x14ac:dyDescent="0.25">
      <c r="A194" s="202">
        <v>65</v>
      </c>
      <c r="B194" s="191" t="s">
        <v>286</v>
      </c>
      <c r="C194" s="198" t="s">
        <v>118</v>
      </c>
      <c r="D194" s="199">
        <v>193</v>
      </c>
    </row>
    <row r="195" spans="1:4" ht="13.5" x14ac:dyDescent="0.25">
      <c r="A195" s="202">
        <v>65</v>
      </c>
      <c r="B195" s="192" t="str">
        <f t="shared" ref="B195:B196" si="64">$B$194</f>
        <v>Ponto65</v>
      </c>
      <c r="C195" s="198" t="s">
        <v>119</v>
      </c>
      <c r="D195" s="199">
        <v>194</v>
      </c>
    </row>
    <row r="196" spans="1:4" ht="13.5" x14ac:dyDescent="0.25">
      <c r="A196" s="202">
        <v>65</v>
      </c>
      <c r="B196" s="192" t="str">
        <f t="shared" si="64"/>
        <v>Ponto65</v>
      </c>
      <c r="C196" s="198" t="s">
        <v>120</v>
      </c>
      <c r="D196" s="199">
        <v>195</v>
      </c>
    </row>
    <row r="197" spans="1:4" ht="13.5" x14ac:dyDescent="0.25">
      <c r="A197" s="202">
        <v>66</v>
      </c>
      <c r="B197" s="191" t="s">
        <v>287</v>
      </c>
      <c r="C197" s="198" t="s">
        <v>118</v>
      </c>
      <c r="D197" s="199">
        <v>196</v>
      </c>
    </row>
    <row r="198" spans="1:4" ht="13.5" x14ac:dyDescent="0.25">
      <c r="A198" s="202">
        <v>66</v>
      </c>
      <c r="B198" s="192" t="str">
        <f t="shared" ref="B198:B199" si="65">$B$197</f>
        <v>Ponto66</v>
      </c>
      <c r="C198" s="198" t="s">
        <v>119</v>
      </c>
      <c r="D198" s="199">
        <v>197</v>
      </c>
    </row>
    <row r="199" spans="1:4" ht="13.5" x14ac:dyDescent="0.25">
      <c r="A199" s="202">
        <v>66</v>
      </c>
      <c r="B199" s="192" t="str">
        <f t="shared" si="65"/>
        <v>Ponto66</v>
      </c>
      <c r="C199" s="198" t="s">
        <v>120</v>
      </c>
      <c r="D199" s="199">
        <v>198</v>
      </c>
    </row>
    <row r="200" spans="1:4" ht="13.5" x14ac:dyDescent="0.25">
      <c r="A200" s="202">
        <v>67</v>
      </c>
      <c r="B200" s="191" t="s">
        <v>288</v>
      </c>
      <c r="C200" s="198" t="s">
        <v>118</v>
      </c>
      <c r="D200" s="199">
        <v>199</v>
      </c>
    </row>
    <row r="201" spans="1:4" ht="13.5" x14ac:dyDescent="0.25">
      <c r="A201" s="202">
        <v>67</v>
      </c>
      <c r="B201" s="192" t="str">
        <f t="shared" ref="B201:B202" si="66">$B$200</f>
        <v>Ponto67</v>
      </c>
      <c r="C201" s="198" t="s">
        <v>119</v>
      </c>
      <c r="D201" s="199">
        <v>200</v>
      </c>
    </row>
    <row r="202" spans="1:4" ht="13.5" x14ac:dyDescent="0.25">
      <c r="A202" s="202">
        <v>67</v>
      </c>
      <c r="B202" s="192" t="str">
        <f t="shared" si="66"/>
        <v>Ponto67</v>
      </c>
      <c r="C202" s="198" t="s">
        <v>120</v>
      </c>
      <c r="D202" s="199">
        <v>201</v>
      </c>
    </row>
    <row r="203" spans="1:4" ht="13.5" x14ac:dyDescent="0.25">
      <c r="A203" s="202">
        <v>68</v>
      </c>
      <c r="B203" s="191" t="s">
        <v>289</v>
      </c>
      <c r="C203" s="198" t="s">
        <v>118</v>
      </c>
      <c r="D203" s="199">
        <v>202</v>
      </c>
    </row>
    <row r="204" spans="1:4" ht="13.5" x14ac:dyDescent="0.25">
      <c r="A204" s="202">
        <v>68</v>
      </c>
      <c r="B204" s="192" t="str">
        <f t="shared" ref="B204:B205" si="67">$B$203</f>
        <v>Ponto68</v>
      </c>
      <c r="C204" s="198" t="s">
        <v>119</v>
      </c>
      <c r="D204" s="199">
        <v>203</v>
      </c>
    </row>
    <row r="205" spans="1:4" ht="13.5" x14ac:dyDescent="0.25">
      <c r="A205" s="202">
        <v>68</v>
      </c>
      <c r="B205" s="192" t="str">
        <f t="shared" si="67"/>
        <v>Ponto68</v>
      </c>
      <c r="C205" s="198" t="s">
        <v>120</v>
      </c>
      <c r="D205" s="199">
        <v>204</v>
      </c>
    </row>
    <row r="206" spans="1:4" ht="13.5" x14ac:dyDescent="0.25">
      <c r="A206" s="202">
        <v>69</v>
      </c>
      <c r="B206" s="191" t="s">
        <v>290</v>
      </c>
      <c r="C206" s="198" t="s">
        <v>118</v>
      </c>
      <c r="D206" s="199">
        <v>205</v>
      </c>
    </row>
    <row r="207" spans="1:4" ht="13.5" x14ac:dyDescent="0.25">
      <c r="A207" s="202">
        <v>69</v>
      </c>
      <c r="B207" s="192" t="str">
        <f t="shared" ref="B207:B208" si="68">$B$206</f>
        <v>Ponto69</v>
      </c>
      <c r="C207" s="198" t="s">
        <v>119</v>
      </c>
      <c r="D207" s="199">
        <v>206</v>
      </c>
    </row>
    <row r="208" spans="1:4" ht="13.5" x14ac:dyDescent="0.25">
      <c r="A208" s="202">
        <v>69</v>
      </c>
      <c r="B208" s="192" t="str">
        <f t="shared" si="68"/>
        <v>Ponto69</v>
      </c>
      <c r="C208" s="198" t="s">
        <v>120</v>
      </c>
      <c r="D208" s="199">
        <v>207</v>
      </c>
    </row>
    <row r="209" spans="1:4" ht="13.5" x14ac:dyDescent="0.25">
      <c r="A209" s="202">
        <v>70</v>
      </c>
      <c r="B209" s="191" t="s">
        <v>291</v>
      </c>
      <c r="C209" s="198" t="s">
        <v>118</v>
      </c>
      <c r="D209" s="199">
        <v>208</v>
      </c>
    </row>
    <row r="210" spans="1:4" ht="13.5" x14ac:dyDescent="0.25">
      <c r="A210" s="202">
        <v>70</v>
      </c>
      <c r="B210" s="192" t="str">
        <f t="shared" ref="B210:B211" si="69">$B$209</f>
        <v>Ponto70</v>
      </c>
      <c r="C210" s="198" t="s">
        <v>119</v>
      </c>
      <c r="D210" s="199">
        <v>209</v>
      </c>
    </row>
    <row r="211" spans="1:4" ht="13.5" x14ac:dyDescent="0.25">
      <c r="A211" s="202">
        <v>70</v>
      </c>
      <c r="B211" s="192" t="str">
        <f t="shared" si="69"/>
        <v>Ponto70</v>
      </c>
      <c r="C211" s="198" t="s">
        <v>120</v>
      </c>
      <c r="D211" s="199">
        <v>210</v>
      </c>
    </row>
    <row r="212" spans="1:4" ht="13.5" x14ac:dyDescent="0.25">
      <c r="A212" s="202">
        <v>71</v>
      </c>
      <c r="B212" s="191" t="s">
        <v>292</v>
      </c>
      <c r="C212" s="198" t="s">
        <v>118</v>
      </c>
      <c r="D212" s="199">
        <v>211</v>
      </c>
    </row>
    <row r="213" spans="1:4" ht="13.5" x14ac:dyDescent="0.25">
      <c r="A213" s="202">
        <v>71</v>
      </c>
      <c r="B213" s="192" t="str">
        <f t="shared" ref="B213:B214" si="70">$B$212</f>
        <v>Ponto71</v>
      </c>
      <c r="C213" s="198" t="s">
        <v>119</v>
      </c>
      <c r="D213" s="199">
        <v>212</v>
      </c>
    </row>
    <row r="214" spans="1:4" ht="13.5" x14ac:dyDescent="0.25">
      <c r="A214" s="202">
        <v>71</v>
      </c>
      <c r="B214" s="192" t="str">
        <f t="shared" si="70"/>
        <v>Ponto71</v>
      </c>
      <c r="C214" s="198" t="s">
        <v>120</v>
      </c>
      <c r="D214" s="199">
        <v>213</v>
      </c>
    </row>
    <row r="215" spans="1:4" ht="13.5" x14ac:dyDescent="0.25">
      <c r="A215" s="202">
        <v>72</v>
      </c>
      <c r="B215" s="191" t="s">
        <v>293</v>
      </c>
      <c r="C215" s="198" t="s">
        <v>118</v>
      </c>
      <c r="D215" s="199">
        <v>214</v>
      </c>
    </row>
    <row r="216" spans="1:4" ht="13.5" x14ac:dyDescent="0.25">
      <c r="A216" s="202">
        <v>72</v>
      </c>
      <c r="B216" s="192" t="str">
        <f t="shared" ref="B216:B217" si="71">$B$215</f>
        <v>Ponto72</v>
      </c>
      <c r="C216" s="198" t="s">
        <v>119</v>
      </c>
      <c r="D216" s="199">
        <v>215</v>
      </c>
    </row>
    <row r="217" spans="1:4" ht="13.5" x14ac:dyDescent="0.25">
      <c r="A217" s="202">
        <v>72</v>
      </c>
      <c r="B217" s="192" t="str">
        <f t="shared" si="71"/>
        <v>Ponto72</v>
      </c>
      <c r="C217" s="198" t="s">
        <v>120</v>
      </c>
      <c r="D217" s="199">
        <v>216</v>
      </c>
    </row>
    <row r="218" spans="1:4" ht="13.5" x14ac:dyDescent="0.25">
      <c r="A218" s="202">
        <v>73</v>
      </c>
      <c r="B218" s="191" t="s">
        <v>294</v>
      </c>
      <c r="C218" s="198" t="s">
        <v>118</v>
      </c>
      <c r="D218" s="199">
        <v>217</v>
      </c>
    </row>
    <row r="219" spans="1:4" ht="13.5" x14ac:dyDescent="0.25">
      <c r="A219" s="202">
        <v>73</v>
      </c>
      <c r="B219" s="192" t="str">
        <f t="shared" ref="B219:B220" si="72">$B$218</f>
        <v>Ponto73</v>
      </c>
      <c r="C219" s="198" t="s">
        <v>119</v>
      </c>
      <c r="D219" s="199">
        <v>218</v>
      </c>
    </row>
    <row r="220" spans="1:4" ht="13.5" x14ac:dyDescent="0.25">
      <c r="A220" s="202">
        <v>73</v>
      </c>
      <c r="B220" s="192" t="str">
        <f t="shared" si="72"/>
        <v>Ponto73</v>
      </c>
      <c r="C220" s="198" t="s">
        <v>120</v>
      </c>
      <c r="D220" s="199">
        <v>219</v>
      </c>
    </row>
    <row r="221" spans="1:4" ht="13.5" x14ac:dyDescent="0.25">
      <c r="A221" s="202">
        <v>74</v>
      </c>
      <c r="B221" s="191" t="s">
        <v>295</v>
      </c>
      <c r="C221" s="198" t="s">
        <v>118</v>
      </c>
      <c r="D221" s="199">
        <v>220</v>
      </c>
    </row>
    <row r="222" spans="1:4" ht="13.5" x14ac:dyDescent="0.25">
      <c r="A222" s="202">
        <v>74</v>
      </c>
      <c r="B222" s="192" t="str">
        <f t="shared" ref="B222:B223" si="73">$B$221</f>
        <v>Ponto74</v>
      </c>
      <c r="C222" s="198" t="s">
        <v>119</v>
      </c>
      <c r="D222" s="199">
        <v>221</v>
      </c>
    </row>
    <row r="223" spans="1:4" ht="13.5" x14ac:dyDescent="0.25">
      <c r="A223" s="202">
        <v>74</v>
      </c>
      <c r="B223" s="192" t="str">
        <f t="shared" si="73"/>
        <v>Ponto74</v>
      </c>
      <c r="C223" s="198" t="s">
        <v>120</v>
      </c>
      <c r="D223" s="199">
        <v>222</v>
      </c>
    </row>
    <row r="224" spans="1:4" ht="13.5" x14ac:dyDescent="0.25">
      <c r="A224" s="202">
        <v>75</v>
      </c>
      <c r="B224" s="191" t="s">
        <v>296</v>
      </c>
      <c r="C224" s="198" t="s">
        <v>118</v>
      </c>
      <c r="D224" s="199">
        <v>223</v>
      </c>
    </row>
    <row r="225" spans="1:4" ht="13.5" x14ac:dyDescent="0.25">
      <c r="A225" s="202">
        <v>75</v>
      </c>
      <c r="B225" s="192" t="str">
        <f t="shared" ref="B225:B226" si="74">$B$224</f>
        <v>Ponto75</v>
      </c>
      <c r="C225" s="198" t="s">
        <v>119</v>
      </c>
      <c r="D225" s="199">
        <v>224</v>
      </c>
    </row>
    <row r="226" spans="1:4" ht="13.5" x14ac:dyDescent="0.25">
      <c r="A226" s="202">
        <v>75</v>
      </c>
      <c r="B226" s="192" t="str">
        <f t="shared" si="74"/>
        <v>Ponto75</v>
      </c>
      <c r="C226" s="198" t="s">
        <v>120</v>
      </c>
      <c r="D226" s="199">
        <v>225</v>
      </c>
    </row>
    <row r="227" spans="1:4" ht="13.5" x14ac:dyDescent="0.25">
      <c r="A227" s="202">
        <v>76</v>
      </c>
      <c r="B227" s="191" t="s">
        <v>297</v>
      </c>
      <c r="C227" s="198" t="s">
        <v>118</v>
      </c>
      <c r="D227" s="199">
        <v>226</v>
      </c>
    </row>
    <row r="228" spans="1:4" ht="13.5" x14ac:dyDescent="0.25">
      <c r="A228" s="202">
        <v>76</v>
      </c>
      <c r="B228" s="192" t="str">
        <f t="shared" ref="B228:B229" si="75">$B$227</f>
        <v>Ponto76</v>
      </c>
      <c r="C228" s="198" t="s">
        <v>119</v>
      </c>
      <c r="D228" s="199">
        <v>227</v>
      </c>
    </row>
    <row r="229" spans="1:4" ht="13.5" x14ac:dyDescent="0.25">
      <c r="A229" s="202">
        <v>76</v>
      </c>
      <c r="B229" s="192" t="str">
        <f t="shared" si="75"/>
        <v>Ponto76</v>
      </c>
      <c r="C229" s="198" t="s">
        <v>120</v>
      </c>
      <c r="D229" s="199">
        <v>228</v>
      </c>
    </row>
    <row r="230" spans="1:4" ht="13.5" x14ac:dyDescent="0.25">
      <c r="A230" s="202">
        <v>77</v>
      </c>
      <c r="B230" s="191" t="s">
        <v>298</v>
      </c>
      <c r="C230" s="198" t="s">
        <v>118</v>
      </c>
      <c r="D230" s="199">
        <v>229</v>
      </c>
    </row>
    <row r="231" spans="1:4" ht="13.5" x14ac:dyDescent="0.25">
      <c r="A231" s="202">
        <v>77</v>
      </c>
      <c r="B231" s="192" t="str">
        <f t="shared" ref="B231:B232" si="76">$B$230</f>
        <v>Ponto77</v>
      </c>
      <c r="C231" s="198" t="s">
        <v>119</v>
      </c>
      <c r="D231" s="199">
        <v>230</v>
      </c>
    </row>
    <row r="232" spans="1:4" ht="13.5" x14ac:dyDescent="0.25">
      <c r="A232" s="202">
        <v>77</v>
      </c>
      <c r="B232" s="192" t="str">
        <f t="shared" si="76"/>
        <v>Ponto77</v>
      </c>
      <c r="C232" s="198" t="s">
        <v>120</v>
      </c>
      <c r="D232" s="199">
        <v>231</v>
      </c>
    </row>
    <row r="233" spans="1:4" ht="13.5" x14ac:dyDescent="0.25">
      <c r="A233" s="202">
        <v>78</v>
      </c>
      <c r="B233" s="191" t="s">
        <v>299</v>
      </c>
      <c r="C233" s="198" t="s">
        <v>118</v>
      </c>
      <c r="D233" s="199">
        <v>232</v>
      </c>
    </row>
    <row r="234" spans="1:4" ht="13.5" x14ac:dyDescent="0.25">
      <c r="A234" s="202">
        <v>78</v>
      </c>
      <c r="B234" s="192" t="str">
        <f t="shared" ref="B234:B235" si="77">$B$233</f>
        <v>Ponto78</v>
      </c>
      <c r="C234" s="198" t="s">
        <v>119</v>
      </c>
      <c r="D234" s="199">
        <v>233</v>
      </c>
    </row>
    <row r="235" spans="1:4" ht="13.5" x14ac:dyDescent="0.25">
      <c r="A235" s="202">
        <v>78</v>
      </c>
      <c r="B235" s="192" t="str">
        <f t="shared" si="77"/>
        <v>Ponto78</v>
      </c>
      <c r="C235" s="198" t="s">
        <v>120</v>
      </c>
      <c r="D235" s="199">
        <v>234</v>
      </c>
    </row>
    <row r="236" spans="1:4" ht="13.5" x14ac:dyDescent="0.25">
      <c r="A236" s="202">
        <v>79</v>
      </c>
      <c r="B236" s="191" t="s">
        <v>300</v>
      </c>
      <c r="C236" s="198" t="s">
        <v>118</v>
      </c>
      <c r="D236" s="199">
        <v>235</v>
      </c>
    </row>
    <row r="237" spans="1:4" ht="13.5" x14ac:dyDescent="0.25">
      <c r="A237" s="202">
        <v>79</v>
      </c>
      <c r="B237" s="192" t="str">
        <f t="shared" ref="B237:B238" si="78">$B$236</f>
        <v>Ponto79</v>
      </c>
      <c r="C237" s="198" t="s">
        <v>119</v>
      </c>
      <c r="D237" s="199">
        <v>236</v>
      </c>
    </row>
    <row r="238" spans="1:4" ht="13.5" x14ac:dyDescent="0.25">
      <c r="A238" s="202">
        <v>79</v>
      </c>
      <c r="B238" s="192" t="str">
        <f t="shared" si="78"/>
        <v>Ponto79</v>
      </c>
      <c r="C238" s="198" t="s">
        <v>120</v>
      </c>
      <c r="D238" s="199">
        <v>237</v>
      </c>
    </row>
    <row r="239" spans="1:4" ht="13.5" x14ac:dyDescent="0.25">
      <c r="A239" s="202">
        <v>80</v>
      </c>
      <c r="B239" s="191" t="s">
        <v>301</v>
      </c>
      <c r="C239" s="198" t="s">
        <v>118</v>
      </c>
      <c r="D239" s="199">
        <v>238</v>
      </c>
    </row>
    <row r="240" spans="1:4" ht="13.5" x14ac:dyDescent="0.25">
      <c r="A240" s="202">
        <v>80</v>
      </c>
      <c r="B240" s="192" t="str">
        <f t="shared" ref="B240:B241" si="79">$B$239</f>
        <v>Ponto80</v>
      </c>
      <c r="C240" s="198" t="s">
        <v>119</v>
      </c>
      <c r="D240" s="199">
        <v>239</v>
      </c>
    </row>
    <row r="241" spans="1:4" ht="13.5" x14ac:dyDescent="0.25">
      <c r="A241" s="202">
        <v>80</v>
      </c>
      <c r="B241" s="192" t="str">
        <f t="shared" si="79"/>
        <v>Ponto80</v>
      </c>
      <c r="C241" s="198" t="s">
        <v>120</v>
      </c>
      <c r="D241" s="199">
        <v>240</v>
      </c>
    </row>
    <row r="242" spans="1:4" ht="13.5" x14ac:dyDescent="0.25">
      <c r="A242" s="202">
        <v>81</v>
      </c>
      <c r="B242" s="191" t="s">
        <v>302</v>
      </c>
      <c r="C242" s="198" t="s">
        <v>118</v>
      </c>
      <c r="D242" s="199">
        <v>241</v>
      </c>
    </row>
    <row r="243" spans="1:4" ht="13.5" x14ac:dyDescent="0.25">
      <c r="A243" s="202">
        <v>81</v>
      </c>
      <c r="B243" s="192" t="str">
        <f t="shared" ref="B243:B244" si="80">$B$242</f>
        <v>Ponto81</v>
      </c>
      <c r="C243" s="198" t="s">
        <v>119</v>
      </c>
      <c r="D243" s="199">
        <v>242</v>
      </c>
    </row>
    <row r="244" spans="1:4" ht="13.5" x14ac:dyDescent="0.25">
      <c r="A244" s="202">
        <v>81</v>
      </c>
      <c r="B244" s="192" t="str">
        <f t="shared" si="80"/>
        <v>Ponto81</v>
      </c>
      <c r="C244" s="198" t="s">
        <v>120</v>
      </c>
      <c r="D244" s="199">
        <v>243</v>
      </c>
    </row>
    <row r="245" spans="1:4" ht="13.5" x14ac:dyDescent="0.25">
      <c r="A245" s="202">
        <v>82</v>
      </c>
      <c r="B245" s="191" t="s">
        <v>303</v>
      </c>
      <c r="C245" s="198" t="s">
        <v>118</v>
      </c>
      <c r="D245" s="199">
        <v>244</v>
      </c>
    </row>
    <row r="246" spans="1:4" ht="13.5" x14ac:dyDescent="0.25">
      <c r="A246" s="202">
        <v>82</v>
      </c>
      <c r="B246" s="192" t="str">
        <f t="shared" ref="B246:B247" si="81">$B$245</f>
        <v>Ponto82</v>
      </c>
      <c r="C246" s="198" t="s">
        <v>119</v>
      </c>
      <c r="D246" s="199">
        <v>245</v>
      </c>
    </row>
    <row r="247" spans="1:4" ht="13.5" x14ac:dyDescent="0.25">
      <c r="A247" s="202">
        <v>82</v>
      </c>
      <c r="B247" s="192" t="str">
        <f t="shared" si="81"/>
        <v>Ponto82</v>
      </c>
      <c r="C247" s="198" t="s">
        <v>120</v>
      </c>
      <c r="D247" s="199">
        <v>246</v>
      </c>
    </row>
    <row r="248" spans="1:4" ht="13.5" x14ac:dyDescent="0.25">
      <c r="A248" s="202">
        <v>83</v>
      </c>
      <c r="B248" s="191" t="s">
        <v>304</v>
      </c>
      <c r="C248" s="198" t="s">
        <v>118</v>
      </c>
      <c r="D248" s="199">
        <v>247</v>
      </c>
    </row>
    <row r="249" spans="1:4" ht="13.5" x14ac:dyDescent="0.25">
      <c r="A249" s="202">
        <v>83</v>
      </c>
      <c r="B249" s="192" t="str">
        <f t="shared" ref="B249:B250" si="82">$B$248</f>
        <v>Ponto83</v>
      </c>
      <c r="C249" s="198" t="s">
        <v>119</v>
      </c>
      <c r="D249" s="199">
        <v>248</v>
      </c>
    </row>
    <row r="250" spans="1:4" ht="13.5" x14ac:dyDescent="0.25">
      <c r="A250" s="202">
        <v>83</v>
      </c>
      <c r="B250" s="192" t="str">
        <f t="shared" si="82"/>
        <v>Ponto83</v>
      </c>
      <c r="C250" s="198" t="s">
        <v>120</v>
      </c>
      <c r="D250" s="199">
        <v>249</v>
      </c>
    </row>
    <row r="251" spans="1:4" ht="13.5" x14ac:dyDescent="0.25">
      <c r="A251" s="202">
        <v>84</v>
      </c>
      <c r="B251" s="191" t="s">
        <v>305</v>
      </c>
      <c r="C251" s="198" t="s">
        <v>118</v>
      </c>
      <c r="D251" s="199">
        <v>250</v>
      </c>
    </row>
    <row r="252" spans="1:4" ht="13.5" x14ac:dyDescent="0.25">
      <c r="A252" s="202">
        <v>84</v>
      </c>
      <c r="B252" s="192" t="str">
        <f t="shared" ref="B252:B253" si="83">$B$251</f>
        <v>Ponto84</v>
      </c>
      <c r="C252" s="198" t="s">
        <v>119</v>
      </c>
      <c r="D252" s="199">
        <v>251</v>
      </c>
    </row>
    <row r="253" spans="1:4" ht="13.5" x14ac:dyDescent="0.25">
      <c r="A253" s="202">
        <v>84</v>
      </c>
      <c r="B253" s="192" t="str">
        <f t="shared" si="83"/>
        <v>Ponto84</v>
      </c>
      <c r="C253" s="198" t="s">
        <v>120</v>
      </c>
      <c r="D253" s="199">
        <v>252</v>
      </c>
    </row>
    <row r="254" spans="1:4" ht="13.5" x14ac:dyDescent="0.25">
      <c r="A254" s="202">
        <v>85</v>
      </c>
      <c r="B254" s="191" t="s">
        <v>306</v>
      </c>
      <c r="C254" s="198" t="s">
        <v>118</v>
      </c>
      <c r="D254" s="199">
        <v>253</v>
      </c>
    </row>
    <row r="255" spans="1:4" ht="13.5" x14ac:dyDescent="0.25">
      <c r="A255" s="202">
        <v>85</v>
      </c>
      <c r="B255" s="192" t="str">
        <f t="shared" ref="B255:B256" si="84">$B$254</f>
        <v>Ponto85</v>
      </c>
      <c r="C255" s="198" t="s">
        <v>119</v>
      </c>
      <c r="D255" s="199">
        <v>254</v>
      </c>
    </row>
    <row r="256" spans="1:4" ht="13.5" x14ac:dyDescent="0.25">
      <c r="A256" s="202">
        <v>85</v>
      </c>
      <c r="B256" s="192" t="str">
        <f t="shared" si="84"/>
        <v>Ponto85</v>
      </c>
      <c r="C256" s="198" t="s">
        <v>120</v>
      </c>
      <c r="D256" s="199">
        <v>255</v>
      </c>
    </row>
    <row r="257" spans="1:4" ht="13.5" x14ac:dyDescent="0.25">
      <c r="A257" s="202">
        <v>86</v>
      </c>
      <c r="B257" s="191" t="s">
        <v>307</v>
      </c>
      <c r="C257" s="198" t="s">
        <v>118</v>
      </c>
      <c r="D257" s="199">
        <v>256</v>
      </c>
    </row>
    <row r="258" spans="1:4" ht="13.5" x14ac:dyDescent="0.25">
      <c r="A258" s="202">
        <v>86</v>
      </c>
      <c r="B258" s="192" t="str">
        <f t="shared" ref="B258:B259" si="85">$B$257</f>
        <v>Ponto86</v>
      </c>
      <c r="C258" s="198" t="s">
        <v>119</v>
      </c>
      <c r="D258" s="199">
        <v>257</v>
      </c>
    </row>
    <row r="259" spans="1:4" ht="13.5" x14ac:dyDescent="0.25">
      <c r="A259" s="202">
        <v>86</v>
      </c>
      <c r="B259" s="192" t="str">
        <f t="shared" si="85"/>
        <v>Ponto86</v>
      </c>
      <c r="C259" s="198" t="s">
        <v>120</v>
      </c>
      <c r="D259" s="199">
        <v>258</v>
      </c>
    </row>
    <row r="260" spans="1:4" ht="13.5" x14ac:dyDescent="0.25">
      <c r="A260" s="202">
        <v>87</v>
      </c>
      <c r="B260" s="191" t="s">
        <v>308</v>
      </c>
      <c r="C260" s="198" t="s">
        <v>118</v>
      </c>
      <c r="D260" s="199">
        <v>259</v>
      </c>
    </row>
    <row r="261" spans="1:4" ht="13.5" x14ac:dyDescent="0.25">
      <c r="A261" s="202">
        <v>87</v>
      </c>
      <c r="B261" s="192" t="str">
        <f t="shared" ref="B261:B262" si="86">$B$260</f>
        <v>Ponto87</v>
      </c>
      <c r="C261" s="198" t="s">
        <v>119</v>
      </c>
      <c r="D261" s="199">
        <v>260</v>
      </c>
    </row>
    <row r="262" spans="1:4" ht="13.5" x14ac:dyDescent="0.25">
      <c r="A262" s="202">
        <v>87</v>
      </c>
      <c r="B262" s="192" t="str">
        <f t="shared" si="86"/>
        <v>Ponto87</v>
      </c>
      <c r="C262" s="198" t="s">
        <v>120</v>
      </c>
      <c r="D262" s="199">
        <v>261</v>
      </c>
    </row>
    <row r="263" spans="1:4" ht="13.5" x14ac:dyDescent="0.25">
      <c r="A263" s="202">
        <v>88</v>
      </c>
      <c r="B263" s="191" t="s">
        <v>309</v>
      </c>
      <c r="C263" s="198" t="s">
        <v>118</v>
      </c>
      <c r="D263" s="199">
        <v>262</v>
      </c>
    </row>
    <row r="264" spans="1:4" ht="13.5" x14ac:dyDescent="0.25">
      <c r="A264" s="202">
        <v>88</v>
      </c>
      <c r="B264" s="192" t="str">
        <f t="shared" ref="B264:B265" si="87">$B$263</f>
        <v>Ponto88</v>
      </c>
      <c r="C264" s="198" t="s">
        <v>119</v>
      </c>
      <c r="D264" s="199">
        <v>263</v>
      </c>
    </row>
    <row r="265" spans="1:4" ht="13.5" x14ac:dyDescent="0.25">
      <c r="A265" s="202">
        <v>88</v>
      </c>
      <c r="B265" s="192" t="str">
        <f t="shared" si="87"/>
        <v>Ponto88</v>
      </c>
      <c r="C265" s="198" t="s">
        <v>120</v>
      </c>
      <c r="D265" s="199">
        <v>264</v>
      </c>
    </row>
    <row r="266" spans="1:4" ht="13.5" x14ac:dyDescent="0.25">
      <c r="A266" s="202">
        <v>89</v>
      </c>
      <c r="B266" s="191" t="s">
        <v>310</v>
      </c>
      <c r="C266" s="198" t="s">
        <v>118</v>
      </c>
      <c r="D266" s="199">
        <v>265</v>
      </c>
    </row>
    <row r="267" spans="1:4" ht="13.5" x14ac:dyDescent="0.25">
      <c r="A267" s="202">
        <v>89</v>
      </c>
      <c r="B267" s="192" t="str">
        <f t="shared" ref="B267:B268" si="88">$B$266</f>
        <v>Ponto89</v>
      </c>
      <c r="C267" s="198" t="s">
        <v>119</v>
      </c>
      <c r="D267" s="199">
        <v>266</v>
      </c>
    </row>
    <row r="268" spans="1:4" ht="13.5" x14ac:dyDescent="0.25">
      <c r="A268" s="202">
        <v>89</v>
      </c>
      <c r="B268" s="192" t="str">
        <f t="shared" si="88"/>
        <v>Ponto89</v>
      </c>
      <c r="C268" s="198" t="s">
        <v>120</v>
      </c>
      <c r="D268" s="199">
        <v>267</v>
      </c>
    </row>
    <row r="269" spans="1:4" ht="13.5" x14ac:dyDescent="0.25">
      <c r="A269" s="202">
        <v>90</v>
      </c>
      <c r="B269" s="191" t="s">
        <v>311</v>
      </c>
      <c r="C269" s="198" t="s">
        <v>118</v>
      </c>
      <c r="D269" s="199">
        <v>268</v>
      </c>
    </row>
    <row r="270" spans="1:4" ht="13.5" x14ac:dyDescent="0.25">
      <c r="A270" s="202">
        <v>90</v>
      </c>
      <c r="B270" s="192" t="str">
        <f t="shared" ref="B270:B271" si="89">$B$269</f>
        <v>Ponto90</v>
      </c>
      <c r="C270" s="198" t="s">
        <v>119</v>
      </c>
      <c r="D270" s="199">
        <v>269</v>
      </c>
    </row>
    <row r="271" spans="1:4" ht="13.5" x14ac:dyDescent="0.25">
      <c r="A271" s="202">
        <v>90</v>
      </c>
      <c r="B271" s="192" t="str">
        <f t="shared" si="89"/>
        <v>Ponto90</v>
      </c>
      <c r="C271" s="198" t="s">
        <v>120</v>
      </c>
      <c r="D271" s="199">
        <v>270</v>
      </c>
    </row>
    <row r="272" spans="1:4" ht="13.5" x14ac:dyDescent="0.25">
      <c r="A272" s="202">
        <v>91</v>
      </c>
      <c r="B272" s="191" t="s">
        <v>312</v>
      </c>
      <c r="C272" s="198" t="s">
        <v>118</v>
      </c>
      <c r="D272" s="199">
        <v>271</v>
      </c>
    </row>
    <row r="273" spans="1:4" ht="13.5" x14ac:dyDescent="0.25">
      <c r="A273" s="202">
        <v>91</v>
      </c>
      <c r="B273" s="192" t="str">
        <f t="shared" ref="B273:B274" si="90">$B$272</f>
        <v>Ponto91</v>
      </c>
      <c r="C273" s="198" t="s">
        <v>119</v>
      </c>
      <c r="D273" s="199">
        <v>272</v>
      </c>
    </row>
    <row r="274" spans="1:4" ht="13.5" x14ac:dyDescent="0.25">
      <c r="A274" s="202">
        <v>91</v>
      </c>
      <c r="B274" s="192" t="str">
        <f t="shared" si="90"/>
        <v>Ponto91</v>
      </c>
      <c r="C274" s="198" t="s">
        <v>120</v>
      </c>
      <c r="D274" s="199">
        <v>273</v>
      </c>
    </row>
    <row r="275" spans="1:4" ht="13.5" x14ac:dyDescent="0.25">
      <c r="A275" s="202">
        <v>92</v>
      </c>
      <c r="B275" s="191" t="s">
        <v>313</v>
      </c>
      <c r="C275" s="198" t="s">
        <v>118</v>
      </c>
      <c r="D275" s="199">
        <v>274</v>
      </c>
    </row>
    <row r="276" spans="1:4" ht="13.5" x14ac:dyDescent="0.25">
      <c r="A276" s="202">
        <v>92</v>
      </c>
      <c r="B276" s="192" t="str">
        <f t="shared" ref="B276:B277" si="91">$B$275</f>
        <v>Ponto92</v>
      </c>
      <c r="C276" s="198" t="s">
        <v>119</v>
      </c>
      <c r="D276" s="199">
        <v>275</v>
      </c>
    </row>
    <row r="277" spans="1:4" ht="13.5" x14ac:dyDescent="0.25">
      <c r="A277" s="202">
        <v>92</v>
      </c>
      <c r="B277" s="192" t="str">
        <f t="shared" si="91"/>
        <v>Ponto92</v>
      </c>
      <c r="C277" s="198" t="s">
        <v>120</v>
      </c>
      <c r="D277" s="199">
        <v>276</v>
      </c>
    </row>
    <row r="278" spans="1:4" ht="13.5" x14ac:dyDescent="0.25">
      <c r="A278" s="202">
        <v>93</v>
      </c>
      <c r="B278" s="191" t="s">
        <v>314</v>
      </c>
      <c r="C278" s="198" t="s">
        <v>118</v>
      </c>
      <c r="D278" s="199">
        <v>277</v>
      </c>
    </row>
    <row r="279" spans="1:4" ht="13.5" x14ac:dyDescent="0.25">
      <c r="A279" s="202">
        <v>93</v>
      </c>
      <c r="B279" s="192" t="str">
        <f t="shared" ref="B279:B280" si="92">$B$278</f>
        <v>Ponto93</v>
      </c>
      <c r="C279" s="198" t="s">
        <v>119</v>
      </c>
      <c r="D279" s="199">
        <v>278</v>
      </c>
    </row>
    <row r="280" spans="1:4" ht="13.5" x14ac:dyDescent="0.25">
      <c r="A280" s="202">
        <v>93</v>
      </c>
      <c r="B280" s="192" t="str">
        <f t="shared" si="92"/>
        <v>Ponto93</v>
      </c>
      <c r="C280" s="198" t="s">
        <v>120</v>
      </c>
      <c r="D280" s="199">
        <v>279</v>
      </c>
    </row>
    <row r="281" spans="1:4" ht="13.5" x14ac:dyDescent="0.25">
      <c r="A281" s="202">
        <v>94</v>
      </c>
      <c r="B281" s="191" t="s">
        <v>315</v>
      </c>
      <c r="C281" s="198" t="s">
        <v>118</v>
      </c>
      <c r="D281" s="199">
        <v>280</v>
      </c>
    </row>
    <row r="282" spans="1:4" ht="13.5" x14ac:dyDescent="0.25">
      <c r="A282" s="202">
        <v>94</v>
      </c>
      <c r="B282" s="192" t="str">
        <f t="shared" ref="B282:B283" si="93">$B$281</f>
        <v>Ponto94</v>
      </c>
      <c r="C282" s="198" t="s">
        <v>119</v>
      </c>
      <c r="D282" s="199">
        <v>281</v>
      </c>
    </row>
    <row r="283" spans="1:4" ht="13.5" x14ac:dyDescent="0.25">
      <c r="A283" s="202">
        <v>94</v>
      </c>
      <c r="B283" s="192" t="str">
        <f t="shared" si="93"/>
        <v>Ponto94</v>
      </c>
      <c r="C283" s="198" t="s">
        <v>120</v>
      </c>
      <c r="D283" s="199">
        <v>282</v>
      </c>
    </row>
    <row r="284" spans="1:4" ht="13.5" x14ac:dyDescent="0.25">
      <c r="A284" s="202">
        <v>95</v>
      </c>
      <c r="B284" s="191" t="s">
        <v>316</v>
      </c>
      <c r="C284" s="198" t="s">
        <v>118</v>
      </c>
      <c r="D284" s="199">
        <v>283</v>
      </c>
    </row>
    <row r="285" spans="1:4" ht="13.5" x14ac:dyDescent="0.25">
      <c r="A285" s="202">
        <v>95</v>
      </c>
      <c r="B285" s="192" t="str">
        <f t="shared" ref="B285:B286" si="94">$B$284</f>
        <v>Ponto95</v>
      </c>
      <c r="C285" s="198" t="s">
        <v>119</v>
      </c>
      <c r="D285" s="199">
        <v>284</v>
      </c>
    </row>
    <row r="286" spans="1:4" ht="13.5" x14ac:dyDescent="0.25">
      <c r="A286" s="202">
        <v>95</v>
      </c>
      <c r="B286" s="192" t="str">
        <f t="shared" si="94"/>
        <v>Ponto95</v>
      </c>
      <c r="C286" s="198" t="s">
        <v>120</v>
      </c>
      <c r="D286" s="199">
        <v>285</v>
      </c>
    </row>
    <row r="287" spans="1:4" ht="13.5" x14ac:dyDescent="0.25">
      <c r="A287" s="202">
        <v>96</v>
      </c>
      <c r="B287" s="191" t="s">
        <v>317</v>
      </c>
      <c r="C287" s="198" t="s">
        <v>118</v>
      </c>
      <c r="D287" s="199">
        <v>286</v>
      </c>
    </row>
    <row r="288" spans="1:4" ht="13.5" x14ac:dyDescent="0.25">
      <c r="A288" s="202">
        <v>96</v>
      </c>
      <c r="B288" s="192" t="str">
        <f t="shared" ref="B288:B289" si="95">$B$287</f>
        <v>Ponto96</v>
      </c>
      <c r="C288" s="198" t="s">
        <v>119</v>
      </c>
      <c r="D288" s="199">
        <v>287</v>
      </c>
    </row>
    <row r="289" spans="1:4" ht="13.5" x14ac:dyDescent="0.25">
      <c r="A289" s="202">
        <v>96</v>
      </c>
      <c r="B289" s="192" t="str">
        <f t="shared" si="95"/>
        <v>Ponto96</v>
      </c>
      <c r="C289" s="198" t="s">
        <v>120</v>
      </c>
      <c r="D289" s="199">
        <v>288</v>
      </c>
    </row>
    <row r="290" spans="1:4" ht="13.5" x14ac:dyDescent="0.25">
      <c r="A290" s="202">
        <v>97</v>
      </c>
      <c r="B290" s="191" t="s">
        <v>318</v>
      </c>
      <c r="C290" s="198" t="s">
        <v>118</v>
      </c>
      <c r="D290" s="199">
        <v>289</v>
      </c>
    </row>
    <row r="291" spans="1:4" ht="13.5" x14ac:dyDescent="0.25">
      <c r="A291" s="202">
        <v>97</v>
      </c>
      <c r="B291" s="192" t="str">
        <f t="shared" ref="B291:B292" si="96">$B$290</f>
        <v>Ponto97</v>
      </c>
      <c r="C291" s="198" t="s">
        <v>119</v>
      </c>
      <c r="D291" s="199">
        <v>290</v>
      </c>
    </row>
    <row r="292" spans="1:4" ht="13.5" x14ac:dyDescent="0.25">
      <c r="A292" s="202">
        <v>97</v>
      </c>
      <c r="B292" s="192" t="str">
        <f t="shared" si="96"/>
        <v>Ponto97</v>
      </c>
      <c r="C292" s="198" t="s">
        <v>120</v>
      </c>
      <c r="D292" s="199">
        <v>291</v>
      </c>
    </row>
    <row r="293" spans="1:4" ht="13.5" x14ac:dyDescent="0.25">
      <c r="A293" s="202">
        <v>98</v>
      </c>
      <c r="B293" s="191" t="s">
        <v>319</v>
      </c>
      <c r="C293" s="198" t="s">
        <v>118</v>
      </c>
      <c r="D293" s="199">
        <v>292</v>
      </c>
    </row>
    <row r="294" spans="1:4" ht="13.5" x14ac:dyDescent="0.25">
      <c r="A294" s="202">
        <v>98</v>
      </c>
      <c r="B294" s="192" t="str">
        <f t="shared" ref="B294:B295" si="97">$B$293</f>
        <v>Ponto98</v>
      </c>
      <c r="C294" s="198" t="s">
        <v>119</v>
      </c>
      <c r="D294" s="199">
        <v>293</v>
      </c>
    </row>
    <row r="295" spans="1:4" ht="13.5" x14ac:dyDescent="0.25">
      <c r="A295" s="202">
        <v>98</v>
      </c>
      <c r="B295" s="192" t="str">
        <f t="shared" si="97"/>
        <v>Ponto98</v>
      </c>
      <c r="C295" s="198" t="s">
        <v>120</v>
      </c>
      <c r="D295" s="199">
        <v>294</v>
      </c>
    </row>
    <row r="296" spans="1:4" ht="13.5" x14ac:dyDescent="0.25">
      <c r="A296" s="202">
        <v>99</v>
      </c>
      <c r="B296" s="191" t="s">
        <v>320</v>
      </c>
      <c r="C296" s="198" t="s">
        <v>118</v>
      </c>
      <c r="D296" s="199">
        <v>295</v>
      </c>
    </row>
    <row r="297" spans="1:4" ht="13.5" x14ac:dyDescent="0.25">
      <c r="A297" s="202">
        <v>99</v>
      </c>
      <c r="B297" s="192" t="str">
        <f t="shared" ref="B297:B298" si="98">$B$296</f>
        <v>Ponto99</v>
      </c>
      <c r="C297" s="198" t="s">
        <v>119</v>
      </c>
      <c r="D297" s="199">
        <v>296</v>
      </c>
    </row>
    <row r="298" spans="1:4" ht="13.5" x14ac:dyDescent="0.25">
      <c r="A298" s="202">
        <v>99</v>
      </c>
      <c r="B298" s="192" t="str">
        <f t="shared" si="98"/>
        <v>Ponto99</v>
      </c>
      <c r="C298" s="198" t="s">
        <v>120</v>
      </c>
      <c r="D298" s="199">
        <v>297</v>
      </c>
    </row>
    <row r="299" spans="1:4" ht="13.5" x14ac:dyDescent="0.25">
      <c r="A299" s="202">
        <v>100</v>
      </c>
      <c r="B299" s="191" t="s">
        <v>321</v>
      </c>
      <c r="C299" s="198" t="s">
        <v>118</v>
      </c>
      <c r="D299" s="199">
        <v>298</v>
      </c>
    </row>
    <row r="300" spans="1:4" ht="13.5" x14ac:dyDescent="0.25">
      <c r="A300" s="202">
        <v>100</v>
      </c>
      <c r="B300" s="192" t="str">
        <f t="shared" ref="B300:B301" si="99">$B$299</f>
        <v>Ponto100</v>
      </c>
      <c r="C300" s="198" t="s">
        <v>119</v>
      </c>
      <c r="D300" s="199">
        <v>299</v>
      </c>
    </row>
    <row r="301" spans="1:4" ht="13.5" x14ac:dyDescent="0.25">
      <c r="A301" s="202">
        <v>100</v>
      </c>
      <c r="B301" s="192" t="str">
        <f t="shared" si="99"/>
        <v>Ponto100</v>
      </c>
      <c r="C301" s="198" t="s">
        <v>120</v>
      </c>
      <c r="D301" s="199">
        <v>300</v>
      </c>
    </row>
    <row r="302" spans="1:4" ht="13.5" x14ac:dyDescent="0.25">
      <c r="A302" s="202">
        <v>101</v>
      </c>
      <c r="B302" s="191" t="s">
        <v>322</v>
      </c>
      <c r="C302" s="198" t="s">
        <v>118</v>
      </c>
      <c r="D302" s="199">
        <v>301</v>
      </c>
    </row>
    <row r="303" spans="1:4" ht="13.5" x14ac:dyDescent="0.25">
      <c r="A303" s="202">
        <v>101</v>
      </c>
      <c r="B303" s="192" t="str">
        <f t="shared" ref="B303:B304" si="100">$B$302</f>
        <v>Ponto101</v>
      </c>
      <c r="C303" s="198" t="s">
        <v>119</v>
      </c>
      <c r="D303" s="199">
        <v>302</v>
      </c>
    </row>
    <row r="304" spans="1:4" ht="13.5" x14ac:dyDescent="0.25">
      <c r="A304" s="202">
        <v>101</v>
      </c>
      <c r="B304" s="192" t="str">
        <f t="shared" si="100"/>
        <v>Ponto101</v>
      </c>
      <c r="C304" s="198" t="s">
        <v>120</v>
      </c>
      <c r="D304" s="199">
        <v>303</v>
      </c>
    </row>
    <row r="305" spans="1:4" ht="13.5" x14ac:dyDescent="0.25">
      <c r="A305" s="202">
        <v>102</v>
      </c>
      <c r="B305" s="191" t="s">
        <v>323</v>
      </c>
      <c r="C305" s="198" t="s">
        <v>118</v>
      </c>
      <c r="D305" s="199">
        <v>304</v>
      </c>
    </row>
    <row r="306" spans="1:4" ht="13.5" x14ac:dyDescent="0.25">
      <c r="A306" s="202">
        <v>102</v>
      </c>
      <c r="B306" s="192" t="str">
        <f t="shared" ref="B306:B307" si="101">$B$305</f>
        <v>Ponto102</v>
      </c>
      <c r="C306" s="198" t="s">
        <v>119</v>
      </c>
      <c r="D306" s="199">
        <v>305</v>
      </c>
    </row>
    <row r="307" spans="1:4" ht="13.5" x14ac:dyDescent="0.25">
      <c r="A307" s="202">
        <v>102</v>
      </c>
      <c r="B307" s="192" t="str">
        <f t="shared" si="101"/>
        <v>Ponto102</v>
      </c>
      <c r="C307" s="198" t="s">
        <v>120</v>
      </c>
      <c r="D307" s="199">
        <v>306</v>
      </c>
    </row>
    <row r="308" spans="1:4" ht="13.5" x14ac:dyDescent="0.25">
      <c r="A308" s="202">
        <v>103</v>
      </c>
      <c r="B308" s="191" t="s">
        <v>324</v>
      </c>
      <c r="C308" s="198" t="s">
        <v>118</v>
      </c>
      <c r="D308" s="199">
        <v>307</v>
      </c>
    </row>
    <row r="309" spans="1:4" ht="13.5" x14ac:dyDescent="0.25">
      <c r="A309" s="202">
        <v>103</v>
      </c>
      <c r="B309" s="192" t="str">
        <f t="shared" ref="B309:B310" si="102">$B$308</f>
        <v>Ponto103</v>
      </c>
      <c r="C309" s="198" t="s">
        <v>119</v>
      </c>
      <c r="D309" s="199">
        <v>308</v>
      </c>
    </row>
    <row r="310" spans="1:4" ht="13.5" x14ac:dyDescent="0.25">
      <c r="A310" s="202">
        <v>103</v>
      </c>
      <c r="B310" s="192" t="str">
        <f t="shared" si="102"/>
        <v>Ponto103</v>
      </c>
      <c r="C310" s="198" t="s">
        <v>120</v>
      </c>
      <c r="D310" s="199">
        <v>309</v>
      </c>
    </row>
    <row r="311" spans="1:4" ht="13.5" x14ac:dyDescent="0.25">
      <c r="A311" s="202">
        <v>104</v>
      </c>
      <c r="B311" s="191" t="s">
        <v>325</v>
      </c>
      <c r="C311" s="198" t="s">
        <v>118</v>
      </c>
      <c r="D311" s="199">
        <v>310</v>
      </c>
    </row>
    <row r="312" spans="1:4" ht="13.5" x14ac:dyDescent="0.25">
      <c r="A312" s="202">
        <v>104</v>
      </c>
      <c r="B312" s="192" t="str">
        <f t="shared" ref="B312:B313" si="103">$B$311</f>
        <v>Ponto104</v>
      </c>
      <c r="C312" s="198" t="s">
        <v>119</v>
      </c>
      <c r="D312" s="199">
        <v>311</v>
      </c>
    </row>
    <row r="313" spans="1:4" ht="13.5" x14ac:dyDescent="0.25">
      <c r="A313" s="202">
        <v>104</v>
      </c>
      <c r="B313" s="192" t="str">
        <f t="shared" si="103"/>
        <v>Ponto104</v>
      </c>
      <c r="C313" s="198" t="s">
        <v>120</v>
      </c>
      <c r="D313" s="199">
        <v>312</v>
      </c>
    </row>
    <row r="314" spans="1:4" ht="13.5" x14ac:dyDescent="0.25">
      <c r="A314" s="202">
        <v>105</v>
      </c>
      <c r="B314" s="191" t="s">
        <v>326</v>
      </c>
      <c r="C314" s="198" t="s">
        <v>118</v>
      </c>
      <c r="D314" s="199">
        <v>313</v>
      </c>
    </row>
    <row r="315" spans="1:4" ht="13.5" x14ac:dyDescent="0.25">
      <c r="A315" s="202">
        <v>105</v>
      </c>
      <c r="B315" s="192" t="str">
        <f t="shared" ref="B315:B316" si="104">$B$314</f>
        <v>Ponto105</v>
      </c>
      <c r="C315" s="198" t="s">
        <v>119</v>
      </c>
      <c r="D315" s="199">
        <v>314</v>
      </c>
    </row>
    <row r="316" spans="1:4" ht="13.5" x14ac:dyDescent="0.25">
      <c r="A316" s="202">
        <v>105</v>
      </c>
      <c r="B316" s="192" t="str">
        <f t="shared" si="104"/>
        <v>Ponto105</v>
      </c>
      <c r="C316" s="198" t="s">
        <v>120</v>
      </c>
      <c r="D316" s="199">
        <v>315</v>
      </c>
    </row>
    <row r="317" spans="1:4" ht="13.5" x14ac:dyDescent="0.25">
      <c r="A317" s="202">
        <v>106</v>
      </c>
      <c r="B317" s="191" t="s">
        <v>327</v>
      </c>
      <c r="C317" s="198" t="s">
        <v>118</v>
      </c>
      <c r="D317" s="199">
        <v>316</v>
      </c>
    </row>
    <row r="318" spans="1:4" ht="13.5" x14ac:dyDescent="0.25">
      <c r="A318" s="202">
        <v>106</v>
      </c>
      <c r="B318" s="192" t="str">
        <f t="shared" ref="B318:B319" si="105">$B$317</f>
        <v>Ponto106</v>
      </c>
      <c r="C318" s="198" t="s">
        <v>119</v>
      </c>
      <c r="D318" s="199">
        <v>317</v>
      </c>
    </row>
    <row r="319" spans="1:4" ht="13.5" x14ac:dyDescent="0.25">
      <c r="A319" s="202">
        <v>106</v>
      </c>
      <c r="B319" s="192" t="str">
        <f t="shared" si="105"/>
        <v>Ponto106</v>
      </c>
      <c r="C319" s="198" t="s">
        <v>120</v>
      </c>
      <c r="D319" s="199">
        <v>318</v>
      </c>
    </row>
    <row r="320" spans="1:4" ht="13.5" x14ac:dyDescent="0.25">
      <c r="A320" s="202">
        <v>107</v>
      </c>
      <c r="B320" s="191" t="s">
        <v>328</v>
      </c>
      <c r="C320" s="198" t="s">
        <v>118</v>
      </c>
      <c r="D320" s="199">
        <v>319</v>
      </c>
    </row>
    <row r="321" spans="1:4" ht="13.5" x14ac:dyDescent="0.25">
      <c r="A321" s="202">
        <v>107</v>
      </c>
      <c r="B321" s="192" t="str">
        <f t="shared" ref="B321:B322" si="106">$B$320</f>
        <v>Ponto107</v>
      </c>
      <c r="C321" s="198" t="s">
        <v>119</v>
      </c>
      <c r="D321" s="199">
        <v>320</v>
      </c>
    </row>
    <row r="322" spans="1:4" ht="13.5" x14ac:dyDescent="0.25">
      <c r="A322" s="202">
        <v>107</v>
      </c>
      <c r="B322" s="192" t="str">
        <f t="shared" si="106"/>
        <v>Ponto107</v>
      </c>
      <c r="C322" s="198" t="s">
        <v>120</v>
      </c>
      <c r="D322" s="199">
        <v>321</v>
      </c>
    </row>
    <row r="323" spans="1:4" ht="13.5" x14ac:dyDescent="0.25">
      <c r="A323" s="202">
        <v>108</v>
      </c>
      <c r="B323" s="191" t="s">
        <v>329</v>
      </c>
      <c r="C323" s="198" t="s">
        <v>118</v>
      </c>
      <c r="D323" s="199">
        <v>322</v>
      </c>
    </row>
    <row r="324" spans="1:4" ht="13.5" x14ac:dyDescent="0.25">
      <c r="A324" s="202">
        <v>108</v>
      </c>
      <c r="B324" s="192" t="str">
        <f t="shared" ref="B324:B325" si="107">$B$323</f>
        <v>Ponto108</v>
      </c>
      <c r="C324" s="198" t="s">
        <v>119</v>
      </c>
      <c r="D324" s="199">
        <v>323</v>
      </c>
    </row>
    <row r="325" spans="1:4" ht="13.5" x14ac:dyDescent="0.25">
      <c r="A325" s="202">
        <v>108</v>
      </c>
      <c r="B325" s="192" t="str">
        <f t="shared" si="107"/>
        <v>Ponto108</v>
      </c>
      <c r="C325" s="198" t="s">
        <v>120</v>
      </c>
      <c r="D325" s="199">
        <v>324</v>
      </c>
    </row>
    <row r="326" spans="1:4" ht="13.5" x14ac:dyDescent="0.25">
      <c r="A326" s="202">
        <v>109</v>
      </c>
      <c r="B326" s="191" t="s">
        <v>330</v>
      </c>
      <c r="C326" s="198" t="s">
        <v>118</v>
      </c>
      <c r="D326" s="199">
        <v>325</v>
      </c>
    </row>
    <row r="327" spans="1:4" ht="13.5" x14ac:dyDescent="0.25">
      <c r="A327" s="202">
        <v>109</v>
      </c>
      <c r="B327" s="192" t="str">
        <f t="shared" ref="B327:B328" si="108">$B$326</f>
        <v>Ponto109</v>
      </c>
      <c r="C327" s="198" t="s">
        <v>119</v>
      </c>
      <c r="D327" s="199">
        <v>326</v>
      </c>
    </row>
    <row r="328" spans="1:4" ht="13.5" x14ac:dyDescent="0.25">
      <c r="A328" s="202">
        <v>109</v>
      </c>
      <c r="B328" s="192" t="str">
        <f t="shared" si="108"/>
        <v>Ponto109</v>
      </c>
      <c r="C328" s="198" t="s">
        <v>120</v>
      </c>
      <c r="D328" s="199">
        <v>327</v>
      </c>
    </row>
    <row r="329" spans="1:4" ht="13.5" x14ac:dyDescent="0.25">
      <c r="A329" s="202">
        <v>110</v>
      </c>
      <c r="B329" s="191" t="s">
        <v>331</v>
      </c>
      <c r="C329" s="198" t="s">
        <v>118</v>
      </c>
      <c r="D329" s="199">
        <v>328</v>
      </c>
    </row>
    <row r="330" spans="1:4" ht="13.5" x14ac:dyDescent="0.25">
      <c r="A330" s="202">
        <v>110</v>
      </c>
      <c r="B330" s="192" t="str">
        <f t="shared" ref="B330:B331" si="109">$B$329</f>
        <v>Ponto110</v>
      </c>
      <c r="C330" s="198" t="s">
        <v>119</v>
      </c>
      <c r="D330" s="199">
        <v>329</v>
      </c>
    </row>
    <row r="331" spans="1:4" ht="13.5" x14ac:dyDescent="0.25">
      <c r="A331" s="202">
        <v>110</v>
      </c>
      <c r="B331" s="192" t="str">
        <f t="shared" si="109"/>
        <v>Ponto110</v>
      </c>
      <c r="C331" s="198" t="s">
        <v>120</v>
      </c>
      <c r="D331" s="199">
        <v>330</v>
      </c>
    </row>
    <row r="332" spans="1:4" ht="13.5" x14ac:dyDescent="0.25">
      <c r="A332" s="202">
        <v>111</v>
      </c>
      <c r="B332" s="191" t="s">
        <v>332</v>
      </c>
      <c r="C332" s="198" t="s">
        <v>118</v>
      </c>
      <c r="D332" s="199">
        <v>331</v>
      </c>
    </row>
    <row r="333" spans="1:4" ht="13.5" x14ac:dyDescent="0.25">
      <c r="A333" s="202">
        <v>111</v>
      </c>
      <c r="B333" s="192" t="str">
        <f t="shared" ref="B333:B334" si="110">$B$332</f>
        <v>Ponto111</v>
      </c>
      <c r="C333" s="198" t="s">
        <v>119</v>
      </c>
      <c r="D333" s="199">
        <v>332</v>
      </c>
    </row>
    <row r="334" spans="1:4" ht="13.5" x14ac:dyDescent="0.25">
      <c r="A334" s="202">
        <v>111</v>
      </c>
      <c r="B334" s="192" t="str">
        <f t="shared" si="110"/>
        <v>Ponto111</v>
      </c>
      <c r="C334" s="198" t="s">
        <v>120</v>
      </c>
      <c r="D334" s="199">
        <v>333</v>
      </c>
    </row>
    <row r="335" spans="1:4" ht="13.5" x14ac:dyDescent="0.25">
      <c r="A335" s="202">
        <v>112</v>
      </c>
      <c r="B335" s="191" t="s">
        <v>333</v>
      </c>
      <c r="C335" s="198" t="s">
        <v>118</v>
      </c>
      <c r="D335" s="199">
        <v>334</v>
      </c>
    </row>
    <row r="336" spans="1:4" ht="13.5" x14ac:dyDescent="0.25">
      <c r="A336" s="202">
        <v>112</v>
      </c>
      <c r="B336" s="192" t="str">
        <f t="shared" ref="B336:B337" si="111">$B$335</f>
        <v>Ponto112</v>
      </c>
      <c r="C336" s="198" t="s">
        <v>119</v>
      </c>
      <c r="D336" s="199">
        <v>335</v>
      </c>
    </row>
    <row r="337" spans="1:4" ht="13.5" x14ac:dyDescent="0.25">
      <c r="A337" s="202">
        <v>112</v>
      </c>
      <c r="B337" s="192" t="str">
        <f t="shared" si="111"/>
        <v>Ponto112</v>
      </c>
      <c r="C337" s="198" t="s">
        <v>120</v>
      </c>
      <c r="D337" s="199">
        <v>336</v>
      </c>
    </row>
    <row r="338" spans="1:4" ht="13.5" x14ac:dyDescent="0.25">
      <c r="A338" s="202">
        <v>113</v>
      </c>
      <c r="B338" s="191" t="s">
        <v>334</v>
      </c>
      <c r="C338" s="198" t="s">
        <v>118</v>
      </c>
      <c r="D338" s="199">
        <v>337</v>
      </c>
    </row>
    <row r="339" spans="1:4" ht="13.5" x14ac:dyDescent="0.25">
      <c r="A339" s="202">
        <v>113</v>
      </c>
      <c r="B339" s="192" t="str">
        <f t="shared" ref="B339:B340" si="112">$B$338</f>
        <v>Ponto113</v>
      </c>
      <c r="C339" s="198" t="s">
        <v>119</v>
      </c>
      <c r="D339" s="199">
        <v>338</v>
      </c>
    </row>
    <row r="340" spans="1:4" ht="13.5" x14ac:dyDescent="0.25">
      <c r="A340" s="202">
        <v>113</v>
      </c>
      <c r="B340" s="192" t="str">
        <f t="shared" si="112"/>
        <v>Ponto113</v>
      </c>
      <c r="C340" s="198" t="s">
        <v>120</v>
      </c>
      <c r="D340" s="199">
        <v>339</v>
      </c>
    </row>
    <row r="341" spans="1:4" ht="13.5" x14ac:dyDescent="0.25">
      <c r="A341" s="202">
        <v>114</v>
      </c>
      <c r="B341" s="191" t="s">
        <v>335</v>
      </c>
      <c r="C341" s="198" t="s">
        <v>118</v>
      </c>
      <c r="D341" s="199">
        <v>340</v>
      </c>
    </row>
    <row r="342" spans="1:4" ht="13.5" x14ac:dyDescent="0.25">
      <c r="A342" s="202">
        <v>114</v>
      </c>
      <c r="B342" s="192" t="str">
        <f t="shared" ref="B342:B343" si="113">$B$341</f>
        <v>Ponto114</v>
      </c>
      <c r="C342" s="198" t="s">
        <v>119</v>
      </c>
      <c r="D342" s="199">
        <v>341</v>
      </c>
    </row>
    <row r="343" spans="1:4" ht="13.5" x14ac:dyDescent="0.25">
      <c r="A343" s="202">
        <v>114</v>
      </c>
      <c r="B343" s="192" t="str">
        <f t="shared" si="113"/>
        <v>Ponto114</v>
      </c>
      <c r="C343" s="198" t="s">
        <v>120</v>
      </c>
      <c r="D343" s="199">
        <v>342</v>
      </c>
    </row>
    <row r="344" spans="1:4" ht="13.5" x14ac:dyDescent="0.25">
      <c r="A344" s="202">
        <v>115</v>
      </c>
      <c r="B344" s="191" t="s">
        <v>336</v>
      </c>
      <c r="C344" s="198" t="s">
        <v>118</v>
      </c>
      <c r="D344" s="199">
        <v>343</v>
      </c>
    </row>
    <row r="345" spans="1:4" ht="13.5" x14ac:dyDescent="0.25">
      <c r="A345" s="202">
        <v>115</v>
      </c>
      <c r="B345" s="192" t="str">
        <f t="shared" ref="B345:B346" si="114">$B$344</f>
        <v>Ponto115</v>
      </c>
      <c r="C345" s="198" t="s">
        <v>119</v>
      </c>
      <c r="D345" s="199">
        <v>344</v>
      </c>
    </row>
    <row r="346" spans="1:4" ht="13.5" x14ac:dyDescent="0.25">
      <c r="A346" s="202">
        <v>115</v>
      </c>
      <c r="B346" s="192" t="str">
        <f t="shared" si="114"/>
        <v>Ponto115</v>
      </c>
      <c r="C346" s="198" t="s">
        <v>120</v>
      </c>
      <c r="D346" s="199">
        <v>345</v>
      </c>
    </row>
    <row r="347" spans="1:4" ht="13.5" x14ac:dyDescent="0.25">
      <c r="A347" s="202">
        <v>116</v>
      </c>
      <c r="B347" s="191" t="s">
        <v>337</v>
      </c>
      <c r="C347" s="198" t="s">
        <v>118</v>
      </c>
      <c r="D347" s="199">
        <v>346</v>
      </c>
    </row>
    <row r="348" spans="1:4" ht="13.5" x14ac:dyDescent="0.25">
      <c r="A348" s="202">
        <v>116</v>
      </c>
      <c r="B348" s="192" t="str">
        <f t="shared" ref="B348:B349" si="115">$B$347</f>
        <v>Ponto116</v>
      </c>
      <c r="C348" s="198" t="s">
        <v>119</v>
      </c>
      <c r="D348" s="199">
        <v>347</v>
      </c>
    </row>
    <row r="349" spans="1:4" ht="13.5" x14ac:dyDescent="0.25">
      <c r="A349" s="202">
        <v>116</v>
      </c>
      <c r="B349" s="192" t="str">
        <f t="shared" si="115"/>
        <v>Ponto116</v>
      </c>
      <c r="C349" s="198" t="s">
        <v>120</v>
      </c>
      <c r="D349" s="199">
        <v>348</v>
      </c>
    </row>
    <row r="350" spans="1:4" ht="13.5" x14ac:dyDescent="0.25">
      <c r="A350" s="202">
        <v>117</v>
      </c>
      <c r="B350" s="191" t="s">
        <v>338</v>
      </c>
      <c r="C350" s="198" t="s">
        <v>118</v>
      </c>
      <c r="D350" s="199">
        <v>349</v>
      </c>
    </row>
    <row r="351" spans="1:4" ht="13.5" x14ac:dyDescent="0.25">
      <c r="A351" s="202">
        <v>117</v>
      </c>
      <c r="B351" s="192" t="str">
        <f t="shared" ref="B351:B352" si="116">$B$350</f>
        <v>Ponto117</v>
      </c>
      <c r="C351" s="198" t="s">
        <v>119</v>
      </c>
      <c r="D351" s="199">
        <v>350</v>
      </c>
    </row>
    <row r="352" spans="1:4" ht="13.5" x14ac:dyDescent="0.25">
      <c r="A352" s="202">
        <v>117</v>
      </c>
      <c r="B352" s="192" t="str">
        <f t="shared" si="116"/>
        <v>Ponto117</v>
      </c>
      <c r="C352" s="198" t="s">
        <v>120</v>
      </c>
      <c r="D352" s="199">
        <v>351</v>
      </c>
    </row>
    <row r="353" spans="1:4" ht="13.5" x14ac:dyDescent="0.25">
      <c r="A353" s="202">
        <v>118</v>
      </c>
      <c r="B353" s="191" t="s">
        <v>339</v>
      </c>
      <c r="C353" s="198" t="s">
        <v>118</v>
      </c>
      <c r="D353" s="199">
        <v>352</v>
      </c>
    </row>
    <row r="354" spans="1:4" ht="13.5" x14ac:dyDescent="0.25">
      <c r="A354" s="202">
        <v>118</v>
      </c>
      <c r="B354" s="192" t="str">
        <f t="shared" ref="B354:B355" si="117">$B$353</f>
        <v>Ponto118</v>
      </c>
      <c r="C354" s="198" t="s">
        <v>119</v>
      </c>
      <c r="D354" s="199">
        <v>353</v>
      </c>
    </row>
    <row r="355" spans="1:4" ht="13.5" x14ac:dyDescent="0.25">
      <c r="A355" s="202">
        <v>118</v>
      </c>
      <c r="B355" s="192" t="str">
        <f t="shared" si="117"/>
        <v>Ponto118</v>
      </c>
      <c r="C355" s="198" t="s">
        <v>120</v>
      </c>
      <c r="D355" s="199">
        <v>354</v>
      </c>
    </row>
    <row r="356" spans="1:4" ht="13.5" x14ac:dyDescent="0.25">
      <c r="A356" s="202">
        <v>119</v>
      </c>
      <c r="B356" s="191" t="s">
        <v>340</v>
      </c>
      <c r="C356" s="198" t="s">
        <v>118</v>
      </c>
      <c r="D356" s="199">
        <v>355</v>
      </c>
    </row>
    <row r="357" spans="1:4" ht="13.5" x14ac:dyDescent="0.25">
      <c r="A357" s="202">
        <v>119</v>
      </c>
      <c r="B357" s="192" t="str">
        <f t="shared" ref="B357:B358" si="118">$B$356</f>
        <v>Ponto119</v>
      </c>
      <c r="C357" s="198" t="s">
        <v>119</v>
      </c>
      <c r="D357" s="199">
        <v>356</v>
      </c>
    </row>
    <row r="358" spans="1:4" ht="13.5" x14ac:dyDescent="0.25">
      <c r="A358" s="202">
        <v>119</v>
      </c>
      <c r="B358" s="192" t="str">
        <f t="shared" si="118"/>
        <v>Ponto119</v>
      </c>
      <c r="C358" s="198" t="s">
        <v>120</v>
      </c>
      <c r="D358" s="199">
        <v>357</v>
      </c>
    </row>
    <row r="359" spans="1:4" ht="13.5" x14ac:dyDescent="0.25">
      <c r="A359" s="202">
        <v>120</v>
      </c>
      <c r="B359" s="191" t="s">
        <v>341</v>
      </c>
      <c r="C359" s="198" t="s">
        <v>118</v>
      </c>
      <c r="D359" s="199">
        <v>358</v>
      </c>
    </row>
    <row r="360" spans="1:4" ht="13.5" x14ac:dyDescent="0.25">
      <c r="A360" s="202">
        <v>120</v>
      </c>
      <c r="B360" s="192" t="str">
        <f t="shared" ref="B360:B361" si="119">$B$359</f>
        <v>Ponto120</v>
      </c>
      <c r="C360" s="198" t="s">
        <v>119</v>
      </c>
      <c r="D360" s="199">
        <v>359</v>
      </c>
    </row>
    <row r="361" spans="1:4" ht="13.5" x14ac:dyDescent="0.25">
      <c r="A361" s="202">
        <v>120</v>
      </c>
      <c r="B361" s="192" t="str">
        <f t="shared" si="119"/>
        <v>Ponto120</v>
      </c>
      <c r="C361" s="198" t="s">
        <v>120</v>
      </c>
      <c r="D361" s="199">
        <v>360</v>
      </c>
    </row>
    <row r="362" spans="1:4" ht="13.5" x14ac:dyDescent="0.25">
      <c r="A362" s="202">
        <v>121</v>
      </c>
      <c r="B362" s="191" t="s">
        <v>342</v>
      </c>
      <c r="C362" s="198" t="s">
        <v>118</v>
      </c>
      <c r="D362" s="199">
        <v>361</v>
      </c>
    </row>
    <row r="363" spans="1:4" ht="13.5" x14ac:dyDescent="0.25">
      <c r="A363" s="202">
        <v>121</v>
      </c>
      <c r="B363" s="192" t="str">
        <f t="shared" ref="B363:B364" si="120">$B$362</f>
        <v>Ponto121</v>
      </c>
      <c r="C363" s="198" t="s">
        <v>119</v>
      </c>
      <c r="D363" s="199">
        <v>362</v>
      </c>
    </row>
    <row r="364" spans="1:4" ht="13.5" x14ac:dyDescent="0.25">
      <c r="A364" s="202">
        <v>121</v>
      </c>
      <c r="B364" s="192" t="str">
        <f t="shared" si="120"/>
        <v>Ponto121</v>
      </c>
      <c r="C364" s="198" t="s">
        <v>120</v>
      </c>
      <c r="D364" s="199">
        <v>363</v>
      </c>
    </row>
    <row r="365" spans="1:4" ht="13.5" x14ac:dyDescent="0.25">
      <c r="A365" s="202">
        <v>122</v>
      </c>
      <c r="B365" s="191" t="s">
        <v>343</v>
      </c>
      <c r="C365" s="198" t="s">
        <v>118</v>
      </c>
      <c r="D365" s="199">
        <v>364</v>
      </c>
    </row>
    <row r="366" spans="1:4" ht="13.5" x14ac:dyDescent="0.25">
      <c r="A366" s="202">
        <v>122</v>
      </c>
      <c r="B366" s="192" t="str">
        <f t="shared" ref="B366:B367" si="121">$B$365</f>
        <v>Ponto122</v>
      </c>
      <c r="C366" s="198" t="s">
        <v>119</v>
      </c>
      <c r="D366" s="199">
        <v>365</v>
      </c>
    </row>
    <row r="367" spans="1:4" ht="13.5" x14ac:dyDescent="0.25">
      <c r="A367" s="202">
        <v>122</v>
      </c>
      <c r="B367" s="192" t="str">
        <f t="shared" si="121"/>
        <v>Ponto122</v>
      </c>
      <c r="C367" s="198" t="s">
        <v>120</v>
      </c>
      <c r="D367" s="199">
        <v>366</v>
      </c>
    </row>
    <row r="368" spans="1:4" ht="13.5" x14ac:dyDescent="0.25">
      <c r="A368" s="202">
        <v>123</v>
      </c>
      <c r="B368" s="191" t="s">
        <v>344</v>
      </c>
      <c r="C368" s="198" t="s">
        <v>118</v>
      </c>
      <c r="D368" s="199">
        <v>367</v>
      </c>
    </row>
    <row r="369" spans="1:4" ht="13.5" x14ac:dyDescent="0.25">
      <c r="A369" s="202">
        <v>123</v>
      </c>
      <c r="B369" s="192" t="str">
        <f t="shared" ref="B369:B370" si="122">$B$368</f>
        <v>Ponto123</v>
      </c>
      <c r="C369" s="198" t="s">
        <v>119</v>
      </c>
      <c r="D369" s="199">
        <v>368</v>
      </c>
    </row>
    <row r="370" spans="1:4" ht="13.5" x14ac:dyDescent="0.25">
      <c r="A370" s="202">
        <v>123</v>
      </c>
      <c r="B370" s="192" t="str">
        <f t="shared" si="122"/>
        <v>Ponto123</v>
      </c>
      <c r="C370" s="198" t="s">
        <v>120</v>
      </c>
      <c r="D370" s="199">
        <v>369</v>
      </c>
    </row>
    <row r="371" spans="1:4" ht="13.5" x14ac:dyDescent="0.25">
      <c r="A371" s="202">
        <v>124</v>
      </c>
      <c r="B371" s="191" t="s">
        <v>345</v>
      </c>
      <c r="C371" s="198" t="s">
        <v>118</v>
      </c>
      <c r="D371" s="199">
        <v>370</v>
      </c>
    </row>
    <row r="372" spans="1:4" ht="13.5" x14ac:dyDescent="0.25">
      <c r="A372" s="202">
        <v>124</v>
      </c>
      <c r="B372" s="192" t="str">
        <f t="shared" ref="B372:B373" si="123">$B$371</f>
        <v>Ponto124</v>
      </c>
      <c r="C372" s="198" t="s">
        <v>119</v>
      </c>
      <c r="D372" s="199">
        <v>371</v>
      </c>
    </row>
    <row r="373" spans="1:4" ht="13.5" x14ac:dyDescent="0.25">
      <c r="A373" s="202">
        <v>124</v>
      </c>
      <c r="B373" s="192" t="str">
        <f t="shared" si="123"/>
        <v>Ponto124</v>
      </c>
      <c r="C373" s="198" t="s">
        <v>120</v>
      </c>
      <c r="D373" s="199">
        <v>372</v>
      </c>
    </row>
    <row r="374" spans="1:4" ht="13.5" x14ac:dyDescent="0.25">
      <c r="A374" s="202">
        <v>125</v>
      </c>
      <c r="B374" s="191" t="s">
        <v>346</v>
      </c>
      <c r="C374" s="198" t="s">
        <v>118</v>
      </c>
      <c r="D374" s="199">
        <v>373</v>
      </c>
    </row>
    <row r="375" spans="1:4" ht="13.5" x14ac:dyDescent="0.25">
      <c r="A375" s="202">
        <v>125</v>
      </c>
      <c r="B375" s="192" t="str">
        <f t="shared" ref="B375:B376" si="124">$B$374</f>
        <v>Ponto125</v>
      </c>
      <c r="C375" s="198" t="s">
        <v>119</v>
      </c>
      <c r="D375" s="199">
        <v>374</v>
      </c>
    </row>
    <row r="376" spans="1:4" ht="13.5" x14ac:dyDescent="0.25">
      <c r="A376" s="202">
        <v>125</v>
      </c>
      <c r="B376" s="192" t="str">
        <f t="shared" si="124"/>
        <v>Ponto125</v>
      </c>
      <c r="C376" s="198" t="s">
        <v>120</v>
      </c>
      <c r="D376" s="199">
        <v>375</v>
      </c>
    </row>
    <row r="377" spans="1:4" ht="13.5" x14ac:dyDescent="0.25">
      <c r="A377" s="202">
        <v>126</v>
      </c>
      <c r="B377" s="191" t="s">
        <v>347</v>
      </c>
      <c r="C377" s="198" t="s">
        <v>118</v>
      </c>
      <c r="D377" s="199">
        <v>376</v>
      </c>
    </row>
    <row r="378" spans="1:4" ht="13.5" x14ac:dyDescent="0.25">
      <c r="A378" s="202">
        <v>126</v>
      </c>
      <c r="B378" s="192" t="str">
        <f t="shared" ref="B378:B379" si="125">$B$377</f>
        <v>Ponto126</v>
      </c>
      <c r="C378" s="198" t="s">
        <v>119</v>
      </c>
      <c r="D378" s="199">
        <v>377</v>
      </c>
    </row>
    <row r="379" spans="1:4" ht="13.5" x14ac:dyDescent="0.25">
      <c r="A379" s="202">
        <v>126</v>
      </c>
      <c r="B379" s="192" t="str">
        <f t="shared" si="125"/>
        <v>Ponto126</v>
      </c>
      <c r="C379" s="198" t="s">
        <v>120</v>
      </c>
      <c r="D379" s="199">
        <v>378</v>
      </c>
    </row>
    <row r="380" spans="1:4" ht="13.5" x14ac:dyDescent="0.25">
      <c r="A380" s="202">
        <v>127</v>
      </c>
      <c r="B380" s="191" t="s">
        <v>348</v>
      </c>
      <c r="C380" s="198" t="s">
        <v>118</v>
      </c>
      <c r="D380" s="199">
        <v>379</v>
      </c>
    </row>
    <row r="381" spans="1:4" ht="13.5" x14ac:dyDescent="0.25">
      <c r="A381" s="202">
        <v>127</v>
      </c>
      <c r="B381" s="192" t="str">
        <f t="shared" ref="B381:B382" si="126">$B$380</f>
        <v>Ponto127</v>
      </c>
      <c r="C381" s="198" t="s">
        <v>119</v>
      </c>
      <c r="D381" s="199">
        <v>380</v>
      </c>
    </row>
    <row r="382" spans="1:4" ht="13.5" x14ac:dyDescent="0.25">
      <c r="A382" s="202">
        <v>127</v>
      </c>
      <c r="B382" s="192" t="str">
        <f t="shared" si="126"/>
        <v>Ponto127</v>
      </c>
      <c r="C382" s="198" t="s">
        <v>120</v>
      </c>
      <c r="D382" s="199">
        <v>381</v>
      </c>
    </row>
    <row r="383" spans="1:4" ht="13.5" x14ac:dyDescent="0.25">
      <c r="A383" s="202">
        <v>128</v>
      </c>
      <c r="B383" s="191" t="s">
        <v>349</v>
      </c>
      <c r="C383" s="198" t="s">
        <v>118</v>
      </c>
      <c r="D383" s="199">
        <v>382</v>
      </c>
    </row>
    <row r="384" spans="1:4" ht="13.5" x14ac:dyDescent="0.25">
      <c r="A384" s="202">
        <v>128</v>
      </c>
      <c r="B384" s="192" t="str">
        <f t="shared" ref="B384:B385" si="127">$B$383</f>
        <v>Ponto128</v>
      </c>
      <c r="C384" s="198" t="s">
        <v>119</v>
      </c>
      <c r="D384" s="199">
        <v>383</v>
      </c>
    </row>
    <row r="385" spans="1:4" ht="13.5" x14ac:dyDescent="0.25">
      <c r="A385" s="202">
        <v>128</v>
      </c>
      <c r="B385" s="192" t="str">
        <f t="shared" si="127"/>
        <v>Ponto128</v>
      </c>
      <c r="C385" s="198" t="s">
        <v>120</v>
      </c>
      <c r="D385" s="199">
        <v>384</v>
      </c>
    </row>
    <row r="386" spans="1:4" ht="13.5" x14ac:dyDescent="0.25">
      <c r="A386" s="202">
        <v>129</v>
      </c>
      <c r="B386" s="191" t="s">
        <v>350</v>
      </c>
      <c r="C386" s="198" t="s">
        <v>118</v>
      </c>
      <c r="D386" s="199">
        <v>385</v>
      </c>
    </row>
    <row r="387" spans="1:4" ht="13.5" x14ac:dyDescent="0.25">
      <c r="A387" s="202">
        <v>129</v>
      </c>
      <c r="B387" s="192" t="str">
        <f t="shared" ref="B387:B388" si="128">$B$386</f>
        <v>Ponto129</v>
      </c>
      <c r="C387" s="198" t="s">
        <v>119</v>
      </c>
      <c r="D387" s="199">
        <v>386</v>
      </c>
    </row>
    <row r="388" spans="1:4" ht="13.5" x14ac:dyDescent="0.25">
      <c r="A388" s="202">
        <v>129</v>
      </c>
      <c r="B388" s="192" t="str">
        <f t="shared" si="128"/>
        <v>Ponto129</v>
      </c>
      <c r="C388" s="198" t="s">
        <v>120</v>
      </c>
      <c r="D388" s="199">
        <v>387</v>
      </c>
    </row>
    <row r="389" spans="1:4" ht="13.5" x14ac:dyDescent="0.25">
      <c r="A389" s="202">
        <v>130</v>
      </c>
      <c r="B389" s="191" t="s">
        <v>351</v>
      </c>
      <c r="C389" s="198" t="s">
        <v>118</v>
      </c>
      <c r="D389" s="199">
        <v>388</v>
      </c>
    </row>
    <row r="390" spans="1:4" ht="13.5" x14ac:dyDescent="0.25">
      <c r="A390" s="202">
        <v>130</v>
      </c>
      <c r="B390" s="192" t="str">
        <f t="shared" ref="B390:B391" si="129">$B$389</f>
        <v>Ponto130</v>
      </c>
      <c r="C390" s="198" t="s">
        <v>119</v>
      </c>
      <c r="D390" s="199">
        <v>389</v>
      </c>
    </row>
    <row r="391" spans="1:4" ht="13.5" x14ac:dyDescent="0.25">
      <c r="A391" s="202">
        <v>130</v>
      </c>
      <c r="B391" s="192" t="str">
        <f t="shared" si="129"/>
        <v>Ponto130</v>
      </c>
      <c r="C391" s="198" t="s">
        <v>120</v>
      </c>
      <c r="D391" s="199">
        <v>390</v>
      </c>
    </row>
    <row r="392" spans="1:4" ht="13.5" x14ac:dyDescent="0.25">
      <c r="A392" s="202">
        <v>131</v>
      </c>
      <c r="B392" s="191" t="s">
        <v>128</v>
      </c>
      <c r="C392" s="198" t="s">
        <v>118</v>
      </c>
      <c r="D392" s="199">
        <v>391</v>
      </c>
    </row>
    <row r="393" spans="1:4" ht="13.5" x14ac:dyDescent="0.25">
      <c r="A393" s="202">
        <v>131</v>
      </c>
      <c r="B393" s="192" t="str">
        <f t="shared" ref="B393:B394" si="130">$B$392</f>
        <v>Ponto131</v>
      </c>
      <c r="C393" s="198" t="s">
        <v>119</v>
      </c>
      <c r="D393" s="199">
        <v>392</v>
      </c>
    </row>
    <row r="394" spans="1:4" ht="13.5" x14ac:dyDescent="0.25">
      <c r="A394" s="202">
        <v>131</v>
      </c>
      <c r="B394" s="192" t="str">
        <f t="shared" si="130"/>
        <v>Ponto131</v>
      </c>
      <c r="C394" s="198" t="s">
        <v>120</v>
      </c>
      <c r="D394" s="199">
        <v>393</v>
      </c>
    </row>
    <row r="395" spans="1:4" ht="13.5" x14ac:dyDescent="0.25">
      <c r="A395" s="202">
        <v>132</v>
      </c>
      <c r="B395" s="191" t="s">
        <v>129</v>
      </c>
      <c r="C395" s="198" t="s">
        <v>118</v>
      </c>
      <c r="D395" s="199">
        <v>394</v>
      </c>
    </row>
    <row r="396" spans="1:4" ht="13.5" x14ac:dyDescent="0.25">
      <c r="A396" s="202">
        <v>132</v>
      </c>
      <c r="B396" s="192" t="str">
        <f t="shared" ref="B396:B397" si="131">$B$395</f>
        <v>Ponto132</v>
      </c>
      <c r="C396" s="198" t="s">
        <v>119</v>
      </c>
      <c r="D396" s="199">
        <v>395</v>
      </c>
    </row>
    <row r="397" spans="1:4" ht="13.5" x14ac:dyDescent="0.25">
      <c r="A397" s="202">
        <v>132</v>
      </c>
      <c r="B397" s="192" t="str">
        <f t="shared" si="131"/>
        <v>Ponto132</v>
      </c>
      <c r="C397" s="198" t="s">
        <v>120</v>
      </c>
      <c r="D397" s="199">
        <v>396</v>
      </c>
    </row>
    <row r="398" spans="1:4" ht="13.5" x14ac:dyDescent="0.25">
      <c r="A398" s="202">
        <v>133</v>
      </c>
      <c r="B398" s="191" t="s">
        <v>130</v>
      </c>
      <c r="C398" s="198" t="s">
        <v>118</v>
      </c>
      <c r="D398" s="199">
        <v>397</v>
      </c>
    </row>
    <row r="399" spans="1:4" ht="13.5" x14ac:dyDescent="0.25">
      <c r="A399" s="202">
        <v>133</v>
      </c>
      <c r="B399" s="192" t="str">
        <f t="shared" ref="B399:B400" si="132">$B$398</f>
        <v>Ponto133</v>
      </c>
      <c r="C399" s="198" t="s">
        <v>119</v>
      </c>
      <c r="D399" s="199">
        <v>398</v>
      </c>
    </row>
    <row r="400" spans="1:4" ht="13.5" x14ac:dyDescent="0.25">
      <c r="A400" s="202">
        <v>133</v>
      </c>
      <c r="B400" s="192" t="str">
        <f t="shared" si="132"/>
        <v>Ponto133</v>
      </c>
      <c r="C400" s="198" t="s">
        <v>120</v>
      </c>
      <c r="D400" s="199">
        <v>399</v>
      </c>
    </row>
    <row r="401" spans="1:4" ht="13.5" x14ac:dyDescent="0.25">
      <c r="A401" s="202">
        <v>134</v>
      </c>
      <c r="B401" s="191" t="s">
        <v>131</v>
      </c>
      <c r="C401" s="198" t="s">
        <v>118</v>
      </c>
      <c r="D401" s="199">
        <v>400</v>
      </c>
    </row>
    <row r="402" spans="1:4" ht="13.5" x14ac:dyDescent="0.25">
      <c r="A402" s="202">
        <v>134</v>
      </c>
      <c r="B402" s="192" t="str">
        <f t="shared" ref="B402:B403" si="133">$B$401</f>
        <v>Ponto134</v>
      </c>
      <c r="C402" s="198" t="s">
        <v>119</v>
      </c>
      <c r="D402" s="199">
        <v>401</v>
      </c>
    </row>
    <row r="403" spans="1:4" ht="13.5" x14ac:dyDescent="0.25">
      <c r="A403" s="202">
        <v>134</v>
      </c>
      <c r="B403" s="192" t="str">
        <f t="shared" si="133"/>
        <v>Ponto134</v>
      </c>
      <c r="C403" s="198" t="s">
        <v>120</v>
      </c>
      <c r="D403" s="199">
        <v>402</v>
      </c>
    </row>
    <row r="404" spans="1:4" ht="13.5" x14ac:dyDescent="0.25">
      <c r="A404" s="202">
        <v>135</v>
      </c>
      <c r="B404" s="191" t="s">
        <v>132</v>
      </c>
      <c r="C404" s="198" t="s">
        <v>118</v>
      </c>
      <c r="D404" s="199">
        <v>403</v>
      </c>
    </row>
    <row r="405" spans="1:4" ht="13.5" x14ac:dyDescent="0.25">
      <c r="A405" s="202">
        <v>135</v>
      </c>
      <c r="B405" s="192" t="str">
        <f t="shared" ref="B405:B406" si="134">$B$404</f>
        <v>Ponto135</v>
      </c>
      <c r="C405" s="198" t="s">
        <v>119</v>
      </c>
      <c r="D405" s="199">
        <v>404</v>
      </c>
    </row>
    <row r="406" spans="1:4" ht="13.5" x14ac:dyDescent="0.25">
      <c r="A406" s="202">
        <v>135</v>
      </c>
      <c r="B406" s="192" t="str">
        <f t="shared" si="134"/>
        <v>Ponto135</v>
      </c>
      <c r="C406" s="198" t="s">
        <v>120</v>
      </c>
      <c r="D406" s="199">
        <v>405</v>
      </c>
    </row>
    <row r="407" spans="1:4" ht="13.5" x14ac:dyDescent="0.25">
      <c r="A407" s="202">
        <v>136</v>
      </c>
      <c r="B407" s="191" t="s">
        <v>133</v>
      </c>
      <c r="C407" s="198" t="s">
        <v>118</v>
      </c>
      <c r="D407" s="199">
        <v>406</v>
      </c>
    </row>
    <row r="408" spans="1:4" ht="13.5" x14ac:dyDescent="0.25">
      <c r="A408" s="202">
        <v>136</v>
      </c>
      <c r="B408" s="192" t="str">
        <f t="shared" ref="B408:B409" si="135">$B$407</f>
        <v>Ponto136</v>
      </c>
      <c r="C408" s="198" t="s">
        <v>119</v>
      </c>
      <c r="D408" s="199">
        <v>407</v>
      </c>
    </row>
    <row r="409" spans="1:4" ht="13.5" x14ac:dyDescent="0.25">
      <c r="A409" s="202">
        <v>136</v>
      </c>
      <c r="B409" s="192" t="str">
        <f t="shared" si="135"/>
        <v>Ponto136</v>
      </c>
      <c r="C409" s="198" t="s">
        <v>120</v>
      </c>
      <c r="D409" s="199">
        <v>408</v>
      </c>
    </row>
    <row r="410" spans="1:4" ht="13.5" x14ac:dyDescent="0.25">
      <c r="A410" s="202">
        <v>137</v>
      </c>
      <c r="B410" s="191" t="s">
        <v>134</v>
      </c>
      <c r="C410" s="198" t="s">
        <v>118</v>
      </c>
      <c r="D410" s="199">
        <v>409</v>
      </c>
    </row>
    <row r="411" spans="1:4" ht="13.5" x14ac:dyDescent="0.25">
      <c r="A411" s="202">
        <v>137</v>
      </c>
      <c r="B411" s="192" t="str">
        <f t="shared" ref="B411:B412" si="136">$B$410</f>
        <v>Ponto137</v>
      </c>
      <c r="C411" s="198" t="s">
        <v>119</v>
      </c>
      <c r="D411" s="199">
        <v>410</v>
      </c>
    </row>
    <row r="412" spans="1:4" ht="13.5" x14ac:dyDescent="0.25">
      <c r="A412" s="202">
        <v>137</v>
      </c>
      <c r="B412" s="192" t="str">
        <f t="shared" si="136"/>
        <v>Ponto137</v>
      </c>
      <c r="C412" s="198" t="s">
        <v>120</v>
      </c>
      <c r="D412" s="199">
        <v>411</v>
      </c>
    </row>
    <row r="413" spans="1:4" ht="13.5" x14ac:dyDescent="0.25">
      <c r="A413" s="202">
        <v>138</v>
      </c>
      <c r="B413" s="191" t="s">
        <v>135</v>
      </c>
      <c r="C413" s="198" t="s">
        <v>118</v>
      </c>
      <c r="D413" s="199">
        <v>412</v>
      </c>
    </row>
    <row r="414" spans="1:4" ht="13.5" x14ac:dyDescent="0.25">
      <c r="A414" s="202">
        <v>138</v>
      </c>
      <c r="B414" s="192" t="str">
        <f t="shared" ref="B414:B415" si="137">$B$413</f>
        <v>Ponto138</v>
      </c>
      <c r="C414" s="198" t="s">
        <v>119</v>
      </c>
      <c r="D414" s="199">
        <v>413</v>
      </c>
    </row>
    <row r="415" spans="1:4" ht="13.5" x14ac:dyDescent="0.25">
      <c r="A415" s="202">
        <v>138</v>
      </c>
      <c r="B415" s="192" t="str">
        <f t="shared" si="137"/>
        <v>Ponto138</v>
      </c>
      <c r="C415" s="198" t="s">
        <v>120</v>
      </c>
      <c r="D415" s="199">
        <v>414</v>
      </c>
    </row>
    <row r="416" spans="1:4" ht="13.5" x14ac:dyDescent="0.25">
      <c r="A416" s="202">
        <v>139</v>
      </c>
      <c r="B416" s="191" t="s">
        <v>136</v>
      </c>
      <c r="C416" s="198" t="s">
        <v>118</v>
      </c>
      <c r="D416" s="199">
        <v>415</v>
      </c>
    </row>
    <row r="417" spans="1:4" ht="13.5" x14ac:dyDescent="0.25">
      <c r="A417" s="202">
        <v>139</v>
      </c>
      <c r="B417" s="192" t="str">
        <f t="shared" ref="B417:B418" si="138">$B$416</f>
        <v>Ponto139</v>
      </c>
      <c r="C417" s="198" t="s">
        <v>119</v>
      </c>
      <c r="D417" s="199">
        <v>416</v>
      </c>
    </row>
    <row r="418" spans="1:4" ht="13.5" x14ac:dyDescent="0.25">
      <c r="A418" s="202">
        <v>139</v>
      </c>
      <c r="B418" s="192" t="str">
        <f t="shared" si="138"/>
        <v>Ponto139</v>
      </c>
      <c r="C418" s="198" t="s">
        <v>120</v>
      </c>
      <c r="D418" s="199">
        <v>417</v>
      </c>
    </row>
    <row r="419" spans="1:4" ht="13.5" x14ac:dyDescent="0.25">
      <c r="A419" s="202">
        <v>140</v>
      </c>
      <c r="B419" s="191" t="s">
        <v>137</v>
      </c>
      <c r="C419" s="198" t="s">
        <v>118</v>
      </c>
      <c r="D419" s="199">
        <v>418</v>
      </c>
    </row>
    <row r="420" spans="1:4" ht="13.5" x14ac:dyDescent="0.25">
      <c r="A420" s="202">
        <v>140</v>
      </c>
      <c r="B420" s="192" t="str">
        <f t="shared" ref="B420:B421" si="139">$B$419</f>
        <v>Ponto140</v>
      </c>
      <c r="C420" s="198" t="s">
        <v>119</v>
      </c>
      <c r="D420" s="199">
        <v>419</v>
      </c>
    </row>
    <row r="421" spans="1:4" ht="13.5" x14ac:dyDescent="0.25">
      <c r="A421" s="202">
        <v>140</v>
      </c>
      <c r="B421" s="192" t="str">
        <f t="shared" si="139"/>
        <v>Ponto140</v>
      </c>
      <c r="C421" s="198" t="s">
        <v>120</v>
      </c>
      <c r="D421" s="199">
        <v>420</v>
      </c>
    </row>
    <row r="422" spans="1:4" ht="13.5" x14ac:dyDescent="0.25">
      <c r="A422" s="202">
        <v>141</v>
      </c>
      <c r="B422" s="191" t="s">
        <v>138</v>
      </c>
      <c r="C422" s="198" t="s">
        <v>118</v>
      </c>
      <c r="D422" s="199">
        <v>421</v>
      </c>
    </row>
    <row r="423" spans="1:4" ht="13.5" x14ac:dyDescent="0.25">
      <c r="A423" s="202">
        <v>141</v>
      </c>
      <c r="B423" s="192" t="str">
        <f t="shared" ref="B423:B424" si="140">$B$422</f>
        <v>Ponto141</v>
      </c>
      <c r="C423" s="198" t="s">
        <v>119</v>
      </c>
      <c r="D423" s="199">
        <v>422</v>
      </c>
    </row>
    <row r="424" spans="1:4" ht="13.5" x14ac:dyDescent="0.25">
      <c r="A424" s="202">
        <v>141</v>
      </c>
      <c r="B424" s="192" t="str">
        <f t="shared" si="140"/>
        <v>Ponto141</v>
      </c>
      <c r="C424" s="198" t="s">
        <v>120</v>
      </c>
      <c r="D424" s="199">
        <v>423</v>
      </c>
    </row>
    <row r="425" spans="1:4" ht="13.5" x14ac:dyDescent="0.25">
      <c r="A425" s="202">
        <v>142</v>
      </c>
      <c r="B425" s="191" t="s">
        <v>139</v>
      </c>
      <c r="C425" s="198" t="s">
        <v>118</v>
      </c>
      <c r="D425" s="199">
        <v>424</v>
      </c>
    </row>
    <row r="426" spans="1:4" ht="13.5" x14ac:dyDescent="0.25">
      <c r="A426" s="202">
        <v>142</v>
      </c>
      <c r="B426" s="192" t="str">
        <f t="shared" ref="B426:B427" si="141">$B$425</f>
        <v>Ponto142</v>
      </c>
      <c r="C426" s="198" t="s">
        <v>119</v>
      </c>
      <c r="D426" s="199">
        <v>425</v>
      </c>
    </row>
    <row r="427" spans="1:4" ht="13.5" x14ac:dyDescent="0.25">
      <c r="A427" s="202">
        <v>142</v>
      </c>
      <c r="B427" s="192" t="str">
        <f t="shared" si="141"/>
        <v>Ponto142</v>
      </c>
      <c r="C427" s="198" t="s">
        <v>120</v>
      </c>
      <c r="D427" s="199">
        <v>426</v>
      </c>
    </row>
    <row r="428" spans="1:4" ht="13.5" x14ac:dyDescent="0.25">
      <c r="A428" s="202">
        <v>143</v>
      </c>
      <c r="B428" s="191" t="s">
        <v>140</v>
      </c>
      <c r="C428" s="198" t="s">
        <v>118</v>
      </c>
      <c r="D428" s="199">
        <v>427</v>
      </c>
    </row>
    <row r="429" spans="1:4" ht="13.5" x14ac:dyDescent="0.25">
      <c r="A429" s="202">
        <v>143</v>
      </c>
      <c r="B429" s="192" t="str">
        <f t="shared" ref="B429:B430" si="142">$B$428</f>
        <v>Ponto143</v>
      </c>
      <c r="C429" s="198" t="s">
        <v>119</v>
      </c>
      <c r="D429" s="199">
        <v>428</v>
      </c>
    </row>
    <row r="430" spans="1:4" ht="13.5" x14ac:dyDescent="0.25">
      <c r="A430" s="202">
        <v>143</v>
      </c>
      <c r="B430" s="192" t="str">
        <f t="shared" si="142"/>
        <v>Ponto143</v>
      </c>
      <c r="C430" s="198" t="s">
        <v>120</v>
      </c>
      <c r="D430" s="199">
        <v>429</v>
      </c>
    </row>
    <row r="431" spans="1:4" ht="13.5" x14ac:dyDescent="0.25">
      <c r="A431" s="202">
        <v>144</v>
      </c>
      <c r="B431" s="191" t="s">
        <v>141</v>
      </c>
      <c r="C431" s="198" t="s">
        <v>118</v>
      </c>
      <c r="D431" s="199">
        <v>430</v>
      </c>
    </row>
    <row r="432" spans="1:4" ht="13.5" x14ac:dyDescent="0.25">
      <c r="A432" s="202">
        <v>144</v>
      </c>
      <c r="B432" s="192" t="str">
        <f t="shared" ref="B432:B433" si="143">$B$431</f>
        <v>Ponto144</v>
      </c>
      <c r="C432" s="198" t="s">
        <v>119</v>
      </c>
      <c r="D432" s="199">
        <v>431</v>
      </c>
    </row>
    <row r="433" spans="1:4" ht="13.5" x14ac:dyDescent="0.25">
      <c r="A433" s="202">
        <v>144</v>
      </c>
      <c r="B433" s="192" t="str">
        <f t="shared" si="143"/>
        <v>Ponto144</v>
      </c>
      <c r="C433" s="198" t="s">
        <v>120</v>
      </c>
      <c r="D433" s="199">
        <v>432</v>
      </c>
    </row>
    <row r="434" spans="1:4" ht="13.5" x14ac:dyDescent="0.25">
      <c r="A434" s="202">
        <v>145</v>
      </c>
      <c r="B434" s="191" t="s">
        <v>142</v>
      </c>
      <c r="C434" s="198" t="s">
        <v>118</v>
      </c>
      <c r="D434" s="199">
        <v>433</v>
      </c>
    </row>
    <row r="435" spans="1:4" ht="13.5" x14ac:dyDescent="0.25">
      <c r="A435" s="202">
        <v>145</v>
      </c>
      <c r="B435" s="192" t="str">
        <f t="shared" ref="B435:B436" si="144">$B$434</f>
        <v>Ponto145</v>
      </c>
      <c r="C435" s="198" t="s">
        <v>119</v>
      </c>
      <c r="D435" s="199">
        <v>434</v>
      </c>
    </row>
    <row r="436" spans="1:4" ht="13.5" x14ac:dyDescent="0.25">
      <c r="A436" s="202">
        <v>145</v>
      </c>
      <c r="B436" s="192" t="str">
        <f t="shared" si="144"/>
        <v>Ponto145</v>
      </c>
      <c r="C436" s="198" t="s">
        <v>120</v>
      </c>
      <c r="D436" s="199">
        <v>435</v>
      </c>
    </row>
    <row r="437" spans="1:4" ht="13.5" x14ac:dyDescent="0.25">
      <c r="A437" s="202">
        <v>146</v>
      </c>
      <c r="B437" s="191" t="s">
        <v>143</v>
      </c>
      <c r="C437" s="198" t="s">
        <v>118</v>
      </c>
      <c r="D437" s="199">
        <v>436</v>
      </c>
    </row>
    <row r="438" spans="1:4" ht="13.5" x14ac:dyDescent="0.25">
      <c r="A438" s="202">
        <v>146</v>
      </c>
      <c r="B438" s="192" t="str">
        <f t="shared" ref="B438:B439" si="145">$B$437</f>
        <v>Ponto146</v>
      </c>
      <c r="C438" s="198" t="s">
        <v>119</v>
      </c>
      <c r="D438" s="199">
        <v>437</v>
      </c>
    </row>
    <row r="439" spans="1:4" ht="13.5" x14ac:dyDescent="0.25">
      <c r="A439" s="202">
        <v>146</v>
      </c>
      <c r="B439" s="192" t="str">
        <f t="shared" si="145"/>
        <v>Ponto146</v>
      </c>
      <c r="C439" s="198" t="s">
        <v>120</v>
      </c>
      <c r="D439" s="199">
        <v>438</v>
      </c>
    </row>
    <row r="440" spans="1:4" ht="13.5" x14ac:dyDescent="0.25">
      <c r="A440" s="202">
        <v>147</v>
      </c>
      <c r="B440" s="191" t="s">
        <v>144</v>
      </c>
      <c r="C440" s="198" t="s">
        <v>118</v>
      </c>
      <c r="D440" s="199">
        <v>439</v>
      </c>
    </row>
    <row r="441" spans="1:4" ht="13.5" x14ac:dyDescent="0.25">
      <c r="A441" s="202">
        <v>147</v>
      </c>
      <c r="B441" s="192" t="str">
        <f t="shared" ref="B441:B442" si="146">$B$440</f>
        <v>Ponto147</v>
      </c>
      <c r="C441" s="198" t="s">
        <v>119</v>
      </c>
      <c r="D441" s="199">
        <v>440</v>
      </c>
    </row>
    <row r="442" spans="1:4" ht="13.5" x14ac:dyDescent="0.25">
      <c r="A442" s="202">
        <v>147</v>
      </c>
      <c r="B442" s="192" t="str">
        <f t="shared" si="146"/>
        <v>Ponto147</v>
      </c>
      <c r="C442" s="198" t="s">
        <v>120</v>
      </c>
      <c r="D442" s="199">
        <v>441</v>
      </c>
    </row>
    <row r="443" spans="1:4" ht="13.5" x14ac:dyDescent="0.25">
      <c r="A443" s="202">
        <v>148</v>
      </c>
      <c r="B443" s="191" t="s">
        <v>145</v>
      </c>
      <c r="C443" s="198" t="s">
        <v>118</v>
      </c>
      <c r="D443" s="199">
        <v>442</v>
      </c>
    </row>
    <row r="444" spans="1:4" ht="13.5" x14ac:dyDescent="0.25">
      <c r="A444" s="202">
        <v>148</v>
      </c>
      <c r="B444" s="192" t="str">
        <f t="shared" ref="B444:B445" si="147">$B$443</f>
        <v>Ponto148</v>
      </c>
      <c r="C444" s="198" t="s">
        <v>119</v>
      </c>
      <c r="D444" s="199">
        <v>443</v>
      </c>
    </row>
    <row r="445" spans="1:4" ht="13.5" x14ac:dyDescent="0.25">
      <c r="A445" s="202">
        <v>148</v>
      </c>
      <c r="B445" s="192" t="str">
        <f t="shared" si="147"/>
        <v>Ponto148</v>
      </c>
      <c r="C445" s="198" t="s">
        <v>120</v>
      </c>
      <c r="D445" s="199">
        <v>444</v>
      </c>
    </row>
    <row r="446" spans="1:4" ht="13.5" x14ac:dyDescent="0.25">
      <c r="A446" s="202">
        <v>149</v>
      </c>
      <c r="B446" s="191" t="s">
        <v>146</v>
      </c>
      <c r="C446" s="198" t="s">
        <v>118</v>
      </c>
      <c r="D446" s="199">
        <v>445</v>
      </c>
    </row>
    <row r="447" spans="1:4" ht="13.5" x14ac:dyDescent="0.25">
      <c r="A447" s="202">
        <v>149</v>
      </c>
      <c r="B447" s="192" t="str">
        <f t="shared" ref="B447:B448" si="148">$B$446</f>
        <v>Ponto149</v>
      </c>
      <c r="C447" s="198" t="s">
        <v>119</v>
      </c>
      <c r="D447" s="199">
        <v>446</v>
      </c>
    </row>
    <row r="448" spans="1:4" ht="13.5" x14ac:dyDescent="0.25">
      <c r="A448" s="202">
        <v>149</v>
      </c>
      <c r="B448" s="192" t="str">
        <f t="shared" si="148"/>
        <v>Ponto149</v>
      </c>
      <c r="C448" s="198" t="s">
        <v>120</v>
      </c>
      <c r="D448" s="199">
        <v>447</v>
      </c>
    </row>
    <row r="449" spans="1:4" ht="13.5" x14ac:dyDescent="0.25">
      <c r="A449" s="202">
        <v>150</v>
      </c>
      <c r="B449" s="191" t="s">
        <v>147</v>
      </c>
      <c r="C449" s="198" t="s">
        <v>118</v>
      </c>
      <c r="D449" s="199">
        <v>448</v>
      </c>
    </row>
    <row r="450" spans="1:4" ht="13.5" x14ac:dyDescent="0.25">
      <c r="A450" s="202">
        <v>150</v>
      </c>
      <c r="B450" s="192" t="str">
        <f t="shared" ref="B450:B451" si="149">$B$449</f>
        <v>Ponto150</v>
      </c>
      <c r="C450" s="198" t="s">
        <v>119</v>
      </c>
      <c r="D450" s="199">
        <v>449</v>
      </c>
    </row>
    <row r="451" spans="1:4" ht="13.5" x14ac:dyDescent="0.25">
      <c r="A451" s="202">
        <v>150</v>
      </c>
      <c r="B451" s="192" t="str">
        <f t="shared" si="149"/>
        <v>Ponto150</v>
      </c>
      <c r="C451" s="198" t="s">
        <v>120</v>
      </c>
      <c r="D451" s="199">
        <v>450</v>
      </c>
    </row>
    <row r="452" spans="1:4" ht="13.5" x14ac:dyDescent="0.25">
      <c r="A452" s="202">
        <v>151</v>
      </c>
      <c r="B452" s="191" t="s">
        <v>148</v>
      </c>
      <c r="C452" s="198" t="s">
        <v>118</v>
      </c>
      <c r="D452" s="199">
        <v>451</v>
      </c>
    </row>
    <row r="453" spans="1:4" ht="13.5" x14ac:dyDescent="0.25">
      <c r="A453" s="202">
        <v>151</v>
      </c>
      <c r="B453" s="192" t="str">
        <f t="shared" ref="B453:B454" si="150">$B$452</f>
        <v>Ponto151</v>
      </c>
      <c r="C453" s="198" t="s">
        <v>119</v>
      </c>
      <c r="D453" s="199">
        <v>452</v>
      </c>
    </row>
    <row r="454" spans="1:4" ht="13.5" x14ac:dyDescent="0.25">
      <c r="A454" s="202">
        <v>151</v>
      </c>
      <c r="B454" s="192" t="str">
        <f t="shared" si="150"/>
        <v>Ponto151</v>
      </c>
      <c r="C454" s="198" t="s">
        <v>120</v>
      </c>
      <c r="D454" s="199">
        <v>453</v>
      </c>
    </row>
    <row r="455" spans="1:4" ht="13.5" x14ac:dyDescent="0.25">
      <c r="A455" s="202">
        <v>152</v>
      </c>
      <c r="B455" s="191" t="s">
        <v>149</v>
      </c>
      <c r="C455" s="198" t="s">
        <v>118</v>
      </c>
      <c r="D455" s="199">
        <v>454</v>
      </c>
    </row>
    <row r="456" spans="1:4" ht="13.5" x14ac:dyDescent="0.25">
      <c r="A456" s="202">
        <v>152</v>
      </c>
      <c r="B456" s="192" t="str">
        <f t="shared" ref="B456:B457" si="151">$B$455</f>
        <v>Ponto152</v>
      </c>
      <c r="C456" s="198" t="s">
        <v>119</v>
      </c>
      <c r="D456" s="199">
        <v>455</v>
      </c>
    </row>
    <row r="457" spans="1:4" ht="13.5" x14ac:dyDescent="0.25">
      <c r="A457" s="202">
        <v>152</v>
      </c>
      <c r="B457" s="192" t="str">
        <f t="shared" si="151"/>
        <v>Ponto152</v>
      </c>
      <c r="C457" s="198" t="s">
        <v>120</v>
      </c>
      <c r="D457" s="199">
        <v>456</v>
      </c>
    </row>
    <row r="458" spans="1:4" ht="13.5" x14ac:dyDescent="0.25">
      <c r="A458" s="202">
        <v>153</v>
      </c>
      <c r="B458" s="191" t="s">
        <v>150</v>
      </c>
      <c r="C458" s="198" t="s">
        <v>118</v>
      </c>
      <c r="D458" s="199">
        <v>457</v>
      </c>
    </row>
    <row r="459" spans="1:4" ht="13.5" x14ac:dyDescent="0.25">
      <c r="A459" s="202">
        <v>153</v>
      </c>
      <c r="B459" s="192" t="str">
        <f t="shared" ref="B459:B460" si="152">$B$458</f>
        <v>Ponto153</v>
      </c>
      <c r="C459" s="198" t="s">
        <v>119</v>
      </c>
      <c r="D459" s="199">
        <v>458</v>
      </c>
    </row>
    <row r="460" spans="1:4" ht="13.5" x14ac:dyDescent="0.25">
      <c r="A460" s="202">
        <v>153</v>
      </c>
      <c r="B460" s="192" t="str">
        <f t="shared" si="152"/>
        <v>Ponto153</v>
      </c>
      <c r="C460" s="198" t="s">
        <v>120</v>
      </c>
      <c r="D460" s="199">
        <v>459</v>
      </c>
    </row>
    <row r="461" spans="1:4" ht="13.5" x14ac:dyDescent="0.25">
      <c r="A461" s="202">
        <v>154</v>
      </c>
      <c r="B461" s="191" t="s">
        <v>151</v>
      </c>
      <c r="C461" s="198" t="s">
        <v>118</v>
      </c>
      <c r="D461" s="199">
        <v>460</v>
      </c>
    </row>
    <row r="462" spans="1:4" ht="13.5" x14ac:dyDescent="0.25">
      <c r="A462" s="202">
        <v>154</v>
      </c>
      <c r="B462" s="192" t="str">
        <f t="shared" ref="B462:B463" si="153">$B$461</f>
        <v>Ponto154</v>
      </c>
      <c r="C462" s="198" t="s">
        <v>119</v>
      </c>
      <c r="D462" s="199">
        <v>461</v>
      </c>
    </row>
    <row r="463" spans="1:4" ht="13.5" x14ac:dyDescent="0.25">
      <c r="A463" s="202">
        <v>154</v>
      </c>
      <c r="B463" s="192" t="str">
        <f t="shared" si="153"/>
        <v>Ponto154</v>
      </c>
      <c r="C463" s="198" t="s">
        <v>120</v>
      </c>
      <c r="D463" s="199">
        <v>462</v>
      </c>
    </row>
    <row r="464" spans="1:4" ht="13.5" x14ac:dyDescent="0.25">
      <c r="A464" s="202">
        <v>155</v>
      </c>
      <c r="B464" s="191" t="s">
        <v>152</v>
      </c>
      <c r="C464" s="198" t="s">
        <v>118</v>
      </c>
      <c r="D464" s="199">
        <v>463</v>
      </c>
    </row>
    <row r="465" spans="1:4" ht="13.5" x14ac:dyDescent="0.25">
      <c r="A465" s="202">
        <v>155</v>
      </c>
      <c r="B465" s="192" t="str">
        <f t="shared" ref="B465:B466" si="154">$B$464</f>
        <v>Ponto155</v>
      </c>
      <c r="C465" s="198" t="s">
        <v>119</v>
      </c>
      <c r="D465" s="199">
        <v>464</v>
      </c>
    </row>
    <row r="466" spans="1:4" ht="13.5" x14ac:dyDescent="0.25">
      <c r="A466" s="202">
        <v>155</v>
      </c>
      <c r="B466" s="192" t="str">
        <f t="shared" si="154"/>
        <v>Ponto155</v>
      </c>
      <c r="C466" s="198" t="s">
        <v>120</v>
      </c>
      <c r="D466" s="199">
        <v>465</v>
      </c>
    </row>
    <row r="467" spans="1:4" ht="13.5" x14ac:dyDescent="0.25">
      <c r="A467" s="202">
        <v>156</v>
      </c>
      <c r="B467" s="191" t="s">
        <v>153</v>
      </c>
      <c r="C467" s="198" t="s">
        <v>118</v>
      </c>
      <c r="D467" s="199">
        <v>466</v>
      </c>
    </row>
    <row r="468" spans="1:4" ht="13.5" x14ac:dyDescent="0.25">
      <c r="A468" s="202">
        <v>156</v>
      </c>
      <c r="B468" s="192" t="str">
        <f t="shared" ref="B468:B469" si="155">$B$467</f>
        <v>Ponto156</v>
      </c>
      <c r="C468" s="198" t="s">
        <v>119</v>
      </c>
      <c r="D468" s="199">
        <v>467</v>
      </c>
    </row>
    <row r="469" spans="1:4" ht="13.5" x14ac:dyDescent="0.25">
      <c r="A469" s="202">
        <v>156</v>
      </c>
      <c r="B469" s="192" t="str">
        <f t="shared" si="155"/>
        <v>Ponto156</v>
      </c>
      <c r="C469" s="198" t="s">
        <v>120</v>
      </c>
      <c r="D469" s="199">
        <v>468</v>
      </c>
    </row>
    <row r="470" spans="1:4" ht="13.5" x14ac:dyDescent="0.25">
      <c r="A470" s="202">
        <v>157</v>
      </c>
      <c r="B470" s="191" t="s">
        <v>154</v>
      </c>
      <c r="C470" s="198" t="s">
        <v>118</v>
      </c>
      <c r="D470" s="199">
        <v>469</v>
      </c>
    </row>
    <row r="471" spans="1:4" ht="13.5" x14ac:dyDescent="0.25">
      <c r="A471" s="202">
        <v>157</v>
      </c>
      <c r="B471" s="192" t="str">
        <f t="shared" ref="B471:B472" si="156">$B$470</f>
        <v>Ponto157</v>
      </c>
      <c r="C471" s="198" t="s">
        <v>119</v>
      </c>
      <c r="D471" s="199">
        <v>470</v>
      </c>
    </row>
    <row r="472" spans="1:4" ht="13.5" x14ac:dyDescent="0.25">
      <c r="A472" s="202">
        <v>157</v>
      </c>
      <c r="B472" s="192" t="str">
        <f t="shared" si="156"/>
        <v>Ponto157</v>
      </c>
      <c r="C472" s="198" t="s">
        <v>120</v>
      </c>
      <c r="D472" s="199">
        <v>471</v>
      </c>
    </row>
    <row r="473" spans="1:4" ht="13.5" x14ac:dyDescent="0.25">
      <c r="A473" s="202">
        <v>158</v>
      </c>
      <c r="B473" s="191" t="s">
        <v>155</v>
      </c>
      <c r="C473" s="198" t="s">
        <v>118</v>
      </c>
      <c r="D473" s="199">
        <v>472</v>
      </c>
    </row>
    <row r="474" spans="1:4" ht="13.5" x14ac:dyDescent="0.25">
      <c r="A474" s="202">
        <v>158</v>
      </c>
      <c r="B474" s="192" t="str">
        <f t="shared" ref="B474:B475" si="157">$B$473</f>
        <v>Ponto158</v>
      </c>
      <c r="C474" s="198" t="s">
        <v>119</v>
      </c>
      <c r="D474" s="199">
        <v>473</v>
      </c>
    </row>
    <row r="475" spans="1:4" ht="13.5" x14ac:dyDescent="0.25">
      <c r="A475" s="202">
        <v>158</v>
      </c>
      <c r="B475" s="192" t="str">
        <f t="shared" si="157"/>
        <v>Ponto158</v>
      </c>
      <c r="C475" s="198" t="s">
        <v>120</v>
      </c>
      <c r="D475" s="199">
        <v>474</v>
      </c>
    </row>
    <row r="476" spans="1:4" ht="13.5" x14ac:dyDescent="0.25">
      <c r="A476" s="202">
        <v>159</v>
      </c>
      <c r="B476" s="191" t="s">
        <v>156</v>
      </c>
      <c r="C476" s="198" t="s">
        <v>118</v>
      </c>
      <c r="D476" s="199">
        <v>475</v>
      </c>
    </row>
    <row r="477" spans="1:4" ht="13.5" x14ac:dyDescent="0.25">
      <c r="A477" s="202">
        <v>159</v>
      </c>
      <c r="B477" s="192" t="str">
        <f t="shared" ref="B477:B478" si="158">$B$476</f>
        <v>Ponto159</v>
      </c>
      <c r="C477" s="198" t="s">
        <v>119</v>
      </c>
      <c r="D477" s="199">
        <v>476</v>
      </c>
    </row>
    <row r="478" spans="1:4" ht="13.5" x14ac:dyDescent="0.25">
      <c r="A478" s="202">
        <v>159</v>
      </c>
      <c r="B478" s="192" t="str">
        <f t="shared" si="158"/>
        <v>Ponto159</v>
      </c>
      <c r="C478" s="198" t="s">
        <v>120</v>
      </c>
      <c r="D478" s="199">
        <v>477</v>
      </c>
    </row>
    <row r="479" spans="1:4" ht="13.5" x14ac:dyDescent="0.25">
      <c r="A479" s="202">
        <v>160</v>
      </c>
      <c r="B479" s="191" t="s">
        <v>157</v>
      </c>
      <c r="C479" s="198" t="s">
        <v>118</v>
      </c>
      <c r="D479" s="199">
        <v>478</v>
      </c>
    </row>
    <row r="480" spans="1:4" ht="13.5" x14ac:dyDescent="0.25">
      <c r="A480" s="202">
        <v>160</v>
      </c>
      <c r="B480" s="192" t="str">
        <f t="shared" ref="B480:B481" si="159">$B$479</f>
        <v>Ponto160</v>
      </c>
      <c r="C480" s="198" t="s">
        <v>119</v>
      </c>
      <c r="D480" s="199">
        <v>479</v>
      </c>
    </row>
    <row r="481" spans="1:4" ht="13.5" x14ac:dyDescent="0.25">
      <c r="A481" s="202">
        <v>160</v>
      </c>
      <c r="B481" s="192" t="str">
        <f t="shared" si="159"/>
        <v>Ponto160</v>
      </c>
      <c r="C481" s="198" t="s">
        <v>120</v>
      </c>
      <c r="D481" s="199">
        <v>480</v>
      </c>
    </row>
    <row r="482" spans="1:4" ht="13.5" x14ac:dyDescent="0.25">
      <c r="A482" s="202">
        <v>161</v>
      </c>
      <c r="B482" s="191" t="s">
        <v>158</v>
      </c>
      <c r="C482" s="198" t="s">
        <v>118</v>
      </c>
      <c r="D482" s="199">
        <v>481</v>
      </c>
    </row>
    <row r="483" spans="1:4" ht="13.5" x14ac:dyDescent="0.25">
      <c r="A483" s="202">
        <v>161</v>
      </c>
      <c r="B483" s="192" t="str">
        <f t="shared" ref="B483:B484" si="160">$B$482</f>
        <v>Ponto161</v>
      </c>
      <c r="C483" s="198" t="s">
        <v>119</v>
      </c>
      <c r="D483" s="199">
        <v>482</v>
      </c>
    </row>
    <row r="484" spans="1:4" ht="13.5" x14ac:dyDescent="0.25">
      <c r="A484" s="202">
        <v>161</v>
      </c>
      <c r="B484" s="192" t="str">
        <f t="shared" si="160"/>
        <v>Ponto161</v>
      </c>
      <c r="C484" s="198" t="s">
        <v>120</v>
      </c>
      <c r="D484" s="199">
        <v>483</v>
      </c>
    </row>
    <row r="485" spans="1:4" ht="13.5" x14ac:dyDescent="0.25">
      <c r="A485" s="202">
        <v>162</v>
      </c>
      <c r="B485" s="191" t="s">
        <v>159</v>
      </c>
      <c r="C485" s="198" t="s">
        <v>118</v>
      </c>
      <c r="D485" s="199">
        <v>484</v>
      </c>
    </row>
    <row r="486" spans="1:4" ht="13.5" x14ac:dyDescent="0.25">
      <c r="A486" s="202">
        <v>162</v>
      </c>
      <c r="B486" s="192" t="str">
        <f t="shared" ref="B486:B487" si="161">$B$485</f>
        <v>Ponto162</v>
      </c>
      <c r="C486" s="198" t="s">
        <v>119</v>
      </c>
      <c r="D486" s="199">
        <v>485</v>
      </c>
    </row>
    <row r="487" spans="1:4" ht="13.5" x14ac:dyDescent="0.25">
      <c r="A487" s="202">
        <v>162</v>
      </c>
      <c r="B487" s="192" t="str">
        <f t="shared" si="161"/>
        <v>Ponto162</v>
      </c>
      <c r="C487" s="198" t="s">
        <v>120</v>
      </c>
      <c r="D487" s="199">
        <v>486</v>
      </c>
    </row>
    <row r="488" spans="1:4" ht="13.5" x14ac:dyDescent="0.25">
      <c r="A488" s="202">
        <v>163</v>
      </c>
      <c r="B488" s="191" t="s">
        <v>160</v>
      </c>
      <c r="C488" s="198" t="s">
        <v>118</v>
      </c>
      <c r="D488" s="199">
        <v>487</v>
      </c>
    </row>
    <row r="489" spans="1:4" ht="13.5" x14ac:dyDescent="0.25">
      <c r="A489" s="202">
        <v>163</v>
      </c>
      <c r="B489" s="192" t="str">
        <f t="shared" ref="B489:B490" si="162">$B$488</f>
        <v>Ponto163</v>
      </c>
      <c r="C489" s="198" t="s">
        <v>119</v>
      </c>
      <c r="D489" s="199">
        <v>488</v>
      </c>
    </row>
    <row r="490" spans="1:4" ht="13.5" x14ac:dyDescent="0.25">
      <c r="A490" s="202">
        <v>163</v>
      </c>
      <c r="B490" s="192" t="str">
        <f t="shared" si="162"/>
        <v>Ponto163</v>
      </c>
      <c r="C490" s="198" t="s">
        <v>120</v>
      </c>
      <c r="D490" s="199">
        <v>489</v>
      </c>
    </row>
    <row r="491" spans="1:4" ht="13.5" x14ac:dyDescent="0.25">
      <c r="A491" s="202">
        <v>164</v>
      </c>
      <c r="B491" s="191" t="s">
        <v>161</v>
      </c>
      <c r="C491" s="198" t="s">
        <v>118</v>
      </c>
      <c r="D491" s="199">
        <v>490</v>
      </c>
    </row>
    <row r="492" spans="1:4" ht="13.5" x14ac:dyDescent="0.25">
      <c r="A492" s="202">
        <v>164</v>
      </c>
      <c r="B492" s="192" t="str">
        <f t="shared" ref="B492:B493" si="163">$B$491</f>
        <v>Ponto164</v>
      </c>
      <c r="C492" s="198" t="s">
        <v>119</v>
      </c>
      <c r="D492" s="199">
        <v>491</v>
      </c>
    </row>
    <row r="493" spans="1:4" ht="13.5" x14ac:dyDescent="0.25">
      <c r="A493" s="202">
        <v>164</v>
      </c>
      <c r="B493" s="192" t="str">
        <f t="shared" si="163"/>
        <v>Ponto164</v>
      </c>
      <c r="C493" s="198" t="s">
        <v>120</v>
      </c>
      <c r="D493" s="199">
        <v>492</v>
      </c>
    </row>
    <row r="494" spans="1:4" ht="13.5" x14ac:dyDescent="0.25">
      <c r="A494" s="202">
        <v>165</v>
      </c>
      <c r="B494" s="191" t="s">
        <v>162</v>
      </c>
      <c r="C494" s="198" t="s">
        <v>118</v>
      </c>
      <c r="D494" s="199">
        <v>493</v>
      </c>
    </row>
    <row r="495" spans="1:4" ht="13.5" x14ac:dyDescent="0.25">
      <c r="A495" s="202">
        <v>165</v>
      </c>
      <c r="B495" s="192" t="str">
        <f t="shared" ref="B495:B496" si="164">$B$494</f>
        <v>Ponto165</v>
      </c>
      <c r="C495" s="198" t="s">
        <v>119</v>
      </c>
      <c r="D495" s="199">
        <v>494</v>
      </c>
    </row>
    <row r="496" spans="1:4" ht="13.5" x14ac:dyDescent="0.25">
      <c r="A496" s="202">
        <v>165</v>
      </c>
      <c r="B496" s="192" t="str">
        <f t="shared" si="164"/>
        <v>Ponto165</v>
      </c>
      <c r="C496" s="198" t="s">
        <v>120</v>
      </c>
      <c r="D496" s="199">
        <v>495</v>
      </c>
    </row>
    <row r="497" spans="1:4" ht="13.5" x14ac:dyDescent="0.25">
      <c r="A497" s="202">
        <v>166</v>
      </c>
      <c r="B497" s="191" t="s">
        <v>163</v>
      </c>
      <c r="C497" s="198" t="s">
        <v>118</v>
      </c>
      <c r="D497" s="199">
        <v>496</v>
      </c>
    </row>
    <row r="498" spans="1:4" ht="13.5" x14ac:dyDescent="0.25">
      <c r="A498" s="202">
        <v>166</v>
      </c>
      <c r="B498" s="192" t="str">
        <f t="shared" ref="B498:B499" si="165">$B$497</f>
        <v>Ponto166</v>
      </c>
      <c r="C498" s="198" t="s">
        <v>119</v>
      </c>
      <c r="D498" s="199">
        <v>497</v>
      </c>
    </row>
    <row r="499" spans="1:4" ht="13.5" x14ac:dyDescent="0.25">
      <c r="A499" s="202">
        <v>166</v>
      </c>
      <c r="B499" s="192" t="str">
        <f t="shared" si="165"/>
        <v>Ponto166</v>
      </c>
      <c r="C499" s="198" t="s">
        <v>120</v>
      </c>
      <c r="D499" s="199">
        <v>498</v>
      </c>
    </row>
    <row r="500" spans="1:4" ht="13.5" x14ac:dyDescent="0.25">
      <c r="A500" s="202">
        <v>167</v>
      </c>
      <c r="B500" s="191" t="s">
        <v>164</v>
      </c>
      <c r="C500" s="198" t="s">
        <v>118</v>
      </c>
      <c r="D500" s="199">
        <v>499</v>
      </c>
    </row>
    <row r="501" spans="1:4" ht="13.5" x14ac:dyDescent="0.25">
      <c r="A501" s="202">
        <v>167</v>
      </c>
      <c r="B501" s="192" t="str">
        <f t="shared" ref="B501:B502" si="166">$B$500</f>
        <v>Ponto167</v>
      </c>
      <c r="C501" s="198" t="s">
        <v>119</v>
      </c>
      <c r="D501" s="199">
        <v>500</v>
      </c>
    </row>
    <row r="502" spans="1:4" ht="13.5" x14ac:dyDescent="0.25">
      <c r="A502" s="202">
        <v>167</v>
      </c>
      <c r="B502" s="192" t="str">
        <f t="shared" si="166"/>
        <v>Ponto167</v>
      </c>
      <c r="C502" s="198" t="s">
        <v>120</v>
      </c>
      <c r="D502" s="199">
        <v>501</v>
      </c>
    </row>
    <row r="503" spans="1:4" ht="13.5" x14ac:dyDescent="0.25">
      <c r="A503" s="202">
        <v>168</v>
      </c>
      <c r="B503" s="191" t="s">
        <v>165</v>
      </c>
      <c r="C503" s="198" t="s">
        <v>118</v>
      </c>
      <c r="D503" s="199">
        <v>502</v>
      </c>
    </row>
    <row r="504" spans="1:4" ht="13.5" x14ac:dyDescent="0.25">
      <c r="A504" s="202">
        <v>168</v>
      </c>
      <c r="B504" s="192" t="str">
        <f t="shared" ref="B504:B505" si="167">$B$503</f>
        <v>Ponto168</v>
      </c>
      <c r="C504" s="198" t="s">
        <v>119</v>
      </c>
      <c r="D504" s="199">
        <v>503</v>
      </c>
    </row>
    <row r="505" spans="1:4" ht="13.5" x14ac:dyDescent="0.25">
      <c r="A505" s="202">
        <v>168</v>
      </c>
      <c r="B505" s="192" t="str">
        <f t="shared" si="167"/>
        <v>Ponto168</v>
      </c>
      <c r="C505" s="198" t="s">
        <v>120</v>
      </c>
      <c r="D505" s="199">
        <v>504</v>
      </c>
    </row>
    <row r="506" spans="1:4" ht="13.5" x14ac:dyDescent="0.25">
      <c r="A506" s="202">
        <v>169</v>
      </c>
      <c r="B506" s="191" t="s">
        <v>166</v>
      </c>
      <c r="C506" s="198" t="s">
        <v>118</v>
      </c>
      <c r="D506" s="199">
        <v>505</v>
      </c>
    </row>
    <row r="507" spans="1:4" ht="13.5" x14ac:dyDescent="0.25">
      <c r="A507" s="202">
        <v>169</v>
      </c>
      <c r="B507" s="192" t="str">
        <f t="shared" ref="B507:B508" si="168">$B$506</f>
        <v>Ponto169</v>
      </c>
      <c r="C507" s="198" t="s">
        <v>119</v>
      </c>
      <c r="D507" s="199">
        <v>506</v>
      </c>
    </row>
    <row r="508" spans="1:4" ht="13.5" x14ac:dyDescent="0.25">
      <c r="A508" s="202">
        <v>169</v>
      </c>
      <c r="B508" s="192" t="str">
        <f t="shared" si="168"/>
        <v>Ponto169</v>
      </c>
      <c r="C508" s="198" t="s">
        <v>120</v>
      </c>
      <c r="D508" s="199">
        <v>507</v>
      </c>
    </row>
    <row r="509" spans="1:4" ht="13.5" x14ac:dyDescent="0.25">
      <c r="A509" s="202">
        <v>170</v>
      </c>
      <c r="B509" s="191" t="s">
        <v>167</v>
      </c>
      <c r="C509" s="198" t="s">
        <v>118</v>
      </c>
      <c r="D509" s="199">
        <v>508</v>
      </c>
    </row>
    <row r="510" spans="1:4" ht="13.5" x14ac:dyDescent="0.25">
      <c r="A510" s="202">
        <v>170</v>
      </c>
      <c r="B510" s="192" t="str">
        <f t="shared" ref="B510:B511" si="169">$B$509</f>
        <v>Ponto170</v>
      </c>
      <c r="C510" s="198" t="s">
        <v>119</v>
      </c>
      <c r="D510" s="199">
        <v>509</v>
      </c>
    </row>
    <row r="511" spans="1:4" ht="13.5" x14ac:dyDescent="0.25">
      <c r="A511" s="202">
        <v>170</v>
      </c>
      <c r="B511" s="192" t="str">
        <f t="shared" si="169"/>
        <v>Ponto170</v>
      </c>
      <c r="C511" s="198" t="s">
        <v>120</v>
      </c>
      <c r="D511" s="199">
        <v>510</v>
      </c>
    </row>
    <row r="512" spans="1:4" ht="13.5" x14ac:dyDescent="0.25">
      <c r="A512" s="202">
        <v>171</v>
      </c>
      <c r="B512" s="191" t="s">
        <v>168</v>
      </c>
      <c r="C512" s="198" t="s">
        <v>118</v>
      </c>
      <c r="D512" s="199">
        <v>511</v>
      </c>
    </row>
    <row r="513" spans="1:4" ht="13.5" x14ac:dyDescent="0.25">
      <c r="A513" s="202">
        <v>171</v>
      </c>
      <c r="B513" s="192" t="str">
        <f t="shared" ref="B513:B514" si="170">$B$512</f>
        <v>Ponto171</v>
      </c>
      <c r="C513" s="198" t="s">
        <v>119</v>
      </c>
      <c r="D513" s="199">
        <v>512</v>
      </c>
    </row>
    <row r="514" spans="1:4" ht="13.5" x14ac:dyDescent="0.25">
      <c r="A514" s="202">
        <v>171</v>
      </c>
      <c r="B514" s="192" t="str">
        <f t="shared" si="170"/>
        <v>Ponto171</v>
      </c>
      <c r="C514" s="198" t="s">
        <v>120</v>
      </c>
      <c r="D514" s="199">
        <v>513</v>
      </c>
    </row>
    <row r="515" spans="1:4" ht="13.5" x14ac:dyDescent="0.25">
      <c r="A515" s="202">
        <v>172</v>
      </c>
      <c r="B515" s="191" t="s">
        <v>169</v>
      </c>
      <c r="C515" s="198" t="s">
        <v>118</v>
      </c>
      <c r="D515" s="199">
        <v>514</v>
      </c>
    </row>
    <row r="516" spans="1:4" ht="13.5" x14ac:dyDescent="0.25">
      <c r="A516" s="202">
        <v>172</v>
      </c>
      <c r="B516" s="192" t="str">
        <f t="shared" ref="B516:B517" si="171">$B$515</f>
        <v>Ponto172</v>
      </c>
      <c r="C516" s="198" t="s">
        <v>119</v>
      </c>
      <c r="D516" s="199">
        <v>515</v>
      </c>
    </row>
    <row r="517" spans="1:4" ht="13.5" x14ac:dyDescent="0.25">
      <c r="A517" s="202">
        <v>172</v>
      </c>
      <c r="B517" s="192" t="str">
        <f t="shared" si="171"/>
        <v>Ponto172</v>
      </c>
      <c r="C517" s="198" t="s">
        <v>120</v>
      </c>
      <c r="D517" s="199">
        <v>516</v>
      </c>
    </row>
    <row r="518" spans="1:4" ht="13.5" x14ac:dyDescent="0.25">
      <c r="A518" s="202">
        <v>173</v>
      </c>
      <c r="B518" s="191" t="s">
        <v>170</v>
      </c>
      <c r="C518" s="198" t="s">
        <v>118</v>
      </c>
      <c r="D518" s="199">
        <v>517</v>
      </c>
    </row>
    <row r="519" spans="1:4" ht="13.5" x14ac:dyDescent="0.25">
      <c r="A519" s="202">
        <v>173</v>
      </c>
      <c r="B519" s="192" t="str">
        <f t="shared" ref="B519:B520" si="172">$B$518</f>
        <v>Ponto173</v>
      </c>
      <c r="C519" s="198" t="s">
        <v>119</v>
      </c>
      <c r="D519" s="199">
        <v>518</v>
      </c>
    </row>
    <row r="520" spans="1:4" ht="13.5" x14ac:dyDescent="0.25">
      <c r="A520" s="202">
        <v>173</v>
      </c>
      <c r="B520" s="192" t="str">
        <f t="shared" si="172"/>
        <v>Ponto173</v>
      </c>
      <c r="C520" s="198" t="s">
        <v>120</v>
      </c>
      <c r="D520" s="199">
        <v>519</v>
      </c>
    </row>
    <row r="521" spans="1:4" ht="13.5" x14ac:dyDescent="0.25">
      <c r="A521" s="202">
        <v>174</v>
      </c>
      <c r="B521" s="191" t="s">
        <v>171</v>
      </c>
      <c r="C521" s="198" t="s">
        <v>118</v>
      </c>
      <c r="D521" s="199">
        <v>520</v>
      </c>
    </row>
    <row r="522" spans="1:4" ht="13.5" x14ac:dyDescent="0.25">
      <c r="A522" s="202">
        <v>174</v>
      </c>
      <c r="B522" s="192" t="str">
        <f t="shared" ref="B522:B523" si="173">$B$521</f>
        <v>Ponto174</v>
      </c>
      <c r="C522" s="198" t="s">
        <v>119</v>
      </c>
      <c r="D522" s="199">
        <v>521</v>
      </c>
    </row>
    <row r="523" spans="1:4" ht="13.5" x14ac:dyDescent="0.25">
      <c r="A523" s="202">
        <v>174</v>
      </c>
      <c r="B523" s="192" t="str">
        <f t="shared" si="173"/>
        <v>Ponto174</v>
      </c>
      <c r="C523" s="198" t="s">
        <v>120</v>
      </c>
      <c r="D523" s="199">
        <v>522</v>
      </c>
    </row>
    <row r="524" spans="1:4" ht="13.5" x14ac:dyDescent="0.25">
      <c r="A524" s="202">
        <v>175</v>
      </c>
      <c r="B524" s="191" t="s">
        <v>172</v>
      </c>
      <c r="C524" s="198" t="s">
        <v>118</v>
      </c>
      <c r="D524" s="199">
        <v>523</v>
      </c>
    </row>
    <row r="525" spans="1:4" ht="13.5" x14ac:dyDescent="0.25">
      <c r="A525" s="202">
        <v>175</v>
      </c>
      <c r="B525" s="192" t="str">
        <f t="shared" ref="B525:B526" si="174">$B$524</f>
        <v>Ponto175</v>
      </c>
      <c r="C525" s="198" t="s">
        <v>119</v>
      </c>
      <c r="D525" s="199">
        <v>524</v>
      </c>
    </row>
    <row r="526" spans="1:4" ht="13.5" x14ac:dyDescent="0.25">
      <c r="A526" s="202">
        <v>175</v>
      </c>
      <c r="B526" s="192" t="str">
        <f t="shared" si="174"/>
        <v>Ponto175</v>
      </c>
      <c r="C526" s="198" t="s">
        <v>120</v>
      </c>
      <c r="D526" s="199">
        <v>525</v>
      </c>
    </row>
    <row r="527" spans="1:4" ht="13.5" x14ac:dyDescent="0.25">
      <c r="A527" s="202">
        <v>176</v>
      </c>
      <c r="B527" s="191" t="s">
        <v>173</v>
      </c>
      <c r="C527" s="198" t="s">
        <v>118</v>
      </c>
      <c r="D527" s="199">
        <v>526</v>
      </c>
    </row>
    <row r="528" spans="1:4" ht="13.5" x14ac:dyDescent="0.25">
      <c r="A528" s="202">
        <v>176</v>
      </c>
      <c r="B528" s="192" t="str">
        <f t="shared" ref="B528:B529" si="175">$B$527</f>
        <v>Ponto176</v>
      </c>
      <c r="C528" s="198" t="s">
        <v>119</v>
      </c>
      <c r="D528" s="199">
        <v>527</v>
      </c>
    </row>
    <row r="529" spans="1:4" ht="13.5" x14ac:dyDescent="0.25">
      <c r="A529" s="202">
        <v>176</v>
      </c>
      <c r="B529" s="192" t="str">
        <f t="shared" si="175"/>
        <v>Ponto176</v>
      </c>
      <c r="C529" s="198" t="s">
        <v>120</v>
      </c>
      <c r="D529" s="199">
        <v>528</v>
      </c>
    </row>
    <row r="530" spans="1:4" ht="13.5" x14ac:dyDescent="0.25">
      <c r="A530" s="202">
        <v>177</v>
      </c>
      <c r="B530" s="191" t="s">
        <v>174</v>
      </c>
      <c r="C530" s="198" t="s">
        <v>118</v>
      </c>
      <c r="D530" s="199">
        <v>529</v>
      </c>
    </row>
    <row r="531" spans="1:4" ht="13.5" x14ac:dyDescent="0.25">
      <c r="A531" s="202">
        <v>177</v>
      </c>
      <c r="B531" s="192" t="str">
        <f t="shared" ref="B531:B532" si="176">$B$530</f>
        <v>Ponto177</v>
      </c>
      <c r="C531" s="198" t="s">
        <v>119</v>
      </c>
      <c r="D531" s="199">
        <v>530</v>
      </c>
    </row>
    <row r="532" spans="1:4" ht="13.5" x14ac:dyDescent="0.25">
      <c r="A532" s="202">
        <v>177</v>
      </c>
      <c r="B532" s="192" t="str">
        <f t="shared" si="176"/>
        <v>Ponto177</v>
      </c>
      <c r="C532" s="198" t="s">
        <v>120</v>
      </c>
      <c r="D532" s="199">
        <v>531</v>
      </c>
    </row>
    <row r="533" spans="1:4" ht="13.5" x14ac:dyDescent="0.25">
      <c r="A533" s="202">
        <v>178</v>
      </c>
      <c r="B533" s="191" t="s">
        <v>175</v>
      </c>
      <c r="C533" s="198" t="s">
        <v>118</v>
      </c>
      <c r="D533" s="199">
        <v>532</v>
      </c>
    </row>
    <row r="534" spans="1:4" ht="13.5" x14ac:dyDescent="0.25">
      <c r="A534" s="202">
        <v>178</v>
      </c>
      <c r="B534" s="192" t="str">
        <f t="shared" ref="B534:B535" si="177">$B$533</f>
        <v>Ponto178</v>
      </c>
      <c r="C534" s="198" t="s">
        <v>119</v>
      </c>
      <c r="D534" s="199">
        <v>533</v>
      </c>
    </row>
    <row r="535" spans="1:4" ht="13.5" x14ac:dyDescent="0.25">
      <c r="A535" s="202">
        <v>178</v>
      </c>
      <c r="B535" s="192" t="str">
        <f t="shared" si="177"/>
        <v>Ponto178</v>
      </c>
      <c r="C535" s="198" t="s">
        <v>120</v>
      </c>
      <c r="D535" s="199">
        <v>534</v>
      </c>
    </row>
    <row r="536" spans="1:4" ht="13.5" x14ac:dyDescent="0.25">
      <c r="A536" s="202">
        <v>179</v>
      </c>
      <c r="B536" s="191" t="s">
        <v>176</v>
      </c>
      <c r="C536" s="198" t="s">
        <v>118</v>
      </c>
      <c r="D536" s="199">
        <v>535</v>
      </c>
    </row>
    <row r="537" spans="1:4" ht="13.5" x14ac:dyDescent="0.25">
      <c r="A537" s="202">
        <v>179</v>
      </c>
      <c r="B537" s="192" t="str">
        <f t="shared" ref="B537:B538" si="178">$B$536</f>
        <v>Ponto179</v>
      </c>
      <c r="C537" s="198" t="s">
        <v>119</v>
      </c>
      <c r="D537" s="199">
        <v>536</v>
      </c>
    </row>
    <row r="538" spans="1:4" ht="13.5" x14ac:dyDescent="0.25">
      <c r="A538" s="202">
        <v>179</v>
      </c>
      <c r="B538" s="192" t="str">
        <f t="shared" si="178"/>
        <v>Ponto179</v>
      </c>
      <c r="C538" s="198" t="s">
        <v>120</v>
      </c>
      <c r="D538" s="199">
        <v>537</v>
      </c>
    </row>
    <row r="539" spans="1:4" ht="13.5" x14ac:dyDescent="0.25">
      <c r="A539" s="202">
        <v>180</v>
      </c>
      <c r="B539" s="191" t="s">
        <v>177</v>
      </c>
      <c r="C539" s="198" t="s">
        <v>118</v>
      </c>
      <c r="D539" s="199">
        <v>538</v>
      </c>
    </row>
    <row r="540" spans="1:4" ht="13.5" x14ac:dyDescent="0.25">
      <c r="A540" s="202">
        <v>180</v>
      </c>
      <c r="B540" s="192" t="str">
        <f t="shared" ref="B540:B541" si="179">$B$539</f>
        <v>Ponto180</v>
      </c>
      <c r="C540" s="198" t="s">
        <v>119</v>
      </c>
      <c r="D540" s="199">
        <v>539</v>
      </c>
    </row>
    <row r="541" spans="1:4" ht="13.5" x14ac:dyDescent="0.25">
      <c r="A541" s="202">
        <v>180</v>
      </c>
      <c r="B541" s="192" t="str">
        <f t="shared" si="179"/>
        <v>Ponto180</v>
      </c>
      <c r="C541" s="198" t="s">
        <v>120</v>
      </c>
      <c r="D541" s="199">
        <v>540</v>
      </c>
    </row>
    <row r="542" spans="1:4" ht="13.5" x14ac:dyDescent="0.25">
      <c r="A542" s="202">
        <v>181</v>
      </c>
      <c r="B542" s="191" t="s">
        <v>178</v>
      </c>
      <c r="C542" s="198" t="s">
        <v>118</v>
      </c>
      <c r="D542" s="199">
        <v>541</v>
      </c>
    </row>
    <row r="543" spans="1:4" ht="13.5" x14ac:dyDescent="0.25">
      <c r="A543" s="202">
        <v>181</v>
      </c>
      <c r="B543" s="192" t="str">
        <f t="shared" ref="B543:B544" si="180">$B$542</f>
        <v>Ponto181</v>
      </c>
      <c r="C543" s="198" t="s">
        <v>119</v>
      </c>
      <c r="D543" s="199">
        <v>542</v>
      </c>
    </row>
    <row r="544" spans="1:4" ht="13.5" x14ac:dyDescent="0.25">
      <c r="A544" s="202">
        <v>181</v>
      </c>
      <c r="B544" s="192" t="str">
        <f t="shared" si="180"/>
        <v>Ponto181</v>
      </c>
      <c r="C544" s="198" t="s">
        <v>120</v>
      </c>
      <c r="D544" s="199">
        <v>543</v>
      </c>
    </row>
    <row r="545" spans="1:4" ht="13.5" x14ac:dyDescent="0.25">
      <c r="A545" s="202">
        <v>182</v>
      </c>
      <c r="B545" s="191" t="s">
        <v>179</v>
      </c>
      <c r="C545" s="198" t="s">
        <v>118</v>
      </c>
      <c r="D545" s="199">
        <v>544</v>
      </c>
    </row>
    <row r="546" spans="1:4" ht="13.5" x14ac:dyDescent="0.25">
      <c r="A546" s="202">
        <v>182</v>
      </c>
      <c r="B546" s="192" t="str">
        <f t="shared" ref="B546:B547" si="181">$B$545</f>
        <v>Ponto182</v>
      </c>
      <c r="C546" s="198" t="s">
        <v>119</v>
      </c>
      <c r="D546" s="199">
        <v>545</v>
      </c>
    </row>
    <row r="547" spans="1:4" ht="13.5" x14ac:dyDescent="0.25">
      <c r="A547" s="202">
        <v>182</v>
      </c>
      <c r="B547" s="192" t="str">
        <f t="shared" si="181"/>
        <v>Ponto182</v>
      </c>
      <c r="C547" s="198" t="s">
        <v>120</v>
      </c>
      <c r="D547" s="199">
        <v>546</v>
      </c>
    </row>
    <row r="548" spans="1:4" ht="13.5" x14ac:dyDescent="0.25">
      <c r="A548" s="202">
        <v>183</v>
      </c>
      <c r="B548" s="191" t="s">
        <v>180</v>
      </c>
      <c r="C548" s="198" t="s">
        <v>118</v>
      </c>
      <c r="D548" s="199">
        <v>547</v>
      </c>
    </row>
    <row r="549" spans="1:4" ht="13.5" x14ac:dyDescent="0.25">
      <c r="A549" s="202">
        <v>183</v>
      </c>
      <c r="B549" s="192" t="str">
        <f t="shared" ref="B549:B550" si="182">$B$548</f>
        <v>Ponto183</v>
      </c>
      <c r="C549" s="198" t="s">
        <v>119</v>
      </c>
      <c r="D549" s="199">
        <v>548</v>
      </c>
    </row>
    <row r="550" spans="1:4" ht="13.5" x14ac:dyDescent="0.25">
      <c r="A550" s="202">
        <v>183</v>
      </c>
      <c r="B550" s="192" t="str">
        <f t="shared" si="182"/>
        <v>Ponto183</v>
      </c>
      <c r="C550" s="198" t="s">
        <v>120</v>
      </c>
      <c r="D550" s="199">
        <v>549</v>
      </c>
    </row>
    <row r="551" spans="1:4" ht="13.5" x14ac:dyDescent="0.25">
      <c r="A551" s="202">
        <v>184</v>
      </c>
      <c r="B551" s="191" t="s">
        <v>181</v>
      </c>
      <c r="C551" s="198" t="s">
        <v>118</v>
      </c>
      <c r="D551" s="199">
        <v>550</v>
      </c>
    </row>
    <row r="552" spans="1:4" ht="13.5" x14ac:dyDescent="0.25">
      <c r="A552" s="202">
        <v>184</v>
      </c>
      <c r="B552" s="192" t="str">
        <f t="shared" ref="B552:B553" si="183">$B$551</f>
        <v>Ponto184</v>
      </c>
      <c r="C552" s="198" t="s">
        <v>119</v>
      </c>
      <c r="D552" s="199">
        <v>551</v>
      </c>
    </row>
    <row r="553" spans="1:4" ht="13.5" x14ac:dyDescent="0.25">
      <c r="A553" s="202">
        <v>184</v>
      </c>
      <c r="B553" s="192" t="str">
        <f t="shared" si="183"/>
        <v>Ponto184</v>
      </c>
      <c r="C553" s="198" t="s">
        <v>120</v>
      </c>
      <c r="D553" s="199">
        <v>552</v>
      </c>
    </row>
    <row r="554" spans="1:4" ht="13.5" x14ac:dyDescent="0.25">
      <c r="A554" s="202">
        <v>185</v>
      </c>
      <c r="B554" s="191" t="s">
        <v>182</v>
      </c>
      <c r="C554" s="198" t="s">
        <v>118</v>
      </c>
      <c r="D554" s="199">
        <v>553</v>
      </c>
    </row>
    <row r="555" spans="1:4" ht="13.5" x14ac:dyDescent="0.25">
      <c r="A555" s="202">
        <v>185</v>
      </c>
      <c r="B555" s="192" t="str">
        <f t="shared" ref="B555:B556" si="184">$B$554</f>
        <v>Ponto185</v>
      </c>
      <c r="C555" s="198" t="s">
        <v>119</v>
      </c>
      <c r="D555" s="199">
        <v>554</v>
      </c>
    </row>
    <row r="556" spans="1:4" ht="13.5" x14ac:dyDescent="0.25">
      <c r="A556" s="202">
        <v>185</v>
      </c>
      <c r="B556" s="192" t="str">
        <f t="shared" si="184"/>
        <v>Ponto185</v>
      </c>
      <c r="C556" s="198" t="s">
        <v>120</v>
      </c>
      <c r="D556" s="199">
        <v>555</v>
      </c>
    </row>
    <row r="557" spans="1:4" ht="13.5" x14ac:dyDescent="0.25">
      <c r="A557" s="202">
        <v>186</v>
      </c>
      <c r="B557" s="191" t="s">
        <v>183</v>
      </c>
      <c r="C557" s="198" t="s">
        <v>118</v>
      </c>
      <c r="D557" s="199">
        <v>556</v>
      </c>
    </row>
    <row r="558" spans="1:4" ht="13.5" x14ac:dyDescent="0.25">
      <c r="A558" s="202">
        <v>186</v>
      </c>
      <c r="B558" s="192" t="str">
        <f t="shared" ref="B558:B559" si="185">$B$557</f>
        <v>Ponto186</v>
      </c>
      <c r="C558" s="198" t="s">
        <v>119</v>
      </c>
      <c r="D558" s="199">
        <v>557</v>
      </c>
    </row>
    <row r="559" spans="1:4" ht="13.5" x14ac:dyDescent="0.25">
      <c r="A559" s="202">
        <v>186</v>
      </c>
      <c r="B559" s="192" t="str">
        <f t="shared" si="185"/>
        <v>Ponto186</v>
      </c>
      <c r="C559" s="198" t="s">
        <v>120</v>
      </c>
      <c r="D559" s="199">
        <v>558</v>
      </c>
    </row>
    <row r="560" spans="1:4" ht="13.5" x14ac:dyDescent="0.25">
      <c r="A560" s="202">
        <v>187</v>
      </c>
      <c r="B560" s="191" t="s">
        <v>184</v>
      </c>
      <c r="C560" s="198" t="s">
        <v>118</v>
      </c>
      <c r="D560" s="199">
        <v>559</v>
      </c>
    </row>
    <row r="561" spans="1:4" ht="13.5" x14ac:dyDescent="0.25">
      <c r="A561" s="202">
        <v>187</v>
      </c>
      <c r="B561" s="192" t="str">
        <f t="shared" ref="B561:B562" si="186">$B$560</f>
        <v>Ponto187</v>
      </c>
      <c r="C561" s="198" t="s">
        <v>119</v>
      </c>
      <c r="D561" s="199">
        <v>560</v>
      </c>
    </row>
    <row r="562" spans="1:4" ht="13.5" x14ac:dyDescent="0.25">
      <c r="A562" s="202">
        <v>187</v>
      </c>
      <c r="B562" s="192" t="str">
        <f t="shared" si="186"/>
        <v>Ponto187</v>
      </c>
      <c r="C562" s="198" t="s">
        <v>120</v>
      </c>
      <c r="D562" s="199">
        <v>561</v>
      </c>
    </row>
    <row r="563" spans="1:4" ht="13.5" x14ac:dyDescent="0.25">
      <c r="A563" s="202">
        <v>188</v>
      </c>
      <c r="B563" s="191" t="s">
        <v>185</v>
      </c>
      <c r="C563" s="198" t="s">
        <v>118</v>
      </c>
      <c r="D563" s="199">
        <v>562</v>
      </c>
    </row>
    <row r="564" spans="1:4" ht="13.5" x14ac:dyDescent="0.25">
      <c r="A564" s="202">
        <v>188</v>
      </c>
      <c r="B564" s="192" t="str">
        <f t="shared" ref="B564:B565" si="187">$B$563</f>
        <v>Ponto188</v>
      </c>
      <c r="C564" s="198" t="s">
        <v>119</v>
      </c>
      <c r="D564" s="199">
        <v>563</v>
      </c>
    </row>
    <row r="565" spans="1:4" ht="13.5" x14ac:dyDescent="0.25">
      <c r="A565" s="202">
        <v>188</v>
      </c>
      <c r="B565" s="192" t="str">
        <f t="shared" si="187"/>
        <v>Ponto188</v>
      </c>
      <c r="C565" s="198" t="s">
        <v>120</v>
      </c>
      <c r="D565" s="199">
        <v>564</v>
      </c>
    </row>
    <row r="566" spans="1:4" ht="13.5" x14ac:dyDescent="0.25">
      <c r="A566" s="202">
        <v>189</v>
      </c>
      <c r="B566" s="191" t="s">
        <v>186</v>
      </c>
      <c r="C566" s="198" t="s">
        <v>118</v>
      </c>
      <c r="D566" s="199">
        <v>565</v>
      </c>
    </row>
    <row r="567" spans="1:4" ht="13.5" x14ac:dyDescent="0.25">
      <c r="A567" s="202">
        <v>189</v>
      </c>
      <c r="B567" s="192" t="str">
        <f t="shared" ref="B567:B568" si="188">$B$566</f>
        <v>Ponto189</v>
      </c>
      <c r="C567" s="198" t="s">
        <v>119</v>
      </c>
      <c r="D567" s="199">
        <v>566</v>
      </c>
    </row>
    <row r="568" spans="1:4" ht="13.5" x14ac:dyDescent="0.25">
      <c r="A568" s="202">
        <v>189</v>
      </c>
      <c r="B568" s="192" t="str">
        <f t="shared" si="188"/>
        <v>Ponto189</v>
      </c>
      <c r="C568" s="198" t="s">
        <v>120</v>
      </c>
      <c r="D568" s="199">
        <v>567</v>
      </c>
    </row>
    <row r="569" spans="1:4" ht="13.5" x14ac:dyDescent="0.25">
      <c r="A569" s="202">
        <v>190</v>
      </c>
      <c r="B569" s="191" t="s">
        <v>187</v>
      </c>
      <c r="C569" s="198" t="s">
        <v>118</v>
      </c>
      <c r="D569" s="199">
        <v>568</v>
      </c>
    </row>
    <row r="570" spans="1:4" ht="13.5" x14ac:dyDescent="0.25">
      <c r="A570" s="202">
        <v>190</v>
      </c>
      <c r="B570" s="192" t="str">
        <f t="shared" ref="B570:B571" si="189">$B$569</f>
        <v>Ponto190</v>
      </c>
      <c r="C570" s="198" t="s">
        <v>119</v>
      </c>
      <c r="D570" s="199">
        <v>569</v>
      </c>
    </row>
    <row r="571" spans="1:4" ht="13.5" x14ac:dyDescent="0.25">
      <c r="A571" s="202">
        <v>190</v>
      </c>
      <c r="B571" s="192" t="str">
        <f t="shared" si="189"/>
        <v>Ponto190</v>
      </c>
      <c r="C571" s="198" t="s">
        <v>120</v>
      </c>
      <c r="D571" s="199">
        <v>570</v>
      </c>
    </row>
    <row r="572" spans="1:4" ht="13.5" x14ac:dyDescent="0.25">
      <c r="A572" s="202">
        <v>191</v>
      </c>
      <c r="B572" s="191" t="s">
        <v>188</v>
      </c>
      <c r="C572" s="198" t="s">
        <v>118</v>
      </c>
      <c r="D572" s="199">
        <v>571</v>
      </c>
    </row>
    <row r="573" spans="1:4" ht="13.5" x14ac:dyDescent="0.25">
      <c r="A573" s="202">
        <v>191</v>
      </c>
      <c r="B573" s="192" t="str">
        <f t="shared" ref="B573:B574" si="190">$B$572</f>
        <v>Ponto191</v>
      </c>
      <c r="C573" s="198" t="s">
        <v>119</v>
      </c>
      <c r="D573" s="199">
        <v>572</v>
      </c>
    </row>
    <row r="574" spans="1:4" ht="13.5" x14ac:dyDescent="0.25">
      <c r="A574" s="202">
        <v>191</v>
      </c>
      <c r="B574" s="192" t="str">
        <f t="shared" si="190"/>
        <v>Ponto191</v>
      </c>
      <c r="C574" s="198" t="s">
        <v>120</v>
      </c>
      <c r="D574" s="199">
        <v>573</v>
      </c>
    </row>
    <row r="575" spans="1:4" ht="13.5" x14ac:dyDescent="0.25">
      <c r="A575" s="202">
        <v>192</v>
      </c>
      <c r="B575" s="191" t="s">
        <v>189</v>
      </c>
      <c r="C575" s="198" t="s">
        <v>118</v>
      </c>
      <c r="D575" s="199">
        <v>574</v>
      </c>
    </row>
    <row r="576" spans="1:4" ht="13.5" x14ac:dyDescent="0.25">
      <c r="A576" s="202">
        <v>192</v>
      </c>
      <c r="B576" s="192" t="str">
        <f t="shared" ref="B576:B577" si="191">$B$575</f>
        <v>Ponto192</v>
      </c>
      <c r="C576" s="198" t="s">
        <v>119</v>
      </c>
      <c r="D576" s="199">
        <v>575</v>
      </c>
    </row>
    <row r="577" spans="1:4" ht="13.5" x14ac:dyDescent="0.25">
      <c r="A577" s="202">
        <v>192</v>
      </c>
      <c r="B577" s="192" t="str">
        <f t="shared" si="191"/>
        <v>Ponto192</v>
      </c>
      <c r="C577" s="198" t="s">
        <v>120</v>
      </c>
      <c r="D577" s="199">
        <v>576</v>
      </c>
    </row>
    <row r="578" spans="1:4" ht="13.5" x14ac:dyDescent="0.25">
      <c r="A578" s="202">
        <v>193</v>
      </c>
      <c r="B578" s="191" t="s">
        <v>190</v>
      </c>
      <c r="C578" s="198" t="s">
        <v>118</v>
      </c>
      <c r="D578" s="199">
        <v>577</v>
      </c>
    </row>
    <row r="579" spans="1:4" ht="13.5" x14ac:dyDescent="0.25">
      <c r="A579" s="202">
        <v>193</v>
      </c>
      <c r="B579" s="192" t="str">
        <f t="shared" ref="B579:B580" si="192">$B$578</f>
        <v>Ponto193</v>
      </c>
      <c r="C579" s="198" t="s">
        <v>119</v>
      </c>
      <c r="D579" s="199">
        <v>578</v>
      </c>
    </row>
    <row r="580" spans="1:4" ht="13.5" x14ac:dyDescent="0.25">
      <c r="A580" s="202">
        <v>193</v>
      </c>
      <c r="B580" s="192" t="str">
        <f t="shared" si="192"/>
        <v>Ponto193</v>
      </c>
      <c r="C580" s="198" t="s">
        <v>120</v>
      </c>
      <c r="D580" s="199">
        <v>579</v>
      </c>
    </row>
    <row r="581" spans="1:4" ht="13.5" x14ac:dyDescent="0.25">
      <c r="A581" s="202">
        <v>194</v>
      </c>
      <c r="B581" s="191" t="s">
        <v>191</v>
      </c>
      <c r="C581" s="198" t="s">
        <v>118</v>
      </c>
      <c r="D581" s="199">
        <v>580</v>
      </c>
    </row>
    <row r="582" spans="1:4" ht="13.5" x14ac:dyDescent="0.25">
      <c r="A582" s="202">
        <v>194</v>
      </c>
      <c r="B582" s="192" t="str">
        <f t="shared" ref="B582:B583" si="193">$B$581</f>
        <v>Ponto194</v>
      </c>
      <c r="C582" s="198" t="s">
        <v>119</v>
      </c>
      <c r="D582" s="199">
        <v>581</v>
      </c>
    </row>
    <row r="583" spans="1:4" ht="13.5" x14ac:dyDescent="0.25">
      <c r="A583" s="202">
        <v>194</v>
      </c>
      <c r="B583" s="192" t="str">
        <f t="shared" si="193"/>
        <v>Ponto194</v>
      </c>
      <c r="C583" s="198" t="s">
        <v>120</v>
      </c>
      <c r="D583" s="199">
        <v>582</v>
      </c>
    </row>
    <row r="584" spans="1:4" ht="13.5" x14ac:dyDescent="0.25">
      <c r="A584" s="202">
        <v>195</v>
      </c>
      <c r="B584" s="191" t="s">
        <v>192</v>
      </c>
      <c r="C584" s="198" t="s">
        <v>118</v>
      </c>
      <c r="D584" s="199">
        <v>583</v>
      </c>
    </row>
    <row r="585" spans="1:4" ht="13.5" x14ac:dyDescent="0.25">
      <c r="A585" s="202">
        <v>195</v>
      </c>
      <c r="B585" s="192" t="str">
        <f t="shared" ref="B585:B586" si="194">$B$584</f>
        <v>Ponto195</v>
      </c>
      <c r="C585" s="198" t="s">
        <v>119</v>
      </c>
      <c r="D585" s="199">
        <v>584</v>
      </c>
    </row>
    <row r="586" spans="1:4" ht="13.5" x14ac:dyDescent="0.25">
      <c r="A586" s="202">
        <v>195</v>
      </c>
      <c r="B586" s="192" t="str">
        <f t="shared" si="194"/>
        <v>Ponto195</v>
      </c>
      <c r="C586" s="198" t="s">
        <v>120</v>
      </c>
      <c r="D586" s="199">
        <v>585</v>
      </c>
    </row>
    <row r="587" spans="1:4" ht="13.5" x14ac:dyDescent="0.25">
      <c r="A587" s="202">
        <v>196</v>
      </c>
      <c r="B587" s="191" t="s">
        <v>193</v>
      </c>
      <c r="C587" s="198" t="s">
        <v>118</v>
      </c>
      <c r="D587" s="199">
        <v>586</v>
      </c>
    </row>
    <row r="588" spans="1:4" ht="13.5" x14ac:dyDescent="0.25">
      <c r="A588" s="202">
        <v>196</v>
      </c>
      <c r="B588" s="192" t="str">
        <f t="shared" ref="B588:B589" si="195">$B$587</f>
        <v>Ponto196</v>
      </c>
      <c r="C588" s="198" t="s">
        <v>119</v>
      </c>
      <c r="D588" s="199">
        <v>587</v>
      </c>
    </row>
    <row r="589" spans="1:4" ht="13.5" x14ac:dyDescent="0.25">
      <c r="A589" s="202">
        <v>196</v>
      </c>
      <c r="B589" s="192" t="str">
        <f t="shared" si="195"/>
        <v>Ponto196</v>
      </c>
      <c r="C589" s="198" t="s">
        <v>120</v>
      </c>
      <c r="D589" s="199">
        <v>588</v>
      </c>
    </row>
    <row r="590" spans="1:4" ht="13.5" x14ac:dyDescent="0.25">
      <c r="A590" s="202">
        <v>197</v>
      </c>
      <c r="B590" s="191" t="s">
        <v>194</v>
      </c>
      <c r="C590" s="198" t="s">
        <v>118</v>
      </c>
      <c r="D590" s="199">
        <v>589</v>
      </c>
    </row>
    <row r="591" spans="1:4" ht="13.5" x14ac:dyDescent="0.25">
      <c r="A591" s="202">
        <v>197</v>
      </c>
      <c r="B591" s="192" t="str">
        <f t="shared" ref="B591:B592" si="196">$B$590</f>
        <v>Ponto197</v>
      </c>
      <c r="C591" s="198" t="s">
        <v>119</v>
      </c>
      <c r="D591" s="199">
        <v>590</v>
      </c>
    </row>
    <row r="592" spans="1:4" ht="13.5" x14ac:dyDescent="0.25">
      <c r="A592" s="202">
        <v>197</v>
      </c>
      <c r="B592" s="192" t="str">
        <f t="shared" si="196"/>
        <v>Ponto197</v>
      </c>
      <c r="C592" s="198" t="s">
        <v>120</v>
      </c>
      <c r="D592" s="199">
        <v>591</v>
      </c>
    </row>
    <row r="593" spans="1:4" ht="13.5" x14ac:dyDescent="0.25">
      <c r="A593" s="202">
        <v>198</v>
      </c>
      <c r="B593" s="191" t="s">
        <v>195</v>
      </c>
      <c r="C593" s="198" t="s">
        <v>118</v>
      </c>
      <c r="D593" s="199">
        <v>592</v>
      </c>
    </row>
    <row r="594" spans="1:4" ht="13.5" x14ac:dyDescent="0.25">
      <c r="A594" s="202">
        <v>198</v>
      </c>
      <c r="B594" s="192" t="str">
        <f t="shared" ref="B594:B595" si="197">$B$593</f>
        <v>Ponto198</v>
      </c>
      <c r="C594" s="198" t="s">
        <v>119</v>
      </c>
      <c r="D594" s="199">
        <v>593</v>
      </c>
    </row>
    <row r="595" spans="1:4" ht="13.5" x14ac:dyDescent="0.25">
      <c r="A595" s="202">
        <v>198</v>
      </c>
      <c r="B595" s="192" t="str">
        <f t="shared" si="197"/>
        <v>Ponto198</v>
      </c>
      <c r="C595" s="198" t="s">
        <v>120</v>
      </c>
      <c r="D595" s="199">
        <v>594</v>
      </c>
    </row>
    <row r="596" spans="1:4" ht="13.5" x14ac:dyDescent="0.25">
      <c r="A596" s="202">
        <v>199</v>
      </c>
      <c r="B596" s="191" t="s">
        <v>196</v>
      </c>
      <c r="C596" s="198" t="s">
        <v>118</v>
      </c>
      <c r="D596" s="199">
        <v>595</v>
      </c>
    </row>
    <row r="597" spans="1:4" ht="13.5" x14ac:dyDescent="0.25">
      <c r="A597" s="202">
        <v>199</v>
      </c>
      <c r="B597" s="192" t="str">
        <f t="shared" ref="B597:B598" si="198">$B$596</f>
        <v>Ponto199</v>
      </c>
      <c r="C597" s="198" t="s">
        <v>119</v>
      </c>
      <c r="D597" s="199">
        <v>596</v>
      </c>
    </row>
    <row r="598" spans="1:4" ht="13.5" x14ac:dyDescent="0.25">
      <c r="A598" s="202">
        <v>199</v>
      </c>
      <c r="B598" s="192" t="str">
        <f t="shared" si="198"/>
        <v>Ponto199</v>
      </c>
      <c r="C598" s="198" t="s">
        <v>120</v>
      </c>
      <c r="D598" s="199">
        <v>597</v>
      </c>
    </row>
    <row r="599" spans="1:4" ht="13.5" x14ac:dyDescent="0.25">
      <c r="A599" s="202">
        <v>200</v>
      </c>
      <c r="B599" s="191" t="s">
        <v>197</v>
      </c>
      <c r="C599" s="198" t="s">
        <v>118</v>
      </c>
      <c r="D599" s="199">
        <v>598</v>
      </c>
    </row>
    <row r="600" spans="1:4" ht="13.5" x14ac:dyDescent="0.25">
      <c r="A600" s="202">
        <v>200</v>
      </c>
      <c r="B600" s="192" t="str">
        <f t="shared" ref="B600:B601" si="199">$B$599</f>
        <v>Ponto200</v>
      </c>
      <c r="C600" s="198" t="s">
        <v>119</v>
      </c>
      <c r="D600" s="199">
        <v>599</v>
      </c>
    </row>
    <row r="601" spans="1:4" ht="13.5" x14ac:dyDescent="0.25">
      <c r="A601" s="202">
        <v>200</v>
      </c>
      <c r="B601" s="192" t="str">
        <f t="shared" si="199"/>
        <v>Ponto200</v>
      </c>
      <c r="C601" s="198" t="s">
        <v>120</v>
      </c>
      <c r="D601" s="199">
        <v>600</v>
      </c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tabSelected="1" zoomScale="98" zoomScaleNormal="98" workbookViewId="0">
      <selection activeCell="D18" sqref="D18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9.3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6384" width="9" style="9"/>
  </cols>
  <sheetData>
    <row r="1" spans="1:201" x14ac:dyDescent="0.2">
      <c r="A1" s="9">
        <v>200</v>
      </c>
      <c r="B1" s="215"/>
      <c r="C1" s="215"/>
      <c r="D1" s="10"/>
      <c r="E1" s="215"/>
      <c r="F1" s="215"/>
    </row>
    <row r="4" spans="1:201" x14ac:dyDescent="0.2">
      <c r="A4" s="208" t="s">
        <v>18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  <c r="BM4" s="209"/>
      <c r="BN4" s="209"/>
      <c r="BO4" s="209"/>
      <c r="BP4" s="209"/>
      <c r="BQ4" s="209"/>
      <c r="BR4" s="209"/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209"/>
      <c r="CD4" s="209"/>
      <c r="CE4" s="209"/>
      <c r="CF4" s="209"/>
      <c r="CG4" s="209"/>
      <c r="CH4" s="209"/>
      <c r="CI4" s="209"/>
      <c r="CJ4" s="209"/>
      <c r="CK4" s="209"/>
      <c r="CL4" s="209"/>
      <c r="CM4" s="209"/>
      <c r="CN4" s="209"/>
      <c r="CO4" s="209"/>
      <c r="CP4" s="209"/>
      <c r="CQ4" s="209"/>
      <c r="CR4" s="209"/>
      <c r="CS4" s="209"/>
      <c r="CT4" s="209"/>
      <c r="CU4" s="209"/>
      <c r="CV4" s="209"/>
      <c r="CW4" s="209"/>
      <c r="CX4" s="209"/>
      <c r="CY4" s="209"/>
      <c r="CZ4" s="209"/>
      <c r="DA4" s="209"/>
      <c r="DB4" s="209"/>
      <c r="DC4" s="209"/>
      <c r="DD4" s="209"/>
      <c r="DE4" s="209"/>
      <c r="DF4" s="209"/>
      <c r="DG4" s="209"/>
      <c r="DH4" s="209"/>
      <c r="DI4" s="209"/>
      <c r="DJ4" s="209"/>
      <c r="DK4" s="209"/>
      <c r="DL4" s="209"/>
      <c r="DM4" s="209"/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209"/>
      <c r="DY4" s="209"/>
      <c r="DZ4" s="209"/>
      <c r="EA4" s="209"/>
      <c r="EB4" s="209"/>
      <c r="EC4" s="209"/>
      <c r="ED4" s="209"/>
      <c r="EE4" s="209"/>
      <c r="EF4" s="209"/>
      <c r="EG4" s="209"/>
      <c r="EH4" s="209"/>
      <c r="EI4" s="209"/>
      <c r="EJ4" s="209"/>
      <c r="EK4" s="209"/>
      <c r="EL4" s="209"/>
      <c r="EM4" s="209"/>
      <c r="EN4" s="209"/>
      <c r="EO4" s="209"/>
      <c r="EP4" s="209"/>
      <c r="EQ4" s="209"/>
      <c r="ER4" s="209"/>
      <c r="ES4" s="209"/>
      <c r="ET4" s="209"/>
      <c r="EU4" s="209"/>
      <c r="EV4" s="209"/>
      <c r="EW4" s="209"/>
      <c r="EX4" s="209"/>
      <c r="EY4" s="209"/>
      <c r="EZ4" s="209"/>
      <c r="FA4" s="209"/>
      <c r="FB4" s="209"/>
      <c r="FC4" s="209"/>
      <c r="FD4" s="209"/>
      <c r="FE4" s="209"/>
      <c r="FF4" s="209"/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209"/>
      <c r="FR4" s="209"/>
      <c r="FS4" s="209"/>
      <c r="FT4" s="209"/>
      <c r="FU4" s="209"/>
      <c r="FV4" s="209"/>
      <c r="FW4" s="209"/>
      <c r="FX4" s="209"/>
      <c r="FY4" s="209"/>
      <c r="FZ4" s="209"/>
      <c r="GA4" s="209"/>
      <c r="GB4" s="209"/>
      <c r="GC4" s="209"/>
      <c r="GD4" s="209"/>
      <c r="GE4" s="209"/>
      <c r="GF4" s="209"/>
      <c r="GG4" s="209"/>
      <c r="GH4" s="209"/>
      <c r="GI4" s="209"/>
      <c r="GJ4" s="209"/>
      <c r="GK4" s="209"/>
      <c r="GL4" s="209"/>
      <c r="GM4" s="209"/>
      <c r="GN4" s="209"/>
      <c r="GO4" s="209"/>
      <c r="GP4" s="209"/>
      <c r="GQ4" s="209"/>
      <c r="GR4" s="209"/>
      <c r="GS4" s="209"/>
    </row>
    <row r="5" spans="1:201" x14ac:dyDescent="0.2">
      <c r="A5" s="12" t="s">
        <v>19</v>
      </c>
      <c r="B5" s="13" t="s">
        <v>211</v>
      </c>
      <c r="C5" s="13" t="s">
        <v>212</v>
      </c>
      <c r="D5" s="13" t="s">
        <v>213</v>
      </c>
      <c r="E5" s="13" t="s">
        <v>214</v>
      </c>
      <c r="F5" s="13" t="s">
        <v>215</v>
      </c>
      <c r="G5" s="13" t="s">
        <v>216</v>
      </c>
      <c r="H5" s="13" t="s">
        <v>217</v>
      </c>
      <c r="I5" s="13" t="s">
        <v>218</v>
      </c>
      <c r="J5" s="13" t="s">
        <v>219</v>
      </c>
      <c r="K5" s="13" t="s">
        <v>220</v>
      </c>
      <c r="L5" s="13" t="s">
        <v>221</v>
      </c>
      <c r="M5" s="13" t="s">
        <v>222</v>
      </c>
      <c r="N5" s="13" t="s">
        <v>223</v>
      </c>
      <c r="O5" s="13" t="s">
        <v>224</v>
      </c>
      <c r="P5" s="13" t="s">
        <v>226</v>
      </c>
      <c r="Q5" s="13" t="s">
        <v>229</v>
      </c>
      <c r="R5" s="13" t="s">
        <v>231</v>
      </c>
      <c r="S5" s="13" t="s">
        <v>232</v>
      </c>
      <c r="T5" s="13" t="s">
        <v>234</v>
      </c>
      <c r="U5" s="13" t="s">
        <v>236</v>
      </c>
      <c r="V5" s="13" t="s">
        <v>238</v>
      </c>
      <c r="W5" s="13" t="s">
        <v>240</v>
      </c>
      <c r="X5" s="13" t="s">
        <v>242</v>
      </c>
      <c r="Y5" s="13" t="s">
        <v>244</v>
      </c>
      <c r="Z5" s="13" t="s">
        <v>246</v>
      </c>
      <c r="AA5" s="13" t="s">
        <v>352</v>
      </c>
      <c r="AB5" s="13" t="s">
        <v>353</v>
      </c>
      <c r="AC5" s="13" t="s">
        <v>354</v>
      </c>
      <c r="AD5" s="13" t="s">
        <v>355</v>
      </c>
      <c r="AE5" s="13" t="s">
        <v>356</v>
      </c>
      <c r="AF5" s="13" t="s">
        <v>357</v>
      </c>
      <c r="AG5" s="13" t="s">
        <v>358</v>
      </c>
      <c r="AH5" s="13" t="s">
        <v>359</v>
      </c>
      <c r="AI5" s="13" t="s">
        <v>360</v>
      </c>
      <c r="AJ5" s="13" t="s">
        <v>361</v>
      </c>
      <c r="AK5" s="13" t="s">
        <v>362</v>
      </c>
      <c r="AL5" s="13" t="s">
        <v>363</v>
      </c>
      <c r="AM5" s="13" t="s">
        <v>364</v>
      </c>
      <c r="AN5" s="13" t="s">
        <v>365</v>
      </c>
      <c r="AO5" s="13" t="s">
        <v>366</v>
      </c>
      <c r="AP5" s="13" t="s">
        <v>367</v>
      </c>
      <c r="AQ5" s="13" t="s">
        <v>368</v>
      </c>
      <c r="AR5" s="13" t="s">
        <v>369</v>
      </c>
      <c r="AS5" s="13" t="s">
        <v>370</v>
      </c>
      <c r="AT5" s="13" t="s">
        <v>371</v>
      </c>
      <c r="AU5" s="13" t="s">
        <v>372</v>
      </c>
      <c r="AV5" s="13" t="s">
        <v>373</v>
      </c>
      <c r="AW5" s="13" t="s">
        <v>374</v>
      </c>
      <c r="AX5" s="13" t="s">
        <v>375</v>
      </c>
      <c r="AY5" s="13" t="s">
        <v>376</v>
      </c>
      <c r="AZ5" s="13" t="s">
        <v>377</v>
      </c>
      <c r="BA5" s="13" t="s">
        <v>378</v>
      </c>
      <c r="BB5" s="13" t="s">
        <v>379</v>
      </c>
      <c r="BC5" s="13" t="s">
        <v>380</v>
      </c>
      <c r="BD5" s="13" t="s">
        <v>381</v>
      </c>
      <c r="BE5" s="13" t="s">
        <v>382</v>
      </c>
      <c r="BF5" s="13" t="s">
        <v>383</v>
      </c>
      <c r="BG5" s="13" t="s">
        <v>384</v>
      </c>
      <c r="BH5" s="13" t="s">
        <v>385</v>
      </c>
      <c r="BI5" s="13" t="s">
        <v>386</v>
      </c>
      <c r="BJ5" s="13" t="s">
        <v>387</v>
      </c>
      <c r="BK5" s="13" t="s">
        <v>388</v>
      </c>
      <c r="BL5" s="13" t="s">
        <v>389</v>
      </c>
      <c r="BM5" s="13" t="s">
        <v>390</v>
      </c>
      <c r="BN5" s="13" t="s">
        <v>391</v>
      </c>
      <c r="BO5" s="13" t="s">
        <v>392</v>
      </c>
      <c r="BP5" s="13" t="s">
        <v>393</v>
      </c>
      <c r="BQ5" s="13" t="s">
        <v>394</v>
      </c>
      <c r="BR5" s="13" t="s">
        <v>395</v>
      </c>
      <c r="BS5" s="13" t="s">
        <v>396</v>
      </c>
      <c r="BT5" s="13" t="s">
        <v>397</v>
      </c>
      <c r="BU5" s="13" t="s">
        <v>398</v>
      </c>
      <c r="BV5" s="13" t="s">
        <v>399</v>
      </c>
      <c r="BW5" s="13" t="s">
        <v>400</v>
      </c>
      <c r="BX5" s="13" t="s">
        <v>401</v>
      </c>
      <c r="BY5" s="13" t="s">
        <v>402</v>
      </c>
      <c r="BZ5" s="13" t="s">
        <v>403</v>
      </c>
      <c r="CA5" s="13" t="s">
        <v>404</v>
      </c>
      <c r="CB5" s="13" t="s">
        <v>405</v>
      </c>
      <c r="CC5" s="13" t="s">
        <v>406</v>
      </c>
      <c r="CD5" s="13" t="s">
        <v>407</v>
      </c>
      <c r="CE5" s="13" t="s">
        <v>408</v>
      </c>
      <c r="CF5" s="13" t="s">
        <v>409</v>
      </c>
      <c r="CG5" s="13" t="s">
        <v>410</v>
      </c>
      <c r="CH5" s="13" t="s">
        <v>411</v>
      </c>
      <c r="CI5" s="13" t="s">
        <v>412</v>
      </c>
      <c r="CJ5" s="13" t="s">
        <v>413</v>
      </c>
      <c r="CK5" s="13" t="s">
        <v>414</v>
      </c>
      <c r="CL5" s="13" t="s">
        <v>415</v>
      </c>
      <c r="CM5" s="13" t="s">
        <v>416</v>
      </c>
      <c r="CN5" s="13" t="s">
        <v>417</v>
      </c>
      <c r="CO5" s="13" t="s">
        <v>418</v>
      </c>
      <c r="CP5" s="13" t="s">
        <v>419</v>
      </c>
      <c r="CQ5" s="13" t="s">
        <v>420</v>
      </c>
      <c r="CR5" s="13" t="s">
        <v>421</v>
      </c>
      <c r="CS5" s="13" t="s">
        <v>422</v>
      </c>
      <c r="CT5" s="13" t="s">
        <v>423</v>
      </c>
      <c r="CU5" s="13" t="s">
        <v>424</v>
      </c>
      <c r="CV5" s="13" t="s">
        <v>425</v>
      </c>
      <c r="CW5" s="13" t="s">
        <v>426</v>
      </c>
      <c r="CX5" s="13" t="s">
        <v>427</v>
      </c>
      <c r="CY5" s="13" t="s">
        <v>428</v>
      </c>
      <c r="CZ5" s="13" t="s">
        <v>429</v>
      </c>
      <c r="DA5" s="13" t="s">
        <v>430</v>
      </c>
      <c r="DB5" s="13" t="s">
        <v>431</v>
      </c>
      <c r="DC5" s="13" t="s">
        <v>432</v>
      </c>
      <c r="DD5" s="13" t="s">
        <v>433</v>
      </c>
      <c r="DE5" s="13" t="s">
        <v>434</v>
      </c>
      <c r="DF5" s="13" t="s">
        <v>435</v>
      </c>
      <c r="DG5" s="13" t="s">
        <v>436</v>
      </c>
      <c r="DH5" s="13" t="s">
        <v>437</v>
      </c>
      <c r="DI5" s="13" t="s">
        <v>438</v>
      </c>
      <c r="DJ5" s="13" t="s">
        <v>439</v>
      </c>
      <c r="DK5" s="13" t="s">
        <v>440</v>
      </c>
      <c r="DL5" s="13" t="s">
        <v>441</v>
      </c>
      <c r="DM5" s="13" t="s">
        <v>442</v>
      </c>
      <c r="DN5" s="13" t="s">
        <v>443</v>
      </c>
      <c r="DO5" s="13" t="s">
        <v>444</v>
      </c>
      <c r="DP5" s="13" t="s">
        <v>445</v>
      </c>
      <c r="DQ5" s="13" t="s">
        <v>446</v>
      </c>
      <c r="DR5" s="13" t="s">
        <v>447</v>
      </c>
      <c r="DS5" s="13" t="s">
        <v>448</v>
      </c>
      <c r="DT5" s="13" t="s">
        <v>449</v>
      </c>
      <c r="DU5" s="13" t="s">
        <v>450</v>
      </c>
      <c r="DV5" s="13" t="s">
        <v>451</v>
      </c>
      <c r="DW5" s="13" t="s">
        <v>452</v>
      </c>
      <c r="DX5" s="13" t="s">
        <v>453</v>
      </c>
      <c r="DY5" s="13" t="s">
        <v>454</v>
      </c>
      <c r="DZ5" s="13" t="s">
        <v>455</v>
      </c>
      <c r="EA5" s="13" t="s">
        <v>456</v>
      </c>
      <c r="EB5" s="13" t="s">
        <v>457</v>
      </c>
      <c r="EC5" s="13" t="s">
        <v>458</v>
      </c>
      <c r="ED5" s="13" t="s">
        <v>459</v>
      </c>
      <c r="EE5" s="13" t="s">
        <v>460</v>
      </c>
      <c r="EF5" s="13" t="s">
        <v>461</v>
      </c>
      <c r="EG5" s="13" t="s">
        <v>462</v>
      </c>
      <c r="EH5" s="13" t="s">
        <v>463</v>
      </c>
      <c r="EI5" s="13" t="s">
        <v>464</v>
      </c>
      <c r="EJ5" s="13" t="s">
        <v>465</v>
      </c>
      <c r="EK5" s="13" t="s">
        <v>466</v>
      </c>
      <c r="EL5" s="13" t="s">
        <v>467</v>
      </c>
      <c r="EM5" s="13" t="s">
        <v>468</v>
      </c>
      <c r="EN5" s="13" t="s">
        <v>469</v>
      </c>
      <c r="EO5" s="13" t="s">
        <v>470</v>
      </c>
      <c r="EP5" s="13" t="s">
        <v>471</v>
      </c>
      <c r="EQ5" s="13" t="s">
        <v>472</v>
      </c>
      <c r="ER5" s="13" t="s">
        <v>473</v>
      </c>
      <c r="ES5" s="13" t="s">
        <v>474</v>
      </c>
      <c r="ET5" s="13" t="s">
        <v>475</v>
      </c>
      <c r="EU5" s="13" t="s">
        <v>476</v>
      </c>
      <c r="EV5" s="13" t="s">
        <v>477</v>
      </c>
      <c r="EW5" s="13" t="s">
        <v>478</v>
      </c>
      <c r="EX5" s="13" t="s">
        <v>479</v>
      </c>
      <c r="EY5" s="13" t="s">
        <v>480</v>
      </c>
      <c r="EZ5" s="13" t="s">
        <v>481</v>
      </c>
      <c r="FA5" s="13" t="s">
        <v>482</v>
      </c>
      <c r="FB5" s="13" t="s">
        <v>483</v>
      </c>
      <c r="FC5" s="13" t="s">
        <v>484</v>
      </c>
      <c r="FD5" s="13" t="s">
        <v>485</v>
      </c>
      <c r="FE5" s="13" t="s">
        <v>486</v>
      </c>
      <c r="FF5" s="13" t="s">
        <v>487</v>
      </c>
      <c r="FG5" s="13" t="s">
        <v>488</v>
      </c>
      <c r="FH5" s="13" t="s">
        <v>489</v>
      </c>
      <c r="FI5" s="13" t="s">
        <v>490</v>
      </c>
      <c r="FJ5" s="13" t="s">
        <v>491</v>
      </c>
      <c r="FK5" s="13" t="s">
        <v>492</v>
      </c>
      <c r="FL5" s="13" t="s">
        <v>493</v>
      </c>
      <c r="FM5" s="13" t="s">
        <v>494</v>
      </c>
      <c r="FN5" s="13" t="s">
        <v>495</v>
      </c>
      <c r="FO5" s="13" t="s">
        <v>496</v>
      </c>
      <c r="FP5" s="13" t="s">
        <v>497</v>
      </c>
      <c r="FQ5" s="13" t="s">
        <v>498</v>
      </c>
      <c r="FR5" s="13" t="s">
        <v>499</v>
      </c>
      <c r="FS5" s="13" t="s">
        <v>500</v>
      </c>
      <c r="FT5" s="13" t="s">
        <v>501</v>
      </c>
      <c r="FU5" s="13" t="s">
        <v>502</v>
      </c>
      <c r="FV5" s="13" t="s">
        <v>503</v>
      </c>
      <c r="FW5" s="13" t="s">
        <v>504</v>
      </c>
      <c r="FX5" s="13" t="s">
        <v>505</v>
      </c>
      <c r="FY5" s="13" t="s">
        <v>506</v>
      </c>
      <c r="FZ5" s="13" t="s">
        <v>507</v>
      </c>
      <c r="GA5" s="13" t="s">
        <v>508</v>
      </c>
      <c r="GB5" s="13" t="s">
        <v>509</v>
      </c>
      <c r="GC5" s="13" t="s">
        <v>510</v>
      </c>
      <c r="GD5" s="13" t="s">
        <v>511</v>
      </c>
      <c r="GE5" s="13" t="s">
        <v>512</v>
      </c>
      <c r="GF5" s="13" t="s">
        <v>513</v>
      </c>
      <c r="GG5" s="13" t="s">
        <v>514</v>
      </c>
      <c r="GH5" s="13" t="s">
        <v>515</v>
      </c>
      <c r="GI5" s="13" t="s">
        <v>516</v>
      </c>
      <c r="GJ5" s="13" t="s">
        <v>517</v>
      </c>
      <c r="GK5" s="13" t="s">
        <v>518</v>
      </c>
      <c r="GL5" s="13" t="s">
        <v>519</v>
      </c>
      <c r="GM5" s="13" t="s">
        <v>520</v>
      </c>
      <c r="GN5" s="13" t="s">
        <v>521</v>
      </c>
      <c r="GO5" s="13" t="s">
        <v>522</v>
      </c>
      <c r="GP5" s="13" t="s">
        <v>523</v>
      </c>
      <c r="GQ5" s="13" t="s">
        <v>524</v>
      </c>
      <c r="GR5" s="13" t="s">
        <v>525</v>
      </c>
      <c r="GS5" s="13" t="s">
        <v>526</v>
      </c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>
        <v>301</v>
      </c>
      <c r="CY6" s="16">
        <v>304</v>
      </c>
      <c r="CZ6" s="16">
        <v>307</v>
      </c>
      <c r="DA6" s="16">
        <v>310</v>
      </c>
      <c r="DB6" s="16">
        <v>313</v>
      </c>
      <c r="DC6" s="16">
        <v>316</v>
      </c>
      <c r="DD6" s="16">
        <v>319</v>
      </c>
      <c r="DE6" s="16">
        <v>322</v>
      </c>
      <c r="DF6" s="16">
        <v>325</v>
      </c>
      <c r="DG6" s="16">
        <v>328</v>
      </c>
      <c r="DH6" s="16">
        <v>331</v>
      </c>
      <c r="DI6" s="16">
        <v>334</v>
      </c>
      <c r="DJ6" s="16">
        <v>337</v>
      </c>
      <c r="DK6" s="16">
        <v>340</v>
      </c>
      <c r="DL6" s="16">
        <v>343</v>
      </c>
      <c r="DM6" s="16">
        <v>346</v>
      </c>
      <c r="DN6" s="16">
        <v>349</v>
      </c>
      <c r="DO6" s="16">
        <v>352</v>
      </c>
      <c r="DP6" s="16">
        <v>355</v>
      </c>
      <c r="DQ6" s="16">
        <v>358</v>
      </c>
      <c r="DR6" s="16">
        <v>361</v>
      </c>
      <c r="DS6" s="16">
        <v>364</v>
      </c>
      <c r="DT6" s="16">
        <v>367</v>
      </c>
      <c r="DU6" s="16">
        <v>370</v>
      </c>
      <c r="DV6" s="16">
        <v>373</v>
      </c>
      <c r="DW6" s="16">
        <v>376</v>
      </c>
      <c r="DX6" s="16">
        <v>379</v>
      </c>
      <c r="DY6" s="16">
        <v>382</v>
      </c>
      <c r="DZ6" s="16">
        <v>385</v>
      </c>
      <c r="EA6" s="16">
        <v>388</v>
      </c>
      <c r="EB6" s="16">
        <v>391</v>
      </c>
      <c r="EC6" s="16">
        <v>394</v>
      </c>
      <c r="ED6" s="16">
        <v>397</v>
      </c>
      <c r="EE6" s="16">
        <v>400</v>
      </c>
      <c r="EF6" s="16">
        <v>403</v>
      </c>
      <c r="EG6" s="16">
        <v>406</v>
      </c>
      <c r="EH6" s="16">
        <v>409</v>
      </c>
      <c r="EI6" s="16">
        <v>412</v>
      </c>
      <c r="EJ6" s="16">
        <v>415</v>
      </c>
      <c r="EK6" s="16">
        <v>418</v>
      </c>
      <c r="EL6" s="16">
        <v>421</v>
      </c>
      <c r="EM6" s="16">
        <v>424</v>
      </c>
      <c r="EN6" s="16">
        <v>427</v>
      </c>
      <c r="EO6" s="16">
        <v>430</v>
      </c>
      <c r="EP6" s="16">
        <v>433</v>
      </c>
      <c r="EQ6" s="16">
        <v>436</v>
      </c>
      <c r="ER6" s="16">
        <v>439</v>
      </c>
      <c r="ES6" s="16">
        <v>442</v>
      </c>
      <c r="ET6" s="16">
        <v>445</v>
      </c>
      <c r="EU6" s="16">
        <v>448</v>
      </c>
      <c r="EV6" s="16">
        <v>451</v>
      </c>
      <c r="EW6" s="16">
        <v>454</v>
      </c>
      <c r="EX6" s="16">
        <v>457</v>
      </c>
      <c r="EY6" s="16">
        <v>460</v>
      </c>
      <c r="EZ6" s="16">
        <v>463</v>
      </c>
      <c r="FA6" s="16">
        <v>466</v>
      </c>
      <c r="FB6" s="16">
        <v>469</v>
      </c>
      <c r="FC6" s="16">
        <v>472</v>
      </c>
      <c r="FD6" s="16">
        <v>475</v>
      </c>
      <c r="FE6" s="16">
        <v>478</v>
      </c>
      <c r="FF6" s="16">
        <v>481</v>
      </c>
      <c r="FG6" s="16">
        <v>484</v>
      </c>
      <c r="FH6" s="16">
        <v>487</v>
      </c>
      <c r="FI6" s="16">
        <v>490</v>
      </c>
      <c r="FJ6" s="16">
        <v>493</v>
      </c>
      <c r="FK6" s="16">
        <v>496</v>
      </c>
      <c r="FL6" s="16">
        <v>499</v>
      </c>
      <c r="FM6" s="16">
        <v>502</v>
      </c>
      <c r="FN6" s="16">
        <v>505</v>
      </c>
      <c r="FO6" s="16">
        <v>508</v>
      </c>
      <c r="FP6" s="16">
        <v>511</v>
      </c>
      <c r="FQ6" s="16">
        <v>514</v>
      </c>
      <c r="FR6" s="16">
        <v>517</v>
      </c>
      <c r="FS6" s="16">
        <v>520</v>
      </c>
      <c r="FT6" s="16">
        <v>523</v>
      </c>
      <c r="FU6" s="16">
        <v>526</v>
      </c>
      <c r="FV6" s="16">
        <v>529</v>
      </c>
      <c r="FW6" s="16">
        <v>532</v>
      </c>
      <c r="FX6" s="16">
        <v>535</v>
      </c>
      <c r="FY6" s="16">
        <v>538</v>
      </c>
      <c r="FZ6" s="16">
        <v>541</v>
      </c>
      <c r="GA6" s="16">
        <v>544</v>
      </c>
      <c r="GB6" s="16">
        <v>547</v>
      </c>
      <c r="GC6" s="16">
        <v>550</v>
      </c>
      <c r="GD6" s="16">
        <v>553</v>
      </c>
      <c r="GE6" s="16">
        <v>556</v>
      </c>
      <c r="GF6" s="16">
        <v>559</v>
      </c>
      <c r="GG6" s="16">
        <v>562</v>
      </c>
      <c r="GH6" s="16">
        <v>565</v>
      </c>
      <c r="GI6" s="16">
        <v>568</v>
      </c>
      <c r="GJ6" s="16">
        <v>571</v>
      </c>
      <c r="GK6" s="16">
        <v>574</v>
      </c>
      <c r="GL6" s="16">
        <v>577</v>
      </c>
      <c r="GM6" s="16">
        <v>580</v>
      </c>
      <c r="GN6" s="16">
        <v>583</v>
      </c>
      <c r="GO6" s="16">
        <v>586</v>
      </c>
      <c r="GP6" s="16">
        <v>589</v>
      </c>
      <c r="GQ6" s="16">
        <v>592</v>
      </c>
      <c r="GR6" s="16">
        <v>595</v>
      </c>
      <c r="GS6" s="16">
        <v>598</v>
      </c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>
        <v>302</v>
      </c>
      <c r="CY7" s="16">
        <v>305</v>
      </c>
      <c r="CZ7" s="16">
        <v>308</v>
      </c>
      <c r="DA7" s="16">
        <v>311</v>
      </c>
      <c r="DB7" s="16">
        <v>314</v>
      </c>
      <c r="DC7" s="16">
        <v>317</v>
      </c>
      <c r="DD7" s="16">
        <v>320</v>
      </c>
      <c r="DE7" s="16">
        <v>323</v>
      </c>
      <c r="DF7" s="16">
        <v>326</v>
      </c>
      <c r="DG7" s="16">
        <v>329</v>
      </c>
      <c r="DH7" s="16">
        <v>332</v>
      </c>
      <c r="DI7" s="16">
        <v>335</v>
      </c>
      <c r="DJ7" s="16">
        <v>338</v>
      </c>
      <c r="DK7" s="16">
        <v>341</v>
      </c>
      <c r="DL7" s="16">
        <v>344</v>
      </c>
      <c r="DM7" s="16">
        <v>347</v>
      </c>
      <c r="DN7" s="16">
        <v>350</v>
      </c>
      <c r="DO7" s="16">
        <v>353</v>
      </c>
      <c r="DP7" s="16">
        <v>356</v>
      </c>
      <c r="DQ7" s="16">
        <v>359</v>
      </c>
      <c r="DR7" s="16">
        <v>362</v>
      </c>
      <c r="DS7" s="16">
        <v>365</v>
      </c>
      <c r="DT7" s="16">
        <v>368</v>
      </c>
      <c r="DU7" s="16">
        <v>371</v>
      </c>
      <c r="DV7" s="16">
        <v>374</v>
      </c>
      <c r="DW7" s="16">
        <v>377</v>
      </c>
      <c r="DX7" s="16">
        <v>380</v>
      </c>
      <c r="DY7" s="16">
        <v>383</v>
      </c>
      <c r="DZ7" s="16">
        <v>386</v>
      </c>
      <c r="EA7" s="16">
        <v>389</v>
      </c>
      <c r="EB7" s="16">
        <v>392</v>
      </c>
      <c r="EC7" s="16">
        <v>395</v>
      </c>
      <c r="ED7" s="16">
        <v>398</v>
      </c>
      <c r="EE7" s="16">
        <v>401</v>
      </c>
      <c r="EF7" s="16">
        <v>404</v>
      </c>
      <c r="EG7" s="16">
        <v>407</v>
      </c>
      <c r="EH7" s="16">
        <v>410</v>
      </c>
      <c r="EI7" s="16">
        <v>413</v>
      </c>
      <c r="EJ7" s="16">
        <v>416</v>
      </c>
      <c r="EK7" s="16">
        <v>419</v>
      </c>
      <c r="EL7" s="16">
        <v>422</v>
      </c>
      <c r="EM7" s="16">
        <v>425</v>
      </c>
      <c r="EN7" s="16">
        <v>428</v>
      </c>
      <c r="EO7" s="16">
        <v>431</v>
      </c>
      <c r="EP7" s="16">
        <v>434</v>
      </c>
      <c r="EQ7" s="16">
        <v>437</v>
      </c>
      <c r="ER7" s="16">
        <v>440</v>
      </c>
      <c r="ES7" s="16">
        <v>443</v>
      </c>
      <c r="ET7" s="16">
        <v>446</v>
      </c>
      <c r="EU7" s="16">
        <v>449</v>
      </c>
      <c r="EV7" s="16">
        <v>452</v>
      </c>
      <c r="EW7" s="16">
        <v>455</v>
      </c>
      <c r="EX7" s="16">
        <v>458</v>
      </c>
      <c r="EY7" s="16">
        <v>461</v>
      </c>
      <c r="EZ7" s="16">
        <v>464</v>
      </c>
      <c r="FA7" s="16">
        <v>467</v>
      </c>
      <c r="FB7" s="16">
        <v>470</v>
      </c>
      <c r="FC7" s="16">
        <v>473</v>
      </c>
      <c r="FD7" s="16">
        <v>476</v>
      </c>
      <c r="FE7" s="16">
        <v>479</v>
      </c>
      <c r="FF7" s="16">
        <v>482</v>
      </c>
      <c r="FG7" s="16">
        <v>485</v>
      </c>
      <c r="FH7" s="16">
        <v>488</v>
      </c>
      <c r="FI7" s="16">
        <v>491</v>
      </c>
      <c r="FJ7" s="16">
        <v>494</v>
      </c>
      <c r="FK7" s="16">
        <v>497</v>
      </c>
      <c r="FL7" s="16">
        <v>500</v>
      </c>
      <c r="FM7" s="16">
        <v>503</v>
      </c>
      <c r="FN7" s="16">
        <v>506</v>
      </c>
      <c r="FO7" s="16">
        <v>509</v>
      </c>
      <c r="FP7" s="16">
        <v>512</v>
      </c>
      <c r="FQ7" s="16">
        <v>515</v>
      </c>
      <c r="FR7" s="16">
        <v>518</v>
      </c>
      <c r="FS7" s="16">
        <v>521</v>
      </c>
      <c r="FT7" s="16">
        <v>524</v>
      </c>
      <c r="FU7" s="16">
        <v>527</v>
      </c>
      <c r="FV7" s="16">
        <v>530</v>
      </c>
      <c r="FW7" s="16">
        <v>533</v>
      </c>
      <c r="FX7" s="16">
        <v>536</v>
      </c>
      <c r="FY7" s="16">
        <v>539</v>
      </c>
      <c r="FZ7" s="16">
        <v>542</v>
      </c>
      <c r="GA7" s="16">
        <v>545</v>
      </c>
      <c r="GB7" s="16">
        <v>548</v>
      </c>
      <c r="GC7" s="16">
        <v>551</v>
      </c>
      <c r="GD7" s="16">
        <v>554</v>
      </c>
      <c r="GE7" s="16">
        <v>557</v>
      </c>
      <c r="GF7" s="16">
        <v>560</v>
      </c>
      <c r="GG7" s="16">
        <v>563</v>
      </c>
      <c r="GH7" s="16">
        <v>566</v>
      </c>
      <c r="GI7" s="16">
        <v>569</v>
      </c>
      <c r="GJ7" s="16">
        <v>572</v>
      </c>
      <c r="GK7" s="16">
        <v>575</v>
      </c>
      <c r="GL7" s="16">
        <v>578</v>
      </c>
      <c r="GM7" s="16">
        <v>581</v>
      </c>
      <c r="GN7" s="16">
        <v>584</v>
      </c>
      <c r="GO7" s="16">
        <v>587</v>
      </c>
      <c r="GP7" s="16">
        <v>590</v>
      </c>
      <c r="GQ7" s="16">
        <v>593</v>
      </c>
      <c r="GR7" s="16">
        <v>596</v>
      </c>
      <c r="GS7" s="16">
        <v>599</v>
      </c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>
        <v>303</v>
      </c>
      <c r="CY8" s="16">
        <v>306</v>
      </c>
      <c r="CZ8" s="16">
        <v>309</v>
      </c>
      <c r="DA8" s="16">
        <v>312</v>
      </c>
      <c r="DB8" s="16">
        <v>315</v>
      </c>
      <c r="DC8" s="16">
        <v>318</v>
      </c>
      <c r="DD8" s="16">
        <v>321</v>
      </c>
      <c r="DE8" s="16">
        <v>324</v>
      </c>
      <c r="DF8" s="16">
        <v>327</v>
      </c>
      <c r="DG8" s="16">
        <v>330</v>
      </c>
      <c r="DH8" s="16">
        <v>333</v>
      </c>
      <c r="DI8" s="16">
        <v>336</v>
      </c>
      <c r="DJ8" s="16">
        <v>339</v>
      </c>
      <c r="DK8" s="16">
        <v>342</v>
      </c>
      <c r="DL8" s="16">
        <v>345</v>
      </c>
      <c r="DM8" s="16">
        <v>348</v>
      </c>
      <c r="DN8" s="16">
        <v>351</v>
      </c>
      <c r="DO8" s="16">
        <v>354</v>
      </c>
      <c r="DP8" s="16">
        <v>357</v>
      </c>
      <c r="DQ8" s="16">
        <v>360</v>
      </c>
      <c r="DR8" s="16">
        <v>363</v>
      </c>
      <c r="DS8" s="16">
        <v>366</v>
      </c>
      <c r="DT8" s="16">
        <v>369</v>
      </c>
      <c r="DU8" s="16">
        <v>372</v>
      </c>
      <c r="DV8" s="16">
        <v>375</v>
      </c>
      <c r="DW8" s="16">
        <v>378</v>
      </c>
      <c r="DX8" s="16">
        <v>381</v>
      </c>
      <c r="DY8" s="16">
        <v>384</v>
      </c>
      <c r="DZ8" s="16">
        <v>387</v>
      </c>
      <c r="EA8" s="16">
        <v>390</v>
      </c>
      <c r="EB8" s="16">
        <v>393</v>
      </c>
      <c r="EC8" s="16">
        <v>396</v>
      </c>
      <c r="ED8" s="16">
        <v>399</v>
      </c>
      <c r="EE8" s="16">
        <v>402</v>
      </c>
      <c r="EF8" s="16">
        <v>405</v>
      </c>
      <c r="EG8" s="16">
        <v>408</v>
      </c>
      <c r="EH8" s="16">
        <v>411</v>
      </c>
      <c r="EI8" s="16">
        <v>414</v>
      </c>
      <c r="EJ8" s="16">
        <v>417</v>
      </c>
      <c r="EK8" s="16">
        <v>420</v>
      </c>
      <c r="EL8" s="16">
        <v>423</v>
      </c>
      <c r="EM8" s="16">
        <v>426</v>
      </c>
      <c r="EN8" s="16">
        <v>429</v>
      </c>
      <c r="EO8" s="16">
        <v>432</v>
      </c>
      <c r="EP8" s="16">
        <v>435</v>
      </c>
      <c r="EQ8" s="16">
        <v>438</v>
      </c>
      <c r="ER8" s="16">
        <v>441</v>
      </c>
      <c r="ES8" s="16">
        <v>444</v>
      </c>
      <c r="ET8" s="16">
        <v>447</v>
      </c>
      <c r="EU8" s="16">
        <v>450</v>
      </c>
      <c r="EV8" s="16">
        <v>453</v>
      </c>
      <c r="EW8" s="16">
        <v>456</v>
      </c>
      <c r="EX8" s="16">
        <v>459</v>
      </c>
      <c r="EY8" s="16">
        <v>462</v>
      </c>
      <c r="EZ8" s="16">
        <v>465</v>
      </c>
      <c r="FA8" s="16">
        <v>468</v>
      </c>
      <c r="FB8" s="16">
        <v>471</v>
      </c>
      <c r="FC8" s="16">
        <v>474</v>
      </c>
      <c r="FD8" s="16">
        <v>477</v>
      </c>
      <c r="FE8" s="16">
        <v>480</v>
      </c>
      <c r="FF8" s="16">
        <v>483</v>
      </c>
      <c r="FG8" s="16">
        <v>486</v>
      </c>
      <c r="FH8" s="16">
        <v>489</v>
      </c>
      <c r="FI8" s="16">
        <v>492</v>
      </c>
      <c r="FJ8" s="16">
        <v>495</v>
      </c>
      <c r="FK8" s="16">
        <v>498</v>
      </c>
      <c r="FL8" s="16">
        <v>501</v>
      </c>
      <c r="FM8" s="16">
        <v>504</v>
      </c>
      <c r="FN8" s="16">
        <v>507</v>
      </c>
      <c r="FO8" s="16">
        <v>510</v>
      </c>
      <c r="FP8" s="16">
        <v>513</v>
      </c>
      <c r="FQ8" s="16">
        <v>516</v>
      </c>
      <c r="FR8" s="16">
        <v>519</v>
      </c>
      <c r="FS8" s="16">
        <v>522</v>
      </c>
      <c r="FT8" s="16">
        <v>525</v>
      </c>
      <c r="FU8" s="16">
        <v>528</v>
      </c>
      <c r="FV8" s="16">
        <v>531</v>
      </c>
      <c r="FW8" s="16">
        <v>534</v>
      </c>
      <c r="FX8" s="16">
        <v>537</v>
      </c>
      <c r="FY8" s="16">
        <v>540</v>
      </c>
      <c r="FZ8" s="16">
        <v>543</v>
      </c>
      <c r="GA8" s="16">
        <v>546</v>
      </c>
      <c r="GB8" s="16">
        <v>549</v>
      </c>
      <c r="GC8" s="16">
        <v>552</v>
      </c>
      <c r="GD8" s="16">
        <v>555</v>
      </c>
      <c r="GE8" s="16">
        <v>558</v>
      </c>
      <c r="GF8" s="16">
        <v>561</v>
      </c>
      <c r="GG8" s="16">
        <v>564</v>
      </c>
      <c r="GH8" s="16">
        <v>567</v>
      </c>
      <c r="GI8" s="16">
        <v>570</v>
      </c>
      <c r="GJ8" s="16">
        <v>573</v>
      </c>
      <c r="GK8" s="16">
        <v>576</v>
      </c>
      <c r="GL8" s="16">
        <v>579</v>
      </c>
      <c r="GM8" s="16">
        <v>582</v>
      </c>
      <c r="GN8" s="16">
        <v>585</v>
      </c>
      <c r="GO8" s="16">
        <v>588</v>
      </c>
      <c r="GP8" s="16">
        <v>591</v>
      </c>
      <c r="GQ8" s="16">
        <v>594</v>
      </c>
      <c r="GR8" s="16">
        <v>597</v>
      </c>
      <c r="GS8" s="16">
        <v>600</v>
      </c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>
        <v>906</v>
      </c>
      <c r="CY9" s="22">
        <v>915</v>
      </c>
      <c r="CZ9" s="22">
        <v>924</v>
      </c>
      <c r="DA9" s="22">
        <v>933</v>
      </c>
      <c r="DB9" s="22">
        <v>942</v>
      </c>
      <c r="DC9" s="22">
        <v>951</v>
      </c>
      <c r="DD9" s="22">
        <v>960</v>
      </c>
      <c r="DE9" s="22">
        <v>969</v>
      </c>
      <c r="DF9" s="22">
        <v>978</v>
      </c>
      <c r="DG9" s="22">
        <v>987</v>
      </c>
      <c r="DH9" s="22">
        <v>996</v>
      </c>
      <c r="DI9" s="22">
        <v>1005</v>
      </c>
      <c r="DJ9" s="22">
        <v>1014</v>
      </c>
      <c r="DK9" s="22">
        <v>1023</v>
      </c>
      <c r="DL9" s="22">
        <v>1032</v>
      </c>
      <c r="DM9" s="22">
        <v>1041</v>
      </c>
      <c r="DN9" s="22">
        <v>1050</v>
      </c>
      <c r="DO9" s="22">
        <v>1059</v>
      </c>
      <c r="DP9" s="22">
        <v>1068</v>
      </c>
      <c r="DQ9" s="22">
        <v>1077</v>
      </c>
      <c r="DR9" s="22">
        <v>1086</v>
      </c>
      <c r="DS9" s="22">
        <v>1095</v>
      </c>
      <c r="DT9" s="22">
        <v>1104</v>
      </c>
      <c r="DU9" s="22">
        <v>1113</v>
      </c>
      <c r="DV9" s="22">
        <v>1122</v>
      </c>
      <c r="DW9" s="22">
        <v>1131</v>
      </c>
      <c r="DX9" s="22">
        <v>1140</v>
      </c>
      <c r="DY9" s="22">
        <v>1149</v>
      </c>
      <c r="DZ9" s="22">
        <v>1158</v>
      </c>
      <c r="EA9" s="22">
        <v>1167</v>
      </c>
      <c r="EB9" s="22">
        <v>1176</v>
      </c>
      <c r="EC9" s="22">
        <v>1185</v>
      </c>
      <c r="ED9" s="22">
        <v>1194</v>
      </c>
      <c r="EE9" s="22">
        <v>1203</v>
      </c>
      <c r="EF9" s="22">
        <v>1212</v>
      </c>
      <c r="EG9" s="22">
        <v>1221</v>
      </c>
      <c r="EH9" s="22">
        <v>1230</v>
      </c>
      <c r="EI9" s="22">
        <v>1239</v>
      </c>
      <c r="EJ9" s="22">
        <v>1248</v>
      </c>
      <c r="EK9" s="22">
        <v>1257</v>
      </c>
      <c r="EL9" s="22">
        <v>1266</v>
      </c>
      <c r="EM9" s="22">
        <v>1275</v>
      </c>
      <c r="EN9" s="22">
        <v>1284</v>
      </c>
      <c r="EO9" s="22">
        <v>1293</v>
      </c>
      <c r="EP9" s="22">
        <v>1302</v>
      </c>
      <c r="EQ9" s="22">
        <v>1311</v>
      </c>
      <c r="ER9" s="22">
        <v>1320</v>
      </c>
      <c r="ES9" s="22">
        <v>1329</v>
      </c>
      <c r="ET9" s="22">
        <v>1338</v>
      </c>
      <c r="EU9" s="22">
        <v>1347</v>
      </c>
      <c r="EV9" s="22">
        <v>1356</v>
      </c>
      <c r="EW9" s="22">
        <v>1365</v>
      </c>
      <c r="EX9" s="22">
        <v>1374</v>
      </c>
      <c r="EY9" s="22">
        <v>1383</v>
      </c>
      <c r="EZ9" s="22">
        <v>1392</v>
      </c>
      <c r="FA9" s="22">
        <v>1401</v>
      </c>
      <c r="FB9" s="22">
        <v>1410</v>
      </c>
      <c r="FC9" s="22">
        <v>1419</v>
      </c>
      <c r="FD9" s="22">
        <v>1428</v>
      </c>
      <c r="FE9" s="22">
        <v>1437</v>
      </c>
      <c r="FF9" s="22">
        <v>1446</v>
      </c>
      <c r="FG9" s="22">
        <v>1455</v>
      </c>
      <c r="FH9" s="22">
        <v>1464</v>
      </c>
      <c r="FI9" s="22">
        <v>1473</v>
      </c>
      <c r="FJ9" s="22">
        <v>1482</v>
      </c>
      <c r="FK9" s="22">
        <v>1491</v>
      </c>
      <c r="FL9" s="22">
        <v>1500</v>
      </c>
      <c r="FM9" s="22">
        <v>1509</v>
      </c>
      <c r="FN9" s="22">
        <v>1518</v>
      </c>
      <c r="FO9" s="22">
        <v>1527</v>
      </c>
      <c r="FP9" s="22">
        <v>1536</v>
      </c>
      <c r="FQ9" s="22">
        <v>1545</v>
      </c>
      <c r="FR9" s="22">
        <v>1554</v>
      </c>
      <c r="FS9" s="22">
        <v>1563</v>
      </c>
      <c r="FT9" s="22">
        <v>1572</v>
      </c>
      <c r="FU9" s="22">
        <v>1581</v>
      </c>
      <c r="FV9" s="22">
        <v>1590</v>
      </c>
      <c r="FW9" s="22">
        <v>1599</v>
      </c>
      <c r="FX9" s="22">
        <v>1608</v>
      </c>
      <c r="FY9" s="22">
        <v>1617</v>
      </c>
      <c r="FZ9" s="22">
        <v>1626</v>
      </c>
      <c r="GA9" s="22">
        <v>1635</v>
      </c>
      <c r="GB9" s="22">
        <v>1644</v>
      </c>
      <c r="GC9" s="22">
        <v>1653</v>
      </c>
      <c r="GD9" s="22">
        <v>1662</v>
      </c>
      <c r="GE9" s="22">
        <v>1671</v>
      </c>
      <c r="GF9" s="22">
        <v>1680</v>
      </c>
      <c r="GG9" s="22">
        <v>1689</v>
      </c>
      <c r="GH9" s="22">
        <v>1698</v>
      </c>
      <c r="GI9" s="22">
        <v>1707</v>
      </c>
      <c r="GJ9" s="22">
        <v>1716</v>
      </c>
      <c r="GK9" s="22">
        <v>1725</v>
      </c>
      <c r="GL9" s="22">
        <v>1734</v>
      </c>
      <c r="GM9" s="22">
        <v>1743</v>
      </c>
      <c r="GN9" s="22">
        <v>1752</v>
      </c>
      <c r="GO9" s="22">
        <v>1761</v>
      </c>
      <c r="GP9" s="22">
        <v>1770</v>
      </c>
      <c r="GQ9" s="22">
        <v>1779</v>
      </c>
      <c r="GR9" s="22">
        <v>1788</v>
      </c>
      <c r="GS9" s="22">
        <v>1797</v>
      </c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>
        <v>1.4876360363309058</v>
      </c>
      <c r="CY10" s="25">
        <v>1.4877571323128271</v>
      </c>
      <c r="CZ10" s="25">
        <v>1.4878758792151188</v>
      </c>
      <c r="DA10" s="25">
        <v>1.4879923447339176</v>
      </c>
      <c r="DB10" s="25">
        <v>1.4881065939889471</v>
      </c>
      <c r="DC10" s="25">
        <v>1.4882186896449263</v>
      </c>
      <c r="DD10" s="25">
        <v>1.4883286920261858</v>
      </c>
      <c r="DE10" s="25">
        <v>1.4884366592249125</v>
      </c>
      <c r="DF10" s="25">
        <v>1.4885426472034504</v>
      </c>
      <c r="DG10" s="25">
        <v>1.4886467098910194</v>
      </c>
      <c r="DH10" s="25">
        <v>1.4887488992752151</v>
      </c>
      <c r="DI10" s="25">
        <v>1.4888492654886096</v>
      </c>
      <c r="DJ10" s="25">
        <v>1.4889478568907595</v>
      </c>
      <c r="DK10" s="25">
        <v>1.4890447201458989</v>
      </c>
      <c r="DL10" s="25">
        <v>1.4891399002965859</v>
      </c>
      <c r="DM10" s="25">
        <v>1.4892334408335401</v>
      </c>
      <c r="DN10" s="25">
        <v>1.4893253837619032</v>
      </c>
      <c r="DO10" s="25">
        <v>1.4894157696641332</v>
      </c>
      <c r="DP10" s="25">
        <v>1.4895046377597323</v>
      </c>
      <c r="DQ10" s="25">
        <v>1.4895920259619841</v>
      </c>
      <c r="DR10" s="25">
        <v>1.4896779709318895</v>
      </c>
      <c r="DS10" s="25">
        <v>1.489762508129443</v>
      </c>
      <c r="DT10" s="25">
        <v>1.4898456718624176</v>
      </c>
      <c r="DU10" s="25">
        <v>1.4899274953327837</v>
      </c>
      <c r="DV10" s="25">
        <v>1.4900080106809079</v>
      </c>
      <c r="DW10" s="25">
        <v>1.4900872490276464</v>
      </c>
      <c r="DX10" s="25">
        <v>1.4901652405144494</v>
      </c>
      <c r="DY10" s="25">
        <v>1.4902420143415904</v>
      </c>
      <c r="DZ10" s="25">
        <v>1.4903175988046171</v>
      </c>
      <c r="EA10" s="25">
        <v>1.49039202132912</v>
      </c>
      <c r="EB10" s="25">
        <v>1.4904653085039143</v>
      </c>
      <c r="EC10" s="25">
        <v>1.4905374861127074</v>
      </c>
      <c r="ED10" s="25">
        <v>1.4906085791643475</v>
      </c>
      <c r="EE10" s="25">
        <v>1.4906786119217115</v>
      </c>
      <c r="EF10" s="25">
        <v>1.4907476079293136</v>
      </c>
      <c r="EG10" s="25">
        <v>1.4908155900396967</v>
      </c>
      <c r="EH10" s="25">
        <v>1.4908825804386674</v>
      </c>
      <c r="EI10" s="25">
        <v>1.490948600669435</v>
      </c>
      <c r="EJ10" s="25">
        <v>1.4910136716557127</v>
      </c>
      <c r="EK10" s="25">
        <v>1.491077813723821</v>
      </c>
      <c r="EL10" s="25">
        <v>1.4911410466238619</v>
      </c>
      <c r="EM10" s="25">
        <v>1.4912033895499908</v>
      </c>
      <c r="EN10" s="25">
        <v>1.4912648611598434</v>
      </c>
      <c r="EO10" s="25">
        <v>1.4913254795931503</v>
      </c>
      <c r="EP10" s="25">
        <v>1.4913852624895838</v>
      </c>
      <c r="EQ10" s="25">
        <v>1.4914442270058712</v>
      </c>
      <c r="ER10" s="25">
        <v>1.4915023898322097</v>
      </c>
      <c r="ES10" s="25">
        <v>1.4915597672080192</v>
      </c>
      <c r="ET10" s="25">
        <v>1.491616374937057</v>
      </c>
      <c r="EU10" s="25">
        <v>1.4916722284019281</v>
      </c>
      <c r="EV10" s="25">
        <v>1.4917273425780251</v>
      </c>
      <c r="EW10" s="25">
        <v>1.491781732046912</v>
      </c>
      <c r="EX10" s="25">
        <v>1.4918354110091874</v>
      </c>
      <c r="EY10" s="25">
        <v>1.4918883932968439</v>
      </c>
      <c r="EZ10" s="25">
        <v>1.4919406923851521</v>
      </c>
      <c r="FA10" s="25">
        <v>1.4919923214040858</v>
      </c>
      <c r="FB10" s="25">
        <v>1.4920432931493126</v>
      </c>
      <c r="FC10" s="25">
        <v>1.4920936200927648</v>
      </c>
      <c r="FD10" s="25">
        <v>1.4921433143928144</v>
      </c>
      <c r="FE10" s="25">
        <v>1.4921923879040671</v>
      </c>
      <c r="FF10" s="25">
        <v>1.4922408521867858</v>
      </c>
      <c r="FG10" s="25">
        <v>1.4922887185159754</v>
      </c>
      <c r="FH10" s="25">
        <v>1.4923359978901234</v>
      </c>
      <c r="FI10" s="25">
        <v>1.4923827010396247</v>
      </c>
      <c r="FJ10" s="25">
        <v>1.4924288384349051</v>
      </c>
      <c r="FK10" s="25">
        <v>1.4924744202942424</v>
      </c>
      <c r="FL10" s="25">
        <v>1.4925194565913127</v>
      </c>
      <c r="FM10" s="25">
        <v>1.4925639570624676</v>
      </c>
      <c r="FN10" s="25">
        <v>1.4926079312137477</v>
      </c>
      <c r="FO10" s="25">
        <v>1.4926513883276566</v>
      </c>
      <c r="FP10" s="25">
        <v>1.4926943374696906</v>
      </c>
      <c r="FQ10" s="25">
        <v>1.4927367874946431</v>
      </c>
      <c r="FR10" s="25">
        <v>1.4927787470526923</v>
      </c>
      <c r="FS10" s="25">
        <v>1.4928202245952769</v>
      </c>
      <c r="FT10" s="25">
        <v>1.492861228380771</v>
      </c>
      <c r="FU10" s="25">
        <v>1.4929017664799655</v>
      </c>
      <c r="FV10" s="25">
        <v>1.4929418467813651</v>
      </c>
      <c r="FW10" s="25">
        <v>1.4929814769963039</v>
      </c>
      <c r="FX10" s="25">
        <v>1.4930206646638935</v>
      </c>
      <c r="FY10" s="25">
        <v>1.4930594171558029</v>
      </c>
      <c r="FZ10" s="25">
        <v>1.4930977416808822</v>
      </c>
      <c r="GA10" s="25">
        <v>1.4931356452896323</v>
      </c>
      <c r="GB10" s="25">
        <v>1.4931731348785309</v>
      </c>
      <c r="GC10" s="25">
        <v>1.4932102171942134</v>
      </c>
      <c r="GD10" s="25">
        <v>1.4932468988375209</v>
      </c>
      <c r="GE10" s="25">
        <v>1.493283186267419</v>
      </c>
      <c r="GF10" s="25">
        <v>1.4933190858047865</v>
      </c>
      <c r="GG10" s="25">
        <v>1.4933546036360887</v>
      </c>
      <c r="GH10" s="25">
        <v>1.4933897458169301</v>
      </c>
      <c r="GI10" s="25">
        <v>1.4934245182754957</v>
      </c>
      <c r="GJ10" s="25">
        <v>1.4934589268158851</v>
      </c>
      <c r="GK10" s="25">
        <v>1.4934929771213437</v>
      </c>
      <c r="GL10" s="25">
        <v>1.4935266747573903</v>
      </c>
      <c r="GM10" s="25">
        <v>1.4935600251748504</v>
      </c>
      <c r="GN10" s="25">
        <v>1.4935930337127943</v>
      </c>
      <c r="GO10" s="25">
        <v>1.4936257056013897</v>
      </c>
      <c r="GP10" s="25">
        <v>1.4936580459646607</v>
      </c>
      <c r="GQ10" s="25">
        <v>1.4936900598231682</v>
      </c>
      <c r="GR10" s="25">
        <v>1.4937217520966102</v>
      </c>
      <c r="GS10" s="25">
        <v>1.4937531276063392</v>
      </c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>
        <v>0.33222958057395141</v>
      </c>
      <c r="CY11" s="26">
        <v>0.33224043715846996</v>
      </c>
      <c r="CZ11" s="26">
        <v>0.33225108225108224</v>
      </c>
      <c r="DA11" s="26">
        <v>0.33226152197213288</v>
      </c>
      <c r="DB11" s="26">
        <v>0.33227176220806792</v>
      </c>
      <c r="DC11" s="26">
        <v>0.33228180862250262</v>
      </c>
      <c r="DD11" s="26">
        <v>0.33229166666666665</v>
      </c>
      <c r="DE11" s="26">
        <v>0.33230134158926727</v>
      </c>
      <c r="DF11" s="26">
        <v>0.33231083844580778</v>
      </c>
      <c r="DG11" s="26">
        <v>0.33232016210739618</v>
      </c>
      <c r="DH11" s="26">
        <v>0.33232931726907633</v>
      </c>
      <c r="DI11" s="26">
        <v>0.33233830845771145</v>
      </c>
      <c r="DJ11" s="26">
        <v>0.33234714003944771</v>
      </c>
      <c r="DK11" s="26">
        <v>0.33235581622678395</v>
      </c>
      <c r="DL11" s="26">
        <v>0.3323643410852713</v>
      </c>
      <c r="DM11" s="26">
        <v>0.3323727185398655</v>
      </c>
      <c r="DN11" s="26">
        <v>0.33238095238095239</v>
      </c>
      <c r="DO11" s="26">
        <v>0.3323890462700661</v>
      </c>
      <c r="DP11" s="26">
        <v>0.33239700374531833</v>
      </c>
      <c r="DQ11" s="26">
        <v>0.33240482822655526</v>
      </c>
      <c r="DR11" s="26">
        <v>0.33241252302025781</v>
      </c>
      <c r="DS11" s="26">
        <v>0.33242009132420092</v>
      </c>
      <c r="DT11" s="26">
        <v>0.33242753623188404</v>
      </c>
      <c r="DU11" s="26">
        <v>0.33243486073674755</v>
      </c>
      <c r="DV11" s="26">
        <v>0.3324420677361854</v>
      </c>
      <c r="DW11" s="26">
        <v>0.33244916003536695</v>
      </c>
      <c r="DX11" s="26">
        <v>0.33245614035087717</v>
      </c>
      <c r="DY11" s="26">
        <v>0.33246301131418626</v>
      </c>
      <c r="DZ11" s="26">
        <v>0.33246977547495682</v>
      </c>
      <c r="EA11" s="26">
        <v>0.33247643530419879</v>
      </c>
      <c r="EB11" s="26">
        <v>0.33248299319727892</v>
      </c>
      <c r="EC11" s="26">
        <v>0.33248945147679326</v>
      </c>
      <c r="ED11" s="26">
        <v>0.3324958123953099</v>
      </c>
      <c r="EE11" s="26">
        <v>0.33250207813798838</v>
      </c>
      <c r="EF11" s="26">
        <v>0.33250825082508251</v>
      </c>
      <c r="EG11" s="26">
        <v>0.33251433251433249</v>
      </c>
      <c r="EH11" s="26">
        <v>0.33252032520325203</v>
      </c>
      <c r="EI11" s="26">
        <v>0.33252623083131555</v>
      </c>
      <c r="EJ11" s="26">
        <v>0.33253205128205127</v>
      </c>
      <c r="EK11" s="26">
        <v>0.33253778838504378</v>
      </c>
      <c r="EL11" s="26">
        <v>0.33254344391785151</v>
      </c>
      <c r="EM11" s="26">
        <v>0.33254901960784311</v>
      </c>
      <c r="EN11" s="26">
        <v>0.3325545171339564</v>
      </c>
      <c r="EO11" s="26">
        <v>0.33255993812838358</v>
      </c>
      <c r="EP11" s="26">
        <v>0.33256528417818743</v>
      </c>
      <c r="EQ11" s="26">
        <v>0.33257055682684972</v>
      </c>
      <c r="ER11" s="26">
        <v>0.33257575757575758</v>
      </c>
      <c r="ES11" s="26">
        <v>0.33258088788562828</v>
      </c>
      <c r="ET11" s="26">
        <v>0.33258594917787743</v>
      </c>
      <c r="EU11" s="26">
        <v>0.33259094283593171</v>
      </c>
      <c r="EV11" s="26">
        <v>0.33259587020648967</v>
      </c>
      <c r="EW11" s="26">
        <v>0.33260073260073258</v>
      </c>
      <c r="EX11" s="26">
        <v>0.33260553129548764</v>
      </c>
      <c r="EY11" s="26">
        <v>0.33261026753434564</v>
      </c>
      <c r="EZ11" s="26">
        <v>0.33261494252873564</v>
      </c>
      <c r="FA11" s="26">
        <v>0.33261955745895788</v>
      </c>
      <c r="FB11" s="26">
        <v>0.33262411347517729</v>
      </c>
      <c r="FC11" s="26">
        <v>0.33262861169837915</v>
      </c>
      <c r="FD11" s="26">
        <v>0.3326330532212885</v>
      </c>
      <c r="FE11" s="26">
        <v>0.33263743910925542</v>
      </c>
      <c r="FF11" s="26">
        <v>0.33264177040110648</v>
      </c>
      <c r="FG11" s="26">
        <v>0.33264604810996562</v>
      </c>
      <c r="FH11" s="26">
        <v>0.33265027322404372</v>
      </c>
      <c r="FI11" s="26">
        <v>0.33265444670739985</v>
      </c>
      <c r="FJ11" s="26">
        <v>0.33265856950067474</v>
      </c>
      <c r="FK11" s="26">
        <v>0.33266264252179745</v>
      </c>
      <c r="FL11" s="26">
        <v>0.33266666666666667</v>
      </c>
      <c r="FM11" s="26">
        <v>0.33267064280980779</v>
      </c>
      <c r="FN11" s="26">
        <v>0.33267457180500659</v>
      </c>
      <c r="FO11" s="26">
        <v>0.33267845448592009</v>
      </c>
      <c r="FP11" s="26">
        <v>0.33268229166666669</v>
      </c>
      <c r="FQ11" s="26">
        <v>0.33268608414239481</v>
      </c>
      <c r="FR11" s="26">
        <v>0.33268983268983271</v>
      </c>
      <c r="FS11" s="26">
        <v>0.33269353806781832</v>
      </c>
      <c r="FT11" s="26">
        <v>0.33269720101781169</v>
      </c>
      <c r="FU11" s="26">
        <v>0.33270082226438963</v>
      </c>
      <c r="FV11" s="26">
        <v>0.33270440251572325</v>
      </c>
      <c r="FW11" s="26">
        <v>0.33270794246404001</v>
      </c>
      <c r="FX11" s="26">
        <v>0.33271144278606968</v>
      </c>
      <c r="FY11" s="26">
        <v>0.3327149041434756</v>
      </c>
      <c r="FZ11" s="26">
        <v>0.33271832718327182</v>
      </c>
      <c r="GA11" s="26">
        <v>0.3327217125382263</v>
      </c>
      <c r="GB11" s="26">
        <v>0.33272506082725062</v>
      </c>
      <c r="GC11" s="26">
        <v>0.33272837265577737</v>
      </c>
      <c r="GD11" s="26">
        <v>0.33273164861612514</v>
      </c>
      <c r="GE11" s="26">
        <v>0.33273488928785161</v>
      </c>
      <c r="GF11" s="26">
        <v>0.33273809523809522</v>
      </c>
      <c r="GG11" s="26">
        <v>0.33274126702190643</v>
      </c>
      <c r="GH11" s="26">
        <v>0.3327444051825677</v>
      </c>
      <c r="GI11" s="26">
        <v>0.33274751025190391</v>
      </c>
      <c r="GJ11" s="26">
        <v>0.33275058275058272</v>
      </c>
      <c r="GK11" s="26">
        <v>0.33275362318840579</v>
      </c>
      <c r="GL11" s="26">
        <v>0.33275663206459055</v>
      </c>
      <c r="GM11" s="26">
        <v>0.33275960986804359</v>
      </c>
      <c r="GN11" s="26">
        <v>0.33276255707762559</v>
      </c>
      <c r="GO11" s="26">
        <v>0.3327654741624077</v>
      </c>
      <c r="GP11" s="26">
        <v>0.33276836158192091</v>
      </c>
      <c r="GQ11" s="26">
        <v>0.33277121978639684</v>
      </c>
      <c r="GR11" s="26">
        <v>0.33277404921700221</v>
      </c>
      <c r="GS11" s="26">
        <v>0.33277685030606569</v>
      </c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>
        <v>0.33333333333333331</v>
      </c>
      <c r="CY12" s="26">
        <v>0.33333333333333331</v>
      </c>
      <c r="CZ12" s="26">
        <v>0.33333333333333331</v>
      </c>
      <c r="DA12" s="26">
        <v>0.33333333333333331</v>
      </c>
      <c r="DB12" s="26">
        <v>0.33333333333333331</v>
      </c>
      <c r="DC12" s="26">
        <v>0.33333333333333331</v>
      </c>
      <c r="DD12" s="26">
        <v>0.33333333333333331</v>
      </c>
      <c r="DE12" s="26">
        <v>0.33333333333333331</v>
      </c>
      <c r="DF12" s="26">
        <v>0.33333333333333331</v>
      </c>
      <c r="DG12" s="26">
        <v>0.33333333333333331</v>
      </c>
      <c r="DH12" s="26">
        <v>0.33333333333333331</v>
      </c>
      <c r="DI12" s="26">
        <v>0.33333333333333331</v>
      </c>
      <c r="DJ12" s="26">
        <v>0.33333333333333331</v>
      </c>
      <c r="DK12" s="26">
        <v>0.33333333333333331</v>
      </c>
      <c r="DL12" s="26">
        <v>0.33333333333333331</v>
      </c>
      <c r="DM12" s="26">
        <v>0.33333333333333331</v>
      </c>
      <c r="DN12" s="26">
        <v>0.33333333333333331</v>
      </c>
      <c r="DO12" s="26">
        <v>0.33333333333333331</v>
      </c>
      <c r="DP12" s="26">
        <v>0.33333333333333331</v>
      </c>
      <c r="DQ12" s="26">
        <v>0.33333333333333331</v>
      </c>
      <c r="DR12" s="26">
        <v>0.33333333333333331</v>
      </c>
      <c r="DS12" s="26">
        <v>0.33333333333333331</v>
      </c>
      <c r="DT12" s="26">
        <v>0.33333333333333331</v>
      </c>
      <c r="DU12" s="26">
        <v>0.33333333333333331</v>
      </c>
      <c r="DV12" s="26">
        <v>0.33333333333333331</v>
      </c>
      <c r="DW12" s="26">
        <v>0.33333333333333331</v>
      </c>
      <c r="DX12" s="26">
        <v>0.33333333333333331</v>
      </c>
      <c r="DY12" s="26">
        <v>0.33333333333333331</v>
      </c>
      <c r="DZ12" s="26">
        <v>0.33333333333333331</v>
      </c>
      <c r="EA12" s="26">
        <v>0.33333333333333331</v>
      </c>
      <c r="EB12" s="26">
        <v>0.33333333333333331</v>
      </c>
      <c r="EC12" s="26">
        <v>0.33333333333333331</v>
      </c>
      <c r="ED12" s="26">
        <v>0.33333333333333331</v>
      </c>
      <c r="EE12" s="26">
        <v>0.33333333333333331</v>
      </c>
      <c r="EF12" s="26">
        <v>0.33333333333333331</v>
      </c>
      <c r="EG12" s="26">
        <v>0.33333333333333331</v>
      </c>
      <c r="EH12" s="26">
        <v>0.33333333333333331</v>
      </c>
      <c r="EI12" s="26">
        <v>0.33333333333333331</v>
      </c>
      <c r="EJ12" s="26">
        <v>0.33333333333333331</v>
      </c>
      <c r="EK12" s="26">
        <v>0.33333333333333331</v>
      </c>
      <c r="EL12" s="26">
        <v>0.33333333333333331</v>
      </c>
      <c r="EM12" s="26">
        <v>0.33333333333333331</v>
      </c>
      <c r="EN12" s="26">
        <v>0.33333333333333331</v>
      </c>
      <c r="EO12" s="26">
        <v>0.33333333333333331</v>
      </c>
      <c r="EP12" s="26">
        <v>0.33333333333333331</v>
      </c>
      <c r="EQ12" s="26">
        <v>0.33333333333333331</v>
      </c>
      <c r="ER12" s="26">
        <v>0.33333333333333331</v>
      </c>
      <c r="ES12" s="26">
        <v>0.33333333333333331</v>
      </c>
      <c r="ET12" s="26">
        <v>0.33333333333333331</v>
      </c>
      <c r="EU12" s="26">
        <v>0.33333333333333331</v>
      </c>
      <c r="EV12" s="26">
        <v>0.33333333333333331</v>
      </c>
      <c r="EW12" s="26">
        <v>0.33333333333333331</v>
      </c>
      <c r="EX12" s="26">
        <v>0.33333333333333331</v>
      </c>
      <c r="EY12" s="26">
        <v>0.33333333333333331</v>
      </c>
      <c r="EZ12" s="26">
        <v>0.33333333333333331</v>
      </c>
      <c r="FA12" s="26">
        <v>0.33333333333333331</v>
      </c>
      <c r="FB12" s="26">
        <v>0.33333333333333331</v>
      </c>
      <c r="FC12" s="26">
        <v>0.33333333333333331</v>
      </c>
      <c r="FD12" s="26">
        <v>0.33333333333333331</v>
      </c>
      <c r="FE12" s="26">
        <v>0.33333333333333331</v>
      </c>
      <c r="FF12" s="26">
        <v>0.33333333333333331</v>
      </c>
      <c r="FG12" s="26">
        <v>0.33333333333333331</v>
      </c>
      <c r="FH12" s="26">
        <v>0.33333333333333331</v>
      </c>
      <c r="FI12" s="26">
        <v>0.33333333333333331</v>
      </c>
      <c r="FJ12" s="26">
        <v>0.33333333333333331</v>
      </c>
      <c r="FK12" s="26">
        <v>0.33333333333333331</v>
      </c>
      <c r="FL12" s="26">
        <v>0.33333333333333331</v>
      </c>
      <c r="FM12" s="26">
        <v>0.33333333333333331</v>
      </c>
      <c r="FN12" s="26">
        <v>0.33333333333333331</v>
      </c>
      <c r="FO12" s="26">
        <v>0.33333333333333331</v>
      </c>
      <c r="FP12" s="26">
        <v>0.33333333333333331</v>
      </c>
      <c r="FQ12" s="26">
        <v>0.33333333333333331</v>
      </c>
      <c r="FR12" s="26">
        <v>0.33333333333333331</v>
      </c>
      <c r="FS12" s="26">
        <v>0.33333333333333331</v>
      </c>
      <c r="FT12" s="26">
        <v>0.33333333333333331</v>
      </c>
      <c r="FU12" s="26">
        <v>0.33333333333333331</v>
      </c>
      <c r="FV12" s="26">
        <v>0.33333333333333331</v>
      </c>
      <c r="FW12" s="26">
        <v>0.33333333333333331</v>
      </c>
      <c r="FX12" s="26">
        <v>0.33333333333333331</v>
      </c>
      <c r="FY12" s="26">
        <v>0.33333333333333331</v>
      </c>
      <c r="FZ12" s="26">
        <v>0.33333333333333331</v>
      </c>
      <c r="GA12" s="26">
        <v>0.33333333333333331</v>
      </c>
      <c r="GB12" s="26">
        <v>0.33333333333333331</v>
      </c>
      <c r="GC12" s="26">
        <v>0.33333333333333331</v>
      </c>
      <c r="GD12" s="26">
        <v>0.33333333333333331</v>
      </c>
      <c r="GE12" s="26">
        <v>0.33333333333333331</v>
      </c>
      <c r="GF12" s="26">
        <v>0.33333333333333331</v>
      </c>
      <c r="GG12" s="26">
        <v>0.33333333333333331</v>
      </c>
      <c r="GH12" s="26">
        <v>0.33333333333333331</v>
      </c>
      <c r="GI12" s="26">
        <v>0.33333333333333331</v>
      </c>
      <c r="GJ12" s="26">
        <v>0.33333333333333331</v>
      </c>
      <c r="GK12" s="26">
        <v>0.33333333333333331</v>
      </c>
      <c r="GL12" s="26">
        <v>0.33333333333333331</v>
      </c>
      <c r="GM12" s="26">
        <v>0.33333333333333331</v>
      </c>
      <c r="GN12" s="26">
        <v>0.33333333333333331</v>
      </c>
      <c r="GO12" s="26">
        <v>0.33333333333333331</v>
      </c>
      <c r="GP12" s="26">
        <v>0.33333333333333331</v>
      </c>
      <c r="GQ12" s="26">
        <v>0.33333333333333331</v>
      </c>
      <c r="GR12" s="26">
        <v>0.33333333333333331</v>
      </c>
      <c r="GS12" s="26">
        <v>0.33333333333333331</v>
      </c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>
        <v>0.33443708609271522</v>
      </c>
      <c r="CY13" s="26">
        <v>0.33442622950819673</v>
      </c>
      <c r="CZ13" s="26">
        <v>0.33441558441558439</v>
      </c>
      <c r="DA13" s="26">
        <v>0.33440514469453375</v>
      </c>
      <c r="DB13" s="26">
        <v>0.33439490445859871</v>
      </c>
      <c r="DC13" s="26">
        <v>0.33438485804416401</v>
      </c>
      <c r="DD13" s="26">
        <v>0.33437499999999998</v>
      </c>
      <c r="DE13" s="26">
        <v>0.33436532507739936</v>
      </c>
      <c r="DF13" s="26">
        <v>0.33435582822085891</v>
      </c>
      <c r="DG13" s="26">
        <v>0.33434650455927051</v>
      </c>
      <c r="DH13" s="26">
        <v>0.33433734939759036</v>
      </c>
      <c r="DI13" s="26">
        <v>0.33432835820895523</v>
      </c>
      <c r="DJ13" s="26">
        <v>0.33431952662721892</v>
      </c>
      <c r="DK13" s="26">
        <v>0.33431085043988268</v>
      </c>
      <c r="DL13" s="26">
        <v>0.33430232558139533</v>
      </c>
      <c r="DM13" s="26">
        <v>0.33429394812680113</v>
      </c>
      <c r="DN13" s="26">
        <v>0.3342857142857143</v>
      </c>
      <c r="DO13" s="26">
        <v>0.33427762039660058</v>
      </c>
      <c r="DP13" s="26">
        <v>0.3342696629213483</v>
      </c>
      <c r="DQ13" s="26">
        <v>0.33426183844011143</v>
      </c>
      <c r="DR13" s="26">
        <v>0.33425414364640882</v>
      </c>
      <c r="DS13" s="26">
        <v>0.33424657534246577</v>
      </c>
      <c r="DT13" s="26">
        <v>0.33423913043478259</v>
      </c>
      <c r="DU13" s="26">
        <v>0.33423180592991913</v>
      </c>
      <c r="DV13" s="26">
        <v>0.33422459893048129</v>
      </c>
      <c r="DW13" s="26">
        <v>0.33421750663129973</v>
      </c>
      <c r="DX13" s="26">
        <v>0.33421052631578946</v>
      </c>
      <c r="DY13" s="26">
        <v>0.33420365535248042</v>
      </c>
      <c r="DZ13" s="26">
        <v>0.33419689119170987</v>
      </c>
      <c r="EA13" s="26">
        <v>0.33419023136246789</v>
      </c>
      <c r="EB13" s="26">
        <v>0.33418367346938777</v>
      </c>
      <c r="EC13" s="26">
        <v>0.33417721518987342</v>
      </c>
      <c r="ED13" s="26">
        <v>0.33417085427135679</v>
      </c>
      <c r="EE13" s="26">
        <v>0.33416458852867831</v>
      </c>
      <c r="EF13" s="26">
        <v>0.33415841584158418</v>
      </c>
      <c r="EG13" s="26">
        <v>0.33415233415233414</v>
      </c>
      <c r="EH13" s="26">
        <v>0.33414634146341465</v>
      </c>
      <c r="EI13" s="26">
        <v>0.33414043583535108</v>
      </c>
      <c r="EJ13" s="26">
        <v>0.33413461538461536</v>
      </c>
      <c r="EK13" s="26">
        <v>0.33412887828162291</v>
      </c>
      <c r="EL13" s="26">
        <v>0.33412322274881517</v>
      </c>
      <c r="EM13" s="26">
        <v>0.33411764705882352</v>
      </c>
      <c r="EN13" s="26">
        <v>0.33411214953271029</v>
      </c>
      <c r="EO13" s="26">
        <v>0.33410672853828305</v>
      </c>
      <c r="EP13" s="26">
        <v>0.33410138248847926</v>
      </c>
      <c r="EQ13" s="26">
        <v>0.33409610983981691</v>
      </c>
      <c r="ER13" s="26">
        <v>0.33409090909090911</v>
      </c>
      <c r="ES13" s="26">
        <v>0.3340857787810384</v>
      </c>
      <c r="ET13" s="26">
        <v>0.33408071748878926</v>
      </c>
      <c r="EU13" s="26">
        <v>0.33407572383073497</v>
      </c>
      <c r="EV13" s="26">
        <v>0.33407079646017701</v>
      </c>
      <c r="EW13" s="26">
        <v>0.33406593406593404</v>
      </c>
      <c r="EX13" s="26">
        <v>0.33406113537117904</v>
      </c>
      <c r="EY13" s="26">
        <v>0.33405639913232105</v>
      </c>
      <c r="EZ13" s="26">
        <v>0.33405172413793105</v>
      </c>
      <c r="FA13" s="26">
        <v>0.3340471092077088</v>
      </c>
      <c r="FB13" s="26">
        <v>0.33404255319148934</v>
      </c>
      <c r="FC13" s="26">
        <v>0.33403805496828753</v>
      </c>
      <c r="FD13" s="26">
        <v>0.33403361344537813</v>
      </c>
      <c r="FE13" s="26">
        <v>0.33402922755741127</v>
      </c>
      <c r="FF13" s="26">
        <v>0.33402489626556015</v>
      </c>
      <c r="FG13" s="26">
        <v>0.33402061855670101</v>
      </c>
      <c r="FH13" s="26">
        <v>0.33401639344262296</v>
      </c>
      <c r="FI13" s="26">
        <v>0.33401221995926678</v>
      </c>
      <c r="FJ13" s="26">
        <v>0.33400809716599189</v>
      </c>
      <c r="FK13" s="26">
        <v>0.33400402414486924</v>
      </c>
      <c r="FL13" s="26">
        <v>0.33400000000000002</v>
      </c>
      <c r="FM13" s="26">
        <v>0.33399602385685884</v>
      </c>
      <c r="FN13" s="26">
        <v>0.33399209486166009</v>
      </c>
      <c r="FO13" s="26">
        <v>0.33398821218074654</v>
      </c>
      <c r="FP13" s="26">
        <v>0.333984375</v>
      </c>
      <c r="FQ13" s="26">
        <v>0.33398058252427182</v>
      </c>
      <c r="FR13" s="26">
        <v>0.33397683397683398</v>
      </c>
      <c r="FS13" s="26">
        <v>0.33397312859884837</v>
      </c>
      <c r="FT13" s="26">
        <v>0.33396946564885494</v>
      </c>
      <c r="FU13" s="26">
        <v>0.33396584440227706</v>
      </c>
      <c r="FV13" s="26">
        <v>0.33396226415094338</v>
      </c>
      <c r="FW13" s="26">
        <v>0.33395872420262662</v>
      </c>
      <c r="FX13" s="26">
        <v>0.33395522388059701</v>
      </c>
      <c r="FY13" s="26">
        <v>0.33395176252319109</v>
      </c>
      <c r="FZ13" s="26">
        <v>0.33394833948339481</v>
      </c>
      <c r="GA13" s="26">
        <v>0.33394495412844039</v>
      </c>
      <c r="GB13" s="26">
        <v>0.33394160583941607</v>
      </c>
      <c r="GC13" s="26">
        <v>0.33393829401088931</v>
      </c>
      <c r="GD13" s="26">
        <v>0.33393501805054154</v>
      </c>
      <c r="GE13" s="26">
        <v>0.33393177737881508</v>
      </c>
      <c r="GF13" s="26">
        <v>0.33392857142857141</v>
      </c>
      <c r="GG13" s="26">
        <v>0.3339253996447602</v>
      </c>
      <c r="GH13" s="26">
        <v>0.33392226148409893</v>
      </c>
      <c r="GI13" s="26">
        <v>0.33391915641476272</v>
      </c>
      <c r="GJ13" s="26">
        <v>0.33391608391608391</v>
      </c>
      <c r="GK13" s="26">
        <v>0.3339130434782609</v>
      </c>
      <c r="GL13" s="26">
        <v>0.33391003460207613</v>
      </c>
      <c r="GM13" s="26">
        <v>0.33390705679862304</v>
      </c>
      <c r="GN13" s="26">
        <v>0.3339041095890411</v>
      </c>
      <c r="GO13" s="26">
        <v>0.33390119250425893</v>
      </c>
      <c r="GP13" s="26">
        <v>0.33389830508474577</v>
      </c>
      <c r="GQ13" s="26">
        <v>0.33389544688026984</v>
      </c>
      <c r="GR13" s="26">
        <v>0.33389261744966442</v>
      </c>
      <c r="GS13" s="26">
        <v>0.333889816360601</v>
      </c>
    </row>
    <row r="14" spans="1:201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G14" s="211"/>
      <c r="BH14" s="211"/>
      <c r="BI14" s="211"/>
      <c r="BJ14" s="211"/>
      <c r="BK14" s="211"/>
      <c r="BL14" s="211"/>
      <c r="BM14" s="211"/>
      <c r="BN14" s="211"/>
      <c r="BO14" s="211"/>
      <c r="BP14" s="211"/>
      <c r="BQ14" s="211"/>
      <c r="BR14" s="211"/>
      <c r="BS14" s="211"/>
      <c r="BT14" s="211"/>
      <c r="BU14" s="211"/>
      <c r="BV14" s="211"/>
      <c r="BW14" s="211"/>
      <c r="BX14" s="211"/>
      <c r="BY14" s="211"/>
      <c r="BZ14" s="211"/>
      <c r="CA14" s="211"/>
      <c r="CB14" s="211"/>
      <c r="CC14" s="211"/>
      <c r="CD14" s="211"/>
      <c r="CE14" s="211"/>
      <c r="CF14" s="211"/>
      <c r="CG14" s="211"/>
      <c r="CH14" s="211"/>
      <c r="CI14" s="211"/>
      <c r="CJ14" s="211"/>
      <c r="CK14" s="211"/>
      <c r="CL14" s="211"/>
      <c r="CM14" s="211"/>
      <c r="CN14" s="211"/>
      <c r="CO14" s="211"/>
      <c r="CP14" s="211"/>
      <c r="CQ14" s="211"/>
      <c r="CR14" s="211"/>
      <c r="CS14" s="211"/>
      <c r="CT14" s="211"/>
      <c r="CU14" s="211"/>
      <c r="CV14" s="211"/>
      <c r="CW14" s="211"/>
      <c r="CX14" s="211"/>
      <c r="CY14" s="211"/>
      <c r="CZ14" s="211"/>
      <c r="DA14" s="211"/>
      <c r="DB14" s="211"/>
      <c r="DC14" s="211"/>
      <c r="DD14" s="211"/>
      <c r="DE14" s="211"/>
      <c r="DF14" s="211"/>
      <c r="DG14" s="211"/>
      <c r="DH14" s="211"/>
      <c r="DI14" s="211"/>
      <c r="DJ14" s="211"/>
      <c r="DK14" s="211"/>
      <c r="DL14" s="211"/>
      <c r="DM14" s="211"/>
      <c r="DN14" s="211"/>
      <c r="DO14" s="211"/>
      <c r="DP14" s="211"/>
      <c r="DQ14" s="211"/>
      <c r="DR14" s="211"/>
      <c r="DS14" s="211"/>
      <c r="DT14" s="211"/>
      <c r="DU14" s="211"/>
      <c r="DV14" s="211"/>
      <c r="DW14" s="211"/>
      <c r="DX14" s="211"/>
      <c r="DY14" s="211"/>
      <c r="DZ14" s="211"/>
      <c r="EA14" s="211"/>
      <c r="EB14" s="211"/>
      <c r="EC14" s="211"/>
      <c r="ED14" s="211"/>
      <c r="EE14" s="211"/>
      <c r="EF14" s="211"/>
      <c r="EG14" s="211"/>
      <c r="EH14" s="211"/>
      <c r="EI14" s="211"/>
      <c r="EJ14" s="211"/>
      <c r="EK14" s="211"/>
      <c r="EL14" s="211"/>
      <c r="EM14" s="211"/>
      <c r="EN14" s="211"/>
      <c r="EO14" s="211"/>
      <c r="EP14" s="211"/>
      <c r="EQ14" s="211"/>
      <c r="ER14" s="211"/>
      <c r="ES14" s="211"/>
      <c r="ET14" s="211"/>
      <c r="EU14" s="211"/>
      <c r="EV14" s="211"/>
      <c r="EW14" s="211"/>
      <c r="EX14" s="211"/>
      <c r="EY14" s="211"/>
      <c r="EZ14" s="211"/>
      <c r="FA14" s="211"/>
      <c r="FB14" s="211"/>
      <c r="FC14" s="211"/>
      <c r="FD14" s="211"/>
      <c r="FE14" s="211"/>
      <c r="FF14" s="211"/>
      <c r="FG14" s="211"/>
      <c r="FH14" s="211"/>
      <c r="FI14" s="211"/>
      <c r="FJ14" s="211"/>
      <c r="FK14" s="211"/>
      <c r="FL14" s="211"/>
      <c r="FM14" s="211"/>
      <c r="FN14" s="211"/>
      <c r="FO14" s="211"/>
      <c r="FP14" s="211"/>
      <c r="FQ14" s="211"/>
      <c r="FR14" s="211"/>
      <c r="FS14" s="211"/>
      <c r="FT14" s="211"/>
      <c r="FU14" s="211"/>
      <c r="FV14" s="211"/>
      <c r="FW14" s="211"/>
      <c r="FX14" s="211"/>
      <c r="FY14" s="211"/>
      <c r="FZ14" s="211"/>
      <c r="GA14" s="211"/>
      <c r="GB14" s="211"/>
      <c r="GC14" s="211"/>
      <c r="GD14" s="211"/>
      <c r="GE14" s="211"/>
      <c r="GF14" s="211"/>
      <c r="GG14" s="211"/>
      <c r="GH14" s="211"/>
      <c r="GI14" s="211"/>
      <c r="GJ14" s="211"/>
      <c r="GK14" s="211"/>
      <c r="GL14" s="211"/>
      <c r="GM14" s="211"/>
      <c r="GN14" s="211"/>
      <c r="GO14" s="211"/>
      <c r="GP14" s="211"/>
      <c r="GQ14" s="211"/>
      <c r="GR14" s="211"/>
      <c r="GS14" s="211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>
        <v>0.33222958057395141</v>
      </c>
      <c r="CY15" s="28">
        <v>0.33224043715846996</v>
      </c>
      <c r="CZ15" s="28">
        <v>0.33225108225108224</v>
      </c>
      <c r="DA15" s="28">
        <v>0.33226152197213288</v>
      </c>
      <c r="DB15" s="28">
        <v>0.33227176220806792</v>
      </c>
      <c r="DC15" s="28">
        <v>0.33228180862250262</v>
      </c>
      <c r="DD15" s="28">
        <v>0.33229166666666665</v>
      </c>
      <c r="DE15" s="28">
        <v>0.33230134158926727</v>
      </c>
      <c r="DF15" s="28">
        <v>0.33231083844580778</v>
      </c>
      <c r="DG15" s="28">
        <v>0.33232016210739618</v>
      </c>
      <c r="DH15" s="27">
        <v>0.33232931726907633</v>
      </c>
      <c r="DI15" s="28">
        <v>0.33233830845771145</v>
      </c>
      <c r="DJ15" s="28">
        <v>0.33234714003944771</v>
      </c>
      <c r="DK15" s="28">
        <v>0.33235581622678395</v>
      </c>
      <c r="DL15" s="28">
        <v>0.3323643410852713</v>
      </c>
      <c r="DM15" s="28">
        <v>0.3323727185398655</v>
      </c>
      <c r="DN15" s="28">
        <v>0.33238095238095239</v>
      </c>
      <c r="DO15" s="28">
        <v>0.3323890462700661</v>
      </c>
      <c r="DP15" s="28">
        <v>0.33239700374531833</v>
      </c>
      <c r="DQ15" s="28">
        <v>0.33240482822655526</v>
      </c>
      <c r="DR15" s="28">
        <v>0.33241252302025781</v>
      </c>
      <c r="DS15" s="27">
        <v>0.33242009132420092</v>
      </c>
      <c r="DT15" s="28">
        <v>0.33242753623188404</v>
      </c>
      <c r="DU15" s="28">
        <v>0.33243486073674755</v>
      </c>
      <c r="DV15" s="28">
        <v>0.3324420677361854</v>
      </c>
      <c r="DW15" s="28">
        <v>0.33244916003536695</v>
      </c>
      <c r="DX15" s="28">
        <v>0.33245614035087717</v>
      </c>
      <c r="DY15" s="28">
        <v>0.33246301131418626</v>
      </c>
      <c r="DZ15" s="28">
        <v>0.33246977547495682</v>
      </c>
      <c r="EA15" s="28">
        <v>0.33247643530419879</v>
      </c>
      <c r="EB15" s="28">
        <v>0.33248299319727892</v>
      </c>
      <c r="EC15" s="28">
        <v>0.33248945147679326</v>
      </c>
      <c r="ED15" s="27">
        <v>0.3324958123953099</v>
      </c>
      <c r="EE15" s="28">
        <v>0.33250207813798838</v>
      </c>
      <c r="EF15" s="28">
        <v>0.33250825082508251</v>
      </c>
      <c r="EG15" s="28">
        <v>0.33251433251433249</v>
      </c>
      <c r="EH15" s="28">
        <v>0.33252032520325203</v>
      </c>
      <c r="EI15" s="28">
        <v>0.33252623083131555</v>
      </c>
      <c r="EJ15" s="28">
        <v>0.33253205128205127</v>
      </c>
      <c r="EK15" s="28">
        <v>0.33253778838504378</v>
      </c>
      <c r="EL15" s="28">
        <v>0.33254344391785151</v>
      </c>
      <c r="EM15" s="28">
        <v>0.33254901960784311</v>
      </c>
      <c r="EN15" s="28">
        <v>0.3325545171339564</v>
      </c>
      <c r="EO15" s="27">
        <v>0.33255993812838358</v>
      </c>
      <c r="EP15" s="28">
        <v>0.33256528417818743</v>
      </c>
      <c r="EQ15" s="28">
        <v>0.33257055682684972</v>
      </c>
      <c r="ER15" s="28">
        <v>0.33257575757575758</v>
      </c>
      <c r="ES15" s="28">
        <v>0.33258088788562828</v>
      </c>
      <c r="ET15" s="28">
        <v>0.33258594917787743</v>
      </c>
      <c r="EU15" s="28">
        <v>0.33259094283593171</v>
      </c>
      <c r="EV15" s="28">
        <v>0.33259587020648967</v>
      </c>
      <c r="EW15" s="28">
        <v>0.33260073260073258</v>
      </c>
      <c r="EX15" s="28">
        <v>0.33260553129548764</v>
      </c>
      <c r="EY15" s="28">
        <v>0.33261026753434564</v>
      </c>
      <c r="EZ15" s="27">
        <v>0.33261494252873564</v>
      </c>
      <c r="FA15" s="28">
        <v>0.33261955745895788</v>
      </c>
      <c r="FB15" s="28">
        <v>0.33262411347517729</v>
      </c>
      <c r="FC15" s="28">
        <v>0.33262861169837915</v>
      </c>
      <c r="FD15" s="28">
        <v>0.3326330532212885</v>
      </c>
      <c r="FE15" s="28">
        <v>0.33263743910925542</v>
      </c>
      <c r="FF15" s="28">
        <v>0.33264177040110648</v>
      </c>
      <c r="FG15" s="28">
        <v>0.33264604810996562</v>
      </c>
      <c r="FH15" s="28">
        <v>0.33265027322404372</v>
      </c>
      <c r="FI15" s="28">
        <v>0.33265444670739985</v>
      </c>
      <c r="FJ15" s="28">
        <v>0.33265856950067474</v>
      </c>
      <c r="FK15" s="27">
        <v>0.33266264252179745</v>
      </c>
      <c r="FL15" s="28">
        <v>0.33266666666666667</v>
      </c>
      <c r="FM15" s="28">
        <v>0.33267064280980779</v>
      </c>
      <c r="FN15" s="28">
        <v>0.33267457180500659</v>
      </c>
      <c r="FO15" s="28">
        <v>0.33267845448592009</v>
      </c>
      <c r="FP15" s="28">
        <v>0.33268229166666669</v>
      </c>
      <c r="FQ15" s="28">
        <v>0.33268608414239481</v>
      </c>
      <c r="FR15" s="28">
        <v>0.33268983268983271</v>
      </c>
      <c r="FS15" s="28">
        <v>0.33269353806781832</v>
      </c>
      <c r="FT15" s="28">
        <v>0.33269720101781169</v>
      </c>
      <c r="FU15" s="28">
        <v>0.33270082226438963</v>
      </c>
      <c r="FV15" s="27">
        <v>0.33270440251572325</v>
      </c>
      <c r="FW15" s="28">
        <v>0.33270794246404001</v>
      </c>
      <c r="FX15" s="28">
        <v>0.33271144278606968</v>
      </c>
      <c r="FY15" s="28">
        <v>0.3327149041434756</v>
      </c>
      <c r="FZ15" s="28">
        <v>0.33271832718327182</v>
      </c>
      <c r="GA15" s="28">
        <v>0.3327217125382263</v>
      </c>
      <c r="GB15" s="28">
        <v>0.33272506082725062</v>
      </c>
      <c r="GC15" s="28">
        <v>0.33272837265577737</v>
      </c>
      <c r="GD15" s="28">
        <v>0.33273164861612514</v>
      </c>
      <c r="GE15" s="28">
        <v>0.33273488928785161</v>
      </c>
      <c r="GF15" s="28">
        <v>0.33273809523809522</v>
      </c>
      <c r="GG15" s="27">
        <v>0.33274126702190643</v>
      </c>
      <c r="GH15" s="28">
        <v>0.3327444051825677</v>
      </c>
      <c r="GI15" s="28">
        <v>0.33274751025190391</v>
      </c>
      <c r="GJ15" s="28">
        <v>0.33275058275058272</v>
      </c>
      <c r="GK15" s="28">
        <v>0.33275362318840579</v>
      </c>
      <c r="GL15" s="28">
        <v>0.33275663206459055</v>
      </c>
      <c r="GM15" s="28">
        <v>0.33275960986804359</v>
      </c>
      <c r="GN15" s="28">
        <v>0.33276255707762559</v>
      </c>
      <c r="GO15" s="28">
        <v>0.3327654741624077</v>
      </c>
      <c r="GP15" s="28">
        <v>0.33276836158192091</v>
      </c>
      <c r="GQ15" s="28">
        <v>0.33277121978639684</v>
      </c>
      <c r="GR15" s="27">
        <v>0.33277404921700221</v>
      </c>
      <c r="GS15" s="28">
        <v>0.33277685030606569</v>
      </c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>
        <v>0.33333333333333331</v>
      </c>
      <c r="CY16" s="28">
        <v>0.33333333333333331</v>
      </c>
      <c r="CZ16" s="28">
        <v>0.33333333333333331</v>
      </c>
      <c r="DA16" s="28">
        <v>0.33333333333333331</v>
      </c>
      <c r="DB16" s="28">
        <v>0.33333333333333331</v>
      </c>
      <c r="DC16" s="28">
        <v>0.33333333333333331</v>
      </c>
      <c r="DD16" s="28">
        <v>0.33333333333333331</v>
      </c>
      <c r="DE16" s="28">
        <v>0.33333333333333331</v>
      </c>
      <c r="DF16" s="28">
        <v>0.33333333333333331</v>
      </c>
      <c r="DG16" s="28">
        <v>0.33333333333333331</v>
      </c>
      <c r="DH16" s="27">
        <v>0.33333333333333331</v>
      </c>
      <c r="DI16" s="28">
        <v>0.33333333333333331</v>
      </c>
      <c r="DJ16" s="28">
        <v>0.33333333333333331</v>
      </c>
      <c r="DK16" s="28">
        <v>0.33333333333333331</v>
      </c>
      <c r="DL16" s="28">
        <v>0.33333333333333331</v>
      </c>
      <c r="DM16" s="28">
        <v>0.33333333333333331</v>
      </c>
      <c r="DN16" s="28">
        <v>0.33333333333333331</v>
      </c>
      <c r="DO16" s="28">
        <v>0.33333333333333331</v>
      </c>
      <c r="DP16" s="28">
        <v>0.33333333333333331</v>
      </c>
      <c r="DQ16" s="28">
        <v>0.33333333333333331</v>
      </c>
      <c r="DR16" s="28">
        <v>0.33333333333333331</v>
      </c>
      <c r="DS16" s="27">
        <v>0.33333333333333331</v>
      </c>
      <c r="DT16" s="28">
        <v>0.33333333333333331</v>
      </c>
      <c r="DU16" s="28">
        <v>0.33333333333333331</v>
      </c>
      <c r="DV16" s="28">
        <v>0.33333333333333331</v>
      </c>
      <c r="DW16" s="28">
        <v>0.33333333333333331</v>
      </c>
      <c r="DX16" s="28">
        <v>0.33333333333333331</v>
      </c>
      <c r="DY16" s="28">
        <v>0.33333333333333331</v>
      </c>
      <c r="DZ16" s="28">
        <v>0.33333333333333331</v>
      </c>
      <c r="EA16" s="28">
        <v>0.33333333333333331</v>
      </c>
      <c r="EB16" s="28">
        <v>0.33333333333333331</v>
      </c>
      <c r="EC16" s="28">
        <v>0.33333333333333331</v>
      </c>
      <c r="ED16" s="27">
        <v>0.33333333333333331</v>
      </c>
      <c r="EE16" s="28">
        <v>0.33333333333333331</v>
      </c>
      <c r="EF16" s="28">
        <v>0.33333333333333331</v>
      </c>
      <c r="EG16" s="28">
        <v>0.33333333333333331</v>
      </c>
      <c r="EH16" s="28">
        <v>0.33333333333333331</v>
      </c>
      <c r="EI16" s="28">
        <v>0.33333333333333331</v>
      </c>
      <c r="EJ16" s="28">
        <v>0.33333333333333331</v>
      </c>
      <c r="EK16" s="28">
        <v>0.33333333333333331</v>
      </c>
      <c r="EL16" s="28">
        <v>0.33333333333333331</v>
      </c>
      <c r="EM16" s="28">
        <v>0.33333333333333331</v>
      </c>
      <c r="EN16" s="28">
        <v>0.33333333333333331</v>
      </c>
      <c r="EO16" s="27">
        <v>0.33333333333333331</v>
      </c>
      <c r="EP16" s="28">
        <v>0.33333333333333331</v>
      </c>
      <c r="EQ16" s="28">
        <v>0.33333333333333331</v>
      </c>
      <c r="ER16" s="28">
        <v>0.33333333333333331</v>
      </c>
      <c r="ES16" s="28">
        <v>0.33333333333333331</v>
      </c>
      <c r="ET16" s="28">
        <v>0.33333333333333331</v>
      </c>
      <c r="EU16" s="28">
        <v>0.33333333333333331</v>
      </c>
      <c r="EV16" s="28">
        <v>0.33333333333333331</v>
      </c>
      <c r="EW16" s="28">
        <v>0.33333333333333331</v>
      </c>
      <c r="EX16" s="28">
        <v>0.33333333333333331</v>
      </c>
      <c r="EY16" s="28">
        <v>0.33333333333333331</v>
      </c>
      <c r="EZ16" s="27">
        <v>0.33333333333333331</v>
      </c>
      <c r="FA16" s="28">
        <v>0.33333333333333331</v>
      </c>
      <c r="FB16" s="28">
        <v>0.33333333333333331</v>
      </c>
      <c r="FC16" s="28">
        <v>0.33333333333333331</v>
      </c>
      <c r="FD16" s="28">
        <v>0.33333333333333331</v>
      </c>
      <c r="FE16" s="28">
        <v>0.33333333333333331</v>
      </c>
      <c r="FF16" s="28">
        <v>0.33333333333333331</v>
      </c>
      <c r="FG16" s="28">
        <v>0.33333333333333331</v>
      </c>
      <c r="FH16" s="28">
        <v>0.33333333333333331</v>
      </c>
      <c r="FI16" s="28">
        <v>0.33333333333333331</v>
      </c>
      <c r="FJ16" s="28">
        <v>0.33333333333333331</v>
      </c>
      <c r="FK16" s="27">
        <v>0.33333333333333331</v>
      </c>
      <c r="FL16" s="28">
        <v>0.33333333333333331</v>
      </c>
      <c r="FM16" s="28">
        <v>0.33333333333333331</v>
      </c>
      <c r="FN16" s="28">
        <v>0.33333333333333331</v>
      </c>
      <c r="FO16" s="28">
        <v>0.33333333333333331</v>
      </c>
      <c r="FP16" s="28">
        <v>0.33333333333333331</v>
      </c>
      <c r="FQ16" s="28">
        <v>0.33333333333333331</v>
      </c>
      <c r="FR16" s="28">
        <v>0.33333333333333331</v>
      </c>
      <c r="FS16" s="28">
        <v>0.33333333333333331</v>
      </c>
      <c r="FT16" s="28">
        <v>0.33333333333333331</v>
      </c>
      <c r="FU16" s="28">
        <v>0.33333333333333331</v>
      </c>
      <c r="FV16" s="27">
        <v>0.33333333333333331</v>
      </c>
      <c r="FW16" s="28">
        <v>0.33333333333333331</v>
      </c>
      <c r="FX16" s="28">
        <v>0.33333333333333331</v>
      </c>
      <c r="FY16" s="28">
        <v>0.33333333333333331</v>
      </c>
      <c r="FZ16" s="28">
        <v>0.33333333333333331</v>
      </c>
      <c r="GA16" s="28">
        <v>0.33333333333333331</v>
      </c>
      <c r="GB16" s="28">
        <v>0.33333333333333331</v>
      </c>
      <c r="GC16" s="28">
        <v>0.33333333333333331</v>
      </c>
      <c r="GD16" s="28">
        <v>0.33333333333333331</v>
      </c>
      <c r="GE16" s="28">
        <v>0.33333333333333331</v>
      </c>
      <c r="GF16" s="28">
        <v>0.33333333333333331</v>
      </c>
      <c r="GG16" s="27">
        <v>0.33333333333333331</v>
      </c>
      <c r="GH16" s="28">
        <v>0.33333333333333331</v>
      </c>
      <c r="GI16" s="28">
        <v>0.33333333333333331</v>
      </c>
      <c r="GJ16" s="28">
        <v>0.33333333333333331</v>
      </c>
      <c r="GK16" s="28">
        <v>0.33333333333333331</v>
      </c>
      <c r="GL16" s="28">
        <v>0.33333333333333331</v>
      </c>
      <c r="GM16" s="28">
        <v>0.33333333333333331</v>
      </c>
      <c r="GN16" s="28">
        <v>0.33333333333333331</v>
      </c>
      <c r="GO16" s="28">
        <v>0.33333333333333331</v>
      </c>
      <c r="GP16" s="28">
        <v>0.33333333333333331</v>
      </c>
      <c r="GQ16" s="28">
        <v>0.33333333333333331</v>
      </c>
      <c r="GR16" s="27">
        <v>0.33333333333333331</v>
      </c>
      <c r="GS16" s="28">
        <v>0.33333333333333331</v>
      </c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>
        <v>0.33443708609271522</v>
      </c>
      <c r="CY17" s="32">
        <v>0.33442622950819673</v>
      </c>
      <c r="CZ17" s="32">
        <v>0.33441558441558439</v>
      </c>
      <c r="DA17" s="32">
        <v>0.33440514469453375</v>
      </c>
      <c r="DB17" s="32">
        <v>0.33439490445859871</v>
      </c>
      <c r="DC17" s="32">
        <v>0.33438485804416401</v>
      </c>
      <c r="DD17" s="32">
        <v>0.33437499999999998</v>
      </c>
      <c r="DE17" s="32">
        <v>0.33436532507739936</v>
      </c>
      <c r="DF17" s="32">
        <v>0.33435582822085891</v>
      </c>
      <c r="DG17" s="32">
        <v>0.33434650455927051</v>
      </c>
      <c r="DH17" s="31">
        <v>0.33433734939759036</v>
      </c>
      <c r="DI17" s="32">
        <v>0.33432835820895523</v>
      </c>
      <c r="DJ17" s="32">
        <v>0.33431952662721892</v>
      </c>
      <c r="DK17" s="32">
        <v>0.33431085043988268</v>
      </c>
      <c r="DL17" s="32">
        <v>0.33430232558139533</v>
      </c>
      <c r="DM17" s="32">
        <v>0.33429394812680113</v>
      </c>
      <c r="DN17" s="32">
        <v>0.3342857142857143</v>
      </c>
      <c r="DO17" s="32">
        <v>0.33427762039660058</v>
      </c>
      <c r="DP17" s="32">
        <v>0.3342696629213483</v>
      </c>
      <c r="DQ17" s="32">
        <v>0.33426183844011143</v>
      </c>
      <c r="DR17" s="32">
        <v>0.33425414364640882</v>
      </c>
      <c r="DS17" s="31">
        <v>0.33424657534246577</v>
      </c>
      <c r="DT17" s="32">
        <v>0.33423913043478259</v>
      </c>
      <c r="DU17" s="32">
        <v>0.33423180592991913</v>
      </c>
      <c r="DV17" s="32">
        <v>0.33422459893048129</v>
      </c>
      <c r="DW17" s="32">
        <v>0.33421750663129973</v>
      </c>
      <c r="DX17" s="32">
        <v>0.33421052631578946</v>
      </c>
      <c r="DY17" s="32">
        <v>0.33420365535248042</v>
      </c>
      <c r="DZ17" s="32">
        <v>0.33419689119170987</v>
      </c>
      <c r="EA17" s="32">
        <v>0.33419023136246789</v>
      </c>
      <c r="EB17" s="32">
        <v>0.33418367346938777</v>
      </c>
      <c r="EC17" s="32">
        <v>0.33417721518987342</v>
      </c>
      <c r="ED17" s="31">
        <v>0.33417085427135679</v>
      </c>
      <c r="EE17" s="32">
        <v>0.33416458852867831</v>
      </c>
      <c r="EF17" s="32">
        <v>0.33415841584158418</v>
      </c>
      <c r="EG17" s="32">
        <v>0.33415233415233414</v>
      </c>
      <c r="EH17" s="32">
        <v>0.33414634146341465</v>
      </c>
      <c r="EI17" s="32">
        <v>0.33414043583535108</v>
      </c>
      <c r="EJ17" s="32">
        <v>0.33413461538461536</v>
      </c>
      <c r="EK17" s="32">
        <v>0.33412887828162291</v>
      </c>
      <c r="EL17" s="32">
        <v>0.33412322274881517</v>
      </c>
      <c r="EM17" s="32">
        <v>0.33411764705882352</v>
      </c>
      <c r="EN17" s="32">
        <v>0.33411214953271029</v>
      </c>
      <c r="EO17" s="31">
        <v>0.33410672853828305</v>
      </c>
      <c r="EP17" s="32">
        <v>0.33410138248847926</v>
      </c>
      <c r="EQ17" s="32">
        <v>0.33409610983981691</v>
      </c>
      <c r="ER17" s="32">
        <v>0.33409090909090911</v>
      </c>
      <c r="ES17" s="32">
        <v>0.3340857787810384</v>
      </c>
      <c r="ET17" s="32">
        <v>0.33408071748878926</v>
      </c>
      <c r="EU17" s="32">
        <v>0.33407572383073497</v>
      </c>
      <c r="EV17" s="32">
        <v>0.33407079646017701</v>
      </c>
      <c r="EW17" s="32">
        <v>0.33406593406593404</v>
      </c>
      <c r="EX17" s="32">
        <v>0.33406113537117904</v>
      </c>
      <c r="EY17" s="32">
        <v>0.33405639913232105</v>
      </c>
      <c r="EZ17" s="31">
        <v>0.33405172413793105</v>
      </c>
      <c r="FA17" s="32">
        <v>0.3340471092077088</v>
      </c>
      <c r="FB17" s="32">
        <v>0.33404255319148934</v>
      </c>
      <c r="FC17" s="32">
        <v>0.33403805496828753</v>
      </c>
      <c r="FD17" s="32">
        <v>0.33403361344537813</v>
      </c>
      <c r="FE17" s="32">
        <v>0.33402922755741127</v>
      </c>
      <c r="FF17" s="32">
        <v>0.33402489626556015</v>
      </c>
      <c r="FG17" s="32">
        <v>0.33402061855670101</v>
      </c>
      <c r="FH17" s="32">
        <v>0.33401639344262296</v>
      </c>
      <c r="FI17" s="32">
        <v>0.33401221995926678</v>
      </c>
      <c r="FJ17" s="32">
        <v>0.33400809716599189</v>
      </c>
      <c r="FK17" s="31">
        <v>0.33400402414486924</v>
      </c>
      <c r="FL17" s="32">
        <v>0.33400000000000002</v>
      </c>
      <c r="FM17" s="32">
        <v>0.33399602385685884</v>
      </c>
      <c r="FN17" s="32">
        <v>0.33399209486166009</v>
      </c>
      <c r="FO17" s="32">
        <v>0.33398821218074654</v>
      </c>
      <c r="FP17" s="32">
        <v>0.333984375</v>
      </c>
      <c r="FQ17" s="32">
        <v>0.33398058252427182</v>
      </c>
      <c r="FR17" s="32">
        <v>0.33397683397683398</v>
      </c>
      <c r="FS17" s="32">
        <v>0.33397312859884837</v>
      </c>
      <c r="FT17" s="32">
        <v>0.33396946564885494</v>
      </c>
      <c r="FU17" s="32">
        <v>0.33396584440227706</v>
      </c>
      <c r="FV17" s="31">
        <v>0.33396226415094338</v>
      </c>
      <c r="FW17" s="32">
        <v>0.33395872420262662</v>
      </c>
      <c r="FX17" s="32">
        <v>0.33395522388059701</v>
      </c>
      <c r="FY17" s="32">
        <v>0.33395176252319109</v>
      </c>
      <c r="FZ17" s="32">
        <v>0.33394833948339481</v>
      </c>
      <c r="GA17" s="32">
        <v>0.33394495412844039</v>
      </c>
      <c r="GB17" s="32">
        <v>0.33394160583941607</v>
      </c>
      <c r="GC17" s="32">
        <v>0.33393829401088931</v>
      </c>
      <c r="GD17" s="32">
        <v>0.33393501805054154</v>
      </c>
      <c r="GE17" s="32">
        <v>0.33393177737881508</v>
      </c>
      <c r="GF17" s="32">
        <v>0.33392857142857141</v>
      </c>
      <c r="GG17" s="31">
        <v>0.3339253996447602</v>
      </c>
      <c r="GH17" s="32">
        <v>0.33392226148409893</v>
      </c>
      <c r="GI17" s="32">
        <v>0.33391915641476272</v>
      </c>
      <c r="GJ17" s="32">
        <v>0.33391608391608391</v>
      </c>
      <c r="GK17" s="32">
        <v>0.3339130434782609</v>
      </c>
      <c r="GL17" s="32">
        <v>0.33391003460207613</v>
      </c>
      <c r="GM17" s="32">
        <v>0.33390705679862304</v>
      </c>
      <c r="GN17" s="32">
        <v>0.3339041095890411</v>
      </c>
      <c r="GO17" s="32">
        <v>0.33390119250425893</v>
      </c>
      <c r="GP17" s="32">
        <v>0.33389830508474577</v>
      </c>
      <c r="GQ17" s="32">
        <v>0.33389544688026984</v>
      </c>
      <c r="GR17" s="31">
        <v>0.33389261744966442</v>
      </c>
      <c r="GS17" s="32">
        <v>0.333889816360601</v>
      </c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>
        <v>0.66556291390728473</v>
      </c>
      <c r="CY18" s="37">
        <v>0.66557377049180322</v>
      </c>
      <c r="CZ18" s="37">
        <v>0.6655844155844155</v>
      </c>
      <c r="DA18" s="37">
        <v>0.66559485530546625</v>
      </c>
      <c r="DB18" s="37">
        <v>0.66560509554140124</v>
      </c>
      <c r="DC18" s="37">
        <v>0.66561514195583593</v>
      </c>
      <c r="DD18" s="37">
        <v>0.66562499999999991</v>
      </c>
      <c r="DE18" s="37">
        <v>0.66563467492260053</v>
      </c>
      <c r="DF18" s="37">
        <v>0.66564417177914104</v>
      </c>
      <c r="DG18" s="37">
        <v>0.66565349544072949</v>
      </c>
      <c r="DH18" s="36">
        <v>0.6656626506024097</v>
      </c>
      <c r="DI18" s="37">
        <v>0.66567164179104477</v>
      </c>
      <c r="DJ18" s="37">
        <v>0.66568047337278102</v>
      </c>
      <c r="DK18" s="37">
        <v>0.66568914956011727</v>
      </c>
      <c r="DL18" s="37">
        <v>0.66569767441860461</v>
      </c>
      <c r="DM18" s="37">
        <v>0.66570605187319876</v>
      </c>
      <c r="DN18" s="37">
        <v>0.6657142857142857</v>
      </c>
      <c r="DO18" s="37">
        <v>0.66572237960339942</v>
      </c>
      <c r="DP18" s="37">
        <v>0.66573033707865159</v>
      </c>
      <c r="DQ18" s="37">
        <v>0.66573816155988852</v>
      </c>
      <c r="DR18" s="37">
        <v>0.66574585635359118</v>
      </c>
      <c r="DS18" s="36">
        <v>0.66575342465753429</v>
      </c>
      <c r="DT18" s="37">
        <v>0.66576086956521729</v>
      </c>
      <c r="DU18" s="37">
        <v>0.66576819407008081</v>
      </c>
      <c r="DV18" s="37">
        <v>0.66577540106951871</v>
      </c>
      <c r="DW18" s="37">
        <v>0.66578249336870021</v>
      </c>
      <c r="DX18" s="37">
        <v>0.66578947368421049</v>
      </c>
      <c r="DY18" s="37">
        <v>0.66579634464751958</v>
      </c>
      <c r="DZ18" s="37">
        <v>0.66580310880829008</v>
      </c>
      <c r="EA18" s="37">
        <v>0.66580976863753216</v>
      </c>
      <c r="EB18" s="37">
        <v>0.66581632653061229</v>
      </c>
      <c r="EC18" s="37">
        <v>0.66582278481012658</v>
      </c>
      <c r="ED18" s="36">
        <v>0.66582914572864316</v>
      </c>
      <c r="EE18" s="37">
        <v>0.66583541147132164</v>
      </c>
      <c r="EF18" s="37">
        <v>0.66584158415841577</v>
      </c>
      <c r="EG18" s="37">
        <v>0.66584766584766575</v>
      </c>
      <c r="EH18" s="37">
        <v>0.66585365853658529</v>
      </c>
      <c r="EI18" s="37">
        <v>0.66585956416464886</v>
      </c>
      <c r="EJ18" s="37">
        <v>0.66586538461538458</v>
      </c>
      <c r="EK18" s="37">
        <v>0.66587112171837703</v>
      </c>
      <c r="EL18" s="37">
        <v>0.66587677725118488</v>
      </c>
      <c r="EM18" s="37">
        <v>0.66588235294117637</v>
      </c>
      <c r="EN18" s="37">
        <v>0.66588785046728971</v>
      </c>
      <c r="EO18" s="36">
        <v>0.66589327146171695</v>
      </c>
      <c r="EP18" s="37">
        <v>0.66589861751152069</v>
      </c>
      <c r="EQ18" s="37">
        <v>0.66590389016018303</v>
      </c>
      <c r="ER18" s="37">
        <v>0.66590909090909089</v>
      </c>
      <c r="ES18" s="37">
        <v>0.6659142212189616</v>
      </c>
      <c r="ET18" s="37">
        <v>0.6659192825112108</v>
      </c>
      <c r="EU18" s="37">
        <v>0.66592427616926497</v>
      </c>
      <c r="EV18" s="37">
        <v>0.66592920353982299</v>
      </c>
      <c r="EW18" s="37">
        <v>0.6659340659340659</v>
      </c>
      <c r="EX18" s="37">
        <v>0.6659388646288209</v>
      </c>
      <c r="EY18" s="37">
        <v>0.6659436008676789</v>
      </c>
      <c r="EZ18" s="36">
        <v>0.66594827586206895</v>
      </c>
      <c r="FA18" s="37">
        <v>0.66595289079229114</v>
      </c>
      <c r="FB18" s="37">
        <v>0.66595744680851054</v>
      </c>
      <c r="FC18" s="37">
        <v>0.66596194503171247</v>
      </c>
      <c r="FD18" s="37">
        <v>0.66596638655462181</v>
      </c>
      <c r="FE18" s="37">
        <v>0.66597077244258873</v>
      </c>
      <c r="FF18" s="37">
        <v>0.6659751037344398</v>
      </c>
      <c r="FG18" s="37">
        <v>0.66597938144329893</v>
      </c>
      <c r="FH18" s="37">
        <v>0.66598360655737698</v>
      </c>
      <c r="FI18" s="37">
        <v>0.66598778004073322</v>
      </c>
      <c r="FJ18" s="37">
        <v>0.665991902834008</v>
      </c>
      <c r="FK18" s="36">
        <v>0.66599597585513082</v>
      </c>
      <c r="FL18" s="37">
        <v>0.66599999999999993</v>
      </c>
      <c r="FM18" s="37">
        <v>0.66600397614314111</v>
      </c>
      <c r="FN18" s="37">
        <v>0.66600790513833985</v>
      </c>
      <c r="FO18" s="37">
        <v>0.66601178781925341</v>
      </c>
      <c r="FP18" s="37">
        <v>0.666015625</v>
      </c>
      <c r="FQ18" s="37">
        <v>0.66601941747572813</v>
      </c>
      <c r="FR18" s="37">
        <v>0.66602316602316602</v>
      </c>
      <c r="FS18" s="37">
        <v>0.66602687140115169</v>
      </c>
      <c r="FT18" s="37">
        <v>0.66603053435114501</v>
      </c>
      <c r="FU18" s="37">
        <v>0.66603415559772294</v>
      </c>
      <c r="FV18" s="36">
        <v>0.66603773584905657</v>
      </c>
      <c r="FW18" s="37">
        <v>0.66604127579737327</v>
      </c>
      <c r="FX18" s="37">
        <v>0.66604477611940305</v>
      </c>
      <c r="FY18" s="37">
        <v>0.66604823747680886</v>
      </c>
      <c r="FZ18" s="37">
        <v>0.66605166051660514</v>
      </c>
      <c r="GA18" s="37">
        <v>0.66605504587155961</v>
      </c>
      <c r="GB18" s="37">
        <v>0.66605839416058399</v>
      </c>
      <c r="GC18" s="37">
        <v>0.66606170598911074</v>
      </c>
      <c r="GD18" s="37">
        <v>0.6660649819494584</v>
      </c>
      <c r="GE18" s="37">
        <v>0.66606822262118492</v>
      </c>
      <c r="GF18" s="37">
        <v>0.66607142857142854</v>
      </c>
      <c r="GG18" s="36">
        <v>0.6660746003552398</v>
      </c>
      <c r="GH18" s="37">
        <v>0.66607773851590102</v>
      </c>
      <c r="GI18" s="37">
        <v>0.66608084358523723</v>
      </c>
      <c r="GJ18" s="37">
        <v>0.66608391608391604</v>
      </c>
      <c r="GK18" s="37">
        <v>0.6660869565217391</v>
      </c>
      <c r="GL18" s="37">
        <v>0.66608996539792387</v>
      </c>
      <c r="GM18" s="37">
        <v>0.66609294320137691</v>
      </c>
      <c r="GN18" s="37">
        <v>0.66609589041095885</v>
      </c>
      <c r="GO18" s="37">
        <v>0.66609880749574102</v>
      </c>
      <c r="GP18" s="37">
        <v>0.66610169491525428</v>
      </c>
      <c r="GQ18" s="37">
        <v>0.66610455311973016</v>
      </c>
      <c r="GR18" s="36">
        <v>0.66610738255033553</v>
      </c>
      <c r="GS18" s="37">
        <v>0.666110183639399</v>
      </c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>
        <v>1</v>
      </c>
      <c r="CY19" s="37">
        <v>1</v>
      </c>
      <c r="CZ19" s="37">
        <v>0.99999999999999989</v>
      </c>
      <c r="DA19" s="37">
        <v>1</v>
      </c>
      <c r="DB19" s="37">
        <v>1</v>
      </c>
      <c r="DC19" s="37">
        <v>1</v>
      </c>
      <c r="DD19" s="37">
        <v>0.99999999999999989</v>
      </c>
      <c r="DE19" s="37">
        <v>0.99999999999999989</v>
      </c>
      <c r="DF19" s="37">
        <v>1</v>
      </c>
      <c r="DG19" s="37">
        <v>1</v>
      </c>
      <c r="DH19" s="36">
        <v>1</v>
      </c>
      <c r="DI19" s="37">
        <v>1</v>
      </c>
      <c r="DJ19" s="37">
        <v>1</v>
      </c>
      <c r="DK19" s="37">
        <v>1</v>
      </c>
      <c r="DL19" s="37">
        <v>1</v>
      </c>
      <c r="DM19" s="37">
        <v>0.99999999999999989</v>
      </c>
      <c r="DN19" s="37">
        <v>1</v>
      </c>
      <c r="DO19" s="37">
        <v>1</v>
      </c>
      <c r="DP19" s="37">
        <v>0.99999999999999989</v>
      </c>
      <c r="DQ19" s="37">
        <v>1</v>
      </c>
      <c r="DR19" s="37">
        <v>1</v>
      </c>
      <c r="DS19" s="36">
        <v>1</v>
      </c>
      <c r="DT19" s="37">
        <v>0.99999999999999989</v>
      </c>
      <c r="DU19" s="37">
        <v>1</v>
      </c>
      <c r="DV19" s="37">
        <v>1</v>
      </c>
      <c r="DW19" s="37">
        <v>1</v>
      </c>
      <c r="DX19" s="37">
        <v>1</v>
      </c>
      <c r="DY19" s="37">
        <v>1</v>
      </c>
      <c r="DZ19" s="37">
        <v>1</v>
      </c>
      <c r="EA19" s="37">
        <v>1</v>
      </c>
      <c r="EB19" s="37">
        <v>1</v>
      </c>
      <c r="EC19" s="37">
        <v>1</v>
      </c>
      <c r="ED19" s="36">
        <v>1</v>
      </c>
      <c r="EE19" s="37">
        <v>1</v>
      </c>
      <c r="EF19" s="37">
        <v>1</v>
      </c>
      <c r="EG19" s="37">
        <v>0.99999999999999989</v>
      </c>
      <c r="EH19" s="37">
        <v>1</v>
      </c>
      <c r="EI19" s="37">
        <v>1</v>
      </c>
      <c r="EJ19" s="37">
        <v>1</v>
      </c>
      <c r="EK19" s="37">
        <v>1</v>
      </c>
      <c r="EL19" s="37">
        <v>1</v>
      </c>
      <c r="EM19" s="37">
        <v>0.99999999999999989</v>
      </c>
      <c r="EN19" s="37">
        <v>1</v>
      </c>
      <c r="EO19" s="36">
        <v>1</v>
      </c>
      <c r="EP19" s="37">
        <v>1</v>
      </c>
      <c r="EQ19" s="37">
        <v>1</v>
      </c>
      <c r="ER19" s="37">
        <v>1</v>
      </c>
      <c r="ES19" s="37">
        <v>1</v>
      </c>
      <c r="ET19" s="37">
        <v>1</v>
      </c>
      <c r="EU19" s="37">
        <v>1</v>
      </c>
      <c r="EV19" s="37">
        <v>1</v>
      </c>
      <c r="EW19" s="37">
        <v>1</v>
      </c>
      <c r="EX19" s="37">
        <v>1</v>
      </c>
      <c r="EY19" s="37">
        <v>1</v>
      </c>
      <c r="EZ19" s="36">
        <v>1</v>
      </c>
      <c r="FA19" s="37">
        <v>1</v>
      </c>
      <c r="FB19" s="37">
        <v>0.99999999999999989</v>
      </c>
      <c r="FC19" s="37">
        <v>1</v>
      </c>
      <c r="FD19" s="37">
        <v>1</v>
      </c>
      <c r="FE19" s="37">
        <v>1</v>
      </c>
      <c r="FF19" s="37">
        <v>1</v>
      </c>
      <c r="FG19" s="37">
        <v>1</v>
      </c>
      <c r="FH19" s="37">
        <v>1</v>
      </c>
      <c r="FI19" s="37">
        <v>1</v>
      </c>
      <c r="FJ19" s="37">
        <v>0.99999999999999989</v>
      </c>
      <c r="FK19" s="36">
        <v>1</v>
      </c>
      <c r="FL19" s="37">
        <v>1</v>
      </c>
      <c r="FM19" s="37">
        <v>1</v>
      </c>
      <c r="FN19" s="37">
        <v>1</v>
      </c>
      <c r="FO19" s="37">
        <v>1</v>
      </c>
      <c r="FP19" s="37">
        <v>1</v>
      </c>
      <c r="FQ19" s="37">
        <v>1</v>
      </c>
      <c r="FR19" s="37">
        <v>1</v>
      </c>
      <c r="FS19" s="37">
        <v>1</v>
      </c>
      <c r="FT19" s="37">
        <v>1</v>
      </c>
      <c r="FU19" s="37">
        <v>1</v>
      </c>
      <c r="FV19" s="36">
        <v>1</v>
      </c>
      <c r="FW19" s="37">
        <v>0.99999999999999989</v>
      </c>
      <c r="FX19" s="37">
        <v>1</v>
      </c>
      <c r="FY19" s="37">
        <v>1</v>
      </c>
      <c r="FZ19" s="37">
        <v>1</v>
      </c>
      <c r="GA19" s="37">
        <v>1</v>
      </c>
      <c r="GB19" s="37">
        <v>1</v>
      </c>
      <c r="GC19" s="37">
        <v>1</v>
      </c>
      <c r="GD19" s="37">
        <v>1</v>
      </c>
      <c r="GE19" s="37">
        <v>1</v>
      </c>
      <c r="GF19" s="37">
        <v>1</v>
      </c>
      <c r="GG19" s="36">
        <v>1</v>
      </c>
      <c r="GH19" s="37">
        <v>1</v>
      </c>
      <c r="GI19" s="37">
        <v>1</v>
      </c>
      <c r="GJ19" s="37">
        <v>1</v>
      </c>
      <c r="GK19" s="37">
        <v>1</v>
      </c>
      <c r="GL19" s="37">
        <v>1</v>
      </c>
      <c r="GM19" s="37">
        <v>1</v>
      </c>
      <c r="GN19" s="37">
        <v>1</v>
      </c>
      <c r="GO19" s="37">
        <v>1</v>
      </c>
      <c r="GP19" s="37">
        <v>1</v>
      </c>
      <c r="GQ19" s="37">
        <v>1</v>
      </c>
      <c r="GR19" s="36">
        <v>1</v>
      </c>
      <c r="GS19" s="37">
        <v>1</v>
      </c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>
        <v>2.9900990099009901</v>
      </c>
      <c r="CY20" s="43">
        <v>2.9901960784313726</v>
      </c>
      <c r="CZ20" s="43">
        <v>2.9902912621359228</v>
      </c>
      <c r="DA20" s="43">
        <v>2.9903846153846154</v>
      </c>
      <c r="DB20" s="43">
        <v>2.9904761904761905</v>
      </c>
      <c r="DC20" s="43">
        <v>2.9905660377358494</v>
      </c>
      <c r="DD20" s="43">
        <v>2.990654205607477</v>
      </c>
      <c r="DE20" s="43">
        <v>2.9907407407407409</v>
      </c>
      <c r="DF20" s="43">
        <v>2.9908256880733943</v>
      </c>
      <c r="DG20" s="43">
        <v>2.9909090909090912</v>
      </c>
      <c r="DH20" s="43">
        <v>2.9909909909909911</v>
      </c>
      <c r="DI20" s="43">
        <v>2.9910714285714284</v>
      </c>
      <c r="DJ20" s="43">
        <v>2.9911504424778763</v>
      </c>
      <c r="DK20" s="43">
        <v>2.9912280701754388</v>
      </c>
      <c r="DL20" s="43">
        <v>2.991304347826087</v>
      </c>
      <c r="DM20" s="43">
        <v>2.9913793103448278</v>
      </c>
      <c r="DN20" s="43">
        <v>2.9914529914529915</v>
      </c>
      <c r="DO20" s="43">
        <v>2.9915254237288136</v>
      </c>
      <c r="DP20" s="43">
        <v>2.9915966386554622</v>
      </c>
      <c r="DQ20" s="43">
        <v>2.9916666666666667</v>
      </c>
      <c r="DR20" s="43">
        <v>2.9917355371900829</v>
      </c>
      <c r="DS20" s="43">
        <v>2.9918032786885242</v>
      </c>
      <c r="DT20" s="43">
        <v>2.9918699186991873</v>
      </c>
      <c r="DU20" s="43">
        <v>2.991935483870968</v>
      </c>
      <c r="DV20" s="43">
        <v>2.992</v>
      </c>
      <c r="DW20" s="43">
        <v>2.9920634920634921</v>
      </c>
      <c r="DX20" s="43">
        <v>2.9921259842519685</v>
      </c>
      <c r="DY20" s="43">
        <v>2.9921875</v>
      </c>
      <c r="DZ20" s="43">
        <v>2.9922480620155039</v>
      </c>
      <c r="EA20" s="43">
        <v>2.9923076923076919</v>
      </c>
      <c r="EB20" s="43">
        <v>2.9923664122137406</v>
      </c>
      <c r="EC20" s="43">
        <v>2.9924242424242422</v>
      </c>
      <c r="ED20" s="43">
        <v>2.992481203007519</v>
      </c>
      <c r="EE20" s="43">
        <v>2.9925373134328357</v>
      </c>
      <c r="EF20" s="43">
        <v>2.9925925925925925</v>
      </c>
      <c r="EG20" s="43">
        <v>2.9926470588235294</v>
      </c>
      <c r="EH20" s="43">
        <v>2.992700729927007</v>
      </c>
      <c r="EI20" s="43">
        <v>2.9927536231884058</v>
      </c>
      <c r="EJ20" s="43">
        <v>2.9928057553956835</v>
      </c>
      <c r="EK20" s="43">
        <v>2.9928571428571429</v>
      </c>
      <c r="EL20" s="43">
        <v>2.9929078014184398</v>
      </c>
      <c r="EM20" s="43">
        <v>2.9929577464788735</v>
      </c>
      <c r="EN20" s="43">
        <v>2.9930069930069929</v>
      </c>
      <c r="EO20" s="43">
        <v>2.9930555555555558</v>
      </c>
      <c r="EP20" s="43">
        <v>2.9931034482758623</v>
      </c>
      <c r="EQ20" s="43">
        <v>2.993150684931507</v>
      </c>
      <c r="ER20" s="43">
        <v>2.9931972789115644</v>
      </c>
      <c r="ES20" s="43">
        <v>2.993243243243243</v>
      </c>
      <c r="ET20" s="43">
        <v>2.9932885906040267</v>
      </c>
      <c r="EU20" s="43">
        <v>2.9933333333333332</v>
      </c>
      <c r="EV20" s="43">
        <v>2.9933774834437084</v>
      </c>
      <c r="EW20" s="43">
        <v>2.9934210526315792</v>
      </c>
      <c r="EX20" s="43">
        <v>2.9934640522875817</v>
      </c>
      <c r="EY20" s="43">
        <v>2.9935064935064934</v>
      </c>
      <c r="EZ20" s="43">
        <v>2.9935483870967738</v>
      </c>
      <c r="FA20" s="43">
        <v>2.9935897435897432</v>
      </c>
      <c r="FB20" s="43">
        <v>2.9936305732484079</v>
      </c>
      <c r="FC20" s="43">
        <v>2.9936708860759493</v>
      </c>
      <c r="FD20" s="43">
        <v>2.9937106918238996</v>
      </c>
      <c r="FE20" s="43">
        <v>2.9937499999999999</v>
      </c>
      <c r="FF20" s="43">
        <v>2.9937888198757765</v>
      </c>
      <c r="FG20" s="43">
        <v>2.9938271604938271</v>
      </c>
      <c r="FH20" s="43">
        <v>2.9938650306748467</v>
      </c>
      <c r="FI20" s="43">
        <v>2.9939024390243905</v>
      </c>
      <c r="FJ20" s="43">
        <v>2.9939393939393941</v>
      </c>
      <c r="FK20" s="43">
        <v>2.9939759036144578</v>
      </c>
      <c r="FL20" s="43">
        <v>2.9940119760479038</v>
      </c>
      <c r="FM20" s="43">
        <v>2.9940476190476191</v>
      </c>
      <c r="FN20" s="43">
        <v>2.9940828402366861</v>
      </c>
      <c r="FO20" s="43">
        <v>2.9941176470588236</v>
      </c>
      <c r="FP20" s="43">
        <v>2.9941520467836256</v>
      </c>
      <c r="FQ20" s="43">
        <v>2.9941860465116283</v>
      </c>
      <c r="FR20" s="43">
        <v>2.9942196531791909</v>
      </c>
      <c r="FS20" s="43">
        <v>2.9942528735632186</v>
      </c>
      <c r="FT20" s="43">
        <v>2.9942857142857147</v>
      </c>
      <c r="FU20" s="43">
        <v>2.9943181818181817</v>
      </c>
      <c r="FV20" s="43">
        <v>2.9943502824858759</v>
      </c>
      <c r="FW20" s="43">
        <v>2.9943820224719104</v>
      </c>
      <c r="FX20" s="43">
        <v>2.994413407821229</v>
      </c>
      <c r="FY20" s="43">
        <v>2.9944444444444445</v>
      </c>
      <c r="FZ20" s="43">
        <v>2.9944751381215471</v>
      </c>
      <c r="GA20" s="43">
        <v>2.9945054945054945</v>
      </c>
      <c r="GB20" s="43">
        <v>2.9945355191256828</v>
      </c>
      <c r="GC20" s="43">
        <v>2.9945652173913042</v>
      </c>
      <c r="GD20" s="43">
        <v>2.9945945945945942</v>
      </c>
      <c r="GE20" s="43">
        <v>2.9946236559139785</v>
      </c>
      <c r="GF20" s="43">
        <v>2.9946524064171123</v>
      </c>
      <c r="GG20" s="43">
        <v>2.9946808510638299</v>
      </c>
      <c r="GH20" s="43">
        <v>2.9947089947089949</v>
      </c>
      <c r="GI20" s="43">
        <v>2.9947368421052634</v>
      </c>
      <c r="GJ20" s="43">
        <v>2.9947643979057594</v>
      </c>
      <c r="GK20" s="43">
        <v>2.9947916666666665</v>
      </c>
      <c r="GL20" s="43">
        <v>2.9948186528497409</v>
      </c>
      <c r="GM20" s="43">
        <v>2.9948453608247427</v>
      </c>
      <c r="GN20" s="43">
        <v>2.9948717948717949</v>
      </c>
      <c r="GO20" s="43">
        <v>2.9948979591836737</v>
      </c>
      <c r="GP20" s="43">
        <v>2.9949238578680202</v>
      </c>
      <c r="GQ20" s="43">
        <v>2.9949494949494948</v>
      </c>
      <c r="GR20" s="43">
        <v>2.9949748743718594</v>
      </c>
      <c r="GS20" s="43">
        <v>2.9950000000000001</v>
      </c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>
        <v>0.50248756218905477</v>
      </c>
      <c r="CY21" s="48">
        <v>0.50246305418719217</v>
      </c>
      <c r="CZ21" s="48">
        <v>0.50243902439024379</v>
      </c>
      <c r="DA21" s="48">
        <v>0.50241545893719808</v>
      </c>
      <c r="DB21" s="48">
        <v>0.50239234449760761</v>
      </c>
      <c r="DC21" s="48">
        <v>0.50236966824644536</v>
      </c>
      <c r="DD21" s="48">
        <v>0.50234741784037551</v>
      </c>
      <c r="DE21" s="48">
        <v>0.50232558139534877</v>
      </c>
      <c r="DF21" s="48">
        <v>0.50230414746543783</v>
      </c>
      <c r="DG21" s="48">
        <v>0.50228310502283102</v>
      </c>
      <c r="DH21" s="48">
        <v>0.50226244343891402</v>
      </c>
      <c r="DI21" s="48">
        <v>0.50224215246636772</v>
      </c>
      <c r="DJ21" s="48">
        <v>0.50222222222222224</v>
      </c>
      <c r="DK21" s="48">
        <v>0.50220264317180607</v>
      </c>
      <c r="DL21" s="48">
        <v>0.50218340611353707</v>
      </c>
      <c r="DM21" s="48">
        <v>0.50216450216450215</v>
      </c>
      <c r="DN21" s="48">
        <v>0.50214592274678116</v>
      </c>
      <c r="DO21" s="48">
        <v>0.50212765957446814</v>
      </c>
      <c r="DP21" s="48">
        <v>0.50210970464135019</v>
      </c>
      <c r="DQ21" s="48">
        <v>0.50209205020920511</v>
      </c>
      <c r="DR21" s="48">
        <v>0.50207468879668049</v>
      </c>
      <c r="DS21" s="48">
        <v>0.50205761316872433</v>
      </c>
      <c r="DT21" s="48">
        <v>0.50204081632653053</v>
      </c>
      <c r="DU21" s="48">
        <v>0.50202429149797578</v>
      </c>
      <c r="DV21" s="48">
        <v>0.50200803212851408</v>
      </c>
      <c r="DW21" s="48">
        <v>0.50199203187250996</v>
      </c>
      <c r="DX21" s="48">
        <v>0.50197628458498023</v>
      </c>
      <c r="DY21" s="48">
        <v>0.50196078431372548</v>
      </c>
      <c r="DZ21" s="48">
        <v>0.5019455252918289</v>
      </c>
      <c r="EA21" s="48">
        <v>0.50193050193050193</v>
      </c>
      <c r="EB21" s="48">
        <v>0.50191570881226055</v>
      </c>
      <c r="EC21" s="48">
        <v>0.50190114068441061</v>
      </c>
      <c r="ED21" s="48">
        <v>0.50188679245283019</v>
      </c>
      <c r="EE21" s="48">
        <v>0.50187265917602997</v>
      </c>
      <c r="EF21" s="48">
        <v>0.50185873605947962</v>
      </c>
      <c r="EG21" s="48">
        <v>0.50184501845018448</v>
      </c>
      <c r="EH21" s="48">
        <v>0.50183150183150194</v>
      </c>
      <c r="EI21" s="48">
        <v>0.50181818181818172</v>
      </c>
      <c r="EJ21" s="48">
        <v>0.50180505415162457</v>
      </c>
      <c r="EK21" s="48">
        <v>0.50179211469534057</v>
      </c>
      <c r="EL21" s="48">
        <v>0.50177935943060492</v>
      </c>
      <c r="EM21" s="48">
        <v>0.50176678445229683</v>
      </c>
      <c r="EN21" s="48">
        <v>0.50175438596491229</v>
      </c>
      <c r="EO21" s="48">
        <v>0.50174216027874563</v>
      </c>
      <c r="EP21" s="48">
        <v>0.5017301038062284</v>
      </c>
      <c r="EQ21" s="48">
        <v>0.50171821305841924</v>
      </c>
      <c r="ER21" s="48">
        <v>0.50170648464163825</v>
      </c>
      <c r="ES21" s="48">
        <v>0.50169491525423737</v>
      </c>
      <c r="ET21" s="48">
        <v>0.50168350168350173</v>
      </c>
      <c r="EU21" s="48">
        <v>0.50167224080267558</v>
      </c>
      <c r="EV21" s="48">
        <v>0.50166112956810638</v>
      </c>
      <c r="EW21" s="48">
        <v>0.50165016501650161</v>
      </c>
      <c r="EX21" s="48">
        <v>0.50163934426229517</v>
      </c>
      <c r="EY21" s="48">
        <v>0.50162866449511401</v>
      </c>
      <c r="EZ21" s="48">
        <v>0.50161812297734631</v>
      </c>
      <c r="FA21" s="48">
        <v>0.50160771704180074</v>
      </c>
      <c r="FB21" s="48">
        <v>0.50159744408945683</v>
      </c>
      <c r="FC21" s="48">
        <v>0.50158730158730158</v>
      </c>
      <c r="FD21" s="48">
        <v>0.50157728706624594</v>
      </c>
      <c r="FE21" s="48">
        <v>0.50156739811912221</v>
      </c>
      <c r="FF21" s="48">
        <v>0.50155763239875384</v>
      </c>
      <c r="FG21" s="48">
        <v>0.50154798761609898</v>
      </c>
      <c r="FH21" s="48">
        <v>0.5015384615384616</v>
      </c>
      <c r="FI21" s="48">
        <v>0.50152905198776754</v>
      </c>
      <c r="FJ21" s="48">
        <v>0.50151975683890571</v>
      </c>
      <c r="FK21" s="48">
        <v>0.50151057401812693</v>
      </c>
      <c r="FL21" s="48">
        <v>0.50150150150150163</v>
      </c>
      <c r="FM21" s="48">
        <v>0.50149253731343291</v>
      </c>
      <c r="FN21" s="48">
        <v>0.50148367952522266</v>
      </c>
      <c r="FO21" s="48">
        <v>0.50147492625368717</v>
      </c>
      <c r="FP21" s="48">
        <v>0.50146627565982405</v>
      </c>
      <c r="FQ21" s="48">
        <v>0.5014577259475218</v>
      </c>
      <c r="FR21" s="48">
        <v>0.50144927536231887</v>
      </c>
      <c r="FS21" s="48">
        <v>0.50144092219020164</v>
      </c>
      <c r="FT21" s="48">
        <v>0.50143266475644699</v>
      </c>
      <c r="FU21" s="48">
        <v>0.50142450142450146</v>
      </c>
      <c r="FV21" s="48">
        <v>0.50141643059490082</v>
      </c>
      <c r="FW21" s="48">
        <v>0.50140845070422535</v>
      </c>
      <c r="FX21" s="48">
        <v>0.50140056022408963</v>
      </c>
      <c r="FY21" s="48">
        <v>0.50139275766016711</v>
      </c>
      <c r="FZ21" s="48">
        <v>0.50138504155124652</v>
      </c>
      <c r="GA21" s="48">
        <v>0.50137741046831963</v>
      </c>
      <c r="GB21" s="48">
        <v>0.50136986301369857</v>
      </c>
      <c r="GC21" s="48">
        <v>0.50136239782016345</v>
      </c>
      <c r="GD21" s="48">
        <v>0.50135501355013556</v>
      </c>
      <c r="GE21" s="48">
        <v>0.50134770889487867</v>
      </c>
      <c r="GF21" s="48">
        <v>0.50134048257372643</v>
      </c>
      <c r="GG21" s="48">
        <v>0.5013333333333333</v>
      </c>
      <c r="GH21" s="48">
        <v>0.50132625994694957</v>
      </c>
      <c r="GI21" s="48">
        <v>0.50131926121372028</v>
      </c>
      <c r="GJ21" s="48">
        <v>0.50131233595800528</v>
      </c>
      <c r="GK21" s="48">
        <v>0.50130548302872069</v>
      </c>
      <c r="GL21" s="48">
        <v>0.50129870129870135</v>
      </c>
      <c r="GM21" s="48">
        <v>0.50129198966408262</v>
      </c>
      <c r="GN21" s="48">
        <v>0.50128534704370187</v>
      </c>
      <c r="GO21" s="48">
        <v>0.50127877237851659</v>
      </c>
      <c r="GP21" s="48">
        <v>0.50127226463104324</v>
      </c>
      <c r="GQ21" s="48">
        <v>0.50126582278481013</v>
      </c>
      <c r="GR21" s="48">
        <v>0.50125944584382864</v>
      </c>
      <c r="GS21" s="48">
        <v>0.50125313283208017</v>
      </c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>
        <v>2.0099667774086378</v>
      </c>
      <c r="CY22" s="48">
        <v>2.0098684210526314</v>
      </c>
      <c r="CZ22" s="48">
        <v>2.009771986970684</v>
      </c>
      <c r="DA22" s="48">
        <v>2.0096774193548388</v>
      </c>
      <c r="DB22" s="48">
        <v>2.009584664536741</v>
      </c>
      <c r="DC22" s="48">
        <v>2.0094936708860764</v>
      </c>
      <c r="DD22" s="48">
        <v>2.0094043887147337</v>
      </c>
      <c r="DE22" s="48">
        <v>2.0093167701863357</v>
      </c>
      <c r="DF22" s="48">
        <v>2.0092307692307694</v>
      </c>
      <c r="DG22" s="48">
        <v>2.0091463414634148</v>
      </c>
      <c r="DH22" s="48">
        <v>2.0090634441087611</v>
      </c>
      <c r="DI22" s="48">
        <v>2.0089820359281436</v>
      </c>
      <c r="DJ22" s="48">
        <v>2.0089020771513355</v>
      </c>
      <c r="DK22" s="48">
        <v>2.0088235294117651</v>
      </c>
      <c r="DL22" s="48">
        <v>2.0087463556851315</v>
      </c>
      <c r="DM22" s="48">
        <v>2.0086705202312141</v>
      </c>
      <c r="DN22" s="48">
        <v>2.0085959885386817</v>
      </c>
      <c r="DO22" s="48">
        <v>2.0085227272727275</v>
      </c>
      <c r="DP22" s="48">
        <v>2.0084507042253521</v>
      </c>
      <c r="DQ22" s="48">
        <v>2.0083798882681565</v>
      </c>
      <c r="DR22" s="48">
        <v>2.0083102493074794</v>
      </c>
      <c r="DS22" s="48">
        <v>2.0082417582417582</v>
      </c>
      <c r="DT22" s="48">
        <v>2.0081743869209809</v>
      </c>
      <c r="DU22" s="48">
        <v>2.0081081081081078</v>
      </c>
      <c r="DV22" s="48">
        <v>2.008042895442359</v>
      </c>
      <c r="DW22" s="48">
        <v>2.0079787234042552</v>
      </c>
      <c r="DX22" s="48">
        <v>2.0079155672823221</v>
      </c>
      <c r="DY22" s="48">
        <v>2.0078534031413615</v>
      </c>
      <c r="DZ22" s="48">
        <v>2.0077922077922077</v>
      </c>
      <c r="EA22" s="48">
        <v>2.0077319587628866</v>
      </c>
      <c r="EB22" s="48">
        <v>2.0076726342710995</v>
      </c>
      <c r="EC22" s="48">
        <v>2.0076142131979693</v>
      </c>
      <c r="ED22" s="48">
        <v>2.0075566750629723</v>
      </c>
      <c r="EE22" s="48">
        <v>2.0074999999999998</v>
      </c>
      <c r="EF22" s="48">
        <v>2.0074441687344913</v>
      </c>
      <c r="EG22" s="48">
        <v>2.0073891625615765</v>
      </c>
      <c r="EH22" s="48">
        <v>2.0073349633251834</v>
      </c>
      <c r="EI22" s="48">
        <v>2.0072815533980588</v>
      </c>
      <c r="EJ22" s="48">
        <v>2.0072289156626506</v>
      </c>
      <c r="EK22" s="48">
        <v>2.0071770334928227</v>
      </c>
      <c r="EL22" s="48">
        <v>2.0071258907363418</v>
      </c>
      <c r="EM22" s="48">
        <v>2.0070754716981134</v>
      </c>
      <c r="EN22" s="48">
        <v>2.007025761124122</v>
      </c>
      <c r="EO22" s="48">
        <v>2.0069767441860469</v>
      </c>
      <c r="EP22" s="48">
        <v>2.0069284064665127</v>
      </c>
      <c r="EQ22" s="48">
        <v>2.0068807339449539</v>
      </c>
      <c r="ER22" s="48">
        <v>2.0068337129840548</v>
      </c>
      <c r="ES22" s="48">
        <v>2.0067873303167425</v>
      </c>
      <c r="ET22" s="48">
        <v>2.0067415730337079</v>
      </c>
      <c r="EU22" s="48">
        <v>2.0066964285714284</v>
      </c>
      <c r="EV22" s="48">
        <v>2.0066518847006649</v>
      </c>
      <c r="EW22" s="48">
        <v>2.0066079295154187</v>
      </c>
      <c r="EX22" s="48">
        <v>2.0065645514223194</v>
      </c>
      <c r="EY22" s="48">
        <v>2.0065217391304349</v>
      </c>
      <c r="EZ22" s="48">
        <v>2.0064794816414686</v>
      </c>
      <c r="FA22" s="48">
        <v>2.0064377682403434</v>
      </c>
      <c r="FB22" s="48">
        <v>2.0063965884861408</v>
      </c>
      <c r="FC22" s="48">
        <v>2.0063559322033897</v>
      </c>
      <c r="FD22" s="48">
        <v>2.0063157894736845</v>
      </c>
      <c r="FE22" s="48">
        <v>2.0062761506276146</v>
      </c>
      <c r="FF22" s="48">
        <v>2.0062370062370065</v>
      </c>
      <c r="FG22" s="48">
        <v>2.0061983471074383</v>
      </c>
      <c r="FH22" s="48">
        <v>2.0061601642710469</v>
      </c>
      <c r="FI22" s="48">
        <v>2.0061224489795921</v>
      </c>
      <c r="FJ22" s="48">
        <v>2.006085192697769</v>
      </c>
      <c r="FK22" s="48">
        <v>2.006048387096774</v>
      </c>
      <c r="FL22" s="48">
        <v>2.0060120240480961</v>
      </c>
      <c r="FM22" s="48">
        <v>2.0059760956175299</v>
      </c>
      <c r="FN22" s="48">
        <v>2.0059405940594059</v>
      </c>
      <c r="FO22" s="48">
        <v>2.0059055118110241</v>
      </c>
      <c r="FP22" s="48">
        <v>2.0058708414872797</v>
      </c>
      <c r="FQ22" s="48">
        <v>2.0058365758754864</v>
      </c>
      <c r="FR22" s="48">
        <v>2.0058027079303673</v>
      </c>
      <c r="FS22" s="48">
        <v>2.0057692307692307</v>
      </c>
      <c r="FT22" s="48">
        <v>2.005736137667304</v>
      </c>
      <c r="FU22" s="48">
        <v>2.0057034220532319</v>
      </c>
      <c r="FV22" s="48">
        <v>2.0056710775047257</v>
      </c>
      <c r="FW22" s="48">
        <v>2.005639097744361</v>
      </c>
      <c r="FX22" s="48">
        <v>2.0056074766355136</v>
      </c>
      <c r="FY22" s="48">
        <v>2.0055762081784385</v>
      </c>
      <c r="FZ22" s="48">
        <v>2.0055452865064693</v>
      </c>
      <c r="GA22" s="48">
        <v>2.0055147058823533</v>
      </c>
      <c r="GB22" s="48">
        <v>2.0054844606946984</v>
      </c>
      <c r="GC22" s="48">
        <v>2.0054545454545454</v>
      </c>
      <c r="GD22" s="48">
        <v>2.0054249547920433</v>
      </c>
      <c r="GE22" s="48">
        <v>2.0053956834532372</v>
      </c>
      <c r="GF22" s="48">
        <v>2.005366726296959</v>
      </c>
      <c r="GG22" s="48">
        <v>2.0053380782918153</v>
      </c>
      <c r="GH22" s="48">
        <v>2.0053097345132747</v>
      </c>
      <c r="GI22" s="48">
        <v>2.005281690140845</v>
      </c>
      <c r="GJ22" s="48">
        <v>2.0052539404553418</v>
      </c>
      <c r="GK22" s="48">
        <v>2.005226480836237</v>
      </c>
      <c r="GL22" s="48">
        <v>2.0051993067590987</v>
      </c>
      <c r="GM22" s="48">
        <v>2.0051724137931033</v>
      </c>
      <c r="GN22" s="48">
        <v>2.0051457975986278</v>
      </c>
      <c r="GO22" s="48">
        <v>2.0051194539249146</v>
      </c>
      <c r="GP22" s="48">
        <v>2.0050933786078096</v>
      </c>
      <c r="GQ22" s="48">
        <v>2.005067567567568</v>
      </c>
      <c r="GR22" s="48">
        <v>2.0050420168067231</v>
      </c>
      <c r="GS22" s="48">
        <v>2.0050167224080262</v>
      </c>
    </row>
    <row r="23" spans="1:201" x14ac:dyDescent="0.2">
      <c r="A23" s="51" t="s">
        <v>20</v>
      </c>
      <c r="B23" s="21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>
        <v>1.4876360363309058</v>
      </c>
      <c r="CY23" s="52">
        <v>1.4877571323128271</v>
      </c>
      <c r="CZ23" s="52">
        <v>1.4878758792151188</v>
      </c>
      <c r="DA23" s="52">
        <v>1.4879923447339176</v>
      </c>
      <c r="DB23" s="52">
        <v>1.4881065939889471</v>
      </c>
      <c r="DC23" s="52">
        <v>1.4882186896449263</v>
      </c>
      <c r="DD23" s="52">
        <v>1.4883286920261858</v>
      </c>
      <c r="DE23" s="52">
        <v>1.4884366592249125</v>
      </c>
      <c r="DF23" s="52">
        <v>1.4885426472034504</v>
      </c>
      <c r="DG23" s="52">
        <v>1.4886467098910194</v>
      </c>
      <c r="DH23" s="52">
        <v>1.4887488992752151</v>
      </c>
      <c r="DI23" s="52">
        <v>1.4888492654886096</v>
      </c>
      <c r="DJ23" s="52">
        <v>1.4889478568907595</v>
      </c>
      <c r="DK23" s="52">
        <v>1.4890447201458989</v>
      </c>
      <c r="DL23" s="52">
        <v>1.4891399002965859</v>
      </c>
      <c r="DM23" s="52">
        <v>1.4892334408335401</v>
      </c>
      <c r="DN23" s="52">
        <v>1.4893253837619032</v>
      </c>
      <c r="DO23" s="52">
        <v>1.4894157696641332</v>
      </c>
      <c r="DP23" s="52">
        <v>1.4895046377597323</v>
      </c>
      <c r="DQ23" s="52">
        <v>1.4895920259619841</v>
      </c>
      <c r="DR23" s="52">
        <v>1.4896779709318895</v>
      </c>
      <c r="DS23" s="52">
        <v>1.489762508129443</v>
      </c>
      <c r="DT23" s="52">
        <v>1.4898456718624176</v>
      </c>
      <c r="DU23" s="52">
        <v>1.4899274953327837</v>
      </c>
      <c r="DV23" s="52">
        <v>1.4900080106809079</v>
      </c>
      <c r="DW23" s="52">
        <v>1.4900872490276464</v>
      </c>
      <c r="DX23" s="52">
        <v>1.4901652405144494</v>
      </c>
      <c r="DY23" s="52">
        <v>1.4902420143415904</v>
      </c>
      <c r="DZ23" s="52">
        <v>1.4903175988046171</v>
      </c>
      <c r="EA23" s="52">
        <v>1.49039202132912</v>
      </c>
      <c r="EB23" s="52">
        <v>1.4904653085039143</v>
      </c>
      <c r="EC23" s="52">
        <v>1.4905374861127074</v>
      </c>
      <c r="ED23" s="52">
        <v>1.4906085791643475</v>
      </c>
      <c r="EE23" s="52">
        <v>1.4906786119217115</v>
      </c>
      <c r="EF23" s="52">
        <v>1.4907476079293136</v>
      </c>
      <c r="EG23" s="52">
        <v>1.4908155900396967</v>
      </c>
      <c r="EH23" s="52">
        <v>1.4908825804386674</v>
      </c>
      <c r="EI23" s="52">
        <v>1.490948600669435</v>
      </c>
      <c r="EJ23" s="52">
        <v>1.4910136716557127</v>
      </c>
      <c r="EK23" s="52">
        <v>1.491077813723821</v>
      </c>
      <c r="EL23" s="52">
        <v>1.4911410466238619</v>
      </c>
      <c r="EM23" s="52">
        <v>1.4912033895499908</v>
      </c>
      <c r="EN23" s="52">
        <v>1.4912648611598434</v>
      </c>
      <c r="EO23" s="52">
        <v>1.4913254795931503</v>
      </c>
      <c r="EP23" s="52">
        <v>1.4913852624895838</v>
      </c>
      <c r="EQ23" s="52">
        <v>1.4914442270058712</v>
      </c>
      <c r="ER23" s="52">
        <v>1.4915023898322097</v>
      </c>
      <c r="ES23" s="52">
        <v>1.4915597672080192</v>
      </c>
      <c r="ET23" s="52">
        <v>1.491616374937057</v>
      </c>
      <c r="EU23" s="52">
        <v>1.4916722284019281</v>
      </c>
      <c r="EV23" s="52">
        <v>1.4917273425780251</v>
      </c>
      <c r="EW23" s="52">
        <v>1.491781732046912</v>
      </c>
      <c r="EX23" s="52">
        <v>1.4918354110091874</v>
      </c>
      <c r="EY23" s="52">
        <v>1.4918883932968439</v>
      </c>
      <c r="EZ23" s="52">
        <v>1.4919406923851521</v>
      </c>
      <c r="FA23" s="52">
        <v>1.4919923214040858</v>
      </c>
      <c r="FB23" s="52">
        <v>1.4920432931493126</v>
      </c>
      <c r="FC23" s="52">
        <v>1.4920936200927648</v>
      </c>
      <c r="FD23" s="52">
        <v>1.4921433143928144</v>
      </c>
      <c r="FE23" s="52">
        <v>1.4921923879040671</v>
      </c>
      <c r="FF23" s="52">
        <v>1.4922408521867858</v>
      </c>
      <c r="FG23" s="52">
        <v>1.4922887185159754</v>
      </c>
      <c r="FH23" s="52">
        <v>1.4923359978901234</v>
      </c>
      <c r="FI23" s="52">
        <v>1.4923827010396247</v>
      </c>
      <c r="FJ23" s="52">
        <v>1.4924288384349051</v>
      </c>
      <c r="FK23" s="52">
        <v>1.4924744202942424</v>
      </c>
      <c r="FL23" s="52">
        <v>1.4925194565913127</v>
      </c>
      <c r="FM23" s="52">
        <v>1.4925639570624676</v>
      </c>
      <c r="FN23" s="52">
        <v>1.4926079312137477</v>
      </c>
      <c r="FO23" s="52">
        <v>1.4926513883276566</v>
      </c>
      <c r="FP23" s="52">
        <v>1.4926943374696906</v>
      </c>
      <c r="FQ23" s="52">
        <v>1.4927367874946431</v>
      </c>
      <c r="FR23" s="52">
        <v>1.4927787470526923</v>
      </c>
      <c r="FS23" s="52">
        <v>1.4928202245952769</v>
      </c>
      <c r="FT23" s="52">
        <v>1.492861228380771</v>
      </c>
      <c r="FU23" s="52">
        <v>1.4929017664799655</v>
      </c>
      <c r="FV23" s="52">
        <v>1.4929418467813651</v>
      </c>
      <c r="FW23" s="52">
        <v>1.4929814769963039</v>
      </c>
      <c r="FX23" s="52">
        <v>1.4930206646638935</v>
      </c>
      <c r="FY23" s="52">
        <v>1.4930594171558029</v>
      </c>
      <c r="FZ23" s="52">
        <v>1.4930977416808822</v>
      </c>
      <c r="GA23" s="52">
        <v>1.4931356452896323</v>
      </c>
      <c r="GB23" s="52">
        <v>1.4931731348785309</v>
      </c>
      <c r="GC23" s="52">
        <v>1.4932102171942134</v>
      </c>
      <c r="GD23" s="52">
        <v>1.4932468988375209</v>
      </c>
      <c r="GE23" s="52">
        <v>1.493283186267419</v>
      </c>
      <c r="GF23" s="52">
        <v>1.4933190858047865</v>
      </c>
      <c r="GG23" s="52">
        <v>1.4933546036360887</v>
      </c>
      <c r="GH23" s="52">
        <v>1.4933897458169301</v>
      </c>
      <c r="GI23" s="52">
        <v>1.4934245182754957</v>
      </c>
      <c r="GJ23" s="52">
        <v>1.4934589268158851</v>
      </c>
      <c r="GK23" s="52">
        <v>1.4934929771213437</v>
      </c>
      <c r="GL23" s="52">
        <v>1.4935266747573903</v>
      </c>
      <c r="GM23" s="52">
        <v>1.4935600251748504</v>
      </c>
      <c r="GN23" s="52">
        <v>1.4935930337127943</v>
      </c>
      <c r="GO23" s="52">
        <v>1.4936257056013897</v>
      </c>
      <c r="GP23" s="52">
        <v>1.4936580459646607</v>
      </c>
      <c r="GQ23" s="52">
        <v>1.4936900598231682</v>
      </c>
      <c r="GR23" s="52">
        <v>1.4937217520966102</v>
      </c>
      <c r="GS23" s="52">
        <v>1.4937531276063392</v>
      </c>
    </row>
    <row r="24" spans="1:201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  <c r="AL24" s="211"/>
      <c r="AM24" s="211"/>
      <c r="AN24" s="211"/>
      <c r="AO24" s="211"/>
      <c r="AP24" s="211"/>
      <c r="AQ24" s="211"/>
      <c r="AR24" s="211"/>
      <c r="AS24" s="211"/>
      <c r="AT24" s="211"/>
      <c r="AU24" s="211"/>
      <c r="AV24" s="211"/>
      <c r="AW24" s="211"/>
      <c r="AX24" s="211"/>
      <c r="AY24" s="211"/>
      <c r="AZ24" s="211"/>
      <c r="BA24" s="211"/>
      <c r="BB24" s="211"/>
      <c r="BC24" s="211"/>
      <c r="BD24" s="211"/>
      <c r="BE24" s="211"/>
      <c r="BF24" s="211"/>
      <c r="BG24" s="211"/>
      <c r="BH24" s="211"/>
      <c r="BI24" s="211"/>
      <c r="BJ24" s="211"/>
      <c r="BK24" s="211"/>
      <c r="BL24" s="211"/>
      <c r="BM24" s="211"/>
      <c r="BN24" s="211"/>
      <c r="BO24" s="211"/>
      <c r="BP24" s="211"/>
      <c r="BQ24" s="211"/>
      <c r="BR24" s="211"/>
      <c r="BS24" s="211"/>
      <c r="BT24" s="211"/>
      <c r="BU24" s="211"/>
      <c r="BV24" s="211"/>
      <c r="BW24" s="211"/>
      <c r="BX24" s="211"/>
      <c r="BY24" s="211"/>
      <c r="BZ24" s="211"/>
      <c r="CA24" s="211"/>
      <c r="CB24" s="211"/>
      <c r="CC24" s="211"/>
      <c r="CD24" s="211"/>
      <c r="CE24" s="211"/>
      <c r="CF24" s="211"/>
      <c r="CG24" s="211"/>
      <c r="CH24" s="211"/>
      <c r="CI24" s="211"/>
      <c r="CJ24" s="211"/>
      <c r="CK24" s="211"/>
      <c r="CL24" s="211"/>
      <c r="CM24" s="211"/>
      <c r="CN24" s="211"/>
      <c r="CO24" s="211"/>
      <c r="CP24" s="211"/>
      <c r="CQ24" s="211"/>
      <c r="CR24" s="211"/>
      <c r="CS24" s="211"/>
      <c r="CT24" s="211"/>
      <c r="CU24" s="211"/>
      <c r="CV24" s="211"/>
      <c r="CW24" s="211"/>
      <c r="CX24" s="211"/>
      <c r="CY24" s="211"/>
      <c r="CZ24" s="211"/>
      <c r="DA24" s="211"/>
      <c r="DB24" s="211"/>
      <c r="DC24" s="211"/>
      <c r="DD24" s="211"/>
      <c r="DE24" s="211"/>
      <c r="DF24" s="211"/>
      <c r="DG24" s="211"/>
      <c r="DH24" s="211"/>
      <c r="DI24" s="211"/>
      <c r="DJ24" s="211"/>
      <c r="DK24" s="211"/>
      <c r="DL24" s="211"/>
      <c r="DM24" s="211"/>
      <c r="DN24" s="211"/>
      <c r="DO24" s="211"/>
      <c r="DP24" s="211"/>
      <c r="DQ24" s="211"/>
      <c r="DR24" s="211"/>
      <c r="DS24" s="211"/>
      <c r="DT24" s="211"/>
      <c r="DU24" s="211"/>
      <c r="DV24" s="211"/>
      <c r="DW24" s="211"/>
      <c r="DX24" s="211"/>
      <c r="DY24" s="211"/>
      <c r="DZ24" s="211"/>
      <c r="EA24" s="211"/>
      <c r="EB24" s="211"/>
      <c r="EC24" s="211"/>
      <c r="ED24" s="211"/>
      <c r="EE24" s="211"/>
      <c r="EF24" s="211"/>
      <c r="EG24" s="211"/>
      <c r="EH24" s="211"/>
      <c r="EI24" s="211"/>
      <c r="EJ24" s="211"/>
      <c r="EK24" s="211"/>
      <c r="EL24" s="211"/>
      <c r="EM24" s="211"/>
      <c r="EN24" s="211"/>
      <c r="EO24" s="211"/>
      <c r="EP24" s="211"/>
      <c r="EQ24" s="211"/>
      <c r="ER24" s="211"/>
      <c r="ES24" s="211"/>
      <c r="ET24" s="211"/>
      <c r="EU24" s="211"/>
      <c r="EV24" s="211"/>
      <c r="EW24" s="211"/>
      <c r="EX24" s="211"/>
      <c r="EY24" s="211"/>
      <c r="EZ24" s="211"/>
      <c r="FA24" s="211"/>
      <c r="FB24" s="211"/>
      <c r="FC24" s="211"/>
      <c r="FD24" s="211"/>
      <c r="FE24" s="211"/>
      <c r="FF24" s="211"/>
      <c r="FG24" s="211"/>
      <c r="FH24" s="211"/>
      <c r="FI24" s="211"/>
      <c r="FJ24" s="211"/>
      <c r="FK24" s="211"/>
      <c r="FL24" s="211"/>
      <c r="FM24" s="211"/>
      <c r="FN24" s="211"/>
      <c r="FO24" s="211"/>
      <c r="FP24" s="211"/>
      <c r="FQ24" s="211"/>
      <c r="FR24" s="211"/>
      <c r="FS24" s="211"/>
      <c r="FT24" s="211"/>
      <c r="FU24" s="211"/>
      <c r="FV24" s="211"/>
      <c r="FW24" s="211"/>
      <c r="FX24" s="211"/>
      <c r="FY24" s="211"/>
      <c r="FZ24" s="211"/>
      <c r="GA24" s="211"/>
      <c r="GB24" s="211"/>
      <c r="GC24" s="211"/>
      <c r="GD24" s="211"/>
      <c r="GE24" s="211"/>
      <c r="GF24" s="211"/>
      <c r="GG24" s="211"/>
      <c r="GH24" s="211"/>
      <c r="GI24" s="211"/>
      <c r="GJ24" s="211"/>
      <c r="GK24" s="211"/>
      <c r="GL24" s="211"/>
      <c r="GM24" s="211"/>
      <c r="GN24" s="211"/>
      <c r="GO24" s="211"/>
      <c r="GP24" s="211"/>
      <c r="GQ24" s="211"/>
      <c r="GR24" s="211"/>
      <c r="GS24" s="211"/>
    </row>
    <row r="25" spans="1:201" x14ac:dyDescent="0.2">
      <c r="A25" s="55" t="s">
        <v>34</v>
      </c>
      <c r="B25" s="56" t="s">
        <v>211</v>
      </c>
      <c r="C25" s="13" t="s">
        <v>212</v>
      </c>
      <c r="D25" s="13" t="s">
        <v>213</v>
      </c>
      <c r="E25" s="13" t="s">
        <v>214</v>
      </c>
      <c r="F25" s="13" t="s">
        <v>215</v>
      </c>
      <c r="G25" s="13" t="s">
        <v>216</v>
      </c>
      <c r="H25" s="13" t="s">
        <v>217</v>
      </c>
      <c r="I25" s="13" t="s">
        <v>218</v>
      </c>
      <c r="J25" s="13" t="s">
        <v>219</v>
      </c>
      <c r="K25" s="13" t="s">
        <v>220</v>
      </c>
      <c r="L25" s="13" t="s">
        <v>221</v>
      </c>
      <c r="M25" s="13" t="s">
        <v>222</v>
      </c>
      <c r="N25" s="13" t="s">
        <v>223</v>
      </c>
      <c r="O25" s="13" t="s">
        <v>224</v>
      </c>
      <c r="P25" s="13" t="s">
        <v>226</v>
      </c>
      <c r="Q25" s="13" t="s">
        <v>229</v>
      </c>
      <c r="R25" s="13" t="s">
        <v>231</v>
      </c>
      <c r="S25" s="13" t="s">
        <v>232</v>
      </c>
      <c r="T25" s="13" t="s">
        <v>234</v>
      </c>
      <c r="U25" s="13" t="s">
        <v>236</v>
      </c>
      <c r="V25" s="13" t="s">
        <v>238</v>
      </c>
      <c r="W25" s="13" t="s">
        <v>240</v>
      </c>
      <c r="X25" s="13" t="s">
        <v>242</v>
      </c>
      <c r="Y25" s="13" t="s">
        <v>244</v>
      </c>
      <c r="Z25" s="13" t="s">
        <v>246</v>
      </c>
      <c r="AA25" s="13" t="s">
        <v>352</v>
      </c>
      <c r="AB25" s="13" t="s">
        <v>353</v>
      </c>
      <c r="AC25" s="13" t="s">
        <v>354</v>
      </c>
      <c r="AD25" s="13" t="s">
        <v>355</v>
      </c>
      <c r="AE25" s="13" t="s">
        <v>356</v>
      </c>
      <c r="AF25" s="13" t="s">
        <v>357</v>
      </c>
      <c r="AG25" s="13" t="s">
        <v>358</v>
      </c>
      <c r="AH25" s="13" t="s">
        <v>359</v>
      </c>
      <c r="AI25" s="13" t="s">
        <v>360</v>
      </c>
      <c r="AJ25" s="13" t="s">
        <v>361</v>
      </c>
      <c r="AK25" s="13" t="s">
        <v>362</v>
      </c>
      <c r="AL25" s="13" t="s">
        <v>363</v>
      </c>
      <c r="AM25" s="13" t="s">
        <v>364</v>
      </c>
      <c r="AN25" s="13" t="s">
        <v>365</v>
      </c>
      <c r="AO25" s="13" t="s">
        <v>366</v>
      </c>
      <c r="AP25" s="13" t="s">
        <v>367</v>
      </c>
      <c r="AQ25" s="13" t="s">
        <v>368</v>
      </c>
      <c r="AR25" s="13" t="s">
        <v>369</v>
      </c>
      <c r="AS25" s="13" t="s">
        <v>370</v>
      </c>
      <c r="AT25" s="13" t="s">
        <v>371</v>
      </c>
      <c r="AU25" s="13" t="s">
        <v>372</v>
      </c>
      <c r="AV25" s="13" t="s">
        <v>373</v>
      </c>
      <c r="AW25" s="13" t="s">
        <v>374</v>
      </c>
      <c r="AX25" s="13" t="s">
        <v>375</v>
      </c>
      <c r="AY25" s="13" t="s">
        <v>376</v>
      </c>
      <c r="AZ25" s="13" t="s">
        <v>377</v>
      </c>
      <c r="BA25" s="13" t="s">
        <v>378</v>
      </c>
      <c r="BB25" s="13" t="s">
        <v>379</v>
      </c>
      <c r="BC25" s="13" t="s">
        <v>380</v>
      </c>
      <c r="BD25" s="13" t="s">
        <v>381</v>
      </c>
      <c r="BE25" s="13" t="s">
        <v>382</v>
      </c>
      <c r="BF25" s="13" t="s">
        <v>383</v>
      </c>
      <c r="BG25" s="13" t="s">
        <v>384</v>
      </c>
      <c r="BH25" s="13" t="s">
        <v>385</v>
      </c>
      <c r="BI25" s="13" t="s">
        <v>386</v>
      </c>
      <c r="BJ25" s="13" t="s">
        <v>387</v>
      </c>
      <c r="BK25" s="13" t="s">
        <v>388</v>
      </c>
      <c r="BL25" s="13" t="s">
        <v>389</v>
      </c>
      <c r="BM25" s="13" t="s">
        <v>390</v>
      </c>
      <c r="BN25" s="13" t="s">
        <v>391</v>
      </c>
      <c r="BO25" s="13" t="s">
        <v>392</v>
      </c>
      <c r="BP25" s="13" t="s">
        <v>393</v>
      </c>
      <c r="BQ25" s="13" t="s">
        <v>394</v>
      </c>
      <c r="BR25" s="13" t="s">
        <v>395</v>
      </c>
      <c r="BS25" s="13" t="s">
        <v>396</v>
      </c>
      <c r="BT25" s="13" t="s">
        <v>397</v>
      </c>
      <c r="BU25" s="13" t="s">
        <v>398</v>
      </c>
      <c r="BV25" s="13" t="s">
        <v>399</v>
      </c>
      <c r="BW25" s="13" t="s">
        <v>400</v>
      </c>
      <c r="BX25" s="13" t="s">
        <v>401</v>
      </c>
      <c r="BY25" s="13" t="s">
        <v>402</v>
      </c>
      <c r="BZ25" s="13" t="s">
        <v>403</v>
      </c>
      <c r="CA25" s="13" t="s">
        <v>404</v>
      </c>
      <c r="CB25" s="13" t="s">
        <v>405</v>
      </c>
      <c r="CC25" s="13" t="s">
        <v>406</v>
      </c>
      <c r="CD25" s="13" t="s">
        <v>407</v>
      </c>
      <c r="CE25" s="13" t="s">
        <v>408</v>
      </c>
      <c r="CF25" s="13" t="s">
        <v>409</v>
      </c>
      <c r="CG25" s="13" t="s">
        <v>410</v>
      </c>
      <c r="CH25" s="13" t="s">
        <v>411</v>
      </c>
      <c r="CI25" s="13" t="s">
        <v>412</v>
      </c>
      <c r="CJ25" s="13" t="s">
        <v>413</v>
      </c>
      <c r="CK25" s="13" t="s">
        <v>414</v>
      </c>
      <c r="CL25" s="13" t="s">
        <v>415</v>
      </c>
      <c r="CM25" s="13" t="s">
        <v>416</v>
      </c>
      <c r="CN25" s="13" t="s">
        <v>417</v>
      </c>
      <c r="CO25" s="13" t="s">
        <v>418</v>
      </c>
      <c r="CP25" s="13" t="s">
        <v>419</v>
      </c>
      <c r="CQ25" s="13" t="s">
        <v>420</v>
      </c>
      <c r="CR25" s="13" t="s">
        <v>421</v>
      </c>
      <c r="CS25" s="13" t="s">
        <v>422</v>
      </c>
      <c r="CT25" s="13" t="s">
        <v>423</v>
      </c>
      <c r="CU25" s="13" t="s">
        <v>424</v>
      </c>
      <c r="CV25" s="13" t="s">
        <v>425</v>
      </c>
      <c r="CW25" s="13" t="s">
        <v>426</v>
      </c>
      <c r="CX25" s="13" t="s">
        <v>427</v>
      </c>
      <c r="CY25" s="13" t="s">
        <v>428</v>
      </c>
      <c r="CZ25" s="13" t="s">
        <v>429</v>
      </c>
      <c r="DA25" s="13" t="s">
        <v>430</v>
      </c>
      <c r="DB25" s="13" t="s">
        <v>431</v>
      </c>
      <c r="DC25" s="13" t="s">
        <v>432</v>
      </c>
      <c r="DD25" s="13" t="s">
        <v>433</v>
      </c>
      <c r="DE25" s="13" t="s">
        <v>434</v>
      </c>
      <c r="DF25" s="13" t="s">
        <v>435</v>
      </c>
      <c r="DG25" s="13" t="s">
        <v>436</v>
      </c>
      <c r="DH25" s="13" t="s">
        <v>437</v>
      </c>
      <c r="DI25" s="13" t="s">
        <v>438</v>
      </c>
      <c r="DJ25" s="13" t="s">
        <v>439</v>
      </c>
      <c r="DK25" s="13" t="s">
        <v>440</v>
      </c>
      <c r="DL25" s="13" t="s">
        <v>441</v>
      </c>
      <c r="DM25" s="13" t="s">
        <v>442</v>
      </c>
      <c r="DN25" s="13" t="s">
        <v>443</v>
      </c>
      <c r="DO25" s="13" t="s">
        <v>444</v>
      </c>
      <c r="DP25" s="13" t="s">
        <v>445</v>
      </c>
      <c r="DQ25" s="13" t="s">
        <v>446</v>
      </c>
      <c r="DR25" s="13" t="s">
        <v>447</v>
      </c>
      <c r="DS25" s="13" t="s">
        <v>448</v>
      </c>
      <c r="DT25" s="13" t="s">
        <v>449</v>
      </c>
      <c r="DU25" s="13" t="s">
        <v>450</v>
      </c>
      <c r="DV25" s="13" t="s">
        <v>451</v>
      </c>
      <c r="DW25" s="13" t="s">
        <v>452</v>
      </c>
      <c r="DX25" s="13" t="s">
        <v>453</v>
      </c>
      <c r="DY25" s="13" t="s">
        <v>454</v>
      </c>
      <c r="DZ25" s="13" t="s">
        <v>455</v>
      </c>
      <c r="EA25" s="13" t="s">
        <v>456</v>
      </c>
      <c r="EB25" s="13" t="s">
        <v>457</v>
      </c>
      <c r="EC25" s="13" t="s">
        <v>458</v>
      </c>
      <c r="ED25" s="13" t="s">
        <v>459</v>
      </c>
      <c r="EE25" s="13" t="s">
        <v>460</v>
      </c>
      <c r="EF25" s="13" t="s">
        <v>461</v>
      </c>
      <c r="EG25" s="13" t="s">
        <v>462</v>
      </c>
      <c r="EH25" s="13" t="s">
        <v>463</v>
      </c>
      <c r="EI25" s="13" t="s">
        <v>464</v>
      </c>
      <c r="EJ25" s="13" t="s">
        <v>465</v>
      </c>
      <c r="EK25" s="13" t="s">
        <v>466</v>
      </c>
      <c r="EL25" s="13" t="s">
        <v>467</v>
      </c>
      <c r="EM25" s="13" t="s">
        <v>468</v>
      </c>
      <c r="EN25" s="13" t="s">
        <v>469</v>
      </c>
      <c r="EO25" s="13" t="s">
        <v>470</v>
      </c>
      <c r="EP25" s="13" t="s">
        <v>471</v>
      </c>
      <c r="EQ25" s="13" t="s">
        <v>472</v>
      </c>
      <c r="ER25" s="13" t="s">
        <v>473</v>
      </c>
      <c r="ES25" s="13" t="s">
        <v>474</v>
      </c>
      <c r="ET25" s="13" t="s">
        <v>475</v>
      </c>
      <c r="EU25" s="13" t="s">
        <v>476</v>
      </c>
      <c r="EV25" s="13" t="s">
        <v>477</v>
      </c>
      <c r="EW25" s="13" t="s">
        <v>478</v>
      </c>
      <c r="EX25" s="13" t="s">
        <v>479</v>
      </c>
      <c r="EY25" s="13" t="s">
        <v>480</v>
      </c>
      <c r="EZ25" s="13" t="s">
        <v>481</v>
      </c>
      <c r="FA25" s="13" t="s">
        <v>482</v>
      </c>
      <c r="FB25" s="13" t="s">
        <v>483</v>
      </c>
      <c r="FC25" s="13" t="s">
        <v>484</v>
      </c>
      <c r="FD25" s="13" t="s">
        <v>485</v>
      </c>
      <c r="FE25" s="13" t="s">
        <v>486</v>
      </c>
      <c r="FF25" s="13" t="s">
        <v>487</v>
      </c>
      <c r="FG25" s="13" t="s">
        <v>488</v>
      </c>
      <c r="FH25" s="13" t="s">
        <v>489</v>
      </c>
      <c r="FI25" s="13" t="s">
        <v>490</v>
      </c>
      <c r="FJ25" s="13" t="s">
        <v>491</v>
      </c>
      <c r="FK25" s="13" t="s">
        <v>492</v>
      </c>
      <c r="FL25" s="13" t="s">
        <v>493</v>
      </c>
      <c r="FM25" s="13" t="s">
        <v>494</v>
      </c>
      <c r="FN25" s="13" t="s">
        <v>495</v>
      </c>
      <c r="FO25" s="13" t="s">
        <v>496</v>
      </c>
      <c r="FP25" s="13" t="s">
        <v>497</v>
      </c>
      <c r="FQ25" s="13" t="s">
        <v>498</v>
      </c>
      <c r="FR25" s="13" t="s">
        <v>499</v>
      </c>
      <c r="FS25" s="13" t="s">
        <v>500</v>
      </c>
      <c r="FT25" s="13" t="s">
        <v>501</v>
      </c>
      <c r="FU25" s="13" t="s">
        <v>502</v>
      </c>
      <c r="FV25" s="13" t="s">
        <v>503</v>
      </c>
      <c r="FW25" s="13" t="s">
        <v>504</v>
      </c>
      <c r="FX25" s="13" t="s">
        <v>505</v>
      </c>
      <c r="FY25" s="13" t="s">
        <v>506</v>
      </c>
      <c r="FZ25" s="13" t="s">
        <v>507</v>
      </c>
      <c r="GA25" s="13" t="s">
        <v>508</v>
      </c>
      <c r="GB25" s="13" t="s">
        <v>509</v>
      </c>
      <c r="GC25" s="13" t="s">
        <v>510</v>
      </c>
      <c r="GD25" s="13" t="s">
        <v>511</v>
      </c>
      <c r="GE25" s="13" t="s">
        <v>512</v>
      </c>
      <c r="GF25" s="13" t="s">
        <v>513</v>
      </c>
      <c r="GG25" s="13" t="s">
        <v>514</v>
      </c>
      <c r="GH25" s="13" t="s">
        <v>515</v>
      </c>
      <c r="GI25" s="13" t="s">
        <v>516</v>
      </c>
      <c r="GJ25" s="13" t="s">
        <v>517</v>
      </c>
      <c r="GK25" s="13" t="s">
        <v>518</v>
      </c>
      <c r="GL25" s="13" t="s">
        <v>519</v>
      </c>
      <c r="GM25" s="13" t="s">
        <v>520</v>
      </c>
      <c r="GN25" s="13" t="s">
        <v>521</v>
      </c>
      <c r="GO25" s="13" t="s">
        <v>522</v>
      </c>
      <c r="GP25" s="13" t="s">
        <v>523</v>
      </c>
      <c r="GQ25" s="13" t="s">
        <v>524</v>
      </c>
      <c r="GR25" s="13" t="s">
        <v>525</v>
      </c>
      <c r="GS25" s="13" t="s">
        <v>526</v>
      </c>
    </row>
    <row r="26" spans="1:201" ht="15.75" x14ac:dyDescent="0.3">
      <c r="A26" s="57" t="s">
        <v>110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>
        <v>6.3725195274787053E-4</v>
      </c>
      <c r="CY26" s="59">
        <v>6.3098390075376704E-4</v>
      </c>
      <c r="CZ26" s="59">
        <v>6.2483795366838899E-4</v>
      </c>
      <c r="DA26" s="59">
        <v>6.1881057790960333E-4</v>
      </c>
      <c r="DB26" s="59">
        <v>6.1289837493584427E-4</v>
      </c>
      <c r="DC26" s="59">
        <v>6.0709807485764692E-4</v>
      </c>
      <c r="DD26" s="59">
        <v>6.01406530405826E-4</v>
      </c>
      <c r="DE26" s="59">
        <v>5.958207112379681E-4</v>
      </c>
      <c r="DF26" s="59">
        <v>5.903376985578534E-4</v>
      </c>
      <c r="DG26" s="59">
        <v>5.849546800299894E-4</v>
      </c>
      <c r="DH26" s="59">
        <v>5.7966894496951104E-4</v>
      </c>
      <c r="DI26" s="59">
        <v>5.7447787979065699E-4</v>
      </c>
      <c r="DJ26" s="59">
        <v>5.6937896369779457E-4</v>
      </c>
      <c r="DK26" s="59">
        <v>5.6436976460373927E-4</v>
      </c>
      <c r="DL26" s="59">
        <v>5.5944793526126635E-4</v>
      </c>
      <c r="DM26" s="59">
        <v>5.5461120959614935E-4</v>
      </c>
      <c r="DN26" s="59">
        <v>5.4985739922826433E-4</v>
      </c>
      <c r="DO26" s="59">
        <v>5.4518439016960657E-4</v>
      </c>
      <c r="DP26" s="59">
        <v>5.4059013969063013E-4</v>
      </c>
      <c r="DQ26" s="59">
        <v>5.3607267334234831E-4</v>
      </c>
      <c r="DR26" s="59">
        <v>5.3163008212675793E-4</v>
      </c>
      <c r="DS26" s="59">
        <v>5.2726051980789669E-4</v>
      </c>
      <c r="DT26" s="59">
        <v>5.2296220035289223E-4</v>
      </c>
      <c r="DU26" s="59">
        <v>5.1873339549826105E-4</v>
      </c>
      <c r="DV26" s="59">
        <v>5.1457243243286635E-4</v>
      </c>
      <c r="DW26" s="59">
        <v>5.1047769159112623E-4</v>
      </c>
      <c r="DX26" s="59">
        <v>5.0644760455224077E-4</v>
      </c>
      <c r="DY26" s="59">
        <v>5.0248065203620902E-4</v>
      </c>
      <c r="DZ26" s="59">
        <v>4.9857536199458276E-4</v>
      </c>
      <c r="EA26" s="59">
        <v>4.947303077889087E-4</v>
      </c>
      <c r="EB26" s="59">
        <v>4.9094410645378003E-4</v>
      </c>
      <c r="EC26" s="59">
        <v>4.8721541703770422E-4</v>
      </c>
      <c r="ED26" s="59">
        <v>4.8354293901986398E-4</v>
      </c>
      <c r="EE26" s="59">
        <v>4.7992541079777088E-4</v>
      </c>
      <c r="EF26" s="59">
        <v>4.763616082422232E-4</v>
      </c>
      <c r="EG26" s="59">
        <v>4.7285034331661871E-4</v>
      </c>
      <c r="EH26" s="59">
        <v>4.6939046275587922E-4</v>
      </c>
      <c r="EI26" s="59">
        <v>4.6598084680357692E-4</v>
      </c>
      <c r="EJ26" s="59">
        <v>4.6262040800444209E-4</v>
      </c>
      <c r="EK26" s="59">
        <v>4.5930809004750864E-4</v>
      </c>
      <c r="EL26" s="59">
        <v>4.5604286665848758E-4</v>
      </c>
      <c r="EM26" s="59">
        <v>4.5282374054085573E-4</v>
      </c>
      <c r="EN26" s="59">
        <v>4.4964974235950567E-4</v>
      </c>
      <c r="EO26" s="59">
        <v>4.4651992976772672E-4</v>
      </c>
      <c r="EP26" s="59">
        <v>4.4343338647443982E-4</v>
      </c>
      <c r="EQ26" s="59">
        <v>4.4038922134976346E-4</v>
      </c>
      <c r="ER26" s="59">
        <v>4.3738656756788511E-4</v>
      </c>
      <c r="ES26" s="59">
        <v>4.3442458178300766E-4</v>
      </c>
      <c r="ET26" s="59">
        <v>4.3150244334055009E-4</v>
      </c>
      <c r="EU26" s="59">
        <v>4.2861935351873098E-4</v>
      </c>
      <c r="EV26" s="59">
        <v>4.2577453480066308E-4</v>
      </c>
      <c r="EW26" s="59">
        <v>4.2296723017554855E-4</v>
      </c>
      <c r="EX26" s="59">
        <v>4.2019670246705231E-4</v>
      </c>
      <c r="EY26" s="59">
        <v>4.1746223368744305E-4</v>
      </c>
      <c r="EZ26" s="59">
        <v>4.1476312441788622E-4</v>
      </c>
      <c r="FA26" s="59">
        <v>4.1209869321181294E-4</v>
      </c>
      <c r="FB26" s="59">
        <v>4.0946827602097974E-4</v>
      </c>
      <c r="FC26" s="59">
        <v>4.0687122564460391E-4</v>
      </c>
      <c r="FD26" s="59">
        <v>4.043069111972155E-4</v>
      </c>
      <c r="FE26" s="59">
        <v>4.0177471759894406E-4</v>
      </c>
      <c r="FF26" s="59">
        <v>3.9927404508272735E-4</v>
      </c>
      <c r="FG26" s="59">
        <v>3.968043087213909E-4</v>
      </c>
      <c r="FH26" s="59">
        <v>3.9436493797100823E-4</v>
      </c>
      <c r="FI26" s="59">
        <v>3.919553762318246E-4</v>
      </c>
      <c r="FJ26" s="59">
        <v>3.8957508042482036E-4</v>
      </c>
      <c r="FK26" s="59">
        <v>3.8722352058327393E-4</v>
      </c>
      <c r="FL26" s="59">
        <v>3.8490017945970814E-4</v>
      </c>
      <c r="FM26" s="59">
        <v>3.8260455214681008E-4</v>
      </c>
      <c r="FN26" s="59">
        <v>3.8033614571117099E-4</v>
      </c>
      <c r="FO26" s="59">
        <v>3.7809447884061477E-4</v>
      </c>
      <c r="FP26" s="59">
        <v>3.7587908150370534E-4</v>
      </c>
      <c r="FQ26" s="59">
        <v>3.7368949462104846E-4</v>
      </c>
      <c r="FR26" s="59">
        <v>3.7152526974877187E-4</v>
      </c>
      <c r="FS26" s="59">
        <v>3.6938596877136393E-4</v>
      </c>
      <c r="FT26" s="59">
        <v>3.6727116360656337E-4</v>
      </c>
      <c r="FU26" s="59">
        <v>3.6518043592011939E-4</v>
      </c>
      <c r="FV26" s="59">
        <v>3.6311337684875709E-4</v>
      </c>
      <c r="FW26" s="59">
        <v>3.6106958673519309E-4</v>
      </c>
      <c r="FX26" s="59">
        <v>3.5904867486917665E-4</v>
      </c>
      <c r="FY26" s="59">
        <v>3.5705025923904281E-4</v>
      </c>
      <c r="FZ26" s="59">
        <v>3.5507396629121389E-4</v>
      </c>
      <c r="GA26" s="59">
        <v>3.5311943069700816E-4</v>
      </c>
      <c r="GB26" s="59">
        <v>3.511862951275252E-4</v>
      </c>
      <c r="GC26" s="59">
        <v>3.4927421003609448E-4</v>
      </c>
      <c r="GD26" s="59">
        <v>3.4738283344751866E-4</v>
      </c>
      <c r="GE26" s="59">
        <v>3.4551183075385531E-4</v>
      </c>
      <c r="GF26" s="59">
        <v>3.4366087451763319E-4</v>
      </c>
      <c r="GG26" s="59">
        <v>3.4182964428032558E-4</v>
      </c>
      <c r="GH26" s="59">
        <v>3.4001782637787392E-4</v>
      </c>
      <c r="GI26" s="59">
        <v>3.3822511376069845E-4</v>
      </c>
      <c r="GJ26" s="59">
        <v>3.3645120582140081E-4</v>
      </c>
      <c r="GK26" s="59">
        <v>3.346958082259279E-4</v>
      </c>
      <c r="GL26" s="59">
        <v>3.3295863275063298E-4</v>
      </c>
      <c r="GM26" s="59">
        <v>3.3123939712536161E-4</v>
      </c>
      <c r="GN26" s="59">
        <v>3.2953782487999951E-4</v>
      </c>
      <c r="GO26" s="59">
        <v>3.2785364519563506E-4</v>
      </c>
      <c r="GP26" s="59">
        <v>3.2618659276251665E-4</v>
      </c>
      <c r="GQ26" s="59">
        <v>3.2453640763890706E-4</v>
      </c>
      <c r="GR26" s="59">
        <v>3.2290283511724523E-4</v>
      </c>
      <c r="GS26" s="59">
        <v>3.2128562559248763E-4</v>
      </c>
    </row>
    <row r="27" spans="1:201" ht="15.75" x14ac:dyDescent="0.3">
      <c r="A27" s="63" t="s">
        <v>111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-1</v>
      </c>
      <c r="G27" s="59">
        <v>-1</v>
      </c>
      <c r="H27" s="59">
        <v>-1</v>
      </c>
      <c r="I27" s="59">
        <v>-1</v>
      </c>
      <c r="J27" s="59">
        <v>-1</v>
      </c>
      <c r="K27" s="59">
        <v>-1</v>
      </c>
      <c r="L27" s="59">
        <v>-1</v>
      </c>
      <c r="M27" s="59">
        <v>-1</v>
      </c>
      <c r="N27" s="59">
        <v>-1</v>
      </c>
      <c r="O27" s="59">
        <v>-1</v>
      </c>
      <c r="P27" s="59">
        <v>-1</v>
      </c>
      <c r="Q27" s="59">
        <v>-1</v>
      </c>
      <c r="R27" s="59">
        <v>-1</v>
      </c>
      <c r="S27" s="59">
        <v>-1</v>
      </c>
      <c r="T27" s="59">
        <v>-1</v>
      </c>
      <c r="U27" s="59">
        <v>-1</v>
      </c>
      <c r="V27" s="59">
        <v>-1</v>
      </c>
      <c r="W27" s="59">
        <v>-1</v>
      </c>
      <c r="X27" s="59">
        <v>-1</v>
      </c>
      <c r="Y27" s="59">
        <v>-1</v>
      </c>
      <c r="Z27" s="59">
        <v>-1</v>
      </c>
      <c r="AA27" s="59">
        <v>-1</v>
      </c>
      <c r="AB27" s="59">
        <v>-1</v>
      </c>
      <c r="AC27" s="59">
        <v>-1</v>
      </c>
      <c r="AD27" s="59">
        <v>-1</v>
      </c>
      <c r="AE27" s="59">
        <v>-1</v>
      </c>
      <c r="AF27" s="59">
        <v>-1</v>
      </c>
      <c r="AG27" s="59">
        <v>-1</v>
      </c>
      <c r="AH27" s="59">
        <v>-1</v>
      </c>
      <c r="AI27" s="59">
        <v>-1</v>
      </c>
      <c r="AJ27" s="59">
        <v>-1</v>
      </c>
      <c r="AK27" s="59">
        <v>-1</v>
      </c>
      <c r="AL27" s="59">
        <v>-1</v>
      </c>
      <c r="AM27" s="59">
        <v>-1</v>
      </c>
      <c r="AN27" s="59">
        <v>-1</v>
      </c>
      <c r="AO27" s="59">
        <v>-1</v>
      </c>
      <c r="AP27" s="59">
        <v>-1</v>
      </c>
      <c r="AQ27" s="59">
        <v>-1</v>
      </c>
      <c r="AR27" s="59">
        <v>-1</v>
      </c>
      <c r="AS27" s="59">
        <v>-1</v>
      </c>
      <c r="AT27" s="59">
        <v>-1</v>
      </c>
      <c r="AU27" s="59">
        <v>-1</v>
      </c>
      <c r="AV27" s="59">
        <v>-1</v>
      </c>
      <c r="AW27" s="59">
        <v>-1</v>
      </c>
      <c r="AX27" s="59">
        <v>-1</v>
      </c>
      <c r="AY27" s="59">
        <v>-1</v>
      </c>
      <c r="AZ27" s="59">
        <v>-1</v>
      </c>
      <c r="BA27" s="59">
        <v>-1</v>
      </c>
      <c r="BB27" s="59">
        <v>-1</v>
      </c>
      <c r="BC27" s="59">
        <v>-1</v>
      </c>
      <c r="BD27" s="59">
        <v>-1</v>
      </c>
      <c r="BE27" s="59">
        <v>-1</v>
      </c>
      <c r="BF27" s="59">
        <v>-1</v>
      </c>
      <c r="BG27" s="59">
        <v>-1</v>
      </c>
      <c r="BH27" s="59">
        <v>-1</v>
      </c>
      <c r="BI27" s="59">
        <v>-1</v>
      </c>
      <c r="BJ27" s="59">
        <v>-1</v>
      </c>
      <c r="BK27" s="59">
        <v>-1</v>
      </c>
      <c r="BL27" s="59">
        <v>-1</v>
      </c>
      <c r="BM27" s="59">
        <v>-1</v>
      </c>
      <c r="BN27" s="59">
        <v>-1</v>
      </c>
      <c r="BO27" s="59">
        <v>-1</v>
      </c>
      <c r="BP27" s="59">
        <v>-1</v>
      </c>
      <c r="BQ27" s="59">
        <v>-1</v>
      </c>
      <c r="BR27" s="59">
        <v>-1</v>
      </c>
      <c r="BS27" s="59">
        <v>-1</v>
      </c>
      <c r="BT27" s="59">
        <v>-1</v>
      </c>
      <c r="BU27" s="59">
        <v>-1</v>
      </c>
      <c r="BV27" s="59">
        <v>-1</v>
      </c>
      <c r="BW27" s="59">
        <v>-1</v>
      </c>
      <c r="BX27" s="59">
        <v>-1</v>
      </c>
      <c r="BY27" s="59">
        <v>-1</v>
      </c>
      <c r="BZ27" s="59">
        <v>-1</v>
      </c>
      <c r="CA27" s="59">
        <v>-1</v>
      </c>
      <c r="CB27" s="59">
        <v>-1</v>
      </c>
      <c r="CC27" s="59">
        <v>-1</v>
      </c>
      <c r="CD27" s="59">
        <v>-1</v>
      </c>
      <c r="CE27" s="59">
        <v>-1</v>
      </c>
      <c r="CF27" s="59">
        <v>-1</v>
      </c>
      <c r="CG27" s="59">
        <v>-1</v>
      </c>
      <c r="CH27" s="59">
        <v>-1</v>
      </c>
      <c r="CI27" s="59">
        <v>-1</v>
      </c>
      <c r="CJ27" s="59">
        <v>-1</v>
      </c>
      <c r="CK27" s="59">
        <v>-1</v>
      </c>
      <c r="CL27" s="59">
        <v>-1</v>
      </c>
      <c r="CM27" s="59">
        <v>-1</v>
      </c>
      <c r="CN27" s="59">
        <v>-1</v>
      </c>
      <c r="CO27" s="59">
        <v>-1</v>
      </c>
      <c r="CP27" s="59">
        <v>-1</v>
      </c>
      <c r="CQ27" s="59">
        <v>-1</v>
      </c>
      <c r="CR27" s="59">
        <v>-1</v>
      </c>
      <c r="CS27" s="59">
        <v>-1</v>
      </c>
      <c r="CT27" s="59">
        <v>-1</v>
      </c>
      <c r="CU27" s="59">
        <v>-1</v>
      </c>
      <c r="CV27" s="59">
        <v>-1</v>
      </c>
      <c r="CW27" s="59">
        <v>-1</v>
      </c>
      <c r="CX27" s="59">
        <v>-1</v>
      </c>
      <c r="CY27" s="59">
        <v>-1</v>
      </c>
      <c r="CZ27" s="59">
        <v>-1</v>
      </c>
      <c r="DA27" s="59">
        <v>-1</v>
      </c>
      <c r="DB27" s="59">
        <v>-1</v>
      </c>
      <c r="DC27" s="59">
        <v>-1</v>
      </c>
      <c r="DD27" s="59">
        <v>-1</v>
      </c>
      <c r="DE27" s="59">
        <v>-1</v>
      </c>
      <c r="DF27" s="59">
        <v>-1</v>
      </c>
      <c r="DG27" s="59">
        <v>-1</v>
      </c>
      <c r="DH27" s="59">
        <v>-1</v>
      </c>
      <c r="DI27" s="59">
        <v>-1</v>
      </c>
      <c r="DJ27" s="59">
        <v>-1</v>
      </c>
      <c r="DK27" s="59">
        <v>-1</v>
      </c>
      <c r="DL27" s="59">
        <v>-1</v>
      </c>
      <c r="DM27" s="59">
        <v>-1</v>
      </c>
      <c r="DN27" s="59">
        <v>-1</v>
      </c>
      <c r="DO27" s="59">
        <v>-1</v>
      </c>
      <c r="DP27" s="59">
        <v>-1</v>
      </c>
      <c r="DQ27" s="59">
        <v>-1</v>
      </c>
      <c r="DR27" s="59">
        <v>-1</v>
      </c>
      <c r="DS27" s="59">
        <v>-1</v>
      </c>
      <c r="DT27" s="59">
        <v>-1</v>
      </c>
      <c r="DU27" s="59">
        <v>-1</v>
      </c>
      <c r="DV27" s="59">
        <v>-1</v>
      </c>
      <c r="DW27" s="59">
        <v>-1</v>
      </c>
      <c r="DX27" s="59">
        <v>-1</v>
      </c>
      <c r="DY27" s="59">
        <v>-1</v>
      </c>
      <c r="DZ27" s="59">
        <v>-1</v>
      </c>
      <c r="EA27" s="59">
        <v>-1</v>
      </c>
      <c r="EB27" s="59">
        <v>-1</v>
      </c>
      <c r="EC27" s="59">
        <v>-1</v>
      </c>
      <c r="ED27" s="59">
        <v>-1</v>
      </c>
      <c r="EE27" s="59">
        <v>-1</v>
      </c>
      <c r="EF27" s="59">
        <v>-1</v>
      </c>
      <c r="EG27" s="59">
        <v>-1</v>
      </c>
      <c r="EH27" s="59">
        <v>-1</v>
      </c>
      <c r="EI27" s="59">
        <v>-1</v>
      </c>
      <c r="EJ27" s="59">
        <v>-1</v>
      </c>
      <c r="EK27" s="59">
        <v>-1</v>
      </c>
      <c r="EL27" s="59">
        <v>-1</v>
      </c>
      <c r="EM27" s="59">
        <v>-1</v>
      </c>
      <c r="EN27" s="59">
        <v>-1</v>
      </c>
      <c r="EO27" s="59">
        <v>-1</v>
      </c>
      <c r="EP27" s="59">
        <v>-1</v>
      </c>
      <c r="EQ27" s="59">
        <v>-1</v>
      </c>
      <c r="ER27" s="59">
        <v>-1</v>
      </c>
      <c r="ES27" s="59">
        <v>-1</v>
      </c>
      <c r="ET27" s="59">
        <v>-1</v>
      </c>
      <c r="EU27" s="59">
        <v>-1</v>
      </c>
      <c r="EV27" s="59">
        <v>-1</v>
      </c>
      <c r="EW27" s="59">
        <v>-1</v>
      </c>
      <c r="EX27" s="59">
        <v>-1</v>
      </c>
      <c r="EY27" s="59">
        <v>-1</v>
      </c>
      <c r="EZ27" s="59">
        <v>-1</v>
      </c>
      <c r="FA27" s="59">
        <v>-1</v>
      </c>
      <c r="FB27" s="59">
        <v>-1</v>
      </c>
      <c r="FC27" s="59">
        <v>-1</v>
      </c>
      <c r="FD27" s="59">
        <v>-1</v>
      </c>
      <c r="FE27" s="59">
        <v>-1</v>
      </c>
      <c r="FF27" s="59">
        <v>-1</v>
      </c>
      <c r="FG27" s="59">
        <v>-1</v>
      </c>
      <c r="FH27" s="59">
        <v>-1</v>
      </c>
      <c r="FI27" s="59">
        <v>-1</v>
      </c>
      <c r="FJ27" s="59">
        <v>-1</v>
      </c>
      <c r="FK27" s="59">
        <v>-1</v>
      </c>
      <c r="FL27" s="59">
        <v>-1</v>
      </c>
      <c r="FM27" s="59">
        <v>-1</v>
      </c>
      <c r="FN27" s="59">
        <v>-1</v>
      </c>
      <c r="FO27" s="59">
        <v>-1</v>
      </c>
      <c r="FP27" s="59">
        <v>-1</v>
      </c>
      <c r="FQ27" s="59">
        <v>-1</v>
      </c>
      <c r="FR27" s="59">
        <v>-1</v>
      </c>
      <c r="FS27" s="59">
        <v>-1</v>
      </c>
      <c r="FT27" s="59">
        <v>-1</v>
      </c>
      <c r="FU27" s="59">
        <v>-1</v>
      </c>
      <c r="FV27" s="59">
        <v>-1</v>
      </c>
      <c r="FW27" s="59">
        <v>-1</v>
      </c>
      <c r="FX27" s="59">
        <v>-1</v>
      </c>
      <c r="FY27" s="59">
        <v>-1</v>
      </c>
      <c r="FZ27" s="59">
        <v>-1</v>
      </c>
      <c r="GA27" s="59">
        <v>-1</v>
      </c>
      <c r="GB27" s="59">
        <v>-1</v>
      </c>
      <c r="GC27" s="59">
        <v>-1</v>
      </c>
      <c r="GD27" s="59">
        <v>-1</v>
      </c>
      <c r="GE27" s="59">
        <v>-1</v>
      </c>
      <c r="GF27" s="59">
        <v>-1</v>
      </c>
      <c r="GG27" s="59">
        <v>-1</v>
      </c>
      <c r="GH27" s="59">
        <v>-1</v>
      </c>
      <c r="GI27" s="59">
        <v>-1</v>
      </c>
      <c r="GJ27" s="59">
        <v>-1</v>
      </c>
      <c r="GK27" s="59">
        <v>-1</v>
      </c>
      <c r="GL27" s="59">
        <v>-1</v>
      </c>
      <c r="GM27" s="59">
        <v>-1</v>
      </c>
      <c r="GN27" s="59">
        <v>-1</v>
      </c>
      <c r="GO27" s="59">
        <v>-1</v>
      </c>
      <c r="GP27" s="59">
        <v>-1</v>
      </c>
      <c r="GQ27" s="59">
        <v>-1</v>
      </c>
      <c r="GR27" s="59">
        <v>-1</v>
      </c>
      <c r="GS27" s="59">
        <v>-1</v>
      </c>
    </row>
    <row r="28" spans="1:201" x14ac:dyDescent="0.2">
      <c r="A28" s="212" t="s">
        <v>34</v>
      </c>
      <c r="B28" s="213"/>
      <c r="C28" s="214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-0.57999999999999996</v>
      </c>
      <c r="BG45" s="29">
        <v>0</v>
      </c>
      <c r="BH45" s="29">
        <v>0</v>
      </c>
      <c r="BI45" s="29">
        <v>-0.57999999999999996</v>
      </c>
      <c r="BJ45" s="29">
        <v>-0.57999999999999996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9.6225044864937673E-2</v>
      </c>
      <c r="Q50" s="126">
        <f t="shared" si="10"/>
        <v>3.8490017945975043E-2</v>
      </c>
      <c r="R50" s="126">
        <f t="shared" si="10"/>
        <v>2.4056261216234449E-2</v>
      </c>
      <c r="S50" s="126">
        <f t="shared" si="10"/>
        <v>1.7495462702715917E-2</v>
      </c>
      <c r="T50" s="126">
        <f t="shared" ref="T50:Y50" si="11">F26</f>
        <v>1.3746434980705328E-2</v>
      </c>
      <c r="U50" s="126">
        <f t="shared" si="11"/>
        <v>1.1320593513522034E-2</v>
      </c>
      <c r="V50" s="126">
        <f t="shared" si="11"/>
        <v>9.6225044864937295E-3</v>
      </c>
      <c r="W50" s="126">
        <f t="shared" si="11"/>
        <v>8.3673952056467875E-3</v>
      </c>
      <c r="X50" s="126">
        <f t="shared" si="11"/>
        <v>7.4019265280720996E-3</v>
      </c>
      <c r="Y50" s="127">
        <f t="shared" si="11"/>
        <v>6.6362099906854101E-3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-1</v>
      </c>
      <c r="U57" s="94">
        <v>0.74762365496818795</v>
      </c>
      <c r="V57" s="94">
        <f>H27</f>
        <v>-1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-1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-1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-1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124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9.6225044864937673E-2</v>
      </c>
      <c r="B79" s="142">
        <f>VLOOKUP(B78,A27:K27,DIAG!$T$58+1,0)</f>
        <v>0.16666666666666666</v>
      </c>
      <c r="E79" s="141">
        <f>VLOOKUP(E78,A26:K26,DIAG!$W$56+1,0)</f>
        <v>9.6225044864937673E-2</v>
      </c>
      <c r="F79" s="142">
        <f>VLOOKUP(F78,A27:K27,DIAG!$W$56+1,0)</f>
        <v>0.16666666666666666</v>
      </c>
      <c r="G79" s="141">
        <f>VLOOKUP(G78,A26:K26,DIAG!$W$58+1,0)</f>
        <v>2.4056261216234449E-2</v>
      </c>
      <c r="H79" s="142">
        <f>VLOOKUP(H78,A27:K27,DIAG!$W$58+1,0)</f>
        <v>0.29166666666666669</v>
      </c>
      <c r="N79" s="10" t="s">
        <v>123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0.2474358296526967</v>
      </c>
      <c r="D80" s="29">
        <f>(B80*(A80-$E$79)-A80*(B80-$F$79))/(A80-$E$79)</f>
        <v>0.14285714285714285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-0.52714589795574529</v>
      </c>
      <c r="D81" s="29">
        <f>(B81*(A81-$G$79)-A81*(B81-$H$79))/(A81-$G$79)</f>
        <v>0.3043478260869566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0.11547005383792522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1.0066445913694333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2023-04-26T01:12:25Z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