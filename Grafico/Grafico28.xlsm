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5DECDE36-B1E1-408B-B532-EE4906CB5CA9}" xr6:coauthVersionLast="47" xr6:coauthVersionMax="47" xr10:uidLastSave="{00000000-0000-0000-0000-000000000000}"/>
  <workbookProtection lockWindows="1"/>
  <bookViews>
    <workbookView xWindow="20370" yWindow="-120" windowWidth="29040" windowHeight="1584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 l="1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<sst xmlns="http://schemas.openxmlformats.org/spreadsheetml/2006/main" count="1023" uniqueCount="139">
  <si>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</si>
  <si>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</si>
  <si>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</si>
  <si>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</si>
  <si>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</si>
  <si>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</si>
  <si>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</si>
  <si>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</si>
  <si>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</si>
  <si>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</si>
  <si>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</si>
  <si>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</si>
  <si>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</si>
  <si>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</si>
  <si>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</si>
  <si>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</si>
  <si>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</si>
  <si>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</si>
  <si>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</si>
  <si>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</si>
  <si>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</si>
  <si>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</si>
  <si>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</si>
  <si>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</si>
  <si>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</si>
  <si>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</si>
  <si>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</si>
  <si>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</si>
  <si>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</si>
  <si>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</si>
  <si>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</si>
  <si>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</si>
  <si>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</si>
  <si>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</si>
  <si>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</si>
  <si>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</si>
  <si>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</si>
  <si>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</si>
  <si>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</si>
  <si>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</si>
  <si>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</si>
  <si>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</si>
  <si>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</si>
  <si>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</si>
  <si>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</si>
  <si>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</si>
  <si>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</si>
  <si>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</si>
  <si>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</si>
  <si>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</si>
  <si>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</si>
  <si>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</si>
  <si>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</si>
  <si>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</si>
  <si>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</si>
  <si>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</si>
  <si>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</si>
  <si>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</si>
  <si>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</si>
  <si>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</si>
  <si>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</si>
  <si>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</si>
  <si>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</si>
  <si>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</si>
  <si>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</si>
  <si>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</si>
  <si>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</si>
  <si>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</si>
  <si>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</si>
  <si>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</si>
  <si>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</si>
  <si>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</si>
  <si>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</si>
  <si>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</si>
  <si>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</si>
  <si>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</si>
  <si>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</si>
  <si>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</si>
  <si>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</si>
  <si>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</si>
  <si>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</si>
  <si>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</si>
  <si>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</si>
  <si>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</si>
  <si>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</si>
  <si>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</si>
  <si>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</si>
  <si>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</si>
  <si>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</si>
  <si>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</si>
  <si>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</si>
  <si>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</si>
  <si>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</si>
  <si>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</si>
  <si>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</si>
  <si>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</si>
  <si>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</si>
  <si>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</si>
  <si>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</si>
  <si>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</si>
  <si>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</si>
  <si>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</si>
  <si>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</si>
  <si>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</si>
  <si>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</si>
  <si>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</si>
  <si>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</si>
  <si>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</si>
  <si>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</si>
  <si>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</si>
  <si>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</si>
  <si>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</si>
  <si>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</si>
  <si>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</si>
  <si>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</si>
  <si>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</si>
  <si>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</si>
  <si>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</si>
  <si>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</si>
  <si>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</si>
  <si>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</si>
  <si>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</si>
  <si>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</si>
  <si>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</si>
  <si>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</si>
  <si>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</si>
  <si>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</si>
  <si>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</si>
  <si>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</si>
  <si>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</si>
  <si>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</si>
  <si>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</si>
  <si>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</si>
  <si>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</si>
  <si>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</si>
  <si>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</si>
  <si>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</si>
  <si>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</si>
  <si>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E:\André\testes\NOVO\teste 10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</si>
</sst>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P33" sqref="P33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126</v>
      </c>
      <c r="U1" s="192" t="s">
        <v>126</v>
      </c>
      <c r="V1" s="192" t="s">
        <v>126</v>
      </c>
      <c r="W1" s="191">
        <v>10</v>
      </c>
      <c r="X1" s="193"/>
      <c r="Y1" s="193"/>
      <c r="Z1" s="191"/>
      <c r="AA1" s="191">
        <f>X1+Y1+Z1</f>
        <v>0</v>
      </c>
      <c r="AB1" s="191"/>
      <c r="AC1" s="191"/>
      <c r="AD1" s="191" t="s">
        <v>138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127</v>
      </c>
      <c r="U2" s="192" t="s">
        <v>127</v>
      </c>
      <c r="V2" s="192" t="s">
        <v>127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 t="s">
        <v>128</v>
      </c>
      <c r="U3" s="192" t="s">
        <v>128</v>
      </c>
      <c r="V3" s="192" t="s">
        <v>128</v>
      </c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 t="s">
        <v>129</v>
      </c>
      <c r="U4" s="192" t="s">
        <v>129</v>
      </c>
      <c r="V4" s="192" t="s">
        <v>129</v>
      </c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N5" s="190" t="b">
        <v>0</v>
      </c>
      <c r="O5" s="191" t="b">
        <v>0</v>
      </c>
      <c r="P5" s="191" t="b">
        <v>1</v>
      </c>
      <c r="Q5" s="191"/>
      <c r="R5" s="191"/>
      <c r="S5" s="192">
        <v>5</v>
      </c>
      <c r="T5" s="192" t="s">
        <v>130</v>
      </c>
      <c r="U5" s="192" t="s">
        <v>130</v>
      </c>
      <c r="V5" s="192" t="s">
        <v>130</v>
      </c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 t="s">
        <v>131</v>
      </c>
      <c r="U6" s="192" t="s">
        <v>131</v>
      </c>
      <c r="V6" s="192" t="s">
        <v>131</v>
      </c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 t="s">
        <v>132</v>
      </c>
      <c r="U7" s="192" t="s">
        <v>132</v>
      </c>
      <c r="V7" s="192" t="s">
        <v>132</v>
      </c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 t="s">
        <v>133</v>
      </c>
      <c r="U8" s="192" t="s">
        <v>133</v>
      </c>
      <c r="V8" s="192" t="s">
        <v>133</v>
      </c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 t="s">
        <v>134</v>
      </c>
      <c r="U9" s="192" t="s">
        <v>134</v>
      </c>
      <c r="V9" s="192" t="s">
        <v>134</v>
      </c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 t="s">
        <v>135</v>
      </c>
      <c r="U10" s="192" t="s">
        <v>135</v>
      </c>
      <c r="V10" s="192" t="s">
        <v>135</v>
      </c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1</v>
      </c>
      <c r="U13" s="192" t="b">
        <v>1</v>
      </c>
      <c r="V13" s="192" t="b">
        <v>1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1</v>
      </c>
      <c r="U14" s="192" t="b">
        <v>1</v>
      </c>
      <c r="V14" s="192" t="b">
        <v>1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1</v>
      </c>
      <c r="U15" s="192" t="b">
        <v>1</v>
      </c>
      <c r="V15" s="192" t="b">
        <v>1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1</v>
      </c>
      <c r="U16" s="192" t="b">
        <v>1</v>
      </c>
      <c r="V16" s="192" t="b">
        <v>1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1</v>
      </c>
      <c r="U17" s="192" t="b">
        <v>1</v>
      </c>
      <c r="V17" s="192" t="b">
        <v>1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1</v>
      </c>
      <c r="U18" s="192" t="b">
        <v>1</v>
      </c>
      <c r="V18" s="192" t="b">
        <v>1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1</v>
      </c>
      <c r="U19" s="192" t="b">
        <v>1</v>
      </c>
      <c r="V19" s="192" t="b">
        <v>1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1</v>
      </c>
      <c r="U20" s="192" t="b">
        <v>1</v>
      </c>
      <c r="V20" s="192" t="b">
        <v>1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0</v>
      </c>
      <c r="U48" s="192" t="b">
        <v>0</v>
      </c>
      <c r="V48" s="192" t="b">
        <v>0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0</v>
      </c>
      <c r="U49" s="192" t="b">
        <v>0</v>
      </c>
      <c r="V49" s="192" t="b">
        <v>0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0</v>
      </c>
      <c r="U50" s="192" t="b">
        <v>0</v>
      </c>
      <c r="V50" s="192" t="b">
        <v>0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126</v>
      </c>
      <c r="U57" s="192" t="s">
        <v>126</v>
      </c>
      <c r="V57" s="192" t="s">
        <v>126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126</v>
      </c>
      <c r="U59" s="192" t="s">
        <v>126</v>
      </c>
      <c r="V59" s="192" t="s">
        <v>126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1235</v>
      </c>
      <c r="X61" s="199">
        <f>Diagrama!C6</f>
        <v>145</v>
      </c>
      <c r="Y61" s="199">
        <f>Diagrama!D6</f>
        <v>129876</v>
      </c>
      <c r="Z61" s="199">
        <f>Diagrama!E6</f>
        <v>2987</v>
      </c>
      <c r="AA61" s="199">
        <f>Diagrama!F6</f>
        <v>5297</v>
      </c>
      <c r="AB61" s="199">
        <f>Diagrama!G6</f>
        <v>127496</v>
      </c>
      <c r="AC61" s="199">
        <f>Diagrama!H6</f>
        <v>17429</v>
      </c>
      <c r="AD61" s="199">
        <f>Diagrama!I6</f>
        <v>179</v>
      </c>
      <c r="AE61" s="199">
        <f>Diagrama!J6</f>
        <v>4176</v>
      </c>
      <c r="AF61" s="199">
        <f>Diagrama!K6</f>
        <v>1728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18</v>
      </c>
      <c r="X62" s="199">
        <f>Diagrama!C7</f>
        <v>179</v>
      </c>
      <c r="Y62" s="199">
        <f>Diagrama!D7</f>
        <v>1297</v>
      </c>
      <c r="Z62" s="199">
        <f>Diagrama!E7</f>
        <v>2185</v>
      </c>
      <c r="AA62" s="199">
        <f>Diagrama!F7</f>
        <v>217</v>
      </c>
      <c r="AB62" s="199">
        <f>Diagrama!G7</f>
        <v>1742</v>
      </c>
      <c r="AC62" s="199">
        <f>Diagrama!H7</f>
        <v>76</v>
      </c>
      <c r="AD62" s="199">
        <f>Diagrama!I7</f>
        <v>17529</v>
      </c>
      <c r="AE62" s="199">
        <f>Diagrama!J7</f>
        <v>47126</v>
      </c>
      <c r="AF62" s="199">
        <f>Diagrama!K7</f>
        <v>1726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15263</v>
      </c>
      <c r="X63" s="199">
        <f>Diagrama!C8</f>
        <v>12543</v>
      </c>
      <c r="Y63" s="199">
        <f>Diagrama!D8</f>
        <v>2163</v>
      </c>
      <c r="Z63" s="199">
        <f>Diagrama!E8</f>
        <v>2196</v>
      </c>
      <c r="AA63" s="199">
        <f>Diagrama!F8</f>
        <v>217496</v>
      </c>
      <c r="AB63" s="199">
        <f>Diagrama!G8</f>
        <v>41297</v>
      </c>
      <c r="AC63" s="199">
        <f>Diagrama!H8</f>
        <v>24961</v>
      </c>
      <c r="AD63" s="199">
        <f>Diagrama!I8</f>
        <v>17952</v>
      </c>
      <c r="AE63" s="199">
        <f>Diagrama!J8</f>
        <v>1728</v>
      </c>
      <c r="AF63" s="199">
        <f>Diagrama!K8</f>
        <v>1296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16516</v>
      </c>
      <c r="X64" s="199">
        <f>Diagrama!C9</f>
        <v>12867</v>
      </c>
      <c r="Y64" s="199">
        <f>Diagrama!D9</f>
        <v>133336</v>
      </c>
      <c r="Z64" s="199">
        <f>Diagrama!E9</f>
        <v>7368</v>
      </c>
      <c r="AA64" s="199">
        <f>Diagrama!F9</f>
        <v>223010</v>
      </c>
      <c r="AB64" s="199">
        <f>Diagrama!G9</f>
        <v>170535</v>
      </c>
      <c r="AC64" s="199">
        <f>Diagrama!H9</f>
        <v>42466</v>
      </c>
      <c r="AD64" s="199">
        <f>Diagrama!I9</f>
        <v>35660</v>
      </c>
      <c r="AE64" s="199">
        <f>Diagrama!J9</f>
        <v>53030</v>
      </c>
      <c r="AF64" s="199">
        <f>Diagrama!K9</f>
        <v>4750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1.0820939526960625</v>
      </c>
      <c r="X65" s="202">
        <f>Diagrama!C20</f>
        <v>1.0258311408753886</v>
      </c>
      <c r="Y65" s="202">
        <f>Diagrama!D20</f>
        <v>61.644012944983814</v>
      </c>
      <c r="Z65" s="202">
        <f>Diagrama!E20</f>
        <v>3.3551912568306008</v>
      </c>
      <c r="AA65" s="202">
        <f>Diagrama!F20</f>
        <v>1.0253521903851106</v>
      </c>
      <c r="AB65" s="202">
        <f>Diagrama!G20</f>
        <v>4.1294767174371021</v>
      </c>
      <c r="AC65" s="202">
        <f>Diagrama!H20</f>
        <v>1.7012940186691237</v>
      </c>
      <c r="AD65" s="202">
        <f>Diagrama!I20</f>
        <v>1.9864081996434937</v>
      </c>
      <c r="AE65" s="202">
        <f>Diagrama!J20</f>
        <v>30.688657407407408</v>
      </c>
      <c r="AF65" s="202">
        <f>Diagrama!K20</f>
        <v>3.6651234567901234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>
        <f>Diagrama!B21</f>
        <v>12.181165203511574</v>
      </c>
      <c r="X66" s="202">
        <f>Diagrama!C21</f>
        <v>38.712962962962891</v>
      </c>
      <c r="Y66" s="202">
        <f>Diagrama!D21</f>
        <v>1.6489673942046E-2</v>
      </c>
      <c r="Z66" s="202">
        <f>Diagrama!E21</f>
        <v>0.42459396751740142</v>
      </c>
      <c r="AA66" s="202">
        <f>Diagrama!F21</f>
        <v>39.444323540079772</v>
      </c>
      <c r="AB66" s="202">
        <f>Diagrama!G21</f>
        <v>0.31954223989848191</v>
      </c>
      <c r="AC66" s="202">
        <f>Diagrama!H21</f>
        <v>1.4259354470151389</v>
      </c>
      <c r="AD66" s="202">
        <f>Diagrama!I21</f>
        <v>1.0137790829003841</v>
      </c>
      <c r="AE66" s="202">
        <f>Diagrama!J21</f>
        <v>3.368289735292971E-2</v>
      </c>
      <c r="AF66" s="202">
        <f>Diagrama!K21</f>
        <v>0.37521713954834973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12.373279352226721</v>
      </c>
      <c r="X67" s="202">
        <f>Diagrama!C22</f>
        <v>87.737931034482756</v>
      </c>
      <c r="Y67" s="202">
        <f>Diagrama!D22</f>
        <v>2.6640795836028165E-2</v>
      </c>
      <c r="Z67" s="202">
        <f>Diagrama!E22</f>
        <v>1.4666889856042851</v>
      </c>
      <c r="AA67" s="202">
        <f>Diagrama!F22</f>
        <v>41.101189352463656</v>
      </c>
      <c r="AB67" s="202">
        <f>Diagrama!G22</f>
        <v>0.33757137478822857</v>
      </c>
      <c r="AC67" s="202">
        <f>Diagrama!H22</f>
        <v>1.4365138562166504</v>
      </c>
      <c r="AD67" s="202">
        <f>Diagrama!I22</f>
        <v>198.21787709497207</v>
      </c>
      <c r="AE67" s="202">
        <f>Diagrama!J22</f>
        <v>11.69875478927203</v>
      </c>
      <c r="AF67" s="202">
        <f>Diagrama!K22</f>
        <v>1.7488425925925923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8.7454095385095021E-2</v>
      </c>
      <c r="X68" s="202">
        <f>Diagrama!C23</f>
        <v>1.1691991465723263E-2</v>
      </c>
      <c r="Y68" s="202">
        <f>Diagrama!D23</f>
        <v>2313.8953252146625</v>
      </c>
      <c r="Z68" s="202">
        <f>Diagrama!E23</f>
        <v>2.2875955909958927</v>
      </c>
      <c r="AA68" s="202">
        <f>Diagrama!F23</f>
        <v>2.4947019941252618E-2</v>
      </c>
      <c r="AB68" s="202">
        <f>Diagrama!G23</f>
        <v>12.232899546140963</v>
      </c>
      <c r="AC68" s="202">
        <f>Diagrama!H23</f>
        <v>1.1843213424685128</v>
      </c>
      <c r="AD68" s="202">
        <f>Diagrama!I23</f>
        <v>1.0021337271671751E-2</v>
      </c>
      <c r="AE68" s="202">
        <f>Diagrama!J23</f>
        <v>2.6232413586059145</v>
      </c>
      <c r="AF68" s="202">
        <f>Diagrama!K23</f>
        <v>2.0957423339951471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7.4775974812303225</v>
      </c>
      <c r="X69" s="204">
        <f t="shared" si="0"/>
        <v>1.1269138105230434</v>
      </c>
      <c r="Y69" s="204">
        <f t="shared" si="0"/>
        <v>97.405051898962014</v>
      </c>
      <c r="Z69" s="204">
        <f t="shared" si="0"/>
        <v>40.540173724212814</v>
      </c>
      <c r="AA69" s="204">
        <f t="shared" si="0"/>
        <v>2.375229810322407</v>
      </c>
      <c r="AB69" s="204">
        <f t="shared" si="0"/>
        <v>74.76236549681883</v>
      </c>
      <c r="AC69" s="204">
        <f>100*AC61/AC64</f>
        <v>41.042245561154807</v>
      </c>
      <c r="AD69" s="204">
        <f>100*AD61/AD64</f>
        <v>0.50196298373527759</v>
      </c>
      <c r="AE69" s="204">
        <f>100*AE61/AE64</f>
        <v>7.874787855930605</v>
      </c>
      <c r="AF69" s="204">
        <f>100*AF61/AF64</f>
        <v>36.378947368421052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G52" sqref="G52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126</v>
      </c>
      <c r="C2" s="10"/>
      <c r="E2" s="10" t="s">
        <v>118</v>
      </c>
      <c r="G2" s="10">
        <v>1235</v>
      </c>
      <c r="H2" s="10" t="s">
        <v>12</v>
      </c>
      <c r="I2" s="10">
        <v>7.477597481230322E-2</v>
      </c>
    </row>
    <row r="3" spans="1:14" x14ac:dyDescent="0.25">
      <c r="A3" s="10">
        <v>1</v>
      </c>
      <c r="B3" s="10" t="s">
        <v>126</v>
      </c>
      <c r="C3" s="10"/>
      <c r="E3" s="10" t="s">
        <v>119</v>
      </c>
      <c r="G3" s="10">
        <v>18</v>
      </c>
      <c r="H3" s="10" t="s">
        <v>13</v>
      </c>
      <c r="I3" s="10">
        <v>1.0898522644708162E-3</v>
      </c>
    </row>
    <row r="4" spans="1:14" x14ac:dyDescent="0.25">
      <c r="A4" s="10">
        <v>1</v>
      </c>
      <c r="B4" s="10" t="s">
        <v>126</v>
      </c>
      <c r="C4" s="10"/>
      <c r="E4" s="10" t="s">
        <v>120</v>
      </c>
      <c r="G4" s="10">
        <v>15263</v>
      </c>
      <c r="H4" s="10" t="s">
        <v>14</v>
      </c>
      <c r="I4" s="10">
        <v>0.92413417292322597</v>
      </c>
    </row>
    <row r="5" spans="1:14" x14ac:dyDescent="0.25">
      <c r="A5" s="10"/>
      <c r="C5" s="10"/>
      <c r="E5" s="10" t="s">
        <v>125</v>
      </c>
      <c r="G5" s="10">
        <v>16516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127</v>
      </c>
      <c r="C7" s="10"/>
      <c r="E7" s="10" t="s">
        <v>118</v>
      </c>
      <c r="G7" s="10">
        <v>145</v>
      </c>
      <c r="H7" s="10" t="s">
        <v>12</v>
      </c>
      <c r="I7" s="10">
        <v>1.1269138105230435E-2</v>
      </c>
    </row>
    <row r="8" spans="1:14" x14ac:dyDescent="0.25">
      <c r="A8" s="10">
        <v>2</v>
      </c>
      <c r="B8" s="10" t="s">
        <v>127</v>
      </c>
      <c r="C8" s="10"/>
      <c r="E8" s="10" t="s">
        <v>119</v>
      </c>
      <c r="G8" s="10">
        <v>179</v>
      </c>
      <c r="H8" s="10" t="s">
        <v>13</v>
      </c>
      <c r="I8" s="10">
        <v>1.3911556695422399E-2</v>
      </c>
    </row>
    <row r="9" spans="1:14" x14ac:dyDescent="0.25">
      <c r="A9" s="10">
        <v>2</v>
      </c>
      <c r="B9" s="10" t="s">
        <v>127</v>
      </c>
      <c r="C9" s="10"/>
      <c r="E9" s="10" t="s">
        <v>120</v>
      </c>
      <c r="G9" s="10">
        <v>12543</v>
      </c>
      <c r="H9" s="10" t="s">
        <v>14</v>
      </c>
      <c r="I9" s="10">
        <v>0.97481930519934712</v>
      </c>
    </row>
    <row r="10" spans="1:14" x14ac:dyDescent="0.25">
      <c r="A10" s="10"/>
      <c r="C10" s="10"/>
      <c r="E10" s="10" t="s">
        <v>125</v>
      </c>
      <c r="G10" s="10">
        <v>12867</v>
      </c>
      <c r="H10" s="10" t="s">
        <v>15</v>
      </c>
      <c r="I10" s="10">
        <v>1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128</v>
      </c>
      <c r="C12" s="10"/>
      <c r="E12" s="10" t="s">
        <v>118</v>
      </c>
      <c r="G12" s="10">
        <v>129876</v>
      </c>
      <c r="H12" s="10" t="s">
        <v>12</v>
      </c>
      <c r="I12" s="10">
        <v>0.97405051898962025</v>
      </c>
    </row>
    <row r="13" spans="1:14" x14ac:dyDescent="0.25">
      <c r="A13" s="10">
        <v>3</v>
      </c>
      <c r="B13" s="10" t="s">
        <v>128</v>
      </c>
      <c r="C13" s="10"/>
      <c r="E13" s="10" t="s">
        <v>119</v>
      </c>
      <c r="G13" s="10">
        <v>1297</v>
      </c>
      <c r="H13" s="10" t="s">
        <v>13</v>
      </c>
      <c r="I13" s="10">
        <v>9.7273054538909217E-3</v>
      </c>
    </row>
    <row r="14" spans="1:14" x14ac:dyDescent="0.25">
      <c r="A14" s="10">
        <v>3</v>
      </c>
      <c r="B14" s="10" t="s">
        <v>128</v>
      </c>
      <c r="C14" s="10"/>
      <c r="E14" s="10" t="s">
        <v>120</v>
      </c>
      <c r="G14" s="10">
        <v>2163</v>
      </c>
      <c r="H14" s="10" t="s">
        <v>14</v>
      </c>
      <c r="I14" s="10">
        <v>1.6222175556488871E-2</v>
      </c>
    </row>
    <row r="15" spans="1:14" x14ac:dyDescent="0.25">
      <c r="A15" s="10"/>
      <c r="C15" s="10"/>
      <c r="E15" s="10" t="s">
        <v>125</v>
      </c>
      <c r="G15" s="10">
        <v>133336</v>
      </c>
      <c r="H15" s="10" t="s">
        <v>15</v>
      </c>
      <c r="I15" s="10">
        <v>1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129</v>
      </c>
      <c r="C17" s="10"/>
      <c r="E17" s="10" t="s">
        <v>118</v>
      </c>
      <c r="G17" s="10">
        <v>2987</v>
      </c>
      <c r="H17" s="10" t="s">
        <v>12</v>
      </c>
      <c r="I17" s="10">
        <v>0.40540173724212814</v>
      </c>
    </row>
    <row r="18" spans="1:9" x14ac:dyDescent="0.25">
      <c r="A18" s="10">
        <v>4</v>
      </c>
      <c r="B18" s="10" t="s">
        <v>129</v>
      </c>
      <c r="C18" s="10"/>
      <c r="E18" s="10" t="s">
        <v>119</v>
      </c>
      <c r="G18" s="10">
        <v>2185</v>
      </c>
      <c r="H18" s="10" t="s">
        <v>13</v>
      </c>
      <c r="I18" s="10">
        <v>0.29655266015200871</v>
      </c>
    </row>
    <row r="19" spans="1:9" x14ac:dyDescent="0.25">
      <c r="A19" s="10">
        <v>4</v>
      </c>
      <c r="B19" s="10" t="s">
        <v>129</v>
      </c>
      <c r="C19" s="10"/>
      <c r="E19" s="10" t="s">
        <v>120</v>
      </c>
      <c r="G19" s="10">
        <v>2196</v>
      </c>
      <c r="H19" s="10" t="s">
        <v>14</v>
      </c>
      <c r="I19" s="10">
        <v>0.29804560260586321</v>
      </c>
    </row>
    <row r="20" spans="1:9" x14ac:dyDescent="0.25">
      <c r="A20" s="10"/>
      <c r="C20" s="10"/>
      <c r="E20" s="10" t="s">
        <v>125</v>
      </c>
      <c r="G20" s="10">
        <v>7368</v>
      </c>
      <c r="H20" s="10" t="s">
        <v>15</v>
      </c>
      <c r="I20" s="10">
        <v>1</v>
      </c>
    </row>
    <row r="21" spans="1:9" x14ac:dyDescent="0.25">
      <c r="A21" s="10"/>
      <c r="C21" s="10"/>
    </row>
    <row r="22" spans="1:9" x14ac:dyDescent="0.25">
      <c r="A22" s="10">
        <v>5</v>
      </c>
      <c r="B22" s="10" t="s">
        <v>130</v>
      </c>
      <c r="C22" s="10"/>
      <c r="E22" s="10" t="s">
        <v>118</v>
      </c>
      <c r="G22" s="10">
        <v>5297</v>
      </c>
      <c r="H22" s="10" t="s">
        <v>12</v>
      </c>
      <c r="I22" s="10">
        <v>2.375229810322407E-2</v>
      </c>
    </row>
    <row r="23" spans="1:9" x14ac:dyDescent="0.25">
      <c r="A23" s="10">
        <v>5</v>
      </c>
      <c r="B23" s="10" t="s">
        <v>130</v>
      </c>
      <c r="C23" s="10"/>
      <c r="E23" s="10" t="s">
        <v>119</v>
      </c>
      <c r="G23" s="10">
        <v>217</v>
      </c>
      <c r="H23" s="10" t="s">
        <v>13</v>
      </c>
      <c r="I23" s="10">
        <v>9.7305053585041031E-4</v>
      </c>
    </row>
    <row r="24" spans="1:9" x14ac:dyDescent="0.25">
      <c r="A24" s="10">
        <v>5</v>
      </c>
      <c r="B24" s="10" t="s">
        <v>130</v>
      </c>
      <c r="C24" s="10"/>
      <c r="E24" s="10" t="s">
        <v>120</v>
      </c>
      <c r="G24" s="10">
        <v>217496</v>
      </c>
      <c r="H24" s="10" t="s">
        <v>14</v>
      </c>
      <c r="I24" s="10">
        <v>0.9752746513609255</v>
      </c>
    </row>
    <row r="25" spans="1:9" x14ac:dyDescent="0.25">
      <c r="A25" s="10"/>
      <c r="C25" s="10"/>
      <c r="E25" s="10" t="s">
        <v>125</v>
      </c>
      <c r="G25" s="10">
        <v>223010</v>
      </c>
      <c r="H25" s="10" t="s">
        <v>15</v>
      </c>
      <c r="I25" s="10">
        <v>1</v>
      </c>
    </row>
    <row r="26" spans="1:9" x14ac:dyDescent="0.25">
      <c r="A26" s="10"/>
      <c r="C26" s="10"/>
    </row>
    <row r="27" spans="1:9" x14ac:dyDescent="0.25">
      <c r="A27" s="10">
        <v>6</v>
      </c>
      <c r="B27" s="10" t="s">
        <v>131</v>
      </c>
      <c r="C27" s="10"/>
      <c r="E27" s="10" t="s">
        <v>118</v>
      </c>
      <c r="G27" s="10">
        <v>127496</v>
      </c>
      <c r="H27" s="10" t="s">
        <v>12</v>
      </c>
      <c r="I27" s="10">
        <v>0.74762365496818839</v>
      </c>
    </row>
    <row r="28" spans="1:9" x14ac:dyDescent="0.25">
      <c r="A28" s="10">
        <v>6</v>
      </c>
      <c r="B28" s="10" t="s">
        <v>131</v>
      </c>
      <c r="C28" s="10"/>
      <c r="E28" s="10" t="s">
        <v>119</v>
      </c>
      <c r="G28" s="10">
        <v>1742</v>
      </c>
      <c r="H28" s="10" t="s">
        <v>13</v>
      </c>
      <c r="I28" s="10">
        <v>1.0214911894918931E-2</v>
      </c>
    </row>
    <row r="29" spans="1:9" x14ac:dyDescent="0.25">
      <c r="A29" s="10">
        <v>6</v>
      </c>
      <c r="B29" s="10" t="s">
        <v>131</v>
      </c>
      <c r="C29" s="10"/>
      <c r="E29" s="10" t="s">
        <v>120</v>
      </c>
      <c r="G29" s="10">
        <v>41297</v>
      </c>
      <c r="H29" s="10" t="s">
        <v>14</v>
      </c>
      <c r="I29" s="10">
        <v>0.24216143313689273</v>
      </c>
    </row>
    <row r="30" spans="1:9" x14ac:dyDescent="0.25">
      <c r="A30" s="10"/>
      <c r="C30" s="10"/>
      <c r="E30" s="10" t="s">
        <v>125</v>
      </c>
      <c r="G30" s="10">
        <v>170535</v>
      </c>
      <c r="H30" s="10" t="s">
        <v>15</v>
      </c>
      <c r="I30" s="10">
        <v>1</v>
      </c>
    </row>
    <row r="31" spans="1:9" x14ac:dyDescent="0.25">
      <c r="A31" s="10"/>
      <c r="C31" s="10"/>
    </row>
    <row r="32" spans="1:9" x14ac:dyDescent="0.25">
      <c r="A32" s="10">
        <v>7</v>
      </c>
      <c r="B32" s="10" t="s">
        <v>132</v>
      </c>
      <c r="C32" s="10"/>
      <c r="E32" s="10" t="s">
        <v>118</v>
      </c>
      <c r="G32" s="10">
        <v>17429</v>
      </c>
      <c r="H32" s="10" t="s">
        <v>12</v>
      </c>
      <c r="I32" s="10">
        <v>0.41042245561154805</v>
      </c>
    </row>
    <row r="33" spans="1:9" x14ac:dyDescent="0.25">
      <c r="A33" s="10">
        <v>7</v>
      </c>
      <c r="B33" s="10" t="s">
        <v>132</v>
      </c>
      <c r="C33" s="10"/>
      <c r="E33" s="10" t="s">
        <v>119</v>
      </c>
      <c r="G33" s="10">
        <v>76</v>
      </c>
      <c r="H33" s="10" t="s">
        <v>13</v>
      </c>
      <c r="I33" s="10">
        <v>1.7896670277398388E-3</v>
      </c>
    </row>
    <row r="34" spans="1:9" x14ac:dyDescent="0.25">
      <c r="A34" s="10">
        <v>7</v>
      </c>
      <c r="B34" s="10" t="s">
        <v>132</v>
      </c>
      <c r="C34" s="10"/>
      <c r="E34" s="10" t="s">
        <v>120</v>
      </c>
      <c r="G34" s="10">
        <v>24961</v>
      </c>
      <c r="H34" s="10" t="s">
        <v>14</v>
      </c>
      <c r="I34" s="10">
        <v>0.58778787736071214</v>
      </c>
    </row>
    <row r="35" spans="1:9" x14ac:dyDescent="0.25">
      <c r="A35" s="10"/>
      <c r="C35" s="10"/>
      <c r="E35" s="10" t="s">
        <v>125</v>
      </c>
      <c r="G35" s="10">
        <v>42466</v>
      </c>
      <c r="H35" s="10" t="s">
        <v>15</v>
      </c>
      <c r="I35" s="10">
        <v>1</v>
      </c>
    </row>
    <row r="36" spans="1:9" x14ac:dyDescent="0.25">
      <c r="A36" s="10"/>
      <c r="C36" s="10"/>
    </row>
    <row r="37" spans="1:9" x14ac:dyDescent="0.25">
      <c r="A37" s="10">
        <v>8</v>
      </c>
      <c r="B37" s="10" t="s">
        <v>133</v>
      </c>
      <c r="C37" s="10"/>
      <c r="E37" s="10" t="s">
        <v>118</v>
      </c>
      <c r="G37" s="10">
        <v>179</v>
      </c>
      <c r="H37" s="10" t="s">
        <v>12</v>
      </c>
      <c r="I37" s="10">
        <v>5.0196298373527759E-3</v>
      </c>
    </row>
    <row r="38" spans="1:9" x14ac:dyDescent="0.25">
      <c r="A38" s="10">
        <v>8</v>
      </c>
      <c r="B38" s="10" t="s">
        <v>133</v>
      </c>
      <c r="C38" s="10"/>
      <c r="E38" s="10" t="s">
        <v>119</v>
      </c>
      <c r="G38" s="10">
        <v>17529</v>
      </c>
      <c r="H38" s="10" t="s">
        <v>13</v>
      </c>
      <c r="I38" s="10">
        <v>0.49155916993830623</v>
      </c>
    </row>
    <row r="39" spans="1:9" x14ac:dyDescent="0.25">
      <c r="A39" s="10">
        <v>8</v>
      </c>
      <c r="B39" s="10" t="s">
        <v>133</v>
      </c>
      <c r="C39" s="10"/>
      <c r="E39" s="10" t="s">
        <v>120</v>
      </c>
      <c r="G39" s="10">
        <v>17952</v>
      </c>
      <c r="H39" s="10" t="s">
        <v>14</v>
      </c>
      <c r="I39" s="10">
        <v>0.503421200224341</v>
      </c>
    </row>
    <row r="40" spans="1:9" x14ac:dyDescent="0.25">
      <c r="A40" s="10"/>
      <c r="C40" s="10"/>
      <c r="E40" s="10" t="s">
        <v>125</v>
      </c>
      <c r="G40" s="10">
        <v>35660</v>
      </c>
      <c r="H40" s="10" t="s">
        <v>15</v>
      </c>
      <c r="I40" s="10">
        <v>1</v>
      </c>
    </row>
    <row r="41" spans="1:9" x14ac:dyDescent="0.25">
      <c r="A41" s="10"/>
      <c r="C41" s="10"/>
    </row>
    <row r="42" spans="1:9" x14ac:dyDescent="0.25">
      <c r="A42" s="10">
        <v>9</v>
      </c>
      <c r="B42" s="10" t="s">
        <v>134</v>
      </c>
      <c r="C42" s="10"/>
      <c r="E42" s="10" t="s">
        <v>118</v>
      </c>
      <c r="G42" s="10">
        <v>4176</v>
      </c>
      <c r="H42" s="10" t="s">
        <v>12</v>
      </c>
      <c r="I42" s="10">
        <v>7.8747878559306053E-2</v>
      </c>
    </row>
    <row r="43" spans="1:9" x14ac:dyDescent="0.25">
      <c r="A43" s="10">
        <v>9</v>
      </c>
      <c r="B43" s="10" t="s">
        <v>134</v>
      </c>
      <c r="C43" s="10"/>
      <c r="E43" s="10" t="s">
        <v>119</v>
      </c>
      <c r="G43" s="10">
        <v>47126</v>
      </c>
      <c r="H43" s="10" t="s">
        <v>13</v>
      </c>
      <c r="I43" s="10">
        <v>0.88866679238167079</v>
      </c>
    </row>
    <row r="44" spans="1:9" x14ac:dyDescent="0.25">
      <c r="A44" s="10">
        <v>9</v>
      </c>
      <c r="B44" s="10" t="s">
        <v>134</v>
      </c>
      <c r="C44" s="10"/>
      <c r="E44" s="10" t="s">
        <v>120</v>
      </c>
      <c r="G44" s="10">
        <v>1728</v>
      </c>
      <c r="H44" s="10" t="s">
        <v>14</v>
      </c>
      <c r="I44" s="10">
        <v>3.2585329059023192E-2</v>
      </c>
    </row>
    <row r="45" spans="1:9" x14ac:dyDescent="0.25">
      <c r="A45" s="10"/>
      <c r="C45" s="10"/>
      <c r="E45" s="10" t="s">
        <v>125</v>
      </c>
      <c r="G45" s="10">
        <v>53030</v>
      </c>
      <c r="H45" s="10" t="s">
        <v>15</v>
      </c>
      <c r="I45" s="10">
        <v>1</v>
      </c>
    </row>
    <row r="46" spans="1:9" x14ac:dyDescent="0.25">
      <c r="A46" s="10"/>
      <c r="C46" s="10"/>
    </row>
    <row r="47" spans="1:9" x14ac:dyDescent="0.25">
      <c r="A47" s="10">
        <v>10</v>
      </c>
      <c r="B47" s="10" t="s">
        <v>135</v>
      </c>
      <c r="C47" s="10"/>
      <c r="E47" s="10" t="s">
        <v>118</v>
      </c>
      <c r="G47" s="10">
        <v>1728</v>
      </c>
      <c r="H47" s="10" t="s">
        <v>12</v>
      </c>
      <c r="I47" s="10">
        <v>0.36378947368421055</v>
      </c>
    </row>
    <row r="48" spans="1:9" x14ac:dyDescent="0.25">
      <c r="A48" s="10">
        <v>10</v>
      </c>
      <c r="B48" s="10" t="s">
        <v>135</v>
      </c>
      <c r="C48" s="10"/>
      <c r="E48" s="10" t="s">
        <v>119</v>
      </c>
      <c r="G48" s="10">
        <v>1726</v>
      </c>
      <c r="H48" s="10" t="s">
        <v>13</v>
      </c>
      <c r="I48" s="10">
        <v>0.36336842105263156</v>
      </c>
    </row>
    <row r="49" spans="1:9" x14ac:dyDescent="0.25">
      <c r="A49" s="10">
        <v>10</v>
      </c>
      <c r="B49" s="10" t="s">
        <v>135</v>
      </c>
      <c r="C49" s="10"/>
      <c r="E49" s="10" t="s">
        <v>120</v>
      </c>
      <c r="G49" s="10">
        <v>1296</v>
      </c>
      <c r="H49" s="10" t="s">
        <v>14</v>
      </c>
      <c r="I49" s="10">
        <v>0.27284210526315789</v>
      </c>
    </row>
    <row r="50" spans="1:9" x14ac:dyDescent="0.25">
      <c r="A50" s="10"/>
      <c r="C50" s="10"/>
      <c r="E50" s="10" t="s">
        <v>125</v>
      </c>
      <c r="G50" s="10">
        <v>4750</v>
      </c>
      <c r="H50" s="10" t="s">
        <v>15</v>
      </c>
      <c r="I50" s="10">
        <v>1</v>
      </c>
    </row>
    <row r="51" spans="1:9" x14ac:dyDescent="0.25">
      <c r="A51" s="10"/>
      <c r="C51" s="10"/>
    </row>
    <row r="52" spans="1:9" x14ac:dyDescent="0.25">
      <c r="A52" s="10"/>
      <c r="C52" s="10"/>
    </row>
    <row r="53" spans="1:9" x14ac:dyDescent="0.25">
      <c r="A53" s="10"/>
      <c r="C53" s="10"/>
    </row>
    <row r="54" spans="1:9" x14ac:dyDescent="0.25">
      <c r="A54" s="10"/>
      <c r="C54" s="10"/>
    </row>
    <row r="55" spans="1:9" x14ac:dyDescent="0.25">
      <c r="A55" s="10"/>
      <c r="C55" s="10"/>
    </row>
    <row r="56" spans="1:9" x14ac:dyDescent="0.25">
      <c r="A56" s="10"/>
      <c r="C56" s="10"/>
    </row>
    <row r="57" spans="1:9" x14ac:dyDescent="0.25">
      <c r="A57" s="10"/>
      <c r="C57" s="10"/>
    </row>
    <row r="58" spans="1:9" x14ac:dyDescent="0.25">
      <c r="A58" s="10"/>
      <c r="C58" s="10"/>
    </row>
    <row r="59" spans="1:9" x14ac:dyDescent="0.25">
      <c r="A59" s="10"/>
      <c r="C59" s="10"/>
    </row>
    <row r="60" spans="1:9" x14ac:dyDescent="0.25">
      <c r="A60" s="10"/>
      <c r="C60" s="10"/>
    </row>
    <row r="61" spans="1:9" x14ac:dyDescent="0.25">
      <c r="A61" s="10"/>
      <c r="C61" s="10"/>
    </row>
    <row r="62" spans="1:9" x14ac:dyDescent="0.25">
      <c r="A62" s="10"/>
      <c r="C62" s="10"/>
    </row>
    <row r="63" spans="1:9" x14ac:dyDescent="0.25">
      <c r="A63" s="10"/>
      <c r="C63" s="10"/>
    </row>
    <row r="64" spans="1:9" x14ac:dyDescent="0.25">
      <c r="A64" s="10"/>
      <c r="C64" s="10"/>
    </row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0" customFormat="1" x14ac:dyDescent="0.25"/>
    <row r="75" s="10" customFormat="1" x14ac:dyDescent="0.25"/>
    <row r="76" s="10" customFormat="1" x14ac:dyDescent="0.25"/>
    <row r="77" s="10" customFormat="1" ht="16.5" customHeight="1" x14ac:dyDescent="0.25"/>
    <row r="78" s="10" customFormat="1" x14ac:dyDescent="0.25"/>
    <row r="79" s="10" customFormat="1" x14ac:dyDescent="0.25"/>
    <row r="80" s="10" customFormat="1" x14ac:dyDescent="0.25"/>
    <row r="81" s="10" customFormat="1" x14ac:dyDescent="0.25"/>
    <row r="82" s="10" customFormat="1" x14ac:dyDescent="0.25"/>
    <row r="83" s="10" customFormat="1" x14ac:dyDescent="0.25"/>
    <row r="84" s="10" customFormat="1" x14ac:dyDescent="0.25"/>
    <row r="85" s="10" customFormat="1" x14ac:dyDescent="0.25"/>
    <row r="86" s="10" customFormat="1" x14ac:dyDescent="0.25"/>
    <row r="87" s="10" customFormat="1" x14ac:dyDescent="0.25"/>
    <row r="88" s="10" customFormat="1" x14ac:dyDescent="0.25"/>
    <row r="89" s="10" customFormat="1" x14ac:dyDescent="0.25"/>
    <row r="90" s="10" customFormat="1" x14ac:dyDescent="0.25"/>
    <row r="91" s="10" customFormat="1" x14ac:dyDescent="0.25"/>
    <row r="92" s="10" customFormat="1" x14ac:dyDescent="0.25"/>
    <row r="93" s="10" customFormat="1" x14ac:dyDescent="0.25"/>
    <row r="94" s="10" customFormat="1" x14ac:dyDescent="0.25"/>
    <row r="95" s="10" customFormat="1" x14ac:dyDescent="0.25"/>
    <row r="96" s="10" customFormat="1" x14ac:dyDescent="0.25"/>
    <row r="97" s="10" customFormat="1" x14ac:dyDescent="0.25"/>
    <row r="98" s="10" customFormat="1" x14ac:dyDescent="0.25"/>
    <row r="99" s="10" customFormat="1" x14ac:dyDescent="0.25"/>
    <row r="100" s="10" customFormat="1" x14ac:dyDescent="0.25"/>
    <row r="101" s="10" customFormat="1" x14ac:dyDescent="0.25"/>
    <row r="102" s="10" customFormat="1" x14ac:dyDescent="0.25"/>
    <row r="103" s="10" customFormat="1" x14ac:dyDescent="0.25"/>
    <row r="104" s="10" customFormat="1" x14ac:dyDescent="0.25"/>
    <row r="105" s="10" customFormat="1" x14ac:dyDescent="0.25"/>
    <row r="106" s="10" customFormat="1" x14ac:dyDescent="0.25"/>
    <row r="107" s="10" customFormat="1" x14ac:dyDescent="0.25"/>
    <row r="108" s="10" customFormat="1" x14ac:dyDescent="0.25"/>
    <row r="109" s="10" customFormat="1" x14ac:dyDescent="0.25"/>
    <row r="110" s="10" customFormat="1" x14ac:dyDescent="0.25"/>
    <row r="111" s="10" customFormat="1" x14ac:dyDescent="0.25"/>
    <row r="112" s="10" customFormat="1" x14ac:dyDescent="0.25"/>
    <row r="113" s="10" customFormat="1" x14ac:dyDescent="0.25"/>
    <row r="114" s="10" customFormat="1" x14ac:dyDescent="0.25"/>
    <row r="115" s="10" customFormat="1" x14ac:dyDescent="0.25"/>
    <row r="116" s="10" customFormat="1" x14ac:dyDescent="0.25"/>
    <row r="117" s="10" customFormat="1" x14ac:dyDescent="0.25"/>
    <row r="118" s="10" customFormat="1" x14ac:dyDescent="0.25"/>
    <row r="119" s="10" customFormat="1" x14ac:dyDescent="0.25"/>
    <row r="120" s="10" customFormat="1" x14ac:dyDescent="0.25"/>
    <row r="121" s="10" customFormat="1" x14ac:dyDescent="0.25"/>
    <row r="122" s="10" customFormat="1" x14ac:dyDescent="0.25"/>
    <row r="123" s="10" customFormat="1" x14ac:dyDescent="0.25"/>
    <row r="124" s="10" customFormat="1" x14ac:dyDescent="0.25"/>
    <row r="125" s="10" customFormat="1" x14ac:dyDescent="0.25"/>
    <row r="126" s="10" customFormat="1" x14ac:dyDescent="0.25"/>
    <row r="127" s="10" customFormat="1" x14ac:dyDescent="0.25"/>
    <row r="128" s="10" customFormat="1" x14ac:dyDescent="0.25"/>
    <row r="129" s="10" customFormat="1" x14ac:dyDescent="0.25"/>
    <row r="130" s="10" customFormat="1" x14ac:dyDescent="0.25"/>
    <row r="131" s="10" customFormat="1" x14ac:dyDescent="0.25"/>
    <row r="132" s="10" customFormat="1" x14ac:dyDescent="0.25"/>
    <row r="133" s="10" customFormat="1" x14ac:dyDescent="0.25"/>
    <row r="134" s="10" customFormat="1" x14ac:dyDescent="0.25"/>
    <row r="135" s="10" customFormat="1" x14ac:dyDescent="0.25"/>
    <row r="136" s="10" customFormat="1" x14ac:dyDescent="0.25"/>
    <row r="137" s="10" customFormat="1" x14ac:dyDescent="0.25"/>
    <row r="138" s="10" customFormat="1" x14ac:dyDescent="0.25"/>
    <row r="139" s="10" customFormat="1" x14ac:dyDescent="0.25"/>
    <row r="140" s="10" customFormat="1" x14ac:dyDescent="0.25"/>
    <row r="141" s="10" customFormat="1" x14ac:dyDescent="0.25"/>
    <row r="142" s="10" customFormat="1" x14ac:dyDescent="0.25"/>
    <row r="143" s="10" customFormat="1" x14ac:dyDescent="0.25"/>
    <row r="144" s="10" customFormat="1" x14ac:dyDescent="0.25"/>
    <row r="145" s="10" customFormat="1" x14ac:dyDescent="0.25"/>
    <row r="146" s="10" customFormat="1" x14ac:dyDescent="0.25"/>
    <row r="147" s="10" customFormat="1" x14ac:dyDescent="0.25"/>
    <row r="148" s="10" customFormat="1" x14ac:dyDescent="0.25"/>
    <row r="149" s="10" customFormat="1" x14ac:dyDescent="0.25"/>
    <row r="150" s="10" customFormat="1" x14ac:dyDescent="0.25"/>
    <row r="151" s="10" customFormat="1" x14ac:dyDescent="0.25"/>
    <row r="152" s="10" customFormat="1" x14ac:dyDescent="0.25"/>
    <row r="153" s="10" customFormat="1" x14ac:dyDescent="0.25"/>
    <row r="154" s="10" customFormat="1" x14ac:dyDescent="0.25"/>
    <row r="155" s="10" customFormat="1" x14ac:dyDescent="0.25"/>
    <row r="156" s="10" customFormat="1" x14ac:dyDescent="0.25"/>
    <row r="157" s="10" customFormat="1" x14ac:dyDescent="0.25"/>
    <row r="158" s="10" customFormat="1" x14ac:dyDescent="0.25"/>
    <row r="159" s="10" customFormat="1" x14ac:dyDescent="0.25"/>
    <row r="160" s="10" customFormat="1" x14ac:dyDescent="0.25"/>
    <row r="161" s="10" customFormat="1" x14ac:dyDescent="0.25"/>
    <row r="162" s="10" customFormat="1" x14ac:dyDescent="0.25"/>
    <row r="163" s="10" customFormat="1" x14ac:dyDescent="0.25"/>
    <row r="164" s="10" customFormat="1" x14ac:dyDescent="0.25"/>
    <row r="165" s="10" customFormat="1" x14ac:dyDescent="0.25"/>
    <row r="166" s="10" customFormat="1" x14ac:dyDescent="0.25"/>
    <row r="167" s="10" customFormat="1" x14ac:dyDescent="0.25"/>
    <row r="168" s="10" customFormat="1" x14ac:dyDescent="0.25"/>
    <row r="169" s="10" customFormat="1" x14ac:dyDescent="0.25"/>
    <row r="170" s="10" customFormat="1" x14ac:dyDescent="0.25"/>
    <row r="171" s="10" customFormat="1" x14ac:dyDescent="0.25"/>
    <row r="172" s="10" customFormat="1" x14ac:dyDescent="0.25"/>
    <row r="173" s="10" customFormat="1" x14ac:dyDescent="0.25"/>
    <row r="174" s="10" customFormat="1" x14ac:dyDescent="0.25"/>
    <row r="175" s="10" customFormat="1" x14ac:dyDescent="0.25"/>
    <row r="176" s="10" customFormat="1" x14ac:dyDescent="0.25"/>
    <row r="177" s="10" customFormat="1" x14ac:dyDescent="0.25"/>
    <row r="178" s="10" customFormat="1" x14ac:dyDescent="0.25"/>
    <row r="179" s="10" customFormat="1" x14ac:dyDescent="0.25"/>
    <row r="180" s="10" customFormat="1" x14ac:dyDescent="0.25"/>
    <row r="181" s="10" customFormat="1" x14ac:dyDescent="0.25"/>
    <row r="182" s="10" customFormat="1" x14ac:dyDescent="0.25"/>
    <row r="183" s="10" customFormat="1" x14ac:dyDescent="0.25"/>
    <row r="184" s="10" customFormat="1" x14ac:dyDescent="0.25"/>
    <row r="185" s="10" customFormat="1" x14ac:dyDescent="0.25"/>
    <row r="186" s="10" customFormat="1" x14ac:dyDescent="0.25"/>
    <row r="187" s="10" customFormat="1" x14ac:dyDescent="0.25"/>
    <row r="188" s="10" customFormat="1" x14ac:dyDescent="0.25"/>
    <row r="189" s="10" customFormat="1" x14ac:dyDescent="0.25"/>
    <row r="190" s="10" customFormat="1" x14ac:dyDescent="0.25"/>
    <row r="191" s="10" customFormat="1" x14ac:dyDescent="0.25"/>
    <row r="192" s="10" customFormat="1" x14ac:dyDescent="0.25"/>
    <row r="193" s="10" customFormat="1" x14ac:dyDescent="0.25"/>
    <row r="194" s="10" customFormat="1" x14ac:dyDescent="0.25"/>
    <row r="195" s="10" customFormat="1" x14ac:dyDescent="0.25"/>
    <row r="196" s="10" customFormat="1" x14ac:dyDescent="0.25"/>
    <row r="197" s="10" customFormat="1" x14ac:dyDescent="0.25"/>
    <row r="198" s="10" customFormat="1" x14ac:dyDescent="0.25"/>
    <row r="199" s="10" customFormat="1" x14ac:dyDescent="0.25"/>
    <row r="200" s="10" customFormat="1" x14ac:dyDescent="0.25"/>
    <row r="201" s="10" customFormat="1" x14ac:dyDescent="0.25"/>
    <row r="202" s="10" customFormat="1" x14ac:dyDescent="0.25"/>
    <row r="203" s="10" customFormat="1" x14ac:dyDescent="0.25"/>
    <row r="204" s="10" customFormat="1" x14ac:dyDescent="0.25"/>
    <row r="205" s="10" customFormat="1" x14ac:dyDescent="0.25"/>
    <row r="206" s="10" customFormat="1" x14ac:dyDescent="0.25"/>
    <row r="207" s="10" customFormat="1" x14ac:dyDescent="0.25"/>
    <row r="208" s="10" customFormat="1" x14ac:dyDescent="0.25"/>
    <row r="209" s="10" customFormat="1" x14ac:dyDescent="0.25"/>
    <row r="210" s="10" customFormat="1" x14ac:dyDescent="0.25"/>
    <row r="211" s="10" customFormat="1" x14ac:dyDescent="0.25"/>
    <row r="212" s="10" customFormat="1" x14ac:dyDescent="0.25"/>
    <row r="213" s="10" customFormat="1" x14ac:dyDescent="0.25"/>
    <row r="214" s="10" customFormat="1" x14ac:dyDescent="0.25"/>
    <row r="215" s="10" customFormat="1" x14ac:dyDescent="0.25"/>
    <row r="216" s="10" customFormat="1" x14ac:dyDescent="0.25"/>
    <row r="217" s="10" customFormat="1" x14ac:dyDescent="0.25"/>
    <row r="218" s="10" customFormat="1" x14ac:dyDescent="0.25"/>
    <row r="219" s="10" customFormat="1" x14ac:dyDescent="0.25"/>
    <row r="220" s="10" customFormat="1" x14ac:dyDescent="0.25"/>
    <row r="221" s="10" customFormat="1" x14ac:dyDescent="0.25"/>
    <row r="222" s="10" customFormat="1" x14ac:dyDescent="0.25"/>
    <row r="223" s="10" customFormat="1" x14ac:dyDescent="0.25"/>
    <row r="224" s="10" customFormat="1" x14ac:dyDescent="0.25"/>
    <row r="225" s="10" customFormat="1" x14ac:dyDescent="0.25"/>
    <row r="226" s="10" customFormat="1" x14ac:dyDescent="0.25"/>
    <row r="227" s="10" customFormat="1" x14ac:dyDescent="0.25"/>
    <row r="228" s="10" customFormat="1" x14ac:dyDescent="0.25"/>
    <row r="229" s="10" customFormat="1" x14ac:dyDescent="0.25"/>
    <row r="230" s="10" customFormat="1" x14ac:dyDescent="0.25"/>
    <row r="231" s="10" customFormat="1" x14ac:dyDescent="0.25"/>
    <row r="232" s="10" customFormat="1" x14ac:dyDescent="0.25"/>
    <row r="233" s="10" customFormat="1" x14ac:dyDescent="0.25"/>
    <row r="234" s="10" customFormat="1" x14ac:dyDescent="0.25"/>
    <row r="235" s="10" customFormat="1" x14ac:dyDescent="0.25"/>
    <row r="236" s="10" customFormat="1" x14ac:dyDescent="0.25"/>
    <row r="237" s="10" customFormat="1" x14ac:dyDescent="0.25"/>
    <row r="238" s="10" customFormat="1" x14ac:dyDescent="0.25"/>
    <row r="239" s="10" customFormat="1" x14ac:dyDescent="0.25"/>
    <row r="240" s="10" customFormat="1" x14ac:dyDescent="0.25"/>
    <row r="241" s="10" customFormat="1" x14ac:dyDescent="0.25"/>
    <row r="242" s="10" customFormat="1" x14ac:dyDescent="0.25"/>
    <row r="243" s="10" customFormat="1" x14ac:dyDescent="0.25"/>
    <row r="244" s="10" customFormat="1" x14ac:dyDescent="0.25"/>
    <row r="245" s="10" customFormat="1" x14ac:dyDescent="0.25"/>
    <row r="246" s="10" customFormat="1" x14ac:dyDescent="0.25"/>
    <row r="247" s="10" customFormat="1" x14ac:dyDescent="0.25"/>
    <row r="248" s="10" customFormat="1" x14ac:dyDescent="0.25"/>
    <row r="249" s="10" customFormat="1" x14ac:dyDescent="0.25"/>
    <row r="250" s="10" customFormat="1" x14ac:dyDescent="0.25"/>
    <row r="251" s="10" customFormat="1" x14ac:dyDescent="0.25"/>
    <row r="252" s="10" customFormat="1" x14ac:dyDescent="0.25"/>
    <row r="253" s="10" customFormat="1" x14ac:dyDescent="0.25"/>
    <row r="254" s="10" customFormat="1" x14ac:dyDescent="0.25"/>
    <row r="255" s="10" customFormat="1" x14ac:dyDescent="0.25"/>
    <row r="256" s="10" customFormat="1" x14ac:dyDescent="0.25"/>
    <row r="257" s="10" customFormat="1" x14ac:dyDescent="0.25"/>
    <row r="258" s="10" customFormat="1" x14ac:dyDescent="0.25"/>
    <row r="259" s="10" customFormat="1" x14ac:dyDescent="0.25"/>
    <row r="260" s="10" customFormat="1" x14ac:dyDescent="0.25"/>
    <row r="261" s="10" customFormat="1" x14ac:dyDescent="0.25"/>
    <row r="262" s="10" customFormat="1" x14ac:dyDescent="0.25"/>
    <row r="263" s="10" customFormat="1" x14ac:dyDescent="0.25"/>
    <row r="264" s="10" customFormat="1" x14ac:dyDescent="0.25"/>
    <row r="265" s="10" customFormat="1" x14ac:dyDescent="0.25"/>
    <row r="266" s="10" customFormat="1" x14ac:dyDescent="0.25"/>
    <row r="267" s="10" customFormat="1" x14ac:dyDescent="0.25"/>
    <row r="268" s="10" customFormat="1" x14ac:dyDescent="0.25"/>
    <row r="269" s="10" customFormat="1" x14ac:dyDescent="0.25"/>
    <row r="270" s="10" customFormat="1" x14ac:dyDescent="0.25"/>
    <row r="271" s="10" customFormat="1" x14ac:dyDescent="0.25"/>
    <row r="272" s="10" customFormat="1" x14ac:dyDescent="0.25"/>
    <row r="273" s="10" customFormat="1" x14ac:dyDescent="0.25"/>
    <row r="274" s="10" customFormat="1" x14ac:dyDescent="0.25"/>
    <row r="275" s="10" customFormat="1" x14ac:dyDescent="0.25"/>
    <row r="276" s="10" customFormat="1" x14ac:dyDescent="0.25"/>
    <row r="277" s="10" customFormat="1" x14ac:dyDescent="0.25"/>
    <row r="278" s="10" customFormat="1" x14ac:dyDescent="0.25"/>
    <row r="279" s="10" customFormat="1" x14ac:dyDescent="0.25"/>
    <row r="280" s="10" customFormat="1" x14ac:dyDescent="0.25"/>
    <row r="281" s="10" customFormat="1" x14ac:dyDescent="0.25"/>
    <row r="282" s="10" customFormat="1" x14ac:dyDescent="0.25"/>
    <row r="283" s="10" customFormat="1" x14ac:dyDescent="0.25"/>
    <row r="284" s="10" customFormat="1" x14ac:dyDescent="0.25"/>
    <row r="285" s="10" customFormat="1" x14ac:dyDescent="0.25"/>
    <row r="286" s="10" customFormat="1" x14ac:dyDescent="0.25"/>
    <row r="287" s="10" customFormat="1" x14ac:dyDescent="0.25"/>
    <row r="288" s="10" customFormat="1" x14ac:dyDescent="0.25"/>
    <row r="289" s="10" customFormat="1" x14ac:dyDescent="0.25"/>
    <row r="290" s="10" customFormat="1" x14ac:dyDescent="0.25"/>
    <row r="291" s="10" customFormat="1" x14ac:dyDescent="0.25"/>
    <row r="292" s="10" customFormat="1" x14ac:dyDescent="0.25"/>
    <row r="293" s="10" customFormat="1" x14ac:dyDescent="0.25"/>
    <row r="294" s="10" customFormat="1" x14ac:dyDescent="0.25"/>
    <row r="295" s="10" customFormat="1" x14ac:dyDescent="0.25"/>
    <row r="296" s="10" customFormat="1" x14ac:dyDescent="0.25"/>
    <row r="297" s="10" customFormat="1" x14ac:dyDescent="0.25"/>
    <row r="298" s="10" customFormat="1" x14ac:dyDescent="0.25"/>
    <row r="299" s="10" customFormat="1" x14ac:dyDescent="0.25"/>
    <row r="300" s="10" customFormat="1" x14ac:dyDescent="0.25"/>
    <row r="301" s="10" customFormat="1" x14ac:dyDescent="0.25"/>
    <row r="302" s="10" customFormat="1" x14ac:dyDescent="0.25"/>
    <row r="303" s="10" customFormat="1" x14ac:dyDescent="0.25"/>
    <row r="304" s="10" customFormat="1" x14ac:dyDescent="0.25"/>
    <row r="305" s="10" customFormat="1" x14ac:dyDescent="0.25"/>
    <row r="306" s="10" customFormat="1" x14ac:dyDescent="0.25"/>
    <row r="307" s="10" customFormat="1" x14ac:dyDescent="0.25"/>
    <row r="308" s="10" customFormat="1" x14ac:dyDescent="0.25"/>
    <row r="309" s="10" customFormat="1" x14ac:dyDescent="0.25"/>
    <row r="310" s="10" customFormat="1" x14ac:dyDescent="0.25"/>
    <row r="311" s="10" customFormat="1" x14ac:dyDescent="0.25"/>
    <row r="312" s="10" customFormat="1" x14ac:dyDescent="0.25"/>
    <row r="313" s="10" customFormat="1" x14ac:dyDescent="0.25"/>
    <row r="314" s="10" customFormat="1" x14ac:dyDescent="0.25"/>
    <row r="315" s="10" customFormat="1" x14ac:dyDescent="0.25"/>
    <row r="316" s="10" customFormat="1" x14ac:dyDescent="0.25"/>
    <row r="317" s="10" customFormat="1" x14ac:dyDescent="0.25"/>
    <row r="318" s="10" customFormat="1" x14ac:dyDescent="0.25"/>
    <row r="319" s="10" customFormat="1" x14ac:dyDescent="0.25"/>
    <row r="320" s="10" customFormat="1" x14ac:dyDescent="0.25"/>
    <row r="321" s="10" customFormat="1" x14ac:dyDescent="0.25"/>
    <row r="322" s="10" customFormat="1" x14ac:dyDescent="0.25"/>
    <row r="323" s="10" customFormat="1" x14ac:dyDescent="0.25"/>
    <row r="324" s="10" customFormat="1" x14ac:dyDescent="0.25"/>
    <row r="325" s="10" customFormat="1" x14ac:dyDescent="0.25"/>
    <row r="326" s="10" customFormat="1" x14ac:dyDescent="0.25"/>
    <row r="327" s="10" customFormat="1" x14ac:dyDescent="0.25"/>
    <row r="328" s="10" customFormat="1" x14ac:dyDescent="0.25"/>
    <row r="329" s="10" customFormat="1" x14ac:dyDescent="0.25"/>
    <row r="330" s="10" customFormat="1" x14ac:dyDescent="0.25"/>
    <row r="331" s="10" customFormat="1" x14ac:dyDescent="0.25"/>
    <row r="332" s="10" customFormat="1" x14ac:dyDescent="0.25"/>
    <row r="333" s="10" customFormat="1" x14ac:dyDescent="0.25"/>
    <row r="334" s="10" customFormat="1" x14ac:dyDescent="0.25"/>
    <row r="335" s="10" customFormat="1" x14ac:dyDescent="0.25"/>
    <row r="336" s="10" customFormat="1" x14ac:dyDescent="0.25"/>
    <row r="337" s="10" customFormat="1" x14ac:dyDescent="0.25"/>
    <row r="338" s="10" customFormat="1" x14ac:dyDescent="0.25"/>
    <row r="339" s="10" customFormat="1" x14ac:dyDescent="0.25"/>
    <row r="340" s="10" customFormat="1" x14ac:dyDescent="0.25"/>
    <row r="341" s="10" customFormat="1" x14ac:dyDescent="0.25"/>
    <row r="342" s="10" customFormat="1" x14ac:dyDescent="0.25"/>
    <row r="343" s="10" customFormat="1" x14ac:dyDescent="0.25"/>
    <row r="344" s="10" customFormat="1" x14ac:dyDescent="0.25"/>
    <row r="345" s="10" customFormat="1" x14ac:dyDescent="0.25"/>
    <row r="346" s="10" customFormat="1" x14ac:dyDescent="0.25"/>
    <row r="347" s="10" customFormat="1" x14ac:dyDescent="0.25"/>
    <row r="348" s="10" customFormat="1" x14ac:dyDescent="0.25"/>
    <row r="349" s="10" customFormat="1" x14ac:dyDescent="0.25"/>
    <row r="350" s="10" customFormat="1" x14ac:dyDescent="0.25"/>
    <row r="351" s="10" customFormat="1" x14ac:dyDescent="0.25"/>
    <row r="352" s="10" customFormat="1" x14ac:dyDescent="0.25"/>
    <row r="353" s="10" customFormat="1" x14ac:dyDescent="0.25"/>
    <row r="354" s="10" customFormat="1" x14ac:dyDescent="0.25"/>
    <row r="355" s="10" customFormat="1" x14ac:dyDescent="0.25"/>
    <row r="356" s="10" customFormat="1" x14ac:dyDescent="0.25"/>
    <row r="357" s="10" customFormat="1" x14ac:dyDescent="0.25"/>
    <row r="358" s="10" customFormat="1" x14ac:dyDescent="0.25"/>
    <row r="359" s="10" customFormat="1" x14ac:dyDescent="0.25"/>
    <row r="360" s="10" customFormat="1" x14ac:dyDescent="0.25"/>
    <row r="361" s="10" customFormat="1" x14ac:dyDescent="0.25"/>
    <row r="362" s="10" customFormat="1" x14ac:dyDescent="0.25"/>
    <row r="363" s="10" customFormat="1" x14ac:dyDescent="0.25"/>
    <row r="364" s="10" customFormat="1" x14ac:dyDescent="0.25"/>
    <row r="365" s="10" customFormat="1" x14ac:dyDescent="0.25"/>
    <row r="366" s="10" customFormat="1" x14ac:dyDescent="0.25"/>
    <row r="367" s="10" customFormat="1" x14ac:dyDescent="0.25"/>
    <row r="368" s="10" customFormat="1" x14ac:dyDescent="0.25"/>
    <row r="369" s="10" customFormat="1" x14ac:dyDescent="0.25"/>
    <row r="370" s="10" customFormat="1" x14ac:dyDescent="0.25"/>
    <row r="371" s="10" customFormat="1" x14ac:dyDescent="0.25"/>
    <row r="372" s="10" customFormat="1" x14ac:dyDescent="0.25"/>
    <row r="373" s="10" customFormat="1" x14ac:dyDescent="0.25"/>
    <row r="374" s="10" customFormat="1" x14ac:dyDescent="0.25"/>
    <row r="375" s="10" customFormat="1" x14ac:dyDescent="0.25"/>
    <row r="376" s="10" customFormat="1" x14ac:dyDescent="0.25"/>
    <row r="377" s="10" customFormat="1" x14ac:dyDescent="0.25"/>
    <row r="378" s="10" customFormat="1" x14ac:dyDescent="0.25"/>
    <row r="379" s="10" customFormat="1" x14ac:dyDescent="0.25"/>
    <row r="380" s="10" customFormat="1" x14ac:dyDescent="0.25"/>
    <row r="381" s="10" customFormat="1" x14ac:dyDescent="0.25"/>
    <row r="382" s="10" customFormat="1" x14ac:dyDescent="0.25"/>
    <row r="383" s="10" customFormat="1" x14ac:dyDescent="0.25"/>
    <row r="384" s="10" customFormat="1" x14ac:dyDescent="0.25"/>
    <row r="385" s="10" customFormat="1" x14ac:dyDescent="0.25"/>
    <row r="386" s="10" customFormat="1" x14ac:dyDescent="0.25"/>
    <row r="387" s="10" customFormat="1" x14ac:dyDescent="0.25"/>
    <row r="388" s="10" customFormat="1" x14ac:dyDescent="0.25"/>
    <row r="389" s="10" customFormat="1" x14ac:dyDescent="0.25"/>
    <row r="390" s="10" customFormat="1" x14ac:dyDescent="0.25"/>
    <row r="391" s="10" customFormat="1" x14ac:dyDescent="0.25"/>
    <row r="392" s="10" customFormat="1" x14ac:dyDescent="0.25"/>
    <row r="393" s="10" customFormat="1" x14ac:dyDescent="0.25"/>
    <row r="394" s="10" customFormat="1" x14ac:dyDescent="0.25"/>
    <row r="395" s="10" customFormat="1" x14ac:dyDescent="0.25"/>
    <row r="396" s="10" customFormat="1" x14ac:dyDescent="0.25"/>
    <row r="397" s="10" customFormat="1" x14ac:dyDescent="0.25"/>
    <row r="398" s="10" customFormat="1" x14ac:dyDescent="0.25"/>
    <row r="399" s="10" customFormat="1" x14ac:dyDescent="0.25"/>
    <row r="400" s="10" customFormat="1" x14ac:dyDescent="0.25"/>
    <row r="401" s="10" customFormat="1" x14ac:dyDescent="0.25"/>
    <row r="402" s="10" customFormat="1" x14ac:dyDescent="0.25"/>
    <row r="403" s="10" customFormat="1" x14ac:dyDescent="0.25"/>
    <row r="404" s="10" customFormat="1" x14ac:dyDescent="0.25"/>
    <row r="405" s="10" customFormat="1" x14ac:dyDescent="0.25"/>
    <row r="406" s="10" customFormat="1" x14ac:dyDescent="0.25"/>
    <row r="407" s="10" customFormat="1" x14ac:dyDescent="0.25"/>
    <row r="408" s="10" customFormat="1" x14ac:dyDescent="0.25"/>
    <row r="409" s="10" customFormat="1" x14ac:dyDescent="0.25"/>
    <row r="410" s="10" customFormat="1" x14ac:dyDescent="0.25"/>
    <row r="411" s="10" customFormat="1" x14ac:dyDescent="0.25"/>
    <row r="412" s="10" customFormat="1" x14ac:dyDescent="0.25"/>
    <row r="413" s="10" customFormat="1" x14ac:dyDescent="0.25"/>
    <row r="414" s="10" customFormat="1" x14ac:dyDescent="0.25"/>
    <row r="415" s="10" customFormat="1" x14ac:dyDescent="0.25"/>
    <row r="416" s="10" customFormat="1" x14ac:dyDescent="0.25"/>
    <row r="417" s="10" customFormat="1" x14ac:dyDescent="0.25"/>
    <row r="418" s="10" customFormat="1" x14ac:dyDescent="0.25"/>
    <row r="419" s="10" customFormat="1" x14ac:dyDescent="0.25"/>
    <row r="420" s="10" customFormat="1" x14ac:dyDescent="0.25"/>
    <row r="421" s="10" customFormat="1" x14ac:dyDescent="0.25"/>
    <row r="422" s="10" customFormat="1" x14ac:dyDescent="0.25"/>
    <row r="423" s="10" customFormat="1" x14ac:dyDescent="0.25"/>
    <row r="424" s="10" customFormat="1" x14ac:dyDescent="0.25"/>
    <row r="425" s="10" customFormat="1" x14ac:dyDescent="0.25"/>
    <row r="426" s="10" customFormat="1" x14ac:dyDescent="0.25"/>
    <row r="427" s="10" customFormat="1" x14ac:dyDescent="0.25"/>
    <row r="428" s="10" customFormat="1" x14ac:dyDescent="0.25"/>
    <row r="429" s="10" customFormat="1" x14ac:dyDescent="0.25"/>
    <row r="430" s="10" customFormat="1" x14ac:dyDescent="0.25"/>
    <row r="431" s="10" customFormat="1" x14ac:dyDescent="0.25"/>
    <row r="432" s="10" customFormat="1" x14ac:dyDescent="0.25"/>
    <row r="433" s="10" customFormat="1" x14ac:dyDescent="0.25"/>
    <row r="434" s="10" customFormat="1" x14ac:dyDescent="0.25"/>
    <row r="435" s="10" customFormat="1" x14ac:dyDescent="0.25"/>
    <row r="436" s="10" customFormat="1" x14ac:dyDescent="0.25"/>
    <row r="437" s="10" customFormat="1" x14ac:dyDescent="0.25"/>
    <row r="438" s="10" customFormat="1" x14ac:dyDescent="0.25"/>
    <row r="439" s="10" customFormat="1" x14ac:dyDescent="0.25"/>
    <row r="440" s="10" customFormat="1" x14ac:dyDescent="0.25"/>
    <row r="441" s="10" customFormat="1" x14ac:dyDescent="0.25"/>
    <row r="442" s="10" customFormat="1" x14ac:dyDescent="0.25"/>
    <row r="443" s="10" customFormat="1" x14ac:dyDescent="0.25"/>
    <row r="444" s="10" customFormat="1" x14ac:dyDescent="0.25"/>
    <row r="445" s="10" customFormat="1" x14ac:dyDescent="0.25"/>
    <row r="446" s="10" customFormat="1" x14ac:dyDescent="0.25"/>
    <row r="447" s="10" customFormat="1" x14ac:dyDescent="0.25"/>
    <row r="448" s="10" customFormat="1" x14ac:dyDescent="0.25"/>
    <row r="449" s="10" customFormat="1" x14ac:dyDescent="0.25"/>
    <row r="450" s="10" customFormat="1" x14ac:dyDescent="0.25"/>
    <row r="451" s="10" customFormat="1" x14ac:dyDescent="0.25"/>
    <row r="452" s="10" customFormat="1" x14ac:dyDescent="0.25"/>
    <row r="453" s="10" customFormat="1" x14ac:dyDescent="0.25"/>
    <row r="454" s="10" customFormat="1" x14ac:dyDescent="0.25"/>
    <row r="455" s="10" customFormat="1" x14ac:dyDescent="0.25"/>
    <row r="456" s="10" customFormat="1" x14ac:dyDescent="0.25"/>
    <row r="457" s="10" customFormat="1" x14ac:dyDescent="0.25"/>
    <row r="458" s="10" customFormat="1" x14ac:dyDescent="0.25"/>
    <row r="459" s="10" customFormat="1" x14ac:dyDescent="0.25"/>
    <row r="460" s="10" customFormat="1" x14ac:dyDescent="0.25"/>
    <row r="461" s="10" customFormat="1" x14ac:dyDescent="0.25"/>
    <row r="462" s="10" customFormat="1" x14ac:dyDescent="0.25"/>
    <row r="463" s="10" customFormat="1" x14ac:dyDescent="0.25"/>
    <row r="464" s="10" customFormat="1" x14ac:dyDescent="0.25"/>
    <row r="465" s="10" customFormat="1" x14ac:dyDescent="0.25"/>
    <row r="466" s="10" customFormat="1" x14ac:dyDescent="0.25"/>
    <row r="467" s="10" customFormat="1" x14ac:dyDescent="0.25"/>
    <row r="468" s="10" customFormat="1" x14ac:dyDescent="0.25"/>
    <row r="469" s="10" customFormat="1" x14ac:dyDescent="0.25"/>
    <row r="470" s="10" customFormat="1" x14ac:dyDescent="0.25"/>
    <row r="471" s="10" customFormat="1" x14ac:dyDescent="0.25"/>
    <row r="472" s="10" customFormat="1" x14ac:dyDescent="0.25"/>
    <row r="473" s="10" customFormat="1" x14ac:dyDescent="0.25"/>
    <row r="474" s="10" customFormat="1" x14ac:dyDescent="0.25"/>
    <row r="475" s="10" customFormat="1" x14ac:dyDescent="0.25"/>
    <row r="476" s="10" customFormat="1" x14ac:dyDescent="0.25"/>
    <row r="477" s="10" customFormat="1" x14ac:dyDescent="0.25"/>
    <row r="478" s="10" customFormat="1" x14ac:dyDescent="0.25"/>
    <row r="479" s="10" customFormat="1" x14ac:dyDescent="0.25"/>
    <row r="480" s="10" customFormat="1" x14ac:dyDescent="0.25"/>
    <row r="481" s="10" customFormat="1" x14ac:dyDescent="0.25"/>
    <row r="482" s="10" customFormat="1" x14ac:dyDescent="0.25"/>
    <row r="483" s="10" customFormat="1" x14ac:dyDescent="0.25"/>
    <row r="484" s="10" customFormat="1" x14ac:dyDescent="0.25"/>
    <row r="485" s="10" customFormat="1" x14ac:dyDescent="0.25"/>
    <row r="486" s="10" customFormat="1" x14ac:dyDescent="0.25"/>
    <row r="487" s="10" customFormat="1" x14ac:dyDescent="0.25"/>
    <row r="488" s="10" customFormat="1" x14ac:dyDescent="0.25"/>
    <row r="489" s="10" customFormat="1" x14ac:dyDescent="0.25"/>
    <row r="490" s="10" customFormat="1" x14ac:dyDescent="0.25"/>
    <row r="491" s="10" customFormat="1" x14ac:dyDescent="0.25"/>
    <row r="492" s="10" customFormat="1" x14ac:dyDescent="0.25"/>
    <row r="493" s="10" customFormat="1" x14ac:dyDescent="0.25"/>
    <row r="494" s="10" customFormat="1" x14ac:dyDescent="0.25"/>
    <row r="495" s="10" customFormat="1" x14ac:dyDescent="0.25"/>
    <row r="496" s="10" customFormat="1" x14ac:dyDescent="0.25"/>
    <row r="497" s="10" customFormat="1" x14ac:dyDescent="0.25"/>
    <row r="498" s="10" customFormat="1" x14ac:dyDescent="0.25"/>
    <row r="499" s="10" customFormat="1" x14ac:dyDescent="0.25"/>
    <row r="500" s="10" customFormat="1" x14ac:dyDescent="0.25"/>
    <row r="501" s="10" customFormat="1" x14ac:dyDescent="0.25"/>
    <row r="502" s="10" customFormat="1" x14ac:dyDescent="0.25"/>
    <row r="503" s="10" customFormat="1" x14ac:dyDescent="0.25"/>
    <row r="504" s="10" customFormat="1" x14ac:dyDescent="0.25"/>
    <row r="505" s="10" customFormat="1" x14ac:dyDescent="0.25"/>
    <row r="506" s="10" customFormat="1" x14ac:dyDescent="0.25"/>
    <row r="507" s="10" customFormat="1" x14ac:dyDescent="0.25"/>
    <row r="508" s="10" customFormat="1" x14ac:dyDescent="0.25"/>
    <row r="509" s="10" customFormat="1" x14ac:dyDescent="0.25"/>
    <row r="510" s="10" customFormat="1" x14ac:dyDescent="0.25"/>
    <row r="511" s="10" customFormat="1" x14ac:dyDescent="0.25"/>
    <row r="512" s="10" customFormat="1" x14ac:dyDescent="0.25"/>
    <row r="513" s="10" customFormat="1" x14ac:dyDescent="0.25"/>
    <row r="514" s="10" customFormat="1" x14ac:dyDescent="0.25"/>
    <row r="515" s="10" customFormat="1" x14ac:dyDescent="0.25"/>
    <row r="516" s="10" customFormat="1" x14ac:dyDescent="0.25"/>
    <row r="517" s="10" customFormat="1" x14ac:dyDescent="0.25"/>
    <row r="518" s="10" customFormat="1" x14ac:dyDescent="0.25"/>
    <row r="519" s="10" customFormat="1" x14ac:dyDescent="0.25"/>
    <row r="520" s="10" customFormat="1" x14ac:dyDescent="0.25"/>
    <row r="521" s="10" customFormat="1" x14ac:dyDescent="0.25"/>
    <row r="522" s="10" customFormat="1" x14ac:dyDescent="0.25"/>
    <row r="523" s="10" customFormat="1" x14ac:dyDescent="0.25"/>
    <row r="524" s="10" customFormat="1" x14ac:dyDescent="0.25"/>
    <row r="525" s="10" customFormat="1" x14ac:dyDescent="0.25"/>
    <row r="526" s="10" customFormat="1" x14ac:dyDescent="0.25"/>
    <row r="527" s="10" customFormat="1" x14ac:dyDescent="0.25"/>
    <row r="528" s="10" customFormat="1" x14ac:dyDescent="0.25"/>
    <row r="529" s="10" customFormat="1" x14ac:dyDescent="0.25"/>
    <row r="530" s="10" customFormat="1" x14ac:dyDescent="0.25"/>
    <row r="531" s="10" customFormat="1" x14ac:dyDescent="0.25"/>
    <row r="532" s="10" customFormat="1" x14ac:dyDescent="0.25"/>
    <row r="533" s="10" customFormat="1" x14ac:dyDescent="0.25"/>
    <row r="534" s="10" customFormat="1" x14ac:dyDescent="0.25"/>
    <row r="535" s="10" customFormat="1" x14ac:dyDescent="0.25"/>
    <row r="536" s="10" customFormat="1" x14ac:dyDescent="0.25"/>
    <row r="537" s="10" customFormat="1" x14ac:dyDescent="0.25"/>
    <row r="538" s="10" customFormat="1" x14ac:dyDescent="0.25"/>
    <row r="539" s="10" customFormat="1" x14ac:dyDescent="0.25"/>
    <row r="540" s="10" customFormat="1" x14ac:dyDescent="0.25"/>
    <row r="541" s="10" customFormat="1" x14ac:dyDescent="0.25"/>
    <row r="542" s="10" customFormat="1" x14ac:dyDescent="0.25"/>
    <row r="543" s="10" customFormat="1" x14ac:dyDescent="0.25"/>
    <row r="544" s="10" customFormat="1" x14ac:dyDescent="0.25"/>
    <row r="545" s="10" customFormat="1" x14ac:dyDescent="0.25"/>
    <row r="546" s="10" customFormat="1" x14ac:dyDescent="0.25"/>
    <row r="547" s="10" customFormat="1" x14ac:dyDescent="0.25"/>
    <row r="548" s="10" customFormat="1" x14ac:dyDescent="0.25"/>
    <row r="549" s="10" customFormat="1" x14ac:dyDescent="0.25"/>
    <row r="550" s="10" customFormat="1" x14ac:dyDescent="0.25"/>
    <row r="551" s="10" customFormat="1" x14ac:dyDescent="0.25"/>
    <row r="552" s="10" customFormat="1" x14ac:dyDescent="0.25"/>
    <row r="553" s="10" customFormat="1" x14ac:dyDescent="0.25"/>
    <row r="554" s="10" customFormat="1" x14ac:dyDescent="0.25"/>
    <row r="555" s="10" customFormat="1" x14ac:dyDescent="0.25"/>
    <row r="556" s="10" customFormat="1" x14ac:dyDescent="0.25"/>
    <row r="557" s="10" customFormat="1" x14ac:dyDescent="0.25"/>
    <row r="558" s="10" customFormat="1" x14ac:dyDescent="0.25"/>
    <row r="559" s="10" customFormat="1" x14ac:dyDescent="0.25"/>
    <row r="560" s="10" customFormat="1" x14ac:dyDescent="0.25"/>
    <row r="561" s="10" customFormat="1" x14ac:dyDescent="0.25"/>
    <row r="562" s="10" customFormat="1" x14ac:dyDescent="0.25"/>
    <row r="563" s="10" customFormat="1" x14ac:dyDescent="0.25"/>
    <row r="564" s="10" customFormat="1" x14ac:dyDescent="0.25"/>
    <row r="565" s="10" customFormat="1" x14ac:dyDescent="0.25"/>
    <row r="566" s="10" customFormat="1" x14ac:dyDescent="0.25"/>
    <row r="567" s="10" customFormat="1" x14ac:dyDescent="0.25"/>
    <row r="568" s="10" customFormat="1" x14ac:dyDescent="0.25"/>
    <row r="569" s="10" customFormat="1" x14ac:dyDescent="0.25"/>
    <row r="570" s="10" customFormat="1" x14ac:dyDescent="0.25"/>
    <row r="571" s="10" customFormat="1" x14ac:dyDescent="0.25"/>
    <row r="572" s="10" customFormat="1" x14ac:dyDescent="0.25"/>
    <row r="573" s="10" customFormat="1" x14ac:dyDescent="0.25"/>
    <row r="574" s="10" customFormat="1" x14ac:dyDescent="0.25"/>
    <row r="575" s="10" customFormat="1" x14ac:dyDescent="0.25"/>
    <row r="576" s="10" customFormat="1" x14ac:dyDescent="0.25"/>
    <row r="577" s="10" customFormat="1" x14ac:dyDescent="0.25"/>
    <row r="578" s="10" customFormat="1" x14ac:dyDescent="0.25"/>
    <row r="579" s="10" customFormat="1" x14ac:dyDescent="0.25"/>
    <row r="580" s="10" customFormat="1" x14ac:dyDescent="0.25"/>
    <row r="581" s="10" customFormat="1" x14ac:dyDescent="0.25"/>
    <row r="582" s="10" customFormat="1" x14ac:dyDescent="0.25"/>
    <row r="583" s="10" customFormat="1" x14ac:dyDescent="0.25"/>
    <row r="584" s="10" customFormat="1" x14ac:dyDescent="0.25"/>
    <row r="585" s="10" customFormat="1" x14ac:dyDescent="0.25"/>
    <row r="586" s="10" customFormat="1" x14ac:dyDescent="0.25"/>
    <row r="587" s="10" customFormat="1" x14ac:dyDescent="0.25"/>
    <row r="588" s="10" customFormat="1" x14ac:dyDescent="0.25"/>
    <row r="589" s="10" customFormat="1" x14ac:dyDescent="0.25"/>
    <row r="590" s="10" customFormat="1" x14ac:dyDescent="0.25"/>
    <row r="591" s="10" customFormat="1" x14ac:dyDescent="0.25"/>
    <row r="592" s="10" customFormat="1" x14ac:dyDescent="0.25"/>
    <row r="593" s="10" customFormat="1" x14ac:dyDescent="0.25"/>
    <row r="594" s="10" customFormat="1" x14ac:dyDescent="0.25"/>
    <row r="595" s="10" customFormat="1" x14ac:dyDescent="0.25"/>
    <row r="596" s="10" customFormat="1" x14ac:dyDescent="0.25"/>
    <row r="597" s="10" customFormat="1" x14ac:dyDescent="0.25"/>
    <row r="598" s="10" customFormat="1" x14ac:dyDescent="0.25"/>
    <row r="599" s="10" customFormat="1" x14ac:dyDescent="0.25"/>
    <row r="600" s="10" customFormat="1" x14ac:dyDescent="0.25"/>
    <row r="601" s="10" customFormat="1" x14ac:dyDescent="0.25"/>
    <row r="602" s="10" customFormat="1" x14ac:dyDescent="0.25"/>
    <row r="603" s="10" customFormat="1" x14ac:dyDescent="0.25"/>
    <row r="604" s="10" customFormat="1" x14ac:dyDescent="0.25"/>
    <row r="605" s="10" customFormat="1" x14ac:dyDescent="0.25"/>
    <row r="606" s="10" customFormat="1" x14ac:dyDescent="0.25"/>
    <row r="607" s="10" customFormat="1" x14ac:dyDescent="0.25"/>
    <row r="608" s="10" customFormat="1" x14ac:dyDescent="0.25"/>
    <row r="609" s="10" customFormat="1" x14ac:dyDescent="0.25"/>
    <row r="610" s="10" customFormat="1" x14ac:dyDescent="0.25"/>
    <row r="611" s="10" customFormat="1" x14ac:dyDescent="0.25"/>
    <row r="612" s="10" customFormat="1" x14ac:dyDescent="0.25"/>
    <row r="613" s="10" customFormat="1" x14ac:dyDescent="0.25"/>
    <row r="614" s="10" customFormat="1" x14ac:dyDescent="0.25"/>
    <row r="615" s="10" customFormat="1" x14ac:dyDescent="0.25"/>
    <row r="616" s="10" customFormat="1" x14ac:dyDescent="0.25"/>
    <row r="617" s="10" customFormat="1" x14ac:dyDescent="0.25"/>
    <row r="618" s="10" customFormat="1" x14ac:dyDescent="0.25"/>
    <row r="619" s="10" customFormat="1" x14ac:dyDescent="0.25"/>
    <row r="620" s="10" customFormat="1" x14ac:dyDescent="0.25"/>
    <row r="621" s="10" customFormat="1" x14ac:dyDescent="0.25"/>
    <row r="622" s="10" customFormat="1" x14ac:dyDescent="0.25"/>
    <row r="623" s="10" customFormat="1" x14ac:dyDescent="0.25"/>
    <row r="624" s="10" customFormat="1" x14ac:dyDescent="0.25"/>
    <row r="625" s="10" customFormat="1" x14ac:dyDescent="0.25"/>
    <row r="626" s="10" customFormat="1" x14ac:dyDescent="0.25"/>
    <row r="627" s="10" customFormat="1" x14ac:dyDescent="0.25"/>
    <row r="628" s="10" customFormat="1" x14ac:dyDescent="0.25"/>
    <row r="629" s="10" customFormat="1" x14ac:dyDescent="0.25"/>
    <row r="630" s="10" customFormat="1" x14ac:dyDescent="0.25"/>
    <row r="631" s="10" customFormat="1" x14ac:dyDescent="0.25"/>
    <row r="632" s="10" customFormat="1" x14ac:dyDescent="0.25"/>
    <row r="633" s="10" customFormat="1" x14ac:dyDescent="0.25"/>
    <row r="634" s="10" customFormat="1" x14ac:dyDescent="0.25"/>
    <row r="635" s="10" customFormat="1" x14ac:dyDescent="0.25"/>
    <row r="636" s="10" customFormat="1" x14ac:dyDescent="0.25"/>
    <row r="637" s="10" customFormat="1" x14ac:dyDescent="0.25"/>
    <row r="638" s="10" customFormat="1" x14ac:dyDescent="0.25"/>
    <row r="639" s="10" customFormat="1" x14ac:dyDescent="0.25"/>
    <row r="640" s="10" customFormat="1" x14ac:dyDescent="0.25"/>
    <row r="641" s="10" customFormat="1" x14ac:dyDescent="0.25"/>
    <row r="642" s="10" customFormat="1" x14ac:dyDescent="0.25"/>
    <row r="643" s="10" customFormat="1" x14ac:dyDescent="0.25"/>
    <row r="644" s="10" customFormat="1" x14ac:dyDescent="0.25"/>
    <row r="645" s="10" customFormat="1" x14ac:dyDescent="0.25"/>
    <row r="646" s="10" customFormat="1" x14ac:dyDescent="0.25"/>
    <row r="647" s="10" customFormat="1" x14ac:dyDescent="0.25"/>
    <row r="648" s="10" customFormat="1" x14ac:dyDescent="0.25"/>
    <row r="649" s="10" customFormat="1" x14ac:dyDescent="0.25"/>
    <row r="650" s="10" customFormat="1" x14ac:dyDescent="0.25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abSelected="1" zoomScale="85" zoomScaleNormal="85" workbookViewId="0">
      <selection activeCell="G16" sqref="G1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126</v>
      </c>
      <c r="C2" s="5" t="s">
        <v>118</v>
      </c>
      <c r="D2" s="6">
        <v>1235</v>
      </c>
    </row>
    <row r="3" spans="1:4" ht="14.25" x14ac:dyDescent="0.3">
      <c r="A3" s="9">
        <v>1</v>
      </c>
      <c r="B3" s="8" t="s">
        <v>126</v>
      </c>
      <c r="C3" s="5" t="s">
        <v>119</v>
      </c>
      <c r="D3" s="6">
        <v>18</v>
      </c>
    </row>
    <row r="4" spans="1:4" ht="14.25" x14ac:dyDescent="0.3">
      <c r="A4" s="9">
        <v>1</v>
      </c>
      <c r="B4" s="8" t="s">
        <v>126</v>
      </c>
      <c r="C4" s="5" t="s">
        <v>120</v>
      </c>
      <c r="D4" s="6">
        <v>15263</v>
      </c>
    </row>
    <row r="5" spans="1:4" ht="14.25" x14ac:dyDescent="0.3">
      <c r="A5" s="9">
        <v>2</v>
      </c>
      <c r="B5" s="8" t="s">
        <v>127</v>
      </c>
      <c r="C5" s="5" t="s">
        <v>118</v>
      </c>
      <c r="D5" s="6">
        <v>145</v>
      </c>
    </row>
    <row r="6" spans="1:4" ht="14.25" x14ac:dyDescent="0.3">
      <c r="A6" s="9">
        <v>2</v>
      </c>
      <c r="B6" s="8" t="s">
        <v>127</v>
      </c>
      <c r="C6" s="5" t="s">
        <v>119</v>
      </c>
      <c r="D6" s="6">
        <v>179</v>
      </c>
    </row>
    <row r="7" spans="1:4" ht="14.25" x14ac:dyDescent="0.3">
      <c r="A7" s="9">
        <v>2</v>
      </c>
      <c r="B7" s="8" t="s">
        <v>127</v>
      </c>
      <c r="C7" s="5" t="s">
        <v>120</v>
      </c>
      <c r="D7" s="6">
        <v>12543</v>
      </c>
    </row>
    <row r="8" spans="1:4" ht="14.25" x14ac:dyDescent="0.3">
      <c r="A8" s="9">
        <v>3</v>
      </c>
      <c r="B8" s="8" t="s">
        <v>128</v>
      </c>
      <c r="C8" s="5" t="s">
        <v>118</v>
      </c>
      <c r="D8" s="6">
        <v>129876</v>
      </c>
    </row>
    <row r="9" spans="1:4" ht="14.25" x14ac:dyDescent="0.3">
      <c r="A9" s="9">
        <v>3</v>
      </c>
      <c r="B9" s="8" t="s">
        <v>128</v>
      </c>
      <c r="C9" s="5" t="s">
        <v>119</v>
      </c>
      <c r="D9" s="6">
        <v>1297</v>
      </c>
    </row>
    <row r="10" spans="1:4" ht="14.25" x14ac:dyDescent="0.3">
      <c r="A10" s="9">
        <v>3</v>
      </c>
      <c r="B10" s="8" t="s">
        <v>128</v>
      </c>
      <c r="C10" s="5" t="s">
        <v>120</v>
      </c>
      <c r="D10" s="6">
        <v>2163</v>
      </c>
    </row>
    <row r="11" spans="1:4" ht="14.25" x14ac:dyDescent="0.3">
      <c r="A11" s="9">
        <v>4</v>
      </c>
      <c r="B11" s="8" t="s">
        <v>129</v>
      </c>
      <c r="C11" s="5" t="s">
        <v>118</v>
      </c>
      <c r="D11" s="6">
        <v>2987</v>
      </c>
    </row>
    <row r="12" spans="1:4" ht="14.25" x14ac:dyDescent="0.3">
      <c r="A12" s="9">
        <v>4</v>
      </c>
      <c r="B12" s="8" t="s">
        <v>129</v>
      </c>
      <c r="C12" s="5" t="s">
        <v>119</v>
      </c>
      <c r="D12" s="6">
        <v>2185</v>
      </c>
    </row>
    <row r="13" spans="1:4" ht="14.25" x14ac:dyDescent="0.3">
      <c r="A13" s="9">
        <v>4</v>
      </c>
      <c r="B13" s="8" t="s">
        <v>129</v>
      </c>
      <c r="C13" s="5" t="s">
        <v>120</v>
      </c>
      <c r="D13" s="6">
        <v>2196</v>
      </c>
    </row>
    <row r="14" spans="1:4" ht="14.25" x14ac:dyDescent="0.3">
      <c r="A14" s="9">
        <v>5</v>
      </c>
      <c r="B14" s="8" t="s">
        <v>130</v>
      </c>
      <c r="C14" s="5" t="s">
        <v>118</v>
      </c>
      <c r="D14" s="6">
        <v>5297</v>
      </c>
    </row>
    <row r="15" spans="1:4" ht="14.25" x14ac:dyDescent="0.3">
      <c r="A15" s="9">
        <v>5</v>
      </c>
      <c r="B15" s="8" t="s">
        <v>130</v>
      </c>
      <c r="C15" s="5" t="s">
        <v>119</v>
      </c>
      <c r="D15" s="6">
        <v>217</v>
      </c>
    </row>
    <row r="16" spans="1:4" ht="14.25" x14ac:dyDescent="0.3">
      <c r="A16" s="9">
        <v>5</v>
      </c>
      <c r="B16" s="8" t="s">
        <v>130</v>
      </c>
      <c r="C16" s="5" t="s">
        <v>120</v>
      </c>
      <c r="D16" s="6">
        <v>217496</v>
      </c>
    </row>
    <row r="17" spans="1:9" ht="14.25" x14ac:dyDescent="0.3">
      <c r="A17" s="9">
        <v>6</v>
      </c>
      <c r="B17" s="8" t="s">
        <v>131</v>
      </c>
      <c r="C17" s="5" t="s">
        <v>118</v>
      </c>
      <c r="D17" s="6">
        <v>127496</v>
      </c>
    </row>
    <row r="18" spans="1:9" ht="14.25" x14ac:dyDescent="0.3">
      <c r="A18" s="9">
        <v>6</v>
      </c>
      <c r="B18" s="8" t="s">
        <v>131</v>
      </c>
      <c r="C18" s="5" t="s">
        <v>119</v>
      </c>
      <c r="D18" s="6">
        <v>1742</v>
      </c>
    </row>
    <row r="19" spans="1:9" ht="14.25" x14ac:dyDescent="0.3">
      <c r="A19" s="9">
        <v>6</v>
      </c>
      <c r="B19" s="8" t="s">
        <v>131</v>
      </c>
      <c r="C19" s="5" t="s">
        <v>120</v>
      </c>
      <c r="D19" s="6">
        <v>41297</v>
      </c>
    </row>
    <row r="20" spans="1:9" ht="14.25" x14ac:dyDescent="0.3">
      <c r="A20" s="9">
        <v>7</v>
      </c>
      <c r="B20" s="8" t="s">
        <v>132</v>
      </c>
      <c r="C20" s="5" t="s">
        <v>118</v>
      </c>
      <c r="D20" s="6">
        <v>17429</v>
      </c>
    </row>
    <row r="21" spans="1:9" ht="14.25" x14ac:dyDescent="0.3">
      <c r="A21" s="9">
        <v>7</v>
      </c>
      <c r="B21" s="8" t="s">
        <v>132</v>
      </c>
      <c r="C21" s="5" t="s">
        <v>119</v>
      </c>
      <c r="D21" s="6">
        <v>76</v>
      </c>
    </row>
    <row r="22" spans="1:9" ht="14.25" x14ac:dyDescent="0.3">
      <c r="A22" s="9">
        <v>7</v>
      </c>
      <c r="B22" s="8" t="s">
        <v>132</v>
      </c>
      <c r="C22" s="5" t="s">
        <v>120</v>
      </c>
      <c r="D22" s="6">
        <v>24961</v>
      </c>
    </row>
    <row r="23" spans="1:9" ht="14.25" x14ac:dyDescent="0.3">
      <c r="A23" s="9">
        <v>8</v>
      </c>
      <c r="B23" s="8" t="s">
        <v>133</v>
      </c>
      <c r="C23" s="5" t="s">
        <v>118</v>
      </c>
      <c r="D23" s="6">
        <v>179</v>
      </c>
    </row>
    <row r="24" spans="1:9" ht="14.25" x14ac:dyDescent="0.3">
      <c r="A24" s="9">
        <v>8</v>
      </c>
      <c r="B24" s="8" t="s">
        <v>133</v>
      </c>
      <c r="C24" s="5" t="s">
        <v>119</v>
      </c>
      <c r="D24" s="6">
        <v>17529</v>
      </c>
    </row>
    <row r="25" spans="1:9" ht="14.25" x14ac:dyDescent="0.3">
      <c r="A25" s="9">
        <v>8</v>
      </c>
      <c r="B25" s="8" t="s">
        <v>133</v>
      </c>
      <c r="C25" s="5" t="s">
        <v>120</v>
      </c>
      <c r="D25" s="6">
        <v>17952</v>
      </c>
    </row>
    <row r="26" spans="1:9" ht="14.25" x14ac:dyDescent="0.3">
      <c r="A26" s="9">
        <v>9</v>
      </c>
      <c r="B26" s="8" t="s">
        <v>134</v>
      </c>
      <c r="C26" s="5" t="s">
        <v>118</v>
      </c>
      <c r="D26" s="6">
        <v>4176</v>
      </c>
    </row>
    <row r="27" spans="1:9" ht="14.25" x14ac:dyDescent="0.3">
      <c r="A27" s="9">
        <v>9</v>
      </c>
      <c r="B27" s="8" t="s">
        <v>134</v>
      </c>
      <c r="C27" s="5" t="s">
        <v>119</v>
      </c>
      <c r="D27" s="6">
        <v>47126</v>
      </c>
    </row>
    <row r="28" spans="1:9" ht="14.25" x14ac:dyDescent="0.3">
      <c r="A28" s="9">
        <v>9</v>
      </c>
      <c r="B28" s="8" t="s">
        <v>134</v>
      </c>
      <c r="C28" s="5" t="s">
        <v>120</v>
      </c>
      <c r="D28" s="6">
        <v>1728</v>
      </c>
    </row>
    <row r="29" spans="1:9" ht="14.25" x14ac:dyDescent="0.3">
      <c r="A29" s="9">
        <v>10</v>
      </c>
      <c r="B29" s="8" t="s">
        <v>135</v>
      </c>
      <c r="C29" s="5" t="s">
        <v>118</v>
      </c>
      <c r="D29" s="6">
        <v>1728</v>
      </c>
    </row>
    <row r="30" spans="1:9" ht="14.25" x14ac:dyDescent="0.3">
      <c r="A30" s="9">
        <v>10</v>
      </c>
      <c r="B30" s="8" t="s">
        <v>135</v>
      </c>
      <c r="C30" s="5" t="s">
        <v>119</v>
      </c>
      <c r="D30" s="6">
        <v>1726</v>
      </c>
    </row>
    <row r="31" spans="1:9" ht="14.25" x14ac:dyDescent="0.3">
      <c r="A31" s="9">
        <v>10</v>
      </c>
      <c r="B31" s="8" t="s">
        <v>135</v>
      </c>
      <c r="C31" s="14" t="s">
        <v>120</v>
      </c>
      <c r="D31" s="7">
        <v>1296</v>
      </c>
    </row>
    <row r="32" spans="1:9" ht="14.25" x14ac:dyDescent="0.3">
      <c r="A32" s="9">
        <v>11</v>
      </c>
      <c r="B32" s="8" t="s">
        <v>136</v>
      </c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 t="s">
        <v>136</v>
      </c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 t="s">
        <v>136</v>
      </c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 t="s">
        <v>137</v>
      </c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 t="s">
        <v>137</v>
      </c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 t="s">
        <v>137</v>
      </c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64" zoomScale="98" zoomScaleNormal="98" workbookViewId="0">
      <selection activeCell="M73" sqref="M73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4.375" style="22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1-Thayna</v>
      </c>
      <c r="C5" s="26" t="str">
        <f>CONCATENATE(" 2-",Resumo!B9)</f>
        <v xml:space="preserve"> 2-Henrique</v>
      </c>
      <c r="D5" s="26" t="str">
        <f>CONCATENATE(" 3-",Resumo!B16)</f>
        <v xml:space="preserve"> 3-</v>
      </c>
      <c r="E5" s="26" t="str">
        <f>CONCATENATE(" 4-",Resumo!B23)</f>
        <v xml:space="preserve"> 4-Bianca</v>
      </c>
      <c r="F5" s="26" t="str">
        <f>CONCATENATE(" 5-",Resumo!B30)</f>
        <v xml:space="preserve"> 5-</v>
      </c>
      <c r="G5" s="26" t="str">
        <f>CONCATENATE(" 6-",Resumo!B37)</f>
        <v xml:space="preserve"> 6-Biagio</v>
      </c>
      <c r="H5" s="26" t="str">
        <f>CONCATENATE(" 7-",Resumo!B44)</f>
        <v xml:space="preserve"> 7-Cecilia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Resumo!G2</f>
        <v>1235</v>
      </c>
      <c r="C6" s="29">
        <f>Resumo!G7</f>
        <v>145</v>
      </c>
      <c r="D6" s="29">
        <f>Resumo!G12</f>
        <v>129876</v>
      </c>
      <c r="E6" s="29">
        <f>Resumo!G17</f>
        <v>2987</v>
      </c>
      <c r="F6" s="29">
        <f>Resumo!G22</f>
        <v>5297</v>
      </c>
      <c r="G6" s="29">
        <f>Resumo!G27</f>
        <v>127496</v>
      </c>
      <c r="H6" s="29">
        <f>Resumo!G32</f>
        <v>17429</v>
      </c>
      <c r="I6" s="29">
        <f>Resumo!G37</f>
        <v>179</v>
      </c>
      <c r="J6" s="29">
        <f>Resumo!G42</f>
        <v>4176</v>
      </c>
      <c r="K6" s="29">
        <f>Resumo!G47</f>
        <v>1728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Resumo!G3</f>
        <v>18</v>
      </c>
      <c r="C7" s="29">
        <f>Resumo!G8</f>
        <v>179</v>
      </c>
      <c r="D7" s="29">
        <f>Resumo!G13</f>
        <v>1297</v>
      </c>
      <c r="E7" s="29">
        <f>Resumo!G18</f>
        <v>2185</v>
      </c>
      <c r="F7" s="29">
        <f>Resumo!G23</f>
        <v>217</v>
      </c>
      <c r="G7" s="29">
        <f>Resumo!G28</f>
        <v>1742</v>
      </c>
      <c r="H7" s="29">
        <f>Resumo!G33</f>
        <v>76</v>
      </c>
      <c r="I7" s="29">
        <f>Resumo!G38</f>
        <v>17529</v>
      </c>
      <c r="J7" s="29">
        <f>Resumo!G43</f>
        <v>47126</v>
      </c>
      <c r="K7" s="29">
        <f>Resumo!G48</f>
        <v>1726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Resumo!G4</f>
        <v>15263</v>
      </c>
      <c r="C8" s="33">
        <f>Resumo!G9</f>
        <v>12543</v>
      </c>
      <c r="D8" s="33">
        <f>Resumo!G14</f>
        <v>2163</v>
      </c>
      <c r="E8" s="33">
        <f>Resumo!G19</f>
        <v>2196</v>
      </c>
      <c r="F8" s="33">
        <f>Resumo!G24</f>
        <v>217496</v>
      </c>
      <c r="G8" s="33">
        <f>Resumo!G29</f>
        <v>41297</v>
      </c>
      <c r="H8" s="29">
        <f>Resumo!G34</f>
        <v>24961</v>
      </c>
      <c r="I8" s="29">
        <f>Resumo!G39</f>
        <v>17952</v>
      </c>
      <c r="J8" s="29">
        <f>Resumo!G44</f>
        <v>1728</v>
      </c>
      <c r="K8" s="29">
        <f>Resumo!G49</f>
        <v>1296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Resumo!G5</f>
        <v>16516</v>
      </c>
      <c r="C9" s="34">
        <f>Resumo!G10</f>
        <v>12867</v>
      </c>
      <c r="D9" s="34">
        <f>Resumo!G15</f>
        <v>133336</v>
      </c>
      <c r="E9" s="34">
        <f>Resumo!G20</f>
        <v>7368</v>
      </c>
      <c r="F9" s="34">
        <f>Resumo!G25</f>
        <v>223010</v>
      </c>
      <c r="G9" s="34">
        <f>Resumo!G30</f>
        <v>170535</v>
      </c>
      <c r="H9" s="35">
        <f>Resumo!G35</f>
        <v>42466</v>
      </c>
      <c r="I9" s="36">
        <f>Resumo!G40</f>
        <v>35660</v>
      </c>
      <c r="J9" s="36">
        <f>Resumo!G45</f>
        <v>53030</v>
      </c>
      <c r="K9" s="36">
        <f>Resumo!G50</f>
        <v>4750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8.7454095385095021E-2</v>
      </c>
      <c r="C10" s="39">
        <f t="shared" si="0"/>
        <v>1.1691991465723263E-2</v>
      </c>
      <c r="D10" s="39">
        <f t="shared" si="0"/>
        <v>2313.8953252146625</v>
      </c>
      <c r="E10" s="39">
        <f t="shared" si="0"/>
        <v>2.2875955909958927</v>
      </c>
      <c r="F10" s="39">
        <f t="shared" si="0"/>
        <v>2.4947019941252618E-2</v>
      </c>
      <c r="G10" s="39">
        <f t="shared" si="0"/>
        <v>12.232899546140963</v>
      </c>
      <c r="H10" s="39">
        <f t="shared" si="0"/>
        <v>1.1843213424685128</v>
      </c>
      <c r="I10" s="39">
        <f t="shared" si="0"/>
        <v>1.0021337271671751E-2</v>
      </c>
      <c r="J10" s="39">
        <f t="shared" si="0"/>
        <v>2.6232413586059145</v>
      </c>
      <c r="K10" s="39">
        <f t="shared" si="0"/>
        <v>2.0957423339951471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7.477597481230322E-2</v>
      </c>
      <c r="C11" s="40">
        <f t="shared" ref="C11:L11" si="1">C6/C$9</f>
        <v>1.1269138105230435E-2</v>
      </c>
      <c r="D11" s="40">
        <f t="shared" si="1"/>
        <v>0.97405051898962025</v>
      </c>
      <c r="E11" s="40">
        <f t="shared" si="1"/>
        <v>0.40540173724212814</v>
      </c>
      <c r="F11" s="40">
        <f t="shared" si="1"/>
        <v>2.375229810322407E-2</v>
      </c>
      <c r="G11" s="40">
        <f t="shared" si="1"/>
        <v>0.74762365496818839</v>
      </c>
      <c r="H11" s="40">
        <f t="shared" ref="H11:K13" si="2">H6/H$9</f>
        <v>0.41042245561154805</v>
      </c>
      <c r="I11" s="40">
        <f t="shared" si="2"/>
        <v>5.0196298373527759E-3</v>
      </c>
      <c r="J11" s="40">
        <f t="shared" si="2"/>
        <v>7.8747878559306053E-2</v>
      </c>
      <c r="K11" s="40">
        <f t="shared" si="2"/>
        <v>0.36378947368421055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1.0898522644708162E-3</v>
      </c>
      <c r="C12" s="40">
        <f t="shared" si="3"/>
        <v>1.3911556695422399E-2</v>
      </c>
      <c r="D12" s="40">
        <f t="shared" si="3"/>
        <v>9.7273054538909217E-3</v>
      </c>
      <c r="E12" s="40">
        <f t="shared" si="3"/>
        <v>0.29655266015200871</v>
      </c>
      <c r="F12" s="40">
        <f t="shared" si="3"/>
        <v>9.7305053585041031E-4</v>
      </c>
      <c r="G12" s="40">
        <f t="shared" si="3"/>
        <v>1.0214911894918931E-2</v>
      </c>
      <c r="H12" s="40">
        <f t="shared" si="2"/>
        <v>1.7896670277398388E-3</v>
      </c>
      <c r="I12" s="40">
        <f t="shared" si="2"/>
        <v>0.49155916993830623</v>
      </c>
      <c r="J12" s="40">
        <f t="shared" si="2"/>
        <v>0.88866679238167079</v>
      </c>
      <c r="K12" s="40">
        <f t="shared" si="2"/>
        <v>0.36336842105263156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0.92413417292322597</v>
      </c>
      <c r="C13" s="40">
        <f t="shared" si="3"/>
        <v>0.97481930519934712</v>
      </c>
      <c r="D13" s="40">
        <f t="shared" si="3"/>
        <v>1.6222175556488871E-2</v>
      </c>
      <c r="E13" s="40">
        <f t="shared" si="3"/>
        <v>0.29804560260586321</v>
      </c>
      <c r="F13" s="40">
        <f t="shared" si="3"/>
        <v>0.9752746513609255</v>
      </c>
      <c r="G13" s="40">
        <f t="shared" si="3"/>
        <v>0.24216143313689273</v>
      </c>
      <c r="H13" s="40">
        <f t="shared" si="2"/>
        <v>0.58778787736071214</v>
      </c>
      <c r="I13" s="40">
        <f t="shared" si="2"/>
        <v>0.503421200224341</v>
      </c>
      <c r="J13" s="40">
        <f t="shared" si="2"/>
        <v>3.2585329059023192E-2</v>
      </c>
      <c r="K13" s="40">
        <f t="shared" si="2"/>
        <v>0.27284210526315789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7.477597481230322E-2</v>
      </c>
      <c r="C15" s="42">
        <f t="shared" si="4"/>
        <v>1.1269138105230435E-2</v>
      </c>
      <c r="D15" s="42">
        <f t="shared" si="4"/>
        <v>0.97405051898962025</v>
      </c>
      <c r="E15" s="42">
        <f t="shared" si="4"/>
        <v>0.40540173724212814</v>
      </c>
      <c r="F15" s="42">
        <f t="shared" si="4"/>
        <v>2.375229810322407E-2</v>
      </c>
      <c r="G15" s="42">
        <f t="shared" si="4"/>
        <v>0.74762365496818839</v>
      </c>
      <c r="H15" s="42">
        <f>H6/H9</f>
        <v>0.41042245561154805</v>
      </c>
      <c r="I15" s="42">
        <f>I6/I9</f>
        <v>5.0196298373527759E-3</v>
      </c>
      <c r="J15" s="42">
        <f>J6/J9</f>
        <v>7.8747878559306053E-2</v>
      </c>
      <c r="K15" s="42">
        <f>K6/K9</f>
        <v>0.36378947368421055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1.0898522644708162E-3</v>
      </c>
      <c r="C16" s="42">
        <f t="shared" si="5"/>
        <v>1.3911556695422399E-2</v>
      </c>
      <c r="D16" s="42">
        <f t="shared" si="5"/>
        <v>9.7273054538909217E-3</v>
      </c>
      <c r="E16" s="42">
        <f t="shared" si="5"/>
        <v>0.29655266015200871</v>
      </c>
      <c r="F16" s="42">
        <f t="shared" si="5"/>
        <v>9.7305053585041031E-4</v>
      </c>
      <c r="G16" s="42">
        <f t="shared" si="5"/>
        <v>1.0214911894918931E-2</v>
      </c>
      <c r="H16" s="42">
        <f>H7/H9</f>
        <v>1.7896670277398388E-3</v>
      </c>
      <c r="I16" s="42">
        <f>I7/I9</f>
        <v>0.49155916993830623</v>
      </c>
      <c r="J16" s="42">
        <f>J7/J9</f>
        <v>0.88866679238167079</v>
      </c>
      <c r="K16" s="42">
        <f>K7/K9</f>
        <v>0.36336842105263156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0.92413417292322597</v>
      </c>
      <c r="C17" s="46">
        <f t="shared" si="6"/>
        <v>0.97481930519934712</v>
      </c>
      <c r="D17" s="46">
        <f t="shared" si="6"/>
        <v>1.6222175556488871E-2</v>
      </c>
      <c r="E17" s="46">
        <f t="shared" si="6"/>
        <v>0.29804560260586321</v>
      </c>
      <c r="F17" s="46">
        <f t="shared" si="6"/>
        <v>0.9752746513609255</v>
      </c>
      <c r="G17" s="46">
        <f t="shared" si="6"/>
        <v>0.24216143313689273</v>
      </c>
      <c r="H17" s="46">
        <f>H8/H9</f>
        <v>0.58778787736071214</v>
      </c>
      <c r="I17" s="46">
        <f>I8/I9</f>
        <v>0.503421200224341</v>
      </c>
      <c r="J17" s="46">
        <f>J8/J9</f>
        <v>3.2585329059023192E-2</v>
      </c>
      <c r="K17" s="46">
        <f>K8/K9</f>
        <v>0.27284210526315789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7.5865827076774042E-2</v>
      </c>
      <c r="C18" s="51">
        <f t="shared" si="7"/>
        <v>2.5180694800652832E-2</v>
      </c>
      <c r="D18" s="51">
        <f t="shared" si="7"/>
        <v>0.98377782444351114</v>
      </c>
      <c r="E18" s="51">
        <f t="shared" si="7"/>
        <v>0.7019543973941369</v>
      </c>
      <c r="F18" s="51">
        <f t="shared" si="7"/>
        <v>2.4725348639074479E-2</v>
      </c>
      <c r="G18" s="51">
        <f t="shared" si="7"/>
        <v>0.75783856686310735</v>
      </c>
      <c r="H18" s="51">
        <f>H15+H16</f>
        <v>0.41221212263928791</v>
      </c>
      <c r="I18" s="51">
        <f>I15+I16</f>
        <v>0.496578799775659</v>
      </c>
      <c r="J18" s="51">
        <f>J15+J16</f>
        <v>0.96741467094097688</v>
      </c>
      <c r="K18" s="51">
        <f>K15+K16</f>
        <v>0.72715789473684211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1</v>
      </c>
      <c r="C19" s="51">
        <f t="shared" si="8"/>
        <v>1</v>
      </c>
      <c r="D19" s="51">
        <f t="shared" si="8"/>
        <v>1</v>
      </c>
      <c r="E19" s="51">
        <f t="shared" si="8"/>
        <v>1</v>
      </c>
      <c r="F19" s="51">
        <f t="shared" si="8"/>
        <v>1</v>
      </c>
      <c r="G19" s="51">
        <f t="shared" si="8"/>
        <v>1</v>
      </c>
      <c r="H19" s="51">
        <f>H15+H16+H17</f>
        <v>1</v>
      </c>
      <c r="I19" s="51">
        <f>I15+I16+I17</f>
        <v>1</v>
      </c>
      <c r="J19" s="51">
        <f>J15+J16+J17</f>
        <v>1</v>
      </c>
      <c r="K19" s="51">
        <f>K15+K16+K17</f>
        <v>1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1.0820939526960625</v>
      </c>
      <c r="C20" s="57">
        <f t="shared" si="9"/>
        <v>1.0258311408753886</v>
      </c>
      <c r="D20" s="57">
        <f t="shared" si="9"/>
        <v>61.644012944983814</v>
      </c>
      <c r="E20" s="57">
        <f t="shared" si="9"/>
        <v>3.3551912568306008</v>
      </c>
      <c r="F20" s="57">
        <f t="shared" si="9"/>
        <v>1.0253521903851106</v>
      </c>
      <c r="G20" s="57">
        <f t="shared" si="9"/>
        <v>4.1294767174371021</v>
      </c>
      <c r="H20" s="57">
        <f>1/H17</f>
        <v>1.7012940186691237</v>
      </c>
      <c r="I20" s="57">
        <f>1/I17</f>
        <v>1.9864081996434937</v>
      </c>
      <c r="J20" s="57">
        <f>1/J17</f>
        <v>30.688657407407408</v>
      </c>
      <c r="K20" s="57">
        <f>1/K17</f>
        <v>3.6651234567901234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>
        <f t="shared" ref="B21:L21" si="10">B17/(1-B17)</f>
        <v>12.181165203511574</v>
      </c>
      <c r="C21" s="62">
        <f t="shared" si="10"/>
        <v>38.712962962962891</v>
      </c>
      <c r="D21" s="62">
        <f t="shared" si="10"/>
        <v>1.6489673942046E-2</v>
      </c>
      <c r="E21" s="62">
        <f t="shared" si="10"/>
        <v>0.42459396751740142</v>
      </c>
      <c r="F21" s="62">
        <f t="shared" si="10"/>
        <v>39.444323540079772</v>
      </c>
      <c r="G21" s="62">
        <f t="shared" si="10"/>
        <v>0.31954223989848191</v>
      </c>
      <c r="H21" s="62">
        <f>H17/(1-H17)</f>
        <v>1.4259354470151389</v>
      </c>
      <c r="I21" s="62">
        <f>I17/(1-I17)</f>
        <v>1.0137790829003841</v>
      </c>
      <c r="J21" s="62">
        <f>J17/(1-J17)</f>
        <v>3.368289735292971E-2</v>
      </c>
      <c r="K21" s="62">
        <f>K17/(1-K17)</f>
        <v>0.37521713954834973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12.373279352226721</v>
      </c>
      <c r="C22" s="62">
        <f t="shared" si="11"/>
        <v>87.737931034482756</v>
      </c>
      <c r="D22" s="62">
        <f t="shared" si="11"/>
        <v>2.6640795836028165E-2</v>
      </c>
      <c r="E22" s="62">
        <f t="shared" si="11"/>
        <v>1.4666889856042851</v>
      </c>
      <c r="F22" s="62">
        <f t="shared" si="11"/>
        <v>41.101189352463656</v>
      </c>
      <c r="G22" s="62">
        <f t="shared" si="11"/>
        <v>0.33757137478822857</v>
      </c>
      <c r="H22" s="62">
        <f>(1-H15)/H15</f>
        <v>1.4365138562166504</v>
      </c>
      <c r="I22" s="62">
        <f>(1-I15)/I15</f>
        <v>198.21787709497207</v>
      </c>
      <c r="J22" s="62">
        <f>(1-J15)/J15</f>
        <v>11.69875478927203</v>
      </c>
      <c r="K22" s="62">
        <f>(1-K15)/K15</f>
        <v>1.7488425925925923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8.7454095385095021E-2</v>
      </c>
      <c r="C23" s="66">
        <f t="shared" si="12"/>
        <v>1.1691991465723263E-2</v>
      </c>
      <c r="D23" s="66">
        <f t="shared" si="12"/>
        <v>2313.8953252146625</v>
      </c>
      <c r="E23" s="66">
        <f t="shared" si="12"/>
        <v>2.2875955909958927</v>
      </c>
      <c r="F23" s="66">
        <f t="shared" si="12"/>
        <v>2.4947019941252618E-2</v>
      </c>
      <c r="G23" s="66">
        <f t="shared" si="12"/>
        <v>12.232899546140963</v>
      </c>
      <c r="H23" s="66">
        <f>H20/H22</f>
        <v>1.1843213424685128</v>
      </c>
      <c r="I23" s="66">
        <f>I20/I22</f>
        <v>1.0021337271671751E-2</v>
      </c>
      <c r="J23" s="66">
        <f>J20/J22</f>
        <v>2.6232413586059145</v>
      </c>
      <c r="K23" s="66">
        <f>K20/K22</f>
        <v>2.0957423339951471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1-Thayna</v>
      </c>
      <c r="C25" s="26" t="str">
        <f t="shared" si="13"/>
        <v xml:space="preserve"> 2-Henrique</v>
      </c>
      <c r="D25" s="26" t="str">
        <f t="shared" si="13"/>
        <v xml:space="preserve"> 3-</v>
      </c>
      <c r="E25" s="26" t="str">
        <f t="shared" si="13"/>
        <v xml:space="preserve"> 4-Bianca</v>
      </c>
      <c r="F25" s="26" t="str">
        <f t="shared" si="13"/>
        <v xml:space="preserve"> 5-</v>
      </c>
      <c r="G25" s="26" t="str">
        <f t="shared" si="13"/>
        <v xml:space="preserve"> 6-Biagio</v>
      </c>
      <c r="H25" s="26" t="str">
        <f>H5</f>
        <v xml:space="preserve"> 7-Cecilia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0.53291988700628756</v>
      </c>
      <c r="C26" s="73">
        <f t="shared" si="14"/>
        <v>0.55478034726513814</v>
      </c>
      <c r="D26" s="73">
        <f t="shared" si="14"/>
        <v>3.7498150020865914E-3</v>
      </c>
      <c r="E26" s="73">
        <f t="shared" si="14"/>
        <v>8.6195072761755193E-4</v>
      </c>
      <c r="F26" s="73">
        <f t="shared" si="14"/>
        <v>0.56251329150824048</v>
      </c>
      <c r="G26" s="73">
        <f t="shared" si="14"/>
        <v>0.13391438647665083</v>
      </c>
      <c r="H26" s="73">
        <f>(2*H17+H15-1)/SQRT(3)</f>
        <v>0.33832622448038058</v>
      </c>
      <c r="I26" s="73">
        <f>(2*I17+I15-1)/SQRT(3)</f>
        <v>6.8485463787777033E-3</v>
      </c>
      <c r="J26" s="73">
        <f>(2*J17+J15-1)/SQRT(3)</f>
        <v>-0.49425886329757934</v>
      </c>
      <c r="K26" s="73">
        <f>(2*K17+K15-1)/SQRT(3)</f>
        <v>-5.22653927897977E-2</v>
      </c>
      <c r="L26" s="51" t="e">
        <f t="shared" si="14"/>
        <v>#DIV/0!</v>
      </c>
    </row>
    <row r="27" spans="1:65" ht="15.75" x14ac:dyDescent="0.3">
      <c r="A27" s="77" t="s">
        <v>111</v>
      </c>
      <c r="B27" s="78">
        <f>IF(DIAG!T11,B15,-1)</f>
        <v>7.477597481230322E-2</v>
      </c>
      <c r="C27" s="79">
        <f>IF(DIAG!T12,C15,-1)</f>
        <v>1.1269138105230435E-2</v>
      </c>
      <c r="D27" s="79">
        <f>IF(DIAG!T13,D15,-1)</f>
        <v>0.97405051898962025</v>
      </c>
      <c r="E27" s="79">
        <f>IF(DIAG!T14,E15,-1)</f>
        <v>0.40540173724212814</v>
      </c>
      <c r="F27" s="79">
        <f>IF(DIAG!T15,F15,-1)</f>
        <v>2.375229810322407E-2</v>
      </c>
      <c r="G27" s="73">
        <f>IF(DIAG!T16,G15,-1)</f>
        <v>0.74762365496818839</v>
      </c>
      <c r="H27" s="73">
        <f>IF(DIAG!T17,H15,-1)</f>
        <v>0.41042245561154805</v>
      </c>
      <c r="I27" s="73">
        <f>IF(DIAG!T18,I15,-1)</f>
        <v>5.0196298373527759E-3</v>
      </c>
      <c r="J27" s="73">
        <f>IF(DIAG!T19,J15,-1)</f>
        <v>7.8747878559306053E-2</v>
      </c>
      <c r="K27" s="73">
        <f>IF(DIAG!T20,K15,-1)</f>
        <v>0.36378947368421055</v>
      </c>
      <c r="L27" s="51">
        <f>IF(OR(DIAG!T21,DIAG!T22,DIAG!T23,DIAG!T24,DIAG!T25,DIAG!T26,DIAG!T27,DIAG!T28,DIAG!T29,DIAG!T30),L15,-1)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1-Thayna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35</v>
      </c>
      <c r="AP29" s="74">
        <f>IF(DIAG!T21,$L$26,-1)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IF(DIAG!T21,$B$26,-1)</f>
        <v>-1</v>
      </c>
      <c r="BA29" s="24" t="s">
        <v>87</v>
      </c>
      <c r="BB29" s="22">
        <f>DIAG!W1</f>
        <v>10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P30" s="80">
        <f>IF(DIAG!T21,$L$27,-1)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IF(DIAG!T21,$B$27,-1)</f>
        <v>-1</v>
      </c>
      <c r="BA30" s="24" t="s">
        <v>85</v>
      </c>
      <c r="BB30" s="27">
        <f ca="1">IF(BB29=0,0,MAX(OFFSET(BC29,1,1,1,BB29)))</f>
        <v>223010</v>
      </c>
      <c r="BD30" s="27">
        <f t="shared" ref="BD30:BM30" si="15">B9</f>
        <v>16516</v>
      </c>
      <c r="BE30" s="27">
        <f t="shared" si="15"/>
        <v>12867</v>
      </c>
      <c r="BF30" s="27">
        <f t="shared" si="15"/>
        <v>133336</v>
      </c>
      <c r="BG30" s="27">
        <f t="shared" si="15"/>
        <v>7368</v>
      </c>
      <c r="BH30" s="27">
        <f t="shared" si="15"/>
        <v>223010</v>
      </c>
      <c r="BI30" s="27">
        <f t="shared" si="15"/>
        <v>170535</v>
      </c>
      <c r="BJ30" s="27">
        <f t="shared" si="15"/>
        <v>42466</v>
      </c>
      <c r="BK30" s="27">
        <f t="shared" si="15"/>
        <v>35660</v>
      </c>
      <c r="BL30" s="27">
        <f t="shared" si="15"/>
        <v>53030</v>
      </c>
      <c r="BM30" s="27">
        <f t="shared" si="15"/>
        <v>4750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P31" s="48"/>
      <c r="AQ31" s="48"/>
      <c r="AR31" s="48"/>
      <c r="AS31" s="48"/>
      <c r="AT31" s="48"/>
      <c r="AU31" s="48"/>
      <c r="BA31" s="24" t="s">
        <v>86</v>
      </c>
      <c r="BB31" s="27">
        <f ca="1">IF(BB29=0,0,MIN(OFFSET(BC29,1,1,1,BB29)))</f>
        <v>4750</v>
      </c>
      <c r="BD31" s="22">
        <f t="shared" ref="BD31:BM31" ca="1" si="16">IF(BD30=0,0,LOG(BD30/$BB$31,10))</f>
        <v>0.54121126457779789</v>
      </c>
      <c r="BE31" s="22">
        <f t="shared" ca="1" si="16"/>
        <v>0.43278369133386901</v>
      </c>
      <c r="BF31" s="22">
        <f t="shared" ca="1" si="16"/>
        <v>1.4482538127862135</v>
      </c>
      <c r="BG31" s="22">
        <f t="shared" ca="1" si="16"/>
        <v>0.19065600756392592</v>
      </c>
      <c r="BH31" s="22">
        <f t="shared" ca="1" si="16"/>
        <v>1.6716307280755205</v>
      </c>
      <c r="BI31" s="22">
        <f t="shared" ca="1" si="16"/>
        <v>1.5551199159143905</v>
      </c>
      <c r="BJ31" s="22">
        <f t="shared" ca="1" si="16"/>
        <v>0.95134774579152392</v>
      </c>
      <c r="BK31" s="22">
        <f t="shared" ca="1" si="16"/>
        <v>0.87548772921446927</v>
      </c>
      <c r="BL31" s="22">
        <f t="shared" ca="1" si="16"/>
        <v>1.047828017493696</v>
      </c>
      <c r="BM31" s="22">
        <f t="shared" ca="1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40</v>
      </c>
      <c r="AO32" s="48"/>
      <c r="AP32" s="74">
        <f>IF(DIAG!$T$22,$L$26,-1)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IF(DIAG!$T$22,$C$26,-1)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IF(DIAG!$T$22,$L$27,-1)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IF(DIAG!$T$22,$C$27,-1)</f>
        <v>-1</v>
      </c>
      <c r="BA33" s="22" t="s">
        <v>88</v>
      </c>
      <c r="BB33" s="27">
        <f ca="1">IF(OR(BB29=0,BB30=BB31),1,LOG(BB30/BB31,10))</f>
        <v>1.6716307280755205</v>
      </c>
      <c r="BD33" s="27">
        <f t="shared" ref="BD33:BM33" ca="1" si="17">BD31/$BB$33</f>
        <v>0.32376245272834397</v>
      </c>
      <c r="BE33" s="22">
        <f t="shared" ca="1" si="17"/>
        <v>0.25889910018112378</v>
      </c>
      <c r="BF33" s="27">
        <f t="shared" ca="1" si="17"/>
        <v>0.86637185382056736</v>
      </c>
      <c r="BG33" s="22">
        <f t="shared" ca="1" si="17"/>
        <v>0.11405390219371016</v>
      </c>
      <c r="BH33" s="22">
        <f t="shared" ca="1" si="17"/>
        <v>1</v>
      </c>
      <c r="BI33" s="22">
        <f t="shared" ca="1" si="17"/>
        <v>0.93030110645593111</v>
      </c>
      <c r="BJ33" s="22">
        <f t="shared" ca="1" si="17"/>
        <v>0.56911357862317558</v>
      </c>
      <c r="BK33" s="22">
        <f t="shared" ca="1" si="17"/>
        <v>0.52373273266062903</v>
      </c>
      <c r="BL33" s="22">
        <f t="shared" ca="1" si="17"/>
        <v>0.62682983741272646</v>
      </c>
      <c r="BM33" s="22">
        <f t="shared" ca="1" si="17"/>
        <v>0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  <c r="AO34" s="48"/>
      <c r="AS34" s="48"/>
      <c r="AT34" s="48"/>
      <c r="AU34" s="48"/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42</v>
      </c>
      <c r="AO35" s="48"/>
      <c r="AP35" s="74">
        <f>IF(DIAG!$T$23,$L$26,-1)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IF(DIAG!$T$23,$D$26,-1)</f>
        <v>-1</v>
      </c>
      <c r="BA35" s="22" t="s">
        <v>11</v>
      </c>
      <c r="BD35" s="22">
        <f ca="1">ROUND(10*BD33,0)</f>
        <v>3</v>
      </c>
      <c r="BE35" s="22">
        <f t="shared" ref="BE35:BM35" ca="1" si="20">ROUND(10*BE33,0)</f>
        <v>3</v>
      </c>
      <c r="BF35" s="22">
        <f ca="1">ROUND(10*BF33,0)</f>
        <v>9</v>
      </c>
      <c r="BG35" s="22">
        <f t="shared" ref="BG35" ca="1" si="21">ROUND(10*BG33,0)</f>
        <v>1</v>
      </c>
      <c r="BH35" s="22">
        <f t="shared" ca="1" si="20"/>
        <v>10</v>
      </c>
      <c r="BI35" s="22">
        <f t="shared" ca="1" si="20"/>
        <v>9</v>
      </c>
      <c r="BJ35" s="22">
        <f t="shared" ca="1" si="20"/>
        <v>6</v>
      </c>
      <c r="BK35" s="22">
        <f t="shared" ca="1" si="20"/>
        <v>5</v>
      </c>
      <c r="BL35" s="22">
        <f t="shared" ca="1" si="20"/>
        <v>6</v>
      </c>
      <c r="BM35" s="22">
        <f t="shared" ca="1" si="20"/>
        <v>0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O36" s="48"/>
      <c r="AP36" s="80">
        <f>IF(DIAG!$T$23,$L$27,-1)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IF(DIAG!$T$23,$D$27,-1)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46</v>
      </c>
      <c r="AP38" s="74">
        <f>IF(DIAG!$T$24,$L$26,-1)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IF(DIAG!$T$24,$E$26,-1)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IF(DIAG!$T$24,$L$27,-1)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IF(DIAG!$T$24,$E$27,-1)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49</v>
      </c>
      <c r="AP41" s="74">
        <f>IF(DIAG!$T$25,$L$26,-1)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IF(DIAG!$T$25,$F$26,-1)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IF(DIAG!$T$25,$L$27,-1)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IF(DIAG!$T$25,$F$27,-1)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51</v>
      </c>
      <c r="AP44" s="74">
        <f>IF(DIAG!$T$26,$L$26,-1)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IF(DIAG!$T$26,$G$26,-1)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IF(DIAG!$T$26,$L$27,-1)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IF(DIAG!$T$26,$G$27,-1)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76</v>
      </c>
      <c r="AP47" s="74">
        <f>IF(DIAG!$T$27,$L$26,-1)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IF(DIAG!$T$27,$H$26,-1)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IF(DIAG!$T$27,$L$27,-1)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IF(DIAG!$T$27,$H$27,-1)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0.53291988700628756</v>
      </c>
      <c r="Q50" s="140">
        <f t="shared" si="25"/>
        <v>0.55478034726513814</v>
      </c>
      <c r="R50" s="140">
        <f t="shared" si="25"/>
        <v>3.7498150020865914E-3</v>
      </c>
      <c r="S50" s="140">
        <f t="shared" si="25"/>
        <v>8.6195072761755193E-4</v>
      </c>
      <c r="T50" s="140">
        <f t="shared" ref="T50:Y50" si="26">F26</f>
        <v>0.56251329150824048</v>
      </c>
      <c r="U50" s="140">
        <f t="shared" si="26"/>
        <v>0.13391438647665083</v>
      </c>
      <c r="V50" s="140">
        <f t="shared" si="26"/>
        <v>0.33832622448038058</v>
      </c>
      <c r="W50" s="140">
        <f t="shared" si="26"/>
        <v>6.8485463787777033E-3</v>
      </c>
      <c r="X50" s="140">
        <f t="shared" si="26"/>
        <v>-0.49425886329757934</v>
      </c>
      <c r="Y50" s="141">
        <f t="shared" si="26"/>
        <v>-5.22653927897977E-2</v>
      </c>
      <c r="Z50" s="48"/>
      <c r="AA50" s="48"/>
      <c r="AB50" s="48"/>
      <c r="AN50" s="22" t="s">
        <v>77</v>
      </c>
      <c r="AP50" s="74">
        <f>IF(DIAG!$T$28,$L$26,-1)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IF(DIAG!$T$28,$I$26,-1)</f>
        <v>-1</v>
      </c>
    </row>
    <row r="51" spans="1:59" x14ac:dyDescent="0.2">
      <c r="A51" s="123"/>
      <c r="N51" s="107" t="str">
        <f>B5</f>
        <v xml:space="preserve"> 1-Thayna</v>
      </c>
      <c r="O51" s="107"/>
      <c r="P51" s="108">
        <f>B27</f>
        <v>7.477597481230322E-2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IF(DIAG!$T$28,$L$27,-1)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IF(DIAG!$T$28,$I$27,-1)</f>
        <v>-1</v>
      </c>
    </row>
    <row r="52" spans="1:59" x14ac:dyDescent="0.2">
      <c r="A52" s="123"/>
      <c r="N52" s="107" t="str">
        <f>C5</f>
        <v xml:space="preserve"> 2-Henrique</v>
      </c>
      <c r="O52" s="107"/>
      <c r="P52" s="107"/>
      <c r="Q52" s="108">
        <f>C27</f>
        <v>1.1269138105230435E-2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>
        <f>D27</f>
        <v>0.97405051898962025</v>
      </c>
      <c r="S53" s="107"/>
      <c r="T53" s="107"/>
      <c r="U53" s="107"/>
      <c r="V53" s="107"/>
      <c r="W53" s="107"/>
      <c r="X53" s="107"/>
      <c r="Y53" s="137"/>
      <c r="AN53" s="22" t="s">
        <v>78</v>
      </c>
      <c r="AP53" s="74">
        <f>IF(DIAG!$T$29,$L$26,-1)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IF(DIAG!$T$29,$J$26,-1)</f>
        <v>-1</v>
      </c>
    </row>
    <row r="54" spans="1:59" x14ac:dyDescent="0.2">
      <c r="A54" s="123"/>
      <c r="N54" s="107" t="str">
        <f>E5</f>
        <v xml:space="preserve"> 4-Bianca</v>
      </c>
      <c r="O54" s="107"/>
      <c r="P54" s="107"/>
      <c r="Q54" s="107"/>
      <c r="R54" s="107"/>
      <c r="S54" s="108">
        <f>E27</f>
        <v>0.40540173724212814</v>
      </c>
      <c r="T54" s="107"/>
      <c r="U54" s="107"/>
      <c r="V54" s="107"/>
      <c r="W54" s="107"/>
      <c r="X54" s="107"/>
      <c r="Y54" s="137"/>
      <c r="AP54" s="80">
        <f>IF(DIAG!$T$29,$L$27,-1)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IF(DIAG!$T$29,$J$27,-1)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6-Biagio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  <c r="AN56" s="22" t="s">
        <v>79</v>
      </c>
      <c r="AP56" s="74">
        <f>IF(DIAG!$T$30,$L$26,-1)</f>
        <v>-1</v>
      </c>
      <c r="AQ56" s="75">
        <f>AP56+(AY56-AP56)/9</f>
        <v>-1</v>
      </c>
      <c r="AR56" s="75">
        <f>AQ56+(AY56-AQ56)/8</f>
        <v>-1</v>
      </c>
      <c r="AS56" s="75">
        <v>-0.5</v>
      </c>
      <c r="AT56" s="75">
        <v>-1</v>
      </c>
      <c r="AU56" s="75"/>
      <c r="AV56" s="75"/>
      <c r="AW56" s="75"/>
      <c r="AX56" s="75">
        <f>AW56+(AY56-AW56)/2</f>
        <v>-0.5</v>
      </c>
      <c r="AY56" s="76">
        <f>IF(DIAG!$T$30,$K$26,-1)</f>
        <v>-1</v>
      </c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7-Cecilia</v>
      </c>
      <c r="O57" s="107"/>
      <c r="P57" s="107"/>
      <c r="Q57" s="107"/>
      <c r="R57" s="107"/>
      <c r="S57" s="107"/>
      <c r="T57" s="108">
        <f>F27</f>
        <v>2.375229810322407E-2</v>
      </c>
      <c r="U57" s="108">
        <f>G27</f>
        <v>0.74762365496818839</v>
      </c>
      <c r="V57" s="108">
        <f>H27</f>
        <v>0.41042245561154805</v>
      </c>
      <c r="W57" s="107"/>
      <c r="X57" s="107"/>
      <c r="Y57" s="137"/>
      <c r="AP57" s="80">
        <f>IF(DIAG!$T$30,$L$27,-1)</f>
        <v>-1</v>
      </c>
      <c r="AQ57" s="81">
        <f>AP57+(AY57-AP57)/9</f>
        <v>-1</v>
      </c>
      <c r="AR57" s="81">
        <f>AQ57+(AY57-AQ57)/8</f>
        <v>-1</v>
      </c>
      <c r="AS57" s="81">
        <v>-0.5</v>
      </c>
      <c r="AT57" s="81">
        <v>-1</v>
      </c>
      <c r="AU57" s="81"/>
      <c r="AV57" s="81"/>
      <c r="AW57" s="81"/>
      <c r="AX57" s="81">
        <f>AW57+(AY57-AW57)/2</f>
        <v>-0.5</v>
      </c>
      <c r="AY57" s="82">
        <f>IF(DIAG!$T$30,$K$27,-1)</f>
        <v>-1</v>
      </c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5.0196298373527759E-3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7.8747878559306053E-2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0.36378947368421055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-1.7320508075688774</v>
      </c>
      <c r="P65" s="103">
        <f t="shared" si="27"/>
        <v>-1.7320508075688774</v>
      </c>
      <c r="Q65" s="103">
        <f t="shared" si="27"/>
        <v>-1.7320508075688774</v>
      </c>
      <c r="R65" s="103">
        <f t="shared" si="27"/>
        <v>-1.7320508075688774</v>
      </c>
      <c r="S65" s="103">
        <f t="shared" si="27"/>
        <v>-1.7320508075688774</v>
      </c>
      <c r="T65" s="103">
        <f>(2*T66*($M65+1)-$M65-$M65*T66^2)/(SQRT(3)*$M65*(1-T66))</f>
        <v>-1.7320508075688774</v>
      </c>
      <c r="U65" s="103">
        <f>(2*U66*($M65+1)-$M65-$M65*U66^2)/(SQRT(3)*$M65*(1-U66))</f>
        <v>-1.7320508075688774</v>
      </c>
      <c r="V65" s="103">
        <f t="shared" si="27"/>
        <v>-1.7320508075688774</v>
      </c>
      <c r="W65" s="103">
        <f t="shared" si="27"/>
        <v>-1.7320508075688774</v>
      </c>
      <c r="X65" s="103">
        <f t="shared" si="27"/>
        <v>-1.7320508075688774</v>
      </c>
      <c r="Y65" s="103">
        <f t="shared" si="27"/>
        <v>-1.7320508075688774</v>
      </c>
      <c r="Z65" s="103">
        <f t="shared" si="27"/>
        <v>-1.7320508075688774</v>
      </c>
      <c r="AA65" s="103">
        <f t="shared" si="27"/>
        <v>-1.7320508075688774</v>
      </c>
      <c r="AB65" s="103">
        <f t="shared" si="27"/>
        <v>-1.7320508075688774</v>
      </c>
      <c r="AC65" s="103">
        <f t="shared" si="27"/>
        <v>-1.7320508075688774</v>
      </c>
      <c r="AD65" s="103">
        <f t="shared" si="27"/>
        <v>-1.7320508075688774</v>
      </c>
      <c r="AE65" s="103">
        <f t="shared" si="27"/>
        <v>-1.7320508075688774</v>
      </c>
      <c r="AF65" s="103">
        <f t="shared" si="27"/>
        <v>-1.7320508075688774</v>
      </c>
      <c r="AG65" s="143">
        <f t="shared" si="27"/>
        <v>-1.7320508075688774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-1</v>
      </c>
      <c r="P66" s="128">
        <f>IF(DIAG!$T$48,$AG$67*P75,-1)</f>
        <v>-1</v>
      </c>
      <c r="Q66" s="128">
        <f>IF(DIAG!$T$48,$AG$67*Q75,-1)</f>
        <v>-1</v>
      </c>
      <c r="R66" s="128">
        <f>IF(DIAG!$T$48,$AG$67*R75,-1)</f>
        <v>-1</v>
      </c>
      <c r="S66" s="128">
        <f>IF(DIAG!$T$48,$AG$67*S75,-1)</f>
        <v>-1</v>
      </c>
      <c r="T66" s="128">
        <f>IF(DIAG!$T$48,$AG$67*T75,-1)</f>
        <v>-1</v>
      </c>
      <c r="U66" s="128">
        <f>IF(DIAG!$T$48,$AG$67*U75,-1)</f>
        <v>-1</v>
      </c>
      <c r="V66" s="128">
        <f>IF(DIAG!$T$48,$AG$67*V75,-1)</f>
        <v>-1</v>
      </c>
      <c r="W66" s="128">
        <f>IF(DIAG!$T$48,$AG$67*W75,-1)</f>
        <v>-1</v>
      </c>
      <c r="X66" s="128">
        <f>IF(DIAG!$T$48,$AG$67*X75,-1)</f>
        <v>-1</v>
      </c>
      <c r="Y66" s="128">
        <f>IF(DIAG!$T$48,$AG$67*Y75,-1)</f>
        <v>-1</v>
      </c>
      <c r="Z66" s="128">
        <f>IF(DIAG!$T$48,$AG$67*Z75,-1)</f>
        <v>-1</v>
      </c>
      <c r="AA66" s="128">
        <f>IF(DIAG!$T$48,$AG$67*AA75,-1)</f>
        <v>-1</v>
      </c>
      <c r="AB66" s="128">
        <f>IF(DIAG!$T$48,$AG$67*AB75,-1)</f>
        <v>-1</v>
      </c>
      <c r="AC66" s="128">
        <f>IF(DIAG!$T$48,$AG$67*AC75,-1)</f>
        <v>-1</v>
      </c>
      <c r="AD66" s="128">
        <f>IF(DIAG!$T$48,$AG$67*AD75,-1)</f>
        <v>-1</v>
      </c>
      <c r="AE66" s="128">
        <f>IF(DIAG!$T$48,$AG$67*AE75,-1)</f>
        <v>-1</v>
      </c>
      <c r="AF66" s="128">
        <f>IF(DIAG!$T$48,$AG$67*AF75,-1)</f>
        <v>-1</v>
      </c>
      <c r="AG66" s="144">
        <f>IF(DIAG!T48,((2*$M$65+1-SQRT(4*$M$65+1))/($M$65*2))*DIAG!$T$48,-1)</f>
        <v>-1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0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-1.2701705922171769</v>
      </c>
      <c r="P69" s="103">
        <f t="shared" si="29"/>
        <v>-1.2701705922171769</v>
      </c>
      <c r="Q69" s="103">
        <f t="shared" si="29"/>
        <v>-1.2701705922171769</v>
      </c>
      <c r="R69" s="103">
        <f t="shared" si="29"/>
        <v>-1.2701705922171769</v>
      </c>
      <c r="S69" s="103">
        <f t="shared" si="29"/>
        <v>-1.2701705922171769</v>
      </c>
      <c r="T69" s="103">
        <f t="shared" si="29"/>
        <v>-1.2701705922171769</v>
      </c>
      <c r="U69" s="103">
        <f t="shared" si="29"/>
        <v>-1.2701705922171769</v>
      </c>
      <c r="V69" s="103">
        <f t="shared" si="29"/>
        <v>-1.2701705922171769</v>
      </c>
      <c r="W69" s="103">
        <f t="shared" si="29"/>
        <v>-1.2701705922171769</v>
      </c>
      <c r="X69" s="103">
        <f t="shared" si="29"/>
        <v>-1.2701705922171769</v>
      </c>
      <c r="Y69" s="103">
        <f t="shared" si="29"/>
        <v>-1.2701705922171769</v>
      </c>
      <c r="Z69" s="103">
        <f t="shared" si="29"/>
        <v>-1.2701705922171769</v>
      </c>
      <c r="AA69" s="103">
        <f t="shared" si="29"/>
        <v>-1.2701705922171769</v>
      </c>
      <c r="AB69" s="103">
        <f t="shared" si="29"/>
        <v>-1.2701705922171769</v>
      </c>
      <c r="AC69" s="103">
        <f t="shared" si="29"/>
        <v>-1.2701705922171769</v>
      </c>
      <c r="AD69" s="103">
        <f t="shared" si="29"/>
        <v>-1.2701705922171769</v>
      </c>
      <c r="AE69" s="103">
        <f t="shared" si="29"/>
        <v>-1.2701705922171769</v>
      </c>
      <c r="AF69" s="103">
        <f t="shared" si="29"/>
        <v>-1.2701705922171769</v>
      </c>
      <c r="AG69" s="143">
        <f t="shared" si="29"/>
        <v>-1.2701705922171769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-1</v>
      </c>
      <c r="P70" s="128">
        <f>IF(DIAG!$T$49,$AG$71*P75,-1)</f>
        <v>-1</v>
      </c>
      <c r="Q70" s="128">
        <f>IF(DIAG!$T$49,$AG$71*Q75,-1)</f>
        <v>-1</v>
      </c>
      <c r="R70" s="128">
        <f>IF(DIAG!$T$49,$AG$71*R75,-1)</f>
        <v>-1</v>
      </c>
      <c r="S70" s="128">
        <f>IF(DIAG!$T$49,$AG$71*S75,-1)</f>
        <v>-1</v>
      </c>
      <c r="T70" s="128">
        <f>IF(DIAG!$T$49,$AG$71*T75,-1)</f>
        <v>-1</v>
      </c>
      <c r="U70" s="128">
        <f>IF(DIAG!$T$49,$AG$71*U75,-1)</f>
        <v>-1</v>
      </c>
      <c r="V70" s="128">
        <f>IF(DIAG!$T$49,$AG$71*V75,-1)</f>
        <v>-1</v>
      </c>
      <c r="W70" s="128">
        <f>IF(DIAG!$T$49,$AG$71*W75,-1)</f>
        <v>-1</v>
      </c>
      <c r="X70" s="128">
        <f>IF(DIAG!$T$49,$AG$71*X75,-1)</f>
        <v>-1</v>
      </c>
      <c r="Y70" s="128">
        <f>IF(DIAG!$T$49,$AG$71*Y75,-1)</f>
        <v>-1</v>
      </c>
      <c r="Z70" s="128">
        <f>IF(DIAG!$T$49,$AG$71*Z75,-1)</f>
        <v>-1</v>
      </c>
      <c r="AA70" s="128">
        <f>IF(DIAG!$T$49,$AG$71*AA75,-1)</f>
        <v>-1</v>
      </c>
      <c r="AB70" s="128">
        <f>IF(DIAG!$T$49,$AG$71*AB75,-1)</f>
        <v>-1</v>
      </c>
      <c r="AC70" s="128">
        <f>IF(DIAG!$T$49,$AG$71*AC75,-1)</f>
        <v>-1</v>
      </c>
      <c r="AD70" s="128">
        <f>IF(DIAG!$T$49,$AG$71*AD75,-1)</f>
        <v>-1</v>
      </c>
      <c r="AE70" s="128">
        <f>IF(DIAG!$T$49,$AG$71*AE75,-1)</f>
        <v>-1</v>
      </c>
      <c r="AF70" s="128">
        <f>IF(DIAG!$T$49,$AG$71*AF75,-1)</f>
        <v>-1</v>
      </c>
      <c r="AG70" s="144">
        <f>IF(DIAG!T49,((2*$M$69+1-SQRT(4*$M$69+1))/($M$69*2))*DIAG!$T$49,-1)</f>
        <v>-1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0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-1.4433756729740645</v>
      </c>
      <c r="P73" s="103">
        <f t="shared" ref="P73:AG73" si="31">(2*P74*($M73+1)-$M73-$M73*P74^2)/(SQRT(3)*$M73*(1-P74))</f>
        <v>-1.4433756729740645</v>
      </c>
      <c r="Q73" s="103">
        <f t="shared" si="31"/>
        <v>-1.4433756729740645</v>
      </c>
      <c r="R73" s="103">
        <f t="shared" si="31"/>
        <v>-1.4433756729740645</v>
      </c>
      <c r="S73" s="103">
        <f t="shared" si="31"/>
        <v>-1.4433756729740645</v>
      </c>
      <c r="T73" s="103">
        <f t="shared" si="31"/>
        <v>-1.4433756729740645</v>
      </c>
      <c r="U73" s="103">
        <f t="shared" si="31"/>
        <v>-1.4433756729740645</v>
      </c>
      <c r="V73" s="103">
        <f>(2*V74*($M73+1)-$M73-$M73*V74^2)/(SQRT(3)*$M73*(1-V74))</f>
        <v>-1.4433756729740645</v>
      </c>
      <c r="W73" s="103">
        <f>(2*W74*($M73+1)-$M73-$M73*W74^2)/(SQRT(3)*$M73*(1-W74))</f>
        <v>-1.4433756729740645</v>
      </c>
      <c r="X73" s="103">
        <f>(2*X74*($M73+1)-$M73-$M73*X74^2)/(SQRT(3)*$M73*(1-X74))</f>
        <v>-1.4433756729740645</v>
      </c>
      <c r="Y73" s="103">
        <f>(2*Y74*($M73+1)-$M73-$M73*Y74^2)/(SQRT(3)*$M73*(1-Y74))</f>
        <v>-1.4433756729740645</v>
      </c>
      <c r="Z73" s="103">
        <f t="shared" si="31"/>
        <v>-1.4433756729740645</v>
      </c>
      <c r="AA73" s="103">
        <f>(2*AA74*($M73+1)-$M73-$M73*AA74^2)/(SQRT(3)*$M73*(1-AA74))</f>
        <v>-1.4433756729740645</v>
      </c>
      <c r="AB73" s="103">
        <f>(2*AB74*($M73+1)-$M73-$M73*AB74^2)/(SQRT(3)*$M73*(1-AB74))</f>
        <v>-1.4433756729740645</v>
      </c>
      <c r="AC73" s="103">
        <f>(2*AC74*($M73+1)-$M73-$M73*AC74^2)/(SQRT(3)*$M73*(1-AC74))</f>
        <v>-1.4433756729740645</v>
      </c>
      <c r="AD73" s="103">
        <f>(2*AD74*($M73+1)-$M73-$M73*AD74^2)/(SQRT(3)*$M73*(1-AD74))</f>
        <v>-1.4433756729740645</v>
      </c>
      <c r="AE73" s="103">
        <f t="shared" si="31"/>
        <v>-1.4433756729740645</v>
      </c>
      <c r="AF73" s="103">
        <f t="shared" si="31"/>
        <v>-1.4433756729740645</v>
      </c>
      <c r="AG73" s="143">
        <f t="shared" si="31"/>
        <v>-1.4433756729740645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-1</v>
      </c>
      <c r="P74" s="124">
        <f>IF(DIAG!$T$50,$AG$75*P75,-1)</f>
        <v>-1</v>
      </c>
      <c r="Q74" s="124">
        <f>IF(DIAG!$T$50,$AG$75*Q75,-1)</f>
        <v>-1</v>
      </c>
      <c r="R74" s="124">
        <f>IF(DIAG!$T$50,$AG$75*R75,-1)</f>
        <v>-1</v>
      </c>
      <c r="S74" s="124">
        <f>IF(DIAG!$T$50,$AG$75*S75,-1)</f>
        <v>-1</v>
      </c>
      <c r="T74" s="124">
        <f>IF(DIAG!$T$50,$AG$75*T75,-1)</f>
        <v>-1</v>
      </c>
      <c r="U74" s="124">
        <f>IF(DIAG!$T$50,$AG$75*U75,-1)</f>
        <v>-1</v>
      </c>
      <c r="V74" s="124">
        <f>IF(DIAG!$T$50,$AG$75*V75,-1)</f>
        <v>-1</v>
      </c>
      <c r="W74" s="124">
        <f>IF(DIAG!$T$50,$AG$75*W75,-1)</f>
        <v>-1</v>
      </c>
      <c r="X74" s="124">
        <f>IF(DIAG!$T$50,$AG$75*X75,-1)</f>
        <v>-1</v>
      </c>
      <c r="Y74" s="124">
        <f>IF(DIAG!$T$50,$AG$75*Y75,-1)</f>
        <v>-1</v>
      </c>
      <c r="Z74" s="124">
        <f>IF(DIAG!$T$50,$AG$75*Z75,-1)</f>
        <v>-1</v>
      </c>
      <c r="AA74" s="124">
        <f>IF(DIAG!$T$50,$AG$75*AA75,-1)</f>
        <v>-1</v>
      </c>
      <c r="AB74" s="124">
        <f>IF(DIAG!$T$50,$AG$75*AB75,-1)</f>
        <v>-1</v>
      </c>
      <c r="AC74" s="124">
        <f>IF(DIAG!$T$50,$AG$75*AC75,-1)</f>
        <v>-1</v>
      </c>
      <c r="AD74" s="124">
        <f>IF(DIAG!$T$50,$AG$75*AD75,-1)</f>
        <v>-1</v>
      </c>
      <c r="AE74" s="124">
        <f>IF(DIAG!$T$50,$AG$75*AE75,-1)</f>
        <v>-1</v>
      </c>
      <c r="AF74" s="124">
        <f>IF(DIAG!$T$50,$AG$75*AF75,-1)</f>
        <v>-1</v>
      </c>
      <c r="AG74" s="144">
        <f>IF(DIAG!T50,((2*$M$73+1-SQRT(4*$M$73+1))/($M$73*2))*DIAG!$T$50,-1)</f>
        <v>-1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0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0.53291988700628756</v>
      </c>
      <c r="B79" s="156">
        <f>VLOOKUP(B78,A27:K27,DIAG!$T$58+1,0)</f>
        <v>7.477597481230322E-2</v>
      </c>
      <c r="E79" s="155">
        <f>VLOOKUP(E78,A26:K26,DIAG!$W$56+1,0)</f>
        <v>0.53291988700628756</v>
      </c>
      <c r="F79" s="156">
        <f>VLOOKUP(F78,A27:K27,DIAG!$W$56+1,0)</f>
        <v>7.477597481230322E-2</v>
      </c>
      <c r="G79" s="155">
        <f>VLOOKUP(G78,A26:K26,DIAG!$W$58+1,0)</f>
        <v>3.7498150020865914E-3</v>
      </c>
      <c r="H79" s="156">
        <f>VLOOKUP(H78,A27:K27,DIAG!$W$58+1,0)</f>
        <v>0.97405051898962025</v>
      </c>
      <c r="N79" s="23" t="s">
        <v>123</v>
      </c>
      <c r="O79" s="43">
        <f>IF(A79&lt;&gt;0,O35,0)</f>
        <v>-0.57735026918962584</v>
      </c>
      <c r="P79" s="43">
        <f>IF(A79&lt;&gt;0,P35,0)</f>
        <v>-0.51961524227066325</v>
      </c>
      <c r="Q79" s="43">
        <f>IF(A79&lt;&gt;0,Q35,0)</f>
        <v>-0.46188021535170065</v>
      </c>
      <c r="R79" s="43">
        <f>IF(A79&lt;&gt;0,R35,0)</f>
        <v>-0.40414518843273811</v>
      </c>
      <c r="S79" s="43">
        <f>IF(A79&lt;&gt;0,S35,0)</f>
        <v>-0.34641016151377552</v>
      </c>
      <c r="T79" s="43">
        <f>IF(A79&lt;&gt;0,T35,0)</f>
        <v>-0.17320508075688779</v>
      </c>
      <c r="U79" s="43">
        <f>IF(A79&lt;&gt;0,U35,0)</f>
        <v>-0.17320508075688779</v>
      </c>
      <c r="V79" s="43">
        <f>IF(A79&lt;&gt;0,V35,0)</f>
        <v>-0.17320508075688779</v>
      </c>
      <c r="W79" s="43">
        <f>IF(A79&lt;&gt;0,W35,0)</f>
        <v>-0.11547005383792519</v>
      </c>
      <c r="X79" s="43">
        <f>IF(A79&lt;&gt;0,X35,0)</f>
        <v>-5.7735026918962595E-2</v>
      </c>
      <c r="Y79" s="43">
        <f>IF(A79&lt;&gt;0,Y35,0)</f>
        <v>0</v>
      </c>
      <c r="Z79" s="43">
        <f>IF(A79&lt;&gt;0,Z35,0)</f>
        <v>5.7735026918962595E-2</v>
      </c>
      <c r="AA79" s="43">
        <f>IF(A79&lt;&gt;0,AA35,0)</f>
        <v>0.11547005383792519</v>
      </c>
      <c r="AB79" s="43">
        <f>IF(A79&lt;&gt;0,AB35,0)</f>
        <v>0.17320508075688779</v>
      </c>
      <c r="AC79" s="43">
        <f>IF(A79&lt;&gt;0,AC35,0)</f>
        <v>0.23094010767585038</v>
      </c>
      <c r="AD79" s="43">
        <f>IF(A79&lt;&gt;0,AD35,0)</f>
        <v>0.28867513459481292</v>
      </c>
      <c r="AE79" s="43">
        <f>IF(A79&lt;&gt;0,AE35,0)</f>
        <v>0.34641016151377552</v>
      </c>
      <c r="AF79" s="43">
        <f>IF(A79&lt;&gt;0,AF35,0)</f>
        <v>0.40414518843273811</v>
      </c>
      <c r="AG79" s="43">
        <f>IF(A79&lt;&gt;0,AG35,0)</f>
        <v>0.46188021535170065</v>
      </c>
      <c r="AH79" s="43">
        <f>IF(A79&lt;&gt;0,AH35,0)</f>
        <v>0.51961524227066325</v>
      </c>
      <c r="AI79" s="154">
        <f>IF(A79&lt;&gt;0,AI35,0)</f>
        <v>0.57735026918962584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6.7349351322299772E-2</v>
      </c>
      <c r="D80" s="43">
        <f>(B80*(A80-$E$79)-A80*(B80-$F$79))/(A80-$E$79)</f>
        <v>3.8884166115676459E-2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>
        <f>(B81-$H$79)/(A81-$G$79)</f>
        <v>-1.6981341487417188</v>
      </c>
      <c r="D81" s="43">
        <f>(B81*(A81-$G$79)-A81*(B81-$H$79))/(A81-$G$79)</f>
        <v>0.98041820789612744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>
        <f>(B82-$B$79)/(A82-$A$79)</f>
        <v>-1.7361409242676296</v>
      </c>
      <c r="D82" s="43">
        <f>(B82*(A82-$A$79)-A82*(B82-$B$79))/(A82-$A$79)</f>
        <v>1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>
        <f>(R95-D82)/C82</f>
        <v>0.57599010888003699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>
        <f>SQRT((R94-S94)^2+(R95-S95)^2)</f>
        <v>1.1540210593952074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Andre Gomes de Lira Muniz</cp:lastModifiedBy>
  <cp:lastPrinted>2023-04-18T23:44:02Z</cp:lastPrinted>
  <dcterms:created xsi:type="dcterms:W3CDTF">2003-07-04T14:12:44Z</dcterms:created>
  <dcterms:modified xsi:type="dcterms:W3CDTF">2023-04-21T00:24:04Z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