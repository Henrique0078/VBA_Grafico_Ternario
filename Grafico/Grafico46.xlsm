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K:\André\Grafico\"/>
    </mc:Choice>
  </mc:AlternateContent>
  <xr:revisionPtr revIDLastSave="0" documentId="13_ncr:1_{CF9665AB-A0AC-4E3B-AB42-A34CDB25B716}" xr6:coauthVersionLast="47" xr6:coauthVersionMax="47" xr10:uidLastSave="{00000000-0000-0000-0000-000000000000}"/>
  <workbookProtection lockWindows="1"/>
  <bookViews>
    <workbookView xWindow="-120" yWindow="-120" windowWidth="20730" windowHeight="11160" xr2:uid="{00000000-000D-0000-FFFF-FFFF00000000}"/>
  </bookViews>
  <sheets>
    <sheet name="DIAG" sheetId="1" r:id="rId1"/>
    <sheet name="Resumo" sheetId="4" r:id="rId2"/>
    <sheet name="Entrada_de_Dados_2" sheetId="8" r:id="rId3"/>
    <sheet name="Diagrama" sheetId="6" r:id="rId4"/>
    <sheet name="Espelho" sheetId="7" state="hidden" r:id="rId5"/>
  </sheets>
  <externalReferences>
    <externalReference r:id="rId6"/>
  </externalReferences>
  <definedNames>
    <definedName name="_xlnm.Print_Area" localSheetId="3">Diagrama!$A$4:$AD$30</definedName>
    <definedName name="_xlnm.Print_Titles" localSheetId="1">Resumo!$1:$1</definedName>
  </definedNames>
  <calcPr calcId="191029" iterate="1"/>
</workbook>
</file>

<file path=xl/calcChain.xml><?xml version="1.0" encoding="utf-8"?>
<calcChain xmlns="http://schemas.openxmlformats.org/spreadsheetml/2006/main">
  <c r="GY30" i="6" l="1"/>
  <c r="GZ30" i="6"/>
  <c r="HA30" i="6"/>
  <c r="HB30" i="6"/>
  <c r="HC30" i="6"/>
  <c r="HD30" i="6"/>
  <c r="HE30" i="6"/>
  <c r="HF30" i="6"/>
  <c r="HG30" i="6"/>
  <c r="HH30" i="6"/>
  <c r="HI30" i="6"/>
  <c r="HJ30" i="6"/>
  <c r="HK30" i="6"/>
  <c r="HL30" i="6"/>
  <c r="HM30" i="6"/>
  <c r="HN30" i="6"/>
  <c r="HO30" i="6"/>
  <c r="HP30" i="6"/>
  <c r="HQ30" i="6"/>
  <c r="HR30" i="6"/>
  <c r="HS30" i="6"/>
  <c r="HT30" i="6"/>
  <c r="HU30" i="6"/>
  <c r="HV30" i="6"/>
  <c r="HW30" i="6"/>
  <c r="HX30" i="6"/>
  <c r="HY30" i="6"/>
  <c r="HZ30" i="6"/>
  <c r="IA30" i="6"/>
  <c r="IB30" i="6"/>
  <c r="IC30" i="6"/>
  <c r="ID30" i="6"/>
  <c r="IE30" i="6"/>
  <c r="IF30" i="6"/>
  <c r="IG30" i="6"/>
  <c r="IH30" i="6"/>
  <c r="II30" i="6"/>
  <c r="IJ30" i="6"/>
  <c r="IK30" i="6"/>
  <c r="IL30" i="6"/>
  <c r="IM30" i="6"/>
  <c r="IN30" i="6"/>
  <c r="IO30" i="6"/>
  <c r="IP30" i="6"/>
  <c r="IQ30" i="6"/>
  <c r="IR30" i="6"/>
  <c r="IS30" i="6"/>
  <c r="IT30" i="6"/>
  <c r="IU30" i="6"/>
  <c r="BN30" i="6"/>
  <c r="BO30" i="6"/>
  <c r="BP30" i="6"/>
  <c r="BQ30" i="6"/>
  <c r="BR30" i="6"/>
  <c r="BS30" i="6"/>
  <c r="BT30" i="6"/>
  <c r="BU30" i="6"/>
  <c r="BV30" i="6"/>
  <c r="BW30" i="6"/>
  <c r="BX30" i="6"/>
  <c r="BY30" i="6"/>
  <c r="BZ30" i="6"/>
  <c r="CA30" i="6"/>
  <c r="CB30" i="6"/>
  <c r="CC30" i="6"/>
  <c r="CD30" i="6"/>
  <c r="CE30" i="6"/>
  <c r="CF30" i="6"/>
  <c r="CG30" i="6"/>
  <c r="CH30" i="6"/>
  <c r="CI30" i="6"/>
  <c r="CJ30" i="6"/>
  <c r="CK30" i="6"/>
  <c r="CL30" i="6"/>
  <c r="CM30" i="6"/>
  <c r="CN30" i="6"/>
  <c r="CO30" i="6"/>
  <c r="CP30" i="6"/>
  <c r="CQ30" i="6"/>
  <c r="CR30" i="6"/>
  <c r="CS30" i="6"/>
  <c r="CT30" i="6"/>
  <c r="CU30" i="6"/>
  <c r="CV30" i="6"/>
  <c r="CW30" i="6"/>
  <c r="CX30" i="6"/>
  <c r="CY30" i="6"/>
  <c r="CZ30" i="6"/>
  <c r="DA30" i="6"/>
  <c r="DB30" i="6"/>
  <c r="DC30" i="6"/>
  <c r="DD30" i="6"/>
  <c r="DE30" i="6"/>
  <c r="DF30" i="6"/>
  <c r="DG30" i="6"/>
  <c r="DH30" i="6"/>
  <c r="DI30" i="6"/>
  <c r="DJ30" i="6"/>
  <c r="DK30" i="6"/>
  <c r="DL30" i="6"/>
  <c r="DM30" i="6"/>
  <c r="DN30" i="6"/>
  <c r="DO30" i="6"/>
  <c r="DP30" i="6"/>
  <c r="DQ30" i="6"/>
  <c r="DR30" i="6"/>
  <c r="DS30" i="6"/>
  <c r="DT30" i="6"/>
  <c r="DU30" i="6"/>
  <c r="DV30" i="6"/>
  <c r="DW30" i="6"/>
  <c r="DX30" i="6"/>
  <c r="DY30" i="6"/>
  <c r="DZ30" i="6"/>
  <c r="EA30" i="6"/>
  <c r="EB30" i="6"/>
  <c r="EC30" i="6"/>
  <c r="ED30" i="6"/>
  <c r="EE30" i="6"/>
  <c r="EF30" i="6"/>
  <c r="EG30" i="6"/>
  <c r="EH30" i="6"/>
  <c r="EI30" i="6"/>
  <c r="EJ30" i="6"/>
  <c r="EK30" i="6"/>
  <c r="EL30" i="6"/>
  <c r="EM30" i="6"/>
  <c r="EN30" i="6"/>
  <c r="EO30" i="6"/>
  <c r="EP30" i="6"/>
  <c r="EQ30" i="6"/>
  <c r="ER30" i="6"/>
  <c r="ES30" i="6"/>
  <c r="ET30" i="6"/>
  <c r="EU30" i="6"/>
  <c r="EV30" i="6"/>
  <c r="EW30" i="6"/>
  <c r="EX30" i="6"/>
  <c r="EY30" i="6"/>
  <c r="EZ30" i="6"/>
  <c r="FA30" i="6"/>
  <c r="FB30" i="6"/>
  <c r="FC30" i="6"/>
  <c r="FD30" i="6"/>
  <c r="FE30" i="6"/>
  <c r="FF30" i="6"/>
  <c r="FG30" i="6"/>
  <c r="FH30" i="6"/>
  <c r="FI30" i="6"/>
  <c r="FJ30" i="6"/>
  <c r="FK30" i="6"/>
  <c r="FL30" i="6"/>
  <c r="FM30" i="6"/>
  <c r="FN30" i="6"/>
  <c r="FO30" i="6"/>
  <c r="FP30" i="6"/>
  <c r="FQ30" i="6"/>
  <c r="FR30" i="6"/>
  <c r="FS30" i="6"/>
  <c r="FT30" i="6"/>
  <c r="FU30" i="6"/>
  <c r="FV30" i="6"/>
  <c r="FW30" i="6"/>
  <c r="FX30" i="6"/>
  <c r="FY30" i="6"/>
  <c r="FZ30" i="6"/>
  <c r="GA30" i="6"/>
  <c r="GB30" i="6"/>
  <c r="GC30" i="6"/>
  <c r="GD30" i="6"/>
  <c r="GE30" i="6"/>
  <c r="GF30" i="6"/>
  <c r="GG30" i="6"/>
  <c r="GH30" i="6"/>
  <c r="GI30" i="6"/>
  <c r="GJ30" i="6"/>
  <c r="GK30" i="6"/>
  <c r="GL30" i="6"/>
  <c r="GM30" i="6"/>
  <c r="GN30" i="6"/>
  <c r="GO30" i="6"/>
  <c r="GP30" i="6"/>
  <c r="GQ30" i="6"/>
  <c r="GR30" i="6"/>
  <c r="GS30" i="6"/>
  <c r="GT30" i="6"/>
  <c r="GU30" i="6"/>
  <c r="GV30" i="6"/>
  <c r="GW30" i="6"/>
  <c r="GX30" i="6"/>
  <c r="S37" i="6"/>
  <c r="T37" i="6"/>
  <c r="U37" i="6"/>
  <c r="V37" i="6"/>
  <c r="S35" i="6"/>
  <c r="T35" i="6"/>
  <c r="U35" i="6"/>
  <c r="V35" i="6"/>
  <c r="W35" i="6"/>
  <c r="T74" i="6" l="1"/>
  <c r="U74" i="6"/>
  <c r="T70" i="6"/>
  <c r="U70" i="6"/>
  <c r="T66" i="6"/>
  <c r="U66" i="6"/>
  <c r="W58" i="6"/>
  <c r="T57" i="6"/>
  <c r="T50" i="6"/>
  <c r="U50" i="6"/>
  <c r="T47" i="6"/>
  <c r="U47" i="6"/>
  <c r="T46" i="6"/>
  <c r="U46" i="6"/>
  <c r="T45" i="6"/>
  <c r="U45" i="6"/>
  <c r="AP39" i="6" l="1"/>
  <c r="AP38" i="6"/>
  <c r="GS440" i="1"/>
  <c r="GR440" i="1"/>
  <c r="GQ440" i="1"/>
  <c r="GP440" i="1"/>
  <c r="GO440" i="1"/>
  <c r="GN440" i="1"/>
  <c r="GM440" i="1"/>
  <c r="GL440" i="1"/>
  <c r="GK440" i="1"/>
  <c r="GJ440" i="1"/>
  <c r="GI440" i="1"/>
  <c r="GH440" i="1"/>
  <c r="GG440" i="1"/>
  <c r="GF440" i="1"/>
  <c r="GE440" i="1"/>
  <c r="GD440" i="1"/>
  <c r="GC440" i="1"/>
  <c r="GB440" i="1"/>
  <c r="GA440" i="1"/>
  <c r="FZ440" i="1"/>
  <c r="FY440" i="1"/>
  <c r="FX440" i="1"/>
  <c r="FW440" i="1"/>
  <c r="FV440" i="1"/>
  <c r="FU440" i="1"/>
  <c r="FT440" i="1"/>
  <c r="FS440" i="1"/>
  <c r="FR440" i="1"/>
  <c r="FQ440" i="1"/>
  <c r="FP440" i="1"/>
  <c r="FO440" i="1"/>
  <c r="FN440" i="1"/>
  <c r="FM440" i="1"/>
  <c r="FL440" i="1"/>
  <c r="FK440" i="1"/>
  <c r="FJ440" i="1"/>
  <c r="FI440" i="1"/>
  <c r="FH440" i="1"/>
  <c r="FG440" i="1"/>
  <c r="FF440" i="1"/>
  <c r="FE440" i="1"/>
  <c r="FD440" i="1"/>
  <c r="FC440" i="1"/>
  <c r="FB440" i="1"/>
  <c r="FA440" i="1"/>
  <c r="EZ440" i="1"/>
  <c r="EY440" i="1"/>
  <c r="EX440" i="1"/>
  <c r="EW440" i="1"/>
  <c r="EV440" i="1"/>
  <c r="EU440" i="1"/>
  <c r="ET440" i="1"/>
  <c r="ES440" i="1"/>
  <c r="ER440" i="1"/>
  <c r="EQ440" i="1"/>
  <c r="EP440" i="1"/>
  <c r="EO440" i="1"/>
  <c r="EN440" i="1"/>
  <c r="EM440" i="1"/>
  <c r="EL440" i="1"/>
  <c r="EK440" i="1"/>
  <c r="EJ440" i="1"/>
  <c r="EI440" i="1"/>
  <c r="EH440" i="1"/>
  <c r="EG440" i="1"/>
  <c r="EF440" i="1"/>
  <c r="EE440" i="1"/>
  <c r="ED440" i="1"/>
  <c r="EC440" i="1"/>
  <c r="EB440" i="1"/>
  <c r="EA440" i="1"/>
  <c r="DZ440" i="1"/>
  <c r="DY440" i="1"/>
  <c r="DX440" i="1"/>
  <c r="DW440" i="1"/>
  <c r="DV440" i="1"/>
  <c r="DU440" i="1"/>
  <c r="DT440" i="1"/>
  <c r="DS440" i="1"/>
  <c r="DR440" i="1"/>
  <c r="DQ440" i="1"/>
  <c r="DP440" i="1"/>
  <c r="DO440" i="1"/>
  <c r="DN440" i="1"/>
  <c r="DM440" i="1"/>
  <c r="DL440" i="1"/>
  <c r="DK440" i="1"/>
  <c r="DJ440" i="1"/>
  <c r="DI440" i="1"/>
  <c r="DH440" i="1"/>
  <c r="DG440" i="1"/>
  <c r="DF440" i="1"/>
  <c r="DE440" i="1"/>
  <c r="DD440" i="1"/>
  <c r="DC440" i="1"/>
  <c r="DB440" i="1"/>
  <c r="DA440" i="1"/>
  <c r="CZ440" i="1"/>
  <c r="CY440" i="1"/>
  <c r="CX440" i="1"/>
  <c r="CW440" i="1"/>
  <c r="CV440" i="1"/>
  <c r="CU440" i="1"/>
  <c r="CT440" i="1"/>
  <c r="CS440" i="1"/>
  <c r="CR440" i="1"/>
  <c r="CQ440" i="1"/>
  <c r="CP440" i="1"/>
  <c r="CO440" i="1"/>
  <c r="CN440" i="1"/>
  <c r="CM440" i="1"/>
  <c r="CL440" i="1"/>
  <c r="CK440" i="1"/>
  <c r="CJ440" i="1"/>
  <c r="CI440" i="1"/>
  <c r="CH440" i="1"/>
  <c r="CG440" i="1"/>
  <c r="CF440" i="1"/>
  <c r="CE440" i="1"/>
  <c r="CD440" i="1"/>
  <c r="CC440" i="1"/>
  <c r="CB440" i="1"/>
  <c r="CA440" i="1"/>
  <c r="BZ440" i="1"/>
  <c r="BY440" i="1"/>
  <c r="BX440" i="1"/>
  <c r="BW440" i="1"/>
  <c r="BV440" i="1"/>
  <c r="BU440" i="1"/>
  <c r="BT440" i="1"/>
  <c r="BS440" i="1"/>
  <c r="BR440" i="1"/>
  <c r="BQ440" i="1"/>
  <c r="BP440" i="1"/>
  <c r="BO440" i="1"/>
  <c r="BN440" i="1"/>
  <c r="BM440" i="1"/>
  <c r="BL440" i="1"/>
  <c r="BK440" i="1"/>
  <c r="BJ440" i="1"/>
  <c r="BI440" i="1"/>
  <c r="BH440" i="1"/>
  <c r="BG440" i="1"/>
  <c r="BF440" i="1"/>
  <c r="BE440" i="1"/>
  <c r="BD440" i="1"/>
  <c r="BC440" i="1"/>
  <c r="BB440" i="1"/>
  <c r="BA440" i="1"/>
  <c r="AZ440" i="1"/>
  <c r="AY440" i="1"/>
  <c r="AX440" i="1"/>
  <c r="AW440" i="1"/>
  <c r="AV440" i="1"/>
  <c r="AU440" i="1"/>
  <c r="AT440" i="1"/>
  <c r="AS440" i="1"/>
  <c r="AR440" i="1"/>
  <c r="AQ440" i="1"/>
  <c r="AP440" i="1"/>
  <c r="AO440" i="1"/>
  <c r="AN440" i="1"/>
  <c r="AM440" i="1"/>
  <c r="AL440" i="1"/>
  <c r="AK440" i="1"/>
  <c r="GS442" i="1"/>
  <c r="GR442" i="1"/>
  <c r="GQ442" i="1"/>
  <c r="GP442" i="1"/>
  <c r="GO442" i="1"/>
  <c r="GN442" i="1"/>
  <c r="GM442" i="1"/>
  <c r="GL442" i="1"/>
  <c r="GK442" i="1"/>
  <c r="GJ442" i="1"/>
  <c r="GI442" i="1"/>
  <c r="GH442" i="1"/>
  <c r="GG442" i="1"/>
  <c r="GF442" i="1"/>
  <c r="GE442" i="1"/>
  <c r="GD442" i="1"/>
  <c r="GC442" i="1"/>
  <c r="GB442" i="1"/>
  <c r="GA442" i="1"/>
  <c r="FZ442" i="1"/>
  <c r="FY442" i="1"/>
  <c r="FX442" i="1"/>
  <c r="FW442" i="1"/>
  <c r="FV442" i="1"/>
  <c r="FU442" i="1"/>
  <c r="FT442" i="1"/>
  <c r="FS442" i="1"/>
  <c r="FR442" i="1"/>
  <c r="FQ442" i="1"/>
  <c r="FP442" i="1"/>
  <c r="FO442" i="1"/>
  <c r="FN442" i="1"/>
  <c r="FM442" i="1"/>
  <c r="FL442" i="1"/>
  <c r="FK442" i="1"/>
  <c r="FJ442" i="1"/>
  <c r="FI442" i="1"/>
  <c r="FH442" i="1"/>
  <c r="FG442" i="1"/>
  <c r="FF442" i="1"/>
  <c r="FE442" i="1"/>
  <c r="FD442" i="1"/>
  <c r="FC442" i="1"/>
  <c r="FB442" i="1"/>
  <c r="FA442" i="1"/>
  <c r="EZ442" i="1"/>
  <c r="EY442" i="1"/>
  <c r="EX442" i="1"/>
  <c r="EW442" i="1"/>
  <c r="EV442" i="1"/>
  <c r="EU442" i="1"/>
  <c r="ET442" i="1"/>
  <c r="ES442" i="1"/>
  <c r="ER442" i="1"/>
  <c r="EQ442" i="1"/>
  <c r="EP442" i="1"/>
  <c r="EO442" i="1"/>
  <c r="EN442" i="1"/>
  <c r="EM442" i="1"/>
  <c r="EL442" i="1"/>
  <c r="EK442" i="1"/>
  <c r="EJ442" i="1"/>
  <c r="EI442" i="1"/>
  <c r="EH442" i="1"/>
  <c r="EG442" i="1"/>
  <c r="EF442" i="1"/>
  <c r="EE442" i="1"/>
  <c r="ED442" i="1"/>
  <c r="EC442" i="1"/>
  <c r="EB442" i="1"/>
  <c r="EA442" i="1"/>
  <c r="DZ442" i="1"/>
  <c r="DY442" i="1"/>
  <c r="DX442" i="1"/>
  <c r="DW442" i="1"/>
  <c r="DV442" i="1"/>
  <c r="DU442" i="1"/>
  <c r="DT442" i="1"/>
  <c r="DS442" i="1"/>
  <c r="DR442" i="1"/>
  <c r="DQ442" i="1"/>
  <c r="DP442" i="1"/>
  <c r="DO442" i="1"/>
  <c r="DN442" i="1"/>
  <c r="DM442" i="1"/>
  <c r="DL442" i="1"/>
  <c r="DK442" i="1"/>
  <c r="DJ442" i="1"/>
  <c r="DI442" i="1"/>
  <c r="DH442" i="1"/>
  <c r="DG442" i="1"/>
  <c r="DF442" i="1"/>
  <c r="DE442" i="1"/>
  <c r="DD442" i="1"/>
  <c r="DC442" i="1"/>
  <c r="DB442" i="1"/>
  <c r="DA442" i="1"/>
  <c r="CZ442" i="1"/>
  <c r="CY442" i="1"/>
  <c r="CX442" i="1"/>
  <c r="CW442" i="1"/>
  <c r="CV442" i="1"/>
  <c r="CU442" i="1"/>
  <c r="CT442" i="1"/>
  <c r="CS442" i="1"/>
  <c r="CR442" i="1"/>
  <c r="CQ442" i="1"/>
  <c r="CP442" i="1"/>
  <c r="CO442" i="1"/>
  <c r="CN442" i="1"/>
  <c r="CM442" i="1"/>
  <c r="CL442" i="1"/>
  <c r="CK442" i="1"/>
  <c r="CJ442" i="1"/>
  <c r="CI442" i="1"/>
  <c r="CH442" i="1"/>
  <c r="CG442" i="1"/>
  <c r="CF442" i="1"/>
  <c r="CE442" i="1"/>
  <c r="CD442" i="1"/>
  <c r="CC442" i="1"/>
  <c r="CB442" i="1"/>
  <c r="CA442" i="1"/>
  <c r="BZ442" i="1"/>
  <c r="BY442" i="1"/>
  <c r="BX442" i="1"/>
  <c r="BW442" i="1"/>
  <c r="BV442" i="1"/>
  <c r="BU442" i="1"/>
  <c r="BT442" i="1"/>
  <c r="BS442" i="1"/>
  <c r="BR442" i="1"/>
  <c r="BQ442" i="1"/>
  <c r="BP442" i="1"/>
  <c r="BO442" i="1"/>
  <c r="BN442" i="1"/>
  <c r="BM442" i="1"/>
  <c r="BL442" i="1"/>
  <c r="BK442" i="1"/>
  <c r="BJ442" i="1"/>
  <c r="BI442" i="1"/>
  <c r="BH442" i="1"/>
  <c r="BG442" i="1"/>
  <c r="BF442" i="1"/>
  <c r="BE442" i="1"/>
  <c r="BD442" i="1"/>
  <c r="BC442" i="1"/>
  <c r="BB442" i="1"/>
  <c r="BA442" i="1"/>
  <c r="AZ442" i="1"/>
  <c r="AY442" i="1"/>
  <c r="AX442" i="1"/>
  <c r="AW442" i="1"/>
  <c r="AV442" i="1"/>
  <c r="AU442" i="1"/>
  <c r="AT442" i="1"/>
  <c r="AS442" i="1"/>
  <c r="AR442" i="1"/>
  <c r="AQ442" i="1"/>
  <c r="AP442" i="1"/>
  <c r="AO442" i="1"/>
  <c r="AN442" i="1"/>
  <c r="AM442" i="1"/>
  <c r="AL442" i="1"/>
  <c r="AK442" i="1"/>
  <c r="AJ442" i="1"/>
  <c r="AI442" i="1"/>
  <c r="AH442" i="1"/>
  <c r="AG442" i="1"/>
  <c r="AF442" i="1"/>
  <c r="AE442" i="1"/>
  <c r="AD442" i="1"/>
  <c r="AC442" i="1"/>
  <c r="AB442" i="1"/>
  <c r="AA442" i="1"/>
  <c r="Z442" i="1"/>
  <c r="Y442" i="1"/>
  <c r="X442" i="1"/>
  <c r="W442" i="1"/>
  <c r="V442" i="1"/>
  <c r="U442" i="1"/>
  <c r="T442" i="1"/>
  <c r="S442" i="1"/>
  <c r="R442" i="1"/>
  <c r="Q442" i="1"/>
  <c r="P442" i="1"/>
  <c r="O442" i="1"/>
  <c r="N442" i="1"/>
  <c r="M442" i="1"/>
  <c r="L442" i="1"/>
  <c r="K442" i="1"/>
  <c r="J442" i="1"/>
  <c r="I442" i="1"/>
  <c r="H442" i="1"/>
  <c r="G442" i="1"/>
  <c r="F442" i="1"/>
  <c r="E442" i="1"/>
  <c r="D442" i="1"/>
  <c r="C442" i="1"/>
  <c r="B442" i="1"/>
  <c r="AJ440" i="1"/>
  <c r="AI440" i="1"/>
  <c r="AH440" i="1"/>
  <c r="AG440" i="1"/>
  <c r="AF440" i="1"/>
  <c r="AE440" i="1"/>
  <c r="AD440" i="1"/>
  <c r="AC440" i="1"/>
  <c r="AB440" i="1"/>
  <c r="AA440" i="1"/>
  <c r="Z440" i="1"/>
  <c r="Y440" i="1"/>
  <c r="W440" i="1"/>
  <c r="X440" i="1"/>
  <c r="V440" i="1"/>
  <c r="U440" i="1"/>
  <c r="T440" i="1"/>
  <c r="S440" i="1"/>
  <c r="R440" i="1"/>
  <c r="Q440" i="1"/>
  <c r="P440" i="1"/>
  <c r="O440" i="1"/>
  <c r="N440" i="1"/>
  <c r="M440" i="1"/>
  <c r="L440" i="1"/>
  <c r="K440" i="1"/>
  <c r="J440" i="1"/>
  <c r="I440" i="1"/>
  <c r="H440" i="1"/>
  <c r="G440" i="1"/>
  <c r="F440" i="1"/>
  <c r="E440" i="1"/>
  <c r="D440" i="1"/>
  <c r="C440" i="1"/>
  <c r="B440" i="1"/>
  <c r="GL54" i="6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241" i="1"/>
  <c r="A240" i="1"/>
  <c r="A239" i="1"/>
  <c r="W21" i="1"/>
  <c r="A242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241" i="1"/>
  <c r="C240" i="1"/>
  <c r="C239" i="1"/>
  <c r="H79" i="6"/>
  <c r="G79" i="6"/>
  <c r="GL37" i="6" l="1"/>
  <c r="GL36" i="6"/>
  <c r="S46" i="6"/>
  <c r="V46" i="6"/>
  <c r="W46" i="6"/>
  <c r="X46" i="6"/>
  <c r="Y46" i="6"/>
  <c r="Z46" i="6"/>
  <c r="AA46" i="6"/>
  <c r="AB46" i="6"/>
  <c r="AC46" i="6"/>
  <c r="AD46" i="6"/>
  <c r="AE46" i="6"/>
  <c r="AF46" i="6"/>
  <c r="AG46" i="6"/>
  <c r="AH46" i="6"/>
  <c r="AI46" i="6"/>
  <c r="R46" i="6"/>
  <c r="S47" i="6"/>
  <c r="V47" i="6"/>
  <c r="W47" i="6"/>
  <c r="X47" i="6"/>
  <c r="Y47" i="6"/>
  <c r="Z47" i="6"/>
  <c r="AA47" i="6"/>
  <c r="AB47" i="6"/>
  <c r="AC47" i="6"/>
  <c r="AD47" i="6"/>
  <c r="AE47" i="6"/>
  <c r="AF47" i="6"/>
  <c r="AG47" i="6"/>
  <c r="AH47" i="6"/>
  <c r="AI47" i="6"/>
  <c r="R47" i="6"/>
  <c r="N47" i="6"/>
  <c r="N46" i="6"/>
  <c r="N45" i="6"/>
  <c r="R45" i="6"/>
  <c r="S45" i="6"/>
  <c r="V45" i="6"/>
  <c r="W45" i="6"/>
  <c r="X45" i="6"/>
  <c r="Y45" i="6"/>
  <c r="Z45" i="6"/>
  <c r="AA45" i="6"/>
  <c r="AB45" i="6"/>
  <c r="AC45" i="6"/>
  <c r="AD45" i="6"/>
  <c r="AE45" i="6"/>
  <c r="AF45" i="6"/>
  <c r="AG45" i="6"/>
  <c r="AH45" i="6"/>
  <c r="AI45" i="6"/>
  <c r="Q47" i="6"/>
  <c r="Q46" i="6"/>
  <c r="Q45" i="6"/>
  <c r="P47" i="6"/>
  <c r="P46" i="6"/>
  <c r="P45" i="6"/>
  <c r="O47" i="6"/>
  <c r="O46" i="6"/>
  <c r="O45" i="6"/>
  <c r="L47" i="6"/>
  <c r="L46" i="6"/>
  <c r="L45" i="6"/>
  <c r="V50" i="6"/>
  <c r="AY57" i="6"/>
  <c r="AX57" i="6" s="1"/>
  <c r="AY56" i="6"/>
  <c r="AX56" i="6" s="1"/>
  <c r="AY54" i="6"/>
  <c r="AY53" i="6"/>
  <c r="AY51" i="6"/>
  <c r="AY50" i="6"/>
  <c r="AY48" i="6"/>
  <c r="AY47" i="6"/>
  <c r="AY45" i="6"/>
  <c r="AY44" i="6"/>
  <c r="AY42" i="6"/>
  <c r="AY41" i="6"/>
  <c r="AY39" i="6"/>
  <c r="AQ39" i="6" s="1"/>
  <c r="AR39" i="6" s="1"/>
  <c r="AS39" i="6" s="1"/>
  <c r="AT39" i="6" s="1"/>
  <c r="AU39" i="6" s="1"/>
  <c r="AV39" i="6" s="1"/>
  <c r="AW39" i="6" s="1"/>
  <c r="AX39" i="6" s="1"/>
  <c r="AY38" i="6"/>
  <c r="AY36" i="6"/>
  <c r="AY35" i="6"/>
  <c r="AY33" i="6"/>
  <c r="AY32" i="6"/>
  <c r="AY30" i="6"/>
  <c r="AY29" i="6"/>
  <c r="AW78" i="6"/>
  <c r="AV78" i="6"/>
  <c r="AU77" i="6"/>
  <c r="AT77" i="6"/>
  <c r="AS80" i="6"/>
  <c r="AR80" i="6"/>
  <c r="AQ79" i="6"/>
  <c r="AP79" i="6"/>
  <c r="AS70" i="6"/>
  <c r="AT70" i="6"/>
  <c r="AU70" i="6"/>
  <c r="AV70" i="6"/>
  <c r="AW70" i="6"/>
  <c r="AX70" i="6"/>
  <c r="AY70" i="6"/>
  <c r="AZ70" i="6"/>
  <c r="BA70" i="6"/>
  <c r="BB70" i="6"/>
  <c r="BC70" i="6"/>
  <c r="BD70" i="6"/>
  <c r="BE70" i="6"/>
  <c r="BF70" i="6"/>
  <c r="AR70" i="6"/>
  <c r="AQ70" i="6"/>
  <c r="AP70" i="6"/>
  <c r="AO70" i="6"/>
  <c r="BG70" i="6"/>
  <c r="BG66" i="6"/>
  <c r="AS66" i="6"/>
  <c r="AT66" i="6"/>
  <c r="AU66" i="6"/>
  <c r="AV66" i="6"/>
  <c r="AW66" i="6"/>
  <c r="AX66" i="6"/>
  <c r="AY66" i="6"/>
  <c r="AZ66" i="6"/>
  <c r="BA66" i="6"/>
  <c r="BB66" i="6"/>
  <c r="BC66" i="6"/>
  <c r="BD66" i="6"/>
  <c r="BE66" i="6"/>
  <c r="BF66" i="6"/>
  <c r="AR66" i="6"/>
  <c r="AQ66" i="6"/>
  <c r="AP66" i="6"/>
  <c r="AO66" i="6"/>
  <c r="AO80" i="6"/>
  <c r="AO79" i="6"/>
  <c r="AO78" i="6"/>
  <c r="AO77" i="6"/>
  <c r="BG73" i="6"/>
  <c r="AM70" i="6"/>
  <c r="AM69" i="6"/>
  <c r="AM66" i="6"/>
  <c r="AM65" i="6"/>
  <c r="AG74" i="6"/>
  <c r="O74" i="6"/>
  <c r="AG70" i="6"/>
  <c r="O70" i="6"/>
  <c r="AG66" i="6"/>
  <c r="O66" i="6"/>
  <c r="O72" i="6"/>
  <c r="M74" i="6" s="1"/>
  <c r="O68" i="6"/>
  <c r="M69" i="6" s="1"/>
  <c r="O64" i="6"/>
  <c r="M66" i="6" s="1"/>
  <c r="U69" i="6" l="1"/>
  <c r="T69" i="6"/>
  <c r="M65" i="6"/>
  <c r="M70" i="6"/>
  <c r="BG69" i="6"/>
  <c r="M73" i="6"/>
  <c r="BF69" i="6"/>
  <c r="AZ69" i="6"/>
  <c r="AU69" i="6"/>
  <c r="AP69" i="6"/>
  <c r="BE69" i="6"/>
  <c r="BA69" i="6"/>
  <c r="AW69" i="6"/>
  <c r="AS69" i="6"/>
  <c r="AT69" i="6"/>
  <c r="AQ38" i="6"/>
  <c r="AR38" i="6" s="1"/>
  <c r="AS38" i="6" s="1"/>
  <c r="AT38" i="6" s="1"/>
  <c r="AU38" i="6" s="1"/>
  <c r="AV38" i="6" s="1"/>
  <c r="AW38" i="6" s="1"/>
  <c r="AX38" i="6" s="1"/>
  <c r="AQ69" i="6"/>
  <c r="BD69" i="6"/>
  <c r="AV69" i="6"/>
  <c r="BB69" i="6"/>
  <c r="AR69" i="6"/>
  <c r="BC69" i="6"/>
  <c r="AY69" i="6"/>
  <c r="AX69" i="6"/>
  <c r="AO69" i="6"/>
  <c r="BG71" i="6"/>
  <c r="BG67" i="6"/>
  <c r="AG71" i="6"/>
  <c r="AG75" i="6"/>
  <c r="AG67" i="6"/>
  <c r="Z66" i="6" s="1"/>
  <c r="Z65" i="6" s="1"/>
  <c r="AG65" i="6"/>
  <c r="AG73" i="6" l="1"/>
  <c r="T73" i="6"/>
  <c r="U73" i="6"/>
  <c r="BC65" i="6"/>
  <c r="T65" i="6"/>
  <c r="U65" i="6"/>
  <c r="BB65" i="6"/>
  <c r="AW65" i="6"/>
  <c r="AX65" i="6"/>
  <c r="AZ65" i="6"/>
  <c r="BD65" i="6"/>
  <c r="AS65" i="6"/>
  <c r="BA65" i="6"/>
  <c r="O65" i="6"/>
  <c r="BE65" i="6"/>
  <c r="BF65" i="6"/>
  <c r="BG65" i="6"/>
  <c r="AQ65" i="6"/>
  <c r="AY65" i="6"/>
  <c r="O73" i="6"/>
  <c r="AP65" i="6"/>
  <c r="AT65" i="6"/>
  <c r="AO65" i="6"/>
  <c r="AV65" i="6"/>
  <c r="AU65" i="6"/>
  <c r="AR65" i="6"/>
  <c r="V70" i="6"/>
  <c r="V69" i="6" s="1"/>
  <c r="V66" i="6"/>
  <c r="V65" i="6" s="1"/>
  <c r="S74" i="6"/>
  <c r="S73" i="6" s="1"/>
  <c r="V74" i="6"/>
  <c r="V73" i="6" s="1"/>
  <c r="AA74" i="6"/>
  <c r="AA73" i="6" s="1"/>
  <c r="X74" i="6"/>
  <c r="X73" i="6" s="1"/>
  <c r="AB74" i="6"/>
  <c r="AB73" i="6" s="1"/>
  <c r="AF74" i="6"/>
  <c r="AF73" i="6" s="1"/>
  <c r="AE74" i="6"/>
  <c r="AE73" i="6" s="1"/>
  <c r="Y74" i="6"/>
  <c r="Y73" i="6" s="1"/>
  <c r="AC74" i="6"/>
  <c r="AC73" i="6" s="1"/>
  <c r="R74" i="6"/>
  <c r="R73" i="6" s="1"/>
  <c r="Z74" i="6"/>
  <c r="Z73" i="6" s="1"/>
  <c r="AD74" i="6"/>
  <c r="AD73" i="6" s="1"/>
  <c r="Q74" i="6"/>
  <c r="Q73" i="6" s="1"/>
  <c r="W74" i="6"/>
  <c r="W73" i="6" s="1"/>
  <c r="P74" i="6"/>
  <c r="P73" i="6" s="1"/>
  <c r="Y70" i="6"/>
  <c r="Y69" i="6" s="1"/>
  <c r="AC70" i="6"/>
  <c r="AC69" i="6" s="1"/>
  <c r="R70" i="6"/>
  <c r="R69" i="6" s="1"/>
  <c r="S70" i="6"/>
  <c r="S69" i="6" s="1"/>
  <c r="AE70" i="6"/>
  <c r="AE69" i="6" s="1"/>
  <c r="AB70" i="6"/>
  <c r="AB69" i="6" s="1"/>
  <c r="Z70" i="6"/>
  <c r="Z69" i="6" s="1"/>
  <c r="AD70" i="6"/>
  <c r="AD69" i="6" s="1"/>
  <c r="Q70" i="6"/>
  <c r="Q69" i="6" s="1"/>
  <c r="W70" i="6"/>
  <c r="W69" i="6" s="1"/>
  <c r="AA70" i="6"/>
  <c r="AA69" i="6" s="1"/>
  <c r="P70" i="6"/>
  <c r="P69" i="6" s="1"/>
  <c r="X70" i="6"/>
  <c r="X69" i="6" s="1"/>
  <c r="AF70" i="6"/>
  <c r="AF69" i="6" s="1"/>
  <c r="AF66" i="6"/>
  <c r="AF65" i="6" s="1"/>
  <c r="AA66" i="6"/>
  <c r="AA65" i="6" s="1"/>
  <c r="Q66" i="6"/>
  <c r="Q65" i="6" s="1"/>
  <c r="S66" i="6"/>
  <c r="S65" i="6" s="1"/>
  <c r="AC66" i="6"/>
  <c r="AC65" i="6" s="1"/>
  <c r="R66" i="6"/>
  <c r="R65" i="6" s="1"/>
  <c r="AE66" i="6"/>
  <c r="AE65" i="6" s="1"/>
  <c r="W66" i="6"/>
  <c r="W65" i="6" s="1"/>
  <c r="AB66" i="6"/>
  <c r="AB65" i="6" s="1"/>
  <c r="P66" i="6"/>
  <c r="P65" i="6" s="1"/>
  <c r="X66" i="6"/>
  <c r="X65" i="6" s="1"/>
  <c r="Y66" i="6"/>
  <c r="Y65" i="6" s="1"/>
  <c r="AD66" i="6"/>
  <c r="AD65" i="6" s="1"/>
  <c r="O69" i="6"/>
  <c r="AG69" i="6"/>
  <c r="GL56" i="6" l="1"/>
  <c r="AP54" i="6" l="1"/>
  <c r="AQ54" i="6" s="1"/>
  <c r="AR54" i="6" s="1"/>
  <c r="AS54" i="6" s="1"/>
  <c r="AT54" i="6" s="1"/>
  <c r="AU54" i="6" s="1"/>
  <c r="AV54" i="6" s="1"/>
  <c r="AW54" i="6" s="1"/>
  <c r="AX54" i="6" s="1"/>
  <c r="AP48" i="6"/>
  <c r="AQ48" i="6" s="1"/>
  <c r="AR48" i="6" s="1"/>
  <c r="AS48" i="6" s="1"/>
  <c r="AT48" i="6" s="1"/>
  <c r="AU48" i="6" s="1"/>
  <c r="AV48" i="6" s="1"/>
  <c r="AW48" i="6" s="1"/>
  <c r="AX48" i="6" s="1"/>
  <c r="AP42" i="6"/>
  <c r="AQ42" i="6" s="1"/>
  <c r="AR42" i="6" s="1"/>
  <c r="AS42" i="6" s="1"/>
  <c r="AT42" i="6" s="1"/>
  <c r="AU42" i="6" s="1"/>
  <c r="AV42" i="6" s="1"/>
  <c r="AW42" i="6" s="1"/>
  <c r="AX42" i="6" s="1"/>
  <c r="AP36" i="6"/>
  <c r="AQ36" i="6" s="1"/>
  <c r="AR36" i="6" s="1"/>
  <c r="AS36" i="6" s="1"/>
  <c r="AT36" i="6" s="1"/>
  <c r="AU36" i="6" s="1"/>
  <c r="AV36" i="6" s="1"/>
  <c r="AW36" i="6" s="1"/>
  <c r="AX36" i="6" s="1"/>
  <c r="AP30" i="6"/>
  <c r="AQ30" i="6" s="1"/>
  <c r="AR30" i="6" s="1"/>
  <c r="AS30" i="6" s="1"/>
  <c r="AT30" i="6" s="1"/>
  <c r="AU30" i="6" s="1"/>
  <c r="AV30" i="6" s="1"/>
  <c r="AW30" i="6" s="1"/>
  <c r="AX30" i="6" s="1"/>
  <c r="AP57" i="6"/>
  <c r="AQ57" i="6" s="1"/>
  <c r="AR57" i="6" s="1"/>
  <c r="AP51" i="6"/>
  <c r="AQ51" i="6" s="1"/>
  <c r="AR51" i="6" s="1"/>
  <c r="AS51" i="6" s="1"/>
  <c r="AT51" i="6" s="1"/>
  <c r="AU51" i="6" s="1"/>
  <c r="AV51" i="6" s="1"/>
  <c r="AW51" i="6" s="1"/>
  <c r="AX51" i="6" s="1"/>
  <c r="AP45" i="6"/>
  <c r="AQ45" i="6" s="1"/>
  <c r="AR45" i="6" s="1"/>
  <c r="AS45" i="6" s="1"/>
  <c r="AT45" i="6" s="1"/>
  <c r="AU45" i="6" s="1"/>
  <c r="AV45" i="6" s="1"/>
  <c r="AW45" i="6" s="1"/>
  <c r="AX45" i="6" s="1"/>
  <c r="AP33" i="6"/>
  <c r="AQ33" i="6" s="1"/>
  <c r="AR33" i="6" s="1"/>
  <c r="AS33" i="6" s="1"/>
  <c r="AT33" i="6" s="1"/>
  <c r="AU33" i="6" s="1"/>
  <c r="AV33" i="6" s="1"/>
  <c r="AW33" i="6" s="1"/>
  <c r="AX33" i="6" s="1"/>
  <c r="AP56" i="6"/>
  <c r="AQ56" i="6" s="1"/>
  <c r="AR56" i="6" s="1"/>
  <c r="AP50" i="6"/>
  <c r="AQ50" i="6" s="1"/>
  <c r="AR50" i="6" s="1"/>
  <c r="AS50" i="6" s="1"/>
  <c r="AT50" i="6" s="1"/>
  <c r="AU50" i="6" s="1"/>
  <c r="AV50" i="6" s="1"/>
  <c r="AW50" i="6" s="1"/>
  <c r="AX50" i="6" s="1"/>
  <c r="AP44" i="6"/>
  <c r="AQ44" i="6" s="1"/>
  <c r="AR44" i="6" s="1"/>
  <c r="AS44" i="6" s="1"/>
  <c r="AT44" i="6" s="1"/>
  <c r="AU44" i="6" s="1"/>
  <c r="AV44" i="6" s="1"/>
  <c r="AW44" i="6" s="1"/>
  <c r="AX44" i="6" s="1"/>
  <c r="AP32" i="6"/>
  <c r="AQ32" i="6" s="1"/>
  <c r="AR32" i="6" s="1"/>
  <c r="AS32" i="6" s="1"/>
  <c r="AT32" i="6" s="1"/>
  <c r="AU32" i="6" s="1"/>
  <c r="AV32" i="6" s="1"/>
  <c r="AW32" i="6" s="1"/>
  <c r="AX32" i="6" s="1"/>
  <c r="AP53" i="6"/>
  <c r="AQ53" i="6" s="1"/>
  <c r="AR53" i="6" s="1"/>
  <c r="AS53" i="6" s="1"/>
  <c r="AT53" i="6" s="1"/>
  <c r="AU53" i="6" s="1"/>
  <c r="AV53" i="6" s="1"/>
  <c r="AW53" i="6" s="1"/>
  <c r="AX53" i="6" s="1"/>
  <c r="AP47" i="6"/>
  <c r="AQ47" i="6" s="1"/>
  <c r="AR47" i="6" s="1"/>
  <c r="AS47" i="6" s="1"/>
  <c r="AT47" i="6" s="1"/>
  <c r="AU47" i="6" s="1"/>
  <c r="AV47" i="6" s="1"/>
  <c r="AW47" i="6" s="1"/>
  <c r="AX47" i="6" s="1"/>
  <c r="AP41" i="6"/>
  <c r="AQ41" i="6" s="1"/>
  <c r="AR41" i="6" s="1"/>
  <c r="AS41" i="6" s="1"/>
  <c r="AT41" i="6" s="1"/>
  <c r="AU41" i="6" s="1"/>
  <c r="AV41" i="6" s="1"/>
  <c r="AW41" i="6" s="1"/>
  <c r="AX41" i="6" s="1"/>
  <c r="AP35" i="6"/>
  <c r="AQ35" i="6" s="1"/>
  <c r="AR35" i="6" s="1"/>
  <c r="AS35" i="6" s="1"/>
  <c r="AT35" i="6" s="1"/>
  <c r="AU35" i="6" s="1"/>
  <c r="AV35" i="6" s="1"/>
  <c r="AW35" i="6" s="1"/>
  <c r="AX35" i="6" s="1"/>
  <c r="AP29" i="6"/>
  <c r="AQ29" i="6" s="1"/>
  <c r="AR29" i="6" s="1"/>
  <c r="AS29" i="6" s="1"/>
  <c r="AT29" i="6" s="1"/>
  <c r="AU29" i="6" s="1"/>
  <c r="AV29" i="6" s="1"/>
  <c r="AW29" i="6" s="1"/>
  <c r="AX29" i="6" s="1"/>
  <c r="N60" i="6"/>
  <c r="N59" i="6"/>
  <c r="N58" i="6"/>
  <c r="N57" i="6"/>
  <c r="N56" i="6"/>
  <c r="N55" i="6"/>
  <c r="N54" i="6"/>
  <c r="N53" i="6"/>
  <c r="N52" i="6"/>
  <c r="B600" i="8"/>
  <c r="B601" i="8"/>
  <c r="B597" i="8"/>
  <c r="B598" i="8"/>
  <c r="B594" i="8"/>
  <c r="B595" i="8"/>
  <c r="B591" i="8"/>
  <c r="B592" i="8"/>
  <c r="B588" i="8"/>
  <c r="B589" i="8"/>
  <c r="B585" i="8"/>
  <c r="B586" i="8"/>
  <c r="B582" i="8"/>
  <c r="B583" i="8"/>
  <c r="B579" i="8"/>
  <c r="B580" i="8"/>
  <c r="B576" i="8"/>
  <c r="B577" i="8"/>
  <c r="B573" i="8"/>
  <c r="B574" i="8"/>
  <c r="B570" i="8"/>
  <c r="B571" i="8"/>
  <c r="B567" i="8"/>
  <c r="B568" i="8"/>
  <c r="B564" i="8"/>
  <c r="B565" i="8"/>
  <c r="B561" i="8"/>
  <c r="B562" i="8"/>
  <c r="B558" i="8"/>
  <c r="B559" i="8"/>
  <c r="B555" i="8"/>
  <c r="B556" i="8"/>
  <c r="B552" i="8"/>
  <c r="B553" i="8"/>
  <c r="B549" i="8"/>
  <c r="B550" i="8"/>
  <c r="B546" i="8"/>
  <c r="B547" i="8"/>
  <c r="B543" i="8"/>
  <c r="B544" i="8"/>
  <c r="B540" i="8"/>
  <c r="B541" i="8"/>
  <c r="B537" i="8"/>
  <c r="B538" i="8"/>
  <c r="B534" i="8"/>
  <c r="B535" i="8"/>
  <c r="B531" i="8"/>
  <c r="B532" i="8"/>
  <c r="B528" i="8"/>
  <c r="B529" i="8"/>
  <c r="B525" i="8"/>
  <c r="B526" i="8"/>
  <c r="B522" i="8"/>
  <c r="B523" i="8"/>
  <c r="B519" i="8"/>
  <c r="B520" i="8"/>
  <c r="B516" i="8"/>
  <c r="B517" i="8"/>
  <c r="B513" i="8"/>
  <c r="B514" i="8"/>
  <c r="B510" i="8"/>
  <c r="B511" i="8"/>
  <c r="B507" i="8"/>
  <c r="B508" i="8"/>
  <c r="B504" i="8"/>
  <c r="B505" i="8"/>
  <c r="B501" i="8"/>
  <c r="B502" i="8"/>
  <c r="B498" i="8"/>
  <c r="B499" i="8"/>
  <c r="B495" i="8"/>
  <c r="B496" i="8"/>
  <c r="B492" i="8"/>
  <c r="B493" i="8"/>
  <c r="B489" i="8"/>
  <c r="B490" i="8"/>
  <c r="B486" i="8"/>
  <c r="B487" i="8"/>
  <c r="B483" i="8"/>
  <c r="B484" i="8"/>
  <c r="B480" i="8"/>
  <c r="B481" i="8"/>
  <c r="B477" i="8"/>
  <c r="B478" i="8"/>
  <c r="B474" i="8"/>
  <c r="B475" i="8"/>
  <c r="B471" i="8"/>
  <c r="B472" i="8"/>
  <c r="B468" i="8"/>
  <c r="B469" i="8"/>
  <c r="B465" i="8"/>
  <c r="B466" i="8"/>
  <c r="B462" i="8"/>
  <c r="B463" i="8"/>
  <c r="B459" i="8"/>
  <c r="B460" i="8"/>
  <c r="B456" i="8"/>
  <c r="B457" i="8"/>
  <c r="B453" i="8"/>
  <c r="B454" i="8"/>
  <c r="B450" i="8"/>
  <c r="B451" i="8"/>
  <c r="B447" i="8"/>
  <c r="B448" i="8"/>
  <c r="B444" i="8"/>
  <c r="B445" i="8"/>
  <c r="B441" i="8"/>
  <c r="B442" i="8"/>
  <c r="B438" i="8"/>
  <c r="B439" i="8"/>
  <c r="B435" i="8"/>
  <c r="B436" i="8"/>
  <c r="B432" i="8"/>
  <c r="B433" i="8"/>
  <c r="B429" i="8"/>
  <c r="B430" i="8"/>
  <c r="B426" i="8"/>
  <c r="B427" i="8"/>
  <c r="B423" i="8"/>
  <c r="B424" i="8"/>
  <c r="B420" i="8"/>
  <c r="B421" i="8"/>
  <c r="B417" i="8"/>
  <c r="B418" i="8"/>
  <c r="B414" i="8"/>
  <c r="B415" i="8"/>
  <c r="B411" i="8"/>
  <c r="B412" i="8"/>
  <c r="B408" i="8"/>
  <c r="B409" i="8"/>
  <c r="B405" i="8"/>
  <c r="B406" i="8"/>
  <c r="B402" i="8"/>
  <c r="B403" i="8"/>
  <c r="B399" i="8"/>
  <c r="B400" i="8"/>
  <c r="B396" i="8"/>
  <c r="B397" i="8"/>
  <c r="B393" i="8"/>
  <c r="B394" i="8"/>
  <c r="B390" i="8"/>
  <c r="B391" i="8"/>
  <c r="B387" i="8"/>
  <c r="B388" i="8"/>
  <c r="B384" i="8"/>
  <c r="B385" i="8"/>
  <c r="B381" i="8"/>
  <c r="B382" i="8"/>
  <c r="B378" i="8"/>
  <c r="B379" i="8"/>
  <c r="B375" i="8"/>
  <c r="B376" i="8"/>
  <c r="B372" i="8"/>
  <c r="B373" i="8"/>
  <c r="B369" i="8"/>
  <c r="B370" i="8"/>
  <c r="B366" i="8"/>
  <c r="B367" i="8"/>
  <c r="B363" i="8"/>
  <c r="B364" i="8"/>
  <c r="B360" i="8"/>
  <c r="B361" i="8"/>
  <c r="B357" i="8"/>
  <c r="B358" i="8"/>
  <c r="B354" i="8"/>
  <c r="B355" i="8"/>
  <c r="B351" i="8"/>
  <c r="B352" i="8"/>
  <c r="B348" i="8"/>
  <c r="B349" i="8"/>
  <c r="B345" i="8"/>
  <c r="B346" i="8"/>
  <c r="B342" i="8"/>
  <c r="B343" i="8"/>
  <c r="B339" i="8"/>
  <c r="B340" i="8"/>
  <c r="B336" i="8"/>
  <c r="B337" i="8"/>
  <c r="B333" i="8"/>
  <c r="B334" i="8"/>
  <c r="B330" i="8"/>
  <c r="B331" i="8"/>
  <c r="B327" i="8"/>
  <c r="B328" i="8"/>
  <c r="B324" i="8"/>
  <c r="B325" i="8"/>
  <c r="B321" i="8"/>
  <c r="B322" i="8"/>
  <c r="B318" i="8"/>
  <c r="B319" i="8"/>
  <c r="B315" i="8"/>
  <c r="B316" i="8"/>
  <c r="B312" i="8"/>
  <c r="B313" i="8"/>
  <c r="B309" i="8"/>
  <c r="B310" i="8"/>
  <c r="B306" i="8"/>
  <c r="B307" i="8"/>
  <c r="B303" i="8"/>
  <c r="B304" i="8"/>
  <c r="B300" i="8"/>
  <c r="B301" i="8"/>
  <c r="B297" i="8"/>
  <c r="B298" i="8"/>
  <c r="B294" i="8"/>
  <c r="B295" i="8"/>
  <c r="B291" i="8"/>
  <c r="B292" i="8"/>
  <c r="B288" i="8"/>
  <c r="B289" i="8"/>
  <c r="B285" i="8"/>
  <c r="B286" i="8"/>
  <c r="B282" i="8"/>
  <c r="B283" i="8"/>
  <c r="B279" i="8"/>
  <c r="B280" i="8"/>
  <c r="B276" i="8"/>
  <c r="B277" i="8"/>
  <c r="B273" i="8"/>
  <c r="B274" i="8"/>
  <c r="B270" i="8"/>
  <c r="B271" i="8"/>
  <c r="B267" i="8"/>
  <c r="B268" i="8"/>
  <c r="B264" i="8"/>
  <c r="B265" i="8"/>
  <c r="B261" i="8"/>
  <c r="B262" i="8"/>
  <c r="B258" i="8"/>
  <c r="B259" i="8"/>
  <c r="B255" i="8"/>
  <c r="B256" i="8"/>
  <c r="B252" i="8"/>
  <c r="B253" i="8"/>
  <c r="B249" i="8"/>
  <c r="B250" i="8"/>
  <c r="B246" i="8"/>
  <c r="B247" i="8"/>
  <c r="B243" i="8"/>
  <c r="B244" i="8"/>
  <c r="B240" i="8"/>
  <c r="B241" i="8"/>
  <c r="B237" i="8"/>
  <c r="B238" i="8"/>
  <c r="B234" i="8"/>
  <c r="B235" i="8"/>
  <c r="B231" i="8"/>
  <c r="B232" i="8"/>
  <c r="B228" i="8"/>
  <c r="B229" i="8"/>
  <c r="B225" i="8"/>
  <c r="B226" i="8"/>
  <c r="B222" i="8"/>
  <c r="B223" i="8"/>
  <c r="B219" i="8"/>
  <c r="B220" i="8"/>
  <c r="B216" i="8"/>
  <c r="B217" i="8"/>
  <c r="B213" i="8"/>
  <c r="B214" i="8"/>
  <c r="B210" i="8"/>
  <c r="B211" i="8"/>
  <c r="B207" i="8"/>
  <c r="B208" i="8"/>
  <c r="B204" i="8"/>
  <c r="B205" i="8"/>
  <c r="B201" i="8"/>
  <c r="B202" i="8"/>
  <c r="B198" i="8"/>
  <c r="B199" i="8"/>
  <c r="B195" i="8"/>
  <c r="B196" i="8"/>
  <c r="B192" i="8"/>
  <c r="B193" i="8"/>
  <c r="B189" i="8"/>
  <c r="B190" i="8"/>
  <c r="B186" i="8"/>
  <c r="B187" i="8"/>
  <c r="B183" i="8"/>
  <c r="B184" i="8"/>
  <c r="B180" i="8"/>
  <c r="B181" i="8"/>
  <c r="B177" i="8"/>
  <c r="B178" i="8"/>
  <c r="B174" i="8"/>
  <c r="B175" i="8"/>
  <c r="B171" i="8"/>
  <c r="B172" i="8"/>
  <c r="B168" i="8"/>
  <c r="B169" i="8"/>
  <c r="B165" i="8"/>
  <c r="B166" i="8"/>
  <c r="B162" i="8"/>
  <c r="B163" i="8"/>
  <c r="B159" i="8"/>
  <c r="B160" i="8"/>
  <c r="B156" i="8"/>
  <c r="B157" i="8"/>
  <c r="B153" i="8"/>
  <c r="B154" i="8"/>
  <c r="B150" i="8"/>
  <c r="B151" i="8"/>
  <c r="B147" i="8"/>
  <c r="B148" i="8"/>
  <c r="B144" i="8"/>
  <c r="B145" i="8"/>
  <c r="B141" i="8"/>
  <c r="B142" i="8"/>
  <c r="B138" i="8"/>
  <c r="B139" i="8"/>
  <c r="B135" i="8"/>
  <c r="B136" i="8"/>
  <c r="B132" i="8"/>
  <c r="B133" i="8"/>
  <c r="B129" i="8"/>
  <c r="B130" i="8"/>
  <c r="B126" i="8"/>
  <c r="B127" i="8"/>
  <c r="B123" i="8"/>
  <c r="B124" i="8"/>
  <c r="B120" i="8"/>
  <c r="B121" i="8"/>
  <c r="B117" i="8"/>
  <c r="B118" i="8"/>
  <c r="B114" i="8"/>
  <c r="B115" i="8"/>
  <c r="B111" i="8"/>
  <c r="B112" i="8"/>
  <c r="B108" i="8"/>
  <c r="B109" i="8"/>
  <c r="B105" i="8"/>
  <c r="B106" i="8"/>
  <c r="B102" i="8"/>
  <c r="B103" i="8"/>
  <c r="B99" i="8"/>
  <c r="B100" i="8"/>
  <c r="B96" i="8"/>
  <c r="B97" i="8"/>
  <c r="B93" i="8"/>
  <c r="B94" i="8"/>
  <c r="B90" i="8"/>
  <c r="B91" i="8"/>
  <c r="B87" i="8"/>
  <c r="B88" i="8"/>
  <c r="B84" i="8"/>
  <c r="B85" i="8"/>
  <c r="B81" i="8"/>
  <c r="B82" i="8"/>
  <c r="B78" i="8"/>
  <c r="B79" i="8"/>
  <c r="B75" i="8"/>
  <c r="B76" i="8"/>
  <c r="B72" i="8"/>
  <c r="B73" i="8"/>
  <c r="B69" i="8"/>
  <c r="B70" i="8"/>
  <c r="B66" i="8"/>
  <c r="B67" i="8"/>
  <c r="B63" i="8"/>
  <c r="B64" i="8"/>
  <c r="B60" i="8"/>
  <c r="B61" i="8"/>
  <c r="B57" i="8"/>
  <c r="B58" i="8"/>
  <c r="B54" i="8"/>
  <c r="B55" i="8"/>
  <c r="B51" i="8"/>
  <c r="B52" i="8"/>
  <c r="B48" i="8"/>
  <c r="B49" i="8"/>
  <c r="B45" i="8"/>
  <c r="B46" i="8"/>
  <c r="B42" i="8"/>
  <c r="B43" i="8"/>
  <c r="B39" i="8"/>
  <c r="B40" i="8"/>
  <c r="B36" i="8"/>
  <c r="B37" i="8"/>
  <c r="B33" i="8"/>
  <c r="B34" i="8"/>
  <c r="B30" i="8"/>
  <c r="B31" i="8"/>
  <c r="B27" i="8"/>
  <c r="B28" i="8"/>
  <c r="B24" i="8"/>
  <c r="B25" i="8"/>
  <c r="B21" i="8"/>
  <c r="B22" i="8"/>
  <c r="B18" i="8"/>
  <c r="B19" i="8"/>
  <c r="B15" i="8"/>
  <c r="B16" i="8"/>
  <c r="B12" i="8"/>
  <c r="B13" i="8"/>
  <c r="B9" i="8"/>
  <c r="B10" i="8"/>
  <c r="B6" i="8"/>
  <c r="B7" i="8"/>
  <c r="B3" i="8"/>
  <c r="B4" i="8"/>
  <c r="A31" i="8"/>
  <c r="A30" i="8"/>
  <c r="A26" i="8"/>
  <c r="A27" i="8" s="1"/>
  <c r="A23" i="8"/>
  <c r="A25" i="8" s="1"/>
  <c r="A20" i="8"/>
  <c r="A21" i="8" s="1"/>
  <c r="A17" i="8"/>
  <c r="A18" i="8" s="1"/>
  <c r="A14" i="8"/>
  <c r="A15" i="8" s="1"/>
  <c r="A11" i="8"/>
  <c r="A13" i="8" s="1"/>
  <c r="A8" i="8"/>
  <c r="A10" i="8" s="1"/>
  <c r="A5" i="8"/>
  <c r="A6" i="8" s="1"/>
  <c r="A4" i="8"/>
  <c r="A3" i="8"/>
  <c r="A7" i="8" l="1"/>
  <c r="A28" i="8"/>
  <c r="A9" i="8"/>
  <c r="A16" i="8"/>
  <c r="A19" i="8"/>
  <c r="A22" i="8"/>
  <c r="A12" i="8"/>
  <c r="A24" i="8"/>
  <c r="BF41" i="6" l="1"/>
  <c r="BG41" i="6"/>
  <c r="BF40" i="6"/>
  <c r="BG40" i="6"/>
  <c r="T78" i="6" l="1"/>
  <c r="U78" i="6"/>
  <c r="AA1" i="1"/>
  <c r="X21" i="1" l="1"/>
  <c r="Y21" i="1"/>
  <c r="Z21" i="1"/>
  <c r="AA21" i="1"/>
  <c r="AB21" i="1"/>
  <c r="AC21" i="1"/>
  <c r="AD21" i="1"/>
  <c r="AE21" i="1"/>
  <c r="AF21" i="1"/>
  <c r="W31" i="1"/>
  <c r="X31" i="1"/>
  <c r="Y31" i="1"/>
  <c r="Z31" i="1"/>
  <c r="AA31" i="1"/>
  <c r="AB31" i="1"/>
  <c r="AC31" i="1"/>
  <c r="AD31" i="1"/>
  <c r="AE31" i="1"/>
  <c r="AF31" i="1"/>
  <c r="BB29" i="6"/>
  <c r="BH40" i="6"/>
  <c r="BI40" i="6"/>
  <c r="BJ40" i="6"/>
  <c r="BH41" i="6"/>
  <c r="BI41" i="6"/>
  <c r="BJ41" i="6"/>
  <c r="E35" i="6"/>
  <c r="G35" i="6"/>
  <c r="O35" i="6"/>
  <c r="O37" i="6" s="1"/>
  <c r="P35" i="6"/>
  <c r="P78" i="6" s="1"/>
  <c r="Q35" i="6"/>
  <c r="Q78" i="6" s="1"/>
  <c r="R35" i="6"/>
  <c r="R78" i="6" s="1"/>
  <c r="S78" i="6"/>
  <c r="W78" i="6"/>
  <c r="X35" i="6"/>
  <c r="X78" i="6" s="1"/>
  <c r="Y35" i="6"/>
  <c r="Z35" i="6"/>
  <c r="AA35" i="6"/>
  <c r="AB35" i="6"/>
  <c r="AB78" i="6" s="1"/>
  <c r="AC35" i="6"/>
  <c r="AD35" i="6"/>
  <c r="AE35" i="6"/>
  <c r="AF35" i="6"/>
  <c r="AF78" i="6" s="1"/>
  <c r="AG35" i="6"/>
  <c r="AG78" i="6" s="1"/>
  <c r="AH35" i="6"/>
  <c r="AH78" i="6" s="1"/>
  <c r="AI35" i="6"/>
  <c r="AI78" i="6" s="1"/>
  <c r="S43" i="6"/>
  <c r="Z43" i="6"/>
  <c r="AA43" i="6"/>
  <c r="I44" i="6"/>
  <c r="A80" i="6"/>
  <c r="A81" i="6"/>
  <c r="A83" i="6"/>
  <c r="E94" i="6"/>
  <c r="N94" i="6"/>
  <c r="R95" i="6"/>
  <c r="P39" i="6" l="1"/>
  <c r="Q37" i="6"/>
  <c r="AD37" i="6"/>
  <c r="AD78" i="6"/>
  <c r="AC37" i="6"/>
  <c r="AC78" i="6"/>
  <c r="Y37" i="6"/>
  <c r="Y78" i="6"/>
  <c r="Q39" i="6"/>
  <c r="O78" i="6"/>
  <c r="Z37" i="6"/>
  <c r="Z78" i="6"/>
  <c r="V78" i="6"/>
  <c r="AH37" i="6"/>
  <c r="AG37" i="6"/>
  <c r="AE37" i="6"/>
  <c r="AE78" i="6"/>
  <c r="AA37" i="6"/>
  <c r="AA78" i="6"/>
  <c r="R37" i="6"/>
  <c r="AE62" i="1"/>
  <c r="AF63" i="1"/>
  <c r="AD61" i="1"/>
  <c r="AF61" i="1"/>
  <c r="AI37" i="6"/>
  <c r="W37" i="6"/>
  <c r="AF37" i="6"/>
  <c r="AB37" i="6"/>
  <c r="X37" i="6"/>
  <c r="P37" i="6"/>
  <c r="AF62" i="1" l="1"/>
  <c r="AD63" i="1"/>
  <c r="Z63" i="1"/>
  <c r="N51" i="6"/>
  <c r="BM30" i="6"/>
  <c r="AB61" i="1"/>
  <c r="AE61" i="1"/>
  <c r="Z61" i="1"/>
  <c r="X63" i="1"/>
  <c r="AB63" i="1"/>
  <c r="AD62" i="1"/>
  <c r="Y62" i="1"/>
  <c r="X61" i="1"/>
  <c r="B29" i="6" l="1"/>
  <c r="BI30" i="6"/>
  <c r="W64" i="1"/>
  <c r="AB66" i="1"/>
  <c r="AB64" i="1"/>
  <c r="AB69" i="1" s="1"/>
  <c r="AD64" i="1"/>
  <c r="AD69" i="1" s="1"/>
  <c r="AF64" i="1"/>
  <c r="AF69" i="1" s="1"/>
  <c r="BK30" i="6"/>
  <c r="AD66" i="1"/>
  <c r="Y61" i="1"/>
  <c r="Z62" i="1"/>
  <c r="AA61" i="1"/>
  <c r="AC64" i="1"/>
  <c r="BJ30" i="6"/>
  <c r="AC63" i="1"/>
  <c r="Y63" i="1"/>
  <c r="AE63" i="1"/>
  <c r="AB67" i="1"/>
  <c r="AA63" i="1"/>
  <c r="AB62" i="1"/>
  <c r="AA62" i="1"/>
  <c r="W62" i="1"/>
  <c r="W63" i="1"/>
  <c r="W61" i="1"/>
  <c r="AC61" i="1"/>
  <c r="AC62" i="1"/>
  <c r="X62" i="1"/>
  <c r="BF30" i="6" l="1"/>
  <c r="BG30" i="6"/>
  <c r="AA66" i="1"/>
  <c r="AA64" i="1"/>
  <c r="AA69" i="1" s="1"/>
  <c r="BH30" i="6"/>
  <c r="V57" i="6"/>
  <c r="Y60" i="6"/>
  <c r="AG64" i="1"/>
  <c r="AF66" i="1"/>
  <c r="BD30" i="6"/>
  <c r="AD67" i="1"/>
  <c r="W69" i="1"/>
  <c r="AC69" i="1"/>
  <c r="AF67" i="1"/>
  <c r="AC67" i="1"/>
  <c r="AF65" i="1"/>
  <c r="AE66" i="1"/>
  <c r="BL30" i="6"/>
  <c r="AE64" i="1"/>
  <c r="AE69" i="1" s="1"/>
  <c r="AG63" i="1"/>
  <c r="AC66" i="1"/>
  <c r="AG62" i="1"/>
  <c r="BE30" i="6"/>
  <c r="X64" i="1"/>
  <c r="X69" i="1" s="1"/>
  <c r="AG61" i="1"/>
  <c r="Y64" i="1"/>
  <c r="Y69" i="1" s="1"/>
  <c r="Z64" i="1"/>
  <c r="Z69" i="1" s="1"/>
  <c r="Y67" i="1" l="1"/>
  <c r="R53" i="6"/>
  <c r="P51" i="6"/>
  <c r="AA67" i="1"/>
  <c r="AA65" i="1"/>
  <c r="AD65" i="1"/>
  <c r="Y50" i="6"/>
  <c r="S54" i="6"/>
  <c r="W50" i="6"/>
  <c r="BB31" i="6"/>
  <c r="AB68" i="1"/>
  <c r="W67" i="1"/>
  <c r="AB65" i="1"/>
  <c r="BB30" i="6"/>
  <c r="AF68" i="1"/>
  <c r="W66" i="1"/>
  <c r="AD68" i="1"/>
  <c r="Z66" i="1"/>
  <c r="X67" i="1"/>
  <c r="Q52" i="6"/>
  <c r="AE67" i="1"/>
  <c r="AE65" i="1"/>
  <c r="W65" i="1"/>
  <c r="B79" i="6"/>
  <c r="F79" i="6"/>
  <c r="Z67" i="1"/>
  <c r="AG69" i="1"/>
  <c r="Y66" i="1"/>
  <c r="AC68" i="1"/>
  <c r="AC65" i="1"/>
  <c r="X66" i="1"/>
  <c r="BN31" i="6" l="1"/>
  <c r="BR31" i="6"/>
  <c r="BV31" i="6"/>
  <c r="BZ31" i="6"/>
  <c r="CD31" i="6"/>
  <c r="CH31" i="6"/>
  <c r="CL31" i="6"/>
  <c r="CP31" i="6"/>
  <c r="CT31" i="6"/>
  <c r="CX31" i="6"/>
  <c r="DB31" i="6"/>
  <c r="DF31" i="6"/>
  <c r="DJ31" i="6"/>
  <c r="DN31" i="6"/>
  <c r="DR31" i="6"/>
  <c r="DV31" i="6"/>
  <c r="DZ31" i="6"/>
  <c r="ED31" i="6"/>
  <c r="EH31" i="6"/>
  <c r="EL31" i="6"/>
  <c r="EP31" i="6"/>
  <c r="ET31" i="6"/>
  <c r="EX31" i="6"/>
  <c r="FB31" i="6"/>
  <c r="FF31" i="6"/>
  <c r="FJ31" i="6"/>
  <c r="FN31" i="6"/>
  <c r="FR31" i="6"/>
  <c r="FV31" i="6"/>
  <c r="FZ31" i="6"/>
  <c r="GD31" i="6"/>
  <c r="GH31" i="6"/>
  <c r="GL31" i="6"/>
  <c r="GP31" i="6"/>
  <c r="GT31" i="6"/>
  <c r="GX31" i="6"/>
  <c r="HB31" i="6"/>
  <c r="HF31" i="6"/>
  <c r="HJ31" i="6"/>
  <c r="HN31" i="6"/>
  <c r="HR31" i="6"/>
  <c r="HV31" i="6"/>
  <c r="HZ31" i="6"/>
  <c r="ID31" i="6"/>
  <c r="IH31" i="6"/>
  <c r="IL31" i="6"/>
  <c r="IP31" i="6"/>
  <c r="IT31" i="6"/>
  <c r="BY31" i="6"/>
  <c r="CS31" i="6"/>
  <c r="DE31" i="6"/>
  <c r="DQ31" i="6"/>
  <c r="EC31" i="6"/>
  <c r="EO31" i="6"/>
  <c r="FA31" i="6"/>
  <c r="FM31" i="6"/>
  <c r="FY31" i="6"/>
  <c r="GK31" i="6"/>
  <c r="GW31" i="6"/>
  <c r="HE31" i="6"/>
  <c r="HQ31" i="6"/>
  <c r="IC31" i="6"/>
  <c r="IO31" i="6"/>
  <c r="BO31" i="6"/>
  <c r="BS31" i="6"/>
  <c r="BW31" i="6"/>
  <c r="CA31" i="6"/>
  <c r="CE31" i="6"/>
  <c r="CI31" i="6"/>
  <c r="CM31" i="6"/>
  <c r="CQ31" i="6"/>
  <c r="CU31" i="6"/>
  <c r="CY31" i="6"/>
  <c r="DC31" i="6"/>
  <c r="DG31" i="6"/>
  <c r="DK31" i="6"/>
  <c r="DO31" i="6"/>
  <c r="DS31" i="6"/>
  <c r="DW31" i="6"/>
  <c r="EA31" i="6"/>
  <c r="EE31" i="6"/>
  <c r="EI31" i="6"/>
  <c r="EM31" i="6"/>
  <c r="EQ31" i="6"/>
  <c r="EU31" i="6"/>
  <c r="EY31" i="6"/>
  <c r="FC31" i="6"/>
  <c r="FG31" i="6"/>
  <c r="FK31" i="6"/>
  <c r="FO31" i="6"/>
  <c r="FS31" i="6"/>
  <c r="FW31" i="6"/>
  <c r="GA31" i="6"/>
  <c r="GE31" i="6"/>
  <c r="GI31" i="6"/>
  <c r="GM31" i="6"/>
  <c r="GQ31" i="6"/>
  <c r="GU31" i="6"/>
  <c r="GY31" i="6"/>
  <c r="HC31" i="6"/>
  <c r="HG31" i="6"/>
  <c r="HK31" i="6"/>
  <c r="HO31" i="6"/>
  <c r="HS31" i="6"/>
  <c r="HW31" i="6"/>
  <c r="IA31" i="6"/>
  <c r="IE31" i="6"/>
  <c r="II31" i="6"/>
  <c r="IM31" i="6"/>
  <c r="IQ31" i="6"/>
  <c r="IU31" i="6"/>
  <c r="BU31" i="6"/>
  <c r="CC31" i="6"/>
  <c r="CG31" i="6"/>
  <c r="CO31" i="6"/>
  <c r="DA31" i="6"/>
  <c r="DM31" i="6"/>
  <c r="DY31" i="6"/>
  <c r="EK31" i="6"/>
  <c r="ES31" i="6"/>
  <c r="FE31" i="6"/>
  <c r="FU31" i="6"/>
  <c r="GG31" i="6"/>
  <c r="GS31" i="6"/>
  <c r="HI31" i="6"/>
  <c r="HU31" i="6"/>
  <c r="IG31" i="6"/>
  <c r="IS31" i="6"/>
  <c r="BP31" i="6"/>
  <c r="BT31" i="6"/>
  <c r="BX31" i="6"/>
  <c r="CB31" i="6"/>
  <c r="CF31" i="6"/>
  <c r="CJ31" i="6"/>
  <c r="CN31" i="6"/>
  <c r="CR31" i="6"/>
  <c r="CV31" i="6"/>
  <c r="CZ31" i="6"/>
  <c r="DD31" i="6"/>
  <c r="DH31" i="6"/>
  <c r="DL31" i="6"/>
  <c r="DP31" i="6"/>
  <c r="DT31" i="6"/>
  <c r="DX31" i="6"/>
  <c r="EB31" i="6"/>
  <c r="EF31" i="6"/>
  <c r="EJ31" i="6"/>
  <c r="EN31" i="6"/>
  <c r="ER31" i="6"/>
  <c r="EV31" i="6"/>
  <c r="EZ31" i="6"/>
  <c r="FD31" i="6"/>
  <c r="FH31" i="6"/>
  <c r="FL31" i="6"/>
  <c r="FP31" i="6"/>
  <c r="FT31" i="6"/>
  <c r="FX31" i="6"/>
  <c r="GB31" i="6"/>
  <c r="GF31" i="6"/>
  <c r="GJ31" i="6"/>
  <c r="GN31" i="6"/>
  <c r="GR31" i="6"/>
  <c r="GV31" i="6"/>
  <c r="GZ31" i="6"/>
  <c r="HD31" i="6"/>
  <c r="HH31" i="6"/>
  <c r="HL31" i="6"/>
  <c r="HP31" i="6"/>
  <c r="HT31" i="6"/>
  <c r="HX31" i="6"/>
  <c r="IB31" i="6"/>
  <c r="IF31" i="6"/>
  <c r="IJ31" i="6"/>
  <c r="IN31" i="6"/>
  <c r="IR31" i="6"/>
  <c r="BQ31" i="6"/>
  <c r="CK31" i="6"/>
  <c r="CW31" i="6"/>
  <c r="DI31" i="6"/>
  <c r="DU31" i="6"/>
  <c r="EG31" i="6"/>
  <c r="EW31" i="6"/>
  <c r="FI31" i="6"/>
  <c r="FQ31" i="6"/>
  <c r="GC31" i="6"/>
  <c r="GO31" i="6"/>
  <c r="HA31" i="6"/>
  <c r="HM31" i="6"/>
  <c r="HY31" i="6"/>
  <c r="IK31" i="6"/>
  <c r="AA68" i="1"/>
  <c r="BG31" i="6"/>
  <c r="BF31" i="6"/>
  <c r="BK31" i="6"/>
  <c r="BB33" i="6"/>
  <c r="BI31" i="6"/>
  <c r="BH31" i="6"/>
  <c r="BE31" i="6"/>
  <c r="BM31" i="6"/>
  <c r="X59" i="6"/>
  <c r="S50" i="6"/>
  <c r="X50" i="6"/>
  <c r="BL31" i="6"/>
  <c r="BD31" i="6"/>
  <c r="R50" i="6"/>
  <c r="Q50" i="6"/>
  <c r="BJ31" i="6"/>
  <c r="AG67" i="1"/>
  <c r="E79" i="6"/>
  <c r="C80" i="6" s="1"/>
  <c r="W68" i="1"/>
  <c r="A79" i="6"/>
  <c r="P50" i="6"/>
  <c r="AE68" i="1"/>
  <c r="Y68" i="1"/>
  <c r="Y65" i="1"/>
  <c r="AG66" i="1"/>
  <c r="Z65" i="1"/>
  <c r="Z68" i="1"/>
  <c r="X65" i="1"/>
  <c r="X68" i="1"/>
  <c r="HM33" i="6" l="1"/>
  <c r="HM35" i="6" s="1"/>
  <c r="FQ33" i="6"/>
  <c r="FQ35" i="6" s="1"/>
  <c r="DU33" i="6"/>
  <c r="DU35" i="6" s="1"/>
  <c r="BQ33" i="6"/>
  <c r="BQ35" i="6" s="1"/>
  <c r="IF33" i="6"/>
  <c r="IF35" i="6" s="1"/>
  <c r="HP33" i="6"/>
  <c r="HP35" i="6" s="1"/>
  <c r="GZ33" i="6"/>
  <c r="GZ35" i="6" s="1"/>
  <c r="GJ33" i="6"/>
  <c r="GJ35" i="6" s="1"/>
  <c r="FT33" i="6"/>
  <c r="FT35" i="6" s="1"/>
  <c r="FD33" i="6"/>
  <c r="FD35" i="6" s="1"/>
  <c r="EN33" i="6"/>
  <c r="EN35" i="6" s="1"/>
  <c r="DX33" i="6"/>
  <c r="DX35" i="6" s="1"/>
  <c r="DH33" i="6"/>
  <c r="DH35" i="6" s="1"/>
  <c r="CR33" i="6"/>
  <c r="CR35" i="6" s="1"/>
  <c r="CB33" i="6"/>
  <c r="CB35" i="6" s="1"/>
  <c r="IS33" i="6"/>
  <c r="IS35" i="6" s="1"/>
  <c r="GS33" i="6"/>
  <c r="GS35" i="6" s="1"/>
  <c r="ES33" i="6"/>
  <c r="ES35" i="6" s="1"/>
  <c r="DA33" i="6"/>
  <c r="DA35" i="6" s="1"/>
  <c r="BU33" i="6"/>
  <c r="BU35" i="6" s="1"/>
  <c r="II33" i="6"/>
  <c r="II35" i="6" s="1"/>
  <c r="HS33" i="6"/>
  <c r="HS35" i="6" s="1"/>
  <c r="HC33" i="6"/>
  <c r="HC35" i="6" s="1"/>
  <c r="GM33" i="6"/>
  <c r="GM35" i="6" s="1"/>
  <c r="FW33" i="6"/>
  <c r="FW35" i="6" s="1"/>
  <c r="FG33" i="6"/>
  <c r="FG35" i="6" s="1"/>
  <c r="EQ33" i="6"/>
  <c r="EQ35" i="6" s="1"/>
  <c r="EA33" i="6"/>
  <c r="EA35" i="6" s="1"/>
  <c r="DK33" i="6"/>
  <c r="DK35" i="6" s="1"/>
  <c r="CU33" i="6"/>
  <c r="CU35" i="6" s="1"/>
  <c r="CE33" i="6"/>
  <c r="CE35" i="6" s="1"/>
  <c r="BO33" i="6"/>
  <c r="BO35" i="6" s="1"/>
  <c r="HE33" i="6"/>
  <c r="HE35" i="6" s="1"/>
  <c r="FM33" i="6"/>
  <c r="FM35" i="6" s="1"/>
  <c r="DQ33" i="6"/>
  <c r="DQ35" i="6" s="1"/>
  <c r="IT33" i="6"/>
  <c r="IT35" i="6" s="1"/>
  <c r="ID33" i="6"/>
  <c r="ID35" i="6" s="1"/>
  <c r="HN33" i="6"/>
  <c r="HN35" i="6" s="1"/>
  <c r="GX33" i="6"/>
  <c r="GX35" i="6" s="1"/>
  <c r="GH33" i="6"/>
  <c r="GH35" i="6" s="1"/>
  <c r="FR33" i="6"/>
  <c r="FR35" i="6" s="1"/>
  <c r="FB33" i="6"/>
  <c r="FB35" i="6" s="1"/>
  <c r="EL33" i="6"/>
  <c r="EL35" i="6" s="1"/>
  <c r="DV33" i="6"/>
  <c r="DV35" i="6" s="1"/>
  <c r="DF33" i="6"/>
  <c r="DF35" i="6" s="1"/>
  <c r="CP33" i="6"/>
  <c r="CP35" i="6" s="1"/>
  <c r="BZ33" i="6"/>
  <c r="BZ35" i="6" s="1"/>
  <c r="HA33" i="6"/>
  <c r="HA35" i="6" s="1"/>
  <c r="FI33" i="6"/>
  <c r="FI35" i="6" s="1"/>
  <c r="DI33" i="6"/>
  <c r="DI35" i="6" s="1"/>
  <c r="IR33" i="6"/>
  <c r="IR35" i="6" s="1"/>
  <c r="IB33" i="6"/>
  <c r="IB35" i="6" s="1"/>
  <c r="HL33" i="6"/>
  <c r="HL35" i="6" s="1"/>
  <c r="GV33" i="6"/>
  <c r="GV35" i="6" s="1"/>
  <c r="GF33" i="6"/>
  <c r="GF35" i="6" s="1"/>
  <c r="FP33" i="6"/>
  <c r="FP35" i="6" s="1"/>
  <c r="EZ33" i="6"/>
  <c r="EZ35" i="6" s="1"/>
  <c r="EJ33" i="6"/>
  <c r="EJ35" i="6" s="1"/>
  <c r="DT33" i="6"/>
  <c r="DT35" i="6" s="1"/>
  <c r="DD33" i="6"/>
  <c r="DD35" i="6" s="1"/>
  <c r="CN33" i="6"/>
  <c r="CN35" i="6" s="1"/>
  <c r="BX33" i="6"/>
  <c r="BX35" i="6" s="1"/>
  <c r="IG33" i="6"/>
  <c r="IG35" i="6" s="1"/>
  <c r="GG33" i="6"/>
  <c r="GG35" i="6" s="1"/>
  <c r="EK33" i="6"/>
  <c r="EK35" i="6" s="1"/>
  <c r="CO33" i="6"/>
  <c r="CO35" i="6" s="1"/>
  <c r="IU33" i="6"/>
  <c r="IU35" i="6" s="1"/>
  <c r="IE33" i="6"/>
  <c r="IE35" i="6" s="1"/>
  <c r="HO33" i="6"/>
  <c r="HO35" i="6" s="1"/>
  <c r="GY33" i="6"/>
  <c r="GY35" i="6" s="1"/>
  <c r="GI33" i="6"/>
  <c r="GI35" i="6" s="1"/>
  <c r="FS33" i="6"/>
  <c r="FS35" i="6" s="1"/>
  <c r="FC33" i="6"/>
  <c r="FC35" i="6" s="1"/>
  <c r="EM33" i="6"/>
  <c r="EM35" i="6" s="1"/>
  <c r="DW33" i="6"/>
  <c r="DW35" i="6" s="1"/>
  <c r="DG33" i="6"/>
  <c r="DG35" i="6" s="1"/>
  <c r="CQ33" i="6"/>
  <c r="CQ35" i="6" s="1"/>
  <c r="CA33" i="6"/>
  <c r="CA35" i="6" s="1"/>
  <c r="IO33" i="6"/>
  <c r="IO35" i="6" s="1"/>
  <c r="GW33" i="6"/>
  <c r="GW35" i="6" s="1"/>
  <c r="FA33" i="6"/>
  <c r="FA35" i="6" s="1"/>
  <c r="DE33" i="6"/>
  <c r="DE35" i="6" s="1"/>
  <c r="IP33" i="6"/>
  <c r="IP35" i="6" s="1"/>
  <c r="HZ33" i="6"/>
  <c r="HZ35" i="6" s="1"/>
  <c r="HJ33" i="6"/>
  <c r="HJ35" i="6" s="1"/>
  <c r="GT33" i="6"/>
  <c r="GT35" i="6" s="1"/>
  <c r="GD33" i="6"/>
  <c r="GD35" i="6" s="1"/>
  <c r="FN33" i="6"/>
  <c r="FN35" i="6" s="1"/>
  <c r="EX33" i="6"/>
  <c r="EX35" i="6" s="1"/>
  <c r="EH33" i="6"/>
  <c r="EH35" i="6" s="1"/>
  <c r="DR33" i="6"/>
  <c r="DR35" i="6" s="1"/>
  <c r="DB33" i="6"/>
  <c r="DB35" i="6" s="1"/>
  <c r="CL33" i="6"/>
  <c r="CL35" i="6" s="1"/>
  <c r="BV33" i="6"/>
  <c r="BV35" i="6" s="1"/>
  <c r="IK33" i="6"/>
  <c r="IK35" i="6" s="1"/>
  <c r="GO33" i="6"/>
  <c r="GO35" i="6" s="1"/>
  <c r="EW33" i="6"/>
  <c r="EW35" i="6" s="1"/>
  <c r="CW33" i="6"/>
  <c r="CW35" i="6" s="1"/>
  <c r="IN33" i="6"/>
  <c r="IN35" i="6" s="1"/>
  <c r="HX33" i="6"/>
  <c r="HX35" i="6" s="1"/>
  <c r="HH33" i="6"/>
  <c r="HH35" i="6" s="1"/>
  <c r="GR33" i="6"/>
  <c r="GR35" i="6" s="1"/>
  <c r="GB33" i="6"/>
  <c r="GB35" i="6" s="1"/>
  <c r="FL33" i="6"/>
  <c r="FL35" i="6" s="1"/>
  <c r="EV33" i="6"/>
  <c r="EV35" i="6" s="1"/>
  <c r="EF33" i="6"/>
  <c r="EF35" i="6" s="1"/>
  <c r="DP33" i="6"/>
  <c r="DP35" i="6" s="1"/>
  <c r="CZ33" i="6"/>
  <c r="CZ35" i="6" s="1"/>
  <c r="CJ33" i="6"/>
  <c r="CJ35" i="6" s="1"/>
  <c r="BT33" i="6"/>
  <c r="BT35" i="6" s="1"/>
  <c r="HU33" i="6"/>
  <c r="HU35" i="6" s="1"/>
  <c r="FU33" i="6"/>
  <c r="FU35" i="6" s="1"/>
  <c r="DY33" i="6"/>
  <c r="DY35" i="6" s="1"/>
  <c r="CG33" i="6"/>
  <c r="CG35" i="6" s="1"/>
  <c r="IQ33" i="6"/>
  <c r="IQ35" i="6" s="1"/>
  <c r="IA33" i="6"/>
  <c r="IA35" i="6" s="1"/>
  <c r="HK33" i="6"/>
  <c r="HK35" i="6" s="1"/>
  <c r="GU33" i="6"/>
  <c r="GU35" i="6" s="1"/>
  <c r="GE33" i="6"/>
  <c r="GE35" i="6" s="1"/>
  <c r="FO33" i="6"/>
  <c r="FO35" i="6" s="1"/>
  <c r="EY33" i="6"/>
  <c r="EY35" i="6" s="1"/>
  <c r="EI33" i="6"/>
  <c r="EI35" i="6" s="1"/>
  <c r="DS33" i="6"/>
  <c r="DS35" i="6" s="1"/>
  <c r="DC33" i="6"/>
  <c r="DC35" i="6" s="1"/>
  <c r="CM33" i="6"/>
  <c r="CM35" i="6" s="1"/>
  <c r="BW33" i="6"/>
  <c r="BW35" i="6" s="1"/>
  <c r="IC33" i="6"/>
  <c r="IC35" i="6" s="1"/>
  <c r="GK33" i="6"/>
  <c r="GK35" i="6" s="1"/>
  <c r="EO33" i="6"/>
  <c r="EO35" i="6" s="1"/>
  <c r="CS33" i="6"/>
  <c r="CS35" i="6" s="1"/>
  <c r="IL33" i="6"/>
  <c r="IL35" i="6" s="1"/>
  <c r="HV33" i="6"/>
  <c r="HV35" i="6" s="1"/>
  <c r="HF33" i="6"/>
  <c r="HF35" i="6" s="1"/>
  <c r="GP33" i="6"/>
  <c r="GP35" i="6" s="1"/>
  <c r="FZ33" i="6"/>
  <c r="FZ35" i="6" s="1"/>
  <c r="FJ33" i="6"/>
  <c r="FJ35" i="6" s="1"/>
  <c r="ET33" i="6"/>
  <c r="ET35" i="6" s="1"/>
  <c r="ED33" i="6"/>
  <c r="ED35" i="6" s="1"/>
  <c r="DN33" i="6"/>
  <c r="DN35" i="6" s="1"/>
  <c r="CX33" i="6"/>
  <c r="CX35" i="6" s="1"/>
  <c r="CH33" i="6"/>
  <c r="CH35" i="6" s="1"/>
  <c r="BR33" i="6"/>
  <c r="BR35" i="6" s="1"/>
  <c r="HY33" i="6"/>
  <c r="HY35" i="6" s="1"/>
  <c r="GC33" i="6"/>
  <c r="GC35" i="6" s="1"/>
  <c r="EG33" i="6"/>
  <c r="EG35" i="6" s="1"/>
  <c r="CK33" i="6"/>
  <c r="CK35" i="6" s="1"/>
  <c r="IJ33" i="6"/>
  <c r="IJ35" i="6" s="1"/>
  <c r="HT33" i="6"/>
  <c r="HT35" i="6" s="1"/>
  <c r="HD33" i="6"/>
  <c r="HD35" i="6" s="1"/>
  <c r="GN33" i="6"/>
  <c r="GN35" i="6" s="1"/>
  <c r="FX33" i="6"/>
  <c r="FX35" i="6" s="1"/>
  <c r="FH33" i="6"/>
  <c r="FH35" i="6" s="1"/>
  <c r="ER33" i="6"/>
  <c r="ER35" i="6" s="1"/>
  <c r="EB33" i="6"/>
  <c r="EB35" i="6" s="1"/>
  <c r="DL33" i="6"/>
  <c r="DL35" i="6" s="1"/>
  <c r="CV33" i="6"/>
  <c r="CV35" i="6" s="1"/>
  <c r="CF33" i="6"/>
  <c r="CF35" i="6" s="1"/>
  <c r="BP33" i="6"/>
  <c r="BP35" i="6" s="1"/>
  <c r="HI33" i="6"/>
  <c r="HI35" i="6" s="1"/>
  <c r="FE33" i="6"/>
  <c r="FE35" i="6" s="1"/>
  <c r="DM33" i="6"/>
  <c r="DM35" i="6" s="1"/>
  <c r="CC33" i="6"/>
  <c r="CC35" i="6" s="1"/>
  <c r="IM33" i="6"/>
  <c r="IM35" i="6" s="1"/>
  <c r="HW33" i="6"/>
  <c r="HW35" i="6" s="1"/>
  <c r="HG33" i="6"/>
  <c r="HG35" i="6" s="1"/>
  <c r="GQ33" i="6"/>
  <c r="GQ35" i="6" s="1"/>
  <c r="GA33" i="6"/>
  <c r="GA35" i="6" s="1"/>
  <c r="FK33" i="6"/>
  <c r="FK35" i="6" s="1"/>
  <c r="EU33" i="6"/>
  <c r="EU35" i="6" s="1"/>
  <c r="EE33" i="6"/>
  <c r="EE35" i="6" s="1"/>
  <c r="DO33" i="6"/>
  <c r="DO35" i="6" s="1"/>
  <c r="CY33" i="6"/>
  <c r="CY35" i="6" s="1"/>
  <c r="CI33" i="6"/>
  <c r="CI35" i="6" s="1"/>
  <c r="BS33" i="6"/>
  <c r="BS35" i="6" s="1"/>
  <c r="HQ33" i="6"/>
  <c r="HQ35" i="6" s="1"/>
  <c r="FY33" i="6"/>
  <c r="FY35" i="6" s="1"/>
  <c r="EC33" i="6"/>
  <c r="EC35" i="6" s="1"/>
  <c r="BY33" i="6"/>
  <c r="BY35" i="6" s="1"/>
  <c r="IH33" i="6"/>
  <c r="IH35" i="6" s="1"/>
  <c r="HR33" i="6"/>
  <c r="HR35" i="6" s="1"/>
  <c r="HB33" i="6"/>
  <c r="HB35" i="6" s="1"/>
  <c r="GL33" i="6"/>
  <c r="GL35" i="6" s="1"/>
  <c r="FV33" i="6"/>
  <c r="FV35" i="6" s="1"/>
  <c r="FF33" i="6"/>
  <c r="FF35" i="6" s="1"/>
  <c r="EP33" i="6"/>
  <c r="EP35" i="6" s="1"/>
  <c r="DZ33" i="6"/>
  <c r="DZ35" i="6" s="1"/>
  <c r="DJ33" i="6"/>
  <c r="DJ35" i="6" s="1"/>
  <c r="CT33" i="6"/>
  <c r="CT35" i="6" s="1"/>
  <c r="CD33" i="6"/>
  <c r="CD35" i="6" s="1"/>
  <c r="BN33" i="6"/>
  <c r="BN35" i="6" s="1"/>
  <c r="D81" i="6"/>
  <c r="BF33" i="6"/>
  <c r="BF35" i="6" s="1"/>
  <c r="BG33" i="6"/>
  <c r="BG35" i="6" s="1"/>
  <c r="BK33" i="6"/>
  <c r="BK35" i="6" s="1"/>
  <c r="U79" i="6"/>
  <c r="AF79" i="6"/>
  <c r="AB79" i="6"/>
  <c r="X79" i="6"/>
  <c r="T79" i="6"/>
  <c r="P79" i="6"/>
  <c r="AI79" i="6"/>
  <c r="AE79" i="6"/>
  <c r="AA79" i="6"/>
  <c r="W79" i="6"/>
  <c r="S79" i="6"/>
  <c r="O79" i="6"/>
  <c r="AH79" i="6"/>
  <c r="AD79" i="6"/>
  <c r="Z79" i="6"/>
  <c r="V79" i="6"/>
  <c r="R79" i="6"/>
  <c r="AG79" i="6"/>
  <c r="AC79" i="6"/>
  <c r="Y79" i="6"/>
  <c r="Q79" i="6"/>
  <c r="D82" i="6"/>
  <c r="C81" i="6"/>
  <c r="BE33" i="6"/>
  <c r="BE35" i="6" s="1"/>
  <c r="BL33" i="6"/>
  <c r="BL35" i="6" s="1"/>
  <c r="BI33" i="6"/>
  <c r="BI35" i="6" s="1"/>
  <c r="BJ33" i="6"/>
  <c r="BJ35" i="6" s="1"/>
  <c r="BD33" i="6"/>
  <c r="BD35" i="6" s="1"/>
  <c r="BM33" i="6"/>
  <c r="BM35" i="6" s="1"/>
  <c r="BH33" i="6"/>
  <c r="BH35" i="6" s="1"/>
  <c r="D80" i="6"/>
  <c r="O80" i="6" s="1"/>
  <c r="C82" i="6"/>
  <c r="AG68" i="1"/>
  <c r="AG65" i="1"/>
  <c r="GL38" i="6" l="1"/>
  <c r="GL40" i="6" s="1"/>
  <c r="R81" i="6"/>
  <c r="Y82" i="6"/>
  <c r="Q82" i="6"/>
  <c r="U82" i="6"/>
  <c r="AF82" i="6"/>
  <c r="AB82" i="6"/>
  <c r="Z82" i="6"/>
  <c r="AI82" i="6"/>
  <c r="AE82" i="6"/>
  <c r="AC82" i="6"/>
  <c r="R82" i="6"/>
  <c r="O82" i="6"/>
  <c r="S82" i="6"/>
  <c r="AH82" i="6"/>
  <c r="AD82" i="6"/>
  <c r="V82" i="6"/>
  <c r="P82" i="6"/>
  <c r="T82" i="6"/>
  <c r="AG82" i="6"/>
  <c r="AA82" i="6"/>
  <c r="W82" i="6"/>
  <c r="X82" i="6"/>
  <c r="AI81" i="6"/>
  <c r="AF81" i="6"/>
  <c r="W81" i="6"/>
  <c r="Y81" i="6"/>
  <c r="Z81" i="6"/>
  <c r="S81" i="6"/>
  <c r="AB81" i="6"/>
  <c r="AC81" i="6"/>
  <c r="P81" i="6"/>
  <c r="AD81" i="6"/>
  <c r="U81" i="6"/>
  <c r="X81" i="6"/>
  <c r="AE81" i="6"/>
  <c r="O81" i="6"/>
  <c r="V81" i="6"/>
  <c r="AG81" i="6"/>
  <c r="Q81" i="6"/>
  <c r="T81" i="6"/>
  <c r="AA81" i="6"/>
  <c r="AH81" i="6"/>
  <c r="Y80" i="6"/>
  <c r="T80" i="6"/>
  <c r="W80" i="6"/>
  <c r="Z80" i="6"/>
  <c r="Q80" i="6"/>
  <c r="P80" i="6"/>
  <c r="S80" i="6"/>
  <c r="AG80" i="6"/>
  <c r="AI80" i="6"/>
  <c r="V80" i="6"/>
  <c r="AF80" i="6"/>
  <c r="AD80" i="6"/>
  <c r="AC80" i="6"/>
  <c r="AB80" i="6"/>
  <c r="AA80" i="6"/>
  <c r="AH80" i="6"/>
  <c r="R80" i="6"/>
  <c r="U80" i="6"/>
  <c r="X80" i="6"/>
  <c r="AE80" i="6"/>
  <c r="R94" i="6"/>
  <c r="R98" i="6" s="1"/>
  <c r="GL44" i="6" l="1"/>
  <c r="GL45" i="6"/>
  <c r="GL41" i="6"/>
  <c r="GL42" i="6"/>
  <c r="GL46" i="6"/>
  <c r="GL49" i="6" l="1"/>
  <c r="GL55" i="6"/>
  <c r="GL50" i="6"/>
  <c r="GL47" i="6"/>
  <c r="GL48" i="6"/>
  <c r="GL51" i="6"/>
  <c r="GL52" i="6" l="1"/>
  <c r="GL39" i="6"/>
  <c r="D29" i="6"/>
  <c r="E29" i="6"/>
  <c r="F29" i="6"/>
  <c r="D30" i="6"/>
  <c r="E30" i="6"/>
  <c r="F30" i="6"/>
  <c r="D87" i="6"/>
  <c r="E87" i="6"/>
  <c r="M87" i="6"/>
  <c r="N87" i="6"/>
  <c r="R87" i="6"/>
  <c r="S87" i="6"/>
  <c r="D88" i="6"/>
  <c r="E88" i="6"/>
  <c r="M88" i="6"/>
  <c r="N88" i="6"/>
  <c r="R88" i="6"/>
  <c r="S88" i="6"/>
  <c r="D90" i="6"/>
  <c r="M90" i="6"/>
  <c r="R90" i="6"/>
  <c r="E91" i="6"/>
  <c r="N91" i="6"/>
  <c r="S91" i="6"/>
  <c r="D92" i="6"/>
  <c r="M92" i="6"/>
  <c r="R92" i="6"/>
  <c r="D94" i="6"/>
  <c r="M94" i="6"/>
  <c r="D95" i="6"/>
  <c r="M95" i="6"/>
  <c r="D97" i="6"/>
  <c r="M97" i="6"/>
  <c r="D98" i="6"/>
  <c r="M98" i="6"/>
  <c r="W98" i="6"/>
  <c r="D100" i="6"/>
  <c r="M100" i="6"/>
  <c r="R100" i="6"/>
  <c r="D102" i="6"/>
  <c r="E102" i="6"/>
  <c r="M102" i="6"/>
  <c r="N102" i="6"/>
  <c r="D103" i="6"/>
  <c r="E103" i="6"/>
  <c r="M103" i="6"/>
  <c r="N103" i="6"/>
  <c r="D105" i="6"/>
  <c r="M105" i="6"/>
  <c r="D108" i="6"/>
  <c r="M108" i="6"/>
  <c r="D109" i="6"/>
  <c r="M109" i="6"/>
  <c r="D110" i="6"/>
  <c r="M110" i="6"/>
</calcChain>
</file>

<file path=xl/sharedStrings.xml><?xml version="1.0" encoding="utf-8"?>
<sst xmlns="http://schemas.openxmlformats.org/spreadsheetml/2006/main" count="4508" uniqueCount="529">
  <si>
    <t>Pontos</t>
  </si>
  <si>
    <t>Simergia</t>
  </si>
  <si>
    <t>Ponderação</t>
  </si>
  <si>
    <t>Linhas</t>
  </si>
  <si>
    <t>Sustentabilidade</t>
  </si>
  <si>
    <t>R</t>
  </si>
  <si>
    <t>N</t>
  </si>
  <si>
    <t>F</t>
  </si>
  <si>
    <t>SI=1</t>
  </si>
  <si>
    <t>SI=5</t>
  </si>
  <si>
    <t>Item</t>
  </si>
  <si>
    <t>Valor</t>
  </si>
  <si>
    <t>%R</t>
  </si>
  <si>
    <t>%N</t>
  </si>
  <si>
    <t>%F</t>
  </si>
  <si>
    <t>%Y</t>
  </si>
  <si>
    <t>Y</t>
  </si>
  <si>
    <t>k</t>
  </si>
  <si>
    <t>Entrada de Dados</t>
  </si>
  <si>
    <t>Nome</t>
  </si>
  <si>
    <t>SI</t>
  </si>
  <si>
    <t>Resultados</t>
  </si>
  <si>
    <t>ρ</t>
  </si>
  <si>
    <t>η</t>
  </si>
  <si>
    <t>φ</t>
  </si>
  <si>
    <t>I =&gt;</t>
  </si>
  <si>
    <t>Limites</t>
  </si>
  <si>
    <t>Y =&gt;</t>
  </si>
  <si>
    <t>[&lt;=B!]</t>
  </si>
  <si>
    <t>[R?=&gt;]</t>
  </si>
  <si>
    <t>EYR</t>
  </si>
  <si>
    <t>EIR</t>
  </si>
  <si>
    <t>ELR</t>
  </si>
  <si>
    <t>Pontos em Coordenadas Cartesianas</t>
  </si>
  <si>
    <t>Ponto</t>
  </si>
  <si>
    <t>Ponto 1</t>
  </si>
  <si>
    <t>SI&gt;5</t>
  </si>
  <si>
    <t>5&gt;SI&gt;1</t>
  </si>
  <si>
    <t>SI&lt;1</t>
  </si>
  <si>
    <t>Sensibilidade de R</t>
  </si>
  <si>
    <t>Ponto 2</t>
  </si>
  <si>
    <t>Sensibilidade de F</t>
  </si>
  <si>
    <t>Ponto 3</t>
  </si>
  <si>
    <t>Contorno do Diagrama Triangular</t>
  </si>
  <si>
    <t>Variavel X</t>
  </si>
  <si>
    <t>X</t>
  </si>
  <si>
    <t>Ponto 4</t>
  </si>
  <si>
    <t>Base do Triangulo</t>
  </si>
  <si>
    <t>Os outros dois lados</t>
  </si>
  <si>
    <t>Ponto 5</t>
  </si>
  <si>
    <t>Títulos dos Eixos</t>
  </si>
  <si>
    <t>Ponto 6</t>
  </si>
  <si>
    <t>Retas limites de %R, %N e %F</t>
  </si>
  <si>
    <t>x</t>
  </si>
  <si>
    <t>y</t>
  </si>
  <si>
    <t>Sensibilidade em Relação à R, N e F</t>
  </si>
  <si>
    <t>a</t>
  </si>
  <si>
    <t>b</t>
  </si>
  <si>
    <t>XX1</t>
  </si>
  <si>
    <t>XX2</t>
  </si>
  <si>
    <t>Distancia</t>
  </si>
  <si>
    <t>YY1</t>
  </si>
  <si>
    <t>R entre SI1 e SI5</t>
  </si>
  <si>
    <t>N entre SI1 e SI5</t>
  </si>
  <si>
    <t>Aplicação do gráfico (mostrar aonde ele pode ser aplicado)</t>
  </si>
  <si>
    <t>Oque ele pode trazer a mais</t>
  </si>
  <si>
    <t>Ativo</t>
  </si>
  <si>
    <t>Novo-Atual-Velho</t>
  </si>
  <si>
    <t>Fonte Valor</t>
  </si>
  <si>
    <t>Fonte Ativa</t>
  </si>
  <si>
    <t>Sensib</t>
  </si>
  <si>
    <t>Ponderação?</t>
  </si>
  <si>
    <t>Informação</t>
  </si>
  <si>
    <t>Fc</t>
  </si>
  <si>
    <t>%Rc</t>
  </si>
  <si>
    <t>Ponto 7</t>
  </si>
  <si>
    <t>Ponto 8</t>
  </si>
  <si>
    <t>Ponto 9</t>
  </si>
  <si>
    <t>Ponto 10</t>
  </si>
  <si>
    <t>Os Dez pontos de Entrada</t>
  </si>
  <si>
    <t>SI=k1</t>
  </si>
  <si>
    <t>SI=k5</t>
  </si>
  <si>
    <t>SI=k2</t>
  </si>
  <si>
    <t>Legenda</t>
  </si>
  <si>
    <t>Máximo</t>
  </si>
  <si>
    <t>Mínimo</t>
  </si>
  <si>
    <t>NumPontos</t>
  </si>
  <si>
    <t>LOG</t>
  </si>
  <si>
    <t>Proporcional à Y</t>
  </si>
  <si>
    <t>SIMERGIA</t>
  </si>
  <si>
    <t>Ponto Nome</t>
  </si>
  <si>
    <t>Ponto Número</t>
  </si>
  <si>
    <t>Simetria</t>
  </si>
  <si>
    <t>Simetria Horizontal</t>
  </si>
  <si>
    <t>Simetria Vertical</t>
  </si>
  <si>
    <t>ZOOM</t>
  </si>
  <si>
    <t>x4</t>
  </si>
  <si>
    <t>x1</t>
  </si>
  <si>
    <t>y1</t>
  </si>
  <si>
    <t>y4</t>
  </si>
  <si>
    <t>x16</t>
  </si>
  <si>
    <t>y16</t>
  </si>
  <si>
    <t>INICIAL</t>
  </si>
  <si>
    <t>Zoomx1</t>
  </si>
  <si>
    <t>Zoomx4</t>
  </si>
  <si>
    <t>Zoomx16</t>
  </si>
  <si>
    <t>Zomx4</t>
  </si>
  <si>
    <t>Regiões</t>
  </si>
  <si>
    <t>REGIÕES</t>
  </si>
  <si>
    <r>
      <t>X</t>
    </r>
    <r>
      <rPr>
        <vertAlign val="subscript"/>
        <sz val="10"/>
        <rFont val="Arial"/>
        <family val="2"/>
      </rPr>
      <t>A</t>
    </r>
  </si>
  <si>
    <r>
      <t>Y</t>
    </r>
    <r>
      <rPr>
        <vertAlign val="subscript"/>
        <sz val="10"/>
        <rFont val="Arial"/>
        <family val="2"/>
      </rPr>
      <t>A</t>
    </r>
  </si>
  <si>
    <r>
      <t>S</t>
    </r>
    <r>
      <rPr>
        <vertAlign val="subscript"/>
        <sz val="10"/>
        <rFont val="Arial"/>
        <family val="2"/>
      </rPr>
      <t>N</t>
    </r>
  </si>
  <si>
    <r>
      <t>S</t>
    </r>
    <r>
      <rPr>
        <vertAlign val="subscript"/>
        <sz val="10"/>
        <rFont val="Arial"/>
        <family val="2"/>
      </rPr>
      <t>F</t>
    </r>
  </si>
  <si>
    <r>
      <t>S</t>
    </r>
    <r>
      <rPr>
        <vertAlign val="subscript"/>
        <sz val="10"/>
        <rFont val="Arial"/>
        <family val="2"/>
      </rPr>
      <t>R</t>
    </r>
  </si>
  <si>
    <t>Name</t>
  </si>
  <si>
    <t>Origin of input source</t>
  </si>
  <si>
    <t>Emergy in sej/Unit</t>
  </si>
  <si>
    <t>Renewable</t>
  </si>
  <si>
    <t>Non-renewable</t>
  </si>
  <si>
    <t>Purchased</t>
  </si>
  <si>
    <t>Xsr</t>
  </si>
  <si>
    <t>SI=k3</t>
  </si>
  <si>
    <t>Total</t>
  </si>
  <si>
    <t>Ponto2</t>
  </si>
  <si>
    <t>Ponto3</t>
  </si>
  <si>
    <t>Ponto1</t>
  </si>
  <si>
    <t>Ponto4</t>
  </si>
  <si>
    <t>Ponto5</t>
  </si>
  <si>
    <t>Ponto6</t>
  </si>
  <si>
    <t>Ponto7</t>
  </si>
  <si>
    <t>Ponto8</t>
  </si>
  <si>
    <t>Ponto9</t>
  </si>
  <si>
    <t>Ponto10</t>
  </si>
  <si>
    <t>Simergy</t>
  </si>
  <si>
    <t>Weighting</t>
  </si>
  <si>
    <t>F entre SI1 e SI5</t>
  </si>
  <si>
    <t>Middle value</t>
  </si>
  <si>
    <t>Os pontos de Entrada</t>
  </si>
  <si>
    <t>K:\André\testes\NOVO\teste 200 pontos.eMe</t>
  </si>
  <si>
    <t>Ponto11</t>
  </si>
  <si>
    <t>Ponto12</t>
  </si>
  <si>
    <t>Ponto13</t>
  </si>
  <si>
    <t>Ponto14</t>
  </si>
  <si>
    <t>Ponto15</t>
  </si>
  <si>
    <t>Ponto16</t>
  </si>
  <si>
    <t>Ponto17</t>
  </si>
  <si>
    <t>Ponto18</t>
  </si>
  <si>
    <t>Ponto19</t>
  </si>
  <si>
    <t>Ponto20</t>
  </si>
  <si>
    <t>Ponto21</t>
  </si>
  <si>
    <t>Ponto22</t>
  </si>
  <si>
    <t>Ponto23</t>
  </si>
  <si>
    <t>Ponto24</t>
  </si>
  <si>
    <t>Ponto25</t>
  </si>
  <si>
    <t>Ponto26</t>
  </si>
  <si>
    <t>Ponto27</t>
  </si>
  <si>
    <t>Ponto28</t>
  </si>
  <si>
    <t>Ponto29</t>
  </si>
  <si>
    <t>Ponto30</t>
  </si>
  <si>
    <t>Ponto31</t>
  </si>
  <si>
    <t>Ponto32</t>
  </si>
  <si>
    <t>Ponto33</t>
  </si>
  <si>
    <t>Ponto34</t>
  </si>
  <si>
    <t>Ponto35</t>
  </si>
  <si>
    <t>Ponto36</t>
  </si>
  <si>
    <t>Ponto37</t>
  </si>
  <si>
    <t>Ponto38</t>
  </si>
  <si>
    <t>Ponto39</t>
  </si>
  <si>
    <t>Ponto40</t>
  </si>
  <si>
    <t>Ponto41</t>
  </si>
  <si>
    <t>Ponto42</t>
  </si>
  <si>
    <t>Ponto43</t>
  </si>
  <si>
    <t>Ponto44</t>
  </si>
  <si>
    <t>Ponto45</t>
  </si>
  <si>
    <t>Ponto46</t>
  </si>
  <si>
    <t>Ponto47</t>
  </si>
  <si>
    <t>Ponto48</t>
  </si>
  <si>
    <t>Ponto49</t>
  </si>
  <si>
    <t>Ponto50</t>
  </si>
  <si>
    <t>Ponto51</t>
  </si>
  <si>
    <t>Ponto52</t>
  </si>
  <si>
    <t>Ponto53</t>
  </si>
  <si>
    <t>Ponto54</t>
  </si>
  <si>
    <t>Ponto55</t>
  </si>
  <si>
    <t>Ponto56</t>
  </si>
  <si>
    <t>Ponto57</t>
  </si>
  <si>
    <t>Ponto58</t>
  </si>
  <si>
    <t>Ponto59</t>
  </si>
  <si>
    <t>Ponto60</t>
  </si>
  <si>
    <t>Ponto61</t>
  </si>
  <si>
    <t>Ponto62</t>
  </si>
  <si>
    <t>Ponto63</t>
  </si>
  <si>
    <t>Ponto64</t>
  </si>
  <si>
    <t>Ponto65</t>
  </si>
  <si>
    <t>Ponto66</t>
  </si>
  <si>
    <t>Ponto67</t>
  </si>
  <si>
    <t>Ponto68</t>
  </si>
  <si>
    <t>Ponto69</t>
  </si>
  <si>
    <t>Ponto70</t>
  </si>
  <si>
    <t>Ponto71</t>
  </si>
  <si>
    <t>Ponto72</t>
  </si>
  <si>
    <t>Ponto73</t>
  </si>
  <si>
    <t>Ponto74</t>
  </si>
  <si>
    <t>Ponto75</t>
  </si>
  <si>
    <t>Ponto76</t>
  </si>
  <si>
    <t>Ponto77</t>
  </si>
  <si>
    <t>Ponto78</t>
  </si>
  <si>
    <t>Ponto79</t>
  </si>
  <si>
    <t>Ponto80</t>
  </si>
  <si>
    <t>Ponto81</t>
  </si>
  <si>
    <t>Ponto82</t>
  </si>
  <si>
    <t>Ponto83</t>
  </si>
  <si>
    <t>Ponto84</t>
  </si>
  <si>
    <t>Ponto85</t>
  </si>
  <si>
    <t>Ponto86</t>
  </si>
  <si>
    <t>Ponto87</t>
  </si>
  <si>
    <t>Ponto88</t>
  </si>
  <si>
    <t>Ponto89</t>
  </si>
  <si>
    <t>Ponto90</t>
  </si>
  <si>
    <t>Ponto91</t>
  </si>
  <si>
    <t>Ponto92</t>
  </si>
  <si>
    <t>Ponto93</t>
  </si>
  <si>
    <t>Ponto94</t>
  </si>
  <si>
    <t>Ponto95</t>
  </si>
  <si>
    <t>Ponto96</t>
  </si>
  <si>
    <t>Ponto97</t>
  </si>
  <si>
    <t>Ponto98</t>
  </si>
  <si>
    <t>Ponto99</t>
  </si>
  <si>
    <t>Ponto100</t>
  </si>
  <si>
    <t>Ponto101</t>
  </si>
  <si>
    <t>Ponto102</t>
  </si>
  <si>
    <t>Ponto103</t>
  </si>
  <si>
    <t>Ponto104</t>
  </si>
  <si>
    <t>Ponto105</t>
  </si>
  <si>
    <t>Ponto106</t>
  </si>
  <si>
    <t>Ponto107</t>
  </si>
  <si>
    <t>Ponto108</t>
  </si>
  <si>
    <t>Ponto109</t>
  </si>
  <si>
    <t>Ponto110</t>
  </si>
  <si>
    <t>Ponto111</t>
  </si>
  <si>
    <t>Ponto112</t>
  </si>
  <si>
    <t>Ponto113</t>
  </si>
  <si>
    <t>Ponto114</t>
  </si>
  <si>
    <t>Ponto115</t>
  </si>
  <si>
    <t>Ponto116</t>
  </si>
  <si>
    <t>Ponto117</t>
  </si>
  <si>
    <t>Ponto118</t>
  </si>
  <si>
    <t>Ponto119</t>
  </si>
  <si>
    <t>Ponto120</t>
  </si>
  <si>
    <t>Ponto121</t>
  </si>
  <si>
    <t>Ponto122</t>
  </si>
  <si>
    <t>Ponto123</t>
  </si>
  <si>
    <t>Ponto124</t>
  </si>
  <si>
    <t>Ponto125</t>
  </si>
  <si>
    <t>Ponto126</t>
  </si>
  <si>
    <t>Ponto127</t>
  </si>
  <si>
    <t>Ponto128</t>
  </si>
  <si>
    <t>Ponto129</t>
  </si>
  <si>
    <t>Ponto130</t>
  </si>
  <si>
    <t>Ponto131</t>
  </si>
  <si>
    <t>Ponto132</t>
  </si>
  <si>
    <t>Ponto133</t>
  </si>
  <si>
    <t>Ponto134</t>
  </si>
  <si>
    <t>Ponto135</t>
  </si>
  <si>
    <t>Ponto136</t>
  </si>
  <si>
    <t>Ponto137</t>
  </si>
  <si>
    <t>Ponto138</t>
  </si>
  <si>
    <t>Ponto139</t>
  </si>
  <si>
    <t>Ponto140</t>
  </si>
  <si>
    <t>Ponto141</t>
  </si>
  <si>
    <t>Ponto142</t>
  </si>
  <si>
    <t>Ponto143</t>
  </si>
  <si>
    <t>Ponto144</t>
  </si>
  <si>
    <t>Ponto145</t>
  </si>
  <si>
    <t>Ponto146</t>
  </si>
  <si>
    <t>Ponto147</t>
  </si>
  <si>
    <t>Ponto148</t>
  </si>
  <si>
    <t>Ponto149</t>
  </si>
  <si>
    <t>Ponto150</t>
  </si>
  <si>
    <t>Ponto151</t>
  </si>
  <si>
    <t>Ponto152</t>
  </si>
  <si>
    <t>Ponto153</t>
  </si>
  <si>
    <t>Ponto154</t>
  </si>
  <si>
    <t>Ponto155</t>
  </si>
  <si>
    <t>Ponto156</t>
  </si>
  <si>
    <t>Ponto157</t>
  </si>
  <si>
    <t>Ponto158</t>
  </si>
  <si>
    <t>Ponto159</t>
  </si>
  <si>
    <t>Ponto160</t>
  </si>
  <si>
    <t>Ponto161</t>
  </si>
  <si>
    <t>Ponto162</t>
  </si>
  <si>
    <t>Ponto163</t>
  </si>
  <si>
    <t>Ponto164</t>
  </si>
  <si>
    <t>Ponto165</t>
  </si>
  <si>
    <t>Ponto166</t>
  </si>
  <si>
    <t>Ponto167</t>
  </si>
  <si>
    <t>Ponto168</t>
  </si>
  <si>
    <t>Ponto169</t>
  </si>
  <si>
    <t>Ponto170</t>
  </si>
  <si>
    <t>Ponto171</t>
  </si>
  <si>
    <t>Ponto172</t>
  </si>
  <si>
    <t>Ponto173</t>
  </si>
  <si>
    <t>Ponto174</t>
  </si>
  <si>
    <t>Ponto175</t>
  </si>
  <si>
    <t>Ponto176</t>
  </si>
  <si>
    <t>Ponto177</t>
  </si>
  <si>
    <t>Ponto178</t>
  </si>
  <si>
    <t>Ponto179</t>
  </si>
  <si>
    <t>Ponto180</t>
  </si>
  <si>
    <t>Ponto181</t>
  </si>
  <si>
    <t>Ponto182</t>
  </si>
  <si>
    <t>Ponto183</t>
  </si>
  <si>
    <t>Ponto184</t>
  </si>
  <si>
    <t>Ponto185</t>
  </si>
  <si>
    <t>Ponto186</t>
  </si>
  <si>
    <t>Ponto187</t>
  </si>
  <si>
    <t>Ponto188</t>
  </si>
  <si>
    <t>Ponto189</t>
  </si>
  <si>
    <t>Ponto190</t>
  </si>
  <si>
    <t>Ponto191</t>
  </si>
  <si>
    <t>Ponto192</t>
  </si>
  <si>
    <t>Ponto193</t>
  </si>
  <si>
    <t>Ponto194</t>
  </si>
  <si>
    <t>Ponto195</t>
  </si>
  <si>
    <t>Ponto196</t>
  </si>
  <si>
    <t>Ponto197</t>
  </si>
  <si>
    <t>Ponto198</t>
  </si>
  <si>
    <t>Ponto199</t>
  </si>
  <si>
    <t>Ponto200</t>
  </si>
  <si>
    <t>1-Ponto1</t>
  </si>
  <si>
    <t>2-Ponto2</t>
  </si>
  <si>
    <t>3-Ponto3</t>
  </si>
  <si>
    <t>4-Ponto4</t>
  </si>
  <si>
    <t>5-Ponto5</t>
  </si>
  <si>
    <t>6-Ponto6</t>
  </si>
  <si>
    <t>7-Ponto7</t>
  </si>
  <si>
    <t>8-Ponto8</t>
  </si>
  <si>
    <t>9-Ponto9</t>
  </si>
  <si>
    <t>10-Ponto10</t>
  </si>
  <si>
    <t>11-Ponto11</t>
  </si>
  <si>
    <t>12-Ponto12</t>
  </si>
  <si>
    <t>13-Ponto13</t>
  </si>
  <si>
    <t>14-Ponto14</t>
  </si>
  <si>
    <t>15-Ponto15</t>
  </si>
  <si>
    <t>16-Ponto16</t>
  </si>
  <si>
    <t>17-Ponto17</t>
  </si>
  <si>
    <t>18-Ponto18</t>
  </si>
  <si>
    <t>19-Ponto19</t>
  </si>
  <si>
    <t>20-Ponto20</t>
  </si>
  <si>
    <t>21-Ponto21</t>
  </si>
  <si>
    <t>22-Ponto22</t>
  </si>
  <si>
    <t>23-Ponto23</t>
  </si>
  <si>
    <t>24-Ponto24</t>
  </si>
  <si>
    <t>25-Ponto25</t>
  </si>
  <si>
    <t>26-Ponto26</t>
  </si>
  <si>
    <t>27-Ponto27</t>
  </si>
  <si>
    <t>28-Ponto28</t>
  </si>
  <si>
    <t>29-Ponto29</t>
  </si>
  <si>
    <t>30-Ponto30</t>
  </si>
  <si>
    <t>31-Ponto31</t>
  </si>
  <si>
    <t>32-Ponto32</t>
  </si>
  <si>
    <t>33-Ponto33</t>
  </si>
  <si>
    <t>34-Ponto34</t>
  </si>
  <si>
    <t>35-Ponto35</t>
  </si>
  <si>
    <t>36-Ponto36</t>
  </si>
  <si>
    <t>37-Ponto37</t>
  </si>
  <si>
    <t>38-Ponto38</t>
  </si>
  <si>
    <t>39-Ponto39</t>
  </si>
  <si>
    <t>40-Ponto40</t>
  </si>
  <si>
    <t>41-Ponto41</t>
  </si>
  <si>
    <t>42-Ponto42</t>
  </si>
  <si>
    <t>43-Ponto43</t>
  </si>
  <si>
    <t>44-Ponto44</t>
  </si>
  <si>
    <t>45-Ponto45</t>
  </si>
  <si>
    <t>46-Ponto46</t>
  </si>
  <si>
    <t>47-Ponto47</t>
  </si>
  <si>
    <t>48-Ponto48</t>
  </si>
  <si>
    <t>49-Ponto49</t>
  </si>
  <si>
    <t>50-Ponto50</t>
  </si>
  <si>
    <t>51-Ponto51</t>
  </si>
  <si>
    <t>52-Ponto52</t>
  </si>
  <si>
    <t>53-Ponto53</t>
  </si>
  <si>
    <t>54-Ponto54</t>
  </si>
  <si>
    <t>55-Ponto55</t>
  </si>
  <si>
    <t>56-Ponto56</t>
  </si>
  <si>
    <t>57-Ponto57</t>
  </si>
  <si>
    <t>58-Ponto58</t>
  </si>
  <si>
    <t>59-Ponto59</t>
  </si>
  <si>
    <t>60-Ponto60</t>
  </si>
  <si>
    <t>61-Ponto61</t>
  </si>
  <si>
    <t>62-Ponto62</t>
  </si>
  <si>
    <t>63-Ponto63</t>
  </si>
  <si>
    <t>64-Ponto64</t>
  </si>
  <si>
    <t>65-Ponto65</t>
  </si>
  <si>
    <t>66-Ponto66</t>
  </si>
  <si>
    <t>67-Ponto67</t>
  </si>
  <si>
    <t>68-Ponto68</t>
  </si>
  <si>
    <t>69-Ponto69</t>
  </si>
  <si>
    <t>70-Ponto70</t>
  </si>
  <si>
    <t>71-Ponto71</t>
  </si>
  <si>
    <t>72-Ponto72</t>
  </si>
  <si>
    <t>73-Ponto73</t>
  </si>
  <si>
    <t>74-Ponto74</t>
  </si>
  <si>
    <t>75-Ponto75</t>
  </si>
  <si>
    <t>76-Ponto76</t>
  </si>
  <si>
    <t>77-Ponto77</t>
  </si>
  <si>
    <t>78-Ponto78</t>
  </si>
  <si>
    <t>79-Ponto79</t>
  </si>
  <si>
    <t>80-Ponto80</t>
  </si>
  <si>
    <t>81-Ponto81</t>
  </si>
  <si>
    <t>82-Ponto82</t>
  </si>
  <si>
    <t>83-Ponto83</t>
  </si>
  <si>
    <t>84-Ponto84</t>
  </si>
  <si>
    <t>85-Ponto85</t>
  </si>
  <si>
    <t>86-Ponto86</t>
  </si>
  <si>
    <t>87-Ponto87</t>
  </si>
  <si>
    <t>88-Ponto88</t>
  </si>
  <si>
    <t>89-Ponto89</t>
  </si>
  <si>
    <t>90-Ponto90</t>
  </si>
  <si>
    <t>91-Ponto91</t>
  </si>
  <si>
    <t>92-Ponto92</t>
  </si>
  <si>
    <t>93-Ponto93</t>
  </si>
  <si>
    <t>94-Ponto94</t>
  </si>
  <si>
    <t>95-Ponto95</t>
  </si>
  <si>
    <t>96-Ponto96</t>
  </si>
  <si>
    <t>97-Ponto97</t>
  </si>
  <si>
    <t>98-Ponto98</t>
  </si>
  <si>
    <t>99-Ponto99</t>
  </si>
  <si>
    <t>100-Ponto100</t>
  </si>
  <si>
    <t>101-Ponto101</t>
  </si>
  <si>
    <t>102-Ponto102</t>
  </si>
  <si>
    <t>103-Ponto103</t>
  </si>
  <si>
    <t>104-Ponto104</t>
  </si>
  <si>
    <t>105-Ponto105</t>
  </si>
  <si>
    <t>106-Ponto106</t>
  </si>
  <si>
    <t>107-Ponto107</t>
  </si>
  <si>
    <t>108-Ponto108</t>
  </si>
  <si>
    <t>109-Ponto109</t>
  </si>
  <si>
    <t>110-Ponto110</t>
  </si>
  <si>
    <t>111-Ponto111</t>
  </si>
  <si>
    <t>112-Ponto112</t>
  </si>
  <si>
    <t>113-Ponto113</t>
  </si>
  <si>
    <t>114-Ponto114</t>
  </si>
  <si>
    <t>115-Ponto115</t>
  </si>
  <si>
    <t>116-Ponto116</t>
  </si>
  <si>
    <t>117-Ponto117</t>
  </si>
  <si>
    <t>118-Ponto118</t>
  </si>
  <si>
    <t>119-Ponto119</t>
  </si>
  <si>
    <t>120-Ponto120</t>
  </si>
  <si>
    <t>121-Ponto121</t>
  </si>
  <si>
    <t>122-Ponto122</t>
  </si>
  <si>
    <t>123-Ponto123</t>
  </si>
  <si>
    <t>124-Ponto124</t>
  </si>
  <si>
    <t>125-Ponto125</t>
  </si>
  <si>
    <t>126-Ponto126</t>
  </si>
  <si>
    <t>127-Ponto127</t>
  </si>
  <si>
    <t>128-Ponto128</t>
  </si>
  <si>
    <t>129-Ponto129</t>
  </si>
  <si>
    <t>130-Ponto130</t>
  </si>
  <si>
    <t>131-Ponto131</t>
  </si>
  <si>
    <t>132-Ponto132</t>
  </si>
  <si>
    <t>133-Ponto133</t>
  </si>
  <si>
    <t>134-Ponto134</t>
  </si>
  <si>
    <t>135-Ponto135</t>
  </si>
  <si>
    <t>136-Ponto136</t>
  </si>
  <si>
    <t>137-Ponto137</t>
  </si>
  <si>
    <t>138-Ponto138</t>
  </si>
  <si>
    <t>139-Ponto139</t>
  </si>
  <si>
    <t>140-Ponto140</t>
  </si>
  <si>
    <t>141-Ponto141</t>
  </si>
  <si>
    <t>142-Ponto142</t>
  </si>
  <si>
    <t>143-Ponto143</t>
  </si>
  <si>
    <t>144-Ponto144</t>
  </si>
  <si>
    <t>145-Ponto145</t>
  </si>
  <si>
    <t>146-Ponto146</t>
  </si>
  <si>
    <t>147-Ponto147</t>
  </si>
  <si>
    <t>148-Ponto148</t>
  </si>
  <si>
    <t>149-Ponto149</t>
  </si>
  <si>
    <t>150-Ponto150</t>
  </si>
  <si>
    <t>151-Ponto151</t>
  </si>
  <si>
    <t>152-Ponto152</t>
  </si>
  <si>
    <t>153-Ponto153</t>
  </si>
  <si>
    <t>154-Ponto154</t>
  </si>
  <si>
    <t>155-Ponto155</t>
  </si>
  <si>
    <t>156-Ponto156</t>
  </si>
  <si>
    <t>157-Ponto157</t>
  </si>
  <si>
    <t>158-Ponto158</t>
  </si>
  <si>
    <t>159-Ponto159</t>
  </si>
  <si>
    <t>160-Ponto160</t>
  </si>
  <si>
    <t>161-Ponto161</t>
  </si>
  <si>
    <t>162-Ponto162</t>
  </si>
  <si>
    <t>163-Ponto163</t>
  </si>
  <si>
    <t>164-Ponto164</t>
  </si>
  <si>
    <t>165-Ponto165</t>
  </si>
  <si>
    <t>166-Ponto166</t>
  </si>
  <si>
    <t>167-Ponto167</t>
  </si>
  <si>
    <t>168-Ponto168</t>
  </si>
  <si>
    <t>169-Ponto169</t>
  </si>
  <si>
    <t>170-Ponto170</t>
  </si>
  <si>
    <t>171-Ponto171</t>
  </si>
  <si>
    <t>172-Ponto172</t>
  </si>
  <si>
    <t>173-Ponto173</t>
  </si>
  <si>
    <t>174-Ponto174</t>
  </si>
  <si>
    <t>175-Ponto175</t>
  </si>
  <si>
    <t>176-Ponto176</t>
  </si>
  <si>
    <t>177-Ponto177</t>
  </si>
  <si>
    <t>178-Ponto178</t>
  </si>
  <si>
    <t>179-Ponto179</t>
  </si>
  <si>
    <t>180-Ponto180</t>
  </si>
  <si>
    <t>181-Ponto181</t>
  </si>
  <si>
    <t>182-Ponto182</t>
  </si>
  <si>
    <t>183-Ponto183</t>
  </si>
  <si>
    <t>184-Ponto184</t>
  </si>
  <si>
    <t>185-Ponto185</t>
  </si>
  <si>
    <t>186-Ponto186</t>
  </si>
  <si>
    <t>187-Ponto187</t>
  </si>
  <si>
    <t>188-Ponto188</t>
  </si>
  <si>
    <t>189-Ponto189</t>
  </si>
  <si>
    <t>190-Ponto190</t>
  </si>
  <si>
    <t>191-Ponto191</t>
  </si>
  <si>
    <t>192-Ponto192</t>
  </si>
  <si>
    <t>193-Ponto193</t>
  </si>
  <si>
    <t>194-Ponto194</t>
  </si>
  <si>
    <t>195-Ponto195</t>
  </si>
  <si>
    <t>196-Ponto196</t>
  </si>
  <si>
    <t>197-Ponto197</t>
  </si>
  <si>
    <t>198-Ponto198</t>
  </si>
  <si>
    <t>199-Ponto199</t>
  </si>
  <si>
    <t>200-Ponto200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</si>
</sst>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0.0%"/>
    <numFmt numFmtId="166" formatCode="0.0E+00"/>
    <numFmt numFmtId="167" formatCode="#,##0.0"/>
    <numFmt numFmtId="168" formatCode="0.000"/>
  </numFmts>
  <fonts count="20" x14ac:knownFonts="1">
    <font>
      <sz val="10"/>
      <name val="Comic Sans MS"/>
    </font>
    <font>
      <sz val="10"/>
      <name val="Comic Sans MS"/>
      <family val="4"/>
    </font>
    <font>
      <sz val="8"/>
      <name val="Comic Sans MS"/>
      <family val="4"/>
    </font>
    <font>
      <u/>
      <sz val="10"/>
      <color indexed="12"/>
      <name val="Comic Sans MS"/>
      <family val="4"/>
    </font>
    <font>
      <sz val="10"/>
      <name val="Arial"/>
      <family val="2"/>
    </font>
    <font>
      <b/>
      <sz val="10"/>
      <name val="Arial"/>
      <family val="2"/>
    </font>
    <font>
      <u/>
      <sz val="10"/>
      <color indexed="12"/>
      <name val="Arial"/>
      <family val="2"/>
    </font>
    <font>
      <b/>
      <sz val="10"/>
      <color indexed="17"/>
      <name val="Arial"/>
      <family val="2"/>
    </font>
    <font>
      <sz val="10"/>
      <color indexed="12"/>
      <name val="Arial"/>
      <family val="2"/>
    </font>
    <font>
      <b/>
      <sz val="10"/>
      <color theme="8" tint="-0.499984740745262"/>
      <name val="Arial"/>
      <family val="2"/>
    </font>
    <font>
      <sz val="10"/>
      <color indexed="21"/>
      <name val="Arial"/>
      <family val="2"/>
    </font>
    <font>
      <sz val="10"/>
      <color indexed="16"/>
      <name val="Arial"/>
      <family val="2"/>
    </font>
    <font>
      <vertAlign val="subscript"/>
      <sz val="10"/>
      <name val="Arial"/>
      <family val="2"/>
    </font>
    <font>
      <b/>
      <sz val="10"/>
      <color indexed="12"/>
      <name val="Arial"/>
      <family val="2"/>
    </font>
    <font>
      <sz val="10"/>
      <color theme="0"/>
      <name val="Arial"/>
      <family val="2"/>
    </font>
    <font>
      <sz val="8"/>
      <color theme="0"/>
      <name val="Arial"/>
      <family val="2"/>
    </font>
    <font>
      <b/>
      <sz val="9"/>
      <color theme="1"/>
      <name val="Times New Roman"/>
      <family val="1"/>
    </font>
    <font>
      <b/>
      <sz val="9"/>
      <name val="Times New Roman"/>
      <family val="1"/>
    </font>
    <font>
      <sz val="9"/>
      <name val="Times New Roman"/>
      <family val="1"/>
    </font>
    <font>
      <b/>
      <sz val="9"/>
      <name val="Comic Sans MS"/>
      <family val="4"/>
    </font>
  </fonts>
  <fills count="14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AAD6E4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8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8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  <xf numFmtId="9" fontId="1" fillId="0" borderId="0" applyFont="0" applyFill="0" applyBorder="0" applyAlignment="0" applyProtection="0"/>
  </cellStyleXfs>
  <cellXfs count="220">
    <xf numFmtId="0" fontId="0" fillId="0" borderId="0" xfId="0"/>
    <xf numFmtId="0" fontId="2" fillId="0" borderId="0" xfId="0" applyFont="1" applyAlignment="1">
      <alignment horizontal="center"/>
    </xf>
    <xf numFmtId="0" fontId="2" fillId="0" borderId="0" xfId="0" applyFont="1"/>
    <xf numFmtId="0" fontId="0" fillId="0" borderId="0" xfId="0" applyAlignment="1">
      <alignment wrapText="1"/>
    </xf>
    <xf numFmtId="11" fontId="2" fillId="0" borderId="0" xfId="0" applyNumberFormat="1" applyFont="1"/>
    <xf numFmtId="0" fontId="4" fillId="4" borderId="3" xfId="0" applyFont="1" applyFill="1" applyBorder="1"/>
    <xf numFmtId="0" fontId="4" fillId="4" borderId="4" xfId="0" applyFont="1" applyFill="1" applyBorder="1"/>
    <xf numFmtId="0" fontId="5" fillId="2" borderId="8" xfId="0" applyFont="1" applyFill="1" applyBorder="1" applyAlignment="1">
      <alignment horizontal="center"/>
    </xf>
    <xf numFmtId="0" fontId="5" fillId="2" borderId="7" xfId="0" applyFont="1" applyFill="1" applyBorder="1" applyAlignment="1">
      <alignment horizontal="center"/>
    </xf>
    <xf numFmtId="0" fontId="4" fillId="0" borderId="0" xfId="0" applyFont="1"/>
    <xf numFmtId="0" fontId="4" fillId="0" borderId="0" xfId="0" applyFont="1" applyAlignment="1">
      <alignment horizontal="center"/>
    </xf>
    <xf numFmtId="0" fontId="4" fillId="0" borderId="0" xfId="0" applyFont="1" applyAlignment="1">
      <alignment horizontal="right"/>
    </xf>
    <xf numFmtId="0" fontId="4" fillId="7" borderId="5" xfId="0" applyFont="1" applyFill="1" applyBorder="1"/>
    <xf numFmtId="0" fontId="7" fillId="3" borderId="2" xfId="0" applyFont="1" applyFill="1" applyBorder="1" applyAlignment="1">
      <alignment horizontal="center"/>
    </xf>
    <xf numFmtId="11" fontId="4" fillId="0" borderId="0" xfId="0" applyNumberFormat="1" applyFont="1"/>
    <xf numFmtId="0" fontId="4" fillId="7" borderId="5" xfId="0" applyFont="1" applyFill="1" applyBorder="1" applyAlignment="1">
      <alignment horizontal="center"/>
    </xf>
    <xf numFmtId="11" fontId="8" fillId="4" borderId="9" xfId="0" applyNumberFormat="1" applyFont="1" applyFill="1" applyBorder="1" applyAlignment="1">
      <alignment horizontal="center"/>
    </xf>
    <xf numFmtId="166" fontId="4" fillId="0" borderId="0" xfId="0" applyNumberFormat="1" applyFont="1"/>
    <xf numFmtId="0" fontId="4" fillId="7" borderId="1" xfId="0" applyFont="1" applyFill="1" applyBorder="1" applyAlignment="1">
      <alignment horizontal="center"/>
    </xf>
    <xf numFmtId="11" fontId="8" fillId="4" borderId="2" xfId="0" applyNumberFormat="1" applyFont="1" applyFill="1" applyBorder="1" applyAlignment="1">
      <alignment horizontal="center"/>
    </xf>
    <xf numFmtId="11" fontId="4" fillId="7" borderId="2" xfId="0" applyNumberFormat="1" applyFont="1" applyFill="1" applyBorder="1" applyAlignment="1">
      <alignment horizontal="center"/>
    </xf>
    <xf numFmtId="11" fontId="4" fillId="7" borderId="17" xfId="0" applyNumberFormat="1" applyFont="1" applyFill="1" applyBorder="1" applyAlignment="1">
      <alignment horizontal="center"/>
    </xf>
    <xf numFmtId="11" fontId="4" fillId="7" borderId="6" xfId="0" applyNumberFormat="1" applyFont="1" applyFill="1" applyBorder="1" applyAlignment="1">
      <alignment horizontal="center"/>
    </xf>
    <xf numFmtId="0" fontId="4" fillId="7" borderId="7" xfId="0" applyFont="1" applyFill="1" applyBorder="1" applyAlignment="1">
      <alignment horizontal="center"/>
    </xf>
    <xf numFmtId="2" fontId="9" fillId="4" borderId="1" xfId="0" applyNumberFormat="1" applyFont="1" applyFill="1" applyBorder="1" applyAlignment="1">
      <alignment horizontal="center"/>
    </xf>
    <xf numFmtId="2" fontId="9" fillId="4" borderId="2" xfId="0" applyNumberFormat="1" applyFont="1" applyFill="1" applyBorder="1" applyAlignment="1">
      <alignment horizontal="center"/>
    </xf>
    <xf numFmtId="9" fontId="9" fillId="4" borderId="1" xfId="2" applyFont="1" applyFill="1" applyBorder="1" applyAlignment="1">
      <alignment horizontal="center"/>
    </xf>
    <xf numFmtId="2" fontId="5" fillId="2" borderId="5" xfId="0" applyNumberFormat="1" applyFont="1" applyFill="1" applyBorder="1" applyAlignment="1">
      <alignment horizontal="center"/>
    </xf>
    <xf numFmtId="2" fontId="5" fillId="2" borderId="9" xfId="0" applyNumberFormat="1" applyFont="1" applyFill="1" applyBorder="1" applyAlignment="1">
      <alignment horizontal="center"/>
    </xf>
    <xf numFmtId="2" fontId="4" fillId="0" borderId="0" xfId="0" applyNumberFormat="1" applyFont="1" applyAlignment="1">
      <alignment horizontal="center"/>
    </xf>
    <xf numFmtId="0" fontId="4" fillId="0" borderId="17" xfId="0" applyFont="1" applyBorder="1" applyAlignment="1">
      <alignment horizontal="center"/>
    </xf>
    <xf numFmtId="2" fontId="5" fillId="2" borderId="1" xfId="0" applyNumberFormat="1" applyFont="1" applyFill="1" applyBorder="1" applyAlignment="1">
      <alignment horizontal="center"/>
    </xf>
    <xf numFmtId="2" fontId="5" fillId="2" borderId="2" xfId="0" applyNumberFormat="1" applyFont="1" applyFill="1" applyBorder="1" applyAlignment="1">
      <alignment horizontal="center"/>
    </xf>
    <xf numFmtId="0" fontId="4" fillId="0" borderId="4" xfId="0" applyFont="1" applyBorder="1"/>
    <xf numFmtId="2" fontId="4" fillId="0" borderId="0" xfId="0" applyNumberFormat="1" applyFont="1"/>
    <xf numFmtId="0" fontId="4" fillId="2" borderId="8" xfId="0" applyFont="1" applyFill="1" applyBorder="1" applyAlignment="1">
      <alignment horizontal="center"/>
    </xf>
    <xf numFmtId="2" fontId="4" fillId="2" borderId="5" xfId="0" applyNumberFormat="1" applyFont="1" applyFill="1" applyBorder="1" applyAlignment="1">
      <alignment horizontal="center"/>
    </xf>
    <xf numFmtId="2" fontId="4" fillId="2" borderId="9" xfId="0" applyNumberFormat="1" applyFont="1" applyFill="1" applyBorder="1" applyAlignment="1">
      <alignment horizontal="center"/>
    </xf>
    <xf numFmtId="2" fontId="4" fillId="5" borderId="10" xfId="0" applyNumberFormat="1" applyFont="1" applyFill="1" applyBorder="1"/>
    <xf numFmtId="2" fontId="4" fillId="5" borderId="11" xfId="0" applyNumberFormat="1" applyFont="1" applyFill="1" applyBorder="1"/>
    <xf numFmtId="2" fontId="4" fillId="5" borderId="9" xfId="0" applyNumberFormat="1" applyFont="1" applyFill="1" applyBorder="1" applyAlignment="1">
      <alignment horizontal="center"/>
    </xf>
    <xf numFmtId="0" fontId="8" fillId="2" borderId="10" xfId="0" applyFont="1" applyFill="1" applyBorder="1" applyAlignment="1">
      <alignment horizontal="center"/>
    </xf>
    <xf numFmtId="2" fontId="8" fillId="4" borderId="12" xfId="0" applyNumberFormat="1" applyFont="1" applyFill="1" applyBorder="1" applyAlignment="1">
      <alignment horizontal="center"/>
    </xf>
    <xf numFmtId="2" fontId="8" fillId="4" borderId="13" xfId="0" applyNumberFormat="1" applyFont="1" applyFill="1" applyBorder="1" applyAlignment="1">
      <alignment horizontal="center"/>
    </xf>
    <xf numFmtId="2" fontId="10" fillId="4" borderId="13" xfId="0" applyNumberFormat="1" applyFont="1" applyFill="1" applyBorder="1" applyAlignment="1">
      <alignment horizontal="center"/>
    </xf>
    <xf numFmtId="2" fontId="11" fillId="4" borderId="13" xfId="0" applyNumberFormat="1" applyFont="1" applyFill="1" applyBorder="1" applyAlignment="1">
      <alignment horizontal="center"/>
    </xf>
    <xf numFmtId="0" fontId="8" fillId="2" borderId="8" xfId="0" applyFont="1" applyFill="1" applyBorder="1" applyAlignment="1">
      <alignment horizontal="center"/>
    </xf>
    <xf numFmtId="2" fontId="8" fillId="4" borderId="5" xfId="0" applyNumberFormat="1" applyFont="1" applyFill="1" applyBorder="1" applyAlignment="1">
      <alignment horizontal="center"/>
    </xf>
    <xf numFmtId="2" fontId="8" fillId="4" borderId="9" xfId="0" applyNumberFormat="1" applyFont="1" applyFill="1" applyBorder="1" applyAlignment="1">
      <alignment horizontal="center"/>
    </xf>
    <xf numFmtId="2" fontId="10" fillId="4" borderId="9" xfId="0" applyNumberFormat="1" applyFont="1" applyFill="1" applyBorder="1" applyAlignment="1">
      <alignment horizontal="center"/>
    </xf>
    <xf numFmtId="2" fontId="11" fillId="4" borderId="9" xfId="0" applyNumberFormat="1" applyFont="1" applyFill="1" applyBorder="1" applyAlignment="1">
      <alignment horizontal="center"/>
    </xf>
    <xf numFmtId="0" fontId="8" fillId="2" borderId="7" xfId="0" applyFont="1" applyFill="1" applyBorder="1" applyAlignment="1">
      <alignment horizontal="center"/>
    </xf>
    <xf numFmtId="2" fontId="8" fillId="4" borderId="2" xfId="0" applyNumberFormat="1" applyFont="1" applyFill="1" applyBorder="1" applyAlignment="1">
      <alignment horizontal="center"/>
    </xf>
    <xf numFmtId="2" fontId="10" fillId="4" borderId="2" xfId="0" applyNumberFormat="1" applyFont="1" applyFill="1" applyBorder="1" applyAlignment="1">
      <alignment horizontal="center"/>
    </xf>
    <xf numFmtId="2" fontId="11" fillId="4" borderId="2" xfId="0" applyNumberFormat="1" applyFont="1" applyFill="1" applyBorder="1" applyAlignment="1">
      <alignment horizontal="center"/>
    </xf>
    <xf numFmtId="0" fontId="5" fillId="2" borderId="0" xfId="0" applyFont="1" applyFill="1" applyAlignment="1">
      <alignment horizontal="center"/>
    </xf>
    <xf numFmtId="0" fontId="7" fillId="3" borderId="1" xfId="0" applyFont="1" applyFill="1" applyBorder="1" applyAlignment="1">
      <alignment horizontal="center"/>
    </xf>
    <xf numFmtId="0" fontId="4" fillId="9" borderId="10" xfId="0" applyFont="1" applyFill="1" applyBorder="1" applyAlignment="1">
      <alignment horizontal="center"/>
    </xf>
    <xf numFmtId="2" fontId="4" fillId="9" borderId="12" xfId="0" applyNumberFormat="1" applyFont="1" applyFill="1" applyBorder="1" applyAlignment="1">
      <alignment horizontal="center"/>
    </xf>
    <xf numFmtId="2" fontId="4" fillId="9" borderId="9" xfId="0" applyNumberFormat="1" applyFont="1" applyFill="1" applyBorder="1" applyAlignment="1">
      <alignment horizontal="center"/>
    </xf>
    <xf numFmtId="2" fontId="4" fillId="0" borderId="10" xfId="0" applyNumberFormat="1" applyFont="1" applyBorder="1"/>
    <xf numFmtId="2" fontId="4" fillId="6" borderId="3" xfId="0" applyNumberFormat="1" applyFont="1" applyFill="1" applyBorder="1"/>
    <xf numFmtId="2" fontId="4" fillId="0" borderId="13" xfId="0" applyNumberFormat="1" applyFont="1" applyBorder="1"/>
    <xf numFmtId="0" fontId="4" fillId="9" borderId="8" xfId="0" applyFont="1" applyFill="1" applyBorder="1" applyAlignment="1">
      <alignment horizontal="center"/>
    </xf>
    <xf numFmtId="2" fontId="4" fillId="9" borderId="1" xfId="0" applyNumberFormat="1" applyFont="1" applyFill="1" applyBorder="1" applyAlignment="1">
      <alignment horizontal="center"/>
    </xf>
    <xf numFmtId="2" fontId="4" fillId="9" borderId="2" xfId="0" applyNumberFormat="1" applyFont="1" applyFill="1" applyBorder="1" applyAlignment="1">
      <alignment horizontal="center"/>
    </xf>
    <xf numFmtId="2" fontId="4" fillId="0" borderId="7" xfId="0" applyNumberFormat="1" applyFont="1" applyBorder="1"/>
    <xf numFmtId="2" fontId="4" fillId="6" borderId="4" xfId="0" applyNumberFormat="1" applyFont="1" applyFill="1" applyBorder="1"/>
    <xf numFmtId="2" fontId="4" fillId="0" borderId="2" xfId="0" applyNumberFormat="1" applyFont="1" applyBorder="1"/>
    <xf numFmtId="2" fontId="4" fillId="2" borderId="14" xfId="0" applyNumberFormat="1" applyFont="1" applyFill="1" applyBorder="1"/>
    <xf numFmtId="0" fontId="4" fillId="2" borderId="14" xfId="0" applyFont="1" applyFill="1" applyBorder="1"/>
    <xf numFmtId="0" fontId="4" fillId="2" borderId="6" xfId="0" applyFont="1" applyFill="1" applyBorder="1"/>
    <xf numFmtId="0" fontId="4" fillId="2" borderId="8" xfId="0" applyFont="1" applyFill="1" applyBorder="1"/>
    <xf numFmtId="0" fontId="7" fillId="2" borderId="0" xfId="0" applyFont="1" applyFill="1" applyAlignment="1">
      <alignment horizontal="center"/>
    </xf>
    <xf numFmtId="0" fontId="4" fillId="2" borderId="9" xfId="0" applyFont="1" applyFill="1" applyBorder="1"/>
    <xf numFmtId="165" fontId="13" fillId="4" borderId="2" xfId="2" applyNumberFormat="1" applyFont="1" applyFill="1" applyBorder="1" applyAlignment="1">
      <alignment horizontal="center"/>
    </xf>
    <xf numFmtId="0" fontId="8" fillId="4" borderId="15" xfId="0" applyFont="1" applyFill="1" applyBorder="1"/>
    <xf numFmtId="0" fontId="8" fillId="4" borderId="14" xfId="0" applyFont="1" applyFill="1" applyBorder="1"/>
    <xf numFmtId="0" fontId="8" fillId="4" borderId="16" xfId="0" applyFont="1" applyFill="1" applyBorder="1"/>
    <xf numFmtId="0" fontId="5" fillId="2" borderId="7" xfId="0" applyFont="1" applyFill="1" applyBorder="1" applyAlignment="1">
      <alignment horizontal="left"/>
    </xf>
    <xf numFmtId="0" fontId="7" fillId="2" borderId="4" xfId="0" applyFont="1" applyFill="1" applyBorder="1" applyAlignment="1">
      <alignment horizontal="center"/>
    </xf>
    <xf numFmtId="0" fontId="4" fillId="2" borderId="2" xfId="0" applyFont="1" applyFill="1" applyBorder="1"/>
    <xf numFmtId="0" fontId="5" fillId="0" borderId="8" xfId="0" applyFont="1" applyBorder="1" applyAlignment="1">
      <alignment horizontal="left"/>
    </xf>
    <xf numFmtId="0" fontId="7" fillId="0" borderId="0" xfId="0" applyFont="1" applyAlignment="1">
      <alignment horizontal="center"/>
    </xf>
    <xf numFmtId="165" fontId="13" fillId="0" borderId="0" xfId="2" applyNumberFormat="1" applyFont="1" applyBorder="1" applyAlignment="1">
      <alignment horizontal="center"/>
    </xf>
    <xf numFmtId="0" fontId="8" fillId="0" borderId="0" xfId="0" applyFont="1"/>
    <xf numFmtId="0" fontId="5" fillId="9" borderId="10" xfId="0" applyFont="1" applyFill="1" applyBorder="1" applyAlignment="1">
      <alignment horizontal="left"/>
    </xf>
    <xf numFmtId="0" fontId="5" fillId="9" borderId="3" xfId="0" applyFont="1" applyFill="1" applyBorder="1" applyAlignment="1">
      <alignment horizontal="left"/>
    </xf>
    <xf numFmtId="0" fontId="4" fillId="9" borderId="3" xfId="0" applyFont="1" applyFill="1" applyBorder="1"/>
    <xf numFmtId="0" fontId="4" fillId="9" borderId="3" xfId="0" applyFont="1" applyFill="1" applyBorder="1" applyAlignment="1">
      <alignment horizontal="center"/>
    </xf>
    <xf numFmtId="0" fontId="4" fillId="0" borderId="3" xfId="0" applyFont="1" applyBorder="1"/>
    <xf numFmtId="0" fontId="4" fillId="0" borderId="13" xfId="0" applyFont="1" applyBorder="1"/>
    <xf numFmtId="0" fontId="4" fillId="9" borderId="8" xfId="0" applyFont="1" applyFill="1" applyBorder="1"/>
    <xf numFmtId="0" fontId="4" fillId="9" borderId="0" xfId="0" applyFont="1" applyFill="1"/>
    <xf numFmtId="2" fontId="4" fillId="9" borderId="0" xfId="0" applyNumberFormat="1" applyFont="1" applyFill="1"/>
    <xf numFmtId="2" fontId="4" fillId="9" borderId="0" xfId="0" applyNumberFormat="1" applyFont="1" applyFill="1" applyAlignment="1">
      <alignment horizontal="center"/>
    </xf>
    <xf numFmtId="2" fontId="4" fillId="4" borderId="0" xfId="0" applyNumberFormat="1" applyFont="1" applyFill="1"/>
    <xf numFmtId="2" fontId="4" fillId="0" borderId="9" xfId="0" applyNumberFormat="1" applyFont="1" applyBorder="1"/>
    <xf numFmtId="0" fontId="4" fillId="9" borderId="7" xfId="0" applyFont="1" applyFill="1" applyBorder="1"/>
    <xf numFmtId="0" fontId="4" fillId="9" borderId="4" xfId="0" applyFont="1" applyFill="1" applyBorder="1"/>
    <xf numFmtId="2" fontId="4" fillId="9" borderId="4" xfId="0" applyNumberFormat="1" applyFont="1" applyFill="1" applyBorder="1"/>
    <xf numFmtId="2" fontId="4" fillId="9" borderId="4" xfId="0" applyNumberFormat="1" applyFont="1" applyFill="1" applyBorder="1" applyAlignment="1">
      <alignment horizontal="center"/>
    </xf>
    <xf numFmtId="0" fontId="4" fillId="0" borderId="2" xfId="0" applyFont="1" applyBorder="1"/>
    <xf numFmtId="0" fontId="5" fillId="0" borderId="10" xfId="0" applyFont="1" applyBorder="1" applyAlignment="1">
      <alignment horizontal="left"/>
    </xf>
    <xf numFmtId="0" fontId="5" fillId="0" borderId="3" xfId="0" applyFont="1" applyBorder="1" applyAlignment="1">
      <alignment horizontal="left"/>
    </xf>
    <xf numFmtId="165" fontId="13" fillId="0" borderId="3" xfId="2" applyNumberFormat="1" applyFont="1" applyBorder="1" applyAlignment="1">
      <alignment horizontal="center"/>
    </xf>
    <xf numFmtId="0" fontId="8" fillId="0" borderId="3" xfId="0" applyFont="1" applyBorder="1"/>
    <xf numFmtId="2" fontId="4" fillId="9" borderId="3" xfId="0" applyNumberFormat="1" applyFont="1" applyFill="1" applyBorder="1" applyAlignment="1">
      <alignment horizontal="center"/>
    </xf>
    <xf numFmtId="2" fontId="4" fillId="9" borderId="13" xfId="0" applyNumberFormat="1" applyFont="1" applyFill="1" applyBorder="1" applyAlignment="1">
      <alignment horizontal="center"/>
    </xf>
    <xf numFmtId="0" fontId="4" fillId="0" borderId="8" xfId="0" applyFont="1" applyBorder="1"/>
    <xf numFmtId="0" fontId="4" fillId="9" borderId="0" xfId="0" applyFont="1" applyFill="1" applyAlignment="1">
      <alignment horizontal="center"/>
    </xf>
    <xf numFmtId="0" fontId="4" fillId="9" borderId="9" xfId="0" applyFont="1" applyFill="1" applyBorder="1" applyAlignment="1">
      <alignment horizontal="center"/>
    </xf>
    <xf numFmtId="0" fontId="4" fillId="0" borderId="7" xfId="0" applyFont="1" applyBorder="1"/>
    <xf numFmtId="0" fontId="4" fillId="0" borderId="4" xfId="0" applyFont="1" applyBorder="1" applyAlignment="1">
      <alignment horizontal="center"/>
    </xf>
    <xf numFmtId="0" fontId="4" fillId="9" borderId="4" xfId="0" applyFont="1" applyFill="1" applyBorder="1" applyAlignment="1">
      <alignment horizontal="center"/>
    </xf>
    <xf numFmtId="0" fontId="4" fillId="9" borderId="2" xfId="0" applyFont="1" applyFill="1" applyBorder="1" applyAlignment="1">
      <alignment horizontal="center"/>
    </xf>
    <xf numFmtId="168" fontId="4" fillId="0" borderId="0" xfId="0" applyNumberFormat="1" applyFont="1"/>
    <xf numFmtId="0" fontId="5" fillId="0" borderId="10" xfId="0" applyFont="1" applyBorder="1"/>
    <xf numFmtId="0" fontId="5" fillId="0" borderId="3" xfId="0" applyFont="1" applyBorder="1"/>
    <xf numFmtId="0" fontId="4" fillId="0" borderId="3" xfId="0" applyFont="1" applyBorder="1" applyAlignment="1">
      <alignment horizontal="center"/>
    </xf>
    <xf numFmtId="9" fontId="4" fillId="9" borderId="3" xfId="0" applyNumberFormat="1" applyFont="1" applyFill="1" applyBorder="1"/>
    <xf numFmtId="9" fontId="4" fillId="9" borderId="0" xfId="0" applyNumberFormat="1" applyFont="1" applyFill="1"/>
    <xf numFmtId="0" fontId="4" fillId="9" borderId="9" xfId="0" applyFont="1" applyFill="1" applyBorder="1"/>
    <xf numFmtId="9" fontId="4" fillId="9" borderId="4" xfId="0" applyNumberFormat="1" applyFont="1" applyFill="1" applyBorder="1"/>
    <xf numFmtId="2" fontId="4" fillId="9" borderId="3" xfId="0" applyNumberFormat="1" applyFont="1" applyFill="1" applyBorder="1"/>
    <xf numFmtId="2" fontId="4" fillId="9" borderId="13" xfId="0" applyNumberFormat="1" applyFont="1" applyFill="1" applyBorder="1"/>
    <xf numFmtId="2" fontId="4" fillId="9" borderId="2" xfId="0" applyNumberFormat="1" applyFont="1" applyFill="1" applyBorder="1"/>
    <xf numFmtId="0" fontId="4" fillId="9" borderId="13" xfId="0" applyFont="1" applyFill="1" applyBorder="1" applyAlignment="1">
      <alignment horizontal="center"/>
    </xf>
    <xf numFmtId="0" fontId="4" fillId="8" borderId="9" xfId="0" applyFont="1" applyFill="1" applyBorder="1" applyAlignment="1">
      <alignment horizontal="center"/>
    </xf>
    <xf numFmtId="2" fontId="4" fillId="8" borderId="9" xfId="0" applyNumberFormat="1" applyFont="1" applyFill="1" applyBorder="1" applyAlignment="1">
      <alignment horizontal="center"/>
    </xf>
    <xf numFmtId="164" fontId="4" fillId="9" borderId="2" xfId="0" applyNumberFormat="1" applyFont="1" applyFill="1" applyBorder="1"/>
    <xf numFmtId="0" fontId="5" fillId="0" borderId="7" xfId="0" applyFont="1" applyBorder="1" applyAlignment="1">
      <alignment horizontal="left"/>
    </xf>
    <xf numFmtId="0" fontId="7" fillId="0" borderId="4" xfId="0" applyFont="1" applyBorder="1" applyAlignment="1">
      <alignment horizontal="center"/>
    </xf>
    <xf numFmtId="165" fontId="13" fillId="0" borderId="4" xfId="2" applyNumberFormat="1" applyFont="1" applyBorder="1" applyAlignment="1">
      <alignment horizontal="center"/>
    </xf>
    <xf numFmtId="0" fontId="13" fillId="0" borderId="0" xfId="0" applyFont="1"/>
    <xf numFmtId="168" fontId="4" fillId="4" borderId="0" xfId="0" applyNumberFormat="1" applyFont="1" applyFill="1"/>
    <xf numFmtId="2" fontId="4" fillId="0" borderId="3" xfId="0" applyNumberFormat="1" applyFont="1" applyBorder="1"/>
    <xf numFmtId="0" fontId="4" fillId="2" borderId="9" xfId="0" applyFont="1" applyFill="1" applyBorder="1" applyAlignment="1">
      <alignment horizontal="center"/>
    </xf>
    <xf numFmtId="2" fontId="4" fillId="0" borderId="9" xfId="0" applyNumberFormat="1" applyFont="1" applyBorder="1" applyAlignment="1">
      <alignment horizontal="center"/>
    </xf>
    <xf numFmtId="2" fontId="4" fillId="2" borderId="7" xfId="0" applyNumberFormat="1" applyFont="1" applyFill="1" applyBorder="1" applyAlignment="1">
      <alignment horizontal="center"/>
    </xf>
    <xf numFmtId="2" fontId="4" fillId="2" borderId="2" xfId="0" applyNumberFormat="1" applyFont="1" applyFill="1" applyBorder="1" applyAlignment="1">
      <alignment horizontal="center"/>
    </xf>
    <xf numFmtId="0" fontId="4" fillId="0" borderId="9" xfId="0" applyFont="1" applyBorder="1"/>
    <xf numFmtId="2" fontId="4" fillId="8" borderId="8" xfId="0" applyNumberFormat="1" applyFont="1" applyFill="1" applyBorder="1" applyAlignment="1">
      <alignment horizontal="center"/>
    </xf>
    <xf numFmtId="2" fontId="4" fillId="8" borderId="7" xfId="0" applyNumberFormat="1" applyFont="1" applyFill="1" applyBorder="1" applyAlignment="1">
      <alignment horizontal="center"/>
    </xf>
    <xf numFmtId="2" fontId="4" fillId="8" borderId="2" xfId="0" applyNumberFormat="1" applyFont="1" applyFill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4" fillId="5" borderId="10" xfId="0" applyFont="1" applyFill="1" applyBorder="1"/>
    <xf numFmtId="0" fontId="4" fillId="5" borderId="3" xfId="0" applyFont="1" applyFill="1" applyBorder="1"/>
    <xf numFmtId="2" fontId="4" fillId="5" borderId="3" xfId="0" applyNumberFormat="1" applyFont="1" applyFill="1" applyBorder="1"/>
    <xf numFmtId="2" fontId="4" fillId="5" borderId="13" xfId="0" applyNumberFormat="1" applyFont="1" applyFill="1" applyBorder="1"/>
    <xf numFmtId="0" fontId="4" fillId="0" borderId="10" xfId="0" applyFont="1" applyBorder="1"/>
    <xf numFmtId="0" fontId="4" fillId="5" borderId="8" xfId="0" applyFont="1" applyFill="1" applyBorder="1"/>
    <xf numFmtId="0" fontId="4" fillId="5" borderId="0" xfId="0" applyFont="1" applyFill="1"/>
    <xf numFmtId="2" fontId="4" fillId="5" borderId="0" xfId="0" applyNumberFormat="1" applyFont="1" applyFill="1"/>
    <xf numFmtId="2" fontId="4" fillId="5" borderId="9" xfId="0" applyNumberFormat="1" applyFont="1" applyFill="1" applyBorder="1"/>
    <xf numFmtId="0" fontId="4" fillId="5" borderId="7" xfId="0" applyFont="1" applyFill="1" applyBorder="1"/>
    <xf numFmtId="0" fontId="4" fillId="5" borderId="4" xfId="0" applyFont="1" applyFill="1" applyBorder="1"/>
    <xf numFmtId="2" fontId="4" fillId="5" borderId="4" xfId="0" applyNumberFormat="1" applyFont="1" applyFill="1" applyBorder="1"/>
    <xf numFmtId="2" fontId="4" fillId="5" borderId="2" xfId="0" applyNumberFormat="1" applyFont="1" applyFill="1" applyBorder="1"/>
    <xf numFmtId="2" fontId="4" fillId="0" borderId="4" xfId="0" applyNumberFormat="1" applyFont="1" applyBorder="1"/>
    <xf numFmtId="9" fontId="4" fillId="5" borderId="3" xfId="2" applyFont="1" applyFill="1" applyBorder="1"/>
    <xf numFmtId="0" fontId="4" fillId="5" borderId="13" xfId="0" applyFont="1" applyFill="1" applyBorder="1"/>
    <xf numFmtId="9" fontId="4" fillId="0" borderId="0" xfId="2" applyFont="1"/>
    <xf numFmtId="0" fontId="4" fillId="5" borderId="0" xfId="0" applyFont="1" applyFill="1" applyAlignment="1">
      <alignment horizontal="center"/>
    </xf>
    <xf numFmtId="0" fontId="4" fillId="5" borderId="9" xfId="0" applyFont="1" applyFill="1" applyBorder="1" applyAlignment="1">
      <alignment horizontal="center"/>
    </xf>
    <xf numFmtId="0" fontId="4" fillId="5" borderId="8" xfId="0" applyFont="1" applyFill="1" applyBorder="1" applyAlignment="1">
      <alignment horizontal="center"/>
    </xf>
    <xf numFmtId="0" fontId="4" fillId="5" borderId="9" xfId="0" applyFont="1" applyFill="1" applyBorder="1"/>
    <xf numFmtId="9" fontId="4" fillId="5" borderId="4" xfId="2" applyFont="1" applyFill="1" applyBorder="1"/>
    <xf numFmtId="9" fontId="4" fillId="5" borderId="2" xfId="2" applyFont="1" applyFill="1" applyBorder="1"/>
    <xf numFmtId="0" fontId="4" fillId="5" borderId="7" xfId="0" applyFont="1" applyFill="1" applyBorder="1" applyAlignment="1">
      <alignment horizontal="center"/>
    </xf>
    <xf numFmtId="0" fontId="4" fillId="5" borderId="4" xfId="0" applyFont="1" applyFill="1" applyBorder="1" applyAlignment="1">
      <alignment horizontal="center"/>
    </xf>
    <xf numFmtId="9" fontId="4" fillId="0" borderId="0" xfId="2" applyFont="1" applyBorder="1"/>
    <xf numFmtId="9" fontId="4" fillId="0" borderId="0" xfId="0" applyNumberFormat="1" applyFont="1"/>
    <xf numFmtId="168" fontId="4" fillId="0" borderId="4" xfId="0" applyNumberFormat="1" applyFont="1" applyBorder="1"/>
    <xf numFmtId="0" fontId="14" fillId="10" borderId="0" xfId="0" applyFont="1" applyFill="1"/>
    <xf numFmtId="0" fontId="14" fillId="10" borderId="0" xfId="0" applyFont="1" applyFill="1" applyAlignment="1">
      <alignment horizontal="center"/>
    </xf>
    <xf numFmtId="0" fontId="15" fillId="10" borderId="0" xfId="0" applyFont="1" applyFill="1"/>
    <xf numFmtId="11" fontId="15" fillId="10" borderId="0" xfId="0" applyNumberFormat="1" applyFont="1" applyFill="1" applyAlignment="1">
      <alignment horizontal="center"/>
    </xf>
    <xf numFmtId="11" fontId="15" fillId="10" borderId="0" xfId="0" applyNumberFormat="1" applyFont="1" applyFill="1"/>
    <xf numFmtId="2" fontId="15" fillId="10" borderId="0" xfId="0" applyNumberFormat="1" applyFont="1" applyFill="1" applyAlignment="1">
      <alignment horizontal="center"/>
    </xf>
    <xf numFmtId="0" fontId="15" fillId="10" borderId="0" xfId="0" applyFont="1" applyFill="1" applyAlignment="1">
      <alignment horizontal="center"/>
    </xf>
    <xf numFmtId="2" fontId="15" fillId="10" borderId="0" xfId="0" applyNumberFormat="1" applyFont="1" applyFill="1"/>
    <xf numFmtId="164" fontId="15" fillId="10" borderId="0" xfId="0" applyNumberFormat="1" applyFont="1" applyFill="1" applyAlignment="1">
      <alignment horizontal="center"/>
    </xf>
    <xf numFmtId="164" fontId="15" fillId="10" borderId="0" xfId="0" applyNumberFormat="1" applyFont="1" applyFill="1"/>
    <xf numFmtId="168" fontId="15" fillId="10" borderId="0" xfId="2" applyNumberFormat="1" applyFont="1" applyFill="1" applyBorder="1" applyAlignment="1">
      <alignment horizontal="center"/>
    </xf>
    <xf numFmtId="164" fontId="14" fillId="10" borderId="0" xfId="0" applyNumberFormat="1" applyFont="1" applyFill="1"/>
    <xf numFmtId="11" fontId="14" fillId="10" borderId="0" xfId="0" applyNumberFormat="1" applyFont="1" applyFill="1"/>
    <xf numFmtId="2" fontId="14" fillId="10" borderId="0" xfId="0" applyNumberFormat="1" applyFont="1" applyFill="1"/>
    <xf numFmtId="167" fontId="14" fillId="10" borderId="0" xfId="2" applyNumberFormat="1" applyFont="1" applyFill="1" applyBorder="1"/>
    <xf numFmtId="0" fontId="16" fillId="11" borderId="1" xfId="0" applyFont="1" applyFill="1" applyBorder="1" applyProtection="1">
      <protection locked="0"/>
    </xf>
    <xf numFmtId="0" fontId="16" fillId="12" borderId="17" xfId="0" applyFont="1" applyFill="1" applyBorder="1"/>
    <xf numFmtId="0" fontId="17" fillId="11" borderId="18" xfId="0" applyFont="1" applyFill="1" applyBorder="1" applyAlignment="1">
      <alignment horizontal="center"/>
    </xf>
    <xf numFmtId="0" fontId="17" fillId="12" borderId="19" xfId="0" applyFont="1" applyFill="1" applyBorder="1"/>
    <xf numFmtId="0" fontId="17" fillId="13" borderId="20" xfId="0" applyFont="1" applyFill="1" applyBorder="1" applyAlignment="1">
      <alignment horizontal="center" wrapText="1"/>
    </xf>
    <xf numFmtId="0" fontId="17" fillId="11" borderId="20" xfId="0" applyFont="1" applyFill="1" applyBorder="1" applyAlignment="1">
      <alignment horizontal="center" wrapText="1"/>
    </xf>
    <xf numFmtId="0" fontId="17" fillId="11" borderId="7" xfId="0" applyFont="1" applyFill="1" applyBorder="1" applyAlignment="1">
      <alignment horizontal="center"/>
    </xf>
    <xf numFmtId="0" fontId="18" fillId="13" borderId="2" xfId="0" applyFont="1" applyFill="1" applyBorder="1" applyAlignment="1">
      <alignment horizontal="center"/>
    </xf>
    <xf numFmtId="11" fontId="18" fillId="11" borderId="2" xfId="0" applyNumberFormat="1" applyFont="1" applyFill="1" applyBorder="1" applyProtection="1">
      <protection locked="0"/>
    </xf>
    <xf numFmtId="0" fontId="17" fillId="11" borderId="15" xfId="0" applyFont="1" applyFill="1" applyBorder="1" applyAlignment="1">
      <alignment horizontal="center"/>
    </xf>
    <xf numFmtId="0" fontId="17" fillId="11" borderId="7" xfId="0" applyFont="1" applyFill="1" applyBorder="1" applyAlignment="1" applyProtection="1">
      <alignment horizontal="center"/>
      <protection locked="0"/>
    </xf>
    <xf numFmtId="0" fontId="19" fillId="11" borderId="15" xfId="0" applyFont="1" applyFill="1" applyBorder="1" applyAlignment="1">
      <alignment horizontal="center"/>
    </xf>
    <xf numFmtId="0" fontId="17" fillId="0" borderId="4" xfId="0" applyFont="1" applyBorder="1" applyAlignment="1">
      <alignment horizontal="center"/>
    </xf>
    <xf numFmtId="0" fontId="17" fillId="0" borderId="4" xfId="0" applyFont="1" applyBorder="1"/>
    <xf numFmtId="0" fontId="18" fillId="0" borderId="0" xfId="0" applyFont="1"/>
    <xf numFmtId="0" fontId="18" fillId="0" borderId="0" xfId="0" applyFont="1" applyAlignment="1">
      <alignment horizontal="center"/>
    </xf>
    <xf numFmtId="0" fontId="14" fillId="10" borderId="0" xfId="0" applyFont="1" applyFill="1" applyAlignment="1">
      <alignment horizontal="right"/>
    </xf>
    <xf numFmtId="2" fontId="8" fillId="4" borderId="1" xfId="0" applyNumberFormat="1" applyFont="1" applyFill="1" applyBorder="1" applyAlignment="1">
      <alignment horizontal="center"/>
    </xf>
    <xf numFmtId="0" fontId="14" fillId="10" borderId="0" xfId="0" applyFont="1" applyFill="1" applyAlignment="1">
      <alignment horizontal="center" vertical="center"/>
    </xf>
    <xf numFmtId="0" fontId="8" fillId="0" borderId="0" xfId="0" applyFont="1" applyAlignment="1">
      <alignment wrapText="1"/>
    </xf>
    <xf numFmtId="0" fontId="5" fillId="2" borderId="16" xfId="0" applyFont="1" applyFill="1" applyBorder="1"/>
    <xf numFmtId="0" fontId="5" fillId="2" borderId="15" xfId="0" applyFont="1" applyFill="1" applyBorder="1"/>
    <xf numFmtId="0" fontId="5" fillId="2" borderId="0" xfId="0" applyFont="1" applyFill="1"/>
    <xf numFmtId="0" fontId="5" fillId="7" borderId="15" xfId="0" applyFont="1" applyFill="1" applyBorder="1" applyAlignment="1">
      <alignment horizontal="left"/>
    </xf>
    <xf numFmtId="0" fontId="5" fillId="7" borderId="14" xfId="0" applyFont="1" applyFill="1" applyBorder="1" applyAlignment="1">
      <alignment horizontal="left"/>
    </xf>
    <xf numFmtId="0" fontId="5" fillId="2" borderId="15" xfId="0" applyFont="1" applyFill="1" applyBorder="1" applyAlignment="1">
      <alignment horizontal="left"/>
    </xf>
    <xf numFmtId="0" fontId="5" fillId="2" borderId="14" xfId="0" applyFont="1" applyFill="1" applyBorder="1" applyAlignment="1">
      <alignment horizontal="left"/>
    </xf>
    <xf numFmtId="0" fontId="5" fillId="2" borderId="10" xfId="0" applyFont="1" applyFill="1" applyBorder="1" applyAlignment="1">
      <alignment horizontal="center"/>
    </xf>
    <xf numFmtId="0" fontId="5" fillId="2" borderId="3" xfId="0" applyFont="1" applyFill="1" applyBorder="1" applyAlignment="1">
      <alignment horizontal="center"/>
    </xf>
    <xf numFmtId="0" fontId="5" fillId="2" borderId="11" xfId="0" applyFont="1" applyFill="1" applyBorder="1" applyAlignment="1">
      <alignment horizontal="center"/>
    </xf>
    <xf numFmtId="0" fontId="6" fillId="0" borderId="0" xfId="1" applyFont="1" applyBorder="1" applyAlignment="1" applyProtection="1">
      <alignment horizontal="center"/>
    </xf>
  </cellXfs>
  <cellStyles count="3">
    <cellStyle name="Hiperlink" xfId="1" builtinId="8"/>
    <cellStyle name="Normal" xfId="0" builtinId="0"/>
    <cellStyle name="Porcentagem" xfId="2" builtinId="5"/>
  </cellStyles>
  <dxfs count="24"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</dxfs>
  <tableStyles count="0" defaultTableStyle="TableStyleMedium2" defaultPivotStyle="PivotStyleLight16"/>
  <colors>
    <mruColors>
      <color rgb="FF00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369286356249939E-2"/>
          <c:y val="3.4883786949996498E-2"/>
          <c:w val="0.84329458636104848"/>
          <c:h val="0.95736615296101502"/>
        </c:manualLayout>
      </c:layout>
      <c:scatterChart>
        <c:scatterStyle val="lineMarker"/>
        <c:varyColors val="0"/>
        <c:ser>
          <c:idx val="0"/>
          <c:order val="0"/>
          <c:tx>
            <c:strRef>
              <c:f>Diagrama!$D$36</c:f>
              <c:strCache>
                <c:ptCount val="1"/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Diagrama!$E$35:$G$35</c:f>
              <c:numCache>
                <c:formatCode>0.00</c:formatCode>
                <c:ptCount val="3"/>
                <c:pt idx="0">
                  <c:v>-0.57735026918962584</c:v>
                </c:pt>
                <c:pt idx="1">
                  <c:v>0</c:v>
                </c:pt>
                <c:pt idx="2">
                  <c:v>0.57735026918962584</c:v>
                </c:pt>
              </c:numCache>
            </c:numRef>
          </c:xVal>
          <c:yVal>
            <c:numRef>
              <c:f>Diagrama!$E$36:$G$36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2D3-4858-A1D5-82A125310125}"/>
            </c:ext>
          </c:extLst>
        </c:ser>
        <c:ser>
          <c:idx val="1"/>
          <c:order val="1"/>
          <c:tx>
            <c:strRef>
              <c:f>Diagrama!$D$37</c:f>
              <c:strCache>
                <c:ptCount val="1"/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Diagrama!$E$35:$G$35</c:f>
              <c:numCache>
                <c:formatCode>0.00</c:formatCode>
                <c:ptCount val="3"/>
                <c:pt idx="0">
                  <c:v>-0.57735026918962584</c:v>
                </c:pt>
                <c:pt idx="1">
                  <c:v>0</c:v>
                </c:pt>
                <c:pt idx="2">
                  <c:v>0.57735026918962584</c:v>
                </c:pt>
              </c:numCache>
            </c:numRef>
          </c:xVal>
          <c:yVal>
            <c:numRef>
              <c:f>Diagrama!$E$37:$G$37</c:f>
              <c:numCache>
                <c:formatCode>0.00</c:formatCode>
                <c:ptCount val="3"/>
                <c:pt idx="0">
                  <c:v>0</c:v>
                </c:pt>
                <c:pt idx="1">
                  <c:v>1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2D3-4858-A1D5-82A125310125}"/>
            </c:ext>
          </c:extLst>
        </c:ser>
        <c:ser>
          <c:idx val="2"/>
          <c:order val="2"/>
          <c:tx>
            <c:strRef>
              <c:f>Diagrama!$N$51</c:f>
              <c:strCache>
                <c:ptCount val="1"/>
                <c:pt idx="0">
                  <c:v>1-Ponto1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sz="1800" baseline="0">
                        <a:latin typeface="Arial" panose="020B0604020202020204" pitchFamily="34" charset="0"/>
                      </a:rPr>
                      <a:t>1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Diagrama!$P$50</c:f>
              <c:numCache>
                <c:formatCode>0.00</c:formatCode>
                <c:ptCount val="1"/>
                <c:pt idx="0">
                  <c:v>9.6225044864937673E-2</c:v>
                </c:pt>
              </c:numCache>
            </c:numRef>
          </c:xVal>
          <c:yVal>
            <c:numRef>
              <c:f>Diagrama!$P$51</c:f>
              <c:numCache>
                <c:formatCode>0.00</c:formatCode>
                <c:ptCount val="1"/>
                <c:pt idx="0">
                  <c:v>0.16666666666666666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2D3-4858-A1D5-82A125310125}"/>
            </c:ext>
          </c:extLst>
        </c:ser>
        <c:ser>
          <c:idx val="3"/>
          <c:order val="3"/>
          <c:tx>
            <c:strRef>
              <c:f>Diagrama!$N$40</c:f>
              <c:strCache>
                <c:ptCount val="1"/>
                <c:pt idx="0">
                  <c:v>R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circle"/>
            <c:size val="34"/>
            <c:spPr>
              <a:noFill/>
              <a:ln w="6350">
                <a:noFill/>
              </a:ln>
            </c:spPr>
          </c:marker>
          <c:dLbls>
            <c:dLbl>
              <c:idx val="0"/>
              <c:layout>
                <c:manualLayout>
                  <c:x val="-4.2512452466391834E-2"/>
                  <c:y val="-6.6663133446477604E-2"/>
                </c:manualLayout>
              </c:layout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baseline="0">
                        <a:latin typeface="Arial" panose="020B0604020202020204" pitchFamily="34" charset="0"/>
                      </a:rPr>
                      <a:t>R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Diagrama!$O$39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Diagrama!$O$40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2D3-4858-A1D5-82A125310125}"/>
            </c:ext>
          </c:extLst>
        </c:ser>
        <c:ser>
          <c:idx val="4"/>
          <c:order val="4"/>
          <c:tx>
            <c:strRef>
              <c:f>Diagrama!$N$41</c:f>
              <c:strCache>
                <c:ptCount val="1"/>
                <c:pt idx="0">
                  <c:v>F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circle"/>
            <c:size val="3"/>
            <c:spPr>
              <a:noFill/>
              <a:ln w="6350"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baseline="0">
                        <a:latin typeface="Arial" panose="020B0604020202020204" pitchFamily="34" charset="0"/>
                      </a:rPr>
                      <a:t>F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Diagrama!$P$39</c:f>
              <c:numCache>
                <c:formatCode>0.00</c:formatCode>
                <c:ptCount val="1"/>
                <c:pt idx="0">
                  <c:v>0.57735026918962584</c:v>
                </c:pt>
              </c:numCache>
            </c:numRef>
          </c:xVal>
          <c:yVal>
            <c:numRef>
              <c:f>Diagrama!$P$41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2D3-4858-A1D5-82A125310125}"/>
            </c:ext>
          </c:extLst>
        </c:ser>
        <c:ser>
          <c:idx val="5"/>
          <c:order val="5"/>
          <c:tx>
            <c:strRef>
              <c:f>Diagrama!$N$42</c:f>
              <c:strCache>
                <c:ptCount val="1"/>
                <c:pt idx="0">
                  <c:v>N</c:v>
                </c:pt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3"/>
            <c:spPr>
              <a:noFill/>
              <a:ln w="6350"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baseline="0">
                        <a:latin typeface="Arial" panose="020B0604020202020204" pitchFamily="34" charset="0"/>
                      </a:rPr>
                      <a:t>N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Diagrama!$Q$39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Diagrama!$Q$42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62D3-4858-A1D5-82A125310125}"/>
            </c:ext>
          </c:extLst>
        </c:ser>
        <c:ser>
          <c:idx val="6"/>
          <c:order val="6"/>
          <c:tx>
            <c:strRef>
              <c:f>Diagrama!$M$66</c:f>
              <c:strCache>
                <c:ptCount val="1"/>
                <c:pt idx="0">
                  <c:v>SI=1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0" i="1" u="none" strike="noStrike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Eras Medium ITC"/>
                      <a:cs typeface="Eras Medium ITC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Diagrama!$O$65:$AG$65</c:f>
              <c:numCache>
                <c:formatCode>General</c:formatCode>
                <c:ptCount val="19"/>
                <c:pt idx="0">
                  <c:v>-1.7320508075688774</c:v>
                </c:pt>
                <c:pt idx="1">
                  <c:v>-1.7320508075688774</c:v>
                </c:pt>
                <c:pt idx="2">
                  <c:v>-1.7320508075688774</c:v>
                </c:pt>
                <c:pt idx="3">
                  <c:v>-1.7320508075688774</c:v>
                </c:pt>
                <c:pt idx="4">
                  <c:v>-1.7320508075688774</c:v>
                </c:pt>
                <c:pt idx="5">
                  <c:v>-1.7320508075688774</c:v>
                </c:pt>
                <c:pt idx="6">
                  <c:v>-1.7320508075688774</c:v>
                </c:pt>
                <c:pt idx="7">
                  <c:v>-1.7320508075688774</c:v>
                </c:pt>
                <c:pt idx="8">
                  <c:v>-1.7320508075688774</c:v>
                </c:pt>
                <c:pt idx="9">
                  <c:v>-1.7320508075688774</c:v>
                </c:pt>
                <c:pt idx="10">
                  <c:v>-1.7320508075688774</c:v>
                </c:pt>
                <c:pt idx="11">
                  <c:v>-1.7320508075688774</c:v>
                </c:pt>
                <c:pt idx="12">
                  <c:v>-1.7320508075688774</c:v>
                </c:pt>
                <c:pt idx="13">
                  <c:v>-1.7320508075688774</c:v>
                </c:pt>
                <c:pt idx="14">
                  <c:v>-1.7320508075688774</c:v>
                </c:pt>
                <c:pt idx="15">
                  <c:v>-1.7320508075688774</c:v>
                </c:pt>
                <c:pt idx="16">
                  <c:v>-1.7320508075688774</c:v>
                </c:pt>
                <c:pt idx="17">
                  <c:v>-1.7320508075688774</c:v>
                </c:pt>
                <c:pt idx="18">
                  <c:v>-1.7320508075688774</c:v>
                </c:pt>
              </c:numCache>
            </c:numRef>
          </c:xVal>
          <c:yVal>
            <c:numRef>
              <c:f>Diagrama!$O$66:$AG$66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62D3-4858-A1D5-82A125310125}"/>
            </c:ext>
          </c:extLst>
        </c:ser>
        <c:ser>
          <c:idx val="7"/>
          <c:order val="7"/>
          <c:tx>
            <c:strRef>
              <c:f>Diagrama!$M$70</c:f>
              <c:strCache>
                <c:ptCount val="1"/>
                <c:pt idx="0">
                  <c:v>SI=5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0" i="1" u="none" strike="noStrike" kern="0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Eras Medium ITC"/>
                      <a:cs typeface="Eras Medium ITC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0" kern="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Diagrama!$O$69:$AG$69</c:f>
              <c:numCache>
                <c:formatCode>General</c:formatCode>
                <c:ptCount val="19"/>
                <c:pt idx="0">
                  <c:v>-1.2701705922171769</c:v>
                </c:pt>
                <c:pt idx="1">
                  <c:v>-1.2701705922171769</c:v>
                </c:pt>
                <c:pt idx="2">
                  <c:v>-1.2701705922171769</c:v>
                </c:pt>
                <c:pt idx="3">
                  <c:v>-1.2701705922171769</c:v>
                </c:pt>
                <c:pt idx="4">
                  <c:v>-1.2701705922171769</c:v>
                </c:pt>
                <c:pt idx="5">
                  <c:v>-1.2701705922171769</c:v>
                </c:pt>
                <c:pt idx="6">
                  <c:v>-1.2701705922171769</c:v>
                </c:pt>
                <c:pt idx="7">
                  <c:v>-1.2701705922171769</c:v>
                </c:pt>
                <c:pt idx="8">
                  <c:v>-1.2701705922171769</c:v>
                </c:pt>
                <c:pt idx="9">
                  <c:v>-1.2701705922171769</c:v>
                </c:pt>
                <c:pt idx="10">
                  <c:v>-1.2701705922171769</c:v>
                </c:pt>
                <c:pt idx="11">
                  <c:v>-1.2701705922171769</c:v>
                </c:pt>
                <c:pt idx="12">
                  <c:v>-1.2701705922171769</c:v>
                </c:pt>
                <c:pt idx="13">
                  <c:v>-1.2701705922171769</c:v>
                </c:pt>
                <c:pt idx="14">
                  <c:v>-1.2701705922171769</c:v>
                </c:pt>
                <c:pt idx="15">
                  <c:v>-1.2701705922171769</c:v>
                </c:pt>
                <c:pt idx="16">
                  <c:v>-1.2701705922171769</c:v>
                </c:pt>
                <c:pt idx="17">
                  <c:v>-1.2701705922171769</c:v>
                </c:pt>
                <c:pt idx="18">
                  <c:v>-1.2701705922171769</c:v>
                </c:pt>
              </c:numCache>
            </c:numRef>
          </c:xVal>
          <c:yVal>
            <c:numRef>
              <c:f>Diagrama!$O$70:$AG$70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62D3-4858-A1D5-82A125310125}"/>
            </c:ext>
          </c:extLst>
        </c:ser>
        <c:ser>
          <c:idx val="8"/>
          <c:order val="8"/>
          <c:tx>
            <c:strRef>
              <c:f>Diagrama!$M$74</c:f>
              <c:strCache>
                <c:ptCount val="1"/>
                <c:pt idx="0">
                  <c:v>SI=2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0" i="0" u="none" strike="noStrike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Eras Medium ITC"/>
                      <a:cs typeface="Eras Medium ITC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0" i="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Diagrama!$O$73:$AG$73</c:f>
              <c:numCache>
                <c:formatCode>General</c:formatCode>
                <c:ptCount val="19"/>
                <c:pt idx="0">
                  <c:v>-1.4433756729740645</c:v>
                </c:pt>
                <c:pt idx="1">
                  <c:v>-1.4433756729740645</c:v>
                </c:pt>
                <c:pt idx="2">
                  <c:v>-1.4433756729740645</c:v>
                </c:pt>
                <c:pt idx="3">
                  <c:v>-1.4433756729740645</c:v>
                </c:pt>
                <c:pt idx="4">
                  <c:v>-1.4433756729740645</c:v>
                </c:pt>
                <c:pt idx="5">
                  <c:v>-1.4433756729740645</c:v>
                </c:pt>
                <c:pt idx="6">
                  <c:v>-1.4433756729740645</c:v>
                </c:pt>
                <c:pt idx="7">
                  <c:v>-1.4433756729740645</c:v>
                </c:pt>
                <c:pt idx="8">
                  <c:v>-1.4433756729740645</c:v>
                </c:pt>
                <c:pt idx="9">
                  <c:v>-1.4433756729740645</c:v>
                </c:pt>
                <c:pt idx="10">
                  <c:v>-1.4433756729740645</c:v>
                </c:pt>
                <c:pt idx="11">
                  <c:v>-1.4433756729740645</c:v>
                </c:pt>
                <c:pt idx="12">
                  <c:v>-1.4433756729740645</c:v>
                </c:pt>
                <c:pt idx="13">
                  <c:v>-1.4433756729740645</c:v>
                </c:pt>
                <c:pt idx="14">
                  <c:v>-1.4433756729740645</c:v>
                </c:pt>
                <c:pt idx="15">
                  <c:v>-1.4433756729740645</c:v>
                </c:pt>
                <c:pt idx="16">
                  <c:v>-1.4433756729740645</c:v>
                </c:pt>
                <c:pt idx="17">
                  <c:v>-1.4433756729740645</c:v>
                </c:pt>
                <c:pt idx="18">
                  <c:v>-1.4433756729740645</c:v>
                </c:pt>
              </c:numCache>
            </c:numRef>
          </c:xVal>
          <c:yVal>
            <c:numRef>
              <c:f>Diagrama!$O$74:$AG$74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62D3-4858-A1D5-82A125310125}"/>
            </c:ext>
          </c:extLst>
        </c:ser>
        <c:ser>
          <c:idx val="9"/>
          <c:order val="9"/>
          <c:tx>
            <c:strRef>
              <c:f>Diagrama!$N$45</c:f>
              <c:strCache>
                <c:ptCount val="1"/>
              </c:strCache>
            </c:strRef>
          </c:tx>
          <c:spPr>
            <a:ln w="38100">
              <a:solidFill>
                <a:srgbClr val="008000"/>
              </a:solidFill>
              <a:prstDash val="lgDashDot"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3.0831576519389128E-2"/>
                  <c:y val="0.8634708733283639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400" b="0" i="0" u="none" strike="noStrike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Comic Sans MS"/>
                      <a:cs typeface="Comic Sans MS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Diagrama!$O$45:$AI$45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62D3-4858-A1D5-82A125310125}"/>
            </c:ext>
          </c:extLst>
        </c:ser>
        <c:ser>
          <c:idx val="10"/>
          <c:order val="10"/>
          <c:tx>
            <c:strRef>
              <c:f>Diagrama!$N$46</c:f>
              <c:strCache>
                <c:ptCount val="1"/>
              </c:strCache>
            </c:strRef>
          </c:tx>
          <c:spPr>
            <a:ln w="38100">
              <a:solidFill>
                <a:srgbClr val="008000"/>
              </a:solidFill>
              <a:prstDash val="lgDashDot"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8.2877579599674647E-3"/>
                  <c:y val="1.7409761853162835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400" b="0" i="0" u="none" strike="noStrike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Comic Sans MS"/>
                      <a:cs typeface="Comic Sans MS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Diagrama!$O$46:$AI$46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62D3-4858-A1D5-82A125310125}"/>
            </c:ext>
          </c:extLst>
        </c:ser>
        <c:ser>
          <c:idx val="11"/>
          <c:order val="11"/>
          <c:tx>
            <c:strRef>
              <c:f>Diagrama!$N$47</c:f>
              <c:strCache>
                <c:ptCount val="1"/>
              </c:strCache>
            </c:strRef>
          </c:tx>
          <c:spPr>
            <a:ln w="38100">
              <a:solidFill>
                <a:srgbClr val="008000"/>
              </a:solidFill>
              <a:prstDash val="lgDashDot"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0.90334177946954186"/>
                  <c:y val="-6.7288827748089211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400" b="0" i="0" u="none" strike="noStrike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Comic Sans MS"/>
                      <a:cs typeface="Comic Sans MS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Diagrama!$O$47:$AI$47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62D3-4858-A1D5-82A125310125}"/>
            </c:ext>
          </c:extLst>
        </c:ser>
        <c:ser>
          <c:idx val="12"/>
          <c:order val="12"/>
          <c:tx>
            <c:strRef>
              <c:f>Diagrama!$N$52</c:f>
              <c:strCache>
                <c:ptCount val="1"/>
                <c:pt idx="0">
                  <c:v>2-Ponto2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17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sz="1800" baseline="0">
                        <a:latin typeface="Arial" panose="020B0604020202020204" pitchFamily="34" charset="0"/>
                      </a:rPr>
                      <a:t>2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Diagrama!$Q$50</c:f>
              <c:numCache>
                <c:formatCode>0.00</c:formatCode>
                <c:ptCount val="1"/>
                <c:pt idx="0">
                  <c:v>3.8490017945975043E-2</c:v>
                </c:pt>
              </c:numCache>
            </c:numRef>
          </c:xVal>
          <c:yVal>
            <c:numRef>
              <c:f>Diagrama!$Q$52</c:f>
              <c:numCache>
                <c:formatCode>0.00</c:formatCode>
                <c:ptCount val="1"/>
                <c:pt idx="0">
                  <c:v>0.26666666666666666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62D3-4858-A1D5-82A125310125}"/>
            </c:ext>
          </c:extLst>
        </c:ser>
        <c:ser>
          <c:idx val="13"/>
          <c:order val="13"/>
          <c:tx>
            <c:strRef>
              <c:f>Diagrama!$N$53</c:f>
              <c:strCache>
                <c:ptCount val="1"/>
                <c:pt idx="0">
                  <c:v>3-Ponto3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1A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sz="1800" b="0" baseline="0">
                        <a:latin typeface="Arial" panose="020B0604020202020204" pitchFamily="34" charset="0"/>
                      </a:rPr>
                      <a:t>3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A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="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Diagrama!$R$50</c:f>
              <c:numCache>
                <c:formatCode>0.00</c:formatCode>
                <c:ptCount val="1"/>
                <c:pt idx="0">
                  <c:v>2.4056261216234449E-2</c:v>
                </c:pt>
              </c:numCache>
            </c:numRef>
          </c:xVal>
          <c:yVal>
            <c:numRef>
              <c:f>Diagrama!$R$53</c:f>
              <c:numCache>
                <c:formatCode>0.00</c:formatCode>
                <c:ptCount val="1"/>
                <c:pt idx="0">
                  <c:v>0.29166666666666669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62D3-4858-A1D5-82A125310125}"/>
            </c:ext>
          </c:extLst>
        </c:ser>
        <c:ser>
          <c:idx val="14"/>
          <c:order val="14"/>
          <c:tx>
            <c:strRef>
              <c:f>Diagrama!$N$54</c:f>
              <c:strCache>
                <c:ptCount val="1"/>
                <c:pt idx="0">
                  <c:v>4-Ponto4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808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Diagrama!$S$50</c:f>
              <c:numCache>
                <c:formatCode>0.00</c:formatCode>
                <c:ptCount val="1"/>
                <c:pt idx="0">
                  <c:v>1.7495462702715917E-2</c:v>
                </c:pt>
              </c:numCache>
            </c:numRef>
          </c:xVal>
          <c:yVal>
            <c:numRef>
              <c:f>Diagrama!$S$54</c:f>
              <c:numCache>
                <c:formatCode>0.00</c:formatCode>
                <c:ptCount val="1"/>
                <c:pt idx="0">
                  <c:v>0.30303030303030304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62D3-4858-A1D5-82A125310125}"/>
            </c:ext>
          </c:extLst>
        </c:ser>
        <c:ser>
          <c:idx val="15"/>
          <c:order val="15"/>
          <c:tx>
            <c:strRef>
              <c:f>Diagrama!$N$55</c:f>
              <c:strCache>
                <c:ptCount val="1"/>
                <c:pt idx="0">
                  <c:v>5-Ponto5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008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Diagrama!$T$50</c:f>
              <c:numCache>
                <c:formatCode>0.00</c:formatCode>
                <c:ptCount val="1"/>
                <c:pt idx="0">
                  <c:v>1.3746434980705328E-2</c:v>
                </c:pt>
              </c:numCache>
            </c:numRef>
          </c:xVal>
          <c:yVal>
            <c:numRef>
              <c:f>Diagrama!$T$55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62D3-4858-A1D5-82A125310125}"/>
            </c:ext>
          </c:extLst>
        </c:ser>
        <c:ser>
          <c:idx val="16"/>
          <c:order val="16"/>
          <c:tx>
            <c:strRef>
              <c:f>Diagrama!$N$56</c:f>
              <c:strCache>
                <c:ptCount val="1"/>
                <c:pt idx="0">
                  <c:v>6-Ponto6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33CCCC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Diagrama!$U$50</c:f>
              <c:numCache>
                <c:formatCode>0.00</c:formatCode>
                <c:ptCount val="1"/>
                <c:pt idx="0">
                  <c:v>1.1320593513522034E-2</c:v>
                </c:pt>
              </c:numCache>
            </c:numRef>
          </c:xVal>
          <c:yVal>
            <c:numRef>
              <c:f>Diagrama!$U$56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62D3-4858-A1D5-82A125310125}"/>
            </c:ext>
          </c:extLst>
        </c:ser>
        <c:ser>
          <c:idx val="17"/>
          <c:order val="17"/>
          <c:tx>
            <c:strRef>
              <c:f>Diagrama!$N$80</c:f>
              <c:strCache>
                <c:ptCount val="1"/>
                <c:pt idx="0">
                  <c:v>SN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1"/>
              <c:tx>
                <c:rich>
                  <a:bodyPr/>
                  <a:lstStyle/>
                  <a:p>
                    <a:pPr>
                      <a:defRPr sz="155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 sz="1550" b="0" i="0" u="none" strike="noStrike" baseline="0">
                        <a:solidFill>
                          <a:srgbClr val="000000"/>
                        </a:solidFill>
                        <a:latin typeface="Comic Sans MS"/>
                      </a:rPr>
                      <a:t>S</a:t>
                    </a:r>
                    <a:r>
                      <a:rPr lang="en-US" sz="1000" b="1" i="0" u="none" strike="noStrike" baseline="0">
                        <a:solidFill>
                          <a:srgbClr val="800000"/>
                        </a:solidFill>
                        <a:latin typeface="Eras Medium ITC"/>
                      </a:rPr>
                      <a:t>N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1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Diagrama!$O$78:$AI$78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Diagrama!$O$80:$AI$80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62D3-4858-A1D5-82A125310125}"/>
            </c:ext>
          </c:extLst>
        </c:ser>
        <c:ser>
          <c:idx val="18"/>
          <c:order val="18"/>
          <c:tx>
            <c:strRef>
              <c:f>Diagrama!$N$81</c:f>
              <c:strCache>
                <c:ptCount val="1"/>
                <c:pt idx="0">
                  <c:v>SF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19"/>
              <c:layout>
                <c:manualLayout>
                  <c:x val="-4.8177854460817238E-2"/>
                  <c:y val="1.854002408740707E-2"/>
                </c:manualLayout>
              </c:layout>
              <c:tx>
                <c:rich>
                  <a:bodyPr/>
                  <a:lstStyle/>
                  <a:p>
                    <a:pPr>
                      <a:defRPr sz="155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 sz="1550" b="0" i="0" u="none" strike="noStrike" baseline="0">
                        <a:solidFill>
                          <a:srgbClr val="000000"/>
                        </a:solidFill>
                        <a:latin typeface="Comic Sans MS"/>
                      </a:rPr>
                      <a:t>S</a:t>
                    </a:r>
                    <a:r>
                      <a:rPr lang="en-US" sz="1000" b="1" i="0" u="none" strike="noStrike" baseline="0">
                        <a:solidFill>
                          <a:srgbClr val="800000"/>
                        </a:solidFill>
                        <a:latin typeface="Eras Medium ITC"/>
                      </a:rPr>
                      <a:t>F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Diagrama!$O$78:$AI$78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Diagrama!$O$81:$AI$81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62D3-4858-A1D5-82A125310125}"/>
            </c:ext>
          </c:extLst>
        </c:ser>
        <c:ser>
          <c:idx val="19"/>
          <c:order val="19"/>
          <c:tx>
            <c:strRef>
              <c:f>Diagrama!$N$82</c:f>
              <c:strCache>
                <c:ptCount val="1"/>
                <c:pt idx="0">
                  <c:v>SR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10"/>
              <c:layout>
                <c:manualLayout>
                  <c:x val="-2.7667256146187591E-2"/>
                  <c:y val="1.854002408740707E-2"/>
                </c:manualLayout>
              </c:layout>
              <c:tx>
                <c:rich>
                  <a:bodyPr/>
                  <a:lstStyle/>
                  <a:p>
                    <a:pPr>
                      <a:defRPr sz="155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 sz="1550" b="0" i="0" u="none" strike="noStrike" baseline="0">
                        <a:solidFill>
                          <a:srgbClr val="000000"/>
                        </a:solidFill>
                        <a:latin typeface="Comic Sans MS"/>
                      </a:rPr>
                      <a:t>S</a:t>
                    </a:r>
                    <a:r>
                      <a:rPr lang="en-US" sz="1000" b="1" i="0" u="none" strike="noStrike" baseline="0">
                        <a:solidFill>
                          <a:srgbClr val="800000"/>
                        </a:solidFill>
                        <a:latin typeface="Eras Medium ITC"/>
                      </a:rPr>
                      <a:t>R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8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Diagrama!$O$79:$AI$79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Diagrama!$O$82:$AI$82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62D3-4858-A1D5-82A125310125}"/>
            </c:ext>
          </c:extLst>
        </c:ser>
        <c:ser>
          <c:idx val="20"/>
          <c:order val="20"/>
          <c:tx>
            <c:strRef>
              <c:f>Diagrama!$GL$34</c:f>
              <c:strCache>
                <c:ptCount val="1"/>
                <c:pt idx="0">
                  <c:v>Simergia</c:v>
                </c:pt>
              </c:strCache>
            </c:strRef>
          </c:tx>
          <c:spPr>
            <a:ln w="19050">
              <a:noFill/>
            </a:ln>
          </c:spPr>
          <c:marker>
            <c:symbol val="x"/>
            <c:size val="7"/>
            <c:spPr>
              <a:solidFill>
                <a:srgbClr val="C0C0C0"/>
              </a:solidFill>
              <a:ln>
                <a:solidFill>
                  <a:srgbClr val="FF0000"/>
                </a:solidFill>
                <a:prstDash val="solid"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dPt>
            <c:idx val="0"/>
            <c:marker>
              <c:symbol val="x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2B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Simergy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B-62D3-4858-A1D5-82A125310125}"/>
                </c:ext>
              </c:extLst>
            </c:dLbl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 panose="020B0604020202020204" pitchFamily="34" charset="0"/>
                    <a:ea typeface="Comic Sans MS"/>
                    <a:cs typeface="Comic Sans M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Diagrama!$GL$55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Diagrama!$GL$56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62D3-4858-A1D5-82A125310125}"/>
            </c:ext>
          </c:extLst>
        </c:ser>
        <c:ser>
          <c:idx val="22"/>
          <c:order val="21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(Diagrama!$AP$29,Diagrama!$AY$29)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(Diagrama!$AP$30,Diagrama!$AY$30)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62D3-4858-A1D5-82A125310125}"/>
            </c:ext>
          </c:extLst>
        </c:ser>
        <c:ser>
          <c:idx val="23"/>
          <c:order val="22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(Diagrama!$AP$32,Diagrama!$AY$32)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(Diagrama!$AP$33,Diagrama!$AY$33)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62D3-4858-A1D5-82A125310125}"/>
            </c:ext>
          </c:extLst>
        </c:ser>
        <c:ser>
          <c:idx val="24"/>
          <c:order val="23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(Diagrama!$AP$35,Diagrama!$AY$35)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(Diagrama!$AP$36,Diagrama!$AY$36)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62D3-4858-A1D5-82A125310125}"/>
            </c:ext>
          </c:extLst>
        </c:ser>
        <c:ser>
          <c:idx val="25"/>
          <c:order val="24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(Diagrama!$AP$38,Diagrama!$AY$38)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(Diagrama!$AP$39,Diagrama!$AY$39)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62D3-4858-A1D5-82A125310125}"/>
            </c:ext>
          </c:extLst>
        </c:ser>
        <c:ser>
          <c:idx val="26"/>
          <c:order val="25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(Diagrama!$AP$41,Diagrama!$AY$41)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(Diagrama!$AP$42,Diagrama!$AY$42)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62D3-4858-A1D5-82A125310125}"/>
            </c:ext>
          </c:extLst>
        </c:ser>
        <c:ser>
          <c:idx val="27"/>
          <c:order val="26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(Diagrama!$AP$44,Diagrama!$AY$44)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(Diagrama!$AP$45,Diagrama!$AY$45)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62D3-4858-A1D5-82A125310125}"/>
            </c:ext>
          </c:extLst>
        </c:ser>
        <c:ser>
          <c:idx val="21"/>
          <c:order val="27"/>
          <c:tx>
            <c:strRef>
              <c:f>Diagrama!$N$57</c:f>
              <c:strCache>
                <c:ptCount val="1"/>
                <c:pt idx="0">
                  <c:v>7-Ponto7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FF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Diagrama!$V$50</c:f>
              <c:numCache>
                <c:formatCode>0.00</c:formatCode>
                <c:ptCount val="1"/>
                <c:pt idx="0">
                  <c:v>9.6225044864937295E-3</c:v>
                </c:pt>
              </c:numCache>
            </c:numRef>
          </c:xVal>
          <c:yVal>
            <c:numRef>
              <c:f>Diagrama!$V$57</c:f>
              <c:numCache>
                <c:formatCode>0.00</c:formatCode>
                <c:ptCount val="1"/>
                <c:pt idx="0">
                  <c:v>0.31666666666666665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62D3-4858-A1D5-82A125310125}"/>
            </c:ext>
          </c:extLst>
        </c:ser>
        <c:ser>
          <c:idx val="28"/>
          <c:order val="28"/>
          <c:tx>
            <c:strRef>
              <c:f>Diagrama!$N$58</c:f>
              <c:strCache>
                <c:ptCount val="1"/>
                <c:pt idx="0">
                  <c:v>8-Ponto8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0000FF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Diagrama!$W$50</c:f>
              <c:numCache>
                <c:formatCode>0.00</c:formatCode>
                <c:ptCount val="1"/>
                <c:pt idx="0">
                  <c:v>8.3673952056467875E-3</c:v>
                </c:pt>
              </c:numCache>
            </c:numRef>
          </c:xVal>
          <c:yVal>
            <c:numRef>
              <c:f>Diagrama!$W$58</c:f>
              <c:numCache>
                <c:formatCode>0.00</c:formatCode>
                <c:ptCount val="1"/>
                <c:pt idx="0">
                  <c:v>0.3188405797101449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62D3-4858-A1D5-82A125310125}"/>
            </c:ext>
          </c:extLst>
        </c:ser>
        <c:ser>
          <c:idx val="29"/>
          <c:order val="29"/>
          <c:tx>
            <c:strRef>
              <c:f>Diagrama!$N$59</c:f>
              <c:strCache>
                <c:ptCount val="1"/>
                <c:pt idx="0">
                  <c:v>9-Ponto9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FFFF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Diagrama!$X$50</c:f>
              <c:numCache>
                <c:formatCode>0.00</c:formatCode>
                <c:ptCount val="1"/>
                <c:pt idx="0">
                  <c:v>7.4019265280720996E-3</c:v>
                </c:pt>
              </c:numCache>
            </c:numRef>
          </c:xVal>
          <c:yVal>
            <c:numRef>
              <c:f>Diagrama!$X$59</c:f>
              <c:numCache>
                <c:formatCode>0.00</c:formatCode>
                <c:ptCount val="1"/>
                <c:pt idx="0">
                  <c:v>0.32051282051282054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62D3-4858-A1D5-82A125310125}"/>
            </c:ext>
          </c:extLst>
        </c:ser>
        <c:ser>
          <c:idx val="30"/>
          <c:order val="30"/>
          <c:tx>
            <c:strRef>
              <c:f>Diagrama!$N$60</c:f>
              <c:strCache>
                <c:ptCount val="1"/>
                <c:pt idx="0">
                  <c:v>10-Ponto10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00FF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Diagrama!$Y$50</c:f>
              <c:numCache>
                <c:formatCode>0.00</c:formatCode>
                <c:ptCount val="1"/>
                <c:pt idx="0">
                  <c:v>6.6362099906854101E-3</c:v>
                </c:pt>
              </c:numCache>
            </c:numRef>
          </c:xVal>
          <c:yVal>
            <c:numRef>
              <c:f>Diagrama!$Y$60</c:f>
              <c:numCache>
                <c:formatCode>0.00</c:formatCode>
                <c:ptCount val="1"/>
                <c:pt idx="0">
                  <c:v>0.32183908045977011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62D3-4858-A1D5-82A125310125}"/>
            </c:ext>
          </c:extLst>
        </c:ser>
        <c:ser>
          <c:idx val="31"/>
          <c:order val="31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(Diagrama!$AP$47,Diagrama!$AY$47)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(Diagrama!$AP$48,Diagrama!$AY$48)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62D3-4858-A1D5-82A125310125}"/>
            </c:ext>
          </c:extLst>
        </c:ser>
        <c:ser>
          <c:idx val="32"/>
          <c:order val="32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(Diagrama!$AP$50,Diagrama!$AY$50)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(Diagrama!$AP$51,Diagrama!$AY$51)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62D3-4858-A1D5-82A125310125}"/>
            </c:ext>
          </c:extLst>
        </c:ser>
        <c:ser>
          <c:idx val="33"/>
          <c:order val="33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(Diagrama!$AP$53,Diagrama!$AY$53)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(Diagrama!$AP$54,Diagrama!$AY$54)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62D3-4858-A1D5-82A125310125}"/>
            </c:ext>
          </c:extLst>
        </c:ser>
        <c:ser>
          <c:idx val="34"/>
          <c:order val="34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(Diagrama!$AP$56,Diagrama!$AY$56)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(Diagrama!$AP$57,Diagrama!$AY$57)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62D3-4858-A1D5-82A125310125}"/>
            </c:ext>
          </c:extLst>
        </c:ser>
        <c:ser>
          <c:idx val="35"/>
          <c:order val="35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dPt>
            <c:idx val="1"/>
            <c:bubble3D val="0"/>
            <c:spPr>
              <a:ln w="25400">
                <a:solidFill>
                  <a:srgbClr val="000000"/>
                </a:solidFill>
                <a:prstDash val="lgDashDot"/>
              </a:ln>
            </c:spPr>
            <c:extLst>
              <c:ext xmlns:c16="http://schemas.microsoft.com/office/drawing/2014/chart" uri="{C3380CC4-5D6E-409C-BE32-E72D297353CC}">
                <c16:uniqueId val="{0000003C-62D3-4858-A1D5-82A125310125}"/>
              </c:ext>
            </c:extLst>
          </c:dPt>
          <c:xVal>
            <c:numRef>
              <c:f>Diagrama!$S$42:$U$42</c:f>
              <c:numCache>
                <c:formatCode>0.000</c:formatCode>
                <c:ptCount val="3"/>
                <c:pt idx="0">
                  <c:v>-0.35799999999999998</c:v>
                </c:pt>
              </c:numCache>
            </c:numRef>
          </c:xVal>
          <c:yVal>
            <c:numRef>
              <c:f>Diagrama!$S$43:$T$43</c:f>
              <c:numCache>
                <c:formatCode>0.00</c:formatCode>
                <c:ptCount val="2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62D3-4858-A1D5-82A125310125}"/>
            </c:ext>
          </c:extLst>
        </c:ser>
        <c:ser>
          <c:idx val="36"/>
          <c:order val="36"/>
          <c:spPr>
            <a:ln w="25400">
              <a:solidFill>
                <a:srgbClr val="000000"/>
              </a:solidFill>
              <a:prstDash val="lgDashDot"/>
            </a:ln>
          </c:spPr>
          <c:marker>
            <c:symbol val="none"/>
          </c:marker>
          <c:xVal>
            <c:numRef>
              <c:f>Diagrama!$Z$42:$AA$42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Diagrama!$Z$43:$AA$43</c:f>
              <c:numCache>
                <c:formatCode>0.000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62D3-4858-A1D5-82A125310125}"/>
            </c:ext>
          </c:extLst>
        </c:ser>
        <c:ser>
          <c:idx val="37"/>
          <c:order val="37"/>
          <c:spPr>
            <a:ln w="12700">
              <a:solidFill>
                <a:srgbClr val="FFFFFF"/>
              </a:solidFill>
              <a:prstDash val="lgDash"/>
            </a:ln>
          </c:spPr>
          <c:marker>
            <c:symbol val="none"/>
          </c:marker>
          <c:xVal>
            <c:numRef>
              <c:f>Diagrama!$BF$40:$BJ$40</c:f>
              <c:numCache>
                <c:formatCode>0.00</c:formatCode>
                <c:ptCount val="5"/>
                <c:pt idx="0">
                  <c:v>-0.57999999999999996</c:v>
                </c:pt>
                <c:pt idx="1">
                  <c:v>0.57999999999999996</c:v>
                </c:pt>
                <c:pt idx="2">
                  <c:v>0.57999999999999996</c:v>
                </c:pt>
                <c:pt idx="3">
                  <c:v>-0.57999999999999996</c:v>
                </c:pt>
                <c:pt idx="4">
                  <c:v>-0.57999999999999996</c:v>
                </c:pt>
              </c:numCache>
            </c:numRef>
          </c:xVal>
          <c:yVal>
            <c:numRef>
              <c:f>Diagrama!$BF$41:$BJ$41</c:f>
              <c:numCache>
                <c:formatCode>0.00</c:formatCode>
                <c:ptCount val="5"/>
                <c:pt idx="0">
                  <c:v>-0.1</c:v>
                </c:pt>
                <c:pt idx="1">
                  <c:v>-0.1</c:v>
                </c:pt>
                <c:pt idx="2">
                  <c:v>1.1000000000000001</c:v>
                </c:pt>
                <c:pt idx="3">
                  <c:v>1.1000000000000001</c:v>
                </c:pt>
                <c:pt idx="4">
                  <c:v>-0.1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62D3-4858-A1D5-82A125310125}"/>
            </c:ext>
          </c:extLst>
        </c:ser>
        <c:ser>
          <c:idx val="38"/>
          <c:order val="38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Diagrama!$AO$65:$BG$65</c:f>
              <c:numCache>
                <c:formatCode>General</c:formatCode>
                <c:ptCount val="19"/>
                <c:pt idx="0">
                  <c:v>-1.7320508075688774</c:v>
                </c:pt>
                <c:pt idx="1">
                  <c:v>-1.7320508075688774</c:v>
                </c:pt>
                <c:pt idx="2">
                  <c:v>-1.7320508075688774</c:v>
                </c:pt>
                <c:pt idx="3">
                  <c:v>-1.7320508075688774</c:v>
                </c:pt>
                <c:pt idx="4">
                  <c:v>-1.7320508075688774</c:v>
                </c:pt>
                <c:pt idx="5">
                  <c:v>-1.7320508075688774</c:v>
                </c:pt>
                <c:pt idx="6">
                  <c:v>-1.7320508075688774</c:v>
                </c:pt>
                <c:pt idx="7">
                  <c:v>-1.7320508075688774</c:v>
                </c:pt>
                <c:pt idx="8">
                  <c:v>-1.7320508075688774</c:v>
                </c:pt>
                <c:pt idx="9">
                  <c:v>-1.7320508075688774</c:v>
                </c:pt>
                <c:pt idx="10">
                  <c:v>-1.7320508075688774</c:v>
                </c:pt>
                <c:pt idx="11">
                  <c:v>-1.7320508075688774</c:v>
                </c:pt>
                <c:pt idx="12">
                  <c:v>-1.7320508075688774</c:v>
                </c:pt>
                <c:pt idx="13">
                  <c:v>-1.7320508075688774</c:v>
                </c:pt>
                <c:pt idx="14">
                  <c:v>-1.7320508075688774</c:v>
                </c:pt>
                <c:pt idx="15">
                  <c:v>-1.7320508075688774</c:v>
                </c:pt>
                <c:pt idx="16">
                  <c:v>-1.7320508075688774</c:v>
                </c:pt>
                <c:pt idx="17">
                  <c:v>-1.7320508075688774</c:v>
                </c:pt>
                <c:pt idx="18">
                  <c:v>-1.7320508075688774</c:v>
                </c:pt>
              </c:numCache>
            </c:numRef>
          </c:xVal>
          <c:yVal>
            <c:numRef>
              <c:f>Diagrama!$AO$66:$BG$66</c:f>
              <c:numCache>
                <c:formatCode>0.00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62D3-4858-A1D5-82A125310125}"/>
            </c:ext>
          </c:extLst>
        </c:ser>
        <c:ser>
          <c:idx val="39"/>
          <c:order val="39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Diagrama!$AO$69:$BG$69</c:f>
              <c:numCache>
                <c:formatCode>General</c:formatCode>
                <c:ptCount val="19"/>
                <c:pt idx="0">
                  <c:v>-1.2701705922171769</c:v>
                </c:pt>
                <c:pt idx="1">
                  <c:v>-1.2701705922171769</c:v>
                </c:pt>
                <c:pt idx="2">
                  <c:v>-1.2701705922171769</c:v>
                </c:pt>
                <c:pt idx="3">
                  <c:v>-1.2701705922171769</c:v>
                </c:pt>
                <c:pt idx="4">
                  <c:v>-1.2701705922171769</c:v>
                </c:pt>
                <c:pt idx="5">
                  <c:v>-1.2701705922171769</c:v>
                </c:pt>
                <c:pt idx="6">
                  <c:v>-1.2701705922171769</c:v>
                </c:pt>
                <c:pt idx="7">
                  <c:v>-1.2701705922171769</c:v>
                </c:pt>
                <c:pt idx="8">
                  <c:v>-1.2701705922171769</c:v>
                </c:pt>
                <c:pt idx="9">
                  <c:v>-1.2701705922171769</c:v>
                </c:pt>
                <c:pt idx="10">
                  <c:v>-1.2701705922171769</c:v>
                </c:pt>
                <c:pt idx="11">
                  <c:v>-1.2701705922171769</c:v>
                </c:pt>
                <c:pt idx="12">
                  <c:v>-1.2701705922171769</c:v>
                </c:pt>
                <c:pt idx="13">
                  <c:v>-1.2701705922171769</c:v>
                </c:pt>
                <c:pt idx="14">
                  <c:v>-1.2701705922171769</c:v>
                </c:pt>
                <c:pt idx="15">
                  <c:v>-1.2701705922171769</c:v>
                </c:pt>
                <c:pt idx="16">
                  <c:v>-1.2701705922171769</c:v>
                </c:pt>
                <c:pt idx="17">
                  <c:v>-1.2701705922171769</c:v>
                </c:pt>
                <c:pt idx="18">
                  <c:v>-1.2701705922171769</c:v>
                </c:pt>
              </c:numCache>
            </c:numRef>
          </c:xVal>
          <c:yVal>
            <c:numRef>
              <c:f>Diagrama!$AO$70:$BG$70</c:f>
              <c:numCache>
                <c:formatCode>0.00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62D3-4858-A1D5-82A125310125}"/>
            </c:ext>
          </c:extLst>
        </c:ser>
        <c:ser>
          <c:idx val="40"/>
          <c:order val="40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Diagrama!$AP$76:$AQ$76</c:f>
              <c:numCache>
                <c:formatCode>0.000</c:formatCode>
                <c:ptCount val="2"/>
                <c:pt idx="0">
                  <c:v>-0.52500000000000002</c:v>
                </c:pt>
                <c:pt idx="1">
                  <c:v>0.52500000000000002</c:v>
                </c:pt>
              </c:numCache>
            </c:numRef>
          </c:xVal>
          <c:yVal>
            <c:numRef>
              <c:f>Diagrama!$AP$79:$AQ$79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62D3-4858-A1D5-82A125310125}"/>
            </c:ext>
          </c:extLst>
        </c:ser>
        <c:ser>
          <c:idx val="41"/>
          <c:order val="41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Diagrama!$AR$76:$AS$76</c:f>
              <c:numCache>
                <c:formatCode>0.00</c:formatCode>
                <c:ptCount val="2"/>
                <c:pt idx="0">
                  <c:v>-0.38700000000000001</c:v>
                </c:pt>
                <c:pt idx="1">
                  <c:v>0.38700000000000001</c:v>
                </c:pt>
              </c:numCache>
            </c:numRef>
          </c:xVal>
          <c:yVal>
            <c:numRef>
              <c:f>Diagrama!$AR$80:$AS$80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62D3-4858-A1D5-82A125310125}"/>
            </c:ext>
          </c:extLst>
        </c:ser>
        <c:ser>
          <c:idx val="42"/>
          <c:order val="42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Diagrama!$AT$76:$AU$76</c:f>
              <c:numCache>
                <c:formatCode>0.00</c:formatCode>
                <c:ptCount val="2"/>
                <c:pt idx="0">
                  <c:v>0</c:v>
                </c:pt>
                <c:pt idx="1">
                  <c:v>0.28999999999999998</c:v>
                </c:pt>
              </c:numCache>
            </c:numRef>
          </c:xVal>
          <c:yVal>
            <c:numRef>
              <c:f>Diagrama!$AT$77:$AU$77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62D3-4858-A1D5-82A125310125}"/>
            </c:ext>
          </c:extLst>
        </c:ser>
        <c:ser>
          <c:idx val="43"/>
          <c:order val="43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Diagrama!$AV$76:$AW$76</c:f>
              <c:numCache>
                <c:formatCode>0.00</c:formatCode>
                <c:ptCount val="2"/>
                <c:pt idx="0">
                  <c:v>-0.34639999999999999</c:v>
                </c:pt>
                <c:pt idx="1">
                  <c:v>0.11700000000000001</c:v>
                </c:pt>
              </c:numCache>
            </c:numRef>
          </c:xVal>
          <c:yVal>
            <c:numRef>
              <c:f>Diagrama!$AV$78:$AW$78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62D3-4858-A1D5-82A125310125}"/>
            </c:ext>
          </c:extLst>
        </c:ser>
        <c:ser>
          <c:idx val="44"/>
          <c:order val="44"/>
          <c:tx>
            <c:strRef>
              <c:f>Diagrama!$L$25</c:f>
              <c:strCache>
                <c:ptCount val="1"/>
                <c:pt idx="0">
                  <c:v>11-Ponto11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dPt>
            <c:idx val="0"/>
            <c:marker>
              <c:symbol val="circle"/>
              <c:size val="7"/>
              <c:spPr>
                <a:solidFill>
                  <a:srgbClr val="64FF1E"/>
                </a:solidFill>
                <a:ln>
                  <a:solidFill>
                    <a:schemeClr val="tx1"/>
                  </a:solidFill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AC-976A-483C-A942-96C3E782DD4F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AC-976A-483C-A942-96C3E782DD4F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Diagrama!$M$26</c:f>
              <c:numCache>
                <c:formatCode>0.00</c:formatCode>
                <c:ptCount val="1"/>
                <c:pt idx="0">
                  <c:v>5.4985739922821311E-3</c:v>
                </c:pt>
              </c:numCache>
            </c:numRef>
          </c:xVal>
          <c:yVal>
            <c:numRef>
              <c:f>Diagrama!$L$27</c:f>
              <c:numCache>
                <c:formatCode>0.00</c:formatCode>
                <c:ptCount val="1"/>
                <c:pt idx="0">
                  <c:v>0.32291666666666669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2AB-976A-483C-A942-96C3E782DD4F}"/>
            </c:ext>
          </c:extLst>
        </c:ser>
        <c:ser>
          <c:idx val="45"/>
          <c:order val="45"/>
          <c:tx>
            <c:strRef>
              <c:f>Diagrama!$M$25</c:f>
              <c:strCache>
                <c:ptCount val="1"/>
                <c:pt idx="0">
                  <c:v>12-Ponto12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C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11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Diagrama!$M$26</c:f>
              <c:numCache>
                <c:formatCode>0.00</c:formatCode>
                <c:ptCount val="1"/>
                <c:pt idx="0">
                  <c:v>5.4985739922821311E-3</c:v>
                </c:pt>
              </c:numCache>
            </c:numRef>
          </c:xVal>
          <c:yVal>
            <c:numRef>
              <c:f>Diagrama!$M$27</c:f>
              <c:numCache>
                <c:formatCode>0.00</c:formatCode>
                <c:ptCount val="1"/>
                <c:pt idx="0">
                  <c:v>0.32380952380952382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E250-4AB7-85F0-9E4846E1EDB9}"/>
            </c:ext>
          </c:extLst>
        </c:ser>
        <c:ser>
          <c:idx val="46"/>
          <c:order val="46"/>
          <c:tx>
            <c:strRef>
              <c:f>Diagrama!$N$25</c:f>
              <c:strCache>
                <c:ptCount val="1"/>
                <c:pt idx="0">
                  <c:v>13-Ponto13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C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12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Diagrama!$N$26</c:f>
              <c:numCache>
                <c:formatCode>0.00</c:formatCode>
                <c:ptCount val="1"/>
                <c:pt idx="0">
                  <c:v>5.0644760455230489E-3</c:v>
                </c:pt>
              </c:numCache>
            </c:numRef>
          </c:xVal>
          <c:yVal>
            <c:numRef>
              <c:f>Diagrama!$N$27</c:f>
              <c:numCache>
                <c:formatCode>0.00</c:formatCode>
                <c:ptCount val="1"/>
                <c:pt idx="0">
                  <c:v>0.32456140350877194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E250-4AB7-85F0-9E4846E1EDB9}"/>
            </c:ext>
          </c:extLst>
        </c:ser>
        <c:ser>
          <c:idx val="47"/>
          <c:order val="47"/>
          <c:tx>
            <c:strRef>
              <c:f>Diagrama!$O$25</c:f>
              <c:strCache>
                <c:ptCount val="1"/>
                <c:pt idx="0">
                  <c:v>14-Ponto14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C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13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Diagrama!$O$26</c:f>
              <c:numCache>
                <c:formatCode>0.00</c:formatCode>
                <c:ptCount val="1"/>
                <c:pt idx="0">
                  <c:v>4.6939046275580225E-3</c:v>
                </c:pt>
              </c:numCache>
            </c:numRef>
          </c:xVal>
          <c:yVal>
            <c:numRef>
              <c:f>Diagrama!$O$27</c:f>
              <c:numCache>
                <c:formatCode>0.00</c:formatCode>
                <c:ptCount val="1"/>
                <c:pt idx="0">
                  <c:v>0.32520325203252032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E250-4AB7-85F0-9E4846E1EDB9}"/>
            </c:ext>
          </c:extLst>
        </c:ser>
        <c:ser>
          <c:idx val="48"/>
          <c:order val="48"/>
          <c:tx>
            <c:strRef>
              <c:f>Diagrama!$P$25</c:f>
              <c:strCache>
                <c:ptCount val="1"/>
                <c:pt idx="0">
                  <c:v>15-Ponto15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C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Diagrama!$P$26</c:f>
              <c:numCache>
                <c:formatCode>0.00</c:formatCode>
                <c:ptCount val="1"/>
                <c:pt idx="0">
                  <c:v>4.3738656756789791E-3</c:v>
                </c:pt>
              </c:numCache>
            </c:numRef>
          </c:xVal>
          <c:yVal>
            <c:numRef>
              <c:f>Diagrama!$P$27</c:f>
              <c:numCache>
                <c:formatCode>0.00</c:formatCode>
                <c:ptCount val="1"/>
                <c:pt idx="0">
                  <c:v>0.32575757575757575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E250-4AB7-85F0-9E4846E1EDB9}"/>
            </c:ext>
          </c:extLst>
        </c:ser>
        <c:ser>
          <c:idx val="49"/>
          <c:order val="49"/>
          <c:tx>
            <c:strRef>
              <c:f>Diagrama!$Q$25</c:f>
              <c:strCache>
                <c:ptCount val="1"/>
                <c:pt idx="0">
                  <c:v>16-Ponto16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C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Diagrama!$Q$26</c:f>
              <c:numCache>
                <c:formatCode>0.00</c:formatCode>
                <c:ptCount val="1"/>
                <c:pt idx="0">
                  <c:v>4.0946827602100534E-3</c:v>
                </c:pt>
              </c:numCache>
            </c:numRef>
          </c:xVal>
          <c:yVal>
            <c:numRef>
              <c:f>Diagrama!$Q$27</c:f>
              <c:numCache>
                <c:formatCode>0.00</c:formatCode>
                <c:ptCount val="1"/>
                <c:pt idx="0">
                  <c:v>0.32624113475177308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E250-4AB7-85F0-9E4846E1EDB9}"/>
            </c:ext>
          </c:extLst>
        </c:ser>
        <c:ser>
          <c:idx val="50"/>
          <c:order val="50"/>
          <c:tx>
            <c:strRef>
              <c:f>Diagrama!$R$25</c:f>
              <c:strCache>
                <c:ptCount val="1"/>
                <c:pt idx="0">
                  <c:v>17-Ponto17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C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Diagrama!$R$26</c:f>
              <c:numCache>
                <c:formatCode>0.00</c:formatCode>
                <c:ptCount val="1"/>
                <c:pt idx="0">
                  <c:v>3.8490017945975942E-3</c:v>
                </c:pt>
              </c:numCache>
            </c:numRef>
          </c:xVal>
          <c:yVal>
            <c:numRef>
              <c:f>Diagrama!$R$27</c:f>
              <c:numCache>
                <c:formatCode>0.00</c:formatCode>
                <c:ptCount val="1"/>
                <c:pt idx="0">
                  <c:v>0.32666666666666666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E250-4AB7-85F0-9E4846E1EDB9}"/>
            </c:ext>
          </c:extLst>
        </c:ser>
        <c:ser>
          <c:idx val="51"/>
          <c:order val="51"/>
          <c:tx>
            <c:strRef>
              <c:f>Diagrama!$S$25</c:f>
              <c:strCache>
                <c:ptCount val="1"/>
                <c:pt idx="0">
                  <c:v>18-Ponto18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C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Diagrama!$S$26</c:f>
              <c:numCache>
                <c:formatCode>0.00</c:formatCode>
                <c:ptCount val="1"/>
                <c:pt idx="0">
                  <c:v>3.6311337684882118E-3</c:v>
                </c:pt>
              </c:numCache>
            </c:numRef>
          </c:xVal>
          <c:yVal>
            <c:numRef>
              <c:f>Diagrama!$S$27</c:f>
              <c:numCache>
                <c:formatCode>0.00</c:formatCode>
                <c:ptCount val="1"/>
                <c:pt idx="0">
                  <c:v>0.32704402515723269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E250-4AB7-85F0-9E4846E1EDB9}"/>
            </c:ext>
          </c:extLst>
        </c:ser>
        <c:ser>
          <c:idx val="52"/>
          <c:order val="52"/>
          <c:tx>
            <c:strRef>
              <c:f>Diagrama!$T$25</c:f>
              <c:strCache>
                <c:ptCount val="1"/>
                <c:pt idx="0">
                  <c:v>19-Ponto19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C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Diagrama!$T$26</c:f>
              <c:numCache>
                <c:formatCode>0.00</c:formatCode>
                <c:ptCount val="1"/>
                <c:pt idx="0">
                  <c:v>3.4366087451763319E-3</c:v>
                </c:pt>
              </c:numCache>
            </c:numRef>
          </c:xVal>
          <c:yVal>
            <c:numRef>
              <c:f>Diagrama!$T$27</c:f>
              <c:numCache>
                <c:formatCode>0.00</c:formatCode>
                <c:ptCount val="1"/>
                <c:pt idx="0">
                  <c:v>0.32738095238095238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E250-4AB7-85F0-9E4846E1EDB9}"/>
            </c:ext>
          </c:extLst>
        </c:ser>
        <c:ser>
          <c:idx val="53"/>
          <c:order val="53"/>
          <c:tx>
            <c:strRef>
              <c:f>Diagrama!$U$25</c:f>
              <c:strCache>
                <c:ptCount val="1"/>
                <c:pt idx="0">
                  <c:v>20-Ponto20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C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Diagrama!$U$26</c:f>
              <c:numCache>
                <c:formatCode>0.00</c:formatCode>
                <c:ptCount val="1"/>
                <c:pt idx="0">
                  <c:v>3.4366087451763319E-3</c:v>
                </c:pt>
              </c:numCache>
            </c:numRef>
          </c:xVal>
          <c:yVal>
            <c:numRef>
              <c:f>Diagrama!$U$27</c:f>
              <c:numCache>
                <c:formatCode>0.00</c:formatCode>
                <c:ptCount val="1"/>
                <c:pt idx="0">
                  <c:v>0.32768361581920902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E250-4AB7-85F0-9E4846E1EDB9}"/>
            </c:ext>
          </c:extLst>
        </c:ser>
        <c:ser>
          <c:idx val="54"/>
          <c:order val="54"/>
          <c:tx>
            <c:strRef>
              <c:f>Diagrama!$V$25</c:f>
              <c:strCache>
                <c:ptCount val="1"/>
                <c:pt idx="0">
                  <c:v>21-Ponto21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C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20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Diagrama!$V$26</c:f>
              <c:numCache>
                <c:formatCode>0.00</c:formatCode>
                <c:ptCount val="1"/>
                <c:pt idx="0">
                  <c:v>3.1040337053205662E-3</c:v>
                </c:pt>
              </c:numCache>
            </c:numRef>
          </c:xVal>
          <c:yVal>
            <c:numRef>
              <c:f>Diagrama!$V$27</c:f>
              <c:numCache>
                <c:formatCode>0.00</c:formatCode>
                <c:ptCount val="1"/>
                <c:pt idx="0">
                  <c:v>0.32795698924731181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E250-4AB7-85F0-9E4846E1EDB9}"/>
            </c:ext>
          </c:extLst>
        </c:ser>
        <c:ser>
          <c:idx val="55"/>
          <c:order val="55"/>
          <c:tx>
            <c:strRef>
              <c:f>Diagrama!$W$25</c:f>
              <c:strCache>
                <c:ptCount val="1"/>
                <c:pt idx="0">
                  <c:v>22-Ponto22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21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Diagrama!$W$26</c:f>
              <c:numCache>
                <c:formatCode>0.00</c:formatCode>
                <c:ptCount val="1"/>
                <c:pt idx="0">
                  <c:v>2.9607706112288398E-3</c:v>
                </c:pt>
              </c:numCache>
            </c:numRef>
          </c:xVal>
          <c:yVal>
            <c:numRef>
              <c:f>Diagrama!$W$27</c:f>
              <c:numCache>
                <c:formatCode>0.00</c:formatCode>
                <c:ptCount val="1"/>
                <c:pt idx="0">
                  <c:v>0.3282051282051282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E250-4AB7-85F0-9E4846E1EDB9}"/>
            </c:ext>
          </c:extLst>
        </c:ser>
        <c:ser>
          <c:idx val="56"/>
          <c:order val="56"/>
          <c:tx>
            <c:strRef>
              <c:f>Diagrama!$X$25</c:f>
              <c:strCache>
                <c:ptCount val="1"/>
                <c:pt idx="0">
                  <c:v>23-Ponto23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22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Diagrama!$X$26</c:f>
              <c:numCache>
                <c:formatCode>0.00</c:formatCode>
                <c:ptCount val="1"/>
                <c:pt idx="0">
                  <c:v>2.8301483783805086E-3</c:v>
                </c:pt>
              </c:numCache>
            </c:numRef>
          </c:xVal>
          <c:yVal>
            <c:numRef>
              <c:f>Diagrama!$X$27</c:f>
              <c:numCache>
                <c:formatCode>0.00</c:formatCode>
                <c:ptCount val="1"/>
                <c:pt idx="0">
                  <c:v>0.32843137254901961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E250-4AB7-85F0-9E4846E1EDB9}"/>
            </c:ext>
          </c:extLst>
        </c:ser>
        <c:ser>
          <c:idx val="57"/>
          <c:order val="57"/>
          <c:tx>
            <c:strRef>
              <c:f>Diagrama!$Y$25</c:f>
              <c:strCache>
                <c:ptCount val="1"/>
                <c:pt idx="0">
                  <c:v>24-Ponto24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23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Diagrama!$Y$26</c:f>
              <c:numCache>
                <c:formatCode>0.00</c:formatCode>
                <c:ptCount val="1"/>
                <c:pt idx="0">
                  <c:v>2.7105646440827892E-3</c:v>
                </c:pt>
              </c:numCache>
            </c:numRef>
          </c:xVal>
          <c:yVal>
            <c:numRef>
              <c:f>Diagrama!$Y$27</c:f>
              <c:numCache>
                <c:formatCode>0.00</c:formatCode>
                <c:ptCount val="1"/>
                <c:pt idx="0">
                  <c:v>0.32863849765258218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E250-4AB7-85F0-9E4846E1EDB9}"/>
            </c:ext>
          </c:extLst>
        </c:ser>
        <c:ser>
          <c:idx val="58"/>
          <c:order val="58"/>
          <c:tx>
            <c:strRef>
              <c:f>Diagrama!$Z$25</c:f>
              <c:strCache>
                <c:ptCount val="1"/>
                <c:pt idx="0">
                  <c:v>25-Ponto25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24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Diagrama!$Z$26</c:f>
              <c:numCache>
                <c:formatCode>0.00</c:formatCode>
                <c:ptCount val="1"/>
                <c:pt idx="0">
                  <c:v>2.6006768882415312E-3</c:v>
                </c:pt>
              </c:numCache>
            </c:numRef>
          </c:xVal>
          <c:yVal>
            <c:numRef>
              <c:f>Diagrama!$Z$27</c:f>
              <c:numCache>
                <c:formatCode>0.00</c:formatCode>
                <c:ptCount val="1"/>
                <c:pt idx="0">
                  <c:v>0.32882882882882886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E250-4AB7-85F0-9E4846E1EDB9}"/>
            </c:ext>
          </c:extLst>
        </c:ser>
        <c:ser>
          <c:idx val="59"/>
          <c:order val="59"/>
          <c:tx>
            <c:strRef>
              <c:f>Diagrama!$AA$25</c:f>
              <c:strCache>
                <c:ptCount val="1"/>
                <c:pt idx="0">
                  <c:v>26-Ponto26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25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Diagrama!$AA$26</c:f>
              <c:numCache>
                <c:formatCode>0.00</c:formatCode>
                <c:ptCount val="1"/>
                <c:pt idx="0">
                  <c:v>2.4993518146736843E-3</c:v>
                </c:pt>
              </c:numCache>
            </c:numRef>
          </c:xVal>
          <c:yVal>
            <c:numRef>
              <c:f>Diagrama!$AA$27</c:f>
              <c:numCache>
                <c:formatCode>0.00</c:formatCode>
                <c:ptCount val="1"/>
                <c:pt idx="0">
                  <c:v>0.32900432900432902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E250-4AB7-85F0-9E4846E1EDB9}"/>
            </c:ext>
          </c:extLst>
        </c:ser>
        <c:ser>
          <c:idx val="60"/>
          <c:order val="60"/>
          <c:tx>
            <c:strRef>
              <c:f>Diagrama!$AB$25</c:f>
              <c:strCache>
                <c:ptCount val="1"/>
                <c:pt idx="0">
                  <c:v>27-Ponto27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26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Diagrama!$AB$26</c:f>
              <c:numCache>
                <c:formatCode>0.00</c:formatCode>
                <c:ptCount val="1"/>
                <c:pt idx="0">
                  <c:v>2.4056261216234324E-3</c:v>
                </c:pt>
              </c:numCache>
            </c:numRef>
          </c:xVal>
          <c:yVal>
            <c:numRef>
              <c:f>Diagrama!$AB$27</c:f>
              <c:numCache>
                <c:formatCode>0.00</c:formatCode>
                <c:ptCount val="1"/>
                <c:pt idx="0">
                  <c:v>0.32916666666666666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E250-4AB7-85F0-9E4846E1EDB9}"/>
            </c:ext>
          </c:extLst>
        </c:ser>
        <c:ser>
          <c:idx val="61"/>
          <c:order val="61"/>
          <c:tx>
            <c:strRef>
              <c:f>Diagrama!$AC$25</c:f>
              <c:strCache>
                <c:ptCount val="1"/>
                <c:pt idx="0">
                  <c:v>28-Ponto28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27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Diagrama!$AC$26</c:f>
              <c:numCache>
                <c:formatCode>0.00</c:formatCode>
                <c:ptCount val="1"/>
                <c:pt idx="0">
                  <c:v>2.3186757798780442E-3</c:v>
                </c:pt>
              </c:numCache>
            </c:numRef>
          </c:xVal>
          <c:yVal>
            <c:numRef>
              <c:f>Diagrama!$AC$27</c:f>
              <c:numCache>
                <c:formatCode>0.00</c:formatCode>
                <c:ptCount val="1"/>
                <c:pt idx="0">
                  <c:v>0.32931726907630521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E250-4AB7-85F0-9E4846E1EDB9}"/>
            </c:ext>
          </c:extLst>
        </c:ser>
        <c:ser>
          <c:idx val="62"/>
          <c:order val="62"/>
          <c:tx>
            <c:strRef>
              <c:f>Diagrama!$AD$25</c:f>
              <c:strCache>
                <c:ptCount val="1"/>
                <c:pt idx="0">
                  <c:v>29-Ponto29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28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Diagrama!$AD$26</c:f>
              <c:numCache>
                <c:formatCode>0.00</c:formatCode>
                <c:ptCount val="1"/>
                <c:pt idx="0">
                  <c:v>2.2377917410450654E-3</c:v>
                </c:pt>
              </c:numCache>
            </c:numRef>
          </c:xVal>
          <c:yVal>
            <c:numRef>
              <c:f>Diagrama!$AD$27</c:f>
              <c:numCache>
                <c:formatCode>0.00</c:formatCode>
                <c:ptCount val="1"/>
                <c:pt idx="0">
                  <c:v>0.32945736434108525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E250-4AB7-85F0-9E4846E1EDB9}"/>
            </c:ext>
          </c:extLst>
        </c:ser>
        <c:ser>
          <c:idx val="63"/>
          <c:order val="63"/>
          <c:tx>
            <c:strRef>
              <c:f>Diagrama!$AE$25</c:f>
              <c:strCache>
                <c:ptCount val="1"/>
                <c:pt idx="0">
                  <c:v>30-Ponto30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29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Diagrama!$AE$26</c:f>
              <c:numCache>
                <c:formatCode>0.00</c:formatCode>
                <c:ptCount val="1"/>
                <c:pt idx="0">
                  <c:v>2.1623605587626489E-3</c:v>
                </c:pt>
              </c:numCache>
            </c:numRef>
          </c:xVal>
          <c:yVal>
            <c:numRef>
              <c:f>Diagrama!$AE$27</c:f>
              <c:numCache>
                <c:formatCode>0.00</c:formatCode>
                <c:ptCount val="1"/>
                <c:pt idx="0">
                  <c:v>0.32958801498127338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E250-4AB7-85F0-9E4846E1EDB9}"/>
            </c:ext>
          </c:extLst>
        </c:ser>
        <c:ser>
          <c:idx val="64"/>
          <c:order val="64"/>
          <c:tx>
            <c:strRef>
              <c:f>Diagrama!$AF$25</c:f>
              <c:strCache>
                <c:ptCount val="1"/>
                <c:pt idx="0">
                  <c:v>31-Ponto31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30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Diagrama!$AF$26</c:f>
              <c:numCache>
                <c:formatCode>0.00</c:formatCode>
                <c:ptCount val="1"/>
                <c:pt idx="0">
                  <c:v>2.0918488014116969E-3</c:v>
                </c:pt>
              </c:numCache>
            </c:numRef>
          </c:xVal>
          <c:yVal>
            <c:numRef>
              <c:f>Diagrama!$AF$27</c:f>
              <c:numCache>
                <c:formatCode>0.00</c:formatCode>
                <c:ptCount val="1"/>
                <c:pt idx="0">
                  <c:v>0.32971014492753625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E250-4AB7-85F0-9E4846E1EDB9}"/>
            </c:ext>
          </c:extLst>
        </c:ser>
        <c:ser>
          <c:idx val="65"/>
          <c:order val="65"/>
          <c:tx>
            <c:strRef>
              <c:f>Diagrama!$AG$25</c:f>
              <c:strCache>
                <c:ptCount val="1"/>
                <c:pt idx="0">
                  <c:v>32-Ponto32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31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Diagrama!$AG$26</c:f>
              <c:numCache>
                <c:formatCode>0.00</c:formatCode>
                <c:ptCount val="1"/>
                <c:pt idx="0">
                  <c:v>2.0257904182092198E-3</c:v>
                </c:pt>
              </c:numCache>
            </c:numRef>
          </c:xVal>
          <c:yVal>
            <c:numRef>
              <c:f>Diagrama!$AG$27</c:f>
              <c:numCache>
                <c:formatCode>0.00</c:formatCode>
                <c:ptCount val="1"/>
                <c:pt idx="0">
                  <c:v>0.3298245614035088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E250-4AB7-85F0-9E4846E1EDB9}"/>
            </c:ext>
          </c:extLst>
        </c:ser>
        <c:ser>
          <c:idx val="66"/>
          <c:order val="66"/>
          <c:tx>
            <c:strRef>
              <c:f>Diagrama!$AH$25</c:f>
              <c:strCache>
                <c:ptCount val="1"/>
                <c:pt idx="0">
                  <c:v>33-Ponto33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32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Diagrama!$AH$26</c:f>
              <c:numCache>
                <c:formatCode>0.00</c:formatCode>
                <c:ptCount val="1"/>
                <c:pt idx="0">
                  <c:v>1.9637764258149918E-3</c:v>
                </c:pt>
              </c:numCache>
            </c:numRef>
          </c:xVal>
          <c:yVal>
            <c:numRef>
              <c:f>Diagrama!$AH$27</c:f>
              <c:numCache>
                <c:formatCode>0.00</c:formatCode>
                <c:ptCount val="1"/>
                <c:pt idx="0">
                  <c:v>0.32993197278911562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E250-4AB7-85F0-9E4846E1EDB9}"/>
            </c:ext>
          </c:extLst>
        </c:ser>
        <c:ser>
          <c:idx val="67"/>
          <c:order val="67"/>
          <c:tx>
            <c:strRef>
              <c:f>Diagrama!$AI$25</c:f>
              <c:strCache>
                <c:ptCount val="1"/>
                <c:pt idx="0">
                  <c:v>34-Ponto34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33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Diagrama!$AI$26</c:f>
              <c:numCache>
                <c:formatCode>0.00</c:formatCode>
                <c:ptCount val="1"/>
                <c:pt idx="0">
                  <c:v>1.9054464329691491E-3</c:v>
                </c:pt>
              </c:numCache>
            </c:numRef>
          </c:xVal>
          <c:yVal>
            <c:numRef>
              <c:f>Diagrama!$AI$27</c:f>
              <c:numCache>
                <c:formatCode>0.00</c:formatCode>
                <c:ptCount val="1"/>
                <c:pt idx="0">
                  <c:v>0.33003300330033003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E250-4AB7-85F0-9E4846E1EDB9}"/>
            </c:ext>
          </c:extLst>
        </c:ser>
        <c:ser>
          <c:idx val="68"/>
          <c:order val="68"/>
          <c:tx>
            <c:strRef>
              <c:f>Diagrama!$AJ$25</c:f>
              <c:strCache>
                <c:ptCount val="1"/>
                <c:pt idx="0">
                  <c:v>35-Ponto35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34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Diagrama!$AJ$26</c:f>
              <c:numCache>
                <c:formatCode>0.00</c:formatCode>
                <c:ptCount val="1"/>
                <c:pt idx="0">
                  <c:v>1.8504816320180249E-3</c:v>
                </c:pt>
              </c:numCache>
            </c:numRef>
          </c:xVal>
          <c:yVal>
            <c:numRef>
              <c:f>Diagrama!$AJ$27</c:f>
              <c:numCache>
                <c:formatCode>0.00</c:formatCode>
                <c:ptCount val="1"/>
                <c:pt idx="0">
                  <c:v>0.33012820512820512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E250-4AB7-85F0-9E4846E1EDB9}"/>
            </c:ext>
          </c:extLst>
        </c:ser>
        <c:ser>
          <c:idx val="69"/>
          <c:order val="69"/>
          <c:tx>
            <c:strRef>
              <c:f>Diagrama!$AK$25</c:f>
              <c:strCache>
                <c:ptCount val="1"/>
                <c:pt idx="0">
                  <c:v>36-Ponto36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35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Diagrama!$AK$26</c:f>
              <c:numCache>
                <c:formatCode>0.00</c:formatCode>
                <c:ptCount val="1"/>
                <c:pt idx="0">
                  <c:v>1.7985989694380227E-3</c:v>
                </c:pt>
              </c:numCache>
            </c:numRef>
          </c:xVal>
          <c:yVal>
            <c:numRef>
              <c:f>Diagrama!$AK$27</c:f>
              <c:numCache>
                <c:formatCode>0.00</c:formatCode>
                <c:ptCount val="1"/>
                <c:pt idx="0">
                  <c:v>0.33021806853582553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E250-4AB7-85F0-9E4846E1EDB9}"/>
            </c:ext>
          </c:extLst>
        </c:ser>
        <c:ser>
          <c:idx val="70"/>
          <c:order val="70"/>
          <c:tx>
            <c:strRef>
              <c:f>Diagrama!$AL$25</c:f>
              <c:strCache>
                <c:ptCount val="1"/>
                <c:pt idx="0">
                  <c:v>37-Ponto37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36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Diagrama!$AL$26</c:f>
              <c:numCache>
                <c:formatCode>0.00</c:formatCode>
                <c:ptCount val="1"/>
                <c:pt idx="0">
                  <c:v>1.7495462702715404E-3</c:v>
                </c:pt>
              </c:numCache>
            </c:numRef>
          </c:xVal>
          <c:yVal>
            <c:numRef>
              <c:f>Diagrama!$AL$27</c:f>
              <c:numCache>
                <c:formatCode>0.00</c:formatCode>
                <c:ptCount val="1"/>
                <c:pt idx="0">
                  <c:v>0.33030303030303032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E250-4AB7-85F0-9E4846E1EDB9}"/>
            </c:ext>
          </c:extLst>
        </c:ser>
        <c:ser>
          <c:idx val="71"/>
          <c:order val="71"/>
          <c:tx>
            <c:strRef>
              <c:f>Diagrama!$AM$25</c:f>
              <c:strCache>
                <c:ptCount val="1"/>
                <c:pt idx="0">
                  <c:v>38-Ponto38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37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Diagrama!$AM$26</c:f>
              <c:numCache>
                <c:formatCode>0.00</c:formatCode>
                <c:ptCount val="1"/>
                <c:pt idx="0">
                  <c:v>1.7030981392023958E-3</c:v>
                </c:pt>
              </c:numCache>
            </c:numRef>
          </c:xVal>
          <c:yVal>
            <c:numRef>
              <c:f>Diagrama!$AM$27</c:f>
              <c:numCache>
                <c:formatCode>0.00</c:formatCode>
                <c:ptCount val="1"/>
                <c:pt idx="0">
                  <c:v>0.3303834808259587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E250-4AB7-85F0-9E4846E1EDB9}"/>
            </c:ext>
          </c:extLst>
        </c:ser>
        <c:ser>
          <c:idx val="72"/>
          <c:order val="72"/>
          <c:tx>
            <c:strRef>
              <c:f>Diagrama!$AN$25</c:f>
              <c:strCache>
                <c:ptCount val="1"/>
                <c:pt idx="0">
                  <c:v>39-Ponto39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38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Diagrama!$AN$26</c:f>
              <c:numCache>
                <c:formatCode>0.00</c:formatCode>
                <c:ptCount val="1"/>
                <c:pt idx="0">
                  <c:v>1.6590524976712883E-3</c:v>
                </c:pt>
              </c:numCache>
            </c:numRef>
          </c:xVal>
          <c:yVal>
            <c:numRef>
              <c:f>Diagrama!$AN$27</c:f>
              <c:numCache>
                <c:formatCode>0.00</c:formatCode>
                <c:ptCount val="1"/>
                <c:pt idx="0">
                  <c:v>0.33045977011494254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E250-4AB7-85F0-9E4846E1EDB9}"/>
            </c:ext>
          </c:extLst>
        </c:ser>
        <c:ser>
          <c:idx val="73"/>
          <c:order val="73"/>
          <c:tx>
            <c:strRef>
              <c:f>Diagrama!$AO$25</c:f>
              <c:strCache>
                <c:ptCount val="1"/>
                <c:pt idx="0">
                  <c:v>40-Ponto40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39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Diagrama!$AO$26</c:f>
              <c:numCache>
                <c:formatCode>0.00</c:formatCode>
                <c:ptCount val="1"/>
                <c:pt idx="0">
                  <c:v>1.617227644788862E-3</c:v>
                </c:pt>
              </c:numCache>
            </c:numRef>
          </c:xVal>
          <c:yVal>
            <c:numRef>
              <c:f>Diagrama!$AO$27</c:f>
              <c:numCache>
                <c:formatCode>0.00</c:formatCode>
                <c:ptCount val="1"/>
                <c:pt idx="0">
                  <c:v>0.33053221288515405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E250-4AB7-85F0-9E4846E1EDB9}"/>
            </c:ext>
          </c:extLst>
        </c:ser>
        <c:ser>
          <c:idx val="74"/>
          <c:order val="74"/>
          <c:tx>
            <c:strRef>
              <c:f>Diagrama!$AP$25</c:f>
              <c:strCache>
                <c:ptCount val="1"/>
                <c:pt idx="0">
                  <c:v>41-Ponto41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40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Diagrama!$AP$26</c:f>
              <c:numCache>
                <c:formatCode>0.00</c:formatCode>
                <c:ptCount val="1"/>
                <c:pt idx="0">
                  <c:v>1.5774597518841611E-3</c:v>
                </c:pt>
              </c:numCache>
            </c:numRef>
          </c:xVal>
          <c:yVal>
            <c:numRef>
              <c:f>Diagrama!$AP$27</c:f>
              <c:numCache>
                <c:formatCode>0.00</c:formatCode>
                <c:ptCount val="1"/>
                <c:pt idx="0">
                  <c:v>0.33060109289617484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E250-4AB7-85F0-9E4846E1EDB9}"/>
            </c:ext>
          </c:extLst>
        </c:ser>
        <c:ser>
          <c:idx val="75"/>
          <c:order val="75"/>
          <c:tx>
            <c:strRef>
              <c:f>Diagrama!$AQ$25</c:f>
              <c:strCache>
                <c:ptCount val="1"/>
                <c:pt idx="0">
                  <c:v>42-Ponto42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41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Diagrama!$AQ$26</c:f>
              <c:numCache>
                <c:formatCode>0.00</c:formatCode>
                <c:ptCount val="1"/>
                <c:pt idx="0">
                  <c:v>1.5396007178390889E-3</c:v>
                </c:pt>
              </c:numCache>
            </c:numRef>
          </c:xVal>
          <c:yVal>
            <c:numRef>
              <c:f>Diagrama!$AQ$27</c:f>
              <c:numCache>
                <c:formatCode>0.00</c:formatCode>
                <c:ptCount val="1"/>
                <c:pt idx="0">
                  <c:v>0.33066666666666666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E250-4AB7-85F0-9E4846E1EDB9}"/>
            </c:ext>
          </c:extLst>
        </c:ser>
        <c:ser>
          <c:idx val="76"/>
          <c:order val="76"/>
          <c:tx>
            <c:strRef>
              <c:f>Diagrama!$AR$25</c:f>
              <c:strCache>
                <c:ptCount val="1"/>
                <c:pt idx="0">
                  <c:v>43-Ponto43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42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Diagrama!$AR$26</c:f>
              <c:numCache>
                <c:formatCode>0.00</c:formatCode>
                <c:ptCount val="1"/>
                <c:pt idx="0">
                  <c:v>1.5035163260146932E-3</c:v>
                </c:pt>
              </c:numCache>
            </c:numRef>
          </c:xVal>
          <c:yVal>
            <c:numRef>
              <c:f>Diagrama!$AR$27</c:f>
              <c:numCache>
                <c:formatCode>0.00</c:formatCode>
                <c:ptCount val="1"/>
                <c:pt idx="0">
                  <c:v>0.33072916666666669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E250-4AB7-85F0-9E4846E1EDB9}"/>
            </c:ext>
          </c:extLst>
        </c:ser>
        <c:ser>
          <c:idx val="77"/>
          <c:order val="77"/>
          <c:tx>
            <c:strRef>
              <c:f>Diagrama!$AS$25</c:f>
              <c:strCache>
                <c:ptCount val="1"/>
                <c:pt idx="0">
                  <c:v>44-Ponto44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43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Diagrama!$AS$26</c:f>
              <c:numCache>
                <c:formatCode>0.00</c:formatCode>
                <c:ptCount val="1"/>
                <c:pt idx="0">
                  <c:v>1.4690846544265098E-3</c:v>
                </c:pt>
              </c:numCache>
            </c:numRef>
          </c:xVal>
          <c:yVal>
            <c:numRef>
              <c:f>Diagrama!$AS$27</c:f>
              <c:numCache>
                <c:formatCode>0.00</c:formatCode>
                <c:ptCount val="1"/>
                <c:pt idx="0">
                  <c:v>0.33078880407124683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E250-4AB7-85F0-9E4846E1EDB9}"/>
            </c:ext>
          </c:extLst>
        </c:ser>
        <c:ser>
          <c:idx val="78"/>
          <c:order val="78"/>
          <c:tx>
            <c:strRef>
              <c:f>Diagrama!$AT$25</c:f>
              <c:strCache>
                <c:ptCount val="1"/>
                <c:pt idx="0">
                  <c:v>45-Ponto45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44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Diagrama!$AT$26</c:f>
              <c:numCache>
                <c:formatCode>0.00</c:formatCode>
                <c:ptCount val="1"/>
                <c:pt idx="0">
                  <c:v>1.4361946994767066E-3</c:v>
                </c:pt>
              </c:numCache>
            </c:numRef>
          </c:xVal>
          <c:yVal>
            <c:numRef>
              <c:f>Diagrama!$AT$27</c:f>
              <c:numCache>
                <c:formatCode>0.00</c:formatCode>
                <c:ptCount val="1"/>
                <c:pt idx="0">
                  <c:v>0.3308457711442786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E250-4AB7-85F0-9E4846E1EDB9}"/>
            </c:ext>
          </c:extLst>
        </c:ser>
        <c:ser>
          <c:idx val="79"/>
          <c:order val="79"/>
          <c:tx>
            <c:strRef>
              <c:f>Diagrama!$AU$25</c:f>
              <c:strCache>
                <c:ptCount val="1"/>
                <c:pt idx="0">
                  <c:v>46-Ponto46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45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Diagrama!$AU$26</c:f>
              <c:numCache>
                <c:formatCode>0.00</c:formatCode>
                <c:ptCount val="1"/>
                <c:pt idx="0">
                  <c:v>1.4047451805099726E-3</c:v>
                </c:pt>
              </c:numCache>
            </c:numRef>
          </c:xVal>
          <c:yVal>
            <c:numRef>
              <c:f>Diagrama!$AU$27</c:f>
              <c:numCache>
                <c:formatCode>0.00</c:formatCode>
                <c:ptCount val="1"/>
                <c:pt idx="0">
                  <c:v>0.33090024330900242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E250-4AB7-85F0-9E4846E1EDB9}"/>
            </c:ext>
          </c:extLst>
        </c:ser>
        <c:ser>
          <c:idx val="80"/>
          <c:order val="80"/>
          <c:tx>
            <c:strRef>
              <c:f>Diagrama!$AV$25</c:f>
              <c:strCache>
                <c:ptCount val="1"/>
                <c:pt idx="0">
                  <c:v>47-Ponto47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46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Diagrama!$AV$26</c:f>
              <c:numCache>
                <c:formatCode>0.00</c:formatCode>
                <c:ptCount val="1"/>
                <c:pt idx="0">
                  <c:v>1.3746434980705328E-3</c:v>
                </c:pt>
              </c:numCache>
            </c:numRef>
          </c:xVal>
          <c:yVal>
            <c:numRef>
              <c:f>Diagrama!$AV$27</c:f>
              <c:numCache>
                <c:formatCode>0.00</c:formatCode>
                <c:ptCount val="1"/>
                <c:pt idx="0">
                  <c:v>0.33095238095238094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E250-4AB7-85F0-9E4846E1EDB9}"/>
            </c:ext>
          </c:extLst>
        </c:ser>
        <c:ser>
          <c:idx val="81"/>
          <c:order val="81"/>
          <c:tx>
            <c:strRef>
              <c:f>Diagrama!$AW$25</c:f>
              <c:strCache>
                <c:ptCount val="1"/>
                <c:pt idx="0">
                  <c:v>48-Ponto48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47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Diagrama!$AW$26</c:f>
              <c:numCache>
                <c:formatCode>0.00</c:formatCode>
                <c:ptCount val="1"/>
                <c:pt idx="0">
                  <c:v>1.3458048232858595E-3</c:v>
                </c:pt>
              </c:numCache>
            </c:numRef>
          </c:xVal>
          <c:yVal>
            <c:numRef>
              <c:f>Diagrama!$AW$27</c:f>
              <c:numCache>
                <c:formatCode>0.00</c:formatCode>
                <c:ptCount val="1"/>
                <c:pt idx="0">
                  <c:v>0.33100233100233101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E250-4AB7-85F0-9E4846E1EDB9}"/>
            </c:ext>
          </c:extLst>
        </c:ser>
        <c:ser>
          <c:idx val="82"/>
          <c:order val="82"/>
          <c:tx>
            <c:strRef>
              <c:f>Diagrama!$AX$25</c:f>
              <c:strCache>
                <c:ptCount val="1"/>
                <c:pt idx="0">
                  <c:v>49-Ponto49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48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Diagrama!$AX$26</c:f>
              <c:numCache>
                <c:formatCode>0.00</c:formatCode>
                <c:ptCount val="1"/>
                <c:pt idx="0">
                  <c:v>1.3181512995197415E-3</c:v>
                </c:pt>
              </c:numCache>
            </c:numRef>
          </c:xVal>
          <c:yVal>
            <c:numRef>
              <c:f>Diagrama!$AX$27</c:f>
              <c:numCache>
                <c:formatCode>0.00</c:formatCode>
                <c:ptCount val="1"/>
                <c:pt idx="0">
                  <c:v>0.33105022831050229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E250-4AB7-85F0-9E4846E1EDB9}"/>
            </c:ext>
          </c:extLst>
        </c:ser>
        <c:ser>
          <c:idx val="83"/>
          <c:order val="83"/>
          <c:tx>
            <c:strRef>
              <c:f>Diagrama!$AY$25</c:f>
              <c:strCache>
                <c:ptCount val="1"/>
                <c:pt idx="0">
                  <c:v>50-Ponto50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49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Diagrama!$AY$26</c:f>
              <c:numCache>
                <c:formatCode>0.00</c:formatCode>
                <c:ptCount val="1"/>
                <c:pt idx="0">
                  <c:v>1.2916113404689809E-3</c:v>
                </c:pt>
              </c:numCache>
            </c:numRef>
          </c:xVal>
          <c:yVal>
            <c:numRef>
              <c:f>Diagrama!$AY$27</c:f>
              <c:numCache>
                <c:formatCode>0.00</c:formatCode>
                <c:ptCount val="1"/>
                <c:pt idx="0">
                  <c:v>0.33109619686800895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E250-4AB7-85F0-9E4846E1EDB9}"/>
            </c:ext>
          </c:extLst>
        </c:ser>
        <c:ser>
          <c:idx val="84"/>
          <c:order val="84"/>
          <c:tx>
            <c:strRef>
              <c:f>Diagrama!$AZ$25</c:f>
              <c:strCache>
                <c:ptCount val="1"/>
                <c:pt idx="0">
                  <c:v>51-Ponto51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50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Diagrama!$AZ$26</c:f>
              <c:numCache>
                <c:formatCode>0.00</c:formatCode>
                <c:ptCount val="1"/>
                <c:pt idx="0">
                  <c:v>1.2661190113807943E-3</c:v>
                </c:pt>
              </c:numCache>
            </c:numRef>
          </c:xVal>
          <c:yVal>
            <c:numRef>
              <c:f>Diagrama!$AZ$27</c:f>
              <c:numCache>
                <c:formatCode>0.00</c:formatCode>
                <c:ptCount val="1"/>
                <c:pt idx="0">
                  <c:v>0.33114035087719296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E250-4AB7-85F0-9E4846E1EDB9}"/>
            </c:ext>
          </c:extLst>
        </c:ser>
        <c:ser>
          <c:idx val="85"/>
          <c:order val="85"/>
          <c:tx>
            <c:strRef>
              <c:f>Diagrama!$BA$25</c:f>
              <c:strCache>
                <c:ptCount val="1"/>
                <c:pt idx="0">
                  <c:v>52-Ponto52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51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Diagrama!$BA$26</c:f>
              <c:numCache>
                <c:formatCode>0.00</c:formatCode>
                <c:ptCount val="1"/>
                <c:pt idx="0">
                  <c:v>1.241613482128252E-3</c:v>
                </c:pt>
              </c:numCache>
            </c:numRef>
          </c:xVal>
          <c:yVal>
            <c:numRef>
              <c:f>Diagrama!$BA$27</c:f>
              <c:numCache>
                <c:formatCode>0.00</c:formatCode>
                <c:ptCount val="1"/>
                <c:pt idx="0">
                  <c:v>0.33118279569892473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E250-4AB7-85F0-9E4846E1EDB9}"/>
            </c:ext>
          </c:extLst>
        </c:ser>
        <c:ser>
          <c:idx val="86"/>
          <c:order val="86"/>
          <c:tx>
            <c:strRef>
              <c:f>Diagrama!$BB$25</c:f>
              <c:strCache>
                <c:ptCount val="1"/>
                <c:pt idx="0">
                  <c:v>53-Ponto53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52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Diagrama!$BB$26</c:f>
              <c:numCache>
                <c:formatCode>0.00</c:formatCode>
                <c:ptCount val="1"/>
                <c:pt idx="0">
                  <c:v>1.2180385425941964E-3</c:v>
                </c:pt>
              </c:numCache>
            </c:numRef>
          </c:xVal>
          <c:yVal>
            <c:numRef>
              <c:f>Diagrama!$BB$27</c:f>
              <c:numCache>
                <c:formatCode>0.00</c:formatCode>
                <c:ptCount val="1"/>
                <c:pt idx="0">
                  <c:v>0.33122362869198313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E250-4AB7-85F0-9E4846E1EDB9}"/>
            </c:ext>
          </c:extLst>
        </c:ser>
        <c:ser>
          <c:idx val="87"/>
          <c:order val="87"/>
          <c:tx>
            <c:strRef>
              <c:f>Diagrama!$BC$25</c:f>
              <c:strCache>
                <c:ptCount val="1"/>
                <c:pt idx="0">
                  <c:v>54-Ponto54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53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Diagrama!$BC$26</c:f>
              <c:numCache>
                <c:formatCode>0.00</c:formatCode>
                <c:ptCount val="1"/>
                <c:pt idx="0">
                  <c:v>1.1953421722352736E-3</c:v>
                </c:pt>
              </c:numCache>
            </c:numRef>
          </c:xVal>
          <c:yVal>
            <c:numRef>
              <c:f>Diagrama!$BC$27</c:f>
              <c:numCache>
                <c:formatCode>0.00</c:formatCode>
                <c:ptCount val="1"/>
                <c:pt idx="0">
                  <c:v>0.33126293995859213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E250-4AB7-85F0-9E4846E1EDB9}"/>
            </c:ext>
          </c:extLst>
        </c:ser>
        <c:ser>
          <c:idx val="88"/>
          <c:order val="88"/>
          <c:tx>
            <c:strRef>
              <c:f>Diagrama!$BD$25</c:f>
              <c:strCache>
                <c:ptCount val="1"/>
                <c:pt idx="0">
                  <c:v>55-Ponto55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54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Diagrama!$BD$26</c:f>
              <c:numCache>
                <c:formatCode>0.00</c:formatCode>
                <c:ptCount val="1"/>
                <c:pt idx="0">
                  <c:v>1.1734761568894417E-3</c:v>
                </c:pt>
              </c:numCache>
            </c:numRef>
          </c:xVal>
          <c:yVal>
            <c:numRef>
              <c:f>Diagrama!$BD$27</c:f>
              <c:numCache>
                <c:formatCode>0.00</c:formatCode>
                <c:ptCount val="1"/>
                <c:pt idx="0">
                  <c:v>0.33130081300813008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E250-4AB7-85F0-9E4846E1EDB9}"/>
            </c:ext>
          </c:extLst>
        </c:ser>
        <c:ser>
          <c:idx val="89"/>
          <c:order val="89"/>
          <c:tx>
            <c:strRef>
              <c:f>Diagrama!$BE$25</c:f>
              <c:strCache>
                <c:ptCount val="1"/>
                <c:pt idx="0">
                  <c:v>56-Ponto56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55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Diagrama!$BE$26</c:f>
              <c:numCache>
                <c:formatCode>0.00</c:formatCode>
                <c:ptCount val="1"/>
                <c:pt idx="0">
                  <c:v>1.1523957468853828E-3</c:v>
                </c:pt>
              </c:numCache>
            </c:numRef>
          </c:xVal>
          <c:yVal>
            <c:numRef>
              <c:f>Diagrama!$BE$27</c:f>
              <c:numCache>
                <c:formatCode>0.00</c:formatCode>
                <c:ptCount val="1"/>
                <c:pt idx="0">
                  <c:v>0.33133732534930138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E250-4AB7-85F0-9E4846E1EDB9}"/>
            </c:ext>
          </c:extLst>
        </c:ser>
        <c:ser>
          <c:idx val="90"/>
          <c:order val="90"/>
          <c:tx>
            <c:strRef>
              <c:f>Diagrama!$BF$25</c:f>
              <c:strCache>
                <c:ptCount val="1"/>
                <c:pt idx="0">
                  <c:v>57-Ponto57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56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Diagrama!$BF$26</c:f>
              <c:numCache>
                <c:formatCode>0.00</c:formatCode>
                <c:ptCount val="1"/>
                <c:pt idx="0">
                  <c:v>1.1320593513522033E-3</c:v>
                </c:pt>
              </c:numCache>
            </c:numRef>
          </c:xVal>
          <c:yVal>
            <c:numRef>
              <c:f>Diagrama!$BF$27</c:f>
              <c:numCache>
                <c:formatCode>0.00</c:formatCode>
                <c:ptCount val="1"/>
                <c:pt idx="0">
                  <c:v>0.33137254901960783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E250-4AB7-85F0-9E4846E1EDB9}"/>
            </c:ext>
          </c:extLst>
        </c:ser>
        <c:ser>
          <c:idx val="91"/>
          <c:order val="91"/>
          <c:tx>
            <c:strRef>
              <c:f>Diagrama!$BG$25</c:f>
              <c:strCache>
                <c:ptCount val="1"/>
                <c:pt idx="0">
                  <c:v>58-Ponto58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57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Diagrama!$BG$26</c:f>
              <c:numCache>
                <c:formatCode>0.00</c:formatCode>
                <c:ptCount val="1"/>
                <c:pt idx="0">
                  <c:v>1.1124282643345492E-3</c:v>
                </c:pt>
              </c:numCache>
            </c:numRef>
          </c:xVal>
          <c:yVal>
            <c:numRef>
              <c:f>Diagrama!$BG$27</c:f>
              <c:numCache>
                <c:formatCode>0.00</c:formatCode>
                <c:ptCount val="1"/>
                <c:pt idx="0">
                  <c:v>0.33140655105973027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E250-4AB7-85F0-9E4846E1EDB9}"/>
            </c:ext>
          </c:extLst>
        </c:ser>
        <c:ser>
          <c:idx val="92"/>
          <c:order val="92"/>
          <c:tx>
            <c:strRef>
              <c:f>Diagrama!$BH$25</c:f>
              <c:strCache>
                <c:ptCount val="1"/>
                <c:pt idx="0">
                  <c:v>59-Ponto59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58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Diagrama!$BH$26</c:f>
              <c:numCache>
                <c:formatCode>0.00</c:formatCode>
                <c:ptCount val="1"/>
                <c:pt idx="0">
                  <c:v>1.0934664189197769E-3</c:v>
                </c:pt>
              </c:numCache>
            </c:numRef>
          </c:xVal>
          <c:yVal>
            <c:numRef>
              <c:f>Diagrama!$BH$27</c:f>
              <c:numCache>
                <c:formatCode>0.00</c:formatCode>
                <c:ptCount val="1"/>
                <c:pt idx="0">
                  <c:v>0.33143939393939392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E250-4AB7-85F0-9E4846E1EDB9}"/>
            </c:ext>
          </c:extLst>
        </c:ser>
        <c:ser>
          <c:idx val="93"/>
          <c:order val="93"/>
          <c:tx>
            <c:strRef>
              <c:f>Diagrama!$BI$25</c:f>
              <c:strCache>
                <c:ptCount val="1"/>
                <c:pt idx="0">
                  <c:v>60-Ponto60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59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Diagrama!$BI$26</c:f>
              <c:numCache>
                <c:formatCode>0.00</c:formatCode>
                <c:ptCount val="1"/>
                <c:pt idx="0">
                  <c:v>1.0751401660886555E-3</c:v>
                </c:pt>
              </c:numCache>
            </c:numRef>
          </c:xVal>
          <c:yVal>
            <c:numRef>
              <c:f>Diagrama!$BI$27</c:f>
              <c:numCache>
                <c:formatCode>0.00</c:formatCode>
                <c:ptCount val="1"/>
                <c:pt idx="0">
                  <c:v>0.33147113594040967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E250-4AB7-85F0-9E4846E1EDB9}"/>
            </c:ext>
          </c:extLst>
        </c:ser>
        <c:ser>
          <c:idx val="94"/>
          <c:order val="94"/>
          <c:tx>
            <c:strRef>
              <c:f>Diagrama!$BJ$25</c:f>
              <c:strCache>
                <c:ptCount val="1"/>
                <c:pt idx="0">
                  <c:v>61-Ponto61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60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Diagrama!$BJ$26</c:f>
              <c:numCache>
                <c:formatCode>0.00</c:formatCode>
                <c:ptCount val="1"/>
                <c:pt idx="0">
                  <c:v>1.0574180754388714E-3</c:v>
                </c:pt>
              </c:numCache>
            </c:numRef>
          </c:xVal>
          <c:yVal>
            <c:numRef>
              <c:f>Diagrama!$BJ$27</c:f>
              <c:numCache>
                <c:formatCode>0.00</c:formatCode>
                <c:ptCount val="1"/>
                <c:pt idx="0">
                  <c:v>0.33150183150183149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E250-4AB7-85F0-9E4846E1EDB9}"/>
            </c:ext>
          </c:extLst>
        </c:ser>
        <c:ser>
          <c:idx val="95"/>
          <c:order val="95"/>
          <c:tx>
            <c:strRef>
              <c:f>Diagrama!$BK$25</c:f>
              <c:strCache>
                <c:ptCount val="1"/>
                <c:pt idx="0">
                  <c:v>62-Ponto62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61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Diagrama!$BK$26</c:f>
              <c:numCache>
                <c:formatCode>0.00</c:formatCode>
                <c:ptCount val="1"/>
                <c:pt idx="0">
                  <c:v>1.0402707552966124E-3</c:v>
                </c:pt>
              </c:numCache>
            </c:numRef>
          </c:xVal>
          <c:yVal>
            <c:numRef>
              <c:f>Diagrama!$BK$27</c:f>
              <c:numCache>
                <c:formatCode>0.00</c:formatCode>
                <c:ptCount val="1"/>
                <c:pt idx="0">
                  <c:v>0.33153153153153153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E250-4AB7-85F0-9E4846E1EDB9}"/>
            </c:ext>
          </c:extLst>
        </c:ser>
        <c:ser>
          <c:idx val="96"/>
          <c:order val="96"/>
          <c:tx>
            <c:strRef>
              <c:f>Diagrama!$BL$25</c:f>
              <c:strCache>
                <c:ptCount val="1"/>
                <c:pt idx="0">
                  <c:v>63-Ponto63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62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Diagrama!$BL$26</c:f>
              <c:numCache>
                <c:formatCode>0.00</c:formatCode>
                <c:ptCount val="1"/>
                <c:pt idx="0">
                  <c:v>1.0236706900525134E-3</c:v>
                </c:pt>
              </c:numCache>
            </c:numRef>
          </c:xVal>
          <c:yVal>
            <c:numRef>
              <c:f>Diagrama!$BL$27</c:f>
              <c:numCache>
                <c:formatCode>0.00</c:formatCode>
                <c:ptCount val="1"/>
                <c:pt idx="0">
                  <c:v>0.33156028368794327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B-E250-4AB7-85F0-9E4846E1EDB9}"/>
            </c:ext>
          </c:extLst>
        </c:ser>
        <c:ser>
          <c:idx val="97"/>
          <c:order val="97"/>
          <c:tx>
            <c:strRef>
              <c:f>Diagrama!$BM$25</c:f>
              <c:strCache>
                <c:ptCount val="1"/>
                <c:pt idx="0">
                  <c:v>64-Ponto64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63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Diagrama!$BM$26</c:f>
              <c:numCache>
                <c:formatCode>0.00</c:formatCode>
                <c:ptCount val="1"/>
                <c:pt idx="0">
                  <c:v>1.0075920928265625E-3</c:v>
                </c:pt>
              </c:numCache>
            </c:numRef>
          </c:xVal>
          <c:yVal>
            <c:numRef>
              <c:f>Diagrama!$BM$27</c:f>
              <c:numCache>
                <c:formatCode>0.00</c:formatCode>
                <c:ptCount val="1"/>
                <c:pt idx="0">
                  <c:v>0.33158813263525305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C-E250-4AB7-85F0-9E4846E1EDB9}"/>
            </c:ext>
          </c:extLst>
        </c:ser>
        <c:ser>
          <c:idx val="98"/>
          <c:order val="98"/>
          <c:tx>
            <c:strRef>
              <c:f>Diagrama!$BN$25</c:f>
              <c:strCache>
                <c:ptCount val="1"/>
                <c:pt idx="0">
                  <c:v>65-Ponto65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64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Diagrama!$BN$26</c:f>
              <c:numCache>
                <c:formatCode>0.00</c:formatCode>
                <c:ptCount val="1"/>
                <c:pt idx="0">
                  <c:v>9.9201077180347723E-4</c:v>
                </c:pt>
              </c:numCache>
            </c:numRef>
          </c:xVal>
          <c:yVal>
            <c:numRef>
              <c:f>Diagrama!$BN$27</c:f>
              <c:numCache>
                <c:formatCode>0.00</c:formatCode>
                <c:ptCount val="1"/>
                <c:pt idx="0">
                  <c:v>0.33161512027491408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E250-4AB7-85F0-9E4846E1EDB9}"/>
            </c:ext>
          </c:extLst>
        </c:ser>
        <c:ser>
          <c:idx val="99"/>
          <c:order val="99"/>
          <c:tx>
            <c:strRef>
              <c:f>Diagrama!$BO$25</c:f>
              <c:strCache>
                <c:ptCount val="1"/>
                <c:pt idx="0">
                  <c:v>66-Ponto66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65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Diagrama!$BO$26</c:f>
              <c:numCache>
                <c:formatCode>0.00</c:formatCode>
                <c:ptCount val="1"/>
                <c:pt idx="0">
                  <c:v>9.7690400878107419E-4</c:v>
                </c:pt>
              </c:numCache>
            </c:numRef>
          </c:xVal>
          <c:yVal>
            <c:numRef>
              <c:f>Diagrama!$BO$27</c:f>
              <c:numCache>
                <c:formatCode>0.00</c:formatCode>
                <c:ptCount val="1"/>
                <c:pt idx="0">
                  <c:v>0.33164128595600678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E250-4AB7-85F0-9E4846E1EDB9}"/>
            </c:ext>
          </c:extLst>
        </c:ser>
        <c:ser>
          <c:idx val="100"/>
          <c:order val="100"/>
          <c:tx>
            <c:strRef>
              <c:f>Diagrama!$BP$25</c:f>
              <c:strCache>
                <c:ptCount val="1"/>
                <c:pt idx="0">
                  <c:v>67-Ponto67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66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Diagrama!$BP$26</c:f>
              <c:numCache>
                <c:formatCode>0.00</c:formatCode>
                <c:ptCount val="1"/>
                <c:pt idx="0">
                  <c:v>9.6225044864939855E-4</c:v>
                </c:pt>
              </c:numCache>
            </c:numRef>
          </c:xVal>
          <c:yVal>
            <c:numRef>
              <c:f>Diagrama!$BP$27</c:f>
              <c:numCache>
                <c:formatCode>0.00</c:formatCode>
                <c:ptCount val="1"/>
                <c:pt idx="0">
                  <c:v>0.33166666666666667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E250-4AB7-85F0-9E4846E1EDB9}"/>
            </c:ext>
          </c:extLst>
        </c:ser>
        <c:ser>
          <c:idx val="101"/>
          <c:order val="101"/>
          <c:tx>
            <c:strRef>
              <c:f>Diagrama!$BQ$25</c:f>
              <c:strCache>
                <c:ptCount val="1"/>
                <c:pt idx="0">
                  <c:v>68-Ponto68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67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Diagrama!$BQ$26</c:f>
              <c:numCache>
                <c:formatCode>0.00</c:formatCode>
                <c:ptCount val="1"/>
                <c:pt idx="0">
                  <c:v>9.4802999866927106E-4</c:v>
                </c:pt>
              </c:numCache>
            </c:numRef>
          </c:xVal>
          <c:yVal>
            <c:numRef>
              <c:f>Diagrama!$BQ$27</c:f>
              <c:numCache>
                <c:formatCode>0.00</c:formatCode>
                <c:ptCount val="1"/>
                <c:pt idx="0">
                  <c:v>0.33169129720853857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0-E250-4AB7-85F0-9E4846E1EDB9}"/>
            </c:ext>
          </c:extLst>
        </c:ser>
        <c:ser>
          <c:idx val="102"/>
          <c:order val="102"/>
          <c:tx>
            <c:strRef>
              <c:f>Diagrama!$BR$25</c:f>
              <c:strCache>
                <c:ptCount val="1"/>
                <c:pt idx="0">
                  <c:v>69-Ponto69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68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Diagrama!$BR$26</c:f>
              <c:numCache>
                <c:formatCode>0.00</c:formatCode>
                <c:ptCount val="1"/>
                <c:pt idx="0">
                  <c:v>9.3422373655274943E-4</c:v>
                </c:pt>
              </c:numCache>
            </c:numRef>
          </c:xVal>
          <c:yVal>
            <c:numRef>
              <c:f>Diagrama!$BR$27</c:f>
              <c:numCache>
                <c:formatCode>0.00</c:formatCode>
                <c:ptCount val="1"/>
                <c:pt idx="0">
                  <c:v>0.33171521035598706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1-E250-4AB7-85F0-9E4846E1EDB9}"/>
            </c:ext>
          </c:extLst>
        </c:ser>
        <c:ser>
          <c:idx val="103"/>
          <c:order val="103"/>
          <c:tx>
            <c:strRef>
              <c:f>Diagrama!$BS$25</c:f>
              <c:strCache>
                <c:ptCount val="1"/>
                <c:pt idx="0">
                  <c:v>70-Ponto70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69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Diagrama!$BS$26</c:f>
              <c:numCache>
                <c:formatCode>0.00</c:formatCode>
                <c:ptCount val="1"/>
                <c:pt idx="0">
                  <c:v>9.2081382645875954E-4</c:v>
                </c:pt>
              </c:numCache>
            </c:numRef>
          </c:xVal>
          <c:yVal>
            <c:numRef>
              <c:f>Diagrama!$BS$27</c:f>
              <c:numCache>
                <c:formatCode>0.00</c:formatCode>
                <c:ptCount val="1"/>
                <c:pt idx="0">
                  <c:v>0.33173843700159489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E250-4AB7-85F0-9E4846E1EDB9}"/>
            </c:ext>
          </c:extLst>
        </c:ser>
        <c:ser>
          <c:idx val="104"/>
          <c:order val="104"/>
          <c:tx>
            <c:strRef>
              <c:f>Diagrama!$BT$25</c:f>
              <c:strCache>
                <c:ptCount val="1"/>
                <c:pt idx="0">
                  <c:v>71-Ponto71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70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Diagrama!$BT$26</c:f>
              <c:numCache>
                <c:formatCode>0.00</c:formatCode>
                <c:ptCount val="1"/>
                <c:pt idx="0">
                  <c:v>9.0778344212202086E-4</c:v>
                </c:pt>
              </c:numCache>
            </c:numRef>
          </c:xVal>
          <c:yVal>
            <c:numRef>
              <c:f>Diagrama!$BT$27</c:f>
              <c:numCache>
                <c:formatCode>0.00</c:formatCode>
                <c:ptCount val="1"/>
                <c:pt idx="0">
                  <c:v>0.33176100628930816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E250-4AB7-85F0-9E4846E1EDB9}"/>
            </c:ext>
          </c:extLst>
        </c:ser>
        <c:ser>
          <c:idx val="105"/>
          <c:order val="105"/>
          <c:tx>
            <c:strRef>
              <c:f>Diagrama!$BU$25</c:f>
              <c:strCache>
                <c:ptCount val="1"/>
                <c:pt idx="0">
                  <c:v>72-Ponto72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71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Diagrama!$BU$26</c:f>
              <c:numCache>
                <c:formatCode>0.00</c:formatCode>
                <c:ptCount val="1"/>
                <c:pt idx="0">
                  <c:v>8.9511669641800047E-4</c:v>
                </c:pt>
              </c:numCache>
            </c:numRef>
          </c:xVal>
          <c:yVal>
            <c:numRef>
              <c:f>Diagrama!$BU$27</c:f>
              <c:numCache>
                <c:formatCode>0.00</c:formatCode>
                <c:ptCount val="1"/>
                <c:pt idx="0">
                  <c:v>0.33178294573643413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E250-4AB7-85F0-9E4846E1EDB9}"/>
            </c:ext>
          </c:extLst>
        </c:ser>
        <c:ser>
          <c:idx val="106"/>
          <c:order val="106"/>
          <c:tx>
            <c:strRef>
              <c:f>Diagrama!$BV$25</c:f>
              <c:strCache>
                <c:ptCount val="1"/>
                <c:pt idx="0">
                  <c:v>73-Ponto73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72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Diagrama!$BV$26</c:f>
              <c:numCache>
                <c:formatCode>0.00</c:formatCode>
                <c:ptCount val="1"/>
                <c:pt idx="0">
                  <c:v>8.8279857674252045E-4</c:v>
                </c:pt>
              </c:numCache>
            </c:numRef>
          </c:xVal>
          <c:yVal>
            <c:numRef>
              <c:f>Diagrama!$BV$27</c:f>
              <c:numCache>
                <c:formatCode>0.00</c:formatCode>
                <c:ptCount val="1"/>
                <c:pt idx="0">
                  <c:v>0.33180428134556578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E250-4AB7-85F0-9E4846E1EDB9}"/>
            </c:ext>
          </c:extLst>
        </c:ser>
        <c:ser>
          <c:idx val="107"/>
          <c:order val="107"/>
          <c:tx>
            <c:strRef>
              <c:f>Diagrama!$BW$25</c:f>
              <c:strCache>
                <c:ptCount val="1"/>
                <c:pt idx="0">
                  <c:v>74-Ponto74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73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Diagrama!$BW$26</c:f>
              <c:numCache>
                <c:formatCode>0.00</c:formatCode>
                <c:ptCount val="1"/>
                <c:pt idx="0">
                  <c:v>8.7081488565554112E-4</c:v>
                </c:pt>
              </c:numCache>
            </c:numRef>
          </c:xVal>
          <c:yVal>
            <c:numRef>
              <c:f>Diagrama!$BW$27</c:f>
              <c:numCache>
                <c:formatCode>0.00</c:formatCode>
                <c:ptCount val="1"/>
                <c:pt idx="0">
                  <c:v>0.33182503770739064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6-E250-4AB7-85F0-9E4846E1EDB9}"/>
            </c:ext>
          </c:extLst>
        </c:ser>
        <c:ser>
          <c:idx val="108"/>
          <c:order val="108"/>
          <c:tx>
            <c:strRef>
              <c:f>Diagrama!$BX$25</c:f>
              <c:strCache>
                <c:ptCount val="1"/>
                <c:pt idx="0">
                  <c:v>75-Ponto75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74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Diagrama!$BX$26</c:f>
              <c:numCache>
                <c:formatCode>0.00</c:formatCode>
                <c:ptCount val="1"/>
                <c:pt idx="0">
                  <c:v>8.5915218629401891E-4</c:v>
                </c:pt>
              </c:numCache>
            </c:numRef>
          </c:xVal>
          <c:yVal>
            <c:numRef>
              <c:f>Diagrama!$BX$27</c:f>
              <c:numCache>
                <c:formatCode>0.00</c:formatCode>
                <c:ptCount val="1"/>
                <c:pt idx="0">
                  <c:v>0.33184523809523808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7-E250-4AB7-85F0-9E4846E1EDB9}"/>
            </c:ext>
          </c:extLst>
        </c:ser>
        <c:ser>
          <c:idx val="109"/>
          <c:order val="109"/>
          <c:tx>
            <c:strRef>
              <c:f>Diagrama!$BY$25</c:f>
              <c:strCache>
                <c:ptCount val="1"/>
                <c:pt idx="0">
                  <c:v>76-Ponto76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75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Diagrama!$BY$26</c:f>
              <c:numCache>
                <c:formatCode>0.00</c:formatCode>
                <c:ptCount val="1"/>
                <c:pt idx="0">
                  <c:v>8.4779775211399453E-4</c:v>
                </c:pt>
              </c:numCache>
            </c:numRef>
          </c:xVal>
          <c:yVal>
            <c:numRef>
              <c:f>Diagrama!$BY$27</c:f>
              <c:numCache>
                <c:formatCode>0.00</c:formatCode>
                <c:ptCount val="1"/>
                <c:pt idx="0">
                  <c:v>0.33186490455212925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8-E250-4AB7-85F0-9E4846E1EDB9}"/>
            </c:ext>
          </c:extLst>
        </c:ser>
        <c:ser>
          <c:idx val="110"/>
          <c:order val="110"/>
          <c:tx>
            <c:strRef>
              <c:f>Diagrama!$BZ$25</c:f>
              <c:strCache>
                <c:ptCount val="1"/>
                <c:pt idx="0">
                  <c:v>77-Ponto77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76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Diagrama!$BZ$26</c:f>
              <c:numCache>
                <c:formatCode>0.00</c:formatCode>
                <c:ptCount val="1"/>
                <c:pt idx="0">
                  <c:v>8.3673952056462751E-4</c:v>
                </c:pt>
              </c:numCache>
            </c:numRef>
          </c:xVal>
          <c:yVal>
            <c:numRef>
              <c:f>Diagrama!$BZ$27</c:f>
              <c:numCache>
                <c:formatCode>0.00</c:formatCode>
                <c:ptCount val="1"/>
                <c:pt idx="0">
                  <c:v>0.3318840579710145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9-E250-4AB7-85F0-9E4846E1EDB9}"/>
            </c:ext>
          </c:extLst>
        </c:ser>
        <c:ser>
          <c:idx val="111"/>
          <c:order val="111"/>
          <c:tx>
            <c:strRef>
              <c:f>Diagrama!$CA$25</c:f>
              <c:strCache>
                <c:ptCount val="1"/>
                <c:pt idx="0">
                  <c:v>78-Ponto78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77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Diagrama!$CA$26</c:f>
              <c:numCache>
                <c:formatCode>0.00</c:formatCode>
                <c:ptCount val="1"/>
                <c:pt idx="0">
                  <c:v>8.2596605034278628E-4</c:v>
                </c:pt>
              </c:numCache>
            </c:numRef>
          </c:xVal>
          <c:yVal>
            <c:numRef>
              <c:f>Diagrama!$CA$27</c:f>
              <c:numCache>
                <c:formatCode>0.00</c:formatCode>
                <c:ptCount val="1"/>
                <c:pt idx="0">
                  <c:v>0.33190271816881262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A-E250-4AB7-85F0-9E4846E1EDB9}"/>
            </c:ext>
          </c:extLst>
        </c:ser>
        <c:ser>
          <c:idx val="112"/>
          <c:order val="112"/>
          <c:tx>
            <c:strRef>
              <c:f>Diagrama!$CB$25</c:f>
              <c:strCache>
                <c:ptCount val="1"/>
                <c:pt idx="0">
                  <c:v>79-Ponto79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78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Diagrama!$CB$26</c:f>
              <c:numCache>
                <c:formatCode>0.00</c:formatCode>
                <c:ptCount val="1"/>
                <c:pt idx="0">
                  <c:v>8.1546648190629172E-4</c:v>
                </c:pt>
              </c:numCache>
            </c:numRef>
          </c:xVal>
          <c:yVal>
            <c:numRef>
              <c:f>Diagrama!$CB$27</c:f>
              <c:numCache>
                <c:formatCode>0.00</c:formatCode>
                <c:ptCount val="1"/>
                <c:pt idx="0">
                  <c:v>0.33192090395480228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B-E250-4AB7-85F0-9E4846E1EDB9}"/>
            </c:ext>
          </c:extLst>
        </c:ser>
        <c:ser>
          <c:idx val="113"/>
          <c:order val="113"/>
          <c:tx>
            <c:strRef>
              <c:f>Diagrama!$CC$25</c:f>
              <c:strCache>
                <c:ptCount val="1"/>
                <c:pt idx="0">
                  <c:v>80-Ponto80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79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Diagrama!$CC$26</c:f>
              <c:numCache>
                <c:formatCode>0.00</c:formatCode>
                <c:ptCount val="1"/>
                <c:pt idx="0">
                  <c:v>8.0523050096172717E-4</c:v>
                </c:pt>
              </c:numCache>
            </c:numRef>
          </c:xVal>
          <c:yVal>
            <c:numRef>
              <c:f>Diagrama!$CC$27</c:f>
              <c:numCache>
                <c:formatCode>0.00</c:formatCode>
                <c:ptCount val="1"/>
                <c:pt idx="0">
                  <c:v>0.3319386331938633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C-E250-4AB7-85F0-9E4846E1EDB9}"/>
            </c:ext>
          </c:extLst>
        </c:ser>
        <c:ser>
          <c:idx val="114"/>
          <c:order val="114"/>
          <c:tx>
            <c:strRef>
              <c:f>Diagrama!$CD$25</c:f>
              <c:strCache>
                <c:ptCount val="1"/>
                <c:pt idx="0">
                  <c:v>81-Ponto81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80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Diagrama!$CD$26</c:f>
              <c:numCache>
                <c:formatCode>0.00</c:formatCode>
                <c:ptCount val="1"/>
                <c:pt idx="0">
                  <c:v>7.9524830466888206E-4</c:v>
                </c:pt>
              </c:numCache>
            </c:numRef>
          </c:xVal>
          <c:yVal>
            <c:numRef>
              <c:f>Diagrama!$CD$27</c:f>
              <c:numCache>
                <c:formatCode>0.00</c:formatCode>
                <c:ptCount val="1"/>
                <c:pt idx="0">
                  <c:v>0.3319559228650138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D-E250-4AB7-85F0-9E4846E1EDB9}"/>
            </c:ext>
          </c:extLst>
        </c:ser>
        <c:ser>
          <c:idx val="115"/>
          <c:order val="115"/>
          <c:tx>
            <c:strRef>
              <c:f>Diagrama!$CE$25</c:f>
              <c:strCache>
                <c:ptCount val="1"/>
                <c:pt idx="0">
                  <c:v>82-Ponto82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81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Diagrama!$CE$26</c:f>
              <c:numCache>
                <c:formatCode>0.00</c:formatCode>
                <c:ptCount val="1"/>
                <c:pt idx="0">
                  <c:v>7.8551057032607359E-4</c:v>
                </c:pt>
              </c:numCache>
            </c:numRef>
          </c:xVal>
          <c:yVal>
            <c:numRef>
              <c:f>Diagrama!$CE$27</c:f>
              <c:numCache>
                <c:formatCode>0.00</c:formatCode>
                <c:ptCount val="1"/>
                <c:pt idx="0">
                  <c:v>0.33197278911564626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E-E250-4AB7-85F0-9E4846E1EDB9}"/>
            </c:ext>
          </c:extLst>
        </c:ser>
        <c:ser>
          <c:idx val="116"/>
          <c:order val="116"/>
          <c:tx>
            <c:strRef>
              <c:f>Diagrama!$CF$25</c:f>
              <c:strCache>
                <c:ptCount val="1"/>
                <c:pt idx="0">
                  <c:v>83-Ponto83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82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Diagrama!$CF$26</c:f>
              <c:numCache>
                <c:formatCode>0.00</c:formatCode>
                <c:ptCount val="1"/>
                <c:pt idx="0">
                  <c:v>7.7600842633007738E-4</c:v>
                </c:pt>
              </c:numCache>
            </c:numRef>
          </c:xVal>
          <c:yVal>
            <c:numRef>
              <c:f>Diagrama!$CF$27</c:f>
              <c:numCache>
                <c:formatCode>0.00</c:formatCode>
                <c:ptCount val="1"/>
                <c:pt idx="0">
                  <c:v>0.33198924731182794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F-E250-4AB7-85F0-9E4846E1EDB9}"/>
            </c:ext>
          </c:extLst>
        </c:ser>
        <c:ser>
          <c:idx val="117"/>
          <c:order val="117"/>
          <c:tx>
            <c:strRef>
              <c:f>Diagrama!$CG$25</c:f>
              <c:strCache>
                <c:ptCount val="1"/>
                <c:pt idx="0">
                  <c:v>84-Ponto84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83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Diagrama!$CG$26</c:f>
              <c:numCache>
                <c:formatCode>0.00</c:formatCode>
                <c:ptCount val="1"/>
                <c:pt idx="0">
                  <c:v>7.6673342521862585E-4</c:v>
                </c:pt>
              </c:numCache>
            </c:numRef>
          </c:xVal>
          <c:yVal>
            <c:numRef>
              <c:f>Diagrama!$CG$27</c:f>
              <c:numCache>
                <c:formatCode>0.00</c:formatCode>
                <c:ptCount val="1"/>
                <c:pt idx="0">
                  <c:v>0.33200531208499334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0-E250-4AB7-85F0-9E4846E1EDB9}"/>
            </c:ext>
          </c:extLst>
        </c:ser>
        <c:ser>
          <c:idx val="118"/>
          <c:order val="118"/>
          <c:tx>
            <c:strRef>
              <c:f>Diagrama!$CH$25</c:f>
              <c:strCache>
                <c:ptCount val="1"/>
                <c:pt idx="0">
                  <c:v>85-Ponto85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84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Diagrama!$CH$26</c:f>
              <c:numCache>
                <c:formatCode>0.00</c:formatCode>
                <c:ptCount val="1"/>
                <c:pt idx="0">
                  <c:v>7.5767751862164032E-4</c:v>
                </c:pt>
              </c:numCache>
            </c:numRef>
          </c:xVal>
          <c:yVal>
            <c:numRef>
              <c:f>Diagrama!$CH$27</c:f>
              <c:numCache>
                <c:formatCode>0.00</c:formatCode>
                <c:ptCount val="1"/>
                <c:pt idx="0">
                  <c:v>0.33202099737532809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1-E250-4AB7-85F0-9E4846E1EDB9}"/>
            </c:ext>
          </c:extLst>
        </c:ser>
        <c:ser>
          <c:idx val="119"/>
          <c:order val="119"/>
          <c:tx>
            <c:strRef>
              <c:f>Diagrama!$CI$25</c:f>
              <c:strCache>
                <c:ptCount val="1"/>
                <c:pt idx="0">
                  <c:v>86-Ponto86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85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Diagrama!$CI$26</c:f>
              <c:numCache>
                <c:formatCode>0.00</c:formatCode>
                <c:ptCount val="1"/>
                <c:pt idx="0">
                  <c:v>7.4883303396838363E-4</c:v>
                </c:pt>
              </c:numCache>
            </c:numRef>
          </c:xVal>
          <c:yVal>
            <c:numRef>
              <c:f>Diagrama!$CI$27</c:f>
              <c:numCache>
                <c:formatCode>0.00</c:formatCode>
                <c:ptCount val="1"/>
                <c:pt idx="0">
                  <c:v>0.33203631647211412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2-E250-4AB7-85F0-9E4846E1EDB9}"/>
            </c:ext>
          </c:extLst>
        </c:ser>
        <c:ser>
          <c:idx val="120"/>
          <c:order val="120"/>
          <c:tx>
            <c:strRef>
              <c:f>Diagrama!$CJ$25</c:f>
              <c:strCache>
                <c:ptCount val="1"/>
                <c:pt idx="0">
                  <c:v>87-Ponto87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86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Diagrama!$CJ$26</c:f>
              <c:numCache>
                <c:formatCode>0.00</c:formatCode>
                <c:ptCount val="1"/>
                <c:pt idx="0">
                  <c:v>7.4019265280720996E-4</c:v>
                </c:pt>
              </c:numCache>
            </c:numRef>
          </c:xVal>
          <c:yVal>
            <c:numRef>
              <c:f>Diagrama!$CJ$27</c:f>
              <c:numCache>
                <c:formatCode>0.00</c:formatCode>
                <c:ptCount val="1"/>
                <c:pt idx="0">
                  <c:v>0.33205128205128204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3-E250-4AB7-85F0-9E4846E1EDB9}"/>
            </c:ext>
          </c:extLst>
        </c:ser>
        <c:ser>
          <c:idx val="121"/>
          <c:order val="121"/>
          <c:tx>
            <c:strRef>
              <c:f>Diagrama!$CK$25</c:f>
              <c:strCache>
                <c:ptCount val="1"/>
                <c:pt idx="0">
                  <c:v>88-Ponto88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87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Diagrama!$CK$26</c:f>
              <c:numCache>
                <c:formatCode>0.00</c:formatCode>
                <c:ptCount val="1"/>
                <c:pt idx="0">
                  <c:v>7.3174939060791837E-4</c:v>
                </c:pt>
              </c:numCache>
            </c:numRef>
          </c:xVal>
          <c:yVal>
            <c:numRef>
              <c:f>Diagrama!$CK$27</c:f>
              <c:numCache>
                <c:formatCode>0.00</c:formatCode>
                <c:ptCount val="1"/>
                <c:pt idx="0">
                  <c:v>0.33206590621039289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4-E250-4AB7-85F0-9E4846E1EDB9}"/>
            </c:ext>
          </c:extLst>
        </c:ser>
        <c:ser>
          <c:idx val="122"/>
          <c:order val="122"/>
          <c:tx>
            <c:strRef>
              <c:f>Diagrama!$CL$25</c:f>
              <c:strCache>
                <c:ptCount val="1"/>
                <c:pt idx="0">
                  <c:v>89-Ponto89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88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Diagrama!$CL$26</c:f>
              <c:numCache>
                <c:formatCode>0.00</c:formatCode>
                <c:ptCount val="1"/>
                <c:pt idx="0">
                  <c:v>7.2349657793184584E-4</c:v>
                </c:pt>
              </c:numCache>
            </c:numRef>
          </c:xVal>
          <c:yVal>
            <c:numRef>
              <c:f>Diagrama!$CL$27</c:f>
              <c:numCache>
                <c:formatCode>0.00</c:formatCode>
                <c:ptCount val="1"/>
                <c:pt idx="0">
                  <c:v>0.33208020050125314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5-E250-4AB7-85F0-9E4846E1EDB9}"/>
            </c:ext>
          </c:extLst>
        </c:ser>
        <c:ser>
          <c:idx val="123"/>
          <c:order val="123"/>
          <c:tx>
            <c:strRef>
              <c:f>Diagrama!$CM$25</c:f>
              <c:strCache>
                <c:ptCount val="1"/>
                <c:pt idx="0">
                  <c:v>90-Ponto90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89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Diagrama!$CM$26</c:f>
              <c:numCache>
                <c:formatCode>0.00</c:formatCode>
                <c:ptCount val="1"/>
                <c:pt idx="0">
                  <c:v>7.1542784286201351E-4</c:v>
                </c:pt>
              </c:numCache>
            </c:numRef>
          </c:xVal>
          <c:yVal>
            <c:numRef>
              <c:f>Diagrama!$CM$27</c:f>
              <c:numCache>
                <c:formatCode>0.00</c:formatCode>
                <c:ptCount val="1"/>
                <c:pt idx="0">
                  <c:v>0.33209417596034696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6-E250-4AB7-85F0-9E4846E1EDB9}"/>
            </c:ext>
          </c:extLst>
        </c:ser>
        <c:ser>
          <c:idx val="124"/>
          <c:order val="124"/>
          <c:tx>
            <c:strRef>
              <c:f>Diagrama!$CN$25</c:f>
              <c:strCache>
                <c:ptCount val="1"/>
                <c:pt idx="0">
                  <c:v>91-Ponto91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Diagrama!$CN$26</c:f>
              <c:numCache>
                <c:formatCode>0.00</c:formatCode>
                <c:ptCount val="1"/>
                <c:pt idx="0">
                  <c:v>7.0753709459512714E-4</c:v>
                </c:pt>
              </c:numCache>
            </c:numRef>
          </c:xVal>
          <c:yVal>
            <c:numRef>
              <c:f>Diagrama!$CN$27</c:f>
              <c:numCache>
                <c:formatCode>0.00</c:formatCode>
                <c:ptCount val="1"/>
                <c:pt idx="0">
                  <c:v>0.33210784313725489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7-E250-4AB7-85F0-9E4846E1EDB9}"/>
            </c:ext>
          </c:extLst>
        </c:ser>
        <c:ser>
          <c:idx val="125"/>
          <c:order val="125"/>
          <c:tx>
            <c:strRef>
              <c:f>Diagrama!$CO$25</c:f>
              <c:strCache>
                <c:ptCount val="1"/>
                <c:pt idx="0">
                  <c:v>92-Ponto92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91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Diagrama!$CO$26</c:f>
              <c:numCache>
                <c:formatCode>0.00</c:formatCode>
                <c:ptCount val="1"/>
                <c:pt idx="0">
                  <c:v>6.998185081086418E-4</c:v>
                </c:pt>
              </c:numCache>
            </c:numRef>
          </c:xVal>
          <c:yVal>
            <c:numRef>
              <c:f>Diagrama!$CO$27</c:f>
              <c:numCache>
                <c:formatCode>0.00</c:formatCode>
                <c:ptCount val="1"/>
                <c:pt idx="0">
                  <c:v>0.33212121212121209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8-E250-4AB7-85F0-9E4846E1EDB9}"/>
            </c:ext>
          </c:extLst>
        </c:ser>
        <c:ser>
          <c:idx val="126"/>
          <c:order val="126"/>
          <c:tx>
            <c:strRef>
              <c:f>Diagrama!$CP$25</c:f>
              <c:strCache>
                <c:ptCount val="1"/>
                <c:pt idx="0">
                  <c:v>93-Ponto93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92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Diagrama!$CP$26</c:f>
              <c:numCache>
                <c:formatCode>0.00</c:formatCode>
                <c:ptCount val="1"/>
                <c:pt idx="0">
                  <c:v>6.9226650981969089E-4</c:v>
                </c:pt>
              </c:numCache>
            </c:numRef>
          </c:xVal>
          <c:yVal>
            <c:numRef>
              <c:f>Diagrama!$CP$27</c:f>
              <c:numCache>
                <c:formatCode>0.00</c:formatCode>
                <c:ptCount val="1"/>
                <c:pt idx="0">
                  <c:v>0.33213429256594723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9-E250-4AB7-85F0-9E4846E1EDB9}"/>
            </c:ext>
          </c:extLst>
        </c:ser>
        <c:ser>
          <c:idx val="127"/>
          <c:order val="127"/>
          <c:tx>
            <c:strRef>
              <c:f>Diagrama!$CQ$25</c:f>
              <c:strCache>
                <c:ptCount val="1"/>
                <c:pt idx="0">
                  <c:v>94-Ponto94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93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Diagrama!$CQ$26</c:f>
              <c:numCache>
                <c:formatCode>0.00</c:formatCode>
                <c:ptCount val="1"/>
                <c:pt idx="0">
                  <c:v>6.8487576416319089E-4</c:v>
                </c:pt>
              </c:numCache>
            </c:numRef>
          </c:xVal>
          <c:yVal>
            <c:numRef>
              <c:f>Diagrama!$CQ$27</c:f>
              <c:numCache>
                <c:formatCode>0.00</c:formatCode>
                <c:ptCount val="1"/>
                <c:pt idx="0">
                  <c:v>0.33214709371293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A-E250-4AB7-85F0-9E4846E1EDB9}"/>
            </c:ext>
          </c:extLst>
        </c:ser>
        <c:ser>
          <c:idx val="128"/>
          <c:order val="128"/>
          <c:tx>
            <c:strRef>
              <c:f>Diagrama!$CR$25</c:f>
              <c:strCache>
                <c:ptCount val="1"/>
                <c:pt idx="0">
                  <c:v>95-Ponto95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Diagrama!$CR$26</c:f>
              <c:numCache>
                <c:formatCode>0.00</c:formatCode>
                <c:ptCount val="1"/>
                <c:pt idx="0">
                  <c:v>6.7764116102066532E-4</c:v>
                </c:pt>
              </c:numCache>
            </c:numRef>
          </c:xVal>
          <c:yVal>
            <c:numRef>
              <c:f>Diagrama!$CR$27</c:f>
              <c:numCache>
                <c:formatCode>0.00</c:formatCode>
                <c:ptCount val="1"/>
                <c:pt idx="0">
                  <c:v>0.33215962441314556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B-E250-4AB7-85F0-9E4846E1EDB9}"/>
            </c:ext>
          </c:extLst>
        </c:ser>
        <c:ser>
          <c:idx val="129"/>
          <c:order val="129"/>
          <c:tx>
            <c:strRef>
              <c:f>Diagrama!$CS$25</c:f>
              <c:strCache>
                <c:ptCount val="1"/>
                <c:pt idx="0">
                  <c:v>96-Ponto96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Diagrama!$CS$26</c:f>
              <c:numCache>
                <c:formatCode>0.00</c:formatCode>
                <c:ptCount val="1"/>
                <c:pt idx="0">
                  <c:v>6.7055780393684213E-4</c:v>
                </c:pt>
              </c:numCache>
            </c:numRef>
          </c:xVal>
          <c:yVal>
            <c:numRef>
              <c:f>Diagrama!$CS$27</c:f>
              <c:numCache>
                <c:formatCode>0.00</c:formatCode>
                <c:ptCount val="1"/>
                <c:pt idx="0">
                  <c:v>0.33217189314750289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C-E250-4AB7-85F0-9E4846E1EDB9}"/>
            </c:ext>
          </c:extLst>
        </c:ser>
        <c:ser>
          <c:idx val="130"/>
          <c:order val="130"/>
          <c:tx>
            <c:strRef>
              <c:f>Diagrama!$CT$25</c:f>
              <c:strCache>
                <c:ptCount val="1"/>
                <c:pt idx="0">
                  <c:v>97-Ponto97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Diagrama!$CT$26</c:f>
              <c:numCache>
                <c:formatCode>0.00</c:formatCode>
                <c:ptCount val="1"/>
                <c:pt idx="0">
                  <c:v>6.6362099906851538E-4</c:v>
                </c:pt>
              </c:numCache>
            </c:numRef>
          </c:xVal>
          <c:yVal>
            <c:numRef>
              <c:f>Diagrama!$CT$27</c:f>
              <c:numCache>
                <c:formatCode>0.00</c:formatCode>
                <c:ptCount val="1"/>
                <c:pt idx="0">
                  <c:v>0.33218390804597703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D-E250-4AB7-85F0-9E4846E1EDB9}"/>
            </c:ext>
          </c:extLst>
        </c:ser>
        <c:ser>
          <c:idx val="131"/>
          <c:order val="131"/>
          <c:tx>
            <c:strRef>
              <c:f>Diagrama!$CU$25</c:f>
              <c:strCache>
                <c:ptCount val="1"/>
                <c:pt idx="0">
                  <c:v>98-Ponto98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Diagrama!$CU$26</c:f>
              <c:numCache>
                <c:formatCode>0.00</c:formatCode>
                <c:ptCount val="1"/>
                <c:pt idx="0">
                  <c:v>6.5682624481182804E-4</c:v>
                </c:pt>
              </c:numCache>
            </c:numRef>
          </c:xVal>
          <c:yVal>
            <c:numRef>
              <c:f>Diagrama!$CU$27</c:f>
              <c:numCache>
                <c:formatCode>0.00</c:formatCode>
                <c:ptCount val="1"/>
                <c:pt idx="0">
                  <c:v>0.3321956769055745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E-E250-4AB7-85F0-9E4846E1EDB9}"/>
            </c:ext>
          </c:extLst>
        </c:ser>
        <c:ser>
          <c:idx val="132"/>
          <c:order val="132"/>
          <c:tx>
            <c:strRef>
              <c:f>Diagrama!$CV$25</c:f>
              <c:strCache>
                <c:ptCount val="1"/>
                <c:pt idx="0">
                  <c:v>99-Ponto99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Diagrama!$CV$26</c:f>
              <c:numCache>
                <c:formatCode>0.00</c:formatCode>
                <c:ptCount val="1"/>
                <c:pt idx="0">
                  <c:v>6.5016922206041479E-4</c:v>
                </c:pt>
              </c:numCache>
            </c:numRef>
          </c:xVal>
          <c:yVal>
            <c:numRef>
              <c:f>Diagrama!$CV$27</c:f>
              <c:numCache>
                <c:formatCode>0.00</c:formatCode>
                <c:ptCount val="1"/>
                <c:pt idx="0">
                  <c:v>0.3322072072072072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F-E250-4AB7-85F0-9E4846E1EDB9}"/>
            </c:ext>
          </c:extLst>
        </c:ser>
        <c:ser>
          <c:idx val="133"/>
          <c:order val="133"/>
          <c:tx>
            <c:strRef>
              <c:f>Diagrama!$CW$25</c:f>
              <c:strCache>
                <c:ptCount val="1"/>
                <c:pt idx="0">
                  <c:v>100-Ponto100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Diagrama!$CW$26</c:f>
              <c:numCache>
                <c:formatCode>0.00</c:formatCode>
                <c:ptCount val="1"/>
                <c:pt idx="0">
                  <c:v>6.4364578504979241E-4</c:v>
                </c:pt>
              </c:numCache>
            </c:numRef>
          </c:xVal>
          <c:yVal>
            <c:numRef>
              <c:f>Diagrama!$CW$27</c:f>
              <c:numCache>
                <c:formatCode>0.00</c:formatCode>
                <c:ptCount val="1"/>
                <c:pt idx="0">
                  <c:v>0.33221850613154963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0-E250-4AB7-85F0-9E4846E1EDB9}"/>
            </c:ext>
          </c:extLst>
        </c:ser>
        <c:ser>
          <c:idx val="134"/>
          <c:order val="134"/>
          <c:tx>
            <c:strRef>
              <c:f>Diagrama!$CX$25</c:f>
              <c:strCache>
                <c:ptCount val="1"/>
                <c:pt idx="0">
                  <c:v>101-Ponto101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100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Diagrama!$CX$26</c:f>
              <c:numCache>
                <c:formatCode>0.00</c:formatCode>
                <c:ptCount val="1"/>
                <c:pt idx="0">
                  <c:v>6.3725195274787053E-4</c:v>
                </c:pt>
              </c:numCache>
            </c:numRef>
          </c:xVal>
          <c:yVal>
            <c:numRef>
              <c:f>Diagrama!$CX$27</c:f>
              <c:numCache>
                <c:formatCode>0.00</c:formatCode>
                <c:ptCount val="1"/>
                <c:pt idx="0">
                  <c:v>0.33222958057395141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1-E250-4AB7-85F0-9E4846E1EDB9}"/>
            </c:ext>
          </c:extLst>
        </c:ser>
        <c:ser>
          <c:idx val="135"/>
          <c:order val="135"/>
          <c:tx>
            <c:strRef>
              <c:f>Diagrama!$CY$25</c:f>
              <c:strCache>
                <c:ptCount val="1"/>
                <c:pt idx="0">
                  <c:v>102-Ponto102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2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101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2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Diagrama!$CY$26</c:f>
              <c:numCache>
                <c:formatCode>0.00</c:formatCode>
                <c:ptCount val="1"/>
                <c:pt idx="0">
                  <c:v>6.3098390075376704E-4</c:v>
                </c:pt>
              </c:numCache>
            </c:numRef>
          </c:xVal>
          <c:yVal>
            <c:numRef>
              <c:f>Diagrama!$CY$27</c:f>
              <c:numCache>
                <c:formatCode>0.00</c:formatCode>
                <c:ptCount val="1"/>
                <c:pt idx="0">
                  <c:v>0.33224043715846996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2-E250-4AB7-85F0-9E4846E1EDB9}"/>
            </c:ext>
          </c:extLst>
        </c:ser>
        <c:ser>
          <c:idx val="136"/>
          <c:order val="136"/>
          <c:tx>
            <c:strRef>
              <c:f>Diagrama!$CZ$25</c:f>
              <c:strCache>
                <c:ptCount val="1"/>
                <c:pt idx="0">
                  <c:v>103-Ponto103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2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102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2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Diagrama!$CZ$26</c:f>
              <c:numCache>
                <c:formatCode>0.00</c:formatCode>
                <c:ptCount val="1"/>
                <c:pt idx="0">
                  <c:v>6.2483795366838899E-4</c:v>
                </c:pt>
              </c:numCache>
            </c:numRef>
          </c:xVal>
          <c:yVal>
            <c:numRef>
              <c:f>Diagrama!$CZ$27</c:f>
              <c:numCache>
                <c:formatCode>0.00</c:formatCode>
                <c:ptCount val="1"/>
                <c:pt idx="0">
                  <c:v>0.33225108225108224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3-E250-4AB7-85F0-9E4846E1EDB9}"/>
            </c:ext>
          </c:extLst>
        </c:ser>
        <c:ser>
          <c:idx val="137"/>
          <c:order val="137"/>
          <c:tx>
            <c:strRef>
              <c:f>Diagrama!$DA$25</c:f>
              <c:strCache>
                <c:ptCount val="1"/>
                <c:pt idx="0">
                  <c:v>104-Ponto104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2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103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2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Diagrama!$DA$26</c:f>
              <c:numCache>
                <c:formatCode>0.00</c:formatCode>
                <c:ptCount val="1"/>
                <c:pt idx="0">
                  <c:v>6.1881057790960333E-4</c:v>
                </c:pt>
              </c:numCache>
            </c:numRef>
          </c:xVal>
          <c:yVal>
            <c:numRef>
              <c:f>Diagrama!$DA$27</c:f>
              <c:numCache>
                <c:formatCode>0.00</c:formatCode>
                <c:ptCount val="1"/>
                <c:pt idx="0">
                  <c:v>0.33226152197213288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4-E250-4AB7-85F0-9E4846E1EDB9}"/>
            </c:ext>
          </c:extLst>
        </c:ser>
        <c:ser>
          <c:idx val="138"/>
          <c:order val="138"/>
          <c:tx>
            <c:strRef>
              <c:f>Diagrama!$DB$25</c:f>
              <c:strCache>
                <c:ptCount val="1"/>
                <c:pt idx="0">
                  <c:v>105-Ponto105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2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104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2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Diagrama!$DB$26</c:f>
              <c:numCache>
                <c:formatCode>0.00</c:formatCode>
                <c:ptCount val="1"/>
                <c:pt idx="0">
                  <c:v>6.1289837493584427E-4</c:v>
                </c:pt>
              </c:numCache>
            </c:numRef>
          </c:xVal>
          <c:yVal>
            <c:numRef>
              <c:f>Diagrama!$DB$27</c:f>
              <c:numCache>
                <c:formatCode>0.00</c:formatCode>
                <c:ptCount val="1"/>
                <c:pt idx="0">
                  <c:v>0.33227176220806792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5-E250-4AB7-85F0-9E4846E1EDB9}"/>
            </c:ext>
          </c:extLst>
        </c:ser>
        <c:ser>
          <c:idx val="139"/>
          <c:order val="139"/>
          <c:tx>
            <c:strRef>
              <c:f>Diagrama!$DC$25</c:f>
              <c:strCache>
                <c:ptCount val="1"/>
                <c:pt idx="0">
                  <c:v>106-Ponto106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2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105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2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Diagrama!$DC$26</c:f>
              <c:numCache>
                <c:formatCode>0.00</c:formatCode>
                <c:ptCount val="1"/>
                <c:pt idx="0">
                  <c:v>6.0709807485764692E-4</c:v>
                </c:pt>
              </c:numCache>
            </c:numRef>
          </c:xVal>
          <c:yVal>
            <c:numRef>
              <c:f>Diagrama!$DC$27</c:f>
              <c:numCache>
                <c:formatCode>0.00</c:formatCode>
                <c:ptCount val="1"/>
                <c:pt idx="0">
                  <c:v>0.33228180862250262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6-E250-4AB7-85F0-9E4846E1EDB9}"/>
            </c:ext>
          </c:extLst>
        </c:ser>
        <c:ser>
          <c:idx val="140"/>
          <c:order val="140"/>
          <c:tx>
            <c:strRef>
              <c:f>Diagrama!$DD$25</c:f>
              <c:strCache>
                <c:ptCount val="1"/>
                <c:pt idx="0">
                  <c:v>107-Ponto107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2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106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2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Diagrama!$DD$26</c:f>
              <c:numCache>
                <c:formatCode>0.00</c:formatCode>
                <c:ptCount val="1"/>
                <c:pt idx="0">
                  <c:v>6.01406530405826E-4</c:v>
                </c:pt>
              </c:numCache>
            </c:numRef>
          </c:xVal>
          <c:yVal>
            <c:numRef>
              <c:f>Diagrama!$DD$27</c:f>
              <c:numCache>
                <c:formatCode>0.00</c:formatCode>
                <c:ptCount val="1"/>
                <c:pt idx="0">
                  <c:v>0.33229166666666665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7-E250-4AB7-85F0-9E4846E1EDB9}"/>
            </c:ext>
          </c:extLst>
        </c:ser>
        <c:ser>
          <c:idx val="141"/>
          <c:order val="141"/>
          <c:tx>
            <c:strRef>
              <c:f>Diagrama!$DE$25</c:f>
              <c:strCache>
                <c:ptCount val="1"/>
                <c:pt idx="0">
                  <c:v>108-Ponto108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2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107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2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Diagrama!$DE$26</c:f>
              <c:numCache>
                <c:formatCode>0.00</c:formatCode>
                <c:ptCount val="1"/>
                <c:pt idx="0">
                  <c:v>5.958207112379681E-4</c:v>
                </c:pt>
              </c:numCache>
            </c:numRef>
          </c:xVal>
          <c:yVal>
            <c:numRef>
              <c:f>Diagrama!$DE$27</c:f>
              <c:numCache>
                <c:formatCode>0.00</c:formatCode>
                <c:ptCount val="1"/>
                <c:pt idx="0">
                  <c:v>0.33230134158926727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8-E250-4AB7-85F0-9E4846E1EDB9}"/>
            </c:ext>
          </c:extLst>
        </c:ser>
        <c:ser>
          <c:idx val="142"/>
          <c:order val="142"/>
          <c:tx>
            <c:strRef>
              <c:f>Diagrama!$DF$25</c:f>
              <c:strCache>
                <c:ptCount val="1"/>
                <c:pt idx="0">
                  <c:v>109-Ponto109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2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108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2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Diagrama!$DF$26</c:f>
              <c:numCache>
                <c:formatCode>0.00</c:formatCode>
                <c:ptCount val="1"/>
                <c:pt idx="0">
                  <c:v>5.903376985578534E-4</c:v>
                </c:pt>
              </c:numCache>
            </c:numRef>
          </c:xVal>
          <c:yVal>
            <c:numRef>
              <c:f>Diagrama!$DF$27</c:f>
              <c:numCache>
                <c:formatCode>0.00</c:formatCode>
                <c:ptCount val="1"/>
                <c:pt idx="0">
                  <c:v>0.33231083844580778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9-E250-4AB7-85F0-9E4846E1EDB9}"/>
            </c:ext>
          </c:extLst>
        </c:ser>
        <c:ser>
          <c:idx val="143"/>
          <c:order val="143"/>
          <c:tx>
            <c:strRef>
              <c:f>Diagrama!$DG$25</c:f>
              <c:strCache>
                <c:ptCount val="1"/>
                <c:pt idx="0">
                  <c:v>110-Ponto110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2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109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2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Diagrama!$DG$26</c:f>
              <c:numCache>
                <c:formatCode>0.00</c:formatCode>
                <c:ptCount val="1"/>
                <c:pt idx="0">
                  <c:v>5.849546800299894E-4</c:v>
                </c:pt>
              </c:numCache>
            </c:numRef>
          </c:xVal>
          <c:yVal>
            <c:numRef>
              <c:f>Diagrama!$DG$27</c:f>
              <c:numCache>
                <c:formatCode>0.00</c:formatCode>
                <c:ptCount val="1"/>
                <c:pt idx="0">
                  <c:v>0.33232016210739618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A-E250-4AB7-85F0-9E4846E1EDB9}"/>
            </c:ext>
          </c:extLst>
        </c:ser>
        <c:ser>
          <c:idx val="144"/>
          <c:order val="144"/>
          <c:tx>
            <c:strRef>
              <c:f>Diagrama!$DH$25</c:f>
              <c:strCache>
                <c:ptCount val="1"/>
                <c:pt idx="0">
                  <c:v>111-Ponto111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2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110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2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Diagrama!$DH$26</c:f>
              <c:numCache>
                <c:formatCode>0.00</c:formatCode>
                <c:ptCount val="1"/>
                <c:pt idx="0">
                  <c:v>5.7966894496951104E-4</c:v>
                </c:pt>
              </c:numCache>
            </c:numRef>
          </c:xVal>
          <c:yVal>
            <c:numRef>
              <c:f>Diagrama!$DH$27</c:f>
              <c:numCache>
                <c:formatCode>0.00</c:formatCode>
                <c:ptCount val="1"/>
                <c:pt idx="0">
                  <c:v>0.33232931726907633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B-E250-4AB7-85F0-9E4846E1EDB9}"/>
            </c:ext>
          </c:extLst>
        </c:ser>
        <c:ser>
          <c:idx val="145"/>
          <c:order val="145"/>
          <c:tx>
            <c:strRef>
              <c:f>Diagrama!$DI$25</c:f>
              <c:strCache>
                <c:ptCount val="1"/>
                <c:pt idx="0">
                  <c:v>112-Ponto112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2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111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2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Diagrama!$DI$26</c:f>
              <c:numCache>
                <c:formatCode>0.00</c:formatCode>
                <c:ptCount val="1"/>
                <c:pt idx="0">
                  <c:v>5.7447787979065699E-4</c:v>
                </c:pt>
              </c:numCache>
            </c:numRef>
          </c:xVal>
          <c:yVal>
            <c:numRef>
              <c:f>Diagrama!$DI$27</c:f>
              <c:numCache>
                <c:formatCode>0.00</c:formatCode>
                <c:ptCount val="1"/>
                <c:pt idx="0">
                  <c:v>0.33233830845771145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C-E250-4AB7-85F0-9E4846E1EDB9}"/>
            </c:ext>
          </c:extLst>
        </c:ser>
        <c:ser>
          <c:idx val="146"/>
          <c:order val="146"/>
          <c:tx>
            <c:strRef>
              <c:f>Diagrama!$DJ$25</c:f>
              <c:strCache>
                <c:ptCount val="1"/>
                <c:pt idx="0">
                  <c:v>113-Ponto113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2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112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2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Diagrama!$DJ$26</c:f>
              <c:numCache>
                <c:formatCode>0.00</c:formatCode>
                <c:ptCount val="1"/>
                <c:pt idx="0">
                  <c:v>5.6937896369779457E-4</c:v>
                </c:pt>
              </c:numCache>
            </c:numRef>
          </c:xVal>
          <c:yVal>
            <c:numRef>
              <c:f>Diagrama!$DJ$27</c:f>
              <c:numCache>
                <c:formatCode>0.00</c:formatCode>
                <c:ptCount val="1"/>
                <c:pt idx="0">
                  <c:v>0.33234714003944771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D-E250-4AB7-85F0-9E4846E1EDB9}"/>
            </c:ext>
          </c:extLst>
        </c:ser>
        <c:ser>
          <c:idx val="147"/>
          <c:order val="147"/>
          <c:tx>
            <c:strRef>
              <c:f>Diagrama!$DK$25</c:f>
              <c:strCache>
                <c:ptCount val="1"/>
                <c:pt idx="0">
                  <c:v>114-Ponto114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2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113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2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Diagrama!$DK$26</c:f>
              <c:numCache>
                <c:formatCode>0.00</c:formatCode>
                <c:ptCount val="1"/>
                <c:pt idx="0">
                  <c:v>5.6436976460373927E-4</c:v>
                </c:pt>
              </c:numCache>
            </c:numRef>
          </c:xVal>
          <c:yVal>
            <c:numRef>
              <c:f>Diagrama!$DK$27</c:f>
              <c:numCache>
                <c:formatCode>0.00</c:formatCode>
                <c:ptCount val="1"/>
                <c:pt idx="0">
                  <c:v>0.33235581622678395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E-E250-4AB7-85F0-9E4846E1EDB9}"/>
            </c:ext>
          </c:extLst>
        </c:ser>
        <c:ser>
          <c:idx val="148"/>
          <c:order val="148"/>
          <c:tx>
            <c:strRef>
              <c:f>Diagrama!$DL$25</c:f>
              <c:strCache>
                <c:ptCount val="1"/>
                <c:pt idx="0">
                  <c:v>115-Ponto115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2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114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2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Diagrama!$DL$26</c:f>
              <c:numCache>
                <c:formatCode>0.00</c:formatCode>
                <c:ptCount val="1"/>
                <c:pt idx="0">
                  <c:v>5.5944793526126635E-4</c:v>
                </c:pt>
              </c:numCache>
            </c:numRef>
          </c:xVal>
          <c:yVal>
            <c:numRef>
              <c:f>Diagrama!$DL$27</c:f>
              <c:numCache>
                <c:formatCode>0.00</c:formatCode>
                <c:ptCount val="1"/>
                <c:pt idx="0">
                  <c:v>0.3323643410852713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F-E250-4AB7-85F0-9E4846E1EDB9}"/>
            </c:ext>
          </c:extLst>
        </c:ser>
        <c:ser>
          <c:idx val="149"/>
          <c:order val="149"/>
          <c:tx>
            <c:strRef>
              <c:f>Diagrama!$DM$25</c:f>
              <c:strCache>
                <c:ptCount val="1"/>
                <c:pt idx="0">
                  <c:v>116-Ponto116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2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115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2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Diagrama!$DM$26</c:f>
              <c:numCache>
                <c:formatCode>0.00</c:formatCode>
                <c:ptCount val="1"/>
                <c:pt idx="0">
                  <c:v>5.5461120959614935E-4</c:v>
                </c:pt>
              </c:numCache>
            </c:numRef>
          </c:xVal>
          <c:yVal>
            <c:numRef>
              <c:f>Diagrama!$DM$27</c:f>
              <c:numCache>
                <c:formatCode>0.00</c:formatCode>
                <c:ptCount val="1"/>
                <c:pt idx="0">
                  <c:v>0.3323727185398655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0-E250-4AB7-85F0-9E4846E1EDB9}"/>
            </c:ext>
          </c:extLst>
        </c:ser>
        <c:ser>
          <c:idx val="150"/>
          <c:order val="150"/>
          <c:tx>
            <c:strRef>
              <c:f>Diagrama!$DN$25</c:f>
              <c:strCache>
                <c:ptCount val="1"/>
                <c:pt idx="0">
                  <c:v>117-Ponto117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2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116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2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Diagrama!$DN$26</c:f>
              <c:numCache>
                <c:formatCode>0.00</c:formatCode>
                <c:ptCount val="1"/>
                <c:pt idx="0">
                  <c:v>5.4985739922826433E-4</c:v>
                </c:pt>
              </c:numCache>
            </c:numRef>
          </c:xVal>
          <c:yVal>
            <c:numRef>
              <c:f>Diagrama!$DN$27</c:f>
              <c:numCache>
                <c:formatCode>0.00</c:formatCode>
                <c:ptCount val="1"/>
                <c:pt idx="0">
                  <c:v>0.33238095238095239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1-E250-4AB7-85F0-9E4846E1EDB9}"/>
            </c:ext>
          </c:extLst>
        </c:ser>
        <c:ser>
          <c:idx val="151"/>
          <c:order val="151"/>
          <c:tx>
            <c:strRef>
              <c:f>Diagrama!$DO$25</c:f>
              <c:strCache>
                <c:ptCount val="1"/>
                <c:pt idx="0">
                  <c:v>118-Ponto118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3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117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3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Diagrama!$DO$26</c:f>
              <c:numCache>
                <c:formatCode>0.00</c:formatCode>
                <c:ptCount val="1"/>
                <c:pt idx="0">
                  <c:v>5.4518439016960657E-4</c:v>
                </c:pt>
              </c:numCache>
            </c:numRef>
          </c:xVal>
          <c:yVal>
            <c:numRef>
              <c:f>Diagrama!$DO$27</c:f>
              <c:numCache>
                <c:formatCode>0.00</c:formatCode>
                <c:ptCount val="1"/>
                <c:pt idx="0">
                  <c:v>0.3323890462700661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2-E250-4AB7-85F0-9E4846E1EDB9}"/>
            </c:ext>
          </c:extLst>
        </c:ser>
        <c:ser>
          <c:idx val="152"/>
          <c:order val="152"/>
          <c:tx>
            <c:strRef>
              <c:f>Diagrama!$DP$25</c:f>
              <c:strCache>
                <c:ptCount val="1"/>
                <c:pt idx="0">
                  <c:v>119-Ponto119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3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118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3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Diagrama!$DP$26</c:f>
              <c:numCache>
                <c:formatCode>0.00</c:formatCode>
                <c:ptCount val="1"/>
                <c:pt idx="0">
                  <c:v>5.4059013969063013E-4</c:v>
                </c:pt>
              </c:numCache>
            </c:numRef>
          </c:xVal>
          <c:yVal>
            <c:numRef>
              <c:f>Diagrama!$DP$27</c:f>
              <c:numCache>
                <c:formatCode>0.00</c:formatCode>
                <c:ptCount val="1"/>
                <c:pt idx="0">
                  <c:v>0.33239700374531833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3-E250-4AB7-85F0-9E4846E1EDB9}"/>
            </c:ext>
          </c:extLst>
        </c:ser>
        <c:ser>
          <c:idx val="153"/>
          <c:order val="153"/>
          <c:tx>
            <c:strRef>
              <c:f>Diagrama!$DQ$25</c:f>
              <c:strCache>
                <c:ptCount val="1"/>
                <c:pt idx="0">
                  <c:v>120-Ponto120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3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119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3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Diagrama!$DQ$26</c:f>
              <c:numCache>
                <c:formatCode>0.00</c:formatCode>
                <c:ptCount val="1"/>
                <c:pt idx="0">
                  <c:v>5.3607267334234831E-4</c:v>
                </c:pt>
              </c:numCache>
            </c:numRef>
          </c:xVal>
          <c:yVal>
            <c:numRef>
              <c:f>Diagrama!$DQ$27</c:f>
              <c:numCache>
                <c:formatCode>0.00</c:formatCode>
                <c:ptCount val="1"/>
                <c:pt idx="0">
                  <c:v>0.33240482822655526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4-E250-4AB7-85F0-9E4846E1EDB9}"/>
            </c:ext>
          </c:extLst>
        </c:ser>
        <c:ser>
          <c:idx val="154"/>
          <c:order val="154"/>
          <c:tx>
            <c:strRef>
              <c:f>Diagrama!$DR$25</c:f>
              <c:strCache>
                <c:ptCount val="1"/>
                <c:pt idx="0">
                  <c:v>121-Ponto121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3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120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3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Diagrama!$DR$26</c:f>
              <c:numCache>
                <c:formatCode>0.00</c:formatCode>
                <c:ptCount val="1"/>
                <c:pt idx="0">
                  <c:v>5.3163008212675793E-4</c:v>
                </c:pt>
              </c:numCache>
            </c:numRef>
          </c:xVal>
          <c:yVal>
            <c:numRef>
              <c:f>Diagrama!$DR$27</c:f>
              <c:numCache>
                <c:formatCode>0.00</c:formatCode>
                <c:ptCount val="1"/>
                <c:pt idx="0">
                  <c:v>0.33241252302025781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5-E250-4AB7-85F0-9E4846E1EDB9}"/>
            </c:ext>
          </c:extLst>
        </c:ser>
        <c:ser>
          <c:idx val="155"/>
          <c:order val="155"/>
          <c:tx>
            <c:strRef>
              <c:f>Diagrama!$DS$25</c:f>
              <c:strCache>
                <c:ptCount val="1"/>
                <c:pt idx="0">
                  <c:v>122-Ponto122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3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121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3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Diagrama!$DS$26</c:f>
              <c:numCache>
                <c:formatCode>0.00</c:formatCode>
                <c:ptCount val="1"/>
                <c:pt idx="0">
                  <c:v>5.2726051980789669E-4</c:v>
                </c:pt>
              </c:numCache>
            </c:numRef>
          </c:xVal>
          <c:yVal>
            <c:numRef>
              <c:f>Diagrama!$DS$27</c:f>
              <c:numCache>
                <c:formatCode>0.00</c:formatCode>
                <c:ptCount val="1"/>
                <c:pt idx="0">
                  <c:v>0.33242009132420092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6-E250-4AB7-85F0-9E4846E1EDB9}"/>
            </c:ext>
          </c:extLst>
        </c:ser>
        <c:ser>
          <c:idx val="156"/>
          <c:order val="156"/>
          <c:tx>
            <c:strRef>
              <c:f>Diagrama!$DT$25</c:f>
              <c:strCache>
                <c:ptCount val="1"/>
                <c:pt idx="0">
                  <c:v>123-Ponto123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3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122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3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Diagrama!$DT$26</c:f>
              <c:numCache>
                <c:formatCode>0.00</c:formatCode>
                <c:ptCount val="1"/>
                <c:pt idx="0">
                  <c:v>5.2296220035289223E-4</c:v>
                </c:pt>
              </c:numCache>
            </c:numRef>
          </c:xVal>
          <c:yVal>
            <c:numRef>
              <c:f>Diagrama!$DT$27</c:f>
              <c:numCache>
                <c:formatCode>0.00</c:formatCode>
                <c:ptCount val="1"/>
                <c:pt idx="0">
                  <c:v>0.33242753623188404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7-E250-4AB7-85F0-9E4846E1EDB9}"/>
            </c:ext>
          </c:extLst>
        </c:ser>
        <c:ser>
          <c:idx val="157"/>
          <c:order val="157"/>
          <c:tx>
            <c:strRef>
              <c:f>Diagrama!$DU$25</c:f>
              <c:strCache>
                <c:ptCount val="1"/>
                <c:pt idx="0">
                  <c:v>124-Ponto124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3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123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3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Diagrama!$DU$26</c:f>
              <c:numCache>
                <c:formatCode>0.00</c:formatCode>
                <c:ptCount val="1"/>
                <c:pt idx="0">
                  <c:v>5.1873339549826105E-4</c:v>
                </c:pt>
              </c:numCache>
            </c:numRef>
          </c:xVal>
          <c:yVal>
            <c:numRef>
              <c:f>Diagrama!$DU$27</c:f>
              <c:numCache>
                <c:formatCode>0.00</c:formatCode>
                <c:ptCount val="1"/>
                <c:pt idx="0">
                  <c:v>0.33243486073674755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8-E250-4AB7-85F0-9E4846E1EDB9}"/>
            </c:ext>
          </c:extLst>
        </c:ser>
        <c:ser>
          <c:idx val="158"/>
          <c:order val="158"/>
          <c:tx>
            <c:strRef>
              <c:f>Diagrama!$DV$25</c:f>
              <c:strCache>
                <c:ptCount val="1"/>
                <c:pt idx="0">
                  <c:v>125-Ponto125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3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124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3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Diagrama!$DV$26</c:f>
              <c:numCache>
                <c:formatCode>0.00</c:formatCode>
                <c:ptCount val="1"/>
                <c:pt idx="0">
                  <c:v>5.1457243243286635E-4</c:v>
                </c:pt>
              </c:numCache>
            </c:numRef>
          </c:xVal>
          <c:yVal>
            <c:numRef>
              <c:f>Diagrama!$DV$27</c:f>
              <c:numCache>
                <c:formatCode>0.00</c:formatCode>
                <c:ptCount val="1"/>
                <c:pt idx="0">
                  <c:v>0.3324420677361854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9-E250-4AB7-85F0-9E4846E1EDB9}"/>
            </c:ext>
          </c:extLst>
        </c:ser>
        <c:ser>
          <c:idx val="159"/>
          <c:order val="159"/>
          <c:tx>
            <c:strRef>
              <c:f>Diagrama!$DW$25</c:f>
              <c:strCache>
                <c:ptCount val="1"/>
                <c:pt idx="0">
                  <c:v>126-Ponto126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3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125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3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Diagrama!$DW$26</c:f>
              <c:numCache>
                <c:formatCode>0.00</c:formatCode>
                <c:ptCount val="1"/>
                <c:pt idx="0">
                  <c:v>5.1047769159112623E-4</c:v>
                </c:pt>
              </c:numCache>
            </c:numRef>
          </c:xVal>
          <c:yVal>
            <c:numRef>
              <c:f>Diagrama!$DW$27</c:f>
              <c:numCache>
                <c:formatCode>0.00</c:formatCode>
                <c:ptCount val="1"/>
                <c:pt idx="0">
                  <c:v>0.33244916003536695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A-E250-4AB7-85F0-9E4846E1EDB9}"/>
            </c:ext>
          </c:extLst>
        </c:ser>
        <c:ser>
          <c:idx val="160"/>
          <c:order val="160"/>
          <c:tx>
            <c:strRef>
              <c:f>Diagrama!$DX$25</c:f>
              <c:strCache>
                <c:ptCount val="1"/>
                <c:pt idx="0">
                  <c:v>127-Ponto127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3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126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3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Diagrama!$DX$26</c:f>
              <c:numCache>
                <c:formatCode>0.00</c:formatCode>
                <c:ptCount val="1"/>
                <c:pt idx="0">
                  <c:v>5.0644760455224077E-4</c:v>
                </c:pt>
              </c:numCache>
            </c:numRef>
          </c:xVal>
          <c:yVal>
            <c:numRef>
              <c:f>Diagrama!$DX$27</c:f>
              <c:numCache>
                <c:formatCode>0.00</c:formatCode>
                <c:ptCount val="1"/>
                <c:pt idx="0">
                  <c:v>0.33245614035087717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B-E250-4AB7-85F0-9E4846E1EDB9}"/>
            </c:ext>
          </c:extLst>
        </c:ser>
        <c:ser>
          <c:idx val="161"/>
          <c:order val="161"/>
          <c:tx>
            <c:strRef>
              <c:f>Diagrama!$DY$25</c:f>
              <c:strCache>
                <c:ptCount val="1"/>
                <c:pt idx="0">
                  <c:v>128-Ponto128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3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127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3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Diagrama!$DY$26</c:f>
              <c:numCache>
                <c:formatCode>0.00</c:formatCode>
                <c:ptCount val="1"/>
                <c:pt idx="0">
                  <c:v>5.0248065203620902E-4</c:v>
                </c:pt>
              </c:numCache>
            </c:numRef>
          </c:xVal>
          <c:yVal>
            <c:numRef>
              <c:f>Diagrama!$DY$27</c:f>
              <c:numCache>
                <c:formatCode>0.00</c:formatCode>
                <c:ptCount val="1"/>
                <c:pt idx="0">
                  <c:v>0.33246301131418626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C-E250-4AB7-85F0-9E4846E1EDB9}"/>
            </c:ext>
          </c:extLst>
        </c:ser>
        <c:ser>
          <c:idx val="162"/>
          <c:order val="162"/>
          <c:tx>
            <c:strRef>
              <c:f>Diagrama!$DZ$25</c:f>
              <c:strCache>
                <c:ptCount val="1"/>
                <c:pt idx="0">
                  <c:v>129-Ponto129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3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128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3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Diagrama!$DZ$26</c:f>
              <c:numCache>
                <c:formatCode>0.00</c:formatCode>
                <c:ptCount val="1"/>
                <c:pt idx="0">
                  <c:v>4.9857536199458276E-4</c:v>
                </c:pt>
              </c:numCache>
            </c:numRef>
          </c:xVal>
          <c:yVal>
            <c:numRef>
              <c:f>Diagrama!$DZ$27</c:f>
              <c:numCache>
                <c:formatCode>0.00</c:formatCode>
                <c:ptCount val="1"/>
                <c:pt idx="0">
                  <c:v>0.33246977547495682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D-E250-4AB7-85F0-9E4846E1EDB9}"/>
            </c:ext>
          </c:extLst>
        </c:ser>
        <c:ser>
          <c:idx val="163"/>
          <c:order val="163"/>
          <c:tx>
            <c:strRef>
              <c:f>Diagrama!$EA$25</c:f>
              <c:strCache>
                <c:ptCount val="1"/>
                <c:pt idx="0">
                  <c:v>130-Ponto130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3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129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3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Diagrama!$EA$26</c:f>
              <c:numCache>
                <c:formatCode>0.00</c:formatCode>
                <c:ptCount val="1"/>
                <c:pt idx="0">
                  <c:v>4.947303077889087E-4</c:v>
                </c:pt>
              </c:numCache>
            </c:numRef>
          </c:xVal>
          <c:yVal>
            <c:numRef>
              <c:f>Diagrama!$EA$27</c:f>
              <c:numCache>
                <c:formatCode>0.00</c:formatCode>
                <c:ptCount val="1"/>
                <c:pt idx="0">
                  <c:v>0.33247643530419879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E-E250-4AB7-85F0-9E4846E1EDB9}"/>
            </c:ext>
          </c:extLst>
        </c:ser>
        <c:ser>
          <c:idx val="164"/>
          <c:order val="164"/>
          <c:tx>
            <c:strRef>
              <c:f>Diagrama!$EB$25</c:f>
              <c:strCache>
                <c:ptCount val="1"/>
                <c:pt idx="0">
                  <c:v>131-Ponto131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3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130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3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Diagrama!$EB$26</c:f>
              <c:numCache>
                <c:formatCode>0.00</c:formatCode>
                <c:ptCount val="1"/>
                <c:pt idx="0">
                  <c:v>4.9094410645378003E-4</c:v>
                </c:pt>
              </c:numCache>
            </c:numRef>
          </c:xVal>
          <c:yVal>
            <c:numRef>
              <c:f>Diagrama!$EB$27</c:f>
              <c:numCache>
                <c:formatCode>0.00</c:formatCode>
                <c:ptCount val="1"/>
                <c:pt idx="0">
                  <c:v>0.33248299319727892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F-E250-4AB7-85F0-9E4846E1EDB9}"/>
            </c:ext>
          </c:extLst>
        </c:ser>
        <c:ser>
          <c:idx val="165"/>
          <c:order val="165"/>
          <c:tx>
            <c:strRef>
              <c:f>Diagrama!$EC$25</c:f>
              <c:strCache>
                <c:ptCount val="1"/>
                <c:pt idx="0">
                  <c:v>132-Ponto132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3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131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3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Diagrama!$EC$26</c:f>
              <c:numCache>
                <c:formatCode>0.00</c:formatCode>
                <c:ptCount val="1"/>
                <c:pt idx="0">
                  <c:v>4.8721541703770422E-4</c:v>
                </c:pt>
              </c:numCache>
            </c:numRef>
          </c:xVal>
          <c:yVal>
            <c:numRef>
              <c:f>Diagrama!$EC$27</c:f>
              <c:numCache>
                <c:formatCode>0.00</c:formatCode>
                <c:ptCount val="1"/>
                <c:pt idx="0">
                  <c:v>0.33248945147679326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0-E250-4AB7-85F0-9E4846E1EDB9}"/>
            </c:ext>
          </c:extLst>
        </c:ser>
        <c:ser>
          <c:idx val="166"/>
          <c:order val="166"/>
          <c:tx>
            <c:strRef>
              <c:f>Diagrama!$ED$25</c:f>
              <c:strCache>
                <c:ptCount val="1"/>
                <c:pt idx="0">
                  <c:v>133-Ponto133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3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132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3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Diagrama!$ED$26</c:f>
              <c:numCache>
                <c:formatCode>0.00</c:formatCode>
                <c:ptCount val="1"/>
                <c:pt idx="0">
                  <c:v>4.8354293901986398E-4</c:v>
                </c:pt>
              </c:numCache>
            </c:numRef>
          </c:xVal>
          <c:yVal>
            <c:numRef>
              <c:f>Diagrama!$ED$27</c:f>
              <c:numCache>
                <c:formatCode>0.00</c:formatCode>
                <c:ptCount val="1"/>
                <c:pt idx="0">
                  <c:v>0.3324958123953099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1-E250-4AB7-85F0-9E4846E1EDB9}"/>
            </c:ext>
          </c:extLst>
        </c:ser>
        <c:ser>
          <c:idx val="167"/>
          <c:order val="167"/>
          <c:tx>
            <c:strRef>
              <c:f>Diagrama!$EE$25</c:f>
              <c:strCache>
                <c:ptCount val="1"/>
                <c:pt idx="0">
                  <c:v>134-Ponto134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4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133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4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Diagrama!$EE$26</c:f>
              <c:numCache>
                <c:formatCode>0.00</c:formatCode>
                <c:ptCount val="1"/>
                <c:pt idx="0">
                  <c:v>4.7992541079777088E-4</c:v>
                </c:pt>
              </c:numCache>
            </c:numRef>
          </c:xVal>
          <c:yVal>
            <c:numRef>
              <c:f>Diagrama!$EE$27</c:f>
              <c:numCache>
                <c:formatCode>0.00</c:formatCode>
                <c:ptCount val="1"/>
                <c:pt idx="0">
                  <c:v>0.33250207813798838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2-E250-4AB7-85F0-9E4846E1EDB9}"/>
            </c:ext>
          </c:extLst>
        </c:ser>
        <c:ser>
          <c:idx val="168"/>
          <c:order val="168"/>
          <c:tx>
            <c:strRef>
              <c:f>Diagrama!$EF$25</c:f>
              <c:strCache>
                <c:ptCount val="1"/>
                <c:pt idx="0">
                  <c:v>135-Ponto135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4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134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4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Diagrama!$EF$26</c:f>
              <c:numCache>
                <c:formatCode>0.00</c:formatCode>
                <c:ptCount val="1"/>
                <c:pt idx="0">
                  <c:v>4.763616082422232E-4</c:v>
                </c:pt>
              </c:numCache>
            </c:numRef>
          </c:xVal>
          <c:yVal>
            <c:numRef>
              <c:f>Diagrama!$EF$27</c:f>
              <c:numCache>
                <c:formatCode>0.00</c:formatCode>
                <c:ptCount val="1"/>
                <c:pt idx="0">
                  <c:v>0.33250825082508251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3-E250-4AB7-85F0-9E4846E1EDB9}"/>
            </c:ext>
          </c:extLst>
        </c:ser>
        <c:ser>
          <c:idx val="169"/>
          <c:order val="169"/>
          <c:tx>
            <c:strRef>
              <c:f>Diagrama!$EG$25</c:f>
              <c:strCache>
                <c:ptCount val="1"/>
                <c:pt idx="0">
                  <c:v>136-Ponto136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4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135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4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Diagrama!$EG$26</c:f>
              <c:numCache>
                <c:formatCode>0.00</c:formatCode>
                <c:ptCount val="1"/>
                <c:pt idx="0">
                  <c:v>4.7285034331661871E-4</c:v>
                </c:pt>
              </c:numCache>
            </c:numRef>
          </c:xVal>
          <c:yVal>
            <c:numRef>
              <c:f>Diagrama!$EG$27</c:f>
              <c:numCache>
                <c:formatCode>0.00</c:formatCode>
                <c:ptCount val="1"/>
                <c:pt idx="0">
                  <c:v>0.33251433251433249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4-E250-4AB7-85F0-9E4846E1EDB9}"/>
            </c:ext>
          </c:extLst>
        </c:ser>
        <c:ser>
          <c:idx val="170"/>
          <c:order val="170"/>
          <c:tx>
            <c:strRef>
              <c:f>Diagrama!$EH$25</c:f>
              <c:strCache>
                <c:ptCount val="1"/>
                <c:pt idx="0">
                  <c:v>137-Ponto137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4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136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4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Diagrama!$EH$26</c:f>
              <c:numCache>
                <c:formatCode>0.00</c:formatCode>
                <c:ptCount val="1"/>
                <c:pt idx="0">
                  <c:v>4.6939046275587922E-4</c:v>
                </c:pt>
              </c:numCache>
            </c:numRef>
          </c:xVal>
          <c:yVal>
            <c:numRef>
              <c:f>Diagrama!$EH$27</c:f>
              <c:numCache>
                <c:formatCode>0.00</c:formatCode>
                <c:ptCount val="1"/>
                <c:pt idx="0">
                  <c:v>0.33252032520325203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5-E250-4AB7-85F0-9E4846E1EDB9}"/>
            </c:ext>
          </c:extLst>
        </c:ser>
        <c:ser>
          <c:idx val="171"/>
          <c:order val="171"/>
          <c:tx>
            <c:strRef>
              <c:f>Diagrama!$EI$25</c:f>
              <c:strCache>
                <c:ptCount val="1"/>
                <c:pt idx="0">
                  <c:v>138-Ponto138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4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137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4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Diagrama!$EI$26</c:f>
              <c:numCache>
                <c:formatCode>0.00</c:formatCode>
                <c:ptCount val="1"/>
                <c:pt idx="0">
                  <c:v>4.6598084680357692E-4</c:v>
                </c:pt>
              </c:numCache>
            </c:numRef>
          </c:xVal>
          <c:yVal>
            <c:numRef>
              <c:f>Diagrama!$EI$27</c:f>
              <c:numCache>
                <c:formatCode>0.00</c:formatCode>
                <c:ptCount val="1"/>
                <c:pt idx="0">
                  <c:v>0.33252623083131555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6-E250-4AB7-85F0-9E4846E1EDB9}"/>
            </c:ext>
          </c:extLst>
        </c:ser>
        <c:ser>
          <c:idx val="172"/>
          <c:order val="172"/>
          <c:tx>
            <c:strRef>
              <c:f>Diagrama!$EJ$25</c:f>
              <c:strCache>
                <c:ptCount val="1"/>
                <c:pt idx="0">
                  <c:v>139-Ponto139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4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138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4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Diagrama!$EJ$26</c:f>
              <c:numCache>
                <c:formatCode>0.00</c:formatCode>
                <c:ptCount val="1"/>
                <c:pt idx="0">
                  <c:v>4.6262040800444209E-4</c:v>
                </c:pt>
              </c:numCache>
            </c:numRef>
          </c:xVal>
          <c:yVal>
            <c:numRef>
              <c:f>Diagrama!$EJ$27</c:f>
              <c:numCache>
                <c:formatCode>0.00</c:formatCode>
                <c:ptCount val="1"/>
                <c:pt idx="0">
                  <c:v>0.33253205128205127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7-E250-4AB7-85F0-9E4846E1EDB9}"/>
            </c:ext>
          </c:extLst>
        </c:ser>
        <c:ser>
          <c:idx val="173"/>
          <c:order val="173"/>
          <c:tx>
            <c:strRef>
              <c:f>Diagrama!$EK$25</c:f>
              <c:strCache>
                <c:ptCount val="1"/>
                <c:pt idx="0">
                  <c:v>140-Ponto140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4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139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4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Diagrama!$EK$26</c:f>
              <c:numCache>
                <c:formatCode>0.00</c:formatCode>
                <c:ptCount val="1"/>
                <c:pt idx="0">
                  <c:v>4.5930809004750864E-4</c:v>
                </c:pt>
              </c:numCache>
            </c:numRef>
          </c:xVal>
          <c:yVal>
            <c:numRef>
              <c:f>Diagrama!$EK$27</c:f>
              <c:numCache>
                <c:formatCode>0.00</c:formatCode>
                <c:ptCount val="1"/>
                <c:pt idx="0">
                  <c:v>0.33253778838504378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8-E250-4AB7-85F0-9E4846E1EDB9}"/>
            </c:ext>
          </c:extLst>
        </c:ser>
        <c:ser>
          <c:idx val="174"/>
          <c:order val="174"/>
          <c:tx>
            <c:strRef>
              <c:f>Diagrama!$EL$25</c:f>
              <c:strCache>
                <c:ptCount val="1"/>
                <c:pt idx="0">
                  <c:v>141-Ponto141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4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140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4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Diagrama!$EL$26</c:f>
              <c:numCache>
                <c:formatCode>0.00</c:formatCode>
                <c:ptCount val="1"/>
                <c:pt idx="0">
                  <c:v>4.5604286665848758E-4</c:v>
                </c:pt>
              </c:numCache>
            </c:numRef>
          </c:xVal>
          <c:yVal>
            <c:numRef>
              <c:f>Diagrama!$EL$27</c:f>
              <c:numCache>
                <c:formatCode>0.00</c:formatCode>
                <c:ptCount val="1"/>
                <c:pt idx="0">
                  <c:v>0.33254344391785151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9-E250-4AB7-85F0-9E4846E1EDB9}"/>
            </c:ext>
          </c:extLst>
        </c:ser>
        <c:ser>
          <c:idx val="175"/>
          <c:order val="175"/>
          <c:tx>
            <c:strRef>
              <c:f>Diagrama!$EM$25</c:f>
              <c:strCache>
                <c:ptCount val="1"/>
                <c:pt idx="0">
                  <c:v>142-Ponto142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4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141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4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Diagrama!$EM$26</c:f>
              <c:numCache>
                <c:formatCode>0.00</c:formatCode>
                <c:ptCount val="1"/>
                <c:pt idx="0">
                  <c:v>4.5282374054085573E-4</c:v>
                </c:pt>
              </c:numCache>
            </c:numRef>
          </c:xVal>
          <c:yVal>
            <c:numRef>
              <c:f>Diagrama!$EM$27</c:f>
              <c:numCache>
                <c:formatCode>0.00</c:formatCode>
                <c:ptCount val="1"/>
                <c:pt idx="0">
                  <c:v>0.33254901960784311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A-E250-4AB7-85F0-9E4846E1EDB9}"/>
            </c:ext>
          </c:extLst>
        </c:ser>
        <c:ser>
          <c:idx val="176"/>
          <c:order val="176"/>
          <c:tx>
            <c:strRef>
              <c:f>Diagrama!$EN$25</c:f>
              <c:strCache>
                <c:ptCount val="1"/>
                <c:pt idx="0">
                  <c:v>143-Ponto143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4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142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4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Diagrama!$EN$26</c:f>
              <c:numCache>
                <c:formatCode>0.00</c:formatCode>
                <c:ptCount val="1"/>
                <c:pt idx="0">
                  <c:v>4.4964974235950567E-4</c:v>
                </c:pt>
              </c:numCache>
            </c:numRef>
          </c:xVal>
          <c:yVal>
            <c:numRef>
              <c:f>Diagrama!$EN$27</c:f>
              <c:numCache>
                <c:formatCode>0.00</c:formatCode>
                <c:ptCount val="1"/>
                <c:pt idx="0">
                  <c:v>0.3325545171339564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B-E250-4AB7-85F0-9E4846E1EDB9}"/>
            </c:ext>
          </c:extLst>
        </c:ser>
        <c:ser>
          <c:idx val="177"/>
          <c:order val="177"/>
          <c:tx>
            <c:strRef>
              <c:f>Diagrama!$EO$25</c:f>
              <c:strCache>
                <c:ptCount val="1"/>
                <c:pt idx="0">
                  <c:v>144-Ponto144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4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143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4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Diagrama!$EO$26</c:f>
              <c:numCache>
                <c:formatCode>0.00</c:formatCode>
                <c:ptCount val="1"/>
                <c:pt idx="0">
                  <c:v>4.4651992976772672E-4</c:v>
                </c:pt>
              </c:numCache>
            </c:numRef>
          </c:xVal>
          <c:yVal>
            <c:numRef>
              <c:f>Diagrama!$EO$27</c:f>
              <c:numCache>
                <c:formatCode>0.00</c:formatCode>
                <c:ptCount val="1"/>
                <c:pt idx="0">
                  <c:v>0.33255993812838358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C-E250-4AB7-85F0-9E4846E1EDB9}"/>
            </c:ext>
          </c:extLst>
        </c:ser>
        <c:ser>
          <c:idx val="178"/>
          <c:order val="178"/>
          <c:tx>
            <c:strRef>
              <c:f>Diagrama!$EP$25</c:f>
              <c:strCache>
                <c:ptCount val="1"/>
                <c:pt idx="0">
                  <c:v>145-Ponto145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4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144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4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Diagrama!$EP$26</c:f>
              <c:numCache>
                <c:formatCode>0.00</c:formatCode>
                <c:ptCount val="1"/>
                <c:pt idx="0">
                  <c:v>4.4343338647443982E-4</c:v>
                </c:pt>
              </c:numCache>
            </c:numRef>
          </c:xVal>
          <c:yVal>
            <c:numRef>
              <c:f>Diagrama!$EP$27</c:f>
              <c:numCache>
                <c:formatCode>0.00</c:formatCode>
                <c:ptCount val="1"/>
                <c:pt idx="0">
                  <c:v>0.33256528417818743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D-E250-4AB7-85F0-9E4846E1EDB9}"/>
            </c:ext>
          </c:extLst>
        </c:ser>
        <c:ser>
          <c:idx val="179"/>
          <c:order val="179"/>
          <c:tx>
            <c:strRef>
              <c:f>Diagrama!$EQ$25</c:f>
              <c:strCache>
                <c:ptCount val="1"/>
                <c:pt idx="0">
                  <c:v>146-Ponto146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4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145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4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Diagrama!$EQ$26</c:f>
              <c:numCache>
                <c:formatCode>0.00</c:formatCode>
                <c:ptCount val="1"/>
                <c:pt idx="0">
                  <c:v>4.4038922134976346E-4</c:v>
                </c:pt>
              </c:numCache>
            </c:numRef>
          </c:xVal>
          <c:yVal>
            <c:numRef>
              <c:f>Diagrama!$EQ$27</c:f>
              <c:numCache>
                <c:formatCode>0.00</c:formatCode>
                <c:ptCount val="1"/>
                <c:pt idx="0">
                  <c:v>0.33257055682684972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E-E250-4AB7-85F0-9E4846E1EDB9}"/>
            </c:ext>
          </c:extLst>
        </c:ser>
        <c:ser>
          <c:idx val="180"/>
          <c:order val="180"/>
          <c:tx>
            <c:strRef>
              <c:f>Diagrama!$ER$25</c:f>
              <c:strCache>
                <c:ptCount val="1"/>
                <c:pt idx="0">
                  <c:v>147-Ponto147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4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146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4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Diagrama!$ER$26</c:f>
              <c:numCache>
                <c:formatCode>0.00</c:formatCode>
                <c:ptCount val="1"/>
                <c:pt idx="0">
                  <c:v>4.3738656756788511E-4</c:v>
                </c:pt>
              </c:numCache>
            </c:numRef>
          </c:xVal>
          <c:yVal>
            <c:numRef>
              <c:f>Diagrama!$ER$27</c:f>
              <c:numCache>
                <c:formatCode>0.00</c:formatCode>
                <c:ptCount val="1"/>
                <c:pt idx="0">
                  <c:v>0.33257575757575758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F-E250-4AB7-85F0-9E4846E1EDB9}"/>
            </c:ext>
          </c:extLst>
        </c:ser>
        <c:ser>
          <c:idx val="181"/>
          <c:order val="181"/>
          <c:tx>
            <c:strRef>
              <c:f>Diagrama!$ES$25</c:f>
              <c:strCache>
                <c:ptCount val="1"/>
                <c:pt idx="0">
                  <c:v>148-Ponto148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4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147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4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Diagrama!$ES$26</c:f>
              <c:numCache>
                <c:formatCode>0.00</c:formatCode>
                <c:ptCount val="1"/>
                <c:pt idx="0">
                  <c:v>4.3442458178300766E-4</c:v>
                </c:pt>
              </c:numCache>
            </c:numRef>
          </c:xVal>
          <c:yVal>
            <c:numRef>
              <c:f>Diagrama!$ES$27</c:f>
              <c:numCache>
                <c:formatCode>0.00</c:formatCode>
                <c:ptCount val="1"/>
                <c:pt idx="0">
                  <c:v>0.33258088788562828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0-E250-4AB7-85F0-9E4846E1EDB9}"/>
            </c:ext>
          </c:extLst>
        </c:ser>
        <c:ser>
          <c:idx val="182"/>
          <c:order val="182"/>
          <c:tx>
            <c:strRef>
              <c:f>Diagrama!$ET$25</c:f>
              <c:strCache>
                <c:ptCount val="1"/>
                <c:pt idx="0">
                  <c:v>149-Ponto149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4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148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4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Diagrama!$ET$26</c:f>
              <c:numCache>
                <c:formatCode>0.00</c:formatCode>
                <c:ptCount val="1"/>
                <c:pt idx="0">
                  <c:v>4.3150244334055009E-4</c:v>
                </c:pt>
              </c:numCache>
            </c:numRef>
          </c:xVal>
          <c:yVal>
            <c:numRef>
              <c:f>Diagrama!$ET$27</c:f>
              <c:numCache>
                <c:formatCode>0.00</c:formatCode>
                <c:ptCount val="1"/>
                <c:pt idx="0">
                  <c:v>0.33258594917787743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1-E250-4AB7-85F0-9E4846E1EDB9}"/>
            </c:ext>
          </c:extLst>
        </c:ser>
        <c:ser>
          <c:idx val="183"/>
          <c:order val="183"/>
          <c:tx>
            <c:strRef>
              <c:f>Diagrama!$EU$25</c:f>
              <c:strCache>
                <c:ptCount val="1"/>
                <c:pt idx="0">
                  <c:v>150-Ponto150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5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149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5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Diagrama!$EU$26</c:f>
              <c:numCache>
                <c:formatCode>0.00</c:formatCode>
                <c:ptCount val="1"/>
                <c:pt idx="0">
                  <c:v>4.2861935351873098E-4</c:v>
                </c:pt>
              </c:numCache>
            </c:numRef>
          </c:xVal>
          <c:yVal>
            <c:numRef>
              <c:f>Diagrama!$EU$27</c:f>
              <c:numCache>
                <c:formatCode>0.00</c:formatCode>
                <c:ptCount val="1"/>
                <c:pt idx="0">
                  <c:v>0.33259094283593171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2-E250-4AB7-85F0-9E4846E1EDB9}"/>
            </c:ext>
          </c:extLst>
        </c:ser>
        <c:ser>
          <c:idx val="184"/>
          <c:order val="184"/>
          <c:tx>
            <c:strRef>
              <c:f>Diagrama!$EV$25</c:f>
              <c:strCache>
                <c:ptCount val="1"/>
                <c:pt idx="0">
                  <c:v>151-Ponto151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5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150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5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Diagrama!$EV$26</c:f>
              <c:numCache>
                <c:formatCode>0.00</c:formatCode>
                <c:ptCount val="1"/>
                <c:pt idx="0">
                  <c:v>4.2577453480066308E-4</c:v>
                </c:pt>
              </c:numCache>
            </c:numRef>
          </c:xVal>
          <c:yVal>
            <c:numRef>
              <c:f>Diagrama!$EV$27</c:f>
              <c:numCache>
                <c:formatCode>0.00</c:formatCode>
                <c:ptCount val="1"/>
                <c:pt idx="0">
                  <c:v>0.33259587020648967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3-E250-4AB7-85F0-9E4846E1EDB9}"/>
            </c:ext>
          </c:extLst>
        </c:ser>
        <c:ser>
          <c:idx val="185"/>
          <c:order val="185"/>
          <c:tx>
            <c:strRef>
              <c:f>Diagrama!$EW$25</c:f>
              <c:strCache>
                <c:ptCount val="1"/>
                <c:pt idx="0">
                  <c:v>152-Ponto152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5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151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5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Diagrama!$EW$26</c:f>
              <c:numCache>
                <c:formatCode>0.00</c:formatCode>
                <c:ptCount val="1"/>
                <c:pt idx="0">
                  <c:v>4.2296723017554855E-4</c:v>
                </c:pt>
              </c:numCache>
            </c:numRef>
          </c:xVal>
          <c:yVal>
            <c:numRef>
              <c:f>Diagrama!$EW$27</c:f>
              <c:numCache>
                <c:formatCode>0.00</c:formatCode>
                <c:ptCount val="1"/>
                <c:pt idx="0">
                  <c:v>0.33260073260073258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4-E250-4AB7-85F0-9E4846E1EDB9}"/>
            </c:ext>
          </c:extLst>
        </c:ser>
        <c:ser>
          <c:idx val="186"/>
          <c:order val="186"/>
          <c:tx>
            <c:strRef>
              <c:f>Diagrama!$EX$25</c:f>
              <c:strCache>
                <c:ptCount val="1"/>
                <c:pt idx="0">
                  <c:v>153-Ponto153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5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152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5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Diagrama!$EX$26</c:f>
              <c:numCache>
                <c:formatCode>0.00</c:formatCode>
                <c:ptCount val="1"/>
                <c:pt idx="0">
                  <c:v>4.2019670246705231E-4</c:v>
                </c:pt>
              </c:numCache>
            </c:numRef>
          </c:xVal>
          <c:yVal>
            <c:numRef>
              <c:f>Diagrama!$EX$27</c:f>
              <c:numCache>
                <c:formatCode>0.00</c:formatCode>
                <c:ptCount val="1"/>
                <c:pt idx="0">
                  <c:v>0.33260553129548764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5-E250-4AB7-85F0-9E4846E1EDB9}"/>
            </c:ext>
          </c:extLst>
        </c:ser>
        <c:ser>
          <c:idx val="187"/>
          <c:order val="187"/>
          <c:tx>
            <c:strRef>
              <c:f>Diagrama!$EY$25</c:f>
              <c:strCache>
                <c:ptCount val="1"/>
                <c:pt idx="0">
                  <c:v>154-Ponto154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5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153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5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Diagrama!$EY$26</c:f>
              <c:numCache>
                <c:formatCode>0.00</c:formatCode>
                <c:ptCount val="1"/>
                <c:pt idx="0">
                  <c:v>4.1746223368744305E-4</c:v>
                </c:pt>
              </c:numCache>
            </c:numRef>
          </c:xVal>
          <c:yVal>
            <c:numRef>
              <c:f>Diagrama!$EY$27</c:f>
              <c:numCache>
                <c:formatCode>0.00</c:formatCode>
                <c:ptCount val="1"/>
                <c:pt idx="0">
                  <c:v>0.33261026753434564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6-E250-4AB7-85F0-9E4846E1EDB9}"/>
            </c:ext>
          </c:extLst>
        </c:ser>
        <c:ser>
          <c:idx val="188"/>
          <c:order val="188"/>
          <c:tx>
            <c:strRef>
              <c:f>Diagrama!$EZ$25</c:f>
              <c:strCache>
                <c:ptCount val="1"/>
                <c:pt idx="0">
                  <c:v>155-Ponto155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5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154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5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Diagrama!$EZ$26</c:f>
              <c:numCache>
                <c:formatCode>0.00</c:formatCode>
                <c:ptCount val="1"/>
                <c:pt idx="0">
                  <c:v>4.1476312441788622E-4</c:v>
                </c:pt>
              </c:numCache>
            </c:numRef>
          </c:xVal>
          <c:yVal>
            <c:numRef>
              <c:f>Diagrama!$EZ$27</c:f>
              <c:numCache>
                <c:formatCode>0.00</c:formatCode>
                <c:ptCount val="1"/>
                <c:pt idx="0">
                  <c:v>0.33261494252873564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7-E250-4AB7-85F0-9E4846E1EDB9}"/>
            </c:ext>
          </c:extLst>
        </c:ser>
        <c:ser>
          <c:idx val="189"/>
          <c:order val="189"/>
          <c:tx>
            <c:strRef>
              <c:f>Diagrama!$FA$25</c:f>
              <c:strCache>
                <c:ptCount val="1"/>
                <c:pt idx="0">
                  <c:v>156-Ponto156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5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155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5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Diagrama!$FA$26</c:f>
              <c:numCache>
                <c:formatCode>0.00</c:formatCode>
                <c:ptCount val="1"/>
                <c:pt idx="0">
                  <c:v>4.1209869321181294E-4</c:v>
                </c:pt>
              </c:numCache>
            </c:numRef>
          </c:xVal>
          <c:yVal>
            <c:numRef>
              <c:f>Diagrama!$FA$27</c:f>
              <c:numCache>
                <c:formatCode>0.00</c:formatCode>
                <c:ptCount val="1"/>
                <c:pt idx="0">
                  <c:v>0.33261955745895788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8-E250-4AB7-85F0-9E4846E1EDB9}"/>
            </c:ext>
          </c:extLst>
        </c:ser>
        <c:ser>
          <c:idx val="190"/>
          <c:order val="190"/>
          <c:tx>
            <c:strRef>
              <c:f>Diagrama!$FB$25</c:f>
              <c:strCache>
                <c:ptCount val="1"/>
                <c:pt idx="0">
                  <c:v>157-Ponto157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5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156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5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Diagrama!$FB$26</c:f>
              <c:numCache>
                <c:formatCode>0.00</c:formatCode>
                <c:ptCount val="1"/>
                <c:pt idx="0">
                  <c:v>4.0946827602097974E-4</c:v>
                </c:pt>
              </c:numCache>
            </c:numRef>
          </c:xVal>
          <c:yVal>
            <c:numRef>
              <c:f>Diagrama!$FB$27</c:f>
              <c:numCache>
                <c:formatCode>0.00</c:formatCode>
                <c:ptCount val="1"/>
                <c:pt idx="0">
                  <c:v>0.33262411347517729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9-E250-4AB7-85F0-9E4846E1EDB9}"/>
            </c:ext>
          </c:extLst>
        </c:ser>
        <c:ser>
          <c:idx val="191"/>
          <c:order val="191"/>
          <c:tx>
            <c:strRef>
              <c:f>Diagrama!$FC$25</c:f>
              <c:strCache>
                <c:ptCount val="1"/>
                <c:pt idx="0">
                  <c:v>158-Ponto158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5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157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5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Diagrama!$FC$26</c:f>
              <c:numCache>
                <c:formatCode>0.00</c:formatCode>
                <c:ptCount val="1"/>
                <c:pt idx="0">
                  <c:v>4.0687122564460391E-4</c:v>
                </c:pt>
              </c:numCache>
            </c:numRef>
          </c:xVal>
          <c:yVal>
            <c:numRef>
              <c:f>Diagrama!$FC$27</c:f>
              <c:numCache>
                <c:formatCode>0.00</c:formatCode>
                <c:ptCount val="1"/>
                <c:pt idx="0">
                  <c:v>0.33262861169837915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A-E250-4AB7-85F0-9E4846E1EDB9}"/>
            </c:ext>
          </c:extLst>
        </c:ser>
        <c:ser>
          <c:idx val="192"/>
          <c:order val="192"/>
          <c:tx>
            <c:strRef>
              <c:f>Diagrama!$FD$25</c:f>
              <c:strCache>
                <c:ptCount val="1"/>
                <c:pt idx="0">
                  <c:v>159-Ponto159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5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158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5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Diagrama!$FD$26</c:f>
              <c:numCache>
                <c:formatCode>0.00</c:formatCode>
                <c:ptCount val="1"/>
                <c:pt idx="0">
                  <c:v>4.043069111972155E-4</c:v>
                </c:pt>
              </c:numCache>
            </c:numRef>
          </c:xVal>
          <c:yVal>
            <c:numRef>
              <c:f>Diagrama!$FD$27</c:f>
              <c:numCache>
                <c:formatCode>0.00</c:formatCode>
                <c:ptCount val="1"/>
                <c:pt idx="0">
                  <c:v>0.3326330532212885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B-E250-4AB7-85F0-9E4846E1EDB9}"/>
            </c:ext>
          </c:extLst>
        </c:ser>
        <c:ser>
          <c:idx val="193"/>
          <c:order val="193"/>
          <c:tx>
            <c:strRef>
              <c:f>Diagrama!$FE$25</c:f>
              <c:strCache>
                <c:ptCount val="1"/>
                <c:pt idx="0">
                  <c:v>160-Ponto160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5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159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5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Diagrama!$FE$26</c:f>
              <c:numCache>
                <c:formatCode>0.00</c:formatCode>
                <c:ptCount val="1"/>
                <c:pt idx="0">
                  <c:v>4.0177471759894406E-4</c:v>
                </c:pt>
              </c:numCache>
            </c:numRef>
          </c:xVal>
          <c:yVal>
            <c:numRef>
              <c:f>Diagrama!$FE$27</c:f>
              <c:numCache>
                <c:formatCode>0.00</c:formatCode>
                <c:ptCount val="1"/>
                <c:pt idx="0">
                  <c:v>0.33263743910925542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C-E250-4AB7-85F0-9E4846E1EDB9}"/>
            </c:ext>
          </c:extLst>
        </c:ser>
        <c:ser>
          <c:idx val="194"/>
          <c:order val="194"/>
          <c:tx>
            <c:strRef>
              <c:f>Diagrama!$FF$25</c:f>
              <c:strCache>
                <c:ptCount val="1"/>
                <c:pt idx="0">
                  <c:v>161-Ponto161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5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160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5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Diagrama!$FF$26</c:f>
              <c:numCache>
                <c:formatCode>0.00</c:formatCode>
                <c:ptCount val="1"/>
                <c:pt idx="0">
                  <c:v>3.9927404508272735E-4</c:v>
                </c:pt>
              </c:numCache>
            </c:numRef>
          </c:xVal>
          <c:yVal>
            <c:numRef>
              <c:f>Diagrama!$FF$27</c:f>
              <c:numCache>
                <c:formatCode>0.00</c:formatCode>
                <c:ptCount val="1"/>
                <c:pt idx="0">
                  <c:v>0.33264177040110648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D-E250-4AB7-85F0-9E4846E1EDB9}"/>
            </c:ext>
          </c:extLst>
        </c:ser>
        <c:ser>
          <c:idx val="195"/>
          <c:order val="195"/>
          <c:tx>
            <c:strRef>
              <c:f>Diagrama!$FG$25</c:f>
              <c:strCache>
                <c:ptCount val="1"/>
                <c:pt idx="0">
                  <c:v>162-Ponto162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5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161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5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Diagrama!$FG$26</c:f>
              <c:numCache>
                <c:formatCode>0.00</c:formatCode>
                <c:ptCount val="1"/>
                <c:pt idx="0">
                  <c:v>3.968043087213909E-4</c:v>
                </c:pt>
              </c:numCache>
            </c:numRef>
          </c:xVal>
          <c:yVal>
            <c:numRef>
              <c:f>Diagrama!$FG$27</c:f>
              <c:numCache>
                <c:formatCode>0.00</c:formatCode>
                <c:ptCount val="1"/>
                <c:pt idx="0">
                  <c:v>0.33264604810996562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E-E250-4AB7-85F0-9E4846E1EDB9}"/>
            </c:ext>
          </c:extLst>
        </c:ser>
        <c:ser>
          <c:idx val="196"/>
          <c:order val="196"/>
          <c:tx>
            <c:strRef>
              <c:f>Diagrama!$FH$25</c:f>
              <c:strCache>
                <c:ptCount val="1"/>
                <c:pt idx="0">
                  <c:v>163-Ponto163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5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162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5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Diagrama!$FH$26</c:f>
              <c:numCache>
                <c:formatCode>0.00</c:formatCode>
                <c:ptCount val="1"/>
                <c:pt idx="0">
                  <c:v>3.9436493797100823E-4</c:v>
                </c:pt>
              </c:numCache>
            </c:numRef>
          </c:xVal>
          <c:yVal>
            <c:numRef>
              <c:f>Diagrama!$FH$27</c:f>
              <c:numCache>
                <c:formatCode>0.00</c:formatCode>
                <c:ptCount val="1"/>
                <c:pt idx="0">
                  <c:v>0.33265027322404372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F-E250-4AB7-85F0-9E4846E1EDB9}"/>
            </c:ext>
          </c:extLst>
        </c:ser>
        <c:ser>
          <c:idx val="197"/>
          <c:order val="197"/>
          <c:tx>
            <c:strRef>
              <c:f>Diagrama!$FI$25</c:f>
              <c:strCache>
                <c:ptCount val="1"/>
                <c:pt idx="0">
                  <c:v>164-Ponto164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5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163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5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Diagrama!$FI$26</c:f>
              <c:numCache>
                <c:formatCode>0.00</c:formatCode>
                <c:ptCount val="1"/>
                <c:pt idx="0">
                  <c:v>3.919553762318246E-4</c:v>
                </c:pt>
              </c:numCache>
            </c:numRef>
          </c:xVal>
          <c:yVal>
            <c:numRef>
              <c:f>Diagrama!$FI$27</c:f>
              <c:numCache>
                <c:formatCode>0.00</c:formatCode>
                <c:ptCount val="1"/>
                <c:pt idx="0">
                  <c:v>0.33265444670739985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1-E250-4AB7-85F0-9E4846E1EDB9}"/>
            </c:ext>
          </c:extLst>
        </c:ser>
        <c:ser>
          <c:idx val="198"/>
          <c:order val="198"/>
          <c:tx>
            <c:strRef>
              <c:f>Diagrama!$FJ$25</c:f>
              <c:strCache>
                <c:ptCount val="1"/>
                <c:pt idx="0">
                  <c:v>165-Ponto165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5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164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5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Diagrama!$FJ$26</c:f>
              <c:numCache>
                <c:formatCode>0.00</c:formatCode>
                <c:ptCount val="1"/>
                <c:pt idx="0">
                  <c:v>3.8957508042482036E-4</c:v>
                </c:pt>
              </c:numCache>
            </c:numRef>
          </c:xVal>
          <c:yVal>
            <c:numRef>
              <c:f>Diagrama!$FJ$27</c:f>
              <c:numCache>
                <c:formatCode>0.00</c:formatCode>
                <c:ptCount val="1"/>
                <c:pt idx="0">
                  <c:v>0.33265856950067474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2-E250-4AB7-85F0-9E4846E1EDB9}"/>
            </c:ext>
          </c:extLst>
        </c:ser>
        <c:ser>
          <c:idx val="199"/>
          <c:order val="199"/>
          <c:tx>
            <c:strRef>
              <c:f>Diagrama!$FK$25</c:f>
              <c:strCache>
                <c:ptCount val="1"/>
                <c:pt idx="0">
                  <c:v>166-Ponto166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6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165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6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Diagrama!$FK$26</c:f>
              <c:numCache>
                <c:formatCode>0.00</c:formatCode>
                <c:ptCount val="1"/>
                <c:pt idx="0">
                  <c:v>3.8722352058327393E-4</c:v>
                </c:pt>
              </c:numCache>
            </c:numRef>
          </c:xVal>
          <c:yVal>
            <c:numRef>
              <c:f>Diagrama!$FK$27</c:f>
              <c:numCache>
                <c:formatCode>0.00</c:formatCode>
                <c:ptCount val="1"/>
                <c:pt idx="0">
                  <c:v>0.33266264252179745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3-E250-4AB7-85F0-9E4846E1EDB9}"/>
            </c:ext>
          </c:extLst>
        </c:ser>
        <c:ser>
          <c:idx val="200"/>
          <c:order val="200"/>
          <c:tx>
            <c:strRef>
              <c:f>Diagrama!$FL$25</c:f>
              <c:strCache>
                <c:ptCount val="1"/>
                <c:pt idx="0">
                  <c:v>167-Ponto167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6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166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6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Diagrama!$FL$26</c:f>
              <c:numCache>
                <c:formatCode>0.00</c:formatCode>
                <c:ptCount val="1"/>
                <c:pt idx="0">
                  <c:v>3.8490017945970814E-4</c:v>
                </c:pt>
              </c:numCache>
            </c:numRef>
          </c:xVal>
          <c:yVal>
            <c:numRef>
              <c:f>Diagrama!$FL$27</c:f>
              <c:numCache>
                <c:formatCode>0.00</c:formatCode>
                <c:ptCount val="1"/>
                <c:pt idx="0">
                  <c:v>0.33266666666666667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4-E250-4AB7-85F0-9E4846E1EDB9}"/>
            </c:ext>
          </c:extLst>
        </c:ser>
        <c:ser>
          <c:idx val="201"/>
          <c:order val="201"/>
          <c:tx>
            <c:strRef>
              <c:f>Diagrama!$FM$25</c:f>
              <c:strCache>
                <c:ptCount val="1"/>
                <c:pt idx="0">
                  <c:v>168-Ponto168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6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167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6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Diagrama!$FM$26</c:f>
              <c:numCache>
                <c:formatCode>0.00</c:formatCode>
                <c:ptCount val="1"/>
                <c:pt idx="0">
                  <c:v>3.8260455214681008E-4</c:v>
                </c:pt>
              </c:numCache>
            </c:numRef>
          </c:xVal>
          <c:yVal>
            <c:numRef>
              <c:f>Diagrama!$FM$27</c:f>
              <c:numCache>
                <c:formatCode>0.00</c:formatCode>
                <c:ptCount val="1"/>
                <c:pt idx="0">
                  <c:v>0.33267064280980779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5-E250-4AB7-85F0-9E4846E1EDB9}"/>
            </c:ext>
          </c:extLst>
        </c:ser>
        <c:ser>
          <c:idx val="202"/>
          <c:order val="202"/>
          <c:tx>
            <c:strRef>
              <c:f>Diagrama!$FN$25</c:f>
              <c:strCache>
                <c:ptCount val="1"/>
                <c:pt idx="0">
                  <c:v>169-Ponto169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6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168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6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Diagrama!$FN$26</c:f>
              <c:numCache>
                <c:formatCode>0.00</c:formatCode>
                <c:ptCount val="1"/>
                <c:pt idx="0">
                  <c:v>3.8033614571117099E-4</c:v>
                </c:pt>
              </c:numCache>
            </c:numRef>
          </c:xVal>
          <c:yVal>
            <c:numRef>
              <c:f>Diagrama!$FN$27</c:f>
              <c:numCache>
                <c:formatCode>0.00</c:formatCode>
                <c:ptCount val="1"/>
                <c:pt idx="0">
                  <c:v>0.33267457180500659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6-E250-4AB7-85F0-9E4846E1EDB9}"/>
            </c:ext>
          </c:extLst>
        </c:ser>
        <c:ser>
          <c:idx val="203"/>
          <c:order val="203"/>
          <c:tx>
            <c:strRef>
              <c:f>Diagrama!$FO$25</c:f>
              <c:strCache>
                <c:ptCount val="1"/>
                <c:pt idx="0">
                  <c:v>170-Ponto170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6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169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6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Diagrama!$FO$26</c:f>
              <c:numCache>
                <c:formatCode>0.00</c:formatCode>
                <c:ptCount val="1"/>
                <c:pt idx="0">
                  <c:v>3.7809447884061477E-4</c:v>
                </c:pt>
              </c:numCache>
            </c:numRef>
          </c:xVal>
          <c:yVal>
            <c:numRef>
              <c:f>Diagrama!$FO$27</c:f>
              <c:numCache>
                <c:formatCode>0.00</c:formatCode>
                <c:ptCount val="1"/>
                <c:pt idx="0">
                  <c:v>0.33267845448592009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7-E250-4AB7-85F0-9E4846E1EDB9}"/>
            </c:ext>
          </c:extLst>
        </c:ser>
        <c:ser>
          <c:idx val="204"/>
          <c:order val="204"/>
          <c:tx>
            <c:strRef>
              <c:f>Diagrama!$FP$25</c:f>
              <c:strCache>
                <c:ptCount val="1"/>
                <c:pt idx="0">
                  <c:v>171-Ponto171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6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170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6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Diagrama!$FP$26</c:f>
              <c:numCache>
                <c:formatCode>0.00</c:formatCode>
                <c:ptCount val="1"/>
                <c:pt idx="0">
                  <c:v>3.7587908150370534E-4</c:v>
                </c:pt>
              </c:numCache>
            </c:numRef>
          </c:xVal>
          <c:yVal>
            <c:numRef>
              <c:f>Diagrama!$FP$27</c:f>
              <c:numCache>
                <c:formatCode>0.00</c:formatCode>
                <c:ptCount val="1"/>
                <c:pt idx="0">
                  <c:v>0.33268229166666669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8-E250-4AB7-85F0-9E4846E1EDB9}"/>
            </c:ext>
          </c:extLst>
        </c:ser>
        <c:ser>
          <c:idx val="205"/>
          <c:order val="205"/>
          <c:tx>
            <c:strRef>
              <c:f>Diagrama!$FQ$25</c:f>
              <c:strCache>
                <c:ptCount val="1"/>
                <c:pt idx="0">
                  <c:v>172-Ponto172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6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171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6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Diagrama!$FQ$26</c:f>
              <c:numCache>
                <c:formatCode>0.00</c:formatCode>
                <c:ptCount val="1"/>
                <c:pt idx="0">
                  <c:v>3.7368949462104846E-4</c:v>
                </c:pt>
              </c:numCache>
            </c:numRef>
          </c:xVal>
          <c:yVal>
            <c:numRef>
              <c:f>Diagrama!$FQ$27</c:f>
              <c:numCache>
                <c:formatCode>0.00</c:formatCode>
                <c:ptCount val="1"/>
                <c:pt idx="0">
                  <c:v>0.33268608414239481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9-E250-4AB7-85F0-9E4846E1EDB9}"/>
            </c:ext>
          </c:extLst>
        </c:ser>
        <c:ser>
          <c:idx val="206"/>
          <c:order val="206"/>
          <c:tx>
            <c:strRef>
              <c:f>Diagrama!$FR$25</c:f>
              <c:strCache>
                <c:ptCount val="1"/>
                <c:pt idx="0">
                  <c:v>173-Ponto173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6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172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6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Diagrama!$FR$26</c:f>
              <c:numCache>
                <c:formatCode>0.00</c:formatCode>
                <c:ptCount val="1"/>
                <c:pt idx="0">
                  <c:v>3.7152526974877187E-4</c:v>
                </c:pt>
              </c:numCache>
            </c:numRef>
          </c:xVal>
          <c:yVal>
            <c:numRef>
              <c:f>Diagrama!$FR$27</c:f>
              <c:numCache>
                <c:formatCode>0.00</c:formatCode>
                <c:ptCount val="1"/>
                <c:pt idx="0">
                  <c:v>0.33268983268983271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A-E250-4AB7-85F0-9E4846E1EDB9}"/>
            </c:ext>
          </c:extLst>
        </c:ser>
        <c:ser>
          <c:idx val="207"/>
          <c:order val="207"/>
          <c:tx>
            <c:strRef>
              <c:f>Diagrama!$FS$25</c:f>
              <c:strCache>
                <c:ptCount val="1"/>
                <c:pt idx="0">
                  <c:v>174-Ponto174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6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173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6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Diagrama!$FS$26</c:f>
              <c:numCache>
                <c:formatCode>0.00</c:formatCode>
                <c:ptCount val="1"/>
                <c:pt idx="0">
                  <c:v>3.6938596877136393E-4</c:v>
                </c:pt>
              </c:numCache>
            </c:numRef>
          </c:xVal>
          <c:yVal>
            <c:numRef>
              <c:f>Diagrama!$FS$27</c:f>
              <c:numCache>
                <c:formatCode>0.00</c:formatCode>
                <c:ptCount val="1"/>
                <c:pt idx="0">
                  <c:v>0.33269353806781832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B-E250-4AB7-85F0-9E4846E1EDB9}"/>
            </c:ext>
          </c:extLst>
        </c:ser>
        <c:ser>
          <c:idx val="208"/>
          <c:order val="208"/>
          <c:tx>
            <c:strRef>
              <c:f>Diagrama!$FT$25</c:f>
              <c:strCache>
                <c:ptCount val="1"/>
                <c:pt idx="0">
                  <c:v>175-Ponto175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6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174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6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Diagrama!$FT$26</c:f>
              <c:numCache>
                <c:formatCode>0.00</c:formatCode>
                <c:ptCount val="1"/>
                <c:pt idx="0">
                  <c:v>3.6727116360656337E-4</c:v>
                </c:pt>
              </c:numCache>
            </c:numRef>
          </c:xVal>
          <c:yVal>
            <c:numRef>
              <c:f>Diagrama!$FT$27</c:f>
              <c:numCache>
                <c:formatCode>0.00</c:formatCode>
                <c:ptCount val="1"/>
                <c:pt idx="0">
                  <c:v>0.33269720101781169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C-E250-4AB7-85F0-9E4846E1EDB9}"/>
            </c:ext>
          </c:extLst>
        </c:ser>
        <c:ser>
          <c:idx val="209"/>
          <c:order val="209"/>
          <c:tx>
            <c:strRef>
              <c:f>Diagrama!$FU$25</c:f>
              <c:strCache>
                <c:ptCount val="1"/>
                <c:pt idx="0">
                  <c:v>176-Ponto176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6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175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6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Diagrama!$FU$26</c:f>
              <c:numCache>
                <c:formatCode>0.00</c:formatCode>
                <c:ptCount val="1"/>
                <c:pt idx="0">
                  <c:v>3.6518043592011939E-4</c:v>
                </c:pt>
              </c:numCache>
            </c:numRef>
          </c:xVal>
          <c:yVal>
            <c:numRef>
              <c:f>Diagrama!$FU$27</c:f>
              <c:numCache>
                <c:formatCode>0.00</c:formatCode>
                <c:ptCount val="1"/>
                <c:pt idx="0">
                  <c:v>0.33270082226438963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D-E250-4AB7-85F0-9E4846E1EDB9}"/>
            </c:ext>
          </c:extLst>
        </c:ser>
        <c:ser>
          <c:idx val="210"/>
          <c:order val="210"/>
          <c:tx>
            <c:strRef>
              <c:f>Diagrama!$FV$25</c:f>
              <c:strCache>
                <c:ptCount val="1"/>
                <c:pt idx="0">
                  <c:v>177-Ponto177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6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176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6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Diagrama!$FV$26</c:f>
              <c:numCache>
                <c:formatCode>0.00</c:formatCode>
                <c:ptCount val="1"/>
                <c:pt idx="0">
                  <c:v>3.6311337684875709E-4</c:v>
                </c:pt>
              </c:numCache>
            </c:numRef>
          </c:xVal>
          <c:yVal>
            <c:numRef>
              <c:f>Diagrama!$FV$27</c:f>
              <c:numCache>
                <c:formatCode>0.00</c:formatCode>
                <c:ptCount val="1"/>
                <c:pt idx="0">
                  <c:v>0.33270440251572325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E-E250-4AB7-85F0-9E4846E1EDB9}"/>
            </c:ext>
          </c:extLst>
        </c:ser>
        <c:ser>
          <c:idx val="211"/>
          <c:order val="211"/>
          <c:tx>
            <c:strRef>
              <c:f>Diagrama!$FW$25</c:f>
              <c:strCache>
                <c:ptCount val="1"/>
                <c:pt idx="0">
                  <c:v>178-Ponto178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6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177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6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Diagrama!$FW$26</c:f>
              <c:numCache>
                <c:formatCode>0.00</c:formatCode>
                <c:ptCount val="1"/>
                <c:pt idx="0">
                  <c:v>3.6106958673519309E-4</c:v>
                </c:pt>
              </c:numCache>
            </c:numRef>
          </c:xVal>
          <c:yVal>
            <c:numRef>
              <c:f>Diagrama!$FW$27</c:f>
              <c:numCache>
                <c:formatCode>0.00</c:formatCode>
                <c:ptCount val="1"/>
                <c:pt idx="0">
                  <c:v>0.33270794246404001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F-E250-4AB7-85F0-9E4846E1EDB9}"/>
            </c:ext>
          </c:extLst>
        </c:ser>
        <c:ser>
          <c:idx val="212"/>
          <c:order val="212"/>
          <c:tx>
            <c:strRef>
              <c:f>Diagrama!$FX$25</c:f>
              <c:strCache>
                <c:ptCount val="1"/>
                <c:pt idx="0">
                  <c:v>179-Ponto179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6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178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6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Diagrama!$FX$26</c:f>
              <c:numCache>
                <c:formatCode>0.00</c:formatCode>
                <c:ptCount val="1"/>
                <c:pt idx="0">
                  <c:v>3.5904867486917665E-4</c:v>
                </c:pt>
              </c:numCache>
            </c:numRef>
          </c:xVal>
          <c:yVal>
            <c:numRef>
              <c:f>Diagrama!$FX$27</c:f>
              <c:numCache>
                <c:formatCode>0.00</c:formatCode>
                <c:ptCount val="1"/>
                <c:pt idx="0">
                  <c:v>0.33271144278606968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B0-E250-4AB7-85F0-9E4846E1EDB9}"/>
            </c:ext>
          </c:extLst>
        </c:ser>
        <c:ser>
          <c:idx val="213"/>
          <c:order val="213"/>
          <c:tx>
            <c:strRef>
              <c:f>Diagrama!$FY$25</c:f>
              <c:strCache>
                <c:ptCount val="1"/>
                <c:pt idx="0">
                  <c:v>180-Ponto180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6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179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6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Diagrama!$FY$26</c:f>
              <c:numCache>
                <c:formatCode>0.00</c:formatCode>
                <c:ptCount val="1"/>
                <c:pt idx="0">
                  <c:v>3.5705025923904281E-4</c:v>
                </c:pt>
              </c:numCache>
            </c:numRef>
          </c:xVal>
          <c:yVal>
            <c:numRef>
              <c:f>Diagrama!$FY$27</c:f>
              <c:numCache>
                <c:formatCode>0.00</c:formatCode>
                <c:ptCount val="1"/>
                <c:pt idx="0">
                  <c:v>0.3327149041434756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B1-E250-4AB7-85F0-9E4846E1EDB9}"/>
            </c:ext>
          </c:extLst>
        </c:ser>
        <c:ser>
          <c:idx val="214"/>
          <c:order val="214"/>
          <c:tx>
            <c:strRef>
              <c:f>Diagrama!$FZ$25</c:f>
              <c:strCache>
                <c:ptCount val="1"/>
                <c:pt idx="0">
                  <c:v>181-Ponto181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6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180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6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Diagrama!$FZ$26</c:f>
              <c:numCache>
                <c:formatCode>0.00</c:formatCode>
                <c:ptCount val="1"/>
                <c:pt idx="0">
                  <c:v>3.5507396629121389E-4</c:v>
                </c:pt>
              </c:numCache>
            </c:numRef>
          </c:xVal>
          <c:yVal>
            <c:numRef>
              <c:f>Diagrama!$FZ$27</c:f>
              <c:numCache>
                <c:formatCode>0.00</c:formatCode>
                <c:ptCount val="1"/>
                <c:pt idx="0">
                  <c:v>0.33271832718327182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B2-E250-4AB7-85F0-9E4846E1EDB9}"/>
            </c:ext>
          </c:extLst>
        </c:ser>
        <c:ser>
          <c:idx val="215"/>
          <c:order val="215"/>
          <c:tx>
            <c:strRef>
              <c:f>Diagrama!$GA$25</c:f>
              <c:strCache>
                <c:ptCount val="1"/>
                <c:pt idx="0">
                  <c:v>182-Ponto182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7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181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7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Diagrama!$GA$26</c:f>
              <c:numCache>
                <c:formatCode>0.00</c:formatCode>
                <c:ptCount val="1"/>
                <c:pt idx="0">
                  <c:v>3.5311943069700816E-4</c:v>
                </c:pt>
              </c:numCache>
            </c:numRef>
          </c:xVal>
          <c:yVal>
            <c:numRef>
              <c:f>Diagrama!$GA$27</c:f>
              <c:numCache>
                <c:formatCode>0.00</c:formatCode>
                <c:ptCount val="1"/>
                <c:pt idx="0">
                  <c:v>0.3327217125382263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B3-E250-4AB7-85F0-9E4846E1EDB9}"/>
            </c:ext>
          </c:extLst>
        </c:ser>
        <c:ser>
          <c:idx val="216"/>
          <c:order val="216"/>
          <c:tx>
            <c:strRef>
              <c:f>Diagrama!$GB$25</c:f>
              <c:strCache>
                <c:ptCount val="1"/>
                <c:pt idx="0">
                  <c:v>183-Ponto183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7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182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7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Diagrama!$GB$26</c:f>
              <c:numCache>
                <c:formatCode>0.00</c:formatCode>
                <c:ptCount val="1"/>
                <c:pt idx="0">
                  <c:v>3.511862951275252E-4</c:v>
                </c:pt>
              </c:numCache>
            </c:numRef>
          </c:xVal>
          <c:yVal>
            <c:numRef>
              <c:f>Diagrama!$GB$27</c:f>
              <c:numCache>
                <c:formatCode>0.00</c:formatCode>
                <c:ptCount val="1"/>
                <c:pt idx="0">
                  <c:v>0.33272506082725062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B4-E250-4AB7-85F0-9E4846E1EDB9}"/>
            </c:ext>
          </c:extLst>
        </c:ser>
        <c:ser>
          <c:idx val="217"/>
          <c:order val="217"/>
          <c:tx>
            <c:strRef>
              <c:f>Diagrama!$GC$25</c:f>
              <c:strCache>
                <c:ptCount val="1"/>
                <c:pt idx="0">
                  <c:v>184-Ponto184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7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183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7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Diagrama!$GC$26</c:f>
              <c:numCache>
                <c:formatCode>0.00</c:formatCode>
                <c:ptCount val="1"/>
                <c:pt idx="0">
                  <c:v>3.4927421003609448E-4</c:v>
                </c:pt>
              </c:numCache>
            </c:numRef>
          </c:xVal>
          <c:yVal>
            <c:numRef>
              <c:f>Diagrama!$GC$27</c:f>
              <c:numCache>
                <c:formatCode>0.00</c:formatCode>
                <c:ptCount val="1"/>
                <c:pt idx="0">
                  <c:v>0.33272837265577737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B5-E250-4AB7-85F0-9E4846E1EDB9}"/>
            </c:ext>
          </c:extLst>
        </c:ser>
        <c:ser>
          <c:idx val="218"/>
          <c:order val="218"/>
          <c:tx>
            <c:strRef>
              <c:f>Diagrama!$GD$25</c:f>
              <c:strCache>
                <c:ptCount val="1"/>
                <c:pt idx="0">
                  <c:v>185-Ponto185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7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184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7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Diagrama!$GD$26</c:f>
              <c:numCache>
                <c:formatCode>0.00</c:formatCode>
                <c:ptCount val="1"/>
                <c:pt idx="0">
                  <c:v>3.4738283344751866E-4</c:v>
                </c:pt>
              </c:numCache>
            </c:numRef>
          </c:xVal>
          <c:yVal>
            <c:numRef>
              <c:f>Diagrama!$GD$27</c:f>
              <c:numCache>
                <c:formatCode>0.00</c:formatCode>
                <c:ptCount val="1"/>
                <c:pt idx="0">
                  <c:v>0.33273164861612514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B6-E250-4AB7-85F0-9E4846E1EDB9}"/>
            </c:ext>
          </c:extLst>
        </c:ser>
        <c:ser>
          <c:idx val="219"/>
          <c:order val="219"/>
          <c:tx>
            <c:strRef>
              <c:f>Diagrama!$GE$25</c:f>
              <c:strCache>
                <c:ptCount val="1"/>
                <c:pt idx="0">
                  <c:v>186-Ponto186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7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185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7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Diagrama!$GE$26</c:f>
              <c:numCache>
                <c:formatCode>0.00</c:formatCode>
                <c:ptCount val="1"/>
                <c:pt idx="0">
                  <c:v>3.4551183075385531E-4</c:v>
                </c:pt>
              </c:numCache>
            </c:numRef>
          </c:xVal>
          <c:yVal>
            <c:numRef>
              <c:f>Diagrama!$GE$27</c:f>
              <c:numCache>
                <c:formatCode>0.00</c:formatCode>
                <c:ptCount val="1"/>
                <c:pt idx="0">
                  <c:v>0.33273488928785161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B7-E250-4AB7-85F0-9E4846E1EDB9}"/>
            </c:ext>
          </c:extLst>
        </c:ser>
        <c:ser>
          <c:idx val="220"/>
          <c:order val="220"/>
          <c:tx>
            <c:strRef>
              <c:f>Diagrama!$GF$25</c:f>
              <c:strCache>
                <c:ptCount val="1"/>
                <c:pt idx="0">
                  <c:v>187-Ponto187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7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186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7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Diagrama!$GF$26</c:f>
              <c:numCache>
                <c:formatCode>0.00</c:formatCode>
                <c:ptCount val="1"/>
                <c:pt idx="0">
                  <c:v>3.4366087451763319E-4</c:v>
                </c:pt>
              </c:numCache>
            </c:numRef>
          </c:xVal>
          <c:yVal>
            <c:numRef>
              <c:f>Diagrama!$GF$27</c:f>
              <c:numCache>
                <c:formatCode>0.00</c:formatCode>
                <c:ptCount val="1"/>
                <c:pt idx="0">
                  <c:v>0.33273809523809522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B8-E250-4AB7-85F0-9E4846E1EDB9}"/>
            </c:ext>
          </c:extLst>
        </c:ser>
        <c:ser>
          <c:idx val="221"/>
          <c:order val="221"/>
          <c:tx>
            <c:strRef>
              <c:f>Diagrama!$GG$25</c:f>
              <c:strCache>
                <c:ptCount val="1"/>
                <c:pt idx="0">
                  <c:v>188-Ponto188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7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187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7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Diagrama!$GG$26</c:f>
              <c:numCache>
                <c:formatCode>0.00</c:formatCode>
                <c:ptCount val="1"/>
                <c:pt idx="0">
                  <c:v>3.4182964428032558E-4</c:v>
                </c:pt>
              </c:numCache>
            </c:numRef>
          </c:xVal>
          <c:yVal>
            <c:numRef>
              <c:f>Diagrama!$GG$27</c:f>
              <c:numCache>
                <c:formatCode>0.00</c:formatCode>
                <c:ptCount val="1"/>
                <c:pt idx="0">
                  <c:v>0.33274126702190643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B9-E250-4AB7-85F0-9E4846E1EDB9}"/>
            </c:ext>
          </c:extLst>
        </c:ser>
        <c:ser>
          <c:idx val="222"/>
          <c:order val="222"/>
          <c:tx>
            <c:strRef>
              <c:f>Diagrama!$GH$25</c:f>
              <c:strCache>
                <c:ptCount val="1"/>
                <c:pt idx="0">
                  <c:v>189-Ponto189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7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188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7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Diagrama!$GH$26</c:f>
              <c:numCache>
                <c:formatCode>0.00</c:formatCode>
                <c:ptCount val="1"/>
                <c:pt idx="0">
                  <c:v>3.4001782637787392E-4</c:v>
                </c:pt>
              </c:numCache>
            </c:numRef>
          </c:xVal>
          <c:yVal>
            <c:numRef>
              <c:f>Diagrama!$GH$27</c:f>
              <c:numCache>
                <c:formatCode>0.00</c:formatCode>
                <c:ptCount val="1"/>
                <c:pt idx="0">
                  <c:v>0.3327444051825677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BA-E250-4AB7-85F0-9E4846E1EDB9}"/>
            </c:ext>
          </c:extLst>
        </c:ser>
        <c:ser>
          <c:idx val="223"/>
          <c:order val="223"/>
          <c:tx>
            <c:strRef>
              <c:f>Diagrama!$GI$25</c:f>
              <c:strCache>
                <c:ptCount val="1"/>
                <c:pt idx="0">
                  <c:v>190-Ponto190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7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189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7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Diagrama!$GI$26</c:f>
              <c:numCache>
                <c:formatCode>0.00</c:formatCode>
                <c:ptCount val="1"/>
                <c:pt idx="0">
                  <c:v>3.3822511376069845E-4</c:v>
                </c:pt>
              </c:numCache>
            </c:numRef>
          </c:xVal>
          <c:yVal>
            <c:numRef>
              <c:f>Diagrama!$GI$27</c:f>
              <c:numCache>
                <c:formatCode>0.00</c:formatCode>
                <c:ptCount val="1"/>
                <c:pt idx="0">
                  <c:v>0.33274751025190391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BB-E250-4AB7-85F0-9E4846E1EDB9}"/>
            </c:ext>
          </c:extLst>
        </c:ser>
        <c:ser>
          <c:idx val="224"/>
          <c:order val="224"/>
          <c:tx>
            <c:strRef>
              <c:f>Diagrama!$GJ$25</c:f>
              <c:strCache>
                <c:ptCount val="1"/>
                <c:pt idx="0">
                  <c:v>191-Ponto191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7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190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7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Diagrama!$GJ$26</c:f>
              <c:numCache>
                <c:formatCode>0.00</c:formatCode>
                <c:ptCount val="1"/>
                <c:pt idx="0">
                  <c:v>3.3645120582140081E-4</c:v>
                </c:pt>
              </c:numCache>
            </c:numRef>
          </c:xVal>
          <c:yVal>
            <c:numRef>
              <c:f>Diagrama!$GJ$27</c:f>
              <c:numCache>
                <c:formatCode>0.00</c:formatCode>
                <c:ptCount val="1"/>
                <c:pt idx="0">
                  <c:v>0.33275058275058272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BC-E250-4AB7-85F0-9E4846E1EDB9}"/>
            </c:ext>
          </c:extLst>
        </c:ser>
        <c:ser>
          <c:idx val="225"/>
          <c:order val="225"/>
          <c:tx>
            <c:strRef>
              <c:f>Diagrama!$GK$25</c:f>
              <c:strCache>
                <c:ptCount val="1"/>
                <c:pt idx="0">
                  <c:v>192-Ponto192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7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191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7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Diagrama!$GK$26</c:f>
              <c:numCache>
                <c:formatCode>0.00</c:formatCode>
                <c:ptCount val="1"/>
                <c:pt idx="0">
                  <c:v>3.346958082259279E-4</c:v>
                </c:pt>
              </c:numCache>
            </c:numRef>
          </c:xVal>
          <c:yVal>
            <c:numRef>
              <c:f>Diagrama!$GK$27</c:f>
              <c:numCache>
                <c:formatCode>0.00</c:formatCode>
                <c:ptCount val="1"/>
                <c:pt idx="0">
                  <c:v>0.33275362318840579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BD-E250-4AB7-85F0-9E4846E1EDB9}"/>
            </c:ext>
          </c:extLst>
        </c:ser>
        <c:ser>
          <c:idx val="226"/>
          <c:order val="226"/>
          <c:tx>
            <c:strRef>
              <c:f>Diagrama!$GL$25</c:f>
              <c:strCache>
                <c:ptCount val="1"/>
                <c:pt idx="0">
                  <c:v>193-Ponto193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7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192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7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Diagrama!$GL$26</c:f>
              <c:numCache>
                <c:formatCode>0.00</c:formatCode>
                <c:ptCount val="1"/>
                <c:pt idx="0">
                  <c:v>3.3295863275063298E-4</c:v>
                </c:pt>
              </c:numCache>
            </c:numRef>
          </c:xVal>
          <c:yVal>
            <c:numRef>
              <c:f>Diagrama!$GL$27</c:f>
              <c:numCache>
                <c:formatCode>0.00</c:formatCode>
                <c:ptCount val="1"/>
                <c:pt idx="0">
                  <c:v>0.33275663206459055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BE-E250-4AB7-85F0-9E4846E1EDB9}"/>
            </c:ext>
          </c:extLst>
        </c:ser>
        <c:ser>
          <c:idx val="227"/>
          <c:order val="227"/>
          <c:tx>
            <c:strRef>
              <c:f>Diagrama!$GM$25</c:f>
              <c:strCache>
                <c:ptCount val="1"/>
                <c:pt idx="0">
                  <c:v>194-Ponto194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7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193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7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Diagrama!$GM$26</c:f>
              <c:numCache>
                <c:formatCode>0.00</c:formatCode>
                <c:ptCount val="1"/>
                <c:pt idx="0">
                  <c:v>3.3123939712536161E-4</c:v>
                </c:pt>
              </c:numCache>
            </c:numRef>
          </c:xVal>
          <c:yVal>
            <c:numRef>
              <c:f>Diagrama!$GM$27</c:f>
              <c:numCache>
                <c:formatCode>0.00</c:formatCode>
                <c:ptCount val="1"/>
                <c:pt idx="0">
                  <c:v>0.33275960986804359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BF-E250-4AB7-85F0-9E4846E1EDB9}"/>
            </c:ext>
          </c:extLst>
        </c:ser>
        <c:ser>
          <c:idx val="228"/>
          <c:order val="228"/>
          <c:tx>
            <c:strRef>
              <c:f>Diagrama!$GN$25</c:f>
              <c:strCache>
                <c:ptCount val="1"/>
                <c:pt idx="0">
                  <c:v>195-Ponto195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7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194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7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Diagrama!$GN$26</c:f>
              <c:numCache>
                <c:formatCode>0.00</c:formatCode>
                <c:ptCount val="1"/>
                <c:pt idx="0">
                  <c:v>3.2953782487999951E-4</c:v>
                </c:pt>
              </c:numCache>
            </c:numRef>
          </c:xVal>
          <c:yVal>
            <c:numRef>
              <c:f>Diagrama!$GN$27</c:f>
              <c:numCache>
                <c:formatCode>0.00</c:formatCode>
                <c:ptCount val="1"/>
                <c:pt idx="0">
                  <c:v>0.33276255707762559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0-E250-4AB7-85F0-9E4846E1EDB9}"/>
            </c:ext>
          </c:extLst>
        </c:ser>
        <c:ser>
          <c:idx val="229"/>
          <c:order val="229"/>
          <c:tx>
            <c:strRef>
              <c:f>Diagrama!$GO$25</c:f>
              <c:strCache>
                <c:ptCount val="1"/>
                <c:pt idx="0">
                  <c:v>196-Ponto196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7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195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7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Diagrama!$GO$26</c:f>
              <c:numCache>
                <c:formatCode>0.00</c:formatCode>
                <c:ptCount val="1"/>
                <c:pt idx="0">
                  <c:v>3.2785364519563506E-4</c:v>
                </c:pt>
              </c:numCache>
            </c:numRef>
          </c:xVal>
          <c:yVal>
            <c:numRef>
              <c:f>Diagrama!$GO$27</c:f>
              <c:numCache>
                <c:formatCode>0.00</c:formatCode>
                <c:ptCount val="1"/>
                <c:pt idx="0">
                  <c:v>0.3327654741624077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1-E250-4AB7-85F0-9E4846E1EDB9}"/>
            </c:ext>
          </c:extLst>
        </c:ser>
        <c:ser>
          <c:idx val="230"/>
          <c:order val="230"/>
          <c:tx>
            <c:strRef>
              <c:f>Diagrama!$GP$25</c:f>
              <c:strCache>
                <c:ptCount val="1"/>
                <c:pt idx="0">
                  <c:v>197-Ponto197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7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196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7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Diagrama!$GP$26</c:f>
              <c:numCache>
                <c:formatCode>0.00</c:formatCode>
                <c:ptCount val="1"/>
                <c:pt idx="0">
                  <c:v>3.2618659276251665E-4</c:v>
                </c:pt>
              </c:numCache>
            </c:numRef>
          </c:xVal>
          <c:yVal>
            <c:numRef>
              <c:f>Diagrama!$GP$27</c:f>
              <c:numCache>
                <c:formatCode>0.00</c:formatCode>
                <c:ptCount val="1"/>
                <c:pt idx="0">
                  <c:v>0.33276836158192091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2-E250-4AB7-85F0-9E4846E1EDB9}"/>
            </c:ext>
          </c:extLst>
        </c:ser>
        <c:ser>
          <c:idx val="231"/>
          <c:order val="231"/>
          <c:tx>
            <c:strRef>
              <c:f>Diagrama!$GQ$25</c:f>
              <c:strCache>
                <c:ptCount val="1"/>
                <c:pt idx="0">
                  <c:v>198-Ponto198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8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197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8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Diagrama!$GQ$26</c:f>
              <c:numCache>
                <c:formatCode>0.00</c:formatCode>
                <c:ptCount val="1"/>
                <c:pt idx="0">
                  <c:v>3.2453640763890706E-4</c:v>
                </c:pt>
              </c:numCache>
            </c:numRef>
          </c:xVal>
          <c:yVal>
            <c:numRef>
              <c:f>Diagrama!$GQ$27</c:f>
              <c:numCache>
                <c:formatCode>0.00</c:formatCode>
                <c:ptCount val="1"/>
                <c:pt idx="0">
                  <c:v>0.33277121978639684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3-E250-4AB7-85F0-9E4846E1EDB9}"/>
            </c:ext>
          </c:extLst>
        </c:ser>
        <c:ser>
          <c:idx val="232"/>
          <c:order val="232"/>
          <c:tx>
            <c:strRef>
              <c:f>Diagrama!$GR$25</c:f>
              <c:strCache>
                <c:ptCount val="1"/>
                <c:pt idx="0">
                  <c:v>199-Ponto199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8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198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8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Diagrama!$GR$26</c:f>
              <c:numCache>
                <c:formatCode>0.00</c:formatCode>
                <c:ptCount val="1"/>
                <c:pt idx="0">
                  <c:v>3.2290283511724523E-4</c:v>
                </c:pt>
              </c:numCache>
            </c:numRef>
          </c:xVal>
          <c:yVal>
            <c:numRef>
              <c:f>Diagrama!$GR$27</c:f>
              <c:numCache>
                <c:formatCode>0.00</c:formatCode>
                <c:ptCount val="1"/>
                <c:pt idx="0">
                  <c:v>0.33277404921700221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4-E250-4AB7-85F0-9E4846E1EDB9}"/>
            </c:ext>
          </c:extLst>
        </c:ser>
        <c:ser>
          <c:idx val="233"/>
          <c:order val="233"/>
          <c:tx>
            <c:strRef>
              <c:f>Diagrama!$GS$25</c:f>
              <c:strCache>
                <c:ptCount val="1"/>
                <c:pt idx="0">
                  <c:v>200-Ponto200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8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199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8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Diagrama!$GS$26</c:f>
              <c:numCache>
                <c:formatCode>0.00</c:formatCode>
                <c:ptCount val="1"/>
                <c:pt idx="0">
                  <c:v>3.2128562559248763E-4</c:v>
                </c:pt>
              </c:numCache>
            </c:numRef>
          </c:xVal>
          <c:yVal>
            <c:numRef>
              <c:f>Diagrama!$GS$27</c:f>
              <c:numCache>
                <c:formatCode>0.00</c:formatCode>
                <c:ptCount val="1"/>
                <c:pt idx="0">
                  <c:v>0.33277685030606569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5-E250-4AB7-85F0-9E4846E1ED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2111791"/>
        <c:axId val="1"/>
      </c:scatterChart>
      <c:valAx>
        <c:axId val="2042111791"/>
        <c:scaling>
          <c:orientation val="minMax"/>
          <c:max val="0.57999999999999996"/>
          <c:min val="-0.57999999999999996"/>
        </c:scaling>
        <c:delete val="0"/>
        <c:axPos val="b"/>
        <c:numFmt formatCode="0.00" sourceLinked="1"/>
        <c:majorTickMark val="none"/>
        <c:minorTickMark val="none"/>
        <c:tickLblPos val="none"/>
        <c:spPr>
          <a:ln w="6350">
            <a:noFill/>
          </a:ln>
        </c:spPr>
        <c:crossAx val="1"/>
        <c:crosses val="autoZero"/>
        <c:crossBetween val="midCat"/>
        <c:majorUnit val="0.1"/>
      </c:valAx>
      <c:valAx>
        <c:axId val="1"/>
        <c:scaling>
          <c:orientation val="minMax"/>
          <c:max val="1.1000000000000001"/>
          <c:min val="-0.1"/>
        </c:scaling>
        <c:delete val="0"/>
        <c:axPos val="l"/>
        <c:numFmt formatCode="0.00" sourceLinked="1"/>
        <c:majorTickMark val="out"/>
        <c:minorTickMark val="none"/>
        <c:tickLblPos val="none"/>
        <c:spPr>
          <a:ln w="6350">
            <a:noFill/>
          </a:ln>
        </c:spPr>
        <c:crossAx val="2042111791"/>
        <c:crosses val="autoZero"/>
        <c:crossBetween val="midCat"/>
        <c:majorUnit val="0.1"/>
      </c:valAx>
      <c:spPr>
        <a:solidFill>
          <a:schemeClr val="bg1"/>
        </a:solidFill>
      </c:spPr>
    </c:plotArea>
    <c:plotVisOnly val="1"/>
    <c:dispBlanksAs val="gap"/>
    <c:showDLblsOverMax val="0"/>
  </c:chart>
  <c:spPr>
    <a:solidFill>
      <a:srgbClr val="FFFFFF"/>
    </a:solidFill>
    <a:ln w="38100">
      <a:solidFill>
        <a:srgbClr val="C0C0C0"/>
      </a:solidFill>
      <a:prstDash val="solid"/>
    </a:ln>
    <a:effectLst>
      <a:outerShdw dist="35921" dir="2700000" algn="br">
        <a:srgbClr val="000000"/>
      </a:outerShdw>
    </a:effectLst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Comic Sans MS"/>
          <a:ea typeface="Comic Sans MS"/>
          <a:cs typeface="Comic Sans MS"/>
        </a:defRPr>
      </a:pPr>
      <a:endParaRPr lang="pt-BR"/>
    </a:p>
  </c:txPr>
  <c:printSettings>
    <c:headerFooter alignWithMargins="0"/>
    <c:pageMargins b="0.86614173228346458" l="1.5354330708661419" r="1.0236220472440944" t="1.3779527559055118" header="0.51181102362204722" footer="0.35433070866141736"/>
    <c:pageSetup paperSize="9"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257176</xdr:colOff>
      <xdr:row>3</xdr:row>
      <xdr:rowOff>94205</xdr:rowOff>
    </xdr:from>
    <xdr:to>
      <xdr:col>11</xdr:col>
      <xdr:colOff>445196</xdr:colOff>
      <xdr:row>35</xdr:row>
      <xdr:rowOff>8480</xdr:rowOff>
    </xdr:to>
    <xdr:graphicFrame macro="">
      <xdr:nvGraphicFramePr>
        <xdr:cNvPr id="1371" name="Gráfico 16">
          <a:extLst>
            <a:ext uri="{FF2B5EF4-FFF2-40B4-BE49-F238E27FC236}">
              <a16:creationId xmlns:a16="http://schemas.microsoft.com/office/drawing/2014/main" id="{00000000-0008-0000-0000-00005B05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393700</xdr:colOff>
      <xdr:row>0</xdr:row>
      <xdr:rowOff>176306</xdr:rowOff>
    </xdr:from>
    <xdr:to>
      <xdr:col>2</xdr:col>
      <xdr:colOff>368300</xdr:colOff>
      <xdr:row>2</xdr:row>
      <xdr:rowOff>89641</xdr:rowOff>
    </xdr:to>
    <xdr:sp macro="[0]!EntradadeDados_Click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93700" y="176306"/>
          <a:ext cx="1333500" cy="421335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Data Input</a:t>
          </a:r>
        </a:p>
      </xdr:txBody>
    </xdr:sp>
    <xdr:clientData/>
  </xdr:twoCellAnchor>
  <xdr:twoCellAnchor>
    <xdr:from>
      <xdr:col>2</xdr:col>
      <xdr:colOff>448236</xdr:colOff>
      <xdr:row>0</xdr:row>
      <xdr:rowOff>168096</xdr:rowOff>
    </xdr:from>
    <xdr:to>
      <xdr:col>4</xdr:col>
      <xdr:colOff>410136</xdr:colOff>
      <xdr:row>2</xdr:row>
      <xdr:rowOff>102349</xdr:rowOff>
    </xdr:to>
    <xdr:sp macro="[0]!Sheet1.Pontos_Click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818670" y="168096"/>
          <a:ext cx="1342053" cy="43966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Points</a:t>
          </a:r>
        </a:p>
      </xdr:txBody>
    </xdr:sp>
    <xdr:clientData/>
  </xdr:twoCellAnchor>
  <xdr:twoCellAnchor>
    <xdr:from>
      <xdr:col>4</xdr:col>
      <xdr:colOff>480359</xdr:colOff>
      <xdr:row>0</xdr:row>
      <xdr:rowOff>164353</xdr:rowOff>
    </xdr:from>
    <xdr:to>
      <xdr:col>6</xdr:col>
      <xdr:colOff>442259</xdr:colOff>
      <xdr:row>2</xdr:row>
      <xdr:rowOff>90388</xdr:rowOff>
    </xdr:to>
    <xdr:sp macro="[0]!Sheet1.Linhas_Click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210859" y="164353"/>
          <a:ext cx="1333500" cy="434035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Lines</a:t>
          </a:r>
        </a:p>
      </xdr:txBody>
    </xdr:sp>
    <xdr:clientData/>
  </xdr:twoCellAnchor>
  <xdr:twoCellAnchor>
    <xdr:from>
      <xdr:col>6</xdr:col>
      <xdr:colOff>510996</xdr:colOff>
      <xdr:row>0</xdr:row>
      <xdr:rowOff>160617</xdr:rowOff>
    </xdr:from>
    <xdr:to>
      <xdr:col>8</xdr:col>
      <xdr:colOff>472896</xdr:colOff>
      <xdr:row>2</xdr:row>
      <xdr:rowOff>94870</xdr:rowOff>
    </xdr:to>
    <xdr:sp macro="[0]!AutoForma36_Clique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4641736" y="160617"/>
          <a:ext cx="1342053" cy="43966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Information</a:t>
          </a:r>
        </a:p>
      </xdr:txBody>
    </xdr:sp>
    <xdr:clientData/>
  </xdr:twoCellAnchor>
  <xdr:twoCellAnchor>
    <xdr:from>
      <xdr:col>8</xdr:col>
      <xdr:colOff>543112</xdr:colOff>
      <xdr:row>0</xdr:row>
      <xdr:rowOff>156882</xdr:rowOff>
    </xdr:from>
    <xdr:to>
      <xdr:col>10</xdr:col>
      <xdr:colOff>289112</xdr:colOff>
      <xdr:row>2</xdr:row>
      <xdr:rowOff>82917</xdr:rowOff>
    </xdr:to>
    <xdr:sp macro="[0]!Sheet1.Aparencia_Click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6054005" y="156882"/>
          <a:ext cx="1339979" cy="431443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Appearance</a:t>
          </a:r>
        </a:p>
      </xdr:txBody>
    </xdr:sp>
    <xdr:clientData/>
  </xdr:twoCellAnchor>
  <xdr:twoCellAnchor>
    <xdr:from>
      <xdr:col>10</xdr:col>
      <xdr:colOff>353366</xdr:colOff>
      <xdr:row>0</xdr:row>
      <xdr:rowOff>155367</xdr:rowOff>
    </xdr:from>
    <xdr:to>
      <xdr:col>12</xdr:col>
      <xdr:colOff>150166</xdr:colOff>
      <xdr:row>2</xdr:row>
      <xdr:rowOff>81402</xdr:rowOff>
    </xdr:to>
    <xdr:sp macro="[0]!Sheet1.ImpressaoExportacao_Click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7458238" y="155367"/>
          <a:ext cx="1332464" cy="431443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Print and Export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304800</xdr:colOff>
      <xdr:row>0</xdr:row>
      <xdr:rowOff>57150</xdr:rowOff>
    </xdr:from>
    <xdr:to>
      <xdr:col>12</xdr:col>
      <xdr:colOff>49234</xdr:colOff>
      <xdr:row>2</xdr:row>
      <xdr:rowOff>142457</xdr:rowOff>
    </xdr:to>
    <xdr:sp macro="[0]!MontaResum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8734425" y="57150"/>
          <a:ext cx="1344634" cy="409157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CriaResumo</a:t>
          </a:r>
        </a:p>
      </xdr:txBody>
    </xdr:sp>
    <xdr:clientData/>
  </xdr:twoCellAnchor>
  <xdr:twoCellAnchor>
    <xdr:from>
      <xdr:col>12</xdr:col>
      <xdr:colOff>123825</xdr:colOff>
      <xdr:row>0</xdr:row>
      <xdr:rowOff>66675</xdr:rowOff>
    </xdr:from>
    <xdr:to>
      <xdr:col>14</xdr:col>
      <xdr:colOff>96859</xdr:colOff>
      <xdr:row>2</xdr:row>
      <xdr:rowOff>151982</xdr:rowOff>
    </xdr:to>
    <xdr:sp macro="[0]!LimpaResum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0153650" y="66675"/>
          <a:ext cx="1344634" cy="409157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LimpaResumo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179296</xdr:colOff>
      <xdr:row>1</xdr:row>
      <xdr:rowOff>11205</xdr:rowOff>
    </xdr:from>
    <xdr:to>
      <xdr:col>5</xdr:col>
      <xdr:colOff>616253</xdr:colOff>
      <xdr:row>3</xdr:row>
      <xdr:rowOff>61774</xdr:rowOff>
    </xdr:to>
    <xdr:sp macro="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5412443" y="235323"/>
          <a:ext cx="1344634" cy="409157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Emergy</a:t>
          </a:r>
          <a:r>
            <a:rPr lang="pt-BR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Chart</a:t>
          </a:r>
        </a:p>
      </xdr:txBody>
    </xdr:sp>
    <xdr:clientData/>
  </xdr:twoCellAnchor>
  <xdr:twoCellAnchor>
    <xdr:from>
      <xdr:col>5</xdr:col>
      <xdr:colOff>701489</xdr:colOff>
      <xdr:row>1</xdr:row>
      <xdr:rowOff>17928</xdr:rowOff>
    </xdr:from>
    <xdr:to>
      <xdr:col>7</xdr:col>
      <xdr:colOff>544535</xdr:colOff>
      <xdr:row>3</xdr:row>
      <xdr:rowOff>68497</xdr:rowOff>
    </xdr:to>
    <xdr:sp macro="[0]!BtnGravarDados_Click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6842313" y="242046"/>
          <a:ext cx="1344634" cy="409157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Save</a:t>
          </a:r>
          <a:r>
            <a:rPr lang="pt-BR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Table</a:t>
          </a:r>
          <a:endParaRPr lang="pt-BR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7</xdr:col>
      <xdr:colOff>640977</xdr:colOff>
      <xdr:row>1</xdr:row>
      <xdr:rowOff>13447</xdr:rowOff>
    </xdr:from>
    <xdr:to>
      <xdr:col>9</xdr:col>
      <xdr:colOff>551258</xdr:colOff>
      <xdr:row>3</xdr:row>
      <xdr:rowOff>64016</xdr:rowOff>
    </xdr:to>
    <xdr:sp macro="[0]!EntradadeDados_Click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8283389" y="237565"/>
          <a:ext cx="1344634" cy="409157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Load Table</a:t>
          </a:r>
        </a:p>
      </xdr:txBody>
    </xdr:sp>
    <xdr:clientData/>
  </xdr:twoCellAnchor>
  <xdr:twoCellAnchor>
    <xdr:from>
      <xdr:col>7</xdr:col>
      <xdr:colOff>679078</xdr:colOff>
      <xdr:row>6</xdr:row>
      <xdr:rowOff>85165</xdr:rowOff>
    </xdr:from>
    <xdr:to>
      <xdr:col>10</xdr:col>
      <xdr:colOff>168088</xdr:colOff>
      <xdr:row>9</xdr:row>
      <xdr:rowOff>112059</xdr:rowOff>
    </xdr:to>
    <xdr:sp macro="[0]!nomespont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321490" y="1093694"/>
          <a:ext cx="1606922" cy="49754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Gerar Nome Ponto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28</xdr:row>
          <xdr:rowOff>0</xdr:rowOff>
        </xdr:from>
        <xdr:to>
          <xdr:col>2</xdr:col>
          <xdr:colOff>323850</xdr:colOff>
          <xdr:row>29</xdr:row>
          <xdr:rowOff>57150</xdr:rowOff>
        </xdr:to>
        <xdr:sp macro="" textlink="">
          <xdr:nvSpPr>
            <xdr:cNvPr id="4102" name="SpinButton7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28</xdr:row>
          <xdr:rowOff>0</xdr:rowOff>
        </xdr:from>
        <xdr:to>
          <xdr:col>1</xdr:col>
          <xdr:colOff>333375</xdr:colOff>
          <xdr:row>29</xdr:row>
          <xdr:rowOff>47625</xdr:rowOff>
        </xdr:to>
        <xdr:sp macro="" textlink="">
          <xdr:nvSpPr>
            <xdr:cNvPr id="4103" name="TextBox5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174949</xdr:colOff>
      <xdr:row>0</xdr:row>
      <xdr:rowOff>68036</xdr:rowOff>
    </xdr:from>
    <xdr:to>
      <xdr:col>2</xdr:col>
      <xdr:colOff>499047</xdr:colOff>
      <xdr:row>2</xdr:row>
      <xdr:rowOff>101911</xdr:rowOff>
    </xdr:to>
    <xdr:sp macro="[0]!pontosEntrada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777551" y="68036"/>
          <a:ext cx="1344634" cy="364334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Emergy</a:t>
          </a:r>
          <a:r>
            <a:rPr lang="pt-BR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Chart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K:\Andr&#233;\Grafico\Grafico30.xlsm" TargetMode="External"/><Relationship Id="rId1" Type="http://schemas.openxmlformats.org/officeDocument/2006/relationships/externalLinkPath" Target="Grafico3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IAG"/>
      <sheetName val="Resumo"/>
      <sheetName val="Entrada_de_Dados_2"/>
      <sheetName val="Diagrama"/>
      <sheetName val="Espelho"/>
    </sheetNames>
    <sheetDataSet>
      <sheetData sheetId="0">
        <row r="44">
          <cell r="X44" t="b">
            <v>0</v>
          </cell>
        </row>
        <row r="51">
          <cell r="T51">
            <v>1</v>
          </cell>
        </row>
        <row r="52">
          <cell r="T52">
            <v>5</v>
          </cell>
        </row>
        <row r="53">
          <cell r="T53">
            <v>2</v>
          </cell>
        </row>
      </sheetData>
      <sheetData sheetId="1" refreshError="1"/>
      <sheetData sheetId="2" refreshError="1"/>
      <sheetData sheetId="3" refreshError="1"/>
      <sheetData sheetId="4" refreshError="1"/>
    </sheetDataSet>
  </externalBook>
</externalLink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indexed="21"/>
  </sheetPr>
  <dimension ref="A1:GS442"/>
  <sheetViews>
    <sheetView windowProtection="1" showGridLines="0" showZeros="0" tabSelected="1" zoomScale="75" zoomScaleNormal="75" workbookViewId="0">
      <selection activeCell="N17" sqref="N17"/>
    </sheetView>
  </sheetViews>
  <sheetFormatPr defaultRowHeight="12.75" x14ac:dyDescent="0.2"/>
  <cols>
    <col min="1" max="1" width="8.875" style="174" customWidth="1"/>
    <col min="2" max="6" width="9" style="174"/>
    <col min="7" max="7" width="11.875" style="174" customWidth="1"/>
    <col min="8" max="8" width="13" style="174" customWidth="1"/>
    <col min="9" max="9" width="13.125" style="174" customWidth="1"/>
    <col min="10" max="10" width="11.875" style="174" customWidth="1"/>
    <col min="11" max="11" width="9" style="174"/>
    <col min="12" max="12" width="11.125" style="174" bestFit="1" customWidth="1"/>
    <col min="13" max="14" width="12.5" style="174" customWidth="1"/>
    <col min="15" max="15" width="10.75" style="174" customWidth="1"/>
    <col min="16" max="16" width="15.375" style="174" customWidth="1"/>
    <col min="17" max="17" width="7" style="174" customWidth="1"/>
    <col min="18" max="18" width="15.25" style="174" bestFit="1" customWidth="1"/>
    <col min="19" max="19" width="12.25" style="175" customWidth="1"/>
    <col min="20" max="22" width="13.25" style="175" customWidth="1"/>
    <col min="23" max="23" width="13" style="174" customWidth="1"/>
    <col min="24" max="24" width="13.75" style="174" customWidth="1"/>
    <col min="25" max="25" width="12.75" style="174" customWidth="1"/>
    <col min="26" max="26" width="12.625" style="174" customWidth="1"/>
    <col min="27" max="27" width="13.5" style="174" customWidth="1"/>
    <col min="28" max="28" width="12.5" style="174" customWidth="1"/>
    <col min="29" max="29" width="9.75" style="174" customWidth="1"/>
    <col min="30" max="30" width="10.25" style="174" customWidth="1"/>
    <col min="31" max="31" width="11.375" style="174" customWidth="1"/>
    <col min="32" max="32" width="11.25" style="174" customWidth="1"/>
    <col min="33" max="33" width="9.625" style="174" customWidth="1"/>
    <col min="34" max="34" width="6.125" style="174" customWidth="1"/>
    <col min="35" max="38" width="2.75" style="174" customWidth="1"/>
    <col min="39" max="39" width="5" style="174" customWidth="1"/>
    <col min="40" max="40" width="16.125" style="174" customWidth="1"/>
    <col min="41" max="41" width="12.875" style="174" customWidth="1"/>
    <col min="42" max="42" width="13.375" style="174" customWidth="1"/>
    <col min="43" max="45" width="2.75" style="174" customWidth="1"/>
    <col min="46" max="16384" width="9" style="174"/>
  </cols>
  <sheetData>
    <row r="1" spans="8:46" ht="30" customHeight="1" x14ac:dyDescent="0.2">
      <c r="P1" s="174" t="s">
        <v>67</v>
      </c>
      <c r="Q1" s="174" t="s">
        <v>0</v>
      </c>
      <c r="R1" s="174" t="s">
        <v>19</v>
      </c>
      <c r="T1" s="175" t="s">
        <v>125</v>
      </c>
      <c r="U1" s="175" t="s">
        <v>125</v>
      </c>
      <c r="V1" s="175" t="s">
        <v>125</v>
      </c>
      <c r="W1" s="174">
        <v>200</v>
      </c>
      <c r="X1" s="176"/>
      <c r="Y1" s="176"/>
      <c r="AA1" s="174">
        <f>X1+Y1+Z1</f>
        <v>0</v>
      </c>
      <c r="AM1" s="174">
        <v>1</v>
      </c>
      <c r="AT1" s="174" t="s">
        <v>5</v>
      </c>
    </row>
    <row r="2" spans="8:46" x14ac:dyDescent="0.2">
      <c r="T2" s="175" t="s">
        <v>123</v>
      </c>
      <c r="U2" s="175" t="s">
        <v>123</v>
      </c>
      <c r="V2" s="175" t="s">
        <v>123</v>
      </c>
      <c r="AM2" s="174">
        <v>2</v>
      </c>
      <c r="AT2" s="174" t="s">
        <v>7</v>
      </c>
    </row>
    <row r="3" spans="8:46" x14ac:dyDescent="0.2">
      <c r="R3" s="174" t="s">
        <v>83</v>
      </c>
      <c r="T3" s="175" t="s">
        <v>124</v>
      </c>
      <c r="U3" s="175" t="s">
        <v>124</v>
      </c>
      <c r="V3" s="175" t="s">
        <v>124</v>
      </c>
      <c r="AM3" s="174">
        <v>3</v>
      </c>
      <c r="AT3" s="174" t="s">
        <v>6</v>
      </c>
    </row>
    <row r="4" spans="8:46" x14ac:dyDescent="0.2">
      <c r="T4" s="175" t="s">
        <v>126</v>
      </c>
      <c r="U4" s="175" t="s">
        <v>126</v>
      </c>
      <c r="V4" s="175" t="s">
        <v>126</v>
      </c>
      <c r="X4" s="174" t="s">
        <v>95</v>
      </c>
      <c r="AM4" s="174">
        <v>4</v>
      </c>
      <c r="AT4" s="174" t="s">
        <v>89</v>
      </c>
    </row>
    <row r="5" spans="8:46" x14ac:dyDescent="0.2">
      <c r="N5" s="174" t="b">
        <v>0</v>
      </c>
      <c r="O5" s="174" t="b">
        <v>0</v>
      </c>
      <c r="P5" s="174" t="b">
        <v>1</v>
      </c>
      <c r="T5" s="175" t="s">
        <v>127</v>
      </c>
      <c r="U5" s="175" t="s">
        <v>127</v>
      </c>
      <c r="V5" s="175" t="s">
        <v>127</v>
      </c>
      <c r="X5" s="174" t="s">
        <v>103</v>
      </c>
      <c r="Y5" s="174" t="s">
        <v>106</v>
      </c>
      <c r="Z5" s="174" t="s">
        <v>105</v>
      </c>
      <c r="AM5" s="174">
        <v>5</v>
      </c>
    </row>
    <row r="6" spans="8:46" x14ac:dyDescent="0.2">
      <c r="T6" s="175" t="s">
        <v>128</v>
      </c>
      <c r="U6" s="175" t="s">
        <v>128</v>
      </c>
      <c r="V6" s="175" t="s">
        <v>128</v>
      </c>
      <c r="X6" s="174" t="b">
        <v>0</v>
      </c>
      <c r="Y6" s="174" t="b">
        <v>0</v>
      </c>
      <c r="Z6" s="174" t="b">
        <v>0</v>
      </c>
      <c r="AM6" s="174">
        <v>6</v>
      </c>
    </row>
    <row r="7" spans="8:46" x14ac:dyDescent="0.2">
      <c r="T7" s="175" t="s">
        <v>129</v>
      </c>
      <c r="U7" s="175" t="s">
        <v>129</v>
      </c>
      <c r="V7" s="175" t="s">
        <v>129</v>
      </c>
      <c r="AM7" s="174">
        <v>7</v>
      </c>
    </row>
    <row r="8" spans="8:46" x14ac:dyDescent="0.2">
      <c r="T8" s="175" t="s">
        <v>130</v>
      </c>
      <c r="U8" s="175" t="s">
        <v>130</v>
      </c>
      <c r="V8" s="175" t="s">
        <v>130</v>
      </c>
      <c r="AM8" s="174">
        <v>8</v>
      </c>
    </row>
    <row r="9" spans="8:46" x14ac:dyDescent="0.2">
      <c r="T9" s="175" t="s">
        <v>131</v>
      </c>
      <c r="U9" s="175" t="s">
        <v>131</v>
      </c>
      <c r="V9" s="175" t="s">
        <v>131</v>
      </c>
      <c r="AM9" s="174">
        <v>9</v>
      </c>
    </row>
    <row r="10" spans="8:46" x14ac:dyDescent="0.2">
      <c r="T10" s="175" t="s">
        <v>132</v>
      </c>
      <c r="U10" s="175" t="s">
        <v>132</v>
      </c>
      <c r="V10" s="175" t="s">
        <v>132</v>
      </c>
      <c r="AM10" s="174">
        <v>10</v>
      </c>
    </row>
    <row r="11" spans="8:46" x14ac:dyDescent="0.2">
      <c r="R11" s="174" t="s">
        <v>66</v>
      </c>
      <c r="S11" s="175">
        <v>1</v>
      </c>
      <c r="T11" s="175" t="b">
        <v>1</v>
      </c>
      <c r="U11" s="175" t="b">
        <v>1</v>
      </c>
      <c r="V11" s="175" t="b">
        <v>1</v>
      </c>
      <c r="W11" s="205"/>
      <c r="X11" s="205"/>
      <c r="Y11" s="205"/>
      <c r="Z11" s="205"/>
      <c r="AA11" s="205"/>
      <c r="AB11" s="205"/>
    </row>
    <row r="12" spans="8:46" x14ac:dyDescent="0.2">
      <c r="S12" s="175">
        <v>2</v>
      </c>
      <c r="T12" s="175" t="b">
        <v>1</v>
      </c>
      <c r="U12" s="175" t="b">
        <v>1</v>
      </c>
      <c r="V12" s="175" t="b">
        <v>1</v>
      </c>
    </row>
    <row r="13" spans="8:46" x14ac:dyDescent="0.2">
      <c r="H13" s="185"/>
      <c r="I13" s="185"/>
      <c r="S13" s="175">
        <v>3</v>
      </c>
      <c r="T13" s="175" t="b">
        <v>1</v>
      </c>
      <c r="U13" s="175" t="b">
        <v>1</v>
      </c>
      <c r="V13" s="175" t="b">
        <v>1</v>
      </c>
    </row>
    <row r="14" spans="8:46" x14ac:dyDescent="0.2">
      <c r="S14" s="175">
        <v>4</v>
      </c>
      <c r="T14" s="175" t="b">
        <v>1</v>
      </c>
      <c r="U14" s="175" t="b">
        <v>1</v>
      </c>
      <c r="V14" s="175" t="b">
        <v>1</v>
      </c>
    </row>
    <row r="15" spans="8:46" x14ac:dyDescent="0.2">
      <c r="S15" s="175">
        <v>5</v>
      </c>
      <c r="T15" s="175" t="b">
        <v>1</v>
      </c>
      <c r="U15" s="175" t="b">
        <v>1</v>
      </c>
      <c r="V15" s="175" t="b">
        <v>1</v>
      </c>
    </row>
    <row r="16" spans="8:46" x14ac:dyDescent="0.2">
      <c r="S16" s="175">
        <v>6</v>
      </c>
      <c r="T16" s="175" t="b">
        <v>1</v>
      </c>
      <c r="U16" s="175" t="b">
        <v>1</v>
      </c>
      <c r="V16" s="175" t="b">
        <v>1</v>
      </c>
    </row>
    <row r="17" spans="1:32" x14ac:dyDescent="0.2">
      <c r="S17" s="175">
        <v>7</v>
      </c>
      <c r="T17" s="175" t="b">
        <v>1</v>
      </c>
      <c r="U17" s="175" t="b">
        <v>1</v>
      </c>
      <c r="V17" s="175" t="b">
        <v>1</v>
      </c>
    </row>
    <row r="18" spans="1:32" x14ac:dyDescent="0.2">
      <c r="S18" s="175">
        <v>8</v>
      </c>
      <c r="T18" s="175" t="b">
        <v>1</v>
      </c>
      <c r="U18" s="175" t="b">
        <v>1</v>
      </c>
      <c r="V18" s="175" t="b">
        <v>1</v>
      </c>
    </row>
    <row r="19" spans="1:32" x14ac:dyDescent="0.2">
      <c r="S19" s="175">
        <v>9</v>
      </c>
      <c r="T19" s="175" t="b">
        <v>1</v>
      </c>
      <c r="U19" s="175" t="b">
        <v>1</v>
      </c>
      <c r="V19" s="175" t="b">
        <v>1</v>
      </c>
    </row>
    <row r="20" spans="1:32" x14ac:dyDescent="0.2">
      <c r="S20" s="175">
        <v>10</v>
      </c>
      <c r="T20" s="175" t="b">
        <v>1</v>
      </c>
      <c r="U20" s="175" t="b">
        <v>1</v>
      </c>
      <c r="V20" s="175" t="b">
        <v>1</v>
      </c>
    </row>
    <row r="21" spans="1:32" x14ac:dyDescent="0.2">
      <c r="R21" s="174" t="s">
        <v>1</v>
      </c>
      <c r="S21" s="175">
        <v>1</v>
      </c>
      <c r="T21" s="175" t="b">
        <v>0</v>
      </c>
      <c r="U21" s="175" t="b">
        <v>0</v>
      </c>
      <c r="V21" s="175" t="b">
        <v>0</v>
      </c>
      <c r="W21" s="174">
        <f>IF(T21,1,0)</f>
        <v>0</v>
      </c>
      <c r="X21" s="174">
        <f>IF(T22,1,0)</f>
        <v>0</v>
      </c>
      <c r="Y21" s="174">
        <f>IF(T23,1,0)</f>
        <v>0</v>
      </c>
      <c r="Z21" s="174">
        <f>IF(T24,1,0)</f>
        <v>0</v>
      </c>
      <c r="AA21" s="174">
        <f>IF(T25,1,0)</f>
        <v>0</v>
      </c>
      <c r="AB21" s="174">
        <f>IF(T26,1,0)</f>
        <v>0</v>
      </c>
      <c r="AC21" s="174">
        <f>IF(T27,1,0)</f>
        <v>0</v>
      </c>
      <c r="AD21" s="174">
        <f>IF(T28,1,0)</f>
        <v>0</v>
      </c>
      <c r="AE21" s="174">
        <f>IF(T29,1,0)</f>
        <v>0</v>
      </c>
      <c r="AF21" s="174">
        <f>IF(T30,1,0)</f>
        <v>0</v>
      </c>
    </row>
    <row r="22" spans="1:32" x14ac:dyDescent="0.2">
      <c r="B22" s="186"/>
      <c r="S22" s="175">
        <v>2</v>
      </c>
      <c r="T22" s="175" t="b">
        <v>0</v>
      </c>
      <c r="U22" s="175" t="b">
        <v>0</v>
      </c>
      <c r="V22" s="175" t="b">
        <v>0</v>
      </c>
    </row>
    <row r="23" spans="1:32" x14ac:dyDescent="0.2">
      <c r="B23" s="186"/>
      <c r="S23" s="175">
        <v>3</v>
      </c>
      <c r="T23" s="175" t="b">
        <v>0</v>
      </c>
      <c r="U23" s="175" t="b">
        <v>0</v>
      </c>
      <c r="V23" s="175" t="b">
        <v>0</v>
      </c>
    </row>
    <row r="24" spans="1:32" x14ac:dyDescent="0.2">
      <c r="B24" s="186"/>
      <c r="S24" s="175">
        <v>4</v>
      </c>
      <c r="T24" s="175" t="b">
        <v>0</v>
      </c>
      <c r="U24" s="175" t="b">
        <v>0</v>
      </c>
      <c r="V24" s="175" t="b">
        <v>0</v>
      </c>
    </row>
    <row r="25" spans="1:32" x14ac:dyDescent="0.2">
      <c r="A25" s="186"/>
      <c r="B25" s="186"/>
      <c r="S25" s="175">
        <v>5</v>
      </c>
      <c r="T25" s="175" t="b">
        <v>0</v>
      </c>
      <c r="U25" s="175" t="b">
        <v>0</v>
      </c>
      <c r="V25" s="175" t="b">
        <v>0</v>
      </c>
    </row>
    <row r="26" spans="1:32" x14ac:dyDescent="0.2">
      <c r="A26" s="187"/>
      <c r="B26" s="187"/>
      <c r="C26" s="187"/>
      <c r="D26" s="187"/>
      <c r="E26" s="187"/>
      <c r="S26" s="175">
        <v>6</v>
      </c>
      <c r="T26" s="175" t="b">
        <v>0</v>
      </c>
      <c r="U26" s="175" t="b">
        <v>0</v>
      </c>
      <c r="V26" s="175" t="b">
        <v>0</v>
      </c>
    </row>
    <row r="27" spans="1:32" x14ac:dyDescent="0.2">
      <c r="A27" s="187"/>
      <c r="B27" s="187"/>
      <c r="C27" s="187"/>
      <c r="D27" s="187"/>
      <c r="E27" s="187"/>
      <c r="S27" s="175">
        <v>7</v>
      </c>
      <c r="T27" s="175" t="b">
        <v>0</v>
      </c>
      <c r="U27" s="175" t="b">
        <v>0</v>
      </c>
      <c r="V27" s="175" t="b">
        <v>0</v>
      </c>
    </row>
    <row r="28" spans="1:32" x14ac:dyDescent="0.2">
      <c r="A28" s="187"/>
      <c r="B28" s="187"/>
      <c r="C28" s="187"/>
      <c r="D28" s="187"/>
      <c r="E28" s="187"/>
      <c r="S28" s="175">
        <v>8</v>
      </c>
      <c r="T28" s="175" t="b">
        <v>0</v>
      </c>
      <c r="U28" s="175" t="b">
        <v>0</v>
      </c>
      <c r="V28" s="175" t="b">
        <v>0</v>
      </c>
    </row>
    <row r="29" spans="1:32" x14ac:dyDescent="0.2">
      <c r="A29" s="187"/>
      <c r="B29" s="187"/>
      <c r="C29" s="187"/>
      <c r="D29" s="187"/>
      <c r="E29" s="187"/>
      <c r="S29" s="175">
        <v>9</v>
      </c>
      <c r="T29" s="175" t="b">
        <v>0</v>
      </c>
      <c r="U29" s="175" t="b">
        <v>0</v>
      </c>
      <c r="V29" s="175" t="b">
        <v>0</v>
      </c>
    </row>
    <row r="30" spans="1:32" x14ac:dyDescent="0.2">
      <c r="A30" s="188"/>
      <c r="B30" s="188"/>
      <c r="C30" s="188"/>
      <c r="S30" s="175">
        <v>10</v>
      </c>
      <c r="T30" s="175" t="b">
        <v>0</v>
      </c>
      <c r="U30" s="175" t="b">
        <v>0</v>
      </c>
      <c r="V30" s="175" t="b">
        <v>0</v>
      </c>
    </row>
    <row r="31" spans="1:32" x14ac:dyDescent="0.2">
      <c r="R31" s="174" t="s">
        <v>2</v>
      </c>
      <c r="S31" s="175">
        <v>1</v>
      </c>
      <c r="T31" s="175">
        <v>1</v>
      </c>
      <c r="U31" s="175">
        <v>1</v>
      </c>
      <c r="V31" s="175">
        <v>1</v>
      </c>
      <c r="W31" s="174">
        <f>IF($T$41,T31,1)</f>
        <v>1</v>
      </c>
      <c r="X31" s="174">
        <f>IF($T$41,T32,1)</f>
        <v>1</v>
      </c>
      <c r="Y31" s="174">
        <f>IF($T$41,T33,1)</f>
        <v>1</v>
      </c>
      <c r="Z31" s="174">
        <f>IF($T$41,T34,1)</f>
        <v>1</v>
      </c>
      <c r="AA31" s="174">
        <f>IF($T$41,T35,1)</f>
        <v>1</v>
      </c>
      <c r="AB31" s="174">
        <f>IF($T$41,T36,1)</f>
        <v>1</v>
      </c>
      <c r="AC31" s="174">
        <f>IF($T$41,T37,1)</f>
        <v>1</v>
      </c>
      <c r="AD31" s="174">
        <f>IF($T$41,T38,1)</f>
        <v>1</v>
      </c>
      <c r="AE31" s="174">
        <f>IF($T$41,T39,1)</f>
        <v>1</v>
      </c>
      <c r="AF31" s="174">
        <f>IF($T$41,T40,1)</f>
        <v>1</v>
      </c>
    </row>
    <row r="32" spans="1:32" x14ac:dyDescent="0.2">
      <c r="S32" s="175">
        <v>2</v>
      </c>
      <c r="T32" s="175">
        <v>1</v>
      </c>
      <c r="U32" s="175">
        <v>1</v>
      </c>
      <c r="V32" s="175">
        <v>1</v>
      </c>
    </row>
    <row r="33" spans="1:24" x14ac:dyDescent="0.2">
      <c r="S33" s="175">
        <v>3</v>
      </c>
      <c r="T33" s="175">
        <v>1</v>
      </c>
      <c r="U33" s="175">
        <v>1</v>
      </c>
      <c r="V33" s="175">
        <v>1</v>
      </c>
    </row>
    <row r="34" spans="1:24" x14ac:dyDescent="0.2">
      <c r="S34" s="175">
        <v>4</v>
      </c>
      <c r="T34" s="175">
        <v>1</v>
      </c>
      <c r="U34" s="175">
        <v>1</v>
      </c>
      <c r="V34" s="175">
        <v>1</v>
      </c>
    </row>
    <row r="35" spans="1:24" x14ac:dyDescent="0.2">
      <c r="S35" s="175">
        <v>5</v>
      </c>
      <c r="T35" s="175">
        <v>1</v>
      </c>
      <c r="U35" s="175">
        <v>1</v>
      </c>
      <c r="V35" s="175">
        <v>1</v>
      </c>
    </row>
    <row r="36" spans="1:24" x14ac:dyDescent="0.2">
      <c r="S36" s="175">
        <v>6</v>
      </c>
      <c r="T36" s="175">
        <v>1</v>
      </c>
      <c r="U36" s="175">
        <v>1</v>
      </c>
      <c r="V36" s="175">
        <v>1</v>
      </c>
    </row>
    <row r="37" spans="1:24" x14ac:dyDescent="0.2">
      <c r="E37" s="175" t="s">
        <v>66</v>
      </c>
      <c r="F37" s="175">
        <v>1</v>
      </c>
      <c r="G37" s="175" t="b">
        <v>1</v>
      </c>
      <c r="H37" s="175" t="b">
        <v>1</v>
      </c>
      <c r="I37" s="175" t="b">
        <v>1</v>
      </c>
      <c r="K37" s="207">
        <v>1</v>
      </c>
      <c r="L37" s="207" t="s">
        <v>125</v>
      </c>
      <c r="M37" s="207" t="s">
        <v>125</v>
      </c>
      <c r="N37" s="207" t="s">
        <v>125</v>
      </c>
      <c r="O37" s="175" t="s">
        <v>19</v>
      </c>
      <c r="S37" s="175">
        <v>7</v>
      </c>
      <c r="T37" s="175">
        <v>1</v>
      </c>
      <c r="U37" s="175">
        <v>1</v>
      </c>
      <c r="V37" s="175">
        <v>1</v>
      </c>
    </row>
    <row r="38" spans="1:24" x14ac:dyDescent="0.2">
      <c r="F38" s="175">
        <v>2</v>
      </c>
      <c r="G38" s="175" t="b">
        <v>1</v>
      </c>
      <c r="H38" s="175" t="b">
        <v>1</v>
      </c>
      <c r="I38" s="175" t="b">
        <v>1</v>
      </c>
      <c r="K38" s="207">
        <v>2</v>
      </c>
      <c r="L38" s="207" t="s">
        <v>123</v>
      </c>
      <c r="M38" s="207" t="s">
        <v>123</v>
      </c>
      <c r="N38" s="207" t="s">
        <v>123</v>
      </c>
      <c r="S38" s="175">
        <v>8</v>
      </c>
      <c r="T38" s="175">
        <v>1</v>
      </c>
      <c r="U38" s="175">
        <v>1</v>
      </c>
      <c r="V38" s="175">
        <v>1</v>
      </c>
    </row>
    <row r="39" spans="1:24" x14ac:dyDescent="0.2">
      <c r="F39" s="175">
        <v>3</v>
      </c>
      <c r="G39" s="175" t="b">
        <v>1</v>
      </c>
      <c r="H39" s="175" t="b">
        <v>1</v>
      </c>
      <c r="I39" s="175" t="b">
        <v>1</v>
      </c>
      <c r="K39" s="207">
        <v>3</v>
      </c>
      <c r="L39" s="207" t="s">
        <v>124</v>
      </c>
      <c r="M39" s="207" t="s">
        <v>124</v>
      </c>
      <c r="N39" s="207" t="s">
        <v>124</v>
      </c>
      <c r="S39" s="175">
        <v>9</v>
      </c>
      <c r="T39" s="175">
        <v>1</v>
      </c>
      <c r="U39" s="175">
        <v>1</v>
      </c>
      <c r="V39" s="175">
        <v>1</v>
      </c>
    </row>
    <row r="40" spans="1:24" x14ac:dyDescent="0.2">
      <c r="F40" s="175">
        <v>4</v>
      </c>
      <c r="G40" s="175" t="b">
        <v>1</v>
      </c>
      <c r="H40" s="175" t="b">
        <v>1</v>
      </c>
      <c r="I40" s="175" t="b">
        <v>1</v>
      </c>
      <c r="K40" s="207">
        <v>4</v>
      </c>
      <c r="L40" s="207" t="s">
        <v>126</v>
      </c>
      <c r="M40" s="207" t="s">
        <v>126</v>
      </c>
      <c r="N40" s="207" t="s">
        <v>126</v>
      </c>
      <c r="S40" s="175">
        <v>10</v>
      </c>
      <c r="T40" s="175">
        <v>1</v>
      </c>
      <c r="U40" s="175">
        <v>1</v>
      </c>
      <c r="V40" s="175">
        <v>1</v>
      </c>
    </row>
    <row r="41" spans="1:24" x14ac:dyDescent="0.2">
      <c r="F41" s="175">
        <v>5</v>
      </c>
      <c r="G41" s="175" t="b">
        <v>1</v>
      </c>
      <c r="H41" s="175" t="b">
        <v>1</v>
      </c>
      <c r="I41" s="175" t="b">
        <v>1</v>
      </c>
      <c r="K41" s="207">
        <v>5</v>
      </c>
      <c r="L41" s="207" t="s">
        <v>127</v>
      </c>
      <c r="M41" s="207" t="s">
        <v>127</v>
      </c>
      <c r="N41" s="207" t="s">
        <v>127</v>
      </c>
      <c r="R41" s="174" t="s">
        <v>71</v>
      </c>
      <c r="S41" s="175">
        <v>0</v>
      </c>
      <c r="T41" s="175" t="b">
        <v>0</v>
      </c>
      <c r="U41" s="175" t="b">
        <v>0</v>
      </c>
      <c r="V41" s="175" t="b">
        <v>0</v>
      </c>
      <c r="X41" s="175" t="s">
        <v>92</v>
      </c>
    </row>
    <row r="42" spans="1:24" x14ac:dyDescent="0.2">
      <c r="F42" s="175">
        <v>6</v>
      </c>
      <c r="G42" s="175" t="b">
        <v>1</v>
      </c>
      <c r="H42" s="175" t="b">
        <v>1</v>
      </c>
      <c r="I42" s="175" t="b">
        <v>1</v>
      </c>
      <c r="K42" s="207">
        <v>6</v>
      </c>
      <c r="L42" s="207" t="s">
        <v>128</v>
      </c>
      <c r="M42" s="207" t="s">
        <v>128</v>
      </c>
      <c r="N42" s="207" t="s">
        <v>128</v>
      </c>
      <c r="Q42" s="174" t="s">
        <v>3</v>
      </c>
      <c r="R42" s="174" t="s">
        <v>69</v>
      </c>
      <c r="S42" s="175" t="s">
        <v>5</v>
      </c>
      <c r="T42" s="175" t="b">
        <v>0</v>
      </c>
      <c r="U42" s="175" t="b">
        <v>0</v>
      </c>
      <c r="V42" s="175" t="b">
        <v>0</v>
      </c>
      <c r="X42" s="176" t="b">
        <v>0</v>
      </c>
    </row>
    <row r="43" spans="1:24" x14ac:dyDescent="0.2">
      <c r="F43" s="175">
        <v>7</v>
      </c>
      <c r="G43" s="175" t="b">
        <v>1</v>
      </c>
      <c r="H43" s="175" t="b">
        <v>1</v>
      </c>
      <c r="I43" s="175" t="b">
        <v>1</v>
      </c>
      <c r="K43" s="207">
        <v>7</v>
      </c>
      <c r="L43" s="207" t="s">
        <v>129</v>
      </c>
      <c r="M43" s="207" t="s">
        <v>129</v>
      </c>
      <c r="N43" s="207" t="s">
        <v>129</v>
      </c>
      <c r="S43" s="175" t="s">
        <v>6</v>
      </c>
      <c r="T43" s="175" t="b">
        <v>0</v>
      </c>
      <c r="U43" s="175" t="b">
        <v>0</v>
      </c>
      <c r="V43" s="175" t="b">
        <v>0</v>
      </c>
      <c r="X43" s="175" t="s">
        <v>107</v>
      </c>
    </row>
    <row r="44" spans="1:24" x14ac:dyDescent="0.2">
      <c r="F44" s="175">
        <v>8</v>
      </c>
      <c r="G44" s="175" t="b">
        <v>1</v>
      </c>
      <c r="H44" s="175" t="b">
        <v>1</v>
      </c>
      <c r="I44" s="175" t="b">
        <v>1</v>
      </c>
      <c r="K44" s="207">
        <v>8</v>
      </c>
      <c r="L44" s="207" t="s">
        <v>130</v>
      </c>
      <c r="M44" s="207" t="s">
        <v>130</v>
      </c>
      <c r="N44" s="207" t="s">
        <v>130</v>
      </c>
      <c r="S44" s="175" t="s">
        <v>7</v>
      </c>
      <c r="T44" s="175" t="b">
        <v>0</v>
      </c>
      <c r="U44" s="175" t="b">
        <v>0</v>
      </c>
      <c r="V44" s="175" t="b">
        <v>0</v>
      </c>
      <c r="X44" s="176" t="b">
        <v>0</v>
      </c>
    </row>
    <row r="45" spans="1:24" x14ac:dyDescent="0.2">
      <c r="F45" s="175">
        <v>9</v>
      </c>
      <c r="G45" s="175" t="b">
        <v>1</v>
      </c>
      <c r="H45" s="175" t="b">
        <v>1</v>
      </c>
      <c r="I45" s="175" t="b">
        <v>1</v>
      </c>
      <c r="K45" s="207">
        <v>9</v>
      </c>
      <c r="L45" s="207" t="s">
        <v>131</v>
      </c>
      <c r="M45" s="207" t="s">
        <v>131</v>
      </c>
      <c r="N45" s="207" t="s">
        <v>131</v>
      </c>
      <c r="R45" s="174" t="s">
        <v>68</v>
      </c>
      <c r="S45" s="175" t="s">
        <v>5</v>
      </c>
      <c r="T45" s="175">
        <v>10</v>
      </c>
      <c r="U45" s="175">
        <v>10</v>
      </c>
      <c r="V45" s="175">
        <v>10</v>
      </c>
    </row>
    <row r="46" spans="1:24" x14ac:dyDescent="0.2">
      <c r="F46" s="175">
        <v>10</v>
      </c>
      <c r="G46" s="175" t="b">
        <v>1</v>
      </c>
      <c r="H46" s="175" t="b">
        <v>1</v>
      </c>
      <c r="I46" s="175" t="b">
        <v>1</v>
      </c>
      <c r="K46" s="207">
        <v>10</v>
      </c>
      <c r="L46" s="207" t="s">
        <v>132</v>
      </c>
      <c r="M46" s="207" t="s">
        <v>132</v>
      </c>
      <c r="N46" s="207" t="s">
        <v>132</v>
      </c>
      <c r="S46" s="175" t="s">
        <v>6</v>
      </c>
      <c r="T46" s="175">
        <v>10</v>
      </c>
      <c r="U46" s="175">
        <v>10</v>
      </c>
      <c r="V46" s="175">
        <v>10</v>
      </c>
    </row>
    <row r="47" spans="1:24" x14ac:dyDescent="0.2">
      <c r="A47" s="174" t="s">
        <v>138</v>
      </c>
      <c r="F47" s="175">
        <v>11</v>
      </c>
      <c r="G47" s="174" t="b">
        <v>1</v>
      </c>
      <c r="H47" s="174" t="b">
        <v>1</v>
      </c>
      <c r="I47" s="174" t="b">
        <v>1</v>
      </c>
      <c r="K47" s="207">
        <v>11</v>
      </c>
      <c r="L47" s="207" t="s">
        <v>139</v>
      </c>
      <c r="M47" s="207" t="s">
        <v>139</v>
      </c>
      <c r="N47" s="207" t="s">
        <v>139</v>
      </c>
      <c r="S47" s="175" t="s">
        <v>7</v>
      </c>
      <c r="T47" s="175">
        <v>10</v>
      </c>
      <c r="U47" s="175">
        <v>10</v>
      </c>
      <c r="V47" s="175">
        <v>10</v>
      </c>
    </row>
    <row r="48" spans="1:24" x14ac:dyDescent="0.2">
      <c r="F48" s="175">
        <v>12</v>
      </c>
      <c r="G48" s="174" t="b">
        <v>1</v>
      </c>
      <c r="H48" s="174" t="b">
        <v>1</v>
      </c>
      <c r="I48" s="174" t="b">
        <v>1</v>
      </c>
      <c r="K48" s="207">
        <v>12</v>
      </c>
      <c r="L48" s="207" t="s">
        <v>140</v>
      </c>
      <c r="M48" s="207" t="s">
        <v>140</v>
      </c>
      <c r="N48" s="207" t="s">
        <v>140</v>
      </c>
      <c r="Q48" s="174" t="s">
        <v>20</v>
      </c>
      <c r="R48" s="174" t="s">
        <v>66</v>
      </c>
      <c r="S48" s="175">
        <v>1</v>
      </c>
      <c r="T48" s="175" t="b">
        <v>0</v>
      </c>
      <c r="U48" s="175" t="b">
        <v>0</v>
      </c>
      <c r="V48" s="175" t="b">
        <v>0</v>
      </c>
    </row>
    <row r="49" spans="6:33" x14ac:dyDescent="0.2">
      <c r="F49" s="175">
        <v>13</v>
      </c>
      <c r="G49" s="174" t="b">
        <v>1</v>
      </c>
      <c r="H49" s="174" t="b">
        <v>1</v>
      </c>
      <c r="I49" s="174" t="b">
        <v>1</v>
      </c>
      <c r="K49" s="207">
        <v>13</v>
      </c>
      <c r="L49" s="207" t="s">
        <v>141</v>
      </c>
      <c r="M49" s="207" t="s">
        <v>141</v>
      </c>
      <c r="N49" s="207" t="s">
        <v>141</v>
      </c>
      <c r="S49" s="175">
        <v>5</v>
      </c>
      <c r="T49" s="175" t="b">
        <v>0</v>
      </c>
      <c r="U49" s="175" t="b">
        <v>0</v>
      </c>
      <c r="V49" s="175" t="b">
        <v>0</v>
      </c>
    </row>
    <row r="50" spans="6:33" x14ac:dyDescent="0.2">
      <c r="F50" s="175">
        <v>14</v>
      </c>
      <c r="G50" s="174" t="b">
        <v>1</v>
      </c>
      <c r="H50" s="174" t="b">
        <v>1</v>
      </c>
      <c r="I50" s="174" t="b">
        <v>1</v>
      </c>
      <c r="K50" s="207">
        <v>14</v>
      </c>
      <c r="L50" s="207" t="s">
        <v>142</v>
      </c>
      <c r="M50" s="207" t="s">
        <v>142</v>
      </c>
      <c r="N50" s="207" t="s">
        <v>142</v>
      </c>
      <c r="S50" s="175" t="s">
        <v>17</v>
      </c>
      <c r="T50" s="175" t="b">
        <v>0</v>
      </c>
      <c r="U50" s="175" t="b">
        <v>0</v>
      </c>
      <c r="V50" s="175" t="b">
        <v>0</v>
      </c>
    </row>
    <row r="51" spans="6:33" x14ac:dyDescent="0.2">
      <c r="F51" s="175">
        <v>15</v>
      </c>
      <c r="G51" s="174" t="b">
        <v>1</v>
      </c>
      <c r="H51" s="174" t="b">
        <v>1</v>
      </c>
      <c r="I51" s="174" t="b">
        <v>1</v>
      </c>
      <c r="K51" s="207">
        <v>15</v>
      </c>
      <c r="L51" s="207" t="s">
        <v>143</v>
      </c>
      <c r="M51" s="207" t="s">
        <v>143</v>
      </c>
      <c r="N51" s="207" t="s">
        <v>143</v>
      </c>
      <c r="R51" s="174" t="s">
        <v>11</v>
      </c>
      <c r="S51" s="175">
        <v>1</v>
      </c>
      <c r="T51" s="175">
        <v>1</v>
      </c>
      <c r="U51" s="175">
        <v>1</v>
      </c>
      <c r="V51" s="175">
        <v>1</v>
      </c>
    </row>
    <row r="52" spans="6:33" x14ac:dyDescent="0.2">
      <c r="F52" s="175">
        <v>16</v>
      </c>
      <c r="G52" s="174" t="b">
        <v>1</v>
      </c>
      <c r="H52" s="174" t="b">
        <v>1</v>
      </c>
      <c r="I52" s="174" t="b">
        <v>1</v>
      </c>
      <c r="K52" s="207">
        <v>16</v>
      </c>
      <c r="L52" s="207" t="s">
        <v>144</v>
      </c>
      <c r="M52" s="207" t="s">
        <v>144</v>
      </c>
      <c r="N52" s="207" t="s">
        <v>144</v>
      </c>
      <c r="S52" s="175">
        <v>5</v>
      </c>
      <c r="T52" s="175">
        <v>5</v>
      </c>
      <c r="U52" s="175">
        <v>5</v>
      </c>
      <c r="V52" s="175">
        <v>5</v>
      </c>
    </row>
    <row r="53" spans="6:33" x14ac:dyDescent="0.2">
      <c r="F53" s="175">
        <v>17</v>
      </c>
      <c r="G53" s="174" t="b">
        <v>1</v>
      </c>
      <c r="H53" s="174" t="b">
        <v>1</v>
      </c>
      <c r="I53" s="174" t="b">
        <v>1</v>
      </c>
      <c r="K53" s="207">
        <v>17</v>
      </c>
      <c r="L53" s="207" t="s">
        <v>145</v>
      </c>
      <c r="M53" s="207" t="s">
        <v>145</v>
      </c>
      <c r="N53" s="207" t="s">
        <v>145</v>
      </c>
      <c r="S53" s="175" t="s">
        <v>17</v>
      </c>
      <c r="T53" s="175">
        <v>2</v>
      </c>
      <c r="U53" s="175">
        <v>2</v>
      </c>
      <c r="V53" s="175">
        <v>2</v>
      </c>
    </row>
    <row r="54" spans="6:33" x14ac:dyDescent="0.2">
      <c r="F54" s="175">
        <v>18</v>
      </c>
      <c r="G54" s="174" t="b">
        <v>1</v>
      </c>
      <c r="H54" s="174" t="b">
        <v>1</v>
      </c>
      <c r="I54" s="174" t="b">
        <v>1</v>
      </c>
      <c r="K54" s="207">
        <v>18</v>
      </c>
      <c r="L54" s="207" t="s">
        <v>146</v>
      </c>
      <c r="M54" s="207" t="s">
        <v>146</v>
      </c>
      <c r="N54" s="207" t="s">
        <v>146</v>
      </c>
      <c r="Q54" s="174" t="s">
        <v>70</v>
      </c>
      <c r="R54" s="174" t="s">
        <v>66</v>
      </c>
      <c r="S54" s="175" t="s">
        <v>5</v>
      </c>
      <c r="T54" s="175" t="b">
        <v>0</v>
      </c>
      <c r="U54" s="175" t="b">
        <v>0</v>
      </c>
      <c r="V54" s="175" t="b">
        <v>0</v>
      </c>
    </row>
    <row r="55" spans="6:33" x14ac:dyDescent="0.2">
      <c r="F55" s="175">
        <v>19</v>
      </c>
      <c r="G55" s="174" t="b">
        <v>1</v>
      </c>
      <c r="H55" s="174" t="b">
        <v>1</v>
      </c>
      <c r="I55" s="174" t="b">
        <v>1</v>
      </c>
      <c r="K55" s="207">
        <v>19</v>
      </c>
      <c r="L55" s="207" t="s">
        <v>147</v>
      </c>
      <c r="M55" s="207" t="s">
        <v>147</v>
      </c>
      <c r="N55" s="207" t="s">
        <v>147</v>
      </c>
      <c r="S55" s="175" t="s">
        <v>6</v>
      </c>
      <c r="T55" s="175" t="b">
        <v>0</v>
      </c>
      <c r="U55" s="175" t="b">
        <v>0</v>
      </c>
      <c r="V55" s="175" t="b">
        <v>0</v>
      </c>
      <c r="W55" s="174" t="s">
        <v>125</v>
      </c>
      <c r="X55" s="174" t="s">
        <v>125</v>
      </c>
      <c r="Y55" s="174" t="s">
        <v>125</v>
      </c>
      <c r="AA55" s="174" t="s">
        <v>6</v>
      </c>
    </row>
    <row r="56" spans="6:33" x14ac:dyDescent="0.2">
      <c r="F56" s="175">
        <v>20</v>
      </c>
      <c r="G56" s="174" t="b">
        <v>1</v>
      </c>
      <c r="H56" s="174" t="b">
        <v>1</v>
      </c>
      <c r="I56" s="174" t="b">
        <v>1</v>
      </c>
      <c r="K56" s="207">
        <v>20</v>
      </c>
      <c r="L56" s="207" t="s">
        <v>148</v>
      </c>
      <c r="M56" s="207" t="s">
        <v>148</v>
      </c>
      <c r="N56" s="207" t="s">
        <v>148</v>
      </c>
      <c r="S56" s="175" t="s">
        <v>7</v>
      </c>
      <c r="T56" s="175" t="b">
        <v>0</v>
      </c>
      <c r="U56" s="175" t="b">
        <v>0</v>
      </c>
      <c r="V56" s="175" t="b">
        <v>0</v>
      </c>
      <c r="W56" s="174">
        <v>1</v>
      </c>
      <c r="X56" s="174">
        <v>1</v>
      </c>
      <c r="Y56" s="174">
        <v>1</v>
      </c>
    </row>
    <row r="57" spans="6:33" x14ac:dyDescent="0.2">
      <c r="F57" s="175">
        <v>21</v>
      </c>
      <c r="G57" s="174" t="b">
        <v>1</v>
      </c>
      <c r="H57" s="174" t="b">
        <v>1</v>
      </c>
      <c r="I57" s="174" t="b">
        <v>1</v>
      </c>
      <c r="K57" s="207">
        <v>21</v>
      </c>
      <c r="L57" s="207" t="s">
        <v>149</v>
      </c>
      <c r="M57" s="207" t="s">
        <v>149</v>
      </c>
      <c r="N57" s="207" t="s">
        <v>149</v>
      </c>
      <c r="R57" s="174" t="s">
        <v>90</v>
      </c>
      <c r="S57" s="175">
        <v>0</v>
      </c>
      <c r="T57" s="175" t="s">
        <v>125</v>
      </c>
      <c r="U57" s="175" t="s">
        <v>125</v>
      </c>
      <c r="V57" s="175" t="s">
        <v>125</v>
      </c>
      <c r="W57" s="174" t="s">
        <v>131</v>
      </c>
      <c r="X57" s="174" t="s">
        <v>131</v>
      </c>
      <c r="Y57" s="174" t="s">
        <v>131</v>
      </c>
      <c r="Z57" s="174" t="s">
        <v>5</v>
      </c>
      <c r="AA57" s="174" t="s">
        <v>7</v>
      </c>
    </row>
    <row r="58" spans="6:33" x14ac:dyDescent="0.2">
      <c r="F58" s="175">
        <v>22</v>
      </c>
      <c r="G58" s="174" t="b">
        <v>1</v>
      </c>
      <c r="H58" s="174" t="b">
        <v>1</v>
      </c>
      <c r="I58" s="174" t="b">
        <v>1</v>
      </c>
      <c r="K58" s="207">
        <v>22</v>
      </c>
      <c r="L58" s="207" t="s">
        <v>150</v>
      </c>
      <c r="M58" s="207" t="s">
        <v>150</v>
      </c>
      <c r="N58" s="207" t="s">
        <v>150</v>
      </c>
      <c r="R58" s="174" t="s">
        <v>91</v>
      </c>
      <c r="S58" s="175">
        <v>0</v>
      </c>
      <c r="T58" s="175">
        <v>1</v>
      </c>
      <c r="U58" s="175">
        <v>1</v>
      </c>
      <c r="V58" s="175">
        <v>1</v>
      </c>
      <c r="W58" s="174">
        <v>9</v>
      </c>
      <c r="X58" s="174">
        <v>9</v>
      </c>
      <c r="Y58" s="174">
        <v>9</v>
      </c>
    </row>
    <row r="59" spans="6:33" x14ac:dyDescent="0.2">
      <c r="F59" s="175">
        <v>23</v>
      </c>
      <c r="G59" s="174" t="b">
        <v>1</v>
      </c>
      <c r="H59" s="174" t="b">
        <v>1</v>
      </c>
      <c r="I59" s="174" t="b">
        <v>1</v>
      </c>
      <c r="K59" s="207">
        <v>23</v>
      </c>
      <c r="L59" s="207" t="s">
        <v>151</v>
      </c>
      <c r="M59" s="207" t="s">
        <v>151</v>
      </c>
      <c r="N59" s="207" t="s">
        <v>151</v>
      </c>
      <c r="R59" s="174" t="s">
        <v>72</v>
      </c>
      <c r="S59" s="175">
        <v>0</v>
      </c>
      <c r="T59" s="175" t="s">
        <v>125</v>
      </c>
      <c r="U59" s="175" t="s">
        <v>125</v>
      </c>
      <c r="V59" s="175" t="s">
        <v>125</v>
      </c>
      <c r="AG59" s="174" t="s">
        <v>1</v>
      </c>
    </row>
    <row r="60" spans="6:33" x14ac:dyDescent="0.2">
      <c r="F60" s="175">
        <v>24</v>
      </c>
      <c r="G60" s="174" t="b">
        <v>1</v>
      </c>
      <c r="H60" s="174" t="b">
        <v>1</v>
      </c>
      <c r="I60" s="174" t="b">
        <v>1</v>
      </c>
      <c r="K60" s="207">
        <v>24</v>
      </c>
      <c r="L60" s="207" t="s">
        <v>152</v>
      </c>
      <c r="M60" s="207" t="s">
        <v>152</v>
      </c>
      <c r="N60" s="207" t="s">
        <v>152</v>
      </c>
      <c r="S60" s="175">
        <v>0</v>
      </c>
      <c r="T60" s="175">
        <v>1</v>
      </c>
      <c r="U60" s="175">
        <v>1</v>
      </c>
      <c r="V60" s="175">
        <v>1</v>
      </c>
    </row>
    <row r="61" spans="6:33" x14ac:dyDescent="0.2">
      <c r="F61" s="175">
        <v>25</v>
      </c>
      <c r="G61" s="174" t="b">
        <v>1</v>
      </c>
      <c r="H61" s="174" t="b">
        <v>1</v>
      </c>
      <c r="I61" s="174" t="b">
        <v>1</v>
      </c>
      <c r="K61" s="207">
        <v>25</v>
      </c>
      <c r="L61" s="207" t="s">
        <v>153</v>
      </c>
      <c r="M61" s="207" t="s">
        <v>153</v>
      </c>
      <c r="N61" s="207" t="s">
        <v>153</v>
      </c>
      <c r="S61" s="175" t="s">
        <v>5</v>
      </c>
      <c r="T61" s="177">
        <v>156</v>
      </c>
      <c r="U61" s="177">
        <v>156</v>
      </c>
      <c r="V61" s="177">
        <v>156</v>
      </c>
      <c r="W61" s="178">
        <f>Diagrama!B6</f>
        <v>1</v>
      </c>
      <c r="X61" s="178">
        <f>Diagrama!C6</f>
        <v>4</v>
      </c>
      <c r="Y61" s="178">
        <f>Diagrama!D6</f>
        <v>7</v>
      </c>
      <c r="Z61" s="178">
        <f>Diagrama!E6</f>
        <v>10</v>
      </c>
      <c r="AA61" s="178">
        <f>Diagrama!F6</f>
        <v>13</v>
      </c>
      <c r="AB61" s="178">
        <f>Diagrama!G6</f>
        <v>16</v>
      </c>
      <c r="AC61" s="178">
        <f>Diagrama!H6</f>
        <v>19</v>
      </c>
      <c r="AD61" s="178">
        <f>Diagrama!I6</f>
        <v>22</v>
      </c>
      <c r="AE61" s="178">
        <f>Diagrama!J6</f>
        <v>25</v>
      </c>
      <c r="AF61" s="178">
        <f>Diagrama!K6</f>
        <v>28</v>
      </c>
      <c r="AG61" s="178">
        <f>Diagrama!L6</f>
        <v>31</v>
      </c>
    </row>
    <row r="62" spans="6:33" x14ac:dyDescent="0.2">
      <c r="F62" s="175">
        <v>26</v>
      </c>
      <c r="G62" s="174" t="b">
        <v>1</v>
      </c>
      <c r="H62" s="174" t="b">
        <v>1</v>
      </c>
      <c r="I62" s="174" t="b">
        <v>1</v>
      </c>
      <c r="K62" s="207">
        <v>26</v>
      </c>
      <c r="L62" s="207" t="s">
        <v>154</v>
      </c>
      <c r="M62" s="207" t="s">
        <v>154</v>
      </c>
      <c r="N62" s="207" t="s">
        <v>154</v>
      </c>
      <c r="S62" s="175" t="s">
        <v>6</v>
      </c>
      <c r="T62" s="177">
        <v>156</v>
      </c>
      <c r="U62" s="177">
        <v>156</v>
      </c>
      <c r="V62" s="177">
        <v>156</v>
      </c>
      <c r="W62" s="178">
        <f>Diagrama!B7</f>
        <v>2</v>
      </c>
      <c r="X62" s="178">
        <f>Diagrama!C7</f>
        <v>5</v>
      </c>
      <c r="Y62" s="178">
        <f>Diagrama!D7</f>
        <v>8</v>
      </c>
      <c r="Z62" s="178">
        <f>Diagrama!E7</f>
        <v>11</v>
      </c>
      <c r="AA62" s="178">
        <f>Diagrama!F7</f>
        <v>14</v>
      </c>
      <c r="AB62" s="178">
        <f>Diagrama!G7</f>
        <v>17</v>
      </c>
      <c r="AC62" s="178">
        <f>Diagrama!H7</f>
        <v>20</v>
      </c>
      <c r="AD62" s="178">
        <f>Diagrama!I7</f>
        <v>23</v>
      </c>
      <c r="AE62" s="178">
        <f>Diagrama!J7</f>
        <v>26</v>
      </c>
      <c r="AF62" s="178">
        <f>Diagrama!K7</f>
        <v>29</v>
      </c>
      <c r="AG62" s="178">
        <f>Diagrama!L7</f>
        <v>32</v>
      </c>
    </row>
    <row r="63" spans="6:33" x14ac:dyDescent="0.2">
      <c r="F63" s="175">
        <v>27</v>
      </c>
      <c r="G63" s="174" t="b">
        <v>1</v>
      </c>
      <c r="H63" s="174" t="b">
        <v>1</v>
      </c>
      <c r="I63" s="174" t="b">
        <v>1</v>
      </c>
      <c r="K63" s="207">
        <v>27</v>
      </c>
      <c r="L63" s="207" t="s">
        <v>155</v>
      </c>
      <c r="M63" s="207" t="s">
        <v>155</v>
      </c>
      <c r="N63" s="207" t="s">
        <v>155</v>
      </c>
      <c r="S63" s="175" t="s">
        <v>7</v>
      </c>
      <c r="T63" s="177">
        <v>156</v>
      </c>
      <c r="U63" s="177">
        <v>156</v>
      </c>
      <c r="V63" s="177">
        <v>156</v>
      </c>
      <c r="W63" s="178">
        <f>Diagrama!B8</f>
        <v>3</v>
      </c>
      <c r="X63" s="178">
        <f>Diagrama!C8</f>
        <v>6</v>
      </c>
      <c r="Y63" s="178">
        <f>Diagrama!D8</f>
        <v>9</v>
      </c>
      <c r="Z63" s="178">
        <f>Diagrama!E8</f>
        <v>12</v>
      </c>
      <c r="AA63" s="178">
        <f>Diagrama!F8</f>
        <v>15</v>
      </c>
      <c r="AB63" s="178">
        <f>Diagrama!G8</f>
        <v>18</v>
      </c>
      <c r="AC63" s="178">
        <f>Diagrama!H8</f>
        <v>21</v>
      </c>
      <c r="AD63" s="178">
        <f>Diagrama!I8</f>
        <v>24</v>
      </c>
      <c r="AE63" s="178">
        <f>Diagrama!J8</f>
        <v>27</v>
      </c>
      <c r="AF63" s="178">
        <f>Diagrama!K8</f>
        <v>30</v>
      </c>
      <c r="AG63" s="178">
        <f>Diagrama!L8</f>
        <v>33</v>
      </c>
    </row>
    <row r="64" spans="6:33" x14ac:dyDescent="0.2">
      <c r="F64" s="175">
        <v>28</v>
      </c>
      <c r="G64" s="174" t="b">
        <v>1</v>
      </c>
      <c r="H64" s="174" t="b">
        <v>1</v>
      </c>
      <c r="I64" s="174" t="b">
        <v>1</v>
      </c>
      <c r="K64" s="207">
        <v>28</v>
      </c>
      <c r="L64" s="207" t="s">
        <v>156</v>
      </c>
      <c r="M64" s="207" t="s">
        <v>156</v>
      </c>
      <c r="N64" s="207" t="s">
        <v>156</v>
      </c>
      <c r="S64" s="175" t="s">
        <v>16</v>
      </c>
      <c r="T64" s="177">
        <v>468</v>
      </c>
      <c r="U64" s="177">
        <v>468</v>
      </c>
      <c r="V64" s="177">
        <v>468</v>
      </c>
      <c r="W64" s="178">
        <f>Diagrama!B9</f>
        <v>6</v>
      </c>
      <c r="X64" s="178">
        <f>Diagrama!C9</f>
        <v>15</v>
      </c>
      <c r="Y64" s="178">
        <f>Diagrama!D9</f>
        <v>24</v>
      </c>
      <c r="Z64" s="178">
        <f>Diagrama!E9</f>
        <v>33</v>
      </c>
      <c r="AA64" s="178">
        <f>Diagrama!F9</f>
        <v>42</v>
      </c>
      <c r="AB64" s="178">
        <f>Diagrama!G9</f>
        <v>51</v>
      </c>
      <c r="AC64" s="178">
        <f>Diagrama!H9</f>
        <v>60</v>
      </c>
      <c r="AD64" s="178">
        <f>Diagrama!I9</f>
        <v>69</v>
      </c>
      <c r="AE64" s="178">
        <f>Diagrama!J9</f>
        <v>78</v>
      </c>
      <c r="AF64" s="178">
        <f>Diagrama!K9</f>
        <v>87</v>
      </c>
      <c r="AG64" s="178">
        <f>Diagrama!L9</f>
        <v>96</v>
      </c>
    </row>
    <row r="65" spans="6:33" x14ac:dyDescent="0.2">
      <c r="F65" s="175">
        <v>29</v>
      </c>
      <c r="G65" s="174" t="b">
        <v>1</v>
      </c>
      <c r="H65" s="174" t="b">
        <v>1</v>
      </c>
      <c r="I65" s="174" t="b">
        <v>1</v>
      </c>
      <c r="K65" s="207">
        <v>29</v>
      </c>
      <c r="L65" s="207" t="s">
        <v>157</v>
      </c>
      <c r="M65" s="207" t="s">
        <v>157</v>
      </c>
      <c r="N65" s="207" t="s">
        <v>157</v>
      </c>
      <c r="S65" s="175" t="s">
        <v>30</v>
      </c>
      <c r="T65" s="179">
        <v>3</v>
      </c>
      <c r="U65" s="180">
        <v>3</v>
      </c>
      <c r="V65" s="179">
        <v>3</v>
      </c>
      <c r="W65" s="181">
        <f>Diagrama!B20</f>
        <v>2</v>
      </c>
      <c r="X65" s="181">
        <f>Diagrama!C20</f>
        <v>2.5</v>
      </c>
      <c r="Y65" s="181">
        <f>Diagrama!D20</f>
        <v>2.6666666666666665</v>
      </c>
      <c r="Z65" s="181">
        <f>Diagrama!E20</f>
        <v>2.75</v>
      </c>
      <c r="AA65" s="181">
        <f>Diagrama!F20</f>
        <v>2.8</v>
      </c>
      <c r="AB65" s="181">
        <f>Diagrama!G20</f>
        <v>2.833333333333333</v>
      </c>
      <c r="AC65" s="181">
        <f>Diagrama!H20</f>
        <v>2.8571428571428572</v>
      </c>
      <c r="AD65" s="181">
        <f>Diagrama!I20</f>
        <v>2.875</v>
      </c>
      <c r="AE65" s="181">
        <f>Diagrama!J20</f>
        <v>2.8888888888888888</v>
      </c>
      <c r="AF65" s="181">
        <f>Diagrama!K20</f>
        <v>2.9</v>
      </c>
      <c r="AG65" s="181">
        <f>Diagrama!L20</f>
        <v>2.9090909090909092</v>
      </c>
    </row>
    <row r="66" spans="6:33" x14ac:dyDescent="0.2">
      <c r="F66" s="175">
        <v>30</v>
      </c>
      <c r="G66" s="174" t="b">
        <v>1</v>
      </c>
      <c r="H66" s="174" t="b">
        <v>1</v>
      </c>
      <c r="I66" s="174" t="b">
        <v>1</v>
      </c>
      <c r="K66" s="207">
        <v>30</v>
      </c>
      <c r="L66" s="207" t="s">
        <v>158</v>
      </c>
      <c r="M66" s="207" t="s">
        <v>158</v>
      </c>
      <c r="N66" s="207" t="s">
        <v>158</v>
      </c>
      <c r="S66" s="175" t="s">
        <v>31</v>
      </c>
      <c r="T66" s="179">
        <v>0.49999999999999989</v>
      </c>
      <c r="U66" s="180">
        <v>0.49999999999999989</v>
      </c>
      <c r="V66" s="179">
        <v>0.49999999999999989</v>
      </c>
      <c r="W66" s="181">
        <f>Diagrama!B21</f>
        <v>1</v>
      </c>
      <c r="X66" s="181">
        <f>Diagrama!C21</f>
        <v>0.66666666666666674</v>
      </c>
      <c r="Y66" s="181">
        <f>Diagrama!D21</f>
        <v>0.6</v>
      </c>
      <c r="Z66" s="181">
        <f>Diagrama!E21</f>
        <v>0.57142857142857151</v>
      </c>
      <c r="AA66" s="181">
        <f>Diagrama!F21</f>
        <v>0.55555555555555558</v>
      </c>
      <c r="AB66" s="181">
        <f>Diagrama!G21</f>
        <v>0.54545454545454553</v>
      </c>
      <c r="AC66" s="181">
        <f>Diagrama!H21</f>
        <v>0.53846153846153844</v>
      </c>
      <c r="AD66" s="181">
        <f>Diagrama!I21</f>
        <v>0.53333333333333333</v>
      </c>
      <c r="AE66" s="181">
        <f>Diagrama!J21</f>
        <v>0.52941176470588236</v>
      </c>
      <c r="AF66" s="181">
        <f>Diagrama!K21</f>
        <v>0.52631578947368429</v>
      </c>
      <c r="AG66" s="181">
        <f>Diagrama!L21</f>
        <v>0.52380952380952384</v>
      </c>
    </row>
    <row r="67" spans="6:33" x14ac:dyDescent="0.2">
      <c r="F67" s="175">
        <v>31</v>
      </c>
      <c r="G67" s="174" t="b">
        <v>1</v>
      </c>
      <c r="H67" s="174" t="b">
        <v>1</v>
      </c>
      <c r="I67" s="174" t="b">
        <v>1</v>
      </c>
      <c r="K67" s="207">
        <v>31</v>
      </c>
      <c r="L67" s="207" t="s">
        <v>159</v>
      </c>
      <c r="M67" s="207" t="s">
        <v>159</v>
      </c>
      <c r="N67" s="207" t="s">
        <v>159</v>
      </c>
      <c r="S67" s="175" t="s">
        <v>32</v>
      </c>
      <c r="T67" s="179">
        <v>2.0000000000000004</v>
      </c>
      <c r="U67" s="180">
        <v>2.0000000000000004</v>
      </c>
      <c r="V67" s="179">
        <v>2.0000000000000004</v>
      </c>
      <c r="W67" s="181">
        <f>Diagrama!B22</f>
        <v>5.0000000000000009</v>
      </c>
      <c r="X67" s="181">
        <f>Diagrama!C22</f>
        <v>2.7500000000000004</v>
      </c>
      <c r="Y67" s="181">
        <f>Diagrama!D22</f>
        <v>2.4285714285714284</v>
      </c>
      <c r="Z67" s="181">
        <f>Diagrama!E22</f>
        <v>2.3000000000000003</v>
      </c>
      <c r="AA67" s="181">
        <f>Diagrama!F22</f>
        <v>2.2307692307692308</v>
      </c>
      <c r="AB67" s="181">
        <f>Diagrama!G22</f>
        <v>2.1875</v>
      </c>
      <c r="AC67" s="181">
        <f>Diagrama!H22</f>
        <v>2.1578947368421053</v>
      </c>
      <c r="AD67" s="181">
        <f>Diagrama!I22</f>
        <v>2.1363636363636367</v>
      </c>
      <c r="AE67" s="181">
        <f>Diagrama!J22</f>
        <v>2.12</v>
      </c>
      <c r="AF67" s="181">
        <f>Diagrama!K22</f>
        <v>2.1071428571428572</v>
      </c>
      <c r="AG67" s="181">
        <f>Diagrama!L22</f>
        <v>2.0967741935483866</v>
      </c>
    </row>
    <row r="68" spans="6:33" x14ac:dyDescent="0.2">
      <c r="F68" s="175">
        <v>32</v>
      </c>
      <c r="G68" s="174" t="b">
        <v>1</v>
      </c>
      <c r="H68" s="174" t="b">
        <v>1</v>
      </c>
      <c r="I68" s="174" t="b">
        <v>1</v>
      </c>
      <c r="K68" s="207">
        <v>32</v>
      </c>
      <c r="L68" s="207" t="s">
        <v>160</v>
      </c>
      <c r="M68" s="207" t="s">
        <v>160</v>
      </c>
      <c r="N68" s="207" t="s">
        <v>160</v>
      </c>
      <c r="S68" s="175" t="s">
        <v>20</v>
      </c>
      <c r="T68" s="179">
        <v>1.4999999999999996</v>
      </c>
      <c r="U68" s="180">
        <v>1.4999999999999996</v>
      </c>
      <c r="V68" s="179">
        <v>1.4999999999999996</v>
      </c>
      <c r="W68" s="181">
        <f>Diagrama!B23</f>
        <v>0.39999999999999991</v>
      </c>
      <c r="X68" s="181">
        <f>Diagrama!C23</f>
        <v>0.90909090909090895</v>
      </c>
      <c r="Y68" s="181">
        <f>Diagrama!D23</f>
        <v>1.0980392156862746</v>
      </c>
      <c r="Z68" s="181">
        <f>Diagrama!E23</f>
        <v>1.1956521739130432</v>
      </c>
      <c r="AA68" s="181">
        <f>Diagrama!F23</f>
        <v>1.2551724137931033</v>
      </c>
      <c r="AB68" s="181">
        <f>Diagrama!G23</f>
        <v>1.2952380952380951</v>
      </c>
      <c r="AC68" s="181">
        <f>Diagrama!H23</f>
        <v>1.3240418118466899</v>
      </c>
      <c r="AD68" s="181">
        <f>Diagrama!I23</f>
        <v>1.3457446808510636</v>
      </c>
      <c r="AE68" s="181">
        <f>Diagrama!J23</f>
        <v>1.3626834381551363</v>
      </c>
      <c r="AF68" s="181">
        <f>Diagrama!K23</f>
        <v>1.3762711864406778</v>
      </c>
      <c r="AG68" s="181">
        <f>Diagrama!L23</f>
        <v>1.3874125874125878</v>
      </c>
    </row>
    <row r="69" spans="6:33" x14ac:dyDescent="0.2">
      <c r="F69" s="175">
        <v>33</v>
      </c>
      <c r="G69" s="174" t="b">
        <v>1</v>
      </c>
      <c r="H69" s="174" t="b">
        <v>1</v>
      </c>
      <c r="I69" s="174" t="b">
        <v>1</v>
      </c>
      <c r="K69" s="207">
        <v>33</v>
      </c>
      <c r="L69" s="207" t="s">
        <v>161</v>
      </c>
      <c r="M69" s="207" t="s">
        <v>161</v>
      </c>
      <c r="N69" s="207" t="s">
        <v>161</v>
      </c>
      <c r="S69" s="175" t="s">
        <v>12</v>
      </c>
      <c r="T69" s="182">
        <v>33.333333333333336</v>
      </c>
      <c r="U69" s="180">
        <v>33.333333333333336</v>
      </c>
      <c r="V69" s="182">
        <v>33.333333333333336</v>
      </c>
      <c r="W69" s="183">
        <f t="shared" ref="W69:AB69" si="0">100*W61/W64</f>
        <v>16.666666666666668</v>
      </c>
      <c r="X69" s="183">
        <f t="shared" si="0"/>
        <v>26.666666666666668</v>
      </c>
      <c r="Y69" s="183">
        <f t="shared" si="0"/>
        <v>29.166666666666668</v>
      </c>
      <c r="Z69" s="183">
        <f t="shared" si="0"/>
        <v>30.303030303030305</v>
      </c>
      <c r="AA69" s="183">
        <f t="shared" si="0"/>
        <v>30.952380952380953</v>
      </c>
      <c r="AB69" s="183">
        <f t="shared" si="0"/>
        <v>31.372549019607842</v>
      </c>
      <c r="AC69" s="183">
        <f>100*AC61/AC64</f>
        <v>31.666666666666668</v>
      </c>
      <c r="AD69" s="183">
        <f>100*AD61/AD64</f>
        <v>31.884057971014492</v>
      </c>
      <c r="AE69" s="183">
        <f>100*AE61/AE64</f>
        <v>32.051282051282051</v>
      </c>
      <c r="AF69" s="183">
        <f>100*AF61/AF64</f>
        <v>32.183908045977013</v>
      </c>
      <c r="AG69" s="183">
        <f>100*AG61/AG64</f>
        <v>32.291666666666664</v>
      </c>
    </row>
    <row r="70" spans="6:33" x14ac:dyDescent="0.2">
      <c r="F70" s="175">
        <v>34</v>
      </c>
      <c r="G70" s="174" t="b">
        <v>1</v>
      </c>
      <c r="H70" s="174" t="b">
        <v>1</v>
      </c>
      <c r="I70" s="174" t="b">
        <v>1</v>
      </c>
      <c r="K70" s="207">
        <v>34</v>
      </c>
      <c r="L70" s="207" t="s">
        <v>162</v>
      </c>
      <c r="M70" s="207" t="s">
        <v>162</v>
      </c>
      <c r="N70" s="207" t="s">
        <v>162</v>
      </c>
      <c r="S70" s="175" t="s">
        <v>73</v>
      </c>
      <c r="T70" s="177">
        <v>0</v>
      </c>
      <c r="U70" s="177">
        <v>0</v>
      </c>
      <c r="V70" s="177">
        <v>0</v>
      </c>
    </row>
    <row r="71" spans="6:33" x14ac:dyDescent="0.2">
      <c r="F71" s="175">
        <v>35</v>
      </c>
      <c r="G71" s="174" t="b">
        <v>1</v>
      </c>
      <c r="H71" s="174" t="b">
        <v>1</v>
      </c>
      <c r="I71" s="174" t="b">
        <v>1</v>
      </c>
      <c r="K71" s="207">
        <v>35</v>
      </c>
      <c r="L71" s="207" t="s">
        <v>163</v>
      </c>
      <c r="M71" s="207" t="s">
        <v>163</v>
      </c>
      <c r="N71" s="207" t="s">
        <v>163</v>
      </c>
      <c r="S71" s="175" t="s">
        <v>74</v>
      </c>
    </row>
    <row r="72" spans="6:33" x14ac:dyDescent="0.2">
      <c r="F72" s="175">
        <v>36</v>
      </c>
      <c r="G72" s="174" t="b">
        <v>1</v>
      </c>
      <c r="H72" s="174" t="b">
        <v>1</v>
      </c>
      <c r="I72" s="174" t="b">
        <v>1</v>
      </c>
      <c r="K72" s="207">
        <v>36</v>
      </c>
      <c r="L72" s="207" t="s">
        <v>164</v>
      </c>
      <c r="M72" s="207" t="s">
        <v>164</v>
      </c>
      <c r="N72" s="207" t="s">
        <v>164</v>
      </c>
      <c r="R72" s="174" t="s">
        <v>88</v>
      </c>
      <c r="S72" s="175">
        <v>0</v>
      </c>
      <c r="T72" s="175" t="b">
        <v>0</v>
      </c>
      <c r="U72" s="175" t="b">
        <v>0</v>
      </c>
      <c r="V72" s="175" t="b">
        <v>0</v>
      </c>
      <c r="W72" s="176">
        <v>0.25</v>
      </c>
      <c r="X72" s="176"/>
      <c r="Y72" s="176"/>
    </row>
    <row r="73" spans="6:33" x14ac:dyDescent="0.2">
      <c r="F73" s="175">
        <v>37</v>
      </c>
      <c r="G73" s="174" t="b">
        <v>1</v>
      </c>
      <c r="H73" s="174" t="b">
        <v>1</v>
      </c>
      <c r="I73" s="174" t="b">
        <v>1</v>
      </c>
      <c r="K73" s="207">
        <v>37</v>
      </c>
      <c r="L73" s="207" t="s">
        <v>165</v>
      </c>
      <c r="M73" s="207" t="s">
        <v>165</v>
      </c>
      <c r="N73" s="207" t="s">
        <v>165</v>
      </c>
      <c r="T73" s="184"/>
      <c r="W73" s="176">
        <v>0</v>
      </c>
    </row>
    <row r="74" spans="6:33" x14ac:dyDescent="0.2">
      <c r="F74" s="175">
        <v>38</v>
      </c>
      <c r="G74" s="174" t="b">
        <v>1</v>
      </c>
      <c r="H74" s="174" t="b">
        <v>1</v>
      </c>
      <c r="I74" s="174" t="b">
        <v>1</v>
      </c>
      <c r="K74" s="207">
        <v>38</v>
      </c>
      <c r="L74" s="207" t="s">
        <v>166</v>
      </c>
      <c r="M74" s="207" t="s">
        <v>166</v>
      </c>
      <c r="N74" s="207" t="s">
        <v>166</v>
      </c>
      <c r="T74" s="184"/>
      <c r="W74" s="176">
        <v>0.75</v>
      </c>
    </row>
    <row r="75" spans="6:33" x14ac:dyDescent="0.2">
      <c r="F75" s="175">
        <v>39</v>
      </c>
      <c r="G75" s="174" t="b">
        <v>1</v>
      </c>
      <c r="H75" s="174" t="b">
        <v>1</v>
      </c>
      <c r="I75" s="174" t="b">
        <v>1</v>
      </c>
      <c r="K75" s="207">
        <v>39</v>
      </c>
      <c r="L75" s="207" t="s">
        <v>167</v>
      </c>
      <c r="M75" s="207" t="s">
        <v>167</v>
      </c>
      <c r="N75" s="207" t="s">
        <v>167</v>
      </c>
      <c r="T75" s="184"/>
    </row>
    <row r="76" spans="6:33" x14ac:dyDescent="0.2">
      <c r="F76" s="175">
        <v>40</v>
      </c>
      <c r="G76" s="174" t="b">
        <v>1</v>
      </c>
      <c r="H76" s="174" t="b">
        <v>1</v>
      </c>
      <c r="I76" s="174" t="b">
        <v>1</v>
      </c>
      <c r="K76" s="207">
        <v>40</v>
      </c>
      <c r="L76" s="207" t="s">
        <v>168</v>
      </c>
      <c r="M76" s="207" t="s">
        <v>168</v>
      </c>
      <c r="N76" s="207" t="s">
        <v>168</v>
      </c>
    </row>
    <row r="77" spans="6:33" x14ac:dyDescent="0.2">
      <c r="F77" s="175">
        <v>41</v>
      </c>
      <c r="G77" s="174" t="b">
        <v>1</v>
      </c>
      <c r="H77" s="174" t="b">
        <v>1</v>
      </c>
      <c r="I77" s="174" t="b">
        <v>1</v>
      </c>
      <c r="K77" s="207">
        <v>41</v>
      </c>
      <c r="L77" s="207" t="s">
        <v>169</v>
      </c>
      <c r="M77" s="207" t="s">
        <v>169</v>
      </c>
      <c r="N77" s="207" t="s">
        <v>169</v>
      </c>
    </row>
    <row r="78" spans="6:33" x14ac:dyDescent="0.2">
      <c r="F78" s="175">
        <v>42</v>
      </c>
      <c r="G78" s="174" t="b">
        <v>1</v>
      </c>
      <c r="H78" s="174" t="b">
        <v>1</v>
      </c>
      <c r="I78" s="174" t="b">
        <v>1</v>
      </c>
      <c r="K78" s="207">
        <v>42</v>
      </c>
      <c r="L78" s="207" t="s">
        <v>170</v>
      </c>
      <c r="M78" s="207" t="s">
        <v>170</v>
      </c>
      <c r="N78" s="207" t="s">
        <v>170</v>
      </c>
    </row>
    <row r="79" spans="6:33" x14ac:dyDescent="0.2">
      <c r="F79" s="175">
        <v>43</v>
      </c>
      <c r="G79" s="174" t="b">
        <v>1</v>
      </c>
      <c r="H79" s="174" t="b">
        <v>1</v>
      </c>
      <c r="I79" s="174" t="b">
        <v>1</v>
      </c>
      <c r="K79" s="207">
        <v>43</v>
      </c>
      <c r="L79" s="207" t="s">
        <v>171</v>
      </c>
      <c r="M79" s="207" t="s">
        <v>171</v>
      </c>
      <c r="N79" s="207" t="s">
        <v>171</v>
      </c>
    </row>
    <row r="80" spans="6:33" x14ac:dyDescent="0.2">
      <c r="F80" s="175">
        <v>44</v>
      </c>
      <c r="G80" s="174" t="b">
        <v>1</v>
      </c>
      <c r="H80" s="174" t="b">
        <v>1</v>
      </c>
      <c r="I80" s="174" t="b">
        <v>1</v>
      </c>
      <c r="K80" s="207">
        <v>44</v>
      </c>
      <c r="L80" s="207" t="s">
        <v>172</v>
      </c>
      <c r="M80" s="207" t="s">
        <v>172</v>
      </c>
      <c r="N80" s="207" t="s">
        <v>172</v>
      </c>
    </row>
    <row r="81" spans="6:14" x14ac:dyDescent="0.2">
      <c r="F81" s="175">
        <v>45</v>
      </c>
      <c r="G81" s="174" t="b">
        <v>1</v>
      </c>
      <c r="H81" s="174" t="b">
        <v>1</v>
      </c>
      <c r="I81" s="174" t="b">
        <v>1</v>
      </c>
      <c r="K81" s="207">
        <v>45</v>
      </c>
      <c r="L81" s="207" t="s">
        <v>173</v>
      </c>
      <c r="M81" s="207" t="s">
        <v>173</v>
      </c>
      <c r="N81" s="207" t="s">
        <v>173</v>
      </c>
    </row>
    <row r="82" spans="6:14" x14ac:dyDescent="0.2">
      <c r="F82" s="175">
        <v>46</v>
      </c>
      <c r="G82" s="174" t="b">
        <v>1</v>
      </c>
      <c r="H82" s="174" t="b">
        <v>1</v>
      </c>
      <c r="I82" s="174" t="b">
        <v>1</v>
      </c>
      <c r="K82" s="207">
        <v>46</v>
      </c>
      <c r="L82" s="207" t="s">
        <v>174</v>
      </c>
      <c r="M82" s="207" t="s">
        <v>174</v>
      </c>
      <c r="N82" s="207" t="s">
        <v>174</v>
      </c>
    </row>
    <row r="83" spans="6:14" x14ac:dyDescent="0.2">
      <c r="F83" s="175">
        <v>47</v>
      </c>
      <c r="G83" s="174" t="b">
        <v>1</v>
      </c>
      <c r="H83" s="174" t="b">
        <v>1</v>
      </c>
      <c r="I83" s="174" t="b">
        <v>1</v>
      </c>
      <c r="K83" s="207">
        <v>47</v>
      </c>
      <c r="L83" s="207" t="s">
        <v>175</v>
      </c>
      <c r="M83" s="207" t="s">
        <v>175</v>
      </c>
      <c r="N83" s="207" t="s">
        <v>175</v>
      </c>
    </row>
    <row r="84" spans="6:14" x14ac:dyDescent="0.2">
      <c r="F84" s="175">
        <v>48</v>
      </c>
      <c r="G84" s="174" t="b">
        <v>1</v>
      </c>
      <c r="H84" s="174" t="b">
        <v>1</v>
      </c>
      <c r="I84" s="174" t="b">
        <v>1</v>
      </c>
      <c r="K84" s="207">
        <v>48</v>
      </c>
      <c r="L84" s="207" t="s">
        <v>176</v>
      </c>
      <c r="M84" s="207" t="s">
        <v>176</v>
      </c>
      <c r="N84" s="207" t="s">
        <v>176</v>
      </c>
    </row>
    <row r="85" spans="6:14" x14ac:dyDescent="0.2">
      <c r="F85" s="175">
        <v>49</v>
      </c>
      <c r="G85" s="174" t="b">
        <v>1</v>
      </c>
      <c r="H85" s="174" t="b">
        <v>1</v>
      </c>
      <c r="I85" s="174" t="b">
        <v>1</v>
      </c>
      <c r="K85" s="207">
        <v>49</v>
      </c>
      <c r="L85" s="207" t="s">
        <v>177</v>
      </c>
      <c r="M85" s="207" t="s">
        <v>177</v>
      </c>
      <c r="N85" s="207" t="s">
        <v>177</v>
      </c>
    </row>
    <row r="86" spans="6:14" x14ac:dyDescent="0.2">
      <c r="F86" s="175">
        <v>50</v>
      </c>
      <c r="G86" s="174" t="b">
        <v>1</v>
      </c>
      <c r="H86" s="174" t="b">
        <v>1</v>
      </c>
      <c r="I86" s="174" t="b">
        <v>1</v>
      </c>
      <c r="K86" s="207">
        <v>50</v>
      </c>
      <c r="L86" s="207" t="s">
        <v>178</v>
      </c>
      <c r="M86" s="207" t="s">
        <v>178</v>
      </c>
      <c r="N86" s="207" t="s">
        <v>178</v>
      </c>
    </row>
    <row r="87" spans="6:14" x14ac:dyDescent="0.2">
      <c r="F87" s="175">
        <v>51</v>
      </c>
      <c r="G87" s="174" t="b">
        <v>1</v>
      </c>
      <c r="H87" s="174" t="b">
        <v>1</v>
      </c>
      <c r="I87" s="174" t="b">
        <v>1</v>
      </c>
      <c r="K87" s="207">
        <v>51</v>
      </c>
      <c r="L87" s="207" t="s">
        <v>179</v>
      </c>
      <c r="M87" s="207" t="s">
        <v>179</v>
      </c>
      <c r="N87" s="207" t="s">
        <v>179</v>
      </c>
    </row>
    <row r="88" spans="6:14" x14ac:dyDescent="0.2">
      <c r="F88" s="175">
        <v>52</v>
      </c>
      <c r="G88" s="174" t="b">
        <v>1</v>
      </c>
      <c r="H88" s="174" t="b">
        <v>1</v>
      </c>
      <c r="I88" s="174" t="b">
        <v>1</v>
      </c>
      <c r="K88" s="207">
        <v>52</v>
      </c>
      <c r="L88" s="207" t="s">
        <v>180</v>
      </c>
      <c r="M88" s="207" t="s">
        <v>180</v>
      </c>
      <c r="N88" s="207" t="s">
        <v>180</v>
      </c>
    </row>
    <row r="89" spans="6:14" x14ac:dyDescent="0.2">
      <c r="F89" s="175">
        <v>53</v>
      </c>
      <c r="G89" s="174" t="b">
        <v>1</v>
      </c>
      <c r="H89" s="174" t="b">
        <v>1</v>
      </c>
      <c r="I89" s="174" t="b">
        <v>1</v>
      </c>
      <c r="K89" s="207">
        <v>53</v>
      </c>
      <c r="L89" s="207" t="s">
        <v>181</v>
      </c>
      <c r="M89" s="207" t="s">
        <v>181</v>
      </c>
      <c r="N89" s="207" t="s">
        <v>181</v>
      </c>
    </row>
    <row r="90" spans="6:14" x14ac:dyDescent="0.2">
      <c r="F90" s="175">
        <v>54</v>
      </c>
      <c r="G90" s="174" t="b">
        <v>1</v>
      </c>
      <c r="H90" s="174" t="b">
        <v>1</v>
      </c>
      <c r="I90" s="174" t="b">
        <v>1</v>
      </c>
      <c r="K90" s="207">
        <v>54</v>
      </c>
      <c r="L90" s="207" t="s">
        <v>182</v>
      </c>
      <c r="M90" s="207" t="s">
        <v>182</v>
      </c>
      <c r="N90" s="207" t="s">
        <v>182</v>
      </c>
    </row>
    <row r="91" spans="6:14" x14ac:dyDescent="0.2">
      <c r="F91" s="175">
        <v>55</v>
      </c>
      <c r="G91" s="174" t="b">
        <v>1</v>
      </c>
      <c r="H91" s="174" t="b">
        <v>1</v>
      </c>
      <c r="I91" s="174" t="b">
        <v>1</v>
      </c>
      <c r="K91" s="207">
        <v>55</v>
      </c>
      <c r="L91" s="207" t="s">
        <v>183</v>
      </c>
      <c r="M91" s="207" t="s">
        <v>183</v>
      </c>
      <c r="N91" s="207" t="s">
        <v>183</v>
      </c>
    </row>
    <row r="92" spans="6:14" x14ac:dyDescent="0.2">
      <c r="F92" s="175">
        <v>56</v>
      </c>
      <c r="G92" s="174" t="b">
        <v>1</v>
      </c>
      <c r="H92" s="174" t="b">
        <v>1</v>
      </c>
      <c r="I92" s="174" t="b">
        <v>1</v>
      </c>
      <c r="K92" s="207">
        <v>56</v>
      </c>
      <c r="L92" s="207" t="s">
        <v>184</v>
      </c>
      <c r="M92" s="207" t="s">
        <v>184</v>
      </c>
      <c r="N92" s="207" t="s">
        <v>184</v>
      </c>
    </row>
    <row r="93" spans="6:14" x14ac:dyDescent="0.2">
      <c r="F93" s="175">
        <v>57</v>
      </c>
      <c r="G93" s="174" t="b">
        <v>1</v>
      </c>
      <c r="H93" s="174" t="b">
        <v>1</v>
      </c>
      <c r="I93" s="174" t="b">
        <v>1</v>
      </c>
      <c r="K93" s="207">
        <v>57</v>
      </c>
      <c r="L93" s="207" t="s">
        <v>185</v>
      </c>
      <c r="M93" s="207" t="s">
        <v>185</v>
      </c>
      <c r="N93" s="207" t="s">
        <v>185</v>
      </c>
    </row>
    <row r="94" spans="6:14" x14ac:dyDescent="0.2">
      <c r="F94" s="175">
        <v>58</v>
      </c>
      <c r="G94" s="174" t="b">
        <v>1</v>
      </c>
      <c r="H94" s="174" t="b">
        <v>1</v>
      </c>
      <c r="I94" s="174" t="b">
        <v>1</v>
      </c>
      <c r="K94" s="207">
        <v>58</v>
      </c>
      <c r="L94" s="207" t="s">
        <v>186</v>
      </c>
      <c r="M94" s="207" t="s">
        <v>186</v>
      </c>
      <c r="N94" s="207" t="s">
        <v>186</v>
      </c>
    </row>
    <row r="95" spans="6:14" x14ac:dyDescent="0.2">
      <c r="F95" s="175">
        <v>59</v>
      </c>
      <c r="G95" s="174" t="b">
        <v>1</v>
      </c>
      <c r="H95" s="174" t="b">
        <v>1</v>
      </c>
      <c r="I95" s="174" t="b">
        <v>1</v>
      </c>
      <c r="K95" s="207">
        <v>59</v>
      </c>
      <c r="L95" s="207" t="s">
        <v>187</v>
      </c>
      <c r="M95" s="207" t="s">
        <v>187</v>
      </c>
      <c r="N95" s="207" t="s">
        <v>187</v>
      </c>
    </row>
    <row r="96" spans="6:14" x14ac:dyDescent="0.2">
      <c r="F96" s="175">
        <v>60</v>
      </c>
      <c r="G96" s="174" t="b">
        <v>1</v>
      </c>
      <c r="H96" s="174" t="b">
        <v>1</v>
      </c>
      <c r="I96" s="174" t="b">
        <v>1</v>
      </c>
      <c r="K96" s="207">
        <v>60</v>
      </c>
      <c r="L96" s="207" t="s">
        <v>188</v>
      </c>
      <c r="M96" s="207" t="s">
        <v>188</v>
      </c>
      <c r="N96" s="207" t="s">
        <v>188</v>
      </c>
    </row>
    <row r="97" spans="6:14" x14ac:dyDescent="0.2">
      <c r="F97" s="175">
        <v>61</v>
      </c>
      <c r="G97" s="174" t="b">
        <v>1</v>
      </c>
      <c r="H97" s="174" t="b">
        <v>1</v>
      </c>
      <c r="I97" s="174" t="b">
        <v>1</v>
      </c>
      <c r="K97" s="207">
        <v>61</v>
      </c>
      <c r="L97" s="207" t="s">
        <v>189</v>
      </c>
      <c r="M97" s="207" t="s">
        <v>189</v>
      </c>
      <c r="N97" s="207" t="s">
        <v>189</v>
      </c>
    </row>
    <row r="98" spans="6:14" x14ac:dyDescent="0.2">
      <c r="F98" s="175">
        <v>62</v>
      </c>
      <c r="G98" s="174" t="b">
        <v>1</v>
      </c>
      <c r="H98" s="174" t="b">
        <v>1</v>
      </c>
      <c r="I98" s="174" t="b">
        <v>1</v>
      </c>
      <c r="K98" s="207">
        <v>62</v>
      </c>
      <c r="L98" s="207" t="s">
        <v>190</v>
      </c>
      <c r="M98" s="207" t="s">
        <v>190</v>
      </c>
      <c r="N98" s="207" t="s">
        <v>190</v>
      </c>
    </row>
    <row r="99" spans="6:14" x14ac:dyDescent="0.2">
      <c r="F99" s="175">
        <v>63</v>
      </c>
      <c r="G99" s="174" t="b">
        <v>1</v>
      </c>
      <c r="H99" s="174" t="b">
        <v>1</v>
      </c>
      <c r="I99" s="174" t="b">
        <v>1</v>
      </c>
      <c r="K99" s="207">
        <v>63</v>
      </c>
      <c r="L99" s="207" t="s">
        <v>191</v>
      </c>
      <c r="M99" s="207" t="s">
        <v>191</v>
      </c>
      <c r="N99" s="207" t="s">
        <v>191</v>
      </c>
    </row>
    <row r="100" spans="6:14" x14ac:dyDescent="0.2">
      <c r="F100" s="175">
        <v>64</v>
      </c>
      <c r="G100" s="174" t="b">
        <v>1</v>
      </c>
      <c r="H100" s="174" t="b">
        <v>1</v>
      </c>
      <c r="I100" s="174" t="b">
        <v>1</v>
      </c>
      <c r="K100" s="207">
        <v>64</v>
      </c>
      <c r="L100" s="207" t="s">
        <v>192</v>
      </c>
      <c r="M100" s="207" t="s">
        <v>192</v>
      </c>
      <c r="N100" s="207" t="s">
        <v>192</v>
      </c>
    </row>
    <row r="101" spans="6:14" x14ac:dyDescent="0.2">
      <c r="F101" s="175">
        <v>65</v>
      </c>
      <c r="G101" s="174" t="b">
        <v>1</v>
      </c>
      <c r="H101" s="174" t="b">
        <v>1</v>
      </c>
      <c r="I101" s="174" t="b">
        <v>1</v>
      </c>
      <c r="K101" s="207">
        <v>65</v>
      </c>
      <c r="L101" s="207" t="s">
        <v>193</v>
      </c>
      <c r="M101" s="207" t="s">
        <v>193</v>
      </c>
      <c r="N101" s="207" t="s">
        <v>193</v>
      </c>
    </row>
    <row r="102" spans="6:14" x14ac:dyDescent="0.2">
      <c r="F102" s="175">
        <v>66</v>
      </c>
      <c r="G102" s="174" t="b">
        <v>1</v>
      </c>
      <c r="H102" s="174" t="b">
        <v>1</v>
      </c>
      <c r="I102" s="174" t="b">
        <v>1</v>
      </c>
      <c r="K102" s="207">
        <v>66</v>
      </c>
      <c r="L102" s="207" t="s">
        <v>194</v>
      </c>
      <c r="M102" s="207" t="s">
        <v>194</v>
      </c>
      <c r="N102" s="207" t="s">
        <v>194</v>
      </c>
    </row>
    <row r="103" spans="6:14" x14ac:dyDescent="0.2">
      <c r="F103" s="175">
        <v>67</v>
      </c>
      <c r="G103" s="174" t="b">
        <v>1</v>
      </c>
      <c r="H103" s="174" t="b">
        <v>1</v>
      </c>
      <c r="I103" s="174" t="b">
        <v>1</v>
      </c>
      <c r="K103" s="207">
        <v>67</v>
      </c>
      <c r="L103" s="207" t="s">
        <v>195</v>
      </c>
      <c r="M103" s="207" t="s">
        <v>195</v>
      </c>
      <c r="N103" s="207" t="s">
        <v>195</v>
      </c>
    </row>
    <row r="104" spans="6:14" x14ac:dyDescent="0.2">
      <c r="F104" s="175">
        <v>68</v>
      </c>
      <c r="G104" s="174" t="b">
        <v>1</v>
      </c>
      <c r="H104" s="174" t="b">
        <v>1</v>
      </c>
      <c r="I104" s="174" t="b">
        <v>1</v>
      </c>
      <c r="K104" s="207">
        <v>68</v>
      </c>
      <c r="L104" s="207" t="s">
        <v>196</v>
      </c>
      <c r="M104" s="207" t="s">
        <v>196</v>
      </c>
      <c r="N104" s="207" t="s">
        <v>196</v>
      </c>
    </row>
    <row r="105" spans="6:14" x14ac:dyDescent="0.2">
      <c r="F105" s="175">
        <v>69</v>
      </c>
      <c r="G105" s="174" t="b">
        <v>1</v>
      </c>
      <c r="H105" s="174" t="b">
        <v>1</v>
      </c>
      <c r="I105" s="174" t="b">
        <v>1</v>
      </c>
      <c r="K105" s="207">
        <v>69</v>
      </c>
      <c r="L105" s="207" t="s">
        <v>197</v>
      </c>
      <c r="M105" s="207" t="s">
        <v>197</v>
      </c>
      <c r="N105" s="207" t="s">
        <v>197</v>
      </c>
    </row>
    <row r="106" spans="6:14" x14ac:dyDescent="0.2">
      <c r="F106" s="175">
        <v>70</v>
      </c>
      <c r="G106" s="174" t="b">
        <v>1</v>
      </c>
      <c r="H106" s="174" t="b">
        <v>1</v>
      </c>
      <c r="I106" s="174" t="b">
        <v>1</v>
      </c>
      <c r="K106" s="207">
        <v>70</v>
      </c>
      <c r="L106" s="207" t="s">
        <v>198</v>
      </c>
      <c r="M106" s="207" t="s">
        <v>198</v>
      </c>
      <c r="N106" s="207" t="s">
        <v>198</v>
      </c>
    </row>
    <row r="107" spans="6:14" x14ac:dyDescent="0.2">
      <c r="F107" s="175">
        <v>71</v>
      </c>
      <c r="G107" s="174" t="b">
        <v>1</v>
      </c>
      <c r="H107" s="174" t="b">
        <v>1</v>
      </c>
      <c r="I107" s="174" t="b">
        <v>1</v>
      </c>
      <c r="K107" s="207">
        <v>71</v>
      </c>
      <c r="L107" s="207" t="s">
        <v>199</v>
      </c>
      <c r="M107" s="207" t="s">
        <v>199</v>
      </c>
      <c r="N107" s="207" t="s">
        <v>199</v>
      </c>
    </row>
    <row r="108" spans="6:14" x14ac:dyDescent="0.2">
      <c r="F108" s="175">
        <v>72</v>
      </c>
      <c r="G108" s="174" t="b">
        <v>1</v>
      </c>
      <c r="H108" s="174" t="b">
        <v>1</v>
      </c>
      <c r="I108" s="174" t="b">
        <v>1</v>
      </c>
      <c r="K108" s="207">
        <v>72</v>
      </c>
      <c r="L108" s="207" t="s">
        <v>200</v>
      </c>
      <c r="M108" s="207" t="s">
        <v>200</v>
      </c>
      <c r="N108" s="207" t="s">
        <v>200</v>
      </c>
    </row>
    <row r="109" spans="6:14" x14ac:dyDescent="0.2">
      <c r="F109" s="175">
        <v>73</v>
      </c>
      <c r="G109" s="174" t="b">
        <v>1</v>
      </c>
      <c r="H109" s="174" t="b">
        <v>1</v>
      </c>
      <c r="I109" s="174" t="b">
        <v>1</v>
      </c>
      <c r="K109" s="207">
        <v>73</v>
      </c>
      <c r="L109" s="207" t="s">
        <v>201</v>
      </c>
      <c r="M109" s="207" t="s">
        <v>201</v>
      </c>
      <c r="N109" s="207" t="s">
        <v>201</v>
      </c>
    </row>
    <row r="110" spans="6:14" x14ac:dyDescent="0.2">
      <c r="F110" s="175">
        <v>74</v>
      </c>
      <c r="G110" s="174" t="b">
        <v>1</v>
      </c>
      <c r="H110" s="174" t="b">
        <v>1</v>
      </c>
      <c r="I110" s="174" t="b">
        <v>1</v>
      </c>
      <c r="K110" s="207">
        <v>74</v>
      </c>
      <c r="L110" s="207" t="s">
        <v>202</v>
      </c>
      <c r="M110" s="207" t="s">
        <v>202</v>
      </c>
      <c r="N110" s="207" t="s">
        <v>202</v>
      </c>
    </row>
    <row r="111" spans="6:14" x14ac:dyDescent="0.2">
      <c r="F111" s="175">
        <v>75</v>
      </c>
      <c r="G111" s="174" t="b">
        <v>1</v>
      </c>
      <c r="H111" s="174" t="b">
        <v>1</v>
      </c>
      <c r="I111" s="174" t="b">
        <v>1</v>
      </c>
      <c r="K111" s="207">
        <v>75</v>
      </c>
      <c r="L111" s="207" t="s">
        <v>203</v>
      </c>
      <c r="M111" s="207" t="s">
        <v>203</v>
      </c>
      <c r="N111" s="207" t="s">
        <v>203</v>
      </c>
    </row>
    <row r="112" spans="6:14" x14ac:dyDescent="0.2">
      <c r="F112" s="175">
        <v>76</v>
      </c>
      <c r="G112" s="174" t="b">
        <v>1</v>
      </c>
      <c r="H112" s="174" t="b">
        <v>1</v>
      </c>
      <c r="I112" s="174" t="b">
        <v>1</v>
      </c>
      <c r="K112" s="207">
        <v>76</v>
      </c>
      <c r="L112" s="207" t="s">
        <v>204</v>
      </c>
      <c r="M112" s="207" t="s">
        <v>204</v>
      </c>
      <c r="N112" s="207" t="s">
        <v>204</v>
      </c>
    </row>
    <row r="113" spans="6:14" x14ac:dyDescent="0.2">
      <c r="F113" s="175">
        <v>77</v>
      </c>
      <c r="G113" s="174" t="b">
        <v>1</v>
      </c>
      <c r="H113" s="174" t="b">
        <v>1</v>
      </c>
      <c r="I113" s="174" t="b">
        <v>1</v>
      </c>
      <c r="K113" s="207">
        <v>77</v>
      </c>
      <c r="L113" s="207" t="s">
        <v>205</v>
      </c>
      <c r="M113" s="207" t="s">
        <v>205</v>
      </c>
      <c r="N113" s="207" t="s">
        <v>205</v>
      </c>
    </row>
    <row r="114" spans="6:14" x14ac:dyDescent="0.2">
      <c r="F114" s="175">
        <v>78</v>
      </c>
      <c r="G114" s="174" t="b">
        <v>1</v>
      </c>
      <c r="H114" s="174" t="b">
        <v>1</v>
      </c>
      <c r="I114" s="174" t="b">
        <v>1</v>
      </c>
      <c r="K114" s="207">
        <v>78</v>
      </c>
      <c r="L114" s="207" t="s">
        <v>206</v>
      </c>
      <c r="M114" s="207" t="s">
        <v>206</v>
      </c>
      <c r="N114" s="207" t="s">
        <v>206</v>
      </c>
    </row>
    <row r="115" spans="6:14" x14ac:dyDescent="0.2">
      <c r="F115" s="175">
        <v>79</v>
      </c>
      <c r="G115" s="174" t="b">
        <v>1</v>
      </c>
      <c r="H115" s="174" t="b">
        <v>1</v>
      </c>
      <c r="I115" s="174" t="b">
        <v>1</v>
      </c>
      <c r="K115" s="207">
        <v>79</v>
      </c>
      <c r="L115" s="207" t="s">
        <v>207</v>
      </c>
      <c r="M115" s="207" t="s">
        <v>207</v>
      </c>
      <c r="N115" s="207" t="s">
        <v>207</v>
      </c>
    </row>
    <row r="116" spans="6:14" x14ac:dyDescent="0.2">
      <c r="F116" s="175">
        <v>80</v>
      </c>
      <c r="G116" s="174" t="b">
        <v>1</v>
      </c>
      <c r="H116" s="174" t="b">
        <v>1</v>
      </c>
      <c r="I116" s="174" t="b">
        <v>1</v>
      </c>
      <c r="K116" s="207">
        <v>80</v>
      </c>
      <c r="L116" s="207" t="s">
        <v>208</v>
      </c>
      <c r="M116" s="207" t="s">
        <v>208</v>
      </c>
      <c r="N116" s="207" t="s">
        <v>208</v>
      </c>
    </row>
    <row r="117" spans="6:14" x14ac:dyDescent="0.2">
      <c r="F117" s="175">
        <v>81</v>
      </c>
      <c r="G117" s="174" t="b">
        <v>1</v>
      </c>
      <c r="H117" s="174" t="b">
        <v>1</v>
      </c>
      <c r="I117" s="174" t="b">
        <v>1</v>
      </c>
      <c r="K117" s="207">
        <v>81</v>
      </c>
      <c r="L117" s="207" t="s">
        <v>209</v>
      </c>
      <c r="M117" s="207" t="s">
        <v>209</v>
      </c>
      <c r="N117" s="207" t="s">
        <v>209</v>
      </c>
    </row>
    <row r="118" spans="6:14" x14ac:dyDescent="0.2">
      <c r="F118" s="175">
        <v>82</v>
      </c>
      <c r="G118" s="174" t="b">
        <v>1</v>
      </c>
      <c r="H118" s="174" t="b">
        <v>1</v>
      </c>
      <c r="I118" s="174" t="b">
        <v>1</v>
      </c>
      <c r="K118" s="207">
        <v>82</v>
      </c>
      <c r="L118" s="207" t="s">
        <v>210</v>
      </c>
      <c r="M118" s="207" t="s">
        <v>210</v>
      </c>
      <c r="N118" s="207" t="s">
        <v>210</v>
      </c>
    </row>
    <row r="119" spans="6:14" x14ac:dyDescent="0.2">
      <c r="F119" s="175">
        <v>83</v>
      </c>
      <c r="G119" s="174" t="b">
        <v>1</v>
      </c>
      <c r="H119" s="174" t="b">
        <v>1</v>
      </c>
      <c r="I119" s="174" t="b">
        <v>1</v>
      </c>
      <c r="K119" s="207">
        <v>83</v>
      </c>
      <c r="L119" s="207" t="s">
        <v>211</v>
      </c>
      <c r="M119" s="207" t="s">
        <v>211</v>
      </c>
      <c r="N119" s="207" t="s">
        <v>211</v>
      </c>
    </row>
    <row r="120" spans="6:14" x14ac:dyDescent="0.2">
      <c r="F120" s="175">
        <v>84</v>
      </c>
      <c r="G120" s="174" t="b">
        <v>1</v>
      </c>
      <c r="H120" s="174" t="b">
        <v>1</v>
      </c>
      <c r="I120" s="174" t="b">
        <v>1</v>
      </c>
      <c r="K120" s="207">
        <v>84</v>
      </c>
      <c r="L120" s="207" t="s">
        <v>212</v>
      </c>
      <c r="M120" s="207" t="s">
        <v>212</v>
      </c>
      <c r="N120" s="207" t="s">
        <v>212</v>
      </c>
    </row>
    <row r="121" spans="6:14" x14ac:dyDescent="0.2">
      <c r="F121" s="175">
        <v>85</v>
      </c>
      <c r="G121" s="174" t="b">
        <v>1</v>
      </c>
      <c r="H121" s="174" t="b">
        <v>1</v>
      </c>
      <c r="I121" s="174" t="b">
        <v>1</v>
      </c>
      <c r="K121" s="207">
        <v>85</v>
      </c>
      <c r="L121" s="207" t="s">
        <v>213</v>
      </c>
      <c r="M121" s="207" t="s">
        <v>213</v>
      </c>
      <c r="N121" s="207" t="s">
        <v>213</v>
      </c>
    </row>
    <row r="122" spans="6:14" x14ac:dyDescent="0.2">
      <c r="F122" s="175">
        <v>86</v>
      </c>
      <c r="G122" s="174" t="b">
        <v>1</v>
      </c>
      <c r="H122" s="174" t="b">
        <v>1</v>
      </c>
      <c r="I122" s="174" t="b">
        <v>1</v>
      </c>
      <c r="K122" s="207">
        <v>86</v>
      </c>
      <c r="L122" s="207" t="s">
        <v>214</v>
      </c>
      <c r="M122" s="207" t="s">
        <v>214</v>
      </c>
      <c r="N122" s="207" t="s">
        <v>214</v>
      </c>
    </row>
    <row r="123" spans="6:14" x14ac:dyDescent="0.2">
      <c r="F123" s="175">
        <v>87</v>
      </c>
      <c r="G123" s="174" t="b">
        <v>1</v>
      </c>
      <c r="H123" s="174" t="b">
        <v>1</v>
      </c>
      <c r="I123" s="174" t="b">
        <v>1</v>
      </c>
      <c r="K123" s="207">
        <v>87</v>
      </c>
      <c r="L123" s="207" t="s">
        <v>215</v>
      </c>
      <c r="M123" s="207" t="s">
        <v>215</v>
      </c>
      <c r="N123" s="207" t="s">
        <v>215</v>
      </c>
    </row>
    <row r="124" spans="6:14" x14ac:dyDescent="0.2">
      <c r="F124" s="175">
        <v>88</v>
      </c>
      <c r="G124" s="174" t="b">
        <v>1</v>
      </c>
      <c r="H124" s="174" t="b">
        <v>1</v>
      </c>
      <c r="I124" s="174" t="b">
        <v>1</v>
      </c>
      <c r="K124" s="207">
        <v>88</v>
      </c>
      <c r="L124" s="207" t="s">
        <v>216</v>
      </c>
      <c r="M124" s="207" t="s">
        <v>216</v>
      </c>
      <c r="N124" s="207" t="s">
        <v>216</v>
      </c>
    </row>
    <row r="125" spans="6:14" x14ac:dyDescent="0.2">
      <c r="F125" s="175">
        <v>89</v>
      </c>
      <c r="G125" s="174" t="b">
        <v>1</v>
      </c>
      <c r="H125" s="174" t="b">
        <v>1</v>
      </c>
      <c r="I125" s="174" t="b">
        <v>1</v>
      </c>
      <c r="K125" s="207">
        <v>89</v>
      </c>
      <c r="L125" s="207" t="s">
        <v>217</v>
      </c>
      <c r="M125" s="207" t="s">
        <v>217</v>
      </c>
      <c r="N125" s="207" t="s">
        <v>217</v>
      </c>
    </row>
    <row r="126" spans="6:14" x14ac:dyDescent="0.2">
      <c r="F126" s="175">
        <v>90</v>
      </c>
      <c r="G126" s="174" t="b">
        <v>1</v>
      </c>
      <c r="H126" s="174" t="b">
        <v>1</v>
      </c>
      <c r="I126" s="174" t="b">
        <v>1</v>
      </c>
      <c r="K126" s="207">
        <v>90</v>
      </c>
      <c r="L126" s="207" t="s">
        <v>218</v>
      </c>
      <c r="M126" s="207" t="s">
        <v>218</v>
      </c>
      <c r="N126" s="207" t="s">
        <v>218</v>
      </c>
    </row>
    <row r="127" spans="6:14" x14ac:dyDescent="0.2">
      <c r="F127" s="175">
        <v>91</v>
      </c>
      <c r="G127" s="174" t="b">
        <v>1</v>
      </c>
      <c r="H127" s="174" t="b">
        <v>1</v>
      </c>
      <c r="I127" s="174" t="b">
        <v>1</v>
      </c>
      <c r="K127" s="207">
        <v>91</v>
      </c>
      <c r="L127" s="207" t="s">
        <v>219</v>
      </c>
      <c r="M127" s="207" t="s">
        <v>219</v>
      </c>
      <c r="N127" s="207" t="s">
        <v>219</v>
      </c>
    </row>
    <row r="128" spans="6:14" x14ac:dyDescent="0.2">
      <c r="F128" s="175">
        <v>92</v>
      </c>
      <c r="G128" s="174" t="b">
        <v>1</v>
      </c>
      <c r="H128" s="174" t="b">
        <v>1</v>
      </c>
      <c r="I128" s="174" t="b">
        <v>1</v>
      </c>
      <c r="K128" s="207">
        <v>92</v>
      </c>
      <c r="L128" s="207" t="s">
        <v>220</v>
      </c>
      <c r="M128" s="207" t="s">
        <v>220</v>
      </c>
      <c r="N128" s="207" t="s">
        <v>220</v>
      </c>
    </row>
    <row r="129" spans="6:14" x14ac:dyDescent="0.2">
      <c r="F129" s="175">
        <v>93</v>
      </c>
      <c r="G129" s="174" t="b">
        <v>1</v>
      </c>
      <c r="H129" s="174" t="b">
        <v>1</v>
      </c>
      <c r="I129" s="174" t="b">
        <v>1</v>
      </c>
      <c r="K129" s="207">
        <v>93</v>
      </c>
      <c r="L129" s="207" t="s">
        <v>221</v>
      </c>
      <c r="M129" s="207" t="s">
        <v>221</v>
      </c>
      <c r="N129" s="207" t="s">
        <v>221</v>
      </c>
    </row>
    <row r="130" spans="6:14" x14ac:dyDescent="0.2">
      <c r="F130" s="175">
        <v>94</v>
      </c>
      <c r="G130" s="174" t="b">
        <v>1</v>
      </c>
      <c r="H130" s="174" t="b">
        <v>1</v>
      </c>
      <c r="I130" s="174" t="b">
        <v>1</v>
      </c>
      <c r="K130" s="207">
        <v>94</v>
      </c>
      <c r="L130" s="207" t="s">
        <v>222</v>
      </c>
      <c r="M130" s="207" t="s">
        <v>222</v>
      </c>
      <c r="N130" s="207" t="s">
        <v>222</v>
      </c>
    </row>
    <row r="131" spans="6:14" x14ac:dyDescent="0.2">
      <c r="F131" s="175">
        <v>95</v>
      </c>
      <c r="G131" s="174" t="b">
        <v>1</v>
      </c>
      <c r="H131" s="174" t="b">
        <v>1</v>
      </c>
      <c r="I131" s="174" t="b">
        <v>1</v>
      </c>
      <c r="K131" s="207">
        <v>95</v>
      </c>
      <c r="L131" s="207" t="s">
        <v>223</v>
      </c>
      <c r="M131" s="207" t="s">
        <v>223</v>
      </c>
      <c r="N131" s="207" t="s">
        <v>223</v>
      </c>
    </row>
    <row r="132" spans="6:14" x14ac:dyDescent="0.2">
      <c r="F132" s="175">
        <v>96</v>
      </c>
      <c r="G132" s="174" t="b">
        <v>1</v>
      </c>
      <c r="H132" s="174" t="b">
        <v>1</v>
      </c>
      <c r="I132" s="174" t="b">
        <v>1</v>
      </c>
      <c r="K132" s="207">
        <v>96</v>
      </c>
      <c r="L132" s="207" t="s">
        <v>224</v>
      </c>
      <c r="M132" s="207" t="s">
        <v>224</v>
      </c>
      <c r="N132" s="207" t="s">
        <v>224</v>
      </c>
    </row>
    <row r="133" spans="6:14" x14ac:dyDescent="0.2">
      <c r="F133" s="175">
        <v>97</v>
      </c>
      <c r="G133" s="174" t="b">
        <v>1</v>
      </c>
      <c r="H133" s="174" t="b">
        <v>1</v>
      </c>
      <c r="I133" s="174" t="b">
        <v>1</v>
      </c>
      <c r="K133" s="207">
        <v>97</v>
      </c>
      <c r="L133" s="207" t="s">
        <v>225</v>
      </c>
      <c r="M133" s="207" t="s">
        <v>225</v>
      </c>
      <c r="N133" s="207" t="s">
        <v>225</v>
      </c>
    </row>
    <row r="134" spans="6:14" x14ac:dyDescent="0.2">
      <c r="F134" s="175">
        <v>98</v>
      </c>
      <c r="G134" s="174" t="b">
        <v>1</v>
      </c>
      <c r="H134" s="174" t="b">
        <v>1</v>
      </c>
      <c r="I134" s="174" t="b">
        <v>1</v>
      </c>
      <c r="K134" s="207">
        <v>98</v>
      </c>
      <c r="L134" s="207" t="s">
        <v>226</v>
      </c>
      <c r="M134" s="207" t="s">
        <v>226</v>
      </c>
      <c r="N134" s="207" t="s">
        <v>226</v>
      </c>
    </row>
    <row r="135" spans="6:14" x14ac:dyDescent="0.2">
      <c r="F135" s="175">
        <v>99</v>
      </c>
      <c r="G135" s="174" t="b">
        <v>1</v>
      </c>
      <c r="H135" s="174" t="b">
        <v>1</v>
      </c>
      <c r="I135" s="174" t="b">
        <v>1</v>
      </c>
      <c r="K135" s="207">
        <v>99</v>
      </c>
      <c r="L135" s="207" t="s">
        <v>227</v>
      </c>
      <c r="M135" s="207" t="s">
        <v>227</v>
      </c>
      <c r="N135" s="207" t="s">
        <v>227</v>
      </c>
    </row>
    <row r="136" spans="6:14" x14ac:dyDescent="0.2">
      <c r="F136" s="175">
        <v>100</v>
      </c>
      <c r="G136" s="174" t="b">
        <v>1</v>
      </c>
      <c r="H136" s="174" t="b">
        <v>1</v>
      </c>
      <c r="I136" s="174" t="b">
        <v>1</v>
      </c>
      <c r="K136" s="207">
        <v>100</v>
      </c>
      <c r="L136" s="207" t="s">
        <v>228</v>
      </c>
      <c r="M136" s="207" t="s">
        <v>228</v>
      </c>
      <c r="N136" s="207" t="s">
        <v>228</v>
      </c>
    </row>
    <row r="137" spans="6:14" x14ac:dyDescent="0.2">
      <c r="F137" s="175">
        <v>101</v>
      </c>
      <c r="G137" s="174" t="b">
        <v>1</v>
      </c>
      <c r="H137" s="174" t="b">
        <v>1</v>
      </c>
      <c r="I137" s="174" t="b">
        <v>1</v>
      </c>
      <c r="K137" s="207">
        <v>101</v>
      </c>
      <c r="L137" s="174" t="s">
        <v>229</v>
      </c>
      <c r="M137" s="174" t="s">
        <v>229</v>
      </c>
      <c r="N137" s="174" t="s">
        <v>229</v>
      </c>
    </row>
    <row r="138" spans="6:14" x14ac:dyDescent="0.2">
      <c r="F138" s="175">
        <v>102</v>
      </c>
      <c r="G138" s="174" t="b">
        <v>1</v>
      </c>
      <c r="H138" s="174" t="b">
        <v>1</v>
      </c>
      <c r="I138" s="174" t="b">
        <v>1</v>
      </c>
      <c r="K138" s="207">
        <v>102</v>
      </c>
      <c r="L138" s="174" t="s">
        <v>230</v>
      </c>
      <c r="M138" s="174" t="s">
        <v>230</v>
      </c>
      <c r="N138" s="174" t="s">
        <v>230</v>
      </c>
    </row>
    <row r="139" spans="6:14" x14ac:dyDescent="0.2">
      <c r="F139" s="175">
        <v>103</v>
      </c>
      <c r="G139" s="174" t="b">
        <v>1</v>
      </c>
      <c r="H139" s="174" t="b">
        <v>1</v>
      </c>
      <c r="I139" s="174" t="b">
        <v>1</v>
      </c>
      <c r="K139" s="207">
        <v>103</v>
      </c>
      <c r="L139" s="174" t="s">
        <v>231</v>
      </c>
      <c r="M139" s="174" t="s">
        <v>231</v>
      </c>
      <c r="N139" s="174" t="s">
        <v>231</v>
      </c>
    </row>
    <row r="140" spans="6:14" x14ac:dyDescent="0.2">
      <c r="F140" s="175">
        <v>104</v>
      </c>
      <c r="G140" s="174" t="b">
        <v>1</v>
      </c>
      <c r="H140" s="174" t="b">
        <v>1</v>
      </c>
      <c r="I140" s="174" t="b">
        <v>1</v>
      </c>
      <c r="K140" s="207">
        <v>104</v>
      </c>
      <c r="L140" s="174" t="s">
        <v>232</v>
      </c>
      <c r="M140" s="174" t="s">
        <v>232</v>
      </c>
      <c r="N140" s="174" t="s">
        <v>232</v>
      </c>
    </row>
    <row r="141" spans="6:14" x14ac:dyDescent="0.2">
      <c r="F141" s="175">
        <v>105</v>
      </c>
      <c r="G141" s="174" t="b">
        <v>1</v>
      </c>
      <c r="H141" s="174" t="b">
        <v>1</v>
      </c>
      <c r="I141" s="174" t="b">
        <v>1</v>
      </c>
      <c r="K141" s="207">
        <v>105</v>
      </c>
      <c r="L141" s="174" t="s">
        <v>233</v>
      </c>
      <c r="M141" s="174" t="s">
        <v>233</v>
      </c>
      <c r="N141" s="174" t="s">
        <v>233</v>
      </c>
    </row>
    <row r="142" spans="6:14" x14ac:dyDescent="0.2">
      <c r="F142" s="175">
        <v>106</v>
      </c>
      <c r="G142" s="174" t="b">
        <v>1</v>
      </c>
      <c r="H142" s="174" t="b">
        <v>1</v>
      </c>
      <c r="I142" s="174" t="b">
        <v>1</v>
      </c>
      <c r="K142" s="207">
        <v>106</v>
      </c>
      <c r="L142" s="174" t="s">
        <v>234</v>
      </c>
      <c r="M142" s="174" t="s">
        <v>234</v>
      </c>
      <c r="N142" s="174" t="s">
        <v>234</v>
      </c>
    </row>
    <row r="143" spans="6:14" x14ac:dyDescent="0.2">
      <c r="F143" s="175">
        <v>107</v>
      </c>
      <c r="G143" s="174" t="b">
        <v>1</v>
      </c>
      <c r="H143" s="174" t="b">
        <v>1</v>
      </c>
      <c r="I143" s="174" t="b">
        <v>1</v>
      </c>
      <c r="K143" s="207">
        <v>107</v>
      </c>
      <c r="L143" s="174" t="s">
        <v>235</v>
      </c>
      <c r="M143" s="174" t="s">
        <v>235</v>
      </c>
      <c r="N143" s="174" t="s">
        <v>235</v>
      </c>
    </row>
    <row r="144" spans="6:14" x14ac:dyDescent="0.2">
      <c r="F144" s="175">
        <v>108</v>
      </c>
      <c r="G144" s="174" t="b">
        <v>1</v>
      </c>
      <c r="H144" s="174" t="b">
        <v>1</v>
      </c>
      <c r="I144" s="174" t="b">
        <v>1</v>
      </c>
      <c r="K144" s="207">
        <v>108</v>
      </c>
      <c r="L144" s="174" t="s">
        <v>236</v>
      </c>
      <c r="M144" s="174" t="s">
        <v>236</v>
      </c>
      <c r="N144" s="174" t="s">
        <v>236</v>
      </c>
    </row>
    <row r="145" spans="6:14" x14ac:dyDescent="0.2">
      <c r="F145" s="175">
        <v>109</v>
      </c>
      <c r="G145" s="174" t="b">
        <v>1</v>
      </c>
      <c r="H145" s="174" t="b">
        <v>1</v>
      </c>
      <c r="I145" s="174" t="b">
        <v>1</v>
      </c>
      <c r="K145" s="207">
        <v>109</v>
      </c>
      <c r="L145" s="174" t="s">
        <v>237</v>
      </c>
      <c r="M145" s="174" t="s">
        <v>237</v>
      </c>
      <c r="N145" s="174" t="s">
        <v>237</v>
      </c>
    </row>
    <row r="146" spans="6:14" x14ac:dyDescent="0.2">
      <c r="F146" s="175">
        <v>110</v>
      </c>
      <c r="G146" s="174" t="b">
        <v>1</v>
      </c>
      <c r="H146" s="174" t="b">
        <v>1</v>
      </c>
      <c r="I146" s="174" t="b">
        <v>1</v>
      </c>
      <c r="K146" s="207">
        <v>110</v>
      </c>
      <c r="L146" s="174" t="s">
        <v>238</v>
      </c>
      <c r="M146" s="174" t="s">
        <v>238</v>
      </c>
      <c r="N146" s="174" t="s">
        <v>238</v>
      </c>
    </row>
    <row r="147" spans="6:14" x14ac:dyDescent="0.2">
      <c r="F147" s="175">
        <v>111</v>
      </c>
      <c r="G147" s="174" t="b">
        <v>1</v>
      </c>
      <c r="H147" s="174" t="b">
        <v>1</v>
      </c>
      <c r="I147" s="174" t="b">
        <v>1</v>
      </c>
      <c r="K147" s="207">
        <v>111</v>
      </c>
      <c r="L147" s="174" t="s">
        <v>239</v>
      </c>
      <c r="M147" s="174" t="s">
        <v>239</v>
      </c>
      <c r="N147" s="174" t="s">
        <v>239</v>
      </c>
    </row>
    <row r="148" spans="6:14" x14ac:dyDescent="0.2">
      <c r="F148" s="175">
        <v>112</v>
      </c>
      <c r="G148" s="174" t="b">
        <v>1</v>
      </c>
      <c r="H148" s="174" t="b">
        <v>1</v>
      </c>
      <c r="I148" s="174" t="b">
        <v>1</v>
      </c>
      <c r="K148" s="207">
        <v>112</v>
      </c>
      <c r="L148" s="174" t="s">
        <v>240</v>
      </c>
      <c r="M148" s="174" t="s">
        <v>240</v>
      </c>
      <c r="N148" s="174" t="s">
        <v>240</v>
      </c>
    </row>
    <row r="149" spans="6:14" x14ac:dyDescent="0.2">
      <c r="F149" s="175">
        <v>113</v>
      </c>
      <c r="G149" s="174" t="b">
        <v>1</v>
      </c>
      <c r="H149" s="174" t="b">
        <v>1</v>
      </c>
      <c r="I149" s="174" t="b">
        <v>1</v>
      </c>
      <c r="K149" s="207">
        <v>113</v>
      </c>
      <c r="L149" s="174" t="s">
        <v>241</v>
      </c>
      <c r="M149" s="174" t="s">
        <v>241</v>
      </c>
      <c r="N149" s="174" t="s">
        <v>241</v>
      </c>
    </row>
    <row r="150" spans="6:14" x14ac:dyDescent="0.2">
      <c r="F150" s="175">
        <v>114</v>
      </c>
      <c r="G150" s="174" t="b">
        <v>1</v>
      </c>
      <c r="H150" s="174" t="b">
        <v>1</v>
      </c>
      <c r="I150" s="174" t="b">
        <v>1</v>
      </c>
      <c r="K150" s="207">
        <v>114</v>
      </c>
      <c r="L150" s="174" t="s">
        <v>242</v>
      </c>
      <c r="M150" s="174" t="s">
        <v>242</v>
      </c>
      <c r="N150" s="174" t="s">
        <v>242</v>
      </c>
    </row>
    <row r="151" spans="6:14" x14ac:dyDescent="0.2">
      <c r="F151" s="175">
        <v>115</v>
      </c>
      <c r="G151" s="174" t="b">
        <v>1</v>
      </c>
      <c r="H151" s="174" t="b">
        <v>1</v>
      </c>
      <c r="I151" s="174" t="b">
        <v>1</v>
      </c>
      <c r="K151" s="207">
        <v>115</v>
      </c>
      <c r="L151" s="174" t="s">
        <v>243</v>
      </c>
      <c r="M151" s="174" t="s">
        <v>243</v>
      </c>
      <c r="N151" s="174" t="s">
        <v>243</v>
      </c>
    </row>
    <row r="152" spans="6:14" x14ac:dyDescent="0.2">
      <c r="F152" s="175">
        <v>116</v>
      </c>
      <c r="G152" s="174" t="b">
        <v>1</v>
      </c>
      <c r="H152" s="174" t="b">
        <v>1</v>
      </c>
      <c r="I152" s="174" t="b">
        <v>1</v>
      </c>
      <c r="K152" s="207">
        <v>116</v>
      </c>
      <c r="L152" s="174" t="s">
        <v>244</v>
      </c>
      <c r="M152" s="174" t="s">
        <v>244</v>
      </c>
      <c r="N152" s="174" t="s">
        <v>244</v>
      </c>
    </row>
    <row r="153" spans="6:14" x14ac:dyDescent="0.2">
      <c r="F153" s="175">
        <v>117</v>
      </c>
      <c r="G153" s="174" t="b">
        <v>1</v>
      </c>
      <c r="H153" s="174" t="b">
        <v>1</v>
      </c>
      <c r="I153" s="174" t="b">
        <v>1</v>
      </c>
      <c r="K153" s="207">
        <v>117</v>
      </c>
      <c r="L153" s="174" t="s">
        <v>245</v>
      </c>
      <c r="M153" s="174" t="s">
        <v>245</v>
      </c>
      <c r="N153" s="174" t="s">
        <v>245</v>
      </c>
    </row>
    <row r="154" spans="6:14" x14ac:dyDescent="0.2">
      <c r="F154" s="175">
        <v>118</v>
      </c>
      <c r="G154" s="174" t="b">
        <v>1</v>
      </c>
      <c r="H154" s="174" t="b">
        <v>1</v>
      </c>
      <c r="I154" s="174" t="b">
        <v>1</v>
      </c>
      <c r="K154" s="207">
        <v>118</v>
      </c>
      <c r="L154" s="174" t="s">
        <v>246</v>
      </c>
      <c r="M154" s="174" t="s">
        <v>246</v>
      </c>
      <c r="N154" s="174" t="s">
        <v>246</v>
      </c>
    </row>
    <row r="155" spans="6:14" x14ac:dyDescent="0.2">
      <c r="F155" s="175">
        <v>119</v>
      </c>
      <c r="G155" s="174" t="b">
        <v>1</v>
      </c>
      <c r="H155" s="174" t="b">
        <v>1</v>
      </c>
      <c r="I155" s="174" t="b">
        <v>1</v>
      </c>
      <c r="K155" s="207">
        <v>119</v>
      </c>
      <c r="L155" s="174" t="s">
        <v>247</v>
      </c>
      <c r="M155" s="174" t="s">
        <v>247</v>
      </c>
      <c r="N155" s="174" t="s">
        <v>247</v>
      </c>
    </row>
    <row r="156" spans="6:14" x14ac:dyDescent="0.2">
      <c r="F156" s="175">
        <v>120</v>
      </c>
      <c r="G156" s="174" t="b">
        <v>1</v>
      </c>
      <c r="H156" s="174" t="b">
        <v>1</v>
      </c>
      <c r="I156" s="174" t="b">
        <v>1</v>
      </c>
      <c r="K156" s="207">
        <v>120</v>
      </c>
      <c r="L156" s="174" t="s">
        <v>248</v>
      </c>
      <c r="M156" s="174" t="s">
        <v>248</v>
      </c>
      <c r="N156" s="174" t="s">
        <v>248</v>
      </c>
    </row>
    <row r="157" spans="6:14" x14ac:dyDescent="0.2">
      <c r="F157" s="175">
        <v>121</v>
      </c>
      <c r="G157" s="174" t="b">
        <v>1</v>
      </c>
      <c r="H157" s="174" t="b">
        <v>1</v>
      </c>
      <c r="I157" s="174" t="b">
        <v>1</v>
      </c>
      <c r="K157" s="207">
        <v>121</v>
      </c>
      <c r="L157" s="174" t="s">
        <v>249</v>
      </c>
      <c r="M157" s="174" t="s">
        <v>249</v>
      </c>
      <c r="N157" s="174" t="s">
        <v>249</v>
      </c>
    </row>
    <row r="158" spans="6:14" x14ac:dyDescent="0.2">
      <c r="F158" s="175">
        <v>122</v>
      </c>
      <c r="G158" s="174" t="b">
        <v>1</v>
      </c>
      <c r="H158" s="174" t="b">
        <v>1</v>
      </c>
      <c r="I158" s="174" t="b">
        <v>1</v>
      </c>
      <c r="K158" s="207">
        <v>122</v>
      </c>
      <c r="L158" s="174" t="s">
        <v>250</v>
      </c>
      <c r="M158" s="174" t="s">
        <v>250</v>
      </c>
      <c r="N158" s="174" t="s">
        <v>250</v>
      </c>
    </row>
    <row r="159" spans="6:14" x14ac:dyDescent="0.2">
      <c r="F159" s="175">
        <v>123</v>
      </c>
      <c r="G159" s="174" t="b">
        <v>1</v>
      </c>
      <c r="H159" s="174" t="b">
        <v>1</v>
      </c>
      <c r="I159" s="174" t="b">
        <v>1</v>
      </c>
      <c r="K159" s="207">
        <v>123</v>
      </c>
      <c r="L159" s="174" t="s">
        <v>251</v>
      </c>
      <c r="M159" s="174" t="s">
        <v>251</v>
      </c>
      <c r="N159" s="174" t="s">
        <v>251</v>
      </c>
    </row>
    <row r="160" spans="6:14" x14ac:dyDescent="0.2">
      <c r="F160" s="175">
        <v>124</v>
      </c>
      <c r="G160" s="174" t="b">
        <v>1</v>
      </c>
      <c r="H160" s="174" t="b">
        <v>1</v>
      </c>
      <c r="I160" s="174" t="b">
        <v>1</v>
      </c>
      <c r="K160" s="207">
        <v>124</v>
      </c>
      <c r="L160" s="174" t="s">
        <v>252</v>
      </c>
      <c r="M160" s="174" t="s">
        <v>252</v>
      </c>
      <c r="N160" s="174" t="s">
        <v>252</v>
      </c>
    </row>
    <row r="161" spans="6:14" x14ac:dyDescent="0.2">
      <c r="F161" s="175">
        <v>125</v>
      </c>
      <c r="G161" s="174" t="b">
        <v>1</v>
      </c>
      <c r="H161" s="174" t="b">
        <v>1</v>
      </c>
      <c r="I161" s="174" t="b">
        <v>1</v>
      </c>
      <c r="K161" s="207">
        <v>125</v>
      </c>
      <c r="L161" s="174" t="s">
        <v>253</v>
      </c>
      <c r="M161" s="174" t="s">
        <v>253</v>
      </c>
      <c r="N161" s="174" t="s">
        <v>253</v>
      </c>
    </row>
    <row r="162" spans="6:14" x14ac:dyDescent="0.2">
      <c r="F162" s="175">
        <v>126</v>
      </c>
      <c r="G162" s="174" t="b">
        <v>1</v>
      </c>
      <c r="H162" s="174" t="b">
        <v>1</v>
      </c>
      <c r="I162" s="174" t="b">
        <v>1</v>
      </c>
      <c r="K162" s="207">
        <v>126</v>
      </c>
      <c r="L162" s="174" t="s">
        <v>254</v>
      </c>
      <c r="M162" s="174" t="s">
        <v>254</v>
      </c>
      <c r="N162" s="174" t="s">
        <v>254</v>
      </c>
    </row>
    <row r="163" spans="6:14" x14ac:dyDescent="0.2">
      <c r="F163" s="175">
        <v>127</v>
      </c>
      <c r="G163" s="174" t="b">
        <v>1</v>
      </c>
      <c r="H163" s="174" t="b">
        <v>1</v>
      </c>
      <c r="I163" s="174" t="b">
        <v>1</v>
      </c>
      <c r="K163" s="207">
        <v>127</v>
      </c>
      <c r="L163" s="174" t="s">
        <v>255</v>
      </c>
      <c r="M163" s="174" t="s">
        <v>255</v>
      </c>
      <c r="N163" s="174" t="s">
        <v>255</v>
      </c>
    </row>
    <row r="164" spans="6:14" x14ac:dyDescent="0.2">
      <c r="F164" s="175">
        <v>128</v>
      </c>
      <c r="G164" s="174" t="b">
        <v>1</v>
      </c>
      <c r="H164" s="174" t="b">
        <v>1</v>
      </c>
      <c r="I164" s="174" t="b">
        <v>1</v>
      </c>
      <c r="K164" s="207">
        <v>128</v>
      </c>
      <c r="L164" s="174" t="s">
        <v>256</v>
      </c>
      <c r="M164" s="174" t="s">
        <v>256</v>
      </c>
      <c r="N164" s="174" t="s">
        <v>256</v>
      </c>
    </row>
    <row r="165" spans="6:14" x14ac:dyDescent="0.2">
      <c r="F165" s="175">
        <v>129</v>
      </c>
      <c r="G165" s="174" t="b">
        <v>1</v>
      </c>
      <c r="H165" s="174" t="b">
        <v>1</v>
      </c>
      <c r="I165" s="174" t="b">
        <v>1</v>
      </c>
      <c r="K165" s="207">
        <v>129</v>
      </c>
      <c r="L165" s="174" t="s">
        <v>257</v>
      </c>
      <c r="M165" s="174" t="s">
        <v>257</v>
      </c>
      <c r="N165" s="174" t="s">
        <v>257</v>
      </c>
    </row>
    <row r="166" spans="6:14" x14ac:dyDescent="0.2">
      <c r="F166" s="175">
        <v>130</v>
      </c>
      <c r="G166" s="174" t="b">
        <v>1</v>
      </c>
      <c r="H166" s="174" t="b">
        <v>1</v>
      </c>
      <c r="I166" s="174" t="b">
        <v>1</v>
      </c>
      <c r="K166" s="207">
        <v>130</v>
      </c>
      <c r="L166" s="174" t="s">
        <v>258</v>
      </c>
      <c r="M166" s="174" t="s">
        <v>258</v>
      </c>
      <c r="N166" s="174" t="s">
        <v>258</v>
      </c>
    </row>
    <row r="167" spans="6:14" x14ac:dyDescent="0.2">
      <c r="F167" s="175">
        <v>131</v>
      </c>
      <c r="G167" s="174" t="b">
        <v>1</v>
      </c>
      <c r="H167" s="174" t="b">
        <v>1</v>
      </c>
      <c r="I167" s="174" t="b">
        <v>1</v>
      </c>
      <c r="K167" s="207">
        <v>131</v>
      </c>
      <c r="L167" s="174" t="s">
        <v>259</v>
      </c>
      <c r="M167" s="174" t="s">
        <v>259</v>
      </c>
      <c r="N167" s="174" t="s">
        <v>259</v>
      </c>
    </row>
    <row r="168" spans="6:14" x14ac:dyDescent="0.2">
      <c r="F168" s="175">
        <v>132</v>
      </c>
      <c r="G168" s="174" t="b">
        <v>1</v>
      </c>
      <c r="H168" s="174" t="b">
        <v>1</v>
      </c>
      <c r="I168" s="174" t="b">
        <v>1</v>
      </c>
      <c r="K168" s="207">
        <v>132</v>
      </c>
      <c r="L168" s="174" t="s">
        <v>260</v>
      </c>
      <c r="M168" s="174" t="s">
        <v>260</v>
      </c>
      <c r="N168" s="174" t="s">
        <v>260</v>
      </c>
    </row>
    <row r="169" spans="6:14" x14ac:dyDescent="0.2">
      <c r="F169" s="175">
        <v>133</v>
      </c>
      <c r="G169" s="174" t="b">
        <v>1</v>
      </c>
      <c r="H169" s="174" t="b">
        <v>1</v>
      </c>
      <c r="I169" s="174" t="b">
        <v>1</v>
      </c>
      <c r="K169" s="207">
        <v>133</v>
      </c>
      <c r="L169" s="174" t="s">
        <v>261</v>
      </c>
      <c r="M169" s="174" t="s">
        <v>261</v>
      </c>
      <c r="N169" s="174" t="s">
        <v>261</v>
      </c>
    </row>
    <row r="170" spans="6:14" x14ac:dyDescent="0.2">
      <c r="F170" s="175">
        <v>134</v>
      </c>
      <c r="G170" s="174" t="b">
        <v>1</v>
      </c>
      <c r="H170" s="174" t="b">
        <v>1</v>
      </c>
      <c r="I170" s="174" t="b">
        <v>1</v>
      </c>
      <c r="K170" s="207">
        <v>134</v>
      </c>
      <c r="L170" s="174" t="s">
        <v>262</v>
      </c>
      <c r="M170" s="174" t="s">
        <v>262</v>
      </c>
      <c r="N170" s="174" t="s">
        <v>262</v>
      </c>
    </row>
    <row r="171" spans="6:14" x14ac:dyDescent="0.2">
      <c r="F171" s="175">
        <v>135</v>
      </c>
      <c r="G171" s="174" t="b">
        <v>1</v>
      </c>
      <c r="H171" s="174" t="b">
        <v>1</v>
      </c>
      <c r="I171" s="174" t="b">
        <v>1</v>
      </c>
      <c r="K171" s="207">
        <v>135</v>
      </c>
      <c r="L171" s="174" t="s">
        <v>263</v>
      </c>
      <c r="M171" s="174" t="s">
        <v>263</v>
      </c>
      <c r="N171" s="174" t="s">
        <v>263</v>
      </c>
    </row>
    <row r="172" spans="6:14" x14ac:dyDescent="0.2">
      <c r="F172" s="175">
        <v>136</v>
      </c>
      <c r="G172" s="174" t="b">
        <v>1</v>
      </c>
      <c r="H172" s="174" t="b">
        <v>1</v>
      </c>
      <c r="I172" s="174" t="b">
        <v>1</v>
      </c>
      <c r="K172" s="207">
        <v>136</v>
      </c>
      <c r="L172" s="174" t="s">
        <v>264</v>
      </c>
      <c r="M172" s="174" t="s">
        <v>264</v>
      </c>
      <c r="N172" s="174" t="s">
        <v>264</v>
      </c>
    </row>
    <row r="173" spans="6:14" x14ac:dyDescent="0.2">
      <c r="F173" s="175">
        <v>137</v>
      </c>
      <c r="G173" s="174" t="b">
        <v>1</v>
      </c>
      <c r="H173" s="174" t="b">
        <v>1</v>
      </c>
      <c r="I173" s="174" t="b">
        <v>1</v>
      </c>
      <c r="K173" s="207">
        <v>137</v>
      </c>
      <c r="L173" s="174" t="s">
        <v>265</v>
      </c>
      <c r="M173" s="174" t="s">
        <v>265</v>
      </c>
      <c r="N173" s="174" t="s">
        <v>265</v>
      </c>
    </row>
    <row r="174" spans="6:14" x14ac:dyDescent="0.2">
      <c r="F174" s="175">
        <v>138</v>
      </c>
      <c r="G174" s="174" t="b">
        <v>1</v>
      </c>
      <c r="H174" s="174" t="b">
        <v>1</v>
      </c>
      <c r="I174" s="174" t="b">
        <v>1</v>
      </c>
      <c r="K174" s="207">
        <v>138</v>
      </c>
      <c r="L174" s="174" t="s">
        <v>266</v>
      </c>
      <c r="M174" s="174" t="s">
        <v>266</v>
      </c>
      <c r="N174" s="174" t="s">
        <v>266</v>
      </c>
    </row>
    <row r="175" spans="6:14" x14ac:dyDescent="0.2">
      <c r="F175" s="175">
        <v>139</v>
      </c>
      <c r="G175" s="174" t="b">
        <v>1</v>
      </c>
      <c r="H175" s="174" t="b">
        <v>1</v>
      </c>
      <c r="I175" s="174" t="b">
        <v>1</v>
      </c>
      <c r="K175" s="207">
        <v>139</v>
      </c>
      <c r="L175" s="174" t="s">
        <v>267</v>
      </c>
      <c r="M175" s="174" t="s">
        <v>267</v>
      </c>
      <c r="N175" s="174" t="s">
        <v>267</v>
      </c>
    </row>
    <row r="176" spans="6:14" x14ac:dyDescent="0.2">
      <c r="F176" s="175">
        <v>140</v>
      </c>
      <c r="G176" s="174" t="b">
        <v>1</v>
      </c>
      <c r="H176" s="174" t="b">
        <v>1</v>
      </c>
      <c r="I176" s="174" t="b">
        <v>1</v>
      </c>
      <c r="K176" s="207">
        <v>140</v>
      </c>
      <c r="L176" s="174" t="s">
        <v>268</v>
      </c>
      <c r="M176" s="174" t="s">
        <v>268</v>
      </c>
      <c r="N176" s="174" t="s">
        <v>268</v>
      </c>
    </row>
    <row r="177" spans="6:14" x14ac:dyDescent="0.2">
      <c r="F177" s="175">
        <v>141</v>
      </c>
      <c r="G177" s="174" t="b">
        <v>1</v>
      </c>
      <c r="H177" s="174" t="b">
        <v>1</v>
      </c>
      <c r="I177" s="174" t="b">
        <v>1</v>
      </c>
      <c r="K177" s="207">
        <v>141</v>
      </c>
      <c r="L177" s="174" t="s">
        <v>269</v>
      </c>
      <c r="M177" s="174" t="s">
        <v>269</v>
      </c>
      <c r="N177" s="174" t="s">
        <v>269</v>
      </c>
    </row>
    <row r="178" spans="6:14" x14ac:dyDescent="0.2">
      <c r="F178" s="175">
        <v>142</v>
      </c>
      <c r="G178" s="174" t="b">
        <v>1</v>
      </c>
      <c r="H178" s="174" t="b">
        <v>1</v>
      </c>
      <c r="I178" s="174" t="b">
        <v>1</v>
      </c>
      <c r="K178" s="207">
        <v>142</v>
      </c>
      <c r="L178" s="174" t="s">
        <v>270</v>
      </c>
      <c r="M178" s="174" t="s">
        <v>270</v>
      </c>
      <c r="N178" s="174" t="s">
        <v>270</v>
      </c>
    </row>
    <row r="179" spans="6:14" x14ac:dyDescent="0.2">
      <c r="F179" s="175">
        <v>143</v>
      </c>
      <c r="G179" s="174" t="b">
        <v>1</v>
      </c>
      <c r="H179" s="174" t="b">
        <v>1</v>
      </c>
      <c r="I179" s="174" t="b">
        <v>1</v>
      </c>
      <c r="K179" s="207">
        <v>143</v>
      </c>
      <c r="L179" s="174" t="s">
        <v>271</v>
      </c>
      <c r="M179" s="174" t="s">
        <v>271</v>
      </c>
      <c r="N179" s="174" t="s">
        <v>271</v>
      </c>
    </row>
    <row r="180" spans="6:14" x14ac:dyDescent="0.2">
      <c r="F180" s="175">
        <v>144</v>
      </c>
      <c r="G180" s="174" t="b">
        <v>1</v>
      </c>
      <c r="H180" s="174" t="b">
        <v>1</v>
      </c>
      <c r="I180" s="174" t="b">
        <v>1</v>
      </c>
      <c r="K180" s="207">
        <v>144</v>
      </c>
      <c r="L180" s="174" t="s">
        <v>272</v>
      </c>
      <c r="M180" s="174" t="s">
        <v>272</v>
      </c>
      <c r="N180" s="174" t="s">
        <v>272</v>
      </c>
    </row>
    <row r="181" spans="6:14" x14ac:dyDescent="0.2">
      <c r="F181" s="175">
        <v>145</v>
      </c>
      <c r="G181" s="174" t="b">
        <v>1</v>
      </c>
      <c r="H181" s="174" t="b">
        <v>1</v>
      </c>
      <c r="I181" s="174" t="b">
        <v>1</v>
      </c>
      <c r="K181" s="207">
        <v>145</v>
      </c>
      <c r="L181" s="174" t="s">
        <v>273</v>
      </c>
      <c r="M181" s="174" t="s">
        <v>273</v>
      </c>
      <c r="N181" s="174" t="s">
        <v>273</v>
      </c>
    </row>
    <row r="182" spans="6:14" x14ac:dyDescent="0.2">
      <c r="F182" s="175">
        <v>146</v>
      </c>
      <c r="G182" s="174" t="b">
        <v>1</v>
      </c>
      <c r="H182" s="174" t="b">
        <v>1</v>
      </c>
      <c r="I182" s="174" t="b">
        <v>1</v>
      </c>
      <c r="K182" s="207">
        <v>146</v>
      </c>
      <c r="L182" s="174" t="s">
        <v>274</v>
      </c>
      <c r="M182" s="174" t="s">
        <v>274</v>
      </c>
      <c r="N182" s="174" t="s">
        <v>274</v>
      </c>
    </row>
    <row r="183" spans="6:14" x14ac:dyDescent="0.2">
      <c r="F183" s="175">
        <v>147</v>
      </c>
      <c r="G183" s="174" t="b">
        <v>1</v>
      </c>
      <c r="H183" s="174" t="b">
        <v>1</v>
      </c>
      <c r="I183" s="174" t="b">
        <v>1</v>
      </c>
      <c r="K183" s="207">
        <v>147</v>
      </c>
      <c r="L183" s="174" t="s">
        <v>275</v>
      </c>
      <c r="M183" s="174" t="s">
        <v>275</v>
      </c>
      <c r="N183" s="174" t="s">
        <v>275</v>
      </c>
    </row>
    <row r="184" spans="6:14" x14ac:dyDescent="0.2">
      <c r="F184" s="175">
        <v>148</v>
      </c>
      <c r="G184" s="174" t="b">
        <v>1</v>
      </c>
      <c r="H184" s="174" t="b">
        <v>1</v>
      </c>
      <c r="I184" s="174" t="b">
        <v>1</v>
      </c>
      <c r="K184" s="207">
        <v>148</v>
      </c>
      <c r="L184" s="174" t="s">
        <v>276</v>
      </c>
      <c r="M184" s="174" t="s">
        <v>276</v>
      </c>
      <c r="N184" s="174" t="s">
        <v>276</v>
      </c>
    </row>
    <row r="185" spans="6:14" x14ac:dyDescent="0.2">
      <c r="F185" s="175">
        <v>149</v>
      </c>
      <c r="G185" s="174" t="b">
        <v>1</v>
      </c>
      <c r="H185" s="174" t="b">
        <v>1</v>
      </c>
      <c r="I185" s="174" t="b">
        <v>1</v>
      </c>
      <c r="K185" s="207">
        <v>149</v>
      </c>
      <c r="L185" s="174" t="s">
        <v>277</v>
      </c>
      <c r="M185" s="174" t="s">
        <v>277</v>
      </c>
      <c r="N185" s="174" t="s">
        <v>277</v>
      </c>
    </row>
    <row r="186" spans="6:14" x14ac:dyDescent="0.2">
      <c r="F186" s="175">
        <v>150</v>
      </c>
      <c r="G186" s="174" t="b">
        <v>1</v>
      </c>
      <c r="H186" s="174" t="b">
        <v>1</v>
      </c>
      <c r="I186" s="174" t="b">
        <v>1</v>
      </c>
      <c r="K186" s="207">
        <v>150</v>
      </c>
      <c r="L186" s="174" t="s">
        <v>278</v>
      </c>
      <c r="M186" s="174" t="s">
        <v>278</v>
      </c>
      <c r="N186" s="174" t="s">
        <v>278</v>
      </c>
    </row>
    <row r="187" spans="6:14" x14ac:dyDescent="0.2">
      <c r="F187" s="175">
        <v>151</v>
      </c>
      <c r="G187" s="174" t="b">
        <v>1</v>
      </c>
      <c r="H187" s="174" t="b">
        <v>1</v>
      </c>
      <c r="I187" s="174" t="b">
        <v>1</v>
      </c>
      <c r="K187" s="207">
        <v>151</v>
      </c>
      <c r="L187" s="174" t="s">
        <v>279</v>
      </c>
      <c r="M187" s="174" t="s">
        <v>279</v>
      </c>
      <c r="N187" s="174" t="s">
        <v>279</v>
      </c>
    </row>
    <row r="188" spans="6:14" x14ac:dyDescent="0.2">
      <c r="F188" s="175">
        <v>152</v>
      </c>
      <c r="G188" s="174" t="b">
        <v>1</v>
      </c>
      <c r="H188" s="174" t="b">
        <v>1</v>
      </c>
      <c r="I188" s="174" t="b">
        <v>1</v>
      </c>
      <c r="K188" s="207">
        <v>152</v>
      </c>
      <c r="L188" s="174" t="s">
        <v>280</v>
      </c>
      <c r="M188" s="174" t="s">
        <v>280</v>
      </c>
      <c r="N188" s="174" t="s">
        <v>280</v>
      </c>
    </row>
    <row r="189" spans="6:14" x14ac:dyDescent="0.2">
      <c r="F189" s="175">
        <v>153</v>
      </c>
      <c r="G189" s="174" t="b">
        <v>1</v>
      </c>
      <c r="H189" s="174" t="b">
        <v>1</v>
      </c>
      <c r="I189" s="174" t="b">
        <v>1</v>
      </c>
      <c r="K189" s="207">
        <v>153</v>
      </c>
      <c r="L189" s="174" t="s">
        <v>281</v>
      </c>
      <c r="M189" s="174" t="s">
        <v>281</v>
      </c>
      <c r="N189" s="174" t="s">
        <v>281</v>
      </c>
    </row>
    <row r="190" spans="6:14" x14ac:dyDescent="0.2">
      <c r="F190" s="175">
        <v>154</v>
      </c>
      <c r="G190" s="174" t="b">
        <v>1</v>
      </c>
      <c r="H190" s="174" t="b">
        <v>1</v>
      </c>
      <c r="I190" s="174" t="b">
        <v>1</v>
      </c>
      <c r="K190" s="207">
        <v>154</v>
      </c>
      <c r="L190" s="174" t="s">
        <v>282</v>
      </c>
      <c r="M190" s="174" t="s">
        <v>282</v>
      </c>
      <c r="N190" s="174" t="s">
        <v>282</v>
      </c>
    </row>
    <row r="191" spans="6:14" x14ac:dyDescent="0.2">
      <c r="F191" s="175">
        <v>155</v>
      </c>
      <c r="G191" s="174" t="b">
        <v>1</v>
      </c>
      <c r="H191" s="174" t="b">
        <v>1</v>
      </c>
      <c r="I191" s="174" t="b">
        <v>1</v>
      </c>
      <c r="K191" s="207">
        <v>155</v>
      </c>
      <c r="L191" s="174" t="s">
        <v>283</v>
      </c>
      <c r="M191" s="174" t="s">
        <v>283</v>
      </c>
      <c r="N191" s="174" t="s">
        <v>283</v>
      </c>
    </row>
    <row r="192" spans="6:14" x14ac:dyDescent="0.2">
      <c r="F192" s="175">
        <v>156</v>
      </c>
      <c r="G192" s="174" t="b">
        <v>1</v>
      </c>
      <c r="H192" s="174" t="b">
        <v>1</v>
      </c>
      <c r="I192" s="174" t="b">
        <v>1</v>
      </c>
      <c r="K192" s="207">
        <v>156</v>
      </c>
      <c r="L192" s="174" t="s">
        <v>284</v>
      </c>
      <c r="M192" s="174" t="s">
        <v>284</v>
      </c>
      <c r="N192" s="174" t="s">
        <v>284</v>
      </c>
    </row>
    <row r="193" spans="6:14" x14ac:dyDescent="0.2">
      <c r="F193" s="175">
        <v>157</v>
      </c>
      <c r="G193" s="174" t="b">
        <v>1</v>
      </c>
      <c r="H193" s="174" t="b">
        <v>1</v>
      </c>
      <c r="I193" s="174" t="b">
        <v>1</v>
      </c>
      <c r="K193" s="207">
        <v>157</v>
      </c>
      <c r="L193" s="174" t="s">
        <v>285</v>
      </c>
      <c r="M193" s="174" t="s">
        <v>285</v>
      </c>
      <c r="N193" s="174" t="s">
        <v>285</v>
      </c>
    </row>
    <row r="194" spans="6:14" x14ac:dyDescent="0.2">
      <c r="F194" s="175">
        <v>158</v>
      </c>
      <c r="G194" s="174" t="b">
        <v>1</v>
      </c>
      <c r="H194" s="174" t="b">
        <v>1</v>
      </c>
      <c r="I194" s="174" t="b">
        <v>1</v>
      </c>
      <c r="K194" s="207">
        <v>158</v>
      </c>
      <c r="L194" s="174" t="s">
        <v>286</v>
      </c>
      <c r="M194" s="174" t="s">
        <v>286</v>
      </c>
      <c r="N194" s="174" t="s">
        <v>286</v>
      </c>
    </row>
    <row r="195" spans="6:14" x14ac:dyDescent="0.2">
      <c r="F195" s="175">
        <v>159</v>
      </c>
      <c r="G195" s="174" t="b">
        <v>1</v>
      </c>
      <c r="H195" s="174" t="b">
        <v>1</v>
      </c>
      <c r="I195" s="174" t="b">
        <v>1</v>
      </c>
      <c r="K195" s="207">
        <v>159</v>
      </c>
      <c r="L195" s="174" t="s">
        <v>287</v>
      </c>
      <c r="M195" s="174" t="s">
        <v>287</v>
      </c>
      <c r="N195" s="174" t="s">
        <v>287</v>
      </c>
    </row>
    <row r="196" spans="6:14" x14ac:dyDescent="0.2">
      <c r="F196" s="175">
        <v>160</v>
      </c>
      <c r="G196" s="174" t="b">
        <v>1</v>
      </c>
      <c r="H196" s="174" t="b">
        <v>1</v>
      </c>
      <c r="I196" s="174" t="b">
        <v>1</v>
      </c>
      <c r="K196" s="207">
        <v>160</v>
      </c>
      <c r="L196" s="174" t="s">
        <v>288</v>
      </c>
      <c r="M196" s="174" t="s">
        <v>288</v>
      </c>
      <c r="N196" s="174" t="s">
        <v>288</v>
      </c>
    </row>
    <row r="197" spans="6:14" x14ac:dyDescent="0.2">
      <c r="F197" s="175">
        <v>161</v>
      </c>
      <c r="G197" s="174" t="b">
        <v>1</v>
      </c>
      <c r="H197" s="174" t="b">
        <v>1</v>
      </c>
      <c r="I197" s="174" t="b">
        <v>1</v>
      </c>
      <c r="K197" s="207">
        <v>161</v>
      </c>
      <c r="L197" s="174" t="s">
        <v>289</v>
      </c>
      <c r="M197" s="174" t="s">
        <v>289</v>
      </c>
      <c r="N197" s="174" t="s">
        <v>289</v>
      </c>
    </row>
    <row r="198" spans="6:14" x14ac:dyDescent="0.2">
      <c r="F198" s="175">
        <v>162</v>
      </c>
      <c r="G198" s="174" t="b">
        <v>1</v>
      </c>
      <c r="H198" s="174" t="b">
        <v>1</v>
      </c>
      <c r="I198" s="174" t="b">
        <v>1</v>
      </c>
      <c r="K198" s="207">
        <v>162</v>
      </c>
      <c r="L198" s="174" t="s">
        <v>290</v>
      </c>
      <c r="M198" s="174" t="s">
        <v>290</v>
      </c>
      <c r="N198" s="174" t="s">
        <v>290</v>
      </c>
    </row>
    <row r="199" spans="6:14" x14ac:dyDescent="0.2">
      <c r="F199" s="175">
        <v>163</v>
      </c>
      <c r="G199" s="174" t="b">
        <v>1</v>
      </c>
      <c r="H199" s="174" t="b">
        <v>1</v>
      </c>
      <c r="I199" s="174" t="b">
        <v>1</v>
      </c>
      <c r="K199" s="207">
        <v>163</v>
      </c>
      <c r="L199" s="174" t="s">
        <v>291</v>
      </c>
      <c r="M199" s="174" t="s">
        <v>291</v>
      </c>
      <c r="N199" s="174" t="s">
        <v>291</v>
      </c>
    </row>
    <row r="200" spans="6:14" x14ac:dyDescent="0.2">
      <c r="F200" s="175">
        <v>164</v>
      </c>
      <c r="G200" s="174" t="b">
        <v>1</v>
      </c>
      <c r="H200" s="174" t="b">
        <v>1</v>
      </c>
      <c r="I200" s="174" t="b">
        <v>1</v>
      </c>
      <c r="K200" s="207">
        <v>164</v>
      </c>
      <c r="L200" s="174" t="s">
        <v>292</v>
      </c>
      <c r="M200" s="174" t="s">
        <v>292</v>
      </c>
      <c r="N200" s="174" t="s">
        <v>292</v>
      </c>
    </row>
    <row r="201" spans="6:14" x14ac:dyDescent="0.2">
      <c r="F201" s="175">
        <v>165</v>
      </c>
      <c r="G201" s="174" t="b">
        <v>1</v>
      </c>
      <c r="H201" s="174" t="b">
        <v>1</v>
      </c>
      <c r="I201" s="174" t="b">
        <v>1</v>
      </c>
      <c r="K201" s="207">
        <v>165</v>
      </c>
      <c r="L201" s="174" t="s">
        <v>293</v>
      </c>
      <c r="M201" s="174" t="s">
        <v>293</v>
      </c>
      <c r="N201" s="174" t="s">
        <v>293</v>
      </c>
    </row>
    <row r="202" spans="6:14" x14ac:dyDescent="0.2">
      <c r="F202" s="175">
        <v>166</v>
      </c>
      <c r="G202" s="174" t="b">
        <v>1</v>
      </c>
      <c r="H202" s="174" t="b">
        <v>1</v>
      </c>
      <c r="I202" s="174" t="b">
        <v>1</v>
      </c>
      <c r="K202" s="207">
        <v>166</v>
      </c>
      <c r="L202" s="174" t="s">
        <v>294</v>
      </c>
      <c r="M202" s="174" t="s">
        <v>294</v>
      </c>
      <c r="N202" s="174" t="s">
        <v>294</v>
      </c>
    </row>
    <row r="203" spans="6:14" x14ac:dyDescent="0.2">
      <c r="F203" s="175">
        <v>167</v>
      </c>
      <c r="G203" s="174" t="b">
        <v>1</v>
      </c>
      <c r="H203" s="174" t="b">
        <v>1</v>
      </c>
      <c r="I203" s="174" t="b">
        <v>1</v>
      </c>
      <c r="K203" s="207">
        <v>167</v>
      </c>
      <c r="L203" s="174" t="s">
        <v>295</v>
      </c>
      <c r="M203" s="174" t="s">
        <v>295</v>
      </c>
      <c r="N203" s="174" t="s">
        <v>295</v>
      </c>
    </row>
    <row r="204" spans="6:14" x14ac:dyDescent="0.2">
      <c r="F204" s="175">
        <v>168</v>
      </c>
      <c r="G204" s="174" t="b">
        <v>1</v>
      </c>
      <c r="H204" s="174" t="b">
        <v>1</v>
      </c>
      <c r="I204" s="174" t="b">
        <v>1</v>
      </c>
      <c r="K204" s="207">
        <v>168</v>
      </c>
      <c r="L204" s="174" t="s">
        <v>296</v>
      </c>
      <c r="M204" s="174" t="s">
        <v>296</v>
      </c>
      <c r="N204" s="174" t="s">
        <v>296</v>
      </c>
    </row>
    <row r="205" spans="6:14" x14ac:dyDescent="0.2">
      <c r="F205" s="175">
        <v>169</v>
      </c>
      <c r="G205" s="174" t="b">
        <v>1</v>
      </c>
      <c r="H205" s="174" t="b">
        <v>1</v>
      </c>
      <c r="I205" s="174" t="b">
        <v>1</v>
      </c>
      <c r="K205" s="207">
        <v>169</v>
      </c>
      <c r="L205" s="174" t="s">
        <v>297</v>
      </c>
      <c r="M205" s="174" t="s">
        <v>297</v>
      </c>
      <c r="N205" s="174" t="s">
        <v>297</v>
      </c>
    </row>
    <row r="206" spans="6:14" x14ac:dyDescent="0.2">
      <c r="F206" s="175">
        <v>170</v>
      </c>
      <c r="G206" s="174" t="b">
        <v>1</v>
      </c>
      <c r="H206" s="174" t="b">
        <v>1</v>
      </c>
      <c r="I206" s="174" t="b">
        <v>1</v>
      </c>
      <c r="K206" s="207">
        <v>170</v>
      </c>
      <c r="L206" s="174" t="s">
        <v>298</v>
      </c>
      <c r="M206" s="174" t="s">
        <v>298</v>
      </c>
      <c r="N206" s="174" t="s">
        <v>298</v>
      </c>
    </row>
    <row r="207" spans="6:14" x14ac:dyDescent="0.2">
      <c r="F207" s="175">
        <v>171</v>
      </c>
      <c r="G207" s="174" t="b">
        <v>1</v>
      </c>
      <c r="H207" s="174" t="b">
        <v>1</v>
      </c>
      <c r="I207" s="174" t="b">
        <v>1</v>
      </c>
      <c r="K207" s="207">
        <v>171</v>
      </c>
      <c r="L207" s="174" t="s">
        <v>299</v>
      </c>
      <c r="M207" s="174" t="s">
        <v>299</v>
      </c>
      <c r="N207" s="174" t="s">
        <v>299</v>
      </c>
    </row>
    <row r="208" spans="6:14" x14ac:dyDescent="0.2">
      <c r="F208" s="175">
        <v>172</v>
      </c>
      <c r="G208" s="174" t="b">
        <v>1</v>
      </c>
      <c r="H208" s="174" t="b">
        <v>1</v>
      </c>
      <c r="I208" s="174" t="b">
        <v>1</v>
      </c>
      <c r="K208" s="207">
        <v>172</v>
      </c>
      <c r="L208" s="174" t="s">
        <v>300</v>
      </c>
      <c r="M208" s="174" t="s">
        <v>300</v>
      </c>
      <c r="N208" s="174" t="s">
        <v>300</v>
      </c>
    </row>
    <row r="209" spans="6:14" x14ac:dyDescent="0.2">
      <c r="F209" s="175">
        <v>173</v>
      </c>
      <c r="G209" s="174" t="b">
        <v>1</v>
      </c>
      <c r="H209" s="174" t="b">
        <v>1</v>
      </c>
      <c r="I209" s="174" t="b">
        <v>1</v>
      </c>
      <c r="K209" s="207">
        <v>173</v>
      </c>
      <c r="L209" s="174" t="s">
        <v>301</v>
      </c>
      <c r="M209" s="174" t="s">
        <v>301</v>
      </c>
      <c r="N209" s="174" t="s">
        <v>301</v>
      </c>
    </row>
    <row r="210" spans="6:14" x14ac:dyDescent="0.2">
      <c r="F210" s="175">
        <v>174</v>
      </c>
      <c r="G210" s="174" t="b">
        <v>1</v>
      </c>
      <c r="H210" s="174" t="b">
        <v>1</v>
      </c>
      <c r="I210" s="174" t="b">
        <v>1</v>
      </c>
      <c r="K210" s="207">
        <v>174</v>
      </c>
      <c r="L210" s="174" t="s">
        <v>302</v>
      </c>
      <c r="M210" s="174" t="s">
        <v>302</v>
      </c>
      <c r="N210" s="174" t="s">
        <v>302</v>
      </c>
    </row>
    <row r="211" spans="6:14" x14ac:dyDescent="0.2">
      <c r="F211" s="175">
        <v>175</v>
      </c>
      <c r="G211" s="174" t="b">
        <v>1</v>
      </c>
      <c r="H211" s="174" t="b">
        <v>1</v>
      </c>
      <c r="I211" s="174" t="b">
        <v>1</v>
      </c>
      <c r="K211" s="207">
        <v>175</v>
      </c>
      <c r="L211" s="174" t="s">
        <v>303</v>
      </c>
      <c r="M211" s="174" t="s">
        <v>303</v>
      </c>
      <c r="N211" s="174" t="s">
        <v>303</v>
      </c>
    </row>
    <row r="212" spans="6:14" x14ac:dyDescent="0.2">
      <c r="F212" s="175">
        <v>176</v>
      </c>
      <c r="G212" s="174" t="b">
        <v>1</v>
      </c>
      <c r="H212" s="174" t="b">
        <v>1</v>
      </c>
      <c r="I212" s="174" t="b">
        <v>1</v>
      </c>
      <c r="K212" s="207">
        <v>176</v>
      </c>
      <c r="L212" s="174" t="s">
        <v>304</v>
      </c>
      <c r="M212" s="174" t="s">
        <v>304</v>
      </c>
      <c r="N212" s="174" t="s">
        <v>304</v>
      </c>
    </row>
    <row r="213" spans="6:14" x14ac:dyDescent="0.2">
      <c r="F213" s="175">
        <v>177</v>
      </c>
      <c r="G213" s="174" t="b">
        <v>1</v>
      </c>
      <c r="H213" s="174" t="b">
        <v>1</v>
      </c>
      <c r="I213" s="174" t="b">
        <v>1</v>
      </c>
      <c r="K213" s="207">
        <v>177</v>
      </c>
      <c r="L213" s="174" t="s">
        <v>305</v>
      </c>
      <c r="M213" s="174" t="s">
        <v>305</v>
      </c>
      <c r="N213" s="174" t="s">
        <v>305</v>
      </c>
    </row>
    <row r="214" spans="6:14" x14ac:dyDescent="0.2">
      <c r="F214" s="175">
        <v>178</v>
      </c>
      <c r="G214" s="174" t="b">
        <v>1</v>
      </c>
      <c r="H214" s="174" t="b">
        <v>1</v>
      </c>
      <c r="I214" s="174" t="b">
        <v>1</v>
      </c>
      <c r="K214" s="207">
        <v>178</v>
      </c>
      <c r="L214" s="174" t="s">
        <v>306</v>
      </c>
      <c r="M214" s="174" t="s">
        <v>306</v>
      </c>
      <c r="N214" s="174" t="s">
        <v>306</v>
      </c>
    </row>
    <row r="215" spans="6:14" x14ac:dyDescent="0.2">
      <c r="F215" s="175">
        <v>179</v>
      </c>
      <c r="G215" s="174" t="b">
        <v>1</v>
      </c>
      <c r="H215" s="174" t="b">
        <v>1</v>
      </c>
      <c r="I215" s="174" t="b">
        <v>1</v>
      </c>
      <c r="K215" s="207">
        <v>179</v>
      </c>
      <c r="L215" s="174" t="s">
        <v>307</v>
      </c>
      <c r="M215" s="174" t="s">
        <v>307</v>
      </c>
      <c r="N215" s="174" t="s">
        <v>307</v>
      </c>
    </row>
    <row r="216" spans="6:14" x14ac:dyDescent="0.2">
      <c r="F216" s="175">
        <v>180</v>
      </c>
      <c r="G216" s="174" t="b">
        <v>1</v>
      </c>
      <c r="H216" s="174" t="b">
        <v>1</v>
      </c>
      <c r="I216" s="174" t="b">
        <v>1</v>
      </c>
      <c r="K216" s="207">
        <v>180</v>
      </c>
      <c r="L216" s="174" t="s">
        <v>308</v>
      </c>
      <c r="M216" s="174" t="s">
        <v>308</v>
      </c>
      <c r="N216" s="174" t="s">
        <v>308</v>
      </c>
    </row>
    <row r="217" spans="6:14" x14ac:dyDescent="0.2">
      <c r="F217" s="175">
        <v>181</v>
      </c>
      <c r="G217" s="174" t="b">
        <v>1</v>
      </c>
      <c r="H217" s="174" t="b">
        <v>1</v>
      </c>
      <c r="I217" s="174" t="b">
        <v>1</v>
      </c>
      <c r="K217" s="207">
        <v>181</v>
      </c>
      <c r="L217" s="174" t="s">
        <v>309</v>
      </c>
      <c r="M217" s="174" t="s">
        <v>309</v>
      </c>
      <c r="N217" s="174" t="s">
        <v>309</v>
      </c>
    </row>
    <row r="218" spans="6:14" x14ac:dyDescent="0.2">
      <c r="F218" s="175">
        <v>182</v>
      </c>
      <c r="G218" s="174" t="b">
        <v>1</v>
      </c>
      <c r="H218" s="174" t="b">
        <v>1</v>
      </c>
      <c r="I218" s="174" t="b">
        <v>1</v>
      </c>
      <c r="K218" s="207">
        <v>182</v>
      </c>
      <c r="L218" s="174" t="s">
        <v>310</v>
      </c>
      <c r="M218" s="174" t="s">
        <v>310</v>
      </c>
      <c r="N218" s="174" t="s">
        <v>310</v>
      </c>
    </row>
    <row r="219" spans="6:14" x14ac:dyDescent="0.2">
      <c r="F219" s="175">
        <v>183</v>
      </c>
      <c r="G219" s="174" t="b">
        <v>1</v>
      </c>
      <c r="H219" s="174" t="b">
        <v>1</v>
      </c>
      <c r="I219" s="174" t="b">
        <v>1</v>
      </c>
      <c r="K219" s="207">
        <v>183</v>
      </c>
      <c r="L219" s="174" t="s">
        <v>311</v>
      </c>
      <c r="M219" s="174" t="s">
        <v>311</v>
      </c>
      <c r="N219" s="174" t="s">
        <v>311</v>
      </c>
    </row>
    <row r="220" spans="6:14" x14ac:dyDescent="0.2">
      <c r="F220" s="175">
        <v>184</v>
      </c>
      <c r="G220" s="174" t="b">
        <v>1</v>
      </c>
      <c r="H220" s="174" t="b">
        <v>1</v>
      </c>
      <c r="I220" s="174" t="b">
        <v>1</v>
      </c>
      <c r="K220" s="207">
        <v>184</v>
      </c>
      <c r="L220" s="174" t="s">
        <v>312</v>
      </c>
      <c r="M220" s="174" t="s">
        <v>312</v>
      </c>
      <c r="N220" s="174" t="s">
        <v>312</v>
      </c>
    </row>
    <row r="221" spans="6:14" x14ac:dyDescent="0.2">
      <c r="F221" s="175">
        <v>185</v>
      </c>
      <c r="G221" s="174" t="b">
        <v>1</v>
      </c>
      <c r="H221" s="174" t="b">
        <v>1</v>
      </c>
      <c r="I221" s="174" t="b">
        <v>1</v>
      </c>
      <c r="K221" s="207">
        <v>185</v>
      </c>
      <c r="L221" s="174" t="s">
        <v>313</v>
      </c>
      <c r="M221" s="174" t="s">
        <v>313</v>
      </c>
      <c r="N221" s="174" t="s">
        <v>313</v>
      </c>
    </row>
    <row r="222" spans="6:14" x14ac:dyDescent="0.2">
      <c r="F222" s="175">
        <v>186</v>
      </c>
      <c r="G222" s="174" t="b">
        <v>1</v>
      </c>
      <c r="H222" s="174" t="b">
        <v>1</v>
      </c>
      <c r="I222" s="174" t="b">
        <v>1</v>
      </c>
      <c r="K222" s="207">
        <v>186</v>
      </c>
      <c r="L222" s="174" t="s">
        <v>314</v>
      </c>
      <c r="M222" s="174" t="s">
        <v>314</v>
      </c>
      <c r="N222" s="174" t="s">
        <v>314</v>
      </c>
    </row>
    <row r="223" spans="6:14" x14ac:dyDescent="0.2">
      <c r="F223" s="175">
        <v>187</v>
      </c>
      <c r="G223" s="174" t="b">
        <v>1</v>
      </c>
      <c r="H223" s="174" t="b">
        <v>1</v>
      </c>
      <c r="I223" s="174" t="b">
        <v>1</v>
      </c>
      <c r="K223" s="207">
        <v>187</v>
      </c>
      <c r="L223" s="174" t="s">
        <v>315</v>
      </c>
      <c r="M223" s="174" t="s">
        <v>315</v>
      </c>
      <c r="N223" s="174" t="s">
        <v>315</v>
      </c>
    </row>
    <row r="224" spans="6:14" x14ac:dyDescent="0.2">
      <c r="F224" s="175">
        <v>188</v>
      </c>
      <c r="G224" s="174" t="b">
        <v>1</v>
      </c>
      <c r="H224" s="174" t="b">
        <v>1</v>
      </c>
      <c r="I224" s="174" t="b">
        <v>1</v>
      </c>
      <c r="K224" s="207">
        <v>188</v>
      </c>
      <c r="L224" s="174" t="s">
        <v>316</v>
      </c>
      <c r="M224" s="174" t="s">
        <v>316</v>
      </c>
      <c r="N224" s="174" t="s">
        <v>316</v>
      </c>
    </row>
    <row r="225" spans="1:15" x14ac:dyDescent="0.2">
      <c r="F225" s="175">
        <v>189</v>
      </c>
      <c r="G225" s="174" t="b">
        <v>1</v>
      </c>
      <c r="H225" s="174" t="b">
        <v>1</v>
      </c>
      <c r="I225" s="174" t="b">
        <v>1</v>
      </c>
      <c r="K225" s="207">
        <v>189</v>
      </c>
      <c r="L225" s="174" t="s">
        <v>317</v>
      </c>
      <c r="M225" s="174" t="s">
        <v>317</v>
      </c>
      <c r="N225" s="174" t="s">
        <v>317</v>
      </c>
    </row>
    <row r="226" spans="1:15" x14ac:dyDescent="0.2">
      <c r="F226" s="175">
        <v>190</v>
      </c>
      <c r="G226" s="174" t="b">
        <v>1</v>
      </c>
      <c r="H226" s="174" t="b">
        <v>1</v>
      </c>
      <c r="I226" s="174" t="b">
        <v>1</v>
      </c>
      <c r="K226" s="207">
        <v>190</v>
      </c>
      <c r="L226" s="174" t="s">
        <v>318</v>
      </c>
      <c r="M226" s="174" t="s">
        <v>318</v>
      </c>
      <c r="N226" s="174" t="s">
        <v>318</v>
      </c>
    </row>
    <row r="227" spans="1:15" x14ac:dyDescent="0.2">
      <c r="F227" s="175">
        <v>191</v>
      </c>
      <c r="G227" s="174" t="b">
        <v>1</v>
      </c>
      <c r="H227" s="174" t="b">
        <v>1</v>
      </c>
      <c r="I227" s="174" t="b">
        <v>1</v>
      </c>
      <c r="K227" s="207">
        <v>191</v>
      </c>
      <c r="L227" s="174" t="s">
        <v>319</v>
      </c>
      <c r="M227" s="174" t="s">
        <v>319</v>
      </c>
      <c r="N227" s="174" t="s">
        <v>319</v>
      </c>
    </row>
    <row r="228" spans="1:15" x14ac:dyDescent="0.2">
      <c r="F228" s="175">
        <v>192</v>
      </c>
      <c r="G228" s="174" t="b">
        <v>1</v>
      </c>
      <c r="H228" s="174" t="b">
        <v>1</v>
      </c>
      <c r="I228" s="174" t="b">
        <v>1</v>
      </c>
      <c r="K228" s="207">
        <v>192</v>
      </c>
      <c r="L228" s="174" t="s">
        <v>320</v>
      </c>
      <c r="M228" s="174" t="s">
        <v>320</v>
      </c>
      <c r="N228" s="174" t="s">
        <v>320</v>
      </c>
    </row>
    <row r="229" spans="1:15" x14ac:dyDescent="0.2">
      <c r="F229" s="175">
        <v>193</v>
      </c>
      <c r="G229" s="174" t="b">
        <v>1</v>
      </c>
      <c r="H229" s="174" t="b">
        <v>1</v>
      </c>
      <c r="I229" s="174" t="b">
        <v>1</v>
      </c>
      <c r="K229" s="207">
        <v>193</v>
      </c>
      <c r="L229" s="174" t="s">
        <v>321</v>
      </c>
      <c r="M229" s="174" t="s">
        <v>321</v>
      </c>
      <c r="N229" s="174" t="s">
        <v>321</v>
      </c>
    </row>
    <row r="230" spans="1:15" x14ac:dyDescent="0.2">
      <c r="F230" s="175">
        <v>194</v>
      </c>
      <c r="G230" s="174" t="b">
        <v>1</v>
      </c>
      <c r="H230" s="174" t="b">
        <v>1</v>
      </c>
      <c r="I230" s="174" t="b">
        <v>1</v>
      </c>
      <c r="K230" s="207">
        <v>194</v>
      </c>
      <c r="L230" s="174" t="s">
        <v>322</v>
      </c>
      <c r="M230" s="174" t="s">
        <v>322</v>
      </c>
      <c r="N230" s="174" t="s">
        <v>322</v>
      </c>
    </row>
    <row r="231" spans="1:15" x14ac:dyDescent="0.2">
      <c r="F231" s="175">
        <v>195</v>
      </c>
      <c r="G231" s="174" t="b">
        <v>1</v>
      </c>
      <c r="H231" s="174" t="b">
        <v>1</v>
      </c>
      <c r="I231" s="174" t="b">
        <v>1</v>
      </c>
      <c r="K231" s="207">
        <v>195</v>
      </c>
      <c r="L231" s="174" t="s">
        <v>323</v>
      </c>
      <c r="M231" s="174" t="s">
        <v>323</v>
      </c>
      <c r="N231" s="174" t="s">
        <v>323</v>
      </c>
    </row>
    <row r="232" spans="1:15" x14ac:dyDescent="0.2">
      <c r="F232" s="175">
        <v>196</v>
      </c>
      <c r="G232" s="174" t="b">
        <v>1</v>
      </c>
      <c r="H232" s="174" t="b">
        <v>1</v>
      </c>
      <c r="I232" s="174" t="b">
        <v>1</v>
      </c>
      <c r="K232" s="207">
        <v>196</v>
      </c>
      <c r="L232" s="174" t="s">
        <v>324</v>
      </c>
      <c r="M232" s="174" t="s">
        <v>324</v>
      </c>
      <c r="N232" s="174" t="s">
        <v>324</v>
      </c>
    </row>
    <row r="233" spans="1:15" x14ac:dyDescent="0.2">
      <c r="F233" s="175">
        <v>197</v>
      </c>
      <c r="G233" s="174" t="b">
        <v>1</v>
      </c>
      <c r="H233" s="174" t="b">
        <v>1</v>
      </c>
      <c r="I233" s="174" t="b">
        <v>1</v>
      </c>
      <c r="K233" s="207">
        <v>197</v>
      </c>
      <c r="L233" s="174" t="s">
        <v>325</v>
      </c>
      <c r="M233" s="174" t="s">
        <v>325</v>
      </c>
      <c r="N233" s="174" t="s">
        <v>325</v>
      </c>
    </row>
    <row r="234" spans="1:15" x14ac:dyDescent="0.2">
      <c r="F234" s="175">
        <v>198</v>
      </c>
      <c r="G234" s="174" t="b">
        <v>1</v>
      </c>
      <c r="H234" s="174" t="b">
        <v>1</v>
      </c>
      <c r="I234" s="174" t="b">
        <v>1</v>
      </c>
      <c r="K234" s="207">
        <v>198</v>
      </c>
      <c r="L234" s="174" t="s">
        <v>326</v>
      </c>
      <c r="M234" s="174" t="s">
        <v>326</v>
      </c>
      <c r="N234" s="174" t="s">
        <v>326</v>
      </c>
    </row>
    <row r="235" spans="1:15" x14ac:dyDescent="0.2">
      <c r="F235" s="175">
        <v>199</v>
      </c>
      <c r="G235" s="174" t="b">
        <v>1</v>
      </c>
      <c r="H235" s="174" t="b">
        <v>1</v>
      </c>
      <c r="I235" s="174" t="b">
        <v>1</v>
      </c>
      <c r="K235" s="207">
        <v>199</v>
      </c>
      <c r="L235" s="174" t="s">
        <v>327</v>
      </c>
      <c r="M235" s="174" t="s">
        <v>327</v>
      </c>
      <c r="N235" s="174" t="s">
        <v>327</v>
      </c>
    </row>
    <row r="236" spans="1:15" x14ac:dyDescent="0.2">
      <c r="F236" s="175">
        <v>200</v>
      </c>
      <c r="G236" s="174" t="b">
        <v>1</v>
      </c>
      <c r="H236" s="174" t="b">
        <v>1</v>
      </c>
      <c r="I236" s="174" t="b">
        <v>1</v>
      </c>
      <c r="K236" s="207">
        <v>200</v>
      </c>
      <c r="L236" s="174" t="s">
        <v>328</v>
      </c>
      <c r="M236" s="174" t="s">
        <v>328</v>
      </c>
      <c r="N236" s="174" t="s">
        <v>328</v>
      </c>
    </row>
    <row r="238" spans="1:15" x14ac:dyDescent="0.2">
      <c r="A238" s="174" t="s">
        <v>136</v>
      </c>
      <c r="C238" s="174" t="s">
        <v>134</v>
      </c>
    </row>
    <row r="239" spans="1:15" x14ac:dyDescent="0.2">
      <c r="A239" s="174">
        <f>IF(G239,1,0)</f>
        <v>0</v>
      </c>
      <c r="C239" s="174">
        <f>IF($T$41,L239,1)</f>
        <v>1</v>
      </c>
      <c r="E239" s="174" t="s">
        <v>133</v>
      </c>
      <c r="F239" s="175">
        <v>1</v>
      </c>
      <c r="G239" s="175" t="b">
        <v>0</v>
      </c>
      <c r="H239" s="175" t="b">
        <v>0</v>
      </c>
      <c r="I239" s="175" t="b">
        <v>0</v>
      </c>
      <c r="K239" s="175">
        <v>1</v>
      </c>
      <c r="L239" s="175">
        <v>1</v>
      </c>
      <c r="M239" s="175">
        <v>1</v>
      </c>
      <c r="N239" s="175">
        <v>1</v>
      </c>
      <c r="O239" s="174" t="s">
        <v>134</v>
      </c>
    </row>
    <row r="240" spans="1:15" x14ac:dyDescent="0.2">
      <c r="A240" s="174">
        <f>IF(G240,1,0)</f>
        <v>0</v>
      </c>
      <c r="C240" s="174">
        <f>IF($T$41,L240,1)</f>
        <v>1</v>
      </c>
      <c r="F240" s="175">
        <v>2</v>
      </c>
      <c r="G240" s="175" t="b">
        <v>0</v>
      </c>
      <c r="H240" s="175" t="b">
        <v>0</v>
      </c>
      <c r="I240" s="175" t="b">
        <v>0</v>
      </c>
      <c r="K240" s="175">
        <v>2</v>
      </c>
      <c r="L240" s="175">
        <v>1</v>
      </c>
      <c r="M240" s="175">
        <v>1</v>
      </c>
      <c r="N240" s="175">
        <v>1</v>
      </c>
    </row>
    <row r="241" spans="1:14" x14ac:dyDescent="0.2">
      <c r="A241" s="174">
        <f>IF(G241,1,0)</f>
        <v>0</v>
      </c>
      <c r="C241" s="174">
        <f>IF($T$41,L241,1)</f>
        <v>1</v>
      </c>
      <c r="F241" s="175">
        <v>3</v>
      </c>
      <c r="G241" s="175" t="b">
        <v>0</v>
      </c>
      <c r="H241" s="175" t="b">
        <v>0</v>
      </c>
      <c r="I241" s="175" t="b">
        <v>0</v>
      </c>
      <c r="K241" s="175">
        <v>3</v>
      </c>
      <c r="L241" s="175">
        <v>1</v>
      </c>
      <c r="M241" s="175">
        <v>1</v>
      </c>
      <c r="N241" s="175">
        <v>1</v>
      </c>
    </row>
    <row r="242" spans="1:14" x14ac:dyDescent="0.2">
      <c r="A242" s="174">
        <f>IF(G242,1,0)</f>
        <v>0</v>
      </c>
      <c r="C242" s="174">
        <f t="shared" ref="C242:C305" si="1">IF($T$41,L242,1)</f>
        <v>1</v>
      </c>
      <c r="F242" s="175">
        <v>4</v>
      </c>
      <c r="G242" s="175" t="b">
        <v>0</v>
      </c>
      <c r="H242" s="175" t="b">
        <v>0</v>
      </c>
      <c r="I242" s="175" t="b">
        <v>0</v>
      </c>
      <c r="K242" s="175">
        <v>4</v>
      </c>
      <c r="L242" s="175">
        <v>1</v>
      </c>
      <c r="M242" s="175">
        <v>1</v>
      </c>
      <c r="N242" s="175">
        <v>1</v>
      </c>
    </row>
    <row r="243" spans="1:14" x14ac:dyDescent="0.2">
      <c r="A243" s="174">
        <f t="shared" ref="A243:A306" si="2">IF(G243,1,0)</f>
        <v>0</v>
      </c>
      <c r="C243" s="174">
        <f t="shared" si="1"/>
        <v>1</v>
      </c>
      <c r="F243" s="175">
        <v>5</v>
      </c>
      <c r="G243" s="175" t="b">
        <v>0</v>
      </c>
      <c r="H243" s="175" t="b">
        <v>0</v>
      </c>
      <c r="I243" s="175" t="b">
        <v>0</v>
      </c>
      <c r="K243" s="175">
        <v>5</v>
      </c>
      <c r="L243" s="175">
        <v>1</v>
      </c>
      <c r="M243" s="175">
        <v>1</v>
      </c>
      <c r="N243" s="175">
        <v>1</v>
      </c>
    </row>
    <row r="244" spans="1:14" x14ac:dyDescent="0.2">
      <c r="A244" s="174">
        <f t="shared" si="2"/>
        <v>0</v>
      </c>
      <c r="C244" s="174">
        <f t="shared" si="1"/>
        <v>1</v>
      </c>
      <c r="F244" s="175">
        <v>6</v>
      </c>
      <c r="G244" s="175" t="b">
        <v>0</v>
      </c>
      <c r="H244" s="175" t="b">
        <v>0</v>
      </c>
      <c r="I244" s="175" t="b">
        <v>0</v>
      </c>
      <c r="K244" s="175">
        <v>6</v>
      </c>
      <c r="L244" s="175">
        <v>1</v>
      </c>
      <c r="M244" s="175">
        <v>1</v>
      </c>
      <c r="N244" s="175">
        <v>1</v>
      </c>
    </row>
    <row r="245" spans="1:14" x14ac:dyDescent="0.2">
      <c r="A245" s="174">
        <f t="shared" si="2"/>
        <v>0</v>
      </c>
      <c r="C245" s="174">
        <f t="shared" si="1"/>
        <v>1</v>
      </c>
      <c r="F245" s="175">
        <v>7</v>
      </c>
      <c r="G245" s="175" t="b">
        <v>0</v>
      </c>
      <c r="H245" s="175" t="b">
        <v>0</v>
      </c>
      <c r="I245" s="175" t="b">
        <v>0</v>
      </c>
      <c r="K245" s="175">
        <v>7</v>
      </c>
      <c r="L245" s="175">
        <v>1</v>
      </c>
      <c r="M245" s="175">
        <v>1</v>
      </c>
      <c r="N245" s="175">
        <v>1</v>
      </c>
    </row>
    <row r="246" spans="1:14" x14ac:dyDescent="0.2">
      <c r="A246" s="174">
        <f t="shared" si="2"/>
        <v>0</v>
      </c>
      <c r="C246" s="174">
        <f t="shared" si="1"/>
        <v>1</v>
      </c>
      <c r="F246" s="175">
        <v>8</v>
      </c>
      <c r="G246" s="175" t="b">
        <v>0</v>
      </c>
      <c r="H246" s="175" t="b">
        <v>0</v>
      </c>
      <c r="I246" s="175" t="b">
        <v>0</v>
      </c>
      <c r="K246" s="175">
        <v>8</v>
      </c>
      <c r="L246" s="175">
        <v>1</v>
      </c>
      <c r="M246" s="175">
        <v>1</v>
      </c>
      <c r="N246" s="175">
        <v>1</v>
      </c>
    </row>
    <row r="247" spans="1:14" x14ac:dyDescent="0.2">
      <c r="A247" s="174">
        <f t="shared" si="2"/>
        <v>0</v>
      </c>
      <c r="C247" s="174">
        <f t="shared" si="1"/>
        <v>1</v>
      </c>
      <c r="F247" s="175">
        <v>9</v>
      </c>
      <c r="G247" s="175" t="b">
        <v>0</v>
      </c>
      <c r="H247" s="175" t="b">
        <v>0</v>
      </c>
      <c r="I247" s="175" t="b">
        <v>0</v>
      </c>
      <c r="K247" s="175">
        <v>9</v>
      </c>
      <c r="L247" s="175">
        <v>1</v>
      </c>
      <c r="M247" s="175">
        <v>1</v>
      </c>
      <c r="N247" s="175">
        <v>1</v>
      </c>
    </row>
    <row r="248" spans="1:14" x14ac:dyDescent="0.2">
      <c r="A248" s="174">
        <f t="shared" si="2"/>
        <v>0</v>
      </c>
      <c r="C248" s="174">
        <f t="shared" si="1"/>
        <v>1</v>
      </c>
      <c r="F248" s="175">
        <v>10</v>
      </c>
      <c r="G248" s="175" t="b">
        <v>0</v>
      </c>
      <c r="H248" s="175" t="b">
        <v>0</v>
      </c>
      <c r="I248" s="175" t="b">
        <v>0</v>
      </c>
      <c r="K248" s="175">
        <v>10</v>
      </c>
      <c r="L248" s="175">
        <v>1</v>
      </c>
      <c r="M248" s="175">
        <v>1</v>
      </c>
      <c r="N248" s="175">
        <v>1</v>
      </c>
    </row>
    <row r="249" spans="1:14" x14ac:dyDescent="0.2">
      <c r="A249" s="174">
        <f t="shared" si="2"/>
        <v>0</v>
      </c>
      <c r="C249" s="174">
        <f t="shared" si="1"/>
        <v>1</v>
      </c>
      <c r="F249" s="175">
        <v>11</v>
      </c>
      <c r="G249" s="175" t="b">
        <v>0</v>
      </c>
      <c r="H249" s="175" t="b">
        <v>0</v>
      </c>
      <c r="I249" s="175" t="b">
        <v>0</v>
      </c>
      <c r="K249" s="175">
        <v>11</v>
      </c>
      <c r="L249" s="175">
        <v>1</v>
      </c>
      <c r="M249" s="175">
        <v>1</v>
      </c>
      <c r="N249" s="175">
        <v>1</v>
      </c>
    </row>
    <row r="250" spans="1:14" x14ac:dyDescent="0.2">
      <c r="A250" s="174">
        <f t="shared" si="2"/>
        <v>0</v>
      </c>
      <c r="C250" s="174">
        <f t="shared" si="1"/>
        <v>1</v>
      </c>
      <c r="F250" s="175">
        <v>12</v>
      </c>
      <c r="G250" s="175" t="b">
        <v>0</v>
      </c>
      <c r="H250" s="175" t="b">
        <v>0</v>
      </c>
      <c r="I250" s="175" t="b">
        <v>0</v>
      </c>
      <c r="K250" s="175">
        <v>12</v>
      </c>
      <c r="L250" s="175">
        <v>1</v>
      </c>
      <c r="M250" s="175">
        <v>1</v>
      </c>
      <c r="N250" s="175">
        <v>1</v>
      </c>
    </row>
    <row r="251" spans="1:14" x14ac:dyDescent="0.2">
      <c r="A251" s="174">
        <f t="shared" si="2"/>
        <v>0</v>
      </c>
      <c r="C251" s="174">
        <f t="shared" si="1"/>
        <v>1</v>
      </c>
      <c r="F251" s="175">
        <v>13</v>
      </c>
      <c r="G251" s="175" t="b">
        <v>0</v>
      </c>
      <c r="H251" s="175" t="b">
        <v>0</v>
      </c>
      <c r="I251" s="175" t="b">
        <v>0</v>
      </c>
      <c r="K251" s="175">
        <v>13</v>
      </c>
      <c r="L251" s="175">
        <v>1</v>
      </c>
      <c r="M251" s="175">
        <v>1</v>
      </c>
      <c r="N251" s="175">
        <v>1</v>
      </c>
    </row>
    <row r="252" spans="1:14" x14ac:dyDescent="0.2">
      <c r="A252" s="174">
        <f t="shared" si="2"/>
        <v>0</v>
      </c>
      <c r="C252" s="174">
        <f t="shared" si="1"/>
        <v>1</v>
      </c>
      <c r="F252" s="175">
        <v>14</v>
      </c>
      <c r="G252" s="175" t="b">
        <v>0</v>
      </c>
      <c r="H252" s="175" t="b">
        <v>0</v>
      </c>
      <c r="I252" s="175" t="b">
        <v>0</v>
      </c>
      <c r="K252" s="175">
        <v>14</v>
      </c>
      <c r="L252" s="175">
        <v>1</v>
      </c>
      <c r="M252" s="175">
        <v>1</v>
      </c>
      <c r="N252" s="175">
        <v>1</v>
      </c>
    </row>
    <row r="253" spans="1:14" x14ac:dyDescent="0.2">
      <c r="A253" s="174">
        <f t="shared" si="2"/>
        <v>0</v>
      </c>
      <c r="C253" s="174">
        <f t="shared" si="1"/>
        <v>1</v>
      </c>
      <c r="F253" s="175">
        <v>15</v>
      </c>
      <c r="G253" s="175" t="b">
        <v>0</v>
      </c>
      <c r="H253" s="175" t="b">
        <v>0</v>
      </c>
      <c r="I253" s="175" t="b">
        <v>0</v>
      </c>
      <c r="K253" s="175">
        <v>15</v>
      </c>
      <c r="L253" s="175">
        <v>1</v>
      </c>
      <c r="M253" s="175">
        <v>1</v>
      </c>
      <c r="N253" s="175">
        <v>1</v>
      </c>
    </row>
    <row r="254" spans="1:14" x14ac:dyDescent="0.2">
      <c r="A254" s="174">
        <f t="shared" si="2"/>
        <v>0</v>
      </c>
      <c r="C254" s="174">
        <f t="shared" si="1"/>
        <v>1</v>
      </c>
      <c r="F254" s="175">
        <v>16</v>
      </c>
      <c r="G254" s="175" t="b">
        <v>0</v>
      </c>
      <c r="H254" s="175" t="b">
        <v>0</v>
      </c>
      <c r="I254" s="175" t="b">
        <v>0</v>
      </c>
      <c r="K254" s="175">
        <v>16</v>
      </c>
      <c r="L254" s="175">
        <v>1</v>
      </c>
      <c r="M254" s="175">
        <v>1</v>
      </c>
      <c r="N254" s="175">
        <v>1</v>
      </c>
    </row>
    <row r="255" spans="1:14" x14ac:dyDescent="0.2">
      <c r="A255" s="174">
        <f t="shared" si="2"/>
        <v>0</v>
      </c>
      <c r="C255" s="174">
        <f t="shared" si="1"/>
        <v>1</v>
      </c>
      <c r="F255" s="175">
        <v>17</v>
      </c>
      <c r="G255" s="175" t="b">
        <v>0</v>
      </c>
      <c r="H255" s="175" t="b">
        <v>0</v>
      </c>
      <c r="I255" s="175" t="b">
        <v>0</v>
      </c>
      <c r="K255" s="175">
        <v>17</v>
      </c>
      <c r="L255" s="175">
        <v>1</v>
      </c>
      <c r="M255" s="175">
        <v>1</v>
      </c>
      <c r="N255" s="175">
        <v>1</v>
      </c>
    </row>
    <row r="256" spans="1:14" x14ac:dyDescent="0.2">
      <c r="A256" s="174">
        <f t="shared" si="2"/>
        <v>0</v>
      </c>
      <c r="C256" s="174">
        <f t="shared" si="1"/>
        <v>1</v>
      </c>
      <c r="F256" s="175">
        <v>18</v>
      </c>
      <c r="G256" s="175" t="b">
        <v>0</v>
      </c>
      <c r="H256" s="175" t="b">
        <v>0</v>
      </c>
      <c r="I256" s="175" t="b">
        <v>0</v>
      </c>
      <c r="K256" s="175">
        <v>18</v>
      </c>
      <c r="L256" s="175">
        <v>1</v>
      </c>
      <c r="M256" s="175">
        <v>1</v>
      </c>
      <c r="N256" s="175">
        <v>1</v>
      </c>
    </row>
    <row r="257" spans="1:14" x14ac:dyDescent="0.2">
      <c r="A257" s="174">
        <f t="shared" si="2"/>
        <v>0</v>
      </c>
      <c r="C257" s="174">
        <f t="shared" si="1"/>
        <v>1</v>
      </c>
      <c r="F257" s="175">
        <v>19</v>
      </c>
      <c r="G257" s="175" t="b">
        <v>0</v>
      </c>
      <c r="H257" s="175" t="b">
        <v>0</v>
      </c>
      <c r="I257" s="175" t="b">
        <v>0</v>
      </c>
      <c r="K257" s="175">
        <v>19</v>
      </c>
      <c r="L257" s="175">
        <v>1</v>
      </c>
      <c r="M257" s="175">
        <v>1</v>
      </c>
      <c r="N257" s="175">
        <v>1</v>
      </c>
    </row>
    <row r="258" spans="1:14" x14ac:dyDescent="0.2">
      <c r="A258" s="174">
        <f t="shared" si="2"/>
        <v>0</v>
      </c>
      <c r="C258" s="174">
        <f t="shared" si="1"/>
        <v>1</v>
      </c>
      <c r="F258" s="175">
        <v>20</v>
      </c>
      <c r="G258" s="175" t="b">
        <v>0</v>
      </c>
      <c r="H258" s="175" t="b">
        <v>0</v>
      </c>
      <c r="I258" s="175" t="b">
        <v>0</v>
      </c>
      <c r="K258" s="175">
        <v>20</v>
      </c>
      <c r="L258" s="175">
        <v>1</v>
      </c>
      <c r="M258" s="175">
        <v>1</v>
      </c>
      <c r="N258" s="175">
        <v>1</v>
      </c>
    </row>
    <row r="259" spans="1:14" x14ac:dyDescent="0.2">
      <c r="A259" s="174">
        <f t="shared" si="2"/>
        <v>0</v>
      </c>
      <c r="C259" s="174">
        <f t="shared" si="1"/>
        <v>1</v>
      </c>
      <c r="F259" s="175">
        <v>21</v>
      </c>
      <c r="G259" s="175" t="b">
        <v>0</v>
      </c>
      <c r="H259" s="175" t="b">
        <v>0</v>
      </c>
      <c r="I259" s="175" t="b">
        <v>0</v>
      </c>
      <c r="K259" s="175">
        <v>21</v>
      </c>
      <c r="L259" s="175">
        <v>1</v>
      </c>
      <c r="M259" s="175">
        <v>1</v>
      </c>
      <c r="N259" s="175">
        <v>1</v>
      </c>
    </row>
    <row r="260" spans="1:14" x14ac:dyDescent="0.2">
      <c r="A260" s="174">
        <f t="shared" si="2"/>
        <v>0</v>
      </c>
      <c r="C260" s="174">
        <f t="shared" si="1"/>
        <v>1</v>
      </c>
      <c r="F260" s="175">
        <v>22</v>
      </c>
      <c r="G260" s="175" t="b">
        <v>0</v>
      </c>
      <c r="H260" s="175" t="b">
        <v>0</v>
      </c>
      <c r="I260" s="175" t="b">
        <v>0</v>
      </c>
      <c r="K260" s="175">
        <v>22</v>
      </c>
      <c r="L260" s="175">
        <v>1</v>
      </c>
      <c r="M260" s="175">
        <v>1</v>
      </c>
      <c r="N260" s="175">
        <v>1</v>
      </c>
    </row>
    <row r="261" spans="1:14" x14ac:dyDescent="0.2">
      <c r="A261" s="174">
        <f t="shared" si="2"/>
        <v>0</v>
      </c>
      <c r="C261" s="174">
        <f t="shared" si="1"/>
        <v>1</v>
      </c>
      <c r="F261" s="175">
        <v>23</v>
      </c>
      <c r="G261" s="175" t="b">
        <v>0</v>
      </c>
      <c r="H261" s="175" t="b">
        <v>0</v>
      </c>
      <c r="I261" s="175" t="b">
        <v>0</v>
      </c>
      <c r="K261" s="175">
        <v>23</v>
      </c>
      <c r="L261" s="175">
        <v>1</v>
      </c>
      <c r="M261" s="175">
        <v>1</v>
      </c>
      <c r="N261" s="175">
        <v>1</v>
      </c>
    </row>
    <row r="262" spans="1:14" x14ac:dyDescent="0.2">
      <c r="A262" s="174">
        <f t="shared" si="2"/>
        <v>0</v>
      </c>
      <c r="C262" s="174">
        <f t="shared" si="1"/>
        <v>1</v>
      </c>
      <c r="F262" s="175">
        <v>24</v>
      </c>
      <c r="G262" s="175" t="b">
        <v>0</v>
      </c>
      <c r="H262" s="175" t="b">
        <v>0</v>
      </c>
      <c r="I262" s="175" t="b">
        <v>0</v>
      </c>
      <c r="K262" s="175">
        <v>24</v>
      </c>
      <c r="L262" s="175">
        <v>1</v>
      </c>
      <c r="M262" s="175">
        <v>1</v>
      </c>
      <c r="N262" s="175">
        <v>1</v>
      </c>
    </row>
    <row r="263" spans="1:14" x14ac:dyDescent="0.2">
      <c r="A263" s="174">
        <f t="shared" si="2"/>
        <v>0</v>
      </c>
      <c r="C263" s="174">
        <f t="shared" si="1"/>
        <v>1</v>
      </c>
      <c r="F263" s="175">
        <v>25</v>
      </c>
      <c r="G263" s="175" t="b">
        <v>0</v>
      </c>
      <c r="H263" s="175" t="b">
        <v>0</v>
      </c>
      <c r="I263" s="175" t="b">
        <v>0</v>
      </c>
      <c r="K263" s="175">
        <v>25</v>
      </c>
      <c r="L263" s="175">
        <v>1</v>
      </c>
      <c r="M263" s="175">
        <v>1</v>
      </c>
      <c r="N263" s="175">
        <v>1</v>
      </c>
    </row>
    <row r="264" spans="1:14" x14ac:dyDescent="0.2">
      <c r="A264" s="174">
        <f t="shared" si="2"/>
        <v>0</v>
      </c>
      <c r="C264" s="174">
        <f t="shared" si="1"/>
        <v>1</v>
      </c>
      <c r="F264" s="175">
        <v>26</v>
      </c>
      <c r="G264" s="175" t="b">
        <v>0</v>
      </c>
      <c r="H264" s="175" t="b">
        <v>0</v>
      </c>
      <c r="I264" s="175" t="b">
        <v>0</v>
      </c>
      <c r="K264" s="175">
        <v>26</v>
      </c>
      <c r="L264" s="175">
        <v>1</v>
      </c>
      <c r="M264" s="175">
        <v>1</v>
      </c>
      <c r="N264" s="175">
        <v>1</v>
      </c>
    </row>
    <row r="265" spans="1:14" x14ac:dyDescent="0.2">
      <c r="A265" s="174">
        <f t="shared" si="2"/>
        <v>0</v>
      </c>
      <c r="C265" s="174">
        <f t="shared" si="1"/>
        <v>1</v>
      </c>
      <c r="F265" s="175">
        <v>27</v>
      </c>
      <c r="G265" s="175" t="b">
        <v>0</v>
      </c>
      <c r="H265" s="175" t="b">
        <v>0</v>
      </c>
      <c r="I265" s="175" t="b">
        <v>0</v>
      </c>
      <c r="K265" s="175">
        <v>27</v>
      </c>
      <c r="L265" s="175">
        <v>1</v>
      </c>
      <c r="M265" s="175">
        <v>1</v>
      </c>
      <c r="N265" s="175">
        <v>1</v>
      </c>
    </row>
    <row r="266" spans="1:14" x14ac:dyDescent="0.2">
      <c r="A266" s="174">
        <f t="shared" si="2"/>
        <v>0</v>
      </c>
      <c r="C266" s="174">
        <f t="shared" si="1"/>
        <v>1</v>
      </c>
      <c r="F266" s="175">
        <v>28</v>
      </c>
      <c r="G266" s="175" t="b">
        <v>0</v>
      </c>
      <c r="H266" s="175" t="b">
        <v>0</v>
      </c>
      <c r="I266" s="175" t="b">
        <v>0</v>
      </c>
      <c r="K266" s="175">
        <v>28</v>
      </c>
      <c r="L266" s="175">
        <v>1</v>
      </c>
      <c r="M266" s="175">
        <v>1</v>
      </c>
      <c r="N266" s="175">
        <v>1</v>
      </c>
    </row>
    <row r="267" spans="1:14" x14ac:dyDescent="0.2">
      <c r="A267" s="174">
        <f t="shared" si="2"/>
        <v>0</v>
      </c>
      <c r="C267" s="174">
        <f t="shared" si="1"/>
        <v>1</v>
      </c>
      <c r="F267" s="175">
        <v>29</v>
      </c>
      <c r="G267" s="175" t="b">
        <v>0</v>
      </c>
      <c r="H267" s="175" t="b">
        <v>0</v>
      </c>
      <c r="I267" s="175" t="b">
        <v>0</v>
      </c>
      <c r="K267" s="175">
        <v>29</v>
      </c>
      <c r="L267" s="175">
        <v>1</v>
      </c>
      <c r="M267" s="175">
        <v>1</v>
      </c>
      <c r="N267" s="175">
        <v>1</v>
      </c>
    </row>
    <row r="268" spans="1:14" x14ac:dyDescent="0.2">
      <c r="A268" s="174">
        <f t="shared" si="2"/>
        <v>0</v>
      </c>
      <c r="C268" s="174">
        <f t="shared" si="1"/>
        <v>1</v>
      </c>
      <c r="F268" s="175">
        <v>30</v>
      </c>
      <c r="G268" s="175" t="b">
        <v>0</v>
      </c>
      <c r="H268" s="175" t="b">
        <v>0</v>
      </c>
      <c r="I268" s="175" t="b">
        <v>0</v>
      </c>
      <c r="K268" s="175">
        <v>30</v>
      </c>
      <c r="L268" s="175">
        <v>1</v>
      </c>
      <c r="M268" s="175">
        <v>1</v>
      </c>
      <c r="N268" s="175">
        <v>1</v>
      </c>
    </row>
    <row r="269" spans="1:14" x14ac:dyDescent="0.2">
      <c r="A269" s="174">
        <f t="shared" si="2"/>
        <v>0</v>
      </c>
      <c r="C269" s="174">
        <f t="shared" si="1"/>
        <v>1</v>
      </c>
      <c r="F269" s="175">
        <v>31</v>
      </c>
      <c r="G269" s="175" t="b">
        <v>0</v>
      </c>
      <c r="H269" s="175" t="b">
        <v>0</v>
      </c>
      <c r="I269" s="175" t="b">
        <v>0</v>
      </c>
      <c r="K269" s="175">
        <v>31</v>
      </c>
      <c r="L269" s="175">
        <v>1</v>
      </c>
      <c r="M269" s="175">
        <v>1</v>
      </c>
      <c r="N269" s="175">
        <v>1</v>
      </c>
    </row>
    <row r="270" spans="1:14" x14ac:dyDescent="0.2">
      <c r="A270" s="174">
        <f t="shared" si="2"/>
        <v>0</v>
      </c>
      <c r="C270" s="174">
        <f t="shared" si="1"/>
        <v>1</v>
      </c>
      <c r="F270" s="175">
        <v>32</v>
      </c>
      <c r="G270" s="175" t="b">
        <v>0</v>
      </c>
      <c r="H270" s="175" t="b">
        <v>0</v>
      </c>
      <c r="I270" s="175" t="b">
        <v>0</v>
      </c>
      <c r="K270" s="175">
        <v>32</v>
      </c>
      <c r="L270" s="175">
        <v>1</v>
      </c>
      <c r="M270" s="175">
        <v>1</v>
      </c>
      <c r="N270" s="175">
        <v>1</v>
      </c>
    </row>
    <row r="271" spans="1:14" x14ac:dyDescent="0.2">
      <c r="A271" s="174">
        <f t="shared" si="2"/>
        <v>0</v>
      </c>
      <c r="C271" s="174">
        <f t="shared" si="1"/>
        <v>1</v>
      </c>
      <c r="F271" s="175">
        <v>33</v>
      </c>
      <c r="G271" s="175" t="b">
        <v>0</v>
      </c>
      <c r="H271" s="175" t="b">
        <v>0</v>
      </c>
      <c r="I271" s="175" t="b">
        <v>0</v>
      </c>
      <c r="K271" s="175">
        <v>33</v>
      </c>
      <c r="L271" s="175">
        <v>1</v>
      </c>
      <c r="M271" s="175">
        <v>1</v>
      </c>
      <c r="N271" s="175">
        <v>1</v>
      </c>
    </row>
    <row r="272" spans="1:14" x14ac:dyDescent="0.2">
      <c r="A272" s="174">
        <f t="shared" si="2"/>
        <v>0</v>
      </c>
      <c r="C272" s="174">
        <f t="shared" si="1"/>
        <v>1</v>
      </c>
      <c r="F272" s="175">
        <v>34</v>
      </c>
      <c r="G272" s="175" t="b">
        <v>0</v>
      </c>
      <c r="H272" s="175" t="b">
        <v>0</v>
      </c>
      <c r="I272" s="175" t="b">
        <v>0</v>
      </c>
      <c r="K272" s="175">
        <v>34</v>
      </c>
      <c r="L272" s="175">
        <v>1</v>
      </c>
      <c r="M272" s="175">
        <v>1</v>
      </c>
      <c r="N272" s="175">
        <v>1</v>
      </c>
    </row>
    <row r="273" spans="1:14" x14ac:dyDescent="0.2">
      <c r="A273" s="174">
        <f t="shared" si="2"/>
        <v>0</v>
      </c>
      <c r="C273" s="174">
        <f t="shared" si="1"/>
        <v>1</v>
      </c>
      <c r="F273" s="175">
        <v>35</v>
      </c>
      <c r="G273" s="175" t="b">
        <v>0</v>
      </c>
      <c r="H273" s="175" t="b">
        <v>0</v>
      </c>
      <c r="I273" s="175" t="b">
        <v>0</v>
      </c>
      <c r="K273" s="175">
        <v>35</v>
      </c>
      <c r="L273" s="175">
        <v>1</v>
      </c>
      <c r="M273" s="175">
        <v>1</v>
      </c>
      <c r="N273" s="175">
        <v>1</v>
      </c>
    </row>
    <row r="274" spans="1:14" x14ac:dyDescent="0.2">
      <c r="A274" s="174">
        <f t="shared" si="2"/>
        <v>0</v>
      </c>
      <c r="C274" s="174">
        <f t="shared" si="1"/>
        <v>1</v>
      </c>
      <c r="F274" s="175">
        <v>36</v>
      </c>
      <c r="G274" s="175" t="b">
        <v>0</v>
      </c>
      <c r="H274" s="175" t="b">
        <v>0</v>
      </c>
      <c r="I274" s="175" t="b">
        <v>0</v>
      </c>
      <c r="K274" s="175">
        <v>36</v>
      </c>
      <c r="L274" s="175">
        <v>1</v>
      </c>
      <c r="M274" s="175">
        <v>1</v>
      </c>
      <c r="N274" s="175">
        <v>1</v>
      </c>
    </row>
    <row r="275" spans="1:14" x14ac:dyDescent="0.2">
      <c r="A275" s="174">
        <f t="shared" si="2"/>
        <v>0</v>
      </c>
      <c r="C275" s="174">
        <f t="shared" si="1"/>
        <v>1</v>
      </c>
      <c r="F275" s="175">
        <v>37</v>
      </c>
      <c r="G275" s="175" t="b">
        <v>0</v>
      </c>
      <c r="H275" s="175" t="b">
        <v>0</v>
      </c>
      <c r="I275" s="175" t="b">
        <v>0</v>
      </c>
      <c r="K275" s="175">
        <v>37</v>
      </c>
      <c r="L275" s="175">
        <v>1</v>
      </c>
      <c r="M275" s="175">
        <v>1</v>
      </c>
      <c r="N275" s="175">
        <v>1</v>
      </c>
    </row>
    <row r="276" spans="1:14" x14ac:dyDescent="0.2">
      <c r="A276" s="174">
        <f t="shared" si="2"/>
        <v>0</v>
      </c>
      <c r="C276" s="174">
        <f t="shared" si="1"/>
        <v>1</v>
      </c>
      <c r="F276" s="175">
        <v>38</v>
      </c>
      <c r="G276" s="175" t="b">
        <v>0</v>
      </c>
      <c r="H276" s="175" t="b">
        <v>0</v>
      </c>
      <c r="I276" s="175" t="b">
        <v>0</v>
      </c>
      <c r="K276" s="175">
        <v>38</v>
      </c>
      <c r="L276" s="175">
        <v>1</v>
      </c>
      <c r="M276" s="175">
        <v>1</v>
      </c>
      <c r="N276" s="175">
        <v>1</v>
      </c>
    </row>
    <row r="277" spans="1:14" x14ac:dyDescent="0.2">
      <c r="A277" s="174">
        <f t="shared" si="2"/>
        <v>0</v>
      </c>
      <c r="C277" s="174">
        <f t="shared" si="1"/>
        <v>1</v>
      </c>
      <c r="F277" s="175">
        <v>39</v>
      </c>
      <c r="G277" s="175" t="b">
        <v>0</v>
      </c>
      <c r="H277" s="175" t="b">
        <v>0</v>
      </c>
      <c r="I277" s="175" t="b">
        <v>0</v>
      </c>
      <c r="K277" s="175">
        <v>39</v>
      </c>
      <c r="L277" s="175">
        <v>1</v>
      </c>
      <c r="M277" s="175">
        <v>1</v>
      </c>
      <c r="N277" s="175">
        <v>1</v>
      </c>
    </row>
    <row r="278" spans="1:14" x14ac:dyDescent="0.2">
      <c r="A278" s="174">
        <f t="shared" si="2"/>
        <v>0</v>
      </c>
      <c r="C278" s="174">
        <f t="shared" si="1"/>
        <v>1</v>
      </c>
      <c r="F278" s="175">
        <v>40</v>
      </c>
      <c r="G278" s="175" t="b">
        <v>0</v>
      </c>
      <c r="H278" s="175" t="b">
        <v>0</v>
      </c>
      <c r="I278" s="175" t="b">
        <v>0</v>
      </c>
      <c r="K278" s="175">
        <v>40</v>
      </c>
      <c r="L278" s="175">
        <v>1</v>
      </c>
      <c r="M278" s="175">
        <v>1</v>
      </c>
      <c r="N278" s="175">
        <v>1</v>
      </c>
    </row>
    <row r="279" spans="1:14" x14ac:dyDescent="0.2">
      <c r="A279" s="174">
        <f t="shared" si="2"/>
        <v>0</v>
      </c>
      <c r="C279" s="174">
        <f t="shared" si="1"/>
        <v>1</v>
      </c>
      <c r="F279" s="175">
        <v>41</v>
      </c>
      <c r="G279" s="175" t="b">
        <v>0</v>
      </c>
      <c r="H279" s="175" t="b">
        <v>0</v>
      </c>
      <c r="I279" s="175" t="b">
        <v>0</v>
      </c>
      <c r="K279" s="175">
        <v>41</v>
      </c>
      <c r="L279" s="175">
        <v>1</v>
      </c>
      <c r="M279" s="175">
        <v>1</v>
      </c>
      <c r="N279" s="175">
        <v>1</v>
      </c>
    </row>
    <row r="280" spans="1:14" x14ac:dyDescent="0.2">
      <c r="A280" s="174">
        <f t="shared" si="2"/>
        <v>0</v>
      </c>
      <c r="C280" s="174">
        <f t="shared" si="1"/>
        <v>1</v>
      </c>
      <c r="F280" s="175">
        <v>42</v>
      </c>
      <c r="G280" s="175" t="b">
        <v>0</v>
      </c>
      <c r="H280" s="175" t="b">
        <v>0</v>
      </c>
      <c r="I280" s="175" t="b">
        <v>0</v>
      </c>
      <c r="K280" s="175">
        <v>42</v>
      </c>
      <c r="L280" s="175">
        <v>1</v>
      </c>
      <c r="M280" s="175">
        <v>1</v>
      </c>
      <c r="N280" s="175">
        <v>1</v>
      </c>
    </row>
    <row r="281" spans="1:14" x14ac:dyDescent="0.2">
      <c r="A281" s="174">
        <f t="shared" si="2"/>
        <v>0</v>
      </c>
      <c r="C281" s="174">
        <f t="shared" si="1"/>
        <v>1</v>
      </c>
      <c r="F281" s="175">
        <v>43</v>
      </c>
      <c r="G281" s="175" t="b">
        <v>0</v>
      </c>
      <c r="H281" s="175" t="b">
        <v>0</v>
      </c>
      <c r="I281" s="175" t="b">
        <v>0</v>
      </c>
      <c r="K281" s="175">
        <v>43</v>
      </c>
      <c r="L281" s="175">
        <v>1</v>
      </c>
      <c r="M281" s="175">
        <v>1</v>
      </c>
      <c r="N281" s="175">
        <v>1</v>
      </c>
    </row>
    <row r="282" spans="1:14" x14ac:dyDescent="0.2">
      <c r="A282" s="174">
        <f t="shared" si="2"/>
        <v>0</v>
      </c>
      <c r="C282" s="174">
        <f t="shared" si="1"/>
        <v>1</v>
      </c>
      <c r="F282" s="175">
        <v>44</v>
      </c>
      <c r="G282" s="175" t="b">
        <v>0</v>
      </c>
      <c r="H282" s="175" t="b">
        <v>0</v>
      </c>
      <c r="I282" s="175" t="b">
        <v>0</v>
      </c>
      <c r="K282" s="175">
        <v>44</v>
      </c>
      <c r="L282" s="175">
        <v>1</v>
      </c>
      <c r="M282" s="175">
        <v>1</v>
      </c>
      <c r="N282" s="175">
        <v>1</v>
      </c>
    </row>
    <row r="283" spans="1:14" x14ac:dyDescent="0.2">
      <c r="A283" s="174">
        <f t="shared" si="2"/>
        <v>0</v>
      </c>
      <c r="C283" s="174">
        <f t="shared" si="1"/>
        <v>1</v>
      </c>
      <c r="F283" s="175">
        <v>45</v>
      </c>
      <c r="G283" s="175" t="b">
        <v>0</v>
      </c>
      <c r="H283" s="175" t="b">
        <v>0</v>
      </c>
      <c r="I283" s="175" t="b">
        <v>0</v>
      </c>
      <c r="K283" s="175">
        <v>45</v>
      </c>
      <c r="L283" s="175">
        <v>1</v>
      </c>
      <c r="M283" s="175">
        <v>1</v>
      </c>
      <c r="N283" s="175">
        <v>1</v>
      </c>
    </row>
    <row r="284" spans="1:14" x14ac:dyDescent="0.2">
      <c r="A284" s="174">
        <f t="shared" si="2"/>
        <v>0</v>
      </c>
      <c r="C284" s="174">
        <f t="shared" si="1"/>
        <v>1</v>
      </c>
      <c r="F284" s="175">
        <v>46</v>
      </c>
      <c r="G284" s="175" t="b">
        <v>0</v>
      </c>
      <c r="H284" s="175" t="b">
        <v>0</v>
      </c>
      <c r="I284" s="175" t="b">
        <v>0</v>
      </c>
      <c r="K284" s="175">
        <v>46</v>
      </c>
      <c r="L284" s="175">
        <v>1</v>
      </c>
      <c r="M284" s="175">
        <v>1</v>
      </c>
      <c r="N284" s="175">
        <v>1</v>
      </c>
    </row>
    <row r="285" spans="1:14" x14ac:dyDescent="0.2">
      <c r="A285" s="174">
        <f t="shared" si="2"/>
        <v>0</v>
      </c>
      <c r="C285" s="174">
        <f t="shared" si="1"/>
        <v>1</v>
      </c>
      <c r="F285" s="175">
        <v>47</v>
      </c>
      <c r="G285" s="175" t="b">
        <v>0</v>
      </c>
      <c r="H285" s="175" t="b">
        <v>0</v>
      </c>
      <c r="I285" s="175" t="b">
        <v>0</v>
      </c>
      <c r="K285" s="175">
        <v>47</v>
      </c>
      <c r="L285" s="175">
        <v>1</v>
      </c>
      <c r="M285" s="175">
        <v>1</v>
      </c>
      <c r="N285" s="175">
        <v>1</v>
      </c>
    </row>
    <row r="286" spans="1:14" x14ac:dyDescent="0.2">
      <c r="A286" s="174">
        <f t="shared" si="2"/>
        <v>0</v>
      </c>
      <c r="C286" s="174">
        <f t="shared" si="1"/>
        <v>1</v>
      </c>
      <c r="F286" s="175">
        <v>48</v>
      </c>
      <c r="G286" s="175" t="b">
        <v>0</v>
      </c>
      <c r="H286" s="175" t="b">
        <v>0</v>
      </c>
      <c r="I286" s="175" t="b">
        <v>0</v>
      </c>
      <c r="K286" s="175">
        <v>48</v>
      </c>
      <c r="L286" s="175">
        <v>1</v>
      </c>
      <c r="M286" s="175">
        <v>1</v>
      </c>
      <c r="N286" s="175">
        <v>1</v>
      </c>
    </row>
    <row r="287" spans="1:14" x14ac:dyDescent="0.2">
      <c r="A287" s="174">
        <f t="shared" si="2"/>
        <v>0</v>
      </c>
      <c r="C287" s="174">
        <f t="shared" si="1"/>
        <v>1</v>
      </c>
      <c r="F287" s="175">
        <v>49</v>
      </c>
      <c r="G287" s="175" t="b">
        <v>0</v>
      </c>
      <c r="H287" s="175" t="b">
        <v>0</v>
      </c>
      <c r="I287" s="175" t="b">
        <v>0</v>
      </c>
      <c r="K287" s="175">
        <v>49</v>
      </c>
      <c r="L287" s="175">
        <v>1</v>
      </c>
      <c r="M287" s="175">
        <v>1</v>
      </c>
      <c r="N287" s="175">
        <v>1</v>
      </c>
    </row>
    <row r="288" spans="1:14" x14ac:dyDescent="0.2">
      <c r="A288" s="174">
        <f t="shared" si="2"/>
        <v>0</v>
      </c>
      <c r="C288" s="174">
        <f t="shared" si="1"/>
        <v>1</v>
      </c>
      <c r="F288" s="175">
        <v>50</v>
      </c>
      <c r="G288" s="175" t="b">
        <v>0</v>
      </c>
      <c r="H288" s="175" t="b">
        <v>0</v>
      </c>
      <c r="I288" s="175" t="b">
        <v>0</v>
      </c>
      <c r="K288" s="175">
        <v>50</v>
      </c>
      <c r="L288" s="175">
        <v>1</v>
      </c>
      <c r="M288" s="175">
        <v>1</v>
      </c>
      <c r="N288" s="175">
        <v>1</v>
      </c>
    </row>
    <row r="289" spans="1:14" x14ac:dyDescent="0.2">
      <c r="A289" s="174">
        <f t="shared" si="2"/>
        <v>0</v>
      </c>
      <c r="C289" s="174">
        <f t="shared" si="1"/>
        <v>1</v>
      </c>
      <c r="F289" s="175">
        <v>51</v>
      </c>
      <c r="G289" s="175" t="b">
        <v>0</v>
      </c>
      <c r="H289" s="175" t="b">
        <v>0</v>
      </c>
      <c r="I289" s="175" t="b">
        <v>0</v>
      </c>
      <c r="K289" s="175">
        <v>51</v>
      </c>
      <c r="L289" s="175">
        <v>1</v>
      </c>
      <c r="M289" s="175">
        <v>1</v>
      </c>
      <c r="N289" s="175">
        <v>1</v>
      </c>
    </row>
    <row r="290" spans="1:14" x14ac:dyDescent="0.2">
      <c r="A290" s="174">
        <f t="shared" si="2"/>
        <v>0</v>
      </c>
      <c r="C290" s="174">
        <f t="shared" si="1"/>
        <v>1</v>
      </c>
      <c r="F290" s="175">
        <v>52</v>
      </c>
      <c r="G290" s="175" t="b">
        <v>0</v>
      </c>
      <c r="H290" s="175" t="b">
        <v>0</v>
      </c>
      <c r="I290" s="175" t="b">
        <v>0</v>
      </c>
      <c r="K290" s="175">
        <v>52</v>
      </c>
      <c r="L290" s="175">
        <v>1</v>
      </c>
      <c r="M290" s="175">
        <v>1</v>
      </c>
      <c r="N290" s="175">
        <v>1</v>
      </c>
    </row>
    <row r="291" spans="1:14" x14ac:dyDescent="0.2">
      <c r="A291" s="174">
        <f t="shared" si="2"/>
        <v>0</v>
      </c>
      <c r="C291" s="174">
        <f t="shared" si="1"/>
        <v>1</v>
      </c>
      <c r="F291" s="175">
        <v>53</v>
      </c>
      <c r="G291" s="175" t="b">
        <v>0</v>
      </c>
      <c r="H291" s="175" t="b">
        <v>0</v>
      </c>
      <c r="I291" s="175" t="b">
        <v>0</v>
      </c>
      <c r="K291" s="175">
        <v>53</v>
      </c>
      <c r="L291" s="175">
        <v>1</v>
      </c>
      <c r="M291" s="175">
        <v>1</v>
      </c>
      <c r="N291" s="175">
        <v>1</v>
      </c>
    </row>
    <row r="292" spans="1:14" x14ac:dyDescent="0.2">
      <c r="A292" s="174">
        <f t="shared" si="2"/>
        <v>0</v>
      </c>
      <c r="C292" s="174">
        <f t="shared" si="1"/>
        <v>1</v>
      </c>
      <c r="F292" s="175">
        <v>54</v>
      </c>
      <c r="G292" s="175" t="b">
        <v>0</v>
      </c>
      <c r="H292" s="175" t="b">
        <v>0</v>
      </c>
      <c r="I292" s="175" t="b">
        <v>0</v>
      </c>
      <c r="K292" s="175">
        <v>54</v>
      </c>
      <c r="L292" s="175">
        <v>1</v>
      </c>
      <c r="M292" s="175">
        <v>1</v>
      </c>
      <c r="N292" s="175">
        <v>1</v>
      </c>
    </row>
    <row r="293" spans="1:14" x14ac:dyDescent="0.2">
      <c r="A293" s="174">
        <f t="shared" si="2"/>
        <v>0</v>
      </c>
      <c r="C293" s="174">
        <f t="shared" si="1"/>
        <v>1</v>
      </c>
      <c r="F293" s="175">
        <v>55</v>
      </c>
      <c r="G293" s="175" t="b">
        <v>0</v>
      </c>
      <c r="H293" s="175" t="b">
        <v>0</v>
      </c>
      <c r="I293" s="175" t="b">
        <v>0</v>
      </c>
      <c r="K293" s="175">
        <v>55</v>
      </c>
      <c r="L293" s="175">
        <v>1</v>
      </c>
      <c r="M293" s="175">
        <v>1</v>
      </c>
      <c r="N293" s="175">
        <v>1</v>
      </c>
    </row>
    <row r="294" spans="1:14" x14ac:dyDescent="0.2">
      <c r="A294" s="174">
        <f t="shared" si="2"/>
        <v>0</v>
      </c>
      <c r="C294" s="174">
        <f t="shared" si="1"/>
        <v>1</v>
      </c>
      <c r="F294" s="175">
        <v>56</v>
      </c>
      <c r="G294" s="175" t="b">
        <v>0</v>
      </c>
      <c r="H294" s="175" t="b">
        <v>0</v>
      </c>
      <c r="I294" s="175" t="b">
        <v>0</v>
      </c>
      <c r="K294" s="175">
        <v>56</v>
      </c>
      <c r="L294" s="175">
        <v>1</v>
      </c>
      <c r="M294" s="175">
        <v>1</v>
      </c>
      <c r="N294" s="175">
        <v>1</v>
      </c>
    </row>
    <row r="295" spans="1:14" x14ac:dyDescent="0.2">
      <c r="A295" s="174">
        <f t="shared" si="2"/>
        <v>0</v>
      </c>
      <c r="C295" s="174">
        <f t="shared" si="1"/>
        <v>1</v>
      </c>
      <c r="F295" s="175">
        <v>57</v>
      </c>
      <c r="G295" s="175" t="b">
        <v>0</v>
      </c>
      <c r="H295" s="175" t="b">
        <v>0</v>
      </c>
      <c r="I295" s="175" t="b">
        <v>0</v>
      </c>
      <c r="K295" s="175">
        <v>57</v>
      </c>
      <c r="L295" s="175">
        <v>1</v>
      </c>
      <c r="M295" s="175">
        <v>1</v>
      </c>
      <c r="N295" s="175">
        <v>1</v>
      </c>
    </row>
    <row r="296" spans="1:14" x14ac:dyDescent="0.2">
      <c r="A296" s="174">
        <f t="shared" si="2"/>
        <v>0</v>
      </c>
      <c r="C296" s="174">
        <f t="shared" si="1"/>
        <v>1</v>
      </c>
      <c r="F296" s="175">
        <v>58</v>
      </c>
      <c r="G296" s="175" t="b">
        <v>0</v>
      </c>
      <c r="H296" s="175" t="b">
        <v>0</v>
      </c>
      <c r="I296" s="175" t="b">
        <v>0</v>
      </c>
      <c r="K296" s="175">
        <v>58</v>
      </c>
      <c r="L296" s="175">
        <v>1</v>
      </c>
      <c r="M296" s="175">
        <v>1</v>
      </c>
      <c r="N296" s="175">
        <v>1</v>
      </c>
    </row>
    <row r="297" spans="1:14" x14ac:dyDescent="0.2">
      <c r="A297" s="174">
        <f t="shared" si="2"/>
        <v>0</v>
      </c>
      <c r="C297" s="174">
        <f t="shared" si="1"/>
        <v>1</v>
      </c>
      <c r="F297" s="175">
        <v>59</v>
      </c>
      <c r="G297" s="175" t="b">
        <v>0</v>
      </c>
      <c r="H297" s="175" t="b">
        <v>0</v>
      </c>
      <c r="I297" s="175" t="b">
        <v>0</v>
      </c>
      <c r="K297" s="175">
        <v>59</v>
      </c>
      <c r="L297" s="175">
        <v>1</v>
      </c>
      <c r="M297" s="175">
        <v>1</v>
      </c>
      <c r="N297" s="175">
        <v>1</v>
      </c>
    </row>
    <row r="298" spans="1:14" x14ac:dyDescent="0.2">
      <c r="A298" s="174">
        <f t="shared" si="2"/>
        <v>0</v>
      </c>
      <c r="C298" s="174">
        <f t="shared" si="1"/>
        <v>1</v>
      </c>
      <c r="F298" s="175">
        <v>60</v>
      </c>
      <c r="G298" s="175" t="b">
        <v>0</v>
      </c>
      <c r="H298" s="175" t="b">
        <v>0</v>
      </c>
      <c r="I298" s="175" t="b">
        <v>0</v>
      </c>
      <c r="K298" s="175">
        <v>60</v>
      </c>
      <c r="L298" s="175">
        <v>1</v>
      </c>
      <c r="M298" s="175">
        <v>1</v>
      </c>
      <c r="N298" s="175">
        <v>1</v>
      </c>
    </row>
    <row r="299" spans="1:14" x14ac:dyDescent="0.2">
      <c r="A299" s="174">
        <f t="shared" si="2"/>
        <v>0</v>
      </c>
      <c r="C299" s="174">
        <f t="shared" si="1"/>
        <v>1</v>
      </c>
      <c r="F299" s="175">
        <v>61</v>
      </c>
      <c r="G299" s="175" t="b">
        <v>0</v>
      </c>
      <c r="H299" s="175" t="b">
        <v>0</v>
      </c>
      <c r="I299" s="175" t="b">
        <v>0</v>
      </c>
      <c r="K299" s="175">
        <v>61</v>
      </c>
      <c r="L299" s="175">
        <v>1</v>
      </c>
      <c r="M299" s="175">
        <v>1</v>
      </c>
      <c r="N299" s="175">
        <v>1</v>
      </c>
    </row>
    <row r="300" spans="1:14" x14ac:dyDescent="0.2">
      <c r="A300" s="174">
        <f t="shared" si="2"/>
        <v>0</v>
      </c>
      <c r="C300" s="174">
        <f t="shared" si="1"/>
        <v>1</v>
      </c>
      <c r="F300" s="175">
        <v>62</v>
      </c>
      <c r="G300" s="175" t="b">
        <v>0</v>
      </c>
      <c r="H300" s="175" t="b">
        <v>0</v>
      </c>
      <c r="I300" s="175" t="b">
        <v>0</v>
      </c>
      <c r="K300" s="175">
        <v>62</v>
      </c>
      <c r="L300" s="175">
        <v>1</v>
      </c>
      <c r="M300" s="175">
        <v>1</v>
      </c>
      <c r="N300" s="175">
        <v>1</v>
      </c>
    </row>
    <row r="301" spans="1:14" x14ac:dyDescent="0.2">
      <c r="A301" s="174">
        <f t="shared" si="2"/>
        <v>0</v>
      </c>
      <c r="C301" s="174">
        <f t="shared" si="1"/>
        <v>1</v>
      </c>
      <c r="F301" s="175">
        <v>63</v>
      </c>
      <c r="G301" s="175" t="b">
        <v>0</v>
      </c>
      <c r="H301" s="175" t="b">
        <v>0</v>
      </c>
      <c r="I301" s="175" t="b">
        <v>0</v>
      </c>
      <c r="K301" s="175">
        <v>63</v>
      </c>
      <c r="L301" s="175">
        <v>1</v>
      </c>
      <c r="M301" s="175">
        <v>1</v>
      </c>
      <c r="N301" s="175">
        <v>1</v>
      </c>
    </row>
    <row r="302" spans="1:14" x14ac:dyDescent="0.2">
      <c r="A302" s="174">
        <f t="shared" si="2"/>
        <v>0</v>
      </c>
      <c r="C302" s="174">
        <f t="shared" si="1"/>
        <v>1</v>
      </c>
      <c r="F302" s="175">
        <v>64</v>
      </c>
      <c r="G302" s="175" t="b">
        <v>0</v>
      </c>
      <c r="H302" s="175" t="b">
        <v>0</v>
      </c>
      <c r="I302" s="175" t="b">
        <v>0</v>
      </c>
      <c r="K302" s="175">
        <v>64</v>
      </c>
      <c r="L302" s="175">
        <v>1</v>
      </c>
      <c r="M302" s="175">
        <v>1</v>
      </c>
      <c r="N302" s="175">
        <v>1</v>
      </c>
    </row>
    <row r="303" spans="1:14" x14ac:dyDescent="0.2">
      <c r="A303" s="174">
        <f t="shared" si="2"/>
        <v>0</v>
      </c>
      <c r="C303" s="174">
        <f t="shared" si="1"/>
        <v>1</v>
      </c>
      <c r="F303" s="175">
        <v>65</v>
      </c>
      <c r="G303" s="175" t="b">
        <v>0</v>
      </c>
      <c r="H303" s="175" t="b">
        <v>0</v>
      </c>
      <c r="I303" s="175" t="b">
        <v>0</v>
      </c>
      <c r="K303" s="175">
        <v>65</v>
      </c>
      <c r="L303" s="175">
        <v>1</v>
      </c>
      <c r="M303" s="175">
        <v>1</v>
      </c>
      <c r="N303" s="175">
        <v>1</v>
      </c>
    </row>
    <row r="304" spans="1:14" x14ac:dyDescent="0.2">
      <c r="A304" s="174">
        <f t="shared" si="2"/>
        <v>0</v>
      </c>
      <c r="C304" s="174">
        <f t="shared" si="1"/>
        <v>1</v>
      </c>
      <c r="F304" s="175">
        <v>66</v>
      </c>
      <c r="G304" s="175" t="b">
        <v>0</v>
      </c>
      <c r="H304" s="175" t="b">
        <v>0</v>
      </c>
      <c r="I304" s="175" t="b">
        <v>0</v>
      </c>
      <c r="K304" s="175">
        <v>66</v>
      </c>
      <c r="L304" s="175">
        <v>1</v>
      </c>
      <c r="M304" s="175">
        <v>1</v>
      </c>
      <c r="N304" s="175">
        <v>1</v>
      </c>
    </row>
    <row r="305" spans="1:14" x14ac:dyDescent="0.2">
      <c r="A305" s="174">
        <f t="shared" si="2"/>
        <v>0</v>
      </c>
      <c r="C305" s="174">
        <f t="shared" si="1"/>
        <v>1</v>
      </c>
      <c r="F305" s="175">
        <v>67</v>
      </c>
      <c r="G305" s="175" t="b">
        <v>0</v>
      </c>
      <c r="H305" s="175" t="b">
        <v>0</v>
      </c>
      <c r="I305" s="175" t="b">
        <v>0</v>
      </c>
      <c r="K305" s="175">
        <v>67</v>
      </c>
      <c r="L305" s="175">
        <v>1</v>
      </c>
      <c r="M305" s="175">
        <v>1</v>
      </c>
      <c r="N305" s="175">
        <v>1</v>
      </c>
    </row>
    <row r="306" spans="1:14" x14ac:dyDescent="0.2">
      <c r="A306" s="174">
        <f t="shared" si="2"/>
        <v>0</v>
      </c>
      <c r="C306" s="174">
        <f t="shared" ref="C306:C369" si="3">IF($T$41,L306,1)</f>
        <v>1</v>
      </c>
      <c r="F306" s="175">
        <v>68</v>
      </c>
      <c r="G306" s="175" t="b">
        <v>0</v>
      </c>
      <c r="H306" s="175" t="b">
        <v>0</v>
      </c>
      <c r="I306" s="175" t="b">
        <v>0</v>
      </c>
      <c r="K306" s="175">
        <v>68</v>
      </c>
      <c r="L306" s="175">
        <v>1</v>
      </c>
      <c r="M306" s="175">
        <v>1</v>
      </c>
      <c r="N306" s="175">
        <v>1</v>
      </c>
    </row>
    <row r="307" spans="1:14" x14ac:dyDescent="0.2">
      <c r="A307" s="174">
        <f t="shared" ref="A307:A370" si="4">IF(G307,1,0)</f>
        <v>0</v>
      </c>
      <c r="C307" s="174">
        <f t="shared" si="3"/>
        <v>1</v>
      </c>
      <c r="F307" s="175">
        <v>69</v>
      </c>
      <c r="G307" s="175" t="b">
        <v>0</v>
      </c>
      <c r="H307" s="175" t="b">
        <v>0</v>
      </c>
      <c r="I307" s="175" t="b">
        <v>0</v>
      </c>
      <c r="K307" s="175">
        <v>69</v>
      </c>
      <c r="L307" s="175">
        <v>1</v>
      </c>
      <c r="M307" s="175">
        <v>1</v>
      </c>
      <c r="N307" s="175">
        <v>1</v>
      </c>
    </row>
    <row r="308" spans="1:14" x14ac:dyDescent="0.2">
      <c r="A308" s="174">
        <f t="shared" si="4"/>
        <v>0</v>
      </c>
      <c r="C308" s="174">
        <f t="shared" si="3"/>
        <v>1</v>
      </c>
      <c r="F308" s="175">
        <v>70</v>
      </c>
      <c r="G308" s="175" t="b">
        <v>0</v>
      </c>
      <c r="H308" s="175" t="b">
        <v>0</v>
      </c>
      <c r="I308" s="175" t="b">
        <v>0</v>
      </c>
      <c r="K308" s="175">
        <v>70</v>
      </c>
      <c r="L308" s="175">
        <v>1</v>
      </c>
      <c r="M308" s="175">
        <v>1</v>
      </c>
      <c r="N308" s="175">
        <v>1</v>
      </c>
    </row>
    <row r="309" spans="1:14" x14ac:dyDescent="0.2">
      <c r="A309" s="174">
        <f t="shared" si="4"/>
        <v>0</v>
      </c>
      <c r="C309" s="174">
        <f t="shared" si="3"/>
        <v>1</v>
      </c>
      <c r="F309" s="175">
        <v>71</v>
      </c>
      <c r="G309" s="175" t="b">
        <v>0</v>
      </c>
      <c r="H309" s="175" t="b">
        <v>0</v>
      </c>
      <c r="I309" s="175" t="b">
        <v>0</v>
      </c>
      <c r="K309" s="175">
        <v>71</v>
      </c>
      <c r="L309" s="175">
        <v>1</v>
      </c>
      <c r="M309" s="175">
        <v>1</v>
      </c>
      <c r="N309" s="175">
        <v>1</v>
      </c>
    </row>
    <row r="310" spans="1:14" x14ac:dyDescent="0.2">
      <c r="A310" s="174">
        <f t="shared" si="4"/>
        <v>0</v>
      </c>
      <c r="C310" s="174">
        <f t="shared" si="3"/>
        <v>1</v>
      </c>
      <c r="F310" s="175">
        <v>72</v>
      </c>
      <c r="G310" s="175" t="b">
        <v>0</v>
      </c>
      <c r="H310" s="175" t="b">
        <v>0</v>
      </c>
      <c r="I310" s="175" t="b">
        <v>0</v>
      </c>
      <c r="K310" s="175">
        <v>72</v>
      </c>
      <c r="L310" s="175">
        <v>1</v>
      </c>
      <c r="M310" s="175">
        <v>1</v>
      </c>
      <c r="N310" s="175">
        <v>1</v>
      </c>
    </row>
    <row r="311" spans="1:14" x14ac:dyDescent="0.2">
      <c r="A311" s="174">
        <f t="shared" si="4"/>
        <v>0</v>
      </c>
      <c r="C311" s="174">
        <f t="shared" si="3"/>
        <v>1</v>
      </c>
      <c r="F311" s="175">
        <v>73</v>
      </c>
      <c r="G311" s="175" t="b">
        <v>0</v>
      </c>
      <c r="H311" s="175" t="b">
        <v>0</v>
      </c>
      <c r="I311" s="175" t="b">
        <v>0</v>
      </c>
      <c r="K311" s="175">
        <v>73</v>
      </c>
      <c r="L311" s="175">
        <v>1</v>
      </c>
      <c r="M311" s="175">
        <v>1</v>
      </c>
      <c r="N311" s="175">
        <v>1</v>
      </c>
    </row>
    <row r="312" spans="1:14" x14ac:dyDescent="0.2">
      <c r="A312" s="174">
        <f t="shared" si="4"/>
        <v>0</v>
      </c>
      <c r="C312" s="174">
        <f t="shared" si="3"/>
        <v>1</v>
      </c>
      <c r="F312" s="175">
        <v>74</v>
      </c>
      <c r="G312" s="175" t="b">
        <v>0</v>
      </c>
      <c r="H312" s="175" t="b">
        <v>0</v>
      </c>
      <c r="I312" s="175" t="b">
        <v>0</v>
      </c>
      <c r="K312" s="175">
        <v>74</v>
      </c>
      <c r="L312" s="175">
        <v>1</v>
      </c>
      <c r="M312" s="175">
        <v>1</v>
      </c>
      <c r="N312" s="175">
        <v>1</v>
      </c>
    </row>
    <row r="313" spans="1:14" x14ac:dyDescent="0.2">
      <c r="A313" s="174">
        <f t="shared" si="4"/>
        <v>0</v>
      </c>
      <c r="C313" s="174">
        <f t="shared" si="3"/>
        <v>1</v>
      </c>
      <c r="F313" s="175">
        <v>75</v>
      </c>
      <c r="G313" s="175" t="b">
        <v>0</v>
      </c>
      <c r="H313" s="175" t="b">
        <v>0</v>
      </c>
      <c r="I313" s="175" t="b">
        <v>0</v>
      </c>
      <c r="K313" s="175">
        <v>75</v>
      </c>
      <c r="L313" s="175">
        <v>1</v>
      </c>
      <c r="M313" s="175">
        <v>1</v>
      </c>
      <c r="N313" s="175">
        <v>1</v>
      </c>
    </row>
    <row r="314" spans="1:14" x14ac:dyDescent="0.2">
      <c r="A314" s="174">
        <f t="shared" si="4"/>
        <v>0</v>
      </c>
      <c r="C314" s="174">
        <f t="shared" si="3"/>
        <v>1</v>
      </c>
      <c r="F314" s="175">
        <v>76</v>
      </c>
      <c r="G314" s="175" t="b">
        <v>0</v>
      </c>
      <c r="H314" s="175" t="b">
        <v>0</v>
      </c>
      <c r="I314" s="175" t="b">
        <v>0</v>
      </c>
      <c r="K314" s="175">
        <v>76</v>
      </c>
      <c r="L314" s="175">
        <v>1</v>
      </c>
      <c r="M314" s="175">
        <v>1</v>
      </c>
      <c r="N314" s="175">
        <v>1</v>
      </c>
    </row>
    <row r="315" spans="1:14" x14ac:dyDescent="0.2">
      <c r="A315" s="174">
        <f t="shared" si="4"/>
        <v>0</v>
      </c>
      <c r="C315" s="174">
        <f t="shared" si="3"/>
        <v>1</v>
      </c>
      <c r="F315" s="175">
        <v>77</v>
      </c>
      <c r="G315" s="175" t="b">
        <v>0</v>
      </c>
      <c r="H315" s="175" t="b">
        <v>0</v>
      </c>
      <c r="I315" s="175" t="b">
        <v>0</v>
      </c>
      <c r="K315" s="175">
        <v>77</v>
      </c>
      <c r="L315" s="175">
        <v>1</v>
      </c>
      <c r="M315" s="175">
        <v>1</v>
      </c>
      <c r="N315" s="175">
        <v>1</v>
      </c>
    </row>
    <row r="316" spans="1:14" x14ac:dyDescent="0.2">
      <c r="A316" s="174">
        <f t="shared" si="4"/>
        <v>0</v>
      </c>
      <c r="C316" s="174">
        <f t="shared" si="3"/>
        <v>1</v>
      </c>
      <c r="F316" s="175">
        <v>78</v>
      </c>
      <c r="G316" s="175" t="b">
        <v>0</v>
      </c>
      <c r="H316" s="175" t="b">
        <v>0</v>
      </c>
      <c r="I316" s="175" t="b">
        <v>0</v>
      </c>
      <c r="K316" s="175">
        <v>78</v>
      </c>
      <c r="L316" s="175">
        <v>1</v>
      </c>
      <c r="M316" s="175">
        <v>1</v>
      </c>
      <c r="N316" s="175">
        <v>1</v>
      </c>
    </row>
    <row r="317" spans="1:14" x14ac:dyDescent="0.2">
      <c r="A317" s="174">
        <f t="shared" si="4"/>
        <v>0</v>
      </c>
      <c r="C317" s="174">
        <f t="shared" si="3"/>
        <v>1</v>
      </c>
      <c r="F317" s="175">
        <v>79</v>
      </c>
      <c r="G317" s="175" t="b">
        <v>0</v>
      </c>
      <c r="H317" s="175" t="b">
        <v>0</v>
      </c>
      <c r="I317" s="175" t="b">
        <v>0</v>
      </c>
      <c r="K317" s="175">
        <v>79</v>
      </c>
      <c r="L317" s="175">
        <v>1</v>
      </c>
      <c r="M317" s="175">
        <v>1</v>
      </c>
      <c r="N317" s="175">
        <v>1</v>
      </c>
    </row>
    <row r="318" spans="1:14" x14ac:dyDescent="0.2">
      <c r="A318" s="174">
        <f t="shared" si="4"/>
        <v>0</v>
      </c>
      <c r="C318" s="174">
        <f t="shared" si="3"/>
        <v>1</v>
      </c>
      <c r="F318" s="175">
        <v>80</v>
      </c>
      <c r="G318" s="175" t="b">
        <v>0</v>
      </c>
      <c r="H318" s="175" t="b">
        <v>0</v>
      </c>
      <c r="I318" s="175" t="b">
        <v>0</v>
      </c>
      <c r="K318" s="175">
        <v>80</v>
      </c>
      <c r="L318" s="175">
        <v>1</v>
      </c>
      <c r="M318" s="175">
        <v>1</v>
      </c>
      <c r="N318" s="175">
        <v>1</v>
      </c>
    </row>
    <row r="319" spans="1:14" x14ac:dyDescent="0.2">
      <c r="A319" s="174">
        <f t="shared" si="4"/>
        <v>0</v>
      </c>
      <c r="C319" s="174">
        <f t="shared" si="3"/>
        <v>1</v>
      </c>
      <c r="F319" s="175">
        <v>81</v>
      </c>
      <c r="G319" s="175" t="b">
        <v>0</v>
      </c>
      <c r="H319" s="175" t="b">
        <v>0</v>
      </c>
      <c r="I319" s="175" t="b">
        <v>0</v>
      </c>
      <c r="K319" s="175">
        <v>81</v>
      </c>
      <c r="L319" s="175">
        <v>1</v>
      </c>
      <c r="M319" s="175">
        <v>1</v>
      </c>
      <c r="N319" s="175">
        <v>1</v>
      </c>
    </row>
    <row r="320" spans="1:14" x14ac:dyDescent="0.2">
      <c r="A320" s="174">
        <f t="shared" si="4"/>
        <v>0</v>
      </c>
      <c r="C320" s="174">
        <f t="shared" si="3"/>
        <v>1</v>
      </c>
      <c r="F320" s="175">
        <v>82</v>
      </c>
      <c r="G320" s="175" t="b">
        <v>0</v>
      </c>
      <c r="H320" s="175" t="b">
        <v>0</v>
      </c>
      <c r="I320" s="175" t="b">
        <v>0</v>
      </c>
      <c r="K320" s="175">
        <v>82</v>
      </c>
      <c r="L320" s="175">
        <v>1</v>
      </c>
      <c r="M320" s="175">
        <v>1</v>
      </c>
      <c r="N320" s="175">
        <v>1</v>
      </c>
    </row>
    <row r="321" spans="1:14" x14ac:dyDescent="0.2">
      <c r="A321" s="174">
        <f t="shared" si="4"/>
        <v>0</v>
      </c>
      <c r="C321" s="174">
        <f t="shared" si="3"/>
        <v>1</v>
      </c>
      <c r="F321" s="175">
        <v>83</v>
      </c>
      <c r="G321" s="175" t="b">
        <v>0</v>
      </c>
      <c r="H321" s="175" t="b">
        <v>0</v>
      </c>
      <c r="I321" s="175" t="b">
        <v>0</v>
      </c>
      <c r="K321" s="175">
        <v>83</v>
      </c>
      <c r="L321" s="175">
        <v>1</v>
      </c>
      <c r="M321" s="175">
        <v>1</v>
      </c>
      <c r="N321" s="175">
        <v>1</v>
      </c>
    </row>
    <row r="322" spans="1:14" x14ac:dyDescent="0.2">
      <c r="A322" s="174">
        <f t="shared" si="4"/>
        <v>0</v>
      </c>
      <c r="C322" s="174">
        <f t="shared" si="3"/>
        <v>1</v>
      </c>
      <c r="F322" s="175">
        <v>84</v>
      </c>
      <c r="G322" s="175" t="b">
        <v>0</v>
      </c>
      <c r="H322" s="175" t="b">
        <v>0</v>
      </c>
      <c r="I322" s="175" t="b">
        <v>0</v>
      </c>
      <c r="K322" s="175">
        <v>84</v>
      </c>
      <c r="L322" s="175">
        <v>1</v>
      </c>
      <c r="M322" s="175">
        <v>1</v>
      </c>
      <c r="N322" s="175">
        <v>1</v>
      </c>
    </row>
    <row r="323" spans="1:14" x14ac:dyDescent="0.2">
      <c r="A323" s="174">
        <f t="shared" si="4"/>
        <v>0</v>
      </c>
      <c r="C323" s="174">
        <f t="shared" si="3"/>
        <v>1</v>
      </c>
      <c r="F323" s="175">
        <v>85</v>
      </c>
      <c r="G323" s="175" t="b">
        <v>0</v>
      </c>
      <c r="H323" s="175" t="b">
        <v>0</v>
      </c>
      <c r="I323" s="175" t="b">
        <v>0</v>
      </c>
      <c r="K323" s="175">
        <v>85</v>
      </c>
      <c r="L323" s="175">
        <v>1</v>
      </c>
      <c r="M323" s="175">
        <v>1</v>
      </c>
      <c r="N323" s="175">
        <v>1</v>
      </c>
    </row>
    <row r="324" spans="1:14" x14ac:dyDescent="0.2">
      <c r="A324" s="174">
        <f t="shared" si="4"/>
        <v>0</v>
      </c>
      <c r="C324" s="174">
        <f t="shared" si="3"/>
        <v>1</v>
      </c>
      <c r="F324" s="175">
        <v>86</v>
      </c>
      <c r="G324" s="175" t="b">
        <v>0</v>
      </c>
      <c r="H324" s="175" t="b">
        <v>0</v>
      </c>
      <c r="I324" s="175" t="b">
        <v>0</v>
      </c>
      <c r="K324" s="175">
        <v>86</v>
      </c>
      <c r="L324" s="175">
        <v>1</v>
      </c>
      <c r="M324" s="175">
        <v>1</v>
      </c>
      <c r="N324" s="175">
        <v>1</v>
      </c>
    </row>
    <row r="325" spans="1:14" x14ac:dyDescent="0.2">
      <c r="A325" s="174">
        <f t="shared" si="4"/>
        <v>0</v>
      </c>
      <c r="C325" s="174">
        <f t="shared" si="3"/>
        <v>1</v>
      </c>
      <c r="F325" s="175">
        <v>87</v>
      </c>
      <c r="G325" s="175" t="b">
        <v>0</v>
      </c>
      <c r="H325" s="175" t="b">
        <v>0</v>
      </c>
      <c r="I325" s="175" t="b">
        <v>0</v>
      </c>
      <c r="K325" s="175">
        <v>87</v>
      </c>
      <c r="L325" s="175">
        <v>1</v>
      </c>
      <c r="M325" s="175">
        <v>1</v>
      </c>
      <c r="N325" s="175">
        <v>1</v>
      </c>
    </row>
    <row r="326" spans="1:14" x14ac:dyDescent="0.2">
      <c r="A326" s="174">
        <f t="shared" si="4"/>
        <v>0</v>
      </c>
      <c r="C326" s="174">
        <f t="shared" si="3"/>
        <v>1</v>
      </c>
      <c r="F326" s="175">
        <v>88</v>
      </c>
      <c r="G326" s="175" t="b">
        <v>0</v>
      </c>
      <c r="H326" s="175" t="b">
        <v>0</v>
      </c>
      <c r="I326" s="175" t="b">
        <v>0</v>
      </c>
      <c r="K326" s="175">
        <v>88</v>
      </c>
      <c r="L326" s="175">
        <v>1</v>
      </c>
      <c r="M326" s="175">
        <v>1</v>
      </c>
      <c r="N326" s="175">
        <v>1</v>
      </c>
    </row>
    <row r="327" spans="1:14" x14ac:dyDescent="0.2">
      <c r="A327" s="174">
        <f t="shared" si="4"/>
        <v>0</v>
      </c>
      <c r="C327" s="174">
        <f t="shared" si="3"/>
        <v>1</v>
      </c>
      <c r="F327" s="175">
        <v>89</v>
      </c>
      <c r="G327" s="175" t="b">
        <v>0</v>
      </c>
      <c r="H327" s="175" t="b">
        <v>0</v>
      </c>
      <c r="I327" s="175" t="b">
        <v>0</v>
      </c>
      <c r="K327" s="175">
        <v>89</v>
      </c>
      <c r="L327" s="175">
        <v>1</v>
      </c>
      <c r="M327" s="175">
        <v>1</v>
      </c>
      <c r="N327" s="175">
        <v>1</v>
      </c>
    </row>
    <row r="328" spans="1:14" x14ac:dyDescent="0.2">
      <c r="A328" s="174">
        <f t="shared" si="4"/>
        <v>0</v>
      </c>
      <c r="C328" s="174">
        <f t="shared" si="3"/>
        <v>1</v>
      </c>
      <c r="F328" s="175">
        <v>90</v>
      </c>
      <c r="G328" s="175" t="b">
        <v>0</v>
      </c>
      <c r="H328" s="175" t="b">
        <v>0</v>
      </c>
      <c r="I328" s="175" t="b">
        <v>0</v>
      </c>
      <c r="K328" s="175">
        <v>90</v>
      </c>
      <c r="L328" s="175">
        <v>1</v>
      </c>
      <c r="M328" s="175">
        <v>1</v>
      </c>
      <c r="N328" s="175">
        <v>1</v>
      </c>
    </row>
    <row r="329" spans="1:14" x14ac:dyDescent="0.2">
      <c r="A329" s="174">
        <f t="shared" si="4"/>
        <v>0</v>
      </c>
      <c r="C329" s="174">
        <f t="shared" si="3"/>
        <v>1</v>
      </c>
      <c r="F329" s="175">
        <v>91</v>
      </c>
      <c r="G329" s="175" t="b">
        <v>0</v>
      </c>
      <c r="H329" s="175" t="b">
        <v>0</v>
      </c>
      <c r="I329" s="175" t="b">
        <v>0</v>
      </c>
      <c r="K329" s="175">
        <v>91</v>
      </c>
      <c r="L329" s="175">
        <v>1</v>
      </c>
      <c r="M329" s="175">
        <v>1</v>
      </c>
      <c r="N329" s="175">
        <v>1</v>
      </c>
    </row>
    <row r="330" spans="1:14" x14ac:dyDescent="0.2">
      <c r="A330" s="174">
        <f t="shared" si="4"/>
        <v>0</v>
      </c>
      <c r="C330" s="174">
        <f t="shared" si="3"/>
        <v>1</v>
      </c>
      <c r="F330" s="175">
        <v>92</v>
      </c>
      <c r="G330" s="175" t="b">
        <v>0</v>
      </c>
      <c r="H330" s="175" t="b">
        <v>0</v>
      </c>
      <c r="I330" s="175" t="b">
        <v>0</v>
      </c>
      <c r="K330" s="175">
        <v>92</v>
      </c>
      <c r="L330" s="175">
        <v>1</v>
      </c>
      <c r="M330" s="175">
        <v>1</v>
      </c>
      <c r="N330" s="175">
        <v>1</v>
      </c>
    </row>
    <row r="331" spans="1:14" x14ac:dyDescent="0.2">
      <c r="A331" s="174">
        <f t="shared" si="4"/>
        <v>0</v>
      </c>
      <c r="C331" s="174">
        <f t="shared" si="3"/>
        <v>1</v>
      </c>
      <c r="F331" s="175">
        <v>93</v>
      </c>
      <c r="G331" s="175" t="b">
        <v>0</v>
      </c>
      <c r="H331" s="175" t="b">
        <v>0</v>
      </c>
      <c r="I331" s="175" t="b">
        <v>0</v>
      </c>
      <c r="K331" s="175">
        <v>93</v>
      </c>
      <c r="L331" s="175">
        <v>1</v>
      </c>
      <c r="M331" s="175">
        <v>1</v>
      </c>
      <c r="N331" s="175">
        <v>1</v>
      </c>
    </row>
    <row r="332" spans="1:14" x14ac:dyDescent="0.2">
      <c r="A332" s="174">
        <f t="shared" si="4"/>
        <v>0</v>
      </c>
      <c r="C332" s="174">
        <f t="shared" si="3"/>
        <v>1</v>
      </c>
      <c r="F332" s="175">
        <v>94</v>
      </c>
      <c r="G332" s="175" t="b">
        <v>0</v>
      </c>
      <c r="H332" s="175" t="b">
        <v>0</v>
      </c>
      <c r="I332" s="175" t="b">
        <v>0</v>
      </c>
      <c r="K332" s="175">
        <v>94</v>
      </c>
      <c r="L332" s="175">
        <v>1</v>
      </c>
      <c r="M332" s="175">
        <v>1</v>
      </c>
      <c r="N332" s="175">
        <v>1</v>
      </c>
    </row>
    <row r="333" spans="1:14" x14ac:dyDescent="0.2">
      <c r="A333" s="174">
        <f t="shared" si="4"/>
        <v>0</v>
      </c>
      <c r="C333" s="174">
        <f t="shared" si="3"/>
        <v>1</v>
      </c>
      <c r="F333" s="175">
        <v>95</v>
      </c>
      <c r="G333" s="175" t="b">
        <v>0</v>
      </c>
      <c r="H333" s="175" t="b">
        <v>0</v>
      </c>
      <c r="I333" s="175" t="b">
        <v>0</v>
      </c>
      <c r="K333" s="175">
        <v>95</v>
      </c>
      <c r="L333" s="175">
        <v>1</v>
      </c>
      <c r="M333" s="175">
        <v>1</v>
      </c>
      <c r="N333" s="175">
        <v>1</v>
      </c>
    </row>
    <row r="334" spans="1:14" x14ac:dyDescent="0.2">
      <c r="A334" s="174">
        <f t="shared" si="4"/>
        <v>0</v>
      </c>
      <c r="C334" s="174">
        <f t="shared" si="3"/>
        <v>1</v>
      </c>
      <c r="F334" s="175">
        <v>96</v>
      </c>
      <c r="G334" s="175" t="b">
        <v>0</v>
      </c>
      <c r="H334" s="175" t="b">
        <v>0</v>
      </c>
      <c r="I334" s="175" t="b">
        <v>0</v>
      </c>
      <c r="K334" s="175">
        <v>96</v>
      </c>
      <c r="L334" s="175">
        <v>1</v>
      </c>
      <c r="M334" s="175">
        <v>1</v>
      </c>
      <c r="N334" s="175">
        <v>1</v>
      </c>
    </row>
    <row r="335" spans="1:14" x14ac:dyDescent="0.2">
      <c r="A335" s="174">
        <f t="shared" si="4"/>
        <v>0</v>
      </c>
      <c r="C335" s="174">
        <f t="shared" si="3"/>
        <v>1</v>
      </c>
      <c r="F335" s="175">
        <v>97</v>
      </c>
      <c r="G335" s="175" t="b">
        <v>0</v>
      </c>
      <c r="H335" s="175" t="b">
        <v>0</v>
      </c>
      <c r="I335" s="175" t="b">
        <v>0</v>
      </c>
      <c r="K335" s="175">
        <v>97</v>
      </c>
      <c r="L335" s="175">
        <v>1</v>
      </c>
      <c r="M335" s="175">
        <v>1</v>
      </c>
      <c r="N335" s="175">
        <v>1</v>
      </c>
    </row>
    <row r="336" spans="1:14" x14ac:dyDescent="0.2">
      <c r="A336" s="174">
        <f t="shared" si="4"/>
        <v>0</v>
      </c>
      <c r="C336" s="174">
        <f t="shared" si="3"/>
        <v>1</v>
      </c>
      <c r="F336" s="175">
        <v>98</v>
      </c>
      <c r="G336" s="175" t="b">
        <v>0</v>
      </c>
      <c r="H336" s="175" t="b">
        <v>0</v>
      </c>
      <c r="I336" s="175" t="b">
        <v>0</v>
      </c>
      <c r="K336" s="175">
        <v>98</v>
      </c>
      <c r="L336" s="175">
        <v>1</v>
      </c>
      <c r="M336" s="175">
        <v>1</v>
      </c>
      <c r="N336" s="175">
        <v>1</v>
      </c>
    </row>
    <row r="337" spans="1:14" x14ac:dyDescent="0.2">
      <c r="A337" s="174">
        <f t="shared" si="4"/>
        <v>0</v>
      </c>
      <c r="C337" s="174">
        <f t="shared" si="3"/>
        <v>1</v>
      </c>
      <c r="F337" s="175">
        <v>99</v>
      </c>
      <c r="G337" s="175" t="b">
        <v>0</v>
      </c>
      <c r="H337" s="175" t="b">
        <v>0</v>
      </c>
      <c r="I337" s="175" t="b">
        <v>0</v>
      </c>
      <c r="K337" s="175">
        <v>99</v>
      </c>
      <c r="L337" s="175">
        <v>1</v>
      </c>
      <c r="M337" s="175">
        <v>1</v>
      </c>
      <c r="N337" s="175">
        <v>1</v>
      </c>
    </row>
    <row r="338" spans="1:14" x14ac:dyDescent="0.2">
      <c r="A338" s="174">
        <f t="shared" si="4"/>
        <v>0</v>
      </c>
      <c r="C338" s="174">
        <f t="shared" si="3"/>
        <v>1</v>
      </c>
      <c r="F338" s="175">
        <v>100</v>
      </c>
      <c r="G338" s="175" t="b">
        <v>0</v>
      </c>
      <c r="H338" s="175" t="b">
        <v>0</v>
      </c>
      <c r="I338" s="175" t="b">
        <v>0</v>
      </c>
      <c r="K338" s="175">
        <v>100</v>
      </c>
      <c r="L338" s="175">
        <v>1</v>
      </c>
      <c r="M338" s="175">
        <v>1</v>
      </c>
      <c r="N338" s="175">
        <v>1</v>
      </c>
    </row>
    <row r="339" spans="1:14" x14ac:dyDescent="0.2">
      <c r="A339" s="174">
        <f t="shared" si="4"/>
        <v>0</v>
      </c>
      <c r="C339" s="174">
        <f t="shared" si="3"/>
        <v>1</v>
      </c>
      <c r="F339" s="175">
        <v>101</v>
      </c>
      <c r="G339" s="175" t="b">
        <v>0</v>
      </c>
      <c r="H339" s="175" t="b">
        <v>0</v>
      </c>
      <c r="I339" s="175" t="b">
        <v>0</v>
      </c>
      <c r="K339" s="175">
        <v>101</v>
      </c>
      <c r="L339" s="175">
        <v>1</v>
      </c>
      <c r="M339" s="175">
        <v>1</v>
      </c>
      <c r="N339" s="175">
        <v>1</v>
      </c>
    </row>
    <row r="340" spans="1:14" x14ac:dyDescent="0.2">
      <c r="A340" s="174">
        <f t="shared" si="4"/>
        <v>0</v>
      </c>
      <c r="C340" s="174">
        <f t="shared" si="3"/>
        <v>1</v>
      </c>
      <c r="F340" s="175">
        <v>102</v>
      </c>
      <c r="G340" s="175" t="b">
        <v>0</v>
      </c>
      <c r="H340" s="175" t="b">
        <v>0</v>
      </c>
      <c r="I340" s="175" t="b">
        <v>0</v>
      </c>
      <c r="K340" s="175">
        <v>102</v>
      </c>
      <c r="L340" s="175">
        <v>1</v>
      </c>
      <c r="M340" s="175">
        <v>1</v>
      </c>
      <c r="N340" s="175">
        <v>1</v>
      </c>
    </row>
    <row r="341" spans="1:14" x14ac:dyDescent="0.2">
      <c r="A341" s="174">
        <f t="shared" si="4"/>
        <v>0</v>
      </c>
      <c r="C341" s="174">
        <f t="shared" si="3"/>
        <v>1</v>
      </c>
      <c r="F341" s="175">
        <v>103</v>
      </c>
      <c r="G341" s="175" t="b">
        <v>0</v>
      </c>
      <c r="H341" s="175" t="b">
        <v>0</v>
      </c>
      <c r="I341" s="175" t="b">
        <v>0</v>
      </c>
      <c r="K341" s="175">
        <v>103</v>
      </c>
      <c r="L341" s="175">
        <v>1</v>
      </c>
      <c r="M341" s="175">
        <v>1</v>
      </c>
      <c r="N341" s="175">
        <v>1</v>
      </c>
    </row>
    <row r="342" spans="1:14" x14ac:dyDescent="0.2">
      <c r="A342" s="174">
        <f t="shared" si="4"/>
        <v>0</v>
      </c>
      <c r="C342" s="174">
        <f t="shared" si="3"/>
        <v>1</v>
      </c>
      <c r="F342" s="175">
        <v>104</v>
      </c>
      <c r="G342" s="175" t="b">
        <v>0</v>
      </c>
      <c r="H342" s="175" t="b">
        <v>0</v>
      </c>
      <c r="I342" s="175" t="b">
        <v>0</v>
      </c>
      <c r="K342" s="175">
        <v>104</v>
      </c>
      <c r="L342" s="175">
        <v>1</v>
      </c>
      <c r="M342" s="175">
        <v>1</v>
      </c>
      <c r="N342" s="175">
        <v>1</v>
      </c>
    </row>
    <row r="343" spans="1:14" x14ac:dyDescent="0.2">
      <c r="A343" s="174">
        <f t="shared" si="4"/>
        <v>0</v>
      </c>
      <c r="C343" s="174">
        <f t="shared" si="3"/>
        <v>1</v>
      </c>
      <c r="F343" s="175">
        <v>105</v>
      </c>
      <c r="G343" s="175" t="b">
        <v>0</v>
      </c>
      <c r="H343" s="175" t="b">
        <v>0</v>
      </c>
      <c r="I343" s="175" t="b">
        <v>0</v>
      </c>
      <c r="K343" s="175">
        <v>105</v>
      </c>
      <c r="L343" s="175">
        <v>1</v>
      </c>
      <c r="M343" s="175">
        <v>1</v>
      </c>
      <c r="N343" s="175">
        <v>1</v>
      </c>
    </row>
    <row r="344" spans="1:14" x14ac:dyDescent="0.2">
      <c r="A344" s="174">
        <f t="shared" si="4"/>
        <v>0</v>
      </c>
      <c r="C344" s="174">
        <f t="shared" si="3"/>
        <v>1</v>
      </c>
      <c r="F344" s="175">
        <v>106</v>
      </c>
      <c r="G344" s="175" t="b">
        <v>0</v>
      </c>
      <c r="H344" s="175" t="b">
        <v>0</v>
      </c>
      <c r="I344" s="175" t="b">
        <v>0</v>
      </c>
      <c r="K344" s="175">
        <v>106</v>
      </c>
      <c r="L344" s="175">
        <v>1</v>
      </c>
      <c r="M344" s="175">
        <v>1</v>
      </c>
      <c r="N344" s="175">
        <v>1</v>
      </c>
    </row>
    <row r="345" spans="1:14" x14ac:dyDescent="0.2">
      <c r="A345" s="174">
        <f t="shared" si="4"/>
        <v>0</v>
      </c>
      <c r="C345" s="174">
        <f t="shared" si="3"/>
        <v>1</v>
      </c>
      <c r="F345" s="175">
        <v>107</v>
      </c>
      <c r="G345" s="175" t="b">
        <v>0</v>
      </c>
      <c r="H345" s="175" t="b">
        <v>0</v>
      </c>
      <c r="I345" s="175" t="b">
        <v>0</v>
      </c>
      <c r="K345" s="175">
        <v>107</v>
      </c>
      <c r="L345" s="175">
        <v>1</v>
      </c>
      <c r="M345" s="175">
        <v>1</v>
      </c>
      <c r="N345" s="175">
        <v>1</v>
      </c>
    </row>
    <row r="346" spans="1:14" x14ac:dyDescent="0.2">
      <c r="A346" s="174">
        <f t="shared" si="4"/>
        <v>0</v>
      </c>
      <c r="C346" s="174">
        <f t="shared" si="3"/>
        <v>1</v>
      </c>
      <c r="F346" s="175">
        <v>108</v>
      </c>
      <c r="G346" s="175" t="b">
        <v>0</v>
      </c>
      <c r="H346" s="175" t="b">
        <v>0</v>
      </c>
      <c r="I346" s="175" t="b">
        <v>0</v>
      </c>
      <c r="K346" s="175">
        <v>108</v>
      </c>
      <c r="L346" s="175">
        <v>1</v>
      </c>
      <c r="M346" s="175">
        <v>1</v>
      </c>
      <c r="N346" s="175">
        <v>1</v>
      </c>
    </row>
    <row r="347" spans="1:14" x14ac:dyDescent="0.2">
      <c r="A347" s="174">
        <f t="shared" si="4"/>
        <v>0</v>
      </c>
      <c r="C347" s="174">
        <f t="shared" si="3"/>
        <v>1</v>
      </c>
      <c r="F347" s="175">
        <v>109</v>
      </c>
      <c r="G347" s="175" t="b">
        <v>0</v>
      </c>
      <c r="H347" s="175" t="b">
        <v>0</v>
      </c>
      <c r="I347" s="175" t="b">
        <v>0</v>
      </c>
      <c r="K347" s="175">
        <v>109</v>
      </c>
      <c r="L347" s="175">
        <v>1</v>
      </c>
      <c r="M347" s="175">
        <v>1</v>
      </c>
      <c r="N347" s="175">
        <v>1</v>
      </c>
    </row>
    <row r="348" spans="1:14" x14ac:dyDescent="0.2">
      <c r="A348" s="174">
        <f t="shared" si="4"/>
        <v>0</v>
      </c>
      <c r="C348" s="174">
        <f t="shared" si="3"/>
        <v>1</v>
      </c>
      <c r="F348" s="175">
        <v>110</v>
      </c>
      <c r="G348" s="175" t="b">
        <v>0</v>
      </c>
      <c r="H348" s="175" t="b">
        <v>0</v>
      </c>
      <c r="I348" s="175" t="b">
        <v>0</v>
      </c>
      <c r="K348" s="175">
        <v>110</v>
      </c>
      <c r="L348" s="175">
        <v>1</v>
      </c>
      <c r="M348" s="175">
        <v>1</v>
      </c>
      <c r="N348" s="175">
        <v>1</v>
      </c>
    </row>
    <row r="349" spans="1:14" x14ac:dyDescent="0.2">
      <c r="A349" s="174">
        <f t="shared" si="4"/>
        <v>0</v>
      </c>
      <c r="C349" s="174">
        <f t="shared" si="3"/>
        <v>1</v>
      </c>
      <c r="F349" s="175">
        <v>111</v>
      </c>
      <c r="G349" s="175" t="b">
        <v>0</v>
      </c>
      <c r="H349" s="175" t="b">
        <v>0</v>
      </c>
      <c r="I349" s="175" t="b">
        <v>0</v>
      </c>
      <c r="K349" s="175">
        <v>111</v>
      </c>
      <c r="L349" s="175">
        <v>1</v>
      </c>
      <c r="M349" s="175">
        <v>1</v>
      </c>
      <c r="N349" s="175">
        <v>1</v>
      </c>
    </row>
    <row r="350" spans="1:14" x14ac:dyDescent="0.2">
      <c r="A350" s="174">
        <f t="shared" si="4"/>
        <v>0</v>
      </c>
      <c r="C350" s="174">
        <f t="shared" si="3"/>
        <v>1</v>
      </c>
      <c r="F350" s="175">
        <v>112</v>
      </c>
      <c r="G350" s="175" t="b">
        <v>0</v>
      </c>
      <c r="H350" s="175" t="b">
        <v>0</v>
      </c>
      <c r="I350" s="175" t="b">
        <v>0</v>
      </c>
      <c r="K350" s="175">
        <v>112</v>
      </c>
      <c r="L350" s="175">
        <v>1</v>
      </c>
      <c r="M350" s="175">
        <v>1</v>
      </c>
      <c r="N350" s="175">
        <v>1</v>
      </c>
    </row>
    <row r="351" spans="1:14" x14ac:dyDescent="0.2">
      <c r="A351" s="174">
        <f t="shared" si="4"/>
        <v>0</v>
      </c>
      <c r="C351" s="174">
        <f t="shared" si="3"/>
        <v>1</v>
      </c>
      <c r="F351" s="175">
        <v>113</v>
      </c>
      <c r="G351" s="175" t="b">
        <v>0</v>
      </c>
      <c r="H351" s="175" t="b">
        <v>0</v>
      </c>
      <c r="I351" s="175" t="b">
        <v>0</v>
      </c>
      <c r="K351" s="175">
        <v>113</v>
      </c>
      <c r="L351" s="175">
        <v>1</v>
      </c>
      <c r="M351" s="175">
        <v>1</v>
      </c>
      <c r="N351" s="175">
        <v>1</v>
      </c>
    </row>
    <row r="352" spans="1:14" x14ac:dyDescent="0.2">
      <c r="A352" s="174">
        <f t="shared" si="4"/>
        <v>0</v>
      </c>
      <c r="C352" s="174">
        <f t="shared" si="3"/>
        <v>1</v>
      </c>
      <c r="F352" s="175">
        <v>114</v>
      </c>
      <c r="G352" s="175" t="b">
        <v>0</v>
      </c>
      <c r="H352" s="175" t="b">
        <v>0</v>
      </c>
      <c r="I352" s="175" t="b">
        <v>0</v>
      </c>
      <c r="K352" s="175">
        <v>114</v>
      </c>
      <c r="L352" s="175">
        <v>1</v>
      </c>
      <c r="M352" s="175">
        <v>1</v>
      </c>
      <c r="N352" s="175">
        <v>1</v>
      </c>
    </row>
    <row r="353" spans="1:14" x14ac:dyDescent="0.2">
      <c r="A353" s="174">
        <f t="shared" si="4"/>
        <v>0</v>
      </c>
      <c r="C353" s="174">
        <f t="shared" si="3"/>
        <v>1</v>
      </c>
      <c r="F353" s="175">
        <v>115</v>
      </c>
      <c r="G353" s="175" t="b">
        <v>0</v>
      </c>
      <c r="H353" s="175" t="b">
        <v>0</v>
      </c>
      <c r="I353" s="175" t="b">
        <v>0</v>
      </c>
      <c r="K353" s="175">
        <v>115</v>
      </c>
      <c r="L353" s="175">
        <v>1</v>
      </c>
      <c r="M353" s="175">
        <v>1</v>
      </c>
      <c r="N353" s="175">
        <v>1</v>
      </c>
    </row>
    <row r="354" spans="1:14" x14ac:dyDescent="0.2">
      <c r="A354" s="174">
        <f t="shared" si="4"/>
        <v>0</v>
      </c>
      <c r="C354" s="174">
        <f t="shared" si="3"/>
        <v>1</v>
      </c>
      <c r="F354" s="175">
        <v>116</v>
      </c>
      <c r="G354" s="175" t="b">
        <v>0</v>
      </c>
      <c r="H354" s="175" t="b">
        <v>0</v>
      </c>
      <c r="I354" s="175" t="b">
        <v>0</v>
      </c>
      <c r="K354" s="175">
        <v>116</v>
      </c>
      <c r="L354" s="175">
        <v>1</v>
      </c>
      <c r="M354" s="175">
        <v>1</v>
      </c>
      <c r="N354" s="175">
        <v>1</v>
      </c>
    </row>
    <row r="355" spans="1:14" x14ac:dyDescent="0.2">
      <c r="A355" s="174">
        <f t="shared" si="4"/>
        <v>0</v>
      </c>
      <c r="C355" s="174">
        <f t="shared" si="3"/>
        <v>1</v>
      </c>
      <c r="F355" s="175">
        <v>117</v>
      </c>
      <c r="G355" s="175" t="b">
        <v>0</v>
      </c>
      <c r="H355" s="175" t="b">
        <v>0</v>
      </c>
      <c r="I355" s="175" t="b">
        <v>0</v>
      </c>
      <c r="K355" s="175">
        <v>117</v>
      </c>
      <c r="L355" s="175">
        <v>1</v>
      </c>
      <c r="M355" s="175">
        <v>1</v>
      </c>
      <c r="N355" s="175">
        <v>1</v>
      </c>
    </row>
    <row r="356" spans="1:14" x14ac:dyDescent="0.2">
      <c r="A356" s="174">
        <f t="shared" si="4"/>
        <v>0</v>
      </c>
      <c r="C356" s="174">
        <f t="shared" si="3"/>
        <v>1</v>
      </c>
      <c r="F356" s="175">
        <v>118</v>
      </c>
      <c r="G356" s="175" t="b">
        <v>0</v>
      </c>
      <c r="H356" s="175" t="b">
        <v>0</v>
      </c>
      <c r="I356" s="175" t="b">
        <v>0</v>
      </c>
      <c r="K356" s="175">
        <v>118</v>
      </c>
      <c r="L356" s="175">
        <v>1</v>
      </c>
      <c r="M356" s="175">
        <v>1</v>
      </c>
      <c r="N356" s="175">
        <v>1</v>
      </c>
    </row>
    <row r="357" spans="1:14" x14ac:dyDescent="0.2">
      <c r="A357" s="174">
        <f t="shared" si="4"/>
        <v>0</v>
      </c>
      <c r="C357" s="174">
        <f t="shared" si="3"/>
        <v>1</v>
      </c>
      <c r="F357" s="175">
        <v>119</v>
      </c>
      <c r="G357" s="175" t="b">
        <v>0</v>
      </c>
      <c r="H357" s="175" t="b">
        <v>0</v>
      </c>
      <c r="I357" s="175" t="b">
        <v>0</v>
      </c>
      <c r="K357" s="175">
        <v>119</v>
      </c>
      <c r="L357" s="175">
        <v>1</v>
      </c>
      <c r="M357" s="175">
        <v>1</v>
      </c>
      <c r="N357" s="175">
        <v>1</v>
      </c>
    </row>
    <row r="358" spans="1:14" x14ac:dyDescent="0.2">
      <c r="A358" s="174">
        <f t="shared" si="4"/>
        <v>0</v>
      </c>
      <c r="C358" s="174">
        <f t="shared" si="3"/>
        <v>1</v>
      </c>
      <c r="F358" s="175">
        <v>120</v>
      </c>
      <c r="G358" s="175" t="b">
        <v>0</v>
      </c>
      <c r="H358" s="175" t="b">
        <v>0</v>
      </c>
      <c r="I358" s="175" t="b">
        <v>0</v>
      </c>
      <c r="K358" s="175">
        <v>120</v>
      </c>
      <c r="L358" s="175">
        <v>1</v>
      </c>
      <c r="M358" s="175">
        <v>1</v>
      </c>
      <c r="N358" s="175">
        <v>1</v>
      </c>
    </row>
    <row r="359" spans="1:14" x14ac:dyDescent="0.2">
      <c r="A359" s="174">
        <f t="shared" si="4"/>
        <v>0</v>
      </c>
      <c r="C359" s="174">
        <f t="shared" si="3"/>
        <v>1</v>
      </c>
      <c r="F359" s="175">
        <v>121</v>
      </c>
      <c r="G359" s="175" t="b">
        <v>0</v>
      </c>
      <c r="H359" s="175" t="b">
        <v>0</v>
      </c>
      <c r="I359" s="175" t="b">
        <v>0</v>
      </c>
      <c r="K359" s="175">
        <v>121</v>
      </c>
      <c r="L359" s="175">
        <v>1</v>
      </c>
      <c r="M359" s="175">
        <v>1</v>
      </c>
      <c r="N359" s="175">
        <v>1</v>
      </c>
    </row>
    <row r="360" spans="1:14" x14ac:dyDescent="0.2">
      <c r="A360" s="174">
        <f t="shared" si="4"/>
        <v>0</v>
      </c>
      <c r="C360" s="174">
        <f t="shared" si="3"/>
        <v>1</v>
      </c>
      <c r="F360" s="175">
        <v>122</v>
      </c>
      <c r="G360" s="175" t="b">
        <v>0</v>
      </c>
      <c r="H360" s="175" t="b">
        <v>0</v>
      </c>
      <c r="I360" s="175" t="b">
        <v>0</v>
      </c>
      <c r="K360" s="175">
        <v>122</v>
      </c>
      <c r="L360" s="175">
        <v>1</v>
      </c>
      <c r="M360" s="175">
        <v>1</v>
      </c>
      <c r="N360" s="175">
        <v>1</v>
      </c>
    </row>
    <row r="361" spans="1:14" x14ac:dyDescent="0.2">
      <c r="A361" s="174">
        <f t="shared" si="4"/>
        <v>0</v>
      </c>
      <c r="C361" s="174">
        <f t="shared" si="3"/>
        <v>1</v>
      </c>
      <c r="F361" s="175">
        <v>123</v>
      </c>
      <c r="G361" s="175" t="b">
        <v>0</v>
      </c>
      <c r="H361" s="175" t="b">
        <v>0</v>
      </c>
      <c r="I361" s="175" t="b">
        <v>0</v>
      </c>
      <c r="K361" s="175">
        <v>123</v>
      </c>
      <c r="L361" s="175">
        <v>1</v>
      </c>
      <c r="M361" s="175">
        <v>1</v>
      </c>
      <c r="N361" s="175">
        <v>1</v>
      </c>
    </row>
    <row r="362" spans="1:14" x14ac:dyDescent="0.2">
      <c r="A362" s="174">
        <f t="shared" si="4"/>
        <v>0</v>
      </c>
      <c r="C362" s="174">
        <f t="shared" si="3"/>
        <v>1</v>
      </c>
      <c r="F362" s="175">
        <v>124</v>
      </c>
      <c r="G362" s="175" t="b">
        <v>0</v>
      </c>
      <c r="H362" s="175" t="b">
        <v>0</v>
      </c>
      <c r="I362" s="175" t="b">
        <v>0</v>
      </c>
      <c r="K362" s="175">
        <v>124</v>
      </c>
      <c r="L362" s="175">
        <v>1</v>
      </c>
      <c r="M362" s="175">
        <v>1</v>
      </c>
      <c r="N362" s="175">
        <v>1</v>
      </c>
    </row>
    <row r="363" spans="1:14" x14ac:dyDescent="0.2">
      <c r="A363" s="174">
        <f t="shared" si="4"/>
        <v>0</v>
      </c>
      <c r="C363" s="174">
        <f t="shared" si="3"/>
        <v>1</v>
      </c>
      <c r="F363" s="175">
        <v>125</v>
      </c>
      <c r="G363" s="175" t="b">
        <v>0</v>
      </c>
      <c r="H363" s="175" t="b">
        <v>0</v>
      </c>
      <c r="I363" s="175" t="b">
        <v>0</v>
      </c>
      <c r="K363" s="175">
        <v>125</v>
      </c>
      <c r="L363" s="175">
        <v>1</v>
      </c>
      <c r="M363" s="175">
        <v>1</v>
      </c>
      <c r="N363" s="175">
        <v>1</v>
      </c>
    </row>
    <row r="364" spans="1:14" x14ac:dyDescent="0.2">
      <c r="A364" s="174">
        <f t="shared" si="4"/>
        <v>0</v>
      </c>
      <c r="C364" s="174">
        <f t="shared" si="3"/>
        <v>1</v>
      </c>
      <c r="F364" s="175">
        <v>126</v>
      </c>
      <c r="G364" s="175" t="b">
        <v>0</v>
      </c>
      <c r="H364" s="175" t="b">
        <v>0</v>
      </c>
      <c r="I364" s="175" t="b">
        <v>0</v>
      </c>
      <c r="K364" s="175">
        <v>126</v>
      </c>
      <c r="L364" s="175">
        <v>1</v>
      </c>
      <c r="M364" s="175">
        <v>1</v>
      </c>
      <c r="N364" s="175">
        <v>1</v>
      </c>
    </row>
    <row r="365" spans="1:14" x14ac:dyDescent="0.2">
      <c r="A365" s="174">
        <f t="shared" si="4"/>
        <v>0</v>
      </c>
      <c r="C365" s="174">
        <f t="shared" si="3"/>
        <v>1</v>
      </c>
      <c r="F365" s="175">
        <v>127</v>
      </c>
      <c r="G365" s="175" t="b">
        <v>0</v>
      </c>
      <c r="H365" s="175" t="b">
        <v>0</v>
      </c>
      <c r="I365" s="175" t="b">
        <v>0</v>
      </c>
      <c r="K365" s="175">
        <v>127</v>
      </c>
      <c r="L365" s="175">
        <v>1</v>
      </c>
      <c r="M365" s="175">
        <v>1</v>
      </c>
      <c r="N365" s="175">
        <v>1</v>
      </c>
    </row>
    <row r="366" spans="1:14" x14ac:dyDescent="0.2">
      <c r="A366" s="174">
        <f t="shared" si="4"/>
        <v>0</v>
      </c>
      <c r="C366" s="174">
        <f t="shared" si="3"/>
        <v>1</v>
      </c>
      <c r="F366" s="175">
        <v>128</v>
      </c>
      <c r="G366" s="175" t="b">
        <v>0</v>
      </c>
      <c r="H366" s="175" t="b">
        <v>0</v>
      </c>
      <c r="I366" s="175" t="b">
        <v>0</v>
      </c>
      <c r="K366" s="175">
        <v>128</v>
      </c>
      <c r="L366" s="175">
        <v>1</v>
      </c>
      <c r="M366" s="175">
        <v>1</v>
      </c>
      <c r="N366" s="175">
        <v>1</v>
      </c>
    </row>
    <row r="367" spans="1:14" x14ac:dyDescent="0.2">
      <c r="A367" s="174">
        <f t="shared" si="4"/>
        <v>0</v>
      </c>
      <c r="C367" s="174">
        <f t="shared" si="3"/>
        <v>1</v>
      </c>
      <c r="F367" s="175">
        <v>129</v>
      </c>
      <c r="G367" s="175" t="b">
        <v>0</v>
      </c>
      <c r="H367" s="175" t="b">
        <v>0</v>
      </c>
      <c r="I367" s="175" t="b">
        <v>0</v>
      </c>
      <c r="K367" s="175">
        <v>129</v>
      </c>
      <c r="L367" s="175">
        <v>1</v>
      </c>
      <c r="M367" s="175">
        <v>1</v>
      </c>
      <c r="N367" s="175">
        <v>1</v>
      </c>
    </row>
    <row r="368" spans="1:14" x14ac:dyDescent="0.2">
      <c r="A368" s="174">
        <f t="shared" si="4"/>
        <v>0</v>
      </c>
      <c r="C368" s="174">
        <f t="shared" si="3"/>
        <v>1</v>
      </c>
      <c r="F368" s="175">
        <v>130</v>
      </c>
      <c r="G368" s="175" t="b">
        <v>0</v>
      </c>
      <c r="H368" s="175" t="b">
        <v>0</v>
      </c>
      <c r="I368" s="175" t="b">
        <v>0</v>
      </c>
      <c r="K368" s="175">
        <v>130</v>
      </c>
      <c r="L368" s="175">
        <v>1</v>
      </c>
      <c r="M368" s="175">
        <v>1</v>
      </c>
      <c r="N368" s="175">
        <v>1</v>
      </c>
    </row>
    <row r="369" spans="1:14" x14ac:dyDescent="0.2">
      <c r="A369" s="174">
        <f t="shared" si="4"/>
        <v>0</v>
      </c>
      <c r="C369" s="174">
        <f t="shared" si="3"/>
        <v>1</v>
      </c>
      <c r="F369" s="175">
        <v>131</v>
      </c>
      <c r="G369" s="175" t="b">
        <v>0</v>
      </c>
      <c r="H369" s="175" t="b">
        <v>0</v>
      </c>
      <c r="I369" s="175" t="b">
        <v>0</v>
      </c>
      <c r="K369" s="175">
        <v>131</v>
      </c>
      <c r="L369" s="175">
        <v>1</v>
      </c>
      <c r="M369" s="175">
        <v>1</v>
      </c>
      <c r="N369" s="175">
        <v>1</v>
      </c>
    </row>
    <row r="370" spans="1:14" x14ac:dyDescent="0.2">
      <c r="A370" s="174">
        <f t="shared" si="4"/>
        <v>0</v>
      </c>
      <c r="C370" s="174">
        <f t="shared" ref="C370:C433" si="5">IF($T$41,L370,1)</f>
        <v>1</v>
      </c>
      <c r="F370" s="175">
        <v>132</v>
      </c>
      <c r="G370" s="175" t="b">
        <v>0</v>
      </c>
      <c r="H370" s="175" t="b">
        <v>0</v>
      </c>
      <c r="I370" s="175" t="b">
        <v>0</v>
      </c>
      <c r="K370" s="175">
        <v>132</v>
      </c>
      <c r="L370" s="175">
        <v>1</v>
      </c>
      <c r="M370" s="175">
        <v>1</v>
      </c>
      <c r="N370" s="175">
        <v>1</v>
      </c>
    </row>
    <row r="371" spans="1:14" x14ac:dyDescent="0.2">
      <c r="A371" s="174">
        <f t="shared" ref="A371:A434" si="6">IF(G371,1,0)</f>
        <v>0</v>
      </c>
      <c r="C371" s="174">
        <f t="shared" si="5"/>
        <v>1</v>
      </c>
      <c r="F371" s="175">
        <v>133</v>
      </c>
      <c r="G371" s="175" t="b">
        <v>0</v>
      </c>
      <c r="H371" s="175" t="b">
        <v>0</v>
      </c>
      <c r="I371" s="175" t="b">
        <v>0</v>
      </c>
      <c r="K371" s="175">
        <v>133</v>
      </c>
      <c r="L371" s="175">
        <v>1</v>
      </c>
      <c r="M371" s="175">
        <v>1</v>
      </c>
      <c r="N371" s="175">
        <v>1</v>
      </c>
    </row>
    <row r="372" spans="1:14" x14ac:dyDescent="0.2">
      <c r="A372" s="174">
        <f t="shared" si="6"/>
        <v>0</v>
      </c>
      <c r="C372" s="174">
        <f t="shared" si="5"/>
        <v>1</v>
      </c>
      <c r="F372" s="175">
        <v>134</v>
      </c>
      <c r="G372" s="175" t="b">
        <v>0</v>
      </c>
      <c r="H372" s="175" t="b">
        <v>0</v>
      </c>
      <c r="I372" s="175" t="b">
        <v>0</v>
      </c>
      <c r="K372" s="175">
        <v>134</v>
      </c>
      <c r="L372" s="175">
        <v>1</v>
      </c>
      <c r="M372" s="175">
        <v>1</v>
      </c>
      <c r="N372" s="175">
        <v>1</v>
      </c>
    </row>
    <row r="373" spans="1:14" x14ac:dyDescent="0.2">
      <c r="A373" s="174">
        <f t="shared" si="6"/>
        <v>0</v>
      </c>
      <c r="C373" s="174">
        <f t="shared" si="5"/>
        <v>1</v>
      </c>
      <c r="F373" s="175">
        <v>135</v>
      </c>
      <c r="G373" s="175" t="b">
        <v>0</v>
      </c>
      <c r="H373" s="175" t="b">
        <v>0</v>
      </c>
      <c r="I373" s="175" t="b">
        <v>0</v>
      </c>
      <c r="K373" s="175">
        <v>135</v>
      </c>
      <c r="L373" s="175">
        <v>1</v>
      </c>
      <c r="M373" s="175">
        <v>1</v>
      </c>
      <c r="N373" s="175">
        <v>1</v>
      </c>
    </row>
    <row r="374" spans="1:14" x14ac:dyDescent="0.2">
      <c r="A374" s="174">
        <f t="shared" si="6"/>
        <v>0</v>
      </c>
      <c r="C374" s="174">
        <f t="shared" si="5"/>
        <v>1</v>
      </c>
      <c r="F374" s="175">
        <v>136</v>
      </c>
      <c r="G374" s="175" t="b">
        <v>0</v>
      </c>
      <c r="H374" s="175" t="b">
        <v>0</v>
      </c>
      <c r="I374" s="175" t="b">
        <v>0</v>
      </c>
      <c r="K374" s="175">
        <v>136</v>
      </c>
      <c r="L374" s="175">
        <v>1</v>
      </c>
      <c r="M374" s="175">
        <v>1</v>
      </c>
      <c r="N374" s="175">
        <v>1</v>
      </c>
    </row>
    <row r="375" spans="1:14" x14ac:dyDescent="0.2">
      <c r="A375" s="174">
        <f t="shared" si="6"/>
        <v>0</v>
      </c>
      <c r="C375" s="174">
        <f t="shared" si="5"/>
        <v>1</v>
      </c>
      <c r="F375" s="175">
        <v>137</v>
      </c>
      <c r="G375" s="175" t="b">
        <v>0</v>
      </c>
      <c r="H375" s="175" t="b">
        <v>0</v>
      </c>
      <c r="I375" s="175" t="b">
        <v>0</v>
      </c>
      <c r="K375" s="175">
        <v>137</v>
      </c>
      <c r="L375" s="175">
        <v>1</v>
      </c>
      <c r="M375" s="175">
        <v>1</v>
      </c>
      <c r="N375" s="175">
        <v>1</v>
      </c>
    </row>
    <row r="376" spans="1:14" x14ac:dyDescent="0.2">
      <c r="A376" s="174">
        <f t="shared" si="6"/>
        <v>0</v>
      </c>
      <c r="C376" s="174">
        <f t="shared" si="5"/>
        <v>1</v>
      </c>
      <c r="F376" s="175">
        <v>138</v>
      </c>
      <c r="G376" s="175" t="b">
        <v>0</v>
      </c>
      <c r="H376" s="175" t="b">
        <v>0</v>
      </c>
      <c r="I376" s="175" t="b">
        <v>0</v>
      </c>
      <c r="K376" s="175">
        <v>138</v>
      </c>
      <c r="L376" s="175">
        <v>1</v>
      </c>
      <c r="M376" s="175">
        <v>1</v>
      </c>
      <c r="N376" s="175">
        <v>1</v>
      </c>
    </row>
    <row r="377" spans="1:14" x14ac:dyDescent="0.2">
      <c r="A377" s="174">
        <f t="shared" si="6"/>
        <v>0</v>
      </c>
      <c r="C377" s="174">
        <f t="shared" si="5"/>
        <v>1</v>
      </c>
      <c r="F377" s="175">
        <v>139</v>
      </c>
      <c r="G377" s="175" t="b">
        <v>0</v>
      </c>
      <c r="H377" s="175" t="b">
        <v>0</v>
      </c>
      <c r="I377" s="175" t="b">
        <v>0</v>
      </c>
      <c r="K377" s="175">
        <v>139</v>
      </c>
      <c r="L377" s="175">
        <v>1</v>
      </c>
      <c r="M377" s="175">
        <v>1</v>
      </c>
      <c r="N377" s="175">
        <v>1</v>
      </c>
    </row>
    <row r="378" spans="1:14" x14ac:dyDescent="0.2">
      <c r="A378" s="174">
        <f t="shared" si="6"/>
        <v>0</v>
      </c>
      <c r="C378" s="174">
        <f t="shared" si="5"/>
        <v>1</v>
      </c>
      <c r="F378" s="175">
        <v>140</v>
      </c>
      <c r="G378" s="175" t="b">
        <v>0</v>
      </c>
      <c r="H378" s="175" t="b">
        <v>0</v>
      </c>
      <c r="I378" s="175" t="b">
        <v>0</v>
      </c>
      <c r="K378" s="175">
        <v>140</v>
      </c>
      <c r="L378" s="175">
        <v>1</v>
      </c>
      <c r="M378" s="175">
        <v>1</v>
      </c>
      <c r="N378" s="175">
        <v>1</v>
      </c>
    </row>
    <row r="379" spans="1:14" x14ac:dyDescent="0.2">
      <c r="A379" s="174">
        <f t="shared" si="6"/>
        <v>0</v>
      </c>
      <c r="C379" s="174">
        <f t="shared" si="5"/>
        <v>1</v>
      </c>
      <c r="F379" s="175">
        <v>141</v>
      </c>
      <c r="G379" s="175" t="b">
        <v>0</v>
      </c>
      <c r="H379" s="175" t="b">
        <v>0</v>
      </c>
      <c r="I379" s="175" t="b">
        <v>0</v>
      </c>
      <c r="K379" s="175">
        <v>141</v>
      </c>
      <c r="L379" s="175">
        <v>1</v>
      </c>
      <c r="M379" s="175">
        <v>1</v>
      </c>
      <c r="N379" s="175">
        <v>1</v>
      </c>
    </row>
    <row r="380" spans="1:14" x14ac:dyDescent="0.2">
      <c r="A380" s="174">
        <f t="shared" si="6"/>
        <v>0</v>
      </c>
      <c r="C380" s="174">
        <f t="shared" si="5"/>
        <v>1</v>
      </c>
      <c r="F380" s="175">
        <v>142</v>
      </c>
      <c r="G380" s="175" t="b">
        <v>0</v>
      </c>
      <c r="H380" s="175" t="b">
        <v>0</v>
      </c>
      <c r="I380" s="175" t="b">
        <v>0</v>
      </c>
      <c r="K380" s="175">
        <v>142</v>
      </c>
      <c r="L380" s="175">
        <v>1</v>
      </c>
      <c r="M380" s="175">
        <v>1</v>
      </c>
      <c r="N380" s="175">
        <v>1</v>
      </c>
    </row>
    <row r="381" spans="1:14" x14ac:dyDescent="0.2">
      <c r="A381" s="174">
        <f t="shared" si="6"/>
        <v>0</v>
      </c>
      <c r="C381" s="174">
        <f t="shared" si="5"/>
        <v>1</v>
      </c>
      <c r="F381" s="175">
        <v>143</v>
      </c>
      <c r="G381" s="175" t="b">
        <v>0</v>
      </c>
      <c r="H381" s="175" t="b">
        <v>0</v>
      </c>
      <c r="I381" s="175" t="b">
        <v>0</v>
      </c>
      <c r="K381" s="175">
        <v>143</v>
      </c>
      <c r="L381" s="175">
        <v>1</v>
      </c>
      <c r="M381" s="175">
        <v>1</v>
      </c>
      <c r="N381" s="175">
        <v>1</v>
      </c>
    </row>
    <row r="382" spans="1:14" x14ac:dyDescent="0.2">
      <c r="A382" s="174">
        <f t="shared" si="6"/>
        <v>0</v>
      </c>
      <c r="C382" s="174">
        <f t="shared" si="5"/>
        <v>1</v>
      </c>
      <c r="F382" s="175">
        <v>144</v>
      </c>
      <c r="G382" s="175" t="b">
        <v>0</v>
      </c>
      <c r="H382" s="175" t="b">
        <v>0</v>
      </c>
      <c r="I382" s="175" t="b">
        <v>0</v>
      </c>
      <c r="K382" s="175">
        <v>144</v>
      </c>
      <c r="L382" s="175">
        <v>1</v>
      </c>
      <c r="M382" s="175">
        <v>1</v>
      </c>
      <c r="N382" s="175">
        <v>1</v>
      </c>
    </row>
    <row r="383" spans="1:14" x14ac:dyDescent="0.2">
      <c r="A383" s="174">
        <f t="shared" si="6"/>
        <v>0</v>
      </c>
      <c r="C383" s="174">
        <f t="shared" si="5"/>
        <v>1</v>
      </c>
      <c r="F383" s="175">
        <v>145</v>
      </c>
      <c r="G383" s="175" t="b">
        <v>0</v>
      </c>
      <c r="H383" s="175" t="b">
        <v>0</v>
      </c>
      <c r="I383" s="175" t="b">
        <v>0</v>
      </c>
      <c r="K383" s="175">
        <v>145</v>
      </c>
      <c r="L383" s="175">
        <v>1</v>
      </c>
      <c r="M383" s="175">
        <v>1</v>
      </c>
      <c r="N383" s="175">
        <v>1</v>
      </c>
    </row>
    <row r="384" spans="1:14" x14ac:dyDescent="0.2">
      <c r="A384" s="174">
        <f t="shared" si="6"/>
        <v>0</v>
      </c>
      <c r="C384" s="174">
        <f t="shared" si="5"/>
        <v>1</v>
      </c>
      <c r="F384" s="175">
        <v>146</v>
      </c>
      <c r="G384" s="175" t="b">
        <v>0</v>
      </c>
      <c r="H384" s="175" t="b">
        <v>0</v>
      </c>
      <c r="I384" s="175" t="b">
        <v>0</v>
      </c>
      <c r="K384" s="175">
        <v>146</v>
      </c>
      <c r="L384" s="175">
        <v>1</v>
      </c>
      <c r="M384" s="175">
        <v>1</v>
      </c>
      <c r="N384" s="175">
        <v>1</v>
      </c>
    </row>
    <row r="385" spans="1:14" x14ac:dyDescent="0.2">
      <c r="A385" s="174">
        <f t="shared" si="6"/>
        <v>0</v>
      </c>
      <c r="C385" s="174">
        <f t="shared" si="5"/>
        <v>1</v>
      </c>
      <c r="F385" s="175">
        <v>147</v>
      </c>
      <c r="G385" s="175" t="b">
        <v>0</v>
      </c>
      <c r="H385" s="175" t="b">
        <v>0</v>
      </c>
      <c r="I385" s="175" t="b">
        <v>0</v>
      </c>
      <c r="K385" s="175">
        <v>147</v>
      </c>
      <c r="L385" s="175">
        <v>1</v>
      </c>
      <c r="M385" s="175">
        <v>1</v>
      </c>
      <c r="N385" s="175">
        <v>1</v>
      </c>
    </row>
    <row r="386" spans="1:14" x14ac:dyDescent="0.2">
      <c r="A386" s="174">
        <f t="shared" si="6"/>
        <v>0</v>
      </c>
      <c r="C386" s="174">
        <f t="shared" si="5"/>
        <v>1</v>
      </c>
      <c r="F386" s="175">
        <v>148</v>
      </c>
      <c r="G386" s="175" t="b">
        <v>0</v>
      </c>
      <c r="H386" s="175" t="b">
        <v>0</v>
      </c>
      <c r="I386" s="175" t="b">
        <v>0</v>
      </c>
      <c r="K386" s="175">
        <v>148</v>
      </c>
      <c r="L386" s="175">
        <v>1</v>
      </c>
      <c r="M386" s="175">
        <v>1</v>
      </c>
      <c r="N386" s="175">
        <v>1</v>
      </c>
    </row>
    <row r="387" spans="1:14" x14ac:dyDescent="0.2">
      <c r="A387" s="174">
        <f t="shared" si="6"/>
        <v>0</v>
      </c>
      <c r="C387" s="174">
        <f t="shared" si="5"/>
        <v>1</v>
      </c>
      <c r="F387" s="175">
        <v>149</v>
      </c>
      <c r="G387" s="175" t="b">
        <v>0</v>
      </c>
      <c r="H387" s="175" t="b">
        <v>0</v>
      </c>
      <c r="I387" s="175" t="b">
        <v>0</v>
      </c>
      <c r="K387" s="175">
        <v>149</v>
      </c>
      <c r="L387" s="175">
        <v>1</v>
      </c>
      <c r="M387" s="175">
        <v>1</v>
      </c>
      <c r="N387" s="175">
        <v>1</v>
      </c>
    </row>
    <row r="388" spans="1:14" x14ac:dyDescent="0.2">
      <c r="A388" s="174">
        <f t="shared" si="6"/>
        <v>0</v>
      </c>
      <c r="C388" s="174">
        <f t="shared" si="5"/>
        <v>1</v>
      </c>
      <c r="F388" s="175">
        <v>150</v>
      </c>
      <c r="G388" s="175" t="b">
        <v>0</v>
      </c>
      <c r="H388" s="175" t="b">
        <v>0</v>
      </c>
      <c r="I388" s="175" t="b">
        <v>0</v>
      </c>
      <c r="K388" s="175">
        <v>150</v>
      </c>
      <c r="L388" s="175">
        <v>1</v>
      </c>
      <c r="M388" s="175">
        <v>1</v>
      </c>
      <c r="N388" s="175">
        <v>1</v>
      </c>
    </row>
    <row r="389" spans="1:14" x14ac:dyDescent="0.2">
      <c r="A389" s="174">
        <f t="shared" si="6"/>
        <v>0</v>
      </c>
      <c r="C389" s="174">
        <f t="shared" si="5"/>
        <v>1</v>
      </c>
      <c r="F389" s="175">
        <v>151</v>
      </c>
      <c r="G389" s="175" t="b">
        <v>0</v>
      </c>
      <c r="H389" s="175" t="b">
        <v>0</v>
      </c>
      <c r="I389" s="175" t="b">
        <v>0</v>
      </c>
      <c r="K389" s="175">
        <v>151</v>
      </c>
      <c r="L389" s="175">
        <v>1</v>
      </c>
      <c r="M389" s="175">
        <v>1</v>
      </c>
      <c r="N389" s="175">
        <v>1</v>
      </c>
    </row>
    <row r="390" spans="1:14" x14ac:dyDescent="0.2">
      <c r="A390" s="174">
        <f t="shared" si="6"/>
        <v>0</v>
      </c>
      <c r="C390" s="174">
        <f t="shared" si="5"/>
        <v>1</v>
      </c>
      <c r="F390" s="175">
        <v>152</v>
      </c>
      <c r="G390" s="175" t="b">
        <v>0</v>
      </c>
      <c r="H390" s="175" t="b">
        <v>0</v>
      </c>
      <c r="I390" s="175" t="b">
        <v>0</v>
      </c>
      <c r="K390" s="175">
        <v>152</v>
      </c>
      <c r="L390" s="175">
        <v>1</v>
      </c>
      <c r="M390" s="175">
        <v>1</v>
      </c>
      <c r="N390" s="175">
        <v>1</v>
      </c>
    </row>
    <row r="391" spans="1:14" x14ac:dyDescent="0.2">
      <c r="A391" s="174">
        <f t="shared" si="6"/>
        <v>0</v>
      </c>
      <c r="C391" s="174">
        <f t="shared" si="5"/>
        <v>1</v>
      </c>
      <c r="F391" s="175">
        <v>153</v>
      </c>
      <c r="G391" s="175" t="b">
        <v>0</v>
      </c>
      <c r="H391" s="175" t="b">
        <v>0</v>
      </c>
      <c r="I391" s="175" t="b">
        <v>0</v>
      </c>
      <c r="K391" s="175">
        <v>153</v>
      </c>
      <c r="L391" s="175">
        <v>1</v>
      </c>
      <c r="M391" s="175">
        <v>1</v>
      </c>
      <c r="N391" s="175">
        <v>1</v>
      </c>
    </row>
    <row r="392" spans="1:14" x14ac:dyDescent="0.2">
      <c r="A392" s="174">
        <f t="shared" si="6"/>
        <v>0</v>
      </c>
      <c r="C392" s="174">
        <f t="shared" si="5"/>
        <v>1</v>
      </c>
      <c r="F392" s="175">
        <v>154</v>
      </c>
      <c r="G392" s="175" t="b">
        <v>0</v>
      </c>
      <c r="H392" s="175" t="b">
        <v>0</v>
      </c>
      <c r="I392" s="175" t="b">
        <v>0</v>
      </c>
      <c r="K392" s="175">
        <v>154</v>
      </c>
      <c r="L392" s="175">
        <v>1</v>
      </c>
      <c r="M392" s="175">
        <v>1</v>
      </c>
      <c r="N392" s="175">
        <v>1</v>
      </c>
    </row>
    <row r="393" spans="1:14" x14ac:dyDescent="0.2">
      <c r="A393" s="174">
        <f t="shared" si="6"/>
        <v>0</v>
      </c>
      <c r="C393" s="174">
        <f t="shared" si="5"/>
        <v>1</v>
      </c>
      <c r="F393" s="175">
        <v>155</v>
      </c>
      <c r="G393" s="175" t="b">
        <v>0</v>
      </c>
      <c r="H393" s="175" t="b">
        <v>0</v>
      </c>
      <c r="I393" s="175" t="b">
        <v>0</v>
      </c>
      <c r="K393" s="175">
        <v>155</v>
      </c>
      <c r="L393" s="175">
        <v>1</v>
      </c>
      <c r="M393" s="175">
        <v>1</v>
      </c>
      <c r="N393" s="175">
        <v>1</v>
      </c>
    </row>
    <row r="394" spans="1:14" x14ac:dyDescent="0.2">
      <c r="A394" s="174">
        <f t="shared" si="6"/>
        <v>0</v>
      </c>
      <c r="C394" s="174">
        <f t="shared" si="5"/>
        <v>1</v>
      </c>
      <c r="F394" s="175">
        <v>156</v>
      </c>
      <c r="G394" s="175" t="b">
        <v>0</v>
      </c>
      <c r="H394" s="175" t="b">
        <v>0</v>
      </c>
      <c r="I394" s="175" t="b">
        <v>0</v>
      </c>
      <c r="K394" s="175">
        <v>156</v>
      </c>
      <c r="L394" s="175">
        <v>1</v>
      </c>
      <c r="M394" s="175">
        <v>1</v>
      </c>
      <c r="N394" s="175">
        <v>1</v>
      </c>
    </row>
    <row r="395" spans="1:14" x14ac:dyDescent="0.2">
      <c r="A395" s="174">
        <f t="shared" si="6"/>
        <v>0</v>
      </c>
      <c r="C395" s="174">
        <f t="shared" si="5"/>
        <v>1</v>
      </c>
      <c r="F395" s="175">
        <v>157</v>
      </c>
      <c r="G395" s="175" t="b">
        <v>0</v>
      </c>
      <c r="H395" s="175" t="b">
        <v>0</v>
      </c>
      <c r="I395" s="175" t="b">
        <v>0</v>
      </c>
      <c r="K395" s="175">
        <v>157</v>
      </c>
      <c r="L395" s="175">
        <v>1</v>
      </c>
      <c r="M395" s="175">
        <v>1</v>
      </c>
      <c r="N395" s="175">
        <v>1</v>
      </c>
    </row>
    <row r="396" spans="1:14" x14ac:dyDescent="0.2">
      <c r="A396" s="174">
        <f t="shared" si="6"/>
        <v>0</v>
      </c>
      <c r="C396" s="174">
        <f t="shared" si="5"/>
        <v>1</v>
      </c>
      <c r="F396" s="175">
        <v>158</v>
      </c>
      <c r="G396" s="175" t="b">
        <v>0</v>
      </c>
      <c r="H396" s="175" t="b">
        <v>0</v>
      </c>
      <c r="I396" s="175" t="b">
        <v>0</v>
      </c>
      <c r="K396" s="175">
        <v>158</v>
      </c>
      <c r="L396" s="175">
        <v>1</v>
      </c>
      <c r="M396" s="175">
        <v>1</v>
      </c>
      <c r="N396" s="175">
        <v>1</v>
      </c>
    </row>
    <row r="397" spans="1:14" x14ac:dyDescent="0.2">
      <c r="A397" s="174">
        <f t="shared" si="6"/>
        <v>0</v>
      </c>
      <c r="C397" s="174">
        <f t="shared" si="5"/>
        <v>1</v>
      </c>
      <c r="F397" s="175">
        <v>159</v>
      </c>
      <c r="G397" s="175" t="b">
        <v>0</v>
      </c>
      <c r="H397" s="175" t="b">
        <v>0</v>
      </c>
      <c r="I397" s="175" t="b">
        <v>0</v>
      </c>
      <c r="K397" s="175">
        <v>159</v>
      </c>
      <c r="L397" s="175">
        <v>1</v>
      </c>
      <c r="M397" s="175">
        <v>1</v>
      </c>
      <c r="N397" s="175">
        <v>1</v>
      </c>
    </row>
    <row r="398" spans="1:14" x14ac:dyDescent="0.2">
      <c r="A398" s="174">
        <f t="shared" si="6"/>
        <v>0</v>
      </c>
      <c r="C398" s="174">
        <f t="shared" si="5"/>
        <v>1</v>
      </c>
      <c r="F398" s="175">
        <v>160</v>
      </c>
      <c r="G398" s="175" t="b">
        <v>0</v>
      </c>
      <c r="H398" s="175" t="b">
        <v>0</v>
      </c>
      <c r="I398" s="175" t="b">
        <v>0</v>
      </c>
      <c r="K398" s="175">
        <v>160</v>
      </c>
      <c r="L398" s="175">
        <v>1</v>
      </c>
      <c r="M398" s="175">
        <v>1</v>
      </c>
      <c r="N398" s="175">
        <v>1</v>
      </c>
    </row>
    <row r="399" spans="1:14" x14ac:dyDescent="0.2">
      <c r="A399" s="174">
        <f t="shared" si="6"/>
        <v>0</v>
      </c>
      <c r="C399" s="174">
        <f t="shared" si="5"/>
        <v>1</v>
      </c>
      <c r="F399" s="175">
        <v>161</v>
      </c>
      <c r="G399" s="175" t="b">
        <v>0</v>
      </c>
      <c r="H399" s="175" t="b">
        <v>0</v>
      </c>
      <c r="I399" s="175" t="b">
        <v>0</v>
      </c>
      <c r="K399" s="175">
        <v>161</v>
      </c>
      <c r="L399" s="175">
        <v>1</v>
      </c>
      <c r="M399" s="175">
        <v>1</v>
      </c>
      <c r="N399" s="175">
        <v>1</v>
      </c>
    </row>
    <row r="400" spans="1:14" x14ac:dyDescent="0.2">
      <c r="A400" s="174">
        <f t="shared" si="6"/>
        <v>0</v>
      </c>
      <c r="C400" s="174">
        <f t="shared" si="5"/>
        <v>1</v>
      </c>
      <c r="F400" s="175">
        <v>162</v>
      </c>
      <c r="G400" s="175" t="b">
        <v>0</v>
      </c>
      <c r="H400" s="175" t="b">
        <v>0</v>
      </c>
      <c r="I400" s="175" t="b">
        <v>0</v>
      </c>
      <c r="K400" s="175">
        <v>162</v>
      </c>
      <c r="L400" s="175">
        <v>1</v>
      </c>
      <c r="M400" s="175">
        <v>1</v>
      </c>
      <c r="N400" s="175">
        <v>1</v>
      </c>
    </row>
    <row r="401" spans="1:14" x14ac:dyDescent="0.2">
      <c r="A401" s="174">
        <f t="shared" si="6"/>
        <v>0</v>
      </c>
      <c r="C401" s="174">
        <f t="shared" si="5"/>
        <v>1</v>
      </c>
      <c r="F401" s="175">
        <v>163</v>
      </c>
      <c r="G401" s="175" t="b">
        <v>0</v>
      </c>
      <c r="H401" s="175" t="b">
        <v>0</v>
      </c>
      <c r="I401" s="175" t="b">
        <v>0</v>
      </c>
      <c r="K401" s="175">
        <v>163</v>
      </c>
      <c r="L401" s="175">
        <v>1</v>
      </c>
      <c r="M401" s="175">
        <v>1</v>
      </c>
      <c r="N401" s="175">
        <v>1</v>
      </c>
    </row>
    <row r="402" spans="1:14" x14ac:dyDescent="0.2">
      <c r="A402" s="174">
        <f t="shared" si="6"/>
        <v>0</v>
      </c>
      <c r="C402" s="174">
        <f t="shared" si="5"/>
        <v>1</v>
      </c>
      <c r="F402" s="175">
        <v>164</v>
      </c>
      <c r="G402" s="175" t="b">
        <v>0</v>
      </c>
      <c r="H402" s="175" t="b">
        <v>0</v>
      </c>
      <c r="I402" s="175" t="b">
        <v>0</v>
      </c>
      <c r="K402" s="175">
        <v>164</v>
      </c>
      <c r="L402" s="175">
        <v>1</v>
      </c>
      <c r="M402" s="175">
        <v>1</v>
      </c>
      <c r="N402" s="175">
        <v>1</v>
      </c>
    </row>
    <row r="403" spans="1:14" x14ac:dyDescent="0.2">
      <c r="A403" s="174">
        <f t="shared" si="6"/>
        <v>0</v>
      </c>
      <c r="C403" s="174">
        <f t="shared" si="5"/>
        <v>1</v>
      </c>
      <c r="F403" s="175">
        <v>165</v>
      </c>
      <c r="G403" s="175" t="b">
        <v>0</v>
      </c>
      <c r="H403" s="175" t="b">
        <v>0</v>
      </c>
      <c r="I403" s="175" t="b">
        <v>0</v>
      </c>
      <c r="K403" s="175">
        <v>165</v>
      </c>
      <c r="L403" s="175">
        <v>1</v>
      </c>
      <c r="M403" s="175">
        <v>1</v>
      </c>
      <c r="N403" s="175">
        <v>1</v>
      </c>
    </row>
    <row r="404" spans="1:14" x14ac:dyDescent="0.2">
      <c r="A404" s="174">
        <f t="shared" si="6"/>
        <v>0</v>
      </c>
      <c r="C404" s="174">
        <f t="shared" si="5"/>
        <v>1</v>
      </c>
      <c r="F404" s="175">
        <v>166</v>
      </c>
      <c r="G404" s="175" t="b">
        <v>0</v>
      </c>
      <c r="H404" s="175" t="b">
        <v>0</v>
      </c>
      <c r="I404" s="175" t="b">
        <v>0</v>
      </c>
      <c r="K404" s="175">
        <v>166</v>
      </c>
      <c r="L404" s="175">
        <v>1</v>
      </c>
      <c r="M404" s="175">
        <v>1</v>
      </c>
      <c r="N404" s="175">
        <v>1</v>
      </c>
    </row>
    <row r="405" spans="1:14" x14ac:dyDescent="0.2">
      <c r="A405" s="174">
        <f t="shared" si="6"/>
        <v>0</v>
      </c>
      <c r="C405" s="174">
        <f t="shared" si="5"/>
        <v>1</v>
      </c>
      <c r="F405" s="175">
        <v>167</v>
      </c>
      <c r="G405" s="175" t="b">
        <v>0</v>
      </c>
      <c r="H405" s="175" t="b">
        <v>0</v>
      </c>
      <c r="I405" s="175" t="b">
        <v>0</v>
      </c>
      <c r="K405" s="175">
        <v>167</v>
      </c>
      <c r="L405" s="175">
        <v>1</v>
      </c>
      <c r="M405" s="175">
        <v>1</v>
      </c>
      <c r="N405" s="175">
        <v>1</v>
      </c>
    </row>
    <row r="406" spans="1:14" x14ac:dyDescent="0.2">
      <c r="A406" s="174">
        <f t="shared" si="6"/>
        <v>0</v>
      </c>
      <c r="C406" s="174">
        <f t="shared" si="5"/>
        <v>1</v>
      </c>
      <c r="F406" s="175">
        <v>168</v>
      </c>
      <c r="G406" s="175" t="b">
        <v>0</v>
      </c>
      <c r="H406" s="175" t="b">
        <v>0</v>
      </c>
      <c r="I406" s="175" t="b">
        <v>0</v>
      </c>
      <c r="K406" s="175">
        <v>168</v>
      </c>
      <c r="L406" s="175">
        <v>1</v>
      </c>
      <c r="M406" s="175">
        <v>1</v>
      </c>
      <c r="N406" s="175">
        <v>1</v>
      </c>
    </row>
    <row r="407" spans="1:14" x14ac:dyDescent="0.2">
      <c r="A407" s="174">
        <f t="shared" si="6"/>
        <v>0</v>
      </c>
      <c r="C407" s="174">
        <f t="shared" si="5"/>
        <v>1</v>
      </c>
      <c r="F407" s="175">
        <v>169</v>
      </c>
      <c r="G407" s="175" t="b">
        <v>0</v>
      </c>
      <c r="H407" s="175" t="b">
        <v>0</v>
      </c>
      <c r="I407" s="175" t="b">
        <v>0</v>
      </c>
      <c r="K407" s="175">
        <v>169</v>
      </c>
      <c r="L407" s="175">
        <v>1</v>
      </c>
      <c r="M407" s="175">
        <v>1</v>
      </c>
      <c r="N407" s="175">
        <v>1</v>
      </c>
    </row>
    <row r="408" spans="1:14" x14ac:dyDescent="0.2">
      <c r="A408" s="174">
        <f t="shared" si="6"/>
        <v>0</v>
      </c>
      <c r="C408" s="174">
        <f t="shared" si="5"/>
        <v>1</v>
      </c>
      <c r="F408" s="175">
        <v>170</v>
      </c>
      <c r="G408" s="175" t="b">
        <v>0</v>
      </c>
      <c r="H408" s="175" t="b">
        <v>0</v>
      </c>
      <c r="I408" s="175" t="b">
        <v>0</v>
      </c>
      <c r="K408" s="175">
        <v>170</v>
      </c>
      <c r="L408" s="175">
        <v>1</v>
      </c>
      <c r="M408" s="175">
        <v>1</v>
      </c>
      <c r="N408" s="175">
        <v>1</v>
      </c>
    </row>
    <row r="409" spans="1:14" x14ac:dyDescent="0.2">
      <c r="A409" s="174">
        <f t="shared" si="6"/>
        <v>0</v>
      </c>
      <c r="C409" s="174">
        <f t="shared" si="5"/>
        <v>1</v>
      </c>
      <c r="F409" s="175">
        <v>171</v>
      </c>
      <c r="G409" s="175" t="b">
        <v>0</v>
      </c>
      <c r="H409" s="175" t="b">
        <v>0</v>
      </c>
      <c r="I409" s="175" t="b">
        <v>0</v>
      </c>
      <c r="K409" s="175">
        <v>171</v>
      </c>
      <c r="L409" s="175">
        <v>1</v>
      </c>
      <c r="M409" s="175">
        <v>1</v>
      </c>
      <c r="N409" s="175">
        <v>1</v>
      </c>
    </row>
    <row r="410" spans="1:14" x14ac:dyDescent="0.2">
      <c r="A410" s="174">
        <f t="shared" si="6"/>
        <v>0</v>
      </c>
      <c r="C410" s="174">
        <f t="shared" si="5"/>
        <v>1</v>
      </c>
      <c r="F410" s="175">
        <v>172</v>
      </c>
      <c r="G410" s="175" t="b">
        <v>0</v>
      </c>
      <c r="H410" s="175" t="b">
        <v>0</v>
      </c>
      <c r="I410" s="175" t="b">
        <v>0</v>
      </c>
      <c r="K410" s="175">
        <v>172</v>
      </c>
      <c r="L410" s="175">
        <v>1</v>
      </c>
      <c r="M410" s="175">
        <v>1</v>
      </c>
      <c r="N410" s="175">
        <v>1</v>
      </c>
    </row>
    <row r="411" spans="1:14" x14ac:dyDescent="0.2">
      <c r="A411" s="174">
        <f t="shared" si="6"/>
        <v>0</v>
      </c>
      <c r="C411" s="174">
        <f t="shared" si="5"/>
        <v>1</v>
      </c>
      <c r="F411" s="175">
        <v>173</v>
      </c>
      <c r="G411" s="175" t="b">
        <v>0</v>
      </c>
      <c r="H411" s="175" t="b">
        <v>0</v>
      </c>
      <c r="I411" s="175" t="b">
        <v>0</v>
      </c>
      <c r="K411" s="175">
        <v>173</v>
      </c>
      <c r="L411" s="175">
        <v>1</v>
      </c>
      <c r="M411" s="175">
        <v>1</v>
      </c>
      <c r="N411" s="175">
        <v>1</v>
      </c>
    </row>
    <row r="412" spans="1:14" x14ac:dyDescent="0.2">
      <c r="A412" s="174">
        <f t="shared" si="6"/>
        <v>0</v>
      </c>
      <c r="C412" s="174">
        <f t="shared" si="5"/>
        <v>1</v>
      </c>
      <c r="F412" s="175">
        <v>174</v>
      </c>
      <c r="G412" s="175" t="b">
        <v>0</v>
      </c>
      <c r="H412" s="175" t="b">
        <v>0</v>
      </c>
      <c r="I412" s="175" t="b">
        <v>0</v>
      </c>
      <c r="K412" s="175">
        <v>174</v>
      </c>
      <c r="L412" s="175">
        <v>1</v>
      </c>
      <c r="M412" s="175">
        <v>1</v>
      </c>
      <c r="N412" s="175">
        <v>1</v>
      </c>
    </row>
    <row r="413" spans="1:14" x14ac:dyDescent="0.2">
      <c r="A413" s="174">
        <f t="shared" si="6"/>
        <v>0</v>
      </c>
      <c r="C413" s="174">
        <f t="shared" si="5"/>
        <v>1</v>
      </c>
      <c r="F413" s="175">
        <v>175</v>
      </c>
      <c r="G413" s="175" t="b">
        <v>0</v>
      </c>
      <c r="H413" s="175" t="b">
        <v>0</v>
      </c>
      <c r="I413" s="175" t="b">
        <v>0</v>
      </c>
      <c r="K413" s="175">
        <v>175</v>
      </c>
      <c r="L413" s="175">
        <v>1</v>
      </c>
      <c r="M413" s="175">
        <v>1</v>
      </c>
      <c r="N413" s="175">
        <v>1</v>
      </c>
    </row>
    <row r="414" spans="1:14" x14ac:dyDescent="0.2">
      <c r="A414" s="174">
        <f t="shared" si="6"/>
        <v>0</v>
      </c>
      <c r="C414" s="174">
        <f t="shared" si="5"/>
        <v>1</v>
      </c>
      <c r="F414" s="175">
        <v>176</v>
      </c>
      <c r="G414" s="175" t="b">
        <v>0</v>
      </c>
      <c r="H414" s="175" t="b">
        <v>0</v>
      </c>
      <c r="I414" s="175" t="b">
        <v>0</v>
      </c>
      <c r="K414" s="175">
        <v>176</v>
      </c>
      <c r="L414" s="175">
        <v>1</v>
      </c>
      <c r="M414" s="175">
        <v>1</v>
      </c>
      <c r="N414" s="175">
        <v>1</v>
      </c>
    </row>
    <row r="415" spans="1:14" x14ac:dyDescent="0.2">
      <c r="A415" s="174">
        <f t="shared" si="6"/>
        <v>0</v>
      </c>
      <c r="C415" s="174">
        <f t="shared" si="5"/>
        <v>1</v>
      </c>
      <c r="F415" s="175">
        <v>177</v>
      </c>
      <c r="G415" s="175" t="b">
        <v>0</v>
      </c>
      <c r="H415" s="175" t="b">
        <v>0</v>
      </c>
      <c r="I415" s="175" t="b">
        <v>0</v>
      </c>
      <c r="K415" s="175">
        <v>177</v>
      </c>
      <c r="L415" s="175">
        <v>1</v>
      </c>
      <c r="M415" s="175">
        <v>1</v>
      </c>
      <c r="N415" s="175">
        <v>1</v>
      </c>
    </row>
    <row r="416" spans="1:14" x14ac:dyDescent="0.2">
      <c r="A416" s="174">
        <f t="shared" si="6"/>
        <v>0</v>
      </c>
      <c r="C416" s="174">
        <f t="shared" si="5"/>
        <v>1</v>
      </c>
      <c r="F416" s="175">
        <v>178</v>
      </c>
      <c r="G416" s="175" t="b">
        <v>0</v>
      </c>
      <c r="H416" s="175" t="b">
        <v>0</v>
      </c>
      <c r="I416" s="175" t="b">
        <v>0</v>
      </c>
      <c r="K416" s="175">
        <v>178</v>
      </c>
      <c r="L416" s="175">
        <v>1</v>
      </c>
      <c r="M416" s="175">
        <v>1</v>
      </c>
      <c r="N416" s="175">
        <v>1</v>
      </c>
    </row>
    <row r="417" spans="1:14" x14ac:dyDescent="0.2">
      <c r="A417" s="174">
        <f t="shared" si="6"/>
        <v>0</v>
      </c>
      <c r="C417" s="174">
        <f t="shared" si="5"/>
        <v>1</v>
      </c>
      <c r="F417" s="175">
        <v>179</v>
      </c>
      <c r="G417" s="175" t="b">
        <v>0</v>
      </c>
      <c r="H417" s="175" t="b">
        <v>0</v>
      </c>
      <c r="I417" s="175" t="b">
        <v>0</v>
      </c>
      <c r="K417" s="175">
        <v>179</v>
      </c>
      <c r="L417" s="175">
        <v>1</v>
      </c>
      <c r="M417" s="175">
        <v>1</v>
      </c>
      <c r="N417" s="175">
        <v>1</v>
      </c>
    </row>
    <row r="418" spans="1:14" x14ac:dyDescent="0.2">
      <c r="A418" s="174">
        <f t="shared" si="6"/>
        <v>0</v>
      </c>
      <c r="C418" s="174">
        <f t="shared" si="5"/>
        <v>1</v>
      </c>
      <c r="F418" s="175">
        <v>180</v>
      </c>
      <c r="G418" s="175" t="b">
        <v>0</v>
      </c>
      <c r="H418" s="175" t="b">
        <v>0</v>
      </c>
      <c r="I418" s="175" t="b">
        <v>0</v>
      </c>
      <c r="K418" s="175">
        <v>180</v>
      </c>
      <c r="L418" s="175">
        <v>1</v>
      </c>
      <c r="M418" s="175">
        <v>1</v>
      </c>
      <c r="N418" s="175">
        <v>1</v>
      </c>
    </row>
    <row r="419" spans="1:14" x14ac:dyDescent="0.2">
      <c r="A419" s="174">
        <f t="shared" si="6"/>
        <v>0</v>
      </c>
      <c r="C419" s="174">
        <f t="shared" si="5"/>
        <v>1</v>
      </c>
      <c r="F419" s="175">
        <v>181</v>
      </c>
      <c r="G419" s="175" t="b">
        <v>0</v>
      </c>
      <c r="H419" s="175" t="b">
        <v>0</v>
      </c>
      <c r="I419" s="175" t="b">
        <v>0</v>
      </c>
      <c r="K419" s="175">
        <v>181</v>
      </c>
      <c r="L419" s="175">
        <v>1</v>
      </c>
      <c r="M419" s="175">
        <v>1</v>
      </c>
      <c r="N419" s="175">
        <v>1</v>
      </c>
    </row>
    <row r="420" spans="1:14" x14ac:dyDescent="0.2">
      <c r="A420" s="174">
        <f t="shared" si="6"/>
        <v>0</v>
      </c>
      <c r="C420" s="174">
        <f t="shared" si="5"/>
        <v>1</v>
      </c>
      <c r="F420" s="175">
        <v>182</v>
      </c>
      <c r="G420" s="175" t="b">
        <v>0</v>
      </c>
      <c r="H420" s="175" t="b">
        <v>0</v>
      </c>
      <c r="I420" s="175" t="b">
        <v>0</v>
      </c>
      <c r="K420" s="175">
        <v>182</v>
      </c>
      <c r="L420" s="175">
        <v>1</v>
      </c>
      <c r="M420" s="175">
        <v>1</v>
      </c>
      <c r="N420" s="175">
        <v>1</v>
      </c>
    </row>
    <row r="421" spans="1:14" x14ac:dyDescent="0.2">
      <c r="A421" s="174">
        <f t="shared" si="6"/>
        <v>0</v>
      </c>
      <c r="C421" s="174">
        <f t="shared" si="5"/>
        <v>1</v>
      </c>
      <c r="F421" s="175">
        <v>183</v>
      </c>
      <c r="G421" s="175" t="b">
        <v>0</v>
      </c>
      <c r="H421" s="175" t="b">
        <v>0</v>
      </c>
      <c r="I421" s="175" t="b">
        <v>0</v>
      </c>
      <c r="K421" s="175">
        <v>183</v>
      </c>
      <c r="L421" s="175">
        <v>1</v>
      </c>
      <c r="M421" s="175">
        <v>1</v>
      </c>
      <c r="N421" s="175">
        <v>1</v>
      </c>
    </row>
    <row r="422" spans="1:14" x14ac:dyDescent="0.2">
      <c r="A422" s="174">
        <f t="shared" si="6"/>
        <v>0</v>
      </c>
      <c r="C422" s="174">
        <f t="shared" si="5"/>
        <v>1</v>
      </c>
      <c r="F422" s="175">
        <v>184</v>
      </c>
      <c r="G422" s="175" t="b">
        <v>0</v>
      </c>
      <c r="H422" s="175" t="b">
        <v>0</v>
      </c>
      <c r="I422" s="175" t="b">
        <v>0</v>
      </c>
      <c r="K422" s="175">
        <v>184</v>
      </c>
      <c r="L422" s="175">
        <v>1</v>
      </c>
      <c r="M422" s="175">
        <v>1</v>
      </c>
      <c r="N422" s="175">
        <v>1</v>
      </c>
    </row>
    <row r="423" spans="1:14" x14ac:dyDescent="0.2">
      <c r="A423" s="174">
        <f t="shared" si="6"/>
        <v>0</v>
      </c>
      <c r="C423" s="174">
        <f t="shared" si="5"/>
        <v>1</v>
      </c>
      <c r="F423" s="175">
        <v>185</v>
      </c>
      <c r="G423" s="175" t="b">
        <v>0</v>
      </c>
      <c r="H423" s="175" t="b">
        <v>0</v>
      </c>
      <c r="I423" s="175" t="b">
        <v>0</v>
      </c>
      <c r="K423" s="175">
        <v>185</v>
      </c>
      <c r="L423" s="175">
        <v>1</v>
      </c>
      <c r="M423" s="175">
        <v>1</v>
      </c>
      <c r="N423" s="175">
        <v>1</v>
      </c>
    </row>
    <row r="424" spans="1:14" x14ac:dyDescent="0.2">
      <c r="A424" s="174">
        <f t="shared" si="6"/>
        <v>0</v>
      </c>
      <c r="C424" s="174">
        <f t="shared" si="5"/>
        <v>1</v>
      </c>
      <c r="F424" s="175">
        <v>186</v>
      </c>
      <c r="G424" s="175" t="b">
        <v>0</v>
      </c>
      <c r="H424" s="175" t="b">
        <v>0</v>
      </c>
      <c r="I424" s="175" t="b">
        <v>0</v>
      </c>
      <c r="K424" s="175">
        <v>186</v>
      </c>
      <c r="L424" s="175">
        <v>1</v>
      </c>
      <c r="M424" s="175">
        <v>1</v>
      </c>
      <c r="N424" s="175">
        <v>1</v>
      </c>
    </row>
    <row r="425" spans="1:14" x14ac:dyDescent="0.2">
      <c r="A425" s="174">
        <f t="shared" si="6"/>
        <v>0</v>
      </c>
      <c r="C425" s="174">
        <f t="shared" si="5"/>
        <v>1</v>
      </c>
      <c r="F425" s="175">
        <v>187</v>
      </c>
      <c r="G425" s="175" t="b">
        <v>0</v>
      </c>
      <c r="H425" s="175" t="b">
        <v>0</v>
      </c>
      <c r="I425" s="175" t="b">
        <v>0</v>
      </c>
      <c r="K425" s="175">
        <v>187</v>
      </c>
      <c r="L425" s="175">
        <v>1</v>
      </c>
      <c r="M425" s="175">
        <v>1</v>
      </c>
      <c r="N425" s="175">
        <v>1</v>
      </c>
    </row>
    <row r="426" spans="1:14" x14ac:dyDescent="0.2">
      <c r="A426" s="174">
        <f t="shared" si="6"/>
        <v>0</v>
      </c>
      <c r="C426" s="174">
        <f t="shared" si="5"/>
        <v>1</v>
      </c>
      <c r="F426" s="175">
        <v>188</v>
      </c>
      <c r="G426" s="175" t="b">
        <v>0</v>
      </c>
      <c r="H426" s="175" t="b">
        <v>0</v>
      </c>
      <c r="I426" s="175" t="b">
        <v>0</v>
      </c>
      <c r="K426" s="175">
        <v>188</v>
      </c>
      <c r="L426" s="175">
        <v>1</v>
      </c>
      <c r="M426" s="175">
        <v>1</v>
      </c>
      <c r="N426" s="175">
        <v>1</v>
      </c>
    </row>
    <row r="427" spans="1:14" x14ac:dyDescent="0.2">
      <c r="A427" s="174">
        <f t="shared" si="6"/>
        <v>0</v>
      </c>
      <c r="C427" s="174">
        <f t="shared" si="5"/>
        <v>1</v>
      </c>
      <c r="F427" s="175">
        <v>189</v>
      </c>
      <c r="G427" s="175" t="b">
        <v>0</v>
      </c>
      <c r="H427" s="175" t="b">
        <v>0</v>
      </c>
      <c r="I427" s="175" t="b">
        <v>0</v>
      </c>
      <c r="K427" s="175">
        <v>189</v>
      </c>
      <c r="L427" s="175">
        <v>1</v>
      </c>
      <c r="M427" s="175">
        <v>1</v>
      </c>
      <c r="N427" s="175">
        <v>1</v>
      </c>
    </row>
    <row r="428" spans="1:14" x14ac:dyDescent="0.2">
      <c r="A428" s="174">
        <f t="shared" si="6"/>
        <v>0</v>
      </c>
      <c r="C428" s="174">
        <f t="shared" si="5"/>
        <v>1</v>
      </c>
      <c r="F428" s="175">
        <v>190</v>
      </c>
      <c r="G428" s="175" t="b">
        <v>0</v>
      </c>
      <c r="H428" s="175" t="b">
        <v>0</v>
      </c>
      <c r="I428" s="175" t="b">
        <v>0</v>
      </c>
      <c r="K428" s="175">
        <v>190</v>
      </c>
      <c r="L428" s="175">
        <v>1</v>
      </c>
      <c r="M428" s="175">
        <v>1</v>
      </c>
      <c r="N428" s="175">
        <v>1</v>
      </c>
    </row>
    <row r="429" spans="1:14" x14ac:dyDescent="0.2">
      <c r="A429" s="174">
        <f t="shared" si="6"/>
        <v>0</v>
      </c>
      <c r="C429" s="174">
        <f t="shared" si="5"/>
        <v>1</v>
      </c>
      <c r="F429" s="175">
        <v>191</v>
      </c>
      <c r="G429" s="175" t="b">
        <v>0</v>
      </c>
      <c r="H429" s="175" t="b">
        <v>0</v>
      </c>
      <c r="I429" s="175" t="b">
        <v>0</v>
      </c>
      <c r="K429" s="175">
        <v>191</v>
      </c>
      <c r="L429" s="175">
        <v>1</v>
      </c>
      <c r="M429" s="175">
        <v>1</v>
      </c>
      <c r="N429" s="175">
        <v>1</v>
      </c>
    </row>
    <row r="430" spans="1:14" x14ac:dyDescent="0.2">
      <c r="A430" s="174">
        <f t="shared" si="6"/>
        <v>0</v>
      </c>
      <c r="C430" s="174">
        <f t="shared" si="5"/>
        <v>1</v>
      </c>
      <c r="F430" s="175">
        <v>192</v>
      </c>
      <c r="G430" s="175" t="b">
        <v>0</v>
      </c>
      <c r="H430" s="175" t="b">
        <v>0</v>
      </c>
      <c r="I430" s="175" t="b">
        <v>0</v>
      </c>
      <c r="K430" s="175">
        <v>192</v>
      </c>
      <c r="L430" s="175">
        <v>1</v>
      </c>
      <c r="M430" s="175">
        <v>1</v>
      </c>
      <c r="N430" s="175">
        <v>1</v>
      </c>
    </row>
    <row r="431" spans="1:14" x14ac:dyDescent="0.2">
      <c r="A431" s="174">
        <f t="shared" si="6"/>
        <v>0</v>
      </c>
      <c r="C431" s="174">
        <f t="shared" si="5"/>
        <v>1</v>
      </c>
      <c r="F431" s="175">
        <v>193</v>
      </c>
      <c r="G431" s="175" t="b">
        <v>0</v>
      </c>
      <c r="H431" s="175" t="b">
        <v>0</v>
      </c>
      <c r="I431" s="175" t="b">
        <v>0</v>
      </c>
      <c r="K431" s="175">
        <v>193</v>
      </c>
      <c r="L431" s="175">
        <v>1</v>
      </c>
      <c r="M431" s="175">
        <v>1</v>
      </c>
      <c r="N431" s="175">
        <v>1</v>
      </c>
    </row>
    <row r="432" spans="1:14" x14ac:dyDescent="0.2">
      <c r="A432" s="174">
        <f t="shared" si="6"/>
        <v>0</v>
      </c>
      <c r="C432" s="174">
        <f t="shared" si="5"/>
        <v>1</v>
      </c>
      <c r="F432" s="175">
        <v>194</v>
      </c>
      <c r="G432" s="175" t="b">
        <v>0</v>
      </c>
      <c r="H432" s="175" t="b">
        <v>0</v>
      </c>
      <c r="I432" s="175" t="b">
        <v>0</v>
      </c>
      <c r="K432" s="175">
        <v>194</v>
      </c>
      <c r="L432" s="175">
        <v>1</v>
      </c>
      <c r="M432" s="175">
        <v>1</v>
      </c>
      <c r="N432" s="175">
        <v>1</v>
      </c>
    </row>
    <row r="433" spans="1:201" x14ac:dyDescent="0.2">
      <c r="A433" s="174">
        <f t="shared" si="6"/>
        <v>0</v>
      </c>
      <c r="C433" s="174">
        <f t="shared" si="5"/>
        <v>1</v>
      </c>
      <c r="F433" s="175">
        <v>195</v>
      </c>
      <c r="G433" s="175" t="b">
        <v>0</v>
      </c>
      <c r="H433" s="175" t="b">
        <v>0</v>
      </c>
      <c r="I433" s="175" t="b">
        <v>0</v>
      </c>
      <c r="K433" s="175">
        <v>195</v>
      </c>
      <c r="L433" s="175">
        <v>1</v>
      </c>
      <c r="M433" s="175">
        <v>1</v>
      </c>
      <c r="N433" s="175">
        <v>1</v>
      </c>
    </row>
    <row r="434" spans="1:201" x14ac:dyDescent="0.2">
      <c r="A434" s="174">
        <f t="shared" si="6"/>
        <v>0</v>
      </c>
      <c r="C434" s="174">
        <f t="shared" ref="C434:C438" si="7">IF($T$41,L434,1)</f>
        <v>1</v>
      </c>
      <c r="F434" s="175">
        <v>196</v>
      </c>
      <c r="G434" s="175" t="b">
        <v>0</v>
      </c>
      <c r="H434" s="175" t="b">
        <v>0</v>
      </c>
      <c r="I434" s="175" t="b">
        <v>0</v>
      </c>
      <c r="K434" s="175">
        <v>196</v>
      </c>
      <c r="L434" s="175">
        <v>1</v>
      </c>
      <c r="M434" s="175">
        <v>1</v>
      </c>
      <c r="N434" s="175">
        <v>1</v>
      </c>
    </row>
    <row r="435" spans="1:201" x14ac:dyDescent="0.2">
      <c r="A435" s="174">
        <f t="shared" ref="A435:A438" si="8">IF(G435,1,0)</f>
        <v>0</v>
      </c>
      <c r="C435" s="174">
        <f t="shared" si="7"/>
        <v>1</v>
      </c>
      <c r="F435" s="175">
        <v>197</v>
      </c>
      <c r="G435" s="175" t="b">
        <v>0</v>
      </c>
      <c r="H435" s="175" t="b">
        <v>0</v>
      </c>
      <c r="I435" s="175" t="b">
        <v>0</v>
      </c>
      <c r="K435" s="175">
        <v>197</v>
      </c>
      <c r="L435" s="175">
        <v>1</v>
      </c>
      <c r="M435" s="175">
        <v>1</v>
      </c>
      <c r="N435" s="175">
        <v>1</v>
      </c>
    </row>
    <row r="436" spans="1:201" x14ac:dyDescent="0.2">
      <c r="A436" s="174">
        <f t="shared" si="8"/>
        <v>0</v>
      </c>
      <c r="C436" s="174">
        <f t="shared" si="7"/>
        <v>1</v>
      </c>
      <c r="F436" s="175">
        <v>198</v>
      </c>
      <c r="G436" s="175" t="b">
        <v>0</v>
      </c>
      <c r="H436" s="175" t="b">
        <v>0</v>
      </c>
      <c r="I436" s="175" t="b">
        <v>0</v>
      </c>
      <c r="K436" s="175">
        <v>198</v>
      </c>
      <c r="L436" s="175">
        <v>1</v>
      </c>
      <c r="M436" s="175">
        <v>1</v>
      </c>
      <c r="N436" s="175">
        <v>1</v>
      </c>
    </row>
    <row r="437" spans="1:201" x14ac:dyDescent="0.2">
      <c r="A437" s="174">
        <f t="shared" si="8"/>
        <v>0</v>
      </c>
      <c r="C437" s="174">
        <f t="shared" si="7"/>
        <v>1</v>
      </c>
      <c r="F437" s="175">
        <v>199</v>
      </c>
      <c r="G437" s="175" t="b">
        <v>0</v>
      </c>
      <c r="H437" s="175" t="b">
        <v>0</v>
      </c>
      <c r="I437" s="175" t="b">
        <v>0</v>
      </c>
      <c r="K437" s="175">
        <v>199</v>
      </c>
      <c r="L437" s="175">
        <v>1</v>
      </c>
      <c r="M437" s="175">
        <v>1</v>
      </c>
      <c r="N437" s="175">
        <v>1</v>
      </c>
    </row>
    <row r="438" spans="1:201" x14ac:dyDescent="0.2">
      <c r="A438" s="174">
        <f t="shared" si="8"/>
        <v>0</v>
      </c>
      <c r="C438" s="174">
        <f t="shared" si="7"/>
        <v>1</v>
      </c>
      <c r="F438" s="175">
        <v>200</v>
      </c>
      <c r="G438" s="175" t="b">
        <v>0</v>
      </c>
      <c r="H438" s="175" t="b">
        <v>0</v>
      </c>
      <c r="I438" s="175" t="b">
        <v>0</v>
      </c>
      <c r="K438" s="175">
        <v>200</v>
      </c>
      <c r="L438" s="175">
        <v>1</v>
      </c>
      <c r="M438" s="175">
        <v>1</v>
      </c>
      <c r="N438" s="175">
        <v>1</v>
      </c>
    </row>
    <row r="440" spans="1:201" x14ac:dyDescent="0.2">
      <c r="A440" s="174" t="s">
        <v>136</v>
      </c>
      <c r="B440" s="174">
        <f>IF(G239,1,0)</f>
        <v>0</v>
      </c>
      <c r="C440" s="174">
        <f>IF(G240,1,0)</f>
        <v>0</v>
      </c>
      <c r="D440" s="174">
        <f>IF(G241,1,0)</f>
        <v>0</v>
      </c>
      <c r="E440" s="174">
        <f>IF(G242,1,0)</f>
        <v>0</v>
      </c>
      <c r="F440" s="174">
        <f>IF(G243,1,0)</f>
        <v>0</v>
      </c>
      <c r="G440" s="174">
        <f>IF(G244,1,0)</f>
        <v>0</v>
      </c>
      <c r="H440" s="174">
        <f>IF(G245,1,0)</f>
        <v>0</v>
      </c>
      <c r="I440" s="174">
        <f>IF(G246,1,0)</f>
        <v>0</v>
      </c>
      <c r="J440" s="174">
        <f>IF(G247,1,0)</f>
        <v>0</v>
      </c>
      <c r="K440" s="174">
        <f>IF(G248,1,0)</f>
        <v>0</v>
      </c>
      <c r="L440" s="174">
        <f>IF(G249,1,0)</f>
        <v>0</v>
      </c>
      <c r="M440" s="174">
        <f>IF(G250,1,0)</f>
        <v>0</v>
      </c>
      <c r="N440" s="174">
        <f>IF(G251,1,0)</f>
        <v>0</v>
      </c>
      <c r="O440" s="174">
        <f>IF(G252,1,0)</f>
        <v>0</v>
      </c>
      <c r="P440" s="174">
        <f>IF(G253,1,0)</f>
        <v>0</v>
      </c>
      <c r="Q440" s="174">
        <f>IF(G254,1,0)</f>
        <v>0</v>
      </c>
      <c r="R440" s="174">
        <f>IF(G255,1,0)</f>
        <v>0</v>
      </c>
      <c r="S440" s="174">
        <f>IF(G256,1,0)</f>
        <v>0</v>
      </c>
      <c r="T440" s="174">
        <f>IF(G257,1,0)</f>
        <v>0</v>
      </c>
      <c r="U440" s="174">
        <f>IF(G258,1,0)</f>
        <v>0</v>
      </c>
      <c r="V440" s="174">
        <f>IF(G259,1,0)</f>
        <v>0</v>
      </c>
      <c r="W440" s="174">
        <f>IF(G260,1,0)</f>
        <v>0</v>
      </c>
      <c r="X440" s="174">
        <f>IF(G261,1,0)</f>
        <v>0</v>
      </c>
      <c r="Y440" s="174">
        <f>IF(G262,1,0)</f>
        <v>0</v>
      </c>
      <c r="Z440" s="174">
        <f>IF(G263,1,0)</f>
        <v>0</v>
      </c>
      <c r="AA440" s="174">
        <f>IF(G264,1,0)</f>
        <v>0</v>
      </c>
      <c r="AB440" s="174">
        <f>IF(G265,1,0)</f>
        <v>0</v>
      </c>
      <c r="AC440" s="174">
        <f>IF(G266,1,0)</f>
        <v>0</v>
      </c>
      <c r="AD440" s="174">
        <f>IF(G267,1,0)</f>
        <v>0</v>
      </c>
      <c r="AE440" s="174">
        <f>IF(G268,1,0)</f>
        <v>0</v>
      </c>
      <c r="AF440" s="174">
        <f>IF(G269,1,0)</f>
        <v>0</v>
      </c>
      <c r="AG440" s="174">
        <f>IF(G270,1,0)</f>
        <v>0</v>
      </c>
      <c r="AH440" s="174">
        <f>IF(G271,1,0)</f>
        <v>0</v>
      </c>
      <c r="AI440" s="174">
        <f>IF(G272,1,0)</f>
        <v>0</v>
      </c>
      <c r="AJ440" s="174">
        <f>IF(G273,1,0)</f>
        <v>0</v>
      </c>
      <c r="AK440" s="174">
        <f>IF(G274,1,0)</f>
        <v>0</v>
      </c>
      <c r="AL440" s="174">
        <f>IF(G275,1,0)</f>
        <v>0</v>
      </c>
      <c r="AM440" s="174">
        <f>IF(G276,1,0)</f>
        <v>0</v>
      </c>
      <c r="AN440" s="174">
        <f>IF(G277,1,0)</f>
        <v>0</v>
      </c>
      <c r="AO440" s="174">
        <f>IF(G278,1,0)</f>
        <v>0</v>
      </c>
      <c r="AP440" s="174">
        <f>IF(G279,1,0)</f>
        <v>0</v>
      </c>
      <c r="AQ440" s="174">
        <f>IF(G280,1,0)</f>
        <v>0</v>
      </c>
      <c r="AR440" s="174">
        <f>IF(G281,1,0)</f>
        <v>0</v>
      </c>
      <c r="AS440" s="174">
        <f>IF(G282,1,0)</f>
        <v>0</v>
      </c>
      <c r="AT440" s="174">
        <f>IF(G283,1,0)</f>
        <v>0</v>
      </c>
      <c r="AU440" s="174">
        <f>IF(G284,1,0)</f>
        <v>0</v>
      </c>
      <c r="AV440" s="174">
        <f>IF(G285,1,0)</f>
        <v>0</v>
      </c>
      <c r="AW440" s="174">
        <f>IF(G286,1,0)</f>
        <v>0</v>
      </c>
      <c r="AX440" s="174">
        <f>IF(G287,1,0)</f>
        <v>0</v>
      </c>
      <c r="AY440" s="174">
        <f>IF(G288,1,0)</f>
        <v>0</v>
      </c>
      <c r="AZ440" s="174">
        <f>IF(G289,1,0)</f>
        <v>0</v>
      </c>
      <c r="BA440" s="174">
        <f>IF(G290,1,0)</f>
        <v>0</v>
      </c>
      <c r="BB440" s="174">
        <f>IF(G291,1,0)</f>
        <v>0</v>
      </c>
      <c r="BC440" s="174">
        <f>IF(G292,1,0)</f>
        <v>0</v>
      </c>
      <c r="BD440" s="174">
        <f>IF(G293,1,0)</f>
        <v>0</v>
      </c>
      <c r="BE440" s="174">
        <f>IF(G294,1,0)</f>
        <v>0</v>
      </c>
      <c r="BF440" s="174">
        <f>IF(G295,1,0)</f>
        <v>0</v>
      </c>
      <c r="BG440" s="174">
        <f>IF(G296,1,0)</f>
        <v>0</v>
      </c>
      <c r="BH440" s="174">
        <f>IF(G297,1,0)</f>
        <v>0</v>
      </c>
      <c r="BI440" s="174">
        <f>IF(G298,1,0)</f>
        <v>0</v>
      </c>
      <c r="BJ440" s="174">
        <f>IF(G299,1,0)</f>
        <v>0</v>
      </c>
      <c r="BK440" s="174">
        <f>IF(G300,1,0)</f>
        <v>0</v>
      </c>
      <c r="BL440" s="174">
        <f>IF(G301,1,0)</f>
        <v>0</v>
      </c>
      <c r="BM440" s="174">
        <f>IF(G302,1,0)</f>
        <v>0</v>
      </c>
      <c r="BN440" s="174">
        <f>IF(G303,1,0)</f>
        <v>0</v>
      </c>
      <c r="BO440" s="174">
        <f>IF(G304,1,0)</f>
        <v>0</v>
      </c>
      <c r="BP440" s="174">
        <f>IF(G305,1,0)</f>
        <v>0</v>
      </c>
      <c r="BQ440" s="174">
        <f>IF(G306,1,0)</f>
        <v>0</v>
      </c>
      <c r="BR440" s="174">
        <f>IF(G307,1,0)</f>
        <v>0</v>
      </c>
      <c r="BS440" s="174">
        <f>IF(G308,1,0)</f>
        <v>0</v>
      </c>
      <c r="BT440" s="174">
        <f>IF(G309,1,0)</f>
        <v>0</v>
      </c>
      <c r="BU440" s="174">
        <f>IF(G310,1,0)</f>
        <v>0</v>
      </c>
      <c r="BV440" s="174">
        <f>IF(G311,1,0)</f>
        <v>0</v>
      </c>
      <c r="BW440" s="174">
        <f>IF(G312,1,0)</f>
        <v>0</v>
      </c>
      <c r="BX440" s="174">
        <f>IF(G313,1,0)</f>
        <v>0</v>
      </c>
      <c r="BY440" s="174">
        <f>IF(G314,1,0)</f>
        <v>0</v>
      </c>
      <c r="BZ440" s="174">
        <f>IF(G315,1,0)</f>
        <v>0</v>
      </c>
      <c r="CA440" s="174">
        <f>IF(G316,1,0)</f>
        <v>0</v>
      </c>
      <c r="CB440" s="174">
        <f>IF(G317,1,0)</f>
        <v>0</v>
      </c>
      <c r="CC440" s="174">
        <f>IF(G318,1,0)</f>
        <v>0</v>
      </c>
      <c r="CD440" s="174">
        <f>IF(G319,1,0)</f>
        <v>0</v>
      </c>
      <c r="CE440" s="174">
        <f>IF(G320,1,0)</f>
        <v>0</v>
      </c>
      <c r="CF440" s="174">
        <f>IF(G321,1,0)</f>
        <v>0</v>
      </c>
      <c r="CG440" s="174">
        <f>IF(G322,1,0)</f>
        <v>0</v>
      </c>
      <c r="CH440" s="174">
        <f>IF(G323,1,0)</f>
        <v>0</v>
      </c>
      <c r="CI440" s="174">
        <f>IF(G324,1,0)</f>
        <v>0</v>
      </c>
      <c r="CJ440" s="174">
        <f>IF(G325,1,0)</f>
        <v>0</v>
      </c>
      <c r="CK440" s="174">
        <f>IF(G326,1,0)</f>
        <v>0</v>
      </c>
      <c r="CL440" s="174">
        <f>IF(G327,1,0)</f>
        <v>0</v>
      </c>
      <c r="CM440" s="174">
        <f>IF(G328,1,0)</f>
        <v>0</v>
      </c>
      <c r="CN440" s="174">
        <f>IF(G329,1,0)</f>
        <v>0</v>
      </c>
      <c r="CO440" s="174">
        <f>IF(G330,1,0)</f>
        <v>0</v>
      </c>
      <c r="CP440" s="174">
        <f>IF(G331,1,0)</f>
        <v>0</v>
      </c>
      <c r="CQ440" s="174">
        <f>IF(G332,1,0)</f>
        <v>0</v>
      </c>
      <c r="CR440" s="174">
        <f>IF(G333,1,0)</f>
        <v>0</v>
      </c>
      <c r="CS440" s="174">
        <f>IF(G334,1,0)</f>
        <v>0</v>
      </c>
      <c r="CT440" s="174">
        <f>IF(G335,1,0)</f>
        <v>0</v>
      </c>
      <c r="CU440" s="174">
        <f>IF(G336,1,0)</f>
        <v>0</v>
      </c>
      <c r="CV440" s="174">
        <f>IF(G337,1,0)</f>
        <v>0</v>
      </c>
      <c r="CW440" s="174">
        <f>IF(G338,1,0)</f>
        <v>0</v>
      </c>
      <c r="CX440" s="174">
        <f>IF(G339,1,0)</f>
        <v>0</v>
      </c>
      <c r="CY440" s="174">
        <f>IF(G340,1,0)</f>
        <v>0</v>
      </c>
      <c r="CZ440" s="174">
        <f>IF(G341,1,0)</f>
        <v>0</v>
      </c>
      <c r="DA440" s="174">
        <f>IF(G342,1,0)</f>
        <v>0</v>
      </c>
      <c r="DB440" s="174">
        <f>IF(G343,1,0)</f>
        <v>0</v>
      </c>
      <c r="DC440" s="174">
        <f>IF(G344,1,0)</f>
        <v>0</v>
      </c>
      <c r="DD440" s="174">
        <f>IF(G345,1,0)</f>
        <v>0</v>
      </c>
      <c r="DE440" s="174">
        <f>IF(G346,1,0)</f>
        <v>0</v>
      </c>
      <c r="DF440" s="174">
        <f>IF(G347,1,0)</f>
        <v>0</v>
      </c>
      <c r="DG440" s="174">
        <f>IF(G348,1,0)</f>
        <v>0</v>
      </c>
      <c r="DH440" s="174">
        <f>IF(G349,1,0)</f>
        <v>0</v>
      </c>
      <c r="DI440" s="174">
        <f>IF(G350,1,0)</f>
        <v>0</v>
      </c>
      <c r="DJ440" s="174">
        <f>IF(G351,1,0)</f>
        <v>0</v>
      </c>
      <c r="DK440" s="174">
        <f>IF(G352,1,0)</f>
        <v>0</v>
      </c>
      <c r="DL440" s="174">
        <f>IF(G353,1,0)</f>
        <v>0</v>
      </c>
      <c r="DM440" s="174">
        <f>IF(G354,1,0)</f>
        <v>0</v>
      </c>
      <c r="DN440" s="174">
        <f>IF(G355,1,0)</f>
        <v>0</v>
      </c>
      <c r="DO440" s="174">
        <f>IF(G356,1,0)</f>
        <v>0</v>
      </c>
      <c r="DP440" s="174">
        <f>IF(G357,1,0)</f>
        <v>0</v>
      </c>
      <c r="DQ440" s="174">
        <f>IF(G358,1,0)</f>
        <v>0</v>
      </c>
      <c r="DR440" s="174">
        <f>IF(G359,1,0)</f>
        <v>0</v>
      </c>
      <c r="DS440" s="174">
        <f>IF(G360,1,0)</f>
        <v>0</v>
      </c>
      <c r="DT440" s="174">
        <f>IF(G361,1,0)</f>
        <v>0</v>
      </c>
      <c r="DU440" s="174">
        <f>IF(G362,1,0)</f>
        <v>0</v>
      </c>
      <c r="DV440" s="174">
        <f>IF(G363,1,0)</f>
        <v>0</v>
      </c>
      <c r="DW440" s="174">
        <f>IF(G364,1,0)</f>
        <v>0</v>
      </c>
      <c r="DX440" s="174">
        <f>IF(G365,1,0)</f>
        <v>0</v>
      </c>
      <c r="DY440" s="174">
        <f>IF(G366,1,0)</f>
        <v>0</v>
      </c>
      <c r="DZ440" s="174">
        <f>IF(G367,1,0)</f>
        <v>0</v>
      </c>
      <c r="EA440" s="174">
        <f>IF(G368,1,0)</f>
        <v>0</v>
      </c>
      <c r="EB440" s="174">
        <f>IF(G369,1,0)</f>
        <v>0</v>
      </c>
      <c r="EC440" s="174">
        <f>IF(G370,1,0)</f>
        <v>0</v>
      </c>
      <c r="ED440" s="174">
        <f>IF(G371,1,0)</f>
        <v>0</v>
      </c>
      <c r="EE440" s="174">
        <f>IF(G372,1,0)</f>
        <v>0</v>
      </c>
      <c r="EF440" s="174">
        <f>IF(G373,1,0)</f>
        <v>0</v>
      </c>
      <c r="EG440" s="174">
        <f>IF(G374,1,0)</f>
        <v>0</v>
      </c>
      <c r="EH440" s="174">
        <f>IF(G375,1,0)</f>
        <v>0</v>
      </c>
      <c r="EI440" s="174">
        <f>IF(G376,1,0)</f>
        <v>0</v>
      </c>
      <c r="EJ440" s="174">
        <f>IF(G377,1,0)</f>
        <v>0</v>
      </c>
      <c r="EK440" s="174">
        <f>IF(G378,1,0)</f>
        <v>0</v>
      </c>
      <c r="EL440" s="174">
        <f>IF(G379,1,0)</f>
        <v>0</v>
      </c>
      <c r="EM440" s="174">
        <f>IF(G380,1,0)</f>
        <v>0</v>
      </c>
      <c r="EN440" s="174">
        <f>IF(G381,1,0)</f>
        <v>0</v>
      </c>
      <c r="EO440" s="174">
        <f>IF(G382,1,0)</f>
        <v>0</v>
      </c>
      <c r="EP440" s="174">
        <f>IF(G383,1,0)</f>
        <v>0</v>
      </c>
      <c r="EQ440" s="174">
        <f>IF(G384,1,0)</f>
        <v>0</v>
      </c>
      <c r="ER440" s="174">
        <f>IF(G385,1,0)</f>
        <v>0</v>
      </c>
      <c r="ES440" s="174">
        <f>IF(G386,1,0)</f>
        <v>0</v>
      </c>
      <c r="ET440" s="174">
        <f>IF(G387,1,0)</f>
        <v>0</v>
      </c>
      <c r="EU440" s="174">
        <f>IF(G388,1,0)</f>
        <v>0</v>
      </c>
      <c r="EV440" s="174">
        <f>IF(G389,1,0)</f>
        <v>0</v>
      </c>
      <c r="EW440" s="174">
        <f>IF(G390,1,0)</f>
        <v>0</v>
      </c>
      <c r="EX440" s="174">
        <f>IF(G391,1,0)</f>
        <v>0</v>
      </c>
      <c r="EY440" s="174">
        <f>IF(G392,1,0)</f>
        <v>0</v>
      </c>
      <c r="EZ440" s="174">
        <f>IF(G393,1,0)</f>
        <v>0</v>
      </c>
      <c r="FA440" s="174">
        <f>IF(G394,1,0)</f>
        <v>0</v>
      </c>
      <c r="FB440" s="174">
        <f>IF(G395,1,0)</f>
        <v>0</v>
      </c>
      <c r="FC440" s="174">
        <f>IF(G396,1,0)</f>
        <v>0</v>
      </c>
      <c r="FD440" s="174">
        <f>IF(G397,1,0)</f>
        <v>0</v>
      </c>
      <c r="FE440" s="174">
        <f>IF(G398,1,0)</f>
        <v>0</v>
      </c>
      <c r="FF440" s="174">
        <f>IF(G399,1,0)</f>
        <v>0</v>
      </c>
      <c r="FG440" s="174">
        <f>IF(G400,1,0)</f>
        <v>0</v>
      </c>
      <c r="FH440" s="174">
        <f>IF(G401,1,0)</f>
        <v>0</v>
      </c>
      <c r="FI440" s="174">
        <f>IF(G402,1,0)</f>
        <v>0</v>
      </c>
      <c r="FJ440" s="174">
        <f>IF(G403,1,0)</f>
        <v>0</v>
      </c>
      <c r="FK440" s="174">
        <f>IF(G404,1,0)</f>
        <v>0</v>
      </c>
      <c r="FL440" s="174">
        <f>IF(G405,1,0)</f>
        <v>0</v>
      </c>
      <c r="FM440" s="174">
        <f>IF(G406,1,0)</f>
        <v>0</v>
      </c>
      <c r="FN440" s="174">
        <f>IF(G407,1,0)</f>
        <v>0</v>
      </c>
      <c r="FO440" s="174">
        <f>IF(G408,1,0)</f>
        <v>0</v>
      </c>
      <c r="FP440" s="174">
        <f>IF(G409,1,0)</f>
        <v>0</v>
      </c>
      <c r="FQ440" s="174">
        <f>IF(G410,1,0)</f>
        <v>0</v>
      </c>
      <c r="FR440" s="174">
        <f>IF(G411,1,0)</f>
        <v>0</v>
      </c>
      <c r="FS440" s="174">
        <f>IF(G412,1,0)</f>
        <v>0</v>
      </c>
      <c r="FT440" s="174">
        <f>IF(G413,1,0)</f>
        <v>0</v>
      </c>
      <c r="FU440" s="174">
        <f>IF(G414,1,0)</f>
        <v>0</v>
      </c>
      <c r="FV440" s="174">
        <f>IF(G415,1,0)</f>
        <v>0</v>
      </c>
      <c r="FW440" s="174">
        <f>IF(G416,1,0)</f>
        <v>0</v>
      </c>
      <c r="FX440" s="174">
        <f>IF(G417,1,0)</f>
        <v>0</v>
      </c>
      <c r="FY440" s="174">
        <f>IF(G418,1,0)</f>
        <v>0</v>
      </c>
      <c r="FZ440" s="174">
        <f>IF(G419,1,0)</f>
        <v>0</v>
      </c>
      <c r="GA440" s="174">
        <f>IF(G420,1,0)</f>
        <v>0</v>
      </c>
      <c r="GB440" s="174">
        <f>IF(G421,1,0)</f>
        <v>0</v>
      </c>
      <c r="GC440" s="174">
        <f>IF(G422,1,0)</f>
        <v>0</v>
      </c>
      <c r="GD440" s="174">
        <f>IF(G423,1,0)</f>
        <v>0</v>
      </c>
      <c r="GE440" s="174">
        <f>IF(G424,1,0)</f>
        <v>0</v>
      </c>
      <c r="GF440" s="174">
        <f>IF(G425,1,0)</f>
        <v>0</v>
      </c>
      <c r="GG440" s="174">
        <f>IF(G426,1,0)</f>
        <v>0</v>
      </c>
      <c r="GH440" s="174">
        <f>IF(G427,1,0)</f>
        <v>0</v>
      </c>
      <c r="GI440" s="174">
        <f>IF(G428,1,0)</f>
        <v>0</v>
      </c>
      <c r="GJ440" s="174">
        <f>IF(G429,1,0)</f>
        <v>0</v>
      </c>
      <c r="GK440" s="174">
        <f>IF(G430,1,0)</f>
        <v>0</v>
      </c>
      <c r="GL440" s="174">
        <f>IF(G431,1,0)</f>
        <v>0</v>
      </c>
      <c r="GM440" s="174">
        <f>IF(G432,1,0)</f>
        <v>0</v>
      </c>
      <c r="GN440" s="174">
        <f>IF(G433,1,0)</f>
        <v>0</v>
      </c>
      <c r="GO440" s="174">
        <f>IF(G434,1,0)</f>
        <v>0</v>
      </c>
      <c r="GP440" s="174">
        <f>IF(G435,1,0)</f>
        <v>0</v>
      </c>
      <c r="GQ440" s="174">
        <f>IF(G436,1,0)</f>
        <v>0</v>
      </c>
      <c r="GR440" s="174">
        <f>IF(G437,1,0)</f>
        <v>0</v>
      </c>
      <c r="GS440" s="174">
        <f>IF(G438,1,0)</f>
        <v>0</v>
      </c>
    </row>
    <row r="442" spans="1:201" x14ac:dyDescent="0.2">
      <c r="A442" s="174" t="s">
        <v>134</v>
      </c>
      <c r="B442" s="174">
        <f>IF($T$41,L239,1)</f>
        <v>1</v>
      </c>
      <c r="C442" s="174">
        <f>IF($T$41,L240,1)</f>
        <v>1</v>
      </c>
      <c r="D442" s="174">
        <f>IF($T$41,L241,1)</f>
        <v>1</v>
      </c>
      <c r="E442" s="174">
        <f>IF($T$41,L242,1)</f>
        <v>1</v>
      </c>
      <c r="F442" s="174">
        <f>IF($T$41,L243,1)</f>
        <v>1</v>
      </c>
      <c r="G442" s="174">
        <f>IF($T$41,L244,1)</f>
        <v>1</v>
      </c>
      <c r="H442" s="174">
        <f>IF($T$41,L245,1)</f>
        <v>1</v>
      </c>
      <c r="I442" s="174">
        <f>IF($T$41,L246,1)</f>
        <v>1</v>
      </c>
      <c r="J442" s="174">
        <f>IF($T$41,L247,1)</f>
        <v>1</v>
      </c>
      <c r="K442" s="174">
        <f>IF($T$41,L248,1)</f>
        <v>1</v>
      </c>
      <c r="L442" s="174">
        <f>IF($T$41,L249,1)</f>
        <v>1</v>
      </c>
      <c r="M442" s="174">
        <f>IF($T$41,L250,1)</f>
        <v>1</v>
      </c>
      <c r="N442" s="174">
        <f>IF($T$41,L251,1)</f>
        <v>1</v>
      </c>
      <c r="O442" s="174">
        <f>IF($T$41,L252,1)</f>
        <v>1</v>
      </c>
      <c r="P442" s="174">
        <f>IF($T$41,L253,1)</f>
        <v>1</v>
      </c>
      <c r="Q442" s="174">
        <f>IF($T$41,L254,1)</f>
        <v>1</v>
      </c>
      <c r="R442" s="174">
        <f>IF($T$41,L255,1)</f>
        <v>1</v>
      </c>
      <c r="S442" s="174">
        <f>IF($T$41,L256,1)</f>
        <v>1</v>
      </c>
      <c r="T442" s="174">
        <f>IF($T$41,L257,1)</f>
        <v>1</v>
      </c>
      <c r="U442" s="174">
        <f>IF($T$41,L258,1)</f>
        <v>1</v>
      </c>
      <c r="V442" s="174">
        <f>IF($T$41,L259,1)</f>
        <v>1</v>
      </c>
      <c r="W442" s="174">
        <f>IF($T$41,L260,1)</f>
        <v>1</v>
      </c>
      <c r="X442" s="174">
        <f>IF($T$41,L261,1)</f>
        <v>1</v>
      </c>
      <c r="Y442" s="174">
        <f>IF($T$41,L262,1)</f>
        <v>1</v>
      </c>
      <c r="Z442" s="174">
        <f>IF($T$41,L263,1)</f>
        <v>1</v>
      </c>
      <c r="AA442" s="174">
        <f>IF($T$41,L264,1)</f>
        <v>1</v>
      </c>
      <c r="AB442" s="174">
        <f>IF($T$41,L265,1)</f>
        <v>1</v>
      </c>
      <c r="AC442" s="174">
        <f>IF($T$41,L266,1)</f>
        <v>1</v>
      </c>
      <c r="AD442" s="174">
        <f>IF($T$41,L267,1)</f>
        <v>1</v>
      </c>
      <c r="AE442" s="174">
        <f>IF($T$41,L268,1)</f>
        <v>1</v>
      </c>
      <c r="AF442" s="174">
        <f>IF($T$41,L269,1)</f>
        <v>1</v>
      </c>
      <c r="AG442" s="174">
        <f>IF($T$41,L270,1)</f>
        <v>1</v>
      </c>
      <c r="AH442" s="174">
        <f>IF($T$41,L271,1)</f>
        <v>1</v>
      </c>
      <c r="AI442" s="174">
        <f>IF($T$41,L272,1)</f>
        <v>1</v>
      </c>
      <c r="AJ442" s="174">
        <f>IF($T$41,L273,1)</f>
        <v>1</v>
      </c>
      <c r="AK442" s="174">
        <f>IF($T$41,L274,1)</f>
        <v>1</v>
      </c>
      <c r="AL442" s="174">
        <f>IF($T$41,L275,1)</f>
        <v>1</v>
      </c>
      <c r="AM442" s="174">
        <f>IF($T$41,L276,1)</f>
        <v>1</v>
      </c>
      <c r="AN442" s="174">
        <f>IF($T$41,L277,1)</f>
        <v>1</v>
      </c>
      <c r="AO442" s="174">
        <f>IF($T$41,L278,1)</f>
        <v>1</v>
      </c>
      <c r="AP442" s="174">
        <f>IF($T$41,L279,1)</f>
        <v>1</v>
      </c>
      <c r="AQ442" s="174">
        <f>IF($T$41,L280,1)</f>
        <v>1</v>
      </c>
      <c r="AR442" s="174">
        <f>IF($T$41,L281,1)</f>
        <v>1</v>
      </c>
      <c r="AS442" s="174">
        <f>IF($T$41,L282,1)</f>
        <v>1</v>
      </c>
      <c r="AT442" s="174">
        <f>IF($T$41,L283,1)</f>
        <v>1</v>
      </c>
      <c r="AU442" s="174">
        <f>IF($T$41,L284,1)</f>
        <v>1</v>
      </c>
      <c r="AV442" s="174">
        <f>IF($T$41,L285,1)</f>
        <v>1</v>
      </c>
      <c r="AW442" s="174">
        <f>IF($T$41,L286,1)</f>
        <v>1</v>
      </c>
      <c r="AX442" s="174">
        <f>IF($T$41,L287,1)</f>
        <v>1</v>
      </c>
      <c r="AY442" s="174">
        <f>IF($T$41,L288,1)</f>
        <v>1</v>
      </c>
      <c r="AZ442" s="174">
        <f>IF($T$41,L289,1)</f>
        <v>1</v>
      </c>
      <c r="BA442" s="174">
        <f>IF($T$41,L290,1)</f>
        <v>1</v>
      </c>
      <c r="BB442" s="174">
        <f>IF($T$41,L291,1)</f>
        <v>1</v>
      </c>
      <c r="BC442" s="174">
        <f>IF($T$41,L292,1)</f>
        <v>1</v>
      </c>
      <c r="BD442" s="174">
        <f>IF($T$41,L293,1)</f>
        <v>1</v>
      </c>
      <c r="BE442" s="174">
        <f>IF($T$41,L294,1)</f>
        <v>1</v>
      </c>
      <c r="BF442" s="174">
        <f>IF($T$41,L295,1)</f>
        <v>1</v>
      </c>
      <c r="BG442" s="174">
        <f>IF($T$41,L296,1)</f>
        <v>1</v>
      </c>
      <c r="BH442" s="174">
        <f>IF($T$41,L297,1)</f>
        <v>1</v>
      </c>
      <c r="BI442" s="174">
        <f>IF($T$41,L298,1)</f>
        <v>1</v>
      </c>
      <c r="BJ442" s="174">
        <f>IF($T$41,L299,1)</f>
        <v>1</v>
      </c>
      <c r="BK442" s="174">
        <f>IF($T$41,L300,1)</f>
        <v>1</v>
      </c>
      <c r="BL442" s="174">
        <f>IF($T$41,L301,1)</f>
        <v>1</v>
      </c>
      <c r="BM442" s="174">
        <f>IF($T$41,L302,1)</f>
        <v>1</v>
      </c>
      <c r="BN442" s="174">
        <f>IF($T$41,L303,1)</f>
        <v>1</v>
      </c>
      <c r="BO442" s="174">
        <f>IF($T$41,L304,1)</f>
        <v>1</v>
      </c>
      <c r="BP442" s="174">
        <f>IF($T$41,L305,1)</f>
        <v>1</v>
      </c>
      <c r="BQ442" s="174">
        <f>IF($T$41,L306,1)</f>
        <v>1</v>
      </c>
      <c r="BR442" s="174">
        <f>IF($T$41,L307,1)</f>
        <v>1</v>
      </c>
      <c r="BS442" s="174">
        <f>IF($T$41,L308,1)</f>
        <v>1</v>
      </c>
      <c r="BT442" s="174">
        <f>IF($T$41,L309,1)</f>
        <v>1</v>
      </c>
      <c r="BU442" s="174">
        <f>IF($T$41,L310,1)</f>
        <v>1</v>
      </c>
      <c r="BV442" s="174">
        <f>IF($T$41,L311,1)</f>
        <v>1</v>
      </c>
      <c r="BW442" s="174">
        <f>IF($T$41,L312,1)</f>
        <v>1</v>
      </c>
      <c r="BX442" s="174">
        <f>IF($T$41,L313,1)</f>
        <v>1</v>
      </c>
      <c r="BY442" s="174">
        <f>IF($T$41,L314,1)</f>
        <v>1</v>
      </c>
      <c r="BZ442" s="174">
        <f>IF($T$41,L315,1)</f>
        <v>1</v>
      </c>
      <c r="CA442" s="174">
        <f>IF($T$41,L316,1)</f>
        <v>1</v>
      </c>
      <c r="CB442" s="174">
        <f>IF($T$41,L317,1)</f>
        <v>1</v>
      </c>
      <c r="CC442" s="174">
        <f>IF($T$41,L318,1)</f>
        <v>1</v>
      </c>
      <c r="CD442" s="174">
        <f>IF($T$41,L319,1)</f>
        <v>1</v>
      </c>
      <c r="CE442" s="174">
        <f>IF($T$41,L320,1)</f>
        <v>1</v>
      </c>
      <c r="CF442" s="174">
        <f>IF($T$41,L321,1)</f>
        <v>1</v>
      </c>
      <c r="CG442" s="174">
        <f>IF($T$41,L322,1)</f>
        <v>1</v>
      </c>
      <c r="CH442" s="174">
        <f>IF($T$41,L323,1)</f>
        <v>1</v>
      </c>
      <c r="CI442" s="174">
        <f>IF($T$41,L324,1)</f>
        <v>1</v>
      </c>
      <c r="CJ442" s="174">
        <f>IF($T$41,L325,1)</f>
        <v>1</v>
      </c>
      <c r="CK442" s="174">
        <f>IF($T$41,L326,1)</f>
        <v>1</v>
      </c>
      <c r="CL442" s="174">
        <f>IF($T$41,L327,1)</f>
        <v>1</v>
      </c>
      <c r="CM442" s="174">
        <f>IF($T$41,L328,1)</f>
        <v>1</v>
      </c>
      <c r="CN442" s="174">
        <f>IF($T$41,L329,1)</f>
        <v>1</v>
      </c>
      <c r="CO442" s="174">
        <f>IF($T$41,L330,1)</f>
        <v>1</v>
      </c>
      <c r="CP442" s="174">
        <f>IF($T$41,L331,1)</f>
        <v>1</v>
      </c>
      <c r="CQ442" s="174">
        <f>IF($T$41,L332,1)</f>
        <v>1</v>
      </c>
      <c r="CR442" s="174">
        <f>IF($T$41,L333,1)</f>
        <v>1</v>
      </c>
      <c r="CS442" s="174">
        <f>IF($T$41,L334,1)</f>
        <v>1</v>
      </c>
      <c r="CT442" s="174">
        <f>IF($T$41,L335,1)</f>
        <v>1</v>
      </c>
      <c r="CU442" s="174">
        <f>IF($T$41,L336,1)</f>
        <v>1</v>
      </c>
      <c r="CV442" s="174">
        <f>IF($T$41,L337,1)</f>
        <v>1</v>
      </c>
      <c r="CW442" s="174">
        <f>IF($T$41,L338,1)</f>
        <v>1</v>
      </c>
      <c r="CX442" s="174">
        <f>IF($T$41,L339,1)</f>
        <v>1</v>
      </c>
      <c r="CY442" s="174">
        <f>IF($T$41,L340,1)</f>
        <v>1</v>
      </c>
      <c r="CZ442" s="174">
        <f>IF($T$41,L341,1)</f>
        <v>1</v>
      </c>
      <c r="DA442" s="174">
        <f>IF($T$41,L342,1)</f>
        <v>1</v>
      </c>
      <c r="DB442" s="174">
        <f>IF($T$41,L343,1)</f>
        <v>1</v>
      </c>
      <c r="DC442" s="174">
        <f>IF($T$41,L344,1)</f>
        <v>1</v>
      </c>
      <c r="DD442" s="174">
        <f>IF($T$41,L345,1)</f>
        <v>1</v>
      </c>
      <c r="DE442" s="174">
        <f>IF($T$41,L346,1)</f>
        <v>1</v>
      </c>
      <c r="DF442" s="174">
        <f>IF($T$41,L347,1)</f>
        <v>1</v>
      </c>
      <c r="DG442" s="174">
        <f>IF($T$41,L348,1)</f>
        <v>1</v>
      </c>
      <c r="DH442" s="174">
        <f>IF($T$41,L349,1)</f>
        <v>1</v>
      </c>
      <c r="DI442" s="174">
        <f>IF($T$41,L350,1)</f>
        <v>1</v>
      </c>
      <c r="DJ442" s="174">
        <f>IF($T$41,L351,1)</f>
        <v>1</v>
      </c>
      <c r="DK442" s="174">
        <f>IF($T$41,L352,1)</f>
        <v>1</v>
      </c>
      <c r="DL442" s="174">
        <f>IF($T$41,L353,1)</f>
        <v>1</v>
      </c>
      <c r="DM442" s="174">
        <f>IF($T$41,L354,1)</f>
        <v>1</v>
      </c>
      <c r="DN442" s="174">
        <f>IF($T$41,L355,1)</f>
        <v>1</v>
      </c>
      <c r="DO442" s="174">
        <f>IF($T$41,L356,1)</f>
        <v>1</v>
      </c>
      <c r="DP442" s="174">
        <f>IF($T$41,L357,1)</f>
        <v>1</v>
      </c>
      <c r="DQ442" s="174">
        <f>IF($T$41,L358,1)</f>
        <v>1</v>
      </c>
      <c r="DR442" s="174">
        <f>IF($T$41,L359,1)</f>
        <v>1</v>
      </c>
      <c r="DS442" s="174">
        <f>IF($T$41,L360,1)</f>
        <v>1</v>
      </c>
      <c r="DT442" s="174">
        <f>IF($T$41,L361,1)</f>
        <v>1</v>
      </c>
      <c r="DU442" s="174">
        <f>IF($T$41,L362,1)</f>
        <v>1</v>
      </c>
      <c r="DV442" s="174">
        <f>IF($T$41,L363,1)</f>
        <v>1</v>
      </c>
      <c r="DW442" s="174">
        <f>IF($T$41,L364,1)</f>
        <v>1</v>
      </c>
      <c r="DX442" s="174">
        <f>IF($T$41,L365,1)</f>
        <v>1</v>
      </c>
      <c r="DY442" s="174">
        <f>IF($T$41,L366,1)</f>
        <v>1</v>
      </c>
      <c r="DZ442" s="174">
        <f>IF($T$41,L367,1)</f>
        <v>1</v>
      </c>
      <c r="EA442" s="174">
        <f>IF($T$41,L368,1)</f>
        <v>1</v>
      </c>
      <c r="EB442" s="174">
        <f>IF($T$41,L369,1)</f>
        <v>1</v>
      </c>
      <c r="EC442" s="174">
        <f>IF($T$41,L370,1)</f>
        <v>1</v>
      </c>
      <c r="ED442" s="174">
        <f>IF($T$41,L371,1)</f>
        <v>1</v>
      </c>
      <c r="EE442" s="174">
        <f>IF($T$41,L372,1)</f>
        <v>1</v>
      </c>
      <c r="EF442" s="174">
        <f>IF($T$41,L373,1)</f>
        <v>1</v>
      </c>
      <c r="EG442" s="174">
        <f>IF($T$41,L374,1)</f>
        <v>1</v>
      </c>
      <c r="EH442" s="174">
        <f>IF($T$41,L375,1)</f>
        <v>1</v>
      </c>
      <c r="EI442" s="174">
        <f>IF($T$41,L376,1)</f>
        <v>1</v>
      </c>
      <c r="EJ442" s="174">
        <f>IF($T$41,L377,1)</f>
        <v>1</v>
      </c>
      <c r="EK442" s="174">
        <f>IF($T$41,L378,1)</f>
        <v>1</v>
      </c>
      <c r="EL442" s="174">
        <f>IF($T$41,L379,1)</f>
        <v>1</v>
      </c>
      <c r="EM442" s="174">
        <f>IF($T$41,L380,1)</f>
        <v>1</v>
      </c>
      <c r="EN442" s="174">
        <f>IF($T$41,L381,1)</f>
        <v>1</v>
      </c>
      <c r="EO442" s="174">
        <f>IF($T$41,L382,1)</f>
        <v>1</v>
      </c>
      <c r="EP442" s="174">
        <f>IF($T$41,L383,1)</f>
        <v>1</v>
      </c>
      <c r="EQ442" s="174">
        <f>IF($T$41,L384,1)</f>
        <v>1</v>
      </c>
      <c r="ER442" s="174">
        <f>IF($T$41,L385,1)</f>
        <v>1</v>
      </c>
      <c r="ES442" s="174">
        <f>IF($T$41,L386,1)</f>
        <v>1</v>
      </c>
      <c r="ET442" s="174">
        <f>IF($T$41,L387,1)</f>
        <v>1</v>
      </c>
      <c r="EU442" s="174">
        <f>IF($T$41,L388,1)</f>
        <v>1</v>
      </c>
      <c r="EV442" s="174">
        <f>IF($T$41,L389,1)</f>
        <v>1</v>
      </c>
      <c r="EW442" s="174">
        <f>IF($T$41,L390,1)</f>
        <v>1</v>
      </c>
      <c r="EX442" s="174">
        <f>IF($T$41,L391,1)</f>
        <v>1</v>
      </c>
      <c r="EY442" s="174">
        <f>IF($T$41,L392,1)</f>
        <v>1</v>
      </c>
      <c r="EZ442" s="174">
        <f>IF($T$41,L393,1)</f>
        <v>1</v>
      </c>
      <c r="FA442" s="174">
        <f>IF($T$41,L394,1)</f>
        <v>1</v>
      </c>
      <c r="FB442" s="174">
        <f>IF($T$41,L395,1)</f>
        <v>1</v>
      </c>
      <c r="FC442" s="174">
        <f>IF($T$41,L396,1)</f>
        <v>1</v>
      </c>
      <c r="FD442" s="174">
        <f>IF($T$41,L397,1)</f>
        <v>1</v>
      </c>
      <c r="FE442" s="174">
        <f>IF($T$41,L398,1)</f>
        <v>1</v>
      </c>
      <c r="FF442" s="174">
        <f>IF($T$41,L399,1)</f>
        <v>1</v>
      </c>
      <c r="FG442" s="174">
        <f>IF($T$41,L400,1)</f>
        <v>1</v>
      </c>
      <c r="FH442" s="174">
        <f>IF($T$41,L401,1)</f>
        <v>1</v>
      </c>
      <c r="FI442" s="174">
        <f>IF($T$41,L402,1)</f>
        <v>1</v>
      </c>
      <c r="FJ442" s="174">
        <f>IF($T$41,L403,1)</f>
        <v>1</v>
      </c>
      <c r="FK442" s="174">
        <f>IF($T$41,L404,1)</f>
        <v>1</v>
      </c>
      <c r="FL442" s="174">
        <f>IF($T$41,L405,1)</f>
        <v>1</v>
      </c>
      <c r="FM442" s="174">
        <f>IF($T$41,L406,1)</f>
        <v>1</v>
      </c>
      <c r="FN442" s="174">
        <f>IF($T$41,L407,1)</f>
        <v>1</v>
      </c>
      <c r="FO442" s="174">
        <f>IF($T$41,L408,1)</f>
        <v>1</v>
      </c>
      <c r="FP442" s="174">
        <f>IF($T$41,L409,1)</f>
        <v>1</v>
      </c>
      <c r="FQ442" s="174">
        <f>IF($T$41,L410,1)</f>
        <v>1</v>
      </c>
      <c r="FR442" s="174">
        <f>IF($T$41,L411,1)</f>
        <v>1</v>
      </c>
      <c r="FS442" s="174">
        <f>IF($T$41,L412,1)</f>
        <v>1</v>
      </c>
      <c r="FT442" s="174">
        <f>IF($T$41,L413,1)</f>
        <v>1</v>
      </c>
      <c r="FU442" s="174">
        <f>IF($T$41,L414,1)</f>
        <v>1</v>
      </c>
      <c r="FV442" s="174">
        <f>IF($T$41,L415,1)</f>
        <v>1</v>
      </c>
      <c r="FW442" s="174">
        <f>IF($T$41,L416,1)</f>
        <v>1</v>
      </c>
      <c r="FX442" s="174">
        <f>IF($T$41,L417,1)</f>
        <v>1</v>
      </c>
      <c r="FY442" s="174">
        <f>IF($T$41,L418,1)</f>
        <v>1</v>
      </c>
      <c r="FZ442" s="174">
        <f>IF($T$41,L419,1)</f>
        <v>1</v>
      </c>
      <c r="GA442" s="174">
        <f>IF($T$41,L420,1)</f>
        <v>1</v>
      </c>
      <c r="GB442" s="174">
        <f>IF($T$41,L421,1)</f>
        <v>1</v>
      </c>
      <c r="GC442" s="174">
        <f>IF($T$41,L422,1)</f>
        <v>1</v>
      </c>
      <c r="GD442" s="174">
        <f>IF($T$41,L423,1)</f>
        <v>1</v>
      </c>
      <c r="GE442" s="174">
        <f>IF($T$41,L424,1)</f>
        <v>1</v>
      </c>
      <c r="GF442" s="174">
        <f>IF($T$41,L425,1)</f>
        <v>1</v>
      </c>
      <c r="GG442" s="174">
        <f>IF($T$41,L426,1)</f>
        <v>1</v>
      </c>
      <c r="GH442" s="174">
        <f>IF($T$41,L427,1)</f>
        <v>1</v>
      </c>
      <c r="GI442" s="174">
        <f>IF($T$41,L428,1)</f>
        <v>1</v>
      </c>
      <c r="GJ442" s="174">
        <f>IF($T$41,L429,1)</f>
        <v>1</v>
      </c>
      <c r="GK442" s="174">
        <f>IF($T$41,L430,1)</f>
        <v>1</v>
      </c>
      <c r="GL442" s="174">
        <f>IF($T$41,L431,1)</f>
        <v>1</v>
      </c>
      <c r="GM442" s="174">
        <f>IF($T$41,L432,1)</f>
        <v>1</v>
      </c>
      <c r="GN442" s="174">
        <f>IF($T$41,L433,1)</f>
        <v>1</v>
      </c>
      <c r="GO442" s="174">
        <f>IF($T$41,L434,1)</f>
        <v>1</v>
      </c>
      <c r="GP442" s="174">
        <f>IF($T$41,L435,1)</f>
        <v>1</v>
      </c>
      <c r="GQ442" s="174">
        <f>IF($T$41,L436,1)</f>
        <v>1</v>
      </c>
      <c r="GR442" s="174">
        <f>IF($T$41,L437,1)</f>
        <v>1</v>
      </c>
      <c r="GS442" s="174">
        <f>IF($T$41,L438,1)</f>
        <v>1</v>
      </c>
    </row>
  </sheetData>
  <sheetProtection selectLockedCells="1" selectUnlockedCells="1"/>
  <phoneticPr fontId="2" type="noConversion"/>
  <pageMargins left="0.78740157499999996" right="0.78740157499999996" top="0.984251969" bottom="0.984251969" header="0.5" footer="0.5"/>
  <pageSetup scale="95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indexed="53"/>
    <pageSetUpPr fitToPage="1"/>
  </sheetPr>
  <dimension ref="A1:N1000"/>
  <sheetViews>
    <sheetView windowProtection="1" showZeros="0" zoomScaleNormal="100" workbookViewId="0">
      <selection activeCell="M998" sqref="M998"/>
    </sheetView>
  </sheetViews>
  <sheetFormatPr defaultRowHeight="12" x14ac:dyDescent="0.2"/>
  <cols>
    <col min="1" max="1" width="4.5" style="204" bestFit="1" customWidth="1"/>
    <col min="2" max="2" width="9" style="203"/>
    <col min="3" max="3" width="3.875" style="204" customWidth="1"/>
    <col min="4" max="4" width="37.375" style="203" customWidth="1"/>
    <col min="5" max="5" width="16.625" style="203" customWidth="1"/>
    <col min="6" max="6" width="4.875" style="203" customWidth="1"/>
    <col min="7" max="7" width="15.625" style="203" customWidth="1"/>
    <col min="8" max="9" width="9.375" style="203" customWidth="1"/>
    <col min="10" max="10" width="9" style="203"/>
    <col min="11" max="11" width="3" style="203" customWidth="1"/>
    <col min="12" max="16384" width="9" style="203"/>
  </cols>
  <sheetData>
    <row r="1" spans="1:14" x14ac:dyDescent="0.2">
      <c r="A1" s="201" t="s">
        <v>10</v>
      </c>
      <c r="B1" s="202" t="s">
        <v>114</v>
      </c>
      <c r="C1" s="201"/>
      <c r="D1" s="202"/>
      <c r="E1" s="201" t="s">
        <v>115</v>
      </c>
      <c r="F1" s="201"/>
      <c r="G1" s="201" t="s">
        <v>116</v>
      </c>
      <c r="H1" s="201"/>
      <c r="I1" s="201"/>
      <c r="L1" s="204"/>
      <c r="N1" s="204"/>
    </row>
    <row r="2" spans="1:14" x14ac:dyDescent="0.2">
      <c r="A2" s="203">
        <v>1</v>
      </c>
      <c r="B2" s="203" t="s">
        <v>125</v>
      </c>
      <c r="C2" s="203"/>
      <c r="E2" s="203" t="s">
        <v>117</v>
      </c>
      <c r="G2" s="203">
        <v>1</v>
      </c>
      <c r="H2" s="203" t="s">
        <v>12</v>
      </c>
      <c r="I2" s="203">
        <v>0.16666666666666666</v>
      </c>
    </row>
    <row r="3" spans="1:14" x14ac:dyDescent="0.2">
      <c r="A3" s="203">
        <v>1</v>
      </c>
      <c r="B3" s="203" t="s">
        <v>125</v>
      </c>
      <c r="C3" s="203"/>
      <c r="E3" s="203" t="s">
        <v>118</v>
      </c>
      <c r="G3" s="203">
        <v>2</v>
      </c>
      <c r="H3" s="203" t="s">
        <v>13</v>
      </c>
      <c r="I3" s="203">
        <v>0.33333333333333331</v>
      </c>
    </row>
    <row r="4" spans="1:14" x14ac:dyDescent="0.2">
      <c r="A4" s="203">
        <v>1</v>
      </c>
      <c r="B4" s="203" t="s">
        <v>125</v>
      </c>
      <c r="C4" s="203"/>
      <c r="E4" s="203" t="s">
        <v>119</v>
      </c>
      <c r="G4" s="203">
        <v>3</v>
      </c>
      <c r="H4" s="203" t="s">
        <v>14</v>
      </c>
      <c r="I4" s="203">
        <v>0.5</v>
      </c>
    </row>
    <row r="5" spans="1:14" x14ac:dyDescent="0.2">
      <c r="A5" s="203"/>
      <c r="C5" s="203"/>
      <c r="E5" s="203" t="s">
        <v>122</v>
      </c>
      <c r="G5" s="203">
        <v>6</v>
      </c>
      <c r="H5" s="203" t="s">
        <v>15</v>
      </c>
      <c r="I5" s="203">
        <v>1</v>
      </c>
    </row>
    <row r="6" spans="1:14" x14ac:dyDescent="0.2">
      <c r="A6" s="203"/>
      <c r="C6" s="203"/>
    </row>
    <row r="7" spans="1:14" x14ac:dyDescent="0.2">
      <c r="A7" s="203">
        <v>2</v>
      </c>
      <c r="B7" s="203" t="s">
        <v>123</v>
      </c>
      <c r="C7" s="203"/>
      <c r="E7" s="203" t="s">
        <v>117</v>
      </c>
      <c r="G7" s="203">
        <v>4</v>
      </c>
      <c r="H7" s="203" t="s">
        <v>12</v>
      </c>
      <c r="I7" s="203">
        <v>0.26666666666666666</v>
      </c>
    </row>
    <row r="8" spans="1:14" x14ac:dyDescent="0.2">
      <c r="A8" s="203">
        <v>2</v>
      </c>
      <c r="B8" s="203" t="s">
        <v>123</v>
      </c>
      <c r="C8" s="203"/>
      <c r="E8" s="203" t="s">
        <v>118</v>
      </c>
      <c r="G8" s="203">
        <v>5</v>
      </c>
      <c r="H8" s="203" t="s">
        <v>13</v>
      </c>
      <c r="I8" s="203">
        <v>0.33333333333333331</v>
      </c>
    </row>
    <row r="9" spans="1:14" x14ac:dyDescent="0.2">
      <c r="A9" s="203">
        <v>2</v>
      </c>
      <c r="B9" s="203" t="s">
        <v>123</v>
      </c>
      <c r="C9" s="203"/>
      <c r="E9" s="203" t="s">
        <v>119</v>
      </c>
      <c r="G9" s="203">
        <v>6</v>
      </c>
      <c r="H9" s="203" t="s">
        <v>14</v>
      </c>
      <c r="I9" s="203">
        <v>0.4</v>
      </c>
    </row>
    <row r="10" spans="1:14" x14ac:dyDescent="0.2">
      <c r="A10" s="203"/>
      <c r="C10" s="203"/>
      <c r="E10" s="203" t="s">
        <v>122</v>
      </c>
      <c r="G10" s="203">
        <v>15</v>
      </c>
      <c r="H10" s="203" t="s">
        <v>15</v>
      </c>
      <c r="I10" s="203">
        <v>1</v>
      </c>
    </row>
    <row r="11" spans="1:14" x14ac:dyDescent="0.2">
      <c r="A11" s="203"/>
      <c r="C11" s="203"/>
    </row>
    <row r="12" spans="1:14" x14ac:dyDescent="0.2">
      <c r="A12" s="203">
        <v>3</v>
      </c>
      <c r="B12" s="203" t="s">
        <v>124</v>
      </c>
      <c r="C12" s="203"/>
      <c r="E12" s="203" t="s">
        <v>117</v>
      </c>
      <c r="G12" s="203">
        <v>7</v>
      </c>
      <c r="H12" s="203" t="s">
        <v>12</v>
      </c>
      <c r="I12" s="203">
        <v>0.29166666666666669</v>
      </c>
    </row>
    <row r="13" spans="1:14" x14ac:dyDescent="0.2">
      <c r="A13" s="203">
        <v>3</v>
      </c>
      <c r="B13" s="203" t="s">
        <v>124</v>
      </c>
      <c r="C13" s="203"/>
      <c r="E13" s="203" t="s">
        <v>118</v>
      </c>
      <c r="G13" s="203">
        <v>8</v>
      </c>
      <c r="H13" s="203" t="s">
        <v>13</v>
      </c>
      <c r="I13" s="203">
        <v>0.33333333333333331</v>
      </c>
    </row>
    <row r="14" spans="1:14" x14ac:dyDescent="0.2">
      <c r="A14" s="203">
        <v>3</v>
      </c>
      <c r="B14" s="203" t="s">
        <v>124</v>
      </c>
      <c r="C14" s="203"/>
      <c r="E14" s="203" t="s">
        <v>119</v>
      </c>
      <c r="G14" s="203">
        <v>9</v>
      </c>
      <c r="H14" s="203" t="s">
        <v>14</v>
      </c>
      <c r="I14" s="203">
        <v>0.375</v>
      </c>
    </row>
    <row r="15" spans="1:14" x14ac:dyDescent="0.2">
      <c r="A15" s="203"/>
      <c r="C15" s="203"/>
      <c r="E15" s="203" t="s">
        <v>122</v>
      </c>
      <c r="G15" s="203">
        <v>24</v>
      </c>
      <c r="H15" s="203" t="s">
        <v>15</v>
      </c>
      <c r="I15" s="203">
        <v>1</v>
      </c>
    </row>
    <row r="16" spans="1:14" x14ac:dyDescent="0.2">
      <c r="A16" s="203"/>
      <c r="C16" s="203"/>
    </row>
    <row r="17" spans="1:9" x14ac:dyDescent="0.2">
      <c r="A17" s="203">
        <v>4</v>
      </c>
      <c r="B17" s="203" t="s">
        <v>126</v>
      </c>
      <c r="C17" s="203"/>
      <c r="E17" s="203" t="s">
        <v>117</v>
      </c>
      <c r="G17" s="203">
        <v>10</v>
      </c>
      <c r="H17" s="203" t="s">
        <v>12</v>
      </c>
      <c r="I17" s="203">
        <v>0.30303030303030304</v>
      </c>
    </row>
    <row r="18" spans="1:9" x14ac:dyDescent="0.2">
      <c r="A18" s="203">
        <v>4</v>
      </c>
      <c r="B18" s="203" t="s">
        <v>126</v>
      </c>
      <c r="C18" s="203"/>
      <c r="E18" s="203" t="s">
        <v>118</v>
      </c>
      <c r="G18" s="203">
        <v>11</v>
      </c>
      <c r="H18" s="203" t="s">
        <v>13</v>
      </c>
      <c r="I18" s="203">
        <v>0.33333333333333331</v>
      </c>
    </row>
    <row r="19" spans="1:9" x14ac:dyDescent="0.2">
      <c r="A19" s="203">
        <v>4</v>
      </c>
      <c r="B19" s="203" t="s">
        <v>126</v>
      </c>
      <c r="C19" s="203"/>
      <c r="E19" s="203" t="s">
        <v>119</v>
      </c>
      <c r="G19" s="203">
        <v>12</v>
      </c>
      <c r="H19" s="203" t="s">
        <v>14</v>
      </c>
      <c r="I19" s="203">
        <v>0.36363636363636365</v>
      </c>
    </row>
    <row r="20" spans="1:9" x14ac:dyDescent="0.2">
      <c r="A20" s="203"/>
      <c r="C20" s="203"/>
      <c r="E20" s="203" t="s">
        <v>122</v>
      </c>
      <c r="G20" s="203">
        <v>33</v>
      </c>
      <c r="H20" s="203" t="s">
        <v>15</v>
      </c>
      <c r="I20" s="203">
        <v>1</v>
      </c>
    </row>
    <row r="21" spans="1:9" x14ac:dyDescent="0.2">
      <c r="A21" s="203"/>
      <c r="C21" s="203"/>
    </row>
    <row r="22" spans="1:9" x14ac:dyDescent="0.2">
      <c r="A22" s="203">
        <v>5</v>
      </c>
      <c r="B22" s="203" t="s">
        <v>127</v>
      </c>
      <c r="C22" s="203"/>
      <c r="E22" s="203" t="s">
        <v>117</v>
      </c>
      <c r="G22" s="203">
        <v>13</v>
      </c>
      <c r="H22" s="203" t="s">
        <v>12</v>
      </c>
      <c r="I22" s="203">
        <v>0.30952380952380953</v>
      </c>
    </row>
    <row r="23" spans="1:9" x14ac:dyDescent="0.2">
      <c r="A23" s="203">
        <v>5</v>
      </c>
      <c r="B23" s="203" t="s">
        <v>127</v>
      </c>
      <c r="C23" s="203"/>
      <c r="E23" s="203" t="s">
        <v>118</v>
      </c>
      <c r="G23" s="203">
        <v>14</v>
      </c>
      <c r="H23" s="203" t="s">
        <v>13</v>
      </c>
      <c r="I23" s="203">
        <v>0.33333333333333331</v>
      </c>
    </row>
    <row r="24" spans="1:9" x14ac:dyDescent="0.2">
      <c r="A24" s="203">
        <v>5</v>
      </c>
      <c r="B24" s="203" t="s">
        <v>127</v>
      </c>
      <c r="C24" s="203"/>
      <c r="E24" s="203" t="s">
        <v>119</v>
      </c>
      <c r="G24" s="203">
        <v>15</v>
      </c>
      <c r="H24" s="203" t="s">
        <v>14</v>
      </c>
      <c r="I24" s="203">
        <v>0.35714285714285715</v>
      </c>
    </row>
    <row r="25" spans="1:9" x14ac:dyDescent="0.2">
      <c r="A25" s="203"/>
      <c r="C25" s="203"/>
      <c r="E25" s="203" t="s">
        <v>122</v>
      </c>
      <c r="G25" s="203">
        <v>42</v>
      </c>
      <c r="H25" s="203" t="s">
        <v>15</v>
      </c>
      <c r="I25" s="203">
        <v>1</v>
      </c>
    </row>
    <row r="26" spans="1:9" x14ac:dyDescent="0.2">
      <c r="A26" s="203"/>
      <c r="C26" s="203"/>
    </row>
    <row r="27" spans="1:9" x14ac:dyDescent="0.2">
      <c r="A27" s="203">
        <v>6</v>
      </c>
      <c r="B27" s="203" t="s">
        <v>128</v>
      </c>
      <c r="C27" s="203"/>
      <c r="E27" s="203" t="s">
        <v>117</v>
      </c>
      <c r="G27" s="203">
        <v>16</v>
      </c>
      <c r="H27" s="203" t="s">
        <v>12</v>
      </c>
      <c r="I27" s="203">
        <v>0.31372549019607843</v>
      </c>
    </row>
    <row r="28" spans="1:9" x14ac:dyDescent="0.2">
      <c r="A28" s="203">
        <v>6</v>
      </c>
      <c r="B28" s="203" t="s">
        <v>128</v>
      </c>
      <c r="C28" s="203"/>
      <c r="E28" s="203" t="s">
        <v>118</v>
      </c>
      <c r="G28" s="203">
        <v>17</v>
      </c>
      <c r="H28" s="203" t="s">
        <v>13</v>
      </c>
      <c r="I28" s="203">
        <v>0.33333333333333331</v>
      </c>
    </row>
    <row r="29" spans="1:9" x14ac:dyDescent="0.2">
      <c r="A29" s="203">
        <v>6</v>
      </c>
      <c r="B29" s="203" t="s">
        <v>128</v>
      </c>
      <c r="C29" s="203"/>
      <c r="E29" s="203" t="s">
        <v>119</v>
      </c>
      <c r="G29" s="203">
        <v>18</v>
      </c>
      <c r="H29" s="203" t="s">
        <v>14</v>
      </c>
      <c r="I29" s="203">
        <v>0.35294117647058826</v>
      </c>
    </row>
    <row r="30" spans="1:9" x14ac:dyDescent="0.2">
      <c r="A30" s="203"/>
      <c r="C30" s="203"/>
      <c r="E30" s="203" t="s">
        <v>122</v>
      </c>
      <c r="G30" s="203">
        <v>51</v>
      </c>
      <c r="H30" s="203" t="s">
        <v>15</v>
      </c>
      <c r="I30" s="203">
        <v>1</v>
      </c>
    </row>
    <row r="31" spans="1:9" x14ac:dyDescent="0.2">
      <c r="A31" s="203"/>
      <c r="C31" s="203"/>
    </row>
    <row r="32" spans="1:9" x14ac:dyDescent="0.2">
      <c r="A32" s="203">
        <v>7</v>
      </c>
      <c r="B32" s="203" t="s">
        <v>129</v>
      </c>
      <c r="C32" s="203"/>
      <c r="E32" s="203" t="s">
        <v>117</v>
      </c>
      <c r="G32" s="203">
        <v>19</v>
      </c>
      <c r="H32" s="203" t="s">
        <v>12</v>
      </c>
      <c r="I32" s="203">
        <v>0.31666666666666665</v>
      </c>
    </row>
    <row r="33" spans="1:9" x14ac:dyDescent="0.2">
      <c r="A33" s="203">
        <v>7</v>
      </c>
      <c r="B33" s="203" t="s">
        <v>129</v>
      </c>
      <c r="C33" s="203"/>
      <c r="E33" s="203" t="s">
        <v>118</v>
      </c>
      <c r="G33" s="203">
        <v>20</v>
      </c>
      <c r="H33" s="203" t="s">
        <v>13</v>
      </c>
      <c r="I33" s="203">
        <v>0.33333333333333331</v>
      </c>
    </row>
    <row r="34" spans="1:9" x14ac:dyDescent="0.2">
      <c r="A34" s="203">
        <v>7</v>
      </c>
      <c r="B34" s="203" t="s">
        <v>129</v>
      </c>
      <c r="C34" s="203"/>
      <c r="E34" s="203" t="s">
        <v>119</v>
      </c>
      <c r="G34" s="203">
        <v>21</v>
      </c>
      <c r="H34" s="203" t="s">
        <v>14</v>
      </c>
      <c r="I34" s="203">
        <v>0.35</v>
      </c>
    </row>
    <row r="35" spans="1:9" x14ac:dyDescent="0.2">
      <c r="A35" s="203"/>
      <c r="C35" s="203"/>
      <c r="E35" s="203" t="s">
        <v>122</v>
      </c>
      <c r="G35" s="203">
        <v>60</v>
      </c>
      <c r="H35" s="203" t="s">
        <v>15</v>
      </c>
      <c r="I35" s="203">
        <v>0.99999999999999989</v>
      </c>
    </row>
    <row r="36" spans="1:9" x14ac:dyDescent="0.2">
      <c r="A36" s="203"/>
      <c r="C36" s="203"/>
    </row>
    <row r="37" spans="1:9" x14ac:dyDescent="0.2">
      <c r="A37" s="203">
        <v>8</v>
      </c>
      <c r="B37" s="203" t="s">
        <v>130</v>
      </c>
      <c r="C37" s="203"/>
      <c r="E37" s="203" t="s">
        <v>117</v>
      </c>
      <c r="G37" s="203">
        <v>22</v>
      </c>
      <c r="H37" s="203" t="s">
        <v>12</v>
      </c>
      <c r="I37" s="203">
        <v>0.3188405797101449</v>
      </c>
    </row>
    <row r="38" spans="1:9" x14ac:dyDescent="0.2">
      <c r="A38" s="203">
        <v>8</v>
      </c>
      <c r="B38" s="203" t="s">
        <v>130</v>
      </c>
      <c r="C38" s="203"/>
      <c r="E38" s="203" t="s">
        <v>118</v>
      </c>
      <c r="G38" s="203">
        <v>23</v>
      </c>
      <c r="H38" s="203" t="s">
        <v>13</v>
      </c>
      <c r="I38" s="203">
        <v>0.33333333333333331</v>
      </c>
    </row>
    <row r="39" spans="1:9" x14ac:dyDescent="0.2">
      <c r="A39" s="203">
        <v>8</v>
      </c>
      <c r="B39" s="203" t="s">
        <v>130</v>
      </c>
      <c r="C39" s="203"/>
      <c r="E39" s="203" t="s">
        <v>119</v>
      </c>
      <c r="G39" s="203">
        <v>24</v>
      </c>
      <c r="H39" s="203" t="s">
        <v>14</v>
      </c>
      <c r="I39" s="203">
        <v>0.34782608695652173</v>
      </c>
    </row>
    <row r="40" spans="1:9" x14ac:dyDescent="0.2">
      <c r="A40" s="203"/>
      <c r="C40" s="203"/>
      <c r="E40" s="203" t="s">
        <v>122</v>
      </c>
      <c r="G40" s="203">
        <v>69</v>
      </c>
      <c r="H40" s="203" t="s">
        <v>15</v>
      </c>
      <c r="I40" s="203">
        <v>1</v>
      </c>
    </row>
    <row r="41" spans="1:9" x14ac:dyDescent="0.2">
      <c r="A41" s="203"/>
      <c r="C41" s="203"/>
    </row>
    <row r="42" spans="1:9" x14ac:dyDescent="0.2">
      <c r="A42" s="203">
        <v>9</v>
      </c>
      <c r="B42" s="203" t="s">
        <v>131</v>
      </c>
      <c r="C42" s="203"/>
      <c r="E42" s="203" t="s">
        <v>117</v>
      </c>
      <c r="G42" s="203">
        <v>25</v>
      </c>
      <c r="H42" s="203" t="s">
        <v>12</v>
      </c>
      <c r="I42" s="203">
        <v>0.32051282051282054</v>
      </c>
    </row>
    <row r="43" spans="1:9" x14ac:dyDescent="0.2">
      <c r="A43" s="203">
        <v>9</v>
      </c>
      <c r="B43" s="203" t="s">
        <v>131</v>
      </c>
      <c r="C43" s="203"/>
      <c r="E43" s="203" t="s">
        <v>118</v>
      </c>
      <c r="G43" s="203">
        <v>26</v>
      </c>
      <c r="H43" s="203" t="s">
        <v>13</v>
      </c>
      <c r="I43" s="203">
        <v>0.33333333333333331</v>
      </c>
    </row>
    <row r="44" spans="1:9" x14ac:dyDescent="0.2">
      <c r="A44" s="203">
        <v>9</v>
      </c>
      <c r="B44" s="203" t="s">
        <v>131</v>
      </c>
      <c r="C44" s="203"/>
      <c r="E44" s="203" t="s">
        <v>119</v>
      </c>
      <c r="G44" s="203">
        <v>27</v>
      </c>
      <c r="H44" s="203" t="s">
        <v>14</v>
      </c>
      <c r="I44" s="203">
        <v>0.34615384615384615</v>
      </c>
    </row>
    <row r="45" spans="1:9" x14ac:dyDescent="0.2">
      <c r="A45" s="203"/>
      <c r="C45" s="203"/>
      <c r="E45" s="203" t="s">
        <v>122</v>
      </c>
      <c r="G45" s="203">
        <v>78</v>
      </c>
      <c r="H45" s="203" t="s">
        <v>15</v>
      </c>
      <c r="I45" s="203">
        <v>1</v>
      </c>
    </row>
    <row r="46" spans="1:9" x14ac:dyDescent="0.2">
      <c r="A46" s="203"/>
      <c r="C46" s="203"/>
    </row>
    <row r="47" spans="1:9" x14ac:dyDescent="0.2">
      <c r="A47" s="203">
        <v>10</v>
      </c>
      <c r="B47" s="203" t="s">
        <v>132</v>
      </c>
      <c r="C47" s="203"/>
      <c r="E47" s="203" t="s">
        <v>117</v>
      </c>
      <c r="G47" s="203">
        <v>28</v>
      </c>
      <c r="H47" s="203" t="s">
        <v>12</v>
      </c>
      <c r="I47" s="203">
        <v>0.32183908045977011</v>
      </c>
    </row>
    <row r="48" spans="1:9" x14ac:dyDescent="0.2">
      <c r="A48" s="203">
        <v>10</v>
      </c>
      <c r="B48" s="203" t="s">
        <v>132</v>
      </c>
      <c r="C48" s="203"/>
      <c r="E48" s="203" t="s">
        <v>118</v>
      </c>
      <c r="G48" s="203">
        <v>29</v>
      </c>
      <c r="H48" s="203" t="s">
        <v>13</v>
      </c>
      <c r="I48" s="203">
        <v>0.33333333333333331</v>
      </c>
    </row>
    <row r="49" spans="1:9" x14ac:dyDescent="0.2">
      <c r="A49" s="203">
        <v>10</v>
      </c>
      <c r="B49" s="203" t="s">
        <v>132</v>
      </c>
      <c r="C49" s="203"/>
      <c r="E49" s="203" t="s">
        <v>119</v>
      </c>
      <c r="G49" s="203">
        <v>30</v>
      </c>
      <c r="H49" s="203" t="s">
        <v>14</v>
      </c>
      <c r="I49" s="203">
        <v>0.34482758620689657</v>
      </c>
    </row>
    <row r="50" spans="1:9" x14ac:dyDescent="0.2">
      <c r="A50" s="203"/>
      <c r="C50" s="203"/>
      <c r="E50" s="203" t="s">
        <v>122</v>
      </c>
      <c r="G50" s="203">
        <v>87</v>
      </c>
      <c r="H50" s="203" t="s">
        <v>15</v>
      </c>
      <c r="I50" s="203">
        <v>1</v>
      </c>
    </row>
    <row r="51" spans="1:9" x14ac:dyDescent="0.2">
      <c r="A51" s="203"/>
      <c r="C51" s="203"/>
    </row>
    <row r="52" spans="1:9" x14ac:dyDescent="0.2">
      <c r="A52" s="203">
        <v>11</v>
      </c>
      <c r="B52" s="203" t="s">
        <v>139</v>
      </c>
      <c r="C52" s="203"/>
      <c r="E52" s="203" t="s">
        <v>117</v>
      </c>
      <c r="G52" s="203">
        <v>31</v>
      </c>
      <c r="H52" s="203" t="s">
        <v>12</v>
      </c>
      <c r="I52" s="203">
        <v>0.32291666666666669</v>
      </c>
    </row>
    <row r="53" spans="1:9" x14ac:dyDescent="0.2">
      <c r="A53" s="203">
        <v>11</v>
      </c>
      <c r="B53" s="203" t="s">
        <v>139</v>
      </c>
      <c r="C53" s="203"/>
      <c r="E53" s="203" t="s">
        <v>118</v>
      </c>
      <c r="G53" s="203">
        <v>32</v>
      </c>
      <c r="H53" s="203" t="s">
        <v>13</v>
      </c>
      <c r="I53" s="203">
        <v>0.33333333333333331</v>
      </c>
    </row>
    <row r="54" spans="1:9" x14ac:dyDescent="0.2">
      <c r="A54" s="203">
        <v>11</v>
      </c>
      <c r="B54" s="203" t="s">
        <v>139</v>
      </c>
      <c r="C54" s="203"/>
      <c r="E54" s="203" t="s">
        <v>119</v>
      </c>
      <c r="G54" s="203">
        <v>33</v>
      </c>
      <c r="H54" s="203" t="s">
        <v>14</v>
      </c>
      <c r="I54" s="203">
        <v>0.34375</v>
      </c>
    </row>
    <row r="55" spans="1:9" x14ac:dyDescent="0.2">
      <c r="A55" s="203"/>
      <c r="C55" s="203"/>
      <c r="E55" s="203" t="s">
        <v>122</v>
      </c>
      <c r="G55" s="203">
        <v>96</v>
      </c>
      <c r="H55" s="203" t="s">
        <v>15</v>
      </c>
      <c r="I55" s="203">
        <v>1</v>
      </c>
    </row>
    <row r="56" spans="1:9" x14ac:dyDescent="0.2">
      <c r="A56" s="203"/>
      <c r="C56" s="203"/>
    </row>
    <row r="57" spans="1:9" x14ac:dyDescent="0.2">
      <c r="A57" s="203">
        <v>12</v>
      </c>
      <c r="B57" s="203" t="s">
        <v>140</v>
      </c>
      <c r="C57" s="203"/>
      <c r="E57" s="203" t="s">
        <v>117</v>
      </c>
      <c r="G57" s="203">
        <v>34</v>
      </c>
      <c r="H57" s="203" t="s">
        <v>12</v>
      </c>
      <c r="I57" s="203">
        <v>0.32380952380952382</v>
      </c>
    </row>
    <row r="58" spans="1:9" x14ac:dyDescent="0.2">
      <c r="A58" s="203">
        <v>12</v>
      </c>
      <c r="B58" s="203" t="s">
        <v>140</v>
      </c>
      <c r="C58" s="203"/>
      <c r="E58" s="203" t="s">
        <v>118</v>
      </c>
      <c r="G58" s="203">
        <v>35</v>
      </c>
      <c r="H58" s="203" t="s">
        <v>13</v>
      </c>
      <c r="I58" s="203">
        <v>0.33333333333333331</v>
      </c>
    </row>
    <row r="59" spans="1:9" x14ac:dyDescent="0.2">
      <c r="A59" s="203">
        <v>12</v>
      </c>
      <c r="B59" s="203" t="s">
        <v>140</v>
      </c>
      <c r="C59" s="203"/>
      <c r="E59" s="203" t="s">
        <v>119</v>
      </c>
      <c r="G59" s="203">
        <v>36</v>
      </c>
      <c r="H59" s="203" t="s">
        <v>14</v>
      </c>
      <c r="I59" s="203">
        <v>0.34285714285714286</v>
      </c>
    </row>
    <row r="60" spans="1:9" x14ac:dyDescent="0.2">
      <c r="A60" s="203"/>
      <c r="C60" s="203"/>
      <c r="E60" s="203" t="s">
        <v>122</v>
      </c>
      <c r="G60" s="203">
        <v>105</v>
      </c>
      <c r="H60" s="203" t="s">
        <v>15</v>
      </c>
      <c r="I60" s="203">
        <v>1</v>
      </c>
    </row>
    <row r="61" spans="1:9" x14ac:dyDescent="0.2">
      <c r="A61" s="203"/>
      <c r="C61" s="203"/>
    </row>
    <row r="62" spans="1:9" x14ac:dyDescent="0.2">
      <c r="A62" s="203">
        <v>13</v>
      </c>
      <c r="B62" s="203" t="s">
        <v>141</v>
      </c>
      <c r="C62" s="203"/>
      <c r="E62" s="203" t="s">
        <v>117</v>
      </c>
      <c r="G62" s="203">
        <v>37</v>
      </c>
      <c r="H62" s="203" t="s">
        <v>12</v>
      </c>
      <c r="I62" s="203">
        <v>0.32456140350877194</v>
      </c>
    </row>
    <row r="63" spans="1:9" x14ac:dyDescent="0.2">
      <c r="A63" s="203">
        <v>13</v>
      </c>
      <c r="B63" s="203" t="s">
        <v>141</v>
      </c>
      <c r="C63" s="203"/>
      <c r="E63" s="203" t="s">
        <v>118</v>
      </c>
      <c r="G63" s="203">
        <v>38</v>
      </c>
      <c r="H63" s="203" t="s">
        <v>13</v>
      </c>
      <c r="I63" s="203">
        <v>0.33333333333333331</v>
      </c>
    </row>
    <row r="64" spans="1:9" x14ac:dyDescent="0.2">
      <c r="A64" s="203">
        <v>13</v>
      </c>
      <c r="B64" s="203" t="s">
        <v>141</v>
      </c>
      <c r="C64" s="203"/>
      <c r="E64" s="203" t="s">
        <v>119</v>
      </c>
      <c r="G64" s="203">
        <v>39</v>
      </c>
      <c r="H64" s="203" t="s">
        <v>14</v>
      </c>
      <c r="I64" s="203">
        <v>0.34210526315789475</v>
      </c>
    </row>
    <row r="65" spans="1:9" x14ac:dyDescent="0.2">
      <c r="A65" s="203"/>
      <c r="C65" s="203"/>
      <c r="E65" s="203" t="s">
        <v>122</v>
      </c>
      <c r="G65" s="203">
        <v>114</v>
      </c>
      <c r="H65" s="203" t="s">
        <v>15</v>
      </c>
      <c r="I65" s="203">
        <v>1</v>
      </c>
    </row>
    <row r="66" spans="1:9" x14ac:dyDescent="0.2">
      <c r="A66" s="203"/>
      <c r="C66" s="203"/>
    </row>
    <row r="67" spans="1:9" x14ac:dyDescent="0.2">
      <c r="A67" s="203">
        <v>14</v>
      </c>
      <c r="B67" s="203" t="s">
        <v>142</v>
      </c>
      <c r="C67" s="203"/>
      <c r="E67" s="203" t="s">
        <v>117</v>
      </c>
      <c r="G67" s="203">
        <v>40</v>
      </c>
      <c r="H67" s="203" t="s">
        <v>12</v>
      </c>
      <c r="I67" s="203">
        <v>0.32520325203252032</v>
      </c>
    </row>
    <row r="68" spans="1:9" x14ac:dyDescent="0.2">
      <c r="A68" s="203">
        <v>14</v>
      </c>
      <c r="B68" s="203" t="s">
        <v>142</v>
      </c>
      <c r="C68" s="203"/>
      <c r="E68" s="203" t="s">
        <v>118</v>
      </c>
      <c r="G68" s="203">
        <v>41</v>
      </c>
      <c r="H68" s="203" t="s">
        <v>13</v>
      </c>
      <c r="I68" s="203">
        <v>0.33333333333333331</v>
      </c>
    </row>
    <row r="69" spans="1:9" x14ac:dyDescent="0.2">
      <c r="A69" s="203">
        <v>14</v>
      </c>
      <c r="B69" s="203" t="s">
        <v>142</v>
      </c>
      <c r="C69" s="203"/>
      <c r="E69" s="203" t="s">
        <v>119</v>
      </c>
      <c r="G69" s="203">
        <v>42</v>
      </c>
      <c r="H69" s="203" t="s">
        <v>14</v>
      </c>
      <c r="I69" s="203">
        <v>0.34146341463414637</v>
      </c>
    </row>
    <row r="70" spans="1:9" x14ac:dyDescent="0.2">
      <c r="A70" s="203"/>
      <c r="C70" s="203"/>
      <c r="E70" s="203" t="s">
        <v>122</v>
      </c>
      <c r="G70" s="203">
        <v>123</v>
      </c>
      <c r="H70" s="203" t="s">
        <v>15</v>
      </c>
      <c r="I70" s="203">
        <v>1</v>
      </c>
    </row>
    <row r="71" spans="1:9" x14ac:dyDescent="0.2">
      <c r="A71" s="203"/>
      <c r="C71" s="203"/>
    </row>
    <row r="72" spans="1:9" x14ac:dyDescent="0.2">
      <c r="A72" s="203">
        <v>15</v>
      </c>
      <c r="B72" s="203" t="s">
        <v>143</v>
      </c>
      <c r="C72" s="203"/>
      <c r="E72" s="203" t="s">
        <v>117</v>
      </c>
      <c r="G72" s="203">
        <v>43</v>
      </c>
      <c r="H72" s="203" t="s">
        <v>12</v>
      </c>
      <c r="I72" s="203">
        <v>0.32575757575757575</v>
      </c>
    </row>
    <row r="73" spans="1:9" x14ac:dyDescent="0.2">
      <c r="A73" s="203">
        <v>15</v>
      </c>
      <c r="B73" s="203" t="s">
        <v>143</v>
      </c>
      <c r="C73" s="203"/>
      <c r="E73" s="203" t="s">
        <v>118</v>
      </c>
      <c r="G73" s="203">
        <v>44</v>
      </c>
      <c r="H73" s="203" t="s">
        <v>13</v>
      </c>
      <c r="I73" s="203">
        <v>0.33333333333333331</v>
      </c>
    </row>
    <row r="74" spans="1:9" x14ac:dyDescent="0.2">
      <c r="A74" s="203">
        <v>15</v>
      </c>
      <c r="B74" s="203" t="s">
        <v>143</v>
      </c>
      <c r="C74" s="203"/>
      <c r="E74" s="203" t="s">
        <v>119</v>
      </c>
      <c r="G74" s="203">
        <v>45</v>
      </c>
      <c r="H74" s="203" t="s">
        <v>14</v>
      </c>
      <c r="I74" s="203">
        <v>0.34090909090909088</v>
      </c>
    </row>
    <row r="75" spans="1:9" x14ac:dyDescent="0.2">
      <c r="A75" s="203"/>
      <c r="C75" s="203"/>
      <c r="E75" s="203" t="s">
        <v>122</v>
      </c>
      <c r="G75" s="203">
        <v>132</v>
      </c>
      <c r="H75" s="203" t="s">
        <v>15</v>
      </c>
      <c r="I75" s="203">
        <v>1</v>
      </c>
    </row>
    <row r="76" spans="1:9" x14ac:dyDescent="0.2">
      <c r="A76" s="203"/>
      <c r="C76" s="203"/>
    </row>
    <row r="77" spans="1:9" ht="16.5" customHeight="1" x14ac:dyDescent="0.2">
      <c r="A77" s="203">
        <v>16</v>
      </c>
      <c r="B77" s="203" t="s">
        <v>144</v>
      </c>
      <c r="C77" s="203"/>
      <c r="E77" s="203" t="s">
        <v>117</v>
      </c>
      <c r="G77" s="203">
        <v>46</v>
      </c>
      <c r="H77" s="203" t="s">
        <v>12</v>
      </c>
      <c r="I77" s="203">
        <v>0.32624113475177308</v>
      </c>
    </row>
    <row r="78" spans="1:9" x14ac:dyDescent="0.2">
      <c r="A78" s="203">
        <v>16</v>
      </c>
      <c r="B78" s="203" t="s">
        <v>144</v>
      </c>
      <c r="C78" s="203"/>
      <c r="E78" s="203" t="s">
        <v>118</v>
      </c>
      <c r="G78" s="203">
        <v>47</v>
      </c>
      <c r="H78" s="203" t="s">
        <v>13</v>
      </c>
      <c r="I78" s="203">
        <v>0.33333333333333331</v>
      </c>
    </row>
    <row r="79" spans="1:9" x14ac:dyDescent="0.2">
      <c r="A79" s="203">
        <v>16</v>
      </c>
      <c r="B79" s="203" t="s">
        <v>144</v>
      </c>
      <c r="C79" s="203"/>
      <c r="E79" s="203" t="s">
        <v>119</v>
      </c>
      <c r="G79" s="203">
        <v>48</v>
      </c>
      <c r="H79" s="203" t="s">
        <v>14</v>
      </c>
      <c r="I79" s="203">
        <v>0.34042553191489361</v>
      </c>
    </row>
    <row r="80" spans="1:9" x14ac:dyDescent="0.2">
      <c r="A80" s="203"/>
      <c r="C80" s="203"/>
      <c r="E80" s="203" t="s">
        <v>122</v>
      </c>
      <c r="G80" s="203">
        <v>141</v>
      </c>
      <c r="H80" s="203" t="s">
        <v>15</v>
      </c>
      <c r="I80" s="203">
        <v>1</v>
      </c>
    </row>
    <row r="81" spans="1:9" x14ac:dyDescent="0.2">
      <c r="A81" s="203"/>
      <c r="C81" s="203"/>
    </row>
    <row r="82" spans="1:9" x14ac:dyDescent="0.2">
      <c r="A82" s="203">
        <v>17</v>
      </c>
      <c r="B82" s="203" t="s">
        <v>145</v>
      </c>
      <c r="C82" s="203"/>
      <c r="E82" s="203" t="s">
        <v>117</v>
      </c>
      <c r="G82" s="203">
        <v>49</v>
      </c>
      <c r="H82" s="203" t="s">
        <v>12</v>
      </c>
      <c r="I82" s="203">
        <v>0.32666666666666666</v>
      </c>
    </row>
    <row r="83" spans="1:9" x14ac:dyDescent="0.2">
      <c r="A83" s="203">
        <v>17</v>
      </c>
      <c r="B83" s="203" t="s">
        <v>145</v>
      </c>
      <c r="C83" s="203"/>
      <c r="E83" s="203" t="s">
        <v>118</v>
      </c>
      <c r="G83" s="203">
        <v>50</v>
      </c>
      <c r="H83" s="203" t="s">
        <v>13</v>
      </c>
      <c r="I83" s="203">
        <v>0.33333333333333331</v>
      </c>
    </row>
    <row r="84" spans="1:9" x14ac:dyDescent="0.2">
      <c r="A84" s="203">
        <v>17</v>
      </c>
      <c r="B84" s="203" t="s">
        <v>145</v>
      </c>
      <c r="C84" s="203"/>
      <c r="E84" s="203" t="s">
        <v>119</v>
      </c>
      <c r="G84" s="203">
        <v>51</v>
      </c>
      <c r="H84" s="203" t="s">
        <v>14</v>
      </c>
      <c r="I84" s="203">
        <v>0.34</v>
      </c>
    </row>
    <row r="85" spans="1:9" x14ac:dyDescent="0.2">
      <c r="A85" s="203"/>
      <c r="C85" s="203"/>
      <c r="E85" s="203" t="s">
        <v>122</v>
      </c>
      <c r="G85" s="203">
        <v>150</v>
      </c>
      <c r="H85" s="203" t="s">
        <v>15</v>
      </c>
      <c r="I85" s="203">
        <v>1</v>
      </c>
    </row>
    <row r="86" spans="1:9" x14ac:dyDescent="0.2">
      <c r="A86" s="203"/>
      <c r="C86" s="203"/>
    </row>
    <row r="87" spans="1:9" x14ac:dyDescent="0.2">
      <c r="A87" s="203">
        <v>18</v>
      </c>
      <c r="B87" s="203" t="s">
        <v>146</v>
      </c>
      <c r="C87" s="203"/>
      <c r="E87" s="203" t="s">
        <v>117</v>
      </c>
      <c r="G87" s="203">
        <v>52</v>
      </c>
      <c r="H87" s="203" t="s">
        <v>12</v>
      </c>
      <c r="I87" s="203">
        <v>0.32704402515723269</v>
      </c>
    </row>
    <row r="88" spans="1:9" x14ac:dyDescent="0.2">
      <c r="A88" s="203">
        <v>18</v>
      </c>
      <c r="B88" s="203" t="s">
        <v>146</v>
      </c>
      <c r="C88" s="203"/>
      <c r="E88" s="203" t="s">
        <v>118</v>
      </c>
      <c r="G88" s="203">
        <v>53</v>
      </c>
      <c r="H88" s="203" t="s">
        <v>13</v>
      </c>
      <c r="I88" s="203">
        <v>0.33333333333333331</v>
      </c>
    </row>
    <row r="89" spans="1:9" x14ac:dyDescent="0.2">
      <c r="A89" s="203">
        <v>18</v>
      </c>
      <c r="B89" s="203" t="s">
        <v>146</v>
      </c>
      <c r="C89" s="203"/>
      <c r="E89" s="203" t="s">
        <v>119</v>
      </c>
      <c r="G89" s="203">
        <v>54</v>
      </c>
      <c r="H89" s="203" t="s">
        <v>14</v>
      </c>
      <c r="I89" s="203">
        <v>0.33962264150943394</v>
      </c>
    </row>
    <row r="90" spans="1:9" x14ac:dyDescent="0.2">
      <c r="A90" s="203"/>
      <c r="C90" s="203"/>
      <c r="E90" s="203" t="s">
        <v>122</v>
      </c>
      <c r="G90" s="203">
        <v>159</v>
      </c>
      <c r="H90" s="203" t="s">
        <v>15</v>
      </c>
      <c r="I90" s="203">
        <v>1</v>
      </c>
    </row>
    <row r="91" spans="1:9" x14ac:dyDescent="0.2">
      <c r="A91" s="203"/>
      <c r="C91" s="203"/>
    </row>
    <row r="92" spans="1:9" x14ac:dyDescent="0.2">
      <c r="A92" s="203">
        <v>19</v>
      </c>
      <c r="B92" s="203" t="s">
        <v>147</v>
      </c>
      <c r="C92" s="203"/>
      <c r="E92" s="203" t="s">
        <v>117</v>
      </c>
      <c r="G92" s="203">
        <v>55</v>
      </c>
      <c r="H92" s="203" t="s">
        <v>12</v>
      </c>
      <c r="I92" s="203">
        <v>0.32738095238095238</v>
      </c>
    </row>
    <row r="93" spans="1:9" x14ac:dyDescent="0.2">
      <c r="A93" s="203">
        <v>19</v>
      </c>
      <c r="B93" s="203" t="s">
        <v>147</v>
      </c>
      <c r="C93" s="203"/>
      <c r="E93" s="203" t="s">
        <v>118</v>
      </c>
      <c r="G93" s="203">
        <v>56</v>
      </c>
      <c r="H93" s="203" t="s">
        <v>13</v>
      </c>
      <c r="I93" s="203">
        <v>0.33333333333333331</v>
      </c>
    </row>
    <row r="94" spans="1:9" x14ac:dyDescent="0.2">
      <c r="A94" s="203">
        <v>19</v>
      </c>
      <c r="B94" s="203" t="s">
        <v>147</v>
      </c>
      <c r="C94" s="203"/>
      <c r="E94" s="203" t="s">
        <v>119</v>
      </c>
      <c r="G94" s="203">
        <v>57</v>
      </c>
      <c r="H94" s="203" t="s">
        <v>14</v>
      </c>
      <c r="I94" s="203">
        <v>0.3392857142857143</v>
      </c>
    </row>
    <row r="95" spans="1:9" x14ac:dyDescent="0.2">
      <c r="A95" s="203"/>
      <c r="C95" s="203"/>
      <c r="E95" s="203" t="s">
        <v>122</v>
      </c>
      <c r="G95" s="203">
        <v>168</v>
      </c>
      <c r="H95" s="203" t="s">
        <v>15</v>
      </c>
      <c r="I95" s="203">
        <v>1</v>
      </c>
    </row>
    <row r="96" spans="1:9" x14ac:dyDescent="0.2">
      <c r="A96" s="203"/>
      <c r="C96" s="203"/>
    </row>
    <row r="97" spans="1:9" x14ac:dyDescent="0.2">
      <c r="A97" s="203">
        <v>20</v>
      </c>
      <c r="B97" s="203" t="s">
        <v>148</v>
      </c>
      <c r="C97" s="203"/>
      <c r="E97" s="203" t="s">
        <v>117</v>
      </c>
      <c r="G97" s="203">
        <v>58</v>
      </c>
      <c r="H97" s="203" t="s">
        <v>12</v>
      </c>
      <c r="I97" s="203">
        <v>0.32768361581920902</v>
      </c>
    </row>
    <row r="98" spans="1:9" x14ac:dyDescent="0.2">
      <c r="A98" s="203">
        <v>20</v>
      </c>
      <c r="B98" s="203" t="s">
        <v>148</v>
      </c>
      <c r="C98" s="203"/>
      <c r="E98" s="203" t="s">
        <v>118</v>
      </c>
      <c r="G98" s="203">
        <v>59</v>
      </c>
      <c r="H98" s="203" t="s">
        <v>13</v>
      </c>
      <c r="I98" s="203">
        <v>0.33333333333333331</v>
      </c>
    </row>
    <row r="99" spans="1:9" x14ac:dyDescent="0.2">
      <c r="A99" s="203">
        <v>20</v>
      </c>
      <c r="B99" s="203" t="s">
        <v>148</v>
      </c>
      <c r="C99" s="203"/>
      <c r="E99" s="203" t="s">
        <v>119</v>
      </c>
      <c r="G99" s="203">
        <v>60</v>
      </c>
      <c r="H99" s="203" t="s">
        <v>14</v>
      </c>
      <c r="I99" s="203">
        <v>0.33898305084745761</v>
      </c>
    </row>
    <row r="100" spans="1:9" x14ac:dyDescent="0.2">
      <c r="A100" s="203"/>
      <c r="C100" s="203"/>
      <c r="E100" s="203" t="s">
        <v>122</v>
      </c>
      <c r="G100" s="203">
        <v>177</v>
      </c>
      <c r="H100" s="203" t="s">
        <v>15</v>
      </c>
      <c r="I100" s="203">
        <v>1</v>
      </c>
    </row>
    <row r="101" spans="1:9" x14ac:dyDescent="0.2">
      <c r="A101" s="203"/>
      <c r="C101" s="203"/>
    </row>
    <row r="102" spans="1:9" x14ac:dyDescent="0.2">
      <c r="A102" s="203">
        <v>21</v>
      </c>
      <c r="B102" s="203" t="s">
        <v>149</v>
      </c>
      <c r="C102" s="203"/>
      <c r="E102" s="203" t="s">
        <v>117</v>
      </c>
      <c r="G102" s="203">
        <v>61</v>
      </c>
      <c r="H102" s="203" t="s">
        <v>12</v>
      </c>
      <c r="I102" s="203">
        <v>0.32795698924731181</v>
      </c>
    </row>
    <row r="103" spans="1:9" x14ac:dyDescent="0.2">
      <c r="A103" s="203">
        <v>21</v>
      </c>
      <c r="B103" s="203" t="s">
        <v>149</v>
      </c>
      <c r="C103" s="203"/>
      <c r="E103" s="203" t="s">
        <v>118</v>
      </c>
      <c r="G103" s="203">
        <v>62</v>
      </c>
      <c r="H103" s="203" t="s">
        <v>13</v>
      </c>
      <c r="I103" s="203">
        <v>0.33333333333333331</v>
      </c>
    </row>
    <row r="104" spans="1:9" x14ac:dyDescent="0.2">
      <c r="A104" s="203">
        <v>21</v>
      </c>
      <c r="B104" s="203" t="s">
        <v>149</v>
      </c>
      <c r="C104" s="203"/>
      <c r="E104" s="203" t="s">
        <v>119</v>
      </c>
      <c r="G104" s="203">
        <v>63</v>
      </c>
      <c r="H104" s="203" t="s">
        <v>14</v>
      </c>
      <c r="I104" s="203">
        <v>0.33870967741935482</v>
      </c>
    </row>
    <row r="105" spans="1:9" x14ac:dyDescent="0.2">
      <c r="A105" s="203"/>
      <c r="C105" s="203"/>
      <c r="E105" s="203" t="s">
        <v>122</v>
      </c>
      <c r="G105" s="203">
        <v>186</v>
      </c>
      <c r="H105" s="203" t="s">
        <v>15</v>
      </c>
      <c r="I105" s="203">
        <v>1</v>
      </c>
    </row>
    <row r="106" spans="1:9" x14ac:dyDescent="0.2">
      <c r="A106" s="203"/>
      <c r="C106" s="203"/>
    </row>
    <row r="107" spans="1:9" x14ac:dyDescent="0.2">
      <c r="A107" s="203">
        <v>22</v>
      </c>
      <c r="B107" s="203" t="s">
        <v>150</v>
      </c>
      <c r="C107" s="203"/>
      <c r="E107" s="203" t="s">
        <v>117</v>
      </c>
      <c r="G107" s="203">
        <v>64</v>
      </c>
      <c r="H107" s="203" t="s">
        <v>12</v>
      </c>
      <c r="I107" s="203">
        <v>0.3282051282051282</v>
      </c>
    </row>
    <row r="108" spans="1:9" x14ac:dyDescent="0.2">
      <c r="A108" s="203">
        <v>22</v>
      </c>
      <c r="B108" s="203" t="s">
        <v>150</v>
      </c>
      <c r="C108" s="203"/>
      <c r="E108" s="203" t="s">
        <v>118</v>
      </c>
      <c r="G108" s="203">
        <v>65</v>
      </c>
      <c r="H108" s="203" t="s">
        <v>13</v>
      </c>
      <c r="I108" s="203">
        <v>0.33333333333333331</v>
      </c>
    </row>
    <row r="109" spans="1:9" x14ac:dyDescent="0.2">
      <c r="A109" s="203">
        <v>22</v>
      </c>
      <c r="B109" s="203" t="s">
        <v>150</v>
      </c>
      <c r="C109" s="203"/>
      <c r="E109" s="203" t="s">
        <v>119</v>
      </c>
      <c r="G109" s="203">
        <v>66</v>
      </c>
      <c r="H109" s="203" t="s">
        <v>14</v>
      </c>
      <c r="I109" s="203">
        <v>0.33846153846153848</v>
      </c>
    </row>
    <row r="110" spans="1:9" x14ac:dyDescent="0.2">
      <c r="A110" s="203"/>
      <c r="C110" s="203"/>
      <c r="E110" s="203" t="s">
        <v>122</v>
      </c>
      <c r="G110" s="203">
        <v>195</v>
      </c>
      <c r="H110" s="203" t="s">
        <v>15</v>
      </c>
      <c r="I110" s="203">
        <v>1</v>
      </c>
    </row>
    <row r="111" spans="1:9" x14ac:dyDescent="0.2">
      <c r="A111" s="203"/>
      <c r="C111" s="203"/>
    </row>
    <row r="112" spans="1:9" x14ac:dyDescent="0.2">
      <c r="A112" s="203">
        <v>23</v>
      </c>
      <c r="B112" s="203" t="s">
        <v>151</v>
      </c>
      <c r="C112" s="203"/>
      <c r="E112" s="203" t="s">
        <v>117</v>
      </c>
      <c r="G112" s="203">
        <v>67</v>
      </c>
      <c r="H112" s="203" t="s">
        <v>12</v>
      </c>
      <c r="I112" s="203">
        <v>0.32843137254901961</v>
      </c>
    </row>
    <row r="113" spans="1:9" x14ac:dyDescent="0.2">
      <c r="A113" s="203">
        <v>23</v>
      </c>
      <c r="B113" s="203" t="s">
        <v>151</v>
      </c>
      <c r="C113" s="203"/>
      <c r="E113" s="203" t="s">
        <v>118</v>
      </c>
      <c r="G113" s="203">
        <v>68</v>
      </c>
      <c r="H113" s="203" t="s">
        <v>13</v>
      </c>
      <c r="I113" s="203">
        <v>0.33333333333333331</v>
      </c>
    </row>
    <row r="114" spans="1:9" x14ac:dyDescent="0.2">
      <c r="A114" s="203">
        <v>23</v>
      </c>
      <c r="B114" s="203" t="s">
        <v>151</v>
      </c>
      <c r="C114" s="203"/>
      <c r="E114" s="203" t="s">
        <v>119</v>
      </c>
      <c r="G114" s="203">
        <v>69</v>
      </c>
      <c r="H114" s="203" t="s">
        <v>14</v>
      </c>
      <c r="I114" s="203">
        <v>0.33823529411764708</v>
      </c>
    </row>
    <row r="115" spans="1:9" x14ac:dyDescent="0.2">
      <c r="A115" s="203"/>
      <c r="C115" s="203"/>
      <c r="E115" s="203" t="s">
        <v>122</v>
      </c>
      <c r="G115" s="203">
        <v>204</v>
      </c>
      <c r="H115" s="203" t="s">
        <v>15</v>
      </c>
      <c r="I115" s="203">
        <v>1</v>
      </c>
    </row>
    <row r="116" spans="1:9" x14ac:dyDescent="0.2">
      <c r="A116" s="203"/>
      <c r="C116" s="203"/>
    </row>
    <row r="117" spans="1:9" x14ac:dyDescent="0.2">
      <c r="A117" s="203">
        <v>24</v>
      </c>
      <c r="B117" s="203" t="s">
        <v>152</v>
      </c>
      <c r="C117" s="203"/>
      <c r="E117" s="203" t="s">
        <v>117</v>
      </c>
      <c r="G117" s="203">
        <v>70</v>
      </c>
      <c r="H117" s="203" t="s">
        <v>12</v>
      </c>
      <c r="I117" s="203">
        <v>0.32863849765258218</v>
      </c>
    </row>
    <row r="118" spans="1:9" x14ac:dyDescent="0.2">
      <c r="A118" s="203">
        <v>24</v>
      </c>
      <c r="B118" s="203" t="s">
        <v>152</v>
      </c>
      <c r="C118" s="203"/>
      <c r="E118" s="203" t="s">
        <v>118</v>
      </c>
      <c r="G118" s="203">
        <v>71</v>
      </c>
      <c r="H118" s="203" t="s">
        <v>13</v>
      </c>
      <c r="I118" s="203">
        <v>0.33333333333333331</v>
      </c>
    </row>
    <row r="119" spans="1:9" x14ac:dyDescent="0.2">
      <c r="A119" s="203">
        <v>24</v>
      </c>
      <c r="B119" s="203" t="s">
        <v>152</v>
      </c>
      <c r="C119" s="203"/>
      <c r="E119" s="203" t="s">
        <v>119</v>
      </c>
      <c r="G119" s="203">
        <v>72</v>
      </c>
      <c r="H119" s="203" t="s">
        <v>14</v>
      </c>
      <c r="I119" s="203">
        <v>0.3380281690140845</v>
      </c>
    </row>
    <row r="120" spans="1:9" x14ac:dyDescent="0.2">
      <c r="A120" s="203"/>
      <c r="C120" s="203"/>
      <c r="E120" s="203" t="s">
        <v>122</v>
      </c>
      <c r="G120" s="203">
        <v>213</v>
      </c>
      <c r="H120" s="203" t="s">
        <v>15</v>
      </c>
      <c r="I120" s="203">
        <v>1</v>
      </c>
    </row>
    <row r="121" spans="1:9" x14ac:dyDescent="0.2">
      <c r="A121" s="203"/>
      <c r="C121" s="203"/>
    </row>
    <row r="122" spans="1:9" x14ac:dyDescent="0.2">
      <c r="A122" s="203">
        <v>25</v>
      </c>
      <c r="B122" s="203" t="s">
        <v>153</v>
      </c>
      <c r="C122" s="203"/>
      <c r="E122" s="203" t="s">
        <v>117</v>
      </c>
      <c r="G122" s="203">
        <v>73</v>
      </c>
      <c r="H122" s="203" t="s">
        <v>12</v>
      </c>
      <c r="I122" s="203">
        <v>0.32882882882882886</v>
      </c>
    </row>
    <row r="123" spans="1:9" x14ac:dyDescent="0.2">
      <c r="A123" s="203">
        <v>25</v>
      </c>
      <c r="B123" s="203" t="s">
        <v>153</v>
      </c>
      <c r="C123" s="203"/>
      <c r="E123" s="203" t="s">
        <v>118</v>
      </c>
      <c r="G123" s="203">
        <v>74</v>
      </c>
      <c r="H123" s="203" t="s">
        <v>13</v>
      </c>
      <c r="I123" s="203">
        <v>0.33333333333333331</v>
      </c>
    </row>
    <row r="124" spans="1:9" x14ac:dyDescent="0.2">
      <c r="A124" s="203">
        <v>25</v>
      </c>
      <c r="B124" s="203" t="s">
        <v>153</v>
      </c>
      <c r="C124" s="203"/>
      <c r="E124" s="203" t="s">
        <v>119</v>
      </c>
      <c r="G124" s="203">
        <v>75</v>
      </c>
      <c r="H124" s="203" t="s">
        <v>14</v>
      </c>
      <c r="I124" s="203">
        <v>0.33783783783783783</v>
      </c>
    </row>
    <row r="125" spans="1:9" x14ac:dyDescent="0.2">
      <c r="A125" s="203"/>
      <c r="C125" s="203"/>
      <c r="E125" s="203" t="s">
        <v>122</v>
      </c>
      <c r="G125" s="203">
        <v>222</v>
      </c>
      <c r="H125" s="203" t="s">
        <v>15</v>
      </c>
      <c r="I125" s="203">
        <v>1</v>
      </c>
    </row>
    <row r="126" spans="1:9" x14ac:dyDescent="0.2">
      <c r="A126" s="203"/>
      <c r="C126" s="203"/>
    </row>
    <row r="127" spans="1:9" x14ac:dyDescent="0.2">
      <c r="A127" s="203">
        <v>26</v>
      </c>
      <c r="B127" s="203" t="s">
        <v>154</v>
      </c>
      <c r="C127" s="203"/>
      <c r="E127" s="203" t="s">
        <v>117</v>
      </c>
      <c r="G127" s="203">
        <v>76</v>
      </c>
      <c r="H127" s="203" t="s">
        <v>12</v>
      </c>
      <c r="I127" s="203">
        <v>0.32900432900432902</v>
      </c>
    </row>
    <row r="128" spans="1:9" x14ac:dyDescent="0.2">
      <c r="A128" s="203">
        <v>26</v>
      </c>
      <c r="B128" s="203" t="s">
        <v>154</v>
      </c>
      <c r="C128" s="203"/>
      <c r="E128" s="203" t="s">
        <v>118</v>
      </c>
      <c r="G128" s="203">
        <v>77</v>
      </c>
      <c r="H128" s="203" t="s">
        <v>13</v>
      </c>
      <c r="I128" s="203">
        <v>0.33333333333333331</v>
      </c>
    </row>
    <row r="129" spans="1:9" x14ac:dyDescent="0.2">
      <c r="A129" s="203">
        <v>26</v>
      </c>
      <c r="B129" s="203" t="s">
        <v>154</v>
      </c>
      <c r="C129" s="203"/>
      <c r="E129" s="203" t="s">
        <v>119</v>
      </c>
      <c r="G129" s="203">
        <v>78</v>
      </c>
      <c r="H129" s="203" t="s">
        <v>14</v>
      </c>
      <c r="I129" s="203">
        <v>0.33766233766233766</v>
      </c>
    </row>
    <row r="130" spans="1:9" x14ac:dyDescent="0.2">
      <c r="A130" s="203"/>
      <c r="C130" s="203"/>
      <c r="E130" s="203" t="s">
        <v>122</v>
      </c>
      <c r="G130" s="203">
        <v>231</v>
      </c>
      <c r="H130" s="203" t="s">
        <v>15</v>
      </c>
      <c r="I130" s="203">
        <v>1</v>
      </c>
    </row>
    <row r="131" spans="1:9" x14ac:dyDescent="0.2">
      <c r="A131" s="203"/>
      <c r="C131" s="203"/>
    </row>
    <row r="132" spans="1:9" x14ac:dyDescent="0.2">
      <c r="A132" s="203">
        <v>27</v>
      </c>
      <c r="B132" s="203" t="s">
        <v>155</v>
      </c>
      <c r="C132" s="203"/>
      <c r="E132" s="203" t="s">
        <v>117</v>
      </c>
      <c r="G132" s="203">
        <v>79</v>
      </c>
      <c r="H132" s="203" t="s">
        <v>12</v>
      </c>
      <c r="I132" s="203">
        <v>0.32916666666666666</v>
      </c>
    </row>
    <row r="133" spans="1:9" x14ac:dyDescent="0.2">
      <c r="A133" s="203">
        <v>27</v>
      </c>
      <c r="B133" s="203" t="s">
        <v>155</v>
      </c>
      <c r="C133" s="203"/>
      <c r="E133" s="203" t="s">
        <v>118</v>
      </c>
      <c r="G133" s="203">
        <v>80</v>
      </c>
      <c r="H133" s="203" t="s">
        <v>13</v>
      </c>
      <c r="I133" s="203">
        <v>0.33333333333333331</v>
      </c>
    </row>
    <row r="134" spans="1:9" x14ac:dyDescent="0.2">
      <c r="A134" s="203">
        <v>27</v>
      </c>
      <c r="B134" s="203" t="s">
        <v>155</v>
      </c>
      <c r="C134" s="203"/>
      <c r="E134" s="203" t="s">
        <v>119</v>
      </c>
      <c r="G134" s="203">
        <v>81</v>
      </c>
      <c r="H134" s="203" t="s">
        <v>14</v>
      </c>
      <c r="I134" s="203">
        <v>0.33750000000000002</v>
      </c>
    </row>
    <row r="135" spans="1:9" x14ac:dyDescent="0.2">
      <c r="A135" s="203"/>
      <c r="C135" s="203"/>
      <c r="E135" s="203" t="s">
        <v>122</v>
      </c>
      <c r="G135" s="203">
        <v>240</v>
      </c>
      <c r="H135" s="203" t="s">
        <v>15</v>
      </c>
      <c r="I135" s="203">
        <v>1</v>
      </c>
    </row>
    <row r="136" spans="1:9" x14ac:dyDescent="0.2">
      <c r="A136" s="203"/>
      <c r="C136" s="203"/>
    </row>
    <row r="137" spans="1:9" x14ac:dyDescent="0.2">
      <c r="A137" s="203">
        <v>28</v>
      </c>
      <c r="B137" s="203" t="s">
        <v>156</v>
      </c>
      <c r="C137" s="203"/>
      <c r="E137" s="203" t="s">
        <v>117</v>
      </c>
      <c r="G137" s="203">
        <v>82</v>
      </c>
      <c r="H137" s="203" t="s">
        <v>12</v>
      </c>
      <c r="I137" s="203">
        <v>0.32931726907630521</v>
      </c>
    </row>
    <row r="138" spans="1:9" x14ac:dyDescent="0.2">
      <c r="A138" s="203">
        <v>28</v>
      </c>
      <c r="B138" s="203" t="s">
        <v>156</v>
      </c>
      <c r="C138" s="203"/>
      <c r="E138" s="203" t="s">
        <v>118</v>
      </c>
      <c r="G138" s="203">
        <v>83</v>
      </c>
      <c r="H138" s="203" t="s">
        <v>13</v>
      </c>
      <c r="I138" s="203">
        <v>0.33333333333333331</v>
      </c>
    </row>
    <row r="139" spans="1:9" x14ac:dyDescent="0.2">
      <c r="A139" s="203">
        <v>28</v>
      </c>
      <c r="B139" s="203" t="s">
        <v>156</v>
      </c>
      <c r="C139" s="203"/>
      <c r="E139" s="203" t="s">
        <v>119</v>
      </c>
      <c r="G139" s="203">
        <v>84</v>
      </c>
      <c r="H139" s="203" t="s">
        <v>14</v>
      </c>
      <c r="I139" s="203">
        <v>0.33734939759036142</v>
      </c>
    </row>
    <row r="140" spans="1:9" x14ac:dyDescent="0.2">
      <c r="A140" s="203"/>
      <c r="C140" s="203"/>
      <c r="E140" s="203" t="s">
        <v>122</v>
      </c>
      <c r="G140" s="203">
        <v>249</v>
      </c>
      <c r="H140" s="203" t="s">
        <v>15</v>
      </c>
      <c r="I140" s="203">
        <v>1</v>
      </c>
    </row>
    <row r="141" spans="1:9" x14ac:dyDescent="0.2">
      <c r="A141" s="203"/>
      <c r="C141" s="203"/>
    </row>
    <row r="142" spans="1:9" x14ac:dyDescent="0.2">
      <c r="A142" s="203">
        <v>29</v>
      </c>
      <c r="B142" s="203" t="s">
        <v>157</v>
      </c>
      <c r="C142" s="203"/>
      <c r="E142" s="203" t="s">
        <v>117</v>
      </c>
      <c r="G142" s="203">
        <v>85</v>
      </c>
      <c r="H142" s="203" t="s">
        <v>12</v>
      </c>
      <c r="I142" s="203">
        <v>0.32945736434108525</v>
      </c>
    </row>
    <row r="143" spans="1:9" x14ac:dyDescent="0.2">
      <c r="A143" s="203">
        <v>29</v>
      </c>
      <c r="B143" s="203" t="s">
        <v>157</v>
      </c>
      <c r="C143" s="203"/>
      <c r="E143" s="203" t="s">
        <v>118</v>
      </c>
      <c r="G143" s="203">
        <v>86</v>
      </c>
      <c r="H143" s="203" t="s">
        <v>13</v>
      </c>
      <c r="I143" s="203">
        <v>0.33333333333333331</v>
      </c>
    </row>
    <row r="144" spans="1:9" x14ac:dyDescent="0.2">
      <c r="A144" s="203">
        <v>29</v>
      </c>
      <c r="B144" s="203" t="s">
        <v>157</v>
      </c>
      <c r="C144" s="203"/>
      <c r="E144" s="203" t="s">
        <v>119</v>
      </c>
      <c r="G144" s="203">
        <v>87</v>
      </c>
      <c r="H144" s="203" t="s">
        <v>14</v>
      </c>
      <c r="I144" s="203">
        <v>0.33720930232558138</v>
      </c>
    </row>
    <row r="145" spans="1:9" x14ac:dyDescent="0.2">
      <c r="A145" s="203"/>
      <c r="C145" s="203"/>
      <c r="E145" s="203" t="s">
        <v>122</v>
      </c>
      <c r="G145" s="203">
        <v>258</v>
      </c>
      <c r="H145" s="203" t="s">
        <v>15</v>
      </c>
      <c r="I145" s="203">
        <v>1</v>
      </c>
    </row>
    <row r="146" spans="1:9" x14ac:dyDescent="0.2">
      <c r="A146" s="203"/>
      <c r="C146" s="203"/>
    </row>
    <row r="147" spans="1:9" x14ac:dyDescent="0.2">
      <c r="A147" s="203">
        <v>30</v>
      </c>
      <c r="B147" s="203" t="s">
        <v>158</v>
      </c>
      <c r="C147" s="203"/>
      <c r="E147" s="203" t="s">
        <v>117</v>
      </c>
      <c r="G147" s="203">
        <v>88</v>
      </c>
      <c r="H147" s="203" t="s">
        <v>12</v>
      </c>
      <c r="I147" s="203">
        <v>0.32958801498127338</v>
      </c>
    </row>
    <row r="148" spans="1:9" x14ac:dyDescent="0.2">
      <c r="A148" s="203">
        <v>30</v>
      </c>
      <c r="B148" s="203" t="s">
        <v>158</v>
      </c>
      <c r="C148" s="203"/>
      <c r="E148" s="203" t="s">
        <v>118</v>
      </c>
      <c r="G148" s="203">
        <v>89</v>
      </c>
      <c r="H148" s="203" t="s">
        <v>13</v>
      </c>
      <c r="I148" s="203">
        <v>0.33333333333333331</v>
      </c>
    </row>
    <row r="149" spans="1:9" x14ac:dyDescent="0.2">
      <c r="A149" s="203">
        <v>30</v>
      </c>
      <c r="B149" s="203" t="s">
        <v>158</v>
      </c>
      <c r="C149" s="203"/>
      <c r="E149" s="203" t="s">
        <v>119</v>
      </c>
      <c r="G149" s="203">
        <v>90</v>
      </c>
      <c r="H149" s="203" t="s">
        <v>14</v>
      </c>
      <c r="I149" s="203">
        <v>0.33707865168539325</v>
      </c>
    </row>
    <row r="150" spans="1:9" x14ac:dyDescent="0.2">
      <c r="A150" s="203"/>
      <c r="C150" s="203"/>
      <c r="E150" s="203" t="s">
        <v>122</v>
      </c>
      <c r="G150" s="203">
        <v>267</v>
      </c>
      <c r="H150" s="203" t="s">
        <v>15</v>
      </c>
      <c r="I150" s="203">
        <v>1</v>
      </c>
    </row>
    <row r="151" spans="1:9" x14ac:dyDescent="0.2">
      <c r="A151" s="203"/>
      <c r="C151" s="203"/>
    </row>
    <row r="152" spans="1:9" x14ac:dyDescent="0.2">
      <c r="A152" s="203">
        <v>31</v>
      </c>
      <c r="B152" s="203" t="s">
        <v>159</v>
      </c>
      <c r="C152" s="203"/>
      <c r="E152" s="203" t="s">
        <v>117</v>
      </c>
      <c r="G152" s="203">
        <v>91</v>
      </c>
      <c r="H152" s="203" t="s">
        <v>12</v>
      </c>
      <c r="I152" s="203">
        <v>0.32971014492753625</v>
      </c>
    </row>
    <row r="153" spans="1:9" x14ac:dyDescent="0.2">
      <c r="A153" s="203">
        <v>31</v>
      </c>
      <c r="B153" s="203" t="s">
        <v>159</v>
      </c>
      <c r="C153" s="203"/>
      <c r="E153" s="203" t="s">
        <v>118</v>
      </c>
      <c r="G153" s="203">
        <v>92</v>
      </c>
      <c r="H153" s="203" t="s">
        <v>13</v>
      </c>
      <c r="I153" s="203">
        <v>0.33333333333333331</v>
      </c>
    </row>
    <row r="154" spans="1:9" x14ac:dyDescent="0.2">
      <c r="A154" s="203">
        <v>31</v>
      </c>
      <c r="B154" s="203" t="s">
        <v>159</v>
      </c>
      <c r="C154" s="203"/>
      <c r="E154" s="203" t="s">
        <v>119</v>
      </c>
      <c r="G154" s="203">
        <v>93</v>
      </c>
      <c r="H154" s="203" t="s">
        <v>14</v>
      </c>
      <c r="I154" s="203">
        <v>0.33695652173913043</v>
      </c>
    </row>
    <row r="155" spans="1:9" x14ac:dyDescent="0.2">
      <c r="A155" s="203"/>
      <c r="C155" s="203"/>
      <c r="E155" s="203" t="s">
        <v>122</v>
      </c>
      <c r="G155" s="203">
        <v>276</v>
      </c>
      <c r="H155" s="203" t="s">
        <v>15</v>
      </c>
      <c r="I155" s="203">
        <v>1</v>
      </c>
    </row>
    <row r="156" spans="1:9" x14ac:dyDescent="0.2">
      <c r="A156" s="203"/>
      <c r="C156" s="203"/>
    </row>
    <row r="157" spans="1:9" x14ac:dyDescent="0.2">
      <c r="A157" s="203">
        <v>32</v>
      </c>
      <c r="B157" s="203" t="s">
        <v>160</v>
      </c>
      <c r="C157" s="203"/>
      <c r="E157" s="203" t="s">
        <v>117</v>
      </c>
      <c r="G157" s="203">
        <v>94</v>
      </c>
      <c r="H157" s="203" t="s">
        <v>12</v>
      </c>
      <c r="I157" s="203">
        <v>0.3298245614035088</v>
      </c>
    </row>
    <row r="158" spans="1:9" x14ac:dyDescent="0.2">
      <c r="A158" s="203">
        <v>32</v>
      </c>
      <c r="B158" s="203" t="s">
        <v>160</v>
      </c>
      <c r="C158" s="203"/>
      <c r="E158" s="203" t="s">
        <v>118</v>
      </c>
      <c r="G158" s="203">
        <v>95</v>
      </c>
      <c r="H158" s="203" t="s">
        <v>13</v>
      </c>
      <c r="I158" s="203">
        <v>0.33333333333333331</v>
      </c>
    </row>
    <row r="159" spans="1:9" x14ac:dyDescent="0.2">
      <c r="A159" s="203">
        <v>32</v>
      </c>
      <c r="B159" s="203" t="s">
        <v>160</v>
      </c>
      <c r="C159" s="203"/>
      <c r="E159" s="203" t="s">
        <v>119</v>
      </c>
      <c r="G159" s="203">
        <v>96</v>
      </c>
      <c r="H159" s="203" t="s">
        <v>14</v>
      </c>
      <c r="I159" s="203">
        <v>0.33684210526315789</v>
      </c>
    </row>
    <row r="160" spans="1:9" x14ac:dyDescent="0.2">
      <c r="A160" s="203"/>
      <c r="C160" s="203"/>
      <c r="E160" s="203" t="s">
        <v>122</v>
      </c>
      <c r="G160" s="203">
        <v>285</v>
      </c>
      <c r="H160" s="203" t="s">
        <v>15</v>
      </c>
      <c r="I160" s="203">
        <v>1</v>
      </c>
    </row>
    <row r="161" spans="1:9" x14ac:dyDescent="0.2">
      <c r="A161" s="203"/>
      <c r="C161" s="203"/>
    </row>
    <row r="162" spans="1:9" x14ac:dyDescent="0.2">
      <c r="A162" s="203">
        <v>33</v>
      </c>
      <c r="B162" s="203" t="s">
        <v>161</v>
      </c>
      <c r="C162" s="203"/>
      <c r="E162" s="203" t="s">
        <v>117</v>
      </c>
      <c r="G162" s="203">
        <v>97</v>
      </c>
      <c r="H162" s="203" t="s">
        <v>12</v>
      </c>
      <c r="I162" s="203">
        <v>0.32993197278911562</v>
      </c>
    </row>
    <row r="163" spans="1:9" x14ac:dyDescent="0.2">
      <c r="A163" s="203">
        <v>33</v>
      </c>
      <c r="B163" s="203" t="s">
        <v>161</v>
      </c>
      <c r="C163" s="203"/>
      <c r="E163" s="203" t="s">
        <v>118</v>
      </c>
      <c r="G163" s="203">
        <v>98</v>
      </c>
      <c r="H163" s="203" t="s">
        <v>13</v>
      </c>
      <c r="I163" s="203">
        <v>0.33333333333333331</v>
      </c>
    </row>
    <row r="164" spans="1:9" x14ac:dyDescent="0.2">
      <c r="A164" s="203">
        <v>33</v>
      </c>
      <c r="B164" s="203" t="s">
        <v>161</v>
      </c>
      <c r="C164" s="203"/>
      <c r="E164" s="203" t="s">
        <v>119</v>
      </c>
      <c r="G164" s="203">
        <v>99</v>
      </c>
      <c r="H164" s="203" t="s">
        <v>14</v>
      </c>
      <c r="I164" s="203">
        <v>0.33673469387755101</v>
      </c>
    </row>
    <row r="165" spans="1:9" x14ac:dyDescent="0.2">
      <c r="A165" s="203"/>
      <c r="C165" s="203"/>
      <c r="E165" s="203" t="s">
        <v>122</v>
      </c>
      <c r="G165" s="203">
        <v>294</v>
      </c>
      <c r="H165" s="203" t="s">
        <v>15</v>
      </c>
      <c r="I165" s="203">
        <v>1</v>
      </c>
    </row>
    <row r="166" spans="1:9" x14ac:dyDescent="0.2">
      <c r="A166" s="203"/>
      <c r="C166" s="203"/>
    </row>
    <row r="167" spans="1:9" x14ac:dyDescent="0.2">
      <c r="A167" s="203">
        <v>34</v>
      </c>
      <c r="B167" s="203" t="s">
        <v>162</v>
      </c>
      <c r="C167" s="203"/>
      <c r="E167" s="203" t="s">
        <v>117</v>
      </c>
      <c r="G167" s="203">
        <v>100</v>
      </c>
      <c r="H167" s="203" t="s">
        <v>12</v>
      </c>
      <c r="I167" s="203">
        <v>0.33003300330033003</v>
      </c>
    </row>
    <row r="168" spans="1:9" x14ac:dyDescent="0.2">
      <c r="A168" s="203">
        <v>34</v>
      </c>
      <c r="B168" s="203" t="s">
        <v>162</v>
      </c>
      <c r="C168" s="203"/>
      <c r="E168" s="203" t="s">
        <v>118</v>
      </c>
      <c r="G168" s="203">
        <v>101</v>
      </c>
      <c r="H168" s="203" t="s">
        <v>13</v>
      </c>
      <c r="I168" s="203">
        <v>0.33333333333333331</v>
      </c>
    </row>
    <row r="169" spans="1:9" x14ac:dyDescent="0.2">
      <c r="A169" s="203">
        <v>34</v>
      </c>
      <c r="B169" s="203" t="s">
        <v>162</v>
      </c>
      <c r="C169" s="203"/>
      <c r="E169" s="203" t="s">
        <v>119</v>
      </c>
      <c r="G169" s="203">
        <v>102</v>
      </c>
      <c r="H169" s="203" t="s">
        <v>14</v>
      </c>
      <c r="I169" s="203">
        <v>0.33663366336633666</v>
      </c>
    </row>
    <row r="170" spans="1:9" x14ac:dyDescent="0.2">
      <c r="A170" s="203"/>
      <c r="C170" s="203"/>
      <c r="E170" s="203" t="s">
        <v>122</v>
      </c>
      <c r="G170" s="203">
        <v>303</v>
      </c>
      <c r="H170" s="203" t="s">
        <v>15</v>
      </c>
      <c r="I170" s="203">
        <v>1</v>
      </c>
    </row>
    <row r="171" spans="1:9" x14ac:dyDescent="0.2">
      <c r="A171" s="203"/>
      <c r="C171" s="203"/>
    </row>
    <row r="172" spans="1:9" x14ac:dyDescent="0.2">
      <c r="A172" s="203">
        <v>35</v>
      </c>
      <c r="B172" s="203" t="s">
        <v>163</v>
      </c>
      <c r="C172" s="203"/>
      <c r="E172" s="203" t="s">
        <v>117</v>
      </c>
      <c r="G172" s="203">
        <v>103</v>
      </c>
      <c r="H172" s="203" t="s">
        <v>12</v>
      </c>
      <c r="I172" s="203">
        <v>0.33012820512820512</v>
      </c>
    </row>
    <row r="173" spans="1:9" x14ac:dyDescent="0.2">
      <c r="A173" s="203">
        <v>35</v>
      </c>
      <c r="B173" s="203" t="s">
        <v>163</v>
      </c>
      <c r="C173" s="203"/>
      <c r="E173" s="203" t="s">
        <v>118</v>
      </c>
      <c r="G173" s="203">
        <v>104</v>
      </c>
      <c r="H173" s="203" t="s">
        <v>13</v>
      </c>
      <c r="I173" s="203">
        <v>0.33333333333333331</v>
      </c>
    </row>
    <row r="174" spans="1:9" x14ac:dyDescent="0.2">
      <c r="A174" s="203">
        <v>35</v>
      </c>
      <c r="B174" s="203" t="s">
        <v>163</v>
      </c>
      <c r="C174" s="203"/>
      <c r="E174" s="203" t="s">
        <v>119</v>
      </c>
      <c r="G174" s="203">
        <v>105</v>
      </c>
      <c r="H174" s="203" t="s">
        <v>14</v>
      </c>
      <c r="I174" s="203">
        <v>0.33653846153846156</v>
      </c>
    </row>
    <row r="175" spans="1:9" x14ac:dyDescent="0.2">
      <c r="A175" s="203"/>
      <c r="C175" s="203"/>
      <c r="E175" s="203" t="s">
        <v>122</v>
      </c>
      <c r="G175" s="203">
        <v>312</v>
      </c>
      <c r="H175" s="203" t="s">
        <v>15</v>
      </c>
      <c r="I175" s="203">
        <v>1</v>
      </c>
    </row>
    <row r="176" spans="1:9" x14ac:dyDescent="0.2">
      <c r="A176" s="203"/>
      <c r="C176" s="203"/>
    </row>
    <row r="177" spans="1:9" x14ac:dyDescent="0.2">
      <c r="A177" s="203">
        <v>36</v>
      </c>
      <c r="B177" s="203" t="s">
        <v>164</v>
      </c>
      <c r="C177" s="203"/>
      <c r="E177" s="203" t="s">
        <v>117</v>
      </c>
      <c r="G177" s="203">
        <v>106</v>
      </c>
      <c r="H177" s="203" t="s">
        <v>12</v>
      </c>
      <c r="I177" s="203">
        <v>0.33021806853582553</v>
      </c>
    </row>
    <row r="178" spans="1:9" x14ac:dyDescent="0.2">
      <c r="A178" s="203">
        <v>36</v>
      </c>
      <c r="B178" s="203" t="s">
        <v>164</v>
      </c>
      <c r="C178" s="203"/>
      <c r="E178" s="203" t="s">
        <v>118</v>
      </c>
      <c r="G178" s="203">
        <v>107</v>
      </c>
      <c r="H178" s="203" t="s">
        <v>13</v>
      </c>
      <c r="I178" s="203">
        <v>0.33333333333333331</v>
      </c>
    </row>
    <row r="179" spans="1:9" x14ac:dyDescent="0.2">
      <c r="A179" s="203">
        <v>36</v>
      </c>
      <c r="B179" s="203" t="s">
        <v>164</v>
      </c>
      <c r="C179" s="203"/>
      <c r="E179" s="203" t="s">
        <v>119</v>
      </c>
      <c r="G179" s="203">
        <v>108</v>
      </c>
      <c r="H179" s="203" t="s">
        <v>14</v>
      </c>
      <c r="I179" s="203">
        <v>0.3364485981308411</v>
      </c>
    </row>
    <row r="180" spans="1:9" x14ac:dyDescent="0.2">
      <c r="A180" s="203"/>
      <c r="C180" s="203"/>
      <c r="E180" s="203" t="s">
        <v>122</v>
      </c>
      <c r="G180" s="203">
        <v>321</v>
      </c>
      <c r="H180" s="203" t="s">
        <v>15</v>
      </c>
      <c r="I180" s="203">
        <v>1</v>
      </c>
    </row>
    <row r="181" spans="1:9" x14ac:dyDescent="0.2">
      <c r="A181" s="203"/>
      <c r="C181" s="203"/>
    </row>
    <row r="182" spans="1:9" x14ac:dyDescent="0.2">
      <c r="A182" s="203">
        <v>37</v>
      </c>
      <c r="B182" s="203" t="s">
        <v>165</v>
      </c>
      <c r="C182" s="203"/>
      <c r="E182" s="203" t="s">
        <v>117</v>
      </c>
      <c r="G182" s="203">
        <v>109</v>
      </c>
      <c r="H182" s="203" t="s">
        <v>12</v>
      </c>
      <c r="I182" s="203">
        <v>0.33030303030303032</v>
      </c>
    </row>
    <row r="183" spans="1:9" x14ac:dyDescent="0.2">
      <c r="A183" s="203">
        <v>37</v>
      </c>
      <c r="B183" s="203" t="s">
        <v>165</v>
      </c>
      <c r="C183" s="203"/>
      <c r="E183" s="203" t="s">
        <v>118</v>
      </c>
      <c r="G183" s="203">
        <v>110</v>
      </c>
      <c r="H183" s="203" t="s">
        <v>13</v>
      </c>
      <c r="I183" s="203">
        <v>0.33333333333333331</v>
      </c>
    </row>
    <row r="184" spans="1:9" x14ac:dyDescent="0.2">
      <c r="A184" s="203">
        <v>37</v>
      </c>
      <c r="B184" s="203" t="s">
        <v>165</v>
      </c>
      <c r="C184" s="203"/>
      <c r="E184" s="203" t="s">
        <v>119</v>
      </c>
      <c r="G184" s="203">
        <v>111</v>
      </c>
      <c r="H184" s="203" t="s">
        <v>14</v>
      </c>
      <c r="I184" s="203">
        <v>0.33636363636363636</v>
      </c>
    </row>
    <row r="185" spans="1:9" x14ac:dyDescent="0.2">
      <c r="A185" s="203"/>
      <c r="C185" s="203"/>
      <c r="E185" s="203" t="s">
        <v>122</v>
      </c>
      <c r="G185" s="203">
        <v>330</v>
      </c>
      <c r="H185" s="203" t="s">
        <v>15</v>
      </c>
      <c r="I185" s="203">
        <v>1</v>
      </c>
    </row>
    <row r="186" spans="1:9" x14ac:dyDescent="0.2">
      <c r="A186" s="203"/>
      <c r="C186" s="203"/>
    </row>
    <row r="187" spans="1:9" x14ac:dyDescent="0.2">
      <c r="A187" s="203">
        <v>38</v>
      </c>
      <c r="B187" s="203" t="s">
        <v>166</v>
      </c>
      <c r="C187" s="203"/>
      <c r="E187" s="203" t="s">
        <v>117</v>
      </c>
      <c r="G187" s="203">
        <v>112</v>
      </c>
      <c r="H187" s="203" t="s">
        <v>12</v>
      </c>
      <c r="I187" s="203">
        <v>0.3303834808259587</v>
      </c>
    </row>
    <row r="188" spans="1:9" x14ac:dyDescent="0.2">
      <c r="A188" s="203">
        <v>38</v>
      </c>
      <c r="B188" s="203" t="s">
        <v>166</v>
      </c>
      <c r="C188" s="203"/>
      <c r="E188" s="203" t="s">
        <v>118</v>
      </c>
      <c r="G188" s="203">
        <v>113</v>
      </c>
      <c r="H188" s="203" t="s">
        <v>13</v>
      </c>
      <c r="I188" s="203">
        <v>0.33333333333333331</v>
      </c>
    </row>
    <row r="189" spans="1:9" x14ac:dyDescent="0.2">
      <c r="A189" s="203">
        <v>38</v>
      </c>
      <c r="B189" s="203" t="s">
        <v>166</v>
      </c>
      <c r="C189" s="203"/>
      <c r="E189" s="203" t="s">
        <v>119</v>
      </c>
      <c r="G189" s="203">
        <v>114</v>
      </c>
      <c r="H189" s="203" t="s">
        <v>14</v>
      </c>
      <c r="I189" s="203">
        <v>0.33628318584070799</v>
      </c>
    </row>
    <row r="190" spans="1:9" x14ac:dyDescent="0.2">
      <c r="A190" s="203"/>
      <c r="C190" s="203"/>
      <c r="E190" s="203" t="s">
        <v>122</v>
      </c>
      <c r="G190" s="203">
        <v>339</v>
      </c>
      <c r="H190" s="203" t="s">
        <v>15</v>
      </c>
      <c r="I190" s="203">
        <v>1</v>
      </c>
    </row>
    <row r="191" spans="1:9" x14ac:dyDescent="0.2">
      <c r="A191" s="203"/>
      <c r="C191" s="203"/>
    </row>
    <row r="192" spans="1:9" x14ac:dyDescent="0.2">
      <c r="A192" s="203">
        <v>39</v>
      </c>
      <c r="B192" s="203" t="s">
        <v>167</v>
      </c>
      <c r="C192" s="203"/>
      <c r="E192" s="203" t="s">
        <v>117</v>
      </c>
      <c r="G192" s="203">
        <v>115</v>
      </c>
      <c r="H192" s="203" t="s">
        <v>12</v>
      </c>
      <c r="I192" s="203">
        <v>0.33045977011494254</v>
      </c>
    </row>
    <row r="193" spans="1:9" x14ac:dyDescent="0.2">
      <c r="A193" s="203">
        <v>39</v>
      </c>
      <c r="B193" s="203" t="s">
        <v>167</v>
      </c>
      <c r="C193" s="203"/>
      <c r="E193" s="203" t="s">
        <v>118</v>
      </c>
      <c r="G193" s="203">
        <v>116</v>
      </c>
      <c r="H193" s="203" t="s">
        <v>13</v>
      </c>
      <c r="I193" s="203">
        <v>0.33333333333333331</v>
      </c>
    </row>
    <row r="194" spans="1:9" x14ac:dyDescent="0.2">
      <c r="A194" s="203">
        <v>39</v>
      </c>
      <c r="B194" s="203" t="s">
        <v>167</v>
      </c>
      <c r="C194" s="203"/>
      <c r="E194" s="203" t="s">
        <v>119</v>
      </c>
      <c r="G194" s="203">
        <v>117</v>
      </c>
      <c r="H194" s="203" t="s">
        <v>14</v>
      </c>
      <c r="I194" s="203">
        <v>0.33620689655172414</v>
      </c>
    </row>
    <row r="195" spans="1:9" x14ac:dyDescent="0.2">
      <c r="A195" s="203"/>
      <c r="C195" s="203"/>
      <c r="E195" s="203" t="s">
        <v>122</v>
      </c>
      <c r="G195" s="203">
        <v>348</v>
      </c>
      <c r="H195" s="203" t="s">
        <v>15</v>
      </c>
      <c r="I195" s="203">
        <v>1</v>
      </c>
    </row>
    <row r="196" spans="1:9" x14ac:dyDescent="0.2">
      <c r="A196" s="203"/>
      <c r="C196" s="203"/>
    </row>
    <row r="197" spans="1:9" x14ac:dyDescent="0.2">
      <c r="A197" s="203">
        <v>40</v>
      </c>
      <c r="B197" s="203" t="s">
        <v>168</v>
      </c>
      <c r="C197" s="203"/>
      <c r="E197" s="203" t="s">
        <v>117</v>
      </c>
      <c r="G197" s="203">
        <v>118</v>
      </c>
      <c r="H197" s="203" t="s">
        <v>12</v>
      </c>
      <c r="I197" s="203">
        <v>0.33053221288515405</v>
      </c>
    </row>
    <row r="198" spans="1:9" x14ac:dyDescent="0.2">
      <c r="A198" s="203">
        <v>40</v>
      </c>
      <c r="B198" s="203" t="s">
        <v>168</v>
      </c>
      <c r="C198" s="203"/>
      <c r="E198" s="203" t="s">
        <v>118</v>
      </c>
      <c r="G198" s="203">
        <v>119</v>
      </c>
      <c r="H198" s="203" t="s">
        <v>13</v>
      </c>
      <c r="I198" s="203">
        <v>0.33333333333333331</v>
      </c>
    </row>
    <row r="199" spans="1:9" x14ac:dyDescent="0.2">
      <c r="A199" s="203">
        <v>40</v>
      </c>
      <c r="B199" s="203" t="s">
        <v>168</v>
      </c>
      <c r="C199" s="203"/>
      <c r="E199" s="203" t="s">
        <v>119</v>
      </c>
      <c r="G199" s="203">
        <v>120</v>
      </c>
      <c r="H199" s="203" t="s">
        <v>14</v>
      </c>
      <c r="I199" s="203">
        <v>0.33613445378151263</v>
      </c>
    </row>
    <row r="200" spans="1:9" x14ac:dyDescent="0.2">
      <c r="A200" s="203"/>
      <c r="C200" s="203"/>
      <c r="E200" s="203" t="s">
        <v>122</v>
      </c>
      <c r="G200" s="203">
        <v>357</v>
      </c>
      <c r="H200" s="203" t="s">
        <v>15</v>
      </c>
      <c r="I200" s="203">
        <v>1</v>
      </c>
    </row>
    <row r="201" spans="1:9" x14ac:dyDescent="0.2">
      <c r="A201" s="203"/>
      <c r="C201" s="203"/>
    </row>
    <row r="202" spans="1:9" x14ac:dyDescent="0.2">
      <c r="A202" s="203">
        <v>41</v>
      </c>
      <c r="B202" s="203" t="s">
        <v>169</v>
      </c>
      <c r="C202" s="203"/>
      <c r="E202" s="203" t="s">
        <v>117</v>
      </c>
      <c r="G202" s="203">
        <v>121</v>
      </c>
      <c r="H202" s="203" t="s">
        <v>12</v>
      </c>
      <c r="I202" s="203">
        <v>0.33060109289617484</v>
      </c>
    </row>
    <row r="203" spans="1:9" x14ac:dyDescent="0.2">
      <c r="A203" s="203">
        <v>41</v>
      </c>
      <c r="B203" s="203" t="s">
        <v>169</v>
      </c>
      <c r="C203" s="203"/>
      <c r="E203" s="203" t="s">
        <v>118</v>
      </c>
      <c r="G203" s="203">
        <v>122</v>
      </c>
      <c r="H203" s="203" t="s">
        <v>13</v>
      </c>
      <c r="I203" s="203">
        <v>0.33333333333333331</v>
      </c>
    </row>
    <row r="204" spans="1:9" x14ac:dyDescent="0.2">
      <c r="A204" s="203">
        <v>41</v>
      </c>
      <c r="B204" s="203" t="s">
        <v>169</v>
      </c>
      <c r="C204" s="203"/>
      <c r="E204" s="203" t="s">
        <v>119</v>
      </c>
      <c r="G204" s="203">
        <v>123</v>
      </c>
      <c r="H204" s="203" t="s">
        <v>14</v>
      </c>
      <c r="I204" s="203">
        <v>0.33606557377049179</v>
      </c>
    </row>
    <row r="205" spans="1:9" x14ac:dyDescent="0.2">
      <c r="A205" s="203"/>
      <c r="C205" s="203"/>
      <c r="E205" s="203" t="s">
        <v>122</v>
      </c>
      <c r="G205" s="203">
        <v>366</v>
      </c>
      <c r="H205" s="203" t="s">
        <v>15</v>
      </c>
      <c r="I205" s="203">
        <v>1</v>
      </c>
    </row>
    <row r="206" spans="1:9" x14ac:dyDescent="0.2">
      <c r="A206" s="203"/>
      <c r="C206" s="203"/>
    </row>
    <row r="207" spans="1:9" x14ac:dyDescent="0.2">
      <c r="A207" s="203">
        <v>42</v>
      </c>
      <c r="B207" s="203" t="s">
        <v>170</v>
      </c>
      <c r="C207" s="203"/>
      <c r="E207" s="203" t="s">
        <v>117</v>
      </c>
      <c r="G207" s="203">
        <v>124</v>
      </c>
      <c r="H207" s="203" t="s">
        <v>12</v>
      </c>
      <c r="I207" s="203">
        <v>0.33066666666666666</v>
      </c>
    </row>
    <row r="208" spans="1:9" x14ac:dyDescent="0.2">
      <c r="A208" s="203">
        <v>42</v>
      </c>
      <c r="B208" s="203" t="s">
        <v>170</v>
      </c>
      <c r="C208" s="203"/>
      <c r="E208" s="203" t="s">
        <v>118</v>
      </c>
      <c r="G208" s="203">
        <v>125</v>
      </c>
      <c r="H208" s="203" t="s">
        <v>13</v>
      </c>
      <c r="I208" s="203">
        <v>0.33333333333333331</v>
      </c>
    </row>
    <row r="209" spans="1:9" x14ac:dyDescent="0.2">
      <c r="A209" s="203">
        <v>42</v>
      </c>
      <c r="B209" s="203" t="s">
        <v>170</v>
      </c>
      <c r="C209" s="203"/>
      <c r="E209" s="203" t="s">
        <v>119</v>
      </c>
      <c r="G209" s="203">
        <v>126</v>
      </c>
      <c r="H209" s="203" t="s">
        <v>14</v>
      </c>
      <c r="I209" s="203">
        <v>0.33600000000000002</v>
      </c>
    </row>
    <row r="210" spans="1:9" x14ac:dyDescent="0.2">
      <c r="A210" s="203"/>
      <c r="C210" s="203"/>
      <c r="E210" s="203" t="s">
        <v>122</v>
      </c>
      <c r="G210" s="203">
        <v>375</v>
      </c>
      <c r="H210" s="203" t="s">
        <v>15</v>
      </c>
      <c r="I210" s="203">
        <v>1</v>
      </c>
    </row>
    <row r="211" spans="1:9" x14ac:dyDescent="0.2">
      <c r="A211" s="203"/>
      <c r="C211" s="203"/>
    </row>
    <row r="212" spans="1:9" x14ac:dyDescent="0.2">
      <c r="A212" s="203">
        <v>43</v>
      </c>
      <c r="B212" s="203" t="s">
        <v>171</v>
      </c>
      <c r="C212" s="203"/>
      <c r="E212" s="203" t="s">
        <v>117</v>
      </c>
      <c r="G212" s="203">
        <v>127</v>
      </c>
      <c r="H212" s="203" t="s">
        <v>12</v>
      </c>
      <c r="I212" s="203">
        <v>0.33072916666666669</v>
      </c>
    </row>
    <row r="213" spans="1:9" x14ac:dyDescent="0.2">
      <c r="A213" s="203">
        <v>43</v>
      </c>
      <c r="B213" s="203" t="s">
        <v>171</v>
      </c>
      <c r="C213" s="203"/>
      <c r="E213" s="203" t="s">
        <v>118</v>
      </c>
      <c r="G213" s="203">
        <v>128</v>
      </c>
      <c r="H213" s="203" t="s">
        <v>13</v>
      </c>
      <c r="I213" s="203">
        <v>0.33333333333333331</v>
      </c>
    </row>
    <row r="214" spans="1:9" x14ac:dyDescent="0.2">
      <c r="A214" s="203">
        <v>43</v>
      </c>
      <c r="B214" s="203" t="s">
        <v>171</v>
      </c>
      <c r="C214" s="203"/>
      <c r="E214" s="203" t="s">
        <v>119</v>
      </c>
      <c r="G214" s="203">
        <v>129</v>
      </c>
      <c r="H214" s="203" t="s">
        <v>14</v>
      </c>
      <c r="I214" s="203">
        <v>0.3359375</v>
      </c>
    </row>
    <row r="215" spans="1:9" x14ac:dyDescent="0.2">
      <c r="A215" s="203"/>
      <c r="C215" s="203"/>
      <c r="E215" s="203" t="s">
        <v>122</v>
      </c>
      <c r="G215" s="203">
        <v>384</v>
      </c>
      <c r="H215" s="203" t="s">
        <v>15</v>
      </c>
      <c r="I215" s="203">
        <v>1</v>
      </c>
    </row>
    <row r="216" spans="1:9" x14ac:dyDescent="0.2">
      <c r="A216" s="203"/>
      <c r="C216" s="203"/>
    </row>
    <row r="217" spans="1:9" x14ac:dyDescent="0.2">
      <c r="A217" s="203">
        <v>44</v>
      </c>
      <c r="B217" s="203" t="s">
        <v>172</v>
      </c>
      <c r="C217" s="203"/>
      <c r="E217" s="203" t="s">
        <v>117</v>
      </c>
      <c r="G217" s="203">
        <v>130</v>
      </c>
      <c r="H217" s="203" t="s">
        <v>12</v>
      </c>
      <c r="I217" s="203">
        <v>0.33078880407124683</v>
      </c>
    </row>
    <row r="218" spans="1:9" x14ac:dyDescent="0.2">
      <c r="A218" s="203">
        <v>44</v>
      </c>
      <c r="B218" s="203" t="s">
        <v>172</v>
      </c>
      <c r="C218" s="203"/>
      <c r="E218" s="203" t="s">
        <v>118</v>
      </c>
      <c r="G218" s="203">
        <v>131</v>
      </c>
      <c r="H218" s="203" t="s">
        <v>13</v>
      </c>
      <c r="I218" s="203">
        <v>0.33333333333333331</v>
      </c>
    </row>
    <row r="219" spans="1:9" x14ac:dyDescent="0.2">
      <c r="A219" s="203">
        <v>44</v>
      </c>
      <c r="B219" s="203" t="s">
        <v>172</v>
      </c>
      <c r="C219" s="203"/>
      <c r="E219" s="203" t="s">
        <v>119</v>
      </c>
      <c r="G219" s="203">
        <v>132</v>
      </c>
      <c r="H219" s="203" t="s">
        <v>14</v>
      </c>
      <c r="I219" s="203">
        <v>0.33587786259541985</v>
      </c>
    </row>
    <row r="220" spans="1:9" x14ac:dyDescent="0.2">
      <c r="A220" s="203"/>
      <c r="C220" s="203"/>
      <c r="E220" s="203" t="s">
        <v>122</v>
      </c>
      <c r="G220" s="203">
        <v>393</v>
      </c>
      <c r="H220" s="203" t="s">
        <v>15</v>
      </c>
      <c r="I220" s="203">
        <v>1</v>
      </c>
    </row>
    <row r="221" spans="1:9" x14ac:dyDescent="0.2">
      <c r="A221" s="203"/>
      <c r="C221" s="203"/>
    </row>
    <row r="222" spans="1:9" x14ac:dyDescent="0.2">
      <c r="A222" s="203">
        <v>45</v>
      </c>
      <c r="B222" s="203" t="s">
        <v>173</v>
      </c>
      <c r="C222" s="203"/>
      <c r="E222" s="203" t="s">
        <v>117</v>
      </c>
      <c r="G222" s="203">
        <v>133</v>
      </c>
      <c r="H222" s="203" t="s">
        <v>12</v>
      </c>
      <c r="I222" s="203">
        <v>0.3308457711442786</v>
      </c>
    </row>
    <row r="223" spans="1:9" x14ac:dyDescent="0.2">
      <c r="A223" s="203">
        <v>45</v>
      </c>
      <c r="B223" s="203" t="s">
        <v>173</v>
      </c>
      <c r="C223" s="203"/>
      <c r="E223" s="203" t="s">
        <v>118</v>
      </c>
      <c r="G223" s="203">
        <v>134</v>
      </c>
      <c r="H223" s="203" t="s">
        <v>13</v>
      </c>
      <c r="I223" s="203">
        <v>0.33333333333333331</v>
      </c>
    </row>
    <row r="224" spans="1:9" x14ac:dyDescent="0.2">
      <c r="A224" s="203">
        <v>45</v>
      </c>
      <c r="B224" s="203" t="s">
        <v>173</v>
      </c>
      <c r="C224" s="203"/>
      <c r="E224" s="203" t="s">
        <v>119</v>
      </c>
      <c r="G224" s="203">
        <v>135</v>
      </c>
      <c r="H224" s="203" t="s">
        <v>14</v>
      </c>
      <c r="I224" s="203">
        <v>0.33582089552238809</v>
      </c>
    </row>
    <row r="225" spans="1:9" x14ac:dyDescent="0.2">
      <c r="A225" s="203"/>
      <c r="C225" s="203"/>
      <c r="E225" s="203" t="s">
        <v>122</v>
      </c>
      <c r="G225" s="203">
        <v>402</v>
      </c>
      <c r="H225" s="203" t="s">
        <v>15</v>
      </c>
      <c r="I225" s="203">
        <v>1</v>
      </c>
    </row>
    <row r="226" spans="1:9" x14ac:dyDescent="0.2">
      <c r="A226" s="203"/>
      <c r="C226" s="203"/>
    </row>
    <row r="227" spans="1:9" x14ac:dyDescent="0.2">
      <c r="A227" s="203">
        <v>46</v>
      </c>
      <c r="B227" s="203" t="s">
        <v>174</v>
      </c>
      <c r="C227" s="203"/>
      <c r="E227" s="203" t="s">
        <v>117</v>
      </c>
      <c r="G227" s="203">
        <v>136</v>
      </c>
      <c r="H227" s="203" t="s">
        <v>12</v>
      </c>
      <c r="I227" s="203">
        <v>0.33090024330900242</v>
      </c>
    </row>
    <row r="228" spans="1:9" x14ac:dyDescent="0.2">
      <c r="A228" s="203">
        <v>46</v>
      </c>
      <c r="B228" s="203" t="s">
        <v>174</v>
      </c>
      <c r="C228" s="203"/>
      <c r="E228" s="203" t="s">
        <v>118</v>
      </c>
      <c r="G228" s="203">
        <v>137</v>
      </c>
      <c r="H228" s="203" t="s">
        <v>13</v>
      </c>
      <c r="I228" s="203">
        <v>0.33333333333333331</v>
      </c>
    </row>
    <row r="229" spans="1:9" x14ac:dyDescent="0.2">
      <c r="A229" s="203">
        <v>46</v>
      </c>
      <c r="B229" s="203" t="s">
        <v>174</v>
      </c>
      <c r="C229" s="203"/>
      <c r="E229" s="203" t="s">
        <v>119</v>
      </c>
      <c r="G229" s="203">
        <v>138</v>
      </c>
      <c r="H229" s="203" t="s">
        <v>14</v>
      </c>
      <c r="I229" s="203">
        <v>0.33576642335766421</v>
      </c>
    </row>
    <row r="230" spans="1:9" x14ac:dyDescent="0.2">
      <c r="A230" s="203"/>
      <c r="C230" s="203"/>
      <c r="E230" s="203" t="s">
        <v>122</v>
      </c>
      <c r="G230" s="203">
        <v>411</v>
      </c>
      <c r="H230" s="203" t="s">
        <v>15</v>
      </c>
      <c r="I230" s="203">
        <v>1</v>
      </c>
    </row>
    <row r="231" spans="1:9" x14ac:dyDescent="0.2">
      <c r="A231" s="203"/>
      <c r="C231" s="203"/>
    </row>
    <row r="232" spans="1:9" x14ac:dyDescent="0.2">
      <c r="A232" s="203">
        <v>47</v>
      </c>
      <c r="B232" s="203" t="s">
        <v>175</v>
      </c>
      <c r="C232" s="203"/>
      <c r="E232" s="203" t="s">
        <v>117</v>
      </c>
      <c r="G232" s="203">
        <v>139</v>
      </c>
      <c r="H232" s="203" t="s">
        <v>12</v>
      </c>
      <c r="I232" s="203">
        <v>0.33095238095238094</v>
      </c>
    </row>
    <row r="233" spans="1:9" x14ac:dyDescent="0.2">
      <c r="A233" s="203">
        <v>47</v>
      </c>
      <c r="B233" s="203" t="s">
        <v>175</v>
      </c>
      <c r="C233" s="203"/>
      <c r="E233" s="203" t="s">
        <v>118</v>
      </c>
      <c r="G233" s="203">
        <v>140</v>
      </c>
      <c r="H233" s="203" t="s">
        <v>13</v>
      </c>
      <c r="I233" s="203">
        <v>0.33333333333333331</v>
      </c>
    </row>
    <row r="234" spans="1:9" x14ac:dyDescent="0.2">
      <c r="A234" s="203">
        <v>47</v>
      </c>
      <c r="B234" s="203" t="s">
        <v>175</v>
      </c>
      <c r="C234" s="203"/>
      <c r="E234" s="203" t="s">
        <v>119</v>
      </c>
      <c r="G234" s="203">
        <v>141</v>
      </c>
      <c r="H234" s="203" t="s">
        <v>14</v>
      </c>
      <c r="I234" s="203">
        <v>0.33571428571428569</v>
      </c>
    </row>
    <row r="235" spans="1:9" x14ac:dyDescent="0.2">
      <c r="A235" s="203"/>
      <c r="C235" s="203"/>
      <c r="E235" s="203" t="s">
        <v>122</v>
      </c>
      <c r="G235" s="203">
        <v>420</v>
      </c>
      <c r="H235" s="203" t="s">
        <v>15</v>
      </c>
      <c r="I235" s="203">
        <v>1</v>
      </c>
    </row>
    <row r="236" spans="1:9" x14ac:dyDescent="0.2">
      <c r="A236" s="203"/>
      <c r="C236" s="203"/>
    </row>
    <row r="237" spans="1:9" x14ac:dyDescent="0.2">
      <c r="A237" s="203">
        <v>48</v>
      </c>
      <c r="B237" s="203" t="s">
        <v>176</v>
      </c>
      <c r="C237" s="203"/>
      <c r="E237" s="203" t="s">
        <v>117</v>
      </c>
      <c r="G237" s="203">
        <v>142</v>
      </c>
      <c r="H237" s="203" t="s">
        <v>12</v>
      </c>
      <c r="I237" s="203">
        <v>0.33100233100233101</v>
      </c>
    </row>
    <row r="238" spans="1:9" x14ac:dyDescent="0.2">
      <c r="A238" s="203">
        <v>48</v>
      </c>
      <c r="B238" s="203" t="s">
        <v>176</v>
      </c>
      <c r="C238" s="203"/>
      <c r="E238" s="203" t="s">
        <v>118</v>
      </c>
      <c r="G238" s="203">
        <v>143</v>
      </c>
      <c r="H238" s="203" t="s">
        <v>13</v>
      </c>
      <c r="I238" s="203">
        <v>0.33333333333333331</v>
      </c>
    </row>
    <row r="239" spans="1:9" x14ac:dyDescent="0.2">
      <c r="A239" s="203">
        <v>48</v>
      </c>
      <c r="B239" s="203" t="s">
        <v>176</v>
      </c>
      <c r="C239" s="203"/>
      <c r="E239" s="203" t="s">
        <v>119</v>
      </c>
      <c r="G239" s="203">
        <v>144</v>
      </c>
      <c r="H239" s="203" t="s">
        <v>14</v>
      </c>
      <c r="I239" s="203">
        <v>0.33566433566433568</v>
      </c>
    </row>
    <row r="240" spans="1:9" x14ac:dyDescent="0.2">
      <c r="A240" s="203"/>
      <c r="C240" s="203"/>
      <c r="E240" s="203" t="s">
        <v>122</v>
      </c>
      <c r="G240" s="203">
        <v>429</v>
      </c>
      <c r="H240" s="203" t="s">
        <v>15</v>
      </c>
      <c r="I240" s="203">
        <v>1</v>
      </c>
    </row>
    <row r="241" spans="1:9" x14ac:dyDescent="0.2">
      <c r="A241" s="203"/>
      <c r="C241" s="203"/>
    </row>
    <row r="242" spans="1:9" x14ac:dyDescent="0.2">
      <c r="A242" s="203">
        <v>49</v>
      </c>
      <c r="B242" s="203" t="s">
        <v>177</v>
      </c>
      <c r="C242" s="203"/>
      <c r="E242" s="203" t="s">
        <v>117</v>
      </c>
      <c r="G242" s="203">
        <v>145</v>
      </c>
      <c r="H242" s="203" t="s">
        <v>12</v>
      </c>
      <c r="I242" s="203">
        <v>0.33105022831050229</v>
      </c>
    </row>
    <row r="243" spans="1:9" x14ac:dyDescent="0.2">
      <c r="A243" s="203">
        <v>49</v>
      </c>
      <c r="B243" s="203" t="s">
        <v>177</v>
      </c>
      <c r="C243" s="203"/>
      <c r="E243" s="203" t="s">
        <v>118</v>
      </c>
      <c r="G243" s="203">
        <v>146</v>
      </c>
      <c r="H243" s="203" t="s">
        <v>13</v>
      </c>
      <c r="I243" s="203">
        <v>0.33333333333333331</v>
      </c>
    </row>
    <row r="244" spans="1:9" x14ac:dyDescent="0.2">
      <c r="A244" s="203">
        <v>49</v>
      </c>
      <c r="B244" s="203" t="s">
        <v>177</v>
      </c>
      <c r="C244" s="203"/>
      <c r="E244" s="203" t="s">
        <v>119</v>
      </c>
      <c r="G244" s="203">
        <v>147</v>
      </c>
      <c r="H244" s="203" t="s">
        <v>14</v>
      </c>
      <c r="I244" s="203">
        <v>0.33561643835616439</v>
      </c>
    </row>
    <row r="245" spans="1:9" x14ac:dyDescent="0.2">
      <c r="A245" s="203"/>
      <c r="C245" s="203"/>
      <c r="E245" s="203" t="s">
        <v>122</v>
      </c>
      <c r="G245" s="203">
        <v>438</v>
      </c>
      <c r="H245" s="203" t="s">
        <v>15</v>
      </c>
      <c r="I245" s="203">
        <v>1</v>
      </c>
    </row>
    <row r="246" spans="1:9" x14ac:dyDescent="0.2">
      <c r="A246" s="203"/>
      <c r="C246" s="203"/>
    </row>
    <row r="247" spans="1:9" x14ac:dyDescent="0.2">
      <c r="A247" s="203">
        <v>50</v>
      </c>
      <c r="B247" s="203" t="s">
        <v>178</v>
      </c>
      <c r="C247" s="203"/>
      <c r="E247" s="203" t="s">
        <v>117</v>
      </c>
      <c r="G247" s="203">
        <v>148</v>
      </c>
      <c r="H247" s="203" t="s">
        <v>12</v>
      </c>
      <c r="I247" s="203">
        <v>0.33109619686800895</v>
      </c>
    </row>
    <row r="248" spans="1:9" x14ac:dyDescent="0.2">
      <c r="A248" s="203">
        <v>50</v>
      </c>
      <c r="B248" s="203" t="s">
        <v>178</v>
      </c>
      <c r="C248" s="203"/>
      <c r="E248" s="203" t="s">
        <v>118</v>
      </c>
      <c r="G248" s="203">
        <v>149</v>
      </c>
      <c r="H248" s="203" t="s">
        <v>13</v>
      </c>
      <c r="I248" s="203">
        <v>0.33333333333333331</v>
      </c>
    </row>
    <row r="249" spans="1:9" x14ac:dyDescent="0.2">
      <c r="A249" s="203">
        <v>50</v>
      </c>
      <c r="B249" s="203" t="s">
        <v>178</v>
      </c>
      <c r="C249" s="203"/>
      <c r="E249" s="203" t="s">
        <v>119</v>
      </c>
      <c r="G249" s="203">
        <v>150</v>
      </c>
      <c r="H249" s="203" t="s">
        <v>14</v>
      </c>
      <c r="I249" s="203">
        <v>0.33557046979865773</v>
      </c>
    </row>
    <row r="250" spans="1:9" x14ac:dyDescent="0.2">
      <c r="A250" s="203"/>
      <c r="C250" s="203"/>
      <c r="E250" s="203" t="s">
        <v>122</v>
      </c>
      <c r="G250" s="203">
        <v>447</v>
      </c>
      <c r="H250" s="203" t="s">
        <v>15</v>
      </c>
      <c r="I250" s="203">
        <v>1</v>
      </c>
    </row>
    <row r="251" spans="1:9" x14ac:dyDescent="0.2">
      <c r="A251" s="203"/>
      <c r="C251" s="203"/>
    </row>
    <row r="252" spans="1:9" x14ac:dyDescent="0.2">
      <c r="A252" s="203">
        <v>51</v>
      </c>
      <c r="B252" s="203" t="s">
        <v>179</v>
      </c>
      <c r="C252" s="203"/>
      <c r="E252" s="203" t="s">
        <v>117</v>
      </c>
      <c r="G252" s="203">
        <v>151</v>
      </c>
      <c r="H252" s="203" t="s">
        <v>12</v>
      </c>
      <c r="I252" s="203">
        <v>0.33114035087719296</v>
      </c>
    </row>
    <row r="253" spans="1:9" x14ac:dyDescent="0.2">
      <c r="A253" s="203">
        <v>51</v>
      </c>
      <c r="B253" s="203" t="s">
        <v>179</v>
      </c>
      <c r="C253" s="203"/>
      <c r="E253" s="203" t="s">
        <v>118</v>
      </c>
      <c r="G253" s="203">
        <v>152</v>
      </c>
      <c r="H253" s="203" t="s">
        <v>13</v>
      </c>
      <c r="I253" s="203">
        <v>0.33333333333333331</v>
      </c>
    </row>
    <row r="254" spans="1:9" x14ac:dyDescent="0.2">
      <c r="A254" s="203">
        <v>51</v>
      </c>
      <c r="B254" s="203" t="s">
        <v>179</v>
      </c>
      <c r="C254" s="203"/>
      <c r="E254" s="203" t="s">
        <v>119</v>
      </c>
      <c r="G254" s="203">
        <v>153</v>
      </c>
      <c r="H254" s="203" t="s">
        <v>14</v>
      </c>
      <c r="I254" s="203">
        <v>0.33552631578947367</v>
      </c>
    </row>
    <row r="255" spans="1:9" x14ac:dyDescent="0.2">
      <c r="A255" s="203"/>
      <c r="C255" s="203"/>
      <c r="E255" s="203" t="s">
        <v>122</v>
      </c>
      <c r="G255" s="203">
        <v>456</v>
      </c>
      <c r="H255" s="203" t="s">
        <v>15</v>
      </c>
      <c r="I255" s="203">
        <v>1</v>
      </c>
    </row>
    <row r="256" spans="1:9" x14ac:dyDescent="0.2">
      <c r="A256" s="203"/>
      <c r="C256" s="203"/>
    </row>
    <row r="257" spans="1:9" x14ac:dyDescent="0.2">
      <c r="A257" s="203">
        <v>52</v>
      </c>
      <c r="B257" s="203" t="s">
        <v>180</v>
      </c>
      <c r="C257" s="203"/>
      <c r="E257" s="203" t="s">
        <v>117</v>
      </c>
      <c r="G257" s="203">
        <v>154</v>
      </c>
      <c r="H257" s="203" t="s">
        <v>12</v>
      </c>
      <c r="I257" s="203">
        <v>0.33118279569892473</v>
      </c>
    </row>
    <row r="258" spans="1:9" x14ac:dyDescent="0.2">
      <c r="A258" s="203">
        <v>52</v>
      </c>
      <c r="B258" s="203" t="s">
        <v>180</v>
      </c>
      <c r="C258" s="203"/>
      <c r="E258" s="203" t="s">
        <v>118</v>
      </c>
      <c r="G258" s="203">
        <v>155</v>
      </c>
      <c r="H258" s="203" t="s">
        <v>13</v>
      </c>
      <c r="I258" s="203">
        <v>0.33333333333333331</v>
      </c>
    </row>
    <row r="259" spans="1:9" x14ac:dyDescent="0.2">
      <c r="A259" s="203">
        <v>52</v>
      </c>
      <c r="B259" s="203" t="s">
        <v>180</v>
      </c>
      <c r="C259" s="203"/>
      <c r="E259" s="203" t="s">
        <v>119</v>
      </c>
      <c r="G259" s="203">
        <v>156</v>
      </c>
      <c r="H259" s="203" t="s">
        <v>14</v>
      </c>
      <c r="I259" s="203">
        <v>0.33548387096774196</v>
      </c>
    </row>
    <row r="260" spans="1:9" x14ac:dyDescent="0.2">
      <c r="A260" s="203"/>
      <c r="C260" s="203"/>
      <c r="E260" s="203" t="s">
        <v>122</v>
      </c>
      <c r="G260" s="203">
        <v>465</v>
      </c>
      <c r="H260" s="203" t="s">
        <v>15</v>
      </c>
      <c r="I260" s="203">
        <v>1</v>
      </c>
    </row>
    <row r="261" spans="1:9" x14ac:dyDescent="0.2">
      <c r="A261" s="203"/>
      <c r="C261" s="203"/>
    </row>
    <row r="262" spans="1:9" x14ac:dyDescent="0.2">
      <c r="A262" s="203">
        <v>53</v>
      </c>
      <c r="B262" s="203" t="s">
        <v>181</v>
      </c>
      <c r="C262" s="203"/>
      <c r="E262" s="203" t="s">
        <v>117</v>
      </c>
      <c r="G262" s="203">
        <v>157</v>
      </c>
      <c r="H262" s="203" t="s">
        <v>12</v>
      </c>
      <c r="I262" s="203">
        <v>0.33122362869198313</v>
      </c>
    </row>
    <row r="263" spans="1:9" x14ac:dyDescent="0.2">
      <c r="A263" s="203">
        <v>53</v>
      </c>
      <c r="B263" s="203" t="s">
        <v>181</v>
      </c>
      <c r="C263" s="203"/>
      <c r="E263" s="203" t="s">
        <v>118</v>
      </c>
      <c r="G263" s="203">
        <v>158</v>
      </c>
      <c r="H263" s="203" t="s">
        <v>13</v>
      </c>
      <c r="I263" s="203">
        <v>0.33333333333333331</v>
      </c>
    </row>
    <row r="264" spans="1:9" x14ac:dyDescent="0.2">
      <c r="A264" s="203">
        <v>53</v>
      </c>
      <c r="B264" s="203" t="s">
        <v>181</v>
      </c>
      <c r="C264" s="203"/>
      <c r="E264" s="203" t="s">
        <v>119</v>
      </c>
      <c r="G264" s="203">
        <v>159</v>
      </c>
      <c r="H264" s="203" t="s">
        <v>14</v>
      </c>
      <c r="I264" s="203">
        <v>0.33544303797468356</v>
      </c>
    </row>
    <row r="265" spans="1:9" x14ac:dyDescent="0.2">
      <c r="A265" s="203"/>
      <c r="C265" s="203"/>
      <c r="E265" s="203" t="s">
        <v>122</v>
      </c>
      <c r="G265" s="203">
        <v>474</v>
      </c>
      <c r="H265" s="203" t="s">
        <v>15</v>
      </c>
      <c r="I265" s="203">
        <v>1</v>
      </c>
    </row>
    <row r="266" spans="1:9" x14ac:dyDescent="0.2">
      <c r="A266" s="203"/>
      <c r="C266" s="203"/>
    </row>
    <row r="267" spans="1:9" x14ac:dyDescent="0.2">
      <c r="A267" s="203">
        <v>54</v>
      </c>
      <c r="B267" s="203" t="s">
        <v>182</v>
      </c>
      <c r="C267" s="203"/>
      <c r="E267" s="203" t="s">
        <v>117</v>
      </c>
      <c r="G267" s="203">
        <v>160</v>
      </c>
      <c r="H267" s="203" t="s">
        <v>12</v>
      </c>
      <c r="I267" s="203">
        <v>0.33126293995859213</v>
      </c>
    </row>
    <row r="268" spans="1:9" x14ac:dyDescent="0.2">
      <c r="A268" s="203">
        <v>54</v>
      </c>
      <c r="B268" s="203" t="s">
        <v>182</v>
      </c>
      <c r="C268" s="203"/>
      <c r="E268" s="203" t="s">
        <v>118</v>
      </c>
      <c r="G268" s="203">
        <v>161</v>
      </c>
      <c r="H268" s="203" t="s">
        <v>13</v>
      </c>
      <c r="I268" s="203">
        <v>0.33333333333333331</v>
      </c>
    </row>
    <row r="269" spans="1:9" x14ac:dyDescent="0.2">
      <c r="A269" s="203">
        <v>54</v>
      </c>
      <c r="B269" s="203" t="s">
        <v>182</v>
      </c>
      <c r="C269" s="203"/>
      <c r="E269" s="203" t="s">
        <v>119</v>
      </c>
      <c r="G269" s="203">
        <v>162</v>
      </c>
      <c r="H269" s="203" t="s">
        <v>14</v>
      </c>
      <c r="I269" s="203">
        <v>0.33540372670807456</v>
      </c>
    </row>
    <row r="270" spans="1:9" x14ac:dyDescent="0.2">
      <c r="A270" s="203"/>
      <c r="C270" s="203"/>
      <c r="E270" s="203" t="s">
        <v>122</v>
      </c>
      <c r="G270" s="203">
        <v>483</v>
      </c>
      <c r="H270" s="203" t="s">
        <v>15</v>
      </c>
      <c r="I270" s="203">
        <v>1</v>
      </c>
    </row>
    <row r="271" spans="1:9" x14ac:dyDescent="0.2">
      <c r="A271" s="203"/>
      <c r="C271" s="203"/>
    </row>
    <row r="272" spans="1:9" x14ac:dyDescent="0.2">
      <c r="A272" s="203">
        <v>55</v>
      </c>
      <c r="B272" s="203" t="s">
        <v>183</v>
      </c>
      <c r="C272" s="203"/>
      <c r="E272" s="203" t="s">
        <v>117</v>
      </c>
      <c r="G272" s="203">
        <v>163</v>
      </c>
      <c r="H272" s="203" t="s">
        <v>12</v>
      </c>
      <c r="I272" s="203">
        <v>0.33130081300813008</v>
      </c>
    </row>
    <row r="273" spans="1:9" x14ac:dyDescent="0.2">
      <c r="A273" s="203">
        <v>55</v>
      </c>
      <c r="B273" s="203" t="s">
        <v>183</v>
      </c>
      <c r="C273" s="203"/>
      <c r="E273" s="203" t="s">
        <v>118</v>
      </c>
      <c r="G273" s="203">
        <v>164</v>
      </c>
      <c r="H273" s="203" t="s">
        <v>13</v>
      </c>
      <c r="I273" s="203">
        <v>0.33333333333333331</v>
      </c>
    </row>
    <row r="274" spans="1:9" x14ac:dyDescent="0.2">
      <c r="A274" s="203">
        <v>55</v>
      </c>
      <c r="B274" s="203" t="s">
        <v>183</v>
      </c>
      <c r="C274" s="203"/>
      <c r="E274" s="203" t="s">
        <v>119</v>
      </c>
      <c r="G274" s="203">
        <v>165</v>
      </c>
      <c r="H274" s="203" t="s">
        <v>14</v>
      </c>
      <c r="I274" s="203">
        <v>0.33536585365853661</v>
      </c>
    </row>
    <row r="275" spans="1:9" x14ac:dyDescent="0.2">
      <c r="A275" s="203"/>
      <c r="C275" s="203"/>
      <c r="E275" s="203" t="s">
        <v>122</v>
      </c>
      <c r="G275" s="203">
        <v>492</v>
      </c>
      <c r="H275" s="203" t="s">
        <v>15</v>
      </c>
      <c r="I275" s="203">
        <v>1</v>
      </c>
    </row>
    <row r="276" spans="1:9" x14ac:dyDescent="0.2">
      <c r="A276" s="203"/>
      <c r="C276" s="203"/>
    </row>
    <row r="277" spans="1:9" x14ac:dyDescent="0.2">
      <c r="A277" s="203">
        <v>56</v>
      </c>
      <c r="B277" s="203" t="s">
        <v>184</v>
      </c>
      <c r="C277" s="203"/>
      <c r="E277" s="203" t="s">
        <v>117</v>
      </c>
      <c r="G277" s="203">
        <v>166</v>
      </c>
      <c r="H277" s="203" t="s">
        <v>12</v>
      </c>
      <c r="I277" s="203">
        <v>0.33133732534930138</v>
      </c>
    </row>
    <row r="278" spans="1:9" x14ac:dyDescent="0.2">
      <c r="A278" s="203">
        <v>56</v>
      </c>
      <c r="B278" s="203" t="s">
        <v>184</v>
      </c>
      <c r="C278" s="203"/>
      <c r="E278" s="203" t="s">
        <v>118</v>
      </c>
      <c r="G278" s="203">
        <v>167</v>
      </c>
      <c r="H278" s="203" t="s">
        <v>13</v>
      </c>
      <c r="I278" s="203">
        <v>0.33333333333333331</v>
      </c>
    </row>
    <row r="279" spans="1:9" x14ac:dyDescent="0.2">
      <c r="A279" s="203">
        <v>56</v>
      </c>
      <c r="B279" s="203" t="s">
        <v>184</v>
      </c>
      <c r="C279" s="203"/>
      <c r="E279" s="203" t="s">
        <v>119</v>
      </c>
      <c r="G279" s="203">
        <v>168</v>
      </c>
      <c r="H279" s="203" t="s">
        <v>14</v>
      </c>
      <c r="I279" s="203">
        <v>0.33532934131736525</v>
      </c>
    </row>
    <row r="280" spans="1:9" x14ac:dyDescent="0.2">
      <c r="A280" s="203"/>
      <c r="C280" s="203"/>
      <c r="E280" s="203" t="s">
        <v>122</v>
      </c>
      <c r="G280" s="203">
        <v>501</v>
      </c>
      <c r="H280" s="203" t="s">
        <v>15</v>
      </c>
      <c r="I280" s="203">
        <v>1</v>
      </c>
    </row>
    <row r="281" spans="1:9" x14ac:dyDescent="0.2">
      <c r="A281" s="203"/>
      <c r="C281" s="203"/>
    </row>
    <row r="282" spans="1:9" x14ac:dyDescent="0.2">
      <c r="A282" s="203">
        <v>57</v>
      </c>
      <c r="B282" s="203" t="s">
        <v>185</v>
      </c>
      <c r="C282" s="203"/>
      <c r="E282" s="203" t="s">
        <v>117</v>
      </c>
      <c r="G282" s="203">
        <v>169</v>
      </c>
      <c r="H282" s="203" t="s">
        <v>12</v>
      </c>
      <c r="I282" s="203">
        <v>0.33137254901960783</v>
      </c>
    </row>
    <row r="283" spans="1:9" x14ac:dyDescent="0.2">
      <c r="A283" s="203">
        <v>57</v>
      </c>
      <c r="B283" s="203" t="s">
        <v>185</v>
      </c>
      <c r="C283" s="203"/>
      <c r="E283" s="203" t="s">
        <v>118</v>
      </c>
      <c r="G283" s="203">
        <v>170</v>
      </c>
      <c r="H283" s="203" t="s">
        <v>13</v>
      </c>
      <c r="I283" s="203">
        <v>0.33333333333333331</v>
      </c>
    </row>
    <row r="284" spans="1:9" x14ac:dyDescent="0.2">
      <c r="A284" s="203">
        <v>57</v>
      </c>
      <c r="B284" s="203" t="s">
        <v>185</v>
      </c>
      <c r="C284" s="203"/>
      <c r="E284" s="203" t="s">
        <v>119</v>
      </c>
      <c r="G284" s="203">
        <v>171</v>
      </c>
      <c r="H284" s="203" t="s">
        <v>14</v>
      </c>
      <c r="I284" s="203">
        <v>0.3352941176470588</v>
      </c>
    </row>
    <row r="285" spans="1:9" x14ac:dyDescent="0.2">
      <c r="A285" s="203"/>
      <c r="C285" s="203"/>
      <c r="E285" s="203" t="s">
        <v>122</v>
      </c>
      <c r="G285" s="203">
        <v>510</v>
      </c>
      <c r="H285" s="203" t="s">
        <v>15</v>
      </c>
      <c r="I285" s="203">
        <v>1</v>
      </c>
    </row>
    <row r="286" spans="1:9" x14ac:dyDescent="0.2">
      <c r="A286" s="203"/>
      <c r="C286" s="203"/>
    </row>
    <row r="287" spans="1:9" x14ac:dyDescent="0.2">
      <c r="A287" s="203">
        <v>58</v>
      </c>
      <c r="B287" s="203" t="s">
        <v>186</v>
      </c>
      <c r="C287" s="203"/>
      <c r="E287" s="203" t="s">
        <v>117</v>
      </c>
      <c r="G287" s="203">
        <v>172</v>
      </c>
      <c r="H287" s="203" t="s">
        <v>12</v>
      </c>
      <c r="I287" s="203">
        <v>0.33140655105973027</v>
      </c>
    </row>
    <row r="288" spans="1:9" x14ac:dyDescent="0.2">
      <c r="A288" s="203">
        <v>58</v>
      </c>
      <c r="B288" s="203" t="s">
        <v>186</v>
      </c>
      <c r="C288" s="203"/>
      <c r="E288" s="203" t="s">
        <v>118</v>
      </c>
      <c r="G288" s="203">
        <v>173</v>
      </c>
      <c r="H288" s="203" t="s">
        <v>13</v>
      </c>
      <c r="I288" s="203">
        <v>0.33333333333333331</v>
      </c>
    </row>
    <row r="289" spans="1:9" x14ac:dyDescent="0.2">
      <c r="A289" s="203">
        <v>58</v>
      </c>
      <c r="B289" s="203" t="s">
        <v>186</v>
      </c>
      <c r="C289" s="203"/>
      <c r="E289" s="203" t="s">
        <v>119</v>
      </c>
      <c r="G289" s="203">
        <v>174</v>
      </c>
      <c r="H289" s="203" t="s">
        <v>14</v>
      </c>
      <c r="I289" s="203">
        <v>0.33526011560693642</v>
      </c>
    </row>
    <row r="290" spans="1:9" x14ac:dyDescent="0.2">
      <c r="A290" s="203"/>
      <c r="C290" s="203"/>
      <c r="E290" s="203" t="s">
        <v>122</v>
      </c>
      <c r="G290" s="203">
        <v>519</v>
      </c>
      <c r="H290" s="203" t="s">
        <v>15</v>
      </c>
      <c r="I290" s="203">
        <v>1</v>
      </c>
    </row>
    <row r="291" spans="1:9" x14ac:dyDescent="0.2">
      <c r="A291" s="203"/>
      <c r="C291" s="203"/>
    </row>
    <row r="292" spans="1:9" x14ac:dyDescent="0.2">
      <c r="A292" s="203">
        <v>59</v>
      </c>
      <c r="B292" s="203" t="s">
        <v>187</v>
      </c>
      <c r="C292" s="203"/>
      <c r="E292" s="203" t="s">
        <v>117</v>
      </c>
      <c r="G292" s="203">
        <v>175</v>
      </c>
      <c r="H292" s="203" t="s">
        <v>12</v>
      </c>
      <c r="I292" s="203">
        <v>0.33143939393939392</v>
      </c>
    </row>
    <row r="293" spans="1:9" x14ac:dyDescent="0.2">
      <c r="A293" s="203">
        <v>59</v>
      </c>
      <c r="B293" s="203" t="s">
        <v>187</v>
      </c>
      <c r="C293" s="203"/>
      <c r="E293" s="203" t="s">
        <v>118</v>
      </c>
      <c r="G293" s="203">
        <v>176</v>
      </c>
      <c r="H293" s="203" t="s">
        <v>13</v>
      </c>
      <c r="I293" s="203">
        <v>0.33333333333333331</v>
      </c>
    </row>
    <row r="294" spans="1:9" x14ac:dyDescent="0.2">
      <c r="A294" s="203">
        <v>59</v>
      </c>
      <c r="B294" s="203" t="s">
        <v>187</v>
      </c>
      <c r="C294" s="203"/>
      <c r="E294" s="203" t="s">
        <v>119</v>
      </c>
      <c r="G294" s="203">
        <v>177</v>
      </c>
      <c r="H294" s="203" t="s">
        <v>14</v>
      </c>
      <c r="I294" s="203">
        <v>0.33522727272727271</v>
      </c>
    </row>
    <row r="295" spans="1:9" x14ac:dyDescent="0.2">
      <c r="A295" s="203"/>
      <c r="C295" s="203"/>
      <c r="E295" s="203" t="s">
        <v>122</v>
      </c>
      <c r="G295" s="203">
        <v>528</v>
      </c>
      <c r="H295" s="203" t="s">
        <v>15</v>
      </c>
      <c r="I295" s="203">
        <v>1</v>
      </c>
    </row>
    <row r="296" spans="1:9" x14ac:dyDescent="0.2">
      <c r="A296" s="203"/>
      <c r="C296" s="203"/>
    </row>
    <row r="297" spans="1:9" x14ac:dyDescent="0.2">
      <c r="A297" s="203">
        <v>60</v>
      </c>
      <c r="B297" s="203" t="s">
        <v>188</v>
      </c>
      <c r="C297" s="203"/>
      <c r="E297" s="203" t="s">
        <v>117</v>
      </c>
      <c r="G297" s="203">
        <v>178</v>
      </c>
      <c r="H297" s="203" t="s">
        <v>12</v>
      </c>
      <c r="I297" s="203">
        <v>0.33147113594040967</v>
      </c>
    </row>
    <row r="298" spans="1:9" x14ac:dyDescent="0.2">
      <c r="A298" s="203">
        <v>60</v>
      </c>
      <c r="B298" s="203" t="s">
        <v>188</v>
      </c>
      <c r="C298" s="203"/>
      <c r="E298" s="203" t="s">
        <v>118</v>
      </c>
      <c r="G298" s="203">
        <v>179</v>
      </c>
      <c r="H298" s="203" t="s">
        <v>13</v>
      </c>
      <c r="I298" s="203">
        <v>0.33333333333333331</v>
      </c>
    </row>
    <row r="299" spans="1:9" x14ac:dyDescent="0.2">
      <c r="A299" s="203">
        <v>60</v>
      </c>
      <c r="B299" s="203" t="s">
        <v>188</v>
      </c>
      <c r="C299" s="203"/>
      <c r="E299" s="203" t="s">
        <v>119</v>
      </c>
      <c r="G299" s="203">
        <v>180</v>
      </c>
      <c r="H299" s="203" t="s">
        <v>14</v>
      </c>
      <c r="I299" s="203">
        <v>0.33519553072625696</v>
      </c>
    </row>
    <row r="300" spans="1:9" x14ac:dyDescent="0.2">
      <c r="A300" s="203"/>
      <c r="C300" s="203"/>
      <c r="E300" s="203" t="s">
        <v>122</v>
      </c>
      <c r="G300" s="203">
        <v>537</v>
      </c>
      <c r="H300" s="203" t="s">
        <v>15</v>
      </c>
      <c r="I300" s="203">
        <v>0.99999999999999989</v>
      </c>
    </row>
    <row r="301" spans="1:9" x14ac:dyDescent="0.2">
      <c r="A301" s="203"/>
      <c r="C301" s="203"/>
    </row>
    <row r="302" spans="1:9" x14ac:dyDescent="0.2">
      <c r="A302" s="203">
        <v>61</v>
      </c>
      <c r="B302" s="203" t="s">
        <v>189</v>
      </c>
      <c r="C302" s="203"/>
      <c r="E302" s="203" t="s">
        <v>117</v>
      </c>
      <c r="G302" s="203">
        <v>181</v>
      </c>
      <c r="H302" s="203" t="s">
        <v>12</v>
      </c>
      <c r="I302" s="203">
        <v>0.33150183150183149</v>
      </c>
    </row>
    <row r="303" spans="1:9" x14ac:dyDescent="0.2">
      <c r="A303" s="203">
        <v>61</v>
      </c>
      <c r="B303" s="203" t="s">
        <v>189</v>
      </c>
      <c r="C303" s="203"/>
      <c r="E303" s="203" t="s">
        <v>118</v>
      </c>
      <c r="G303" s="203">
        <v>182</v>
      </c>
      <c r="H303" s="203" t="s">
        <v>13</v>
      </c>
      <c r="I303" s="203">
        <v>0.33333333333333331</v>
      </c>
    </row>
    <row r="304" spans="1:9" x14ac:dyDescent="0.2">
      <c r="A304" s="203">
        <v>61</v>
      </c>
      <c r="B304" s="203" t="s">
        <v>189</v>
      </c>
      <c r="C304" s="203"/>
      <c r="E304" s="203" t="s">
        <v>119</v>
      </c>
      <c r="G304" s="203">
        <v>183</v>
      </c>
      <c r="H304" s="203" t="s">
        <v>14</v>
      </c>
      <c r="I304" s="203">
        <v>0.33516483516483514</v>
      </c>
    </row>
    <row r="305" spans="1:9" x14ac:dyDescent="0.2">
      <c r="A305" s="203"/>
      <c r="C305" s="203"/>
      <c r="E305" s="203" t="s">
        <v>122</v>
      </c>
      <c r="G305" s="203">
        <v>546</v>
      </c>
      <c r="H305" s="203" t="s">
        <v>15</v>
      </c>
      <c r="I305" s="203">
        <v>1</v>
      </c>
    </row>
    <row r="306" spans="1:9" x14ac:dyDescent="0.2">
      <c r="A306" s="203"/>
      <c r="C306" s="203"/>
    </row>
    <row r="307" spans="1:9" x14ac:dyDescent="0.2">
      <c r="A307" s="203">
        <v>62</v>
      </c>
      <c r="B307" s="203" t="s">
        <v>190</v>
      </c>
      <c r="C307" s="203"/>
      <c r="E307" s="203" t="s">
        <v>117</v>
      </c>
      <c r="G307" s="203">
        <v>184</v>
      </c>
      <c r="H307" s="203" t="s">
        <v>12</v>
      </c>
      <c r="I307" s="203">
        <v>0.33153153153153153</v>
      </c>
    </row>
    <row r="308" spans="1:9" x14ac:dyDescent="0.2">
      <c r="A308" s="203">
        <v>62</v>
      </c>
      <c r="B308" s="203" t="s">
        <v>190</v>
      </c>
      <c r="C308" s="203"/>
      <c r="E308" s="203" t="s">
        <v>118</v>
      </c>
      <c r="G308" s="203">
        <v>185</v>
      </c>
      <c r="H308" s="203" t="s">
        <v>13</v>
      </c>
      <c r="I308" s="203">
        <v>0.33333333333333331</v>
      </c>
    </row>
    <row r="309" spans="1:9" x14ac:dyDescent="0.2">
      <c r="A309" s="203">
        <v>62</v>
      </c>
      <c r="B309" s="203" t="s">
        <v>190</v>
      </c>
      <c r="C309" s="203"/>
      <c r="E309" s="203" t="s">
        <v>119</v>
      </c>
      <c r="G309" s="203">
        <v>186</v>
      </c>
      <c r="H309" s="203" t="s">
        <v>14</v>
      </c>
      <c r="I309" s="203">
        <v>0.33513513513513515</v>
      </c>
    </row>
    <row r="310" spans="1:9" x14ac:dyDescent="0.2">
      <c r="A310" s="203"/>
      <c r="C310" s="203"/>
      <c r="E310" s="203" t="s">
        <v>122</v>
      </c>
      <c r="G310" s="203">
        <v>555</v>
      </c>
      <c r="H310" s="203" t="s">
        <v>15</v>
      </c>
      <c r="I310" s="203">
        <v>1</v>
      </c>
    </row>
    <row r="311" spans="1:9" x14ac:dyDescent="0.2">
      <c r="A311" s="203"/>
      <c r="C311" s="203"/>
    </row>
    <row r="312" spans="1:9" x14ac:dyDescent="0.2">
      <c r="A312" s="203">
        <v>63</v>
      </c>
      <c r="B312" s="203" t="s">
        <v>191</v>
      </c>
      <c r="C312" s="203"/>
      <c r="E312" s="203" t="s">
        <v>117</v>
      </c>
      <c r="G312" s="203">
        <v>187</v>
      </c>
      <c r="H312" s="203" t="s">
        <v>12</v>
      </c>
      <c r="I312" s="203">
        <v>0.33156028368794327</v>
      </c>
    </row>
    <row r="313" spans="1:9" x14ac:dyDescent="0.2">
      <c r="A313" s="203">
        <v>63</v>
      </c>
      <c r="B313" s="203" t="s">
        <v>191</v>
      </c>
      <c r="C313" s="203"/>
      <c r="E313" s="203" t="s">
        <v>118</v>
      </c>
      <c r="G313" s="203">
        <v>188</v>
      </c>
      <c r="H313" s="203" t="s">
        <v>13</v>
      </c>
      <c r="I313" s="203">
        <v>0.33333333333333331</v>
      </c>
    </row>
    <row r="314" spans="1:9" x14ac:dyDescent="0.2">
      <c r="A314" s="203">
        <v>63</v>
      </c>
      <c r="B314" s="203" t="s">
        <v>191</v>
      </c>
      <c r="C314" s="203"/>
      <c r="E314" s="203" t="s">
        <v>119</v>
      </c>
      <c r="G314" s="203">
        <v>189</v>
      </c>
      <c r="H314" s="203" t="s">
        <v>14</v>
      </c>
      <c r="I314" s="203">
        <v>0.33510638297872342</v>
      </c>
    </row>
    <row r="315" spans="1:9" x14ac:dyDescent="0.2">
      <c r="A315" s="203"/>
      <c r="C315" s="203"/>
      <c r="E315" s="203" t="s">
        <v>122</v>
      </c>
      <c r="G315" s="203">
        <v>564</v>
      </c>
      <c r="H315" s="203" t="s">
        <v>15</v>
      </c>
      <c r="I315" s="203">
        <v>1</v>
      </c>
    </row>
    <row r="316" spans="1:9" x14ac:dyDescent="0.2">
      <c r="A316" s="203"/>
      <c r="C316" s="203"/>
    </row>
    <row r="317" spans="1:9" x14ac:dyDescent="0.2">
      <c r="A317" s="203">
        <v>64</v>
      </c>
      <c r="B317" s="203" t="s">
        <v>192</v>
      </c>
      <c r="C317" s="203"/>
      <c r="E317" s="203" t="s">
        <v>117</v>
      </c>
      <c r="G317" s="203">
        <v>190</v>
      </c>
      <c r="H317" s="203" t="s">
        <v>12</v>
      </c>
      <c r="I317" s="203">
        <v>0.33158813263525305</v>
      </c>
    </row>
    <row r="318" spans="1:9" x14ac:dyDescent="0.2">
      <c r="A318" s="203">
        <v>64</v>
      </c>
      <c r="B318" s="203" t="s">
        <v>192</v>
      </c>
      <c r="C318" s="203"/>
      <c r="E318" s="203" t="s">
        <v>118</v>
      </c>
      <c r="G318" s="203">
        <v>191</v>
      </c>
      <c r="H318" s="203" t="s">
        <v>13</v>
      </c>
      <c r="I318" s="203">
        <v>0.33333333333333331</v>
      </c>
    </row>
    <row r="319" spans="1:9" x14ac:dyDescent="0.2">
      <c r="A319" s="203">
        <v>64</v>
      </c>
      <c r="B319" s="203" t="s">
        <v>192</v>
      </c>
      <c r="C319" s="203"/>
      <c r="E319" s="203" t="s">
        <v>119</v>
      </c>
      <c r="G319" s="203">
        <v>192</v>
      </c>
      <c r="H319" s="203" t="s">
        <v>14</v>
      </c>
      <c r="I319" s="203">
        <v>0.33507853403141363</v>
      </c>
    </row>
    <row r="320" spans="1:9" x14ac:dyDescent="0.2">
      <c r="A320" s="203"/>
      <c r="C320" s="203"/>
      <c r="E320" s="203" t="s">
        <v>122</v>
      </c>
      <c r="G320" s="203">
        <v>573</v>
      </c>
      <c r="H320" s="203" t="s">
        <v>15</v>
      </c>
      <c r="I320" s="203">
        <v>1</v>
      </c>
    </row>
    <row r="321" spans="1:9" x14ac:dyDescent="0.2">
      <c r="A321" s="203"/>
      <c r="C321" s="203"/>
    </row>
    <row r="322" spans="1:9" x14ac:dyDescent="0.2">
      <c r="A322" s="203">
        <v>65</v>
      </c>
      <c r="B322" s="203" t="s">
        <v>193</v>
      </c>
      <c r="C322" s="203"/>
      <c r="E322" s="203" t="s">
        <v>117</v>
      </c>
      <c r="G322" s="203">
        <v>193</v>
      </c>
      <c r="H322" s="203" t="s">
        <v>12</v>
      </c>
      <c r="I322" s="203">
        <v>0.33161512027491408</v>
      </c>
    </row>
    <row r="323" spans="1:9" x14ac:dyDescent="0.2">
      <c r="A323" s="203">
        <v>65</v>
      </c>
      <c r="B323" s="203" t="s">
        <v>193</v>
      </c>
      <c r="C323" s="203"/>
      <c r="E323" s="203" t="s">
        <v>118</v>
      </c>
      <c r="G323" s="203">
        <v>194</v>
      </c>
      <c r="H323" s="203" t="s">
        <v>13</v>
      </c>
      <c r="I323" s="203">
        <v>0.33333333333333331</v>
      </c>
    </row>
    <row r="324" spans="1:9" x14ac:dyDescent="0.2">
      <c r="A324" s="203">
        <v>65</v>
      </c>
      <c r="B324" s="203" t="s">
        <v>193</v>
      </c>
      <c r="C324" s="203"/>
      <c r="E324" s="203" t="s">
        <v>119</v>
      </c>
      <c r="G324" s="203">
        <v>195</v>
      </c>
      <c r="H324" s="203" t="s">
        <v>14</v>
      </c>
      <c r="I324" s="203">
        <v>0.33505154639175255</v>
      </c>
    </row>
    <row r="325" spans="1:9" x14ac:dyDescent="0.2">
      <c r="A325" s="203"/>
      <c r="C325" s="203"/>
      <c r="E325" s="203" t="s">
        <v>122</v>
      </c>
      <c r="G325" s="203">
        <v>582</v>
      </c>
      <c r="H325" s="203" t="s">
        <v>15</v>
      </c>
      <c r="I325" s="203">
        <v>1</v>
      </c>
    </row>
    <row r="326" spans="1:9" x14ac:dyDescent="0.2">
      <c r="A326" s="203"/>
      <c r="C326" s="203"/>
    </row>
    <row r="327" spans="1:9" x14ac:dyDescent="0.2">
      <c r="A327" s="203">
        <v>66</v>
      </c>
      <c r="B327" s="203" t="s">
        <v>194</v>
      </c>
      <c r="C327" s="203"/>
      <c r="E327" s="203" t="s">
        <v>117</v>
      </c>
      <c r="G327" s="203">
        <v>196</v>
      </c>
      <c r="H327" s="203" t="s">
        <v>12</v>
      </c>
      <c r="I327" s="203">
        <v>0.33164128595600678</v>
      </c>
    </row>
    <row r="328" spans="1:9" x14ac:dyDescent="0.2">
      <c r="A328" s="203">
        <v>66</v>
      </c>
      <c r="B328" s="203" t="s">
        <v>194</v>
      </c>
      <c r="C328" s="203"/>
      <c r="E328" s="203" t="s">
        <v>118</v>
      </c>
      <c r="G328" s="203">
        <v>197</v>
      </c>
      <c r="H328" s="203" t="s">
        <v>13</v>
      </c>
      <c r="I328" s="203">
        <v>0.33333333333333331</v>
      </c>
    </row>
    <row r="329" spans="1:9" x14ac:dyDescent="0.2">
      <c r="A329" s="203">
        <v>66</v>
      </c>
      <c r="B329" s="203" t="s">
        <v>194</v>
      </c>
      <c r="C329" s="203"/>
      <c r="E329" s="203" t="s">
        <v>119</v>
      </c>
      <c r="G329" s="203">
        <v>198</v>
      </c>
      <c r="H329" s="203" t="s">
        <v>14</v>
      </c>
      <c r="I329" s="203">
        <v>0.3350253807106599</v>
      </c>
    </row>
    <row r="330" spans="1:9" x14ac:dyDescent="0.2">
      <c r="A330" s="203"/>
      <c r="C330" s="203"/>
      <c r="E330" s="203" t="s">
        <v>122</v>
      </c>
      <c r="G330" s="203">
        <v>591</v>
      </c>
      <c r="H330" s="203" t="s">
        <v>15</v>
      </c>
      <c r="I330" s="203">
        <v>1</v>
      </c>
    </row>
    <row r="331" spans="1:9" x14ac:dyDescent="0.2">
      <c r="A331" s="203"/>
      <c r="C331" s="203"/>
    </row>
    <row r="332" spans="1:9" x14ac:dyDescent="0.2">
      <c r="A332" s="203">
        <v>67</v>
      </c>
      <c r="B332" s="203" t="s">
        <v>195</v>
      </c>
      <c r="C332" s="203"/>
      <c r="E332" s="203" t="s">
        <v>117</v>
      </c>
      <c r="G332" s="203">
        <v>199</v>
      </c>
      <c r="H332" s="203" t="s">
        <v>12</v>
      </c>
      <c r="I332" s="203">
        <v>0.33166666666666667</v>
      </c>
    </row>
    <row r="333" spans="1:9" x14ac:dyDescent="0.2">
      <c r="A333" s="203">
        <v>67</v>
      </c>
      <c r="B333" s="203" t="s">
        <v>195</v>
      </c>
      <c r="C333" s="203"/>
      <c r="E333" s="203" t="s">
        <v>118</v>
      </c>
      <c r="G333" s="203">
        <v>200</v>
      </c>
      <c r="H333" s="203" t="s">
        <v>13</v>
      </c>
      <c r="I333" s="203">
        <v>0.33333333333333331</v>
      </c>
    </row>
    <row r="334" spans="1:9" x14ac:dyDescent="0.2">
      <c r="A334" s="203">
        <v>67</v>
      </c>
      <c r="B334" s="203" t="s">
        <v>195</v>
      </c>
      <c r="C334" s="203"/>
      <c r="E334" s="203" t="s">
        <v>119</v>
      </c>
      <c r="G334" s="203">
        <v>201</v>
      </c>
      <c r="H334" s="203" t="s">
        <v>14</v>
      </c>
      <c r="I334" s="203">
        <v>0.33500000000000002</v>
      </c>
    </row>
    <row r="335" spans="1:9" x14ac:dyDescent="0.2">
      <c r="A335" s="203"/>
      <c r="C335" s="203"/>
      <c r="E335" s="203" t="s">
        <v>122</v>
      </c>
      <c r="G335" s="203">
        <v>600</v>
      </c>
      <c r="H335" s="203" t="s">
        <v>15</v>
      </c>
      <c r="I335" s="203">
        <v>1</v>
      </c>
    </row>
    <row r="336" spans="1:9" x14ac:dyDescent="0.2">
      <c r="A336" s="203"/>
      <c r="C336" s="203"/>
    </row>
    <row r="337" spans="1:9" x14ac:dyDescent="0.2">
      <c r="A337" s="203">
        <v>68</v>
      </c>
      <c r="B337" s="203" t="s">
        <v>196</v>
      </c>
      <c r="C337" s="203"/>
      <c r="E337" s="203" t="s">
        <v>117</v>
      </c>
      <c r="G337" s="203">
        <v>202</v>
      </c>
      <c r="H337" s="203" t="s">
        <v>12</v>
      </c>
      <c r="I337" s="203">
        <v>0.33169129720853857</v>
      </c>
    </row>
    <row r="338" spans="1:9" x14ac:dyDescent="0.2">
      <c r="A338" s="203">
        <v>68</v>
      </c>
      <c r="B338" s="203" t="s">
        <v>196</v>
      </c>
      <c r="C338" s="203"/>
      <c r="E338" s="203" t="s">
        <v>118</v>
      </c>
      <c r="G338" s="203">
        <v>203</v>
      </c>
      <c r="H338" s="203" t="s">
        <v>13</v>
      </c>
      <c r="I338" s="203">
        <v>0.33333333333333331</v>
      </c>
    </row>
    <row r="339" spans="1:9" x14ac:dyDescent="0.2">
      <c r="A339" s="203">
        <v>68</v>
      </c>
      <c r="B339" s="203" t="s">
        <v>196</v>
      </c>
      <c r="C339" s="203"/>
      <c r="E339" s="203" t="s">
        <v>119</v>
      </c>
      <c r="G339" s="203">
        <v>204</v>
      </c>
      <c r="H339" s="203" t="s">
        <v>14</v>
      </c>
      <c r="I339" s="203">
        <v>0.33497536945812806</v>
      </c>
    </row>
    <row r="340" spans="1:9" x14ac:dyDescent="0.2">
      <c r="A340" s="203"/>
      <c r="C340" s="203"/>
      <c r="E340" s="203" t="s">
        <v>122</v>
      </c>
      <c r="G340" s="203">
        <v>609</v>
      </c>
      <c r="H340" s="203" t="s">
        <v>15</v>
      </c>
      <c r="I340" s="203">
        <v>1</v>
      </c>
    </row>
    <row r="341" spans="1:9" x14ac:dyDescent="0.2">
      <c r="A341" s="203"/>
      <c r="C341" s="203"/>
    </row>
    <row r="342" spans="1:9" x14ac:dyDescent="0.2">
      <c r="A342" s="203">
        <v>69</v>
      </c>
      <c r="B342" s="203" t="s">
        <v>197</v>
      </c>
      <c r="C342" s="203"/>
      <c r="E342" s="203" t="s">
        <v>117</v>
      </c>
      <c r="G342" s="203">
        <v>205</v>
      </c>
      <c r="H342" s="203" t="s">
        <v>12</v>
      </c>
      <c r="I342" s="203">
        <v>0.33171521035598706</v>
      </c>
    </row>
    <row r="343" spans="1:9" x14ac:dyDescent="0.2">
      <c r="A343" s="203">
        <v>69</v>
      </c>
      <c r="B343" s="203" t="s">
        <v>197</v>
      </c>
      <c r="C343" s="203"/>
      <c r="E343" s="203" t="s">
        <v>118</v>
      </c>
      <c r="G343" s="203">
        <v>206</v>
      </c>
      <c r="H343" s="203" t="s">
        <v>13</v>
      </c>
      <c r="I343" s="203">
        <v>0.33333333333333331</v>
      </c>
    </row>
    <row r="344" spans="1:9" x14ac:dyDescent="0.2">
      <c r="A344" s="203">
        <v>69</v>
      </c>
      <c r="B344" s="203" t="s">
        <v>197</v>
      </c>
      <c r="C344" s="203"/>
      <c r="E344" s="203" t="s">
        <v>119</v>
      </c>
      <c r="G344" s="203">
        <v>207</v>
      </c>
      <c r="H344" s="203" t="s">
        <v>14</v>
      </c>
      <c r="I344" s="203">
        <v>0.33495145631067963</v>
      </c>
    </row>
    <row r="345" spans="1:9" x14ac:dyDescent="0.2">
      <c r="A345" s="203"/>
      <c r="C345" s="203"/>
      <c r="E345" s="203" t="s">
        <v>122</v>
      </c>
      <c r="G345" s="203">
        <v>618</v>
      </c>
      <c r="H345" s="203" t="s">
        <v>15</v>
      </c>
      <c r="I345" s="203">
        <v>1</v>
      </c>
    </row>
    <row r="346" spans="1:9" x14ac:dyDescent="0.2">
      <c r="A346" s="203"/>
      <c r="C346" s="203"/>
    </row>
    <row r="347" spans="1:9" x14ac:dyDescent="0.2">
      <c r="A347" s="203">
        <v>70</v>
      </c>
      <c r="B347" s="203" t="s">
        <v>198</v>
      </c>
      <c r="C347" s="203"/>
      <c r="E347" s="203" t="s">
        <v>117</v>
      </c>
      <c r="G347" s="203">
        <v>208</v>
      </c>
      <c r="H347" s="203" t="s">
        <v>12</v>
      </c>
      <c r="I347" s="203">
        <v>0.33173843700159489</v>
      </c>
    </row>
    <row r="348" spans="1:9" x14ac:dyDescent="0.2">
      <c r="A348" s="203">
        <v>70</v>
      </c>
      <c r="B348" s="203" t="s">
        <v>198</v>
      </c>
      <c r="C348" s="203"/>
      <c r="E348" s="203" t="s">
        <v>118</v>
      </c>
      <c r="G348" s="203">
        <v>209</v>
      </c>
      <c r="H348" s="203" t="s">
        <v>13</v>
      </c>
      <c r="I348" s="203">
        <v>0.33333333333333331</v>
      </c>
    </row>
    <row r="349" spans="1:9" x14ac:dyDescent="0.2">
      <c r="A349" s="203">
        <v>70</v>
      </c>
      <c r="B349" s="203" t="s">
        <v>198</v>
      </c>
      <c r="C349" s="203"/>
      <c r="E349" s="203" t="s">
        <v>119</v>
      </c>
      <c r="G349" s="203">
        <v>210</v>
      </c>
      <c r="H349" s="203" t="s">
        <v>14</v>
      </c>
      <c r="I349" s="203">
        <v>0.3349282296650718</v>
      </c>
    </row>
    <row r="350" spans="1:9" x14ac:dyDescent="0.2">
      <c r="A350" s="203"/>
      <c r="C350" s="203"/>
      <c r="E350" s="203" t="s">
        <v>122</v>
      </c>
      <c r="G350" s="203">
        <v>627</v>
      </c>
      <c r="H350" s="203" t="s">
        <v>15</v>
      </c>
      <c r="I350" s="203">
        <v>1</v>
      </c>
    </row>
    <row r="351" spans="1:9" x14ac:dyDescent="0.2">
      <c r="A351" s="203"/>
      <c r="C351" s="203"/>
    </row>
    <row r="352" spans="1:9" x14ac:dyDescent="0.2">
      <c r="A352" s="203">
        <v>71</v>
      </c>
      <c r="B352" s="203" t="s">
        <v>199</v>
      </c>
      <c r="C352" s="203"/>
      <c r="E352" s="203" t="s">
        <v>117</v>
      </c>
      <c r="G352" s="203">
        <v>211</v>
      </c>
      <c r="H352" s="203" t="s">
        <v>12</v>
      </c>
      <c r="I352" s="203">
        <v>0.33176100628930816</v>
      </c>
    </row>
    <row r="353" spans="1:9" x14ac:dyDescent="0.2">
      <c r="A353" s="203">
        <v>71</v>
      </c>
      <c r="B353" s="203" t="s">
        <v>199</v>
      </c>
      <c r="C353" s="203"/>
      <c r="E353" s="203" t="s">
        <v>118</v>
      </c>
      <c r="G353" s="203">
        <v>212</v>
      </c>
      <c r="H353" s="203" t="s">
        <v>13</v>
      </c>
      <c r="I353" s="203">
        <v>0.33333333333333331</v>
      </c>
    </row>
    <row r="354" spans="1:9" x14ac:dyDescent="0.2">
      <c r="A354" s="203">
        <v>71</v>
      </c>
      <c r="B354" s="203" t="s">
        <v>199</v>
      </c>
      <c r="C354" s="203"/>
      <c r="E354" s="203" t="s">
        <v>119</v>
      </c>
      <c r="G354" s="203">
        <v>213</v>
      </c>
      <c r="H354" s="203" t="s">
        <v>14</v>
      </c>
      <c r="I354" s="203">
        <v>0.33490566037735847</v>
      </c>
    </row>
    <row r="355" spans="1:9" x14ac:dyDescent="0.2">
      <c r="A355" s="203"/>
      <c r="C355" s="203"/>
      <c r="E355" s="203" t="s">
        <v>122</v>
      </c>
      <c r="G355" s="203">
        <v>636</v>
      </c>
      <c r="H355" s="203" t="s">
        <v>15</v>
      </c>
      <c r="I355" s="203">
        <v>0.99999999999999989</v>
      </c>
    </row>
    <row r="356" spans="1:9" x14ac:dyDescent="0.2">
      <c r="A356" s="203"/>
      <c r="C356" s="203"/>
    </row>
    <row r="357" spans="1:9" x14ac:dyDescent="0.2">
      <c r="A357" s="203">
        <v>72</v>
      </c>
      <c r="B357" s="203" t="s">
        <v>200</v>
      </c>
      <c r="C357" s="203"/>
      <c r="E357" s="203" t="s">
        <v>117</v>
      </c>
      <c r="G357" s="203">
        <v>214</v>
      </c>
      <c r="H357" s="203" t="s">
        <v>12</v>
      </c>
      <c r="I357" s="203">
        <v>0.33178294573643413</v>
      </c>
    </row>
    <row r="358" spans="1:9" x14ac:dyDescent="0.2">
      <c r="A358" s="203">
        <v>72</v>
      </c>
      <c r="B358" s="203" t="s">
        <v>200</v>
      </c>
      <c r="C358" s="203"/>
      <c r="E358" s="203" t="s">
        <v>118</v>
      </c>
      <c r="G358" s="203">
        <v>215</v>
      </c>
      <c r="H358" s="203" t="s">
        <v>13</v>
      </c>
      <c r="I358" s="203">
        <v>0.33333333333333331</v>
      </c>
    </row>
    <row r="359" spans="1:9" x14ac:dyDescent="0.2">
      <c r="A359" s="203">
        <v>72</v>
      </c>
      <c r="B359" s="203" t="s">
        <v>200</v>
      </c>
      <c r="C359" s="203"/>
      <c r="E359" s="203" t="s">
        <v>119</v>
      </c>
      <c r="G359" s="203">
        <v>216</v>
      </c>
      <c r="H359" s="203" t="s">
        <v>14</v>
      </c>
      <c r="I359" s="203">
        <v>0.33488372093023255</v>
      </c>
    </row>
    <row r="360" spans="1:9" x14ac:dyDescent="0.2">
      <c r="A360" s="203"/>
      <c r="C360" s="203"/>
      <c r="E360" s="203" t="s">
        <v>122</v>
      </c>
      <c r="G360" s="203">
        <v>645</v>
      </c>
      <c r="H360" s="203" t="s">
        <v>15</v>
      </c>
      <c r="I360" s="203">
        <v>1</v>
      </c>
    </row>
    <row r="361" spans="1:9" x14ac:dyDescent="0.2">
      <c r="A361" s="203"/>
      <c r="C361" s="203"/>
    </row>
    <row r="362" spans="1:9" x14ac:dyDescent="0.2">
      <c r="A362" s="203">
        <v>73</v>
      </c>
      <c r="B362" s="203" t="s">
        <v>201</v>
      </c>
      <c r="C362" s="203"/>
      <c r="E362" s="203" t="s">
        <v>117</v>
      </c>
      <c r="G362" s="203">
        <v>217</v>
      </c>
      <c r="H362" s="203" t="s">
        <v>12</v>
      </c>
      <c r="I362" s="203">
        <v>0.33180428134556578</v>
      </c>
    </row>
    <row r="363" spans="1:9" x14ac:dyDescent="0.2">
      <c r="A363" s="203">
        <v>73</v>
      </c>
      <c r="B363" s="203" t="s">
        <v>201</v>
      </c>
      <c r="C363" s="203"/>
      <c r="E363" s="203" t="s">
        <v>118</v>
      </c>
      <c r="G363" s="203">
        <v>218</v>
      </c>
      <c r="H363" s="203" t="s">
        <v>13</v>
      </c>
      <c r="I363" s="203">
        <v>0.33333333333333331</v>
      </c>
    </row>
    <row r="364" spans="1:9" x14ac:dyDescent="0.2">
      <c r="A364" s="203">
        <v>73</v>
      </c>
      <c r="B364" s="203" t="s">
        <v>201</v>
      </c>
      <c r="C364" s="203"/>
      <c r="E364" s="203" t="s">
        <v>119</v>
      </c>
      <c r="G364" s="203">
        <v>219</v>
      </c>
      <c r="H364" s="203" t="s">
        <v>14</v>
      </c>
      <c r="I364" s="203">
        <v>0.33486238532110091</v>
      </c>
    </row>
    <row r="365" spans="1:9" x14ac:dyDescent="0.2">
      <c r="A365" s="203"/>
      <c r="C365" s="203"/>
      <c r="E365" s="203" t="s">
        <v>122</v>
      </c>
      <c r="G365" s="203">
        <v>654</v>
      </c>
      <c r="H365" s="203" t="s">
        <v>15</v>
      </c>
      <c r="I365" s="203">
        <v>1</v>
      </c>
    </row>
    <row r="366" spans="1:9" x14ac:dyDescent="0.2">
      <c r="A366" s="203"/>
      <c r="C366" s="203"/>
    </row>
    <row r="367" spans="1:9" x14ac:dyDescent="0.2">
      <c r="A367" s="203">
        <v>74</v>
      </c>
      <c r="B367" s="203" t="s">
        <v>202</v>
      </c>
      <c r="C367" s="203"/>
      <c r="E367" s="203" t="s">
        <v>117</v>
      </c>
      <c r="G367" s="203">
        <v>220</v>
      </c>
      <c r="H367" s="203" t="s">
        <v>12</v>
      </c>
      <c r="I367" s="203">
        <v>0.33182503770739064</v>
      </c>
    </row>
    <row r="368" spans="1:9" x14ac:dyDescent="0.2">
      <c r="A368" s="203">
        <v>74</v>
      </c>
      <c r="B368" s="203" t="s">
        <v>202</v>
      </c>
      <c r="C368" s="203"/>
      <c r="E368" s="203" t="s">
        <v>118</v>
      </c>
      <c r="G368" s="203">
        <v>221</v>
      </c>
      <c r="H368" s="203" t="s">
        <v>13</v>
      </c>
      <c r="I368" s="203">
        <v>0.33333333333333331</v>
      </c>
    </row>
    <row r="369" spans="1:9" x14ac:dyDescent="0.2">
      <c r="A369" s="203">
        <v>74</v>
      </c>
      <c r="B369" s="203" t="s">
        <v>202</v>
      </c>
      <c r="C369" s="203"/>
      <c r="E369" s="203" t="s">
        <v>119</v>
      </c>
      <c r="G369" s="203">
        <v>222</v>
      </c>
      <c r="H369" s="203" t="s">
        <v>14</v>
      </c>
      <c r="I369" s="203">
        <v>0.33484162895927599</v>
      </c>
    </row>
    <row r="370" spans="1:9" x14ac:dyDescent="0.2">
      <c r="A370" s="203"/>
      <c r="C370" s="203"/>
      <c r="E370" s="203" t="s">
        <v>122</v>
      </c>
      <c r="G370" s="203">
        <v>663</v>
      </c>
      <c r="H370" s="203" t="s">
        <v>15</v>
      </c>
      <c r="I370" s="203">
        <v>1</v>
      </c>
    </row>
    <row r="371" spans="1:9" x14ac:dyDescent="0.2">
      <c r="A371" s="203"/>
      <c r="C371" s="203"/>
    </row>
    <row r="372" spans="1:9" x14ac:dyDescent="0.2">
      <c r="A372" s="203">
        <v>75</v>
      </c>
      <c r="B372" s="203" t="s">
        <v>203</v>
      </c>
      <c r="C372" s="203"/>
      <c r="E372" s="203" t="s">
        <v>117</v>
      </c>
      <c r="G372" s="203">
        <v>223</v>
      </c>
      <c r="H372" s="203" t="s">
        <v>12</v>
      </c>
      <c r="I372" s="203">
        <v>0.33184523809523808</v>
      </c>
    </row>
    <row r="373" spans="1:9" x14ac:dyDescent="0.2">
      <c r="A373" s="203">
        <v>75</v>
      </c>
      <c r="B373" s="203" t="s">
        <v>203</v>
      </c>
      <c r="C373" s="203"/>
      <c r="E373" s="203" t="s">
        <v>118</v>
      </c>
      <c r="G373" s="203">
        <v>224</v>
      </c>
      <c r="H373" s="203" t="s">
        <v>13</v>
      </c>
      <c r="I373" s="203">
        <v>0.33333333333333331</v>
      </c>
    </row>
    <row r="374" spans="1:9" x14ac:dyDescent="0.2">
      <c r="A374" s="203">
        <v>75</v>
      </c>
      <c r="B374" s="203" t="s">
        <v>203</v>
      </c>
      <c r="C374" s="203"/>
      <c r="E374" s="203" t="s">
        <v>119</v>
      </c>
      <c r="G374" s="203">
        <v>225</v>
      </c>
      <c r="H374" s="203" t="s">
        <v>14</v>
      </c>
      <c r="I374" s="203">
        <v>0.33482142857142855</v>
      </c>
    </row>
    <row r="375" spans="1:9" x14ac:dyDescent="0.2">
      <c r="A375" s="203"/>
      <c r="C375" s="203"/>
      <c r="E375" s="203" t="s">
        <v>122</v>
      </c>
      <c r="G375" s="203">
        <v>672</v>
      </c>
      <c r="H375" s="203" t="s">
        <v>15</v>
      </c>
      <c r="I375" s="203">
        <v>1</v>
      </c>
    </row>
    <row r="376" spans="1:9" x14ac:dyDescent="0.2">
      <c r="A376" s="203"/>
      <c r="C376" s="203"/>
    </row>
    <row r="377" spans="1:9" x14ac:dyDescent="0.2">
      <c r="A377" s="203">
        <v>76</v>
      </c>
      <c r="B377" s="203" t="s">
        <v>204</v>
      </c>
      <c r="C377" s="203"/>
      <c r="E377" s="203" t="s">
        <v>117</v>
      </c>
      <c r="G377" s="203">
        <v>226</v>
      </c>
      <c r="H377" s="203" t="s">
        <v>12</v>
      </c>
      <c r="I377" s="203">
        <v>0.33186490455212925</v>
      </c>
    </row>
    <row r="378" spans="1:9" x14ac:dyDescent="0.2">
      <c r="A378" s="203">
        <v>76</v>
      </c>
      <c r="B378" s="203" t="s">
        <v>204</v>
      </c>
      <c r="C378" s="203"/>
      <c r="E378" s="203" t="s">
        <v>118</v>
      </c>
      <c r="G378" s="203">
        <v>227</v>
      </c>
      <c r="H378" s="203" t="s">
        <v>13</v>
      </c>
      <c r="I378" s="203">
        <v>0.33333333333333331</v>
      </c>
    </row>
    <row r="379" spans="1:9" x14ac:dyDescent="0.2">
      <c r="A379" s="203">
        <v>76</v>
      </c>
      <c r="B379" s="203" t="s">
        <v>204</v>
      </c>
      <c r="C379" s="203"/>
      <c r="E379" s="203" t="s">
        <v>119</v>
      </c>
      <c r="G379" s="203">
        <v>228</v>
      </c>
      <c r="H379" s="203" t="s">
        <v>14</v>
      </c>
      <c r="I379" s="203">
        <v>0.33480176211453744</v>
      </c>
    </row>
    <row r="380" spans="1:9" x14ac:dyDescent="0.2">
      <c r="A380" s="203"/>
      <c r="C380" s="203"/>
      <c r="E380" s="203" t="s">
        <v>122</v>
      </c>
      <c r="G380" s="203">
        <v>681</v>
      </c>
      <c r="H380" s="203" t="s">
        <v>15</v>
      </c>
      <c r="I380" s="203">
        <v>1</v>
      </c>
    </row>
    <row r="381" spans="1:9" x14ac:dyDescent="0.2">
      <c r="A381" s="203"/>
      <c r="C381" s="203"/>
    </row>
    <row r="382" spans="1:9" x14ac:dyDescent="0.2">
      <c r="A382" s="203">
        <v>77</v>
      </c>
      <c r="B382" s="203" t="s">
        <v>205</v>
      </c>
      <c r="C382" s="203"/>
      <c r="E382" s="203" t="s">
        <v>117</v>
      </c>
      <c r="G382" s="203">
        <v>229</v>
      </c>
      <c r="H382" s="203" t="s">
        <v>12</v>
      </c>
      <c r="I382" s="203">
        <v>0.3318840579710145</v>
      </c>
    </row>
    <row r="383" spans="1:9" x14ac:dyDescent="0.2">
      <c r="A383" s="203">
        <v>77</v>
      </c>
      <c r="B383" s="203" t="s">
        <v>205</v>
      </c>
      <c r="C383" s="203"/>
      <c r="E383" s="203" t="s">
        <v>118</v>
      </c>
      <c r="G383" s="203">
        <v>230</v>
      </c>
      <c r="H383" s="203" t="s">
        <v>13</v>
      </c>
      <c r="I383" s="203">
        <v>0.33333333333333331</v>
      </c>
    </row>
    <row r="384" spans="1:9" x14ac:dyDescent="0.2">
      <c r="A384" s="203">
        <v>77</v>
      </c>
      <c r="B384" s="203" t="s">
        <v>205</v>
      </c>
      <c r="C384" s="203"/>
      <c r="E384" s="203" t="s">
        <v>119</v>
      </c>
      <c r="G384" s="203">
        <v>231</v>
      </c>
      <c r="H384" s="203" t="s">
        <v>14</v>
      </c>
      <c r="I384" s="203">
        <v>0.33478260869565218</v>
      </c>
    </row>
    <row r="385" spans="1:9" x14ac:dyDescent="0.2">
      <c r="A385" s="203"/>
      <c r="C385" s="203"/>
      <c r="E385" s="203" t="s">
        <v>122</v>
      </c>
      <c r="G385" s="203">
        <v>690</v>
      </c>
      <c r="H385" s="203" t="s">
        <v>15</v>
      </c>
      <c r="I385" s="203">
        <v>1</v>
      </c>
    </row>
    <row r="386" spans="1:9" x14ac:dyDescent="0.2">
      <c r="A386" s="203"/>
      <c r="C386" s="203"/>
    </row>
    <row r="387" spans="1:9" x14ac:dyDescent="0.2">
      <c r="A387" s="203">
        <v>78</v>
      </c>
      <c r="B387" s="203" t="s">
        <v>206</v>
      </c>
      <c r="C387" s="203"/>
      <c r="E387" s="203" t="s">
        <v>117</v>
      </c>
      <c r="G387" s="203">
        <v>232</v>
      </c>
      <c r="H387" s="203" t="s">
        <v>12</v>
      </c>
      <c r="I387" s="203">
        <v>0.33190271816881262</v>
      </c>
    </row>
    <row r="388" spans="1:9" x14ac:dyDescent="0.2">
      <c r="A388" s="203">
        <v>78</v>
      </c>
      <c r="B388" s="203" t="s">
        <v>206</v>
      </c>
      <c r="C388" s="203"/>
      <c r="E388" s="203" t="s">
        <v>118</v>
      </c>
      <c r="G388" s="203">
        <v>233</v>
      </c>
      <c r="H388" s="203" t="s">
        <v>13</v>
      </c>
      <c r="I388" s="203">
        <v>0.33333333333333331</v>
      </c>
    </row>
    <row r="389" spans="1:9" x14ac:dyDescent="0.2">
      <c r="A389" s="203">
        <v>78</v>
      </c>
      <c r="B389" s="203" t="s">
        <v>206</v>
      </c>
      <c r="C389" s="203"/>
      <c r="E389" s="203" t="s">
        <v>119</v>
      </c>
      <c r="G389" s="203">
        <v>234</v>
      </c>
      <c r="H389" s="203" t="s">
        <v>14</v>
      </c>
      <c r="I389" s="203">
        <v>0.33476394849785407</v>
      </c>
    </row>
    <row r="390" spans="1:9" x14ac:dyDescent="0.2">
      <c r="A390" s="203"/>
      <c r="C390" s="203"/>
      <c r="E390" s="203" t="s">
        <v>122</v>
      </c>
      <c r="G390" s="203">
        <v>699</v>
      </c>
      <c r="H390" s="203" t="s">
        <v>15</v>
      </c>
      <c r="I390" s="203">
        <v>1</v>
      </c>
    </row>
    <row r="391" spans="1:9" x14ac:dyDescent="0.2">
      <c r="A391" s="203"/>
      <c r="C391" s="203"/>
    </row>
    <row r="392" spans="1:9" x14ac:dyDescent="0.2">
      <c r="A392" s="203">
        <v>79</v>
      </c>
      <c r="B392" s="203" t="s">
        <v>207</v>
      </c>
      <c r="C392" s="203"/>
      <c r="E392" s="203" t="s">
        <v>117</v>
      </c>
      <c r="G392" s="203">
        <v>235</v>
      </c>
      <c r="H392" s="203" t="s">
        <v>12</v>
      </c>
      <c r="I392" s="203">
        <v>0.33192090395480228</v>
      </c>
    </row>
    <row r="393" spans="1:9" x14ac:dyDescent="0.2">
      <c r="A393" s="203">
        <v>79</v>
      </c>
      <c r="B393" s="203" t="s">
        <v>207</v>
      </c>
      <c r="C393" s="203"/>
      <c r="E393" s="203" t="s">
        <v>118</v>
      </c>
      <c r="G393" s="203">
        <v>236</v>
      </c>
      <c r="H393" s="203" t="s">
        <v>13</v>
      </c>
      <c r="I393" s="203">
        <v>0.33333333333333331</v>
      </c>
    </row>
    <row r="394" spans="1:9" x14ac:dyDescent="0.2">
      <c r="A394" s="203">
        <v>79</v>
      </c>
      <c r="B394" s="203" t="s">
        <v>207</v>
      </c>
      <c r="C394" s="203"/>
      <c r="E394" s="203" t="s">
        <v>119</v>
      </c>
      <c r="G394" s="203">
        <v>237</v>
      </c>
      <c r="H394" s="203" t="s">
        <v>14</v>
      </c>
      <c r="I394" s="203">
        <v>0.3347457627118644</v>
      </c>
    </row>
    <row r="395" spans="1:9" x14ac:dyDescent="0.2">
      <c r="A395" s="203"/>
      <c r="C395" s="203"/>
      <c r="E395" s="203" t="s">
        <v>122</v>
      </c>
      <c r="G395" s="203">
        <v>708</v>
      </c>
      <c r="H395" s="203" t="s">
        <v>15</v>
      </c>
      <c r="I395" s="203">
        <v>1</v>
      </c>
    </row>
    <row r="396" spans="1:9" x14ac:dyDescent="0.2">
      <c r="A396" s="203"/>
      <c r="C396" s="203"/>
    </row>
    <row r="397" spans="1:9" x14ac:dyDescent="0.2">
      <c r="A397" s="203">
        <v>80</v>
      </c>
      <c r="B397" s="203" t="s">
        <v>208</v>
      </c>
      <c r="C397" s="203"/>
      <c r="E397" s="203" t="s">
        <v>117</v>
      </c>
      <c r="G397" s="203">
        <v>238</v>
      </c>
      <c r="H397" s="203" t="s">
        <v>12</v>
      </c>
      <c r="I397" s="203">
        <v>0.3319386331938633</v>
      </c>
    </row>
    <row r="398" spans="1:9" x14ac:dyDescent="0.2">
      <c r="A398" s="203">
        <v>80</v>
      </c>
      <c r="B398" s="203" t="s">
        <v>208</v>
      </c>
      <c r="C398" s="203"/>
      <c r="E398" s="203" t="s">
        <v>118</v>
      </c>
      <c r="G398" s="203">
        <v>239</v>
      </c>
      <c r="H398" s="203" t="s">
        <v>13</v>
      </c>
      <c r="I398" s="203">
        <v>0.33333333333333331</v>
      </c>
    </row>
    <row r="399" spans="1:9" x14ac:dyDescent="0.2">
      <c r="A399" s="203">
        <v>80</v>
      </c>
      <c r="B399" s="203" t="s">
        <v>208</v>
      </c>
      <c r="C399" s="203"/>
      <c r="E399" s="203" t="s">
        <v>119</v>
      </c>
      <c r="G399" s="203">
        <v>240</v>
      </c>
      <c r="H399" s="203" t="s">
        <v>14</v>
      </c>
      <c r="I399" s="203">
        <v>0.33472803347280333</v>
      </c>
    </row>
    <row r="400" spans="1:9" x14ac:dyDescent="0.2">
      <c r="A400" s="203"/>
      <c r="C400" s="203"/>
      <c r="E400" s="203" t="s">
        <v>122</v>
      </c>
      <c r="G400" s="203">
        <v>717</v>
      </c>
      <c r="H400" s="203" t="s">
        <v>15</v>
      </c>
      <c r="I400" s="203">
        <v>1</v>
      </c>
    </row>
    <row r="401" spans="1:9" x14ac:dyDescent="0.2">
      <c r="A401" s="203"/>
      <c r="C401" s="203"/>
    </row>
    <row r="402" spans="1:9" x14ac:dyDescent="0.2">
      <c r="A402" s="203">
        <v>81</v>
      </c>
      <c r="B402" s="203" t="s">
        <v>209</v>
      </c>
      <c r="C402" s="203"/>
      <c r="E402" s="203" t="s">
        <v>117</v>
      </c>
      <c r="G402" s="203">
        <v>241</v>
      </c>
      <c r="H402" s="203" t="s">
        <v>12</v>
      </c>
      <c r="I402" s="203">
        <v>0.3319559228650138</v>
      </c>
    </row>
    <row r="403" spans="1:9" x14ac:dyDescent="0.2">
      <c r="A403" s="203">
        <v>81</v>
      </c>
      <c r="B403" s="203" t="s">
        <v>209</v>
      </c>
      <c r="C403" s="203"/>
      <c r="E403" s="203" t="s">
        <v>118</v>
      </c>
      <c r="G403" s="203">
        <v>242</v>
      </c>
      <c r="H403" s="203" t="s">
        <v>13</v>
      </c>
      <c r="I403" s="203">
        <v>0.33333333333333331</v>
      </c>
    </row>
    <row r="404" spans="1:9" x14ac:dyDescent="0.2">
      <c r="A404" s="203">
        <v>81</v>
      </c>
      <c r="B404" s="203" t="s">
        <v>209</v>
      </c>
      <c r="C404" s="203"/>
      <c r="E404" s="203" t="s">
        <v>119</v>
      </c>
      <c r="G404" s="203">
        <v>243</v>
      </c>
      <c r="H404" s="203" t="s">
        <v>14</v>
      </c>
      <c r="I404" s="203">
        <v>0.33471074380165289</v>
      </c>
    </row>
    <row r="405" spans="1:9" x14ac:dyDescent="0.2">
      <c r="A405" s="203"/>
      <c r="C405" s="203"/>
      <c r="E405" s="203" t="s">
        <v>122</v>
      </c>
      <c r="G405" s="203">
        <v>726</v>
      </c>
      <c r="H405" s="203" t="s">
        <v>15</v>
      </c>
      <c r="I405" s="203">
        <v>1</v>
      </c>
    </row>
    <row r="406" spans="1:9" x14ac:dyDescent="0.2">
      <c r="A406" s="203"/>
      <c r="C406" s="203"/>
    </row>
    <row r="407" spans="1:9" x14ac:dyDescent="0.2">
      <c r="A407" s="203">
        <v>82</v>
      </c>
      <c r="B407" s="203" t="s">
        <v>210</v>
      </c>
      <c r="C407" s="203"/>
      <c r="E407" s="203" t="s">
        <v>117</v>
      </c>
      <c r="G407" s="203">
        <v>244</v>
      </c>
      <c r="H407" s="203" t="s">
        <v>12</v>
      </c>
      <c r="I407" s="203">
        <v>0.33197278911564626</v>
      </c>
    </row>
    <row r="408" spans="1:9" x14ac:dyDescent="0.2">
      <c r="A408" s="203">
        <v>82</v>
      </c>
      <c r="B408" s="203" t="s">
        <v>210</v>
      </c>
      <c r="C408" s="203"/>
      <c r="E408" s="203" t="s">
        <v>118</v>
      </c>
      <c r="G408" s="203">
        <v>245</v>
      </c>
      <c r="H408" s="203" t="s">
        <v>13</v>
      </c>
      <c r="I408" s="203">
        <v>0.33333333333333331</v>
      </c>
    </row>
    <row r="409" spans="1:9" x14ac:dyDescent="0.2">
      <c r="A409" s="203">
        <v>82</v>
      </c>
      <c r="B409" s="203" t="s">
        <v>210</v>
      </c>
      <c r="C409" s="203"/>
      <c r="E409" s="203" t="s">
        <v>119</v>
      </c>
      <c r="G409" s="203">
        <v>246</v>
      </c>
      <c r="H409" s="203" t="s">
        <v>14</v>
      </c>
      <c r="I409" s="203">
        <v>0.33469387755102042</v>
      </c>
    </row>
    <row r="410" spans="1:9" x14ac:dyDescent="0.2">
      <c r="A410" s="203"/>
      <c r="C410" s="203"/>
      <c r="E410" s="203" t="s">
        <v>122</v>
      </c>
      <c r="G410" s="203">
        <v>735</v>
      </c>
      <c r="H410" s="203" t="s">
        <v>15</v>
      </c>
      <c r="I410" s="203">
        <v>1</v>
      </c>
    </row>
    <row r="411" spans="1:9" x14ac:dyDescent="0.2">
      <c r="A411" s="203"/>
      <c r="C411" s="203"/>
    </row>
    <row r="412" spans="1:9" x14ac:dyDescent="0.2">
      <c r="A412" s="203">
        <v>83</v>
      </c>
      <c r="B412" s="203" t="s">
        <v>211</v>
      </c>
      <c r="C412" s="203"/>
      <c r="E412" s="203" t="s">
        <v>117</v>
      </c>
      <c r="G412" s="203">
        <v>247</v>
      </c>
      <c r="H412" s="203" t="s">
        <v>12</v>
      </c>
      <c r="I412" s="203">
        <v>0.33198924731182794</v>
      </c>
    </row>
    <row r="413" spans="1:9" x14ac:dyDescent="0.2">
      <c r="A413" s="203">
        <v>83</v>
      </c>
      <c r="B413" s="203" t="s">
        <v>211</v>
      </c>
      <c r="C413" s="203"/>
      <c r="E413" s="203" t="s">
        <v>118</v>
      </c>
      <c r="G413" s="203">
        <v>248</v>
      </c>
      <c r="H413" s="203" t="s">
        <v>13</v>
      </c>
      <c r="I413" s="203">
        <v>0.33333333333333331</v>
      </c>
    </row>
    <row r="414" spans="1:9" x14ac:dyDescent="0.2">
      <c r="A414" s="203">
        <v>83</v>
      </c>
      <c r="B414" s="203" t="s">
        <v>211</v>
      </c>
      <c r="C414" s="203"/>
      <c r="E414" s="203" t="s">
        <v>119</v>
      </c>
      <c r="G414" s="203">
        <v>249</v>
      </c>
      <c r="H414" s="203" t="s">
        <v>14</v>
      </c>
      <c r="I414" s="203">
        <v>0.33467741935483869</v>
      </c>
    </row>
    <row r="415" spans="1:9" x14ac:dyDescent="0.2">
      <c r="A415" s="203"/>
      <c r="C415" s="203"/>
      <c r="E415" s="203" t="s">
        <v>122</v>
      </c>
      <c r="G415" s="203">
        <v>744</v>
      </c>
      <c r="H415" s="203" t="s">
        <v>15</v>
      </c>
      <c r="I415" s="203">
        <v>1</v>
      </c>
    </row>
    <row r="416" spans="1:9" x14ac:dyDescent="0.2">
      <c r="A416" s="203"/>
      <c r="C416" s="203"/>
    </row>
    <row r="417" spans="1:9" x14ac:dyDescent="0.2">
      <c r="A417" s="203">
        <v>84</v>
      </c>
      <c r="B417" s="203" t="s">
        <v>212</v>
      </c>
      <c r="C417" s="203"/>
      <c r="E417" s="203" t="s">
        <v>117</v>
      </c>
      <c r="G417" s="203">
        <v>250</v>
      </c>
      <c r="H417" s="203" t="s">
        <v>12</v>
      </c>
      <c r="I417" s="203">
        <v>0.33200531208499334</v>
      </c>
    </row>
    <row r="418" spans="1:9" x14ac:dyDescent="0.2">
      <c r="A418" s="203">
        <v>84</v>
      </c>
      <c r="B418" s="203" t="s">
        <v>212</v>
      </c>
      <c r="C418" s="203"/>
      <c r="E418" s="203" t="s">
        <v>118</v>
      </c>
      <c r="G418" s="203">
        <v>251</v>
      </c>
      <c r="H418" s="203" t="s">
        <v>13</v>
      </c>
      <c r="I418" s="203">
        <v>0.33333333333333331</v>
      </c>
    </row>
    <row r="419" spans="1:9" x14ac:dyDescent="0.2">
      <c r="A419" s="203">
        <v>84</v>
      </c>
      <c r="B419" s="203" t="s">
        <v>212</v>
      </c>
      <c r="C419" s="203"/>
      <c r="E419" s="203" t="s">
        <v>119</v>
      </c>
      <c r="G419" s="203">
        <v>252</v>
      </c>
      <c r="H419" s="203" t="s">
        <v>14</v>
      </c>
      <c r="I419" s="203">
        <v>0.33466135458167329</v>
      </c>
    </row>
    <row r="420" spans="1:9" x14ac:dyDescent="0.2">
      <c r="A420" s="203"/>
      <c r="C420" s="203"/>
      <c r="E420" s="203" t="s">
        <v>122</v>
      </c>
      <c r="G420" s="203">
        <v>753</v>
      </c>
      <c r="H420" s="203" t="s">
        <v>15</v>
      </c>
      <c r="I420" s="203">
        <v>1</v>
      </c>
    </row>
    <row r="421" spans="1:9" x14ac:dyDescent="0.2">
      <c r="A421" s="203"/>
      <c r="C421" s="203"/>
    </row>
    <row r="422" spans="1:9" x14ac:dyDescent="0.2">
      <c r="A422" s="203">
        <v>85</v>
      </c>
      <c r="B422" s="203" t="s">
        <v>213</v>
      </c>
      <c r="C422" s="203"/>
      <c r="E422" s="203" t="s">
        <v>117</v>
      </c>
      <c r="G422" s="203">
        <v>253</v>
      </c>
      <c r="H422" s="203" t="s">
        <v>12</v>
      </c>
      <c r="I422" s="203">
        <v>0.33202099737532809</v>
      </c>
    </row>
    <row r="423" spans="1:9" x14ac:dyDescent="0.2">
      <c r="A423" s="203">
        <v>85</v>
      </c>
      <c r="B423" s="203" t="s">
        <v>213</v>
      </c>
      <c r="C423" s="203"/>
      <c r="E423" s="203" t="s">
        <v>118</v>
      </c>
      <c r="G423" s="203">
        <v>254</v>
      </c>
      <c r="H423" s="203" t="s">
        <v>13</v>
      </c>
      <c r="I423" s="203">
        <v>0.33333333333333331</v>
      </c>
    </row>
    <row r="424" spans="1:9" x14ac:dyDescent="0.2">
      <c r="A424" s="203">
        <v>85</v>
      </c>
      <c r="B424" s="203" t="s">
        <v>213</v>
      </c>
      <c r="C424" s="203"/>
      <c r="E424" s="203" t="s">
        <v>119</v>
      </c>
      <c r="G424" s="203">
        <v>255</v>
      </c>
      <c r="H424" s="203" t="s">
        <v>14</v>
      </c>
      <c r="I424" s="203">
        <v>0.3346456692913386</v>
      </c>
    </row>
    <row r="425" spans="1:9" x14ac:dyDescent="0.2">
      <c r="A425" s="203"/>
      <c r="C425" s="203"/>
      <c r="E425" s="203" t="s">
        <v>122</v>
      </c>
      <c r="G425" s="203">
        <v>762</v>
      </c>
      <c r="H425" s="203" t="s">
        <v>15</v>
      </c>
      <c r="I425" s="203">
        <v>1</v>
      </c>
    </row>
    <row r="426" spans="1:9" x14ac:dyDescent="0.2">
      <c r="A426" s="203"/>
      <c r="C426" s="203"/>
    </row>
    <row r="427" spans="1:9" x14ac:dyDescent="0.2">
      <c r="A427" s="203">
        <v>86</v>
      </c>
      <c r="B427" s="203" t="s">
        <v>214</v>
      </c>
      <c r="C427" s="203"/>
      <c r="E427" s="203" t="s">
        <v>117</v>
      </c>
      <c r="G427" s="203">
        <v>256</v>
      </c>
      <c r="H427" s="203" t="s">
        <v>12</v>
      </c>
      <c r="I427" s="203">
        <v>0.33203631647211412</v>
      </c>
    </row>
    <row r="428" spans="1:9" x14ac:dyDescent="0.2">
      <c r="A428" s="203">
        <v>86</v>
      </c>
      <c r="B428" s="203" t="s">
        <v>214</v>
      </c>
      <c r="C428" s="203"/>
      <c r="E428" s="203" t="s">
        <v>118</v>
      </c>
      <c r="G428" s="203">
        <v>257</v>
      </c>
      <c r="H428" s="203" t="s">
        <v>13</v>
      </c>
      <c r="I428" s="203">
        <v>0.33333333333333331</v>
      </c>
    </row>
    <row r="429" spans="1:9" x14ac:dyDescent="0.2">
      <c r="A429" s="203">
        <v>86</v>
      </c>
      <c r="B429" s="203" t="s">
        <v>214</v>
      </c>
      <c r="C429" s="203"/>
      <c r="E429" s="203" t="s">
        <v>119</v>
      </c>
      <c r="G429" s="203">
        <v>258</v>
      </c>
      <c r="H429" s="203" t="s">
        <v>14</v>
      </c>
      <c r="I429" s="203">
        <v>0.33463035019455251</v>
      </c>
    </row>
    <row r="430" spans="1:9" x14ac:dyDescent="0.2">
      <c r="A430" s="203"/>
      <c r="C430" s="203"/>
      <c r="E430" s="203" t="s">
        <v>122</v>
      </c>
      <c r="G430" s="203">
        <v>771</v>
      </c>
      <c r="H430" s="203" t="s">
        <v>15</v>
      </c>
      <c r="I430" s="203">
        <v>1</v>
      </c>
    </row>
    <row r="431" spans="1:9" x14ac:dyDescent="0.2">
      <c r="A431" s="203"/>
      <c r="C431" s="203"/>
    </row>
    <row r="432" spans="1:9" x14ac:dyDescent="0.2">
      <c r="A432" s="203">
        <v>87</v>
      </c>
      <c r="B432" s="203" t="s">
        <v>215</v>
      </c>
      <c r="C432" s="203"/>
      <c r="E432" s="203" t="s">
        <v>117</v>
      </c>
      <c r="G432" s="203">
        <v>259</v>
      </c>
      <c r="H432" s="203" t="s">
        <v>12</v>
      </c>
      <c r="I432" s="203">
        <v>0.33205128205128204</v>
      </c>
    </row>
    <row r="433" spans="1:9" x14ac:dyDescent="0.2">
      <c r="A433" s="203">
        <v>87</v>
      </c>
      <c r="B433" s="203" t="s">
        <v>215</v>
      </c>
      <c r="C433" s="203"/>
      <c r="E433" s="203" t="s">
        <v>118</v>
      </c>
      <c r="G433" s="203">
        <v>260</v>
      </c>
      <c r="H433" s="203" t="s">
        <v>13</v>
      </c>
      <c r="I433" s="203">
        <v>0.33333333333333331</v>
      </c>
    </row>
    <row r="434" spans="1:9" x14ac:dyDescent="0.2">
      <c r="A434" s="203">
        <v>87</v>
      </c>
      <c r="B434" s="203" t="s">
        <v>215</v>
      </c>
      <c r="C434" s="203"/>
      <c r="E434" s="203" t="s">
        <v>119</v>
      </c>
      <c r="G434" s="203">
        <v>261</v>
      </c>
      <c r="H434" s="203" t="s">
        <v>14</v>
      </c>
      <c r="I434" s="203">
        <v>0.33461538461538459</v>
      </c>
    </row>
    <row r="435" spans="1:9" x14ac:dyDescent="0.2">
      <c r="A435" s="203"/>
      <c r="C435" s="203"/>
      <c r="E435" s="203" t="s">
        <v>122</v>
      </c>
      <c r="G435" s="203">
        <v>780</v>
      </c>
      <c r="H435" s="203" t="s">
        <v>15</v>
      </c>
      <c r="I435" s="203">
        <v>1</v>
      </c>
    </row>
    <row r="436" spans="1:9" x14ac:dyDescent="0.2">
      <c r="A436" s="203"/>
      <c r="C436" s="203"/>
    </row>
    <row r="437" spans="1:9" x14ac:dyDescent="0.2">
      <c r="A437" s="203">
        <v>88</v>
      </c>
      <c r="B437" s="203" t="s">
        <v>216</v>
      </c>
      <c r="C437" s="203"/>
      <c r="E437" s="203" t="s">
        <v>117</v>
      </c>
      <c r="G437" s="203">
        <v>262</v>
      </c>
      <c r="H437" s="203" t="s">
        <v>12</v>
      </c>
      <c r="I437" s="203">
        <v>0.33206590621039289</v>
      </c>
    </row>
    <row r="438" spans="1:9" x14ac:dyDescent="0.2">
      <c r="A438" s="203">
        <v>88</v>
      </c>
      <c r="B438" s="203" t="s">
        <v>216</v>
      </c>
      <c r="C438" s="203"/>
      <c r="E438" s="203" t="s">
        <v>118</v>
      </c>
      <c r="G438" s="203">
        <v>263</v>
      </c>
      <c r="H438" s="203" t="s">
        <v>13</v>
      </c>
      <c r="I438" s="203">
        <v>0.33333333333333331</v>
      </c>
    </row>
    <row r="439" spans="1:9" x14ac:dyDescent="0.2">
      <c r="A439" s="203">
        <v>88</v>
      </c>
      <c r="B439" s="203" t="s">
        <v>216</v>
      </c>
      <c r="C439" s="203"/>
      <c r="E439" s="203" t="s">
        <v>119</v>
      </c>
      <c r="G439" s="203">
        <v>264</v>
      </c>
      <c r="H439" s="203" t="s">
        <v>14</v>
      </c>
      <c r="I439" s="203">
        <v>0.33460076045627374</v>
      </c>
    </row>
    <row r="440" spans="1:9" x14ac:dyDescent="0.2">
      <c r="A440" s="203"/>
      <c r="C440" s="203"/>
      <c r="E440" s="203" t="s">
        <v>122</v>
      </c>
      <c r="G440" s="203">
        <v>789</v>
      </c>
      <c r="H440" s="203" t="s">
        <v>15</v>
      </c>
      <c r="I440" s="203">
        <v>1</v>
      </c>
    </row>
    <row r="441" spans="1:9" x14ac:dyDescent="0.2">
      <c r="A441" s="203"/>
      <c r="C441" s="203"/>
    </row>
    <row r="442" spans="1:9" x14ac:dyDescent="0.2">
      <c r="A442" s="203">
        <v>89</v>
      </c>
      <c r="B442" s="203" t="s">
        <v>217</v>
      </c>
      <c r="C442" s="203"/>
      <c r="E442" s="203" t="s">
        <v>117</v>
      </c>
      <c r="G442" s="203">
        <v>265</v>
      </c>
      <c r="H442" s="203" t="s">
        <v>12</v>
      </c>
      <c r="I442" s="203">
        <v>0.33208020050125314</v>
      </c>
    </row>
    <row r="443" spans="1:9" x14ac:dyDescent="0.2">
      <c r="A443" s="203">
        <v>89</v>
      </c>
      <c r="B443" s="203" t="s">
        <v>217</v>
      </c>
      <c r="C443" s="203"/>
      <c r="E443" s="203" t="s">
        <v>118</v>
      </c>
      <c r="G443" s="203">
        <v>266</v>
      </c>
      <c r="H443" s="203" t="s">
        <v>13</v>
      </c>
      <c r="I443" s="203">
        <v>0.33333333333333331</v>
      </c>
    </row>
    <row r="444" spans="1:9" x14ac:dyDescent="0.2">
      <c r="A444" s="203">
        <v>89</v>
      </c>
      <c r="B444" s="203" t="s">
        <v>217</v>
      </c>
      <c r="C444" s="203"/>
      <c r="E444" s="203" t="s">
        <v>119</v>
      </c>
      <c r="G444" s="203">
        <v>267</v>
      </c>
      <c r="H444" s="203" t="s">
        <v>14</v>
      </c>
      <c r="I444" s="203">
        <v>0.33458646616541354</v>
      </c>
    </row>
    <row r="445" spans="1:9" x14ac:dyDescent="0.2">
      <c r="A445" s="203"/>
      <c r="C445" s="203"/>
      <c r="E445" s="203" t="s">
        <v>122</v>
      </c>
      <c r="G445" s="203">
        <v>798</v>
      </c>
      <c r="H445" s="203" t="s">
        <v>15</v>
      </c>
      <c r="I445" s="203">
        <v>1</v>
      </c>
    </row>
    <row r="446" spans="1:9" x14ac:dyDescent="0.2">
      <c r="A446" s="203"/>
      <c r="C446" s="203"/>
    </row>
    <row r="447" spans="1:9" x14ac:dyDescent="0.2">
      <c r="A447" s="203">
        <v>90</v>
      </c>
      <c r="B447" s="203" t="s">
        <v>218</v>
      </c>
      <c r="C447" s="203"/>
      <c r="E447" s="203" t="s">
        <v>117</v>
      </c>
      <c r="G447" s="203">
        <v>268</v>
      </c>
      <c r="H447" s="203" t="s">
        <v>12</v>
      </c>
      <c r="I447" s="203">
        <v>0.33209417596034696</v>
      </c>
    </row>
    <row r="448" spans="1:9" x14ac:dyDescent="0.2">
      <c r="A448" s="203">
        <v>90</v>
      </c>
      <c r="B448" s="203" t="s">
        <v>218</v>
      </c>
      <c r="C448" s="203"/>
      <c r="E448" s="203" t="s">
        <v>118</v>
      </c>
      <c r="G448" s="203">
        <v>269</v>
      </c>
      <c r="H448" s="203" t="s">
        <v>13</v>
      </c>
      <c r="I448" s="203">
        <v>0.33333333333333331</v>
      </c>
    </row>
    <row r="449" spans="1:9" x14ac:dyDescent="0.2">
      <c r="A449" s="203">
        <v>90</v>
      </c>
      <c r="B449" s="203" t="s">
        <v>218</v>
      </c>
      <c r="C449" s="203"/>
      <c r="E449" s="203" t="s">
        <v>119</v>
      </c>
      <c r="G449" s="203">
        <v>270</v>
      </c>
      <c r="H449" s="203" t="s">
        <v>14</v>
      </c>
      <c r="I449" s="203">
        <v>0.33457249070631973</v>
      </c>
    </row>
    <row r="450" spans="1:9" x14ac:dyDescent="0.2">
      <c r="A450" s="203"/>
      <c r="C450" s="203"/>
      <c r="E450" s="203" t="s">
        <v>122</v>
      </c>
      <c r="G450" s="203">
        <v>807</v>
      </c>
      <c r="H450" s="203" t="s">
        <v>15</v>
      </c>
      <c r="I450" s="203">
        <v>1</v>
      </c>
    </row>
    <row r="451" spans="1:9" x14ac:dyDescent="0.2">
      <c r="A451" s="203"/>
      <c r="C451" s="203"/>
    </row>
    <row r="452" spans="1:9" x14ac:dyDescent="0.2">
      <c r="A452" s="203">
        <v>91</v>
      </c>
      <c r="B452" s="203" t="s">
        <v>219</v>
      </c>
      <c r="C452" s="203"/>
      <c r="E452" s="203" t="s">
        <v>117</v>
      </c>
      <c r="G452" s="203">
        <v>271</v>
      </c>
      <c r="H452" s="203" t="s">
        <v>12</v>
      </c>
      <c r="I452" s="203">
        <v>0.33210784313725489</v>
      </c>
    </row>
    <row r="453" spans="1:9" x14ac:dyDescent="0.2">
      <c r="A453" s="203">
        <v>91</v>
      </c>
      <c r="B453" s="203" t="s">
        <v>219</v>
      </c>
      <c r="C453" s="203"/>
      <c r="E453" s="203" t="s">
        <v>118</v>
      </c>
      <c r="G453" s="203">
        <v>272</v>
      </c>
      <c r="H453" s="203" t="s">
        <v>13</v>
      </c>
      <c r="I453" s="203">
        <v>0.33333333333333331</v>
      </c>
    </row>
    <row r="454" spans="1:9" x14ac:dyDescent="0.2">
      <c r="A454" s="203">
        <v>91</v>
      </c>
      <c r="B454" s="203" t="s">
        <v>219</v>
      </c>
      <c r="C454" s="203"/>
      <c r="E454" s="203" t="s">
        <v>119</v>
      </c>
      <c r="G454" s="203">
        <v>273</v>
      </c>
      <c r="H454" s="203" t="s">
        <v>14</v>
      </c>
      <c r="I454" s="203">
        <v>0.33455882352941174</v>
      </c>
    </row>
    <row r="455" spans="1:9" x14ac:dyDescent="0.2">
      <c r="A455" s="203"/>
      <c r="C455" s="203"/>
      <c r="E455" s="203" t="s">
        <v>122</v>
      </c>
      <c r="G455" s="203">
        <v>816</v>
      </c>
      <c r="H455" s="203" t="s">
        <v>15</v>
      </c>
      <c r="I455" s="203">
        <v>1</v>
      </c>
    </row>
    <row r="456" spans="1:9" x14ac:dyDescent="0.2">
      <c r="A456" s="203"/>
      <c r="C456" s="203"/>
    </row>
    <row r="457" spans="1:9" x14ac:dyDescent="0.2">
      <c r="A457" s="203">
        <v>92</v>
      </c>
      <c r="B457" s="203" t="s">
        <v>220</v>
      </c>
      <c r="C457" s="203"/>
      <c r="E457" s="203" t="s">
        <v>117</v>
      </c>
      <c r="G457" s="203">
        <v>274</v>
      </c>
      <c r="H457" s="203" t="s">
        <v>12</v>
      </c>
      <c r="I457" s="203">
        <v>0.33212121212121209</v>
      </c>
    </row>
    <row r="458" spans="1:9" x14ac:dyDescent="0.2">
      <c r="A458" s="203">
        <v>92</v>
      </c>
      <c r="B458" s="203" t="s">
        <v>220</v>
      </c>
      <c r="C458" s="203"/>
      <c r="E458" s="203" t="s">
        <v>118</v>
      </c>
      <c r="G458" s="203">
        <v>275</v>
      </c>
      <c r="H458" s="203" t="s">
        <v>13</v>
      </c>
      <c r="I458" s="203">
        <v>0.33333333333333331</v>
      </c>
    </row>
    <row r="459" spans="1:9" x14ac:dyDescent="0.2">
      <c r="A459" s="203">
        <v>92</v>
      </c>
      <c r="B459" s="203" t="s">
        <v>220</v>
      </c>
      <c r="C459" s="203"/>
      <c r="E459" s="203" t="s">
        <v>119</v>
      </c>
      <c r="G459" s="203">
        <v>276</v>
      </c>
      <c r="H459" s="203" t="s">
        <v>14</v>
      </c>
      <c r="I459" s="203">
        <v>0.33454545454545453</v>
      </c>
    </row>
    <row r="460" spans="1:9" x14ac:dyDescent="0.2">
      <c r="A460" s="203"/>
      <c r="C460" s="203"/>
      <c r="E460" s="203" t="s">
        <v>122</v>
      </c>
      <c r="G460" s="203">
        <v>825</v>
      </c>
      <c r="H460" s="203" t="s">
        <v>15</v>
      </c>
      <c r="I460" s="203">
        <v>1</v>
      </c>
    </row>
    <row r="461" spans="1:9" x14ac:dyDescent="0.2">
      <c r="A461" s="203"/>
      <c r="C461" s="203"/>
    </row>
    <row r="462" spans="1:9" x14ac:dyDescent="0.2">
      <c r="A462" s="203">
        <v>93</v>
      </c>
      <c r="B462" s="203" t="s">
        <v>221</v>
      </c>
      <c r="C462" s="203"/>
      <c r="E462" s="203" t="s">
        <v>117</v>
      </c>
      <c r="G462" s="203">
        <v>277</v>
      </c>
      <c r="H462" s="203" t="s">
        <v>12</v>
      </c>
      <c r="I462" s="203">
        <v>0.33213429256594723</v>
      </c>
    </row>
    <row r="463" spans="1:9" x14ac:dyDescent="0.2">
      <c r="A463" s="203">
        <v>93</v>
      </c>
      <c r="B463" s="203" t="s">
        <v>221</v>
      </c>
      <c r="C463" s="203"/>
      <c r="E463" s="203" t="s">
        <v>118</v>
      </c>
      <c r="G463" s="203">
        <v>278</v>
      </c>
      <c r="H463" s="203" t="s">
        <v>13</v>
      </c>
      <c r="I463" s="203">
        <v>0.33333333333333331</v>
      </c>
    </row>
    <row r="464" spans="1:9" x14ac:dyDescent="0.2">
      <c r="A464" s="203">
        <v>93</v>
      </c>
      <c r="B464" s="203" t="s">
        <v>221</v>
      </c>
      <c r="C464" s="203"/>
      <c r="E464" s="203" t="s">
        <v>119</v>
      </c>
      <c r="G464" s="203">
        <v>279</v>
      </c>
      <c r="H464" s="203" t="s">
        <v>14</v>
      </c>
      <c r="I464" s="203">
        <v>0.3345323741007194</v>
      </c>
    </row>
    <row r="465" spans="1:9" x14ac:dyDescent="0.2">
      <c r="A465" s="203"/>
      <c r="C465" s="203"/>
      <c r="E465" s="203" t="s">
        <v>122</v>
      </c>
      <c r="G465" s="203">
        <v>834</v>
      </c>
      <c r="H465" s="203" t="s">
        <v>15</v>
      </c>
      <c r="I465" s="203">
        <v>1</v>
      </c>
    </row>
    <row r="466" spans="1:9" x14ac:dyDescent="0.2">
      <c r="A466" s="203"/>
      <c r="C466" s="203"/>
    </row>
    <row r="467" spans="1:9" x14ac:dyDescent="0.2">
      <c r="A467" s="203">
        <v>94</v>
      </c>
      <c r="B467" s="203" t="s">
        <v>222</v>
      </c>
      <c r="C467" s="203"/>
      <c r="E467" s="203" t="s">
        <v>117</v>
      </c>
      <c r="G467" s="203">
        <v>280</v>
      </c>
      <c r="H467" s="203" t="s">
        <v>12</v>
      </c>
      <c r="I467" s="203">
        <v>0.33214709371293</v>
      </c>
    </row>
    <row r="468" spans="1:9" x14ac:dyDescent="0.2">
      <c r="A468" s="203">
        <v>94</v>
      </c>
      <c r="B468" s="203" t="s">
        <v>222</v>
      </c>
      <c r="C468" s="203"/>
      <c r="E468" s="203" t="s">
        <v>118</v>
      </c>
      <c r="G468" s="203">
        <v>281</v>
      </c>
      <c r="H468" s="203" t="s">
        <v>13</v>
      </c>
      <c r="I468" s="203">
        <v>0.33333333333333331</v>
      </c>
    </row>
    <row r="469" spans="1:9" x14ac:dyDescent="0.2">
      <c r="A469" s="203">
        <v>94</v>
      </c>
      <c r="B469" s="203" t="s">
        <v>222</v>
      </c>
      <c r="C469" s="203"/>
      <c r="E469" s="203" t="s">
        <v>119</v>
      </c>
      <c r="G469" s="203">
        <v>282</v>
      </c>
      <c r="H469" s="203" t="s">
        <v>14</v>
      </c>
      <c r="I469" s="203">
        <v>0.33451957295373663</v>
      </c>
    </row>
    <row r="470" spans="1:9" x14ac:dyDescent="0.2">
      <c r="A470" s="203"/>
      <c r="C470" s="203"/>
      <c r="E470" s="203" t="s">
        <v>122</v>
      </c>
      <c r="G470" s="203">
        <v>843</v>
      </c>
      <c r="H470" s="203" t="s">
        <v>15</v>
      </c>
      <c r="I470" s="203">
        <v>1</v>
      </c>
    </row>
    <row r="471" spans="1:9" x14ac:dyDescent="0.2">
      <c r="A471" s="203"/>
      <c r="C471" s="203"/>
    </row>
    <row r="472" spans="1:9" x14ac:dyDescent="0.2">
      <c r="A472" s="203">
        <v>95</v>
      </c>
      <c r="B472" s="203" t="s">
        <v>223</v>
      </c>
      <c r="C472" s="203"/>
      <c r="E472" s="203" t="s">
        <v>117</v>
      </c>
      <c r="G472" s="203">
        <v>283</v>
      </c>
      <c r="H472" s="203" t="s">
        <v>12</v>
      </c>
      <c r="I472" s="203">
        <v>0.33215962441314556</v>
      </c>
    </row>
    <row r="473" spans="1:9" x14ac:dyDescent="0.2">
      <c r="A473" s="203">
        <v>95</v>
      </c>
      <c r="B473" s="203" t="s">
        <v>223</v>
      </c>
      <c r="C473" s="203"/>
      <c r="E473" s="203" t="s">
        <v>118</v>
      </c>
      <c r="G473" s="203">
        <v>284</v>
      </c>
      <c r="H473" s="203" t="s">
        <v>13</v>
      </c>
      <c r="I473" s="203">
        <v>0.33333333333333331</v>
      </c>
    </row>
    <row r="474" spans="1:9" x14ac:dyDescent="0.2">
      <c r="A474" s="203">
        <v>95</v>
      </c>
      <c r="B474" s="203" t="s">
        <v>223</v>
      </c>
      <c r="C474" s="203"/>
      <c r="E474" s="203" t="s">
        <v>119</v>
      </c>
      <c r="G474" s="203">
        <v>285</v>
      </c>
      <c r="H474" s="203" t="s">
        <v>14</v>
      </c>
      <c r="I474" s="203">
        <v>0.33450704225352113</v>
      </c>
    </row>
    <row r="475" spans="1:9" x14ac:dyDescent="0.2">
      <c r="A475" s="203"/>
      <c r="C475" s="203"/>
      <c r="E475" s="203" t="s">
        <v>122</v>
      </c>
      <c r="G475" s="203">
        <v>852</v>
      </c>
      <c r="H475" s="203" t="s">
        <v>15</v>
      </c>
      <c r="I475" s="203">
        <v>1</v>
      </c>
    </row>
    <row r="476" spans="1:9" x14ac:dyDescent="0.2">
      <c r="A476" s="203"/>
      <c r="C476" s="203"/>
    </row>
    <row r="477" spans="1:9" x14ac:dyDescent="0.2">
      <c r="A477" s="203">
        <v>96</v>
      </c>
      <c r="B477" s="203" t="s">
        <v>224</v>
      </c>
      <c r="C477" s="203"/>
      <c r="E477" s="203" t="s">
        <v>117</v>
      </c>
      <c r="G477" s="203">
        <v>286</v>
      </c>
      <c r="H477" s="203" t="s">
        <v>12</v>
      </c>
      <c r="I477" s="203">
        <v>0.33217189314750289</v>
      </c>
    </row>
    <row r="478" spans="1:9" x14ac:dyDescent="0.2">
      <c r="A478" s="203">
        <v>96</v>
      </c>
      <c r="B478" s="203" t="s">
        <v>224</v>
      </c>
      <c r="C478" s="203"/>
      <c r="E478" s="203" t="s">
        <v>118</v>
      </c>
      <c r="G478" s="203">
        <v>287</v>
      </c>
      <c r="H478" s="203" t="s">
        <v>13</v>
      </c>
      <c r="I478" s="203">
        <v>0.33333333333333331</v>
      </c>
    </row>
    <row r="479" spans="1:9" x14ac:dyDescent="0.2">
      <c r="A479" s="203">
        <v>96</v>
      </c>
      <c r="B479" s="203" t="s">
        <v>224</v>
      </c>
      <c r="C479" s="203"/>
      <c r="E479" s="203" t="s">
        <v>119</v>
      </c>
      <c r="G479" s="203">
        <v>288</v>
      </c>
      <c r="H479" s="203" t="s">
        <v>14</v>
      </c>
      <c r="I479" s="203">
        <v>0.33449477351916379</v>
      </c>
    </row>
    <row r="480" spans="1:9" x14ac:dyDescent="0.2">
      <c r="A480" s="203"/>
      <c r="C480" s="203"/>
      <c r="E480" s="203" t="s">
        <v>122</v>
      </c>
      <c r="G480" s="203">
        <v>861</v>
      </c>
      <c r="H480" s="203" t="s">
        <v>15</v>
      </c>
      <c r="I480" s="203">
        <v>1</v>
      </c>
    </row>
    <row r="481" spans="1:9" x14ac:dyDescent="0.2">
      <c r="A481" s="203"/>
      <c r="C481" s="203"/>
    </row>
    <row r="482" spans="1:9" x14ac:dyDescent="0.2">
      <c r="A482" s="203">
        <v>97</v>
      </c>
      <c r="B482" s="203" t="s">
        <v>225</v>
      </c>
      <c r="C482" s="203"/>
      <c r="E482" s="203" t="s">
        <v>117</v>
      </c>
      <c r="G482" s="203">
        <v>289</v>
      </c>
      <c r="H482" s="203" t="s">
        <v>12</v>
      </c>
      <c r="I482" s="203">
        <v>0.33218390804597703</v>
      </c>
    </row>
    <row r="483" spans="1:9" x14ac:dyDescent="0.2">
      <c r="A483" s="203">
        <v>97</v>
      </c>
      <c r="B483" s="203" t="s">
        <v>225</v>
      </c>
      <c r="C483" s="203"/>
      <c r="E483" s="203" t="s">
        <v>118</v>
      </c>
      <c r="G483" s="203">
        <v>290</v>
      </c>
      <c r="H483" s="203" t="s">
        <v>13</v>
      </c>
      <c r="I483" s="203">
        <v>0.33333333333333331</v>
      </c>
    </row>
    <row r="484" spans="1:9" x14ac:dyDescent="0.2">
      <c r="A484" s="203">
        <v>97</v>
      </c>
      <c r="B484" s="203" t="s">
        <v>225</v>
      </c>
      <c r="C484" s="203"/>
      <c r="E484" s="203" t="s">
        <v>119</v>
      </c>
      <c r="G484" s="203">
        <v>291</v>
      </c>
      <c r="H484" s="203" t="s">
        <v>14</v>
      </c>
      <c r="I484" s="203">
        <v>0.33448275862068966</v>
      </c>
    </row>
    <row r="485" spans="1:9" x14ac:dyDescent="0.2">
      <c r="A485" s="203"/>
      <c r="C485" s="203"/>
      <c r="E485" s="203" t="s">
        <v>122</v>
      </c>
      <c r="G485" s="203">
        <v>870</v>
      </c>
      <c r="H485" s="203" t="s">
        <v>15</v>
      </c>
      <c r="I485" s="203">
        <v>1</v>
      </c>
    </row>
    <row r="486" spans="1:9" x14ac:dyDescent="0.2">
      <c r="A486" s="203"/>
      <c r="C486" s="203"/>
    </row>
    <row r="487" spans="1:9" x14ac:dyDescent="0.2">
      <c r="A487" s="203">
        <v>98</v>
      </c>
      <c r="B487" s="203" t="s">
        <v>226</v>
      </c>
      <c r="C487" s="203"/>
      <c r="E487" s="203" t="s">
        <v>117</v>
      </c>
      <c r="G487" s="203">
        <v>292</v>
      </c>
      <c r="H487" s="203" t="s">
        <v>12</v>
      </c>
      <c r="I487" s="203">
        <v>0.3321956769055745</v>
      </c>
    </row>
    <row r="488" spans="1:9" x14ac:dyDescent="0.2">
      <c r="A488" s="203">
        <v>98</v>
      </c>
      <c r="B488" s="203" t="s">
        <v>226</v>
      </c>
      <c r="C488" s="203"/>
      <c r="E488" s="203" t="s">
        <v>118</v>
      </c>
      <c r="G488" s="203">
        <v>293</v>
      </c>
      <c r="H488" s="203" t="s">
        <v>13</v>
      </c>
      <c r="I488" s="203">
        <v>0.33333333333333331</v>
      </c>
    </row>
    <row r="489" spans="1:9" x14ac:dyDescent="0.2">
      <c r="A489" s="203">
        <v>98</v>
      </c>
      <c r="B489" s="203" t="s">
        <v>226</v>
      </c>
      <c r="C489" s="203"/>
      <c r="E489" s="203" t="s">
        <v>119</v>
      </c>
      <c r="G489" s="203">
        <v>294</v>
      </c>
      <c r="H489" s="203" t="s">
        <v>14</v>
      </c>
      <c r="I489" s="203">
        <v>0.33447098976109213</v>
      </c>
    </row>
    <row r="490" spans="1:9" x14ac:dyDescent="0.2">
      <c r="A490" s="203"/>
      <c r="C490" s="203"/>
      <c r="E490" s="203" t="s">
        <v>122</v>
      </c>
      <c r="G490" s="203">
        <v>879</v>
      </c>
      <c r="H490" s="203" t="s">
        <v>15</v>
      </c>
      <c r="I490" s="203">
        <v>0.99999999999999989</v>
      </c>
    </row>
    <row r="491" spans="1:9" x14ac:dyDescent="0.2">
      <c r="A491" s="203"/>
      <c r="C491" s="203"/>
    </row>
    <row r="492" spans="1:9" x14ac:dyDescent="0.2">
      <c r="A492" s="203">
        <v>99</v>
      </c>
      <c r="B492" s="203" t="s">
        <v>227</v>
      </c>
      <c r="C492" s="203"/>
      <c r="E492" s="203" t="s">
        <v>117</v>
      </c>
      <c r="G492" s="203">
        <v>295</v>
      </c>
      <c r="H492" s="203" t="s">
        <v>12</v>
      </c>
      <c r="I492" s="203">
        <v>0.3322072072072072</v>
      </c>
    </row>
    <row r="493" spans="1:9" x14ac:dyDescent="0.2">
      <c r="A493" s="203">
        <v>99</v>
      </c>
      <c r="B493" s="203" t="s">
        <v>227</v>
      </c>
      <c r="C493" s="203"/>
      <c r="E493" s="203" t="s">
        <v>118</v>
      </c>
      <c r="G493" s="203">
        <v>296</v>
      </c>
      <c r="H493" s="203" t="s">
        <v>13</v>
      </c>
      <c r="I493" s="203">
        <v>0.33333333333333331</v>
      </c>
    </row>
    <row r="494" spans="1:9" x14ac:dyDescent="0.2">
      <c r="A494" s="203">
        <v>99</v>
      </c>
      <c r="B494" s="203" t="s">
        <v>227</v>
      </c>
      <c r="C494" s="203"/>
      <c r="E494" s="203" t="s">
        <v>119</v>
      </c>
      <c r="G494" s="203">
        <v>297</v>
      </c>
      <c r="H494" s="203" t="s">
        <v>14</v>
      </c>
      <c r="I494" s="203">
        <v>0.33445945945945948</v>
      </c>
    </row>
    <row r="495" spans="1:9" x14ac:dyDescent="0.2">
      <c r="A495" s="203"/>
      <c r="C495" s="203"/>
      <c r="E495" s="203" t="s">
        <v>122</v>
      </c>
      <c r="G495" s="203">
        <v>888</v>
      </c>
      <c r="H495" s="203" t="s">
        <v>15</v>
      </c>
      <c r="I495" s="203">
        <v>1</v>
      </c>
    </row>
    <row r="496" spans="1:9" x14ac:dyDescent="0.2">
      <c r="A496" s="203"/>
      <c r="C496" s="203"/>
    </row>
    <row r="497" spans="1:9" x14ac:dyDescent="0.2">
      <c r="A497" s="203">
        <v>100</v>
      </c>
      <c r="B497" s="203" t="s">
        <v>228</v>
      </c>
      <c r="C497" s="203"/>
      <c r="E497" s="203" t="s">
        <v>117</v>
      </c>
      <c r="G497" s="203">
        <v>298</v>
      </c>
      <c r="H497" s="203" t="s">
        <v>12</v>
      </c>
      <c r="I497" s="203">
        <v>0.33221850613154963</v>
      </c>
    </row>
    <row r="498" spans="1:9" x14ac:dyDescent="0.2">
      <c r="A498" s="203">
        <v>100</v>
      </c>
      <c r="B498" s="203" t="s">
        <v>228</v>
      </c>
      <c r="C498" s="203"/>
      <c r="E498" s="203" t="s">
        <v>118</v>
      </c>
      <c r="G498" s="203">
        <v>299</v>
      </c>
      <c r="H498" s="203" t="s">
        <v>13</v>
      </c>
      <c r="I498" s="203">
        <v>0.33333333333333331</v>
      </c>
    </row>
    <row r="499" spans="1:9" x14ac:dyDescent="0.2">
      <c r="A499" s="203">
        <v>100</v>
      </c>
      <c r="B499" s="203" t="s">
        <v>228</v>
      </c>
      <c r="C499" s="203"/>
      <c r="E499" s="203" t="s">
        <v>119</v>
      </c>
      <c r="G499" s="203">
        <v>300</v>
      </c>
      <c r="H499" s="203" t="s">
        <v>14</v>
      </c>
      <c r="I499" s="203">
        <v>0.33444816053511706</v>
      </c>
    </row>
    <row r="500" spans="1:9" x14ac:dyDescent="0.2">
      <c r="A500" s="203"/>
      <c r="C500" s="203"/>
      <c r="E500" s="203" t="s">
        <v>122</v>
      </c>
      <c r="G500" s="203">
        <v>897</v>
      </c>
      <c r="H500" s="203" t="s">
        <v>15</v>
      </c>
      <c r="I500" s="203">
        <v>1</v>
      </c>
    </row>
    <row r="501" spans="1:9" x14ac:dyDescent="0.2">
      <c r="A501" s="203"/>
      <c r="C501" s="203"/>
    </row>
    <row r="502" spans="1:9" x14ac:dyDescent="0.2">
      <c r="A502" s="203">
        <v>101</v>
      </c>
      <c r="B502" s="203" t="s">
        <v>229</v>
      </c>
      <c r="C502" s="203"/>
      <c r="E502" s="203" t="s">
        <v>117</v>
      </c>
      <c r="G502" s="203">
        <v>301</v>
      </c>
      <c r="H502" s="203" t="s">
        <v>12</v>
      </c>
      <c r="I502" s="203">
        <v>0.33222958057395141</v>
      </c>
    </row>
    <row r="503" spans="1:9" x14ac:dyDescent="0.2">
      <c r="A503" s="203">
        <v>101</v>
      </c>
      <c r="B503" s="203" t="s">
        <v>229</v>
      </c>
      <c r="C503" s="203"/>
      <c r="E503" s="203" t="s">
        <v>118</v>
      </c>
      <c r="G503" s="203">
        <v>302</v>
      </c>
      <c r="H503" s="203" t="s">
        <v>13</v>
      </c>
      <c r="I503" s="203">
        <v>0.33333333333333331</v>
      </c>
    </row>
    <row r="504" spans="1:9" x14ac:dyDescent="0.2">
      <c r="A504" s="203">
        <v>101</v>
      </c>
      <c r="B504" s="203" t="s">
        <v>229</v>
      </c>
      <c r="C504" s="203"/>
      <c r="E504" s="203" t="s">
        <v>119</v>
      </c>
      <c r="G504" s="203">
        <v>303</v>
      </c>
      <c r="H504" s="203" t="s">
        <v>14</v>
      </c>
      <c r="I504" s="203">
        <v>0.33443708609271522</v>
      </c>
    </row>
    <row r="505" spans="1:9" x14ac:dyDescent="0.2">
      <c r="A505" s="203"/>
      <c r="C505" s="203"/>
      <c r="E505" s="203" t="s">
        <v>122</v>
      </c>
      <c r="G505" s="203">
        <v>906</v>
      </c>
      <c r="H505" s="203" t="s">
        <v>15</v>
      </c>
      <c r="I505" s="203">
        <v>1</v>
      </c>
    </row>
    <row r="506" spans="1:9" x14ac:dyDescent="0.2">
      <c r="A506" s="203"/>
      <c r="C506" s="203"/>
    </row>
    <row r="507" spans="1:9" x14ac:dyDescent="0.2">
      <c r="A507" s="203">
        <v>102</v>
      </c>
      <c r="B507" s="203" t="s">
        <v>230</v>
      </c>
      <c r="C507" s="203"/>
      <c r="E507" s="203" t="s">
        <v>117</v>
      </c>
      <c r="G507" s="203">
        <v>304</v>
      </c>
      <c r="H507" s="203" t="s">
        <v>12</v>
      </c>
      <c r="I507" s="203">
        <v>0.33224043715846996</v>
      </c>
    </row>
    <row r="508" spans="1:9" x14ac:dyDescent="0.2">
      <c r="A508" s="203">
        <v>102</v>
      </c>
      <c r="B508" s="203" t="s">
        <v>230</v>
      </c>
      <c r="C508" s="203"/>
      <c r="E508" s="203" t="s">
        <v>118</v>
      </c>
      <c r="G508" s="203">
        <v>305</v>
      </c>
      <c r="H508" s="203" t="s">
        <v>13</v>
      </c>
      <c r="I508" s="203">
        <v>0.33333333333333331</v>
      </c>
    </row>
    <row r="509" spans="1:9" x14ac:dyDescent="0.2">
      <c r="A509" s="203">
        <v>102</v>
      </c>
      <c r="B509" s="203" t="s">
        <v>230</v>
      </c>
      <c r="C509" s="203"/>
      <c r="E509" s="203" t="s">
        <v>119</v>
      </c>
      <c r="G509" s="203">
        <v>306</v>
      </c>
      <c r="H509" s="203" t="s">
        <v>14</v>
      </c>
      <c r="I509" s="203">
        <v>0.33442622950819673</v>
      </c>
    </row>
    <row r="510" spans="1:9" x14ac:dyDescent="0.2">
      <c r="A510" s="203"/>
      <c r="C510" s="203"/>
      <c r="E510" s="203" t="s">
        <v>122</v>
      </c>
      <c r="G510" s="203">
        <v>915</v>
      </c>
      <c r="H510" s="203" t="s">
        <v>15</v>
      </c>
      <c r="I510" s="203">
        <v>1</v>
      </c>
    </row>
    <row r="511" spans="1:9" x14ac:dyDescent="0.2">
      <c r="A511" s="203"/>
      <c r="C511" s="203"/>
    </row>
    <row r="512" spans="1:9" x14ac:dyDescent="0.2">
      <c r="A512" s="203">
        <v>103</v>
      </c>
      <c r="B512" s="203" t="s">
        <v>231</v>
      </c>
      <c r="C512" s="203"/>
      <c r="E512" s="203" t="s">
        <v>117</v>
      </c>
      <c r="G512" s="203">
        <v>307</v>
      </c>
      <c r="H512" s="203" t="s">
        <v>12</v>
      </c>
      <c r="I512" s="203">
        <v>0.33225108225108224</v>
      </c>
    </row>
    <row r="513" spans="1:9" x14ac:dyDescent="0.2">
      <c r="A513" s="203">
        <v>103</v>
      </c>
      <c r="B513" s="203" t="s">
        <v>231</v>
      </c>
      <c r="C513" s="203"/>
      <c r="E513" s="203" t="s">
        <v>118</v>
      </c>
      <c r="G513" s="203">
        <v>308</v>
      </c>
      <c r="H513" s="203" t="s">
        <v>13</v>
      </c>
      <c r="I513" s="203">
        <v>0.33333333333333331</v>
      </c>
    </row>
    <row r="514" spans="1:9" x14ac:dyDescent="0.2">
      <c r="A514" s="203">
        <v>103</v>
      </c>
      <c r="B514" s="203" t="s">
        <v>231</v>
      </c>
      <c r="C514" s="203"/>
      <c r="E514" s="203" t="s">
        <v>119</v>
      </c>
      <c r="G514" s="203">
        <v>309</v>
      </c>
      <c r="H514" s="203" t="s">
        <v>14</v>
      </c>
      <c r="I514" s="203">
        <v>0.33441558441558439</v>
      </c>
    </row>
    <row r="515" spans="1:9" x14ac:dyDescent="0.2">
      <c r="A515" s="203"/>
      <c r="C515" s="203"/>
      <c r="E515" s="203" t="s">
        <v>122</v>
      </c>
      <c r="G515" s="203">
        <v>924</v>
      </c>
      <c r="H515" s="203" t="s">
        <v>15</v>
      </c>
      <c r="I515" s="203">
        <v>0.99999999999999989</v>
      </c>
    </row>
    <row r="516" spans="1:9" x14ac:dyDescent="0.2">
      <c r="A516" s="203"/>
      <c r="C516" s="203"/>
    </row>
    <row r="517" spans="1:9" x14ac:dyDescent="0.2">
      <c r="A517" s="203">
        <v>104</v>
      </c>
      <c r="B517" s="203" t="s">
        <v>232</v>
      </c>
      <c r="C517" s="203"/>
      <c r="E517" s="203" t="s">
        <v>117</v>
      </c>
      <c r="G517" s="203">
        <v>310</v>
      </c>
      <c r="H517" s="203" t="s">
        <v>12</v>
      </c>
      <c r="I517" s="203">
        <v>0.33226152197213288</v>
      </c>
    </row>
    <row r="518" spans="1:9" x14ac:dyDescent="0.2">
      <c r="A518" s="203">
        <v>104</v>
      </c>
      <c r="B518" s="203" t="s">
        <v>232</v>
      </c>
      <c r="C518" s="203"/>
      <c r="E518" s="203" t="s">
        <v>118</v>
      </c>
      <c r="G518" s="203">
        <v>311</v>
      </c>
      <c r="H518" s="203" t="s">
        <v>13</v>
      </c>
      <c r="I518" s="203">
        <v>0.33333333333333331</v>
      </c>
    </row>
    <row r="519" spans="1:9" x14ac:dyDescent="0.2">
      <c r="A519" s="203">
        <v>104</v>
      </c>
      <c r="B519" s="203" t="s">
        <v>232</v>
      </c>
      <c r="C519" s="203"/>
      <c r="E519" s="203" t="s">
        <v>119</v>
      </c>
      <c r="G519" s="203">
        <v>312</v>
      </c>
      <c r="H519" s="203" t="s">
        <v>14</v>
      </c>
      <c r="I519" s="203">
        <v>0.33440514469453375</v>
      </c>
    </row>
    <row r="520" spans="1:9" x14ac:dyDescent="0.2">
      <c r="A520" s="203"/>
      <c r="C520" s="203"/>
      <c r="E520" s="203" t="s">
        <v>122</v>
      </c>
      <c r="G520" s="203">
        <v>933</v>
      </c>
      <c r="H520" s="203" t="s">
        <v>15</v>
      </c>
      <c r="I520" s="203">
        <v>1</v>
      </c>
    </row>
    <row r="521" spans="1:9" x14ac:dyDescent="0.2">
      <c r="A521" s="203"/>
      <c r="C521" s="203"/>
    </row>
    <row r="522" spans="1:9" x14ac:dyDescent="0.2">
      <c r="A522" s="203">
        <v>105</v>
      </c>
      <c r="B522" s="203" t="s">
        <v>233</v>
      </c>
      <c r="C522" s="203"/>
      <c r="E522" s="203" t="s">
        <v>117</v>
      </c>
      <c r="G522" s="203">
        <v>313</v>
      </c>
      <c r="H522" s="203" t="s">
        <v>12</v>
      </c>
      <c r="I522" s="203">
        <v>0.33227176220806792</v>
      </c>
    </row>
    <row r="523" spans="1:9" x14ac:dyDescent="0.2">
      <c r="A523" s="203">
        <v>105</v>
      </c>
      <c r="B523" s="203" t="s">
        <v>233</v>
      </c>
      <c r="C523" s="203"/>
      <c r="E523" s="203" t="s">
        <v>118</v>
      </c>
      <c r="G523" s="203">
        <v>314</v>
      </c>
      <c r="H523" s="203" t="s">
        <v>13</v>
      </c>
      <c r="I523" s="203">
        <v>0.33333333333333331</v>
      </c>
    </row>
    <row r="524" spans="1:9" x14ac:dyDescent="0.2">
      <c r="A524" s="203">
        <v>105</v>
      </c>
      <c r="B524" s="203" t="s">
        <v>233</v>
      </c>
      <c r="C524" s="203"/>
      <c r="E524" s="203" t="s">
        <v>119</v>
      </c>
      <c r="G524" s="203">
        <v>315</v>
      </c>
      <c r="H524" s="203" t="s">
        <v>14</v>
      </c>
      <c r="I524" s="203">
        <v>0.33439490445859871</v>
      </c>
    </row>
    <row r="525" spans="1:9" x14ac:dyDescent="0.2">
      <c r="A525" s="203"/>
      <c r="C525" s="203"/>
      <c r="E525" s="203" t="s">
        <v>122</v>
      </c>
      <c r="G525" s="203">
        <v>942</v>
      </c>
      <c r="H525" s="203" t="s">
        <v>15</v>
      </c>
      <c r="I525" s="203">
        <v>1</v>
      </c>
    </row>
    <row r="526" spans="1:9" x14ac:dyDescent="0.2">
      <c r="A526" s="203"/>
      <c r="C526" s="203"/>
    </row>
    <row r="527" spans="1:9" x14ac:dyDescent="0.2">
      <c r="A527" s="203">
        <v>106</v>
      </c>
      <c r="B527" s="203" t="s">
        <v>234</v>
      </c>
      <c r="C527" s="203"/>
      <c r="E527" s="203" t="s">
        <v>117</v>
      </c>
      <c r="G527" s="203">
        <v>316</v>
      </c>
      <c r="H527" s="203" t="s">
        <v>12</v>
      </c>
      <c r="I527" s="203">
        <v>0.33228180862250262</v>
      </c>
    </row>
    <row r="528" spans="1:9" x14ac:dyDescent="0.2">
      <c r="A528" s="203">
        <v>106</v>
      </c>
      <c r="B528" s="203" t="s">
        <v>234</v>
      </c>
      <c r="C528" s="203"/>
      <c r="E528" s="203" t="s">
        <v>118</v>
      </c>
      <c r="G528" s="203">
        <v>317</v>
      </c>
      <c r="H528" s="203" t="s">
        <v>13</v>
      </c>
      <c r="I528" s="203">
        <v>0.33333333333333331</v>
      </c>
    </row>
    <row r="529" spans="1:9" x14ac:dyDescent="0.2">
      <c r="A529" s="203">
        <v>106</v>
      </c>
      <c r="B529" s="203" t="s">
        <v>234</v>
      </c>
      <c r="C529" s="203"/>
      <c r="E529" s="203" t="s">
        <v>119</v>
      </c>
      <c r="G529" s="203">
        <v>318</v>
      </c>
      <c r="H529" s="203" t="s">
        <v>14</v>
      </c>
      <c r="I529" s="203">
        <v>0.33438485804416401</v>
      </c>
    </row>
    <row r="530" spans="1:9" x14ac:dyDescent="0.2">
      <c r="A530" s="203"/>
      <c r="C530" s="203"/>
      <c r="E530" s="203" t="s">
        <v>122</v>
      </c>
      <c r="G530" s="203">
        <v>951</v>
      </c>
      <c r="H530" s="203" t="s">
        <v>15</v>
      </c>
      <c r="I530" s="203">
        <v>1</v>
      </c>
    </row>
    <row r="531" spans="1:9" x14ac:dyDescent="0.2">
      <c r="A531" s="203"/>
      <c r="C531" s="203"/>
    </row>
    <row r="532" spans="1:9" x14ac:dyDescent="0.2">
      <c r="A532" s="203">
        <v>107</v>
      </c>
      <c r="B532" s="203" t="s">
        <v>235</v>
      </c>
      <c r="C532" s="203"/>
      <c r="E532" s="203" t="s">
        <v>117</v>
      </c>
      <c r="G532" s="203">
        <v>319</v>
      </c>
      <c r="H532" s="203" t="s">
        <v>12</v>
      </c>
      <c r="I532" s="203">
        <v>0.33229166666666665</v>
      </c>
    </row>
    <row r="533" spans="1:9" x14ac:dyDescent="0.2">
      <c r="A533" s="203">
        <v>107</v>
      </c>
      <c r="B533" s="203" t="s">
        <v>235</v>
      </c>
      <c r="C533" s="203"/>
      <c r="E533" s="203" t="s">
        <v>118</v>
      </c>
      <c r="G533" s="203">
        <v>320</v>
      </c>
      <c r="H533" s="203" t="s">
        <v>13</v>
      </c>
      <c r="I533" s="203">
        <v>0.33333333333333331</v>
      </c>
    </row>
    <row r="534" spans="1:9" x14ac:dyDescent="0.2">
      <c r="A534" s="203">
        <v>107</v>
      </c>
      <c r="B534" s="203" t="s">
        <v>235</v>
      </c>
      <c r="C534" s="203"/>
      <c r="E534" s="203" t="s">
        <v>119</v>
      </c>
      <c r="G534" s="203">
        <v>321</v>
      </c>
      <c r="H534" s="203" t="s">
        <v>14</v>
      </c>
      <c r="I534" s="203">
        <v>0.33437499999999998</v>
      </c>
    </row>
    <row r="535" spans="1:9" x14ac:dyDescent="0.2">
      <c r="A535" s="203"/>
      <c r="C535" s="203"/>
      <c r="E535" s="203" t="s">
        <v>122</v>
      </c>
      <c r="G535" s="203">
        <v>960</v>
      </c>
      <c r="H535" s="203" t="s">
        <v>15</v>
      </c>
      <c r="I535" s="203">
        <v>0.99999999999999989</v>
      </c>
    </row>
    <row r="536" spans="1:9" x14ac:dyDescent="0.2">
      <c r="A536" s="203"/>
      <c r="C536" s="203"/>
    </row>
    <row r="537" spans="1:9" x14ac:dyDescent="0.2">
      <c r="A537" s="203">
        <v>108</v>
      </c>
      <c r="B537" s="203" t="s">
        <v>236</v>
      </c>
      <c r="C537" s="203"/>
      <c r="E537" s="203" t="s">
        <v>117</v>
      </c>
      <c r="G537" s="203">
        <v>322</v>
      </c>
      <c r="H537" s="203" t="s">
        <v>12</v>
      </c>
      <c r="I537" s="203">
        <v>0.33230134158926727</v>
      </c>
    </row>
    <row r="538" spans="1:9" x14ac:dyDescent="0.2">
      <c r="A538" s="203">
        <v>108</v>
      </c>
      <c r="B538" s="203" t="s">
        <v>236</v>
      </c>
      <c r="C538" s="203"/>
      <c r="E538" s="203" t="s">
        <v>118</v>
      </c>
      <c r="G538" s="203">
        <v>323</v>
      </c>
      <c r="H538" s="203" t="s">
        <v>13</v>
      </c>
      <c r="I538" s="203">
        <v>0.33333333333333331</v>
      </c>
    </row>
    <row r="539" spans="1:9" x14ac:dyDescent="0.2">
      <c r="A539" s="203">
        <v>108</v>
      </c>
      <c r="B539" s="203" t="s">
        <v>236</v>
      </c>
      <c r="C539" s="203"/>
      <c r="E539" s="203" t="s">
        <v>119</v>
      </c>
      <c r="G539" s="203">
        <v>324</v>
      </c>
      <c r="H539" s="203" t="s">
        <v>14</v>
      </c>
      <c r="I539" s="203">
        <v>0.33436532507739936</v>
      </c>
    </row>
    <row r="540" spans="1:9" x14ac:dyDescent="0.2">
      <c r="A540" s="203"/>
      <c r="C540" s="203"/>
      <c r="E540" s="203" t="s">
        <v>122</v>
      </c>
      <c r="G540" s="203">
        <v>969</v>
      </c>
      <c r="H540" s="203" t="s">
        <v>15</v>
      </c>
      <c r="I540" s="203">
        <v>0.99999999999999989</v>
      </c>
    </row>
    <row r="541" spans="1:9" x14ac:dyDescent="0.2">
      <c r="A541" s="203"/>
      <c r="C541" s="203"/>
    </row>
    <row r="542" spans="1:9" x14ac:dyDescent="0.2">
      <c r="A542" s="203">
        <v>109</v>
      </c>
      <c r="B542" s="203" t="s">
        <v>237</v>
      </c>
      <c r="C542" s="203"/>
      <c r="E542" s="203" t="s">
        <v>117</v>
      </c>
      <c r="G542" s="203">
        <v>325</v>
      </c>
      <c r="H542" s="203" t="s">
        <v>12</v>
      </c>
      <c r="I542" s="203">
        <v>0.33231083844580778</v>
      </c>
    </row>
    <row r="543" spans="1:9" x14ac:dyDescent="0.2">
      <c r="A543" s="203">
        <v>109</v>
      </c>
      <c r="B543" s="203" t="s">
        <v>237</v>
      </c>
      <c r="C543" s="203"/>
      <c r="E543" s="203" t="s">
        <v>118</v>
      </c>
      <c r="G543" s="203">
        <v>326</v>
      </c>
      <c r="H543" s="203" t="s">
        <v>13</v>
      </c>
      <c r="I543" s="203">
        <v>0.33333333333333331</v>
      </c>
    </row>
    <row r="544" spans="1:9" x14ac:dyDescent="0.2">
      <c r="A544" s="203">
        <v>109</v>
      </c>
      <c r="B544" s="203" t="s">
        <v>237</v>
      </c>
      <c r="C544" s="203"/>
      <c r="E544" s="203" t="s">
        <v>119</v>
      </c>
      <c r="G544" s="203">
        <v>327</v>
      </c>
      <c r="H544" s="203" t="s">
        <v>14</v>
      </c>
      <c r="I544" s="203">
        <v>0.33435582822085891</v>
      </c>
    </row>
    <row r="545" spans="1:9" x14ac:dyDescent="0.2">
      <c r="A545" s="203"/>
      <c r="C545" s="203"/>
      <c r="E545" s="203" t="s">
        <v>122</v>
      </c>
      <c r="G545" s="203">
        <v>978</v>
      </c>
      <c r="H545" s="203" t="s">
        <v>15</v>
      </c>
      <c r="I545" s="203">
        <v>1</v>
      </c>
    </row>
    <row r="546" spans="1:9" x14ac:dyDescent="0.2">
      <c r="A546" s="203"/>
      <c r="C546" s="203"/>
    </row>
    <row r="547" spans="1:9" x14ac:dyDescent="0.2">
      <c r="A547" s="203">
        <v>110</v>
      </c>
      <c r="B547" s="203" t="s">
        <v>238</v>
      </c>
      <c r="C547" s="203"/>
      <c r="E547" s="203" t="s">
        <v>117</v>
      </c>
      <c r="G547" s="203">
        <v>328</v>
      </c>
      <c r="H547" s="203" t="s">
        <v>12</v>
      </c>
      <c r="I547" s="203">
        <v>0.33232016210739618</v>
      </c>
    </row>
    <row r="548" spans="1:9" x14ac:dyDescent="0.2">
      <c r="A548" s="203">
        <v>110</v>
      </c>
      <c r="B548" s="203" t="s">
        <v>238</v>
      </c>
      <c r="C548" s="203"/>
      <c r="E548" s="203" t="s">
        <v>118</v>
      </c>
      <c r="G548" s="203">
        <v>329</v>
      </c>
      <c r="H548" s="203" t="s">
        <v>13</v>
      </c>
      <c r="I548" s="203">
        <v>0.33333333333333331</v>
      </c>
    </row>
    <row r="549" spans="1:9" x14ac:dyDescent="0.2">
      <c r="A549" s="203">
        <v>110</v>
      </c>
      <c r="B549" s="203" t="s">
        <v>238</v>
      </c>
      <c r="C549" s="203"/>
      <c r="E549" s="203" t="s">
        <v>119</v>
      </c>
      <c r="G549" s="203">
        <v>330</v>
      </c>
      <c r="H549" s="203" t="s">
        <v>14</v>
      </c>
      <c r="I549" s="203">
        <v>0.33434650455927051</v>
      </c>
    </row>
    <row r="550" spans="1:9" x14ac:dyDescent="0.2">
      <c r="A550" s="203"/>
      <c r="C550" s="203"/>
      <c r="E550" s="203" t="s">
        <v>122</v>
      </c>
      <c r="G550" s="203">
        <v>987</v>
      </c>
      <c r="H550" s="203" t="s">
        <v>15</v>
      </c>
      <c r="I550" s="203">
        <v>1</v>
      </c>
    </row>
    <row r="551" spans="1:9" x14ac:dyDescent="0.2">
      <c r="A551" s="203"/>
      <c r="C551" s="203"/>
    </row>
    <row r="552" spans="1:9" x14ac:dyDescent="0.2">
      <c r="A552" s="203">
        <v>111</v>
      </c>
      <c r="B552" s="203" t="s">
        <v>239</v>
      </c>
      <c r="C552" s="203"/>
      <c r="E552" s="203" t="s">
        <v>117</v>
      </c>
      <c r="G552" s="203">
        <v>331</v>
      </c>
      <c r="H552" s="203" t="s">
        <v>12</v>
      </c>
      <c r="I552" s="203">
        <v>0.33232931726907633</v>
      </c>
    </row>
    <row r="553" spans="1:9" x14ac:dyDescent="0.2">
      <c r="A553" s="203">
        <v>111</v>
      </c>
      <c r="B553" s="203" t="s">
        <v>239</v>
      </c>
      <c r="C553" s="203"/>
      <c r="E553" s="203" t="s">
        <v>118</v>
      </c>
      <c r="G553" s="203">
        <v>332</v>
      </c>
      <c r="H553" s="203" t="s">
        <v>13</v>
      </c>
      <c r="I553" s="203">
        <v>0.33333333333333331</v>
      </c>
    </row>
    <row r="554" spans="1:9" x14ac:dyDescent="0.2">
      <c r="A554" s="203">
        <v>111</v>
      </c>
      <c r="B554" s="203" t="s">
        <v>239</v>
      </c>
      <c r="C554" s="203"/>
      <c r="E554" s="203" t="s">
        <v>119</v>
      </c>
      <c r="G554" s="203">
        <v>333</v>
      </c>
      <c r="H554" s="203" t="s">
        <v>14</v>
      </c>
      <c r="I554" s="203">
        <v>0.33433734939759036</v>
      </c>
    </row>
    <row r="555" spans="1:9" x14ac:dyDescent="0.2">
      <c r="A555" s="203"/>
      <c r="C555" s="203"/>
      <c r="E555" s="203" t="s">
        <v>122</v>
      </c>
      <c r="G555" s="203">
        <v>996</v>
      </c>
      <c r="H555" s="203" t="s">
        <v>15</v>
      </c>
      <c r="I555" s="203">
        <v>1</v>
      </c>
    </row>
    <row r="556" spans="1:9" x14ac:dyDescent="0.2">
      <c r="A556" s="203"/>
      <c r="C556" s="203"/>
    </row>
    <row r="557" spans="1:9" x14ac:dyDescent="0.2">
      <c r="A557" s="203">
        <v>112</v>
      </c>
      <c r="B557" s="203" t="s">
        <v>240</v>
      </c>
      <c r="C557" s="203"/>
      <c r="E557" s="203" t="s">
        <v>117</v>
      </c>
      <c r="G557" s="203">
        <v>334</v>
      </c>
      <c r="H557" s="203" t="s">
        <v>12</v>
      </c>
      <c r="I557" s="203">
        <v>0.33233830845771145</v>
      </c>
    </row>
    <row r="558" spans="1:9" x14ac:dyDescent="0.2">
      <c r="A558" s="203">
        <v>112</v>
      </c>
      <c r="B558" s="203" t="s">
        <v>240</v>
      </c>
      <c r="C558" s="203"/>
      <c r="E558" s="203" t="s">
        <v>118</v>
      </c>
      <c r="G558" s="203">
        <v>335</v>
      </c>
      <c r="H558" s="203" t="s">
        <v>13</v>
      </c>
      <c r="I558" s="203">
        <v>0.33333333333333331</v>
      </c>
    </row>
    <row r="559" spans="1:9" x14ac:dyDescent="0.2">
      <c r="A559" s="203">
        <v>112</v>
      </c>
      <c r="B559" s="203" t="s">
        <v>240</v>
      </c>
      <c r="C559" s="203"/>
      <c r="E559" s="203" t="s">
        <v>119</v>
      </c>
      <c r="G559" s="203">
        <v>336</v>
      </c>
      <c r="H559" s="203" t="s">
        <v>14</v>
      </c>
      <c r="I559" s="203">
        <v>0.33432835820895523</v>
      </c>
    </row>
    <row r="560" spans="1:9" x14ac:dyDescent="0.2">
      <c r="A560" s="203"/>
      <c r="C560" s="203"/>
      <c r="E560" s="203" t="s">
        <v>122</v>
      </c>
      <c r="G560" s="203">
        <v>1005</v>
      </c>
      <c r="H560" s="203" t="s">
        <v>15</v>
      </c>
      <c r="I560" s="203">
        <v>1</v>
      </c>
    </row>
    <row r="561" spans="1:9" x14ac:dyDescent="0.2">
      <c r="A561" s="203"/>
      <c r="C561" s="203"/>
    </row>
    <row r="562" spans="1:9" x14ac:dyDescent="0.2">
      <c r="A562" s="203">
        <v>113</v>
      </c>
      <c r="B562" s="203" t="s">
        <v>241</v>
      </c>
      <c r="C562" s="203"/>
      <c r="E562" s="203" t="s">
        <v>117</v>
      </c>
      <c r="G562" s="203">
        <v>337</v>
      </c>
      <c r="H562" s="203" t="s">
        <v>12</v>
      </c>
      <c r="I562" s="203">
        <v>0.33234714003944771</v>
      </c>
    </row>
    <row r="563" spans="1:9" x14ac:dyDescent="0.2">
      <c r="A563" s="203">
        <v>113</v>
      </c>
      <c r="B563" s="203" t="s">
        <v>241</v>
      </c>
      <c r="C563" s="203"/>
      <c r="E563" s="203" t="s">
        <v>118</v>
      </c>
      <c r="G563" s="203">
        <v>338</v>
      </c>
      <c r="H563" s="203" t="s">
        <v>13</v>
      </c>
      <c r="I563" s="203">
        <v>0.33333333333333331</v>
      </c>
    </row>
    <row r="564" spans="1:9" x14ac:dyDescent="0.2">
      <c r="A564" s="203">
        <v>113</v>
      </c>
      <c r="B564" s="203" t="s">
        <v>241</v>
      </c>
      <c r="C564" s="203"/>
      <c r="E564" s="203" t="s">
        <v>119</v>
      </c>
      <c r="G564" s="203">
        <v>339</v>
      </c>
      <c r="H564" s="203" t="s">
        <v>14</v>
      </c>
      <c r="I564" s="203">
        <v>0.33431952662721892</v>
      </c>
    </row>
    <row r="565" spans="1:9" x14ac:dyDescent="0.2">
      <c r="A565" s="203"/>
      <c r="C565" s="203"/>
      <c r="E565" s="203" t="s">
        <v>122</v>
      </c>
      <c r="G565" s="203">
        <v>1014</v>
      </c>
      <c r="H565" s="203" t="s">
        <v>15</v>
      </c>
      <c r="I565" s="203">
        <v>1</v>
      </c>
    </row>
    <row r="566" spans="1:9" x14ac:dyDescent="0.2">
      <c r="A566" s="203"/>
      <c r="C566" s="203"/>
    </row>
    <row r="567" spans="1:9" x14ac:dyDescent="0.2">
      <c r="A567" s="203">
        <v>114</v>
      </c>
      <c r="B567" s="203" t="s">
        <v>242</v>
      </c>
      <c r="C567" s="203"/>
      <c r="E567" s="203" t="s">
        <v>117</v>
      </c>
      <c r="G567" s="203">
        <v>340</v>
      </c>
      <c r="H567" s="203" t="s">
        <v>12</v>
      </c>
      <c r="I567" s="203">
        <v>0.33235581622678395</v>
      </c>
    </row>
    <row r="568" spans="1:9" x14ac:dyDescent="0.2">
      <c r="A568" s="203">
        <v>114</v>
      </c>
      <c r="B568" s="203" t="s">
        <v>242</v>
      </c>
      <c r="C568" s="203"/>
      <c r="E568" s="203" t="s">
        <v>118</v>
      </c>
      <c r="G568" s="203">
        <v>341</v>
      </c>
      <c r="H568" s="203" t="s">
        <v>13</v>
      </c>
      <c r="I568" s="203">
        <v>0.33333333333333331</v>
      </c>
    </row>
    <row r="569" spans="1:9" x14ac:dyDescent="0.2">
      <c r="A569" s="203">
        <v>114</v>
      </c>
      <c r="B569" s="203" t="s">
        <v>242</v>
      </c>
      <c r="C569" s="203"/>
      <c r="E569" s="203" t="s">
        <v>119</v>
      </c>
      <c r="G569" s="203">
        <v>342</v>
      </c>
      <c r="H569" s="203" t="s">
        <v>14</v>
      </c>
      <c r="I569" s="203">
        <v>0.33431085043988268</v>
      </c>
    </row>
    <row r="570" spans="1:9" x14ac:dyDescent="0.2">
      <c r="A570" s="203"/>
      <c r="C570" s="203"/>
      <c r="E570" s="203" t="s">
        <v>122</v>
      </c>
      <c r="G570" s="203">
        <v>1023</v>
      </c>
      <c r="H570" s="203" t="s">
        <v>15</v>
      </c>
      <c r="I570" s="203">
        <v>1</v>
      </c>
    </row>
    <row r="571" spans="1:9" x14ac:dyDescent="0.2">
      <c r="A571" s="203"/>
      <c r="C571" s="203"/>
    </row>
    <row r="572" spans="1:9" x14ac:dyDescent="0.2">
      <c r="A572" s="203">
        <v>115</v>
      </c>
      <c r="B572" s="203" t="s">
        <v>243</v>
      </c>
      <c r="C572" s="203"/>
      <c r="E572" s="203" t="s">
        <v>117</v>
      </c>
      <c r="G572" s="203">
        <v>343</v>
      </c>
      <c r="H572" s="203" t="s">
        <v>12</v>
      </c>
      <c r="I572" s="203">
        <v>0.3323643410852713</v>
      </c>
    </row>
    <row r="573" spans="1:9" x14ac:dyDescent="0.2">
      <c r="A573" s="203">
        <v>115</v>
      </c>
      <c r="B573" s="203" t="s">
        <v>243</v>
      </c>
      <c r="C573" s="203"/>
      <c r="E573" s="203" t="s">
        <v>118</v>
      </c>
      <c r="G573" s="203">
        <v>344</v>
      </c>
      <c r="H573" s="203" t="s">
        <v>13</v>
      </c>
      <c r="I573" s="203">
        <v>0.33333333333333331</v>
      </c>
    </row>
    <row r="574" spans="1:9" x14ac:dyDescent="0.2">
      <c r="A574" s="203">
        <v>115</v>
      </c>
      <c r="B574" s="203" t="s">
        <v>243</v>
      </c>
      <c r="C574" s="203"/>
      <c r="E574" s="203" t="s">
        <v>119</v>
      </c>
      <c r="G574" s="203">
        <v>345</v>
      </c>
      <c r="H574" s="203" t="s">
        <v>14</v>
      </c>
      <c r="I574" s="203">
        <v>0.33430232558139533</v>
      </c>
    </row>
    <row r="575" spans="1:9" x14ac:dyDescent="0.2">
      <c r="A575" s="203"/>
      <c r="C575" s="203"/>
      <c r="E575" s="203" t="s">
        <v>122</v>
      </c>
      <c r="G575" s="203">
        <v>1032</v>
      </c>
      <c r="H575" s="203" t="s">
        <v>15</v>
      </c>
      <c r="I575" s="203">
        <v>1</v>
      </c>
    </row>
    <row r="576" spans="1:9" x14ac:dyDescent="0.2">
      <c r="A576" s="203"/>
      <c r="C576" s="203"/>
    </row>
    <row r="577" spans="1:9" x14ac:dyDescent="0.2">
      <c r="A577" s="203">
        <v>116</v>
      </c>
      <c r="B577" s="203" t="s">
        <v>244</v>
      </c>
      <c r="C577" s="203"/>
      <c r="E577" s="203" t="s">
        <v>117</v>
      </c>
      <c r="G577" s="203">
        <v>346</v>
      </c>
      <c r="H577" s="203" t="s">
        <v>12</v>
      </c>
      <c r="I577" s="203">
        <v>0.3323727185398655</v>
      </c>
    </row>
    <row r="578" spans="1:9" x14ac:dyDescent="0.2">
      <c r="A578" s="203">
        <v>116</v>
      </c>
      <c r="B578" s="203" t="s">
        <v>244</v>
      </c>
      <c r="C578" s="203"/>
      <c r="E578" s="203" t="s">
        <v>118</v>
      </c>
      <c r="G578" s="203">
        <v>347</v>
      </c>
      <c r="H578" s="203" t="s">
        <v>13</v>
      </c>
      <c r="I578" s="203">
        <v>0.33333333333333331</v>
      </c>
    </row>
    <row r="579" spans="1:9" x14ac:dyDescent="0.2">
      <c r="A579" s="203">
        <v>116</v>
      </c>
      <c r="B579" s="203" t="s">
        <v>244</v>
      </c>
      <c r="C579" s="203"/>
      <c r="E579" s="203" t="s">
        <v>119</v>
      </c>
      <c r="G579" s="203">
        <v>348</v>
      </c>
      <c r="H579" s="203" t="s">
        <v>14</v>
      </c>
      <c r="I579" s="203">
        <v>0.33429394812680113</v>
      </c>
    </row>
    <row r="580" spans="1:9" x14ac:dyDescent="0.2">
      <c r="A580" s="203"/>
      <c r="C580" s="203"/>
      <c r="E580" s="203" t="s">
        <v>122</v>
      </c>
      <c r="G580" s="203">
        <v>1041</v>
      </c>
      <c r="H580" s="203" t="s">
        <v>15</v>
      </c>
      <c r="I580" s="203">
        <v>0.99999999999999989</v>
      </c>
    </row>
    <row r="581" spans="1:9" x14ac:dyDescent="0.2">
      <c r="A581" s="203"/>
      <c r="C581" s="203"/>
    </row>
    <row r="582" spans="1:9" x14ac:dyDescent="0.2">
      <c r="A582" s="203">
        <v>117</v>
      </c>
      <c r="B582" s="203" t="s">
        <v>245</v>
      </c>
      <c r="C582" s="203"/>
      <c r="E582" s="203" t="s">
        <v>117</v>
      </c>
      <c r="G582" s="203">
        <v>349</v>
      </c>
      <c r="H582" s="203" t="s">
        <v>12</v>
      </c>
      <c r="I582" s="203">
        <v>0.33238095238095239</v>
      </c>
    </row>
    <row r="583" spans="1:9" x14ac:dyDescent="0.2">
      <c r="A583" s="203">
        <v>117</v>
      </c>
      <c r="B583" s="203" t="s">
        <v>245</v>
      </c>
      <c r="C583" s="203"/>
      <c r="E583" s="203" t="s">
        <v>118</v>
      </c>
      <c r="G583" s="203">
        <v>350</v>
      </c>
      <c r="H583" s="203" t="s">
        <v>13</v>
      </c>
      <c r="I583" s="203">
        <v>0.33333333333333331</v>
      </c>
    </row>
    <row r="584" spans="1:9" x14ac:dyDescent="0.2">
      <c r="A584" s="203">
        <v>117</v>
      </c>
      <c r="B584" s="203" t="s">
        <v>245</v>
      </c>
      <c r="C584" s="203"/>
      <c r="E584" s="203" t="s">
        <v>119</v>
      </c>
      <c r="G584" s="203">
        <v>351</v>
      </c>
      <c r="H584" s="203" t="s">
        <v>14</v>
      </c>
      <c r="I584" s="203">
        <v>0.3342857142857143</v>
      </c>
    </row>
    <row r="585" spans="1:9" x14ac:dyDescent="0.2">
      <c r="A585" s="203"/>
      <c r="C585" s="203"/>
      <c r="E585" s="203" t="s">
        <v>122</v>
      </c>
      <c r="G585" s="203">
        <v>1050</v>
      </c>
      <c r="H585" s="203" t="s">
        <v>15</v>
      </c>
      <c r="I585" s="203">
        <v>1</v>
      </c>
    </row>
    <row r="586" spans="1:9" x14ac:dyDescent="0.2">
      <c r="A586" s="203"/>
      <c r="C586" s="203"/>
    </row>
    <row r="587" spans="1:9" x14ac:dyDescent="0.2">
      <c r="A587" s="203">
        <v>118</v>
      </c>
      <c r="B587" s="203" t="s">
        <v>246</v>
      </c>
      <c r="C587" s="203"/>
      <c r="E587" s="203" t="s">
        <v>117</v>
      </c>
      <c r="G587" s="203">
        <v>352</v>
      </c>
      <c r="H587" s="203" t="s">
        <v>12</v>
      </c>
      <c r="I587" s="203">
        <v>0.3323890462700661</v>
      </c>
    </row>
    <row r="588" spans="1:9" x14ac:dyDescent="0.2">
      <c r="A588" s="203">
        <v>118</v>
      </c>
      <c r="B588" s="203" t="s">
        <v>246</v>
      </c>
      <c r="C588" s="203"/>
      <c r="E588" s="203" t="s">
        <v>118</v>
      </c>
      <c r="G588" s="203">
        <v>353</v>
      </c>
      <c r="H588" s="203" t="s">
        <v>13</v>
      </c>
      <c r="I588" s="203">
        <v>0.33333333333333331</v>
      </c>
    </row>
    <row r="589" spans="1:9" x14ac:dyDescent="0.2">
      <c r="A589" s="203">
        <v>118</v>
      </c>
      <c r="B589" s="203" t="s">
        <v>246</v>
      </c>
      <c r="C589" s="203"/>
      <c r="E589" s="203" t="s">
        <v>119</v>
      </c>
      <c r="G589" s="203">
        <v>354</v>
      </c>
      <c r="H589" s="203" t="s">
        <v>14</v>
      </c>
      <c r="I589" s="203">
        <v>0.33427762039660058</v>
      </c>
    </row>
    <row r="590" spans="1:9" x14ac:dyDescent="0.2">
      <c r="A590" s="203"/>
      <c r="C590" s="203"/>
      <c r="E590" s="203" t="s">
        <v>122</v>
      </c>
      <c r="G590" s="203">
        <v>1059</v>
      </c>
      <c r="H590" s="203" t="s">
        <v>15</v>
      </c>
      <c r="I590" s="203">
        <v>1</v>
      </c>
    </row>
    <row r="591" spans="1:9" x14ac:dyDescent="0.2">
      <c r="A591" s="203"/>
      <c r="C591" s="203"/>
    </row>
    <row r="592" spans="1:9" x14ac:dyDescent="0.2">
      <c r="A592" s="203">
        <v>119</v>
      </c>
      <c r="B592" s="203" t="s">
        <v>247</v>
      </c>
      <c r="C592" s="203"/>
      <c r="E592" s="203" t="s">
        <v>117</v>
      </c>
      <c r="G592" s="203">
        <v>355</v>
      </c>
      <c r="H592" s="203" t="s">
        <v>12</v>
      </c>
      <c r="I592" s="203">
        <v>0.33239700374531833</v>
      </c>
    </row>
    <row r="593" spans="1:9" x14ac:dyDescent="0.2">
      <c r="A593" s="203">
        <v>119</v>
      </c>
      <c r="B593" s="203" t="s">
        <v>247</v>
      </c>
      <c r="C593" s="203"/>
      <c r="E593" s="203" t="s">
        <v>118</v>
      </c>
      <c r="G593" s="203">
        <v>356</v>
      </c>
      <c r="H593" s="203" t="s">
        <v>13</v>
      </c>
      <c r="I593" s="203">
        <v>0.33333333333333331</v>
      </c>
    </row>
    <row r="594" spans="1:9" x14ac:dyDescent="0.2">
      <c r="A594" s="203">
        <v>119</v>
      </c>
      <c r="B594" s="203" t="s">
        <v>247</v>
      </c>
      <c r="C594" s="203"/>
      <c r="E594" s="203" t="s">
        <v>119</v>
      </c>
      <c r="G594" s="203">
        <v>357</v>
      </c>
      <c r="H594" s="203" t="s">
        <v>14</v>
      </c>
      <c r="I594" s="203">
        <v>0.3342696629213483</v>
      </c>
    </row>
    <row r="595" spans="1:9" x14ac:dyDescent="0.2">
      <c r="A595" s="203"/>
      <c r="C595" s="203"/>
      <c r="E595" s="203" t="s">
        <v>122</v>
      </c>
      <c r="G595" s="203">
        <v>1068</v>
      </c>
      <c r="H595" s="203" t="s">
        <v>15</v>
      </c>
      <c r="I595" s="203">
        <v>0.99999999999999989</v>
      </c>
    </row>
    <row r="596" spans="1:9" x14ac:dyDescent="0.2">
      <c r="A596" s="203"/>
      <c r="C596" s="203"/>
    </row>
    <row r="597" spans="1:9" x14ac:dyDescent="0.2">
      <c r="A597" s="203">
        <v>120</v>
      </c>
      <c r="B597" s="203" t="s">
        <v>248</v>
      </c>
      <c r="C597" s="203"/>
      <c r="E597" s="203" t="s">
        <v>117</v>
      </c>
      <c r="G597" s="203">
        <v>358</v>
      </c>
      <c r="H597" s="203" t="s">
        <v>12</v>
      </c>
      <c r="I597" s="203">
        <v>0.33240482822655526</v>
      </c>
    </row>
    <row r="598" spans="1:9" x14ac:dyDescent="0.2">
      <c r="A598" s="203">
        <v>120</v>
      </c>
      <c r="B598" s="203" t="s">
        <v>248</v>
      </c>
      <c r="C598" s="203"/>
      <c r="E598" s="203" t="s">
        <v>118</v>
      </c>
      <c r="G598" s="203">
        <v>359</v>
      </c>
      <c r="H598" s="203" t="s">
        <v>13</v>
      </c>
      <c r="I598" s="203">
        <v>0.33333333333333331</v>
      </c>
    </row>
    <row r="599" spans="1:9" x14ac:dyDescent="0.2">
      <c r="A599" s="203">
        <v>120</v>
      </c>
      <c r="B599" s="203" t="s">
        <v>248</v>
      </c>
      <c r="C599" s="203"/>
      <c r="E599" s="203" t="s">
        <v>119</v>
      </c>
      <c r="G599" s="203">
        <v>360</v>
      </c>
      <c r="H599" s="203" t="s">
        <v>14</v>
      </c>
      <c r="I599" s="203">
        <v>0.33426183844011143</v>
      </c>
    </row>
    <row r="600" spans="1:9" x14ac:dyDescent="0.2">
      <c r="A600" s="203"/>
      <c r="C600" s="203"/>
      <c r="E600" s="203" t="s">
        <v>122</v>
      </c>
      <c r="G600" s="203">
        <v>1077</v>
      </c>
      <c r="H600" s="203" t="s">
        <v>15</v>
      </c>
      <c r="I600" s="203">
        <v>1</v>
      </c>
    </row>
    <row r="601" spans="1:9" x14ac:dyDescent="0.2">
      <c r="A601" s="203"/>
      <c r="C601" s="203"/>
    </row>
    <row r="602" spans="1:9" x14ac:dyDescent="0.2">
      <c r="A602" s="203">
        <v>121</v>
      </c>
      <c r="B602" s="203" t="s">
        <v>249</v>
      </c>
      <c r="C602" s="203"/>
      <c r="E602" s="203" t="s">
        <v>117</v>
      </c>
      <c r="G602" s="203">
        <v>361</v>
      </c>
      <c r="H602" s="203" t="s">
        <v>12</v>
      </c>
      <c r="I602" s="203">
        <v>0.33241252302025781</v>
      </c>
    </row>
    <row r="603" spans="1:9" x14ac:dyDescent="0.2">
      <c r="A603" s="203">
        <v>121</v>
      </c>
      <c r="B603" s="203" t="s">
        <v>249</v>
      </c>
      <c r="C603" s="203"/>
      <c r="E603" s="203" t="s">
        <v>118</v>
      </c>
      <c r="G603" s="203">
        <v>362</v>
      </c>
      <c r="H603" s="203" t="s">
        <v>13</v>
      </c>
      <c r="I603" s="203">
        <v>0.33333333333333331</v>
      </c>
    </row>
    <row r="604" spans="1:9" x14ac:dyDescent="0.2">
      <c r="A604" s="203">
        <v>121</v>
      </c>
      <c r="B604" s="203" t="s">
        <v>249</v>
      </c>
      <c r="C604" s="203"/>
      <c r="E604" s="203" t="s">
        <v>119</v>
      </c>
      <c r="G604" s="203">
        <v>363</v>
      </c>
      <c r="H604" s="203" t="s">
        <v>14</v>
      </c>
      <c r="I604" s="203">
        <v>0.33425414364640882</v>
      </c>
    </row>
    <row r="605" spans="1:9" x14ac:dyDescent="0.2">
      <c r="A605" s="203"/>
      <c r="C605" s="203"/>
      <c r="E605" s="203" t="s">
        <v>122</v>
      </c>
      <c r="G605" s="203">
        <v>1086</v>
      </c>
      <c r="H605" s="203" t="s">
        <v>15</v>
      </c>
      <c r="I605" s="203">
        <v>1</v>
      </c>
    </row>
    <row r="606" spans="1:9" x14ac:dyDescent="0.2">
      <c r="A606" s="203"/>
      <c r="C606" s="203"/>
    </row>
    <row r="607" spans="1:9" x14ac:dyDescent="0.2">
      <c r="A607" s="203">
        <v>122</v>
      </c>
      <c r="B607" s="203" t="s">
        <v>250</v>
      </c>
      <c r="C607" s="203"/>
      <c r="E607" s="203" t="s">
        <v>117</v>
      </c>
      <c r="G607" s="203">
        <v>364</v>
      </c>
      <c r="H607" s="203" t="s">
        <v>12</v>
      </c>
      <c r="I607" s="203">
        <v>0.33242009132420092</v>
      </c>
    </row>
    <row r="608" spans="1:9" x14ac:dyDescent="0.2">
      <c r="A608" s="203">
        <v>122</v>
      </c>
      <c r="B608" s="203" t="s">
        <v>250</v>
      </c>
      <c r="C608" s="203"/>
      <c r="E608" s="203" t="s">
        <v>118</v>
      </c>
      <c r="G608" s="203">
        <v>365</v>
      </c>
      <c r="H608" s="203" t="s">
        <v>13</v>
      </c>
      <c r="I608" s="203">
        <v>0.33333333333333331</v>
      </c>
    </row>
    <row r="609" spans="1:9" x14ac:dyDescent="0.2">
      <c r="A609" s="203">
        <v>122</v>
      </c>
      <c r="B609" s="203" t="s">
        <v>250</v>
      </c>
      <c r="C609" s="203"/>
      <c r="E609" s="203" t="s">
        <v>119</v>
      </c>
      <c r="G609" s="203">
        <v>366</v>
      </c>
      <c r="H609" s="203" t="s">
        <v>14</v>
      </c>
      <c r="I609" s="203">
        <v>0.33424657534246577</v>
      </c>
    </row>
    <row r="610" spans="1:9" x14ac:dyDescent="0.2">
      <c r="A610" s="203"/>
      <c r="C610" s="203"/>
      <c r="E610" s="203" t="s">
        <v>122</v>
      </c>
      <c r="G610" s="203">
        <v>1095</v>
      </c>
      <c r="H610" s="203" t="s">
        <v>15</v>
      </c>
      <c r="I610" s="203">
        <v>1</v>
      </c>
    </row>
    <row r="611" spans="1:9" x14ac:dyDescent="0.2">
      <c r="A611" s="203"/>
      <c r="C611" s="203"/>
    </row>
    <row r="612" spans="1:9" x14ac:dyDescent="0.2">
      <c r="A612" s="203">
        <v>123</v>
      </c>
      <c r="B612" s="203" t="s">
        <v>251</v>
      </c>
      <c r="C612" s="203"/>
      <c r="E612" s="203" t="s">
        <v>117</v>
      </c>
      <c r="G612" s="203">
        <v>367</v>
      </c>
      <c r="H612" s="203" t="s">
        <v>12</v>
      </c>
      <c r="I612" s="203">
        <v>0.33242753623188404</v>
      </c>
    </row>
    <row r="613" spans="1:9" x14ac:dyDescent="0.2">
      <c r="A613" s="203">
        <v>123</v>
      </c>
      <c r="B613" s="203" t="s">
        <v>251</v>
      </c>
      <c r="C613" s="203"/>
      <c r="E613" s="203" t="s">
        <v>118</v>
      </c>
      <c r="G613" s="203">
        <v>368</v>
      </c>
      <c r="H613" s="203" t="s">
        <v>13</v>
      </c>
      <c r="I613" s="203">
        <v>0.33333333333333331</v>
      </c>
    </row>
    <row r="614" spans="1:9" x14ac:dyDescent="0.2">
      <c r="A614" s="203">
        <v>123</v>
      </c>
      <c r="B614" s="203" t="s">
        <v>251</v>
      </c>
      <c r="C614" s="203"/>
      <c r="E614" s="203" t="s">
        <v>119</v>
      </c>
      <c r="G614" s="203">
        <v>369</v>
      </c>
      <c r="H614" s="203" t="s">
        <v>14</v>
      </c>
      <c r="I614" s="203">
        <v>0.33423913043478259</v>
      </c>
    </row>
    <row r="615" spans="1:9" x14ac:dyDescent="0.2">
      <c r="A615" s="203"/>
      <c r="C615" s="203"/>
      <c r="E615" s="203" t="s">
        <v>122</v>
      </c>
      <c r="G615" s="203">
        <v>1104</v>
      </c>
      <c r="H615" s="203" t="s">
        <v>15</v>
      </c>
      <c r="I615" s="203">
        <v>0.99999999999999989</v>
      </c>
    </row>
    <row r="616" spans="1:9" x14ac:dyDescent="0.2">
      <c r="A616" s="203"/>
      <c r="C616" s="203"/>
    </row>
    <row r="617" spans="1:9" x14ac:dyDescent="0.2">
      <c r="A617" s="203">
        <v>124</v>
      </c>
      <c r="B617" s="203" t="s">
        <v>252</v>
      </c>
      <c r="C617" s="203"/>
      <c r="E617" s="203" t="s">
        <v>117</v>
      </c>
      <c r="G617" s="203">
        <v>370</v>
      </c>
      <c r="H617" s="203" t="s">
        <v>12</v>
      </c>
      <c r="I617" s="203">
        <v>0.33243486073674755</v>
      </c>
    </row>
    <row r="618" spans="1:9" x14ac:dyDescent="0.2">
      <c r="A618" s="203">
        <v>124</v>
      </c>
      <c r="B618" s="203" t="s">
        <v>252</v>
      </c>
      <c r="C618" s="203"/>
      <c r="E618" s="203" t="s">
        <v>118</v>
      </c>
      <c r="G618" s="203">
        <v>371</v>
      </c>
      <c r="H618" s="203" t="s">
        <v>13</v>
      </c>
      <c r="I618" s="203">
        <v>0.33333333333333331</v>
      </c>
    </row>
    <row r="619" spans="1:9" x14ac:dyDescent="0.2">
      <c r="A619" s="203">
        <v>124</v>
      </c>
      <c r="B619" s="203" t="s">
        <v>252</v>
      </c>
      <c r="C619" s="203"/>
      <c r="E619" s="203" t="s">
        <v>119</v>
      </c>
      <c r="G619" s="203">
        <v>372</v>
      </c>
      <c r="H619" s="203" t="s">
        <v>14</v>
      </c>
      <c r="I619" s="203">
        <v>0.33423180592991913</v>
      </c>
    </row>
    <row r="620" spans="1:9" x14ac:dyDescent="0.2">
      <c r="A620" s="203"/>
      <c r="C620" s="203"/>
      <c r="E620" s="203" t="s">
        <v>122</v>
      </c>
      <c r="G620" s="203">
        <v>1113</v>
      </c>
      <c r="H620" s="203" t="s">
        <v>15</v>
      </c>
      <c r="I620" s="203">
        <v>1</v>
      </c>
    </row>
    <row r="621" spans="1:9" x14ac:dyDescent="0.2">
      <c r="A621" s="203"/>
      <c r="C621" s="203"/>
    </row>
    <row r="622" spans="1:9" x14ac:dyDescent="0.2">
      <c r="A622" s="203">
        <v>125</v>
      </c>
      <c r="B622" s="203" t="s">
        <v>253</v>
      </c>
      <c r="C622" s="203"/>
      <c r="E622" s="203" t="s">
        <v>117</v>
      </c>
      <c r="G622" s="203">
        <v>373</v>
      </c>
      <c r="H622" s="203" t="s">
        <v>12</v>
      </c>
      <c r="I622" s="203">
        <v>0.3324420677361854</v>
      </c>
    </row>
    <row r="623" spans="1:9" x14ac:dyDescent="0.2">
      <c r="A623" s="203">
        <v>125</v>
      </c>
      <c r="B623" s="203" t="s">
        <v>253</v>
      </c>
      <c r="C623" s="203"/>
      <c r="E623" s="203" t="s">
        <v>118</v>
      </c>
      <c r="G623" s="203">
        <v>374</v>
      </c>
      <c r="H623" s="203" t="s">
        <v>13</v>
      </c>
      <c r="I623" s="203">
        <v>0.33333333333333331</v>
      </c>
    </row>
    <row r="624" spans="1:9" x14ac:dyDescent="0.2">
      <c r="A624" s="203">
        <v>125</v>
      </c>
      <c r="B624" s="203" t="s">
        <v>253</v>
      </c>
      <c r="C624" s="203"/>
      <c r="E624" s="203" t="s">
        <v>119</v>
      </c>
      <c r="G624" s="203">
        <v>375</v>
      </c>
      <c r="H624" s="203" t="s">
        <v>14</v>
      </c>
      <c r="I624" s="203">
        <v>0.33422459893048129</v>
      </c>
    </row>
    <row r="625" spans="1:9" x14ac:dyDescent="0.2">
      <c r="A625" s="203"/>
      <c r="C625" s="203"/>
      <c r="E625" s="203" t="s">
        <v>122</v>
      </c>
      <c r="G625" s="203">
        <v>1122</v>
      </c>
      <c r="H625" s="203" t="s">
        <v>15</v>
      </c>
      <c r="I625" s="203">
        <v>1</v>
      </c>
    </row>
    <row r="626" spans="1:9" x14ac:dyDescent="0.2">
      <c r="A626" s="203"/>
      <c r="C626" s="203"/>
    </row>
    <row r="627" spans="1:9" x14ac:dyDescent="0.2">
      <c r="A627" s="203">
        <v>126</v>
      </c>
      <c r="B627" s="203" t="s">
        <v>254</v>
      </c>
      <c r="C627" s="203"/>
      <c r="E627" s="203" t="s">
        <v>117</v>
      </c>
      <c r="G627" s="203">
        <v>376</v>
      </c>
      <c r="H627" s="203" t="s">
        <v>12</v>
      </c>
      <c r="I627" s="203">
        <v>0.33244916003536695</v>
      </c>
    </row>
    <row r="628" spans="1:9" x14ac:dyDescent="0.2">
      <c r="A628" s="203">
        <v>126</v>
      </c>
      <c r="B628" s="203" t="s">
        <v>254</v>
      </c>
      <c r="C628" s="203"/>
      <c r="E628" s="203" t="s">
        <v>118</v>
      </c>
      <c r="G628" s="203">
        <v>377</v>
      </c>
      <c r="H628" s="203" t="s">
        <v>13</v>
      </c>
      <c r="I628" s="203">
        <v>0.33333333333333331</v>
      </c>
    </row>
    <row r="629" spans="1:9" x14ac:dyDescent="0.2">
      <c r="A629" s="203">
        <v>126</v>
      </c>
      <c r="B629" s="203" t="s">
        <v>254</v>
      </c>
      <c r="C629" s="203"/>
      <c r="E629" s="203" t="s">
        <v>119</v>
      </c>
      <c r="G629" s="203">
        <v>378</v>
      </c>
      <c r="H629" s="203" t="s">
        <v>14</v>
      </c>
      <c r="I629" s="203">
        <v>0.33421750663129973</v>
      </c>
    </row>
    <row r="630" spans="1:9" x14ac:dyDescent="0.2">
      <c r="A630" s="203"/>
      <c r="C630" s="203"/>
      <c r="E630" s="203" t="s">
        <v>122</v>
      </c>
      <c r="G630" s="203">
        <v>1131</v>
      </c>
      <c r="H630" s="203" t="s">
        <v>15</v>
      </c>
      <c r="I630" s="203">
        <v>1</v>
      </c>
    </row>
    <row r="631" spans="1:9" x14ac:dyDescent="0.2">
      <c r="A631" s="203"/>
      <c r="C631" s="203"/>
    </row>
    <row r="632" spans="1:9" x14ac:dyDescent="0.2">
      <c r="A632" s="203">
        <v>127</v>
      </c>
      <c r="B632" s="203" t="s">
        <v>255</v>
      </c>
      <c r="C632" s="203"/>
      <c r="E632" s="203" t="s">
        <v>117</v>
      </c>
      <c r="G632" s="203">
        <v>379</v>
      </c>
      <c r="H632" s="203" t="s">
        <v>12</v>
      </c>
      <c r="I632" s="203">
        <v>0.33245614035087717</v>
      </c>
    </row>
    <row r="633" spans="1:9" x14ac:dyDescent="0.2">
      <c r="A633" s="203">
        <v>127</v>
      </c>
      <c r="B633" s="203" t="s">
        <v>255</v>
      </c>
      <c r="C633" s="203"/>
      <c r="E633" s="203" t="s">
        <v>118</v>
      </c>
      <c r="G633" s="203">
        <v>380</v>
      </c>
      <c r="H633" s="203" t="s">
        <v>13</v>
      </c>
      <c r="I633" s="203">
        <v>0.33333333333333331</v>
      </c>
    </row>
    <row r="634" spans="1:9" x14ac:dyDescent="0.2">
      <c r="A634" s="203">
        <v>127</v>
      </c>
      <c r="B634" s="203" t="s">
        <v>255</v>
      </c>
      <c r="C634" s="203"/>
      <c r="E634" s="203" t="s">
        <v>119</v>
      </c>
      <c r="G634" s="203">
        <v>381</v>
      </c>
      <c r="H634" s="203" t="s">
        <v>14</v>
      </c>
      <c r="I634" s="203">
        <v>0.33421052631578946</v>
      </c>
    </row>
    <row r="635" spans="1:9" x14ac:dyDescent="0.2">
      <c r="A635" s="203"/>
      <c r="C635" s="203"/>
      <c r="E635" s="203" t="s">
        <v>122</v>
      </c>
      <c r="G635" s="203">
        <v>1140</v>
      </c>
      <c r="H635" s="203" t="s">
        <v>15</v>
      </c>
      <c r="I635" s="203">
        <v>1</v>
      </c>
    </row>
    <row r="636" spans="1:9" x14ac:dyDescent="0.2">
      <c r="A636" s="203"/>
      <c r="C636" s="203"/>
    </row>
    <row r="637" spans="1:9" x14ac:dyDescent="0.2">
      <c r="A637" s="203">
        <v>128</v>
      </c>
      <c r="B637" s="203" t="s">
        <v>256</v>
      </c>
      <c r="C637" s="203"/>
      <c r="E637" s="203" t="s">
        <v>117</v>
      </c>
      <c r="G637" s="203">
        <v>382</v>
      </c>
      <c r="H637" s="203" t="s">
        <v>12</v>
      </c>
      <c r="I637" s="203">
        <v>0.33246301131418626</v>
      </c>
    </row>
    <row r="638" spans="1:9" x14ac:dyDescent="0.2">
      <c r="A638" s="203">
        <v>128</v>
      </c>
      <c r="B638" s="203" t="s">
        <v>256</v>
      </c>
      <c r="C638" s="203"/>
      <c r="E638" s="203" t="s">
        <v>118</v>
      </c>
      <c r="G638" s="203">
        <v>383</v>
      </c>
      <c r="H638" s="203" t="s">
        <v>13</v>
      </c>
      <c r="I638" s="203">
        <v>0.33333333333333331</v>
      </c>
    </row>
    <row r="639" spans="1:9" x14ac:dyDescent="0.2">
      <c r="A639" s="203">
        <v>128</v>
      </c>
      <c r="B639" s="203" t="s">
        <v>256</v>
      </c>
      <c r="C639" s="203"/>
      <c r="E639" s="203" t="s">
        <v>119</v>
      </c>
      <c r="G639" s="203">
        <v>384</v>
      </c>
      <c r="H639" s="203" t="s">
        <v>14</v>
      </c>
      <c r="I639" s="203">
        <v>0.33420365535248042</v>
      </c>
    </row>
    <row r="640" spans="1:9" x14ac:dyDescent="0.2">
      <c r="A640" s="203"/>
      <c r="C640" s="203"/>
      <c r="E640" s="203" t="s">
        <v>122</v>
      </c>
      <c r="G640" s="203">
        <v>1149</v>
      </c>
      <c r="H640" s="203" t="s">
        <v>15</v>
      </c>
      <c r="I640" s="203">
        <v>1</v>
      </c>
    </row>
    <row r="641" spans="1:9" x14ac:dyDescent="0.2">
      <c r="A641" s="203"/>
      <c r="C641" s="203"/>
    </row>
    <row r="642" spans="1:9" x14ac:dyDescent="0.2">
      <c r="A642" s="203">
        <v>129</v>
      </c>
      <c r="B642" s="203" t="s">
        <v>257</v>
      </c>
      <c r="C642" s="203"/>
      <c r="E642" s="203" t="s">
        <v>117</v>
      </c>
      <c r="G642" s="203">
        <v>385</v>
      </c>
      <c r="H642" s="203" t="s">
        <v>12</v>
      </c>
      <c r="I642" s="203">
        <v>0.33246977547495682</v>
      </c>
    </row>
    <row r="643" spans="1:9" x14ac:dyDescent="0.2">
      <c r="A643" s="203">
        <v>129</v>
      </c>
      <c r="B643" s="203" t="s">
        <v>257</v>
      </c>
      <c r="C643" s="203"/>
      <c r="E643" s="203" t="s">
        <v>118</v>
      </c>
      <c r="G643" s="203">
        <v>386</v>
      </c>
      <c r="H643" s="203" t="s">
        <v>13</v>
      </c>
      <c r="I643" s="203">
        <v>0.33333333333333331</v>
      </c>
    </row>
    <row r="644" spans="1:9" x14ac:dyDescent="0.2">
      <c r="A644" s="203">
        <v>129</v>
      </c>
      <c r="B644" s="203" t="s">
        <v>257</v>
      </c>
      <c r="C644" s="203"/>
      <c r="E644" s="203" t="s">
        <v>119</v>
      </c>
      <c r="G644" s="203">
        <v>387</v>
      </c>
      <c r="H644" s="203" t="s">
        <v>14</v>
      </c>
      <c r="I644" s="203">
        <v>0.33419689119170987</v>
      </c>
    </row>
    <row r="645" spans="1:9" x14ac:dyDescent="0.2">
      <c r="A645" s="203"/>
      <c r="C645" s="203"/>
      <c r="E645" s="203" t="s">
        <v>122</v>
      </c>
      <c r="G645" s="203">
        <v>1158</v>
      </c>
      <c r="H645" s="203" t="s">
        <v>15</v>
      </c>
      <c r="I645" s="203">
        <v>1</v>
      </c>
    </row>
    <row r="646" spans="1:9" x14ac:dyDescent="0.2">
      <c r="A646" s="203"/>
      <c r="C646" s="203"/>
    </row>
    <row r="647" spans="1:9" x14ac:dyDescent="0.2">
      <c r="A647" s="203">
        <v>130</v>
      </c>
      <c r="B647" s="203" t="s">
        <v>258</v>
      </c>
      <c r="C647" s="203"/>
      <c r="E647" s="203" t="s">
        <v>117</v>
      </c>
      <c r="G647" s="203">
        <v>388</v>
      </c>
      <c r="H647" s="203" t="s">
        <v>12</v>
      </c>
      <c r="I647" s="203">
        <v>0.33247643530419879</v>
      </c>
    </row>
    <row r="648" spans="1:9" x14ac:dyDescent="0.2">
      <c r="A648" s="203">
        <v>130</v>
      </c>
      <c r="B648" s="203" t="s">
        <v>258</v>
      </c>
      <c r="C648" s="203"/>
      <c r="E648" s="203" t="s">
        <v>118</v>
      </c>
      <c r="G648" s="203">
        <v>389</v>
      </c>
      <c r="H648" s="203" t="s">
        <v>13</v>
      </c>
      <c r="I648" s="203">
        <v>0.33333333333333331</v>
      </c>
    </row>
    <row r="649" spans="1:9" x14ac:dyDescent="0.2">
      <c r="A649" s="203">
        <v>130</v>
      </c>
      <c r="B649" s="203" t="s">
        <v>258</v>
      </c>
      <c r="C649" s="203"/>
      <c r="E649" s="203" t="s">
        <v>119</v>
      </c>
      <c r="G649" s="203">
        <v>390</v>
      </c>
      <c r="H649" s="203" t="s">
        <v>14</v>
      </c>
      <c r="I649" s="203">
        <v>0.33419023136246789</v>
      </c>
    </row>
    <row r="650" spans="1:9" x14ac:dyDescent="0.2">
      <c r="A650" s="203"/>
      <c r="C650" s="203"/>
      <c r="E650" s="203" t="s">
        <v>122</v>
      </c>
      <c r="G650" s="203">
        <v>1167</v>
      </c>
      <c r="H650" s="203" t="s">
        <v>15</v>
      </c>
      <c r="I650" s="203">
        <v>1</v>
      </c>
    </row>
    <row r="652" spans="1:9" x14ac:dyDescent="0.2">
      <c r="A652" s="204">
        <v>131</v>
      </c>
      <c r="B652" s="203" t="s">
        <v>259</v>
      </c>
      <c r="E652" s="203" t="s">
        <v>117</v>
      </c>
      <c r="G652" s="203">
        <v>391</v>
      </c>
      <c r="H652" s="203" t="s">
        <v>12</v>
      </c>
      <c r="I652" s="203">
        <v>0.33248299319727892</v>
      </c>
    </row>
    <row r="653" spans="1:9" x14ac:dyDescent="0.2">
      <c r="A653" s="204">
        <v>131</v>
      </c>
      <c r="B653" s="203" t="s">
        <v>259</v>
      </c>
      <c r="E653" s="203" t="s">
        <v>118</v>
      </c>
      <c r="G653" s="203">
        <v>392</v>
      </c>
      <c r="H653" s="203" t="s">
        <v>13</v>
      </c>
      <c r="I653" s="203">
        <v>0.33333333333333331</v>
      </c>
    </row>
    <row r="654" spans="1:9" x14ac:dyDescent="0.2">
      <c r="A654" s="204">
        <v>131</v>
      </c>
      <c r="B654" s="203" t="s">
        <v>259</v>
      </c>
      <c r="E654" s="203" t="s">
        <v>119</v>
      </c>
      <c r="G654" s="203">
        <v>393</v>
      </c>
      <c r="H654" s="203" t="s">
        <v>14</v>
      </c>
      <c r="I654" s="203">
        <v>0.33418367346938777</v>
      </c>
    </row>
    <row r="655" spans="1:9" x14ac:dyDescent="0.2">
      <c r="E655" s="203" t="s">
        <v>122</v>
      </c>
      <c r="G655" s="203">
        <v>1176</v>
      </c>
      <c r="H655" s="203" t="s">
        <v>15</v>
      </c>
      <c r="I655" s="203">
        <v>1</v>
      </c>
    </row>
    <row r="657" spans="1:9" x14ac:dyDescent="0.2">
      <c r="A657" s="204">
        <v>132</v>
      </c>
      <c r="B657" s="203" t="s">
        <v>260</v>
      </c>
      <c r="E657" s="203" t="s">
        <v>117</v>
      </c>
      <c r="G657" s="203">
        <v>394</v>
      </c>
      <c r="H657" s="203" t="s">
        <v>12</v>
      </c>
      <c r="I657" s="203">
        <v>0.33248945147679326</v>
      </c>
    </row>
    <row r="658" spans="1:9" x14ac:dyDescent="0.2">
      <c r="A658" s="204">
        <v>132</v>
      </c>
      <c r="B658" s="203" t="s">
        <v>260</v>
      </c>
      <c r="E658" s="203" t="s">
        <v>118</v>
      </c>
      <c r="G658" s="203">
        <v>395</v>
      </c>
      <c r="H658" s="203" t="s">
        <v>13</v>
      </c>
      <c r="I658" s="203">
        <v>0.33333333333333331</v>
      </c>
    </row>
    <row r="659" spans="1:9" x14ac:dyDescent="0.2">
      <c r="A659" s="204">
        <v>132</v>
      </c>
      <c r="B659" s="203" t="s">
        <v>260</v>
      </c>
      <c r="E659" s="203" t="s">
        <v>119</v>
      </c>
      <c r="G659" s="203">
        <v>396</v>
      </c>
      <c r="H659" s="203" t="s">
        <v>14</v>
      </c>
      <c r="I659" s="203">
        <v>0.33417721518987342</v>
      </c>
    </row>
    <row r="660" spans="1:9" x14ac:dyDescent="0.2">
      <c r="E660" s="203" t="s">
        <v>122</v>
      </c>
      <c r="G660" s="203">
        <v>1185</v>
      </c>
      <c r="H660" s="203" t="s">
        <v>15</v>
      </c>
      <c r="I660" s="203">
        <v>1</v>
      </c>
    </row>
    <row r="662" spans="1:9" x14ac:dyDescent="0.2">
      <c r="A662" s="204">
        <v>133</v>
      </c>
      <c r="B662" s="203" t="s">
        <v>261</v>
      </c>
      <c r="E662" s="203" t="s">
        <v>117</v>
      </c>
      <c r="G662" s="203">
        <v>397</v>
      </c>
      <c r="H662" s="203" t="s">
        <v>12</v>
      </c>
      <c r="I662" s="203">
        <v>0.3324958123953099</v>
      </c>
    </row>
    <row r="663" spans="1:9" x14ac:dyDescent="0.2">
      <c r="A663" s="204">
        <v>133</v>
      </c>
      <c r="B663" s="203" t="s">
        <v>261</v>
      </c>
      <c r="E663" s="203" t="s">
        <v>118</v>
      </c>
      <c r="G663" s="203">
        <v>398</v>
      </c>
      <c r="H663" s="203" t="s">
        <v>13</v>
      </c>
      <c r="I663" s="203">
        <v>0.33333333333333331</v>
      </c>
    </row>
    <row r="664" spans="1:9" x14ac:dyDescent="0.2">
      <c r="A664" s="204">
        <v>133</v>
      </c>
      <c r="B664" s="203" t="s">
        <v>261</v>
      </c>
      <c r="E664" s="203" t="s">
        <v>119</v>
      </c>
      <c r="G664" s="203">
        <v>399</v>
      </c>
      <c r="H664" s="203" t="s">
        <v>14</v>
      </c>
      <c r="I664" s="203">
        <v>0.33417085427135679</v>
      </c>
    </row>
    <row r="665" spans="1:9" x14ac:dyDescent="0.2">
      <c r="E665" s="203" t="s">
        <v>122</v>
      </c>
      <c r="G665" s="203">
        <v>1194</v>
      </c>
      <c r="H665" s="203" t="s">
        <v>15</v>
      </c>
      <c r="I665" s="203">
        <v>1</v>
      </c>
    </row>
    <row r="667" spans="1:9" x14ac:dyDescent="0.2">
      <c r="A667" s="204">
        <v>134</v>
      </c>
      <c r="B667" s="203" t="s">
        <v>262</v>
      </c>
      <c r="E667" s="203" t="s">
        <v>117</v>
      </c>
      <c r="G667" s="203">
        <v>400</v>
      </c>
      <c r="H667" s="203" t="s">
        <v>12</v>
      </c>
      <c r="I667" s="203">
        <v>0.33250207813798838</v>
      </c>
    </row>
    <row r="668" spans="1:9" x14ac:dyDescent="0.2">
      <c r="A668" s="204">
        <v>134</v>
      </c>
      <c r="B668" s="203" t="s">
        <v>262</v>
      </c>
      <c r="E668" s="203" t="s">
        <v>118</v>
      </c>
      <c r="G668" s="203">
        <v>401</v>
      </c>
      <c r="H668" s="203" t="s">
        <v>13</v>
      </c>
      <c r="I668" s="203">
        <v>0.33333333333333331</v>
      </c>
    </row>
    <row r="669" spans="1:9" x14ac:dyDescent="0.2">
      <c r="A669" s="204">
        <v>134</v>
      </c>
      <c r="B669" s="203" t="s">
        <v>262</v>
      </c>
      <c r="E669" s="203" t="s">
        <v>119</v>
      </c>
      <c r="G669" s="203">
        <v>402</v>
      </c>
      <c r="H669" s="203" t="s">
        <v>14</v>
      </c>
      <c r="I669" s="203">
        <v>0.33416458852867831</v>
      </c>
    </row>
    <row r="670" spans="1:9" x14ac:dyDescent="0.2">
      <c r="E670" s="203" t="s">
        <v>122</v>
      </c>
      <c r="G670" s="203">
        <v>1203</v>
      </c>
      <c r="H670" s="203" t="s">
        <v>15</v>
      </c>
      <c r="I670" s="203">
        <v>1</v>
      </c>
    </row>
    <row r="672" spans="1:9" x14ac:dyDescent="0.2">
      <c r="A672" s="204">
        <v>135</v>
      </c>
      <c r="B672" s="203" t="s">
        <v>263</v>
      </c>
      <c r="E672" s="203" t="s">
        <v>117</v>
      </c>
      <c r="G672" s="203">
        <v>403</v>
      </c>
      <c r="H672" s="203" t="s">
        <v>12</v>
      </c>
      <c r="I672" s="203">
        <v>0.33250825082508251</v>
      </c>
    </row>
    <row r="673" spans="1:9" x14ac:dyDescent="0.2">
      <c r="A673" s="204">
        <v>135</v>
      </c>
      <c r="B673" s="203" t="s">
        <v>263</v>
      </c>
      <c r="E673" s="203" t="s">
        <v>118</v>
      </c>
      <c r="G673" s="203">
        <v>404</v>
      </c>
      <c r="H673" s="203" t="s">
        <v>13</v>
      </c>
      <c r="I673" s="203">
        <v>0.33333333333333331</v>
      </c>
    </row>
    <row r="674" spans="1:9" x14ac:dyDescent="0.2">
      <c r="A674" s="204">
        <v>135</v>
      </c>
      <c r="B674" s="203" t="s">
        <v>263</v>
      </c>
      <c r="E674" s="203" t="s">
        <v>119</v>
      </c>
      <c r="G674" s="203">
        <v>405</v>
      </c>
      <c r="H674" s="203" t="s">
        <v>14</v>
      </c>
      <c r="I674" s="203">
        <v>0.33415841584158418</v>
      </c>
    </row>
    <row r="675" spans="1:9" x14ac:dyDescent="0.2">
      <c r="E675" s="203" t="s">
        <v>122</v>
      </c>
      <c r="G675" s="203">
        <v>1212</v>
      </c>
      <c r="H675" s="203" t="s">
        <v>15</v>
      </c>
      <c r="I675" s="203">
        <v>1</v>
      </c>
    </row>
    <row r="677" spans="1:9" x14ac:dyDescent="0.2">
      <c r="A677" s="204">
        <v>136</v>
      </c>
      <c r="B677" s="203" t="s">
        <v>264</v>
      </c>
      <c r="E677" s="203" t="s">
        <v>117</v>
      </c>
      <c r="G677" s="203">
        <v>406</v>
      </c>
      <c r="H677" s="203" t="s">
        <v>12</v>
      </c>
      <c r="I677" s="203">
        <v>0.33251433251433249</v>
      </c>
    </row>
    <row r="678" spans="1:9" x14ac:dyDescent="0.2">
      <c r="A678" s="204">
        <v>136</v>
      </c>
      <c r="B678" s="203" t="s">
        <v>264</v>
      </c>
      <c r="E678" s="203" t="s">
        <v>118</v>
      </c>
      <c r="G678" s="203">
        <v>407</v>
      </c>
      <c r="H678" s="203" t="s">
        <v>13</v>
      </c>
      <c r="I678" s="203">
        <v>0.33333333333333331</v>
      </c>
    </row>
    <row r="679" spans="1:9" x14ac:dyDescent="0.2">
      <c r="A679" s="204">
        <v>136</v>
      </c>
      <c r="B679" s="203" t="s">
        <v>264</v>
      </c>
      <c r="E679" s="203" t="s">
        <v>119</v>
      </c>
      <c r="G679" s="203">
        <v>408</v>
      </c>
      <c r="H679" s="203" t="s">
        <v>14</v>
      </c>
      <c r="I679" s="203">
        <v>0.33415233415233414</v>
      </c>
    </row>
    <row r="680" spans="1:9" x14ac:dyDescent="0.2">
      <c r="E680" s="203" t="s">
        <v>122</v>
      </c>
      <c r="G680" s="203">
        <v>1221</v>
      </c>
      <c r="H680" s="203" t="s">
        <v>15</v>
      </c>
      <c r="I680" s="203">
        <v>0.99999999999999989</v>
      </c>
    </row>
    <row r="682" spans="1:9" x14ac:dyDescent="0.2">
      <c r="A682" s="204">
        <v>137</v>
      </c>
      <c r="B682" s="203" t="s">
        <v>265</v>
      </c>
      <c r="E682" s="203" t="s">
        <v>117</v>
      </c>
      <c r="G682" s="203">
        <v>409</v>
      </c>
      <c r="H682" s="203" t="s">
        <v>12</v>
      </c>
      <c r="I682" s="203">
        <v>0.33252032520325203</v>
      </c>
    </row>
    <row r="683" spans="1:9" x14ac:dyDescent="0.2">
      <c r="A683" s="204">
        <v>137</v>
      </c>
      <c r="B683" s="203" t="s">
        <v>265</v>
      </c>
      <c r="E683" s="203" t="s">
        <v>118</v>
      </c>
      <c r="G683" s="203">
        <v>410</v>
      </c>
      <c r="H683" s="203" t="s">
        <v>13</v>
      </c>
      <c r="I683" s="203">
        <v>0.33333333333333331</v>
      </c>
    </row>
    <row r="684" spans="1:9" x14ac:dyDescent="0.2">
      <c r="A684" s="204">
        <v>137</v>
      </c>
      <c r="B684" s="203" t="s">
        <v>265</v>
      </c>
      <c r="E684" s="203" t="s">
        <v>119</v>
      </c>
      <c r="G684" s="203">
        <v>411</v>
      </c>
      <c r="H684" s="203" t="s">
        <v>14</v>
      </c>
      <c r="I684" s="203">
        <v>0.33414634146341465</v>
      </c>
    </row>
    <row r="685" spans="1:9" x14ac:dyDescent="0.2">
      <c r="E685" s="203" t="s">
        <v>122</v>
      </c>
      <c r="G685" s="203">
        <v>1230</v>
      </c>
      <c r="H685" s="203" t="s">
        <v>15</v>
      </c>
      <c r="I685" s="203">
        <v>1</v>
      </c>
    </row>
    <row r="687" spans="1:9" x14ac:dyDescent="0.2">
      <c r="A687" s="204">
        <v>138</v>
      </c>
      <c r="B687" s="203" t="s">
        <v>266</v>
      </c>
      <c r="E687" s="203" t="s">
        <v>117</v>
      </c>
      <c r="G687" s="203">
        <v>412</v>
      </c>
      <c r="H687" s="203" t="s">
        <v>12</v>
      </c>
      <c r="I687" s="203">
        <v>0.33252623083131555</v>
      </c>
    </row>
    <row r="688" spans="1:9" x14ac:dyDescent="0.2">
      <c r="A688" s="204">
        <v>138</v>
      </c>
      <c r="B688" s="203" t="s">
        <v>266</v>
      </c>
      <c r="E688" s="203" t="s">
        <v>118</v>
      </c>
      <c r="G688" s="203">
        <v>413</v>
      </c>
      <c r="H688" s="203" t="s">
        <v>13</v>
      </c>
      <c r="I688" s="203">
        <v>0.33333333333333331</v>
      </c>
    </row>
    <row r="689" spans="1:9" x14ac:dyDescent="0.2">
      <c r="A689" s="204">
        <v>138</v>
      </c>
      <c r="B689" s="203" t="s">
        <v>266</v>
      </c>
      <c r="E689" s="203" t="s">
        <v>119</v>
      </c>
      <c r="G689" s="203">
        <v>414</v>
      </c>
      <c r="H689" s="203" t="s">
        <v>14</v>
      </c>
      <c r="I689" s="203">
        <v>0.33414043583535108</v>
      </c>
    </row>
    <row r="690" spans="1:9" x14ac:dyDescent="0.2">
      <c r="E690" s="203" t="s">
        <v>122</v>
      </c>
      <c r="G690" s="203">
        <v>1239</v>
      </c>
      <c r="H690" s="203" t="s">
        <v>15</v>
      </c>
      <c r="I690" s="203">
        <v>1</v>
      </c>
    </row>
    <row r="692" spans="1:9" x14ac:dyDescent="0.2">
      <c r="A692" s="204">
        <v>139</v>
      </c>
      <c r="B692" s="203" t="s">
        <v>267</v>
      </c>
      <c r="E692" s="203" t="s">
        <v>117</v>
      </c>
      <c r="G692" s="203">
        <v>415</v>
      </c>
      <c r="H692" s="203" t="s">
        <v>12</v>
      </c>
      <c r="I692" s="203">
        <v>0.33253205128205127</v>
      </c>
    </row>
    <row r="693" spans="1:9" x14ac:dyDescent="0.2">
      <c r="A693" s="204">
        <v>139</v>
      </c>
      <c r="B693" s="203" t="s">
        <v>267</v>
      </c>
      <c r="E693" s="203" t="s">
        <v>118</v>
      </c>
      <c r="G693" s="203">
        <v>416</v>
      </c>
      <c r="H693" s="203" t="s">
        <v>13</v>
      </c>
      <c r="I693" s="203">
        <v>0.33333333333333331</v>
      </c>
    </row>
    <row r="694" spans="1:9" x14ac:dyDescent="0.2">
      <c r="A694" s="204">
        <v>139</v>
      </c>
      <c r="B694" s="203" t="s">
        <v>267</v>
      </c>
      <c r="E694" s="203" t="s">
        <v>119</v>
      </c>
      <c r="G694" s="203">
        <v>417</v>
      </c>
      <c r="H694" s="203" t="s">
        <v>14</v>
      </c>
      <c r="I694" s="203">
        <v>0.33413461538461536</v>
      </c>
    </row>
    <row r="695" spans="1:9" x14ac:dyDescent="0.2">
      <c r="E695" s="203" t="s">
        <v>122</v>
      </c>
      <c r="G695" s="203">
        <v>1248</v>
      </c>
      <c r="H695" s="203" t="s">
        <v>15</v>
      </c>
      <c r="I695" s="203">
        <v>1</v>
      </c>
    </row>
    <row r="697" spans="1:9" x14ac:dyDescent="0.2">
      <c r="A697" s="204">
        <v>140</v>
      </c>
      <c r="B697" s="203" t="s">
        <v>268</v>
      </c>
      <c r="E697" s="203" t="s">
        <v>117</v>
      </c>
      <c r="G697" s="203">
        <v>418</v>
      </c>
      <c r="H697" s="203" t="s">
        <v>12</v>
      </c>
      <c r="I697" s="203">
        <v>0.33253778838504378</v>
      </c>
    </row>
    <row r="698" spans="1:9" x14ac:dyDescent="0.2">
      <c r="A698" s="204">
        <v>140</v>
      </c>
      <c r="B698" s="203" t="s">
        <v>268</v>
      </c>
      <c r="E698" s="203" t="s">
        <v>118</v>
      </c>
      <c r="G698" s="203">
        <v>419</v>
      </c>
      <c r="H698" s="203" t="s">
        <v>13</v>
      </c>
      <c r="I698" s="203">
        <v>0.33333333333333331</v>
      </c>
    </row>
    <row r="699" spans="1:9" x14ac:dyDescent="0.2">
      <c r="A699" s="204">
        <v>140</v>
      </c>
      <c r="B699" s="203" t="s">
        <v>268</v>
      </c>
      <c r="E699" s="203" t="s">
        <v>119</v>
      </c>
      <c r="G699" s="203">
        <v>420</v>
      </c>
      <c r="H699" s="203" t="s">
        <v>14</v>
      </c>
      <c r="I699" s="203">
        <v>0.33412887828162291</v>
      </c>
    </row>
    <row r="700" spans="1:9" x14ac:dyDescent="0.2">
      <c r="E700" s="203" t="s">
        <v>122</v>
      </c>
      <c r="G700" s="203">
        <v>1257</v>
      </c>
      <c r="H700" s="203" t="s">
        <v>15</v>
      </c>
      <c r="I700" s="203">
        <v>1</v>
      </c>
    </row>
    <row r="702" spans="1:9" x14ac:dyDescent="0.2">
      <c r="A702" s="204">
        <v>141</v>
      </c>
      <c r="B702" s="203" t="s">
        <v>269</v>
      </c>
      <c r="E702" s="203" t="s">
        <v>117</v>
      </c>
      <c r="G702" s="203">
        <v>421</v>
      </c>
      <c r="H702" s="203" t="s">
        <v>12</v>
      </c>
      <c r="I702" s="203">
        <v>0.33254344391785151</v>
      </c>
    </row>
    <row r="703" spans="1:9" x14ac:dyDescent="0.2">
      <c r="A703" s="204">
        <v>141</v>
      </c>
      <c r="B703" s="203" t="s">
        <v>269</v>
      </c>
      <c r="E703" s="203" t="s">
        <v>118</v>
      </c>
      <c r="G703" s="203">
        <v>422</v>
      </c>
      <c r="H703" s="203" t="s">
        <v>13</v>
      </c>
      <c r="I703" s="203">
        <v>0.33333333333333331</v>
      </c>
    </row>
    <row r="704" spans="1:9" x14ac:dyDescent="0.2">
      <c r="A704" s="204">
        <v>141</v>
      </c>
      <c r="B704" s="203" t="s">
        <v>269</v>
      </c>
      <c r="E704" s="203" t="s">
        <v>119</v>
      </c>
      <c r="G704" s="203">
        <v>423</v>
      </c>
      <c r="H704" s="203" t="s">
        <v>14</v>
      </c>
      <c r="I704" s="203">
        <v>0.33412322274881517</v>
      </c>
    </row>
    <row r="705" spans="1:9" x14ac:dyDescent="0.2">
      <c r="E705" s="203" t="s">
        <v>122</v>
      </c>
      <c r="G705" s="203">
        <v>1266</v>
      </c>
      <c r="H705" s="203" t="s">
        <v>15</v>
      </c>
      <c r="I705" s="203">
        <v>1</v>
      </c>
    </row>
    <row r="707" spans="1:9" x14ac:dyDescent="0.2">
      <c r="A707" s="204">
        <v>142</v>
      </c>
      <c r="B707" s="203" t="s">
        <v>270</v>
      </c>
      <c r="E707" s="203" t="s">
        <v>117</v>
      </c>
      <c r="G707" s="203">
        <v>424</v>
      </c>
      <c r="H707" s="203" t="s">
        <v>12</v>
      </c>
      <c r="I707" s="203">
        <v>0.33254901960784311</v>
      </c>
    </row>
    <row r="708" spans="1:9" x14ac:dyDescent="0.2">
      <c r="A708" s="204">
        <v>142</v>
      </c>
      <c r="B708" s="203" t="s">
        <v>270</v>
      </c>
      <c r="E708" s="203" t="s">
        <v>118</v>
      </c>
      <c r="G708" s="203">
        <v>425</v>
      </c>
      <c r="H708" s="203" t="s">
        <v>13</v>
      </c>
      <c r="I708" s="203">
        <v>0.33333333333333331</v>
      </c>
    </row>
    <row r="709" spans="1:9" x14ac:dyDescent="0.2">
      <c r="A709" s="204">
        <v>142</v>
      </c>
      <c r="B709" s="203" t="s">
        <v>270</v>
      </c>
      <c r="E709" s="203" t="s">
        <v>119</v>
      </c>
      <c r="G709" s="203">
        <v>426</v>
      </c>
      <c r="H709" s="203" t="s">
        <v>14</v>
      </c>
      <c r="I709" s="203">
        <v>0.33411764705882352</v>
      </c>
    </row>
    <row r="710" spans="1:9" x14ac:dyDescent="0.2">
      <c r="E710" s="203" t="s">
        <v>122</v>
      </c>
      <c r="G710" s="203">
        <v>1275</v>
      </c>
      <c r="H710" s="203" t="s">
        <v>15</v>
      </c>
      <c r="I710" s="203">
        <v>0.99999999999999989</v>
      </c>
    </row>
    <row r="712" spans="1:9" x14ac:dyDescent="0.2">
      <c r="A712" s="204">
        <v>143</v>
      </c>
      <c r="B712" s="203" t="s">
        <v>271</v>
      </c>
      <c r="E712" s="203" t="s">
        <v>117</v>
      </c>
      <c r="G712" s="203">
        <v>427</v>
      </c>
      <c r="H712" s="203" t="s">
        <v>12</v>
      </c>
      <c r="I712" s="203">
        <v>0.3325545171339564</v>
      </c>
    </row>
    <row r="713" spans="1:9" x14ac:dyDescent="0.2">
      <c r="A713" s="204">
        <v>143</v>
      </c>
      <c r="B713" s="203" t="s">
        <v>271</v>
      </c>
      <c r="E713" s="203" t="s">
        <v>118</v>
      </c>
      <c r="G713" s="203">
        <v>428</v>
      </c>
      <c r="H713" s="203" t="s">
        <v>13</v>
      </c>
      <c r="I713" s="203">
        <v>0.33333333333333331</v>
      </c>
    </row>
    <row r="714" spans="1:9" x14ac:dyDescent="0.2">
      <c r="A714" s="204">
        <v>143</v>
      </c>
      <c r="B714" s="203" t="s">
        <v>271</v>
      </c>
      <c r="E714" s="203" t="s">
        <v>119</v>
      </c>
      <c r="G714" s="203">
        <v>429</v>
      </c>
      <c r="H714" s="203" t="s">
        <v>14</v>
      </c>
      <c r="I714" s="203">
        <v>0.33411214953271029</v>
      </c>
    </row>
    <row r="715" spans="1:9" x14ac:dyDescent="0.2">
      <c r="E715" s="203" t="s">
        <v>122</v>
      </c>
      <c r="G715" s="203">
        <v>1284</v>
      </c>
      <c r="H715" s="203" t="s">
        <v>15</v>
      </c>
      <c r="I715" s="203">
        <v>1</v>
      </c>
    </row>
    <row r="717" spans="1:9" x14ac:dyDescent="0.2">
      <c r="A717" s="204">
        <v>144</v>
      </c>
      <c r="B717" s="203" t="s">
        <v>272</v>
      </c>
      <c r="E717" s="203" t="s">
        <v>117</v>
      </c>
      <c r="G717" s="203">
        <v>430</v>
      </c>
      <c r="H717" s="203" t="s">
        <v>12</v>
      </c>
      <c r="I717" s="203">
        <v>0.33255993812838358</v>
      </c>
    </row>
    <row r="718" spans="1:9" x14ac:dyDescent="0.2">
      <c r="A718" s="204">
        <v>144</v>
      </c>
      <c r="B718" s="203" t="s">
        <v>272</v>
      </c>
      <c r="E718" s="203" t="s">
        <v>118</v>
      </c>
      <c r="G718" s="203">
        <v>431</v>
      </c>
      <c r="H718" s="203" t="s">
        <v>13</v>
      </c>
      <c r="I718" s="203">
        <v>0.33333333333333331</v>
      </c>
    </row>
    <row r="719" spans="1:9" x14ac:dyDescent="0.2">
      <c r="A719" s="204">
        <v>144</v>
      </c>
      <c r="B719" s="203" t="s">
        <v>272</v>
      </c>
      <c r="E719" s="203" t="s">
        <v>119</v>
      </c>
      <c r="G719" s="203">
        <v>432</v>
      </c>
      <c r="H719" s="203" t="s">
        <v>14</v>
      </c>
      <c r="I719" s="203">
        <v>0.33410672853828305</v>
      </c>
    </row>
    <row r="720" spans="1:9" x14ac:dyDescent="0.2">
      <c r="E720" s="203" t="s">
        <v>122</v>
      </c>
      <c r="G720" s="203">
        <v>1293</v>
      </c>
      <c r="H720" s="203" t="s">
        <v>15</v>
      </c>
      <c r="I720" s="203">
        <v>1</v>
      </c>
    </row>
    <row r="722" spans="1:9" x14ac:dyDescent="0.2">
      <c r="A722" s="204">
        <v>145</v>
      </c>
      <c r="B722" s="203" t="s">
        <v>273</v>
      </c>
      <c r="E722" s="203" t="s">
        <v>117</v>
      </c>
      <c r="G722" s="203">
        <v>433</v>
      </c>
      <c r="H722" s="203" t="s">
        <v>12</v>
      </c>
      <c r="I722" s="203">
        <v>0.33256528417818743</v>
      </c>
    </row>
    <row r="723" spans="1:9" x14ac:dyDescent="0.2">
      <c r="A723" s="204">
        <v>145</v>
      </c>
      <c r="B723" s="203" t="s">
        <v>273</v>
      </c>
      <c r="E723" s="203" t="s">
        <v>118</v>
      </c>
      <c r="G723" s="203">
        <v>434</v>
      </c>
      <c r="H723" s="203" t="s">
        <v>13</v>
      </c>
      <c r="I723" s="203">
        <v>0.33333333333333331</v>
      </c>
    </row>
    <row r="724" spans="1:9" x14ac:dyDescent="0.2">
      <c r="A724" s="204">
        <v>145</v>
      </c>
      <c r="B724" s="203" t="s">
        <v>273</v>
      </c>
      <c r="E724" s="203" t="s">
        <v>119</v>
      </c>
      <c r="G724" s="203">
        <v>435</v>
      </c>
      <c r="H724" s="203" t="s">
        <v>14</v>
      </c>
      <c r="I724" s="203">
        <v>0.33410138248847926</v>
      </c>
    </row>
    <row r="725" spans="1:9" x14ac:dyDescent="0.2">
      <c r="E725" s="203" t="s">
        <v>122</v>
      </c>
      <c r="G725" s="203">
        <v>1302</v>
      </c>
      <c r="H725" s="203" t="s">
        <v>15</v>
      </c>
      <c r="I725" s="203">
        <v>1</v>
      </c>
    </row>
    <row r="727" spans="1:9" x14ac:dyDescent="0.2">
      <c r="A727" s="204">
        <v>146</v>
      </c>
      <c r="B727" s="203" t="s">
        <v>274</v>
      </c>
      <c r="E727" s="203" t="s">
        <v>117</v>
      </c>
      <c r="G727" s="203">
        <v>436</v>
      </c>
      <c r="H727" s="203" t="s">
        <v>12</v>
      </c>
      <c r="I727" s="203">
        <v>0.33257055682684972</v>
      </c>
    </row>
    <row r="728" spans="1:9" x14ac:dyDescent="0.2">
      <c r="A728" s="204">
        <v>146</v>
      </c>
      <c r="B728" s="203" t="s">
        <v>274</v>
      </c>
      <c r="E728" s="203" t="s">
        <v>118</v>
      </c>
      <c r="G728" s="203">
        <v>437</v>
      </c>
      <c r="H728" s="203" t="s">
        <v>13</v>
      </c>
      <c r="I728" s="203">
        <v>0.33333333333333331</v>
      </c>
    </row>
    <row r="729" spans="1:9" x14ac:dyDescent="0.2">
      <c r="A729" s="204">
        <v>146</v>
      </c>
      <c r="B729" s="203" t="s">
        <v>274</v>
      </c>
      <c r="E729" s="203" t="s">
        <v>119</v>
      </c>
      <c r="G729" s="203">
        <v>438</v>
      </c>
      <c r="H729" s="203" t="s">
        <v>14</v>
      </c>
      <c r="I729" s="203">
        <v>0.33409610983981691</v>
      </c>
    </row>
    <row r="730" spans="1:9" x14ac:dyDescent="0.2">
      <c r="E730" s="203" t="s">
        <v>122</v>
      </c>
      <c r="G730" s="203">
        <v>1311</v>
      </c>
      <c r="H730" s="203" t="s">
        <v>15</v>
      </c>
      <c r="I730" s="203">
        <v>1</v>
      </c>
    </row>
    <row r="732" spans="1:9" x14ac:dyDescent="0.2">
      <c r="A732" s="204">
        <v>147</v>
      </c>
      <c r="B732" s="203" t="s">
        <v>275</v>
      </c>
      <c r="E732" s="203" t="s">
        <v>117</v>
      </c>
      <c r="G732" s="203">
        <v>439</v>
      </c>
      <c r="H732" s="203" t="s">
        <v>12</v>
      </c>
      <c r="I732" s="203">
        <v>0.33257575757575758</v>
      </c>
    </row>
    <row r="733" spans="1:9" x14ac:dyDescent="0.2">
      <c r="A733" s="204">
        <v>147</v>
      </c>
      <c r="B733" s="203" t="s">
        <v>275</v>
      </c>
      <c r="E733" s="203" t="s">
        <v>118</v>
      </c>
      <c r="G733" s="203">
        <v>440</v>
      </c>
      <c r="H733" s="203" t="s">
        <v>13</v>
      </c>
      <c r="I733" s="203">
        <v>0.33333333333333331</v>
      </c>
    </row>
    <row r="734" spans="1:9" x14ac:dyDescent="0.2">
      <c r="A734" s="204">
        <v>147</v>
      </c>
      <c r="B734" s="203" t="s">
        <v>275</v>
      </c>
      <c r="E734" s="203" t="s">
        <v>119</v>
      </c>
      <c r="G734" s="203">
        <v>441</v>
      </c>
      <c r="H734" s="203" t="s">
        <v>14</v>
      </c>
      <c r="I734" s="203">
        <v>0.33409090909090911</v>
      </c>
    </row>
    <row r="735" spans="1:9" x14ac:dyDescent="0.2">
      <c r="E735" s="203" t="s">
        <v>122</v>
      </c>
      <c r="G735" s="203">
        <v>1320</v>
      </c>
      <c r="H735" s="203" t="s">
        <v>15</v>
      </c>
      <c r="I735" s="203">
        <v>1</v>
      </c>
    </row>
    <row r="737" spans="1:9" x14ac:dyDescent="0.2">
      <c r="A737" s="204">
        <v>148</v>
      </c>
      <c r="B737" s="203" t="s">
        <v>276</v>
      </c>
      <c r="E737" s="203" t="s">
        <v>117</v>
      </c>
      <c r="G737" s="203">
        <v>442</v>
      </c>
      <c r="H737" s="203" t="s">
        <v>12</v>
      </c>
      <c r="I737" s="203">
        <v>0.33258088788562828</v>
      </c>
    </row>
    <row r="738" spans="1:9" x14ac:dyDescent="0.2">
      <c r="A738" s="204">
        <v>148</v>
      </c>
      <c r="B738" s="203" t="s">
        <v>276</v>
      </c>
      <c r="E738" s="203" t="s">
        <v>118</v>
      </c>
      <c r="G738" s="203">
        <v>443</v>
      </c>
      <c r="H738" s="203" t="s">
        <v>13</v>
      </c>
      <c r="I738" s="203">
        <v>0.33333333333333331</v>
      </c>
    </row>
    <row r="739" spans="1:9" x14ac:dyDescent="0.2">
      <c r="A739" s="204">
        <v>148</v>
      </c>
      <c r="B739" s="203" t="s">
        <v>276</v>
      </c>
      <c r="E739" s="203" t="s">
        <v>119</v>
      </c>
      <c r="G739" s="203">
        <v>444</v>
      </c>
      <c r="H739" s="203" t="s">
        <v>14</v>
      </c>
      <c r="I739" s="203">
        <v>0.3340857787810384</v>
      </c>
    </row>
    <row r="740" spans="1:9" x14ac:dyDescent="0.2">
      <c r="E740" s="203" t="s">
        <v>122</v>
      </c>
      <c r="G740" s="203">
        <v>1329</v>
      </c>
      <c r="H740" s="203" t="s">
        <v>15</v>
      </c>
      <c r="I740" s="203">
        <v>1</v>
      </c>
    </row>
    <row r="742" spans="1:9" x14ac:dyDescent="0.2">
      <c r="A742" s="204">
        <v>149</v>
      </c>
      <c r="B742" s="203" t="s">
        <v>277</v>
      </c>
      <c r="E742" s="203" t="s">
        <v>117</v>
      </c>
      <c r="G742" s="203">
        <v>445</v>
      </c>
      <c r="H742" s="203" t="s">
        <v>12</v>
      </c>
      <c r="I742" s="203">
        <v>0.33258594917787743</v>
      </c>
    </row>
    <row r="743" spans="1:9" x14ac:dyDescent="0.2">
      <c r="A743" s="204">
        <v>149</v>
      </c>
      <c r="B743" s="203" t="s">
        <v>277</v>
      </c>
      <c r="E743" s="203" t="s">
        <v>118</v>
      </c>
      <c r="G743" s="203">
        <v>446</v>
      </c>
      <c r="H743" s="203" t="s">
        <v>13</v>
      </c>
      <c r="I743" s="203">
        <v>0.33333333333333331</v>
      </c>
    </row>
    <row r="744" spans="1:9" x14ac:dyDescent="0.2">
      <c r="A744" s="204">
        <v>149</v>
      </c>
      <c r="B744" s="203" t="s">
        <v>277</v>
      </c>
      <c r="E744" s="203" t="s">
        <v>119</v>
      </c>
      <c r="G744" s="203">
        <v>447</v>
      </c>
      <c r="H744" s="203" t="s">
        <v>14</v>
      </c>
      <c r="I744" s="203">
        <v>0.33408071748878926</v>
      </c>
    </row>
    <row r="745" spans="1:9" x14ac:dyDescent="0.2">
      <c r="E745" s="203" t="s">
        <v>122</v>
      </c>
      <c r="G745" s="203">
        <v>1338</v>
      </c>
      <c r="H745" s="203" t="s">
        <v>15</v>
      </c>
      <c r="I745" s="203">
        <v>1</v>
      </c>
    </row>
    <row r="747" spans="1:9" x14ac:dyDescent="0.2">
      <c r="A747" s="204">
        <v>150</v>
      </c>
      <c r="B747" s="203" t="s">
        <v>278</v>
      </c>
      <c r="E747" s="203" t="s">
        <v>117</v>
      </c>
      <c r="G747" s="203">
        <v>448</v>
      </c>
      <c r="H747" s="203" t="s">
        <v>12</v>
      </c>
      <c r="I747" s="203">
        <v>0.33259094283593171</v>
      </c>
    </row>
    <row r="748" spans="1:9" x14ac:dyDescent="0.2">
      <c r="A748" s="204">
        <v>150</v>
      </c>
      <c r="B748" s="203" t="s">
        <v>278</v>
      </c>
      <c r="E748" s="203" t="s">
        <v>118</v>
      </c>
      <c r="G748" s="203">
        <v>449</v>
      </c>
      <c r="H748" s="203" t="s">
        <v>13</v>
      </c>
      <c r="I748" s="203">
        <v>0.33333333333333331</v>
      </c>
    </row>
    <row r="749" spans="1:9" x14ac:dyDescent="0.2">
      <c r="A749" s="204">
        <v>150</v>
      </c>
      <c r="B749" s="203" t="s">
        <v>278</v>
      </c>
      <c r="E749" s="203" t="s">
        <v>119</v>
      </c>
      <c r="G749" s="203">
        <v>450</v>
      </c>
      <c r="H749" s="203" t="s">
        <v>14</v>
      </c>
      <c r="I749" s="203">
        <v>0.33407572383073497</v>
      </c>
    </row>
    <row r="750" spans="1:9" x14ac:dyDescent="0.2">
      <c r="E750" s="203" t="s">
        <v>122</v>
      </c>
      <c r="G750" s="203">
        <v>1347</v>
      </c>
      <c r="H750" s="203" t="s">
        <v>15</v>
      </c>
      <c r="I750" s="203">
        <v>1</v>
      </c>
    </row>
    <row r="752" spans="1:9" x14ac:dyDescent="0.2">
      <c r="A752" s="204">
        <v>151</v>
      </c>
      <c r="B752" s="203" t="s">
        <v>279</v>
      </c>
      <c r="E752" s="203" t="s">
        <v>117</v>
      </c>
      <c r="G752" s="203">
        <v>451</v>
      </c>
      <c r="H752" s="203" t="s">
        <v>12</v>
      </c>
      <c r="I752" s="203">
        <v>0.33259587020648967</v>
      </c>
    </row>
    <row r="753" spans="1:9" x14ac:dyDescent="0.2">
      <c r="A753" s="204">
        <v>151</v>
      </c>
      <c r="B753" s="203" t="s">
        <v>279</v>
      </c>
      <c r="E753" s="203" t="s">
        <v>118</v>
      </c>
      <c r="G753" s="203">
        <v>452</v>
      </c>
      <c r="H753" s="203" t="s">
        <v>13</v>
      </c>
      <c r="I753" s="203">
        <v>0.33333333333333331</v>
      </c>
    </row>
    <row r="754" spans="1:9" x14ac:dyDescent="0.2">
      <c r="A754" s="204">
        <v>151</v>
      </c>
      <c r="B754" s="203" t="s">
        <v>279</v>
      </c>
      <c r="E754" s="203" t="s">
        <v>119</v>
      </c>
      <c r="G754" s="203">
        <v>453</v>
      </c>
      <c r="H754" s="203" t="s">
        <v>14</v>
      </c>
      <c r="I754" s="203">
        <v>0.33407079646017701</v>
      </c>
    </row>
    <row r="755" spans="1:9" x14ac:dyDescent="0.2">
      <c r="E755" s="203" t="s">
        <v>122</v>
      </c>
      <c r="G755" s="203">
        <v>1356</v>
      </c>
      <c r="H755" s="203" t="s">
        <v>15</v>
      </c>
      <c r="I755" s="203">
        <v>1</v>
      </c>
    </row>
    <row r="757" spans="1:9" x14ac:dyDescent="0.2">
      <c r="A757" s="204">
        <v>152</v>
      </c>
      <c r="B757" s="203" t="s">
        <v>280</v>
      </c>
      <c r="E757" s="203" t="s">
        <v>117</v>
      </c>
      <c r="G757" s="203">
        <v>454</v>
      </c>
      <c r="H757" s="203" t="s">
        <v>12</v>
      </c>
      <c r="I757" s="203">
        <v>0.33260073260073258</v>
      </c>
    </row>
    <row r="758" spans="1:9" x14ac:dyDescent="0.2">
      <c r="A758" s="204">
        <v>152</v>
      </c>
      <c r="B758" s="203" t="s">
        <v>280</v>
      </c>
      <c r="E758" s="203" t="s">
        <v>118</v>
      </c>
      <c r="G758" s="203">
        <v>455</v>
      </c>
      <c r="H758" s="203" t="s">
        <v>13</v>
      </c>
      <c r="I758" s="203">
        <v>0.33333333333333331</v>
      </c>
    </row>
    <row r="759" spans="1:9" x14ac:dyDescent="0.2">
      <c r="A759" s="204">
        <v>152</v>
      </c>
      <c r="B759" s="203" t="s">
        <v>280</v>
      </c>
      <c r="E759" s="203" t="s">
        <v>119</v>
      </c>
      <c r="G759" s="203">
        <v>456</v>
      </c>
      <c r="H759" s="203" t="s">
        <v>14</v>
      </c>
      <c r="I759" s="203">
        <v>0.33406593406593404</v>
      </c>
    </row>
    <row r="760" spans="1:9" x14ac:dyDescent="0.2">
      <c r="E760" s="203" t="s">
        <v>122</v>
      </c>
      <c r="G760" s="203">
        <v>1365</v>
      </c>
      <c r="H760" s="203" t="s">
        <v>15</v>
      </c>
      <c r="I760" s="203">
        <v>1</v>
      </c>
    </row>
    <row r="762" spans="1:9" x14ac:dyDescent="0.2">
      <c r="A762" s="204">
        <v>153</v>
      </c>
      <c r="B762" s="203" t="s">
        <v>281</v>
      </c>
      <c r="E762" s="203" t="s">
        <v>117</v>
      </c>
      <c r="G762" s="203">
        <v>457</v>
      </c>
      <c r="H762" s="203" t="s">
        <v>12</v>
      </c>
      <c r="I762" s="203">
        <v>0.33260553129548764</v>
      </c>
    </row>
    <row r="763" spans="1:9" x14ac:dyDescent="0.2">
      <c r="A763" s="204">
        <v>153</v>
      </c>
      <c r="B763" s="203" t="s">
        <v>281</v>
      </c>
      <c r="E763" s="203" t="s">
        <v>118</v>
      </c>
      <c r="G763" s="203">
        <v>458</v>
      </c>
      <c r="H763" s="203" t="s">
        <v>13</v>
      </c>
      <c r="I763" s="203">
        <v>0.33333333333333331</v>
      </c>
    </row>
    <row r="764" spans="1:9" x14ac:dyDescent="0.2">
      <c r="A764" s="204">
        <v>153</v>
      </c>
      <c r="B764" s="203" t="s">
        <v>281</v>
      </c>
      <c r="E764" s="203" t="s">
        <v>119</v>
      </c>
      <c r="G764" s="203">
        <v>459</v>
      </c>
      <c r="H764" s="203" t="s">
        <v>14</v>
      </c>
      <c r="I764" s="203">
        <v>0.33406113537117904</v>
      </c>
    </row>
    <row r="765" spans="1:9" x14ac:dyDescent="0.2">
      <c r="E765" s="203" t="s">
        <v>122</v>
      </c>
      <c r="G765" s="203">
        <v>1374</v>
      </c>
      <c r="H765" s="203" t="s">
        <v>15</v>
      </c>
      <c r="I765" s="203">
        <v>1</v>
      </c>
    </row>
    <row r="767" spans="1:9" x14ac:dyDescent="0.2">
      <c r="A767" s="204">
        <v>154</v>
      </c>
      <c r="B767" s="203" t="s">
        <v>282</v>
      </c>
      <c r="E767" s="203" t="s">
        <v>117</v>
      </c>
      <c r="G767" s="203">
        <v>460</v>
      </c>
      <c r="H767" s="203" t="s">
        <v>12</v>
      </c>
      <c r="I767" s="203">
        <v>0.33261026753434564</v>
      </c>
    </row>
    <row r="768" spans="1:9" x14ac:dyDescent="0.2">
      <c r="A768" s="204">
        <v>154</v>
      </c>
      <c r="B768" s="203" t="s">
        <v>282</v>
      </c>
      <c r="E768" s="203" t="s">
        <v>118</v>
      </c>
      <c r="G768" s="203">
        <v>461</v>
      </c>
      <c r="H768" s="203" t="s">
        <v>13</v>
      </c>
      <c r="I768" s="203">
        <v>0.33333333333333331</v>
      </c>
    </row>
    <row r="769" spans="1:9" x14ac:dyDescent="0.2">
      <c r="A769" s="204">
        <v>154</v>
      </c>
      <c r="B769" s="203" t="s">
        <v>282</v>
      </c>
      <c r="E769" s="203" t="s">
        <v>119</v>
      </c>
      <c r="G769" s="203">
        <v>462</v>
      </c>
      <c r="H769" s="203" t="s">
        <v>14</v>
      </c>
      <c r="I769" s="203">
        <v>0.33405639913232105</v>
      </c>
    </row>
    <row r="770" spans="1:9" x14ac:dyDescent="0.2">
      <c r="E770" s="203" t="s">
        <v>122</v>
      </c>
      <c r="G770" s="203">
        <v>1383</v>
      </c>
      <c r="H770" s="203" t="s">
        <v>15</v>
      </c>
      <c r="I770" s="203">
        <v>1</v>
      </c>
    </row>
    <row r="772" spans="1:9" x14ac:dyDescent="0.2">
      <c r="A772" s="204">
        <v>155</v>
      </c>
      <c r="B772" s="203" t="s">
        <v>283</v>
      </c>
      <c r="E772" s="203" t="s">
        <v>117</v>
      </c>
      <c r="G772" s="203">
        <v>463</v>
      </c>
      <c r="H772" s="203" t="s">
        <v>12</v>
      </c>
      <c r="I772" s="203">
        <v>0.33261494252873564</v>
      </c>
    </row>
    <row r="773" spans="1:9" x14ac:dyDescent="0.2">
      <c r="A773" s="204">
        <v>155</v>
      </c>
      <c r="B773" s="203" t="s">
        <v>283</v>
      </c>
      <c r="E773" s="203" t="s">
        <v>118</v>
      </c>
      <c r="G773" s="203">
        <v>464</v>
      </c>
      <c r="H773" s="203" t="s">
        <v>13</v>
      </c>
      <c r="I773" s="203">
        <v>0.33333333333333331</v>
      </c>
    </row>
    <row r="774" spans="1:9" x14ac:dyDescent="0.2">
      <c r="A774" s="204">
        <v>155</v>
      </c>
      <c r="B774" s="203" t="s">
        <v>283</v>
      </c>
      <c r="E774" s="203" t="s">
        <v>119</v>
      </c>
      <c r="G774" s="203">
        <v>465</v>
      </c>
      <c r="H774" s="203" t="s">
        <v>14</v>
      </c>
      <c r="I774" s="203">
        <v>0.33405172413793105</v>
      </c>
    </row>
    <row r="775" spans="1:9" x14ac:dyDescent="0.2">
      <c r="E775" s="203" t="s">
        <v>122</v>
      </c>
      <c r="G775" s="203">
        <v>1392</v>
      </c>
      <c r="H775" s="203" t="s">
        <v>15</v>
      </c>
      <c r="I775" s="203">
        <v>1</v>
      </c>
    </row>
    <row r="777" spans="1:9" x14ac:dyDescent="0.2">
      <c r="A777" s="204">
        <v>156</v>
      </c>
      <c r="B777" s="203" t="s">
        <v>284</v>
      </c>
      <c r="E777" s="203" t="s">
        <v>117</v>
      </c>
      <c r="G777" s="203">
        <v>466</v>
      </c>
      <c r="H777" s="203" t="s">
        <v>12</v>
      </c>
      <c r="I777" s="203">
        <v>0.33261955745895788</v>
      </c>
    </row>
    <row r="778" spans="1:9" x14ac:dyDescent="0.2">
      <c r="A778" s="204">
        <v>156</v>
      </c>
      <c r="B778" s="203" t="s">
        <v>284</v>
      </c>
      <c r="E778" s="203" t="s">
        <v>118</v>
      </c>
      <c r="G778" s="203">
        <v>467</v>
      </c>
      <c r="H778" s="203" t="s">
        <v>13</v>
      </c>
      <c r="I778" s="203">
        <v>0.33333333333333331</v>
      </c>
    </row>
    <row r="779" spans="1:9" x14ac:dyDescent="0.2">
      <c r="A779" s="204">
        <v>156</v>
      </c>
      <c r="B779" s="203" t="s">
        <v>284</v>
      </c>
      <c r="E779" s="203" t="s">
        <v>119</v>
      </c>
      <c r="G779" s="203">
        <v>468</v>
      </c>
      <c r="H779" s="203" t="s">
        <v>14</v>
      </c>
      <c r="I779" s="203">
        <v>0.3340471092077088</v>
      </c>
    </row>
    <row r="780" spans="1:9" x14ac:dyDescent="0.2">
      <c r="E780" s="203" t="s">
        <v>122</v>
      </c>
      <c r="G780" s="203">
        <v>1401</v>
      </c>
      <c r="H780" s="203" t="s">
        <v>15</v>
      </c>
      <c r="I780" s="203">
        <v>1</v>
      </c>
    </row>
    <row r="782" spans="1:9" x14ac:dyDescent="0.2">
      <c r="A782" s="204">
        <v>157</v>
      </c>
      <c r="B782" s="203" t="s">
        <v>285</v>
      </c>
      <c r="E782" s="203" t="s">
        <v>117</v>
      </c>
      <c r="G782" s="203">
        <v>469</v>
      </c>
      <c r="H782" s="203" t="s">
        <v>12</v>
      </c>
      <c r="I782" s="203">
        <v>0.33262411347517729</v>
      </c>
    </row>
    <row r="783" spans="1:9" x14ac:dyDescent="0.2">
      <c r="A783" s="204">
        <v>157</v>
      </c>
      <c r="B783" s="203" t="s">
        <v>285</v>
      </c>
      <c r="E783" s="203" t="s">
        <v>118</v>
      </c>
      <c r="G783" s="203">
        <v>470</v>
      </c>
      <c r="H783" s="203" t="s">
        <v>13</v>
      </c>
      <c r="I783" s="203">
        <v>0.33333333333333331</v>
      </c>
    </row>
    <row r="784" spans="1:9" x14ac:dyDescent="0.2">
      <c r="A784" s="204">
        <v>157</v>
      </c>
      <c r="B784" s="203" t="s">
        <v>285</v>
      </c>
      <c r="E784" s="203" t="s">
        <v>119</v>
      </c>
      <c r="G784" s="203">
        <v>471</v>
      </c>
      <c r="H784" s="203" t="s">
        <v>14</v>
      </c>
      <c r="I784" s="203">
        <v>0.33404255319148934</v>
      </c>
    </row>
    <row r="785" spans="1:9" x14ac:dyDescent="0.2">
      <c r="E785" s="203" t="s">
        <v>122</v>
      </c>
      <c r="G785" s="203">
        <v>1410</v>
      </c>
      <c r="H785" s="203" t="s">
        <v>15</v>
      </c>
      <c r="I785" s="203">
        <v>0.99999999999999989</v>
      </c>
    </row>
    <row r="787" spans="1:9" x14ac:dyDescent="0.2">
      <c r="A787" s="204">
        <v>158</v>
      </c>
      <c r="B787" s="203" t="s">
        <v>286</v>
      </c>
      <c r="E787" s="203" t="s">
        <v>117</v>
      </c>
      <c r="G787" s="203">
        <v>472</v>
      </c>
      <c r="H787" s="203" t="s">
        <v>12</v>
      </c>
      <c r="I787" s="203">
        <v>0.33262861169837915</v>
      </c>
    </row>
    <row r="788" spans="1:9" x14ac:dyDescent="0.2">
      <c r="A788" s="204">
        <v>158</v>
      </c>
      <c r="B788" s="203" t="s">
        <v>286</v>
      </c>
      <c r="E788" s="203" t="s">
        <v>118</v>
      </c>
      <c r="G788" s="203">
        <v>473</v>
      </c>
      <c r="H788" s="203" t="s">
        <v>13</v>
      </c>
      <c r="I788" s="203">
        <v>0.33333333333333331</v>
      </c>
    </row>
    <row r="789" spans="1:9" x14ac:dyDescent="0.2">
      <c r="A789" s="204">
        <v>158</v>
      </c>
      <c r="B789" s="203" t="s">
        <v>286</v>
      </c>
      <c r="E789" s="203" t="s">
        <v>119</v>
      </c>
      <c r="G789" s="203">
        <v>474</v>
      </c>
      <c r="H789" s="203" t="s">
        <v>14</v>
      </c>
      <c r="I789" s="203">
        <v>0.33403805496828753</v>
      </c>
    </row>
    <row r="790" spans="1:9" x14ac:dyDescent="0.2">
      <c r="E790" s="203" t="s">
        <v>122</v>
      </c>
      <c r="G790" s="203">
        <v>1419</v>
      </c>
      <c r="H790" s="203" t="s">
        <v>15</v>
      </c>
      <c r="I790" s="203">
        <v>1</v>
      </c>
    </row>
    <row r="792" spans="1:9" x14ac:dyDescent="0.2">
      <c r="A792" s="204">
        <v>159</v>
      </c>
      <c r="B792" s="203" t="s">
        <v>287</v>
      </c>
      <c r="E792" s="203" t="s">
        <v>117</v>
      </c>
      <c r="G792" s="203">
        <v>475</v>
      </c>
      <c r="H792" s="203" t="s">
        <v>12</v>
      </c>
      <c r="I792" s="203">
        <v>0.3326330532212885</v>
      </c>
    </row>
    <row r="793" spans="1:9" x14ac:dyDescent="0.2">
      <c r="A793" s="204">
        <v>159</v>
      </c>
      <c r="B793" s="203" t="s">
        <v>287</v>
      </c>
      <c r="E793" s="203" t="s">
        <v>118</v>
      </c>
      <c r="G793" s="203">
        <v>476</v>
      </c>
      <c r="H793" s="203" t="s">
        <v>13</v>
      </c>
      <c r="I793" s="203">
        <v>0.33333333333333331</v>
      </c>
    </row>
    <row r="794" spans="1:9" x14ac:dyDescent="0.2">
      <c r="A794" s="204">
        <v>159</v>
      </c>
      <c r="B794" s="203" t="s">
        <v>287</v>
      </c>
      <c r="E794" s="203" t="s">
        <v>119</v>
      </c>
      <c r="G794" s="203">
        <v>477</v>
      </c>
      <c r="H794" s="203" t="s">
        <v>14</v>
      </c>
      <c r="I794" s="203">
        <v>0.33403361344537813</v>
      </c>
    </row>
    <row r="795" spans="1:9" x14ac:dyDescent="0.2">
      <c r="E795" s="203" t="s">
        <v>122</v>
      </c>
      <c r="G795" s="203">
        <v>1428</v>
      </c>
      <c r="H795" s="203" t="s">
        <v>15</v>
      </c>
      <c r="I795" s="203">
        <v>1</v>
      </c>
    </row>
    <row r="797" spans="1:9" x14ac:dyDescent="0.2">
      <c r="A797" s="204">
        <v>160</v>
      </c>
      <c r="B797" s="203" t="s">
        <v>288</v>
      </c>
      <c r="E797" s="203" t="s">
        <v>117</v>
      </c>
      <c r="G797" s="203">
        <v>478</v>
      </c>
      <c r="H797" s="203" t="s">
        <v>12</v>
      </c>
      <c r="I797" s="203">
        <v>0.33263743910925542</v>
      </c>
    </row>
    <row r="798" spans="1:9" x14ac:dyDescent="0.2">
      <c r="A798" s="204">
        <v>160</v>
      </c>
      <c r="B798" s="203" t="s">
        <v>288</v>
      </c>
      <c r="E798" s="203" t="s">
        <v>118</v>
      </c>
      <c r="G798" s="203">
        <v>479</v>
      </c>
      <c r="H798" s="203" t="s">
        <v>13</v>
      </c>
      <c r="I798" s="203">
        <v>0.33333333333333331</v>
      </c>
    </row>
    <row r="799" spans="1:9" x14ac:dyDescent="0.2">
      <c r="A799" s="204">
        <v>160</v>
      </c>
      <c r="B799" s="203" t="s">
        <v>288</v>
      </c>
      <c r="E799" s="203" t="s">
        <v>119</v>
      </c>
      <c r="G799" s="203">
        <v>480</v>
      </c>
      <c r="H799" s="203" t="s">
        <v>14</v>
      </c>
      <c r="I799" s="203">
        <v>0.33402922755741127</v>
      </c>
    </row>
    <row r="800" spans="1:9" x14ac:dyDescent="0.2">
      <c r="E800" s="203" t="s">
        <v>122</v>
      </c>
      <c r="G800" s="203">
        <v>1437</v>
      </c>
      <c r="H800" s="203" t="s">
        <v>15</v>
      </c>
      <c r="I800" s="203">
        <v>1</v>
      </c>
    </row>
    <row r="802" spans="1:9" x14ac:dyDescent="0.2">
      <c r="A802" s="204">
        <v>161</v>
      </c>
      <c r="B802" s="203" t="s">
        <v>289</v>
      </c>
      <c r="E802" s="203" t="s">
        <v>117</v>
      </c>
      <c r="G802" s="203">
        <v>481</v>
      </c>
      <c r="H802" s="203" t="s">
        <v>12</v>
      </c>
      <c r="I802" s="203">
        <v>0.33264177040110648</v>
      </c>
    </row>
    <row r="803" spans="1:9" x14ac:dyDescent="0.2">
      <c r="A803" s="204">
        <v>161</v>
      </c>
      <c r="B803" s="203" t="s">
        <v>289</v>
      </c>
      <c r="E803" s="203" t="s">
        <v>118</v>
      </c>
      <c r="G803" s="203">
        <v>482</v>
      </c>
      <c r="H803" s="203" t="s">
        <v>13</v>
      </c>
      <c r="I803" s="203">
        <v>0.33333333333333331</v>
      </c>
    </row>
    <row r="804" spans="1:9" x14ac:dyDescent="0.2">
      <c r="A804" s="204">
        <v>161</v>
      </c>
      <c r="B804" s="203" t="s">
        <v>289</v>
      </c>
      <c r="E804" s="203" t="s">
        <v>119</v>
      </c>
      <c r="G804" s="203">
        <v>483</v>
      </c>
      <c r="H804" s="203" t="s">
        <v>14</v>
      </c>
      <c r="I804" s="203">
        <v>0.33402489626556015</v>
      </c>
    </row>
    <row r="805" spans="1:9" x14ac:dyDescent="0.2">
      <c r="E805" s="203" t="s">
        <v>122</v>
      </c>
      <c r="G805" s="203">
        <v>1446</v>
      </c>
      <c r="H805" s="203" t="s">
        <v>15</v>
      </c>
      <c r="I805" s="203">
        <v>1</v>
      </c>
    </row>
    <row r="807" spans="1:9" x14ac:dyDescent="0.2">
      <c r="A807" s="204">
        <v>162</v>
      </c>
      <c r="B807" s="203" t="s">
        <v>290</v>
      </c>
      <c r="E807" s="203" t="s">
        <v>117</v>
      </c>
      <c r="G807" s="203">
        <v>484</v>
      </c>
      <c r="H807" s="203" t="s">
        <v>12</v>
      </c>
      <c r="I807" s="203">
        <v>0.33264604810996562</v>
      </c>
    </row>
    <row r="808" spans="1:9" x14ac:dyDescent="0.2">
      <c r="A808" s="204">
        <v>162</v>
      </c>
      <c r="B808" s="203" t="s">
        <v>290</v>
      </c>
      <c r="E808" s="203" t="s">
        <v>118</v>
      </c>
      <c r="G808" s="203">
        <v>485</v>
      </c>
      <c r="H808" s="203" t="s">
        <v>13</v>
      </c>
      <c r="I808" s="203">
        <v>0.33333333333333331</v>
      </c>
    </row>
    <row r="809" spans="1:9" x14ac:dyDescent="0.2">
      <c r="A809" s="204">
        <v>162</v>
      </c>
      <c r="B809" s="203" t="s">
        <v>290</v>
      </c>
      <c r="E809" s="203" t="s">
        <v>119</v>
      </c>
      <c r="G809" s="203">
        <v>486</v>
      </c>
      <c r="H809" s="203" t="s">
        <v>14</v>
      </c>
      <c r="I809" s="203">
        <v>0.33402061855670101</v>
      </c>
    </row>
    <row r="810" spans="1:9" x14ac:dyDescent="0.2">
      <c r="E810" s="203" t="s">
        <v>122</v>
      </c>
      <c r="G810" s="203">
        <v>1455</v>
      </c>
      <c r="H810" s="203" t="s">
        <v>15</v>
      </c>
      <c r="I810" s="203">
        <v>1</v>
      </c>
    </row>
    <row r="812" spans="1:9" x14ac:dyDescent="0.2">
      <c r="A812" s="204">
        <v>163</v>
      </c>
      <c r="B812" s="203" t="s">
        <v>291</v>
      </c>
      <c r="E812" s="203" t="s">
        <v>117</v>
      </c>
      <c r="G812" s="203">
        <v>487</v>
      </c>
      <c r="H812" s="203" t="s">
        <v>12</v>
      </c>
      <c r="I812" s="203">
        <v>0.33265027322404372</v>
      </c>
    </row>
    <row r="813" spans="1:9" x14ac:dyDescent="0.2">
      <c r="A813" s="204">
        <v>163</v>
      </c>
      <c r="B813" s="203" t="s">
        <v>291</v>
      </c>
      <c r="E813" s="203" t="s">
        <v>118</v>
      </c>
      <c r="G813" s="203">
        <v>488</v>
      </c>
      <c r="H813" s="203" t="s">
        <v>13</v>
      </c>
      <c r="I813" s="203">
        <v>0.33333333333333331</v>
      </c>
    </row>
    <row r="814" spans="1:9" x14ac:dyDescent="0.2">
      <c r="A814" s="204">
        <v>163</v>
      </c>
      <c r="B814" s="203" t="s">
        <v>291</v>
      </c>
      <c r="E814" s="203" t="s">
        <v>119</v>
      </c>
      <c r="G814" s="203">
        <v>489</v>
      </c>
      <c r="H814" s="203" t="s">
        <v>14</v>
      </c>
      <c r="I814" s="203">
        <v>0.33401639344262296</v>
      </c>
    </row>
    <row r="815" spans="1:9" x14ac:dyDescent="0.2">
      <c r="E815" s="203" t="s">
        <v>122</v>
      </c>
      <c r="G815" s="203">
        <v>1464</v>
      </c>
      <c r="H815" s="203" t="s">
        <v>15</v>
      </c>
      <c r="I815" s="203">
        <v>1</v>
      </c>
    </row>
    <row r="817" spans="1:9" x14ac:dyDescent="0.2">
      <c r="A817" s="204">
        <v>164</v>
      </c>
      <c r="B817" s="203" t="s">
        <v>292</v>
      </c>
      <c r="E817" s="203" t="s">
        <v>117</v>
      </c>
      <c r="G817" s="203">
        <v>490</v>
      </c>
      <c r="H817" s="203" t="s">
        <v>12</v>
      </c>
      <c r="I817" s="203">
        <v>0.33265444670739985</v>
      </c>
    </row>
    <row r="818" spans="1:9" x14ac:dyDescent="0.2">
      <c r="A818" s="204">
        <v>164</v>
      </c>
      <c r="B818" s="203" t="s">
        <v>292</v>
      </c>
      <c r="E818" s="203" t="s">
        <v>118</v>
      </c>
      <c r="G818" s="203">
        <v>491</v>
      </c>
      <c r="H818" s="203" t="s">
        <v>13</v>
      </c>
      <c r="I818" s="203">
        <v>0.33333333333333331</v>
      </c>
    </row>
    <row r="819" spans="1:9" x14ac:dyDescent="0.2">
      <c r="A819" s="204">
        <v>164</v>
      </c>
      <c r="B819" s="203" t="s">
        <v>292</v>
      </c>
      <c r="E819" s="203" t="s">
        <v>119</v>
      </c>
      <c r="G819" s="203">
        <v>492</v>
      </c>
      <c r="H819" s="203" t="s">
        <v>14</v>
      </c>
      <c r="I819" s="203">
        <v>0.33401221995926678</v>
      </c>
    </row>
    <row r="820" spans="1:9" x14ac:dyDescent="0.2">
      <c r="E820" s="203" t="s">
        <v>122</v>
      </c>
      <c r="G820" s="203">
        <v>1473</v>
      </c>
      <c r="H820" s="203" t="s">
        <v>15</v>
      </c>
      <c r="I820" s="203">
        <v>1</v>
      </c>
    </row>
    <row r="822" spans="1:9" x14ac:dyDescent="0.2">
      <c r="A822" s="204">
        <v>165</v>
      </c>
      <c r="B822" s="203" t="s">
        <v>293</v>
      </c>
      <c r="E822" s="203" t="s">
        <v>117</v>
      </c>
      <c r="G822" s="203">
        <v>493</v>
      </c>
      <c r="H822" s="203" t="s">
        <v>12</v>
      </c>
      <c r="I822" s="203">
        <v>0.33265856950067474</v>
      </c>
    </row>
    <row r="823" spans="1:9" x14ac:dyDescent="0.2">
      <c r="A823" s="204">
        <v>165</v>
      </c>
      <c r="B823" s="203" t="s">
        <v>293</v>
      </c>
      <c r="E823" s="203" t="s">
        <v>118</v>
      </c>
      <c r="G823" s="203">
        <v>494</v>
      </c>
      <c r="H823" s="203" t="s">
        <v>13</v>
      </c>
      <c r="I823" s="203">
        <v>0.33333333333333331</v>
      </c>
    </row>
    <row r="824" spans="1:9" x14ac:dyDescent="0.2">
      <c r="A824" s="204">
        <v>165</v>
      </c>
      <c r="B824" s="203" t="s">
        <v>293</v>
      </c>
      <c r="E824" s="203" t="s">
        <v>119</v>
      </c>
      <c r="G824" s="203">
        <v>495</v>
      </c>
      <c r="H824" s="203" t="s">
        <v>14</v>
      </c>
      <c r="I824" s="203">
        <v>0.33400809716599189</v>
      </c>
    </row>
    <row r="825" spans="1:9" x14ac:dyDescent="0.2">
      <c r="E825" s="203" t="s">
        <v>122</v>
      </c>
      <c r="G825" s="203">
        <v>1482</v>
      </c>
      <c r="H825" s="203" t="s">
        <v>15</v>
      </c>
      <c r="I825" s="203">
        <v>0.99999999999999989</v>
      </c>
    </row>
    <row r="827" spans="1:9" x14ac:dyDescent="0.2">
      <c r="A827" s="204">
        <v>166</v>
      </c>
      <c r="B827" s="203" t="s">
        <v>294</v>
      </c>
      <c r="E827" s="203" t="s">
        <v>117</v>
      </c>
      <c r="G827" s="203">
        <v>496</v>
      </c>
      <c r="H827" s="203" t="s">
        <v>12</v>
      </c>
      <c r="I827" s="203">
        <v>0.33266264252179745</v>
      </c>
    </row>
    <row r="828" spans="1:9" x14ac:dyDescent="0.2">
      <c r="A828" s="204">
        <v>166</v>
      </c>
      <c r="B828" s="203" t="s">
        <v>294</v>
      </c>
      <c r="E828" s="203" t="s">
        <v>118</v>
      </c>
      <c r="G828" s="203">
        <v>497</v>
      </c>
      <c r="H828" s="203" t="s">
        <v>13</v>
      </c>
      <c r="I828" s="203">
        <v>0.33333333333333331</v>
      </c>
    </row>
    <row r="829" spans="1:9" x14ac:dyDescent="0.2">
      <c r="A829" s="204">
        <v>166</v>
      </c>
      <c r="B829" s="203" t="s">
        <v>294</v>
      </c>
      <c r="E829" s="203" t="s">
        <v>119</v>
      </c>
      <c r="G829" s="203">
        <v>498</v>
      </c>
      <c r="H829" s="203" t="s">
        <v>14</v>
      </c>
      <c r="I829" s="203">
        <v>0.33400402414486924</v>
      </c>
    </row>
    <row r="830" spans="1:9" x14ac:dyDescent="0.2">
      <c r="E830" s="203" t="s">
        <v>122</v>
      </c>
      <c r="G830" s="203">
        <v>1491</v>
      </c>
      <c r="H830" s="203" t="s">
        <v>15</v>
      </c>
      <c r="I830" s="203">
        <v>1</v>
      </c>
    </row>
    <row r="832" spans="1:9" x14ac:dyDescent="0.2">
      <c r="A832" s="204">
        <v>167</v>
      </c>
      <c r="B832" s="203" t="s">
        <v>295</v>
      </c>
      <c r="E832" s="203" t="s">
        <v>117</v>
      </c>
      <c r="G832" s="203">
        <v>499</v>
      </c>
      <c r="H832" s="203" t="s">
        <v>12</v>
      </c>
      <c r="I832" s="203">
        <v>0.33266666666666667</v>
      </c>
    </row>
    <row r="833" spans="1:9" x14ac:dyDescent="0.2">
      <c r="A833" s="204">
        <v>167</v>
      </c>
      <c r="B833" s="203" t="s">
        <v>295</v>
      </c>
      <c r="E833" s="203" t="s">
        <v>118</v>
      </c>
      <c r="G833" s="203">
        <v>500</v>
      </c>
      <c r="H833" s="203" t="s">
        <v>13</v>
      </c>
      <c r="I833" s="203">
        <v>0.33333333333333331</v>
      </c>
    </row>
    <row r="834" spans="1:9" x14ac:dyDescent="0.2">
      <c r="A834" s="204">
        <v>167</v>
      </c>
      <c r="B834" s="203" t="s">
        <v>295</v>
      </c>
      <c r="E834" s="203" t="s">
        <v>119</v>
      </c>
      <c r="G834" s="203">
        <v>501</v>
      </c>
      <c r="H834" s="203" t="s">
        <v>14</v>
      </c>
      <c r="I834" s="203">
        <v>0.33400000000000002</v>
      </c>
    </row>
    <row r="835" spans="1:9" x14ac:dyDescent="0.2">
      <c r="E835" s="203" t="s">
        <v>122</v>
      </c>
      <c r="G835" s="203">
        <v>1500</v>
      </c>
      <c r="H835" s="203" t="s">
        <v>15</v>
      </c>
      <c r="I835" s="203">
        <v>1</v>
      </c>
    </row>
    <row r="837" spans="1:9" x14ac:dyDescent="0.2">
      <c r="A837" s="204">
        <v>168</v>
      </c>
      <c r="B837" s="203" t="s">
        <v>296</v>
      </c>
      <c r="E837" s="203" t="s">
        <v>117</v>
      </c>
      <c r="G837" s="203">
        <v>502</v>
      </c>
      <c r="H837" s="203" t="s">
        <v>12</v>
      </c>
      <c r="I837" s="203">
        <v>0.33267064280980779</v>
      </c>
    </row>
    <row r="838" spans="1:9" x14ac:dyDescent="0.2">
      <c r="A838" s="204">
        <v>168</v>
      </c>
      <c r="B838" s="203" t="s">
        <v>296</v>
      </c>
      <c r="E838" s="203" t="s">
        <v>118</v>
      </c>
      <c r="G838" s="203">
        <v>503</v>
      </c>
      <c r="H838" s="203" t="s">
        <v>13</v>
      </c>
      <c r="I838" s="203">
        <v>0.33333333333333331</v>
      </c>
    </row>
    <row r="839" spans="1:9" x14ac:dyDescent="0.2">
      <c r="A839" s="204">
        <v>168</v>
      </c>
      <c r="B839" s="203" t="s">
        <v>296</v>
      </c>
      <c r="E839" s="203" t="s">
        <v>119</v>
      </c>
      <c r="G839" s="203">
        <v>504</v>
      </c>
      <c r="H839" s="203" t="s">
        <v>14</v>
      </c>
      <c r="I839" s="203">
        <v>0.33399602385685884</v>
      </c>
    </row>
    <row r="840" spans="1:9" x14ac:dyDescent="0.2">
      <c r="E840" s="203" t="s">
        <v>122</v>
      </c>
      <c r="G840" s="203">
        <v>1509</v>
      </c>
      <c r="H840" s="203" t="s">
        <v>15</v>
      </c>
      <c r="I840" s="203">
        <v>1</v>
      </c>
    </row>
    <row r="842" spans="1:9" x14ac:dyDescent="0.2">
      <c r="A842" s="204">
        <v>169</v>
      </c>
      <c r="B842" s="203" t="s">
        <v>297</v>
      </c>
      <c r="E842" s="203" t="s">
        <v>117</v>
      </c>
      <c r="G842" s="203">
        <v>505</v>
      </c>
      <c r="H842" s="203" t="s">
        <v>12</v>
      </c>
      <c r="I842" s="203">
        <v>0.33267457180500659</v>
      </c>
    </row>
    <row r="843" spans="1:9" x14ac:dyDescent="0.2">
      <c r="A843" s="204">
        <v>169</v>
      </c>
      <c r="B843" s="203" t="s">
        <v>297</v>
      </c>
      <c r="E843" s="203" t="s">
        <v>118</v>
      </c>
      <c r="G843" s="203">
        <v>506</v>
      </c>
      <c r="H843" s="203" t="s">
        <v>13</v>
      </c>
      <c r="I843" s="203">
        <v>0.33333333333333331</v>
      </c>
    </row>
    <row r="844" spans="1:9" x14ac:dyDescent="0.2">
      <c r="A844" s="204">
        <v>169</v>
      </c>
      <c r="B844" s="203" t="s">
        <v>297</v>
      </c>
      <c r="E844" s="203" t="s">
        <v>119</v>
      </c>
      <c r="G844" s="203">
        <v>507</v>
      </c>
      <c r="H844" s="203" t="s">
        <v>14</v>
      </c>
      <c r="I844" s="203">
        <v>0.33399209486166009</v>
      </c>
    </row>
    <row r="845" spans="1:9" x14ac:dyDescent="0.2">
      <c r="E845" s="203" t="s">
        <v>122</v>
      </c>
      <c r="G845" s="203">
        <v>1518</v>
      </c>
      <c r="H845" s="203" t="s">
        <v>15</v>
      </c>
      <c r="I845" s="203">
        <v>1</v>
      </c>
    </row>
    <row r="847" spans="1:9" x14ac:dyDescent="0.2">
      <c r="A847" s="204">
        <v>170</v>
      </c>
      <c r="B847" s="203" t="s">
        <v>298</v>
      </c>
      <c r="E847" s="203" t="s">
        <v>117</v>
      </c>
      <c r="G847" s="203">
        <v>508</v>
      </c>
      <c r="H847" s="203" t="s">
        <v>12</v>
      </c>
      <c r="I847" s="203">
        <v>0.33267845448592009</v>
      </c>
    </row>
    <row r="848" spans="1:9" x14ac:dyDescent="0.2">
      <c r="A848" s="204">
        <v>170</v>
      </c>
      <c r="B848" s="203" t="s">
        <v>298</v>
      </c>
      <c r="E848" s="203" t="s">
        <v>118</v>
      </c>
      <c r="G848" s="203">
        <v>509</v>
      </c>
      <c r="H848" s="203" t="s">
        <v>13</v>
      </c>
      <c r="I848" s="203">
        <v>0.33333333333333331</v>
      </c>
    </row>
    <row r="849" spans="1:9" x14ac:dyDescent="0.2">
      <c r="A849" s="204">
        <v>170</v>
      </c>
      <c r="B849" s="203" t="s">
        <v>298</v>
      </c>
      <c r="E849" s="203" t="s">
        <v>119</v>
      </c>
      <c r="G849" s="203">
        <v>510</v>
      </c>
      <c r="H849" s="203" t="s">
        <v>14</v>
      </c>
      <c r="I849" s="203">
        <v>0.33398821218074654</v>
      </c>
    </row>
    <row r="850" spans="1:9" x14ac:dyDescent="0.2">
      <c r="E850" s="203" t="s">
        <v>122</v>
      </c>
      <c r="G850" s="203">
        <v>1527</v>
      </c>
      <c r="H850" s="203" t="s">
        <v>15</v>
      </c>
      <c r="I850" s="203">
        <v>1</v>
      </c>
    </row>
    <row r="852" spans="1:9" x14ac:dyDescent="0.2">
      <c r="A852" s="204">
        <v>171</v>
      </c>
      <c r="B852" s="203" t="s">
        <v>299</v>
      </c>
      <c r="E852" s="203" t="s">
        <v>117</v>
      </c>
      <c r="G852" s="203">
        <v>511</v>
      </c>
      <c r="H852" s="203" t="s">
        <v>12</v>
      </c>
      <c r="I852" s="203">
        <v>0.33268229166666669</v>
      </c>
    </row>
    <row r="853" spans="1:9" x14ac:dyDescent="0.2">
      <c r="A853" s="204">
        <v>171</v>
      </c>
      <c r="B853" s="203" t="s">
        <v>299</v>
      </c>
      <c r="E853" s="203" t="s">
        <v>118</v>
      </c>
      <c r="G853" s="203">
        <v>512</v>
      </c>
      <c r="H853" s="203" t="s">
        <v>13</v>
      </c>
      <c r="I853" s="203">
        <v>0.33333333333333331</v>
      </c>
    </row>
    <row r="854" spans="1:9" x14ac:dyDescent="0.2">
      <c r="A854" s="204">
        <v>171</v>
      </c>
      <c r="B854" s="203" t="s">
        <v>299</v>
      </c>
      <c r="E854" s="203" t="s">
        <v>119</v>
      </c>
      <c r="G854" s="203">
        <v>513</v>
      </c>
      <c r="H854" s="203" t="s">
        <v>14</v>
      </c>
      <c r="I854" s="203">
        <v>0.333984375</v>
      </c>
    </row>
    <row r="855" spans="1:9" x14ac:dyDescent="0.2">
      <c r="E855" s="203" t="s">
        <v>122</v>
      </c>
      <c r="G855" s="203">
        <v>1536</v>
      </c>
      <c r="H855" s="203" t="s">
        <v>15</v>
      </c>
      <c r="I855" s="203">
        <v>1</v>
      </c>
    </row>
    <row r="857" spans="1:9" x14ac:dyDescent="0.2">
      <c r="A857" s="204">
        <v>172</v>
      </c>
      <c r="B857" s="203" t="s">
        <v>300</v>
      </c>
      <c r="E857" s="203" t="s">
        <v>117</v>
      </c>
      <c r="G857" s="203">
        <v>514</v>
      </c>
      <c r="H857" s="203" t="s">
        <v>12</v>
      </c>
      <c r="I857" s="203">
        <v>0.33268608414239481</v>
      </c>
    </row>
    <row r="858" spans="1:9" x14ac:dyDescent="0.2">
      <c r="A858" s="204">
        <v>172</v>
      </c>
      <c r="B858" s="203" t="s">
        <v>300</v>
      </c>
      <c r="E858" s="203" t="s">
        <v>118</v>
      </c>
      <c r="G858" s="203">
        <v>515</v>
      </c>
      <c r="H858" s="203" t="s">
        <v>13</v>
      </c>
      <c r="I858" s="203">
        <v>0.33333333333333331</v>
      </c>
    </row>
    <row r="859" spans="1:9" x14ac:dyDescent="0.2">
      <c r="A859" s="204">
        <v>172</v>
      </c>
      <c r="B859" s="203" t="s">
        <v>300</v>
      </c>
      <c r="E859" s="203" t="s">
        <v>119</v>
      </c>
      <c r="G859" s="203">
        <v>516</v>
      </c>
      <c r="H859" s="203" t="s">
        <v>14</v>
      </c>
      <c r="I859" s="203">
        <v>0.33398058252427182</v>
      </c>
    </row>
    <row r="860" spans="1:9" x14ac:dyDescent="0.2">
      <c r="E860" s="203" t="s">
        <v>122</v>
      </c>
      <c r="G860" s="203">
        <v>1545</v>
      </c>
      <c r="H860" s="203" t="s">
        <v>15</v>
      </c>
      <c r="I860" s="203">
        <v>1</v>
      </c>
    </row>
    <row r="862" spans="1:9" x14ac:dyDescent="0.2">
      <c r="A862" s="204">
        <v>173</v>
      </c>
      <c r="B862" s="203" t="s">
        <v>301</v>
      </c>
      <c r="E862" s="203" t="s">
        <v>117</v>
      </c>
      <c r="G862" s="203">
        <v>517</v>
      </c>
      <c r="H862" s="203" t="s">
        <v>12</v>
      </c>
      <c r="I862" s="203">
        <v>0.33268983268983271</v>
      </c>
    </row>
    <row r="863" spans="1:9" x14ac:dyDescent="0.2">
      <c r="A863" s="204">
        <v>173</v>
      </c>
      <c r="B863" s="203" t="s">
        <v>301</v>
      </c>
      <c r="E863" s="203" t="s">
        <v>118</v>
      </c>
      <c r="G863" s="203">
        <v>518</v>
      </c>
      <c r="H863" s="203" t="s">
        <v>13</v>
      </c>
      <c r="I863" s="203">
        <v>0.33333333333333331</v>
      </c>
    </row>
    <row r="864" spans="1:9" x14ac:dyDescent="0.2">
      <c r="A864" s="204">
        <v>173</v>
      </c>
      <c r="B864" s="203" t="s">
        <v>301</v>
      </c>
      <c r="E864" s="203" t="s">
        <v>119</v>
      </c>
      <c r="G864" s="203">
        <v>519</v>
      </c>
      <c r="H864" s="203" t="s">
        <v>14</v>
      </c>
      <c r="I864" s="203">
        <v>0.33397683397683398</v>
      </c>
    </row>
    <row r="865" spans="1:9" x14ac:dyDescent="0.2">
      <c r="E865" s="203" t="s">
        <v>122</v>
      </c>
      <c r="G865" s="203">
        <v>1554</v>
      </c>
      <c r="H865" s="203" t="s">
        <v>15</v>
      </c>
      <c r="I865" s="203">
        <v>1</v>
      </c>
    </row>
    <row r="867" spans="1:9" x14ac:dyDescent="0.2">
      <c r="A867" s="204">
        <v>174</v>
      </c>
      <c r="B867" s="203" t="s">
        <v>302</v>
      </c>
      <c r="E867" s="203" t="s">
        <v>117</v>
      </c>
      <c r="G867" s="203">
        <v>520</v>
      </c>
      <c r="H867" s="203" t="s">
        <v>12</v>
      </c>
      <c r="I867" s="203">
        <v>0.33269353806781832</v>
      </c>
    </row>
    <row r="868" spans="1:9" x14ac:dyDescent="0.2">
      <c r="A868" s="204">
        <v>174</v>
      </c>
      <c r="B868" s="203" t="s">
        <v>302</v>
      </c>
      <c r="E868" s="203" t="s">
        <v>118</v>
      </c>
      <c r="G868" s="203">
        <v>521</v>
      </c>
      <c r="H868" s="203" t="s">
        <v>13</v>
      </c>
      <c r="I868" s="203">
        <v>0.33333333333333331</v>
      </c>
    </row>
    <row r="869" spans="1:9" x14ac:dyDescent="0.2">
      <c r="A869" s="204">
        <v>174</v>
      </c>
      <c r="B869" s="203" t="s">
        <v>302</v>
      </c>
      <c r="E869" s="203" t="s">
        <v>119</v>
      </c>
      <c r="G869" s="203">
        <v>522</v>
      </c>
      <c r="H869" s="203" t="s">
        <v>14</v>
      </c>
      <c r="I869" s="203">
        <v>0.33397312859884837</v>
      </c>
    </row>
    <row r="870" spans="1:9" x14ac:dyDescent="0.2">
      <c r="E870" s="203" t="s">
        <v>122</v>
      </c>
      <c r="G870" s="203">
        <v>1563</v>
      </c>
      <c r="H870" s="203" t="s">
        <v>15</v>
      </c>
      <c r="I870" s="203">
        <v>1</v>
      </c>
    </row>
    <row r="872" spans="1:9" x14ac:dyDescent="0.2">
      <c r="A872" s="204">
        <v>175</v>
      </c>
      <c r="B872" s="203" t="s">
        <v>303</v>
      </c>
      <c r="E872" s="203" t="s">
        <v>117</v>
      </c>
      <c r="G872" s="203">
        <v>523</v>
      </c>
      <c r="H872" s="203" t="s">
        <v>12</v>
      </c>
      <c r="I872" s="203">
        <v>0.33269720101781169</v>
      </c>
    </row>
    <row r="873" spans="1:9" x14ac:dyDescent="0.2">
      <c r="A873" s="204">
        <v>175</v>
      </c>
      <c r="B873" s="203" t="s">
        <v>303</v>
      </c>
      <c r="E873" s="203" t="s">
        <v>118</v>
      </c>
      <c r="G873" s="203">
        <v>524</v>
      </c>
      <c r="H873" s="203" t="s">
        <v>13</v>
      </c>
      <c r="I873" s="203">
        <v>0.33333333333333331</v>
      </c>
    </row>
    <row r="874" spans="1:9" x14ac:dyDescent="0.2">
      <c r="A874" s="204">
        <v>175</v>
      </c>
      <c r="B874" s="203" t="s">
        <v>303</v>
      </c>
      <c r="E874" s="203" t="s">
        <v>119</v>
      </c>
      <c r="G874" s="203">
        <v>525</v>
      </c>
      <c r="H874" s="203" t="s">
        <v>14</v>
      </c>
      <c r="I874" s="203">
        <v>0.33396946564885494</v>
      </c>
    </row>
    <row r="875" spans="1:9" x14ac:dyDescent="0.2">
      <c r="E875" s="203" t="s">
        <v>122</v>
      </c>
      <c r="G875" s="203">
        <v>1572</v>
      </c>
      <c r="H875" s="203" t="s">
        <v>15</v>
      </c>
      <c r="I875" s="203">
        <v>1</v>
      </c>
    </row>
    <row r="877" spans="1:9" x14ac:dyDescent="0.2">
      <c r="A877" s="204">
        <v>176</v>
      </c>
      <c r="B877" s="203" t="s">
        <v>304</v>
      </c>
      <c r="E877" s="203" t="s">
        <v>117</v>
      </c>
      <c r="G877" s="203">
        <v>526</v>
      </c>
      <c r="H877" s="203" t="s">
        <v>12</v>
      </c>
      <c r="I877" s="203">
        <v>0.33270082226438963</v>
      </c>
    </row>
    <row r="878" spans="1:9" x14ac:dyDescent="0.2">
      <c r="A878" s="204">
        <v>176</v>
      </c>
      <c r="B878" s="203" t="s">
        <v>304</v>
      </c>
      <c r="E878" s="203" t="s">
        <v>118</v>
      </c>
      <c r="G878" s="203">
        <v>527</v>
      </c>
      <c r="H878" s="203" t="s">
        <v>13</v>
      </c>
      <c r="I878" s="203">
        <v>0.33333333333333331</v>
      </c>
    </row>
    <row r="879" spans="1:9" x14ac:dyDescent="0.2">
      <c r="A879" s="204">
        <v>176</v>
      </c>
      <c r="B879" s="203" t="s">
        <v>304</v>
      </c>
      <c r="E879" s="203" t="s">
        <v>119</v>
      </c>
      <c r="G879" s="203">
        <v>528</v>
      </c>
      <c r="H879" s="203" t="s">
        <v>14</v>
      </c>
      <c r="I879" s="203">
        <v>0.33396584440227706</v>
      </c>
    </row>
    <row r="880" spans="1:9" x14ac:dyDescent="0.2">
      <c r="E880" s="203" t="s">
        <v>122</v>
      </c>
      <c r="G880" s="203">
        <v>1581</v>
      </c>
      <c r="H880" s="203" t="s">
        <v>15</v>
      </c>
      <c r="I880" s="203">
        <v>1</v>
      </c>
    </row>
    <row r="882" spans="1:9" x14ac:dyDescent="0.2">
      <c r="A882" s="204">
        <v>177</v>
      </c>
      <c r="B882" s="203" t="s">
        <v>305</v>
      </c>
      <c r="E882" s="203" t="s">
        <v>117</v>
      </c>
      <c r="G882" s="203">
        <v>529</v>
      </c>
      <c r="H882" s="203" t="s">
        <v>12</v>
      </c>
      <c r="I882" s="203">
        <v>0.33270440251572325</v>
      </c>
    </row>
    <row r="883" spans="1:9" x14ac:dyDescent="0.2">
      <c r="A883" s="204">
        <v>177</v>
      </c>
      <c r="B883" s="203" t="s">
        <v>305</v>
      </c>
      <c r="E883" s="203" t="s">
        <v>118</v>
      </c>
      <c r="G883" s="203">
        <v>530</v>
      </c>
      <c r="H883" s="203" t="s">
        <v>13</v>
      </c>
      <c r="I883" s="203">
        <v>0.33333333333333331</v>
      </c>
    </row>
    <row r="884" spans="1:9" x14ac:dyDescent="0.2">
      <c r="A884" s="204">
        <v>177</v>
      </c>
      <c r="B884" s="203" t="s">
        <v>305</v>
      </c>
      <c r="E884" s="203" t="s">
        <v>119</v>
      </c>
      <c r="G884" s="203">
        <v>531</v>
      </c>
      <c r="H884" s="203" t="s">
        <v>14</v>
      </c>
      <c r="I884" s="203">
        <v>0.33396226415094338</v>
      </c>
    </row>
    <row r="885" spans="1:9" x14ac:dyDescent="0.2">
      <c r="E885" s="203" t="s">
        <v>122</v>
      </c>
      <c r="G885" s="203">
        <v>1590</v>
      </c>
      <c r="H885" s="203" t="s">
        <v>15</v>
      </c>
      <c r="I885" s="203">
        <v>1</v>
      </c>
    </row>
    <row r="887" spans="1:9" x14ac:dyDescent="0.2">
      <c r="A887" s="204">
        <v>178</v>
      </c>
      <c r="B887" s="203" t="s">
        <v>306</v>
      </c>
      <c r="E887" s="203" t="s">
        <v>117</v>
      </c>
      <c r="G887" s="203">
        <v>532</v>
      </c>
      <c r="H887" s="203" t="s">
        <v>12</v>
      </c>
      <c r="I887" s="203">
        <v>0.33270794246404001</v>
      </c>
    </row>
    <row r="888" spans="1:9" x14ac:dyDescent="0.2">
      <c r="A888" s="204">
        <v>178</v>
      </c>
      <c r="B888" s="203" t="s">
        <v>306</v>
      </c>
      <c r="E888" s="203" t="s">
        <v>118</v>
      </c>
      <c r="G888" s="203">
        <v>533</v>
      </c>
      <c r="H888" s="203" t="s">
        <v>13</v>
      </c>
      <c r="I888" s="203">
        <v>0.33333333333333331</v>
      </c>
    </row>
    <row r="889" spans="1:9" x14ac:dyDescent="0.2">
      <c r="A889" s="204">
        <v>178</v>
      </c>
      <c r="B889" s="203" t="s">
        <v>306</v>
      </c>
      <c r="E889" s="203" t="s">
        <v>119</v>
      </c>
      <c r="G889" s="203">
        <v>534</v>
      </c>
      <c r="H889" s="203" t="s">
        <v>14</v>
      </c>
      <c r="I889" s="203">
        <v>0.33395872420262662</v>
      </c>
    </row>
    <row r="890" spans="1:9" x14ac:dyDescent="0.2">
      <c r="E890" s="203" t="s">
        <v>122</v>
      </c>
      <c r="G890" s="203">
        <v>1599</v>
      </c>
      <c r="H890" s="203" t="s">
        <v>15</v>
      </c>
      <c r="I890" s="203">
        <v>0.99999999999999989</v>
      </c>
    </row>
    <row r="892" spans="1:9" x14ac:dyDescent="0.2">
      <c r="A892" s="204">
        <v>179</v>
      </c>
      <c r="B892" s="203" t="s">
        <v>307</v>
      </c>
      <c r="E892" s="203" t="s">
        <v>117</v>
      </c>
      <c r="G892" s="203">
        <v>535</v>
      </c>
      <c r="H892" s="203" t="s">
        <v>12</v>
      </c>
      <c r="I892" s="203">
        <v>0.33271144278606968</v>
      </c>
    </row>
    <row r="893" spans="1:9" x14ac:dyDescent="0.2">
      <c r="A893" s="204">
        <v>179</v>
      </c>
      <c r="B893" s="203" t="s">
        <v>307</v>
      </c>
      <c r="E893" s="203" t="s">
        <v>118</v>
      </c>
      <c r="G893" s="203">
        <v>536</v>
      </c>
      <c r="H893" s="203" t="s">
        <v>13</v>
      </c>
      <c r="I893" s="203">
        <v>0.33333333333333331</v>
      </c>
    </row>
    <row r="894" spans="1:9" x14ac:dyDescent="0.2">
      <c r="A894" s="204">
        <v>179</v>
      </c>
      <c r="B894" s="203" t="s">
        <v>307</v>
      </c>
      <c r="E894" s="203" t="s">
        <v>119</v>
      </c>
      <c r="G894" s="203">
        <v>537</v>
      </c>
      <c r="H894" s="203" t="s">
        <v>14</v>
      </c>
      <c r="I894" s="203">
        <v>0.33395522388059701</v>
      </c>
    </row>
    <row r="895" spans="1:9" x14ac:dyDescent="0.2">
      <c r="E895" s="203" t="s">
        <v>122</v>
      </c>
      <c r="G895" s="203">
        <v>1608</v>
      </c>
      <c r="H895" s="203" t="s">
        <v>15</v>
      </c>
      <c r="I895" s="203">
        <v>1</v>
      </c>
    </row>
    <row r="897" spans="1:9" x14ac:dyDescent="0.2">
      <c r="A897" s="204">
        <v>180</v>
      </c>
      <c r="B897" s="203" t="s">
        <v>308</v>
      </c>
      <c r="E897" s="203" t="s">
        <v>117</v>
      </c>
      <c r="G897" s="203">
        <v>538</v>
      </c>
      <c r="H897" s="203" t="s">
        <v>12</v>
      </c>
      <c r="I897" s="203">
        <v>0.3327149041434756</v>
      </c>
    </row>
    <row r="898" spans="1:9" x14ac:dyDescent="0.2">
      <c r="A898" s="204">
        <v>180</v>
      </c>
      <c r="B898" s="203" t="s">
        <v>308</v>
      </c>
      <c r="E898" s="203" t="s">
        <v>118</v>
      </c>
      <c r="G898" s="203">
        <v>539</v>
      </c>
      <c r="H898" s="203" t="s">
        <v>13</v>
      </c>
      <c r="I898" s="203">
        <v>0.33333333333333331</v>
      </c>
    </row>
    <row r="899" spans="1:9" x14ac:dyDescent="0.2">
      <c r="A899" s="204">
        <v>180</v>
      </c>
      <c r="B899" s="203" t="s">
        <v>308</v>
      </c>
      <c r="E899" s="203" t="s">
        <v>119</v>
      </c>
      <c r="G899" s="203">
        <v>540</v>
      </c>
      <c r="H899" s="203" t="s">
        <v>14</v>
      </c>
      <c r="I899" s="203">
        <v>0.33395176252319109</v>
      </c>
    </row>
    <row r="900" spans="1:9" x14ac:dyDescent="0.2">
      <c r="E900" s="203" t="s">
        <v>122</v>
      </c>
      <c r="G900" s="203">
        <v>1617</v>
      </c>
      <c r="H900" s="203" t="s">
        <v>15</v>
      </c>
      <c r="I900" s="203">
        <v>1</v>
      </c>
    </row>
    <row r="902" spans="1:9" x14ac:dyDescent="0.2">
      <c r="A902" s="204">
        <v>181</v>
      </c>
      <c r="B902" s="203" t="s">
        <v>309</v>
      </c>
      <c r="E902" s="203" t="s">
        <v>117</v>
      </c>
      <c r="G902" s="203">
        <v>541</v>
      </c>
      <c r="H902" s="203" t="s">
        <v>12</v>
      </c>
      <c r="I902" s="203">
        <v>0.33271832718327182</v>
      </c>
    </row>
    <row r="903" spans="1:9" x14ac:dyDescent="0.2">
      <c r="A903" s="204">
        <v>181</v>
      </c>
      <c r="B903" s="203" t="s">
        <v>309</v>
      </c>
      <c r="E903" s="203" t="s">
        <v>118</v>
      </c>
      <c r="G903" s="203">
        <v>542</v>
      </c>
      <c r="H903" s="203" t="s">
        <v>13</v>
      </c>
      <c r="I903" s="203">
        <v>0.33333333333333331</v>
      </c>
    </row>
    <row r="904" spans="1:9" x14ac:dyDescent="0.2">
      <c r="A904" s="204">
        <v>181</v>
      </c>
      <c r="B904" s="203" t="s">
        <v>309</v>
      </c>
      <c r="E904" s="203" t="s">
        <v>119</v>
      </c>
      <c r="G904" s="203">
        <v>543</v>
      </c>
      <c r="H904" s="203" t="s">
        <v>14</v>
      </c>
      <c r="I904" s="203">
        <v>0.33394833948339481</v>
      </c>
    </row>
    <row r="905" spans="1:9" x14ac:dyDescent="0.2">
      <c r="E905" s="203" t="s">
        <v>122</v>
      </c>
      <c r="G905" s="203">
        <v>1626</v>
      </c>
      <c r="H905" s="203" t="s">
        <v>15</v>
      </c>
      <c r="I905" s="203">
        <v>1</v>
      </c>
    </row>
    <row r="907" spans="1:9" x14ac:dyDescent="0.2">
      <c r="A907" s="204">
        <v>182</v>
      </c>
      <c r="B907" s="203" t="s">
        <v>310</v>
      </c>
      <c r="E907" s="203" t="s">
        <v>117</v>
      </c>
      <c r="G907" s="203">
        <v>544</v>
      </c>
      <c r="H907" s="203" t="s">
        <v>12</v>
      </c>
      <c r="I907" s="203">
        <v>0.3327217125382263</v>
      </c>
    </row>
    <row r="908" spans="1:9" x14ac:dyDescent="0.2">
      <c r="A908" s="204">
        <v>182</v>
      </c>
      <c r="B908" s="203" t="s">
        <v>310</v>
      </c>
      <c r="E908" s="203" t="s">
        <v>118</v>
      </c>
      <c r="G908" s="203">
        <v>545</v>
      </c>
      <c r="H908" s="203" t="s">
        <v>13</v>
      </c>
      <c r="I908" s="203">
        <v>0.33333333333333331</v>
      </c>
    </row>
    <row r="909" spans="1:9" x14ac:dyDescent="0.2">
      <c r="A909" s="204">
        <v>182</v>
      </c>
      <c r="B909" s="203" t="s">
        <v>310</v>
      </c>
      <c r="E909" s="203" t="s">
        <v>119</v>
      </c>
      <c r="G909" s="203">
        <v>546</v>
      </c>
      <c r="H909" s="203" t="s">
        <v>14</v>
      </c>
      <c r="I909" s="203">
        <v>0.33394495412844039</v>
      </c>
    </row>
    <row r="910" spans="1:9" x14ac:dyDescent="0.2">
      <c r="E910" s="203" t="s">
        <v>122</v>
      </c>
      <c r="G910" s="203">
        <v>1635</v>
      </c>
      <c r="H910" s="203" t="s">
        <v>15</v>
      </c>
      <c r="I910" s="203">
        <v>1</v>
      </c>
    </row>
    <row r="912" spans="1:9" x14ac:dyDescent="0.2">
      <c r="A912" s="204">
        <v>183</v>
      </c>
      <c r="B912" s="203" t="s">
        <v>311</v>
      </c>
      <c r="E912" s="203" t="s">
        <v>117</v>
      </c>
      <c r="G912" s="203">
        <v>547</v>
      </c>
      <c r="H912" s="203" t="s">
        <v>12</v>
      </c>
      <c r="I912" s="203">
        <v>0.33272506082725062</v>
      </c>
    </row>
    <row r="913" spans="1:9" x14ac:dyDescent="0.2">
      <c r="A913" s="204">
        <v>183</v>
      </c>
      <c r="B913" s="203" t="s">
        <v>311</v>
      </c>
      <c r="E913" s="203" t="s">
        <v>118</v>
      </c>
      <c r="G913" s="203">
        <v>548</v>
      </c>
      <c r="H913" s="203" t="s">
        <v>13</v>
      </c>
      <c r="I913" s="203">
        <v>0.33333333333333331</v>
      </c>
    </row>
    <row r="914" spans="1:9" x14ac:dyDescent="0.2">
      <c r="A914" s="204">
        <v>183</v>
      </c>
      <c r="B914" s="203" t="s">
        <v>311</v>
      </c>
      <c r="E914" s="203" t="s">
        <v>119</v>
      </c>
      <c r="G914" s="203">
        <v>549</v>
      </c>
      <c r="H914" s="203" t="s">
        <v>14</v>
      </c>
      <c r="I914" s="203">
        <v>0.33394160583941607</v>
      </c>
    </row>
    <row r="915" spans="1:9" x14ac:dyDescent="0.2">
      <c r="E915" s="203" t="s">
        <v>122</v>
      </c>
      <c r="G915" s="203">
        <v>1644</v>
      </c>
      <c r="H915" s="203" t="s">
        <v>15</v>
      </c>
      <c r="I915" s="203">
        <v>1</v>
      </c>
    </row>
    <row r="917" spans="1:9" x14ac:dyDescent="0.2">
      <c r="A917" s="204">
        <v>184</v>
      </c>
      <c r="B917" s="203" t="s">
        <v>312</v>
      </c>
      <c r="E917" s="203" t="s">
        <v>117</v>
      </c>
      <c r="G917" s="203">
        <v>550</v>
      </c>
      <c r="H917" s="203" t="s">
        <v>12</v>
      </c>
      <c r="I917" s="203">
        <v>0.33272837265577737</v>
      </c>
    </row>
    <row r="918" spans="1:9" x14ac:dyDescent="0.2">
      <c r="A918" s="204">
        <v>184</v>
      </c>
      <c r="B918" s="203" t="s">
        <v>312</v>
      </c>
      <c r="E918" s="203" t="s">
        <v>118</v>
      </c>
      <c r="G918" s="203">
        <v>551</v>
      </c>
      <c r="H918" s="203" t="s">
        <v>13</v>
      </c>
      <c r="I918" s="203">
        <v>0.33333333333333331</v>
      </c>
    </row>
    <row r="919" spans="1:9" x14ac:dyDescent="0.2">
      <c r="A919" s="204">
        <v>184</v>
      </c>
      <c r="B919" s="203" t="s">
        <v>312</v>
      </c>
      <c r="E919" s="203" t="s">
        <v>119</v>
      </c>
      <c r="G919" s="203">
        <v>552</v>
      </c>
      <c r="H919" s="203" t="s">
        <v>14</v>
      </c>
      <c r="I919" s="203">
        <v>0.33393829401088931</v>
      </c>
    </row>
    <row r="920" spans="1:9" x14ac:dyDescent="0.2">
      <c r="E920" s="203" t="s">
        <v>122</v>
      </c>
      <c r="G920" s="203">
        <v>1653</v>
      </c>
      <c r="H920" s="203" t="s">
        <v>15</v>
      </c>
      <c r="I920" s="203">
        <v>1</v>
      </c>
    </row>
    <row r="922" spans="1:9" x14ac:dyDescent="0.2">
      <c r="A922" s="204">
        <v>185</v>
      </c>
      <c r="B922" s="203" t="s">
        <v>313</v>
      </c>
      <c r="E922" s="203" t="s">
        <v>117</v>
      </c>
      <c r="G922" s="203">
        <v>553</v>
      </c>
      <c r="H922" s="203" t="s">
        <v>12</v>
      </c>
      <c r="I922" s="203">
        <v>0.33273164861612514</v>
      </c>
    </row>
    <row r="923" spans="1:9" x14ac:dyDescent="0.2">
      <c r="A923" s="204">
        <v>185</v>
      </c>
      <c r="B923" s="203" t="s">
        <v>313</v>
      </c>
      <c r="E923" s="203" t="s">
        <v>118</v>
      </c>
      <c r="G923" s="203">
        <v>554</v>
      </c>
      <c r="H923" s="203" t="s">
        <v>13</v>
      </c>
      <c r="I923" s="203">
        <v>0.33333333333333331</v>
      </c>
    </row>
    <row r="924" spans="1:9" x14ac:dyDescent="0.2">
      <c r="A924" s="204">
        <v>185</v>
      </c>
      <c r="B924" s="203" t="s">
        <v>313</v>
      </c>
      <c r="E924" s="203" t="s">
        <v>119</v>
      </c>
      <c r="G924" s="203">
        <v>555</v>
      </c>
      <c r="H924" s="203" t="s">
        <v>14</v>
      </c>
      <c r="I924" s="203">
        <v>0.33393501805054154</v>
      </c>
    </row>
    <row r="925" spans="1:9" x14ac:dyDescent="0.2">
      <c r="E925" s="203" t="s">
        <v>122</v>
      </c>
      <c r="G925" s="203">
        <v>1662</v>
      </c>
      <c r="H925" s="203" t="s">
        <v>15</v>
      </c>
      <c r="I925" s="203">
        <v>1</v>
      </c>
    </row>
    <row r="927" spans="1:9" x14ac:dyDescent="0.2">
      <c r="A927" s="204">
        <v>186</v>
      </c>
      <c r="B927" s="203" t="s">
        <v>314</v>
      </c>
      <c r="E927" s="203" t="s">
        <v>117</v>
      </c>
      <c r="G927" s="203">
        <v>556</v>
      </c>
      <c r="H927" s="203" t="s">
        <v>12</v>
      </c>
      <c r="I927" s="203">
        <v>0.33273488928785161</v>
      </c>
    </row>
    <row r="928" spans="1:9" x14ac:dyDescent="0.2">
      <c r="A928" s="204">
        <v>186</v>
      </c>
      <c r="B928" s="203" t="s">
        <v>314</v>
      </c>
      <c r="E928" s="203" t="s">
        <v>118</v>
      </c>
      <c r="G928" s="203">
        <v>557</v>
      </c>
      <c r="H928" s="203" t="s">
        <v>13</v>
      </c>
      <c r="I928" s="203">
        <v>0.33333333333333331</v>
      </c>
    </row>
    <row r="929" spans="1:9" x14ac:dyDescent="0.2">
      <c r="A929" s="204">
        <v>186</v>
      </c>
      <c r="B929" s="203" t="s">
        <v>314</v>
      </c>
      <c r="E929" s="203" t="s">
        <v>119</v>
      </c>
      <c r="G929" s="203">
        <v>558</v>
      </c>
      <c r="H929" s="203" t="s">
        <v>14</v>
      </c>
      <c r="I929" s="203">
        <v>0.33393177737881508</v>
      </c>
    </row>
    <row r="930" spans="1:9" x14ac:dyDescent="0.2">
      <c r="E930" s="203" t="s">
        <v>122</v>
      </c>
      <c r="G930" s="203">
        <v>1671</v>
      </c>
      <c r="H930" s="203" t="s">
        <v>15</v>
      </c>
      <c r="I930" s="203">
        <v>1</v>
      </c>
    </row>
    <row r="932" spans="1:9" x14ac:dyDescent="0.2">
      <c r="A932" s="204">
        <v>187</v>
      </c>
      <c r="B932" s="203" t="s">
        <v>315</v>
      </c>
      <c r="E932" s="203" t="s">
        <v>117</v>
      </c>
      <c r="G932" s="203">
        <v>559</v>
      </c>
      <c r="H932" s="203" t="s">
        <v>12</v>
      </c>
      <c r="I932" s="203">
        <v>0.33273809523809522</v>
      </c>
    </row>
    <row r="933" spans="1:9" x14ac:dyDescent="0.2">
      <c r="A933" s="204">
        <v>187</v>
      </c>
      <c r="B933" s="203" t="s">
        <v>315</v>
      </c>
      <c r="E933" s="203" t="s">
        <v>118</v>
      </c>
      <c r="G933" s="203">
        <v>560</v>
      </c>
      <c r="H933" s="203" t="s">
        <v>13</v>
      </c>
      <c r="I933" s="203">
        <v>0.33333333333333331</v>
      </c>
    </row>
    <row r="934" spans="1:9" x14ac:dyDescent="0.2">
      <c r="A934" s="204">
        <v>187</v>
      </c>
      <c r="B934" s="203" t="s">
        <v>315</v>
      </c>
      <c r="E934" s="203" t="s">
        <v>119</v>
      </c>
      <c r="G934" s="203">
        <v>561</v>
      </c>
      <c r="H934" s="203" t="s">
        <v>14</v>
      </c>
      <c r="I934" s="203">
        <v>0.33392857142857141</v>
      </c>
    </row>
    <row r="935" spans="1:9" x14ac:dyDescent="0.2">
      <c r="E935" s="203" t="s">
        <v>122</v>
      </c>
      <c r="G935" s="203">
        <v>1680</v>
      </c>
      <c r="H935" s="203" t="s">
        <v>15</v>
      </c>
      <c r="I935" s="203">
        <v>1</v>
      </c>
    </row>
    <row r="937" spans="1:9" x14ac:dyDescent="0.2">
      <c r="A937" s="204">
        <v>188</v>
      </c>
      <c r="B937" s="203" t="s">
        <v>316</v>
      </c>
      <c r="E937" s="203" t="s">
        <v>117</v>
      </c>
      <c r="G937" s="203">
        <v>562</v>
      </c>
      <c r="H937" s="203" t="s">
        <v>12</v>
      </c>
      <c r="I937" s="203">
        <v>0.33274126702190643</v>
      </c>
    </row>
    <row r="938" spans="1:9" x14ac:dyDescent="0.2">
      <c r="A938" s="204">
        <v>188</v>
      </c>
      <c r="B938" s="203" t="s">
        <v>316</v>
      </c>
      <c r="E938" s="203" t="s">
        <v>118</v>
      </c>
      <c r="G938" s="203">
        <v>563</v>
      </c>
      <c r="H938" s="203" t="s">
        <v>13</v>
      </c>
      <c r="I938" s="203">
        <v>0.33333333333333331</v>
      </c>
    </row>
    <row r="939" spans="1:9" x14ac:dyDescent="0.2">
      <c r="A939" s="204">
        <v>188</v>
      </c>
      <c r="B939" s="203" t="s">
        <v>316</v>
      </c>
      <c r="E939" s="203" t="s">
        <v>119</v>
      </c>
      <c r="G939" s="203">
        <v>564</v>
      </c>
      <c r="H939" s="203" t="s">
        <v>14</v>
      </c>
      <c r="I939" s="203">
        <v>0.3339253996447602</v>
      </c>
    </row>
    <row r="940" spans="1:9" x14ac:dyDescent="0.2">
      <c r="E940" s="203" t="s">
        <v>122</v>
      </c>
      <c r="G940" s="203">
        <v>1689</v>
      </c>
      <c r="H940" s="203" t="s">
        <v>15</v>
      </c>
      <c r="I940" s="203">
        <v>1</v>
      </c>
    </row>
    <row r="942" spans="1:9" x14ac:dyDescent="0.2">
      <c r="A942" s="204">
        <v>189</v>
      </c>
      <c r="B942" s="203" t="s">
        <v>317</v>
      </c>
      <c r="E942" s="203" t="s">
        <v>117</v>
      </c>
      <c r="G942" s="203">
        <v>565</v>
      </c>
      <c r="H942" s="203" t="s">
        <v>12</v>
      </c>
      <c r="I942" s="203">
        <v>0.3327444051825677</v>
      </c>
    </row>
    <row r="943" spans="1:9" x14ac:dyDescent="0.2">
      <c r="A943" s="204">
        <v>189</v>
      </c>
      <c r="B943" s="203" t="s">
        <v>317</v>
      </c>
      <c r="E943" s="203" t="s">
        <v>118</v>
      </c>
      <c r="G943" s="203">
        <v>566</v>
      </c>
      <c r="H943" s="203" t="s">
        <v>13</v>
      </c>
      <c r="I943" s="203">
        <v>0.33333333333333331</v>
      </c>
    </row>
    <row r="944" spans="1:9" x14ac:dyDescent="0.2">
      <c r="A944" s="204">
        <v>189</v>
      </c>
      <c r="B944" s="203" t="s">
        <v>317</v>
      </c>
      <c r="E944" s="203" t="s">
        <v>119</v>
      </c>
      <c r="G944" s="203">
        <v>567</v>
      </c>
      <c r="H944" s="203" t="s">
        <v>14</v>
      </c>
      <c r="I944" s="203">
        <v>0.33392226148409893</v>
      </c>
    </row>
    <row r="945" spans="1:9" x14ac:dyDescent="0.2">
      <c r="E945" s="203" t="s">
        <v>122</v>
      </c>
      <c r="G945" s="203">
        <v>1698</v>
      </c>
      <c r="H945" s="203" t="s">
        <v>15</v>
      </c>
      <c r="I945" s="203">
        <v>1</v>
      </c>
    </row>
    <row r="947" spans="1:9" x14ac:dyDescent="0.2">
      <c r="A947" s="204">
        <v>190</v>
      </c>
      <c r="B947" s="203" t="s">
        <v>318</v>
      </c>
      <c r="E947" s="203" t="s">
        <v>117</v>
      </c>
      <c r="G947" s="203">
        <v>568</v>
      </c>
      <c r="H947" s="203" t="s">
        <v>12</v>
      </c>
      <c r="I947" s="203">
        <v>0.33274751025190391</v>
      </c>
    </row>
    <row r="948" spans="1:9" x14ac:dyDescent="0.2">
      <c r="A948" s="204">
        <v>190</v>
      </c>
      <c r="B948" s="203" t="s">
        <v>318</v>
      </c>
      <c r="E948" s="203" t="s">
        <v>118</v>
      </c>
      <c r="G948" s="203">
        <v>569</v>
      </c>
      <c r="H948" s="203" t="s">
        <v>13</v>
      </c>
      <c r="I948" s="203">
        <v>0.33333333333333331</v>
      </c>
    </row>
    <row r="949" spans="1:9" x14ac:dyDescent="0.2">
      <c r="A949" s="204">
        <v>190</v>
      </c>
      <c r="B949" s="203" t="s">
        <v>318</v>
      </c>
      <c r="E949" s="203" t="s">
        <v>119</v>
      </c>
      <c r="G949" s="203">
        <v>570</v>
      </c>
      <c r="H949" s="203" t="s">
        <v>14</v>
      </c>
      <c r="I949" s="203">
        <v>0.33391915641476272</v>
      </c>
    </row>
    <row r="950" spans="1:9" x14ac:dyDescent="0.2">
      <c r="E950" s="203" t="s">
        <v>122</v>
      </c>
      <c r="G950" s="203">
        <v>1707</v>
      </c>
      <c r="H950" s="203" t="s">
        <v>15</v>
      </c>
      <c r="I950" s="203">
        <v>1</v>
      </c>
    </row>
    <row r="952" spans="1:9" x14ac:dyDescent="0.2">
      <c r="A952" s="204">
        <v>191</v>
      </c>
      <c r="B952" s="203" t="s">
        <v>319</v>
      </c>
      <c r="E952" s="203" t="s">
        <v>117</v>
      </c>
      <c r="G952" s="203">
        <v>571</v>
      </c>
      <c r="H952" s="203" t="s">
        <v>12</v>
      </c>
      <c r="I952" s="203">
        <v>0.33275058275058272</v>
      </c>
    </row>
    <row r="953" spans="1:9" x14ac:dyDescent="0.2">
      <c r="A953" s="204">
        <v>191</v>
      </c>
      <c r="B953" s="203" t="s">
        <v>319</v>
      </c>
      <c r="E953" s="203" t="s">
        <v>118</v>
      </c>
      <c r="G953" s="203">
        <v>572</v>
      </c>
      <c r="H953" s="203" t="s">
        <v>13</v>
      </c>
      <c r="I953" s="203">
        <v>0.33333333333333331</v>
      </c>
    </row>
    <row r="954" spans="1:9" x14ac:dyDescent="0.2">
      <c r="A954" s="204">
        <v>191</v>
      </c>
      <c r="B954" s="203" t="s">
        <v>319</v>
      </c>
      <c r="E954" s="203" t="s">
        <v>119</v>
      </c>
      <c r="G954" s="203">
        <v>573</v>
      </c>
      <c r="H954" s="203" t="s">
        <v>14</v>
      </c>
      <c r="I954" s="203">
        <v>0.33391608391608391</v>
      </c>
    </row>
    <row r="955" spans="1:9" x14ac:dyDescent="0.2">
      <c r="E955" s="203" t="s">
        <v>122</v>
      </c>
      <c r="G955" s="203">
        <v>1716</v>
      </c>
      <c r="H955" s="203" t="s">
        <v>15</v>
      </c>
      <c r="I955" s="203">
        <v>1</v>
      </c>
    </row>
    <row r="957" spans="1:9" x14ac:dyDescent="0.2">
      <c r="A957" s="204">
        <v>192</v>
      </c>
      <c r="B957" s="203" t="s">
        <v>320</v>
      </c>
      <c r="E957" s="203" t="s">
        <v>117</v>
      </c>
      <c r="G957" s="203">
        <v>574</v>
      </c>
      <c r="H957" s="203" t="s">
        <v>12</v>
      </c>
      <c r="I957" s="203">
        <v>0.33275362318840579</v>
      </c>
    </row>
    <row r="958" spans="1:9" x14ac:dyDescent="0.2">
      <c r="A958" s="204">
        <v>192</v>
      </c>
      <c r="B958" s="203" t="s">
        <v>320</v>
      </c>
      <c r="E958" s="203" t="s">
        <v>118</v>
      </c>
      <c r="G958" s="203">
        <v>575</v>
      </c>
      <c r="H958" s="203" t="s">
        <v>13</v>
      </c>
      <c r="I958" s="203">
        <v>0.33333333333333331</v>
      </c>
    </row>
    <row r="959" spans="1:9" x14ac:dyDescent="0.2">
      <c r="A959" s="204">
        <v>192</v>
      </c>
      <c r="B959" s="203" t="s">
        <v>320</v>
      </c>
      <c r="E959" s="203" t="s">
        <v>119</v>
      </c>
      <c r="G959" s="203">
        <v>576</v>
      </c>
      <c r="H959" s="203" t="s">
        <v>14</v>
      </c>
      <c r="I959" s="203">
        <v>0.3339130434782609</v>
      </c>
    </row>
    <row r="960" spans="1:9" x14ac:dyDescent="0.2">
      <c r="E960" s="203" t="s">
        <v>122</v>
      </c>
      <c r="G960" s="203">
        <v>1725</v>
      </c>
      <c r="H960" s="203" t="s">
        <v>15</v>
      </c>
      <c r="I960" s="203">
        <v>1</v>
      </c>
    </row>
    <row r="962" spans="1:9" x14ac:dyDescent="0.2">
      <c r="A962" s="204">
        <v>193</v>
      </c>
      <c r="B962" s="203" t="s">
        <v>321</v>
      </c>
      <c r="E962" s="203" t="s">
        <v>117</v>
      </c>
      <c r="G962" s="203">
        <v>577</v>
      </c>
      <c r="H962" s="203" t="s">
        <v>12</v>
      </c>
      <c r="I962" s="203">
        <v>0.33275663206459055</v>
      </c>
    </row>
    <row r="963" spans="1:9" x14ac:dyDescent="0.2">
      <c r="A963" s="204">
        <v>193</v>
      </c>
      <c r="B963" s="203" t="s">
        <v>321</v>
      </c>
      <c r="E963" s="203" t="s">
        <v>118</v>
      </c>
      <c r="G963" s="203">
        <v>578</v>
      </c>
      <c r="H963" s="203" t="s">
        <v>13</v>
      </c>
      <c r="I963" s="203">
        <v>0.33333333333333331</v>
      </c>
    </row>
    <row r="964" spans="1:9" x14ac:dyDescent="0.2">
      <c r="A964" s="204">
        <v>193</v>
      </c>
      <c r="B964" s="203" t="s">
        <v>321</v>
      </c>
      <c r="E964" s="203" t="s">
        <v>119</v>
      </c>
      <c r="G964" s="203">
        <v>579</v>
      </c>
      <c r="H964" s="203" t="s">
        <v>14</v>
      </c>
      <c r="I964" s="203">
        <v>0.33391003460207613</v>
      </c>
    </row>
    <row r="965" spans="1:9" x14ac:dyDescent="0.2">
      <c r="E965" s="203" t="s">
        <v>122</v>
      </c>
      <c r="G965" s="203">
        <v>1734</v>
      </c>
      <c r="H965" s="203" t="s">
        <v>15</v>
      </c>
      <c r="I965" s="203">
        <v>1</v>
      </c>
    </row>
    <row r="967" spans="1:9" x14ac:dyDescent="0.2">
      <c r="A967" s="204">
        <v>194</v>
      </c>
      <c r="B967" s="203" t="s">
        <v>322</v>
      </c>
      <c r="E967" s="203" t="s">
        <v>117</v>
      </c>
      <c r="G967" s="203">
        <v>580</v>
      </c>
      <c r="H967" s="203" t="s">
        <v>12</v>
      </c>
      <c r="I967" s="203">
        <v>0.33275960986804359</v>
      </c>
    </row>
    <row r="968" spans="1:9" x14ac:dyDescent="0.2">
      <c r="A968" s="204">
        <v>194</v>
      </c>
      <c r="B968" s="203" t="s">
        <v>322</v>
      </c>
      <c r="E968" s="203" t="s">
        <v>118</v>
      </c>
      <c r="G968" s="203">
        <v>581</v>
      </c>
      <c r="H968" s="203" t="s">
        <v>13</v>
      </c>
      <c r="I968" s="203">
        <v>0.33333333333333331</v>
      </c>
    </row>
    <row r="969" spans="1:9" x14ac:dyDescent="0.2">
      <c r="A969" s="204">
        <v>194</v>
      </c>
      <c r="B969" s="203" t="s">
        <v>322</v>
      </c>
      <c r="E969" s="203" t="s">
        <v>119</v>
      </c>
      <c r="G969" s="203">
        <v>582</v>
      </c>
      <c r="H969" s="203" t="s">
        <v>14</v>
      </c>
      <c r="I969" s="203">
        <v>0.33390705679862304</v>
      </c>
    </row>
    <row r="970" spans="1:9" x14ac:dyDescent="0.2">
      <c r="E970" s="203" t="s">
        <v>122</v>
      </c>
      <c r="G970" s="203">
        <v>1743</v>
      </c>
      <c r="H970" s="203" t="s">
        <v>15</v>
      </c>
      <c r="I970" s="203">
        <v>1</v>
      </c>
    </row>
    <row r="972" spans="1:9" x14ac:dyDescent="0.2">
      <c r="A972" s="204">
        <v>195</v>
      </c>
      <c r="B972" s="203" t="s">
        <v>323</v>
      </c>
      <c r="E972" s="203" t="s">
        <v>117</v>
      </c>
      <c r="G972" s="203">
        <v>583</v>
      </c>
      <c r="H972" s="203" t="s">
        <v>12</v>
      </c>
      <c r="I972" s="203">
        <v>0.33276255707762559</v>
      </c>
    </row>
    <row r="973" spans="1:9" x14ac:dyDescent="0.2">
      <c r="A973" s="204">
        <v>195</v>
      </c>
      <c r="B973" s="203" t="s">
        <v>323</v>
      </c>
      <c r="E973" s="203" t="s">
        <v>118</v>
      </c>
      <c r="G973" s="203">
        <v>584</v>
      </c>
      <c r="H973" s="203" t="s">
        <v>13</v>
      </c>
      <c r="I973" s="203">
        <v>0.33333333333333331</v>
      </c>
    </row>
    <row r="974" spans="1:9" x14ac:dyDescent="0.2">
      <c r="A974" s="204">
        <v>195</v>
      </c>
      <c r="B974" s="203" t="s">
        <v>323</v>
      </c>
      <c r="E974" s="203" t="s">
        <v>119</v>
      </c>
      <c r="G974" s="203">
        <v>585</v>
      </c>
      <c r="H974" s="203" t="s">
        <v>14</v>
      </c>
      <c r="I974" s="203">
        <v>0.3339041095890411</v>
      </c>
    </row>
    <row r="975" spans="1:9" x14ac:dyDescent="0.2">
      <c r="E975" s="203" t="s">
        <v>122</v>
      </c>
      <c r="G975" s="203">
        <v>1752</v>
      </c>
      <c r="H975" s="203" t="s">
        <v>15</v>
      </c>
      <c r="I975" s="203">
        <v>1</v>
      </c>
    </row>
    <row r="977" spans="1:9" x14ac:dyDescent="0.2">
      <c r="A977" s="204">
        <v>196</v>
      </c>
      <c r="B977" s="203" t="s">
        <v>324</v>
      </c>
      <c r="E977" s="203" t="s">
        <v>117</v>
      </c>
      <c r="G977" s="203">
        <v>586</v>
      </c>
      <c r="H977" s="203" t="s">
        <v>12</v>
      </c>
      <c r="I977" s="203">
        <v>0.3327654741624077</v>
      </c>
    </row>
    <row r="978" spans="1:9" x14ac:dyDescent="0.2">
      <c r="A978" s="204">
        <v>196</v>
      </c>
      <c r="B978" s="203" t="s">
        <v>324</v>
      </c>
      <c r="E978" s="203" t="s">
        <v>118</v>
      </c>
      <c r="G978" s="203">
        <v>587</v>
      </c>
      <c r="H978" s="203" t="s">
        <v>13</v>
      </c>
      <c r="I978" s="203">
        <v>0.33333333333333331</v>
      </c>
    </row>
    <row r="979" spans="1:9" x14ac:dyDescent="0.2">
      <c r="A979" s="204">
        <v>196</v>
      </c>
      <c r="B979" s="203" t="s">
        <v>324</v>
      </c>
      <c r="E979" s="203" t="s">
        <v>119</v>
      </c>
      <c r="G979" s="203">
        <v>588</v>
      </c>
      <c r="H979" s="203" t="s">
        <v>14</v>
      </c>
      <c r="I979" s="203">
        <v>0.33390119250425893</v>
      </c>
    </row>
    <row r="980" spans="1:9" x14ac:dyDescent="0.2">
      <c r="E980" s="203" t="s">
        <v>122</v>
      </c>
      <c r="G980" s="203">
        <v>1761</v>
      </c>
      <c r="H980" s="203" t="s">
        <v>15</v>
      </c>
      <c r="I980" s="203">
        <v>1</v>
      </c>
    </row>
    <row r="982" spans="1:9" x14ac:dyDescent="0.2">
      <c r="A982" s="204">
        <v>197</v>
      </c>
      <c r="B982" s="203" t="s">
        <v>325</v>
      </c>
      <c r="E982" s="203" t="s">
        <v>117</v>
      </c>
      <c r="G982" s="203">
        <v>589</v>
      </c>
      <c r="H982" s="203" t="s">
        <v>12</v>
      </c>
      <c r="I982" s="203">
        <v>0.33276836158192091</v>
      </c>
    </row>
    <row r="983" spans="1:9" x14ac:dyDescent="0.2">
      <c r="A983" s="204">
        <v>197</v>
      </c>
      <c r="B983" s="203" t="s">
        <v>325</v>
      </c>
      <c r="E983" s="203" t="s">
        <v>118</v>
      </c>
      <c r="G983" s="203">
        <v>590</v>
      </c>
      <c r="H983" s="203" t="s">
        <v>13</v>
      </c>
      <c r="I983" s="203">
        <v>0.33333333333333331</v>
      </c>
    </row>
    <row r="984" spans="1:9" x14ac:dyDescent="0.2">
      <c r="A984" s="204">
        <v>197</v>
      </c>
      <c r="B984" s="203" t="s">
        <v>325</v>
      </c>
      <c r="E984" s="203" t="s">
        <v>119</v>
      </c>
      <c r="G984" s="203">
        <v>591</v>
      </c>
      <c r="H984" s="203" t="s">
        <v>14</v>
      </c>
      <c r="I984" s="203">
        <v>0.33389830508474577</v>
      </c>
    </row>
    <row r="985" spans="1:9" x14ac:dyDescent="0.2">
      <c r="E985" s="203" t="s">
        <v>122</v>
      </c>
      <c r="G985" s="203">
        <v>1770</v>
      </c>
      <c r="H985" s="203" t="s">
        <v>15</v>
      </c>
      <c r="I985" s="203">
        <v>1</v>
      </c>
    </row>
    <row r="987" spans="1:9" x14ac:dyDescent="0.2">
      <c r="A987" s="204">
        <v>198</v>
      </c>
      <c r="B987" s="203" t="s">
        <v>326</v>
      </c>
      <c r="E987" s="203" t="s">
        <v>117</v>
      </c>
      <c r="G987" s="203">
        <v>592</v>
      </c>
      <c r="H987" s="203" t="s">
        <v>12</v>
      </c>
      <c r="I987" s="203">
        <v>0.33277121978639684</v>
      </c>
    </row>
    <row r="988" spans="1:9" x14ac:dyDescent="0.2">
      <c r="A988" s="204">
        <v>198</v>
      </c>
      <c r="B988" s="203" t="s">
        <v>326</v>
      </c>
      <c r="E988" s="203" t="s">
        <v>118</v>
      </c>
      <c r="G988" s="203">
        <v>593</v>
      </c>
      <c r="H988" s="203" t="s">
        <v>13</v>
      </c>
      <c r="I988" s="203">
        <v>0.33333333333333331</v>
      </c>
    </row>
    <row r="989" spans="1:9" x14ac:dyDescent="0.2">
      <c r="A989" s="204">
        <v>198</v>
      </c>
      <c r="B989" s="203" t="s">
        <v>326</v>
      </c>
      <c r="E989" s="203" t="s">
        <v>119</v>
      </c>
      <c r="G989" s="203">
        <v>594</v>
      </c>
      <c r="H989" s="203" t="s">
        <v>14</v>
      </c>
      <c r="I989" s="203">
        <v>0.33389544688026984</v>
      </c>
    </row>
    <row r="990" spans="1:9" x14ac:dyDescent="0.2">
      <c r="E990" s="203" t="s">
        <v>122</v>
      </c>
      <c r="G990" s="203">
        <v>1779</v>
      </c>
      <c r="H990" s="203" t="s">
        <v>15</v>
      </c>
      <c r="I990" s="203">
        <v>1</v>
      </c>
    </row>
    <row r="992" spans="1:9" x14ac:dyDescent="0.2">
      <c r="A992" s="204">
        <v>199</v>
      </c>
      <c r="B992" s="203" t="s">
        <v>327</v>
      </c>
      <c r="E992" s="203" t="s">
        <v>117</v>
      </c>
      <c r="G992" s="203">
        <v>595</v>
      </c>
      <c r="H992" s="203" t="s">
        <v>12</v>
      </c>
      <c r="I992" s="203">
        <v>0.33277404921700221</v>
      </c>
    </row>
    <row r="993" spans="1:9" x14ac:dyDescent="0.2">
      <c r="A993" s="204">
        <v>199</v>
      </c>
      <c r="B993" s="203" t="s">
        <v>327</v>
      </c>
      <c r="E993" s="203" t="s">
        <v>118</v>
      </c>
      <c r="G993" s="203">
        <v>596</v>
      </c>
      <c r="H993" s="203" t="s">
        <v>13</v>
      </c>
      <c r="I993" s="203">
        <v>0.33333333333333331</v>
      </c>
    </row>
    <row r="994" spans="1:9" x14ac:dyDescent="0.2">
      <c r="A994" s="204">
        <v>199</v>
      </c>
      <c r="B994" s="203" t="s">
        <v>327</v>
      </c>
      <c r="E994" s="203" t="s">
        <v>119</v>
      </c>
      <c r="G994" s="203">
        <v>597</v>
      </c>
      <c r="H994" s="203" t="s">
        <v>14</v>
      </c>
      <c r="I994" s="203">
        <v>0.33389261744966442</v>
      </c>
    </row>
    <row r="995" spans="1:9" x14ac:dyDescent="0.2">
      <c r="E995" s="203" t="s">
        <v>122</v>
      </c>
      <c r="G995" s="203">
        <v>1788</v>
      </c>
      <c r="H995" s="203" t="s">
        <v>15</v>
      </c>
      <c r="I995" s="203">
        <v>1</v>
      </c>
    </row>
    <row r="997" spans="1:9" x14ac:dyDescent="0.2">
      <c r="A997" s="204">
        <v>200</v>
      </c>
      <c r="B997" s="203" t="s">
        <v>328</v>
      </c>
      <c r="E997" s="203" t="s">
        <v>117</v>
      </c>
      <c r="G997" s="203">
        <v>598</v>
      </c>
      <c r="H997" s="203" t="s">
        <v>12</v>
      </c>
      <c r="I997" s="203">
        <v>0.33277685030606569</v>
      </c>
    </row>
    <row r="998" spans="1:9" x14ac:dyDescent="0.2">
      <c r="A998" s="204">
        <v>200</v>
      </c>
      <c r="B998" s="203" t="s">
        <v>328</v>
      </c>
      <c r="E998" s="203" t="s">
        <v>118</v>
      </c>
      <c r="G998" s="203">
        <v>599</v>
      </c>
      <c r="H998" s="203" t="s">
        <v>13</v>
      </c>
      <c r="I998" s="203">
        <v>0.33333333333333331</v>
      </c>
    </row>
    <row r="999" spans="1:9" x14ac:dyDescent="0.2">
      <c r="A999" s="204">
        <v>200</v>
      </c>
      <c r="B999" s="203" t="s">
        <v>328</v>
      </c>
      <c r="E999" s="203" t="s">
        <v>119</v>
      </c>
      <c r="G999" s="203">
        <v>600</v>
      </c>
      <c r="H999" s="203" t="s">
        <v>14</v>
      </c>
      <c r="I999" s="203">
        <v>0.333889816360601</v>
      </c>
    </row>
    <row r="1000" spans="1:9" x14ac:dyDescent="0.2">
      <c r="E1000" s="203" t="s">
        <v>122</v>
      </c>
      <c r="G1000" s="203">
        <v>1797</v>
      </c>
      <c r="H1000" s="203" t="s">
        <v>15</v>
      </c>
      <c r="I1000" s="203">
        <v>1</v>
      </c>
    </row>
  </sheetData>
  <sheetProtection selectLockedCells="1" selectUnlockedCells="1"/>
  <phoneticPr fontId="2" type="noConversion"/>
  <pageMargins left="1.1023622047244095" right="0.98425196850393704" top="0.86614173228346458" bottom="0.86614173228346458" header="0.51181102362204722" footer="0.39370078740157483"/>
  <pageSetup scale="47" fitToHeight="0" orientation="portrait" verticalDpi="300" r:id="rId1"/>
  <headerFooter alignWithMargins="0">
    <oddHeader xml:space="preserve">&amp;L&amp;"Comic Sans MS,Negrito"&amp;14Summarized Emergy Flows&amp;R
</oddHead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>
    <tabColor indexed="53"/>
  </sheetPr>
  <dimension ref="A1:I619"/>
  <sheetViews>
    <sheetView windowProtection="1" zoomScale="85" zoomScaleNormal="85" workbookViewId="0">
      <selection activeCell="B602" sqref="B602"/>
    </sheetView>
  </sheetViews>
  <sheetFormatPr defaultRowHeight="12.75" x14ac:dyDescent="0.25"/>
  <cols>
    <col min="1" max="1" width="4.5" style="1" bestFit="1" customWidth="1"/>
    <col min="2" max="2" width="9" style="2"/>
    <col min="3" max="3" width="17.75" style="1" customWidth="1"/>
    <col min="4" max="4" width="37.375" style="2" customWidth="1"/>
    <col min="5" max="5" width="11.875" style="2" customWidth="1"/>
    <col min="6" max="6" width="10.25" style="2" customWidth="1"/>
    <col min="7" max="9" width="9.375" style="2" customWidth="1"/>
    <col min="10" max="10" width="9" style="2"/>
    <col min="11" max="11" width="3" style="2" customWidth="1"/>
    <col min="12" max="16384" width="9" style="2"/>
  </cols>
  <sheetData>
    <row r="1" spans="1:4" ht="41.25" customHeight="1" thickBot="1" x14ac:dyDescent="0.3">
      <c r="A1" s="191" t="s">
        <v>10</v>
      </c>
      <c r="B1" s="192" t="s">
        <v>114</v>
      </c>
      <c r="C1" s="193" t="s">
        <v>115</v>
      </c>
      <c r="D1" s="194" t="s">
        <v>116</v>
      </c>
    </row>
    <row r="2" spans="1:4" x14ac:dyDescent="0.25">
      <c r="A2" s="195">
        <v>1</v>
      </c>
      <c r="B2" s="189" t="s">
        <v>125</v>
      </c>
      <c r="C2" s="196" t="s">
        <v>117</v>
      </c>
      <c r="D2" s="197">
        <v>1</v>
      </c>
    </row>
    <row r="3" spans="1:4" x14ac:dyDescent="0.25">
      <c r="A3" s="198">
        <f>$A$2+0</f>
        <v>1</v>
      </c>
      <c r="B3" s="190" t="str">
        <f t="shared" ref="B3:B4" si="0">$B$2</f>
        <v>Ponto1</v>
      </c>
      <c r="C3" s="196" t="s">
        <v>118</v>
      </c>
      <c r="D3" s="197">
        <v>2</v>
      </c>
    </row>
    <row r="4" spans="1:4" x14ac:dyDescent="0.25">
      <c r="A4" s="198">
        <f>$A$2+0</f>
        <v>1</v>
      </c>
      <c r="B4" s="190" t="str">
        <f t="shared" si="0"/>
        <v>Ponto1</v>
      </c>
      <c r="C4" s="196" t="s">
        <v>119</v>
      </c>
      <c r="D4" s="197">
        <v>3</v>
      </c>
    </row>
    <row r="5" spans="1:4" x14ac:dyDescent="0.25">
      <c r="A5" s="195">
        <f>2</f>
        <v>2</v>
      </c>
      <c r="B5" s="189" t="s">
        <v>123</v>
      </c>
      <c r="C5" s="196" t="s">
        <v>117</v>
      </c>
      <c r="D5" s="197">
        <v>4</v>
      </c>
    </row>
    <row r="6" spans="1:4" x14ac:dyDescent="0.25">
      <c r="A6" s="198">
        <f>$A$5</f>
        <v>2</v>
      </c>
      <c r="B6" s="190" t="str">
        <f t="shared" ref="B6:B7" si="1">$B$5</f>
        <v>Ponto2</v>
      </c>
      <c r="C6" s="196" t="s">
        <v>118</v>
      </c>
      <c r="D6" s="197">
        <v>5</v>
      </c>
    </row>
    <row r="7" spans="1:4" x14ac:dyDescent="0.25">
      <c r="A7" s="198">
        <f>$A$5</f>
        <v>2</v>
      </c>
      <c r="B7" s="190" t="str">
        <f t="shared" si="1"/>
        <v>Ponto2</v>
      </c>
      <c r="C7" s="196" t="s">
        <v>119</v>
      </c>
      <c r="D7" s="197">
        <v>6</v>
      </c>
    </row>
    <row r="8" spans="1:4" x14ac:dyDescent="0.25">
      <c r="A8" s="195">
        <f>3</f>
        <v>3</v>
      </c>
      <c r="B8" s="189" t="s">
        <v>124</v>
      </c>
      <c r="C8" s="196" t="s">
        <v>117</v>
      </c>
      <c r="D8" s="197">
        <v>7</v>
      </c>
    </row>
    <row r="9" spans="1:4" x14ac:dyDescent="0.25">
      <c r="A9" s="198">
        <f>$A$8</f>
        <v>3</v>
      </c>
      <c r="B9" s="190" t="str">
        <f t="shared" ref="B9:B10" si="2">$B$8</f>
        <v>Ponto3</v>
      </c>
      <c r="C9" s="196" t="s">
        <v>118</v>
      </c>
      <c r="D9" s="197">
        <v>8</v>
      </c>
    </row>
    <row r="10" spans="1:4" x14ac:dyDescent="0.25">
      <c r="A10" s="198">
        <f>$A$8</f>
        <v>3</v>
      </c>
      <c r="B10" s="190" t="str">
        <f t="shared" si="2"/>
        <v>Ponto3</v>
      </c>
      <c r="C10" s="196" t="s">
        <v>119</v>
      </c>
      <c r="D10" s="197">
        <v>9</v>
      </c>
    </row>
    <row r="11" spans="1:4" x14ac:dyDescent="0.25">
      <c r="A11" s="195">
        <f>4</f>
        <v>4</v>
      </c>
      <c r="B11" s="189" t="s">
        <v>126</v>
      </c>
      <c r="C11" s="196" t="s">
        <v>117</v>
      </c>
      <c r="D11" s="197">
        <v>10</v>
      </c>
    </row>
    <row r="12" spans="1:4" x14ac:dyDescent="0.25">
      <c r="A12" s="198">
        <f>$A$11</f>
        <v>4</v>
      </c>
      <c r="B12" s="190" t="str">
        <f t="shared" ref="B12:B13" si="3">$B$11</f>
        <v>Ponto4</v>
      </c>
      <c r="C12" s="196" t="s">
        <v>118</v>
      </c>
      <c r="D12" s="197">
        <v>11</v>
      </c>
    </row>
    <row r="13" spans="1:4" x14ac:dyDescent="0.25">
      <c r="A13" s="198">
        <f>$A$11</f>
        <v>4</v>
      </c>
      <c r="B13" s="190" t="str">
        <f t="shared" si="3"/>
        <v>Ponto4</v>
      </c>
      <c r="C13" s="196" t="s">
        <v>119</v>
      </c>
      <c r="D13" s="197">
        <v>12</v>
      </c>
    </row>
    <row r="14" spans="1:4" x14ac:dyDescent="0.25">
      <c r="A14" s="195">
        <f>5</f>
        <v>5</v>
      </c>
      <c r="B14" s="189" t="s">
        <v>127</v>
      </c>
      <c r="C14" s="196" t="s">
        <v>117</v>
      </c>
      <c r="D14" s="197">
        <v>13</v>
      </c>
    </row>
    <row r="15" spans="1:4" x14ac:dyDescent="0.25">
      <c r="A15" s="198">
        <f>$A$14</f>
        <v>5</v>
      </c>
      <c r="B15" s="190" t="str">
        <f t="shared" ref="B15:B16" si="4">$B$14</f>
        <v>Ponto5</v>
      </c>
      <c r="C15" s="196" t="s">
        <v>118</v>
      </c>
      <c r="D15" s="197">
        <v>14</v>
      </c>
    </row>
    <row r="16" spans="1:4" x14ac:dyDescent="0.25">
      <c r="A16" s="198">
        <f>$A$14</f>
        <v>5</v>
      </c>
      <c r="B16" s="190" t="str">
        <f t="shared" si="4"/>
        <v>Ponto5</v>
      </c>
      <c r="C16" s="196" t="s">
        <v>119</v>
      </c>
      <c r="D16" s="197">
        <v>15</v>
      </c>
    </row>
    <row r="17" spans="1:9" x14ac:dyDescent="0.25">
      <c r="A17" s="195">
        <f>6</f>
        <v>6</v>
      </c>
      <c r="B17" s="189" t="s">
        <v>128</v>
      </c>
      <c r="C17" s="196" t="s">
        <v>117</v>
      </c>
      <c r="D17" s="197">
        <v>16</v>
      </c>
    </row>
    <row r="18" spans="1:9" x14ac:dyDescent="0.25">
      <c r="A18" s="198">
        <f>$A$17</f>
        <v>6</v>
      </c>
      <c r="B18" s="190" t="str">
        <f t="shared" ref="B18:B19" si="5">$B$17</f>
        <v>Ponto6</v>
      </c>
      <c r="C18" s="196" t="s">
        <v>118</v>
      </c>
      <c r="D18" s="197">
        <v>17</v>
      </c>
    </row>
    <row r="19" spans="1:9" x14ac:dyDescent="0.25">
      <c r="A19" s="198">
        <f>$A$17</f>
        <v>6</v>
      </c>
      <c r="B19" s="190" t="str">
        <f t="shared" si="5"/>
        <v>Ponto6</v>
      </c>
      <c r="C19" s="196" t="s">
        <v>119</v>
      </c>
      <c r="D19" s="197">
        <v>18</v>
      </c>
    </row>
    <row r="20" spans="1:9" x14ac:dyDescent="0.25">
      <c r="A20" s="195">
        <f>7</f>
        <v>7</v>
      </c>
      <c r="B20" s="189" t="s">
        <v>129</v>
      </c>
      <c r="C20" s="196" t="s">
        <v>117</v>
      </c>
      <c r="D20" s="197">
        <v>19</v>
      </c>
    </row>
    <row r="21" spans="1:9" x14ac:dyDescent="0.25">
      <c r="A21" s="198">
        <f>$A$20</f>
        <v>7</v>
      </c>
      <c r="B21" s="190" t="str">
        <f t="shared" ref="B21:B22" si="6">$B$20</f>
        <v>Ponto7</v>
      </c>
      <c r="C21" s="196" t="s">
        <v>118</v>
      </c>
      <c r="D21" s="197">
        <v>20</v>
      </c>
    </row>
    <row r="22" spans="1:9" x14ac:dyDescent="0.25">
      <c r="A22" s="198">
        <f>$A$20</f>
        <v>7</v>
      </c>
      <c r="B22" s="190" t="str">
        <f t="shared" si="6"/>
        <v>Ponto7</v>
      </c>
      <c r="C22" s="196" t="s">
        <v>119</v>
      </c>
      <c r="D22" s="197">
        <v>21</v>
      </c>
    </row>
    <row r="23" spans="1:9" x14ac:dyDescent="0.25">
      <c r="A23" s="195">
        <f>8</f>
        <v>8</v>
      </c>
      <c r="B23" s="189" t="s">
        <v>130</v>
      </c>
      <c r="C23" s="196" t="s">
        <v>117</v>
      </c>
      <c r="D23" s="197">
        <v>22</v>
      </c>
    </row>
    <row r="24" spans="1:9" x14ac:dyDescent="0.25">
      <c r="A24" s="198">
        <f>$A$23</f>
        <v>8</v>
      </c>
      <c r="B24" s="190" t="str">
        <f t="shared" ref="B24:B25" si="7">$B$23</f>
        <v>Ponto8</v>
      </c>
      <c r="C24" s="196" t="s">
        <v>118</v>
      </c>
      <c r="D24" s="197">
        <v>23</v>
      </c>
    </row>
    <row r="25" spans="1:9" x14ac:dyDescent="0.25">
      <c r="A25" s="198">
        <f>$A$23</f>
        <v>8</v>
      </c>
      <c r="B25" s="190" t="str">
        <f t="shared" si="7"/>
        <v>Ponto8</v>
      </c>
      <c r="C25" s="196" t="s">
        <v>119</v>
      </c>
      <c r="D25" s="197">
        <v>24</v>
      </c>
    </row>
    <row r="26" spans="1:9" x14ac:dyDescent="0.25">
      <c r="A26" s="195">
        <f>9</f>
        <v>9</v>
      </c>
      <c r="B26" s="189" t="s">
        <v>131</v>
      </c>
      <c r="C26" s="196" t="s">
        <v>117</v>
      </c>
      <c r="D26" s="197">
        <v>25</v>
      </c>
    </row>
    <row r="27" spans="1:9" x14ac:dyDescent="0.25">
      <c r="A27" s="198">
        <f>$A$26</f>
        <v>9</v>
      </c>
      <c r="B27" s="190" t="str">
        <f t="shared" ref="B27:B28" si="8">$B$26</f>
        <v>Ponto9</v>
      </c>
      <c r="C27" s="196" t="s">
        <v>118</v>
      </c>
      <c r="D27" s="197">
        <v>26</v>
      </c>
    </row>
    <row r="28" spans="1:9" x14ac:dyDescent="0.25">
      <c r="A28" s="198">
        <f>$A$26</f>
        <v>9</v>
      </c>
      <c r="B28" s="190" t="str">
        <f t="shared" si="8"/>
        <v>Ponto9</v>
      </c>
      <c r="C28" s="196" t="s">
        <v>119</v>
      </c>
      <c r="D28" s="197">
        <v>27</v>
      </c>
    </row>
    <row r="29" spans="1:9" x14ac:dyDescent="0.25">
      <c r="A29" s="199">
        <v>10</v>
      </c>
      <c r="B29" s="189" t="s">
        <v>132</v>
      </c>
      <c r="C29" s="196" t="s">
        <v>117</v>
      </c>
      <c r="D29" s="197">
        <v>28</v>
      </c>
    </row>
    <row r="30" spans="1:9" x14ac:dyDescent="0.25">
      <c r="A30" s="198">
        <f>$A$29</f>
        <v>10</v>
      </c>
      <c r="B30" s="190" t="str">
        <f t="shared" ref="B30:B31" si="9">$B$29</f>
        <v>Ponto10</v>
      </c>
      <c r="C30" s="196" t="s">
        <v>118</v>
      </c>
      <c r="D30" s="197">
        <v>29</v>
      </c>
    </row>
    <row r="31" spans="1:9" x14ac:dyDescent="0.25">
      <c r="A31" s="198">
        <f>$A$29</f>
        <v>10</v>
      </c>
      <c r="B31" s="190" t="str">
        <f t="shared" si="9"/>
        <v>Ponto10</v>
      </c>
      <c r="C31" s="196" t="s">
        <v>119</v>
      </c>
      <c r="D31" s="197">
        <v>30</v>
      </c>
    </row>
    <row r="32" spans="1:9" ht="13.5" x14ac:dyDescent="0.25">
      <c r="A32" s="200">
        <v>11</v>
      </c>
      <c r="B32" s="189" t="s">
        <v>139</v>
      </c>
      <c r="C32" s="196" t="s">
        <v>117</v>
      </c>
      <c r="D32" s="197">
        <v>31</v>
      </c>
      <c r="E32" s="1"/>
      <c r="F32" s="1"/>
      <c r="G32" s="4"/>
      <c r="I32" s="1"/>
    </row>
    <row r="33" spans="1:9" ht="13.5" x14ac:dyDescent="0.25">
      <c r="A33" s="200">
        <v>11</v>
      </c>
      <c r="B33" s="190" t="str">
        <f t="shared" ref="B33:B34" si="10">$B$32</f>
        <v>Ponto11</v>
      </c>
      <c r="C33" s="196" t="s">
        <v>118</v>
      </c>
      <c r="D33" s="197">
        <v>32</v>
      </c>
      <c r="E33" s="1"/>
      <c r="F33" s="1"/>
      <c r="G33" s="4"/>
      <c r="I33" s="1"/>
    </row>
    <row r="34" spans="1:9" ht="13.5" x14ac:dyDescent="0.25">
      <c r="A34" s="200">
        <v>11</v>
      </c>
      <c r="B34" s="190" t="str">
        <f t="shared" si="10"/>
        <v>Ponto11</v>
      </c>
      <c r="C34" s="196" t="s">
        <v>119</v>
      </c>
      <c r="D34" s="197">
        <v>33</v>
      </c>
      <c r="E34" s="1"/>
      <c r="F34" s="1"/>
      <c r="G34" s="4"/>
    </row>
    <row r="35" spans="1:9" ht="13.5" x14ac:dyDescent="0.25">
      <c r="A35" s="200">
        <v>12</v>
      </c>
      <c r="B35" s="189" t="s">
        <v>140</v>
      </c>
      <c r="C35" s="196" t="s">
        <v>117</v>
      </c>
      <c r="D35" s="197">
        <v>34</v>
      </c>
      <c r="E35" s="1"/>
      <c r="F35" s="1"/>
      <c r="G35" s="4"/>
    </row>
    <row r="36" spans="1:9" ht="13.5" x14ac:dyDescent="0.25">
      <c r="A36" s="200">
        <v>12</v>
      </c>
      <c r="B36" s="190" t="str">
        <f t="shared" ref="B36:B37" si="11">$B$35</f>
        <v>Ponto12</v>
      </c>
      <c r="C36" s="196" t="s">
        <v>118</v>
      </c>
      <c r="D36" s="197">
        <v>35</v>
      </c>
      <c r="E36" s="1"/>
      <c r="F36" s="1"/>
      <c r="G36" s="4"/>
    </row>
    <row r="37" spans="1:9" ht="13.5" x14ac:dyDescent="0.25">
      <c r="A37" s="200">
        <v>12</v>
      </c>
      <c r="B37" s="190" t="str">
        <f t="shared" si="11"/>
        <v>Ponto12</v>
      </c>
      <c r="C37" s="196" t="s">
        <v>119</v>
      </c>
      <c r="D37" s="197">
        <v>36</v>
      </c>
      <c r="E37" s="1"/>
      <c r="F37" s="1"/>
      <c r="G37" s="4"/>
    </row>
    <row r="38" spans="1:9" ht="13.5" x14ac:dyDescent="0.25">
      <c r="A38" s="200">
        <v>13</v>
      </c>
      <c r="B38" s="189" t="s">
        <v>141</v>
      </c>
      <c r="C38" s="196" t="s">
        <v>117</v>
      </c>
      <c r="D38" s="197">
        <v>37</v>
      </c>
      <c r="E38" s="1"/>
      <c r="F38" s="1"/>
      <c r="G38" s="4"/>
    </row>
    <row r="39" spans="1:9" ht="13.5" x14ac:dyDescent="0.25">
      <c r="A39" s="200">
        <v>13</v>
      </c>
      <c r="B39" s="190" t="str">
        <f t="shared" ref="B39:B40" si="12">$B$38</f>
        <v>Ponto13</v>
      </c>
      <c r="C39" s="196" t="s">
        <v>118</v>
      </c>
      <c r="D39" s="197">
        <v>38</v>
      </c>
      <c r="E39" s="1"/>
      <c r="F39" s="1"/>
      <c r="G39" s="4"/>
    </row>
    <row r="40" spans="1:9" ht="13.5" x14ac:dyDescent="0.25">
      <c r="A40" s="200">
        <v>13</v>
      </c>
      <c r="B40" s="190" t="str">
        <f t="shared" si="12"/>
        <v>Ponto13</v>
      </c>
      <c r="C40" s="196" t="s">
        <v>119</v>
      </c>
      <c r="D40" s="197">
        <v>39</v>
      </c>
    </row>
    <row r="41" spans="1:9" ht="13.5" x14ac:dyDescent="0.25">
      <c r="A41" s="200">
        <v>14</v>
      </c>
      <c r="B41" s="189" t="s">
        <v>142</v>
      </c>
      <c r="C41" s="196" t="s">
        <v>117</v>
      </c>
      <c r="D41" s="197">
        <v>40</v>
      </c>
    </row>
    <row r="42" spans="1:9" ht="13.5" x14ac:dyDescent="0.25">
      <c r="A42" s="200">
        <v>14</v>
      </c>
      <c r="B42" s="190" t="str">
        <f t="shared" ref="B42:B43" si="13">$B$41</f>
        <v>Ponto14</v>
      </c>
      <c r="C42" s="196" t="s">
        <v>118</v>
      </c>
      <c r="D42" s="197">
        <v>41</v>
      </c>
    </row>
    <row r="43" spans="1:9" ht="13.5" x14ac:dyDescent="0.25">
      <c r="A43" s="200">
        <v>14</v>
      </c>
      <c r="B43" s="190" t="str">
        <f t="shared" si="13"/>
        <v>Ponto14</v>
      </c>
      <c r="C43" s="196" t="s">
        <v>119</v>
      </c>
      <c r="D43" s="197">
        <v>42</v>
      </c>
    </row>
    <row r="44" spans="1:9" ht="13.5" x14ac:dyDescent="0.25">
      <c r="A44" s="200">
        <v>15</v>
      </c>
      <c r="B44" s="189" t="s">
        <v>143</v>
      </c>
      <c r="C44" s="196" t="s">
        <v>117</v>
      </c>
      <c r="D44" s="197">
        <v>43</v>
      </c>
    </row>
    <row r="45" spans="1:9" ht="13.5" x14ac:dyDescent="0.25">
      <c r="A45" s="200">
        <v>15</v>
      </c>
      <c r="B45" s="190" t="str">
        <f t="shared" ref="B45:B46" si="14">$B$44</f>
        <v>Ponto15</v>
      </c>
      <c r="C45" s="196" t="s">
        <v>118</v>
      </c>
      <c r="D45" s="197">
        <v>44</v>
      </c>
    </row>
    <row r="46" spans="1:9" ht="13.5" x14ac:dyDescent="0.25">
      <c r="A46" s="200">
        <v>15</v>
      </c>
      <c r="B46" s="190" t="str">
        <f t="shared" si="14"/>
        <v>Ponto15</v>
      </c>
      <c r="C46" s="196" t="s">
        <v>119</v>
      </c>
      <c r="D46" s="197">
        <v>45</v>
      </c>
    </row>
    <row r="47" spans="1:9" ht="13.5" x14ac:dyDescent="0.25">
      <c r="A47" s="200">
        <v>16</v>
      </c>
      <c r="B47" s="189" t="s">
        <v>144</v>
      </c>
      <c r="C47" s="196" t="s">
        <v>117</v>
      </c>
      <c r="D47" s="197">
        <v>46</v>
      </c>
    </row>
    <row r="48" spans="1:9" ht="13.5" x14ac:dyDescent="0.25">
      <c r="A48" s="200">
        <v>16</v>
      </c>
      <c r="B48" s="190" t="str">
        <f t="shared" ref="B48:B49" si="15">$B$47</f>
        <v>Ponto16</v>
      </c>
      <c r="C48" s="196" t="s">
        <v>118</v>
      </c>
      <c r="D48" s="197">
        <v>47</v>
      </c>
    </row>
    <row r="49" spans="1:4" ht="13.5" x14ac:dyDescent="0.25">
      <c r="A49" s="200">
        <v>16</v>
      </c>
      <c r="B49" s="190" t="str">
        <f t="shared" si="15"/>
        <v>Ponto16</v>
      </c>
      <c r="C49" s="196" t="s">
        <v>119</v>
      </c>
      <c r="D49" s="197">
        <v>48</v>
      </c>
    </row>
    <row r="50" spans="1:4" ht="13.5" x14ac:dyDescent="0.25">
      <c r="A50" s="200">
        <v>17</v>
      </c>
      <c r="B50" s="189" t="s">
        <v>145</v>
      </c>
      <c r="C50" s="196" t="s">
        <v>117</v>
      </c>
      <c r="D50" s="197">
        <v>49</v>
      </c>
    </row>
    <row r="51" spans="1:4" ht="13.5" x14ac:dyDescent="0.25">
      <c r="A51" s="200">
        <v>17</v>
      </c>
      <c r="B51" s="190" t="str">
        <f t="shared" ref="B51:B52" si="16">$B$50</f>
        <v>Ponto17</v>
      </c>
      <c r="C51" s="196" t="s">
        <v>118</v>
      </c>
      <c r="D51" s="197">
        <v>50</v>
      </c>
    </row>
    <row r="52" spans="1:4" ht="13.5" x14ac:dyDescent="0.25">
      <c r="A52" s="200">
        <v>17</v>
      </c>
      <c r="B52" s="190" t="str">
        <f t="shared" si="16"/>
        <v>Ponto17</v>
      </c>
      <c r="C52" s="196" t="s">
        <v>119</v>
      </c>
      <c r="D52" s="197">
        <v>51</v>
      </c>
    </row>
    <row r="53" spans="1:4" ht="13.5" x14ac:dyDescent="0.25">
      <c r="A53" s="200">
        <v>18</v>
      </c>
      <c r="B53" s="189" t="s">
        <v>146</v>
      </c>
      <c r="C53" s="196" t="s">
        <v>117</v>
      </c>
      <c r="D53" s="197">
        <v>52</v>
      </c>
    </row>
    <row r="54" spans="1:4" ht="13.5" x14ac:dyDescent="0.25">
      <c r="A54" s="200">
        <v>18</v>
      </c>
      <c r="B54" s="190" t="str">
        <f t="shared" ref="B54:B55" si="17">$B$53</f>
        <v>Ponto18</v>
      </c>
      <c r="C54" s="196" t="s">
        <v>118</v>
      </c>
      <c r="D54" s="197">
        <v>53</v>
      </c>
    </row>
    <row r="55" spans="1:4" ht="13.5" x14ac:dyDescent="0.25">
      <c r="A55" s="200">
        <v>18</v>
      </c>
      <c r="B55" s="190" t="str">
        <f t="shared" si="17"/>
        <v>Ponto18</v>
      </c>
      <c r="C55" s="196" t="s">
        <v>119</v>
      </c>
      <c r="D55" s="197">
        <v>54</v>
      </c>
    </row>
    <row r="56" spans="1:4" ht="13.5" x14ac:dyDescent="0.25">
      <c r="A56" s="200">
        <v>19</v>
      </c>
      <c r="B56" s="189" t="s">
        <v>147</v>
      </c>
      <c r="C56" s="196" t="s">
        <v>117</v>
      </c>
      <c r="D56" s="197">
        <v>55</v>
      </c>
    </row>
    <row r="57" spans="1:4" ht="13.5" x14ac:dyDescent="0.25">
      <c r="A57" s="200">
        <v>19</v>
      </c>
      <c r="B57" s="190" t="str">
        <f t="shared" ref="B57:B58" si="18">$B$56</f>
        <v>Ponto19</v>
      </c>
      <c r="C57" s="196" t="s">
        <v>118</v>
      </c>
      <c r="D57" s="197">
        <v>56</v>
      </c>
    </row>
    <row r="58" spans="1:4" ht="13.5" x14ac:dyDescent="0.25">
      <c r="A58" s="200">
        <v>19</v>
      </c>
      <c r="B58" s="190" t="str">
        <f t="shared" si="18"/>
        <v>Ponto19</v>
      </c>
      <c r="C58" s="196" t="s">
        <v>119</v>
      </c>
      <c r="D58" s="197">
        <v>57</v>
      </c>
    </row>
    <row r="59" spans="1:4" ht="13.5" x14ac:dyDescent="0.25">
      <c r="A59" s="200">
        <v>20</v>
      </c>
      <c r="B59" s="189" t="s">
        <v>148</v>
      </c>
      <c r="C59" s="196" t="s">
        <v>117</v>
      </c>
      <c r="D59" s="197">
        <v>58</v>
      </c>
    </row>
    <row r="60" spans="1:4" ht="13.5" x14ac:dyDescent="0.25">
      <c r="A60" s="200">
        <v>20</v>
      </c>
      <c r="B60" s="190" t="str">
        <f t="shared" ref="B60:B61" si="19">$B$59</f>
        <v>Ponto20</v>
      </c>
      <c r="C60" s="196" t="s">
        <v>118</v>
      </c>
      <c r="D60" s="197">
        <v>59</v>
      </c>
    </row>
    <row r="61" spans="1:4" ht="13.5" x14ac:dyDescent="0.25">
      <c r="A61" s="200">
        <v>20</v>
      </c>
      <c r="B61" s="190" t="str">
        <f t="shared" si="19"/>
        <v>Ponto20</v>
      </c>
      <c r="C61" s="196" t="s">
        <v>119</v>
      </c>
      <c r="D61" s="197">
        <v>60</v>
      </c>
    </row>
    <row r="62" spans="1:4" ht="13.5" x14ac:dyDescent="0.25">
      <c r="A62" s="200">
        <v>21</v>
      </c>
      <c r="B62" s="189" t="s">
        <v>149</v>
      </c>
      <c r="C62" s="196" t="s">
        <v>117</v>
      </c>
      <c r="D62" s="197">
        <v>61</v>
      </c>
    </row>
    <row r="63" spans="1:4" ht="13.5" x14ac:dyDescent="0.25">
      <c r="A63" s="200">
        <v>21</v>
      </c>
      <c r="B63" s="190" t="str">
        <f t="shared" ref="B63:B64" si="20">$B$62</f>
        <v>Ponto21</v>
      </c>
      <c r="C63" s="196" t="s">
        <v>118</v>
      </c>
      <c r="D63" s="197">
        <v>62</v>
      </c>
    </row>
    <row r="64" spans="1:4" ht="13.5" x14ac:dyDescent="0.25">
      <c r="A64" s="200">
        <v>21</v>
      </c>
      <c r="B64" s="190" t="str">
        <f t="shared" si="20"/>
        <v>Ponto21</v>
      </c>
      <c r="C64" s="196" t="s">
        <v>119</v>
      </c>
      <c r="D64" s="197">
        <v>63</v>
      </c>
    </row>
    <row r="65" spans="1:4" ht="13.5" x14ac:dyDescent="0.25">
      <c r="A65" s="200">
        <v>22</v>
      </c>
      <c r="B65" s="189" t="s">
        <v>150</v>
      </c>
      <c r="C65" s="196" t="s">
        <v>117</v>
      </c>
      <c r="D65" s="197">
        <v>64</v>
      </c>
    </row>
    <row r="66" spans="1:4" ht="13.5" x14ac:dyDescent="0.25">
      <c r="A66" s="200">
        <v>22</v>
      </c>
      <c r="B66" s="190" t="str">
        <f t="shared" ref="B66:B67" si="21">$B$65</f>
        <v>Ponto22</v>
      </c>
      <c r="C66" s="196" t="s">
        <v>118</v>
      </c>
      <c r="D66" s="197">
        <v>65</v>
      </c>
    </row>
    <row r="67" spans="1:4" ht="13.5" x14ac:dyDescent="0.25">
      <c r="A67" s="200">
        <v>22</v>
      </c>
      <c r="B67" s="190" t="str">
        <f t="shared" si="21"/>
        <v>Ponto22</v>
      </c>
      <c r="C67" s="196" t="s">
        <v>119</v>
      </c>
      <c r="D67" s="197">
        <v>66</v>
      </c>
    </row>
    <row r="68" spans="1:4" ht="13.5" x14ac:dyDescent="0.25">
      <c r="A68" s="200">
        <v>23</v>
      </c>
      <c r="B68" s="189" t="s">
        <v>151</v>
      </c>
      <c r="C68" s="196" t="s">
        <v>117</v>
      </c>
      <c r="D68" s="197">
        <v>67</v>
      </c>
    </row>
    <row r="69" spans="1:4" ht="13.5" x14ac:dyDescent="0.25">
      <c r="A69" s="200">
        <v>23</v>
      </c>
      <c r="B69" s="190" t="str">
        <f t="shared" ref="B69:B70" si="22">$B$68</f>
        <v>Ponto23</v>
      </c>
      <c r="C69" s="196" t="s">
        <v>118</v>
      </c>
      <c r="D69" s="197">
        <v>68</v>
      </c>
    </row>
    <row r="70" spans="1:4" ht="13.5" x14ac:dyDescent="0.25">
      <c r="A70" s="200">
        <v>23</v>
      </c>
      <c r="B70" s="190" t="str">
        <f t="shared" si="22"/>
        <v>Ponto23</v>
      </c>
      <c r="C70" s="196" t="s">
        <v>119</v>
      </c>
      <c r="D70" s="197">
        <v>69</v>
      </c>
    </row>
    <row r="71" spans="1:4" ht="13.5" x14ac:dyDescent="0.25">
      <c r="A71" s="200">
        <v>24</v>
      </c>
      <c r="B71" s="189" t="s">
        <v>152</v>
      </c>
      <c r="C71" s="196" t="s">
        <v>117</v>
      </c>
      <c r="D71" s="197">
        <v>70</v>
      </c>
    </row>
    <row r="72" spans="1:4" ht="13.5" x14ac:dyDescent="0.25">
      <c r="A72" s="200">
        <v>24</v>
      </c>
      <c r="B72" s="190" t="str">
        <f t="shared" ref="B72:B73" si="23">$B$71</f>
        <v>Ponto24</v>
      </c>
      <c r="C72" s="196" t="s">
        <v>118</v>
      </c>
      <c r="D72" s="197">
        <v>71</v>
      </c>
    </row>
    <row r="73" spans="1:4" ht="13.5" x14ac:dyDescent="0.25">
      <c r="A73" s="200">
        <v>24</v>
      </c>
      <c r="B73" s="190" t="str">
        <f t="shared" si="23"/>
        <v>Ponto24</v>
      </c>
      <c r="C73" s="196" t="s">
        <v>119</v>
      </c>
      <c r="D73" s="197">
        <v>72</v>
      </c>
    </row>
    <row r="74" spans="1:4" ht="13.5" x14ac:dyDescent="0.25">
      <c r="A74" s="200">
        <v>25</v>
      </c>
      <c r="B74" s="189" t="s">
        <v>153</v>
      </c>
      <c r="C74" s="196" t="s">
        <v>117</v>
      </c>
      <c r="D74" s="197">
        <v>73</v>
      </c>
    </row>
    <row r="75" spans="1:4" ht="13.5" x14ac:dyDescent="0.25">
      <c r="A75" s="200">
        <v>25</v>
      </c>
      <c r="B75" s="190" t="str">
        <f t="shared" ref="B75:B76" si="24">$B$74</f>
        <v>Ponto25</v>
      </c>
      <c r="C75" s="196" t="s">
        <v>118</v>
      </c>
      <c r="D75" s="197">
        <v>74</v>
      </c>
    </row>
    <row r="76" spans="1:4" ht="13.5" x14ac:dyDescent="0.25">
      <c r="A76" s="200">
        <v>25</v>
      </c>
      <c r="B76" s="190" t="str">
        <f t="shared" si="24"/>
        <v>Ponto25</v>
      </c>
      <c r="C76" s="196" t="s">
        <v>119</v>
      </c>
      <c r="D76" s="197">
        <v>75</v>
      </c>
    </row>
    <row r="77" spans="1:4" ht="13.5" x14ac:dyDescent="0.25">
      <c r="A77" s="200">
        <v>26</v>
      </c>
      <c r="B77" s="189" t="s">
        <v>154</v>
      </c>
      <c r="C77" s="196" t="s">
        <v>117</v>
      </c>
      <c r="D77" s="197">
        <v>76</v>
      </c>
    </row>
    <row r="78" spans="1:4" ht="13.5" x14ac:dyDescent="0.25">
      <c r="A78" s="200">
        <v>26</v>
      </c>
      <c r="B78" s="190" t="str">
        <f t="shared" ref="B78:B79" si="25">$B$77</f>
        <v>Ponto26</v>
      </c>
      <c r="C78" s="196" t="s">
        <v>118</v>
      </c>
      <c r="D78" s="197">
        <v>77</v>
      </c>
    </row>
    <row r="79" spans="1:4" ht="13.5" x14ac:dyDescent="0.25">
      <c r="A79" s="200">
        <v>26</v>
      </c>
      <c r="B79" s="190" t="str">
        <f t="shared" si="25"/>
        <v>Ponto26</v>
      </c>
      <c r="C79" s="196" t="s">
        <v>119</v>
      </c>
      <c r="D79" s="197">
        <v>78</v>
      </c>
    </row>
    <row r="80" spans="1:4" ht="13.5" x14ac:dyDescent="0.25">
      <c r="A80" s="200">
        <v>27</v>
      </c>
      <c r="B80" s="189" t="s">
        <v>155</v>
      </c>
      <c r="C80" s="196" t="s">
        <v>117</v>
      </c>
      <c r="D80" s="197">
        <v>79</v>
      </c>
    </row>
    <row r="81" spans="1:4" ht="13.5" x14ac:dyDescent="0.25">
      <c r="A81" s="200">
        <v>27</v>
      </c>
      <c r="B81" s="190" t="str">
        <f t="shared" ref="B81:B82" si="26">$B$80</f>
        <v>Ponto27</v>
      </c>
      <c r="C81" s="196" t="s">
        <v>118</v>
      </c>
      <c r="D81" s="197">
        <v>80</v>
      </c>
    </row>
    <row r="82" spans="1:4" ht="13.5" x14ac:dyDescent="0.25">
      <c r="A82" s="200">
        <v>27</v>
      </c>
      <c r="B82" s="190" t="str">
        <f t="shared" si="26"/>
        <v>Ponto27</v>
      </c>
      <c r="C82" s="196" t="s">
        <v>119</v>
      </c>
      <c r="D82" s="197">
        <v>81</v>
      </c>
    </row>
    <row r="83" spans="1:4" ht="13.5" x14ac:dyDescent="0.25">
      <c r="A83" s="200">
        <v>28</v>
      </c>
      <c r="B83" s="189" t="s">
        <v>156</v>
      </c>
      <c r="C83" s="196" t="s">
        <v>117</v>
      </c>
      <c r="D83" s="197">
        <v>82</v>
      </c>
    </row>
    <row r="84" spans="1:4" ht="13.5" x14ac:dyDescent="0.25">
      <c r="A84" s="200">
        <v>28</v>
      </c>
      <c r="B84" s="190" t="str">
        <f t="shared" ref="B84:B85" si="27">$B$83</f>
        <v>Ponto28</v>
      </c>
      <c r="C84" s="196" t="s">
        <v>118</v>
      </c>
      <c r="D84" s="197">
        <v>83</v>
      </c>
    </row>
    <row r="85" spans="1:4" ht="13.5" x14ac:dyDescent="0.25">
      <c r="A85" s="200">
        <v>28</v>
      </c>
      <c r="B85" s="190" t="str">
        <f t="shared" si="27"/>
        <v>Ponto28</v>
      </c>
      <c r="C85" s="196" t="s">
        <v>119</v>
      </c>
      <c r="D85" s="197">
        <v>84</v>
      </c>
    </row>
    <row r="86" spans="1:4" ht="13.5" x14ac:dyDescent="0.25">
      <c r="A86" s="200">
        <v>29</v>
      </c>
      <c r="B86" s="189" t="s">
        <v>157</v>
      </c>
      <c r="C86" s="196" t="s">
        <v>117</v>
      </c>
      <c r="D86" s="197">
        <v>85</v>
      </c>
    </row>
    <row r="87" spans="1:4" ht="13.5" x14ac:dyDescent="0.25">
      <c r="A87" s="200">
        <v>29</v>
      </c>
      <c r="B87" s="190" t="str">
        <f t="shared" ref="B87:B88" si="28">$B$86</f>
        <v>Ponto29</v>
      </c>
      <c r="C87" s="196" t="s">
        <v>118</v>
      </c>
      <c r="D87" s="197">
        <v>86</v>
      </c>
    </row>
    <row r="88" spans="1:4" ht="13.5" x14ac:dyDescent="0.25">
      <c r="A88" s="200">
        <v>29</v>
      </c>
      <c r="B88" s="190" t="str">
        <f t="shared" si="28"/>
        <v>Ponto29</v>
      </c>
      <c r="C88" s="196" t="s">
        <v>119</v>
      </c>
      <c r="D88" s="197">
        <v>87</v>
      </c>
    </row>
    <row r="89" spans="1:4" ht="13.5" x14ac:dyDescent="0.25">
      <c r="A89" s="200">
        <v>30</v>
      </c>
      <c r="B89" s="189" t="s">
        <v>158</v>
      </c>
      <c r="C89" s="196" t="s">
        <v>117</v>
      </c>
      <c r="D89" s="197">
        <v>88</v>
      </c>
    </row>
    <row r="90" spans="1:4" ht="13.5" x14ac:dyDescent="0.25">
      <c r="A90" s="200">
        <v>30</v>
      </c>
      <c r="B90" s="190" t="str">
        <f t="shared" ref="B90:B91" si="29">$B$89</f>
        <v>Ponto30</v>
      </c>
      <c r="C90" s="196" t="s">
        <v>118</v>
      </c>
      <c r="D90" s="197">
        <v>89</v>
      </c>
    </row>
    <row r="91" spans="1:4" ht="13.5" x14ac:dyDescent="0.25">
      <c r="A91" s="200">
        <v>30</v>
      </c>
      <c r="B91" s="190" t="str">
        <f t="shared" si="29"/>
        <v>Ponto30</v>
      </c>
      <c r="C91" s="196" t="s">
        <v>119</v>
      </c>
      <c r="D91" s="197">
        <v>90</v>
      </c>
    </row>
    <row r="92" spans="1:4" ht="13.5" x14ac:dyDescent="0.25">
      <c r="A92" s="200">
        <v>31</v>
      </c>
      <c r="B92" s="189" t="s">
        <v>159</v>
      </c>
      <c r="C92" s="196" t="s">
        <v>117</v>
      </c>
      <c r="D92" s="197">
        <v>91</v>
      </c>
    </row>
    <row r="93" spans="1:4" ht="13.5" x14ac:dyDescent="0.25">
      <c r="A93" s="200">
        <v>31</v>
      </c>
      <c r="B93" s="190" t="str">
        <f t="shared" ref="B93:B94" si="30">$B$92</f>
        <v>Ponto31</v>
      </c>
      <c r="C93" s="196" t="s">
        <v>118</v>
      </c>
      <c r="D93" s="197">
        <v>92</v>
      </c>
    </row>
    <row r="94" spans="1:4" ht="13.5" x14ac:dyDescent="0.25">
      <c r="A94" s="200">
        <v>31</v>
      </c>
      <c r="B94" s="190" t="str">
        <f t="shared" si="30"/>
        <v>Ponto31</v>
      </c>
      <c r="C94" s="196" t="s">
        <v>119</v>
      </c>
      <c r="D94" s="197">
        <v>93</v>
      </c>
    </row>
    <row r="95" spans="1:4" ht="13.5" x14ac:dyDescent="0.25">
      <c r="A95" s="200">
        <v>32</v>
      </c>
      <c r="B95" s="189" t="s">
        <v>160</v>
      </c>
      <c r="C95" s="196" t="s">
        <v>117</v>
      </c>
      <c r="D95" s="197">
        <v>94</v>
      </c>
    </row>
    <row r="96" spans="1:4" ht="13.5" x14ac:dyDescent="0.25">
      <c r="A96" s="200">
        <v>32</v>
      </c>
      <c r="B96" s="190" t="str">
        <f t="shared" ref="B96:B97" si="31">$B$95</f>
        <v>Ponto32</v>
      </c>
      <c r="C96" s="196" t="s">
        <v>118</v>
      </c>
      <c r="D96" s="197">
        <v>95</v>
      </c>
    </row>
    <row r="97" spans="1:4" ht="13.5" x14ac:dyDescent="0.25">
      <c r="A97" s="200">
        <v>32</v>
      </c>
      <c r="B97" s="190" t="str">
        <f t="shared" si="31"/>
        <v>Ponto32</v>
      </c>
      <c r="C97" s="196" t="s">
        <v>119</v>
      </c>
      <c r="D97" s="197">
        <v>96</v>
      </c>
    </row>
    <row r="98" spans="1:4" ht="13.5" x14ac:dyDescent="0.25">
      <c r="A98" s="200">
        <v>33</v>
      </c>
      <c r="B98" s="189" t="s">
        <v>161</v>
      </c>
      <c r="C98" s="196" t="s">
        <v>117</v>
      </c>
      <c r="D98" s="197">
        <v>97</v>
      </c>
    </row>
    <row r="99" spans="1:4" ht="13.5" x14ac:dyDescent="0.25">
      <c r="A99" s="200">
        <v>33</v>
      </c>
      <c r="B99" s="190" t="str">
        <f t="shared" ref="B99:B100" si="32">$B$98</f>
        <v>Ponto33</v>
      </c>
      <c r="C99" s="196" t="s">
        <v>118</v>
      </c>
      <c r="D99" s="197">
        <v>98</v>
      </c>
    </row>
    <row r="100" spans="1:4" ht="13.5" x14ac:dyDescent="0.25">
      <c r="A100" s="200">
        <v>33</v>
      </c>
      <c r="B100" s="190" t="str">
        <f t="shared" si="32"/>
        <v>Ponto33</v>
      </c>
      <c r="C100" s="196" t="s">
        <v>119</v>
      </c>
      <c r="D100" s="197">
        <v>99</v>
      </c>
    </row>
    <row r="101" spans="1:4" ht="13.5" x14ac:dyDescent="0.25">
      <c r="A101" s="200">
        <v>34</v>
      </c>
      <c r="B101" s="189" t="s">
        <v>162</v>
      </c>
      <c r="C101" s="196" t="s">
        <v>117</v>
      </c>
      <c r="D101" s="197">
        <v>100</v>
      </c>
    </row>
    <row r="102" spans="1:4" ht="13.5" x14ac:dyDescent="0.25">
      <c r="A102" s="200">
        <v>34</v>
      </c>
      <c r="B102" s="190" t="str">
        <f t="shared" ref="B102:B103" si="33">$B$101</f>
        <v>Ponto34</v>
      </c>
      <c r="C102" s="196" t="s">
        <v>118</v>
      </c>
      <c r="D102" s="197">
        <v>101</v>
      </c>
    </row>
    <row r="103" spans="1:4" ht="13.5" x14ac:dyDescent="0.25">
      <c r="A103" s="200">
        <v>34</v>
      </c>
      <c r="B103" s="190" t="str">
        <f t="shared" si="33"/>
        <v>Ponto34</v>
      </c>
      <c r="C103" s="196" t="s">
        <v>119</v>
      </c>
      <c r="D103" s="197">
        <v>102</v>
      </c>
    </row>
    <row r="104" spans="1:4" ht="13.5" x14ac:dyDescent="0.25">
      <c r="A104" s="200">
        <v>35</v>
      </c>
      <c r="B104" s="189" t="s">
        <v>163</v>
      </c>
      <c r="C104" s="196" t="s">
        <v>117</v>
      </c>
      <c r="D104" s="197">
        <v>103</v>
      </c>
    </row>
    <row r="105" spans="1:4" ht="13.5" x14ac:dyDescent="0.25">
      <c r="A105" s="200">
        <v>35</v>
      </c>
      <c r="B105" s="190" t="str">
        <f t="shared" ref="B105:B106" si="34">$B$104</f>
        <v>Ponto35</v>
      </c>
      <c r="C105" s="196" t="s">
        <v>118</v>
      </c>
      <c r="D105" s="197">
        <v>104</v>
      </c>
    </row>
    <row r="106" spans="1:4" ht="13.5" x14ac:dyDescent="0.25">
      <c r="A106" s="200">
        <v>35</v>
      </c>
      <c r="B106" s="190" t="str">
        <f t="shared" si="34"/>
        <v>Ponto35</v>
      </c>
      <c r="C106" s="196" t="s">
        <v>119</v>
      </c>
      <c r="D106" s="197">
        <v>105</v>
      </c>
    </row>
    <row r="107" spans="1:4" ht="13.5" x14ac:dyDescent="0.25">
      <c r="A107" s="200">
        <v>36</v>
      </c>
      <c r="B107" s="189" t="s">
        <v>164</v>
      </c>
      <c r="C107" s="196" t="s">
        <v>117</v>
      </c>
      <c r="D107" s="197">
        <v>106</v>
      </c>
    </row>
    <row r="108" spans="1:4" ht="13.5" x14ac:dyDescent="0.25">
      <c r="A108" s="200">
        <v>36</v>
      </c>
      <c r="B108" s="190" t="str">
        <f t="shared" ref="B108:B109" si="35">$B$107</f>
        <v>Ponto36</v>
      </c>
      <c r="C108" s="196" t="s">
        <v>118</v>
      </c>
      <c r="D108" s="197">
        <v>107</v>
      </c>
    </row>
    <row r="109" spans="1:4" ht="13.5" x14ac:dyDescent="0.25">
      <c r="A109" s="200">
        <v>36</v>
      </c>
      <c r="B109" s="190" t="str">
        <f t="shared" si="35"/>
        <v>Ponto36</v>
      </c>
      <c r="C109" s="196" t="s">
        <v>119</v>
      </c>
      <c r="D109" s="197">
        <v>108</v>
      </c>
    </row>
    <row r="110" spans="1:4" ht="13.5" x14ac:dyDescent="0.25">
      <c r="A110" s="200">
        <v>37</v>
      </c>
      <c r="B110" s="189" t="s">
        <v>165</v>
      </c>
      <c r="C110" s="196" t="s">
        <v>117</v>
      </c>
      <c r="D110" s="197">
        <v>109</v>
      </c>
    </row>
    <row r="111" spans="1:4" ht="13.5" x14ac:dyDescent="0.25">
      <c r="A111" s="200">
        <v>37</v>
      </c>
      <c r="B111" s="190" t="str">
        <f t="shared" ref="B111:B112" si="36">$B$110</f>
        <v>Ponto37</v>
      </c>
      <c r="C111" s="196" t="s">
        <v>118</v>
      </c>
      <c r="D111" s="197">
        <v>110</v>
      </c>
    </row>
    <row r="112" spans="1:4" ht="13.5" x14ac:dyDescent="0.25">
      <c r="A112" s="200">
        <v>37</v>
      </c>
      <c r="B112" s="190" t="str">
        <f t="shared" si="36"/>
        <v>Ponto37</v>
      </c>
      <c r="C112" s="196" t="s">
        <v>119</v>
      </c>
      <c r="D112" s="197">
        <v>111</v>
      </c>
    </row>
    <row r="113" spans="1:4" ht="13.5" x14ac:dyDescent="0.25">
      <c r="A113" s="200">
        <v>38</v>
      </c>
      <c r="B113" s="189" t="s">
        <v>166</v>
      </c>
      <c r="C113" s="196" t="s">
        <v>117</v>
      </c>
      <c r="D113" s="197">
        <v>112</v>
      </c>
    </row>
    <row r="114" spans="1:4" ht="13.5" x14ac:dyDescent="0.25">
      <c r="A114" s="200">
        <v>38</v>
      </c>
      <c r="B114" s="190" t="str">
        <f t="shared" ref="B114:B115" si="37">$B$113</f>
        <v>Ponto38</v>
      </c>
      <c r="C114" s="196" t="s">
        <v>118</v>
      </c>
      <c r="D114" s="197">
        <v>113</v>
      </c>
    </row>
    <row r="115" spans="1:4" ht="13.5" x14ac:dyDescent="0.25">
      <c r="A115" s="200">
        <v>38</v>
      </c>
      <c r="B115" s="190" t="str">
        <f t="shared" si="37"/>
        <v>Ponto38</v>
      </c>
      <c r="C115" s="196" t="s">
        <v>119</v>
      </c>
      <c r="D115" s="197">
        <v>114</v>
      </c>
    </row>
    <row r="116" spans="1:4" ht="13.5" x14ac:dyDescent="0.25">
      <c r="A116" s="200">
        <v>39</v>
      </c>
      <c r="B116" s="189" t="s">
        <v>167</v>
      </c>
      <c r="C116" s="196" t="s">
        <v>117</v>
      </c>
      <c r="D116" s="197">
        <v>115</v>
      </c>
    </row>
    <row r="117" spans="1:4" ht="13.5" x14ac:dyDescent="0.25">
      <c r="A117" s="200">
        <v>39</v>
      </c>
      <c r="B117" s="190" t="str">
        <f t="shared" ref="B117:B118" si="38">$B$116</f>
        <v>Ponto39</v>
      </c>
      <c r="C117" s="196" t="s">
        <v>118</v>
      </c>
      <c r="D117" s="197">
        <v>116</v>
      </c>
    </row>
    <row r="118" spans="1:4" ht="13.5" x14ac:dyDescent="0.25">
      <c r="A118" s="200">
        <v>39</v>
      </c>
      <c r="B118" s="190" t="str">
        <f t="shared" si="38"/>
        <v>Ponto39</v>
      </c>
      <c r="C118" s="196" t="s">
        <v>119</v>
      </c>
      <c r="D118" s="197">
        <v>117</v>
      </c>
    </row>
    <row r="119" spans="1:4" ht="13.5" x14ac:dyDescent="0.25">
      <c r="A119" s="200">
        <v>40</v>
      </c>
      <c r="B119" s="189" t="s">
        <v>168</v>
      </c>
      <c r="C119" s="196" t="s">
        <v>117</v>
      </c>
      <c r="D119" s="197">
        <v>118</v>
      </c>
    </row>
    <row r="120" spans="1:4" ht="13.5" x14ac:dyDescent="0.25">
      <c r="A120" s="200">
        <v>40</v>
      </c>
      <c r="B120" s="190" t="str">
        <f t="shared" ref="B120:B121" si="39">$B$119</f>
        <v>Ponto40</v>
      </c>
      <c r="C120" s="196" t="s">
        <v>118</v>
      </c>
      <c r="D120" s="197">
        <v>119</v>
      </c>
    </row>
    <row r="121" spans="1:4" ht="13.5" x14ac:dyDescent="0.25">
      <c r="A121" s="200">
        <v>40</v>
      </c>
      <c r="B121" s="190" t="str">
        <f t="shared" si="39"/>
        <v>Ponto40</v>
      </c>
      <c r="C121" s="196" t="s">
        <v>119</v>
      </c>
      <c r="D121" s="197">
        <v>120</v>
      </c>
    </row>
    <row r="122" spans="1:4" ht="13.5" x14ac:dyDescent="0.25">
      <c r="A122" s="200">
        <v>41</v>
      </c>
      <c r="B122" s="189" t="s">
        <v>169</v>
      </c>
      <c r="C122" s="196" t="s">
        <v>117</v>
      </c>
      <c r="D122" s="197">
        <v>121</v>
      </c>
    </row>
    <row r="123" spans="1:4" ht="13.5" x14ac:dyDescent="0.25">
      <c r="A123" s="200">
        <v>41</v>
      </c>
      <c r="B123" s="190" t="str">
        <f t="shared" ref="B123:B124" si="40">$B$122</f>
        <v>Ponto41</v>
      </c>
      <c r="C123" s="196" t="s">
        <v>118</v>
      </c>
      <c r="D123" s="197">
        <v>122</v>
      </c>
    </row>
    <row r="124" spans="1:4" ht="13.5" x14ac:dyDescent="0.25">
      <c r="A124" s="200">
        <v>41</v>
      </c>
      <c r="B124" s="190" t="str">
        <f t="shared" si="40"/>
        <v>Ponto41</v>
      </c>
      <c r="C124" s="196" t="s">
        <v>119</v>
      </c>
      <c r="D124" s="197">
        <v>123</v>
      </c>
    </row>
    <row r="125" spans="1:4" ht="13.5" x14ac:dyDescent="0.25">
      <c r="A125" s="200">
        <v>42</v>
      </c>
      <c r="B125" s="189" t="s">
        <v>170</v>
      </c>
      <c r="C125" s="196" t="s">
        <v>117</v>
      </c>
      <c r="D125" s="197">
        <v>124</v>
      </c>
    </row>
    <row r="126" spans="1:4" ht="13.5" x14ac:dyDescent="0.25">
      <c r="A126" s="200">
        <v>42</v>
      </c>
      <c r="B126" s="190" t="str">
        <f t="shared" ref="B126:B127" si="41">$B$125</f>
        <v>Ponto42</v>
      </c>
      <c r="C126" s="196" t="s">
        <v>118</v>
      </c>
      <c r="D126" s="197">
        <v>125</v>
      </c>
    </row>
    <row r="127" spans="1:4" ht="13.5" x14ac:dyDescent="0.25">
      <c r="A127" s="200">
        <v>42</v>
      </c>
      <c r="B127" s="190" t="str">
        <f t="shared" si="41"/>
        <v>Ponto42</v>
      </c>
      <c r="C127" s="196" t="s">
        <v>119</v>
      </c>
      <c r="D127" s="197">
        <v>126</v>
      </c>
    </row>
    <row r="128" spans="1:4" ht="13.5" x14ac:dyDescent="0.25">
      <c r="A128" s="200">
        <v>43</v>
      </c>
      <c r="B128" s="189" t="s">
        <v>171</v>
      </c>
      <c r="C128" s="196" t="s">
        <v>117</v>
      </c>
      <c r="D128" s="197">
        <v>127</v>
      </c>
    </row>
    <row r="129" spans="1:4" ht="13.5" x14ac:dyDescent="0.25">
      <c r="A129" s="200">
        <v>43</v>
      </c>
      <c r="B129" s="190" t="str">
        <f t="shared" ref="B129:B130" si="42">$B$128</f>
        <v>Ponto43</v>
      </c>
      <c r="C129" s="196" t="s">
        <v>118</v>
      </c>
      <c r="D129" s="197">
        <v>128</v>
      </c>
    </row>
    <row r="130" spans="1:4" ht="13.5" x14ac:dyDescent="0.25">
      <c r="A130" s="200">
        <v>43</v>
      </c>
      <c r="B130" s="190" t="str">
        <f t="shared" si="42"/>
        <v>Ponto43</v>
      </c>
      <c r="C130" s="196" t="s">
        <v>119</v>
      </c>
      <c r="D130" s="197">
        <v>129</v>
      </c>
    </row>
    <row r="131" spans="1:4" ht="13.5" x14ac:dyDescent="0.25">
      <c r="A131" s="200">
        <v>44</v>
      </c>
      <c r="B131" s="189" t="s">
        <v>172</v>
      </c>
      <c r="C131" s="196" t="s">
        <v>117</v>
      </c>
      <c r="D131" s="197">
        <v>130</v>
      </c>
    </row>
    <row r="132" spans="1:4" ht="13.5" x14ac:dyDescent="0.25">
      <c r="A132" s="200">
        <v>44</v>
      </c>
      <c r="B132" s="190" t="str">
        <f t="shared" ref="B132:B133" si="43">$B$131</f>
        <v>Ponto44</v>
      </c>
      <c r="C132" s="196" t="s">
        <v>118</v>
      </c>
      <c r="D132" s="197">
        <v>131</v>
      </c>
    </row>
    <row r="133" spans="1:4" ht="13.5" x14ac:dyDescent="0.25">
      <c r="A133" s="200">
        <v>44</v>
      </c>
      <c r="B133" s="190" t="str">
        <f t="shared" si="43"/>
        <v>Ponto44</v>
      </c>
      <c r="C133" s="196" t="s">
        <v>119</v>
      </c>
      <c r="D133" s="197">
        <v>132</v>
      </c>
    </row>
    <row r="134" spans="1:4" ht="13.5" x14ac:dyDescent="0.25">
      <c r="A134" s="200">
        <v>45</v>
      </c>
      <c r="B134" s="189" t="s">
        <v>173</v>
      </c>
      <c r="C134" s="196" t="s">
        <v>117</v>
      </c>
      <c r="D134" s="197">
        <v>133</v>
      </c>
    </row>
    <row r="135" spans="1:4" ht="13.5" x14ac:dyDescent="0.25">
      <c r="A135" s="200">
        <v>45</v>
      </c>
      <c r="B135" s="190" t="str">
        <f t="shared" ref="B135:B136" si="44">$B$134</f>
        <v>Ponto45</v>
      </c>
      <c r="C135" s="196" t="s">
        <v>118</v>
      </c>
      <c r="D135" s="197">
        <v>134</v>
      </c>
    </row>
    <row r="136" spans="1:4" ht="13.5" x14ac:dyDescent="0.25">
      <c r="A136" s="200">
        <v>45</v>
      </c>
      <c r="B136" s="190" t="str">
        <f t="shared" si="44"/>
        <v>Ponto45</v>
      </c>
      <c r="C136" s="196" t="s">
        <v>119</v>
      </c>
      <c r="D136" s="197">
        <v>135</v>
      </c>
    </row>
    <row r="137" spans="1:4" ht="13.5" x14ac:dyDescent="0.25">
      <c r="A137" s="200">
        <v>46</v>
      </c>
      <c r="B137" s="189" t="s">
        <v>174</v>
      </c>
      <c r="C137" s="196" t="s">
        <v>117</v>
      </c>
      <c r="D137" s="197">
        <v>136</v>
      </c>
    </row>
    <row r="138" spans="1:4" ht="13.5" x14ac:dyDescent="0.25">
      <c r="A138" s="200">
        <v>46</v>
      </c>
      <c r="B138" s="190" t="str">
        <f t="shared" ref="B138:B139" si="45">$B$137</f>
        <v>Ponto46</v>
      </c>
      <c r="C138" s="196" t="s">
        <v>118</v>
      </c>
      <c r="D138" s="197">
        <v>137</v>
      </c>
    </row>
    <row r="139" spans="1:4" ht="13.5" x14ac:dyDescent="0.25">
      <c r="A139" s="200">
        <v>46</v>
      </c>
      <c r="B139" s="190" t="str">
        <f t="shared" si="45"/>
        <v>Ponto46</v>
      </c>
      <c r="C139" s="196" t="s">
        <v>119</v>
      </c>
      <c r="D139" s="197">
        <v>138</v>
      </c>
    </row>
    <row r="140" spans="1:4" ht="13.5" x14ac:dyDescent="0.25">
      <c r="A140" s="200">
        <v>47</v>
      </c>
      <c r="B140" s="189" t="s">
        <v>175</v>
      </c>
      <c r="C140" s="196" t="s">
        <v>117</v>
      </c>
      <c r="D140" s="197">
        <v>139</v>
      </c>
    </row>
    <row r="141" spans="1:4" ht="13.5" x14ac:dyDescent="0.25">
      <c r="A141" s="200">
        <v>47</v>
      </c>
      <c r="B141" s="190" t="str">
        <f t="shared" ref="B141:B142" si="46">$B$140</f>
        <v>Ponto47</v>
      </c>
      <c r="C141" s="196" t="s">
        <v>118</v>
      </c>
      <c r="D141" s="197">
        <v>140</v>
      </c>
    </row>
    <row r="142" spans="1:4" ht="13.5" x14ac:dyDescent="0.25">
      <c r="A142" s="200">
        <v>47</v>
      </c>
      <c r="B142" s="190" t="str">
        <f t="shared" si="46"/>
        <v>Ponto47</v>
      </c>
      <c r="C142" s="196" t="s">
        <v>119</v>
      </c>
      <c r="D142" s="197">
        <v>141</v>
      </c>
    </row>
    <row r="143" spans="1:4" ht="13.5" x14ac:dyDescent="0.25">
      <c r="A143" s="200">
        <v>48</v>
      </c>
      <c r="B143" s="189" t="s">
        <v>176</v>
      </c>
      <c r="C143" s="196" t="s">
        <v>117</v>
      </c>
      <c r="D143" s="197">
        <v>142</v>
      </c>
    </row>
    <row r="144" spans="1:4" ht="13.5" x14ac:dyDescent="0.25">
      <c r="A144" s="200">
        <v>48</v>
      </c>
      <c r="B144" s="190" t="str">
        <f t="shared" ref="B144:B145" si="47">$B$143</f>
        <v>Ponto48</v>
      </c>
      <c r="C144" s="196" t="s">
        <v>118</v>
      </c>
      <c r="D144" s="197">
        <v>143</v>
      </c>
    </row>
    <row r="145" spans="1:4" ht="13.5" x14ac:dyDescent="0.25">
      <c r="A145" s="200">
        <v>48</v>
      </c>
      <c r="B145" s="190" t="str">
        <f t="shared" si="47"/>
        <v>Ponto48</v>
      </c>
      <c r="C145" s="196" t="s">
        <v>119</v>
      </c>
      <c r="D145" s="197">
        <v>144</v>
      </c>
    </row>
    <row r="146" spans="1:4" ht="13.5" x14ac:dyDescent="0.25">
      <c r="A146" s="200">
        <v>49</v>
      </c>
      <c r="B146" s="189" t="s">
        <v>177</v>
      </c>
      <c r="C146" s="196" t="s">
        <v>117</v>
      </c>
      <c r="D146" s="197">
        <v>145</v>
      </c>
    </row>
    <row r="147" spans="1:4" ht="13.5" x14ac:dyDescent="0.25">
      <c r="A147" s="200">
        <v>49</v>
      </c>
      <c r="B147" s="190" t="str">
        <f t="shared" ref="B147:B148" si="48">$B$146</f>
        <v>Ponto49</v>
      </c>
      <c r="C147" s="196" t="s">
        <v>118</v>
      </c>
      <c r="D147" s="197">
        <v>146</v>
      </c>
    </row>
    <row r="148" spans="1:4" ht="13.5" x14ac:dyDescent="0.25">
      <c r="A148" s="200">
        <v>49</v>
      </c>
      <c r="B148" s="190" t="str">
        <f t="shared" si="48"/>
        <v>Ponto49</v>
      </c>
      <c r="C148" s="196" t="s">
        <v>119</v>
      </c>
      <c r="D148" s="197">
        <v>147</v>
      </c>
    </row>
    <row r="149" spans="1:4" ht="13.5" x14ac:dyDescent="0.25">
      <c r="A149" s="200">
        <v>50</v>
      </c>
      <c r="B149" s="189" t="s">
        <v>178</v>
      </c>
      <c r="C149" s="196" t="s">
        <v>117</v>
      </c>
      <c r="D149" s="197">
        <v>148</v>
      </c>
    </row>
    <row r="150" spans="1:4" ht="13.5" x14ac:dyDescent="0.25">
      <c r="A150" s="200">
        <v>50</v>
      </c>
      <c r="B150" s="190" t="str">
        <f t="shared" ref="B150:B151" si="49">$B$149</f>
        <v>Ponto50</v>
      </c>
      <c r="C150" s="196" t="s">
        <v>118</v>
      </c>
      <c r="D150" s="197">
        <v>149</v>
      </c>
    </row>
    <row r="151" spans="1:4" ht="13.5" x14ac:dyDescent="0.25">
      <c r="A151" s="200">
        <v>50</v>
      </c>
      <c r="B151" s="190" t="str">
        <f t="shared" si="49"/>
        <v>Ponto50</v>
      </c>
      <c r="C151" s="196" t="s">
        <v>119</v>
      </c>
      <c r="D151" s="197">
        <v>150</v>
      </c>
    </row>
    <row r="152" spans="1:4" ht="13.5" x14ac:dyDescent="0.25">
      <c r="A152" s="200">
        <v>51</v>
      </c>
      <c r="B152" s="189" t="s">
        <v>179</v>
      </c>
      <c r="C152" s="196" t="s">
        <v>117</v>
      </c>
      <c r="D152" s="197">
        <v>151</v>
      </c>
    </row>
    <row r="153" spans="1:4" ht="13.5" x14ac:dyDescent="0.25">
      <c r="A153" s="200">
        <v>51</v>
      </c>
      <c r="B153" s="190" t="str">
        <f t="shared" ref="B153:B154" si="50">$B$152</f>
        <v>Ponto51</v>
      </c>
      <c r="C153" s="196" t="s">
        <v>118</v>
      </c>
      <c r="D153" s="197">
        <v>152</v>
      </c>
    </row>
    <row r="154" spans="1:4" ht="13.5" x14ac:dyDescent="0.25">
      <c r="A154" s="200">
        <v>51</v>
      </c>
      <c r="B154" s="190" t="str">
        <f t="shared" si="50"/>
        <v>Ponto51</v>
      </c>
      <c r="C154" s="196" t="s">
        <v>119</v>
      </c>
      <c r="D154" s="197">
        <v>153</v>
      </c>
    </row>
    <row r="155" spans="1:4" ht="13.5" x14ac:dyDescent="0.25">
      <c r="A155" s="200">
        <v>52</v>
      </c>
      <c r="B155" s="189" t="s">
        <v>180</v>
      </c>
      <c r="C155" s="196" t="s">
        <v>117</v>
      </c>
      <c r="D155" s="197">
        <v>154</v>
      </c>
    </row>
    <row r="156" spans="1:4" ht="13.5" x14ac:dyDescent="0.25">
      <c r="A156" s="200">
        <v>52</v>
      </c>
      <c r="B156" s="190" t="str">
        <f t="shared" ref="B156:B157" si="51">$B$155</f>
        <v>Ponto52</v>
      </c>
      <c r="C156" s="196" t="s">
        <v>118</v>
      </c>
      <c r="D156" s="197">
        <v>155</v>
      </c>
    </row>
    <row r="157" spans="1:4" ht="13.5" x14ac:dyDescent="0.25">
      <c r="A157" s="200">
        <v>52</v>
      </c>
      <c r="B157" s="190" t="str">
        <f t="shared" si="51"/>
        <v>Ponto52</v>
      </c>
      <c r="C157" s="196" t="s">
        <v>119</v>
      </c>
      <c r="D157" s="197">
        <v>156</v>
      </c>
    </row>
    <row r="158" spans="1:4" ht="13.5" x14ac:dyDescent="0.25">
      <c r="A158" s="200">
        <v>53</v>
      </c>
      <c r="B158" s="189" t="s">
        <v>181</v>
      </c>
      <c r="C158" s="196" t="s">
        <v>117</v>
      </c>
      <c r="D158" s="197">
        <v>157</v>
      </c>
    </row>
    <row r="159" spans="1:4" ht="13.5" x14ac:dyDescent="0.25">
      <c r="A159" s="200">
        <v>53</v>
      </c>
      <c r="B159" s="190" t="str">
        <f t="shared" ref="B159:B160" si="52">$B$158</f>
        <v>Ponto53</v>
      </c>
      <c r="C159" s="196" t="s">
        <v>118</v>
      </c>
      <c r="D159" s="197">
        <v>158</v>
      </c>
    </row>
    <row r="160" spans="1:4" ht="13.5" x14ac:dyDescent="0.25">
      <c r="A160" s="200">
        <v>53</v>
      </c>
      <c r="B160" s="190" t="str">
        <f t="shared" si="52"/>
        <v>Ponto53</v>
      </c>
      <c r="C160" s="196" t="s">
        <v>119</v>
      </c>
      <c r="D160" s="197">
        <v>159</v>
      </c>
    </row>
    <row r="161" spans="1:4" ht="13.5" x14ac:dyDescent="0.25">
      <c r="A161" s="200">
        <v>54</v>
      </c>
      <c r="B161" s="189" t="s">
        <v>182</v>
      </c>
      <c r="C161" s="196" t="s">
        <v>117</v>
      </c>
      <c r="D161" s="197">
        <v>160</v>
      </c>
    </row>
    <row r="162" spans="1:4" ht="13.5" x14ac:dyDescent="0.25">
      <c r="A162" s="200">
        <v>54</v>
      </c>
      <c r="B162" s="190" t="str">
        <f t="shared" ref="B162:B163" si="53">$B$161</f>
        <v>Ponto54</v>
      </c>
      <c r="C162" s="196" t="s">
        <v>118</v>
      </c>
      <c r="D162" s="197">
        <v>161</v>
      </c>
    </row>
    <row r="163" spans="1:4" ht="13.5" x14ac:dyDescent="0.25">
      <c r="A163" s="200">
        <v>54</v>
      </c>
      <c r="B163" s="190" t="str">
        <f t="shared" si="53"/>
        <v>Ponto54</v>
      </c>
      <c r="C163" s="196" t="s">
        <v>119</v>
      </c>
      <c r="D163" s="197">
        <v>162</v>
      </c>
    </row>
    <row r="164" spans="1:4" ht="13.5" x14ac:dyDescent="0.25">
      <c r="A164" s="200">
        <v>55</v>
      </c>
      <c r="B164" s="189" t="s">
        <v>183</v>
      </c>
      <c r="C164" s="196" t="s">
        <v>117</v>
      </c>
      <c r="D164" s="197">
        <v>163</v>
      </c>
    </row>
    <row r="165" spans="1:4" ht="13.5" x14ac:dyDescent="0.25">
      <c r="A165" s="200">
        <v>55</v>
      </c>
      <c r="B165" s="190" t="str">
        <f t="shared" ref="B165:B166" si="54">$B$164</f>
        <v>Ponto55</v>
      </c>
      <c r="C165" s="196" t="s">
        <v>118</v>
      </c>
      <c r="D165" s="197">
        <v>164</v>
      </c>
    </row>
    <row r="166" spans="1:4" ht="13.5" x14ac:dyDescent="0.25">
      <c r="A166" s="200">
        <v>55</v>
      </c>
      <c r="B166" s="190" t="str">
        <f t="shared" si="54"/>
        <v>Ponto55</v>
      </c>
      <c r="C166" s="196" t="s">
        <v>119</v>
      </c>
      <c r="D166" s="197">
        <v>165</v>
      </c>
    </row>
    <row r="167" spans="1:4" ht="13.5" x14ac:dyDescent="0.25">
      <c r="A167" s="200">
        <v>56</v>
      </c>
      <c r="B167" s="189" t="s">
        <v>184</v>
      </c>
      <c r="C167" s="196" t="s">
        <v>117</v>
      </c>
      <c r="D167" s="197">
        <v>166</v>
      </c>
    </row>
    <row r="168" spans="1:4" ht="13.5" x14ac:dyDescent="0.25">
      <c r="A168" s="200">
        <v>56</v>
      </c>
      <c r="B168" s="190" t="str">
        <f t="shared" ref="B168:B169" si="55">$B$167</f>
        <v>Ponto56</v>
      </c>
      <c r="C168" s="196" t="s">
        <v>118</v>
      </c>
      <c r="D168" s="197">
        <v>167</v>
      </c>
    </row>
    <row r="169" spans="1:4" ht="13.5" x14ac:dyDescent="0.25">
      <c r="A169" s="200">
        <v>56</v>
      </c>
      <c r="B169" s="190" t="str">
        <f t="shared" si="55"/>
        <v>Ponto56</v>
      </c>
      <c r="C169" s="196" t="s">
        <v>119</v>
      </c>
      <c r="D169" s="197">
        <v>168</v>
      </c>
    </row>
    <row r="170" spans="1:4" ht="13.5" x14ac:dyDescent="0.25">
      <c r="A170" s="200">
        <v>57</v>
      </c>
      <c r="B170" s="189" t="s">
        <v>185</v>
      </c>
      <c r="C170" s="196" t="s">
        <v>117</v>
      </c>
      <c r="D170" s="197">
        <v>169</v>
      </c>
    </row>
    <row r="171" spans="1:4" ht="13.5" x14ac:dyDescent="0.25">
      <c r="A171" s="200">
        <v>57</v>
      </c>
      <c r="B171" s="190" t="str">
        <f t="shared" ref="B171:B172" si="56">$B$170</f>
        <v>Ponto57</v>
      </c>
      <c r="C171" s="196" t="s">
        <v>118</v>
      </c>
      <c r="D171" s="197">
        <v>170</v>
      </c>
    </row>
    <row r="172" spans="1:4" ht="13.5" x14ac:dyDescent="0.25">
      <c r="A172" s="200">
        <v>57</v>
      </c>
      <c r="B172" s="190" t="str">
        <f t="shared" si="56"/>
        <v>Ponto57</v>
      </c>
      <c r="C172" s="196" t="s">
        <v>119</v>
      </c>
      <c r="D172" s="197">
        <v>171</v>
      </c>
    </row>
    <row r="173" spans="1:4" ht="13.5" x14ac:dyDescent="0.25">
      <c r="A173" s="200">
        <v>58</v>
      </c>
      <c r="B173" s="189" t="s">
        <v>186</v>
      </c>
      <c r="C173" s="196" t="s">
        <v>117</v>
      </c>
      <c r="D173" s="197">
        <v>172</v>
      </c>
    </row>
    <row r="174" spans="1:4" ht="13.5" x14ac:dyDescent="0.25">
      <c r="A174" s="200">
        <v>58</v>
      </c>
      <c r="B174" s="190" t="str">
        <f t="shared" ref="B174:B175" si="57">$B$173</f>
        <v>Ponto58</v>
      </c>
      <c r="C174" s="196" t="s">
        <v>118</v>
      </c>
      <c r="D174" s="197">
        <v>173</v>
      </c>
    </row>
    <row r="175" spans="1:4" ht="13.5" x14ac:dyDescent="0.25">
      <c r="A175" s="200">
        <v>58</v>
      </c>
      <c r="B175" s="190" t="str">
        <f t="shared" si="57"/>
        <v>Ponto58</v>
      </c>
      <c r="C175" s="196" t="s">
        <v>119</v>
      </c>
      <c r="D175" s="197">
        <v>174</v>
      </c>
    </row>
    <row r="176" spans="1:4" ht="13.5" x14ac:dyDescent="0.25">
      <c r="A176" s="200">
        <v>59</v>
      </c>
      <c r="B176" s="189" t="s">
        <v>187</v>
      </c>
      <c r="C176" s="196" t="s">
        <v>117</v>
      </c>
      <c r="D176" s="197">
        <v>175</v>
      </c>
    </row>
    <row r="177" spans="1:4" ht="13.5" x14ac:dyDescent="0.25">
      <c r="A177" s="200">
        <v>59</v>
      </c>
      <c r="B177" s="190" t="str">
        <f t="shared" ref="B177:B178" si="58">$B$176</f>
        <v>Ponto59</v>
      </c>
      <c r="C177" s="196" t="s">
        <v>118</v>
      </c>
      <c r="D177" s="197">
        <v>176</v>
      </c>
    </row>
    <row r="178" spans="1:4" ht="13.5" x14ac:dyDescent="0.25">
      <c r="A178" s="200">
        <v>59</v>
      </c>
      <c r="B178" s="190" t="str">
        <f t="shared" si="58"/>
        <v>Ponto59</v>
      </c>
      <c r="C178" s="196" t="s">
        <v>119</v>
      </c>
      <c r="D178" s="197">
        <v>177</v>
      </c>
    </row>
    <row r="179" spans="1:4" ht="13.5" x14ac:dyDescent="0.25">
      <c r="A179" s="200">
        <v>60</v>
      </c>
      <c r="B179" s="189" t="s">
        <v>188</v>
      </c>
      <c r="C179" s="196" t="s">
        <v>117</v>
      </c>
      <c r="D179" s="197">
        <v>178</v>
      </c>
    </row>
    <row r="180" spans="1:4" ht="13.5" x14ac:dyDescent="0.25">
      <c r="A180" s="200">
        <v>60</v>
      </c>
      <c r="B180" s="190" t="str">
        <f t="shared" ref="B180:B181" si="59">$B$179</f>
        <v>Ponto60</v>
      </c>
      <c r="C180" s="196" t="s">
        <v>118</v>
      </c>
      <c r="D180" s="197">
        <v>179</v>
      </c>
    </row>
    <row r="181" spans="1:4" ht="13.5" x14ac:dyDescent="0.25">
      <c r="A181" s="200">
        <v>60</v>
      </c>
      <c r="B181" s="190" t="str">
        <f t="shared" si="59"/>
        <v>Ponto60</v>
      </c>
      <c r="C181" s="196" t="s">
        <v>119</v>
      </c>
      <c r="D181" s="197">
        <v>180</v>
      </c>
    </row>
    <row r="182" spans="1:4" ht="13.5" x14ac:dyDescent="0.25">
      <c r="A182" s="200">
        <v>61</v>
      </c>
      <c r="B182" s="189" t="s">
        <v>189</v>
      </c>
      <c r="C182" s="196" t="s">
        <v>117</v>
      </c>
      <c r="D182" s="197">
        <v>181</v>
      </c>
    </row>
    <row r="183" spans="1:4" ht="13.5" x14ac:dyDescent="0.25">
      <c r="A183" s="200">
        <v>61</v>
      </c>
      <c r="B183" s="190" t="str">
        <f t="shared" ref="B183:B184" si="60">$B$182</f>
        <v>Ponto61</v>
      </c>
      <c r="C183" s="196" t="s">
        <v>118</v>
      </c>
      <c r="D183" s="197">
        <v>182</v>
      </c>
    </row>
    <row r="184" spans="1:4" ht="13.5" x14ac:dyDescent="0.25">
      <c r="A184" s="200">
        <v>61</v>
      </c>
      <c r="B184" s="190" t="str">
        <f t="shared" si="60"/>
        <v>Ponto61</v>
      </c>
      <c r="C184" s="196" t="s">
        <v>119</v>
      </c>
      <c r="D184" s="197">
        <v>183</v>
      </c>
    </row>
    <row r="185" spans="1:4" ht="13.5" x14ac:dyDescent="0.25">
      <c r="A185" s="200">
        <v>62</v>
      </c>
      <c r="B185" s="189" t="s">
        <v>190</v>
      </c>
      <c r="C185" s="196" t="s">
        <v>117</v>
      </c>
      <c r="D185" s="197">
        <v>184</v>
      </c>
    </row>
    <row r="186" spans="1:4" ht="13.5" x14ac:dyDescent="0.25">
      <c r="A186" s="200">
        <v>62</v>
      </c>
      <c r="B186" s="190" t="str">
        <f t="shared" ref="B186:B187" si="61">$B$185</f>
        <v>Ponto62</v>
      </c>
      <c r="C186" s="196" t="s">
        <v>118</v>
      </c>
      <c r="D186" s="197">
        <v>185</v>
      </c>
    </row>
    <row r="187" spans="1:4" ht="13.5" x14ac:dyDescent="0.25">
      <c r="A187" s="200">
        <v>62</v>
      </c>
      <c r="B187" s="190" t="str">
        <f t="shared" si="61"/>
        <v>Ponto62</v>
      </c>
      <c r="C187" s="196" t="s">
        <v>119</v>
      </c>
      <c r="D187" s="197">
        <v>186</v>
      </c>
    </row>
    <row r="188" spans="1:4" ht="13.5" x14ac:dyDescent="0.25">
      <c r="A188" s="200">
        <v>63</v>
      </c>
      <c r="B188" s="189" t="s">
        <v>191</v>
      </c>
      <c r="C188" s="196" t="s">
        <v>117</v>
      </c>
      <c r="D188" s="197">
        <v>187</v>
      </c>
    </row>
    <row r="189" spans="1:4" ht="13.5" x14ac:dyDescent="0.25">
      <c r="A189" s="200">
        <v>63</v>
      </c>
      <c r="B189" s="190" t="str">
        <f t="shared" ref="B189:B190" si="62">$B$188</f>
        <v>Ponto63</v>
      </c>
      <c r="C189" s="196" t="s">
        <v>118</v>
      </c>
      <c r="D189" s="197">
        <v>188</v>
      </c>
    </row>
    <row r="190" spans="1:4" ht="13.5" x14ac:dyDescent="0.25">
      <c r="A190" s="200">
        <v>63</v>
      </c>
      <c r="B190" s="190" t="str">
        <f t="shared" si="62"/>
        <v>Ponto63</v>
      </c>
      <c r="C190" s="196" t="s">
        <v>119</v>
      </c>
      <c r="D190" s="197">
        <v>189</v>
      </c>
    </row>
    <row r="191" spans="1:4" ht="13.5" x14ac:dyDescent="0.25">
      <c r="A191" s="200">
        <v>64</v>
      </c>
      <c r="B191" s="189" t="s">
        <v>192</v>
      </c>
      <c r="C191" s="196" t="s">
        <v>117</v>
      </c>
      <c r="D191" s="197">
        <v>190</v>
      </c>
    </row>
    <row r="192" spans="1:4" ht="13.5" x14ac:dyDescent="0.25">
      <c r="A192" s="200">
        <v>64</v>
      </c>
      <c r="B192" s="190" t="str">
        <f t="shared" ref="B192:B193" si="63">$B$191</f>
        <v>Ponto64</v>
      </c>
      <c r="C192" s="196" t="s">
        <v>118</v>
      </c>
      <c r="D192" s="197">
        <v>191</v>
      </c>
    </row>
    <row r="193" spans="1:4" ht="13.5" x14ac:dyDescent="0.25">
      <c r="A193" s="200">
        <v>64</v>
      </c>
      <c r="B193" s="190" t="str">
        <f t="shared" si="63"/>
        <v>Ponto64</v>
      </c>
      <c r="C193" s="196" t="s">
        <v>119</v>
      </c>
      <c r="D193" s="197">
        <v>192</v>
      </c>
    </row>
    <row r="194" spans="1:4" ht="13.5" x14ac:dyDescent="0.25">
      <c r="A194" s="200">
        <v>65</v>
      </c>
      <c r="B194" s="189" t="s">
        <v>193</v>
      </c>
      <c r="C194" s="196" t="s">
        <v>117</v>
      </c>
      <c r="D194" s="197">
        <v>193</v>
      </c>
    </row>
    <row r="195" spans="1:4" ht="13.5" x14ac:dyDescent="0.25">
      <c r="A195" s="200">
        <v>65</v>
      </c>
      <c r="B195" s="190" t="str">
        <f t="shared" ref="B195:B196" si="64">$B$194</f>
        <v>Ponto65</v>
      </c>
      <c r="C195" s="196" t="s">
        <v>118</v>
      </c>
      <c r="D195" s="197">
        <v>194</v>
      </c>
    </row>
    <row r="196" spans="1:4" ht="13.5" x14ac:dyDescent="0.25">
      <c r="A196" s="200">
        <v>65</v>
      </c>
      <c r="B196" s="190" t="str">
        <f t="shared" si="64"/>
        <v>Ponto65</v>
      </c>
      <c r="C196" s="196" t="s">
        <v>119</v>
      </c>
      <c r="D196" s="197">
        <v>195</v>
      </c>
    </row>
    <row r="197" spans="1:4" ht="13.5" x14ac:dyDescent="0.25">
      <c r="A197" s="200">
        <v>66</v>
      </c>
      <c r="B197" s="189" t="s">
        <v>194</v>
      </c>
      <c r="C197" s="196" t="s">
        <v>117</v>
      </c>
      <c r="D197" s="197">
        <v>196</v>
      </c>
    </row>
    <row r="198" spans="1:4" ht="13.5" x14ac:dyDescent="0.25">
      <c r="A198" s="200">
        <v>66</v>
      </c>
      <c r="B198" s="190" t="str">
        <f t="shared" ref="B198:B199" si="65">$B$197</f>
        <v>Ponto66</v>
      </c>
      <c r="C198" s="196" t="s">
        <v>118</v>
      </c>
      <c r="D198" s="197">
        <v>197</v>
      </c>
    </row>
    <row r="199" spans="1:4" ht="13.5" x14ac:dyDescent="0.25">
      <c r="A199" s="200">
        <v>66</v>
      </c>
      <c r="B199" s="190" t="str">
        <f t="shared" si="65"/>
        <v>Ponto66</v>
      </c>
      <c r="C199" s="196" t="s">
        <v>119</v>
      </c>
      <c r="D199" s="197">
        <v>198</v>
      </c>
    </row>
    <row r="200" spans="1:4" ht="13.5" x14ac:dyDescent="0.25">
      <c r="A200" s="200">
        <v>67</v>
      </c>
      <c r="B200" s="189" t="s">
        <v>195</v>
      </c>
      <c r="C200" s="196" t="s">
        <v>117</v>
      </c>
      <c r="D200" s="197">
        <v>199</v>
      </c>
    </row>
    <row r="201" spans="1:4" ht="13.5" x14ac:dyDescent="0.25">
      <c r="A201" s="200">
        <v>67</v>
      </c>
      <c r="B201" s="190" t="str">
        <f t="shared" ref="B201:B202" si="66">$B$200</f>
        <v>Ponto67</v>
      </c>
      <c r="C201" s="196" t="s">
        <v>118</v>
      </c>
      <c r="D201" s="197">
        <v>200</v>
      </c>
    </row>
    <row r="202" spans="1:4" ht="13.5" x14ac:dyDescent="0.25">
      <c r="A202" s="200">
        <v>67</v>
      </c>
      <c r="B202" s="190" t="str">
        <f t="shared" si="66"/>
        <v>Ponto67</v>
      </c>
      <c r="C202" s="196" t="s">
        <v>119</v>
      </c>
      <c r="D202" s="197">
        <v>201</v>
      </c>
    </row>
    <row r="203" spans="1:4" ht="13.5" x14ac:dyDescent="0.25">
      <c r="A203" s="200">
        <v>68</v>
      </c>
      <c r="B203" s="189" t="s">
        <v>196</v>
      </c>
      <c r="C203" s="196" t="s">
        <v>117</v>
      </c>
      <c r="D203" s="197">
        <v>202</v>
      </c>
    </row>
    <row r="204" spans="1:4" ht="13.5" x14ac:dyDescent="0.25">
      <c r="A204" s="200">
        <v>68</v>
      </c>
      <c r="B204" s="190" t="str">
        <f t="shared" ref="B204:B205" si="67">$B$203</f>
        <v>Ponto68</v>
      </c>
      <c r="C204" s="196" t="s">
        <v>118</v>
      </c>
      <c r="D204" s="197">
        <v>203</v>
      </c>
    </row>
    <row r="205" spans="1:4" ht="13.5" x14ac:dyDescent="0.25">
      <c r="A205" s="200">
        <v>68</v>
      </c>
      <c r="B205" s="190" t="str">
        <f t="shared" si="67"/>
        <v>Ponto68</v>
      </c>
      <c r="C205" s="196" t="s">
        <v>119</v>
      </c>
      <c r="D205" s="197">
        <v>204</v>
      </c>
    </row>
    <row r="206" spans="1:4" ht="13.5" x14ac:dyDescent="0.25">
      <c r="A206" s="200">
        <v>69</v>
      </c>
      <c r="B206" s="189" t="s">
        <v>197</v>
      </c>
      <c r="C206" s="196" t="s">
        <v>117</v>
      </c>
      <c r="D206" s="197">
        <v>205</v>
      </c>
    </row>
    <row r="207" spans="1:4" ht="13.5" x14ac:dyDescent="0.25">
      <c r="A207" s="200">
        <v>69</v>
      </c>
      <c r="B207" s="190" t="str">
        <f t="shared" ref="B207:B208" si="68">$B$206</f>
        <v>Ponto69</v>
      </c>
      <c r="C207" s="196" t="s">
        <v>118</v>
      </c>
      <c r="D207" s="197">
        <v>206</v>
      </c>
    </row>
    <row r="208" spans="1:4" ht="13.5" x14ac:dyDescent="0.25">
      <c r="A208" s="200">
        <v>69</v>
      </c>
      <c r="B208" s="190" t="str">
        <f t="shared" si="68"/>
        <v>Ponto69</v>
      </c>
      <c r="C208" s="196" t="s">
        <v>119</v>
      </c>
      <c r="D208" s="197">
        <v>207</v>
      </c>
    </row>
    <row r="209" spans="1:4" ht="13.5" x14ac:dyDescent="0.25">
      <c r="A209" s="200">
        <v>70</v>
      </c>
      <c r="B209" s="189" t="s">
        <v>198</v>
      </c>
      <c r="C209" s="196" t="s">
        <v>117</v>
      </c>
      <c r="D209" s="197">
        <v>208</v>
      </c>
    </row>
    <row r="210" spans="1:4" ht="13.5" x14ac:dyDescent="0.25">
      <c r="A210" s="200">
        <v>70</v>
      </c>
      <c r="B210" s="190" t="str">
        <f t="shared" ref="B210:B211" si="69">$B$209</f>
        <v>Ponto70</v>
      </c>
      <c r="C210" s="196" t="s">
        <v>118</v>
      </c>
      <c r="D210" s="197">
        <v>209</v>
      </c>
    </row>
    <row r="211" spans="1:4" ht="13.5" x14ac:dyDescent="0.25">
      <c r="A211" s="200">
        <v>70</v>
      </c>
      <c r="B211" s="190" t="str">
        <f t="shared" si="69"/>
        <v>Ponto70</v>
      </c>
      <c r="C211" s="196" t="s">
        <v>119</v>
      </c>
      <c r="D211" s="197">
        <v>210</v>
      </c>
    </row>
    <row r="212" spans="1:4" ht="13.5" x14ac:dyDescent="0.25">
      <c r="A212" s="200">
        <v>71</v>
      </c>
      <c r="B212" s="189" t="s">
        <v>199</v>
      </c>
      <c r="C212" s="196" t="s">
        <v>117</v>
      </c>
      <c r="D212" s="197">
        <v>211</v>
      </c>
    </row>
    <row r="213" spans="1:4" ht="13.5" x14ac:dyDescent="0.25">
      <c r="A213" s="200">
        <v>71</v>
      </c>
      <c r="B213" s="190" t="str">
        <f t="shared" ref="B213:B214" si="70">$B$212</f>
        <v>Ponto71</v>
      </c>
      <c r="C213" s="196" t="s">
        <v>118</v>
      </c>
      <c r="D213" s="197">
        <v>212</v>
      </c>
    </row>
    <row r="214" spans="1:4" ht="13.5" x14ac:dyDescent="0.25">
      <c r="A214" s="200">
        <v>71</v>
      </c>
      <c r="B214" s="190" t="str">
        <f t="shared" si="70"/>
        <v>Ponto71</v>
      </c>
      <c r="C214" s="196" t="s">
        <v>119</v>
      </c>
      <c r="D214" s="197">
        <v>213</v>
      </c>
    </row>
    <row r="215" spans="1:4" ht="13.5" x14ac:dyDescent="0.25">
      <c r="A215" s="200">
        <v>72</v>
      </c>
      <c r="B215" s="189" t="s">
        <v>200</v>
      </c>
      <c r="C215" s="196" t="s">
        <v>117</v>
      </c>
      <c r="D215" s="197">
        <v>214</v>
      </c>
    </row>
    <row r="216" spans="1:4" ht="13.5" x14ac:dyDescent="0.25">
      <c r="A216" s="200">
        <v>72</v>
      </c>
      <c r="B216" s="190" t="str">
        <f t="shared" ref="B216:B217" si="71">$B$215</f>
        <v>Ponto72</v>
      </c>
      <c r="C216" s="196" t="s">
        <v>118</v>
      </c>
      <c r="D216" s="197">
        <v>215</v>
      </c>
    </row>
    <row r="217" spans="1:4" ht="13.5" x14ac:dyDescent="0.25">
      <c r="A217" s="200">
        <v>72</v>
      </c>
      <c r="B217" s="190" t="str">
        <f t="shared" si="71"/>
        <v>Ponto72</v>
      </c>
      <c r="C217" s="196" t="s">
        <v>119</v>
      </c>
      <c r="D217" s="197">
        <v>216</v>
      </c>
    </row>
    <row r="218" spans="1:4" ht="13.5" x14ac:dyDescent="0.25">
      <c r="A218" s="200">
        <v>73</v>
      </c>
      <c r="B218" s="189" t="s">
        <v>201</v>
      </c>
      <c r="C218" s="196" t="s">
        <v>117</v>
      </c>
      <c r="D218" s="197">
        <v>217</v>
      </c>
    </row>
    <row r="219" spans="1:4" ht="13.5" x14ac:dyDescent="0.25">
      <c r="A219" s="200">
        <v>73</v>
      </c>
      <c r="B219" s="190" t="str">
        <f t="shared" ref="B219:B220" si="72">$B$218</f>
        <v>Ponto73</v>
      </c>
      <c r="C219" s="196" t="s">
        <v>118</v>
      </c>
      <c r="D219" s="197">
        <v>218</v>
      </c>
    </row>
    <row r="220" spans="1:4" ht="13.5" x14ac:dyDescent="0.25">
      <c r="A220" s="200">
        <v>73</v>
      </c>
      <c r="B220" s="190" t="str">
        <f t="shared" si="72"/>
        <v>Ponto73</v>
      </c>
      <c r="C220" s="196" t="s">
        <v>119</v>
      </c>
      <c r="D220" s="197">
        <v>219</v>
      </c>
    </row>
    <row r="221" spans="1:4" ht="13.5" x14ac:dyDescent="0.25">
      <c r="A221" s="200">
        <v>74</v>
      </c>
      <c r="B221" s="189" t="s">
        <v>202</v>
      </c>
      <c r="C221" s="196" t="s">
        <v>117</v>
      </c>
      <c r="D221" s="197">
        <v>220</v>
      </c>
    </row>
    <row r="222" spans="1:4" ht="13.5" x14ac:dyDescent="0.25">
      <c r="A222" s="200">
        <v>74</v>
      </c>
      <c r="B222" s="190" t="str">
        <f t="shared" ref="B222:B223" si="73">$B$221</f>
        <v>Ponto74</v>
      </c>
      <c r="C222" s="196" t="s">
        <v>118</v>
      </c>
      <c r="D222" s="197">
        <v>221</v>
      </c>
    </row>
    <row r="223" spans="1:4" ht="13.5" x14ac:dyDescent="0.25">
      <c r="A223" s="200">
        <v>74</v>
      </c>
      <c r="B223" s="190" t="str">
        <f t="shared" si="73"/>
        <v>Ponto74</v>
      </c>
      <c r="C223" s="196" t="s">
        <v>119</v>
      </c>
      <c r="D223" s="197">
        <v>222</v>
      </c>
    </row>
    <row r="224" spans="1:4" ht="13.5" x14ac:dyDescent="0.25">
      <c r="A224" s="200">
        <v>75</v>
      </c>
      <c r="B224" s="189" t="s">
        <v>203</v>
      </c>
      <c r="C224" s="196" t="s">
        <v>117</v>
      </c>
      <c r="D224" s="197">
        <v>223</v>
      </c>
    </row>
    <row r="225" spans="1:4" ht="13.5" x14ac:dyDescent="0.25">
      <c r="A225" s="200">
        <v>75</v>
      </c>
      <c r="B225" s="190" t="str">
        <f t="shared" ref="B225:B226" si="74">$B$224</f>
        <v>Ponto75</v>
      </c>
      <c r="C225" s="196" t="s">
        <v>118</v>
      </c>
      <c r="D225" s="197">
        <v>224</v>
      </c>
    </row>
    <row r="226" spans="1:4" ht="13.5" x14ac:dyDescent="0.25">
      <c r="A226" s="200">
        <v>75</v>
      </c>
      <c r="B226" s="190" t="str">
        <f t="shared" si="74"/>
        <v>Ponto75</v>
      </c>
      <c r="C226" s="196" t="s">
        <v>119</v>
      </c>
      <c r="D226" s="197">
        <v>225</v>
      </c>
    </row>
    <row r="227" spans="1:4" ht="13.5" x14ac:dyDescent="0.25">
      <c r="A227" s="200">
        <v>76</v>
      </c>
      <c r="B227" s="189" t="s">
        <v>204</v>
      </c>
      <c r="C227" s="196" t="s">
        <v>117</v>
      </c>
      <c r="D227" s="197">
        <v>226</v>
      </c>
    </row>
    <row r="228" spans="1:4" ht="13.5" x14ac:dyDescent="0.25">
      <c r="A228" s="200">
        <v>76</v>
      </c>
      <c r="B228" s="190" t="str">
        <f t="shared" ref="B228:B229" si="75">$B$227</f>
        <v>Ponto76</v>
      </c>
      <c r="C228" s="196" t="s">
        <v>118</v>
      </c>
      <c r="D228" s="197">
        <v>227</v>
      </c>
    </row>
    <row r="229" spans="1:4" ht="13.5" x14ac:dyDescent="0.25">
      <c r="A229" s="200">
        <v>76</v>
      </c>
      <c r="B229" s="190" t="str">
        <f t="shared" si="75"/>
        <v>Ponto76</v>
      </c>
      <c r="C229" s="196" t="s">
        <v>119</v>
      </c>
      <c r="D229" s="197">
        <v>228</v>
      </c>
    </row>
    <row r="230" spans="1:4" ht="13.5" x14ac:dyDescent="0.25">
      <c r="A230" s="200">
        <v>77</v>
      </c>
      <c r="B230" s="189" t="s">
        <v>205</v>
      </c>
      <c r="C230" s="196" t="s">
        <v>117</v>
      </c>
      <c r="D230" s="197">
        <v>229</v>
      </c>
    </row>
    <row r="231" spans="1:4" ht="13.5" x14ac:dyDescent="0.25">
      <c r="A231" s="200">
        <v>77</v>
      </c>
      <c r="B231" s="190" t="str">
        <f t="shared" ref="B231:B232" si="76">$B$230</f>
        <v>Ponto77</v>
      </c>
      <c r="C231" s="196" t="s">
        <v>118</v>
      </c>
      <c r="D231" s="197">
        <v>230</v>
      </c>
    </row>
    <row r="232" spans="1:4" ht="13.5" x14ac:dyDescent="0.25">
      <c r="A232" s="200">
        <v>77</v>
      </c>
      <c r="B232" s="190" t="str">
        <f t="shared" si="76"/>
        <v>Ponto77</v>
      </c>
      <c r="C232" s="196" t="s">
        <v>119</v>
      </c>
      <c r="D232" s="197">
        <v>231</v>
      </c>
    </row>
    <row r="233" spans="1:4" ht="13.5" x14ac:dyDescent="0.25">
      <c r="A233" s="200">
        <v>78</v>
      </c>
      <c r="B233" s="189" t="s">
        <v>206</v>
      </c>
      <c r="C233" s="196" t="s">
        <v>117</v>
      </c>
      <c r="D233" s="197">
        <v>232</v>
      </c>
    </row>
    <row r="234" spans="1:4" ht="13.5" x14ac:dyDescent="0.25">
      <c r="A234" s="200">
        <v>78</v>
      </c>
      <c r="B234" s="190" t="str">
        <f t="shared" ref="B234:B235" si="77">$B$233</f>
        <v>Ponto78</v>
      </c>
      <c r="C234" s="196" t="s">
        <v>118</v>
      </c>
      <c r="D234" s="197">
        <v>233</v>
      </c>
    </row>
    <row r="235" spans="1:4" ht="13.5" x14ac:dyDescent="0.25">
      <c r="A235" s="200">
        <v>78</v>
      </c>
      <c r="B235" s="190" t="str">
        <f t="shared" si="77"/>
        <v>Ponto78</v>
      </c>
      <c r="C235" s="196" t="s">
        <v>119</v>
      </c>
      <c r="D235" s="197">
        <v>234</v>
      </c>
    </row>
    <row r="236" spans="1:4" ht="13.5" x14ac:dyDescent="0.25">
      <c r="A236" s="200">
        <v>79</v>
      </c>
      <c r="B236" s="189" t="s">
        <v>207</v>
      </c>
      <c r="C236" s="196" t="s">
        <v>117</v>
      </c>
      <c r="D236" s="197">
        <v>235</v>
      </c>
    </row>
    <row r="237" spans="1:4" ht="13.5" x14ac:dyDescent="0.25">
      <c r="A237" s="200">
        <v>79</v>
      </c>
      <c r="B237" s="190" t="str">
        <f t="shared" ref="B237:B238" si="78">$B$236</f>
        <v>Ponto79</v>
      </c>
      <c r="C237" s="196" t="s">
        <v>118</v>
      </c>
      <c r="D237" s="197">
        <v>236</v>
      </c>
    </row>
    <row r="238" spans="1:4" ht="13.5" x14ac:dyDescent="0.25">
      <c r="A238" s="200">
        <v>79</v>
      </c>
      <c r="B238" s="190" t="str">
        <f t="shared" si="78"/>
        <v>Ponto79</v>
      </c>
      <c r="C238" s="196" t="s">
        <v>119</v>
      </c>
      <c r="D238" s="197">
        <v>237</v>
      </c>
    </row>
    <row r="239" spans="1:4" ht="13.5" x14ac:dyDescent="0.25">
      <c r="A239" s="200">
        <v>80</v>
      </c>
      <c r="B239" s="189" t="s">
        <v>208</v>
      </c>
      <c r="C239" s="196" t="s">
        <v>117</v>
      </c>
      <c r="D239" s="197">
        <v>238</v>
      </c>
    </row>
    <row r="240" spans="1:4" ht="13.5" x14ac:dyDescent="0.25">
      <c r="A240" s="200">
        <v>80</v>
      </c>
      <c r="B240" s="190" t="str">
        <f t="shared" ref="B240:B241" si="79">$B$239</f>
        <v>Ponto80</v>
      </c>
      <c r="C240" s="196" t="s">
        <v>118</v>
      </c>
      <c r="D240" s="197">
        <v>239</v>
      </c>
    </row>
    <row r="241" spans="1:4" ht="13.5" x14ac:dyDescent="0.25">
      <c r="A241" s="200">
        <v>80</v>
      </c>
      <c r="B241" s="190" t="str">
        <f t="shared" si="79"/>
        <v>Ponto80</v>
      </c>
      <c r="C241" s="196" t="s">
        <v>119</v>
      </c>
      <c r="D241" s="197">
        <v>240</v>
      </c>
    </row>
    <row r="242" spans="1:4" ht="13.5" x14ac:dyDescent="0.25">
      <c r="A242" s="200">
        <v>81</v>
      </c>
      <c r="B242" s="189" t="s">
        <v>209</v>
      </c>
      <c r="C242" s="196" t="s">
        <v>117</v>
      </c>
      <c r="D242" s="197">
        <v>241</v>
      </c>
    </row>
    <row r="243" spans="1:4" ht="13.5" x14ac:dyDescent="0.25">
      <c r="A243" s="200">
        <v>81</v>
      </c>
      <c r="B243" s="190" t="str">
        <f t="shared" ref="B243:B244" si="80">$B$242</f>
        <v>Ponto81</v>
      </c>
      <c r="C243" s="196" t="s">
        <v>118</v>
      </c>
      <c r="D243" s="197">
        <v>242</v>
      </c>
    </row>
    <row r="244" spans="1:4" ht="13.5" x14ac:dyDescent="0.25">
      <c r="A244" s="200">
        <v>81</v>
      </c>
      <c r="B244" s="190" t="str">
        <f t="shared" si="80"/>
        <v>Ponto81</v>
      </c>
      <c r="C244" s="196" t="s">
        <v>119</v>
      </c>
      <c r="D244" s="197">
        <v>243</v>
      </c>
    </row>
    <row r="245" spans="1:4" ht="13.5" x14ac:dyDescent="0.25">
      <c r="A245" s="200">
        <v>82</v>
      </c>
      <c r="B245" s="189" t="s">
        <v>210</v>
      </c>
      <c r="C245" s="196" t="s">
        <v>117</v>
      </c>
      <c r="D245" s="197">
        <v>244</v>
      </c>
    </row>
    <row r="246" spans="1:4" ht="13.5" x14ac:dyDescent="0.25">
      <c r="A246" s="200">
        <v>82</v>
      </c>
      <c r="B246" s="190" t="str">
        <f t="shared" ref="B246:B247" si="81">$B$245</f>
        <v>Ponto82</v>
      </c>
      <c r="C246" s="196" t="s">
        <v>118</v>
      </c>
      <c r="D246" s="197">
        <v>245</v>
      </c>
    </row>
    <row r="247" spans="1:4" ht="13.5" x14ac:dyDescent="0.25">
      <c r="A247" s="200">
        <v>82</v>
      </c>
      <c r="B247" s="190" t="str">
        <f t="shared" si="81"/>
        <v>Ponto82</v>
      </c>
      <c r="C247" s="196" t="s">
        <v>119</v>
      </c>
      <c r="D247" s="197">
        <v>246</v>
      </c>
    </row>
    <row r="248" spans="1:4" ht="13.5" x14ac:dyDescent="0.25">
      <c r="A248" s="200">
        <v>83</v>
      </c>
      <c r="B248" s="189" t="s">
        <v>211</v>
      </c>
      <c r="C248" s="196" t="s">
        <v>117</v>
      </c>
      <c r="D248" s="197">
        <v>247</v>
      </c>
    </row>
    <row r="249" spans="1:4" ht="13.5" x14ac:dyDescent="0.25">
      <c r="A249" s="200">
        <v>83</v>
      </c>
      <c r="B249" s="190" t="str">
        <f t="shared" ref="B249:B250" si="82">$B$248</f>
        <v>Ponto83</v>
      </c>
      <c r="C249" s="196" t="s">
        <v>118</v>
      </c>
      <c r="D249" s="197">
        <v>248</v>
      </c>
    </row>
    <row r="250" spans="1:4" ht="13.5" x14ac:dyDescent="0.25">
      <c r="A250" s="200">
        <v>83</v>
      </c>
      <c r="B250" s="190" t="str">
        <f t="shared" si="82"/>
        <v>Ponto83</v>
      </c>
      <c r="C250" s="196" t="s">
        <v>119</v>
      </c>
      <c r="D250" s="197">
        <v>249</v>
      </c>
    </row>
    <row r="251" spans="1:4" ht="13.5" x14ac:dyDescent="0.25">
      <c r="A251" s="200">
        <v>84</v>
      </c>
      <c r="B251" s="189" t="s">
        <v>212</v>
      </c>
      <c r="C251" s="196" t="s">
        <v>117</v>
      </c>
      <c r="D251" s="197">
        <v>250</v>
      </c>
    </row>
    <row r="252" spans="1:4" ht="13.5" x14ac:dyDescent="0.25">
      <c r="A252" s="200">
        <v>84</v>
      </c>
      <c r="B252" s="190" t="str">
        <f t="shared" ref="B252:B253" si="83">$B$251</f>
        <v>Ponto84</v>
      </c>
      <c r="C252" s="196" t="s">
        <v>118</v>
      </c>
      <c r="D252" s="197">
        <v>251</v>
      </c>
    </row>
    <row r="253" spans="1:4" ht="13.5" x14ac:dyDescent="0.25">
      <c r="A253" s="200">
        <v>84</v>
      </c>
      <c r="B253" s="190" t="str">
        <f t="shared" si="83"/>
        <v>Ponto84</v>
      </c>
      <c r="C253" s="196" t="s">
        <v>119</v>
      </c>
      <c r="D253" s="197">
        <v>252</v>
      </c>
    </row>
    <row r="254" spans="1:4" ht="13.5" x14ac:dyDescent="0.25">
      <c r="A254" s="200">
        <v>85</v>
      </c>
      <c r="B254" s="189" t="s">
        <v>213</v>
      </c>
      <c r="C254" s="196" t="s">
        <v>117</v>
      </c>
      <c r="D254" s="197">
        <v>253</v>
      </c>
    </row>
    <row r="255" spans="1:4" ht="13.5" x14ac:dyDescent="0.25">
      <c r="A255" s="200">
        <v>85</v>
      </c>
      <c r="B255" s="190" t="str">
        <f t="shared" ref="B255:B256" si="84">$B$254</f>
        <v>Ponto85</v>
      </c>
      <c r="C255" s="196" t="s">
        <v>118</v>
      </c>
      <c r="D255" s="197">
        <v>254</v>
      </c>
    </row>
    <row r="256" spans="1:4" ht="13.5" x14ac:dyDescent="0.25">
      <c r="A256" s="200">
        <v>85</v>
      </c>
      <c r="B256" s="190" t="str">
        <f t="shared" si="84"/>
        <v>Ponto85</v>
      </c>
      <c r="C256" s="196" t="s">
        <v>119</v>
      </c>
      <c r="D256" s="197">
        <v>255</v>
      </c>
    </row>
    <row r="257" spans="1:4" ht="13.5" x14ac:dyDescent="0.25">
      <c r="A257" s="200">
        <v>86</v>
      </c>
      <c r="B257" s="189" t="s">
        <v>214</v>
      </c>
      <c r="C257" s="196" t="s">
        <v>117</v>
      </c>
      <c r="D257" s="197">
        <v>256</v>
      </c>
    </row>
    <row r="258" spans="1:4" ht="13.5" x14ac:dyDescent="0.25">
      <c r="A258" s="200">
        <v>86</v>
      </c>
      <c r="B258" s="190" t="str">
        <f t="shared" ref="B258:B259" si="85">$B$257</f>
        <v>Ponto86</v>
      </c>
      <c r="C258" s="196" t="s">
        <v>118</v>
      </c>
      <c r="D258" s="197">
        <v>257</v>
      </c>
    </row>
    <row r="259" spans="1:4" ht="13.5" x14ac:dyDescent="0.25">
      <c r="A259" s="200">
        <v>86</v>
      </c>
      <c r="B259" s="190" t="str">
        <f t="shared" si="85"/>
        <v>Ponto86</v>
      </c>
      <c r="C259" s="196" t="s">
        <v>119</v>
      </c>
      <c r="D259" s="197">
        <v>258</v>
      </c>
    </row>
    <row r="260" spans="1:4" ht="13.5" x14ac:dyDescent="0.25">
      <c r="A260" s="200">
        <v>87</v>
      </c>
      <c r="B260" s="189" t="s">
        <v>215</v>
      </c>
      <c r="C260" s="196" t="s">
        <v>117</v>
      </c>
      <c r="D260" s="197">
        <v>259</v>
      </c>
    </row>
    <row r="261" spans="1:4" ht="13.5" x14ac:dyDescent="0.25">
      <c r="A261" s="200">
        <v>87</v>
      </c>
      <c r="B261" s="190" t="str">
        <f t="shared" ref="B261:B262" si="86">$B$260</f>
        <v>Ponto87</v>
      </c>
      <c r="C261" s="196" t="s">
        <v>118</v>
      </c>
      <c r="D261" s="197">
        <v>260</v>
      </c>
    </row>
    <row r="262" spans="1:4" ht="13.5" x14ac:dyDescent="0.25">
      <c r="A262" s="200">
        <v>87</v>
      </c>
      <c r="B262" s="190" t="str">
        <f t="shared" si="86"/>
        <v>Ponto87</v>
      </c>
      <c r="C262" s="196" t="s">
        <v>119</v>
      </c>
      <c r="D262" s="197">
        <v>261</v>
      </c>
    </row>
    <row r="263" spans="1:4" ht="13.5" x14ac:dyDescent="0.25">
      <c r="A263" s="200">
        <v>88</v>
      </c>
      <c r="B263" s="189" t="s">
        <v>216</v>
      </c>
      <c r="C263" s="196" t="s">
        <v>117</v>
      </c>
      <c r="D263" s="197">
        <v>262</v>
      </c>
    </row>
    <row r="264" spans="1:4" ht="13.5" x14ac:dyDescent="0.25">
      <c r="A264" s="200">
        <v>88</v>
      </c>
      <c r="B264" s="190" t="str">
        <f t="shared" ref="B264:B265" si="87">$B$263</f>
        <v>Ponto88</v>
      </c>
      <c r="C264" s="196" t="s">
        <v>118</v>
      </c>
      <c r="D264" s="197">
        <v>263</v>
      </c>
    </row>
    <row r="265" spans="1:4" ht="13.5" x14ac:dyDescent="0.25">
      <c r="A265" s="200">
        <v>88</v>
      </c>
      <c r="B265" s="190" t="str">
        <f t="shared" si="87"/>
        <v>Ponto88</v>
      </c>
      <c r="C265" s="196" t="s">
        <v>119</v>
      </c>
      <c r="D265" s="197">
        <v>264</v>
      </c>
    </row>
    <row r="266" spans="1:4" ht="13.5" x14ac:dyDescent="0.25">
      <c r="A266" s="200">
        <v>89</v>
      </c>
      <c r="B266" s="189" t="s">
        <v>217</v>
      </c>
      <c r="C266" s="196" t="s">
        <v>117</v>
      </c>
      <c r="D266" s="197">
        <v>265</v>
      </c>
    </row>
    <row r="267" spans="1:4" ht="13.5" x14ac:dyDescent="0.25">
      <c r="A267" s="200">
        <v>89</v>
      </c>
      <c r="B267" s="190" t="str">
        <f t="shared" ref="B267:B268" si="88">$B$266</f>
        <v>Ponto89</v>
      </c>
      <c r="C267" s="196" t="s">
        <v>118</v>
      </c>
      <c r="D267" s="197">
        <v>266</v>
      </c>
    </row>
    <row r="268" spans="1:4" ht="13.5" x14ac:dyDescent="0.25">
      <c r="A268" s="200">
        <v>89</v>
      </c>
      <c r="B268" s="190" t="str">
        <f t="shared" si="88"/>
        <v>Ponto89</v>
      </c>
      <c r="C268" s="196" t="s">
        <v>119</v>
      </c>
      <c r="D268" s="197">
        <v>267</v>
      </c>
    </row>
    <row r="269" spans="1:4" ht="13.5" x14ac:dyDescent="0.25">
      <c r="A269" s="200">
        <v>90</v>
      </c>
      <c r="B269" s="189" t="s">
        <v>218</v>
      </c>
      <c r="C269" s="196" t="s">
        <v>117</v>
      </c>
      <c r="D269" s="197">
        <v>268</v>
      </c>
    </row>
    <row r="270" spans="1:4" ht="13.5" x14ac:dyDescent="0.25">
      <c r="A270" s="200">
        <v>90</v>
      </c>
      <c r="B270" s="190" t="str">
        <f t="shared" ref="B270:B271" si="89">$B$269</f>
        <v>Ponto90</v>
      </c>
      <c r="C270" s="196" t="s">
        <v>118</v>
      </c>
      <c r="D270" s="197">
        <v>269</v>
      </c>
    </row>
    <row r="271" spans="1:4" ht="13.5" x14ac:dyDescent="0.25">
      <c r="A271" s="200">
        <v>90</v>
      </c>
      <c r="B271" s="190" t="str">
        <f t="shared" si="89"/>
        <v>Ponto90</v>
      </c>
      <c r="C271" s="196" t="s">
        <v>119</v>
      </c>
      <c r="D271" s="197">
        <v>270</v>
      </c>
    </row>
    <row r="272" spans="1:4" ht="13.5" x14ac:dyDescent="0.25">
      <c r="A272" s="200">
        <v>91</v>
      </c>
      <c r="B272" s="189" t="s">
        <v>219</v>
      </c>
      <c r="C272" s="196" t="s">
        <v>117</v>
      </c>
      <c r="D272" s="197">
        <v>271</v>
      </c>
    </row>
    <row r="273" spans="1:4" ht="13.5" x14ac:dyDescent="0.25">
      <c r="A273" s="200">
        <v>91</v>
      </c>
      <c r="B273" s="190" t="str">
        <f t="shared" ref="B273:B274" si="90">$B$272</f>
        <v>Ponto91</v>
      </c>
      <c r="C273" s="196" t="s">
        <v>118</v>
      </c>
      <c r="D273" s="197">
        <v>272</v>
      </c>
    </row>
    <row r="274" spans="1:4" ht="13.5" x14ac:dyDescent="0.25">
      <c r="A274" s="200">
        <v>91</v>
      </c>
      <c r="B274" s="190" t="str">
        <f t="shared" si="90"/>
        <v>Ponto91</v>
      </c>
      <c r="C274" s="196" t="s">
        <v>119</v>
      </c>
      <c r="D274" s="197">
        <v>273</v>
      </c>
    </row>
    <row r="275" spans="1:4" ht="13.5" x14ac:dyDescent="0.25">
      <c r="A275" s="200">
        <v>92</v>
      </c>
      <c r="B275" s="189" t="s">
        <v>220</v>
      </c>
      <c r="C275" s="196" t="s">
        <v>117</v>
      </c>
      <c r="D275" s="197">
        <v>274</v>
      </c>
    </row>
    <row r="276" spans="1:4" ht="13.5" x14ac:dyDescent="0.25">
      <c r="A276" s="200">
        <v>92</v>
      </c>
      <c r="B276" s="190" t="str">
        <f t="shared" ref="B276:B277" si="91">$B$275</f>
        <v>Ponto92</v>
      </c>
      <c r="C276" s="196" t="s">
        <v>118</v>
      </c>
      <c r="D276" s="197">
        <v>275</v>
      </c>
    </row>
    <row r="277" spans="1:4" ht="13.5" x14ac:dyDescent="0.25">
      <c r="A277" s="200">
        <v>92</v>
      </c>
      <c r="B277" s="190" t="str">
        <f t="shared" si="91"/>
        <v>Ponto92</v>
      </c>
      <c r="C277" s="196" t="s">
        <v>119</v>
      </c>
      <c r="D277" s="197">
        <v>276</v>
      </c>
    </row>
    <row r="278" spans="1:4" ht="13.5" x14ac:dyDescent="0.25">
      <c r="A278" s="200">
        <v>93</v>
      </c>
      <c r="B278" s="189" t="s">
        <v>221</v>
      </c>
      <c r="C278" s="196" t="s">
        <v>117</v>
      </c>
      <c r="D278" s="197">
        <v>277</v>
      </c>
    </row>
    <row r="279" spans="1:4" ht="13.5" x14ac:dyDescent="0.25">
      <c r="A279" s="200">
        <v>93</v>
      </c>
      <c r="B279" s="190" t="str">
        <f t="shared" ref="B279:B280" si="92">$B$278</f>
        <v>Ponto93</v>
      </c>
      <c r="C279" s="196" t="s">
        <v>118</v>
      </c>
      <c r="D279" s="197">
        <v>278</v>
      </c>
    </row>
    <row r="280" spans="1:4" ht="13.5" x14ac:dyDescent="0.25">
      <c r="A280" s="200">
        <v>93</v>
      </c>
      <c r="B280" s="190" t="str">
        <f t="shared" si="92"/>
        <v>Ponto93</v>
      </c>
      <c r="C280" s="196" t="s">
        <v>119</v>
      </c>
      <c r="D280" s="197">
        <v>279</v>
      </c>
    </row>
    <row r="281" spans="1:4" ht="13.5" x14ac:dyDescent="0.25">
      <c r="A281" s="200">
        <v>94</v>
      </c>
      <c r="B281" s="189" t="s">
        <v>222</v>
      </c>
      <c r="C281" s="196" t="s">
        <v>117</v>
      </c>
      <c r="D281" s="197">
        <v>280</v>
      </c>
    </row>
    <row r="282" spans="1:4" ht="13.5" x14ac:dyDescent="0.25">
      <c r="A282" s="200">
        <v>94</v>
      </c>
      <c r="B282" s="190" t="str">
        <f t="shared" ref="B282:B283" si="93">$B$281</f>
        <v>Ponto94</v>
      </c>
      <c r="C282" s="196" t="s">
        <v>118</v>
      </c>
      <c r="D282" s="197">
        <v>281</v>
      </c>
    </row>
    <row r="283" spans="1:4" ht="13.5" x14ac:dyDescent="0.25">
      <c r="A283" s="200">
        <v>94</v>
      </c>
      <c r="B283" s="190" t="str">
        <f t="shared" si="93"/>
        <v>Ponto94</v>
      </c>
      <c r="C283" s="196" t="s">
        <v>119</v>
      </c>
      <c r="D283" s="197">
        <v>282</v>
      </c>
    </row>
    <row r="284" spans="1:4" ht="13.5" x14ac:dyDescent="0.25">
      <c r="A284" s="200">
        <v>95</v>
      </c>
      <c r="B284" s="189" t="s">
        <v>223</v>
      </c>
      <c r="C284" s="196" t="s">
        <v>117</v>
      </c>
      <c r="D284" s="197">
        <v>283</v>
      </c>
    </row>
    <row r="285" spans="1:4" ht="13.5" x14ac:dyDescent="0.25">
      <c r="A285" s="200">
        <v>95</v>
      </c>
      <c r="B285" s="190" t="str">
        <f t="shared" ref="B285:B286" si="94">$B$284</f>
        <v>Ponto95</v>
      </c>
      <c r="C285" s="196" t="s">
        <v>118</v>
      </c>
      <c r="D285" s="197">
        <v>284</v>
      </c>
    </row>
    <row r="286" spans="1:4" ht="13.5" x14ac:dyDescent="0.25">
      <c r="A286" s="200">
        <v>95</v>
      </c>
      <c r="B286" s="190" t="str">
        <f t="shared" si="94"/>
        <v>Ponto95</v>
      </c>
      <c r="C286" s="196" t="s">
        <v>119</v>
      </c>
      <c r="D286" s="197">
        <v>285</v>
      </c>
    </row>
    <row r="287" spans="1:4" ht="13.5" x14ac:dyDescent="0.25">
      <c r="A287" s="200">
        <v>96</v>
      </c>
      <c r="B287" s="189" t="s">
        <v>224</v>
      </c>
      <c r="C287" s="196" t="s">
        <v>117</v>
      </c>
      <c r="D287" s="197">
        <v>286</v>
      </c>
    </row>
    <row r="288" spans="1:4" ht="13.5" x14ac:dyDescent="0.25">
      <c r="A288" s="200">
        <v>96</v>
      </c>
      <c r="B288" s="190" t="str">
        <f t="shared" ref="B288:B289" si="95">$B$287</f>
        <v>Ponto96</v>
      </c>
      <c r="C288" s="196" t="s">
        <v>118</v>
      </c>
      <c r="D288" s="197">
        <v>287</v>
      </c>
    </row>
    <row r="289" spans="1:4" ht="13.5" x14ac:dyDescent="0.25">
      <c r="A289" s="200">
        <v>96</v>
      </c>
      <c r="B289" s="190" t="str">
        <f t="shared" si="95"/>
        <v>Ponto96</v>
      </c>
      <c r="C289" s="196" t="s">
        <v>119</v>
      </c>
      <c r="D289" s="197">
        <v>288</v>
      </c>
    </row>
    <row r="290" spans="1:4" ht="13.5" x14ac:dyDescent="0.25">
      <c r="A290" s="200">
        <v>97</v>
      </c>
      <c r="B290" s="189" t="s">
        <v>225</v>
      </c>
      <c r="C290" s="196" t="s">
        <v>117</v>
      </c>
      <c r="D290" s="197">
        <v>289</v>
      </c>
    </row>
    <row r="291" spans="1:4" ht="13.5" x14ac:dyDescent="0.25">
      <c r="A291" s="200">
        <v>97</v>
      </c>
      <c r="B291" s="190" t="str">
        <f t="shared" ref="B291:B292" si="96">$B$290</f>
        <v>Ponto97</v>
      </c>
      <c r="C291" s="196" t="s">
        <v>118</v>
      </c>
      <c r="D291" s="197">
        <v>290</v>
      </c>
    </row>
    <row r="292" spans="1:4" ht="13.5" x14ac:dyDescent="0.25">
      <c r="A292" s="200">
        <v>97</v>
      </c>
      <c r="B292" s="190" t="str">
        <f t="shared" si="96"/>
        <v>Ponto97</v>
      </c>
      <c r="C292" s="196" t="s">
        <v>119</v>
      </c>
      <c r="D292" s="197">
        <v>291</v>
      </c>
    </row>
    <row r="293" spans="1:4" ht="13.5" x14ac:dyDescent="0.25">
      <c r="A293" s="200">
        <v>98</v>
      </c>
      <c r="B293" s="189" t="s">
        <v>226</v>
      </c>
      <c r="C293" s="196" t="s">
        <v>117</v>
      </c>
      <c r="D293" s="197">
        <v>292</v>
      </c>
    </row>
    <row r="294" spans="1:4" ht="13.5" x14ac:dyDescent="0.25">
      <c r="A294" s="200">
        <v>98</v>
      </c>
      <c r="B294" s="190" t="str">
        <f t="shared" ref="B294:B295" si="97">$B$293</f>
        <v>Ponto98</v>
      </c>
      <c r="C294" s="196" t="s">
        <v>118</v>
      </c>
      <c r="D294" s="197">
        <v>293</v>
      </c>
    </row>
    <row r="295" spans="1:4" ht="13.5" x14ac:dyDescent="0.25">
      <c r="A295" s="200">
        <v>98</v>
      </c>
      <c r="B295" s="190" t="str">
        <f t="shared" si="97"/>
        <v>Ponto98</v>
      </c>
      <c r="C295" s="196" t="s">
        <v>119</v>
      </c>
      <c r="D295" s="197">
        <v>294</v>
      </c>
    </row>
    <row r="296" spans="1:4" ht="13.5" x14ac:dyDescent="0.25">
      <c r="A296" s="200">
        <v>99</v>
      </c>
      <c r="B296" s="189" t="s">
        <v>227</v>
      </c>
      <c r="C296" s="196" t="s">
        <v>117</v>
      </c>
      <c r="D296" s="197">
        <v>295</v>
      </c>
    </row>
    <row r="297" spans="1:4" ht="13.5" x14ac:dyDescent="0.25">
      <c r="A297" s="200">
        <v>99</v>
      </c>
      <c r="B297" s="190" t="str">
        <f t="shared" ref="B297:B298" si="98">$B$296</f>
        <v>Ponto99</v>
      </c>
      <c r="C297" s="196" t="s">
        <v>118</v>
      </c>
      <c r="D297" s="197">
        <v>296</v>
      </c>
    </row>
    <row r="298" spans="1:4" ht="13.5" x14ac:dyDescent="0.25">
      <c r="A298" s="200">
        <v>99</v>
      </c>
      <c r="B298" s="190" t="str">
        <f t="shared" si="98"/>
        <v>Ponto99</v>
      </c>
      <c r="C298" s="196" t="s">
        <v>119</v>
      </c>
      <c r="D298" s="197">
        <v>297</v>
      </c>
    </row>
    <row r="299" spans="1:4" ht="13.5" x14ac:dyDescent="0.25">
      <c r="A299" s="200">
        <v>100</v>
      </c>
      <c r="B299" s="189" t="s">
        <v>228</v>
      </c>
      <c r="C299" s="196" t="s">
        <v>117</v>
      </c>
      <c r="D299" s="197">
        <v>298</v>
      </c>
    </row>
    <row r="300" spans="1:4" ht="13.5" x14ac:dyDescent="0.25">
      <c r="A300" s="200">
        <v>100</v>
      </c>
      <c r="B300" s="190" t="str">
        <f t="shared" ref="B300:B301" si="99">$B$299</f>
        <v>Ponto100</v>
      </c>
      <c r="C300" s="196" t="s">
        <v>118</v>
      </c>
      <c r="D300" s="197">
        <v>299</v>
      </c>
    </row>
    <row r="301" spans="1:4" ht="13.5" x14ac:dyDescent="0.25">
      <c r="A301" s="200">
        <v>100</v>
      </c>
      <c r="B301" s="190" t="str">
        <f t="shared" si="99"/>
        <v>Ponto100</v>
      </c>
      <c r="C301" s="196" t="s">
        <v>119</v>
      </c>
      <c r="D301" s="197">
        <v>300</v>
      </c>
    </row>
    <row r="302" spans="1:4" ht="13.5" x14ac:dyDescent="0.25">
      <c r="A302" s="200">
        <v>101</v>
      </c>
      <c r="B302" s="189" t="s">
        <v>229</v>
      </c>
      <c r="C302" s="196" t="s">
        <v>117</v>
      </c>
      <c r="D302" s="197">
        <v>301</v>
      </c>
    </row>
    <row r="303" spans="1:4" ht="13.5" x14ac:dyDescent="0.25">
      <c r="A303" s="200">
        <v>101</v>
      </c>
      <c r="B303" s="190" t="str">
        <f t="shared" ref="B303:B304" si="100">$B$302</f>
        <v>Ponto101</v>
      </c>
      <c r="C303" s="196" t="s">
        <v>118</v>
      </c>
      <c r="D303" s="197">
        <v>302</v>
      </c>
    </row>
    <row r="304" spans="1:4" ht="13.5" x14ac:dyDescent="0.25">
      <c r="A304" s="200">
        <v>101</v>
      </c>
      <c r="B304" s="190" t="str">
        <f t="shared" si="100"/>
        <v>Ponto101</v>
      </c>
      <c r="C304" s="196" t="s">
        <v>119</v>
      </c>
      <c r="D304" s="197">
        <v>303</v>
      </c>
    </row>
    <row r="305" spans="1:4" ht="13.5" x14ac:dyDescent="0.25">
      <c r="A305" s="200">
        <v>102</v>
      </c>
      <c r="B305" s="189" t="s">
        <v>230</v>
      </c>
      <c r="C305" s="196" t="s">
        <v>117</v>
      </c>
      <c r="D305" s="197">
        <v>304</v>
      </c>
    </row>
    <row r="306" spans="1:4" ht="13.5" x14ac:dyDescent="0.25">
      <c r="A306" s="200">
        <v>102</v>
      </c>
      <c r="B306" s="190" t="str">
        <f t="shared" ref="B306:B307" si="101">$B$305</f>
        <v>Ponto102</v>
      </c>
      <c r="C306" s="196" t="s">
        <v>118</v>
      </c>
      <c r="D306" s="197">
        <v>305</v>
      </c>
    </row>
    <row r="307" spans="1:4" ht="13.5" x14ac:dyDescent="0.25">
      <c r="A307" s="200">
        <v>102</v>
      </c>
      <c r="B307" s="190" t="str">
        <f t="shared" si="101"/>
        <v>Ponto102</v>
      </c>
      <c r="C307" s="196" t="s">
        <v>119</v>
      </c>
      <c r="D307" s="197">
        <v>306</v>
      </c>
    </row>
    <row r="308" spans="1:4" ht="13.5" x14ac:dyDescent="0.25">
      <c r="A308" s="200">
        <v>103</v>
      </c>
      <c r="B308" s="189" t="s">
        <v>231</v>
      </c>
      <c r="C308" s="196" t="s">
        <v>117</v>
      </c>
      <c r="D308" s="197">
        <v>307</v>
      </c>
    </row>
    <row r="309" spans="1:4" ht="13.5" x14ac:dyDescent="0.25">
      <c r="A309" s="200">
        <v>103</v>
      </c>
      <c r="B309" s="190" t="str">
        <f t="shared" ref="B309:B310" si="102">$B$308</f>
        <v>Ponto103</v>
      </c>
      <c r="C309" s="196" t="s">
        <v>118</v>
      </c>
      <c r="D309" s="197">
        <v>308</v>
      </c>
    </row>
    <row r="310" spans="1:4" ht="13.5" x14ac:dyDescent="0.25">
      <c r="A310" s="200">
        <v>103</v>
      </c>
      <c r="B310" s="190" t="str">
        <f t="shared" si="102"/>
        <v>Ponto103</v>
      </c>
      <c r="C310" s="196" t="s">
        <v>119</v>
      </c>
      <c r="D310" s="197">
        <v>309</v>
      </c>
    </row>
    <row r="311" spans="1:4" ht="13.5" x14ac:dyDescent="0.25">
      <c r="A311" s="200">
        <v>104</v>
      </c>
      <c r="B311" s="189" t="s">
        <v>232</v>
      </c>
      <c r="C311" s="196" t="s">
        <v>117</v>
      </c>
      <c r="D311" s="197">
        <v>310</v>
      </c>
    </row>
    <row r="312" spans="1:4" ht="13.5" x14ac:dyDescent="0.25">
      <c r="A312" s="200">
        <v>104</v>
      </c>
      <c r="B312" s="190" t="str">
        <f t="shared" ref="B312:B313" si="103">$B$311</f>
        <v>Ponto104</v>
      </c>
      <c r="C312" s="196" t="s">
        <v>118</v>
      </c>
      <c r="D312" s="197">
        <v>311</v>
      </c>
    </row>
    <row r="313" spans="1:4" ht="13.5" x14ac:dyDescent="0.25">
      <c r="A313" s="200">
        <v>104</v>
      </c>
      <c r="B313" s="190" t="str">
        <f t="shared" si="103"/>
        <v>Ponto104</v>
      </c>
      <c r="C313" s="196" t="s">
        <v>119</v>
      </c>
      <c r="D313" s="197">
        <v>312</v>
      </c>
    </row>
    <row r="314" spans="1:4" ht="13.5" x14ac:dyDescent="0.25">
      <c r="A314" s="200">
        <v>105</v>
      </c>
      <c r="B314" s="189" t="s">
        <v>233</v>
      </c>
      <c r="C314" s="196" t="s">
        <v>117</v>
      </c>
      <c r="D314" s="197">
        <v>313</v>
      </c>
    </row>
    <row r="315" spans="1:4" ht="13.5" x14ac:dyDescent="0.25">
      <c r="A315" s="200">
        <v>105</v>
      </c>
      <c r="B315" s="190" t="str">
        <f t="shared" ref="B315:B316" si="104">$B$314</f>
        <v>Ponto105</v>
      </c>
      <c r="C315" s="196" t="s">
        <v>118</v>
      </c>
      <c r="D315" s="197">
        <v>314</v>
      </c>
    </row>
    <row r="316" spans="1:4" ht="13.5" x14ac:dyDescent="0.25">
      <c r="A316" s="200">
        <v>105</v>
      </c>
      <c r="B316" s="190" t="str">
        <f t="shared" si="104"/>
        <v>Ponto105</v>
      </c>
      <c r="C316" s="196" t="s">
        <v>119</v>
      </c>
      <c r="D316" s="197">
        <v>315</v>
      </c>
    </row>
    <row r="317" spans="1:4" ht="13.5" x14ac:dyDescent="0.25">
      <c r="A317" s="200">
        <v>106</v>
      </c>
      <c r="B317" s="189" t="s">
        <v>234</v>
      </c>
      <c r="C317" s="196" t="s">
        <v>117</v>
      </c>
      <c r="D317" s="197">
        <v>316</v>
      </c>
    </row>
    <row r="318" spans="1:4" ht="13.5" x14ac:dyDescent="0.25">
      <c r="A318" s="200">
        <v>106</v>
      </c>
      <c r="B318" s="190" t="str">
        <f t="shared" ref="B318:B319" si="105">$B$317</f>
        <v>Ponto106</v>
      </c>
      <c r="C318" s="196" t="s">
        <v>118</v>
      </c>
      <c r="D318" s="197">
        <v>317</v>
      </c>
    </row>
    <row r="319" spans="1:4" ht="13.5" x14ac:dyDescent="0.25">
      <c r="A319" s="200">
        <v>106</v>
      </c>
      <c r="B319" s="190" t="str">
        <f t="shared" si="105"/>
        <v>Ponto106</v>
      </c>
      <c r="C319" s="196" t="s">
        <v>119</v>
      </c>
      <c r="D319" s="197">
        <v>318</v>
      </c>
    </row>
    <row r="320" spans="1:4" ht="13.5" x14ac:dyDescent="0.25">
      <c r="A320" s="200">
        <v>107</v>
      </c>
      <c r="B320" s="189" t="s">
        <v>235</v>
      </c>
      <c r="C320" s="196" t="s">
        <v>117</v>
      </c>
      <c r="D320" s="197">
        <v>319</v>
      </c>
    </row>
    <row r="321" spans="1:4" ht="13.5" x14ac:dyDescent="0.25">
      <c r="A321" s="200">
        <v>107</v>
      </c>
      <c r="B321" s="190" t="str">
        <f t="shared" ref="B321:B322" si="106">$B$320</f>
        <v>Ponto107</v>
      </c>
      <c r="C321" s="196" t="s">
        <v>118</v>
      </c>
      <c r="D321" s="197">
        <v>320</v>
      </c>
    </row>
    <row r="322" spans="1:4" ht="13.5" x14ac:dyDescent="0.25">
      <c r="A322" s="200">
        <v>107</v>
      </c>
      <c r="B322" s="190" t="str">
        <f t="shared" si="106"/>
        <v>Ponto107</v>
      </c>
      <c r="C322" s="196" t="s">
        <v>119</v>
      </c>
      <c r="D322" s="197">
        <v>321</v>
      </c>
    </row>
    <row r="323" spans="1:4" ht="13.5" x14ac:dyDescent="0.25">
      <c r="A323" s="200">
        <v>108</v>
      </c>
      <c r="B323" s="189" t="s">
        <v>236</v>
      </c>
      <c r="C323" s="196" t="s">
        <v>117</v>
      </c>
      <c r="D323" s="197">
        <v>322</v>
      </c>
    </row>
    <row r="324" spans="1:4" ht="13.5" x14ac:dyDescent="0.25">
      <c r="A324" s="200">
        <v>108</v>
      </c>
      <c r="B324" s="190" t="str">
        <f t="shared" ref="B324:B325" si="107">$B$323</f>
        <v>Ponto108</v>
      </c>
      <c r="C324" s="196" t="s">
        <v>118</v>
      </c>
      <c r="D324" s="197">
        <v>323</v>
      </c>
    </row>
    <row r="325" spans="1:4" ht="13.5" x14ac:dyDescent="0.25">
      <c r="A325" s="200">
        <v>108</v>
      </c>
      <c r="B325" s="190" t="str">
        <f t="shared" si="107"/>
        <v>Ponto108</v>
      </c>
      <c r="C325" s="196" t="s">
        <v>119</v>
      </c>
      <c r="D325" s="197">
        <v>324</v>
      </c>
    </row>
    <row r="326" spans="1:4" ht="13.5" x14ac:dyDescent="0.25">
      <c r="A326" s="200">
        <v>109</v>
      </c>
      <c r="B326" s="189" t="s">
        <v>237</v>
      </c>
      <c r="C326" s="196" t="s">
        <v>117</v>
      </c>
      <c r="D326" s="197">
        <v>325</v>
      </c>
    </row>
    <row r="327" spans="1:4" ht="13.5" x14ac:dyDescent="0.25">
      <c r="A327" s="200">
        <v>109</v>
      </c>
      <c r="B327" s="190" t="str">
        <f t="shared" ref="B327:B328" si="108">$B$326</f>
        <v>Ponto109</v>
      </c>
      <c r="C327" s="196" t="s">
        <v>118</v>
      </c>
      <c r="D327" s="197">
        <v>326</v>
      </c>
    </row>
    <row r="328" spans="1:4" ht="13.5" x14ac:dyDescent="0.25">
      <c r="A328" s="200">
        <v>109</v>
      </c>
      <c r="B328" s="190" t="str">
        <f t="shared" si="108"/>
        <v>Ponto109</v>
      </c>
      <c r="C328" s="196" t="s">
        <v>119</v>
      </c>
      <c r="D328" s="197">
        <v>327</v>
      </c>
    </row>
    <row r="329" spans="1:4" ht="13.5" x14ac:dyDescent="0.25">
      <c r="A329" s="200">
        <v>110</v>
      </c>
      <c r="B329" s="189" t="s">
        <v>238</v>
      </c>
      <c r="C329" s="196" t="s">
        <v>117</v>
      </c>
      <c r="D329" s="197">
        <v>328</v>
      </c>
    </row>
    <row r="330" spans="1:4" ht="13.5" x14ac:dyDescent="0.25">
      <c r="A330" s="200">
        <v>110</v>
      </c>
      <c r="B330" s="190" t="str">
        <f t="shared" ref="B330:B331" si="109">$B$329</f>
        <v>Ponto110</v>
      </c>
      <c r="C330" s="196" t="s">
        <v>118</v>
      </c>
      <c r="D330" s="197">
        <v>329</v>
      </c>
    </row>
    <row r="331" spans="1:4" ht="13.5" x14ac:dyDescent="0.25">
      <c r="A331" s="200">
        <v>110</v>
      </c>
      <c r="B331" s="190" t="str">
        <f t="shared" si="109"/>
        <v>Ponto110</v>
      </c>
      <c r="C331" s="196" t="s">
        <v>119</v>
      </c>
      <c r="D331" s="197">
        <v>330</v>
      </c>
    </row>
    <row r="332" spans="1:4" ht="13.5" x14ac:dyDescent="0.25">
      <c r="A332" s="200">
        <v>111</v>
      </c>
      <c r="B332" s="189" t="s">
        <v>239</v>
      </c>
      <c r="C332" s="196" t="s">
        <v>117</v>
      </c>
      <c r="D332" s="197">
        <v>331</v>
      </c>
    </row>
    <row r="333" spans="1:4" ht="13.5" x14ac:dyDescent="0.25">
      <c r="A333" s="200">
        <v>111</v>
      </c>
      <c r="B333" s="190" t="str">
        <f t="shared" ref="B333:B334" si="110">$B$332</f>
        <v>Ponto111</v>
      </c>
      <c r="C333" s="196" t="s">
        <v>118</v>
      </c>
      <c r="D333" s="197">
        <v>332</v>
      </c>
    </row>
    <row r="334" spans="1:4" ht="13.5" x14ac:dyDescent="0.25">
      <c r="A334" s="200">
        <v>111</v>
      </c>
      <c r="B334" s="190" t="str">
        <f t="shared" si="110"/>
        <v>Ponto111</v>
      </c>
      <c r="C334" s="196" t="s">
        <v>119</v>
      </c>
      <c r="D334" s="197">
        <v>333</v>
      </c>
    </row>
    <row r="335" spans="1:4" ht="13.5" x14ac:dyDescent="0.25">
      <c r="A335" s="200">
        <v>112</v>
      </c>
      <c r="B335" s="189" t="s">
        <v>240</v>
      </c>
      <c r="C335" s="196" t="s">
        <v>117</v>
      </c>
      <c r="D335" s="197">
        <v>334</v>
      </c>
    </row>
    <row r="336" spans="1:4" ht="13.5" x14ac:dyDescent="0.25">
      <c r="A336" s="200">
        <v>112</v>
      </c>
      <c r="B336" s="190" t="str">
        <f t="shared" ref="B336:B337" si="111">$B$335</f>
        <v>Ponto112</v>
      </c>
      <c r="C336" s="196" t="s">
        <v>118</v>
      </c>
      <c r="D336" s="197">
        <v>335</v>
      </c>
    </row>
    <row r="337" spans="1:4" ht="13.5" x14ac:dyDescent="0.25">
      <c r="A337" s="200">
        <v>112</v>
      </c>
      <c r="B337" s="190" t="str">
        <f t="shared" si="111"/>
        <v>Ponto112</v>
      </c>
      <c r="C337" s="196" t="s">
        <v>119</v>
      </c>
      <c r="D337" s="197">
        <v>336</v>
      </c>
    </row>
    <row r="338" spans="1:4" ht="13.5" x14ac:dyDescent="0.25">
      <c r="A338" s="200">
        <v>113</v>
      </c>
      <c r="B338" s="189" t="s">
        <v>241</v>
      </c>
      <c r="C338" s="196" t="s">
        <v>117</v>
      </c>
      <c r="D338" s="197">
        <v>337</v>
      </c>
    </row>
    <row r="339" spans="1:4" ht="13.5" x14ac:dyDescent="0.25">
      <c r="A339" s="200">
        <v>113</v>
      </c>
      <c r="B339" s="190" t="str">
        <f t="shared" ref="B339:B340" si="112">$B$338</f>
        <v>Ponto113</v>
      </c>
      <c r="C339" s="196" t="s">
        <v>118</v>
      </c>
      <c r="D339" s="197">
        <v>338</v>
      </c>
    </row>
    <row r="340" spans="1:4" ht="13.5" x14ac:dyDescent="0.25">
      <c r="A340" s="200">
        <v>113</v>
      </c>
      <c r="B340" s="190" t="str">
        <f t="shared" si="112"/>
        <v>Ponto113</v>
      </c>
      <c r="C340" s="196" t="s">
        <v>119</v>
      </c>
      <c r="D340" s="197">
        <v>339</v>
      </c>
    </row>
    <row r="341" spans="1:4" ht="13.5" x14ac:dyDescent="0.25">
      <c r="A341" s="200">
        <v>114</v>
      </c>
      <c r="B341" s="189" t="s">
        <v>242</v>
      </c>
      <c r="C341" s="196" t="s">
        <v>117</v>
      </c>
      <c r="D341" s="197">
        <v>340</v>
      </c>
    </row>
    <row r="342" spans="1:4" ht="13.5" x14ac:dyDescent="0.25">
      <c r="A342" s="200">
        <v>114</v>
      </c>
      <c r="B342" s="190" t="str">
        <f t="shared" ref="B342:B343" si="113">$B$341</f>
        <v>Ponto114</v>
      </c>
      <c r="C342" s="196" t="s">
        <v>118</v>
      </c>
      <c r="D342" s="197">
        <v>341</v>
      </c>
    </row>
    <row r="343" spans="1:4" ht="13.5" x14ac:dyDescent="0.25">
      <c r="A343" s="200">
        <v>114</v>
      </c>
      <c r="B343" s="190" t="str">
        <f t="shared" si="113"/>
        <v>Ponto114</v>
      </c>
      <c r="C343" s="196" t="s">
        <v>119</v>
      </c>
      <c r="D343" s="197">
        <v>342</v>
      </c>
    </row>
    <row r="344" spans="1:4" ht="13.5" x14ac:dyDescent="0.25">
      <c r="A344" s="200">
        <v>115</v>
      </c>
      <c r="B344" s="189" t="s">
        <v>243</v>
      </c>
      <c r="C344" s="196" t="s">
        <v>117</v>
      </c>
      <c r="D344" s="197">
        <v>343</v>
      </c>
    </row>
    <row r="345" spans="1:4" ht="13.5" x14ac:dyDescent="0.25">
      <c r="A345" s="200">
        <v>115</v>
      </c>
      <c r="B345" s="190" t="str">
        <f t="shared" ref="B345:B346" si="114">$B$344</f>
        <v>Ponto115</v>
      </c>
      <c r="C345" s="196" t="s">
        <v>118</v>
      </c>
      <c r="D345" s="197">
        <v>344</v>
      </c>
    </row>
    <row r="346" spans="1:4" ht="13.5" x14ac:dyDescent="0.25">
      <c r="A346" s="200">
        <v>115</v>
      </c>
      <c r="B346" s="190" t="str">
        <f t="shared" si="114"/>
        <v>Ponto115</v>
      </c>
      <c r="C346" s="196" t="s">
        <v>119</v>
      </c>
      <c r="D346" s="197">
        <v>345</v>
      </c>
    </row>
    <row r="347" spans="1:4" ht="13.5" x14ac:dyDescent="0.25">
      <c r="A347" s="200">
        <v>116</v>
      </c>
      <c r="B347" s="189" t="s">
        <v>244</v>
      </c>
      <c r="C347" s="196" t="s">
        <v>117</v>
      </c>
      <c r="D347" s="197">
        <v>346</v>
      </c>
    </row>
    <row r="348" spans="1:4" ht="13.5" x14ac:dyDescent="0.25">
      <c r="A348" s="200">
        <v>116</v>
      </c>
      <c r="B348" s="190" t="str">
        <f t="shared" ref="B348:B349" si="115">$B$347</f>
        <v>Ponto116</v>
      </c>
      <c r="C348" s="196" t="s">
        <v>118</v>
      </c>
      <c r="D348" s="197">
        <v>347</v>
      </c>
    </row>
    <row r="349" spans="1:4" ht="13.5" x14ac:dyDescent="0.25">
      <c r="A349" s="200">
        <v>116</v>
      </c>
      <c r="B349" s="190" t="str">
        <f t="shared" si="115"/>
        <v>Ponto116</v>
      </c>
      <c r="C349" s="196" t="s">
        <v>119</v>
      </c>
      <c r="D349" s="197">
        <v>348</v>
      </c>
    </row>
    <row r="350" spans="1:4" ht="13.5" x14ac:dyDescent="0.25">
      <c r="A350" s="200">
        <v>117</v>
      </c>
      <c r="B350" s="189" t="s">
        <v>245</v>
      </c>
      <c r="C350" s="196" t="s">
        <v>117</v>
      </c>
      <c r="D350" s="197">
        <v>349</v>
      </c>
    </row>
    <row r="351" spans="1:4" ht="13.5" x14ac:dyDescent="0.25">
      <c r="A351" s="200">
        <v>117</v>
      </c>
      <c r="B351" s="190" t="str">
        <f t="shared" ref="B351:B352" si="116">$B$350</f>
        <v>Ponto117</v>
      </c>
      <c r="C351" s="196" t="s">
        <v>118</v>
      </c>
      <c r="D351" s="197">
        <v>350</v>
      </c>
    </row>
    <row r="352" spans="1:4" ht="13.5" x14ac:dyDescent="0.25">
      <c r="A352" s="200">
        <v>117</v>
      </c>
      <c r="B352" s="190" t="str">
        <f t="shared" si="116"/>
        <v>Ponto117</v>
      </c>
      <c r="C352" s="196" t="s">
        <v>119</v>
      </c>
      <c r="D352" s="197">
        <v>351</v>
      </c>
    </row>
    <row r="353" spans="1:4" ht="13.5" x14ac:dyDescent="0.25">
      <c r="A353" s="200">
        <v>118</v>
      </c>
      <c r="B353" s="189" t="s">
        <v>246</v>
      </c>
      <c r="C353" s="196" t="s">
        <v>117</v>
      </c>
      <c r="D353" s="197">
        <v>352</v>
      </c>
    </row>
    <row r="354" spans="1:4" ht="13.5" x14ac:dyDescent="0.25">
      <c r="A354" s="200">
        <v>118</v>
      </c>
      <c r="B354" s="190" t="str">
        <f t="shared" ref="B354:B355" si="117">$B$353</f>
        <v>Ponto118</v>
      </c>
      <c r="C354" s="196" t="s">
        <v>118</v>
      </c>
      <c r="D354" s="197">
        <v>353</v>
      </c>
    </row>
    <row r="355" spans="1:4" ht="13.5" x14ac:dyDescent="0.25">
      <c r="A355" s="200">
        <v>118</v>
      </c>
      <c r="B355" s="190" t="str">
        <f t="shared" si="117"/>
        <v>Ponto118</v>
      </c>
      <c r="C355" s="196" t="s">
        <v>119</v>
      </c>
      <c r="D355" s="197">
        <v>354</v>
      </c>
    </row>
    <row r="356" spans="1:4" ht="13.5" x14ac:dyDescent="0.25">
      <c r="A356" s="200">
        <v>119</v>
      </c>
      <c r="B356" s="189" t="s">
        <v>247</v>
      </c>
      <c r="C356" s="196" t="s">
        <v>117</v>
      </c>
      <c r="D356" s="197">
        <v>355</v>
      </c>
    </row>
    <row r="357" spans="1:4" ht="13.5" x14ac:dyDescent="0.25">
      <c r="A357" s="200">
        <v>119</v>
      </c>
      <c r="B357" s="190" t="str">
        <f t="shared" ref="B357:B358" si="118">$B$356</f>
        <v>Ponto119</v>
      </c>
      <c r="C357" s="196" t="s">
        <v>118</v>
      </c>
      <c r="D357" s="197">
        <v>356</v>
      </c>
    </row>
    <row r="358" spans="1:4" ht="13.5" x14ac:dyDescent="0.25">
      <c r="A358" s="200">
        <v>119</v>
      </c>
      <c r="B358" s="190" t="str">
        <f t="shared" si="118"/>
        <v>Ponto119</v>
      </c>
      <c r="C358" s="196" t="s">
        <v>119</v>
      </c>
      <c r="D358" s="197">
        <v>357</v>
      </c>
    </row>
    <row r="359" spans="1:4" ht="13.5" x14ac:dyDescent="0.25">
      <c r="A359" s="200">
        <v>120</v>
      </c>
      <c r="B359" s="189" t="s">
        <v>248</v>
      </c>
      <c r="C359" s="196" t="s">
        <v>117</v>
      </c>
      <c r="D359" s="197">
        <v>358</v>
      </c>
    </row>
    <row r="360" spans="1:4" ht="13.5" x14ac:dyDescent="0.25">
      <c r="A360" s="200">
        <v>120</v>
      </c>
      <c r="B360" s="190" t="str">
        <f t="shared" ref="B360:B361" si="119">$B$359</f>
        <v>Ponto120</v>
      </c>
      <c r="C360" s="196" t="s">
        <v>118</v>
      </c>
      <c r="D360" s="197">
        <v>359</v>
      </c>
    </row>
    <row r="361" spans="1:4" ht="13.5" x14ac:dyDescent="0.25">
      <c r="A361" s="200">
        <v>120</v>
      </c>
      <c r="B361" s="190" t="str">
        <f t="shared" si="119"/>
        <v>Ponto120</v>
      </c>
      <c r="C361" s="196" t="s">
        <v>119</v>
      </c>
      <c r="D361" s="197">
        <v>360</v>
      </c>
    </row>
    <row r="362" spans="1:4" ht="13.5" x14ac:dyDescent="0.25">
      <c r="A362" s="200">
        <v>121</v>
      </c>
      <c r="B362" s="189" t="s">
        <v>249</v>
      </c>
      <c r="C362" s="196" t="s">
        <v>117</v>
      </c>
      <c r="D362" s="197">
        <v>361</v>
      </c>
    </row>
    <row r="363" spans="1:4" ht="13.5" x14ac:dyDescent="0.25">
      <c r="A363" s="200">
        <v>121</v>
      </c>
      <c r="B363" s="190" t="str">
        <f t="shared" ref="B363:B364" si="120">$B$362</f>
        <v>Ponto121</v>
      </c>
      <c r="C363" s="196" t="s">
        <v>118</v>
      </c>
      <c r="D363" s="197">
        <v>362</v>
      </c>
    </row>
    <row r="364" spans="1:4" ht="13.5" x14ac:dyDescent="0.25">
      <c r="A364" s="200">
        <v>121</v>
      </c>
      <c r="B364" s="190" t="str">
        <f t="shared" si="120"/>
        <v>Ponto121</v>
      </c>
      <c r="C364" s="196" t="s">
        <v>119</v>
      </c>
      <c r="D364" s="197">
        <v>363</v>
      </c>
    </row>
    <row r="365" spans="1:4" ht="13.5" x14ac:dyDescent="0.25">
      <c r="A365" s="200">
        <v>122</v>
      </c>
      <c r="B365" s="189" t="s">
        <v>250</v>
      </c>
      <c r="C365" s="196" t="s">
        <v>117</v>
      </c>
      <c r="D365" s="197">
        <v>364</v>
      </c>
    </row>
    <row r="366" spans="1:4" ht="13.5" x14ac:dyDescent="0.25">
      <c r="A366" s="200">
        <v>122</v>
      </c>
      <c r="B366" s="190" t="str">
        <f t="shared" ref="B366:B367" si="121">$B$365</f>
        <v>Ponto122</v>
      </c>
      <c r="C366" s="196" t="s">
        <v>118</v>
      </c>
      <c r="D366" s="197">
        <v>365</v>
      </c>
    </row>
    <row r="367" spans="1:4" ht="13.5" x14ac:dyDescent="0.25">
      <c r="A367" s="200">
        <v>122</v>
      </c>
      <c r="B367" s="190" t="str">
        <f t="shared" si="121"/>
        <v>Ponto122</v>
      </c>
      <c r="C367" s="196" t="s">
        <v>119</v>
      </c>
      <c r="D367" s="197">
        <v>366</v>
      </c>
    </row>
    <row r="368" spans="1:4" ht="13.5" x14ac:dyDescent="0.25">
      <c r="A368" s="200">
        <v>123</v>
      </c>
      <c r="B368" s="189" t="s">
        <v>251</v>
      </c>
      <c r="C368" s="196" t="s">
        <v>117</v>
      </c>
      <c r="D368" s="197">
        <v>367</v>
      </c>
    </row>
    <row r="369" spans="1:4" ht="13.5" x14ac:dyDescent="0.25">
      <c r="A369" s="200">
        <v>123</v>
      </c>
      <c r="B369" s="190" t="str">
        <f t="shared" ref="B369:B370" si="122">$B$368</f>
        <v>Ponto123</v>
      </c>
      <c r="C369" s="196" t="s">
        <v>118</v>
      </c>
      <c r="D369" s="197">
        <v>368</v>
      </c>
    </row>
    <row r="370" spans="1:4" ht="13.5" x14ac:dyDescent="0.25">
      <c r="A370" s="200">
        <v>123</v>
      </c>
      <c r="B370" s="190" t="str">
        <f t="shared" si="122"/>
        <v>Ponto123</v>
      </c>
      <c r="C370" s="196" t="s">
        <v>119</v>
      </c>
      <c r="D370" s="197">
        <v>369</v>
      </c>
    </row>
    <row r="371" spans="1:4" ht="13.5" x14ac:dyDescent="0.25">
      <c r="A371" s="200">
        <v>124</v>
      </c>
      <c r="B371" s="189" t="s">
        <v>252</v>
      </c>
      <c r="C371" s="196" t="s">
        <v>117</v>
      </c>
      <c r="D371" s="197">
        <v>370</v>
      </c>
    </row>
    <row r="372" spans="1:4" ht="13.5" x14ac:dyDescent="0.25">
      <c r="A372" s="200">
        <v>124</v>
      </c>
      <c r="B372" s="190" t="str">
        <f t="shared" ref="B372:B373" si="123">$B$371</f>
        <v>Ponto124</v>
      </c>
      <c r="C372" s="196" t="s">
        <v>118</v>
      </c>
      <c r="D372" s="197">
        <v>371</v>
      </c>
    </row>
    <row r="373" spans="1:4" ht="13.5" x14ac:dyDescent="0.25">
      <c r="A373" s="200">
        <v>124</v>
      </c>
      <c r="B373" s="190" t="str">
        <f t="shared" si="123"/>
        <v>Ponto124</v>
      </c>
      <c r="C373" s="196" t="s">
        <v>119</v>
      </c>
      <c r="D373" s="197">
        <v>372</v>
      </c>
    </row>
    <row r="374" spans="1:4" ht="13.5" x14ac:dyDescent="0.25">
      <c r="A374" s="200">
        <v>125</v>
      </c>
      <c r="B374" s="189" t="s">
        <v>253</v>
      </c>
      <c r="C374" s="196" t="s">
        <v>117</v>
      </c>
      <c r="D374" s="197">
        <v>373</v>
      </c>
    </row>
    <row r="375" spans="1:4" ht="13.5" x14ac:dyDescent="0.25">
      <c r="A375" s="200">
        <v>125</v>
      </c>
      <c r="B375" s="190" t="str">
        <f t="shared" ref="B375:B376" si="124">$B$374</f>
        <v>Ponto125</v>
      </c>
      <c r="C375" s="196" t="s">
        <v>118</v>
      </c>
      <c r="D375" s="197">
        <v>374</v>
      </c>
    </row>
    <row r="376" spans="1:4" ht="13.5" x14ac:dyDescent="0.25">
      <c r="A376" s="200">
        <v>125</v>
      </c>
      <c r="B376" s="190" t="str">
        <f t="shared" si="124"/>
        <v>Ponto125</v>
      </c>
      <c r="C376" s="196" t="s">
        <v>119</v>
      </c>
      <c r="D376" s="197">
        <v>375</v>
      </c>
    </row>
    <row r="377" spans="1:4" ht="13.5" x14ac:dyDescent="0.25">
      <c r="A377" s="200">
        <v>126</v>
      </c>
      <c r="B377" s="189" t="s">
        <v>254</v>
      </c>
      <c r="C377" s="196" t="s">
        <v>117</v>
      </c>
      <c r="D377" s="197">
        <v>376</v>
      </c>
    </row>
    <row r="378" spans="1:4" ht="13.5" x14ac:dyDescent="0.25">
      <c r="A378" s="200">
        <v>126</v>
      </c>
      <c r="B378" s="190" t="str">
        <f t="shared" ref="B378:B379" si="125">$B$377</f>
        <v>Ponto126</v>
      </c>
      <c r="C378" s="196" t="s">
        <v>118</v>
      </c>
      <c r="D378" s="197">
        <v>377</v>
      </c>
    </row>
    <row r="379" spans="1:4" ht="13.5" x14ac:dyDescent="0.25">
      <c r="A379" s="200">
        <v>126</v>
      </c>
      <c r="B379" s="190" t="str">
        <f t="shared" si="125"/>
        <v>Ponto126</v>
      </c>
      <c r="C379" s="196" t="s">
        <v>119</v>
      </c>
      <c r="D379" s="197">
        <v>378</v>
      </c>
    </row>
    <row r="380" spans="1:4" ht="13.5" x14ac:dyDescent="0.25">
      <c r="A380" s="200">
        <v>127</v>
      </c>
      <c r="B380" s="189" t="s">
        <v>255</v>
      </c>
      <c r="C380" s="196" t="s">
        <v>117</v>
      </c>
      <c r="D380" s="197">
        <v>379</v>
      </c>
    </row>
    <row r="381" spans="1:4" ht="13.5" x14ac:dyDescent="0.25">
      <c r="A381" s="200">
        <v>127</v>
      </c>
      <c r="B381" s="190" t="str">
        <f t="shared" ref="B381:B382" si="126">$B$380</f>
        <v>Ponto127</v>
      </c>
      <c r="C381" s="196" t="s">
        <v>118</v>
      </c>
      <c r="D381" s="197">
        <v>380</v>
      </c>
    </row>
    <row r="382" spans="1:4" ht="13.5" x14ac:dyDescent="0.25">
      <c r="A382" s="200">
        <v>127</v>
      </c>
      <c r="B382" s="190" t="str">
        <f t="shared" si="126"/>
        <v>Ponto127</v>
      </c>
      <c r="C382" s="196" t="s">
        <v>119</v>
      </c>
      <c r="D382" s="197">
        <v>381</v>
      </c>
    </row>
    <row r="383" spans="1:4" ht="13.5" x14ac:dyDescent="0.25">
      <c r="A383" s="200">
        <v>128</v>
      </c>
      <c r="B383" s="189" t="s">
        <v>256</v>
      </c>
      <c r="C383" s="196" t="s">
        <v>117</v>
      </c>
      <c r="D383" s="197">
        <v>382</v>
      </c>
    </row>
    <row r="384" spans="1:4" ht="13.5" x14ac:dyDescent="0.25">
      <c r="A384" s="200">
        <v>128</v>
      </c>
      <c r="B384" s="190" t="str">
        <f t="shared" ref="B384:B385" si="127">$B$383</f>
        <v>Ponto128</v>
      </c>
      <c r="C384" s="196" t="s">
        <v>118</v>
      </c>
      <c r="D384" s="197">
        <v>383</v>
      </c>
    </row>
    <row r="385" spans="1:4" ht="13.5" x14ac:dyDescent="0.25">
      <c r="A385" s="200">
        <v>128</v>
      </c>
      <c r="B385" s="190" t="str">
        <f t="shared" si="127"/>
        <v>Ponto128</v>
      </c>
      <c r="C385" s="196" t="s">
        <v>119</v>
      </c>
      <c r="D385" s="197">
        <v>384</v>
      </c>
    </row>
    <row r="386" spans="1:4" ht="13.5" x14ac:dyDescent="0.25">
      <c r="A386" s="200">
        <v>129</v>
      </c>
      <c r="B386" s="189" t="s">
        <v>257</v>
      </c>
      <c r="C386" s="196" t="s">
        <v>117</v>
      </c>
      <c r="D386" s="197">
        <v>385</v>
      </c>
    </row>
    <row r="387" spans="1:4" ht="13.5" x14ac:dyDescent="0.25">
      <c r="A387" s="200">
        <v>129</v>
      </c>
      <c r="B387" s="190" t="str">
        <f t="shared" ref="B387:B388" si="128">$B$386</f>
        <v>Ponto129</v>
      </c>
      <c r="C387" s="196" t="s">
        <v>118</v>
      </c>
      <c r="D387" s="197">
        <v>386</v>
      </c>
    </row>
    <row r="388" spans="1:4" ht="13.5" x14ac:dyDescent="0.25">
      <c r="A388" s="200">
        <v>129</v>
      </c>
      <c r="B388" s="190" t="str">
        <f t="shared" si="128"/>
        <v>Ponto129</v>
      </c>
      <c r="C388" s="196" t="s">
        <v>119</v>
      </c>
      <c r="D388" s="197">
        <v>387</v>
      </c>
    </row>
    <row r="389" spans="1:4" ht="13.5" x14ac:dyDescent="0.25">
      <c r="A389" s="200">
        <v>130</v>
      </c>
      <c r="B389" s="189" t="s">
        <v>258</v>
      </c>
      <c r="C389" s="196" t="s">
        <v>117</v>
      </c>
      <c r="D389" s="197">
        <v>388</v>
      </c>
    </row>
    <row r="390" spans="1:4" ht="13.5" x14ac:dyDescent="0.25">
      <c r="A390" s="200">
        <v>130</v>
      </c>
      <c r="B390" s="190" t="str">
        <f t="shared" ref="B390:B391" si="129">$B$389</f>
        <v>Ponto130</v>
      </c>
      <c r="C390" s="196" t="s">
        <v>118</v>
      </c>
      <c r="D390" s="197">
        <v>389</v>
      </c>
    </row>
    <row r="391" spans="1:4" ht="13.5" x14ac:dyDescent="0.25">
      <c r="A391" s="200">
        <v>130</v>
      </c>
      <c r="B391" s="190" t="str">
        <f t="shared" si="129"/>
        <v>Ponto130</v>
      </c>
      <c r="C391" s="196" t="s">
        <v>119</v>
      </c>
      <c r="D391" s="197">
        <v>390</v>
      </c>
    </row>
    <row r="392" spans="1:4" ht="13.5" x14ac:dyDescent="0.25">
      <c r="A392" s="200">
        <v>131</v>
      </c>
      <c r="B392" s="189" t="s">
        <v>259</v>
      </c>
      <c r="C392" s="196" t="s">
        <v>117</v>
      </c>
      <c r="D392" s="197">
        <v>391</v>
      </c>
    </row>
    <row r="393" spans="1:4" ht="13.5" x14ac:dyDescent="0.25">
      <c r="A393" s="200">
        <v>131</v>
      </c>
      <c r="B393" s="190" t="str">
        <f t="shared" ref="B393:B394" si="130">$B$392</f>
        <v>Ponto131</v>
      </c>
      <c r="C393" s="196" t="s">
        <v>118</v>
      </c>
      <c r="D393" s="197">
        <v>392</v>
      </c>
    </row>
    <row r="394" spans="1:4" ht="13.5" x14ac:dyDescent="0.25">
      <c r="A394" s="200">
        <v>131</v>
      </c>
      <c r="B394" s="190" t="str">
        <f t="shared" si="130"/>
        <v>Ponto131</v>
      </c>
      <c r="C394" s="196" t="s">
        <v>119</v>
      </c>
      <c r="D394" s="197">
        <v>393</v>
      </c>
    </row>
    <row r="395" spans="1:4" ht="13.5" x14ac:dyDescent="0.25">
      <c r="A395" s="200">
        <v>132</v>
      </c>
      <c r="B395" s="189" t="s">
        <v>260</v>
      </c>
      <c r="C395" s="196" t="s">
        <v>117</v>
      </c>
      <c r="D395" s="197">
        <v>394</v>
      </c>
    </row>
    <row r="396" spans="1:4" ht="13.5" x14ac:dyDescent="0.25">
      <c r="A396" s="200">
        <v>132</v>
      </c>
      <c r="B396" s="190" t="str">
        <f t="shared" ref="B396:B397" si="131">$B$395</f>
        <v>Ponto132</v>
      </c>
      <c r="C396" s="196" t="s">
        <v>118</v>
      </c>
      <c r="D396" s="197">
        <v>395</v>
      </c>
    </row>
    <row r="397" spans="1:4" ht="13.5" x14ac:dyDescent="0.25">
      <c r="A397" s="200">
        <v>132</v>
      </c>
      <c r="B397" s="190" t="str">
        <f t="shared" si="131"/>
        <v>Ponto132</v>
      </c>
      <c r="C397" s="196" t="s">
        <v>119</v>
      </c>
      <c r="D397" s="197">
        <v>396</v>
      </c>
    </row>
    <row r="398" spans="1:4" ht="13.5" x14ac:dyDescent="0.25">
      <c r="A398" s="200">
        <v>133</v>
      </c>
      <c r="B398" s="189" t="s">
        <v>261</v>
      </c>
      <c r="C398" s="196" t="s">
        <v>117</v>
      </c>
      <c r="D398" s="197">
        <v>397</v>
      </c>
    </row>
    <row r="399" spans="1:4" ht="13.5" x14ac:dyDescent="0.25">
      <c r="A399" s="200">
        <v>133</v>
      </c>
      <c r="B399" s="190" t="str">
        <f t="shared" ref="B399:B400" si="132">$B$398</f>
        <v>Ponto133</v>
      </c>
      <c r="C399" s="196" t="s">
        <v>118</v>
      </c>
      <c r="D399" s="197">
        <v>398</v>
      </c>
    </row>
    <row r="400" spans="1:4" ht="13.5" x14ac:dyDescent="0.25">
      <c r="A400" s="200">
        <v>133</v>
      </c>
      <c r="B400" s="190" t="str">
        <f t="shared" si="132"/>
        <v>Ponto133</v>
      </c>
      <c r="C400" s="196" t="s">
        <v>119</v>
      </c>
      <c r="D400" s="197">
        <v>399</v>
      </c>
    </row>
    <row r="401" spans="1:4" ht="13.5" x14ac:dyDescent="0.25">
      <c r="A401" s="200">
        <v>134</v>
      </c>
      <c r="B401" s="189" t="s">
        <v>262</v>
      </c>
      <c r="C401" s="196" t="s">
        <v>117</v>
      </c>
      <c r="D401" s="197">
        <v>400</v>
      </c>
    </row>
    <row r="402" spans="1:4" ht="13.5" x14ac:dyDescent="0.25">
      <c r="A402" s="200">
        <v>134</v>
      </c>
      <c r="B402" s="190" t="str">
        <f t="shared" ref="B402:B403" si="133">$B$401</f>
        <v>Ponto134</v>
      </c>
      <c r="C402" s="196" t="s">
        <v>118</v>
      </c>
      <c r="D402" s="197">
        <v>401</v>
      </c>
    </row>
    <row r="403" spans="1:4" ht="13.5" x14ac:dyDescent="0.25">
      <c r="A403" s="200">
        <v>134</v>
      </c>
      <c r="B403" s="190" t="str">
        <f t="shared" si="133"/>
        <v>Ponto134</v>
      </c>
      <c r="C403" s="196" t="s">
        <v>119</v>
      </c>
      <c r="D403" s="197">
        <v>402</v>
      </c>
    </row>
    <row r="404" spans="1:4" ht="13.5" x14ac:dyDescent="0.25">
      <c r="A404" s="200">
        <v>135</v>
      </c>
      <c r="B404" s="189" t="s">
        <v>263</v>
      </c>
      <c r="C404" s="196" t="s">
        <v>117</v>
      </c>
      <c r="D404" s="197">
        <v>403</v>
      </c>
    </row>
    <row r="405" spans="1:4" ht="13.5" x14ac:dyDescent="0.25">
      <c r="A405" s="200">
        <v>135</v>
      </c>
      <c r="B405" s="190" t="str">
        <f t="shared" ref="B405:B406" si="134">$B$404</f>
        <v>Ponto135</v>
      </c>
      <c r="C405" s="196" t="s">
        <v>118</v>
      </c>
      <c r="D405" s="197">
        <v>404</v>
      </c>
    </row>
    <row r="406" spans="1:4" ht="13.5" x14ac:dyDescent="0.25">
      <c r="A406" s="200">
        <v>135</v>
      </c>
      <c r="B406" s="190" t="str">
        <f t="shared" si="134"/>
        <v>Ponto135</v>
      </c>
      <c r="C406" s="196" t="s">
        <v>119</v>
      </c>
      <c r="D406" s="197">
        <v>405</v>
      </c>
    </row>
    <row r="407" spans="1:4" ht="13.5" x14ac:dyDescent="0.25">
      <c r="A407" s="200">
        <v>136</v>
      </c>
      <c r="B407" s="189" t="s">
        <v>264</v>
      </c>
      <c r="C407" s="196" t="s">
        <v>117</v>
      </c>
      <c r="D407" s="197">
        <v>406</v>
      </c>
    </row>
    <row r="408" spans="1:4" ht="13.5" x14ac:dyDescent="0.25">
      <c r="A408" s="200">
        <v>136</v>
      </c>
      <c r="B408" s="190" t="str">
        <f t="shared" ref="B408:B409" si="135">$B$407</f>
        <v>Ponto136</v>
      </c>
      <c r="C408" s="196" t="s">
        <v>118</v>
      </c>
      <c r="D408" s="197">
        <v>407</v>
      </c>
    </row>
    <row r="409" spans="1:4" ht="13.5" x14ac:dyDescent="0.25">
      <c r="A409" s="200">
        <v>136</v>
      </c>
      <c r="B409" s="190" t="str">
        <f t="shared" si="135"/>
        <v>Ponto136</v>
      </c>
      <c r="C409" s="196" t="s">
        <v>119</v>
      </c>
      <c r="D409" s="197">
        <v>408</v>
      </c>
    </row>
    <row r="410" spans="1:4" ht="13.5" x14ac:dyDescent="0.25">
      <c r="A410" s="200">
        <v>137</v>
      </c>
      <c r="B410" s="189" t="s">
        <v>265</v>
      </c>
      <c r="C410" s="196" t="s">
        <v>117</v>
      </c>
      <c r="D410" s="197">
        <v>409</v>
      </c>
    </row>
    <row r="411" spans="1:4" ht="13.5" x14ac:dyDescent="0.25">
      <c r="A411" s="200">
        <v>137</v>
      </c>
      <c r="B411" s="190" t="str">
        <f t="shared" ref="B411:B412" si="136">$B$410</f>
        <v>Ponto137</v>
      </c>
      <c r="C411" s="196" t="s">
        <v>118</v>
      </c>
      <c r="D411" s="197">
        <v>410</v>
      </c>
    </row>
    <row r="412" spans="1:4" ht="13.5" x14ac:dyDescent="0.25">
      <c r="A412" s="200">
        <v>137</v>
      </c>
      <c r="B412" s="190" t="str">
        <f t="shared" si="136"/>
        <v>Ponto137</v>
      </c>
      <c r="C412" s="196" t="s">
        <v>119</v>
      </c>
      <c r="D412" s="197">
        <v>411</v>
      </c>
    </row>
    <row r="413" spans="1:4" ht="13.5" x14ac:dyDescent="0.25">
      <c r="A413" s="200">
        <v>138</v>
      </c>
      <c r="B413" s="189" t="s">
        <v>266</v>
      </c>
      <c r="C413" s="196" t="s">
        <v>117</v>
      </c>
      <c r="D413" s="197">
        <v>412</v>
      </c>
    </row>
    <row r="414" spans="1:4" ht="13.5" x14ac:dyDescent="0.25">
      <c r="A414" s="200">
        <v>138</v>
      </c>
      <c r="B414" s="190" t="str">
        <f t="shared" ref="B414:B415" si="137">$B$413</f>
        <v>Ponto138</v>
      </c>
      <c r="C414" s="196" t="s">
        <v>118</v>
      </c>
      <c r="D414" s="197">
        <v>413</v>
      </c>
    </row>
    <row r="415" spans="1:4" ht="13.5" x14ac:dyDescent="0.25">
      <c r="A415" s="200">
        <v>138</v>
      </c>
      <c r="B415" s="190" t="str">
        <f t="shared" si="137"/>
        <v>Ponto138</v>
      </c>
      <c r="C415" s="196" t="s">
        <v>119</v>
      </c>
      <c r="D415" s="197">
        <v>414</v>
      </c>
    </row>
    <row r="416" spans="1:4" ht="13.5" x14ac:dyDescent="0.25">
      <c r="A416" s="200">
        <v>139</v>
      </c>
      <c r="B416" s="189" t="s">
        <v>267</v>
      </c>
      <c r="C416" s="196" t="s">
        <v>117</v>
      </c>
      <c r="D416" s="197">
        <v>415</v>
      </c>
    </row>
    <row r="417" spans="1:4" ht="13.5" x14ac:dyDescent="0.25">
      <c r="A417" s="200">
        <v>139</v>
      </c>
      <c r="B417" s="190" t="str">
        <f t="shared" ref="B417:B418" si="138">$B$416</f>
        <v>Ponto139</v>
      </c>
      <c r="C417" s="196" t="s">
        <v>118</v>
      </c>
      <c r="D417" s="197">
        <v>416</v>
      </c>
    </row>
    <row r="418" spans="1:4" ht="13.5" x14ac:dyDescent="0.25">
      <c r="A418" s="200">
        <v>139</v>
      </c>
      <c r="B418" s="190" t="str">
        <f t="shared" si="138"/>
        <v>Ponto139</v>
      </c>
      <c r="C418" s="196" t="s">
        <v>119</v>
      </c>
      <c r="D418" s="197">
        <v>417</v>
      </c>
    </row>
    <row r="419" spans="1:4" ht="13.5" x14ac:dyDescent="0.25">
      <c r="A419" s="200">
        <v>140</v>
      </c>
      <c r="B419" s="189" t="s">
        <v>268</v>
      </c>
      <c r="C419" s="196" t="s">
        <v>117</v>
      </c>
      <c r="D419" s="197">
        <v>418</v>
      </c>
    </row>
    <row r="420" spans="1:4" ht="13.5" x14ac:dyDescent="0.25">
      <c r="A420" s="200">
        <v>140</v>
      </c>
      <c r="B420" s="190" t="str">
        <f t="shared" ref="B420:B421" si="139">$B$419</f>
        <v>Ponto140</v>
      </c>
      <c r="C420" s="196" t="s">
        <v>118</v>
      </c>
      <c r="D420" s="197">
        <v>419</v>
      </c>
    </row>
    <row r="421" spans="1:4" ht="13.5" x14ac:dyDescent="0.25">
      <c r="A421" s="200">
        <v>140</v>
      </c>
      <c r="B421" s="190" t="str">
        <f t="shared" si="139"/>
        <v>Ponto140</v>
      </c>
      <c r="C421" s="196" t="s">
        <v>119</v>
      </c>
      <c r="D421" s="197">
        <v>420</v>
      </c>
    </row>
    <row r="422" spans="1:4" ht="13.5" x14ac:dyDescent="0.25">
      <c r="A422" s="200">
        <v>141</v>
      </c>
      <c r="B422" s="189" t="s">
        <v>269</v>
      </c>
      <c r="C422" s="196" t="s">
        <v>117</v>
      </c>
      <c r="D422" s="197">
        <v>421</v>
      </c>
    </row>
    <row r="423" spans="1:4" ht="13.5" x14ac:dyDescent="0.25">
      <c r="A423" s="200">
        <v>141</v>
      </c>
      <c r="B423" s="190" t="str">
        <f t="shared" ref="B423:B424" si="140">$B$422</f>
        <v>Ponto141</v>
      </c>
      <c r="C423" s="196" t="s">
        <v>118</v>
      </c>
      <c r="D423" s="197">
        <v>422</v>
      </c>
    </row>
    <row r="424" spans="1:4" ht="13.5" x14ac:dyDescent="0.25">
      <c r="A424" s="200">
        <v>141</v>
      </c>
      <c r="B424" s="190" t="str">
        <f t="shared" si="140"/>
        <v>Ponto141</v>
      </c>
      <c r="C424" s="196" t="s">
        <v>119</v>
      </c>
      <c r="D424" s="197">
        <v>423</v>
      </c>
    </row>
    <row r="425" spans="1:4" ht="13.5" x14ac:dyDescent="0.25">
      <c r="A425" s="200">
        <v>142</v>
      </c>
      <c r="B425" s="189" t="s">
        <v>270</v>
      </c>
      <c r="C425" s="196" t="s">
        <v>117</v>
      </c>
      <c r="D425" s="197">
        <v>424</v>
      </c>
    </row>
    <row r="426" spans="1:4" ht="13.5" x14ac:dyDescent="0.25">
      <c r="A426" s="200">
        <v>142</v>
      </c>
      <c r="B426" s="190" t="str">
        <f t="shared" ref="B426:B427" si="141">$B$425</f>
        <v>Ponto142</v>
      </c>
      <c r="C426" s="196" t="s">
        <v>118</v>
      </c>
      <c r="D426" s="197">
        <v>425</v>
      </c>
    </row>
    <row r="427" spans="1:4" ht="13.5" x14ac:dyDescent="0.25">
      <c r="A427" s="200">
        <v>142</v>
      </c>
      <c r="B427" s="190" t="str">
        <f t="shared" si="141"/>
        <v>Ponto142</v>
      </c>
      <c r="C427" s="196" t="s">
        <v>119</v>
      </c>
      <c r="D427" s="197">
        <v>426</v>
      </c>
    </row>
    <row r="428" spans="1:4" ht="13.5" x14ac:dyDescent="0.25">
      <c r="A428" s="200">
        <v>143</v>
      </c>
      <c r="B428" s="189" t="s">
        <v>271</v>
      </c>
      <c r="C428" s="196" t="s">
        <v>117</v>
      </c>
      <c r="D428" s="197">
        <v>427</v>
      </c>
    </row>
    <row r="429" spans="1:4" ht="13.5" x14ac:dyDescent="0.25">
      <c r="A429" s="200">
        <v>143</v>
      </c>
      <c r="B429" s="190" t="str">
        <f t="shared" ref="B429:B430" si="142">$B$428</f>
        <v>Ponto143</v>
      </c>
      <c r="C429" s="196" t="s">
        <v>118</v>
      </c>
      <c r="D429" s="197">
        <v>428</v>
      </c>
    </row>
    <row r="430" spans="1:4" ht="13.5" x14ac:dyDescent="0.25">
      <c r="A430" s="200">
        <v>143</v>
      </c>
      <c r="B430" s="190" t="str">
        <f t="shared" si="142"/>
        <v>Ponto143</v>
      </c>
      <c r="C430" s="196" t="s">
        <v>119</v>
      </c>
      <c r="D430" s="197">
        <v>429</v>
      </c>
    </row>
    <row r="431" spans="1:4" ht="13.5" x14ac:dyDescent="0.25">
      <c r="A431" s="200">
        <v>144</v>
      </c>
      <c r="B431" s="189" t="s">
        <v>272</v>
      </c>
      <c r="C431" s="196" t="s">
        <v>117</v>
      </c>
      <c r="D431" s="197">
        <v>430</v>
      </c>
    </row>
    <row r="432" spans="1:4" ht="13.5" x14ac:dyDescent="0.25">
      <c r="A432" s="200">
        <v>144</v>
      </c>
      <c r="B432" s="190" t="str">
        <f t="shared" ref="B432:B433" si="143">$B$431</f>
        <v>Ponto144</v>
      </c>
      <c r="C432" s="196" t="s">
        <v>118</v>
      </c>
      <c r="D432" s="197">
        <v>431</v>
      </c>
    </row>
    <row r="433" spans="1:4" ht="13.5" x14ac:dyDescent="0.25">
      <c r="A433" s="200">
        <v>144</v>
      </c>
      <c r="B433" s="190" t="str">
        <f t="shared" si="143"/>
        <v>Ponto144</v>
      </c>
      <c r="C433" s="196" t="s">
        <v>119</v>
      </c>
      <c r="D433" s="197">
        <v>432</v>
      </c>
    </row>
    <row r="434" spans="1:4" ht="13.5" x14ac:dyDescent="0.25">
      <c r="A434" s="200">
        <v>145</v>
      </c>
      <c r="B434" s="189" t="s">
        <v>273</v>
      </c>
      <c r="C434" s="196" t="s">
        <v>117</v>
      </c>
      <c r="D434" s="197">
        <v>433</v>
      </c>
    </row>
    <row r="435" spans="1:4" ht="13.5" x14ac:dyDescent="0.25">
      <c r="A435" s="200">
        <v>145</v>
      </c>
      <c r="B435" s="190" t="str">
        <f t="shared" ref="B435:B436" si="144">$B$434</f>
        <v>Ponto145</v>
      </c>
      <c r="C435" s="196" t="s">
        <v>118</v>
      </c>
      <c r="D435" s="197">
        <v>434</v>
      </c>
    </row>
    <row r="436" spans="1:4" ht="13.5" x14ac:dyDescent="0.25">
      <c r="A436" s="200">
        <v>145</v>
      </c>
      <c r="B436" s="190" t="str">
        <f t="shared" si="144"/>
        <v>Ponto145</v>
      </c>
      <c r="C436" s="196" t="s">
        <v>119</v>
      </c>
      <c r="D436" s="197">
        <v>435</v>
      </c>
    </row>
    <row r="437" spans="1:4" ht="13.5" x14ac:dyDescent="0.25">
      <c r="A437" s="200">
        <v>146</v>
      </c>
      <c r="B437" s="189" t="s">
        <v>274</v>
      </c>
      <c r="C437" s="196" t="s">
        <v>117</v>
      </c>
      <c r="D437" s="197">
        <v>436</v>
      </c>
    </row>
    <row r="438" spans="1:4" ht="13.5" x14ac:dyDescent="0.25">
      <c r="A438" s="200">
        <v>146</v>
      </c>
      <c r="B438" s="190" t="str">
        <f t="shared" ref="B438:B439" si="145">$B$437</f>
        <v>Ponto146</v>
      </c>
      <c r="C438" s="196" t="s">
        <v>118</v>
      </c>
      <c r="D438" s="197">
        <v>437</v>
      </c>
    </row>
    <row r="439" spans="1:4" ht="13.5" x14ac:dyDescent="0.25">
      <c r="A439" s="200">
        <v>146</v>
      </c>
      <c r="B439" s="190" t="str">
        <f t="shared" si="145"/>
        <v>Ponto146</v>
      </c>
      <c r="C439" s="196" t="s">
        <v>119</v>
      </c>
      <c r="D439" s="197">
        <v>438</v>
      </c>
    </row>
    <row r="440" spans="1:4" ht="13.5" x14ac:dyDescent="0.25">
      <c r="A440" s="200">
        <v>147</v>
      </c>
      <c r="B440" s="189" t="s">
        <v>275</v>
      </c>
      <c r="C440" s="196" t="s">
        <v>117</v>
      </c>
      <c r="D440" s="197">
        <v>439</v>
      </c>
    </row>
    <row r="441" spans="1:4" ht="13.5" x14ac:dyDescent="0.25">
      <c r="A441" s="200">
        <v>147</v>
      </c>
      <c r="B441" s="190" t="str">
        <f t="shared" ref="B441:B442" si="146">$B$440</f>
        <v>Ponto147</v>
      </c>
      <c r="C441" s="196" t="s">
        <v>118</v>
      </c>
      <c r="D441" s="197">
        <v>440</v>
      </c>
    </row>
    <row r="442" spans="1:4" ht="13.5" x14ac:dyDescent="0.25">
      <c r="A442" s="200">
        <v>147</v>
      </c>
      <c r="B442" s="190" t="str">
        <f t="shared" si="146"/>
        <v>Ponto147</v>
      </c>
      <c r="C442" s="196" t="s">
        <v>119</v>
      </c>
      <c r="D442" s="197">
        <v>441</v>
      </c>
    </row>
    <row r="443" spans="1:4" ht="13.5" x14ac:dyDescent="0.25">
      <c r="A443" s="200">
        <v>148</v>
      </c>
      <c r="B443" s="189" t="s">
        <v>276</v>
      </c>
      <c r="C443" s="196" t="s">
        <v>117</v>
      </c>
      <c r="D443" s="197">
        <v>442</v>
      </c>
    </row>
    <row r="444" spans="1:4" ht="13.5" x14ac:dyDescent="0.25">
      <c r="A444" s="200">
        <v>148</v>
      </c>
      <c r="B444" s="190" t="str">
        <f t="shared" ref="B444:B445" si="147">$B$443</f>
        <v>Ponto148</v>
      </c>
      <c r="C444" s="196" t="s">
        <v>118</v>
      </c>
      <c r="D444" s="197">
        <v>443</v>
      </c>
    </row>
    <row r="445" spans="1:4" ht="13.5" x14ac:dyDescent="0.25">
      <c r="A445" s="200">
        <v>148</v>
      </c>
      <c r="B445" s="190" t="str">
        <f t="shared" si="147"/>
        <v>Ponto148</v>
      </c>
      <c r="C445" s="196" t="s">
        <v>119</v>
      </c>
      <c r="D445" s="197">
        <v>444</v>
      </c>
    </row>
    <row r="446" spans="1:4" ht="13.5" x14ac:dyDescent="0.25">
      <c r="A446" s="200">
        <v>149</v>
      </c>
      <c r="B446" s="189" t="s">
        <v>277</v>
      </c>
      <c r="C446" s="196" t="s">
        <v>117</v>
      </c>
      <c r="D446" s="197">
        <v>445</v>
      </c>
    </row>
    <row r="447" spans="1:4" ht="13.5" x14ac:dyDescent="0.25">
      <c r="A447" s="200">
        <v>149</v>
      </c>
      <c r="B447" s="190" t="str">
        <f t="shared" ref="B447:B448" si="148">$B$446</f>
        <v>Ponto149</v>
      </c>
      <c r="C447" s="196" t="s">
        <v>118</v>
      </c>
      <c r="D447" s="197">
        <v>446</v>
      </c>
    </row>
    <row r="448" spans="1:4" ht="13.5" x14ac:dyDescent="0.25">
      <c r="A448" s="200">
        <v>149</v>
      </c>
      <c r="B448" s="190" t="str">
        <f t="shared" si="148"/>
        <v>Ponto149</v>
      </c>
      <c r="C448" s="196" t="s">
        <v>119</v>
      </c>
      <c r="D448" s="197">
        <v>447</v>
      </c>
    </row>
    <row r="449" spans="1:4" ht="13.5" x14ac:dyDescent="0.25">
      <c r="A449" s="200">
        <v>150</v>
      </c>
      <c r="B449" s="189" t="s">
        <v>278</v>
      </c>
      <c r="C449" s="196" t="s">
        <v>117</v>
      </c>
      <c r="D449" s="197">
        <v>448</v>
      </c>
    </row>
    <row r="450" spans="1:4" ht="13.5" x14ac:dyDescent="0.25">
      <c r="A450" s="200">
        <v>150</v>
      </c>
      <c r="B450" s="190" t="str">
        <f t="shared" ref="B450:B451" si="149">$B$449</f>
        <v>Ponto150</v>
      </c>
      <c r="C450" s="196" t="s">
        <v>118</v>
      </c>
      <c r="D450" s="197">
        <v>449</v>
      </c>
    </row>
    <row r="451" spans="1:4" ht="13.5" x14ac:dyDescent="0.25">
      <c r="A451" s="200">
        <v>150</v>
      </c>
      <c r="B451" s="190" t="str">
        <f t="shared" si="149"/>
        <v>Ponto150</v>
      </c>
      <c r="C451" s="196" t="s">
        <v>119</v>
      </c>
      <c r="D451" s="197">
        <v>450</v>
      </c>
    </row>
    <row r="452" spans="1:4" ht="13.5" x14ac:dyDescent="0.25">
      <c r="A452" s="200">
        <v>151</v>
      </c>
      <c r="B452" s="189" t="s">
        <v>279</v>
      </c>
      <c r="C452" s="196" t="s">
        <v>117</v>
      </c>
      <c r="D452" s="197">
        <v>451</v>
      </c>
    </row>
    <row r="453" spans="1:4" ht="13.5" x14ac:dyDescent="0.25">
      <c r="A453" s="200">
        <v>151</v>
      </c>
      <c r="B453" s="190" t="str">
        <f t="shared" ref="B453:B454" si="150">$B$452</f>
        <v>Ponto151</v>
      </c>
      <c r="C453" s="196" t="s">
        <v>118</v>
      </c>
      <c r="D453" s="197">
        <v>452</v>
      </c>
    </row>
    <row r="454" spans="1:4" ht="13.5" x14ac:dyDescent="0.25">
      <c r="A454" s="200">
        <v>151</v>
      </c>
      <c r="B454" s="190" t="str">
        <f t="shared" si="150"/>
        <v>Ponto151</v>
      </c>
      <c r="C454" s="196" t="s">
        <v>119</v>
      </c>
      <c r="D454" s="197">
        <v>453</v>
      </c>
    </row>
    <row r="455" spans="1:4" ht="13.5" x14ac:dyDescent="0.25">
      <c r="A455" s="200">
        <v>152</v>
      </c>
      <c r="B455" s="189" t="s">
        <v>280</v>
      </c>
      <c r="C455" s="196" t="s">
        <v>117</v>
      </c>
      <c r="D455" s="197">
        <v>454</v>
      </c>
    </row>
    <row r="456" spans="1:4" ht="13.5" x14ac:dyDescent="0.25">
      <c r="A456" s="200">
        <v>152</v>
      </c>
      <c r="B456" s="190" t="str">
        <f t="shared" ref="B456:B457" si="151">$B$455</f>
        <v>Ponto152</v>
      </c>
      <c r="C456" s="196" t="s">
        <v>118</v>
      </c>
      <c r="D456" s="197">
        <v>455</v>
      </c>
    </row>
    <row r="457" spans="1:4" ht="13.5" x14ac:dyDescent="0.25">
      <c r="A457" s="200">
        <v>152</v>
      </c>
      <c r="B457" s="190" t="str">
        <f t="shared" si="151"/>
        <v>Ponto152</v>
      </c>
      <c r="C457" s="196" t="s">
        <v>119</v>
      </c>
      <c r="D457" s="197">
        <v>456</v>
      </c>
    </row>
    <row r="458" spans="1:4" ht="13.5" x14ac:dyDescent="0.25">
      <c r="A458" s="200">
        <v>153</v>
      </c>
      <c r="B458" s="189" t="s">
        <v>281</v>
      </c>
      <c r="C458" s="196" t="s">
        <v>117</v>
      </c>
      <c r="D458" s="197">
        <v>457</v>
      </c>
    </row>
    <row r="459" spans="1:4" ht="13.5" x14ac:dyDescent="0.25">
      <c r="A459" s="200">
        <v>153</v>
      </c>
      <c r="B459" s="190" t="str">
        <f t="shared" ref="B459:B460" si="152">$B$458</f>
        <v>Ponto153</v>
      </c>
      <c r="C459" s="196" t="s">
        <v>118</v>
      </c>
      <c r="D459" s="197">
        <v>458</v>
      </c>
    </row>
    <row r="460" spans="1:4" ht="13.5" x14ac:dyDescent="0.25">
      <c r="A460" s="200">
        <v>153</v>
      </c>
      <c r="B460" s="190" t="str">
        <f t="shared" si="152"/>
        <v>Ponto153</v>
      </c>
      <c r="C460" s="196" t="s">
        <v>119</v>
      </c>
      <c r="D460" s="197">
        <v>459</v>
      </c>
    </row>
    <row r="461" spans="1:4" ht="13.5" x14ac:dyDescent="0.25">
      <c r="A461" s="200">
        <v>154</v>
      </c>
      <c r="B461" s="189" t="s">
        <v>282</v>
      </c>
      <c r="C461" s="196" t="s">
        <v>117</v>
      </c>
      <c r="D461" s="197">
        <v>460</v>
      </c>
    </row>
    <row r="462" spans="1:4" ht="13.5" x14ac:dyDescent="0.25">
      <c r="A462" s="200">
        <v>154</v>
      </c>
      <c r="B462" s="190" t="str">
        <f t="shared" ref="B462:B463" si="153">$B$461</f>
        <v>Ponto154</v>
      </c>
      <c r="C462" s="196" t="s">
        <v>118</v>
      </c>
      <c r="D462" s="197">
        <v>461</v>
      </c>
    </row>
    <row r="463" spans="1:4" ht="13.5" x14ac:dyDescent="0.25">
      <c r="A463" s="200">
        <v>154</v>
      </c>
      <c r="B463" s="190" t="str">
        <f t="shared" si="153"/>
        <v>Ponto154</v>
      </c>
      <c r="C463" s="196" t="s">
        <v>119</v>
      </c>
      <c r="D463" s="197">
        <v>462</v>
      </c>
    </row>
    <row r="464" spans="1:4" ht="13.5" x14ac:dyDescent="0.25">
      <c r="A464" s="200">
        <v>155</v>
      </c>
      <c r="B464" s="189" t="s">
        <v>283</v>
      </c>
      <c r="C464" s="196" t="s">
        <v>117</v>
      </c>
      <c r="D464" s="197">
        <v>463</v>
      </c>
    </row>
    <row r="465" spans="1:4" ht="13.5" x14ac:dyDescent="0.25">
      <c r="A465" s="200">
        <v>155</v>
      </c>
      <c r="B465" s="190" t="str">
        <f t="shared" ref="B465:B466" si="154">$B$464</f>
        <v>Ponto155</v>
      </c>
      <c r="C465" s="196" t="s">
        <v>118</v>
      </c>
      <c r="D465" s="197">
        <v>464</v>
      </c>
    </row>
    <row r="466" spans="1:4" ht="13.5" x14ac:dyDescent="0.25">
      <c r="A466" s="200">
        <v>155</v>
      </c>
      <c r="B466" s="190" t="str">
        <f t="shared" si="154"/>
        <v>Ponto155</v>
      </c>
      <c r="C466" s="196" t="s">
        <v>119</v>
      </c>
      <c r="D466" s="197">
        <v>465</v>
      </c>
    </row>
    <row r="467" spans="1:4" ht="13.5" x14ac:dyDescent="0.25">
      <c r="A467" s="200">
        <v>156</v>
      </c>
      <c r="B467" s="189" t="s">
        <v>284</v>
      </c>
      <c r="C467" s="196" t="s">
        <v>117</v>
      </c>
      <c r="D467" s="197">
        <v>466</v>
      </c>
    </row>
    <row r="468" spans="1:4" ht="13.5" x14ac:dyDescent="0.25">
      <c r="A468" s="200">
        <v>156</v>
      </c>
      <c r="B468" s="190" t="str">
        <f t="shared" ref="B468:B469" si="155">$B$467</f>
        <v>Ponto156</v>
      </c>
      <c r="C468" s="196" t="s">
        <v>118</v>
      </c>
      <c r="D468" s="197">
        <v>467</v>
      </c>
    </row>
    <row r="469" spans="1:4" ht="13.5" x14ac:dyDescent="0.25">
      <c r="A469" s="200">
        <v>156</v>
      </c>
      <c r="B469" s="190" t="str">
        <f t="shared" si="155"/>
        <v>Ponto156</v>
      </c>
      <c r="C469" s="196" t="s">
        <v>119</v>
      </c>
      <c r="D469" s="197">
        <v>468</v>
      </c>
    </row>
    <row r="470" spans="1:4" ht="13.5" x14ac:dyDescent="0.25">
      <c r="A470" s="200">
        <v>157</v>
      </c>
      <c r="B470" s="189" t="s">
        <v>285</v>
      </c>
      <c r="C470" s="196" t="s">
        <v>117</v>
      </c>
      <c r="D470" s="197">
        <v>469</v>
      </c>
    </row>
    <row r="471" spans="1:4" ht="13.5" x14ac:dyDescent="0.25">
      <c r="A471" s="200">
        <v>157</v>
      </c>
      <c r="B471" s="190" t="str">
        <f t="shared" ref="B471:B472" si="156">$B$470</f>
        <v>Ponto157</v>
      </c>
      <c r="C471" s="196" t="s">
        <v>118</v>
      </c>
      <c r="D471" s="197">
        <v>470</v>
      </c>
    </row>
    <row r="472" spans="1:4" ht="13.5" x14ac:dyDescent="0.25">
      <c r="A472" s="200">
        <v>157</v>
      </c>
      <c r="B472" s="190" t="str">
        <f t="shared" si="156"/>
        <v>Ponto157</v>
      </c>
      <c r="C472" s="196" t="s">
        <v>119</v>
      </c>
      <c r="D472" s="197">
        <v>471</v>
      </c>
    </row>
    <row r="473" spans="1:4" ht="13.5" x14ac:dyDescent="0.25">
      <c r="A473" s="200">
        <v>158</v>
      </c>
      <c r="B473" s="189" t="s">
        <v>286</v>
      </c>
      <c r="C473" s="196" t="s">
        <v>117</v>
      </c>
      <c r="D473" s="197">
        <v>472</v>
      </c>
    </row>
    <row r="474" spans="1:4" ht="13.5" x14ac:dyDescent="0.25">
      <c r="A474" s="200">
        <v>158</v>
      </c>
      <c r="B474" s="190" t="str">
        <f t="shared" ref="B474:B475" si="157">$B$473</f>
        <v>Ponto158</v>
      </c>
      <c r="C474" s="196" t="s">
        <v>118</v>
      </c>
      <c r="D474" s="197">
        <v>473</v>
      </c>
    </row>
    <row r="475" spans="1:4" ht="13.5" x14ac:dyDescent="0.25">
      <c r="A475" s="200">
        <v>158</v>
      </c>
      <c r="B475" s="190" t="str">
        <f t="shared" si="157"/>
        <v>Ponto158</v>
      </c>
      <c r="C475" s="196" t="s">
        <v>119</v>
      </c>
      <c r="D475" s="197">
        <v>474</v>
      </c>
    </row>
    <row r="476" spans="1:4" ht="13.5" x14ac:dyDescent="0.25">
      <c r="A476" s="200">
        <v>159</v>
      </c>
      <c r="B476" s="189" t="s">
        <v>287</v>
      </c>
      <c r="C476" s="196" t="s">
        <v>117</v>
      </c>
      <c r="D476" s="197">
        <v>475</v>
      </c>
    </row>
    <row r="477" spans="1:4" ht="13.5" x14ac:dyDescent="0.25">
      <c r="A477" s="200">
        <v>159</v>
      </c>
      <c r="B477" s="190" t="str">
        <f t="shared" ref="B477:B478" si="158">$B$476</f>
        <v>Ponto159</v>
      </c>
      <c r="C477" s="196" t="s">
        <v>118</v>
      </c>
      <c r="D477" s="197">
        <v>476</v>
      </c>
    </row>
    <row r="478" spans="1:4" ht="13.5" x14ac:dyDescent="0.25">
      <c r="A478" s="200">
        <v>159</v>
      </c>
      <c r="B478" s="190" t="str">
        <f t="shared" si="158"/>
        <v>Ponto159</v>
      </c>
      <c r="C478" s="196" t="s">
        <v>119</v>
      </c>
      <c r="D478" s="197">
        <v>477</v>
      </c>
    </row>
    <row r="479" spans="1:4" ht="13.5" x14ac:dyDescent="0.25">
      <c r="A479" s="200">
        <v>160</v>
      </c>
      <c r="B479" s="189" t="s">
        <v>288</v>
      </c>
      <c r="C479" s="196" t="s">
        <v>117</v>
      </c>
      <c r="D479" s="197">
        <v>478</v>
      </c>
    </row>
    <row r="480" spans="1:4" ht="13.5" x14ac:dyDescent="0.25">
      <c r="A480" s="200">
        <v>160</v>
      </c>
      <c r="B480" s="190" t="str">
        <f t="shared" ref="B480:B481" si="159">$B$479</f>
        <v>Ponto160</v>
      </c>
      <c r="C480" s="196" t="s">
        <v>118</v>
      </c>
      <c r="D480" s="197">
        <v>479</v>
      </c>
    </row>
    <row r="481" spans="1:4" ht="13.5" x14ac:dyDescent="0.25">
      <c r="A481" s="200">
        <v>160</v>
      </c>
      <c r="B481" s="190" t="str">
        <f t="shared" si="159"/>
        <v>Ponto160</v>
      </c>
      <c r="C481" s="196" t="s">
        <v>119</v>
      </c>
      <c r="D481" s="197">
        <v>480</v>
      </c>
    </row>
    <row r="482" spans="1:4" ht="13.5" x14ac:dyDescent="0.25">
      <c r="A482" s="200">
        <v>161</v>
      </c>
      <c r="B482" s="189" t="s">
        <v>289</v>
      </c>
      <c r="C482" s="196" t="s">
        <v>117</v>
      </c>
      <c r="D482" s="197">
        <v>481</v>
      </c>
    </row>
    <row r="483" spans="1:4" ht="13.5" x14ac:dyDescent="0.25">
      <c r="A483" s="200">
        <v>161</v>
      </c>
      <c r="B483" s="190" t="str">
        <f t="shared" ref="B483:B484" si="160">$B$482</f>
        <v>Ponto161</v>
      </c>
      <c r="C483" s="196" t="s">
        <v>118</v>
      </c>
      <c r="D483" s="197">
        <v>482</v>
      </c>
    </row>
    <row r="484" spans="1:4" ht="13.5" x14ac:dyDescent="0.25">
      <c r="A484" s="200">
        <v>161</v>
      </c>
      <c r="B484" s="190" t="str">
        <f t="shared" si="160"/>
        <v>Ponto161</v>
      </c>
      <c r="C484" s="196" t="s">
        <v>119</v>
      </c>
      <c r="D484" s="197">
        <v>483</v>
      </c>
    </row>
    <row r="485" spans="1:4" ht="13.5" x14ac:dyDescent="0.25">
      <c r="A485" s="200">
        <v>162</v>
      </c>
      <c r="B485" s="189" t="s">
        <v>290</v>
      </c>
      <c r="C485" s="196" t="s">
        <v>117</v>
      </c>
      <c r="D485" s="197">
        <v>484</v>
      </c>
    </row>
    <row r="486" spans="1:4" ht="13.5" x14ac:dyDescent="0.25">
      <c r="A486" s="200">
        <v>162</v>
      </c>
      <c r="B486" s="190" t="str">
        <f t="shared" ref="B486:B487" si="161">$B$485</f>
        <v>Ponto162</v>
      </c>
      <c r="C486" s="196" t="s">
        <v>118</v>
      </c>
      <c r="D486" s="197">
        <v>485</v>
      </c>
    </row>
    <row r="487" spans="1:4" ht="13.5" x14ac:dyDescent="0.25">
      <c r="A487" s="200">
        <v>162</v>
      </c>
      <c r="B487" s="190" t="str">
        <f t="shared" si="161"/>
        <v>Ponto162</v>
      </c>
      <c r="C487" s="196" t="s">
        <v>119</v>
      </c>
      <c r="D487" s="197">
        <v>486</v>
      </c>
    </row>
    <row r="488" spans="1:4" ht="13.5" x14ac:dyDescent="0.25">
      <c r="A488" s="200">
        <v>163</v>
      </c>
      <c r="B488" s="189" t="s">
        <v>291</v>
      </c>
      <c r="C488" s="196" t="s">
        <v>117</v>
      </c>
      <c r="D488" s="197">
        <v>487</v>
      </c>
    </row>
    <row r="489" spans="1:4" ht="13.5" x14ac:dyDescent="0.25">
      <c r="A489" s="200">
        <v>163</v>
      </c>
      <c r="B489" s="190" t="str">
        <f t="shared" ref="B489:B490" si="162">$B$488</f>
        <v>Ponto163</v>
      </c>
      <c r="C489" s="196" t="s">
        <v>118</v>
      </c>
      <c r="D489" s="197">
        <v>488</v>
      </c>
    </row>
    <row r="490" spans="1:4" ht="13.5" x14ac:dyDescent="0.25">
      <c r="A490" s="200">
        <v>163</v>
      </c>
      <c r="B490" s="190" t="str">
        <f t="shared" si="162"/>
        <v>Ponto163</v>
      </c>
      <c r="C490" s="196" t="s">
        <v>119</v>
      </c>
      <c r="D490" s="197">
        <v>489</v>
      </c>
    </row>
    <row r="491" spans="1:4" ht="13.5" x14ac:dyDescent="0.25">
      <c r="A491" s="200">
        <v>164</v>
      </c>
      <c r="B491" s="189" t="s">
        <v>292</v>
      </c>
      <c r="C491" s="196" t="s">
        <v>117</v>
      </c>
      <c r="D491" s="197">
        <v>490</v>
      </c>
    </row>
    <row r="492" spans="1:4" ht="13.5" x14ac:dyDescent="0.25">
      <c r="A492" s="200">
        <v>164</v>
      </c>
      <c r="B492" s="190" t="str">
        <f t="shared" ref="B492:B493" si="163">$B$491</f>
        <v>Ponto164</v>
      </c>
      <c r="C492" s="196" t="s">
        <v>118</v>
      </c>
      <c r="D492" s="197">
        <v>491</v>
      </c>
    </row>
    <row r="493" spans="1:4" ht="13.5" x14ac:dyDescent="0.25">
      <c r="A493" s="200">
        <v>164</v>
      </c>
      <c r="B493" s="190" t="str">
        <f t="shared" si="163"/>
        <v>Ponto164</v>
      </c>
      <c r="C493" s="196" t="s">
        <v>119</v>
      </c>
      <c r="D493" s="197">
        <v>492</v>
      </c>
    </row>
    <row r="494" spans="1:4" ht="13.5" x14ac:dyDescent="0.25">
      <c r="A494" s="200">
        <v>165</v>
      </c>
      <c r="B494" s="189" t="s">
        <v>293</v>
      </c>
      <c r="C494" s="196" t="s">
        <v>117</v>
      </c>
      <c r="D494" s="197">
        <v>493</v>
      </c>
    </row>
    <row r="495" spans="1:4" ht="13.5" x14ac:dyDescent="0.25">
      <c r="A495" s="200">
        <v>165</v>
      </c>
      <c r="B495" s="190" t="str">
        <f t="shared" ref="B495:B496" si="164">$B$494</f>
        <v>Ponto165</v>
      </c>
      <c r="C495" s="196" t="s">
        <v>118</v>
      </c>
      <c r="D495" s="197">
        <v>494</v>
      </c>
    </row>
    <row r="496" spans="1:4" ht="13.5" x14ac:dyDescent="0.25">
      <c r="A496" s="200">
        <v>165</v>
      </c>
      <c r="B496" s="190" t="str">
        <f t="shared" si="164"/>
        <v>Ponto165</v>
      </c>
      <c r="C496" s="196" t="s">
        <v>119</v>
      </c>
      <c r="D496" s="197">
        <v>495</v>
      </c>
    </row>
    <row r="497" spans="1:4" ht="13.5" x14ac:dyDescent="0.25">
      <c r="A497" s="200">
        <v>166</v>
      </c>
      <c r="B497" s="189" t="s">
        <v>294</v>
      </c>
      <c r="C497" s="196" t="s">
        <v>117</v>
      </c>
      <c r="D497" s="197">
        <v>496</v>
      </c>
    </row>
    <row r="498" spans="1:4" ht="13.5" x14ac:dyDescent="0.25">
      <c r="A498" s="200">
        <v>166</v>
      </c>
      <c r="B498" s="190" t="str">
        <f t="shared" ref="B498:B499" si="165">$B$497</f>
        <v>Ponto166</v>
      </c>
      <c r="C498" s="196" t="s">
        <v>118</v>
      </c>
      <c r="D498" s="197">
        <v>497</v>
      </c>
    </row>
    <row r="499" spans="1:4" ht="13.5" x14ac:dyDescent="0.25">
      <c r="A499" s="200">
        <v>166</v>
      </c>
      <c r="B499" s="190" t="str">
        <f t="shared" si="165"/>
        <v>Ponto166</v>
      </c>
      <c r="C499" s="196" t="s">
        <v>119</v>
      </c>
      <c r="D499" s="197">
        <v>498</v>
      </c>
    </row>
    <row r="500" spans="1:4" ht="13.5" x14ac:dyDescent="0.25">
      <c r="A500" s="200">
        <v>167</v>
      </c>
      <c r="B500" s="189" t="s">
        <v>295</v>
      </c>
      <c r="C500" s="196" t="s">
        <v>117</v>
      </c>
      <c r="D500" s="197">
        <v>499</v>
      </c>
    </row>
    <row r="501" spans="1:4" ht="13.5" x14ac:dyDescent="0.25">
      <c r="A501" s="200">
        <v>167</v>
      </c>
      <c r="B501" s="190" t="str">
        <f t="shared" ref="B501:B502" si="166">$B$500</f>
        <v>Ponto167</v>
      </c>
      <c r="C501" s="196" t="s">
        <v>118</v>
      </c>
      <c r="D501" s="197">
        <v>500</v>
      </c>
    </row>
    <row r="502" spans="1:4" ht="13.5" x14ac:dyDescent="0.25">
      <c r="A502" s="200">
        <v>167</v>
      </c>
      <c r="B502" s="190" t="str">
        <f t="shared" si="166"/>
        <v>Ponto167</v>
      </c>
      <c r="C502" s="196" t="s">
        <v>119</v>
      </c>
      <c r="D502" s="197">
        <v>501</v>
      </c>
    </row>
    <row r="503" spans="1:4" ht="13.5" x14ac:dyDescent="0.25">
      <c r="A503" s="200">
        <v>168</v>
      </c>
      <c r="B503" s="189" t="s">
        <v>296</v>
      </c>
      <c r="C503" s="196" t="s">
        <v>117</v>
      </c>
      <c r="D503" s="197">
        <v>502</v>
      </c>
    </row>
    <row r="504" spans="1:4" ht="13.5" x14ac:dyDescent="0.25">
      <c r="A504" s="200">
        <v>168</v>
      </c>
      <c r="B504" s="190" t="str">
        <f t="shared" ref="B504:B505" si="167">$B$503</f>
        <v>Ponto168</v>
      </c>
      <c r="C504" s="196" t="s">
        <v>118</v>
      </c>
      <c r="D504" s="197">
        <v>503</v>
      </c>
    </row>
    <row r="505" spans="1:4" ht="13.5" x14ac:dyDescent="0.25">
      <c r="A505" s="200">
        <v>168</v>
      </c>
      <c r="B505" s="190" t="str">
        <f t="shared" si="167"/>
        <v>Ponto168</v>
      </c>
      <c r="C505" s="196" t="s">
        <v>119</v>
      </c>
      <c r="D505" s="197">
        <v>504</v>
      </c>
    </row>
    <row r="506" spans="1:4" ht="13.5" x14ac:dyDescent="0.25">
      <c r="A506" s="200">
        <v>169</v>
      </c>
      <c r="B506" s="189" t="s">
        <v>297</v>
      </c>
      <c r="C506" s="196" t="s">
        <v>117</v>
      </c>
      <c r="D506" s="197">
        <v>505</v>
      </c>
    </row>
    <row r="507" spans="1:4" ht="13.5" x14ac:dyDescent="0.25">
      <c r="A507" s="200">
        <v>169</v>
      </c>
      <c r="B507" s="190" t="str">
        <f t="shared" ref="B507:B508" si="168">$B$506</f>
        <v>Ponto169</v>
      </c>
      <c r="C507" s="196" t="s">
        <v>118</v>
      </c>
      <c r="D507" s="197">
        <v>506</v>
      </c>
    </row>
    <row r="508" spans="1:4" ht="13.5" x14ac:dyDescent="0.25">
      <c r="A508" s="200">
        <v>169</v>
      </c>
      <c r="B508" s="190" t="str">
        <f t="shared" si="168"/>
        <v>Ponto169</v>
      </c>
      <c r="C508" s="196" t="s">
        <v>119</v>
      </c>
      <c r="D508" s="197">
        <v>507</v>
      </c>
    </row>
    <row r="509" spans="1:4" ht="13.5" x14ac:dyDescent="0.25">
      <c r="A509" s="200">
        <v>170</v>
      </c>
      <c r="B509" s="189" t="s">
        <v>298</v>
      </c>
      <c r="C509" s="196" t="s">
        <v>117</v>
      </c>
      <c r="D509" s="197">
        <v>508</v>
      </c>
    </row>
    <row r="510" spans="1:4" ht="13.5" x14ac:dyDescent="0.25">
      <c r="A510" s="200">
        <v>170</v>
      </c>
      <c r="B510" s="190" t="str">
        <f t="shared" ref="B510:B511" si="169">$B$509</f>
        <v>Ponto170</v>
      </c>
      <c r="C510" s="196" t="s">
        <v>118</v>
      </c>
      <c r="D510" s="197">
        <v>509</v>
      </c>
    </row>
    <row r="511" spans="1:4" ht="13.5" x14ac:dyDescent="0.25">
      <c r="A511" s="200">
        <v>170</v>
      </c>
      <c r="B511" s="190" t="str">
        <f t="shared" si="169"/>
        <v>Ponto170</v>
      </c>
      <c r="C511" s="196" t="s">
        <v>119</v>
      </c>
      <c r="D511" s="197">
        <v>510</v>
      </c>
    </row>
    <row r="512" spans="1:4" ht="13.5" x14ac:dyDescent="0.25">
      <c r="A512" s="200">
        <v>171</v>
      </c>
      <c r="B512" s="189" t="s">
        <v>299</v>
      </c>
      <c r="C512" s="196" t="s">
        <v>117</v>
      </c>
      <c r="D512" s="197">
        <v>511</v>
      </c>
    </row>
    <row r="513" spans="1:4" ht="13.5" x14ac:dyDescent="0.25">
      <c r="A513" s="200">
        <v>171</v>
      </c>
      <c r="B513" s="190" t="str">
        <f t="shared" ref="B513:B514" si="170">$B$512</f>
        <v>Ponto171</v>
      </c>
      <c r="C513" s="196" t="s">
        <v>118</v>
      </c>
      <c r="D513" s="197">
        <v>512</v>
      </c>
    </row>
    <row r="514" spans="1:4" ht="13.5" x14ac:dyDescent="0.25">
      <c r="A514" s="200">
        <v>171</v>
      </c>
      <c r="B514" s="190" t="str">
        <f t="shared" si="170"/>
        <v>Ponto171</v>
      </c>
      <c r="C514" s="196" t="s">
        <v>119</v>
      </c>
      <c r="D514" s="197">
        <v>513</v>
      </c>
    </row>
    <row r="515" spans="1:4" ht="13.5" x14ac:dyDescent="0.25">
      <c r="A515" s="200">
        <v>172</v>
      </c>
      <c r="B515" s="189" t="s">
        <v>300</v>
      </c>
      <c r="C515" s="196" t="s">
        <v>117</v>
      </c>
      <c r="D515" s="197">
        <v>514</v>
      </c>
    </row>
    <row r="516" spans="1:4" ht="13.5" x14ac:dyDescent="0.25">
      <c r="A516" s="200">
        <v>172</v>
      </c>
      <c r="B516" s="190" t="str">
        <f t="shared" ref="B516:B517" si="171">$B$515</f>
        <v>Ponto172</v>
      </c>
      <c r="C516" s="196" t="s">
        <v>118</v>
      </c>
      <c r="D516" s="197">
        <v>515</v>
      </c>
    </row>
    <row r="517" spans="1:4" ht="13.5" x14ac:dyDescent="0.25">
      <c r="A517" s="200">
        <v>172</v>
      </c>
      <c r="B517" s="190" t="str">
        <f t="shared" si="171"/>
        <v>Ponto172</v>
      </c>
      <c r="C517" s="196" t="s">
        <v>119</v>
      </c>
      <c r="D517" s="197">
        <v>516</v>
      </c>
    </row>
    <row r="518" spans="1:4" ht="13.5" x14ac:dyDescent="0.25">
      <c r="A518" s="200">
        <v>173</v>
      </c>
      <c r="B518" s="189" t="s">
        <v>301</v>
      </c>
      <c r="C518" s="196" t="s">
        <v>117</v>
      </c>
      <c r="D518" s="197">
        <v>517</v>
      </c>
    </row>
    <row r="519" spans="1:4" ht="13.5" x14ac:dyDescent="0.25">
      <c r="A519" s="200">
        <v>173</v>
      </c>
      <c r="B519" s="190" t="str">
        <f t="shared" ref="B519:B520" si="172">$B$518</f>
        <v>Ponto173</v>
      </c>
      <c r="C519" s="196" t="s">
        <v>118</v>
      </c>
      <c r="D519" s="197">
        <v>518</v>
      </c>
    </row>
    <row r="520" spans="1:4" ht="13.5" x14ac:dyDescent="0.25">
      <c r="A520" s="200">
        <v>173</v>
      </c>
      <c r="B520" s="190" t="str">
        <f t="shared" si="172"/>
        <v>Ponto173</v>
      </c>
      <c r="C520" s="196" t="s">
        <v>119</v>
      </c>
      <c r="D520" s="197">
        <v>519</v>
      </c>
    </row>
    <row r="521" spans="1:4" ht="13.5" x14ac:dyDescent="0.25">
      <c r="A521" s="200">
        <v>174</v>
      </c>
      <c r="B521" s="189" t="s">
        <v>302</v>
      </c>
      <c r="C521" s="196" t="s">
        <v>117</v>
      </c>
      <c r="D521" s="197">
        <v>520</v>
      </c>
    </row>
    <row r="522" spans="1:4" ht="13.5" x14ac:dyDescent="0.25">
      <c r="A522" s="200">
        <v>174</v>
      </c>
      <c r="B522" s="190" t="str">
        <f t="shared" ref="B522:B523" si="173">$B$521</f>
        <v>Ponto174</v>
      </c>
      <c r="C522" s="196" t="s">
        <v>118</v>
      </c>
      <c r="D522" s="197">
        <v>521</v>
      </c>
    </row>
    <row r="523" spans="1:4" ht="13.5" x14ac:dyDescent="0.25">
      <c r="A523" s="200">
        <v>174</v>
      </c>
      <c r="B523" s="190" t="str">
        <f t="shared" si="173"/>
        <v>Ponto174</v>
      </c>
      <c r="C523" s="196" t="s">
        <v>119</v>
      </c>
      <c r="D523" s="197">
        <v>522</v>
      </c>
    </row>
    <row r="524" spans="1:4" ht="13.5" x14ac:dyDescent="0.25">
      <c r="A524" s="200">
        <v>175</v>
      </c>
      <c r="B524" s="189" t="s">
        <v>303</v>
      </c>
      <c r="C524" s="196" t="s">
        <v>117</v>
      </c>
      <c r="D524" s="197">
        <v>523</v>
      </c>
    </row>
    <row r="525" spans="1:4" ht="13.5" x14ac:dyDescent="0.25">
      <c r="A525" s="200">
        <v>175</v>
      </c>
      <c r="B525" s="190" t="str">
        <f t="shared" ref="B525:B526" si="174">$B$524</f>
        <v>Ponto175</v>
      </c>
      <c r="C525" s="196" t="s">
        <v>118</v>
      </c>
      <c r="D525" s="197">
        <v>524</v>
      </c>
    </row>
    <row r="526" spans="1:4" ht="13.5" x14ac:dyDescent="0.25">
      <c r="A526" s="200">
        <v>175</v>
      </c>
      <c r="B526" s="190" t="str">
        <f t="shared" si="174"/>
        <v>Ponto175</v>
      </c>
      <c r="C526" s="196" t="s">
        <v>119</v>
      </c>
      <c r="D526" s="197">
        <v>525</v>
      </c>
    </row>
    <row r="527" spans="1:4" ht="13.5" x14ac:dyDescent="0.25">
      <c r="A527" s="200">
        <v>176</v>
      </c>
      <c r="B527" s="189" t="s">
        <v>304</v>
      </c>
      <c r="C527" s="196" t="s">
        <v>117</v>
      </c>
      <c r="D527" s="197">
        <v>526</v>
      </c>
    </row>
    <row r="528" spans="1:4" ht="13.5" x14ac:dyDescent="0.25">
      <c r="A528" s="200">
        <v>176</v>
      </c>
      <c r="B528" s="190" t="str">
        <f t="shared" ref="B528:B529" si="175">$B$527</f>
        <v>Ponto176</v>
      </c>
      <c r="C528" s="196" t="s">
        <v>118</v>
      </c>
      <c r="D528" s="197">
        <v>527</v>
      </c>
    </row>
    <row r="529" spans="1:4" ht="13.5" x14ac:dyDescent="0.25">
      <c r="A529" s="200">
        <v>176</v>
      </c>
      <c r="B529" s="190" t="str">
        <f t="shared" si="175"/>
        <v>Ponto176</v>
      </c>
      <c r="C529" s="196" t="s">
        <v>119</v>
      </c>
      <c r="D529" s="197">
        <v>528</v>
      </c>
    </row>
    <row r="530" spans="1:4" ht="13.5" x14ac:dyDescent="0.25">
      <c r="A530" s="200">
        <v>177</v>
      </c>
      <c r="B530" s="189" t="s">
        <v>305</v>
      </c>
      <c r="C530" s="196" t="s">
        <v>117</v>
      </c>
      <c r="D530" s="197">
        <v>529</v>
      </c>
    </row>
    <row r="531" spans="1:4" ht="13.5" x14ac:dyDescent="0.25">
      <c r="A531" s="200">
        <v>177</v>
      </c>
      <c r="B531" s="190" t="str">
        <f t="shared" ref="B531:B532" si="176">$B$530</f>
        <v>Ponto177</v>
      </c>
      <c r="C531" s="196" t="s">
        <v>118</v>
      </c>
      <c r="D531" s="197">
        <v>530</v>
      </c>
    </row>
    <row r="532" spans="1:4" ht="13.5" x14ac:dyDescent="0.25">
      <c r="A532" s="200">
        <v>177</v>
      </c>
      <c r="B532" s="190" t="str">
        <f t="shared" si="176"/>
        <v>Ponto177</v>
      </c>
      <c r="C532" s="196" t="s">
        <v>119</v>
      </c>
      <c r="D532" s="197">
        <v>531</v>
      </c>
    </row>
    <row r="533" spans="1:4" ht="13.5" x14ac:dyDescent="0.25">
      <c r="A533" s="200">
        <v>178</v>
      </c>
      <c r="B533" s="189" t="s">
        <v>306</v>
      </c>
      <c r="C533" s="196" t="s">
        <v>117</v>
      </c>
      <c r="D533" s="197">
        <v>532</v>
      </c>
    </row>
    <row r="534" spans="1:4" ht="13.5" x14ac:dyDescent="0.25">
      <c r="A534" s="200">
        <v>178</v>
      </c>
      <c r="B534" s="190" t="str">
        <f t="shared" ref="B534:B535" si="177">$B$533</f>
        <v>Ponto178</v>
      </c>
      <c r="C534" s="196" t="s">
        <v>118</v>
      </c>
      <c r="D534" s="197">
        <v>533</v>
      </c>
    </row>
    <row r="535" spans="1:4" ht="13.5" x14ac:dyDescent="0.25">
      <c r="A535" s="200">
        <v>178</v>
      </c>
      <c r="B535" s="190" t="str">
        <f t="shared" si="177"/>
        <v>Ponto178</v>
      </c>
      <c r="C535" s="196" t="s">
        <v>119</v>
      </c>
      <c r="D535" s="197">
        <v>534</v>
      </c>
    </row>
    <row r="536" spans="1:4" ht="13.5" x14ac:dyDescent="0.25">
      <c r="A536" s="200">
        <v>179</v>
      </c>
      <c r="B536" s="189" t="s">
        <v>307</v>
      </c>
      <c r="C536" s="196" t="s">
        <v>117</v>
      </c>
      <c r="D536" s="197">
        <v>535</v>
      </c>
    </row>
    <row r="537" spans="1:4" ht="13.5" x14ac:dyDescent="0.25">
      <c r="A537" s="200">
        <v>179</v>
      </c>
      <c r="B537" s="190" t="str">
        <f t="shared" ref="B537:B538" si="178">$B$536</f>
        <v>Ponto179</v>
      </c>
      <c r="C537" s="196" t="s">
        <v>118</v>
      </c>
      <c r="D537" s="197">
        <v>536</v>
      </c>
    </row>
    <row r="538" spans="1:4" ht="13.5" x14ac:dyDescent="0.25">
      <c r="A538" s="200">
        <v>179</v>
      </c>
      <c r="B538" s="190" t="str">
        <f t="shared" si="178"/>
        <v>Ponto179</v>
      </c>
      <c r="C538" s="196" t="s">
        <v>119</v>
      </c>
      <c r="D538" s="197">
        <v>537</v>
      </c>
    </row>
    <row r="539" spans="1:4" ht="13.5" x14ac:dyDescent="0.25">
      <c r="A539" s="200">
        <v>180</v>
      </c>
      <c r="B539" s="189" t="s">
        <v>308</v>
      </c>
      <c r="C539" s="196" t="s">
        <v>117</v>
      </c>
      <c r="D539" s="197">
        <v>538</v>
      </c>
    </row>
    <row r="540" spans="1:4" ht="13.5" x14ac:dyDescent="0.25">
      <c r="A540" s="200">
        <v>180</v>
      </c>
      <c r="B540" s="190" t="str">
        <f t="shared" ref="B540:B541" si="179">$B$539</f>
        <v>Ponto180</v>
      </c>
      <c r="C540" s="196" t="s">
        <v>118</v>
      </c>
      <c r="D540" s="197">
        <v>539</v>
      </c>
    </row>
    <row r="541" spans="1:4" ht="13.5" x14ac:dyDescent="0.25">
      <c r="A541" s="200">
        <v>180</v>
      </c>
      <c r="B541" s="190" t="str">
        <f t="shared" si="179"/>
        <v>Ponto180</v>
      </c>
      <c r="C541" s="196" t="s">
        <v>119</v>
      </c>
      <c r="D541" s="197">
        <v>540</v>
      </c>
    </row>
    <row r="542" spans="1:4" ht="13.5" x14ac:dyDescent="0.25">
      <c r="A542" s="200">
        <v>181</v>
      </c>
      <c r="B542" s="189" t="s">
        <v>309</v>
      </c>
      <c r="C542" s="196" t="s">
        <v>117</v>
      </c>
      <c r="D542" s="197">
        <v>541</v>
      </c>
    </row>
    <row r="543" spans="1:4" ht="13.5" x14ac:dyDescent="0.25">
      <c r="A543" s="200">
        <v>181</v>
      </c>
      <c r="B543" s="190" t="str">
        <f t="shared" ref="B543:B544" si="180">$B$542</f>
        <v>Ponto181</v>
      </c>
      <c r="C543" s="196" t="s">
        <v>118</v>
      </c>
      <c r="D543" s="197">
        <v>542</v>
      </c>
    </row>
    <row r="544" spans="1:4" ht="13.5" x14ac:dyDescent="0.25">
      <c r="A544" s="200">
        <v>181</v>
      </c>
      <c r="B544" s="190" t="str">
        <f t="shared" si="180"/>
        <v>Ponto181</v>
      </c>
      <c r="C544" s="196" t="s">
        <v>119</v>
      </c>
      <c r="D544" s="197">
        <v>543</v>
      </c>
    </row>
    <row r="545" spans="1:4" ht="13.5" x14ac:dyDescent="0.25">
      <c r="A545" s="200">
        <v>182</v>
      </c>
      <c r="B545" s="189" t="s">
        <v>310</v>
      </c>
      <c r="C545" s="196" t="s">
        <v>117</v>
      </c>
      <c r="D545" s="197">
        <v>544</v>
      </c>
    </row>
    <row r="546" spans="1:4" ht="13.5" x14ac:dyDescent="0.25">
      <c r="A546" s="200">
        <v>182</v>
      </c>
      <c r="B546" s="190" t="str">
        <f t="shared" ref="B546:B547" si="181">$B$545</f>
        <v>Ponto182</v>
      </c>
      <c r="C546" s="196" t="s">
        <v>118</v>
      </c>
      <c r="D546" s="197">
        <v>545</v>
      </c>
    </row>
    <row r="547" spans="1:4" ht="13.5" x14ac:dyDescent="0.25">
      <c r="A547" s="200">
        <v>182</v>
      </c>
      <c r="B547" s="190" t="str">
        <f t="shared" si="181"/>
        <v>Ponto182</v>
      </c>
      <c r="C547" s="196" t="s">
        <v>119</v>
      </c>
      <c r="D547" s="197">
        <v>546</v>
      </c>
    </row>
    <row r="548" spans="1:4" ht="13.5" x14ac:dyDescent="0.25">
      <c r="A548" s="200">
        <v>183</v>
      </c>
      <c r="B548" s="189" t="s">
        <v>311</v>
      </c>
      <c r="C548" s="196" t="s">
        <v>117</v>
      </c>
      <c r="D548" s="197">
        <v>547</v>
      </c>
    </row>
    <row r="549" spans="1:4" ht="13.5" x14ac:dyDescent="0.25">
      <c r="A549" s="200">
        <v>183</v>
      </c>
      <c r="B549" s="190" t="str">
        <f t="shared" ref="B549:B550" si="182">$B$548</f>
        <v>Ponto183</v>
      </c>
      <c r="C549" s="196" t="s">
        <v>118</v>
      </c>
      <c r="D549" s="197">
        <v>548</v>
      </c>
    </row>
    <row r="550" spans="1:4" ht="13.5" x14ac:dyDescent="0.25">
      <c r="A550" s="200">
        <v>183</v>
      </c>
      <c r="B550" s="190" t="str">
        <f t="shared" si="182"/>
        <v>Ponto183</v>
      </c>
      <c r="C550" s="196" t="s">
        <v>119</v>
      </c>
      <c r="D550" s="197">
        <v>549</v>
      </c>
    </row>
    <row r="551" spans="1:4" ht="13.5" x14ac:dyDescent="0.25">
      <c r="A551" s="200">
        <v>184</v>
      </c>
      <c r="B551" s="189" t="s">
        <v>312</v>
      </c>
      <c r="C551" s="196" t="s">
        <v>117</v>
      </c>
      <c r="D551" s="197">
        <v>550</v>
      </c>
    </row>
    <row r="552" spans="1:4" ht="13.5" x14ac:dyDescent="0.25">
      <c r="A552" s="200">
        <v>184</v>
      </c>
      <c r="B552" s="190" t="str">
        <f t="shared" ref="B552:B553" si="183">$B$551</f>
        <v>Ponto184</v>
      </c>
      <c r="C552" s="196" t="s">
        <v>118</v>
      </c>
      <c r="D552" s="197">
        <v>551</v>
      </c>
    </row>
    <row r="553" spans="1:4" ht="13.5" x14ac:dyDescent="0.25">
      <c r="A553" s="200">
        <v>184</v>
      </c>
      <c r="B553" s="190" t="str">
        <f t="shared" si="183"/>
        <v>Ponto184</v>
      </c>
      <c r="C553" s="196" t="s">
        <v>119</v>
      </c>
      <c r="D553" s="197">
        <v>552</v>
      </c>
    </row>
    <row r="554" spans="1:4" ht="13.5" x14ac:dyDescent="0.25">
      <c r="A554" s="200">
        <v>185</v>
      </c>
      <c r="B554" s="189" t="s">
        <v>313</v>
      </c>
      <c r="C554" s="196" t="s">
        <v>117</v>
      </c>
      <c r="D554" s="197">
        <v>553</v>
      </c>
    </row>
    <row r="555" spans="1:4" ht="13.5" x14ac:dyDescent="0.25">
      <c r="A555" s="200">
        <v>185</v>
      </c>
      <c r="B555" s="190" t="str">
        <f t="shared" ref="B555:B556" si="184">$B$554</f>
        <v>Ponto185</v>
      </c>
      <c r="C555" s="196" t="s">
        <v>118</v>
      </c>
      <c r="D555" s="197">
        <v>554</v>
      </c>
    </row>
    <row r="556" spans="1:4" ht="13.5" x14ac:dyDescent="0.25">
      <c r="A556" s="200">
        <v>185</v>
      </c>
      <c r="B556" s="190" t="str">
        <f t="shared" si="184"/>
        <v>Ponto185</v>
      </c>
      <c r="C556" s="196" t="s">
        <v>119</v>
      </c>
      <c r="D556" s="197">
        <v>555</v>
      </c>
    </row>
    <row r="557" spans="1:4" ht="13.5" x14ac:dyDescent="0.25">
      <c r="A557" s="200">
        <v>186</v>
      </c>
      <c r="B557" s="189" t="s">
        <v>314</v>
      </c>
      <c r="C557" s="196" t="s">
        <v>117</v>
      </c>
      <c r="D557" s="197">
        <v>556</v>
      </c>
    </row>
    <row r="558" spans="1:4" ht="13.5" x14ac:dyDescent="0.25">
      <c r="A558" s="200">
        <v>186</v>
      </c>
      <c r="B558" s="190" t="str">
        <f t="shared" ref="B558:B559" si="185">$B$557</f>
        <v>Ponto186</v>
      </c>
      <c r="C558" s="196" t="s">
        <v>118</v>
      </c>
      <c r="D558" s="197">
        <v>557</v>
      </c>
    </row>
    <row r="559" spans="1:4" ht="13.5" x14ac:dyDescent="0.25">
      <c r="A559" s="200">
        <v>186</v>
      </c>
      <c r="B559" s="190" t="str">
        <f t="shared" si="185"/>
        <v>Ponto186</v>
      </c>
      <c r="C559" s="196" t="s">
        <v>119</v>
      </c>
      <c r="D559" s="197">
        <v>558</v>
      </c>
    </row>
    <row r="560" spans="1:4" ht="13.5" x14ac:dyDescent="0.25">
      <c r="A560" s="200">
        <v>187</v>
      </c>
      <c r="B560" s="189" t="s">
        <v>315</v>
      </c>
      <c r="C560" s="196" t="s">
        <v>117</v>
      </c>
      <c r="D560" s="197">
        <v>559</v>
      </c>
    </row>
    <row r="561" spans="1:4" ht="13.5" x14ac:dyDescent="0.25">
      <c r="A561" s="200">
        <v>187</v>
      </c>
      <c r="B561" s="190" t="str">
        <f t="shared" ref="B561:B562" si="186">$B$560</f>
        <v>Ponto187</v>
      </c>
      <c r="C561" s="196" t="s">
        <v>118</v>
      </c>
      <c r="D561" s="197">
        <v>560</v>
      </c>
    </row>
    <row r="562" spans="1:4" ht="13.5" x14ac:dyDescent="0.25">
      <c r="A562" s="200">
        <v>187</v>
      </c>
      <c r="B562" s="190" t="str">
        <f t="shared" si="186"/>
        <v>Ponto187</v>
      </c>
      <c r="C562" s="196" t="s">
        <v>119</v>
      </c>
      <c r="D562" s="197">
        <v>561</v>
      </c>
    </row>
    <row r="563" spans="1:4" ht="13.5" x14ac:dyDescent="0.25">
      <c r="A563" s="200">
        <v>188</v>
      </c>
      <c r="B563" s="189" t="s">
        <v>316</v>
      </c>
      <c r="C563" s="196" t="s">
        <v>117</v>
      </c>
      <c r="D563" s="197">
        <v>562</v>
      </c>
    </row>
    <row r="564" spans="1:4" ht="13.5" x14ac:dyDescent="0.25">
      <c r="A564" s="200">
        <v>188</v>
      </c>
      <c r="B564" s="190" t="str">
        <f t="shared" ref="B564:B565" si="187">$B$563</f>
        <v>Ponto188</v>
      </c>
      <c r="C564" s="196" t="s">
        <v>118</v>
      </c>
      <c r="D564" s="197">
        <v>563</v>
      </c>
    </row>
    <row r="565" spans="1:4" ht="13.5" x14ac:dyDescent="0.25">
      <c r="A565" s="200">
        <v>188</v>
      </c>
      <c r="B565" s="190" t="str">
        <f t="shared" si="187"/>
        <v>Ponto188</v>
      </c>
      <c r="C565" s="196" t="s">
        <v>119</v>
      </c>
      <c r="D565" s="197">
        <v>564</v>
      </c>
    </row>
    <row r="566" spans="1:4" ht="13.5" x14ac:dyDescent="0.25">
      <c r="A566" s="200">
        <v>189</v>
      </c>
      <c r="B566" s="189" t="s">
        <v>317</v>
      </c>
      <c r="C566" s="196" t="s">
        <v>117</v>
      </c>
      <c r="D566" s="197">
        <v>565</v>
      </c>
    </row>
    <row r="567" spans="1:4" ht="13.5" x14ac:dyDescent="0.25">
      <c r="A567" s="200">
        <v>189</v>
      </c>
      <c r="B567" s="190" t="str">
        <f t="shared" ref="B567:B568" si="188">$B$566</f>
        <v>Ponto189</v>
      </c>
      <c r="C567" s="196" t="s">
        <v>118</v>
      </c>
      <c r="D567" s="197">
        <v>566</v>
      </c>
    </row>
    <row r="568" spans="1:4" ht="13.5" x14ac:dyDescent="0.25">
      <c r="A568" s="200">
        <v>189</v>
      </c>
      <c r="B568" s="190" t="str">
        <f t="shared" si="188"/>
        <v>Ponto189</v>
      </c>
      <c r="C568" s="196" t="s">
        <v>119</v>
      </c>
      <c r="D568" s="197">
        <v>567</v>
      </c>
    </row>
    <row r="569" spans="1:4" ht="13.5" x14ac:dyDescent="0.25">
      <c r="A569" s="200">
        <v>190</v>
      </c>
      <c r="B569" s="189" t="s">
        <v>318</v>
      </c>
      <c r="C569" s="196" t="s">
        <v>117</v>
      </c>
      <c r="D569" s="197">
        <v>568</v>
      </c>
    </row>
    <row r="570" spans="1:4" ht="13.5" x14ac:dyDescent="0.25">
      <c r="A570" s="200">
        <v>190</v>
      </c>
      <c r="B570" s="190" t="str">
        <f t="shared" ref="B570:B571" si="189">$B$569</f>
        <v>Ponto190</v>
      </c>
      <c r="C570" s="196" t="s">
        <v>118</v>
      </c>
      <c r="D570" s="197">
        <v>569</v>
      </c>
    </row>
    <row r="571" spans="1:4" ht="13.5" x14ac:dyDescent="0.25">
      <c r="A571" s="200">
        <v>190</v>
      </c>
      <c r="B571" s="190" t="str">
        <f t="shared" si="189"/>
        <v>Ponto190</v>
      </c>
      <c r="C571" s="196" t="s">
        <v>119</v>
      </c>
      <c r="D571" s="197">
        <v>570</v>
      </c>
    </row>
    <row r="572" spans="1:4" ht="13.5" x14ac:dyDescent="0.25">
      <c r="A572" s="200">
        <v>191</v>
      </c>
      <c r="B572" s="189" t="s">
        <v>319</v>
      </c>
      <c r="C572" s="196" t="s">
        <v>117</v>
      </c>
      <c r="D572" s="197">
        <v>571</v>
      </c>
    </row>
    <row r="573" spans="1:4" ht="13.5" x14ac:dyDescent="0.25">
      <c r="A573" s="200">
        <v>191</v>
      </c>
      <c r="B573" s="190" t="str">
        <f t="shared" ref="B573:B574" si="190">$B$572</f>
        <v>Ponto191</v>
      </c>
      <c r="C573" s="196" t="s">
        <v>118</v>
      </c>
      <c r="D573" s="197">
        <v>572</v>
      </c>
    </row>
    <row r="574" spans="1:4" ht="13.5" x14ac:dyDescent="0.25">
      <c r="A574" s="200">
        <v>191</v>
      </c>
      <c r="B574" s="190" t="str">
        <f t="shared" si="190"/>
        <v>Ponto191</v>
      </c>
      <c r="C574" s="196" t="s">
        <v>119</v>
      </c>
      <c r="D574" s="197">
        <v>573</v>
      </c>
    </row>
    <row r="575" spans="1:4" ht="13.5" x14ac:dyDescent="0.25">
      <c r="A575" s="200">
        <v>192</v>
      </c>
      <c r="B575" s="189" t="s">
        <v>320</v>
      </c>
      <c r="C575" s="196" t="s">
        <v>117</v>
      </c>
      <c r="D575" s="197">
        <v>574</v>
      </c>
    </row>
    <row r="576" spans="1:4" ht="13.5" x14ac:dyDescent="0.25">
      <c r="A576" s="200">
        <v>192</v>
      </c>
      <c r="B576" s="190" t="str">
        <f t="shared" ref="B576:B577" si="191">$B$575</f>
        <v>Ponto192</v>
      </c>
      <c r="C576" s="196" t="s">
        <v>118</v>
      </c>
      <c r="D576" s="197">
        <v>575</v>
      </c>
    </row>
    <row r="577" spans="1:4" ht="13.5" x14ac:dyDescent="0.25">
      <c r="A577" s="200">
        <v>192</v>
      </c>
      <c r="B577" s="190" t="str">
        <f t="shared" si="191"/>
        <v>Ponto192</v>
      </c>
      <c r="C577" s="196" t="s">
        <v>119</v>
      </c>
      <c r="D577" s="197">
        <v>576</v>
      </c>
    </row>
    <row r="578" spans="1:4" ht="13.5" x14ac:dyDescent="0.25">
      <c r="A578" s="200">
        <v>193</v>
      </c>
      <c r="B578" s="189" t="s">
        <v>321</v>
      </c>
      <c r="C578" s="196" t="s">
        <v>117</v>
      </c>
      <c r="D578" s="197">
        <v>577</v>
      </c>
    </row>
    <row r="579" spans="1:4" ht="13.5" x14ac:dyDescent="0.25">
      <c r="A579" s="200">
        <v>193</v>
      </c>
      <c r="B579" s="190" t="str">
        <f t="shared" ref="B579:B580" si="192">$B$578</f>
        <v>Ponto193</v>
      </c>
      <c r="C579" s="196" t="s">
        <v>118</v>
      </c>
      <c r="D579" s="197">
        <v>578</v>
      </c>
    </row>
    <row r="580" spans="1:4" ht="13.5" x14ac:dyDescent="0.25">
      <c r="A580" s="200">
        <v>193</v>
      </c>
      <c r="B580" s="190" t="str">
        <f t="shared" si="192"/>
        <v>Ponto193</v>
      </c>
      <c r="C580" s="196" t="s">
        <v>119</v>
      </c>
      <c r="D580" s="197">
        <v>579</v>
      </c>
    </row>
    <row r="581" spans="1:4" ht="13.5" x14ac:dyDescent="0.25">
      <c r="A581" s="200">
        <v>194</v>
      </c>
      <c r="B581" s="189" t="s">
        <v>322</v>
      </c>
      <c r="C581" s="196" t="s">
        <v>117</v>
      </c>
      <c r="D581" s="197">
        <v>580</v>
      </c>
    </row>
    <row r="582" spans="1:4" ht="13.5" x14ac:dyDescent="0.25">
      <c r="A582" s="200">
        <v>194</v>
      </c>
      <c r="B582" s="190" t="str">
        <f t="shared" ref="B582:B583" si="193">$B$581</f>
        <v>Ponto194</v>
      </c>
      <c r="C582" s="196" t="s">
        <v>118</v>
      </c>
      <c r="D582" s="197">
        <v>581</v>
      </c>
    </row>
    <row r="583" spans="1:4" ht="13.5" x14ac:dyDescent="0.25">
      <c r="A583" s="200">
        <v>194</v>
      </c>
      <c r="B583" s="190" t="str">
        <f t="shared" si="193"/>
        <v>Ponto194</v>
      </c>
      <c r="C583" s="196" t="s">
        <v>119</v>
      </c>
      <c r="D583" s="197">
        <v>582</v>
      </c>
    </row>
    <row r="584" spans="1:4" ht="13.5" x14ac:dyDescent="0.25">
      <c r="A584" s="200">
        <v>195</v>
      </c>
      <c r="B584" s="189" t="s">
        <v>323</v>
      </c>
      <c r="C584" s="196" t="s">
        <v>117</v>
      </c>
      <c r="D584" s="197">
        <v>583</v>
      </c>
    </row>
    <row r="585" spans="1:4" ht="13.5" x14ac:dyDescent="0.25">
      <c r="A585" s="200">
        <v>195</v>
      </c>
      <c r="B585" s="190" t="str">
        <f t="shared" ref="B585:B586" si="194">$B$584</f>
        <v>Ponto195</v>
      </c>
      <c r="C585" s="196" t="s">
        <v>118</v>
      </c>
      <c r="D585" s="197">
        <v>584</v>
      </c>
    </row>
    <row r="586" spans="1:4" ht="13.5" x14ac:dyDescent="0.25">
      <c r="A586" s="200">
        <v>195</v>
      </c>
      <c r="B586" s="190" t="str">
        <f t="shared" si="194"/>
        <v>Ponto195</v>
      </c>
      <c r="C586" s="196" t="s">
        <v>119</v>
      </c>
      <c r="D586" s="197">
        <v>585</v>
      </c>
    </row>
    <row r="587" spans="1:4" ht="13.5" x14ac:dyDescent="0.25">
      <c r="A587" s="200">
        <v>196</v>
      </c>
      <c r="B587" s="189" t="s">
        <v>324</v>
      </c>
      <c r="C587" s="196" t="s">
        <v>117</v>
      </c>
      <c r="D587" s="197">
        <v>586</v>
      </c>
    </row>
    <row r="588" spans="1:4" ht="13.5" x14ac:dyDescent="0.25">
      <c r="A588" s="200">
        <v>196</v>
      </c>
      <c r="B588" s="190" t="str">
        <f t="shared" ref="B588:B589" si="195">$B$587</f>
        <v>Ponto196</v>
      </c>
      <c r="C588" s="196" t="s">
        <v>118</v>
      </c>
      <c r="D588" s="197">
        <v>587</v>
      </c>
    </row>
    <row r="589" spans="1:4" ht="13.5" x14ac:dyDescent="0.25">
      <c r="A589" s="200">
        <v>196</v>
      </c>
      <c r="B589" s="190" t="str">
        <f t="shared" si="195"/>
        <v>Ponto196</v>
      </c>
      <c r="C589" s="196" t="s">
        <v>119</v>
      </c>
      <c r="D589" s="197">
        <v>588</v>
      </c>
    </row>
    <row r="590" spans="1:4" ht="13.5" x14ac:dyDescent="0.25">
      <c r="A590" s="200">
        <v>197</v>
      </c>
      <c r="B590" s="189" t="s">
        <v>325</v>
      </c>
      <c r="C590" s="196" t="s">
        <v>117</v>
      </c>
      <c r="D590" s="197">
        <v>589</v>
      </c>
    </row>
    <row r="591" spans="1:4" ht="13.5" x14ac:dyDescent="0.25">
      <c r="A591" s="200">
        <v>197</v>
      </c>
      <c r="B591" s="190" t="str">
        <f t="shared" ref="B591:B592" si="196">$B$590</f>
        <v>Ponto197</v>
      </c>
      <c r="C591" s="196" t="s">
        <v>118</v>
      </c>
      <c r="D591" s="197">
        <v>590</v>
      </c>
    </row>
    <row r="592" spans="1:4" ht="13.5" x14ac:dyDescent="0.25">
      <c r="A592" s="200">
        <v>197</v>
      </c>
      <c r="B592" s="190" t="str">
        <f t="shared" si="196"/>
        <v>Ponto197</v>
      </c>
      <c r="C592" s="196" t="s">
        <v>119</v>
      </c>
      <c r="D592" s="197">
        <v>591</v>
      </c>
    </row>
    <row r="593" spans="1:4" ht="13.5" x14ac:dyDescent="0.25">
      <c r="A593" s="200">
        <v>198</v>
      </c>
      <c r="B593" s="189" t="s">
        <v>326</v>
      </c>
      <c r="C593" s="196" t="s">
        <v>117</v>
      </c>
      <c r="D593" s="197">
        <v>592</v>
      </c>
    </row>
    <row r="594" spans="1:4" ht="13.5" x14ac:dyDescent="0.25">
      <c r="A594" s="200">
        <v>198</v>
      </c>
      <c r="B594" s="190" t="str">
        <f t="shared" ref="B594:B595" si="197">$B$593</f>
        <v>Ponto198</v>
      </c>
      <c r="C594" s="196" t="s">
        <v>118</v>
      </c>
      <c r="D594" s="197">
        <v>593</v>
      </c>
    </row>
    <row r="595" spans="1:4" ht="13.5" x14ac:dyDescent="0.25">
      <c r="A595" s="200">
        <v>198</v>
      </c>
      <c r="B595" s="190" t="str">
        <f t="shared" si="197"/>
        <v>Ponto198</v>
      </c>
      <c r="C595" s="196" t="s">
        <v>119</v>
      </c>
      <c r="D595" s="197">
        <v>594</v>
      </c>
    </row>
    <row r="596" spans="1:4" ht="13.5" x14ac:dyDescent="0.25">
      <c r="A596" s="200">
        <v>199</v>
      </c>
      <c r="B596" s="189" t="s">
        <v>327</v>
      </c>
      <c r="C596" s="196" t="s">
        <v>117</v>
      </c>
      <c r="D596" s="197">
        <v>595</v>
      </c>
    </row>
    <row r="597" spans="1:4" ht="13.5" x14ac:dyDescent="0.25">
      <c r="A597" s="200">
        <v>199</v>
      </c>
      <c r="B597" s="190" t="str">
        <f t="shared" ref="B597:B598" si="198">$B$596</f>
        <v>Ponto199</v>
      </c>
      <c r="C597" s="196" t="s">
        <v>118</v>
      </c>
      <c r="D597" s="197">
        <v>596</v>
      </c>
    </row>
    <row r="598" spans="1:4" ht="13.5" x14ac:dyDescent="0.25">
      <c r="A598" s="200">
        <v>199</v>
      </c>
      <c r="B598" s="190" t="str">
        <f t="shared" si="198"/>
        <v>Ponto199</v>
      </c>
      <c r="C598" s="196" t="s">
        <v>119</v>
      </c>
      <c r="D598" s="197">
        <v>597</v>
      </c>
    </row>
    <row r="599" spans="1:4" ht="13.5" x14ac:dyDescent="0.25">
      <c r="A599" s="200">
        <v>200</v>
      </c>
      <c r="B599" s="189" t="s">
        <v>328</v>
      </c>
      <c r="C599" s="196" t="s">
        <v>117</v>
      </c>
      <c r="D599" s="197">
        <v>598</v>
      </c>
    </row>
    <row r="600" spans="1:4" ht="13.5" x14ac:dyDescent="0.25">
      <c r="A600" s="200">
        <v>200</v>
      </c>
      <c r="B600" s="190" t="str">
        <f t="shared" ref="B600:B601" si="199">$B$599</f>
        <v>Ponto200</v>
      </c>
      <c r="C600" s="196" t="s">
        <v>118</v>
      </c>
      <c r="D600" s="197">
        <v>599</v>
      </c>
    </row>
    <row r="601" spans="1:4" ht="13.5" x14ac:dyDescent="0.25">
      <c r="A601" s="200">
        <v>200</v>
      </c>
      <c r="B601" s="190" t="str">
        <f t="shared" si="199"/>
        <v>Ponto200</v>
      </c>
      <c r="C601" s="196" t="s">
        <v>119</v>
      </c>
      <c r="D601" s="197">
        <v>600</v>
      </c>
    </row>
    <row r="602" spans="1:4" x14ac:dyDescent="0.25">
      <c r="A602" s="2"/>
      <c r="C602" s="2"/>
    </row>
    <row r="603" spans="1:4" x14ac:dyDescent="0.25">
      <c r="A603" s="2"/>
      <c r="C603" s="2"/>
    </row>
    <row r="604" spans="1:4" x14ac:dyDescent="0.25">
      <c r="A604" s="2"/>
      <c r="C604" s="2"/>
    </row>
    <row r="605" spans="1:4" x14ac:dyDescent="0.25">
      <c r="A605" s="2"/>
      <c r="C605" s="2"/>
    </row>
    <row r="606" spans="1:4" x14ac:dyDescent="0.25">
      <c r="A606" s="2"/>
      <c r="C606" s="2"/>
    </row>
    <row r="607" spans="1:4" x14ac:dyDescent="0.25">
      <c r="A607" s="2"/>
      <c r="C607" s="2"/>
    </row>
    <row r="608" spans="1:4" x14ac:dyDescent="0.25">
      <c r="B608" s="1"/>
      <c r="C608" s="2"/>
    </row>
    <row r="609" spans="2:3" x14ac:dyDescent="0.25">
      <c r="B609" s="1"/>
      <c r="C609" s="2"/>
    </row>
    <row r="610" spans="2:3" x14ac:dyDescent="0.25">
      <c r="B610" s="1"/>
      <c r="C610" s="2"/>
    </row>
    <row r="611" spans="2:3" x14ac:dyDescent="0.25">
      <c r="B611" s="1"/>
      <c r="C611" s="2"/>
    </row>
    <row r="612" spans="2:3" x14ac:dyDescent="0.25">
      <c r="B612" s="1"/>
      <c r="C612" s="2"/>
    </row>
    <row r="613" spans="2:3" x14ac:dyDescent="0.25">
      <c r="B613" s="1"/>
      <c r="C613" s="2"/>
    </row>
    <row r="614" spans="2:3" x14ac:dyDescent="0.25">
      <c r="B614" s="1"/>
    </row>
    <row r="615" spans="2:3" x14ac:dyDescent="0.25">
      <c r="B615" s="1"/>
    </row>
    <row r="616" spans="2:3" x14ac:dyDescent="0.25">
      <c r="B616" s="1"/>
    </row>
    <row r="617" spans="2:3" x14ac:dyDescent="0.25">
      <c r="B617" s="1"/>
    </row>
    <row r="618" spans="2:3" x14ac:dyDescent="0.25">
      <c r="B618" s="1"/>
    </row>
    <row r="619" spans="2:3" x14ac:dyDescent="0.25">
      <c r="B619" s="1"/>
    </row>
  </sheetData>
  <phoneticPr fontId="2" type="noConversion"/>
  <dataValidations disablePrompts="1" count="1">
    <dataValidation type="list" allowBlank="1" showInputMessage="1" showErrorMessage="1" sqref="F32:F39" xr:uid="{00000000-0002-0000-0300-000000000000}">
      <formula1>#REF!</formula1>
    </dataValidation>
  </dataValidations>
  <pageMargins left="0.78740157499999996" right="0.78740157499999996" top="0.984251969" bottom="0.984251969" header="0.5" footer="0.5"/>
  <pageSetup orientation="portrait" verticalDpi="30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0">
    <tabColor indexed="17"/>
    <pageSetUpPr fitToPage="1"/>
  </sheetPr>
  <dimension ref="A1:IU311"/>
  <sheetViews>
    <sheetView windowProtection="1" showGridLines="0" zoomScale="98" zoomScaleNormal="98" workbookViewId="0"/>
  </sheetViews>
  <sheetFormatPr defaultRowHeight="12.75" x14ac:dyDescent="0.2"/>
  <cols>
    <col min="1" max="1" width="7.875" style="9" customWidth="1"/>
    <col min="2" max="2" width="18.25" style="9" customWidth="1"/>
    <col min="3" max="3" width="10.875" style="9" customWidth="1"/>
    <col min="4" max="4" width="14.375" style="9" customWidth="1"/>
    <col min="5" max="5" width="10.375" style="9" customWidth="1"/>
    <col min="6" max="6" width="9" style="9" bestFit="1" customWidth="1"/>
    <col min="7" max="7" width="14.5" style="10" bestFit="1" customWidth="1"/>
    <col min="8" max="8" width="10.5" style="10" customWidth="1"/>
    <col min="9" max="9" width="11.125" style="10" bestFit="1" customWidth="1"/>
    <col min="10" max="10" width="9.5" style="10" customWidth="1"/>
    <col min="11" max="11" width="10.625" style="10" customWidth="1"/>
    <col min="12" max="12" width="12" style="9" customWidth="1"/>
    <col min="13" max="13" width="11.5" style="9" customWidth="1"/>
    <col min="14" max="14" width="10.375" style="9" customWidth="1"/>
    <col min="15" max="15" width="13.875" style="9" customWidth="1"/>
    <col min="16" max="16" width="16.625" style="9" customWidth="1"/>
    <col min="17" max="17" width="14.875" style="9" customWidth="1"/>
    <col min="18" max="18" width="11" style="9" bestFit="1" customWidth="1"/>
    <col min="19" max="19" width="14.75" style="9" bestFit="1" customWidth="1"/>
    <col min="20" max="20" width="11" style="9" bestFit="1" customWidth="1"/>
    <col min="21" max="21" width="17.875" style="9" customWidth="1"/>
    <col min="22" max="24" width="11" style="9" bestFit="1" customWidth="1"/>
    <col min="25" max="25" width="11.5" style="9" bestFit="1" customWidth="1"/>
    <col min="26" max="26" width="13" style="9" bestFit="1" customWidth="1"/>
    <col min="27" max="27" width="13.25" style="9" customWidth="1"/>
    <col min="28" max="33" width="11" style="9" bestFit="1" customWidth="1"/>
    <col min="34" max="34" width="9" style="9" customWidth="1"/>
    <col min="35" max="35" width="13.375" style="9" customWidth="1"/>
    <col min="36" max="36" width="9.5" style="9" customWidth="1"/>
    <col min="37" max="37" width="8.375" style="9" customWidth="1"/>
    <col min="38" max="38" width="8" style="9" customWidth="1"/>
    <col min="39" max="39" width="8.25" style="9" bestFit="1" customWidth="1"/>
    <col min="40" max="40" width="9.75" style="9" customWidth="1"/>
    <col min="41" max="59" width="11" style="9" bestFit="1" customWidth="1"/>
    <col min="60" max="60" width="7.875" style="9" customWidth="1"/>
    <col min="61" max="61" width="8.5" style="9" customWidth="1"/>
    <col min="62" max="62" width="9.5" style="9" customWidth="1"/>
    <col min="63" max="63" width="13" style="9" customWidth="1"/>
    <col min="64" max="64" width="10.375" style="9" customWidth="1"/>
    <col min="65" max="65" width="13.75" style="9" customWidth="1"/>
    <col min="66" max="66" width="8.875" style="9" customWidth="1"/>
    <col min="67" max="67" width="9.75" style="9" customWidth="1"/>
    <col min="68" max="68" width="11" style="9" customWidth="1"/>
    <col min="69" max="69" width="11.125" style="9" customWidth="1"/>
    <col min="70" max="70" width="9.625" style="9" customWidth="1"/>
    <col min="71" max="71" width="10.625" style="9" customWidth="1"/>
    <col min="72" max="72" width="10" style="9" customWidth="1"/>
    <col min="73" max="100" width="9" style="9"/>
    <col min="101" max="101" width="11.5" style="9" customWidth="1"/>
    <col min="102" max="193" width="9" style="9"/>
    <col min="194" max="194" width="14.75" style="9" customWidth="1"/>
    <col min="195" max="16384" width="9" style="9"/>
  </cols>
  <sheetData>
    <row r="1" spans="1:201" x14ac:dyDescent="0.2">
      <c r="A1" s="9">
        <v>200</v>
      </c>
      <c r="B1" s="219"/>
      <c r="C1" s="219"/>
      <c r="D1" s="10"/>
      <c r="E1" s="219"/>
      <c r="F1" s="219"/>
    </row>
    <row r="4" spans="1:201" x14ac:dyDescent="0.2">
      <c r="A4" s="212" t="s">
        <v>18</v>
      </c>
      <c r="B4" s="213"/>
      <c r="C4" s="213"/>
      <c r="D4" s="213"/>
      <c r="E4" s="213"/>
      <c r="F4" s="213"/>
      <c r="G4" s="213"/>
      <c r="H4" s="213"/>
      <c r="I4" s="213"/>
      <c r="J4" s="213"/>
      <c r="K4" s="213"/>
      <c r="L4" s="213"/>
      <c r="M4" s="213"/>
      <c r="N4" s="213"/>
      <c r="O4" s="213"/>
      <c r="P4" s="213"/>
      <c r="Q4" s="213"/>
      <c r="R4" s="213"/>
      <c r="S4" s="213"/>
      <c r="T4" s="213"/>
      <c r="U4" s="213"/>
      <c r="V4" s="213"/>
      <c r="W4" s="213"/>
      <c r="X4" s="213"/>
      <c r="Y4" s="213"/>
      <c r="Z4" s="213"/>
      <c r="AA4" s="213"/>
      <c r="AB4" s="213"/>
      <c r="AC4" s="213"/>
      <c r="AD4" s="213"/>
      <c r="AE4" s="213"/>
      <c r="AF4" s="213"/>
      <c r="AG4" s="213"/>
      <c r="AH4" s="213"/>
      <c r="AI4" s="213"/>
      <c r="AJ4" s="213"/>
      <c r="AK4" s="213"/>
      <c r="AL4" s="213"/>
      <c r="AM4" s="213"/>
      <c r="AN4" s="213"/>
      <c r="AO4" s="213"/>
      <c r="AP4" s="213"/>
      <c r="AQ4" s="213"/>
      <c r="AR4" s="213"/>
      <c r="AS4" s="213"/>
      <c r="AT4" s="213"/>
      <c r="AU4" s="213"/>
      <c r="AV4" s="213"/>
      <c r="AW4" s="213"/>
      <c r="AX4" s="213"/>
      <c r="AY4" s="213"/>
      <c r="AZ4" s="213"/>
      <c r="BA4" s="213"/>
      <c r="BB4" s="213"/>
      <c r="BC4" s="213"/>
      <c r="BD4" s="213"/>
      <c r="BE4" s="213"/>
      <c r="BF4" s="213"/>
      <c r="BG4" s="213"/>
      <c r="BH4" s="213"/>
      <c r="BI4" s="213"/>
      <c r="BJ4" s="213"/>
      <c r="BK4" s="213"/>
      <c r="BL4" s="213"/>
      <c r="BM4" s="213"/>
      <c r="BN4" s="213"/>
      <c r="BO4" s="213"/>
      <c r="BP4" s="213"/>
      <c r="BQ4" s="213"/>
      <c r="BR4" s="213"/>
      <c r="BS4" s="213"/>
      <c r="BT4" s="213"/>
      <c r="BU4" s="213"/>
      <c r="BV4" s="213"/>
      <c r="BW4" s="213"/>
      <c r="BX4" s="213"/>
      <c r="BY4" s="213"/>
      <c r="BZ4" s="213"/>
      <c r="CA4" s="213"/>
      <c r="CB4" s="213"/>
      <c r="CC4" s="213"/>
      <c r="CD4" s="213"/>
      <c r="CE4" s="213"/>
      <c r="CF4" s="213"/>
      <c r="CG4" s="213"/>
      <c r="CH4" s="213"/>
      <c r="CI4" s="213"/>
      <c r="CJ4" s="213"/>
      <c r="CK4" s="213"/>
      <c r="CL4" s="213"/>
      <c r="CM4" s="213"/>
      <c r="CN4" s="213"/>
      <c r="CO4" s="213"/>
      <c r="CP4" s="213"/>
      <c r="CQ4" s="213"/>
      <c r="CR4" s="213"/>
      <c r="CS4" s="213"/>
      <c r="CT4" s="213"/>
      <c r="CU4" s="213"/>
      <c r="CV4" s="213"/>
      <c r="CW4" s="213"/>
      <c r="CX4" s="213"/>
      <c r="CY4" s="213"/>
      <c r="CZ4" s="213"/>
      <c r="DA4" s="213"/>
      <c r="DB4" s="213"/>
      <c r="DC4" s="213"/>
      <c r="DD4" s="213"/>
      <c r="DE4" s="213"/>
      <c r="DF4" s="213"/>
      <c r="DG4" s="213"/>
      <c r="DH4" s="213"/>
      <c r="DI4" s="213"/>
      <c r="DJ4" s="213"/>
      <c r="DK4" s="213"/>
      <c r="DL4" s="213"/>
      <c r="DM4" s="213"/>
      <c r="DN4" s="213"/>
      <c r="DO4" s="213"/>
      <c r="DP4" s="213"/>
      <c r="DQ4" s="213"/>
      <c r="DR4" s="213"/>
      <c r="DS4" s="213"/>
      <c r="DT4" s="213"/>
      <c r="DU4" s="213"/>
      <c r="DV4" s="213"/>
      <c r="DW4" s="213"/>
      <c r="DX4" s="213"/>
      <c r="DY4" s="213"/>
      <c r="DZ4" s="213"/>
      <c r="EA4" s="213"/>
      <c r="EB4" s="213"/>
      <c r="EC4" s="213"/>
      <c r="ED4" s="213"/>
      <c r="EE4" s="213"/>
      <c r="EF4" s="213"/>
      <c r="EG4" s="213"/>
      <c r="EH4" s="213"/>
      <c r="EI4" s="213"/>
      <c r="EJ4" s="213"/>
      <c r="EK4" s="213"/>
      <c r="EL4" s="213"/>
      <c r="EM4" s="213"/>
      <c r="EN4" s="213"/>
      <c r="EO4" s="213"/>
      <c r="EP4" s="213"/>
      <c r="EQ4" s="213"/>
      <c r="ER4" s="213"/>
      <c r="ES4" s="213"/>
      <c r="ET4" s="213"/>
      <c r="EU4" s="213"/>
      <c r="EV4" s="213"/>
      <c r="EW4" s="213"/>
      <c r="EX4" s="213"/>
      <c r="EY4" s="213"/>
      <c r="EZ4" s="213"/>
      <c r="FA4" s="213"/>
      <c r="FB4" s="213"/>
      <c r="FC4" s="213"/>
      <c r="FD4" s="213"/>
      <c r="FE4" s="213"/>
      <c r="FF4" s="213"/>
      <c r="FG4" s="213"/>
      <c r="FH4" s="213"/>
      <c r="FI4" s="213"/>
      <c r="FJ4" s="213"/>
      <c r="FK4" s="213"/>
      <c r="FL4" s="213"/>
      <c r="FM4" s="213"/>
      <c r="FN4" s="213"/>
      <c r="FO4" s="213"/>
      <c r="FP4" s="213"/>
      <c r="FQ4" s="213"/>
      <c r="FR4" s="213"/>
      <c r="FS4" s="213"/>
      <c r="FT4" s="213"/>
      <c r="FU4" s="213"/>
      <c r="FV4" s="213"/>
      <c r="FW4" s="213"/>
      <c r="FX4" s="213"/>
      <c r="FY4" s="213"/>
      <c r="FZ4" s="213"/>
      <c r="GA4" s="213"/>
      <c r="GB4" s="213"/>
      <c r="GC4" s="213"/>
      <c r="GD4" s="213"/>
      <c r="GE4" s="213"/>
      <c r="GF4" s="213"/>
      <c r="GG4" s="213"/>
      <c r="GH4" s="213"/>
      <c r="GI4" s="213"/>
      <c r="GJ4" s="213"/>
      <c r="GK4" s="213"/>
      <c r="GL4" s="213"/>
      <c r="GM4" s="213"/>
      <c r="GN4" s="213"/>
      <c r="GO4" s="213"/>
      <c r="GP4" s="213"/>
      <c r="GQ4" s="213"/>
      <c r="GR4" s="213"/>
      <c r="GS4" s="213"/>
    </row>
    <row r="5" spans="1:201" x14ac:dyDescent="0.2">
      <c r="A5" s="12" t="s">
        <v>19</v>
      </c>
      <c r="B5" s="13" t="s">
        <v>329</v>
      </c>
      <c r="C5" s="13" t="s">
        <v>330</v>
      </c>
      <c r="D5" s="13" t="s">
        <v>331</v>
      </c>
      <c r="E5" s="13" t="s">
        <v>332</v>
      </c>
      <c r="F5" s="13" t="s">
        <v>333</v>
      </c>
      <c r="G5" s="13" t="s">
        <v>334</v>
      </c>
      <c r="H5" s="13" t="s">
        <v>335</v>
      </c>
      <c r="I5" s="13" t="s">
        <v>336</v>
      </c>
      <c r="J5" s="13" t="s">
        <v>337</v>
      </c>
      <c r="K5" s="13" t="s">
        <v>338</v>
      </c>
      <c r="L5" s="13" t="s">
        <v>339</v>
      </c>
      <c r="M5" s="13" t="s">
        <v>340</v>
      </c>
      <c r="N5" s="13" t="s">
        <v>341</v>
      </c>
      <c r="O5" s="13" t="s">
        <v>342</v>
      </c>
      <c r="P5" s="13" t="s">
        <v>343</v>
      </c>
      <c r="Q5" s="13" t="s">
        <v>344</v>
      </c>
      <c r="R5" s="13" t="s">
        <v>345</v>
      </c>
      <c r="S5" s="13" t="s">
        <v>346</v>
      </c>
      <c r="T5" s="13" t="s">
        <v>347</v>
      </c>
      <c r="U5" s="13" t="s">
        <v>348</v>
      </c>
      <c r="V5" s="13" t="s">
        <v>349</v>
      </c>
      <c r="W5" s="13" t="s">
        <v>350</v>
      </c>
      <c r="X5" s="13" t="s">
        <v>351</v>
      </c>
      <c r="Y5" s="13" t="s">
        <v>352</v>
      </c>
      <c r="Z5" s="13" t="s">
        <v>353</v>
      </c>
      <c r="AA5" s="13" t="s">
        <v>354</v>
      </c>
      <c r="AB5" s="13" t="s">
        <v>355</v>
      </c>
      <c r="AC5" s="13" t="s">
        <v>356</v>
      </c>
      <c r="AD5" s="13" t="s">
        <v>357</v>
      </c>
      <c r="AE5" s="13" t="s">
        <v>358</v>
      </c>
      <c r="AF5" s="13" t="s">
        <v>359</v>
      </c>
      <c r="AG5" s="13" t="s">
        <v>360</v>
      </c>
      <c r="AH5" s="13" t="s">
        <v>361</v>
      </c>
      <c r="AI5" s="13" t="s">
        <v>362</v>
      </c>
      <c r="AJ5" s="13" t="s">
        <v>363</v>
      </c>
      <c r="AK5" s="13" t="s">
        <v>364</v>
      </c>
      <c r="AL5" s="13" t="s">
        <v>365</v>
      </c>
      <c r="AM5" s="13" t="s">
        <v>366</v>
      </c>
      <c r="AN5" s="13" t="s">
        <v>367</v>
      </c>
      <c r="AO5" s="13" t="s">
        <v>368</v>
      </c>
      <c r="AP5" s="13" t="s">
        <v>369</v>
      </c>
      <c r="AQ5" s="13" t="s">
        <v>370</v>
      </c>
      <c r="AR5" s="13" t="s">
        <v>371</v>
      </c>
      <c r="AS5" s="13" t="s">
        <v>372</v>
      </c>
      <c r="AT5" s="13" t="s">
        <v>373</v>
      </c>
      <c r="AU5" s="13" t="s">
        <v>374</v>
      </c>
      <c r="AV5" s="13" t="s">
        <v>375</v>
      </c>
      <c r="AW5" s="13" t="s">
        <v>376</v>
      </c>
      <c r="AX5" s="13" t="s">
        <v>377</v>
      </c>
      <c r="AY5" s="13" t="s">
        <v>378</v>
      </c>
      <c r="AZ5" s="13" t="s">
        <v>379</v>
      </c>
      <c r="BA5" s="13" t="s">
        <v>380</v>
      </c>
      <c r="BB5" s="13" t="s">
        <v>381</v>
      </c>
      <c r="BC5" s="13" t="s">
        <v>382</v>
      </c>
      <c r="BD5" s="13" t="s">
        <v>383</v>
      </c>
      <c r="BE5" s="13" t="s">
        <v>384</v>
      </c>
      <c r="BF5" s="13" t="s">
        <v>385</v>
      </c>
      <c r="BG5" s="13" t="s">
        <v>386</v>
      </c>
      <c r="BH5" s="13" t="s">
        <v>387</v>
      </c>
      <c r="BI5" s="13" t="s">
        <v>388</v>
      </c>
      <c r="BJ5" s="13" t="s">
        <v>389</v>
      </c>
      <c r="BK5" s="13" t="s">
        <v>390</v>
      </c>
      <c r="BL5" s="13" t="s">
        <v>391</v>
      </c>
      <c r="BM5" s="13" t="s">
        <v>392</v>
      </c>
      <c r="BN5" s="13" t="s">
        <v>393</v>
      </c>
      <c r="BO5" s="13" t="s">
        <v>394</v>
      </c>
      <c r="BP5" s="13" t="s">
        <v>395</v>
      </c>
      <c r="BQ5" s="13" t="s">
        <v>396</v>
      </c>
      <c r="BR5" s="13" t="s">
        <v>397</v>
      </c>
      <c r="BS5" s="13" t="s">
        <v>398</v>
      </c>
      <c r="BT5" s="13" t="s">
        <v>399</v>
      </c>
      <c r="BU5" s="13" t="s">
        <v>400</v>
      </c>
      <c r="BV5" s="13" t="s">
        <v>401</v>
      </c>
      <c r="BW5" s="13" t="s">
        <v>402</v>
      </c>
      <c r="BX5" s="13" t="s">
        <v>403</v>
      </c>
      <c r="BY5" s="13" t="s">
        <v>404</v>
      </c>
      <c r="BZ5" s="13" t="s">
        <v>405</v>
      </c>
      <c r="CA5" s="13" t="s">
        <v>406</v>
      </c>
      <c r="CB5" s="13" t="s">
        <v>407</v>
      </c>
      <c r="CC5" s="13" t="s">
        <v>408</v>
      </c>
      <c r="CD5" s="13" t="s">
        <v>409</v>
      </c>
      <c r="CE5" s="13" t="s">
        <v>410</v>
      </c>
      <c r="CF5" s="13" t="s">
        <v>411</v>
      </c>
      <c r="CG5" s="13" t="s">
        <v>412</v>
      </c>
      <c r="CH5" s="13" t="s">
        <v>413</v>
      </c>
      <c r="CI5" s="13" t="s">
        <v>414</v>
      </c>
      <c r="CJ5" s="13" t="s">
        <v>415</v>
      </c>
      <c r="CK5" s="13" t="s">
        <v>416</v>
      </c>
      <c r="CL5" s="13" t="s">
        <v>417</v>
      </c>
      <c r="CM5" s="13" t="s">
        <v>418</v>
      </c>
      <c r="CN5" s="13" t="s">
        <v>419</v>
      </c>
      <c r="CO5" s="13" t="s">
        <v>420</v>
      </c>
      <c r="CP5" s="13" t="s">
        <v>421</v>
      </c>
      <c r="CQ5" s="13" t="s">
        <v>422</v>
      </c>
      <c r="CR5" s="13" t="s">
        <v>423</v>
      </c>
      <c r="CS5" s="13" t="s">
        <v>424</v>
      </c>
      <c r="CT5" s="13" t="s">
        <v>425</v>
      </c>
      <c r="CU5" s="13" t="s">
        <v>426</v>
      </c>
      <c r="CV5" s="13" t="s">
        <v>427</v>
      </c>
      <c r="CW5" s="13" t="s">
        <v>428</v>
      </c>
      <c r="CX5" s="13" t="s">
        <v>429</v>
      </c>
      <c r="CY5" s="13" t="s">
        <v>430</v>
      </c>
      <c r="CZ5" s="13" t="s">
        <v>431</v>
      </c>
      <c r="DA5" s="13" t="s">
        <v>432</v>
      </c>
      <c r="DB5" s="13" t="s">
        <v>433</v>
      </c>
      <c r="DC5" s="13" t="s">
        <v>434</v>
      </c>
      <c r="DD5" s="13" t="s">
        <v>435</v>
      </c>
      <c r="DE5" s="13" t="s">
        <v>436</v>
      </c>
      <c r="DF5" s="13" t="s">
        <v>437</v>
      </c>
      <c r="DG5" s="13" t="s">
        <v>438</v>
      </c>
      <c r="DH5" s="13" t="s">
        <v>439</v>
      </c>
      <c r="DI5" s="13" t="s">
        <v>440</v>
      </c>
      <c r="DJ5" s="13" t="s">
        <v>441</v>
      </c>
      <c r="DK5" s="13" t="s">
        <v>442</v>
      </c>
      <c r="DL5" s="13" t="s">
        <v>443</v>
      </c>
      <c r="DM5" s="13" t="s">
        <v>444</v>
      </c>
      <c r="DN5" s="13" t="s">
        <v>445</v>
      </c>
      <c r="DO5" s="13" t="s">
        <v>446</v>
      </c>
      <c r="DP5" s="13" t="s">
        <v>447</v>
      </c>
      <c r="DQ5" s="13" t="s">
        <v>448</v>
      </c>
      <c r="DR5" s="13" t="s">
        <v>449</v>
      </c>
      <c r="DS5" s="13" t="s">
        <v>450</v>
      </c>
      <c r="DT5" s="13" t="s">
        <v>451</v>
      </c>
      <c r="DU5" s="13" t="s">
        <v>452</v>
      </c>
      <c r="DV5" s="13" t="s">
        <v>453</v>
      </c>
      <c r="DW5" s="13" t="s">
        <v>454</v>
      </c>
      <c r="DX5" s="13" t="s">
        <v>455</v>
      </c>
      <c r="DY5" s="13" t="s">
        <v>456</v>
      </c>
      <c r="DZ5" s="13" t="s">
        <v>457</v>
      </c>
      <c r="EA5" s="13" t="s">
        <v>458</v>
      </c>
      <c r="EB5" s="13" t="s">
        <v>459</v>
      </c>
      <c r="EC5" s="13" t="s">
        <v>460</v>
      </c>
      <c r="ED5" s="13" t="s">
        <v>461</v>
      </c>
      <c r="EE5" s="13" t="s">
        <v>462</v>
      </c>
      <c r="EF5" s="13" t="s">
        <v>463</v>
      </c>
      <c r="EG5" s="13" t="s">
        <v>464</v>
      </c>
      <c r="EH5" s="13" t="s">
        <v>465</v>
      </c>
      <c r="EI5" s="13" t="s">
        <v>466</v>
      </c>
      <c r="EJ5" s="13" t="s">
        <v>467</v>
      </c>
      <c r="EK5" s="13" t="s">
        <v>468</v>
      </c>
      <c r="EL5" s="13" t="s">
        <v>469</v>
      </c>
      <c r="EM5" s="13" t="s">
        <v>470</v>
      </c>
      <c r="EN5" s="13" t="s">
        <v>471</v>
      </c>
      <c r="EO5" s="13" t="s">
        <v>472</v>
      </c>
      <c r="EP5" s="13" t="s">
        <v>473</v>
      </c>
      <c r="EQ5" s="13" t="s">
        <v>474</v>
      </c>
      <c r="ER5" s="13" t="s">
        <v>475</v>
      </c>
      <c r="ES5" s="13" t="s">
        <v>476</v>
      </c>
      <c r="ET5" s="13" t="s">
        <v>477</v>
      </c>
      <c r="EU5" s="13" t="s">
        <v>478</v>
      </c>
      <c r="EV5" s="13" t="s">
        <v>479</v>
      </c>
      <c r="EW5" s="13" t="s">
        <v>480</v>
      </c>
      <c r="EX5" s="13" t="s">
        <v>481</v>
      </c>
      <c r="EY5" s="13" t="s">
        <v>482</v>
      </c>
      <c r="EZ5" s="13" t="s">
        <v>483</v>
      </c>
      <c r="FA5" s="13" t="s">
        <v>484</v>
      </c>
      <c r="FB5" s="13" t="s">
        <v>485</v>
      </c>
      <c r="FC5" s="13" t="s">
        <v>486</v>
      </c>
      <c r="FD5" s="13" t="s">
        <v>487</v>
      </c>
      <c r="FE5" s="13" t="s">
        <v>488</v>
      </c>
      <c r="FF5" s="13" t="s">
        <v>489</v>
      </c>
      <c r="FG5" s="13" t="s">
        <v>490</v>
      </c>
      <c r="FH5" s="13" t="s">
        <v>491</v>
      </c>
      <c r="FI5" s="13" t="s">
        <v>492</v>
      </c>
      <c r="FJ5" s="13" t="s">
        <v>493</v>
      </c>
      <c r="FK5" s="13" t="s">
        <v>494</v>
      </c>
      <c r="FL5" s="13" t="s">
        <v>495</v>
      </c>
      <c r="FM5" s="13" t="s">
        <v>496</v>
      </c>
      <c r="FN5" s="13" t="s">
        <v>497</v>
      </c>
      <c r="FO5" s="13" t="s">
        <v>498</v>
      </c>
      <c r="FP5" s="13" t="s">
        <v>499</v>
      </c>
      <c r="FQ5" s="13" t="s">
        <v>500</v>
      </c>
      <c r="FR5" s="13" t="s">
        <v>501</v>
      </c>
      <c r="FS5" s="13" t="s">
        <v>502</v>
      </c>
      <c r="FT5" s="13" t="s">
        <v>503</v>
      </c>
      <c r="FU5" s="13" t="s">
        <v>504</v>
      </c>
      <c r="FV5" s="13" t="s">
        <v>505</v>
      </c>
      <c r="FW5" s="13" t="s">
        <v>506</v>
      </c>
      <c r="FX5" s="13" t="s">
        <v>507</v>
      </c>
      <c r="FY5" s="13" t="s">
        <v>508</v>
      </c>
      <c r="FZ5" s="13" t="s">
        <v>509</v>
      </c>
      <c r="GA5" s="13" t="s">
        <v>510</v>
      </c>
      <c r="GB5" s="13" t="s">
        <v>511</v>
      </c>
      <c r="GC5" s="13" t="s">
        <v>512</v>
      </c>
      <c r="GD5" s="13" t="s">
        <v>513</v>
      </c>
      <c r="GE5" s="13" t="s">
        <v>514</v>
      </c>
      <c r="GF5" s="13" t="s">
        <v>515</v>
      </c>
      <c r="GG5" s="13" t="s">
        <v>516</v>
      </c>
      <c r="GH5" s="13" t="s">
        <v>517</v>
      </c>
      <c r="GI5" s="13" t="s">
        <v>518</v>
      </c>
      <c r="GJ5" s="13" t="s">
        <v>519</v>
      </c>
      <c r="GK5" s="13" t="s">
        <v>520</v>
      </c>
      <c r="GL5" s="13" t="s">
        <v>521</v>
      </c>
      <c r="GM5" s="13" t="s">
        <v>522</v>
      </c>
      <c r="GN5" s="13" t="s">
        <v>523</v>
      </c>
      <c r="GO5" s="13" t="s">
        <v>524</v>
      </c>
      <c r="GP5" s="13" t="s">
        <v>525</v>
      </c>
      <c r="GQ5" s="13" t="s">
        <v>526</v>
      </c>
      <c r="GR5" s="13" t="s">
        <v>527</v>
      </c>
      <c r="GS5" s="13" t="s">
        <v>528</v>
      </c>
    </row>
    <row r="6" spans="1:201" x14ac:dyDescent="0.2">
      <c r="A6" s="15" t="s">
        <v>5</v>
      </c>
      <c r="B6" s="16">
        <v>1</v>
      </c>
      <c r="C6" s="16">
        <v>4</v>
      </c>
      <c r="D6" s="16">
        <v>7</v>
      </c>
      <c r="E6" s="16">
        <v>10</v>
      </c>
      <c r="F6" s="16">
        <v>13</v>
      </c>
      <c r="G6" s="16">
        <v>16</v>
      </c>
      <c r="H6" s="16">
        <v>19</v>
      </c>
      <c r="I6" s="16">
        <v>22</v>
      </c>
      <c r="J6" s="16">
        <v>25</v>
      </c>
      <c r="K6" s="16">
        <v>28</v>
      </c>
      <c r="L6" s="16">
        <v>31</v>
      </c>
      <c r="M6" s="16">
        <v>34</v>
      </c>
      <c r="N6" s="16">
        <v>37</v>
      </c>
      <c r="O6" s="16">
        <v>40</v>
      </c>
      <c r="P6" s="16">
        <v>43</v>
      </c>
      <c r="Q6" s="16">
        <v>46</v>
      </c>
      <c r="R6" s="16">
        <v>49</v>
      </c>
      <c r="S6" s="16">
        <v>52</v>
      </c>
      <c r="T6" s="16">
        <v>55</v>
      </c>
      <c r="U6" s="16">
        <v>58</v>
      </c>
      <c r="V6" s="16">
        <v>61</v>
      </c>
      <c r="W6" s="16">
        <v>64</v>
      </c>
      <c r="X6" s="16">
        <v>67</v>
      </c>
      <c r="Y6" s="16">
        <v>70</v>
      </c>
      <c r="Z6" s="16">
        <v>73</v>
      </c>
      <c r="AA6" s="16">
        <v>76</v>
      </c>
      <c r="AB6" s="16">
        <v>79</v>
      </c>
      <c r="AC6" s="16">
        <v>82</v>
      </c>
      <c r="AD6" s="16">
        <v>85</v>
      </c>
      <c r="AE6" s="16">
        <v>88</v>
      </c>
      <c r="AF6" s="16">
        <v>91</v>
      </c>
      <c r="AG6" s="16">
        <v>94</v>
      </c>
      <c r="AH6" s="16">
        <v>97</v>
      </c>
      <c r="AI6" s="16">
        <v>100</v>
      </c>
      <c r="AJ6" s="16">
        <v>103</v>
      </c>
      <c r="AK6" s="16">
        <v>106</v>
      </c>
      <c r="AL6" s="16">
        <v>109</v>
      </c>
      <c r="AM6" s="16">
        <v>112</v>
      </c>
      <c r="AN6" s="16">
        <v>115</v>
      </c>
      <c r="AO6" s="16">
        <v>118</v>
      </c>
      <c r="AP6" s="16">
        <v>121</v>
      </c>
      <c r="AQ6" s="16">
        <v>124</v>
      </c>
      <c r="AR6" s="16">
        <v>127</v>
      </c>
      <c r="AS6" s="16">
        <v>130</v>
      </c>
      <c r="AT6" s="16">
        <v>133</v>
      </c>
      <c r="AU6" s="16">
        <v>136</v>
      </c>
      <c r="AV6" s="16">
        <v>139</v>
      </c>
      <c r="AW6" s="16">
        <v>142</v>
      </c>
      <c r="AX6" s="16">
        <v>145</v>
      </c>
      <c r="AY6" s="16">
        <v>148</v>
      </c>
      <c r="AZ6" s="16">
        <v>151</v>
      </c>
      <c r="BA6" s="16">
        <v>154</v>
      </c>
      <c r="BB6" s="16">
        <v>157</v>
      </c>
      <c r="BC6" s="16">
        <v>160</v>
      </c>
      <c r="BD6" s="16">
        <v>163</v>
      </c>
      <c r="BE6" s="16">
        <v>166</v>
      </c>
      <c r="BF6" s="16">
        <v>169</v>
      </c>
      <c r="BG6" s="16">
        <v>172</v>
      </c>
      <c r="BH6" s="16">
        <v>175</v>
      </c>
      <c r="BI6" s="16">
        <v>178</v>
      </c>
      <c r="BJ6" s="16">
        <v>181</v>
      </c>
      <c r="BK6" s="16">
        <v>184</v>
      </c>
      <c r="BL6" s="16">
        <v>187</v>
      </c>
      <c r="BM6" s="16">
        <v>190</v>
      </c>
      <c r="BN6" s="16">
        <v>193</v>
      </c>
      <c r="BO6" s="16">
        <v>196</v>
      </c>
      <c r="BP6" s="16">
        <v>199</v>
      </c>
      <c r="BQ6" s="16">
        <v>202</v>
      </c>
      <c r="BR6" s="16">
        <v>205</v>
      </c>
      <c r="BS6" s="16">
        <v>208</v>
      </c>
      <c r="BT6" s="16">
        <v>211</v>
      </c>
      <c r="BU6" s="16">
        <v>214</v>
      </c>
      <c r="BV6" s="16">
        <v>217</v>
      </c>
      <c r="BW6" s="16">
        <v>220</v>
      </c>
      <c r="BX6" s="16">
        <v>223</v>
      </c>
      <c r="BY6" s="16">
        <v>226</v>
      </c>
      <c r="BZ6" s="16">
        <v>229</v>
      </c>
      <c r="CA6" s="16">
        <v>232</v>
      </c>
      <c r="CB6" s="16">
        <v>235</v>
      </c>
      <c r="CC6" s="16">
        <v>238</v>
      </c>
      <c r="CD6" s="16">
        <v>241</v>
      </c>
      <c r="CE6" s="16">
        <v>244</v>
      </c>
      <c r="CF6" s="16">
        <v>247</v>
      </c>
      <c r="CG6" s="16">
        <v>250</v>
      </c>
      <c r="CH6" s="16">
        <v>253</v>
      </c>
      <c r="CI6" s="16">
        <v>256</v>
      </c>
      <c r="CJ6" s="16">
        <v>259</v>
      </c>
      <c r="CK6" s="16">
        <v>262</v>
      </c>
      <c r="CL6" s="16">
        <v>265</v>
      </c>
      <c r="CM6" s="16">
        <v>268</v>
      </c>
      <c r="CN6" s="16">
        <v>271</v>
      </c>
      <c r="CO6" s="16">
        <v>274</v>
      </c>
      <c r="CP6" s="16">
        <v>277</v>
      </c>
      <c r="CQ6" s="16">
        <v>280</v>
      </c>
      <c r="CR6" s="16">
        <v>283</v>
      </c>
      <c r="CS6" s="16">
        <v>286</v>
      </c>
      <c r="CT6" s="16">
        <v>289</v>
      </c>
      <c r="CU6" s="16">
        <v>292</v>
      </c>
      <c r="CV6" s="16">
        <v>295</v>
      </c>
      <c r="CW6" s="16">
        <v>298</v>
      </c>
      <c r="CX6" s="16">
        <v>301</v>
      </c>
      <c r="CY6" s="16">
        <v>304</v>
      </c>
      <c r="CZ6" s="16">
        <v>307</v>
      </c>
      <c r="DA6" s="16">
        <v>310</v>
      </c>
      <c r="DB6" s="16">
        <v>313</v>
      </c>
      <c r="DC6" s="16">
        <v>316</v>
      </c>
      <c r="DD6" s="16">
        <v>319</v>
      </c>
      <c r="DE6" s="16">
        <v>322</v>
      </c>
      <c r="DF6" s="16">
        <v>325</v>
      </c>
      <c r="DG6" s="16">
        <v>328</v>
      </c>
      <c r="DH6" s="16">
        <v>331</v>
      </c>
      <c r="DI6" s="16">
        <v>334</v>
      </c>
      <c r="DJ6" s="16">
        <v>337</v>
      </c>
      <c r="DK6" s="16">
        <v>340</v>
      </c>
      <c r="DL6" s="16">
        <v>343</v>
      </c>
      <c r="DM6" s="16">
        <v>346</v>
      </c>
      <c r="DN6" s="16">
        <v>349</v>
      </c>
      <c r="DO6" s="16">
        <v>352</v>
      </c>
      <c r="DP6" s="16">
        <v>355</v>
      </c>
      <c r="DQ6" s="16">
        <v>358</v>
      </c>
      <c r="DR6" s="16">
        <v>361</v>
      </c>
      <c r="DS6" s="16">
        <v>364</v>
      </c>
      <c r="DT6" s="16">
        <v>367</v>
      </c>
      <c r="DU6" s="16">
        <v>370</v>
      </c>
      <c r="DV6" s="16">
        <v>373</v>
      </c>
      <c r="DW6" s="16">
        <v>376</v>
      </c>
      <c r="DX6" s="16">
        <v>379</v>
      </c>
      <c r="DY6" s="16">
        <v>382</v>
      </c>
      <c r="DZ6" s="16">
        <v>385</v>
      </c>
      <c r="EA6" s="16">
        <v>388</v>
      </c>
      <c r="EB6" s="16">
        <v>391</v>
      </c>
      <c r="EC6" s="16">
        <v>394</v>
      </c>
      <c r="ED6" s="16">
        <v>397</v>
      </c>
      <c r="EE6" s="16">
        <v>400</v>
      </c>
      <c r="EF6" s="16">
        <v>403</v>
      </c>
      <c r="EG6" s="16">
        <v>406</v>
      </c>
      <c r="EH6" s="16">
        <v>409</v>
      </c>
      <c r="EI6" s="16">
        <v>412</v>
      </c>
      <c r="EJ6" s="16">
        <v>415</v>
      </c>
      <c r="EK6" s="16">
        <v>418</v>
      </c>
      <c r="EL6" s="16">
        <v>421</v>
      </c>
      <c r="EM6" s="16">
        <v>424</v>
      </c>
      <c r="EN6" s="16">
        <v>427</v>
      </c>
      <c r="EO6" s="16">
        <v>430</v>
      </c>
      <c r="EP6" s="16">
        <v>433</v>
      </c>
      <c r="EQ6" s="16">
        <v>436</v>
      </c>
      <c r="ER6" s="16">
        <v>439</v>
      </c>
      <c r="ES6" s="16">
        <v>442</v>
      </c>
      <c r="ET6" s="16">
        <v>445</v>
      </c>
      <c r="EU6" s="16">
        <v>448</v>
      </c>
      <c r="EV6" s="16">
        <v>451</v>
      </c>
      <c r="EW6" s="16">
        <v>454</v>
      </c>
      <c r="EX6" s="16">
        <v>457</v>
      </c>
      <c r="EY6" s="16">
        <v>460</v>
      </c>
      <c r="EZ6" s="16">
        <v>463</v>
      </c>
      <c r="FA6" s="16">
        <v>466</v>
      </c>
      <c r="FB6" s="16">
        <v>469</v>
      </c>
      <c r="FC6" s="16">
        <v>472</v>
      </c>
      <c r="FD6" s="16">
        <v>475</v>
      </c>
      <c r="FE6" s="16">
        <v>478</v>
      </c>
      <c r="FF6" s="16">
        <v>481</v>
      </c>
      <c r="FG6" s="16">
        <v>484</v>
      </c>
      <c r="FH6" s="16">
        <v>487</v>
      </c>
      <c r="FI6" s="16">
        <v>490</v>
      </c>
      <c r="FJ6" s="16">
        <v>493</v>
      </c>
      <c r="FK6" s="16">
        <v>496</v>
      </c>
      <c r="FL6" s="16">
        <v>499</v>
      </c>
      <c r="FM6" s="16">
        <v>502</v>
      </c>
      <c r="FN6" s="16">
        <v>505</v>
      </c>
      <c r="FO6" s="16">
        <v>508</v>
      </c>
      <c r="FP6" s="16">
        <v>511</v>
      </c>
      <c r="FQ6" s="16">
        <v>514</v>
      </c>
      <c r="FR6" s="16">
        <v>517</v>
      </c>
      <c r="FS6" s="16">
        <v>520</v>
      </c>
      <c r="FT6" s="16">
        <v>523</v>
      </c>
      <c r="FU6" s="16">
        <v>526</v>
      </c>
      <c r="FV6" s="16">
        <v>529</v>
      </c>
      <c r="FW6" s="16">
        <v>532</v>
      </c>
      <c r="FX6" s="16">
        <v>535</v>
      </c>
      <c r="FY6" s="16">
        <v>538</v>
      </c>
      <c r="FZ6" s="16">
        <v>541</v>
      </c>
      <c r="GA6" s="16">
        <v>544</v>
      </c>
      <c r="GB6" s="16">
        <v>547</v>
      </c>
      <c r="GC6" s="16">
        <v>550</v>
      </c>
      <c r="GD6" s="16">
        <v>553</v>
      </c>
      <c r="GE6" s="16">
        <v>556</v>
      </c>
      <c r="GF6" s="16">
        <v>559</v>
      </c>
      <c r="GG6" s="16">
        <v>562</v>
      </c>
      <c r="GH6" s="16">
        <v>565</v>
      </c>
      <c r="GI6" s="16">
        <v>568</v>
      </c>
      <c r="GJ6" s="16">
        <v>571</v>
      </c>
      <c r="GK6" s="16">
        <v>574</v>
      </c>
      <c r="GL6" s="16">
        <v>577</v>
      </c>
      <c r="GM6" s="16">
        <v>580</v>
      </c>
      <c r="GN6" s="16">
        <v>583</v>
      </c>
      <c r="GO6" s="16">
        <v>586</v>
      </c>
      <c r="GP6" s="16">
        <v>589</v>
      </c>
      <c r="GQ6" s="16">
        <v>592</v>
      </c>
      <c r="GR6" s="16">
        <v>595</v>
      </c>
      <c r="GS6" s="16">
        <v>598</v>
      </c>
    </row>
    <row r="7" spans="1:201" x14ac:dyDescent="0.2">
      <c r="A7" s="15" t="s">
        <v>6</v>
      </c>
      <c r="B7" s="16">
        <v>2</v>
      </c>
      <c r="C7" s="16">
        <v>5</v>
      </c>
      <c r="D7" s="16">
        <v>8</v>
      </c>
      <c r="E7" s="16">
        <v>11</v>
      </c>
      <c r="F7" s="16">
        <v>14</v>
      </c>
      <c r="G7" s="16">
        <v>17</v>
      </c>
      <c r="H7" s="16">
        <v>20</v>
      </c>
      <c r="I7" s="16">
        <v>23</v>
      </c>
      <c r="J7" s="16">
        <v>26</v>
      </c>
      <c r="K7" s="16">
        <v>29</v>
      </c>
      <c r="L7" s="16">
        <v>32</v>
      </c>
      <c r="M7" s="16">
        <v>35</v>
      </c>
      <c r="N7" s="16">
        <v>38</v>
      </c>
      <c r="O7" s="16">
        <v>41</v>
      </c>
      <c r="P7" s="16">
        <v>44</v>
      </c>
      <c r="Q7" s="16">
        <v>47</v>
      </c>
      <c r="R7" s="16">
        <v>50</v>
      </c>
      <c r="S7" s="16">
        <v>53</v>
      </c>
      <c r="T7" s="16">
        <v>56</v>
      </c>
      <c r="U7" s="16">
        <v>59</v>
      </c>
      <c r="V7" s="16">
        <v>62</v>
      </c>
      <c r="W7" s="16">
        <v>65</v>
      </c>
      <c r="X7" s="16">
        <v>68</v>
      </c>
      <c r="Y7" s="16">
        <v>71</v>
      </c>
      <c r="Z7" s="16">
        <v>74</v>
      </c>
      <c r="AA7" s="16">
        <v>77</v>
      </c>
      <c r="AB7" s="16">
        <v>80</v>
      </c>
      <c r="AC7" s="16">
        <v>83</v>
      </c>
      <c r="AD7" s="16">
        <v>86</v>
      </c>
      <c r="AE7" s="16">
        <v>89</v>
      </c>
      <c r="AF7" s="16">
        <v>92</v>
      </c>
      <c r="AG7" s="16">
        <v>95</v>
      </c>
      <c r="AH7" s="16">
        <v>98</v>
      </c>
      <c r="AI7" s="16">
        <v>101</v>
      </c>
      <c r="AJ7" s="16">
        <v>104</v>
      </c>
      <c r="AK7" s="16">
        <v>107</v>
      </c>
      <c r="AL7" s="16">
        <v>110</v>
      </c>
      <c r="AM7" s="16">
        <v>113</v>
      </c>
      <c r="AN7" s="16">
        <v>116</v>
      </c>
      <c r="AO7" s="16">
        <v>119</v>
      </c>
      <c r="AP7" s="16">
        <v>122</v>
      </c>
      <c r="AQ7" s="16">
        <v>125</v>
      </c>
      <c r="AR7" s="16">
        <v>128</v>
      </c>
      <c r="AS7" s="16">
        <v>131</v>
      </c>
      <c r="AT7" s="16">
        <v>134</v>
      </c>
      <c r="AU7" s="16">
        <v>137</v>
      </c>
      <c r="AV7" s="16">
        <v>140</v>
      </c>
      <c r="AW7" s="16">
        <v>143</v>
      </c>
      <c r="AX7" s="16">
        <v>146</v>
      </c>
      <c r="AY7" s="16">
        <v>149</v>
      </c>
      <c r="AZ7" s="16">
        <v>152</v>
      </c>
      <c r="BA7" s="16">
        <v>155</v>
      </c>
      <c r="BB7" s="16">
        <v>158</v>
      </c>
      <c r="BC7" s="16">
        <v>161</v>
      </c>
      <c r="BD7" s="16">
        <v>164</v>
      </c>
      <c r="BE7" s="16">
        <v>167</v>
      </c>
      <c r="BF7" s="16">
        <v>170</v>
      </c>
      <c r="BG7" s="16">
        <v>173</v>
      </c>
      <c r="BH7" s="16">
        <v>176</v>
      </c>
      <c r="BI7" s="16">
        <v>179</v>
      </c>
      <c r="BJ7" s="16">
        <v>182</v>
      </c>
      <c r="BK7" s="16">
        <v>185</v>
      </c>
      <c r="BL7" s="16">
        <v>188</v>
      </c>
      <c r="BM7" s="16">
        <v>191</v>
      </c>
      <c r="BN7" s="16">
        <v>194</v>
      </c>
      <c r="BO7" s="16">
        <v>197</v>
      </c>
      <c r="BP7" s="16">
        <v>200</v>
      </c>
      <c r="BQ7" s="16">
        <v>203</v>
      </c>
      <c r="BR7" s="16">
        <v>206</v>
      </c>
      <c r="BS7" s="16">
        <v>209</v>
      </c>
      <c r="BT7" s="16">
        <v>212</v>
      </c>
      <c r="BU7" s="16">
        <v>215</v>
      </c>
      <c r="BV7" s="16">
        <v>218</v>
      </c>
      <c r="BW7" s="16">
        <v>221</v>
      </c>
      <c r="BX7" s="16">
        <v>224</v>
      </c>
      <c r="BY7" s="16">
        <v>227</v>
      </c>
      <c r="BZ7" s="16">
        <v>230</v>
      </c>
      <c r="CA7" s="16">
        <v>233</v>
      </c>
      <c r="CB7" s="16">
        <v>236</v>
      </c>
      <c r="CC7" s="16">
        <v>239</v>
      </c>
      <c r="CD7" s="16">
        <v>242</v>
      </c>
      <c r="CE7" s="16">
        <v>245</v>
      </c>
      <c r="CF7" s="16">
        <v>248</v>
      </c>
      <c r="CG7" s="16">
        <v>251</v>
      </c>
      <c r="CH7" s="16">
        <v>254</v>
      </c>
      <c r="CI7" s="16">
        <v>257</v>
      </c>
      <c r="CJ7" s="16">
        <v>260</v>
      </c>
      <c r="CK7" s="16">
        <v>263</v>
      </c>
      <c r="CL7" s="16">
        <v>266</v>
      </c>
      <c r="CM7" s="16">
        <v>269</v>
      </c>
      <c r="CN7" s="16">
        <v>272</v>
      </c>
      <c r="CO7" s="16">
        <v>275</v>
      </c>
      <c r="CP7" s="16">
        <v>278</v>
      </c>
      <c r="CQ7" s="16">
        <v>281</v>
      </c>
      <c r="CR7" s="16">
        <v>284</v>
      </c>
      <c r="CS7" s="16">
        <v>287</v>
      </c>
      <c r="CT7" s="16">
        <v>290</v>
      </c>
      <c r="CU7" s="16">
        <v>293</v>
      </c>
      <c r="CV7" s="16">
        <v>296</v>
      </c>
      <c r="CW7" s="16">
        <v>299</v>
      </c>
      <c r="CX7" s="16">
        <v>302</v>
      </c>
      <c r="CY7" s="16">
        <v>305</v>
      </c>
      <c r="CZ7" s="16">
        <v>308</v>
      </c>
      <c r="DA7" s="16">
        <v>311</v>
      </c>
      <c r="DB7" s="16">
        <v>314</v>
      </c>
      <c r="DC7" s="16">
        <v>317</v>
      </c>
      <c r="DD7" s="16">
        <v>320</v>
      </c>
      <c r="DE7" s="16">
        <v>323</v>
      </c>
      <c r="DF7" s="16">
        <v>326</v>
      </c>
      <c r="DG7" s="16">
        <v>329</v>
      </c>
      <c r="DH7" s="16">
        <v>332</v>
      </c>
      <c r="DI7" s="16">
        <v>335</v>
      </c>
      <c r="DJ7" s="16">
        <v>338</v>
      </c>
      <c r="DK7" s="16">
        <v>341</v>
      </c>
      <c r="DL7" s="16">
        <v>344</v>
      </c>
      <c r="DM7" s="16">
        <v>347</v>
      </c>
      <c r="DN7" s="16">
        <v>350</v>
      </c>
      <c r="DO7" s="16">
        <v>353</v>
      </c>
      <c r="DP7" s="16">
        <v>356</v>
      </c>
      <c r="DQ7" s="16">
        <v>359</v>
      </c>
      <c r="DR7" s="16">
        <v>362</v>
      </c>
      <c r="DS7" s="16">
        <v>365</v>
      </c>
      <c r="DT7" s="16">
        <v>368</v>
      </c>
      <c r="DU7" s="16">
        <v>371</v>
      </c>
      <c r="DV7" s="16">
        <v>374</v>
      </c>
      <c r="DW7" s="16">
        <v>377</v>
      </c>
      <c r="DX7" s="16">
        <v>380</v>
      </c>
      <c r="DY7" s="16">
        <v>383</v>
      </c>
      <c r="DZ7" s="16">
        <v>386</v>
      </c>
      <c r="EA7" s="16">
        <v>389</v>
      </c>
      <c r="EB7" s="16">
        <v>392</v>
      </c>
      <c r="EC7" s="16">
        <v>395</v>
      </c>
      <c r="ED7" s="16">
        <v>398</v>
      </c>
      <c r="EE7" s="16">
        <v>401</v>
      </c>
      <c r="EF7" s="16">
        <v>404</v>
      </c>
      <c r="EG7" s="16">
        <v>407</v>
      </c>
      <c r="EH7" s="16">
        <v>410</v>
      </c>
      <c r="EI7" s="16">
        <v>413</v>
      </c>
      <c r="EJ7" s="16">
        <v>416</v>
      </c>
      <c r="EK7" s="16">
        <v>419</v>
      </c>
      <c r="EL7" s="16">
        <v>422</v>
      </c>
      <c r="EM7" s="16">
        <v>425</v>
      </c>
      <c r="EN7" s="16">
        <v>428</v>
      </c>
      <c r="EO7" s="16">
        <v>431</v>
      </c>
      <c r="EP7" s="16">
        <v>434</v>
      </c>
      <c r="EQ7" s="16">
        <v>437</v>
      </c>
      <c r="ER7" s="16">
        <v>440</v>
      </c>
      <c r="ES7" s="16">
        <v>443</v>
      </c>
      <c r="ET7" s="16">
        <v>446</v>
      </c>
      <c r="EU7" s="16">
        <v>449</v>
      </c>
      <c r="EV7" s="16">
        <v>452</v>
      </c>
      <c r="EW7" s="16">
        <v>455</v>
      </c>
      <c r="EX7" s="16">
        <v>458</v>
      </c>
      <c r="EY7" s="16">
        <v>461</v>
      </c>
      <c r="EZ7" s="16">
        <v>464</v>
      </c>
      <c r="FA7" s="16">
        <v>467</v>
      </c>
      <c r="FB7" s="16">
        <v>470</v>
      </c>
      <c r="FC7" s="16">
        <v>473</v>
      </c>
      <c r="FD7" s="16">
        <v>476</v>
      </c>
      <c r="FE7" s="16">
        <v>479</v>
      </c>
      <c r="FF7" s="16">
        <v>482</v>
      </c>
      <c r="FG7" s="16">
        <v>485</v>
      </c>
      <c r="FH7" s="16">
        <v>488</v>
      </c>
      <c r="FI7" s="16">
        <v>491</v>
      </c>
      <c r="FJ7" s="16">
        <v>494</v>
      </c>
      <c r="FK7" s="16">
        <v>497</v>
      </c>
      <c r="FL7" s="16">
        <v>500</v>
      </c>
      <c r="FM7" s="16">
        <v>503</v>
      </c>
      <c r="FN7" s="16">
        <v>506</v>
      </c>
      <c r="FO7" s="16">
        <v>509</v>
      </c>
      <c r="FP7" s="16">
        <v>512</v>
      </c>
      <c r="FQ7" s="16">
        <v>515</v>
      </c>
      <c r="FR7" s="16">
        <v>518</v>
      </c>
      <c r="FS7" s="16">
        <v>521</v>
      </c>
      <c r="FT7" s="16">
        <v>524</v>
      </c>
      <c r="FU7" s="16">
        <v>527</v>
      </c>
      <c r="FV7" s="16">
        <v>530</v>
      </c>
      <c r="FW7" s="16">
        <v>533</v>
      </c>
      <c r="FX7" s="16">
        <v>536</v>
      </c>
      <c r="FY7" s="16">
        <v>539</v>
      </c>
      <c r="FZ7" s="16">
        <v>542</v>
      </c>
      <c r="GA7" s="16">
        <v>545</v>
      </c>
      <c r="GB7" s="16">
        <v>548</v>
      </c>
      <c r="GC7" s="16">
        <v>551</v>
      </c>
      <c r="GD7" s="16">
        <v>554</v>
      </c>
      <c r="GE7" s="16">
        <v>557</v>
      </c>
      <c r="GF7" s="16">
        <v>560</v>
      </c>
      <c r="GG7" s="16">
        <v>563</v>
      </c>
      <c r="GH7" s="16">
        <v>566</v>
      </c>
      <c r="GI7" s="16">
        <v>569</v>
      </c>
      <c r="GJ7" s="16">
        <v>572</v>
      </c>
      <c r="GK7" s="16">
        <v>575</v>
      </c>
      <c r="GL7" s="16">
        <v>578</v>
      </c>
      <c r="GM7" s="16">
        <v>581</v>
      </c>
      <c r="GN7" s="16">
        <v>584</v>
      </c>
      <c r="GO7" s="16">
        <v>587</v>
      </c>
      <c r="GP7" s="16">
        <v>590</v>
      </c>
      <c r="GQ7" s="16">
        <v>593</v>
      </c>
      <c r="GR7" s="16">
        <v>596</v>
      </c>
      <c r="GS7" s="16">
        <v>599</v>
      </c>
    </row>
    <row r="8" spans="1:201" x14ac:dyDescent="0.2">
      <c r="A8" s="18" t="s">
        <v>7</v>
      </c>
      <c r="B8" s="19">
        <v>3</v>
      </c>
      <c r="C8" s="19">
        <v>6</v>
      </c>
      <c r="D8" s="19">
        <v>9</v>
      </c>
      <c r="E8" s="19">
        <v>12</v>
      </c>
      <c r="F8" s="19">
        <v>15</v>
      </c>
      <c r="G8" s="19">
        <v>18</v>
      </c>
      <c r="H8" s="16">
        <v>21</v>
      </c>
      <c r="I8" s="16">
        <v>24</v>
      </c>
      <c r="J8" s="16">
        <v>27</v>
      </c>
      <c r="K8" s="16">
        <v>30</v>
      </c>
      <c r="L8" s="16">
        <v>33</v>
      </c>
      <c r="M8" s="16">
        <v>36</v>
      </c>
      <c r="N8" s="16">
        <v>39</v>
      </c>
      <c r="O8" s="16">
        <v>42</v>
      </c>
      <c r="P8" s="16">
        <v>45</v>
      </c>
      <c r="Q8" s="16">
        <v>48</v>
      </c>
      <c r="R8" s="16">
        <v>51</v>
      </c>
      <c r="S8" s="16">
        <v>54</v>
      </c>
      <c r="T8" s="16">
        <v>57</v>
      </c>
      <c r="U8" s="16">
        <v>60</v>
      </c>
      <c r="V8" s="16">
        <v>63</v>
      </c>
      <c r="W8" s="16">
        <v>66</v>
      </c>
      <c r="X8" s="16">
        <v>69</v>
      </c>
      <c r="Y8" s="16">
        <v>72</v>
      </c>
      <c r="Z8" s="16">
        <v>75</v>
      </c>
      <c r="AA8" s="16">
        <v>78</v>
      </c>
      <c r="AB8" s="16">
        <v>81</v>
      </c>
      <c r="AC8" s="16">
        <v>84</v>
      </c>
      <c r="AD8" s="16">
        <v>87</v>
      </c>
      <c r="AE8" s="16">
        <v>90</v>
      </c>
      <c r="AF8" s="16">
        <v>93</v>
      </c>
      <c r="AG8" s="16">
        <v>96</v>
      </c>
      <c r="AH8" s="16">
        <v>99</v>
      </c>
      <c r="AI8" s="16">
        <v>102</v>
      </c>
      <c r="AJ8" s="16">
        <v>105</v>
      </c>
      <c r="AK8" s="16">
        <v>108</v>
      </c>
      <c r="AL8" s="16">
        <v>111</v>
      </c>
      <c r="AM8" s="16">
        <v>114</v>
      </c>
      <c r="AN8" s="16">
        <v>117</v>
      </c>
      <c r="AO8" s="16">
        <v>120</v>
      </c>
      <c r="AP8" s="16">
        <v>123</v>
      </c>
      <c r="AQ8" s="16">
        <v>126</v>
      </c>
      <c r="AR8" s="16">
        <v>129</v>
      </c>
      <c r="AS8" s="16">
        <v>132</v>
      </c>
      <c r="AT8" s="16">
        <v>135</v>
      </c>
      <c r="AU8" s="16">
        <v>138</v>
      </c>
      <c r="AV8" s="16">
        <v>141</v>
      </c>
      <c r="AW8" s="16">
        <v>144</v>
      </c>
      <c r="AX8" s="16">
        <v>147</v>
      </c>
      <c r="AY8" s="16">
        <v>150</v>
      </c>
      <c r="AZ8" s="16">
        <v>153</v>
      </c>
      <c r="BA8" s="16">
        <v>156</v>
      </c>
      <c r="BB8" s="16">
        <v>159</v>
      </c>
      <c r="BC8" s="16">
        <v>162</v>
      </c>
      <c r="BD8" s="16">
        <v>165</v>
      </c>
      <c r="BE8" s="16">
        <v>168</v>
      </c>
      <c r="BF8" s="16">
        <v>171</v>
      </c>
      <c r="BG8" s="16">
        <v>174</v>
      </c>
      <c r="BH8" s="16">
        <v>177</v>
      </c>
      <c r="BI8" s="16">
        <v>180</v>
      </c>
      <c r="BJ8" s="16">
        <v>183</v>
      </c>
      <c r="BK8" s="16">
        <v>186</v>
      </c>
      <c r="BL8" s="16">
        <v>189</v>
      </c>
      <c r="BM8" s="16">
        <v>192</v>
      </c>
      <c r="BN8" s="16">
        <v>195</v>
      </c>
      <c r="BO8" s="16">
        <v>198</v>
      </c>
      <c r="BP8" s="16">
        <v>201</v>
      </c>
      <c r="BQ8" s="16">
        <v>204</v>
      </c>
      <c r="BR8" s="16">
        <v>207</v>
      </c>
      <c r="BS8" s="16">
        <v>210</v>
      </c>
      <c r="BT8" s="16">
        <v>213</v>
      </c>
      <c r="BU8" s="16">
        <v>216</v>
      </c>
      <c r="BV8" s="16">
        <v>219</v>
      </c>
      <c r="BW8" s="16">
        <v>222</v>
      </c>
      <c r="BX8" s="16">
        <v>225</v>
      </c>
      <c r="BY8" s="16">
        <v>228</v>
      </c>
      <c r="BZ8" s="16">
        <v>231</v>
      </c>
      <c r="CA8" s="16">
        <v>234</v>
      </c>
      <c r="CB8" s="16">
        <v>237</v>
      </c>
      <c r="CC8" s="16">
        <v>240</v>
      </c>
      <c r="CD8" s="16">
        <v>243</v>
      </c>
      <c r="CE8" s="16">
        <v>246</v>
      </c>
      <c r="CF8" s="16">
        <v>249</v>
      </c>
      <c r="CG8" s="16">
        <v>252</v>
      </c>
      <c r="CH8" s="16">
        <v>255</v>
      </c>
      <c r="CI8" s="16">
        <v>258</v>
      </c>
      <c r="CJ8" s="16">
        <v>261</v>
      </c>
      <c r="CK8" s="16">
        <v>264</v>
      </c>
      <c r="CL8" s="16">
        <v>267</v>
      </c>
      <c r="CM8" s="16">
        <v>270</v>
      </c>
      <c r="CN8" s="16">
        <v>273</v>
      </c>
      <c r="CO8" s="16">
        <v>276</v>
      </c>
      <c r="CP8" s="16">
        <v>279</v>
      </c>
      <c r="CQ8" s="16">
        <v>282</v>
      </c>
      <c r="CR8" s="16">
        <v>285</v>
      </c>
      <c r="CS8" s="16">
        <v>288</v>
      </c>
      <c r="CT8" s="16">
        <v>291</v>
      </c>
      <c r="CU8" s="16">
        <v>294</v>
      </c>
      <c r="CV8" s="16">
        <v>297</v>
      </c>
      <c r="CW8" s="16">
        <v>300</v>
      </c>
      <c r="CX8" s="16">
        <v>303</v>
      </c>
      <c r="CY8" s="16">
        <v>306</v>
      </c>
      <c r="CZ8" s="16">
        <v>309</v>
      </c>
      <c r="DA8" s="16">
        <v>312</v>
      </c>
      <c r="DB8" s="16">
        <v>315</v>
      </c>
      <c r="DC8" s="16">
        <v>318</v>
      </c>
      <c r="DD8" s="16">
        <v>321</v>
      </c>
      <c r="DE8" s="16">
        <v>324</v>
      </c>
      <c r="DF8" s="16">
        <v>327</v>
      </c>
      <c r="DG8" s="16">
        <v>330</v>
      </c>
      <c r="DH8" s="16">
        <v>333</v>
      </c>
      <c r="DI8" s="16">
        <v>336</v>
      </c>
      <c r="DJ8" s="16">
        <v>339</v>
      </c>
      <c r="DK8" s="16">
        <v>342</v>
      </c>
      <c r="DL8" s="16">
        <v>345</v>
      </c>
      <c r="DM8" s="16">
        <v>348</v>
      </c>
      <c r="DN8" s="16">
        <v>351</v>
      </c>
      <c r="DO8" s="16">
        <v>354</v>
      </c>
      <c r="DP8" s="16">
        <v>357</v>
      </c>
      <c r="DQ8" s="16">
        <v>360</v>
      </c>
      <c r="DR8" s="16">
        <v>363</v>
      </c>
      <c r="DS8" s="16">
        <v>366</v>
      </c>
      <c r="DT8" s="16">
        <v>369</v>
      </c>
      <c r="DU8" s="16">
        <v>372</v>
      </c>
      <c r="DV8" s="16">
        <v>375</v>
      </c>
      <c r="DW8" s="16">
        <v>378</v>
      </c>
      <c r="DX8" s="16">
        <v>381</v>
      </c>
      <c r="DY8" s="16">
        <v>384</v>
      </c>
      <c r="DZ8" s="16">
        <v>387</v>
      </c>
      <c r="EA8" s="16">
        <v>390</v>
      </c>
      <c r="EB8" s="16">
        <v>393</v>
      </c>
      <c r="EC8" s="16">
        <v>396</v>
      </c>
      <c r="ED8" s="16">
        <v>399</v>
      </c>
      <c r="EE8" s="16">
        <v>402</v>
      </c>
      <c r="EF8" s="16">
        <v>405</v>
      </c>
      <c r="EG8" s="16">
        <v>408</v>
      </c>
      <c r="EH8" s="16">
        <v>411</v>
      </c>
      <c r="EI8" s="16">
        <v>414</v>
      </c>
      <c r="EJ8" s="16">
        <v>417</v>
      </c>
      <c r="EK8" s="16">
        <v>420</v>
      </c>
      <c r="EL8" s="16">
        <v>423</v>
      </c>
      <c r="EM8" s="16">
        <v>426</v>
      </c>
      <c r="EN8" s="16">
        <v>429</v>
      </c>
      <c r="EO8" s="16">
        <v>432</v>
      </c>
      <c r="EP8" s="16">
        <v>435</v>
      </c>
      <c r="EQ8" s="16">
        <v>438</v>
      </c>
      <c r="ER8" s="16">
        <v>441</v>
      </c>
      <c r="ES8" s="16">
        <v>444</v>
      </c>
      <c r="ET8" s="16">
        <v>447</v>
      </c>
      <c r="EU8" s="16">
        <v>450</v>
      </c>
      <c r="EV8" s="16">
        <v>453</v>
      </c>
      <c r="EW8" s="16">
        <v>456</v>
      </c>
      <c r="EX8" s="16">
        <v>459</v>
      </c>
      <c r="EY8" s="16">
        <v>462</v>
      </c>
      <c r="EZ8" s="16">
        <v>465</v>
      </c>
      <c r="FA8" s="16">
        <v>468</v>
      </c>
      <c r="FB8" s="16">
        <v>471</v>
      </c>
      <c r="FC8" s="16">
        <v>474</v>
      </c>
      <c r="FD8" s="16">
        <v>477</v>
      </c>
      <c r="FE8" s="16">
        <v>480</v>
      </c>
      <c r="FF8" s="16">
        <v>483</v>
      </c>
      <c r="FG8" s="16">
        <v>486</v>
      </c>
      <c r="FH8" s="16">
        <v>489</v>
      </c>
      <c r="FI8" s="16">
        <v>492</v>
      </c>
      <c r="FJ8" s="16">
        <v>495</v>
      </c>
      <c r="FK8" s="16">
        <v>498</v>
      </c>
      <c r="FL8" s="16">
        <v>501</v>
      </c>
      <c r="FM8" s="16">
        <v>504</v>
      </c>
      <c r="FN8" s="16">
        <v>507</v>
      </c>
      <c r="FO8" s="16">
        <v>510</v>
      </c>
      <c r="FP8" s="16">
        <v>513</v>
      </c>
      <c r="FQ8" s="16">
        <v>516</v>
      </c>
      <c r="FR8" s="16">
        <v>519</v>
      </c>
      <c r="FS8" s="16">
        <v>522</v>
      </c>
      <c r="FT8" s="16">
        <v>525</v>
      </c>
      <c r="FU8" s="16">
        <v>528</v>
      </c>
      <c r="FV8" s="16">
        <v>531</v>
      </c>
      <c r="FW8" s="16">
        <v>534</v>
      </c>
      <c r="FX8" s="16">
        <v>537</v>
      </c>
      <c r="FY8" s="16">
        <v>540</v>
      </c>
      <c r="FZ8" s="16">
        <v>543</v>
      </c>
      <c r="GA8" s="16">
        <v>546</v>
      </c>
      <c r="GB8" s="16">
        <v>549</v>
      </c>
      <c r="GC8" s="16">
        <v>552</v>
      </c>
      <c r="GD8" s="16">
        <v>555</v>
      </c>
      <c r="GE8" s="16">
        <v>558</v>
      </c>
      <c r="GF8" s="16">
        <v>561</v>
      </c>
      <c r="GG8" s="16">
        <v>564</v>
      </c>
      <c r="GH8" s="16">
        <v>567</v>
      </c>
      <c r="GI8" s="16">
        <v>570</v>
      </c>
      <c r="GJ8" s="16">
        <v>573</v>
      </c>
      <c r="GK8" s="16">
        <v>576</v>
      </c>
      <c r="GL8" s="16">
        <v>579</v>
      </c>
      <c r="GM8" s="16">
        <v>582</v>
      </c>
      <c r="GN8" s="16">
        <v>585</v>
      </c>
      <c r="GO8" s="16">
        <v>588</v>
      </c>
      <c r="GP8" s="16">
        <v>591</v>
      </c>
      <c r="GQ8" s="16">
        <v>594</v>
      </c>
      <c r="GR8" s="16">
        <v>597</v>
      </c>
      <c r="GS8" s="16">
        <v>600</v>
      </c>
    </row>
    <row r="9" spans="1:201" x14ac:dyDescent="0.2">
      <c r="A9" s="18" t="s">
        <v>16</v>
      </c>
      <c r="B9" s="20">
        <v>6</v>
      </c>
      <c r="C9" s="20">
        <v>15</v>
      </c>
      <c r="D9" s="20">
        <v>24</v>
      </c>
      <c r="E9" s="20">
        <v>33</v>
      </c>
      <c r="F9" s="20">
        <v>42</v>
      </c>
      <c r="G9" s="20">
        <v>51</v>
      </c>
      <c r="H9" s="21">
        <v>60</v>
      </c>
      <c r="I9" s="22">
        <v>69</v>
      </c>
      <c r="J9" s="22">
        <v>78</v>
      </c>
      <c r="K9" s="22">
        <v>87</v>
      </c>
      <c r="L9" s="22">
        <v>96</v>
      </c>
      <c r="M9" s="22">
        <v>105</v>
      </c>
      <c r="N9" s="22">
        <v>114</v>
      </c>
      <c r="O9" s="22">
        <v>123</v>
      </c>
      <c r="P9" s="22">
        <v>132</v>
      </c>
      <c r="Q9" s="22">
        <v>141</v>
      </c>
      <c r="R9" s="22">
        <v>150</v>
      </c>
      <c r="S9" s="22">
        <v>159</v>
      </c>
      <c r="T9" s="22">
        <v>168</v>
      </c>
      <c r="U9" s="22">
        <v>177</v>
      </c>
      <c r="V9" s="22">
        <v>186</v>
      </c>
      <c r="W9" s="22">
        <v>195</v>
      </c>
      <c r="X9" s="22">
        <v>204</v>
      </c>
      <c r="Y9" s="22">
        <v>213</v>
      </c>
      <c r="Z9" s="22">
        <v>222</v>
      </c>
      <c r="AA9" s="22">
        <v>231</v>
      </c>
      <c r="AB9" s="22">
        <v>240</v>
      </c>
      <c r="AC9" s="22">
        <v>249</v>
      </c>
      <c r="AD9" s="22">
        <v>258</v>
      </c>
      <c r="AE9" s="22">
        <v>267</v>
      </c>
      <c r="AF9" s="22">
        <v>276</v>
      </c>
      <c r="AG9" s="22">
        <v>285</v>
      </c>
      <c r="AH9" s="22">
        <v>294</v>
      </c>
      <c r="AI9" s="22">
        <v>303</v>
      </c>
      <c r="AJ9" s="22">
        <v>312</v>
      </c>
      <c r="AK9" s="22">
        <v>321</v>
      </c>
      <c r="AL9" s="22">
        <v>330</v>
      </c>
      <c r="AM9" s="22">
        <v>339</v>
      </c>
      <c r="AN9" s="22">
        <v>348</v>
      </c>
      <c r="AO9" s="22">
        <v>357</v>
      </c>
      <c r="AP9" s="22">
        <v>366</v>
      </c>
      <c r="AQ9" s="22">
        <v>375</v>
      </c>
      <c r="AR9" s="22">
        <v>384</v>
      </c>
      <c r="AS9" s="22">
        <v>393</v>
      </c>
      <c r="AT9" s="22">
        <v>402</v>
      </c>
      <c r="AU9" s="22">
        <v>411</v>
      </c>
      <c r="AV9" s="22">
        <v>420</v>
      </c>
      <c r="AW9" s="22">
        <v>429</v>
      </c>
      <c r="AX9" s="22">
        <v>438</v>
      </c>
      <c r="AY9" s="22">
        <v>447</v>
      </c>
      <c r="AZ9" s="22">
        <v>456</v>
      </c>
      <c r="BA9" s="22">
        <v>465</v>
      </c>
      <c r="BB9" s="22">
        <v>474</v>
      </c>
      <c r="BC9" s="22">
        <v>483</v>
      </c>
      <c r="BD9" s="22">
        <v>492</v>
      </c>
      <c r="BE9" s="22">
        <v>501</v>
      </c>
      <c r="BF9" s="22">
        <v>510</v>
      </c>
      <c r="BG9" s="22">
        <v>519</v>
      </c>
      <c r="BH9" s="22">
        <v>528</v>
      </c>
      <c r="BI9" s="22">
        <v>537</v>
      </c>
      <c r="BJ9" s="22">
        <v>546</v>
      </c>
      <c r="BK9" s="22">
        <v>555</v>
      </c>
      <c r="BL9" s="22">
        <v>564</v>
      </c>
      <c r="BM9" s="22">
        <v>573</v>
      </c>
      <c r="BN9" s="22">
        <v>582</v>
      </c>
      <c r="BO9" s="22">
        <v>591</v>
      </c>
      <c r="BP9" s="22">
        <v>600</v>
      </c>
      <c r="BQ9" s="22">
        <v>609</v>
      </c>
      <c r="BR9" s="22">
        <v>618</v>
      </c>
      <c r="BS9" s="22">
        <v>627</v>
      </c>
      <c r="BT9" s="22">
        <v>636</v>
      </c>
      <c r="BU9" s="22">
        <v>645</v>
      </c>
      <c r="BV9" s="22">
        <v>654</v>
      </c>
      <c r="BW9" s="22">
        <v>663</v>
      </c>
      <c r="BX9" s="22">
        <v>672</v>
      </c>
      <c r="BY9" s="22">
        <v>681</v>
      </c>
      <c r="BZ9" s="22">
        <v>690</v>
      </c>
      <c r="CA9" s="22">
        <v>699</v>
      </c>
      <c r="CB9" s="22">
        <v>708</v>
      </c>
      <c r="CC9" s="22">
        <v>717</v>
      </c>
      <c r="CD9" s="22">
        <v>726</v>
      </c>
      <c r="CE9" s="22">
        <v>735</v>
      </c>
      <c r="CF9" s="22">
        <v>744</v>
      </c>
      <c r="CG9" s="22">
        <v>753</v>
      </c>
      <c r="CH9" s="22">
        <v>762</v>
      </c>
      <c r="CI9" s="22">
        <v>771</v>
      </c>
      <c r="CJ9" s="22">
        <v>780</v>
      </c>
      <c r="CK9" s="22">
        <v>789</v>
      </c>
      <c r="CL9" s="22">
        <v>798</v>
      </c>
      <c r="CM9" s="22">
        <v>807</v>
      </c>
      <c r="CN9" s="22">
        <v>816</v>
      </c>
      <c r="CO9" s="22">
        <v>825</v>
      </c>
      <c r="CP9" s="22">
        <v>834</v>
      </c>
      <c r="CQ9" s="22">
        <v>843</v>
      </c>
      <c r="CR9" s="22">
        <v>852</v>
      </c>
      <c r="CS9" s="22">
        <v>861</v>
      </c>
      <c r="CT9" s="22">
        <v>870</v>
      </c>
      <c r="CU9" s="22">
        <v>879</v>
      </c>
      <c r="CV9" s="22">
        <v>888</v>
      </c>
      <c r="CW9" s="22">
        <v>897</v>
      </c>
      <c r="CX9" s="22">
        <v>906</v>
      </c>
      <c r="CY9" s="22">
        <v>915</v>
      </c>
      <c r="CZ9" s="22">
        <v>924</v>
      </c>
      <c r="DA9" s="22">
        <v>933</v>
      </c>
      <c r="DB9" s="22">
        <v>942</v>
      </c>
      <c r="DC9" s="22">
        <v>951</v>
      </c>
      <c r="DD9" s="22">
        <v>960</v>
      </c>
      <c r="DE9" s="22">
        <v>969</v>
      </c>
      <c r="DF9" s="22">
        <v>978</v>
      </c>
      <c r="DG9" s="22">
        <v>987</v>
      </c>
      <c r="DH9" s="22">
        <v>996</v>
      </c>
      <c r="DI9" s="22">
        <v>1005</v>
      </c>
      <c r="DJ9" s="22">
        <v>1014</v>
      </c>
      <c r="DK9" s="22">
        <v>1023</v>
      </c>
      <c r="DL9" s="22">
        <v>1032</v>
      </c>
      <c r="DM9" s="22">
        <v>1041</v>
      </c>
      <c r="DN9" s="22">
        <v>1050</v>
      </c>
      <c r="DO9" s="22">
        <v>1059</v>
      </c>
      <c r="DP9" s="22">
        <v>1068</v>
      </c>
      <c r="DQ9" s="22">
        <v>1077</v>
      </c>
      <c r="DR9" s="22">
        <v>1086</v>
      </c>
      <c r="DS9" s="22">
        <v>1095</v>
      </c>
      <c r="DT9" s="22">
        <v>1104</v>
      </c>
      <c r="DU9" s="22">
        <v>1113</v>
      </c>
      <c r="DV9" s="22">
        <v>1122</v>
      </c>
      <c r="DW9" s="22">
        <v>1131</v>
      </c>
      <c r="DX9" s="22">
        <v>1140</v>
      </c>
      <c r="DY9" s="22">
        <v>1149</v>
      </c>
      <c r="DZ9" s="22">
        <v>1158</v>
      </c>
      <c r="EA9" s="22">
        <v>1167</v>
      </c>
      <c r="EB9" s="22">
        <v>1176</v>
      </c>
      <c r="EC9" s="22">
        <v>1185</v>
      </c>
      <c r="ED9" s="22">
        <v>1194</v>
      </c>
      <c r="EE9" s="22">
        <v>1203</v>
      </c>
      <c r="EF9" s="22">
        <v>1212</v>
      </c>
      <c r="EG9" s="22">
        <v>1221</v>
      </c>
      <c r="EH9" s="22">
        <v>1230</v>
      </c>
      <c r="EI9" s="22">
        <v>1239</v>
      </c>
      <c r="EJ9" s="22">
        <v>1248</v>
      </c>
      <c r="EK9" s="22">
        <v>1257</v>
      </c>
      <c r="EL9" s="22">
        <v>1266</v>
      </c>
      <c r="EM9" s="22">
        <v>1275</v>
      </c>
      <c r="EN9" s="22">
        <v>1284</v>
      </c>
      <c r="EO9" s="22">
        <v>1293</v>
      </c>
      <c r="EP9" s="22">
        <v>1302</v>
      </c>
      <c r="EQ9" s="22">
        <v>1311</v>
      </c>
      <c r="ER9" s="22">
        <v>1320</v>
      </c>
      <c r="ES9" s="22">
        <v>1329</v>
      </c>
      <c r="ET9" s="22">
        <v>1338</v>
      </c>
      <c r="EU9" s="22">
        <v>1347</v>
      </c>
      <c r="EV9" s="22">
        <v>1356</v>
      </c>
      <c r="EW9" s="22">
        <v>1365</v>
      </c>
      <c r="EX9" s="22">
        <v>1374</v>
      </c>
      <c r="EY9" s="22">
        <v>1383</v>
      </c>
      <c r="EZ9" s="22">
        <v>1392</v>
      </c>
      <c r="FA9" s="22">
        <v>1401</v>
      </c>
      <c r="FB9" s="22">
        <v>1410</v>
      </c>
      <c r="FC9" s="22">
        <v>1419</v>
      </c>
      <c r="FD9" s="22">
        <v>1428</v>
      </c>
      <c r="FE9" s="22">
        <v>1437</v>
      </c>
      <c r="FF9" s="22">
        <v>1446</v>
      </c>
      <c r="FG9" s="22">
        <v>1455</v>
      </c>
      <c r="FH9" s="22">
        <v>1464</v>
      </c>
      <c r="FI9" s="22">
        <v>1473</v>
      </c>
      <c r="FJ9" s="22">
        <v>1482</v>
      </c>
      <c r="FK9" s="22">
        <v>1491</v>
      </c>
      <c r="FL9" s="22">
        <v>1500</v>
      </c>
      <c r="FM9" s="22">
        <v>1509</v>
      </c>
      <c r="FN9" s="22">
        <v>1518</v>
      </c>
      <c r="FO9" s="22">
        <v>1527</v>
      </c>
      <c r="FP9" s="22">
        <v>1536</v>
      </c>
      <c r="FQ9" s="22">
        <v>1545</v>
      </c>
      <c r="FR9" s="22">
        <v>1554</v>
      </c>
      <c r="FS9" s="22">
        <v>1563</v>
      </c>
      <c r="FT9" s="22">
        <v>1572</v>
      </c>
      <c r="FU9" s="22">
        <v>1581</v>
      </c>
      <c r="FV9" s="22">
        <v>1590</v>
      </c>
      <c r="FW9" s="22">
        <v>1599</v>
      </c>
      <c r="FX9" s="22">
        <v>1608</v>
      </c>
      <c r="FY9" s="22">
        <v>1617</v>
      </c>
      <c r="FZ9" s="22">
        <v>1626</v>
      </c>
      <c r="GA9" s="22">
        <v>1635</v>
      </c>
      <c r="GB9" s="22">
        <v>1644</v>
      </c>
      <c r="GC9" s="22">
        <v>1653</v>
      </c>
      <c r="GD9" s="22">
        <v>1662</v>
      </c>
      <c r="GE9" s="22">
        <v>1671</v>
      </c>
      <c r="GF9" s="22">
        <v>1680</v>
      </c>
      <c r="GG9" s="22">
        <v>1689</v>
      </c>
      <c r="GH9" s="22">
        <v>1698</v>
      </c>
      <c r="GI9" s="22">
        <v>1707</v>
      </c>
      <c r="GJ9" s="22">
        <v>1716</v>
      </c>
      <c r="GK9" s="22">
        <v>1725</v>
      </c>
      <c r="GL9" s="22">
        <v>1734</v>
      </c>
      <c r="GM9" s="22">
        <v>1743</v>
      </c>
      <c r="GN9" s="22">
        <v>1752</v>
      </c>
      <c r="GO9" s="22">
        <v>1761</v>
      </c>
      <c r="GP9" s="22">
        <v>1770</v>
      </c>
      <c r="GQ9" s="22">
        <v>1779</v>
      </c>
      <c r="GR9" s="22">
        <v>1788</v>
      </c>
      <c r="GS9" s="22">
        <v>1797</v>
      </c>
    </row>
    <row r="10" spans="1:201" x14ac:dyDescent="0.2">
      <c r="A10" s="23" t="s">
        <v>20</v>
      </c>
      <c r="B10" s="24">
        <v>0.39999999999999991</v>
      </c>
      <c r="C10" s="25">
        <v>0.90909090909090895</v>
      </c>
      <c r="D10" s="25">
        <v>1.0980392156862746</v>
      </c>
      <c r="E10" s="25">
        <v>1.1956521739130432</v>
      </c>
      <c r="F10" s="25">
        <v>1.2551724137931033</v>
      </c>
      <c r="G10" s="25">
        <v>1.2952380952380951</v>
      </c>
      <c r="H10" s="25">
        <v>1.3240418118466899</v>
      </c>
      <c r="I10" s="25">
        <v>1.3457446808510636</v>
      </c>
      <c r="J10" s="25">
        <v>1.3626834381551363</v>
      </c>
      <c r="K10" s="25">
        <v>1.3762711864406778</v>
      </c>
      <c r="L10" s="25">
        <v>1.3874125874125878</v>
      </c>
      <c r="M10" s="25">
        <v>1.396713615023474</v>
      </c>
      <c r="N10" s="25">
        <v>1.4045954045954046</v>
      </c>
      <c r="O10" s="25">
        <v>1.4113597246127365</v>
      </c>
      <c r="P10" s="25">
        <v>1.4172284644194757</v>
      </c>
      <c r="Q10" s="25">
        <v>1.4223684210526317</v>
      </c>
      <c r="R10" s="25">
        <v>1.4269073966220152</v>
      </c>
      <c r="S10" s="25">
        <v>1.430944963655244</v>
      </c>
      <c r="T10" s="25">
        <v>1.4345598509548205</v>
      </c>
      <c r="U10" s="25">
        <v>1.4378151260504199</v>
      </c>
      <c r="V10" s="25">
        <v>1.4407619047619047</v>
      </c>
      <c r="W10" s="25">
        <v>1.4434420541290771</v>
      </c>
      <c r="X10" s="25">
        <v>1.4458901935893365</v>
      </c>
      <c r="Y10" s="25">
        <v>1.4481351981351986</v>
      </c>
      <c r="Z10" s="25">
        <v>1.4502013422818794</v>
      </c>
      <c r="AA10" s="25">
        <v>1.4521091811414395</v>
      </c>
      <c r="AB10" s="25">
        <v>1.4538762364849318</v>
      </c>
      <c r="AC10" s="25">
        <v>1.4555175363558597</v>
      </c>
      <c r="AD10" s="25">
        <v>1.4570460434522621</v>
      </c>
      <c r="AE10" s="25">
        <v>1.4584729981378022</v>
      </c>
      <c r="AF10" s="25">
        <v>1.4598081952920663</v>
      </c>
      <c r="AG10" s="25">
        <v>1.4610602094240841</v>
      </c>
      <c r="AH10" s="25">
        <v>1.4622365789878482</v>
      </c>
      <c r="AI10" s="25">
        <v>1.4633439582729639</v>
      </c>
      <c r="AJ10" s="25">
        <v>1.4643882433356112</v>
      </c>
      <c r="AK10" s="25">
        <v>1.4653746770025842</v>
      </c>
      <c r="AL10" s="25">
        <v>1.466307936896172</v>
      </c>
      <c r="AM10" s="25">
        <v>1.4671922095988867</v>
      </c>
      <c r="AN10" s="25">
        <v>1.468031253438979</v>
      </c>
      <c r="AO10" s="25">
        <v>1.4688284518828447</v>
      </c>
      <c r="AP10" s="25">
        <v>1.4695868591338974</v>
      </c>
      <c r="AQ10" s="25">
        <v>1.4703092392335417</v>
      </c>
      <c r="AR10" s="25">
        <v>1.4709980997194827</v>
      </c>
      <c r="AS10" s="25">
        <v>1.4716557207051504</v>
      </c>
      <c r="AT10" s="25">
        <v>1.4722841800908715</v>
      </c>
      <c r="AU10" s="25">
        <v>1.4728853754940714</v>
      </c>
      <c r="AV10" s="25">
        <v>1.4734610433860831</v>
      </c>
      <c r="AW10" s="25">
        <v>1.4740127758420443</v>
      </c>
      <c r="AX10" s="25">
        <v>1.4745420352441319</v>
      </c>
      <c r="AY10" s="25">
        <v>1.4750501672240803</v>
      </c>
      <c r="AZ10" s="25">
        <v>1.4755384120861457</v>
      </c>
      <c r="BA10" s="25">
        <v>1.476007914914667</v>
      </c>
      <c r="BB10" s="25">
        <v>1.4764597345396109</v>
      </c>
      <c r="BC10" s="25">
        <v>1.4768948515078546</v>
      </c>
      <c r="BD10" s="25">
        <v>1.4773141751865155</v>
      </c>
      <c r="BE10" s="25">
        <v>1.4777185501066097</v>
      </c>
      <c r="BF10" s="25">
        <v>1.4781087616401707</v>
      </c>
      <c r="BG10" s="25">
        <v>1.478485541091126</v>
      </c>
      <c r="BH10" s="25">
        <v>1.4788495702693618</v>
      </c>
      <c r="BI10" s="25">
        <v>1.479201485608171</v>
      </c>
      <c r="BJ10" s="25">
        <v>1.479541881877386</v>
      </c>
      <c r="BK10" s="25">
        <v>1.4798713155377794</v>
      </c>
      <c r="BL10" s="25">
        <v>1.4801903077765146</v>
      </c>
      <c r="BM10" s="25">
        <v>1.4804993472584855</v>
      </c>
      <c r="BN10" s="25">
        <v>1.4807988926240852</v>
      </c>
      <c r="BO10" s="25">
        <v>1.4810893747602607</v>
      </c>
      <c r="BP10" s="25">
        <v>1.4813711988685001</v>
      </c>
      <c r="BQ10" s="25">
        <v>1.4816447463506288</v>
      </c>
      <c r="BR10" s="25">
        <v>1.4819103765308628</v>
      </c>
      <c r="BS10" s="25">
        <v>1.4821684282304803</v>
      </c>
      <c r="BT10" s="25">
        <v>1.4824192212096106</v>
      </c>
      <c r="BU10" s="25">
        <v>1.4826630574890436</v>
      </c>
      <c r="BV10" s="25">
        <v>1.4829002225635559</v>
      </c>
      <c r="BW10" s="25">
        <v>1.4831309865169908</v>
      </c>
      <c r="BX10" s="25">
        <v>1.4833556050482555</v>
      </c>
      <c r="BY10" s="25">
        <v>1.4835743204164258</v>
      </c>
      <c r="BZ10" s="25">
        <v>1.4837873623123079</v>
      </c>
      <c r="CA10" s="25">
        <v>1.483994948663043</v>
      </c>
      <c r="CB10" s="25">
        <v>1.4841972863756794</v>
      </c>
      <c r="CC10" s="25">
        <v>1.484394572025052</v>
      </c>
      <c r="CD10" s="25">
        <v>1.4845869924907726</v>
      </c>
      <c r="CE10" s="25">
        <v>1.4847747255476629</v>
      </c>
      <c r="CF10" s="25">
        <v>1.4849579404135658</v>
      </c>
      <c r="CG10" s="25">
        <v>1.4851367982580703</v>
      </c>
      <c r="CH10" s="25">
        <v>1.4853114526753728</v>
      </c>
      <c r="CI10" s="25">
        <v>1.4854820501241814</v>
      </c>
      <c r="CJ10" s="25">
        <v>1.4856487303373265</v>
      </c>
      <c r="CK10" s="25">
        <v>1.4858116267034673</v>
      </c>
      <c r="CL10" s="25">
        <v>1.4859708666230997</v>
      </c>
      <c r="CM10" s="25">
        <v>1.4861265718408572</v>
      </c>
      <c r="CN10" s="25">
        <v>1.4862788587559226</v>
      </c>
      <c r="CO10" s="25">
        <v>1.4864278387122225</v>
      </c>
      <c r="CP10" s="25">
        <v>1.4865736182699176</v>
      </c>
      <c r="CQ10" s="25">
        <v>1.4867162994595822</v>
      </c>
      <c r="CR10" s="25">
        <v>1.4868559800203496</v>
      </c>
      <c r="CS10" s="25">
        <v>1.4869927536231879</v>
      </c>
      <c r="CT10" s="25">
        <v>1.4871267100803804</v>
      </c>
      <c r="CU10" s="25">
        <v>1.4872579355421895</v>
      </c>
      <c r="CV10" s="25">
        <v>1.4873865126816221</v>
      </c>
      <c r="CW10" s="25">
        <v>1.4875125208681139</v>
      </c>
      <c r="CX10" s="25">
        <v>1.4876360363309058</v>
      </c>
      <c r="CY10" s="25">
        <v>1.4877571323128271</v>
      </c>
      <c r="CZ10" s="25">
        <v>1.4878758792151188</v>
      </c>
      <c r="DA10" s="25">
        <v>1.4879923447339176</v>
      </c>
      <c r="DB10" s="25">
        <v>1.4881065939889471</v>
      </c>
      <c r="DC10" s="25">
        <v>1.4882186896449263</v>
      </c>
      <c r="DD10" s="25">
        <v>1.4883286920261858</v>
      </c>
      <c r="DE10" s="25">
        <v>1.4884366592249125</v>
      </c>
      <c r="DF10" s="25">
        <v>1.4885426472034504</v>
      </c>
      <c r="DG10" s="25">
        <v>1.4886467098910194</v>
      </c>
      <c r="DH10" s="25">
        <v>1.4887488992752151</v>
      </c>
      <c r="DI10" s="25">
        <v>1.4888492654886096</v>
      </c>
      <c r="DJ10" s="25">
        <v>1.4889478568907595</v>
      </c>
      <c r="DK10" s="25">
        <v>1.4890447201458989</v>
      </c>
      <c r="DL10" s="25">
        <v>1.4891399002965859</v>
      </c>
      <c r="DM10" s="25">
        <v>1.4892334408335401</v>
      </c>
      <c r="DN10" s="25">
        <v>1.4893253837619032</v>
      </c>
      <c r="DO10" s="25">
        <v>1.4894157696641332</v>
      </c>
      <c r="DP10" s="25">
        <v>1.4895046377597323</v>
      </c>
      <c r="DQ10" s="25">
        <v>1.4895920259619841</v>
      </c>
      <c r="DR10" s="25">
        <v>1.4896779709318895</v>
      </c>
      <c r="DS10" s="25">
        <v>1.489762508129443</v>
      </c>
      <c r="DT10" s="25">
        <v>1.4898456718624176</v>
      </c>
      <c r="DU10" s="25">
        <v>1.4899274953327837</v>
      </c>
      <c r="DV10" s="25">
        <v>1.4900080106809079</v>
      </c>
      <c r="DW10" s="25">
        <v>1.4900872490276464</v>
      </c>
      <c r="DX10" s="25">
        <v>1.4901652405144494</v>
      </c>
      <c r="DY10" s="25">
        <v>1.4902420143415904</v>
      </c>
      <c r="DZ10" s="25">
        <v>1.4903175988046171</v>
      </c>
      <c r="EA10" s="25">
        <v>1.49039202132912</v>
      </c>
      <c r="EB10" s="25">
        <v>1.4904653085039143</v>
      </c>
      <c r="EC10" s="25">
        <v>1.4905374861127074</v>
      </c>
      <c r="ED10" s="25">
        <v>1.4906085791643475</v>
      </c>
      <c r="EE10" s="25">
        <v>1.4906786119217115</v>
      </c>
      <c r="EF10" s="25">
        <v>1.4907476079293136</v>
      </c>
      <c r="EG10" s="25">
        <v>1.4908155900396967</v>
      </c>
      <c r="EH10" s="25">
        <v>1.4908825804386674</v>
      </c>
      <c r="EI10" s="25">
        <v>1.490948600669435</v>
      </c>
      <c r="EJ10" s="25">
        <v>1.4910136716557127</v>
      </c>
      <c r="EK10" s="25">
        <v>1.491077813723821</v>
      </c>
      <c r="EL10" s="25">
        <v>1.4911410466238619</v>
      </c>
      <c r="EM10" s="25">
        <v>1.4912033895499908</v>
      </c>
      <c r="EN10" s="25">
        <v>1.4912648611598434</v>
      </c>
      <c r="EO10" s="25">
        <v>1.4913254795931503</v>
      </c>
      <c r="EP10" s="25">
        <v>1.4913852624895838</v>
      </c>
      <c r="EQ10" s="25">
        <v>1.4914442270058712</v>
      </c>
      <c r="ER10" s="25">
        <v>1.4915023898322097</v>
      </c>
      <c r="ES10" s="25">
        <v>1.4915597672080192</v>
      </c>
      <c r="ET10" s="25">
        <v>1.491616374937057</v>
      </c>
      <c r="EU10" s="25">
        <v>1.4916722284019281</v>
      </c>
      <c r="EV10" s="25">
        <v>1.4917273425780251</v>
      </c>
      <c r="EW10" s="25">
        <v>1.491781732046912</v>
      </c>
      <c r="EX10" s="25">
        <v>1.4918354110091874</v>
      </c>
      <c r="EY10" s="25">
        <v>1.4918883932968439</v>
      </c>
      <c r="EZ10" s="25">
        <v>1.4919406923851521</v>
      </c>
      <c r="FA10" s="25">
        <v>1.4919923214040858</v>
      </c>
      <c r="FB10" s="25">
        <v>1.4920432931493126</v>
      </c>
      <c r="FC10" s="25">
        <v>1.4920936200927648</v>
      </c>
      <c r="FD10" s="25">
        <v>1.4921433143928144</v>
      </c>
      <c r="FE10" s="25">
        <v>1.4921923879040671</v>
      </c>
      <c r="FF10" s="25">
        <v>1.4922408521867858</v>
      </c>
      <c r="FG10" s="25">
        <v>1.4922887185159754</v>
      </c>
      <c r="FH10" s="25">
        <v>1.4923359978901234</v>
      </c>
      <c r="FI10" s="25">
        <v>1.4923827010396247</v>
      </c>
      <c r="FJ10" s="25">
        <v>1.4924288384349051</v>
      </c>
      <c r="FK10" s="25">
        <v>1.4924744202942424</v>
      </c>
      <c r="FL10" s="25">
        <v>1.4925194565913127</v>
      </c>
      <c r="FM10" s="25">
        <v>1.4925639570624676</v>
      </c>
      <c r="FN10" s="25">
        <v>1.4926079312137477</v>
      </c>
      <c r="FO10" s="25">
        <v>1.4926513883276566</v>
      </c>
      <c r="FP10" s="25">
        <v>1.4926943374696906</v>
      </c>
      <c r="FQ10" s="25">
        <v>1.4927367874946431</v>
      </c>
      <c r="FR10" s="25">
        <v>1.4927787470526923</v>
      </c>
      <c r="FS10" s="25">
        <v>1.4928202245952769</v>
      </c>
      <c r="FT10" s="25">
        <v>1.492861228380771</v>
      </c>
      <c r="FU10" s="25">
        <v>1.4929017664799655</v>
      </c>
      <c r="FV10" s="25">
        <v>1.4929418467813651</v>
      </c>
      <c r="FW10" s="25">
        <v>1.4929814769963039</v>
      </c>
      <c r="FX10" s="25">
        <v>1.4930206646638935</v>
      </c>
      <c r="FY10" s="25">
        <v>1.4930594171558029</v>
      </c>
      <c r="FZ10" s="25">
        <v>1.4930977416808822</v>
      </c>
      <c r="GA10" s="25">
        <v>1.4931356452896323</v>
      </c>
      <c r="GB10" s="25">
        <v>1.4931731348785309</v>
      </c>
      <c r="GC10" s="25">
        <v>1.4932102171942134</v>
      </c>
      <c r="GD10" s="25">
        <v>1.4932468988375209</v>
      </c>
      <c r="GE10" s="25">
        <v>1.493283186267419</v>
      </c>
      <c r="GF10" s="25">
        <v>1.4933190858047865</v>
      </c>
      <c r="GG10" s="25">
        <v>1.4933546036360887</v>
      </c>
      <c r="GH10" s="25">
        <v>1.4933897458169301</v>
      </c>
      <c r="GI10" s="25">
        <v>1.4934245182754957</v>
      </c>
      <c r="GJ10" s="25">
        <v>1.4934589268158851</v>
      </c>
      <c r="GK10" s="25">
        <v>1.4934929771213437</v>
      </c>
      <c r="GL10" s="25">
        <v>1.4935266747573903</v>
      </c>
      <c r="GM10" s="25">
        <v>1.4935600251748504</v>
      </c>
      <c r="GN10" s="25">
        <v>1.4935930337127943</v>
      </c>
      <c r="GO10" s="25">
        <v>1.4936257056013897</v>
      </c>
      <c r="GP10" s="25">
        <v>1.4936580459646607</v>
      </c>
      <c r="GQ10" s="25">
        <v>1.4936900598231682</v>
      </c>
      <c r="GR10" s="25">
        <v>1.4937217520966102</v>
      </c>
      <c r="GS10" s="25">
        <v>1.4937531276063392</v>
      </c>
    </row>
    <row r="11" spans="1:201" x14ac:dyDescent="0.2">
      <c r="A11" s="23" t="s">
        <v>12</v>
      </c>
      <c r="B11" s="26">
        <v>0.16666666666666666</v>
      </c>
      <c r="C11" s="26">
        <v>0.26666666666666666</v>
      </c>
      <c r="D11" s="26">
        <v>0.29166666666666669</v>
      </c>
      <c r="E11" s="26">
        <v>0.30303030303030304</v>
      </c>
      <c r="F11" s="26">
        <v>0.30952380952380953</v>
      </c>
      <c r="G11" s="26">
        <v>0.31372549019607843</v>
      </c>
      <c r="H11" s="26">
        <v>0.31666666666666665</v>
      </c>
      <c r="I11" s="26">
        <v>0.3188405797101449</v>
      </c>
      <c r="J11" s="26">
        <v>0.32051282051282054</v>
      </c>
      <c r="K11" s="26">
        <v>0.32183908045977011</v>
      </c>
      <c r="L11" s="26">
        <v>0.32291666666666669</v>
      </c>
      <c r="M11" s="26">
        <v>0.32380952380952382</v>
      </c>
      <c r="N11" s="26">
        <v>0.32456140350877194</v>
      </c>
      <c r="O11" s="26">
        <v>0.32520325203252032</v>
      </c>
      <c r="P11" s="26">
        <v>0.32575757575757575</v>
      </c>
      <c r="Q11" s="26">
        <v>0.32624113475177308</v>
      </c>
      <c r="R11" s="26">
        <v>0.32666666666666666</v>
      </c>
      <c r="S11" s="26">
        <v>0.32704402515723269</v>
      </c>
      <c r="T11" s="26">
        <v>0.32738095238095238</v>
      </c>
      <c r="U11" s="26">
        <v>0.32768361581920902</v>
      </c>
      <c r="V11" s="26">
        <v>0.32795698924731181</v>
      </c>
      <c r="W11" s="26">
        <v>0.3282051282051282</v>
      </c>
      <c r="X11" s="26">
        <v>0.32843137254901961</v>
      </c>
      <c r="Y11" s="26">
        <v>0.32863849765258218</v>
      </c>
      <c r="Z11" s="26">
        <v>0.32882882882882886</v>
      </c>
      <c r="AA11" s="26">
        <v>0.32900432900432902</v>
      </c>
      <c r="AB11" s="26">
        <v>0.32916666666666666</v>
      </c>
      <c r="AC11" s="26">
        <v>0.32931726907630521</v>
      </c>
      <c r="AD11" s="26">
        <v>0.32945736434108525</v>
      </c>
      <c r="AE11" s="26">
        <v>0.32958801498127338</v>
      </c>
      <c r="AF11" s="26">
        <v>0.32971014492753625</v>
      </c>
      <c r="AG11" s="26">
        <v>0.3298245614035088</v>
      </c>
      <c r="AH11" s="26">
        <v>0.32993197278911562</v>
      </c>
      <c r="AI11" s="26">
        <v>0.33003300330033003</v>
      </c>
      <c r="AJ11" s="26">
        <v>0.33012820512820512</v>
      </c>
      <c r="AK11" s="26">
        <v>0.33021806853582553</v>
      </c>
      <c r="AL11" s="26">
        <v>0.33030303030303032</v>
      </c>
      <c r="AM11" s="26">
        <v>0.3303834808259587</v>
      </c>
      <c r="AN11" s="26">
        <v>0.33045977011494254</v>
      </c>
      <c r="AO11" s="26">
        <v>0.33053221288515405</v>
      </c>
      <c r="AP11" s="26">
        <v>0.33060109289617484</v>
      </c>
      <c r="AQ11" s="26">
        <v>0.33066666666666666</v>
      </c>
      <c r="AR11" s="26">
        <v>0.33072916666666669</v>
      </c>
      <c r="AS11" s="26">
        <v>0.33078880407124683</v>
      </c>
      <c r="AT11" s="26">
        <v>0.3308457711442786</v>
      </c>
      <c r="AU11" s="26">
        <v>0.33090024330900242</v>
      </c>
      <c r="AV11" s="26">
        <v>0.33095238095238094</v>
      </c>
      <c r="AW11" s="26">
        <v>0.33100233100233101</v>
      </c>
      <c r="AX11" s="26">
        <v>0.33105022831050229</v>
      </c>
      <c r="AY11" s="26">
        <v>0.33109619686800895</v>
      </c>
      <c r="AZ11" s="26">
        <v>0.33114035087719296</v>
      </c>
      <c r="BA11" s="26">
        <v>0.33118279569892473</v>
      </c>
      <c r="BB11" s="26">
        <v>0.33122362869198313</v>
      </c>
      <c r="BC11" s="26">
        <v>0.33126293995859213</v>
      </c>
      <c r="BD11" s="26">
        <v>0.33130081300813008</v>
      </c>
      <c r="BE11" s="26">
        <v>0.33133732534930138</v>
      </c>
      <c r="BF11" s="26">
        <v>0.33137254901960783</v>
      </c>
      <c r="BG11" s="26">
        <v>0.33140655105973027</v>
      </c>
      <c r="BH11" s="26">
        <v>0.33143939393939392</v>
      </c>
      <c r="BI11" s="26">
        <v>0.33147113594040967</v>
      </c>
      <c r="BJ11" s="26">
        <v>0.33150183150183149</v>
      </c>
      <c r="BK11" s="26">
        <v>0.33153153153153153</v>
      </c>
      <c r="BL11" s="26">
        <v>0.33156028368794327</v>
      </c>
      <c r="BM11" s="26">
        <v>0.33158813263525305</v>
      </c>
      <c r="BN11" s="26">
        <v>0.33161512027491408</v>
      </c>
      <c r="BO11" s="26">
        <v>0.33164128595600678</v>
      </c>
      <c r="BP11" s="26">
        <v>0.33166666666666667</v>
      </c>
      <c r="BQ11" s="26">
        <v>0.33169129720853857</v>
      </c>
      <c r="BR11" s="26">
        <v>0.33171521035598706</v>
      </c>
      <c r="BS11" s="26">
        <v>0.33173843700159489</v>
      </c>
      <c r="BT11" s="26">
        <v>0.33176100628930816</v>
      </c>
      <c r="BU11" s="26">
        <v>0.33178294573643413</v>
      </c>
      <c r="BV11" s="26">
        <v>0.33180428134556578</v>
      </c>
      <c r="BW11" s="26">
        <v>0.33182503770739064</v>
      </c>
      <c r="BX11" s="26">
        <v>0.33184523809523808</v>
      </c>
      <c r="BY11" s="26">
        <v>0.33186490455212925</v>
      </c>
      <c r="BZ11" s="26">
        <v>0.3318840579710145</v>
      </c>
      <c r="CA11" s="26">
        <v>0.33190271816881262</v>
      </c>
      <c r="CB11" s="26">
        <v>0.33192090395480228</v>
      </c>
      <c r="CC11" s="26">
        <v>0.3319386331938633</v>
      </c>
      <c r="CD11" s="26">
        <v>0.3319559228650138</v>
      </c>
      <c r="CE11" s="26">
        <v>0.33197278911564626</v>
      </c>
      <c r="CF11" s="26">
        <v>0.33198924731182794</v>
      </c>
      <c r="CG11" s="26">
        <v>0.33200531208499334</v>
      </c>
      <c r="CH11" s="26">
        <v>0.33202099737532809</v>
      </c>
      <c r="CI11" s="26">
        <v>0.33203631647211412</v>
      </c>
      <c r="CJ11" s="26">
        <v>0.33205128205128204</v>
      </c>
      <c r="CK11" s="26">
        <v>0.33206590621039289</v>
      </c>
      <c r="CL11" s="26">
        <v>0.33208020050125314</v>
      </c>
      <c r="CM11" s="26">
        <v>0.33209417596034696</v>
      </c>
      <c r="CN11" s="26">
        <v>0.33210784313725489</v>
      </c>
      <c r="CO11" s="26">
        <v>0.33212121212121209</v>
      </c>
      <c r="CP11" s="26">
        <v>0.33213429256594723</v>
      </c>
      <c r="CQ11" s="26">
        <v>0.33214709371293</v>
      </c>
      <c r="CR11" s="26">
        <v>0.33215962441314556</v>
      </c>
      <c r="CS11" s="26">
        <v>0.33217189314750289</v>
      </c>
      <c r="CT11" s="26">
        <v>0.33218390804597703</v>
      </c>
      <c r="CU11" s="26">
        <v>0.3321956769055745</v>
      </c>
      <c r="CV11" s="26">
        <v>0.3322072072072072</v>
      </c>
      <c r="CW11" s="26">
        <v>0.33221850613154963</v>
      </c>
      <c r="CX11" s="26">
        <v>0.33222958057395141</v>
      </c>
      <c r="CY11" s="26">
        <v>0.33224043715846996</v>
      </c>
      <c r="CZ11" s="26">
        <v>0.33225108225108224</v>
      </c>
      <c r="DA11" s="26">
        <v>0.33226152197213288</v>
      </c>
      <c r="DB11" s="26">
        <v>0.33227176220806792</v>
      </c>
      <c r="DC11" s="26">
        <v>0.33228180862250262</v>
      </c>
      <c r="DD11" s="26">
        <v>0.33229166666666665</v>
      </c>
      <c r="DE11" s="26">
        <v>0.33230134158926727</v>
      </c>
      <c r="DF11" s="26">
        <v>0.33231083844580778</v>
      </c>
      <c r="DG11" s="26">
        <v>0.33232016210739618</v>
      </c>
      <c r="DH11" s="26">
        <v>0.33232931726907633</v>
      </c>
      <c r="DI11" s="26">
        <v>0.33233830845771145</v>
      </c>
      <c r="DJ11" s="26">
        <v>0.33234714003944771</v>
      </c>
      <c r="DK11" s="26">
        <v>0.33235581622678395</v>
      </c>
      <c r="DL11" s="26">
        <v>0.3323643410852713</v>
      </c>
      <c r="DM11" s="26">
        <v>0.3323727185398655</v>
      </c>
      <c r="DN11" s="26">
        <v>0.33238095238095239</v>
      </c>
      <c r="DO11" s="26">
        <v>0.3323890462700661</v>
      </c>
      <c r="DP11" s="26">
        <v>0.33239700374531833</v>
      </c>
      <c r="DQ11" s="26">
        <v>0.33240482822655526</v>
      </c>
      <c r="DR11" s="26">
        <v>0.33241252302025781</v>
      </c>
      <c r="DS11" s="26">
        <v>0.33242009132420092</v>
      </c>
      <c r="DT11" s="26">
        <v>0.33242753623188404</v>
      </c>
      <c r="DU11" s="26">
        <v>0.33243486073674755</v>
      </c>
      <c r="DV11" s="26">
        <v>0.3324420677361854</v>
      </c>
      <c r="DW11" s="26">
        <v>0.33244916003536695</v>
      </c>
      <c r="DX11" s="26">
        <v>0.33245614035087717</v>
      </c>
      <c r="DY11" s="26">
        <v>0.33246301131418626</v>
      </c>
      <c r="DZ11" s="26">
        <v>0.33246977547495682</v>
      </c>
      <c r="EA11" s="26">
        <v>0.33247643530419879</v>
      </c>
      <c r="EB11" s="26">
        <v>0.33248299319727892</v>
      </c>
      <c r="EC11" s="26">
        <v>0.33248945147679326</v>
      </c>
      <c r="ED11" s="26">
        <v>0.3324958123953099</v>
      </c>
      <c r="EE11" s="26">
        <v>0.33250207813798838</v>
      </c>
      <c r="EF11" s="26">
        <v>0.33250825082508251</v>
      </c>
      <c r="EG11" s="26">
        <v>0.33251433251433249</v>
      </c>
      <c r="EH11" s="26">
        <v>0.33252032520325203</v>
      </c>
      <c r="EI11" s="26">
        <v>0.33252623083131555</v>
      </c>
      <c r="EJ11" s="26">
        <v>0.33253205128205127</v>
      </c>
      <c r="EK11" s="26">
        <v>0.33253778838504378</v>
      </c>
      <c r="EL11" s="26">
        <v>0.33254344391785151</v>
      </c>
      <c r="EM11" s="26">
        <v>0.33254901960784311</v>
      </c>
      <c r="EN11" s="26">
        <v>0.3325545171339564</v>
      </c>
      <c r="EO11" s="26">
        <v>0.33255993812838358</v>
      </c>
      <c r="EP11" s="26">
        <v>0.33256528417818743</v>
      </c>
      <c r="EQ11" s="26">
        <v>0.33257055682684972</v>
      </c>
      <c r="ER11" s="26">
        <v>0.33257575757575758</v>
      </c>
      <c r="ES11" s="26">
        <v>0.33258088788562828</v>
      </c>
      <c r="ET11" s="26">
        <v>0.33258594917787743</v>
      </c>
      <c r="EU11" s="26">
        <v>0.33259094283593171</v>
      </c>
      <c r="EV11" s="26">
        <v>0.33259587020648967</v>
      </c>
      <c r="EW11" s="26">
        <v>0.33260073260073258</v>
      </c>
      <c r="EX11" s="26">
        <v>0.33260553129548764</v>
      </c>
      <c r="EY11" s="26">
        <v>0.33261026753434564</v>
      </c>
      <c r="EZ11" s="26">
        <v>0.33261494252873564</v>
      </c>
      <c r="FA11" s="26">
        <v>0.33261955745895788</v>
      </c>
      <c r="FB11" s="26">
        <v>0.33262411347517729</v>
      </c>
      <c r="FC11" s="26">
        <v>0.33262861169837915</v>
      </c>
      <c r="FD11" s="26">
        <v>0.3326330532212885</v>
      </c>
      <c r="FE11" s="26">
        <v>0.33263743910925542</v>
      </c>
      <c r="FF11" s="26">
        <v>0.33264177040110648</v>
      </c>
      <c r="FG11" s="26">
        <v>0.33264604810996562</v>
      </c>
      <c r="FH11" s="26">
        <v>0.33265027322404372</v>
      </c>
      <c r="FI11" s="26">
        <v>0.33265444670739985</v>
      </c>
      <c r="FJ11" s="26">
        <v>0.33265856950067474</v>
      </c>
      <c r="FK11" s="26">
        <v>0.33266264252179745</v>
      </c>
      <c r="FL11" s="26">
        <v>0.33266666666666667</v>
      </c>
      <c r="FM11" s="26">
        <v>0.33267064280980779</v>
      </c>
      <c r="FN11" s="26">
        <v>0.33267457180500659</v>
      </c>
      <c r="FO11" s="26">
        <v>0.33267845448592009</v>
      </c>
      <c r="FP11" s="26">
        <v>0.33268229166666669</v>
      </c>
      <c r="FQ11" s="26">
        <v>0.33268608414239481</v>
      </c>
      <c r="FR11" s="26">
        <v>0.33268983268983271</v>
      </c>
      <c r="FS11" s="26">
        <v>0.33269353806781832</v>
      </c>
      <c r="FT11" s="26">
        <v>0.33269720101781169</v>
      </c>
      <c r="FU11" s="26">
        <v>0.33270082226438963</v>
      </c>
      <c r="FV11" s="26">
        <v>0.33270440251572325</v>
      </c>
      <c r="FW11" s="26">
        <v>0.33270794246404001</v>
      </c>
      <c r="FX11" s="26">
        <v>0.33271144278606968</v>
      </c>
      <c r="FY11" s="26">
        <v>0.3327149041434756</v>
      </c>
      <c r="FZ11" s="26">
        <v>0.33271832718327182</v>
      </c>
      <c r="GA11" s="26">
        <v>0.3327217125382263</v>
      </c>
      <c r="GB11" s="26">
        <v>0.33272506082725062</v>
      </c>
      <c r="GC11" s="26">
        <v>0.33272837265577737</v>
      </c>
      <c r="GD11" s="26">
        <v>0.33273164861612514</v>
      </c>
      <c r="GE11" s="26">
        <v>0.33273488928785161</v>
      </c>
      <c r="GF11" s="26">
        <v>0.33273809523809522</v>
      </c>
      <c r="GG11" s="26">
        <v>0.33274126702190643</v>
      </c>
      <c r="GH11" s="26">
        <v>0.3327444051825677</v>
      </c>
      <c r="GI11" s="26">
        <v>0.33274751025190391</v>
      </c>
      <c r="GJ11" s="26">
        <v>0.33275058275058272</v>
      </c>
      <c r="GK11" s="26">
        <v>0.33275362318840579</v>
      </c>
      <c r="GL11" s="26">
        <v>0.33275663206459055</v>
      </c>
      <c r="GM11" s="26">
        <v>0.33275960986804359</v>
      </c>
      <c r="GN11" s="26">
        <v>0.33276255707762559</v>
      </c>
      <c r="GO11" s="26">
        <v>0.3327654741624077</v>
      </c>
      <c r="GP11" s="26">
        <v>0.33276836158192091</v>
      </c>
      <c r="GQ11" s="26">
        <v>0.33277121978639684</v>
      </c>
      <c r="GR11" s="26">
        <v>0.33277404921700221</v>
      </c>
      <c r="GS11" s="26">
        <v>0.33277685030606569</v>
      </c>
    </row>
    <row r="12" spans="1:201" x14ac:dyDescent="0.2">
      <c r="A12" s="23" t="s">
        <v>14</v>
      </c>
      <c r="B12" s="26">
        <v>0.33333333333333331</v>
      </c>
      <c r="C12" s="26">
        <v>0.33333333333333331</v>
      </c>
      <c r="D12" s="26">
        <v>0.33333333333333331</v>
      </c>
      <c r="E12" s="26">
        <v>0.33333333333333331</v>
      </c>
      <c r="F12" s="26">
        <v>0.33333333333333331</v>
      </c>
      <c r="G12" s="26">
        <v>0.33333333333333331</v>
      </c>
      <c r="H12" s="26">
        <v>0.33333333333333331</v>
      </c>
      <c r="I12" s="26">
        <v>0.33333333333333331</v>
      </c>
      <c r="J12" s="26">
        <v>0.33333333333333331</v>
      </c>
      <c r="K12" s="26">
        <v>0.33333333333333331</v>
      </c>
      <c r="L12" s="26">
        <v>0.33333333333333331</v>
      </c>
      <c r="M12" s="26">
        <v>0.33333333333333331</v>
      </c>
      <c r="N12" s="26">
        <v>0.33333333333333331</v>
      </c>
      <c r="O12" s="26">
        <v>0.33333333333333331</v>
      </c>
      <c r="P12" s="26">
        <v>0.33333333333333331</v>
      </c>
      <c r="Q12" s="26">
        <v>0.33333333333333331</v>
      </c>
      <c r="R12" s="26">
        <v>0.33333333333333331</v>
      </c>
      <c r="S12" s="26">
        <v>0.33333333333333331</v>
      </c>
      <c r="T12" s="26">
        <v>0.33333333333333331</v>
      </c>
      <c r="U12" s="26">
        <v>0.33333333333333331</v>
      </c>
      <c r="V12" s="26">
        <v>0.33333333333333331</v>
      </c>
      <c r="W12" s="26">
        <v>0.33333333333333331</v>
      </c>
      <c r="X12" s="26">
        <v>0.33333333333333331</v>
      </c>
      <c r="Y12" s="26">
        <v>0.33333333333333331</v>
      </c>
      <c r="Z12" s="26">
        <v>0.33333333333333331</v>
      </c>
      <c r="AA12" s="26">
        <v>0.33333333333333331</v>
      </c>
      <c r="AB12" s="26">
        <v>0.33333333333333331</v>
      </c>
      <c r="AC12" s="26">
        <v>0.33333333333333331</v>
      </c>
      <c r="AD12" s="26">
        <v>0.33333333333333331</v>
      </c>
      <c r="AE12" s="26">
        <v>0.33333333333333331</v>
      </c>
      <c r="AF12" s="26">
        <v>0.33333333333333331</v>
      </c>
      <c r="AG12" s="26">
        <v>0.33333333333333331</v>
      </c>
      <c r="AH12" s="26">
        <v>0.33333333333333331</v>
      </c>
      <c r="AI12" s="26">
        <v>0.33333333333333331</v>
      </c>
      <c r="AJ12" s="26">
        <v>0.33333333333333331</v>
      </c>
      <c r="AK12" s="26">
        <v>0.33333333333333331</v>
      </c>
      <c r="AL12" s="26">
        <v>0.33333333333333331</v>
      </c>
      <c r="AM12" s="26">
        <v>0.33333333333333331</v>
      </c>
      <c r="AN12" s="26">
        <v>0.33333333333333331</v>
      </c>
      <c r="AO12" s="26">
        <v>0.33333333333333331</v>
      </c>
      <c r="AP12" s="26">
        <v>0.33333333333333331</v>
      </c>
      <c r="AQ12" s="26">
        <v>0.33333333333333331</v>
      </c>
      <c r="AR12" s="26">
        <v>0.33333333333333331</v>
      </c>
      <c r="AS12" s="26">
        <v>0.33333333333333331</v>
      </c>
      <c r="AT12" s="26">
        <v>0.33333333333333331</v>
      </c>
      <c r="AU12" s="26">
        <v>0.33333333333333331</v>
      </c>
      <c r="AV12" s="26">
        <v>0.33333333333333331</v>
      </c>
      <c r="AW12" s="26">
        <v>0.33333333333333331</v>
      </c>
      <c r="AX12" s="26">
        <v>0.33333333333333331</v>
      </c>
      <c r="AY12" s="26">
        <v>0.33333333333333331</v>
      </c>
      <c r="AZ12" s="26">
        <v>0.33333333333333331</v>
      </c>
      <c r="BA12" s="26">
        <v>0.33333333333333331</v>
      </c>
      <c r="BB12" s="26">
        <v>0.33333333333333331</v>
      </c>
      <c r="BC12" s="26">
        <v>0.33333333333333331</v>
      </c>
      <c r="BD12" s="26">
        <v>0.33333333333333331</v>
      </c>
      <c r="BE12" s="26">
        <v>0.33333333333333331</v>
      </c>
      <c r="BF12" s="26">
        <v>0.33333333333333331</v>
      </c>
      <c r="BG12" s="26">
        <v>0.33333333333333331</v>
      </c>
      <c r="BH12" s="26">
        <v>0.33333333333333331</v>
      </c>
      <c r="BI12" s="26">
        <v>0.33333333333333331</v>
      </c>
      <c r="BJ12" s="26">
        <v>0.33333333333333331</v>
      </c>
      <c r="BK12" s="26">
        <v>0.33333333333333331</v>
      </c>
      <c r="BL12" s="26">
        <v>0.33333333333333331</v>
      </c>
      <c r="BM12" s="26">
        <v>0.33333333333333331</v>
      </c>
      <c r="BN12" s="26">
        <v>0.33333333333333331</v>
      </c>
      <c r="BO12" s="26">
        <v>0.33333333333333331</v>
      </c>
      <c r="BP12" s="26">
        <v>0.33333333333333331</v>
      </c>
      <c r="BQ12" s="26">
        <v>0.33333333333333331</v>
      </c>
      <c r="BR12" s="26">
        <v>0.33333333333333331</v>
      </c>
      <c r="BS12" s="26">
        <v>0.33333333333333331</v>
      </c>
      <c r="BT12" s="26">
        <v>0.33333333333333331</v>
      </c>
      <c r="BU12" s="26">
        <v>0.33333333333333331</v>
      </c>
      <c r="BV12" s="26">
        <v>0.33333333333333331</v>
      </c>
      <c r="BW12" s="26">
        <v>0.33333333333333331</v>
      </c>
      <c r="BX12" s="26">
        <v>0.33333333333333331</v>
      </c>
      <c r="BY12" s="26">
        <v>0.33333333333333331</v>
      </c>
      <c r="BZ12" s="26">
        <v>0.33333333333333331</v>
      </c>
      <c r="CA12" s="26">
        <v>0.33333333333333331</v>
      </c>
      <c r="CB12" s="26">
        <v>0.33333333333333331</v>
      </c>
      <c r="CC12" s="26">
        <v>0.33333333333333331</v>
      </c>
      <c r="CD12" s="26">
        <v>0.33333333333333331</v>
      </c>
      <c r="CE12" s="26">
        <v>0.33333333333333331</v>
      </c>
      <c r="CF12" s="26">
        <v>0.33333333333333331</v>
      </c>
      <c r="CG12" s="26">
        <v>0.33333333333333331</v>
      </c>
      <c r="CH12" s="26">
        <v>0.33333333333333331</v>
      </c>
      <c r="CI12" s="26">
        <v>0.33333333333333331</v>
      </c>
      <c r="CJ12" s="26">
        <v>0.33333333333333331</v>
      </c>
      <c r="CK12" s="26">
        <v>0.33333333333333331</v>
      </c>
      <c r="CL12" s="26">
        <v>0.33333333333333331</v>
      </c>
      <c r="CM12" s="26">
        <v>0.33333333333333331</v>
      </c>
      <c r="CN12" s="26">
        <v>0.33333333333333331</v>
      </c>
      <c r="CO12" s="26">
        <v>0.33333333333333331</v>
      </c>
      <c r="CP12" s="26">
        <v>0.33333333333333331</v>
      </c>
      <c r="CQ12" s="26">
        <v>0.33333333333333331</v>
      </c>
      <c r="CR12" s="26">
        <v>0.33333333333333331</v>
      </c>
      <c r="CS12" s="26">
        <v>0.33333333333333331</v>
      </c>
      <c r="CT12" s="26">
        <v>0.33333333333333331</v>
      </c>
      <c r="CU12" s="26">
        <v>0.33333333333333331</v>
      </c>
      <c r="CV12" s="26">
        <v>0.33333333333333331</v>
      </c>
      <c r="CW12" s="26">
        <v>0.33333333333333331</v>
      </c>
      <c r="CX12" s="26">
        <v>0.33333333333333331</v>
      </c>
      <c r="CY12" s="26">
        <v>0.33333333333333331</v>
      </c>
      <c r="CZ12" s="26">
        <v>0.33333333333333331</v>
      </c>
      <c r="DA12" s="26">
        <v>0.33333333333333331</v>
      </c>
      <c r="DB12" s="26">
        <v>0.33333333333333331</v>
      </c>
      <c r="DC12" s="26">
        <v>0.33333333333333331</v>
      </c>
      <c r="DD12" s="26">
        <v>0.33333333333333331</v>
      </c>
      <c r="DE12" s="26">
        <v>0.33333333333333331</v>
      </c>
      <c r="DF12" s="26">
        <v>0.33333333333333331</v>
      </c>
      <c r="DG12" s="26">
        <v>0.33333333333333331</v>
      </c>
      <c r="DH12" s="26">
        <v>0.33333333333333331</v>
      </c>
      <c r="DI12" s="26">
        <v>0.33333333333333331</v>
      </c>
      <c r="DJ12" s="26">
        <v>0.33333333333333331</v>
      </c>
      <c r="DK12" s="26">
        <v>0.33333333333333331</v>
      </c>
      <c r="DL12" s="26">
        <v>0.33333333333333331</v>
      </c>
      <c r="DM12" s="26">
        <v>0.33333333333333331</v>
      </c>
      <c r="DN12" s="26">
        <v>0.33333333333333331</v>
      </c>
      <c r="DO12" s="26">
        <v>0.33333333333333331</v>
      </c>
      <c r="DP12" s="26">
        <v>0.33333333333333331</v>
      </c>
      <c r="DQ12" s="26">
        <v>0.33333333333333331</v>
      </c>
      <c r="DR12" s="26">
        <v>0.33333333333333331</v>
      </c>
      <c r="DS12" s="26">
        <v>0.33333333333333331</v>
      </c>
      <c r="DT12" s="26">
        <v>0.33333333333333331</v>
      </c>
      <c r="DU12" s="26">
        <v>0.33333333333333331</v>
      </c>
      <c r="DV12" s="26">
        <v>0.33333333333333331</v>
      </c>
      <c r="DW12" s="26">
        <v>0.33333333333333331</v>
      </c>
      <c r="DX12" s="26">
        <v>0.33333333333333331</v>
      </c>
      <c r="DY12" s="26">
        <v>0.33333333333333331</v>
      </c>
      <c r="DZ12" s="26">
        <v>0.33333333333333331</v>
      </c>
      <c r="EA12" s="26">
        <v>0.33333333333333331</v>
      </c>
      <c r="EB12" s="26">
        <v>0.33333333333333331</v>
      </c>
      <c r="EC12" s="26">
        <v>0.33333333333333331</v>
      </c>
      <c r="ED12" s="26">
        <v>0.33333333333333331</v>
      </c>
      <c r="EE12" s="26">
        <v>0.33333333333333331</v>
      </c>
      <c r="EF12" s="26">
        <v>0.33333333333333331</v>
      </c>
      <c r="EG12" s="26">
        <v>0.33333333333333331</v>
      </c>
      <c r="EH12" s="26">
        <v>0.33333333333333331</v>
      </c>
      <c r="EI12" s="26">
        <v>0.33333333333333331</v>
      </c>
      <c r="EJ12" s="26">
        <v>0.33333333333333331</v>
      </c>
      <c r="EK12" s="26">
        <v>0.33333333333333331</v>
      </c>
      <c r="EL12" s="26">
        <v>0.33333333333333331</v>
      </c>
      <c r="EM12" s="26">
        <v>0.33333333333333331</v>
      </c>
      <c r="EN12" s="26">
        <v>0.33333333333333331</v>
      </c>
      <c r="EO12" s="26">
        <v>0.33333333333333331</v>
      </c>
      <c r="EP12" s="26">
        <v>0.33333333333333331</v>
      </c>
      <c r="EQ12" s="26">
        <v>0.33333333333333331</v>
      </c>
      <c r="ER12" s="26">
        <v>0.33333333333333331</v>
      </c>
      <c r="ES12" s="26">
        <v>0.33333333333333331</v>
      </c>
      <c r="ET12" s="26">
        <v>0.33333333333333331</v>
      </c>
      <c r="EU12" s="26">
        <v>0.33333333333333331</v>
      </c>
      <c r="EV12" s="26">
        <v>0.33333333333333331</v>
      </c>
      <c r="EW12" s="26">
        <v>0.33333333333333331</v>
      </c>
      <c r="EX12" s="26">
        <v>0.33333333333333331</v>
      </c>
      <c r="EY12" s="26">
        <v>0.33333333333333331</v>
      </c>
      <c r="EZ12" s="26">
        <v>0.33333333333333331</v>
      </c>
      <c r="FA12" s="26">
        <v>0.33333333333333331</v>
      </c>
      <c r="FB12" s="26">
        <v>0.33333333333333331</v>
      </c>
      <c r="FC12" s="26">
        <v>0.33333333333333331</v>
      </c>
      <c r="FD12" s="26">
        <v>0.33333333333333331</v>
      </c>
      <c r="FE12" s="26">
        <v>0.33333333333333331</v>
      </c>
      <c r="FF12" s="26">
        <v>0.33333333333333331</v>
      </c>
      <c r="FG12" s="26">
        <v>0.33333333333333331</v>
      </c>
      <c r="FH12" s="26">
        <v>0.33333333333333331</v>
      </c>
      <c r="FI12" s="26">
        <v>0.33333333333333331</v>
      </c>
      <c r="FJ12" s="26">
        <v>0.33333333333333331</v>
      </c>
      <c r="FK12" s="26">
        <v>0.33333333333333331</v>
      </c>
      <c r="FL12" s="26">
        <v>0.33333333333333331</v>
      </c>
      <c r="FM12" s="26">
        <v>0.33333333333333331</v>
      </c>
      <c r="FN12" s="26">
        <v>0.33333333333333331</v>
      </c>
      <c r="FO12" s="26">
        <v>0.33333333333333331</v>
      </c>
      <c r="FP12" s="26">
        <v>0.33333333333333331</v>
      </c>
      <c r="FQ12" s="26">
        <v>0.33333333333333331</v>
      </c>
      <c r="FR12" s="26">
        <v>0.33333333333333331</v>
      </c>
      <c r="FS12" s="26">
        <v>0.33333333333333331</v>
      </c>
      <c r="FT12" s="26">
        <v>0.33333333333333331</v>
      </c>
      <c r="FU12" s="26">
        <v>0.33333333333333331</v>
      </c>
      <c r="FV12" s="26">
        <v>0.33333333333333331</v>
      </c>
      <c r="FW12" s="26">
        <v>0.33333333333333331</v>
      </c>
      <c r="FX12" s="26">
        <v>0.33333333333333331</v>
      </c>
      <c r="FY12" s="26">
        <v>0.33333333333333331</v>
      </c>
      <c r="FZ12" s="26">
        <v>0.33333333333333331</v>
      </c>
      <c r="GA12" s="26">
        <v>0.33333333333333331</v>
      </c>
      <c r="GB12" s="26">
        <v>0.33333333333333331</v>
      </c>
      <c r="GC12" s="26">
        <v>0.33333333333333331</v>
      </c>
      <c r="GD12" s="26">
        <v>0.33333333333333331</v>
      </c>
      <c r="GE12" s="26">
        <v>0.33333333333333331</v>
      </c>
      <c r="GF12" s="26">
        <v>0.33333333333333331</v>
      </c>
      <c r="GG12" s="26">
        <v>0.33333333333333331</v>
      </c>
      <c r="GH12" s="26">
        <v>0.33333333333333331</v>
      </c>
      <c r="GI12" s="26">
        <v>0.33333333333333331</v>
      </c>
      <c r="GJ12" s="26">
        <v>0.33333333333333331</v>
      </c>
      <c r="GK12" s="26">
        <v>0.33333333333333331</v>
      </c>
      <c r="GL12" s="26">
        <v>0.33333333333333331</v>
      </c>
      <c r="GM12" s="26">
        <v>0.33333333333333331</v>
      </c>
      <c r="GN12" s="26">
        <v>0.33333333333333331</v>
      </c>
      <c r="GO12" s="26">
        <v>0.33333333333333331</v>
      </c>
      <c r="GP12" s="26">
        <v>0.33333333333333331</v>
      </c>
      <c r="GQ12" s="26">
        <v>0.33333333333333331</v>
      </c>
      <c r="GR12" s="26">
        <v>0.33333333333333331</v>
      </c>
      <c r="GS12" s="26">
        <v>0.33333333333333331</v>
      </c>
    </row>
    <row r="13" spans="1:201" x14ac:dyDescent="0.2">
      <c r="A13" s="23" t="s">
        <v>13</v>
      </c>
      <c r="B13" s="26">
        <v>0.5</v>
      </c>
      <c r="C13" s="26">
        <v>0.4</v>
      </c>
      <c r="D13" s="26">
        <v>0.375</v>
      </c>
      <c r="E13" s="26">
        <v>0.36363636363636365</v>
      </c>
      <c r="F13" s="26">
        <v>0.35714285714285715</v>
      </c>
      <c r="G13" s="26">
        <v>0.35294117647058826</v>
      </c>
      <c r="H13" s="26">
        <v>0.35</v>
      </c>
      <c r="I13" s="26">
        <v>0.34782608695652173</v>
      </c>
      <c r="J13" s="26">
        <v>0.34615384615384615</v>
      </c>
      <c r="K13" s="26">
        <v>0.34482758620689657</v>
      </c>
      <c r="L13" s="26">
        <v>0.34375</v>
      </c>
      <c r="M13" s="26">
        <v>0.34285714285714286</v>
      </c>
      <c r="N13" s="26">
        <v>0.34210526315789475</v>
      </c>
      <c r="O13" s="26">
        <v>0.34146341463414637</v>
      </c>
      <c r="P13" s="26">
        <v>0.34090909090909088</v>
      </c>
      <c r="Q13" s="26">
        <v>0.34042553191489361</v>
      </c>
      <c r="R13" s="26">
        <v>0.34</v>
      </c>
      <c r="S13" s="26">
        <v>0.33962264150943394</v>
      </c>
      <c r="T13" s="26">
        <v>0.3392857142857143</v>
      </c>
      <c r="U13" s="26">
        <v>0.33898305084745761</v>
      </c>
      <c r="V13" s="26">
        <v>0.33870967741935482</v>
      </c>
      <c r="W13" s="26">
        <v>0.33846153846153848</v>
      </c>
      <c r="X13" s="26">
        <v>0.33823529411764708</v>
      </c>
      <c r="Y13" s="26">
        <v>0.3380281690140845</v>
      </c>
      <c r="Z13" s="26">
        <v>0.33783783783783783</v>
      </c>
      <c r="AA13" s="26">
        <v>0.33766233766233766</v>
      </c>
      <c r="AB13" s="26">
        <v>0.33750000000000002</v>
      </c>
      <c r="AC13" s="26">
        <v>0.33734939759036142</v>
      </c>
      <c r="AD13" s="26">
        <v>0.33720930232558138</v>
      </c>
      <c r="AE13" s="26">
        <v>0.33707865168539325</v>
      </c>
      <c r="AF13" s="26">
        <v>0.33695652173913043</v>
      </c>
      <c r="AG13" s="26">
        <v>0.33684210526315789</v>
      </c>
      <c r="AH13" s="26">
        <v>0.33673469387755101</v>
      </c>
      <c r="AI13" s="26">
        <v>0.33663366336633666</v>
      </c>
      <c r="AJ13" s="26">
        <v>0.33653846153846156</v>
      </c>
      <c r="AK13" s="26">
        <v>0.3364485981308411</v>
      </c>
      <c r="AL13" s="26">
        <v>0.33636363636363636</v>
      </c>
      <c r="AM13" s="26">
        <v>0.33628318584070799</v>
      </c>
      <c r="AN13" s="26">
        <v>0.33620689655172414</v>
      </c>
      <c r="AO13" s="26">
        <v>0.33613445378151263</v>
      </c>
      <c r="AP13" s="26">
        <v>0.33606557377049179</v>
      </c>
      <c r="AQ13" s="26">
        <v>0.33600000000000002</v>
      </c>
      <c r="AR13" s="26">
        <v>0.3359375</v>
      </c>
      <c r="AS13" s="26">
        <v>0.33587786259541985</v>
      </c>
      <c r="AT13" s="26">
        <v>0.33582089552238809</v>
      </c>
      <c r="AU13" s="26">
        <v>0.33576642335766421</v>
      </c>
      <c r="AV13" s="26">
        <v>0.33571428571428569</v>
      </c>
      <c r="AW13" s="26">
        <v>0.33566433566433568</v>
      </c>
      <c r="AX13" s="26">
        <v>0.33561643835616439</v>
      </c>
      <c r="AY13" s="26">
        <v>0.33557046979865773</v>
      </c>
      <c r="AZ13" s="26">
        <v>0.33552631578947367</v>
      </c>
      <c r="BA13" s="26">
        <v>0.33548387096774196</v>
      </c>
      <c r="BB13" s="26">
        <v>0.33544303797468356</v>
      </c>
      <c r="BC13" s="26">
        <v>0.33540372670807456</v>
      </c>
      <c r="BD13" s="26">
        <v>0.33536585365853661</v>
      </c>
      <c r="BE13" s="26">
        <v>0.33532934131736525</v>
      </c>
      <c r="BF13" s="26">
        <v>0.3352941176470588</v>
      </c>
      <c r="BG13" s="26">
        <v>0.33526011560693642</v>
      </c>
      <c r="BH13" s="26">
        <v>0.33522727272727271</v>
      </c>
      <c r="BI13" s="26">
        <v>0.33519553072625696</v>
      </c>
      <c r="BJ13" s="26">
        <v>0.33516483516483514</v>
      </c>
      <c r="BK13" s="26">
        <v>0.33513513513513515</v>
      </c>
      <c r="BL13" s="26">
        <v>0.33510638297872342</v>
      </c>
      <c r="BM13" s="26">
        <v>0.33507853403141363</v>
      </c>
      <c r="BN13" s="26">
        <v>0.33505154639175255</v>
      </c>
      <c r="BO13" s="26">
        <v>0.3350253807106599</v>
      </c>
      <c r="BP13" s="26">
        <v>0.33500000000000002</v>
      </c>
      <c r="BQ13" s="26">
        <v>0.33497536945812806</v>
      </c>
      <c r="BR13" s="26">
        <v>0.33495145631067963</v>
      </c>
      <c r="BS13" s="26">
        <v>0.3349282296650718</v>
      </c>
      <c r="BT13" s="26">
        <v>0.33490566037735847</v>
      </c>
      <c r="BU13" s="26">
        <v>0.33488372093023255</v>
      </c>
      <c r="BV13" s="26">
        <v>0.33486238532110091</v>
      </c>
      <c r="BW13" s="26">
        <v>0.33484162895927599</v>
      </c>
      <c r="BX13" s="26">
        <v>0.33482142857142855</v>
      </c>
      <c r="BY13" s="26">
        <v>0.33480176211453744</v>
      </c>
      <c r="BZ13" s="26">
        <v>0.33478260869565218</v>
      </c>
      <c r="CA13" s="26">
        <v>0.33476394849785407</v>
      </c>
      <c r="CB13" s="26">
        <v>0.3347457627118644</v>
      </c>
      <c r="CC13" s="26">
        <v>0.33472803347280333</v>
      </c>
      <c r="CD13" s="26">
        <v>0.33471074380165289</v>
      </c>
      <c r="CE13" s="26">
        <v>0.33469387755102042</v>
      </c>
      <c r="CF13" s="26">
        <v>0.33467741935483869</v>
      </c>
      <c r="CG13" s="26">
        <v>0.33466135458167329</v>
      </c>
      <c r="CH13" s="26">
        <v>0.3346456692913386</v>
      </c>
      <c r="CI13" s="26">
        <v>0.33463035019455251</v>
      </c>
      <c r="CJ13" s="26">
        <v>0.33461538461538459</v>
      </c>
      <c r="CK13" s="26">
        <v>0.33460076045627374</v>
      </c>
      <c r="CL13" s="26">
        <v>0.33458646616541354</v>
      </c>
      <c r="CM13" s="26">
        <v>0.33457249070631973</v>
      </c>
      <c r="CN13" s="26">
        <v>0.33455882352941174</v>
      </c>
      <c r="CO13" s="26">
        <v>0.33454545454545453</v>
      </c>
      <c r="CP13" s="26">
        <v>0.3345323741007194</v>
      </c>
      <c r="CQ13" s="26">
        <v>0.33451957295373663</v>
      </c>
      <c r="CR13" s="26">
        <v>0.33450704225352113</v>
      </c>
      <c r="CS13" s="26">
        <v>0.33449477351916379</v>
      </c>
      <c r="CT13" s="26">
        <v>0.33448275862068966</v>
      </c>
      <c r="CU13" s="26">
        <v>0.33447098976109213</v>
      </c>
      <c r="CV13" s="26">
        <v>0.33445945945945948</v>
      </c>
      <c r="CW13" s="26">
        <v>0.33444816053511706</v>
      </c>
      <c r="CX13" s="26">
        <v>0.33443708609271522</v>
      </c>
      <c r="CY13" s="26">
        <v>0.33442622950819673</v>
      </c>
      <c r="CZ13" s="26">
        <v>0.33441558441558439</v>
      </c>
      <c r="DA13" s="26">
        <v>0.33440514469453375</v>
      </c>
      <c r="DB13" s="26">
        <v>0.33439490445859871</v>
      </c>
      <c r="DC13" s="26">
        <v>0.33438485804416401</v>
      </c>
      <c r="DD13" s="26">
        <v>0.33437499999999998</v>
      </c>
      <c r="DE13" s="26">
        <v>0.33436532507739936</v>
      </c>
      <c r="DF13" s="26">
        <v>0.33435582822085891</v>
      </c>
      <c r="DG13" s="26">
        <v>0.33434650455927051</v>
      </c>
      <c r="DH13" s="26">
        <v>0.33433734939759036</v>
      </c>
      <c r="DI13" s="26">
        <v>0.33432835820895523</v>
      </c>
      <c r="DJ13" s="26">
        <v>0.33431952662721892</v>
      </c>
      <c r="DK13" s="26">
        <v>0.33431085043988268</v>
      </c>
      <c r="DL13" s="26">
        <v>0.33430232558139533</v>
      </c>
      <c r="DM13" s="26">
        <v>0.33429394812680113</v>
      </c>
      <c r="DN13" s="26">
        <v>0.3342857142857143</v>
      </c>
      <c r="DO13" s="26">
        <v>0.33427762039660058</v>
      </c>
      <c r="DP13" s="26">
        <v>0.3342696629213483</v>
      </c>
      <c r="DQ13" s="26">
        <v>0.33426183844011143</v>
      </c>
      <c r="DR13" s="26">
        <v>0.33425414364640882</v>
      </c>
      <c r="DS13" s="26">
        <v>0.33424657534246577</v>
      </c>
      <c r="DT13" s="26">
        <v>0.33423913043478259</v>
      </c>
      <c r="DU13" s="26">
        <v>0.33423180592991913</v>
      </c>
      <c r="DV13" s="26">
        <v>0.33422459893048129</v>
      </c>
      <c r="DW13" s="26">
        <v>0.33421750663129973</v>
      </c>
      <c r="DX13" s="26">
        <v>0.33421052631578946</v>
      </c>
      <c r="DY13" s="26">
        <v>0.33420365535248042</v>
      </c>
      <c r="DZ13" s="26">
        <v>0.33419689119170987</v>
      </c>
      <c r="EA13" s="26">
        <v>0.33419023136246789</v>
      </c>
      <c r="EB13" s="26">
        <v>0.33418367346938777</v>
      </c>
      <c r="EC13" s="26">
        <v>0.33417721518987342</v>
      </c>
      <c r="ED13" s="26">
        <v>0.33417085427135679</v>
      </c>
      <c r="EE13" s="26">
        <v>0.33416458852867831</v>
      </c>
      <c r="EF13" s="26">
        <v>0.33415841584158418</v>
      </c>
      <c r="EG13" s="26">
        <v>0.33415233415233414</v>
      </c>
      <c r="EH13" s="26">
        <v>0.33414634146341465</v>
      </c>
      <c r="EI13" s="26">
        <v>0.33414043583535108</v>
      </c>
      <c r="EJ13" s="26">
        <v>0.33413461538461536</v>
      </c>
      <c r="EK13" s="26">
        <v>0.33412887828162291</v>
      </c>
      <c r="EL13" s="26">
        <v>0.33412322274881517</v>
      </c>
      <c r="EM13" s="26">
        <v>0.33411764705882352</v>
      </c>
      <c r="EN13" s="26">
        <v>0.33411214953271029</v>
      </c>
      <c r="EO13" s="26">
        <v>0.33410672853828305</v>
      </c>
      <c r="EP13" s="26">
        <v>0.33410138248847926</v>
      </c>
      <c r="EQ13" s="26">
        <v>0.33409610983981691</v>
      </c>
      <c r="ER13" s="26">
        <v>0.33409090909090911</v>
      </c>
      <c r="ES13" s="26">
        <v>0.3340857787810384</v>
      </c>
      <c r="ET13" s="26">
        <v>0.33408071748878926</v>
      </c>
      <c r="EU13" s="26">
        <v>0.33407572383073497</v>
      </c>
      <c r="EV13" s="26">
        <v>0.33407079646017701</v>
      </c>
      <c r="EW13" s="26">
        <v>0.33406593406593404</v>
      </c>
      <c r="EX13" s="26">
        <v>0.33406113537117904</v>
      </c>
      <c r="EY13" s="26">
        <v>0.33405639913232105</v>
      </c>
      <c r="EZ13" s="26">
        <v>0.33405172413793105</v>
      </c>
      <c r="FA13" s="26">
        <v>0.3340471092077088</v>
      </c>
      <c r="FB13" s="26">
        <v>0.33404255319148934</v>
      </c>
      <c r="FC13" s="26">
        <v>0.33403805496828753</v>
      </c>
      <c r="FD13" s="26">
        <v>0.33403361344537813</v>
      </c>
      <c r="FE13" s="26">
        <v>0.33402922755741127</v>
      </c>
      <c r="FF13" s="26">
        <v>0.33402489626556015</v>
      </c>
      <c r="FG13" s="26">
        <v>0.33402061855670101</v>
      </c>
      <c r="FH13" s="26">
        <v>0.33401639344262296</v>
      </c>
      <c r="FI13" s="26">
        <v>0.33401221995926678</v>
      </c>
      <c r="FJ13" s="26">
        <v>0.33400809716599189</v>
      </c>
      <c r="FK13" s="26">
        <v>0.33400402414486924</v>
      </c>
      <c r="FL13" s="26">
        <v>0.33400000000000002</v>
      </c>
      <c r="FM13" s="26">
        <v>0.33399602385685884</v>
      </c>
      <c r="FN13" s="26">
        <v>0.33399209486166009</v>
      </c>
      <c r="FO13" s="26">
        <v>0.33398821218074654</v>
      </c>
      <c r="FP13" s="26">
        <v>0.333984375</v>
      </c>
      <c r="FQ13" s="26">
        <v>0.33398058252427182</v>
      </c>
      <c r="FR13" s="26">
        <v>0.33397683397683398</v>
      </c>
      <c r="FS13" s="26">
        <v>0.33397312859884837</v>
      </c>
      <c r="FT13" s="26">
        <v>0.33396946564885494</v>
      </c>
      <c r="FU13" s="26">
        <v>0.33396584440227706</v>
      </c>
      <c r="FV13" s="26">
        <v>0.33396226415094338</v>
      </c>
      <c r="FW13" s="26">
        <v>0.33395872420262662</v>
      </c>
      <c r="FX13" s="26">
        <v>0.33395522388059701</v>
      </c>
      <c r="FY13" s="26">
        <v>0.33395176252319109</v>
      </c>
      <c r="FZ13" s="26">
        <v>0.33394833948339481</v>
      </c>
      <c r="GA13" s="26">
        <v>0.33394495412844039</v>
      </c>
      <c r="GB13" s="26">
        <v>0.33394160583941607</v>
      </c>
      <c r="GC13" s="26">
        <v>0.33393829401088931</v>
      </c>
      <c r="GD13" s="26">
        <v>0.33393501805054154</v>
      </c>
      <c r="GE13" s="26">
        <v>0.33393177737881508</v>
      </c>
      <c r="GF13" s="26">
        <v>0.33392857142857141</v>
      </c>
      <c r="GG13" s="26">
        <v>0.3339253996447602</v>
      </c>
      <c r="GH13" s="26">
        <v>0.33392226148409893</v>
      </c>
      <c r="GI13" s="26">
        <v>0.33391915641476272</v>
      </c>
      <c r="GJ13" s="26">
        <v>0.33391608391608391</v>
      </c>
      <c r="GK13" s="26">
        <v>0.3339130434782609</v>
      </c>
      <c r="GL13" s="26">
        <v>0.33391003460207613</v>
      </c>
      <c r="GM13" s="26">
        <v>0.33390705679862304</v>
      </c>
      <c r="GN13" s="26">
        <v>0.3339041095890411</v>
      </c>
      <c r="GO13" s="26">
        <v>0.33390119250425893</v>
      </c>
      <c r="GP13" s="26">
        <v>0.33389830508474577</v>
      </c>
      <c r="GQ13" s="26">
        <v>0.33389544688026984</v>
      </c>
      <c r="GR13" s="26">
        <v>0.33389261744966442</v>
      </c>
      <c r="GS13" s="26">
        <v>0.333889816360601</v>
      </c>
    </row>
    <row r="14" spans="1:201" x14ac:dyDescent="0.2">
      <c r="A14" s="214" t="s">
        <v>21</v>
      </c>
      <c r="B14" s="215"/>
      <c r="C14" s="215"/>
      <c r="D14" s="215"/>
      <c r="E14" s="215"/>
      <c r="F14" s="215"/>
      <c r="G14" s="215"/>
      <c r="H14" s="215"/>
      <c r="I14" s="215"/>
      <c r="J14" s="215"/>
      <c r="K14" s="215"/>
      <c r="L14" s="215"/>
      <c r="M14" s="215"/>
      <c r="N14" s="215"/>
      <c r="O14" s="215"/>
      <c r="P14" s="215"/>
      <c r="Q14" s="215"/>
      <c r="R14" s="215"/>
      <c r="S14" s="215"/>
      <c r="T14" s="215"/>
      <c r="U14" s="215"/>
      <c r="V14" s="215"/>
      <c r="W14" s="215"/>
      <c r="X14" s="215"/>
      <c r="Y14" s="215"/>
      <c r="Z14" s="215"/>
      <c r="AA14" s="215"/>
      <c r="AB14" s="215"/>
      <c r="AC14" s="215"/>
      <c r="AD14" s="215"/>
      <c r="AE14" s="215"/>
      <c r="AF14" s="215"/>
      <c r="AG14" s="215"/>
      <c r="AH14" s="215"/>
      <c r="AI14" s="215"/>
      <c r="AJ14" s="215"/>
      <c r="AK14" s="215"/>
      <c r="AL14" s="215"/>
      <c r="AM14" s="215"/>
      <c r="AN14" s="215"/>
      <c r="AO14" s="215"/>
      <c r="AP14" s="215"/>
      <c r="AQ14" s="215"/>
      <c r="AR14" s="215"/>
      <c r="AS14" s="215"/>
      <c r="AT14" s="215"/>
      <c r="AU14" s="215"/>
      <c r="AV14" s="215"/>
      <c r="AW14" s="215"/>
      <c r="AX14" s="215"/>
      <c r="AY14" s="215"/>
      <c r="AZ14" s="215"/>
      <c r="BA14" s="215"/>
      <c r="BB14" s="215"/>
      <c r="BC14" s="215"/>
      <c r="BD14" s="215"/>
      <c r="BE14" s="215"/>
      <c r="BF14" s="215"/>
      <c r="BG14" s="215"/>
      <c r="BH14" s="215"/>
      <c r="BI14" s="215"/>
      <c r="BJ14" s="215"/>
      <c r="BK14" s="215"/>
      <c r="BL14" s="215"/>
      <c r="BM14" s="215"/>
      <c r="BN14" s="215"/>
      <c r="BO14" s="215"/>
      <c r="BP14" s="215"/>
      <c r="BQ14" s="215"/>
      <c r="BR14" s="215"/>
      <c r="BS14" s="215"/>
      <c r="BT14" s="215"/>
      <c r="BU14" s="215"/>
      <c r="BV14" s="215"/>
      <c r="BW14" s="215"/>
      <c r="BX14" s="215"/>
      <c r="BY14" s="215"/>
      <c r="BZ14" s="215"/>
      <c r="CA14" s="215"/>
      <c r="CB14" s="215"/>
      <c r="CC14" s="215"/>
      <c r="CD14" s="215"/>
      <c r="CE14" s="215"/>
      <c r="CF14" s="215"/>
      <c r="CG14" s="215"/>
      <c r="CH14" s="215"/>
      <c r="CI14" s="215"/>
      <c r="CJ14" s="215"/>
      <c r="CK14" s="215"/>
      <c r="CL14" s="215"/>
      <c r="CM14" s="215"/>
      <c r="CN14" s="215"/>
      <c r="CO14" s="215"/>
      <c r="CP14" s="215"/>
      <c r="CQ14" s="215"/>
      <c r="CR14" s="215"/>
      <c r="CS14" s="215"/>
      <c r="CT14" s="215"/>
      <c r="CU14" s="215"/>
      <c r="CV14" s="215"/>
      <c r="CW14" s="215"/>
      <c r="CX14" s="215"/>
      <c r="CY14" s="215"/>
      <c r="CZ14" s="215"/>
      <c r="DA14" s="215"/>
      <c r="DB14" s="215"/>
      <c r="DC14" s="215"/>
      <c r="DD14" s="215"/>
      <c r="DE14" s="215"/>
      <c r="DF14" s="215"/>
      <c r="DG14" s="215"/>
      <c r="DH14" s="215"/>
      <c r="DI14" s="215"/>
      <c r="DJ14" s="215"/>
      <c r="DK14" s="215"/>
      <c r="DL14" s="215"/>
      <c r="DM14" s="215"/>
      <c r="DN14" s="215"/>
      <c r="DO14" s="215"/>
      <c r="DP14" s="215"/>
      <c r="DQ14" s="215"/>
      <c r="DR14" s="215"/>
      <c r="DS14" s="215"/>
      <c r="DT14" s="215"/>
      <c r="DU14" s="215"/>
      <c r="DV14" s="215"/>
      <c r="DW14" s="215"/>
      <c r="DX14" s="215"/>
      <c r="DY14" s="215"/>
      <c r="DZ14" s="215"/>
      <c r="EA14" s="215"/>
      <c r="EB14" s="215"/>
      <c r="EC14" s="215"/>
      <c r="ED14" s="215"/>
      <c r="EE14" s="215"/>
      <c r="EF14" s="215"/>
      <c r="EG14" s="215"/>
      <c r="EH14" s="215"/>
      <c r="EI14" s="215"/>
      <c r="EJ14" s="215"/>
      <c r="EK14" s="215"/>
      <c r="EL14" s="215"/>
      <c r="EM14" s="215"/>
      <c r="EN14" s="215"/>
      <c r="EO14" s="215"/>
      <c r="EP14" s="215"/>
      <c r="EQ14" s="215"/>
      <c r="ER14" s="215"/>
      <c r="ES14" s="215"/>
      <c r="ET14" s="215"/>
      <c r="EU14" s="215"/>
      <c r="EV14" s="215"/>
      <c r="EW14" s="215"/>
      <c r="EX14" s="215"/>
      <c r="EY14" s="215"/>
      <c r="EZ14" s="215"/>
      <c r="FA14" s="215"/>
      <c r="FB14" s="215"/>
      <c r="FC14" s="215"/>
      <c r="FD14" s="215"/>
      <c r="FE14" s="215"/>
      <c r="FF14" s="215"/>
      <c r="FG14" s="215"/>
      <c r="FH14" s="215"/>
      <c r="FI14" s="215"/>
      <c r="FJ14" s="215"/>
      <c r="FK14" s="215"/>
      <c r="FL14" s="215"/>
      <c r="FM14" s="215"/>
      <c r="FN14" s="215"/>
      <c r="FO14" s="215"/>
      <c r="FP14" s="215"/>
      <c r="FQ14" s="215"/>
      <c r="FR14" s="215"/>
      <c r="FS14" s="215"/>
      <c r="FT14" s="215"/>
      <c r="FU14" s="215"/>
      <c r="FV14" s="215"/>
      <c r="FW14" s="215"/>
      <c r="FX14" s="215"/>
      <c r="FY14" s="215"/>
      <c r="FZ14" s="215"/>
      <c r="GA14" s="215"/>
      <c r="GB14" s="215"/>
      <c r="GC14" s="215"/>
      <c r="GD14" s="215"/>
      <c r="GE14" s="215"/>
      <c r="GF14" s="215"/>
      <c r="GG14" s="215"/>
      <c r="GH14" s="215"/>
      <c r="GI14" s="215"/>
      <c r="GJ14" s="215"/>
      <c r="GK14" s="215"/>
      <c r="GL14" s="215"/>
      <c r="GM14" s="215"/>
      <c r="GN14" s="215"/>
      <c r="GO14" s="215"/>
      <c r="GP14" s="215"/>
      <c r="GQ14" s="215"/>
      <c r="GR14" s="215"/>
      <c r="GS14" s="215"/>
    </row>
    <row r="15" spans="1:201" x14ac:dyDescent="0.2">
      <c r="A15" s="7" t="s">
        <v>22</v>
      </c>
      <c r="B15" s="27">
        <v>0.16666666666666666</v>
      </c>
      <c r="C15" s="28">
        <v>0.26666666666666666</v>
      </c>
      <c r="D15" s="28">
        <v>0.29166666666666669</v>
      </c>
      <c r="E15" s="28">
        <v>0.30303030303030304</v>
      </c>
      <c r="F15" s="28">
        <v>0.30952380952380953</v>
      </c>
      <c r="G15" s="28">
        <v>0.31372549019607843</v>
      </c>
      <c r="H15" s="28">
        <v>0.31666666666666665</v>
      </c>
      <c r="I15" s="28">
        <v>0.3188405797101449</v>
      </c>
      <c r="J15" s="28">
        <v>0.32051282051282054</v>
      </c>
      <c r="K15" s="28">
        <v>0.32183908045977011</v>
      </c>
      <c r="L15" s="28">
        <v>0.32291666666666669</v>
      </c>
      <c r="M15" s="27">
        <v>0.32380952380952382</v>
      </c>
      <c r="N15" s="28">
        <v>0.32456140350877194</v>
      </c>
      <c r="O15" s="28">
        <v>0.32520325203252032</v>
      </c>
      <c r="P15" s="28">
        <v>0.32575757575757575</v>
      </c>
      <c r="Q15" s="28">
        <v>0.32624113475177308</v>
      </c>
      <c r="R15" s="28">
        <v>0.32666666666666666</v>
      </c>
      <c r="S15" s="28">
        <v>0.32704402515723269</v>
      </c>
      <c r="T15" s="28">
        <v>0.32738095238095238</v>
      </c>
      <c r="U15" s="28">
        <v>0.32768361581920902</v>
      </c>
      <c r="V15" s="28">
        <v>0.32795698924731181</v>
      </c>
      <c r="W15" s="28">
        <v>0.3282051282051282</v>
      </c>
      <c r="X15" s="27">
        <v>0.32843137254901961</v>
      </c>
      <c r="Y15" s="28">
        <v>0.32863849765258218</v>
      </c>
      <c r="Z15" s="28">
        <v>0.32882882882882886</v>
      </c>
      <c r="AA15" s="28">
        <v>0.32900432900432902</v>
      </c>
      <c r="AB15" s="28">
        <v>0.32916666666666666</v>
      </c>
      <c r="AC15" s="28">
        <v>0.32931726907630521</v>
      </c>
      <c r="AD15" s="28">
        <v>0.32945736434108525</v>
      </c>
      <c r="AE15" s="28">
        <v>0.32958801498127338</v>
      </c>
      <c r="AF15" s="28">
        <v>0.32971014492753625</v>
      </c>
      <c r="AG15" s="28">
        <v>0.3298245614035088</v>
      </c>
      <c r="AH15" s="28">
        <v>0.32993197278911562</v>
      </c>
      <c r="AI15" s="27">
        <v>0.33003300330033003</v>
      </c>
      <c r="AJ15" s="28">
        <v>0.33012820512820512</v>
      </c>
      <c r="AK15" s="28">
        <v>0.33021806853582553</v>
      </c>
      <c r="AL15" s="28">
        <v>0.33030303030303032</v>
      </c>
      <c r="AM15" s="28">
        <v>0.3303834808259587</v>
      </c>
      <c r="AN15" s="28">
        <v>0.33045977011494254</v>
      </c>
      <c r="AO15" s="28">
        <v>0.33053221288515405</v>
      </c>
      <c r="AP15" s="28">
        <v>0.33060109289617484</v>
      </c>
      <c r="AQ15" s="28">
        <v>0.33066666666666666</v>
      </c>
      <c r="AR15" s="28">
        <v>0.33072916666666669</v>
      </c>
      <c r="AS15" s="28">
        <v>0.33078880407124683</v>
      </c>
      <c r="AT15" s="27">
        <v>0.3308457711442786</v>
      </c>
      <c r="AU15" s="28">
        <v>0.33090024330900242</v>
      </c>
      <c r="AV15" s="28">
        <v>0.33095238095238094</v>
      </c>
      <c r="AW15" s="28">
        <v>0.33100233100233101</v>
      </c>
      <c r="AX15" s="28">
        <v>0.33105022831050229</v>
      </c>
      <c r="AY15" s="28">
        <v>0.33109619686800895</v>
      </c>
      <c r="AZ15" s="28">
        <v>0.33114035087719296</v>
      </c>
      <c r="BA15" s="28">
        <v>0.33118279569892473</v>
      </c>
      <c r="BB15" s="28">
        <v>0.33122362869198313</v>
      </c>
      <c r="BC15" s="28">
        <v>0.33126293995859213</v>
      </c>
      <c r="BD15" s="28">
        <v>0.33130081300813008</v>
      </c>
      <c r="BE15" s="27">
        <v>0.33133732534930138</v>
      </c>
      <c r="BF15" s="28">
        <v>0.33137254901960783</v>
      </c>
      <c r="BG15" s="28">
        <v>0.33140655105973027</v>
      </c>
      <c r="BH15" s="28">
        <v>0.33143939393939392</v>
      </c>
      <c r="BI15" s="28">
        <v>0.33147113594040967</v>
      </c>
      <c r="BJ15" s="28">
        <v>0.33150183150183149</v>
      </c>
      <c r="BK15" s="28">
        <v>0.33153153153153153</v>
      </c>
      <c r="BL15" s="28">
        <v>0.33156028368794327</v>
      </c>
      <c r="BM15" s="28">
        <v>0.33158813263525305</v>
      </c>
      <c r="BN15" s="28">
        <v>0.33161512027491408</v>
      </c>
      <c r="BO15" s="28">
        <v>0.33164128595600678</v>
      </c>
      <c r="BP15" s="27">
        <v>0.33166666666666667</v>
      </c>
      <c r="BQ15" s="28">
        <v>0.33169129720853857</v>
      </c>
      <c r="BR15" s="28">
        <v>0.33171521035598706</v>
      </c>
      <c r="BS15" s="28">
        <v>0.33173843700159489</v>
      </c>
      <c r="BT15" s="28">
        <v>0.33176100628930816</v>
      </c>
      <c r="BU15" s="28">
        <v>0.33178294573643413</v>
      </c>
      <c r="BV15" s="28">
        <v>0.33180428134556578</v>
      </c>
      <c r="BW15" s="28">
        <v>0.33182503770739064</v>
      </c>
      <c r="BX15" s="28">
        <v>0.33184523809523808</v>
      </c>
      <c r="BY15" s="28">
        <v>0.33186490455212925</v>
      </c>
      <c r="BZ15" s="28">
        <v>0.3318840579710145</v>
      </c>
      <c r="CA15" s="27">
        <v>0.33190271816881262</v>
      </c>
      <c r="CB15" s="28">
        <v>0.33192090395480228</v>
      </c>
      <c r="CC15" s="28">
        <v>0.3319386331938633</v>
      </c>
      <c r="CD15" s="28">
        <v>0.3319559228650138</v>
      </c>
      <c r="CE15" s="28">
        <v>0.33197278911564626</v>
      </c>
      <c r="CF15" s="28">
        <v>0.33198924731182794</v>
      </c>
      <c r="CG15" s="28">
        <v>0.33200531208499334</v>
      </c>
      <c r="CH15" s="28">
        <v>0.33202099737532809</v>
      </c>
      <c r="CI15" s="28">
        <v>0.33203631647211412</v>
      </c>
      <c r="CJ15" s="28">
        <v>0.33205128205128204</v>
      </c>
      <c r="CK15" s="28">
        <v>0.33206590621039289</v>
      </c>
      <c r="CL15" s="27">
        <v>0.33208020050125314</v>
      </c>
      <c r="CM15" s="28">
        <v>0.33209417596034696</v>
      </c>
      <c r="CN15" s="28">
        <v>0.33210784313725489</v>
      </c>
      <c r="CO15" s="28">
        <v>0.33212121212121209</v>
      </c>
      <c r="CP15" s="28">
        <v>0.33213429256594723</v>
      </c>
      <c r="CQ15" s="28">
        <v>0.33214709371293</v>
      </c>
      <c r="CR15" s="28">
        <v>0.33215962441314556</v>
      </c>
      <c r="CS15" s="28">
        <v>0.33217189314750289</v>
      </c>
      <c r="CT15" s="28">
        <v>0.33218390804597703</v>
      </c>
      <c r="CU15" s="28">
        <v>0.3321956769055745</v>
      </c>
      <c r="CV15" s="28">
        <v>0.3322072072072072</v>
      </c>
      <c r="CW15" s="27">
        <v>0.33221850613154963</v>
      </c>
      <c r="CX15" s="28">
        <v>0.33222958057395141</v>
      </c>
      <c r="CY15" s="28">
        <v>0.33224043715846996</v>
      </c>
      <c r="CZ15" s="28">
        <v>0.33225108225108224</v>
      </c>
      <c r="DA15" s="28">
        <v>0.33226152197213288</v>
      </c>
      <c r="DB15" s="28">
        <v>0.33227176220806792</v>
      </c>
      <c r="DC15" s="28">
        <v>0.33228180862250262</v>
      </c>
      <c r="DD15" s="28">
        <v>0.33229166666666665</v>
      </c>
      <c r="DE15" s="28">
        <v>0.33230134158926727</v>
      </c>
      <c r="DF15" s="28">
        <v>0.33231083844580778</v>
      </c>
      <c r="DG15" s="28">
        <v>0.33232016210739618</v>
      </c>
      <c r="DH15" s="27">
        <v>0.33232931726907633</v>
      </c>
      <c r="DI15" s="28">
        <v>0.33233830845771145</v>
      </c>
      <c r="DJ15" s="28">
        <v>0.33234714003944771</v>
      </c>
      <c r="DK15" s="28">
        <v>0.33235581622678395</v>
      </c>
      <c r="DL15" s="28">
        <v>0.3323643410852713</v>
      </c>
      <c r="DM15" s="28">
        <v>0.3323727185398655</v>
      </c>
      <c r="DN15" s="28">
        <v>0.33238095238095239</v>
      </c>
      <c r="DO15" s="28">
        <v>0.3323890462700661</v>
      </c>
      <c r="DP15" s="28">
        <v>0.33239700374531833</v>
      </c>
      <c r="DQ15" s="28">
        <v>0.33240482822655526</v>
      </c>
      <c r="DR15" s="28">
        <v>0.33241252302025781</v>
      </c>
      <c r="DS15" s="27">
        <v>0.33242009132420092</v>
      </c>
      <c r="DT15" s="28">
        <v>0.33242753623188404</v>
      </c>
      <c r="DU15" s="28">
        <v>0.33243486073674755</v>
      </c>
      <c r="DV15" s="28">
        <v>0.3324420677361854</v>
      </c>
      <c r="DW15" s="28">
        <v>0.33244916003536695</v>
      </c>
      <c r="DX15" s="28">
        <v>0.33245614035087717</v>
      </c>
      <c r="DY15" s="28">
        <v>0.33246301131418626</v>
      </c>
      <c r="DZ15" s="28">
        <v>0.33246977547495682</v>
      </c>
      <c r="EA15" s="28">
        <v>0.33247643530419879</v>
      </c>
      <c r="EB15" s="28">
        <v>0.33248299319727892</v>
      </c>
      <c r="EC15" s="28">
        <v>0.33248945147679326</v>
      </c>
      <c r="ED15" s="27">
        <v>0.3324958123953099</v>
      </c>
      <c r="EE15" s="28">
        <v>0.33250207813798838</v>
      </c>
      <c r="EF15" s="28">
        <v>0.33250825082508251</v>
      </c>
      <c r="EG15" s="28">
        <v>0.33251433251433249</v>
      </c>
      <c r="EH15" s="28">
        <v>0.33252032520325203</v>
      </c>
      <c r="EI15" s="28">
        <v>0.33252623083131555</v>
      </c>
      <c r="EJ15" s="28">
        <v>0.33253205128205127</v>
      </c>
      <c r="EK15" s="28">
        <v>0.33253778838504378</v>
      </c>
      <c r="EL15" s="28">
        <v>0.33254344391785151</v>
      </c>
      <c r="EM15" s="28">
        <v>0.33254901960784311</v>
      </c>
      <c r="EN15" s="28">
        <v>0.3325545171339564</v>
      </c>
      <c r="EO15" s="27">
        <v>0.33255993812838358</v>
      </c>
      <c r="EP15" s="28">
        <v>0.33256528417818743</v>
      </c>
      <c r="EQ15" s="28">
        <v>0.33257055682684972</v>
      </c>
      <c r="ER15" s="28">
        <v>0.33257575757575758</v>
      </c>
      <c r="ES15" s="28">
        <v>0.33258088788562828</v>
      </c>
      <c r="ET15" s="28">
        <v>0.33258594917787743</v>
      </c>
      <c r="EU15" s="28">
        <v>0.33259094283593171</v>
      </c>
      <c r="EV15" s="28">
        <v>0.33259587020648967</v>
      </c>
      <c r="EW15" s="28">
        <v>0.33260073260073258</v>
      </c>
      <c r="EX15" s="28">
        <v>0.33260553129548764</v>
      </c>
      <c r="EY15" s="28">
        <v>0.33261026753434564</v>
      </c>
      <c r="EZ15" s="27">
        <v>0.33261494252873564</v>
      </c>
      <c r="FA15" s="28">
        <v>0.33261955745895788</v>
      </c>
      <c r="FB15" s="28">
        <v>0.33262411347517729</v>
      </c>
      <c r="FC15" s="28">
        <v>0.33262861169837915</v>
      </c>
      <c r="FD15" s="28">
        <v>0.3326330532212885</v>
      </c>
      <c r="FE15" s="28">
        <v>0.33263743910925542</v>
      </c>
      <c r="FF15" s="28">
        <v>0.33264177040110648</v>
      </c>
      <c r="FG15" s="28">
        <v>0.33264604810996562</v>
      </c>
      <c r="FH15" s="28">
        <v>0.33265027322404372</v>
      </c>
      <c r="FI15" s="28">
        <v>0.33265444670739985</v>
      </c>
      <c r="FJ15" s="28">
        <v>0.33265856950067474</v>
      </c>
      <c r="FK15" s="27">
        <v>0.33266264252179745</v>
      </c>
      <c r="FL15" s="28">
        <v>0.33266666666666667</v>
      </c>
      <c r="FM15" s="28">
        <v>0.33267064280980779</v>
      </c>
      <c r="FN15" s="28">
        <v>0.33267457180500659</v>
      </c>
      <c r="FO15" s="28">
        <v>0.33267845448592009</v>
      </c>
      <c r="FP15" s="28">
        <v>0.33268229166666669</v>
      </c>
      <c r="FQ15" s="28">
        <v>0.33268608414239481</v>
      </c>
      <c r="FR15" s="28">
        <v>0.33268983268983271</v>
      </c>
      <c r="FS15" s="28">
        <v>0.33269353806781832</v>
      </c>
      <c r="FT15" s="28">
        <v>0.33269720101781169</v>
      </c>
      <c r="FU15" s="28">
        <v>0.33270082226438963</v>
      </c>
      <c r="FV15" s="27">
        <v>0.33270440251572325</v>
      </c>
      <c r="FW15" s="28">
        <v>0.33270794246404001</v>
      </c>
      <c r="FX15" s="28">
        <v>0.33271144278606968</v>
      </c>
      <c r="FY15" s="28">
        <v>0.3327149041434756</v>
      </c>
      <c r="FZ15" s="28">
        <v>0.33271832718327182</v>
      </c>
      <c r="GA15" s="28">
        <v>0.3327217125382263</v>
      </c>
      <c r="GB15" s="28">
        <v>0.33272506082725062</v>
      </c>
      <c r="GC15" s="28">
        <v>0.33272837265577737</v>
      </c>
      <c r="GD15" s="28">
        <v>0.33273164861612514</v>
      </c>
      <c r="GE15" s="28">
        <v>0.33273488928785161</v>
      </c>
      <c r="GF15" s="28">
        <v>0.33273809523809522</v>
      </c>
      <c r="GG15" s="27">
        <v>0.33274126702190643</v>
      </c>
      <c r="GH15" s="28">
        <v>0.3327444051825677</v>
      </c>
      <c r="GI15" s="28">
        <v>0.33274751025190391</v>
      </c>
      <c r="GJ15" s="28">
        <v>0.33275058275058272</v>
      </c>
      <c r="GK15" s="28">
        <v>0.33275362318840579</v>
      </c>
      <c r="GL15" s="28">
        <v>0.33275663206459055</v>
      </c>
      <c r="GM15" s="28">
        <v>0.33275960986804359</v>
      </c>
      <c r="GN15" s="28">
        <v>0.33276255707762559</v>
      </c>
      <c r="GO15" s="28">
        <v>0.3327654741624077</v>
      </c>
      <c r="GP15" s="28">
        <v>0.33276836158192091</v>
      </c>
      <c r="GQ15" s="28">
        <v>0.33277121978639684</v>
      </c>
      <c r="GR15" s="27">
        <v>0.33277404921700221</v>
      </c>
      <c r="GS15" s="28">
        <v>0.33277685030606569</v>
      </c>
    </row>
    <row r="16" spans="1:201" x14ac:dyDescent="0.2">
      <c r="A16" s="7" t="s">
        <v>23</v>
      </c>
      <c r="B16" s="27">
        <v>0.33333333333333331</v>
      </c>
      <c r="C16" s="28">
        <v>0.33333333333333331</v>
      </c>
      <c r="D16" s="28">
        <v>0.33333333333333331</v>
      </c>
      <c r="E16" s="28">
        <v>0.33333333333333331</v>
      </c>
      <c r="F16" s="28">
        <v>0.33333333333333331</v>
      </c>
      <c r="G16" s="28">
        <v>0.33333333333333331</v>
      </c>
      <c r="H16" s="28">
        <v>0.33333333333333331</v>
      </c>
      <c r="I16" s="28">
        <v>0.33333333333333331</v>
      </c>
      <c r="J16" s="28">
        <v>0.33333333333333331</v>
      </c>
      <c r="K16" s="28">
        <v>0.33333333333333331</v>
      </c>
      <c r="L16" s="28">
        <v>0.33333333333333331</v>
      </c>
      <c r="M16" s="27">
        <v>0.33333333333333331</v>
      </c>
      <c r="N16" s="28">
        <v>0.33333333333333331</v>
      </c>
      <c r="O16" s="28">
        <v>0.33333333333333331</v>
      </c>
      <c r="P16" s="28">
        <v>0.33333333333333331</v>
      </c>
      <c r="Q16" s="28">
        <v>0.33333333333333331</v>
      </c>
      <c r="R16" s="28">
        <v>0.33333333333333331</v>
      </c>
      <c r="S16" s="28">
        <v>0.33333333333333331</v>
      </c>
      <c r="T16" s="28">
        <v>0.33333333333333331</v>
      </c>
      <c r="U16" s="28">
        <v>0.33333333333333331</v>
      </c>
      <c r="V16" s="28">
        <v>0.33333333333333331</v>
      </c>
      <c r="W16" s="28">
        <v>0.33333333333333331</v>
      </c>
      <c r="X16" s="27">
        <v>0.33333333333333331</v>
      </c>
      <c r="Y16" s="28">
        <v>0.33333333333333331</v>
      </c>
      <c r="Z16" s="28">
        <v>0.33333333333333331</v>
      </c>
      <c r="AA16" s="28">
        <v>0.33333333333333331</v>
      </c>
      <c r="AB16" s="28">
        <v>0.33333333333333331</v>
      </c>
      <c r="AC16" s="28">
        <v>0.33333333333333331</v>
      </c>
      <c r="AD16" s="28">
        <v>0.33333333333333331</v>
      </c>
      <c r="AE16" s="28">
        <v>0.33333333333333331</v>
      </c>
      <c r="AF16" s="28">
        <v>0.33333333333333331</v>
      </c>
      <c r="AG16" s="28">
        <v>0.33333333333333331</v>
      </c>
      <c r="AH16" s="28">
        <v>0.33333333333333331</v>
      </c>
      <c r="AI16" s="27">
        <v>0.33333333333333331</v>
      </c>
      <c r="AJ16" s="28">
        <v>0.33333333333333331</v>
      </c>
      <c r="AK16" s="28">
        <v>0.33333333333333331</v>
      </c>
      <c r="AL16" s="28">
        <v>0.33333333333333331</v>
      </c>
      <c r="AM16" s="28">
        <v>0.33333333333333331</v>
      </c>
      <c r="AN16" s="28">
        <v>0.33333333333333331</v>
      </c>
      <c r="AO16" s="28">
        <v>0.33333333333333331</v>
      </c>
      <c r="AP16" s="28">
        <v>0.33333333333333331</v>
      </c>
      <c r="AQ16" s="28">
        <v>0.33333333333333331</v>
      </c>
      <c r="AR16" s="28">
        <v>0.33333333333333331</v>
      </c>
      <c r="AS16" s="28">
        <v>0.33333333333333331</v>
      </c>
      <c r="AT16" s="27">
        <v>0.33333333333333331</v>
      </c>
      <c r="AU16" s="28">
        <v>0.33333333333333331</v>
      </c>
      <c r="AV16" s="28">
        <v>0.33333333333333331</v>
      </c>
      <c r="AW16" s="28">
        <v>0.33333333333333331</v>
      </c>
      <c r="AX16" s="28">
        <v>0.33333333333333331</v>
      </c>
      <c r="AY16" s="28">
        <v>0.33333333333333331</v>
      </c>
      <c r="AZ16" s="28">
        <v>0.33333333333333331</v>
      </c>
      <c r="BA16" s="28">
        <v>0.33333333333333331</v>
      </c>
      <c r="BB16" s="28">
        <v>0.33333333333333331</v>
      </c>
      <c r="BC16" s="28">
        <v>0.33333333333333331</v>
      </c>
      <c r="BD16" s="28">
        <v>0.33333333333333331</v>
      </c>
      <c r="BE16" s="27">
        <v>0.33333333333333331</v>
      </c>
      <c r="BF16" s="28">
        <v>0.33333333333333331</v>
      </c>
      <c r="BG16" s="28">
        <v>0.33333333333333331</v>
      </c>
      <c r="BH16" s="28">
        <v>0.33333333333333331</v>
      </c>
      <c r="BI16" s="28">
        <v>0.33333333333333331</v>
      </c>
      <c r="BJ16" s="28">
        <v>0.33333333333333331</v>
      </c>
      <c r="BK16" s="28">
        <v>0.33333333333333331</v>
      </c>
      <c r="BL16" s="28">
        <v>0.33333333333333331</v>
      </c>
      <c r="BM16" s="28">
        <v>0.33333333333333331</v>
      </c>
      <c r="BN16" s="28">
        <v>0.33333333333333331</v>
      </c>
      <c r="BO16" s="28">
        <v>0.33333333333333331</v>
      </c>
      <c r="BP16" s="27">
        <v>0.33333333333333331</v>
      </c>
      <c r="BQ16" s="28">
        <v>0.33333333333333331</v>
      </c>
      <c r="BR16" s="28">
        <v>0.33333333333333331</v>
      </c>
      <c r="BS16" s="28">
        <v>0.33333333333333331</v>
      </c>
      <c r="BT16" s="28">
        <v>0.33333333333333331</v>
      </c>
      <c r="BU16" s="28">
        <v>0.33333333333333331</v>
      </c>
      <c r="BV16" s="28">
        <v>0.33333333333333331</v>
      </c>
      <c r="BW16" s="28">
        <v>0.33333333333333331</v>
      </c>
      <c r="BX16" s="28">
        <v>0.33333333333333331</v>
      </c>
      <c r="BY16" s="28">
        <v>0.33333333333333331</v>
      </c>
      <c r="BZ16" s="28">
        <v>0.33333333333333331</v>
      </c>
      <c r="CA16" s="27">
        <v>0.33333333333333331</v>
      </c>
      <c r="CB16" s="28">
        <v>0.33333333333333331</v>
      </c>
      <c r="CC16" s="28">
        <v>0.33333333333333331</v>
      </c>
      <c r="CD16" s="28">
        <v>0.33333333333333331</v>
      </c>
      <c r="CE16" s="28">
        <v>0.33333333333333331</v>
      </c>
      <c r="CF16" s="28">
        <v>0.33333333333333331</v>
      </c>
      <c r="CG16" s="28">
        <v>0.33333333333333331</v>
      </c>
      <c r="CH16" s="28">
        <v>0.33333333333333331</v>
      </c>
      <c r="CI16" s="28">
        <v>0.33333333333333331</v>
      </c>
      <c r="CJ16" s="28">
        <v>0.33333333333333331</v>
      </c>
      <c r="CK16" s="28">
        <v>0.33333333333333331</v>
      </c>
      <c r="CL16" s="27">
        <v>0.33333333333333331</v>
      </c>
      <c r="CM16" s="28">
        <v>0.33333333333333331</v>
      </c>
      <c r="CN16" s="28">
        <v>0.33333333333333331</v>
      </c>
      <c r="CO16" s="28">
        <v>0.33333333333333331</v>
      </c>
      <c r="CP16" s="28">
        <v>0.33333333333333331</v>
      </c>
      <c r="CQ16" s="28">
        <v>0.33333333333333331</v>
      </c>
      <c r="CR16" s="28">
        <v>0.33333333333333331</v>
      </c>
      <c r="CS16" s="28">
        <v>0.33333333333333331</v>
      </c>
      <c r="CT16" s="28">
        <v>0.33333333333333331</v>
      </c>
      <c r="CU16" s="28">
        <v>0.33333333333333331</v>
      </c>
      <c r="CV16" s="28">
        <v>0.33333333333333331</v>
      </c>
      <c r="CW16" s="27">
        <v>0.33333333333333331</v>
      </c>
      <c r="CX16" s="28">
        <v>0.33333333333333331</v>
      </c>
      <c r="CY16" s="28">
        <v>0.33333333333333331</v>
      </c>
      <c r="CZ16" s="28">
        <v>0.33333333333333331</v>
      </c>
      <c r="DA16" s="28">
        <v>0.33333333333333331</v>
      </c>
      <c r="DB16" s="28">
        <v>0.33333333333333331</v>
      </c>
      <c r="DC16" s="28">
        <v>0.33333333333333331</v>
      </c>
      <c r="DD16" s="28">
        <v>0.33333333333333331</v>
      </c>
      <c r="DE16" s="28">
        <v>0.33333333333333331</v>
      </c>
      <c r="DF16" s="28">
        <v>0.33333333333333331</v>
      </c>
      <c r="DG16" s="28">
        <v>0.33333333333333331</v>
      </c>
      <c r="DH16" s="27">
        <v>0.33333333333333331</v>
      </c>
      <c r="DI16" s="28">
        <v>0.33333333333333331</v>
      </c>
      <c r="DJ16" s="28">
        <v>0.33333333333333331</v>
      </c>
      <c r="DK16" s="28">
        <v>0.33333333333333331</v>
      </c>
      <c r="DL16" s="28">
        <v>0.33333333333333331</v>
      </c>
      <c r="DM16" s="28">
        <v>0.33333333333333331</v>
      </c>
      <c r="DN16" s="28">
        <v>0.33333333333333331</v>
      </c>
      <c r="DO16" s="28">
        <v>0.33333333333333331</v>
      </c>
      <c r="DP16" s="28">
        <v>0.33333333333333331</v>
      </c>
      <c r="DQ16" s="28">
        <v>0.33333333333333331</v>
      </c>
      <c r="DR16" s="28">
        <v>0.33333333333333331</v>
      </c>
      <c r="DS16" s="27">
        <v>0.33333333333333331</v>
      </c>
      <c r="DT16" s="28">
        <v>0.33333333333333331</v>
      </c>
      <c r="DU16" s="28">
        <v>0.33333333333333331</v>
      </c>
      <c r="DV16" s="28">
        <v>0.33333333333333331</v>
      </c>
      <c r="DW16" s="28">
        <v>0.33333333333333331</v>
      </c>
      <c r="DX16" s="28">
        <v>0.33333333333333331</v>
      </c>
      <c r="DY16" s="28">
        <v>0.33333333333333331</v>
      </c>
      <c r="DZ16" s="28">
        <v>0.33333333333333331</v>
      </c>
      <c r="EA16" s="28">
        <v>0.33333333333333331</v>
      </c>
      <c r="EB16" s="28">
        <v>0.33333333333333331</v>
      </c>
      <c r="EC16" s="28">
        <v>0.33333333333333331</v>
      </c>
      <c r="ED16" s="27">
        <v>0.33333333333333331</v>
      </c>
      <c r="EE16" s="28">
        <v>0.33333333333333331</v>
      </c>
      <c r="EF16" s="28">
        <v>0.33333333333333331</v>
      </c>
      <c r="EG16" s="28">
        <v>0.33333333333333331</v>
      </c>
      <c r="EH16" s="28">
        <v>0.33333333333333331</v>
      </c>
      <c r="EI16" s="28">
        <v>0.33333333333333331</v>
      </c>
      <c r="EJ16" s="28">
        <v>0.33333333333333331</v>
      </c>
      <c r="EK16" s="28">
        <v>0.33333333333333331</v>
      </c>
      <c r="EL16" s="28">
        <v>0.33333333333333331</v>
      </c>
      <c r="EM16" s="28">
        <v>0.33333333333333331</v>
      </c>
      <c r="EN16" s="28">
        <v>0.33333333333333331</v>
      </c>
      <c r="EO16" s="27">
        <v>0.33333333333333331</v>
      </c>
      <c r="EP16" s="28">
        <v>0.33333333333333331</v>
      </c>
      <c r="EQ16" s="28">
        <v>0.33333333333333331</v>
      </c>
      <c r="ER16" s="28">
        <v>0.33333333333333331</v>
      </c>
      <c r="ES16" s="28">
        <v>0.33333333333333331</v>
      </c>
      <c r="ET16" s="28">
        <v>0.33333333333333331</v>
      </c>
      <c r="EU16" s="28">
        <v>0.33333333333333331</v>
      </c>
      <c r="EV16" s="28">
        <v>0.33333333333333331</v>
      </c>
      <c r="EW16" s="28">
        <v>0.33333333333333331</v>
      </c>
      <c r="EX16" s="28">
        <v>0.33333333333333331</v>
      </c>
      <c r="EY16" s="28">
        <v>0.33333333333333331</v>
      </c>
      <c r="EZ16" s="27">
        <v>0.33333333333333331</v>
      </c>
      <c r="FA16" s="28">
        <v>0.33333333333333331</v>
      </c>
      <c r="FB16" s="28">
        <v>0.33333333333333331</v>
      </c>
      <c r="FC16" s="28">
        <v>0.33333333333333331</v>
      </c>
      <c r="FD16" s="28">
        <v>0.33333333333333331</v>
      </c>
      <c r="FE16" s="28">
        <v>0.33333333333333331</v>
      </c>
      <c r="FF16" s="28">
        <v>0.33333333333333331</v>
      </c>
      <c r="FG16" s="28">
        <v>0.33333333333333331</v>
      </c>
      <c r="FH16" s="28">
        <v>0.33333333333333331</v>
      </c>
      <c r="FI16" s="28">
        <v>0.33333333333333331</v>
      </c>
      <c r="FJ16" s="28">
        <v>0.33333333333333331</v>
      </c>
      <c r="FK16" s="27">
        <v>0.33333333333333331</v>
      </c>
      <c r="FL16" s="28">
        <v>0.33333333333333331</v>
      </c>
      <c r="FM16" s="28">
        <v>0.33333333333333331</v>
      </c>
      <c r="FN16" s="28">
        <v>0.33333333333333331</v>
      </c>
      <c r="FO16" s="28">
        <v>0.33333333333333331</v>
      </c>
      <c r="FP16" s="28">
        <v>0.33333333333333331</v>
      </c>
      <c r="FQ16" s="28">
        <v>0.33333333333333331</v>
      </c>
      <c r="FR16" s="28">
        <v>0.33333333333333331</v>
      </c>
      <c r="FS16" s="28">
        <v>0.33333333333333331</v>
      </c>
      <c r="FT16" s="28">
        <v>0.33333333333333331</v>
      </c>
      <c r="FU16" s="28">
        <v>0.33333333333333331</v>
      </c>
      <c r="FV16" s="27">
        <v>0.33333333333333331</v>
      </c>
      <c r="FW16" s="28">
        <v>0.33333333333333331</v>
      </c>
      <c r="FX16" s="28">
        <v>0.33333333333333331</v>
      </c>
      <c r="FY16" s="28">
        <v>0.33333333333333331</v>
      </c>
      <c r="FZ16" s="28">
        <v>0.33333333333333331</v>
      </c>
      <c r="GA16" s="28">
        <v>0.33333333333333331</v>
      </c>
      <c r="GB16" s="28">
        <v>0.33333333333333331</v>
      </c>
      <c r="GC16" s="28">
        <v>0.33333333333333331</v>
      </c>
      <c r="GD16" s="28">
        <v>0.33333333333333331</v>
      </c>
      <c r="GE16" s="28">
        <v>0.33333333333333331</v>
      </c>
      <c r="GF16" s="28">
        <v>0.33333333333333331</v>
      </c>
      <c r="GG16" s="27">
        <v>0.33333333333333331</v>
      </c>
      <c r="GH16" s="28">
        <v>0.33333333333333331</v>
      </c>
      <c r="GI16" s="28">
        <v>0.33333333333333331</v>
      </c>
      <c r="GJ16" s="28">
        <v>0.33333333333333331</v>
      </c>
      <c r="GK16" s="28">
        <v>0.33333333333333331</v>
      </c>
      <c r="GL16" s="28">
        <v>0.33333333333333331</v>
      </c>
      <c r="GM16" s="28">
        <v>0.33333333333333331</v>
      </c>
      <c r="GN16" s="28">
        <v>0.33333333333333331</v>
      </c>
      <c r="GO16" s="28">
        <v>0.33333333333333331</v>
      </c>
      <c r="GP16" s="28">
        <v>0.33333333333333331</v>
      </c>
      <c r="GQ16" s="28">
        <v>0.33333333333333331</v>
      </c>
      <c r="GR16" s="27">
        <v>0.33333333333333331</v>
      </c>
      <c r="GS16" s="28">
        <v>0.33333333333333331</v>
      </c>
    </row>
    <row r="17" spans="1:255" x14ac:dyDescent="0.2">
      <c r="A17" s="8" t="s">
        <v>24</v>
      </c>
      <c r="B17" s="31">
        <v>0.5</v>
      </c>
      <c r="C17" s="32">
        <v>0.4</v>
      </c>
      <c r="D17" s="32">
        <v>0.375</v>
      </c>
      <c r="E17" s="32">
        <v>0.36363636363636365</v>
      </c>
      <c r="F17" s="32">
        <v>0.35714285714285715</v>
      </c>
      <c r="G17" s="32">
        <v>0.35294117647058826</v>
      </c>
      <c r="H17" s="32">
        <v>0.35</v>
      </c>
      <c r="I17" s="32">
        <v>0.34782608695652173</v>
      </c>
      <c r="J17" s="32">
        <v>0.34615384615384615</v>
      </c>
      <c r="K17" s="32">
        <v>0.34482758620689657</v>
      </c>
      <c r="L17" s="32">
        <v>0.34375</v>
      </c>
      <c r="M17" s="31">
        <v>0.34285714285714286</v>
      </c>
      <c r="N17" s="32">
        <v>0.34210526315789475</v>
      </c>
      <c r="O17" s="32">
        <v>0.34146341463414637</v>
      </c>
      <c r="P17" s="32">
        <v>0.34090909090909088</v>
      </c>
      <c r="Q17" s="32">
        <v>0.34042553191489361</v>
      </c>
      <c r="R17" s="32">
        <v>0.34</v>
      </c>
      <c r="S17" s="32">
        <v>0.33962264150943394</v>
      </c>
      <c r="T17" s="32">
        <v>0.3392857142857143</v>
      </c>
      <c r="U17" s="32">
        <v>0.33898305084745761</v>
      </c>
      <c r="V17" s="32">
        <v>0.33870967741935482</v>
      </c>
      <c r="W17" s="32">
        <v>0.33846153846153848</v>
      </c>
      <c r="X17" s="31">
        <v>0.33823529411764708</v>
      </c>
      <c r="Y17" s="32">
        <v>0.3380281690140845</v>
      </c>
      <c r="Z17" s="32">
        <v>0.33783783783783783</v>
      </c>
      <c r="AA17" s="32">
        <v>0.33766233766233766</v>
      </c>
      <c r="AB17" s="32">
        <v>0.33750000000000002</v>
      </c>
      <c r="AC17" s="32">
        <v>0.33734939759036142</v>
      </c>
      <c r="AD17" s="32">
        <v>0.33720930232558138</v>
      </c>
      <c r="AE17" s="32">
        <v>0.33707865168539325</v>
      </c>
      <c r="AF17" s="32">
        <v>0.33695652173913043</v>
      </c>
      <c r="AG17" s="32">
        <v>0.33684210526315789</v>
      </c>
      <c r="AH17" s="32">
        <v>0.33673469387755101</v>
      </c>
      <c r="AI17" s="31">
        <v>0.33663366336633666</v>
      </c>
      <c r="AJ17" s="32">
        <v>0.33653846153846156</v>
      </c>
      <c r="AK17" s="32">
        <v>0.3364485981308411</v>
      </c>
      <c r="AL17" s="32">
        <v>0.33636363636363636</v>
      </c>
      <c r="AM17" s="32">
        <v>0.33628318584070799</v>
      </c>
      <c r="AN17" s="32">
        <v>0.33620689655172414</v>
      </c>
      <c r="AO17" s="32">
        <v>0.33613445378151263</v>
      </c>
      <c r="AP17" s="32">
        <v>0.33606557377049179</v>
      </c>
      <c r="AQ17" s="32">
        <v>0.33600000000000002</v>
      </c>
      <c r="AR17" s="32">
        <v>0.3359375</v>
      </c>
      <c r="AS17" s="32">
        <v>0.33587786259541985</v>
      </c>
      <c r="AT17" s="31">
        <v>0.33582089552238809</v>
      </c>
      <c r="AU17" s="32">
        <v>0.33576642335766421</v>
      </c>
      <c r="AV17" s="32">
        <v>0.33571428571428569</v>
      </c>
      <c r="AW17" s="32">
        <v>0.33566433566433568</v>
      </c>
      <c r="AX17" s="32">
        <v>0.33561643835616439</v>
      </c>
      <c r="AY17" s="32">
        <v>0.33557046979865773</v>
      </c>
      <c r="AZ17" s="32">
        <v>0.33552631578947367</v>
      </c>
      <c r="BA17" s="32">
        <v>0.33548387096774196</v>
      </c>
      <c r="BB17" s="32">
        <v>0.33544303797468356</v>
      </c>
      <c r="BC17" s="32">
        <v>0.33540372670807456</v>
      </c>
      <c r="BD17" s="32">
        <v>0.33536585365853661</v>
      </c>
      <c r="BE17" s="31">
        <v>0.33532934131736525</v>
      </c>
      <c r="BF17" s="32">
        <v>0.3352941176470588</v>
      </c>
      <c r="BG17" s="32">
        <v>0.33526011560693642</v>
      </c>
      <c r="BH17" s="32">
        <v>0.33522727272727271</v>
      </c>
      <c r="BI17" s="32">
        <v>0.33519553072625696</v>
      </c>
      <c r="BJ17" s="32">
        <v>0.33516483516483514</v>
      </c>
      <c r="BK17" s="32">
        <v>0.33513513513513515</v>
      </c>
      <c r="BL17" s="32">
        <v>0.33510638297872342</v>
      </c>
      <c r="BM17" s="32">
        <v>0.33507853403141363</v>
      </c>
      <c r="BN17" s="32">
        <v>0.33505154639175255</v>
      </c>
      <c r="BO17" s="32">
        <v>0.3350253807106599</v>
      </c>
      <c r="BP17" s="31">
        <v>0.33500000000000002</v>
      </c>
      <c r="BQ17" s="32">
        <v>0.33497536945812806</v>
      </c>
      <c r="BR17" s="32">
        <v>0.33495145631067963</v>
      </c>
      <c r="BS17" s="32">
        <v>0.3349282296650718</v>
      </c>
      <c r="BT17" s="32">
        <v>0.33490566037735847</v>
      </c>
      <c r="BU17" s="32">
        <v>0.33488372093023255</v>
      </c>
      <c r="BV17" s="32">
        <v>0.33486238532110091</v>
      </c>
      <c r="BW17" s="32">
        <v>0.33484162895927599</v>
      </c>
      <c r="BX17" s="32">
        <v>0.33482142857142855</v>
      </c>
      <c r="BY17" s="32">
        <v>0.33480176211453744</v>
      </c>
      <c r="BZ17" s="32">
        <v>0.33478260869565218</v>
      </c>
      <c r="CA17" s="31">
        <v>0.33476394849785407</v>
      </c>
      <c r="CB17" s="32">
        <v>0.3347457627118644</v>
      </c>
      <c r="CC17" s="32">
        <v>0.33472803347280333</v>
      </c>
      <c r="CD17" s="32">
        <v>0.33471074380165289</v>
      </c>
      <c r="CE17" s="32">
        <v>0.33469387755102042</v>
      </c>
      <c r="CF17" s="32">
        <v>0.33467741935483869</v>
      </c>
      <c r="CG17" s="32">
        <v>0.33466135458167329</v>
      </c>
      <c r="CH17" s="32">
        <v>0.3346456692913386</v>
      </c>
      <c r="CI17" s="32">
        <v>0.33463035019455251</v>
      </c>
      <c r="CJ17" s="32">
        <v>0.33461538461538459</v>
      </c>
      <c r="CK17" s="32">
        <v>0.33460076045627374</v>
      </c>
      <c r="CL17" s="31">
        <v>0.33458646616541354</v>
      </c>
      <c r="CM17" s="32">
        <v>0.33457249070631973</v>
      </c>
      <c r="CN17" s="32">
        <v>0.33455882352941174</v>
      </c>
      <c r="CO17" s="32">
        <v>0.33454545454545453</v>
      </c>
      <c r="CP17" s="32">
        <v>0.3345323741007194</v>
      </c>
      <c r="CQ17" s="32">
        <v>0.33451957295373663</v>
      </c>
      <c r="CR17" s="32">
        <v>0.33450704225352113</v>
      </c>
      <c r="CS17" s="32">
        <v>0.33449477351916379</v>
      </c>
      <c r="CT17" s="32">
        <v>0.33448275862068966</v>
      </c>
      <c r="CU17" s="32">
        <v>0.33447098976109213</v>
      </c>
      <c r="CV17" s="32">
        <v>0.33445945945945948</v>
      </c>
      <c r="CW17" s="31">
        <v>0.33444816053511706</v>
      </c>
      <c r="CX17" s="32">
        <v>0.33443708609271522</v>
      </c>
      <c r="CY17" s="32">
        <v>0.33442622950819673</v>
      </c>
      <c r="CZ17" s="32">
        <v>0.33441558441558439</v>
      </c>
      <c r="DA17" s="32">
        <v>0.33440514469453375</v>
      </c>
      <c r="DB17" s="32">
        <v>0.33439490445859871</v>
      </c>
      <c r="DC17" s="32">
        <v>0.33438485804416401</v>
      </c>
      <c r="DD17" s="32">
        <v>0.33437499999999998</v>
      </c>
      <c r="DE17" s="32">
        <v>0.33436532507739936</v>
      </c>
      <c r="DF17" s="32">
        <v>0.33435582822085891</v>
      </c>
      <c r="DG17" s="32">
        <v>0.33434650455927051</v>
      </c>
      <c r="DH17" s="31">
        <v>0.33433734939759036</v>
      </c>
      <c r="DI17" s="32">
        <v>0.33432835820895523</v>
      </c>
      <c r="DJ17" s="32">
        <v>0.33431952662721892</v>
      </c>
      <c r="DK17" s="32">
        <v>0.33431085043988268</v>
      </c>
      <c r="DL17" s="32">
        <v>0.33430232558139533</v>
      </c>
      <c r="DM17" s="32">
        <v>0.33429394812680113</v>
      </c>
      <c r="DN17" s="32">
        <v>0.3342857142857143</v>
      </c>
      <c r="DO17" s="32">
        <v>0.33427762039660058</v>
      </c>
      <c r="DP17" s="32">
        <v>0.3342696629213483</v>
      </c>
      <c r="DQ17" s="32">
        <v>0.33426183844011143</v>
      </c>
      <c r="DR17" s="32">
        <v>0.33425414364640882</v>
      </c>
      <c r="DS17" s="31">
        <v>0.33424657534246577</v>
      </c>
      <c r="DT17" s="32">
        <v>0.33423913043478259</v>
      </c>
      <c r="DU17" s="32">
        <v>0.33423180592991913</v>
      </c>
      <c r="DV17" s="32">
        <v>0.33422459893048129</v>
      </c>
      <c r="DW17" s="32">
        <v>0.33421750663129973</v>
      </c>
      <c r="DX17" s="32">
        <v>0.33421052631578946</v>
      </c>
      <c r="DY17" s="32">
        <v>0.33420365535248042</v>
      </c>
      <c r="DZ17" s="32">
        <v>0.33419689119170987</v>
      </c>
      <c r="EA17" s="32">
        <v>0.33419023136246789</v>
      </c>
      <c r="EB17" s="32">
        <v>0.33418367346938777</v>
      </c>
      <c r="EC17" s="32">
        <v>0.33417721518987342</v>
      </c>
      <c r="ED17" s="31">
        <v>0.33417085427135679</v>
      </c>
      <c r="EE17" s="32">
        <v>0.33416458852867831</v>
      </c>
      <c r="EF17" s="32">
        <v>0.33415841584158418</v>
      </c>
      <c r="EG17" s="32">
        <v>0.33415233415233414</v>
      </c>
      <c r="EH17" s="32">
        <v>0.33414634146341465</v>
      </c>
      <c r="EI17" s="32">
        <v>0.33414043583535108</v>
      </c>
      <c r="EJ17" s="32">
        <v>0.33413461538461536</v>
      </c>
      <c r="EK17" s="32">
        <v>0.33412887828162291</v>
      </c>
      <c r="EL17" s="32">
        <v>0.33412322274881517</v>
      </c>
      <c r="EM17" s="32">
        <v>0.33411764705882352</v>
      </c>
      <c r="EN17" s="32">
        <v>0.33411214953271029</v>
      </c>
      <c r="EO17" s="31">
        <v>0.33410672853828305</v>
      </c>
      <c r="EP17" s="32">
        <v>0.33410138248847926</v>
      </c>
      <c r="EQ17" s="32">
        <v>0.33409610983981691</v>
      </c>
      <c r="ER17" s="32">
        <v>0.33409090909090911</v>
      </c>
      <c r="ES17" s="32">
        <v>0.3340857787810384</v>
      </c>
      <c r="ET17" s="32">
        <v>0.33408071748878926</v>
      </c>
      <c r="EU17" s="32">
        <v>0.33407572383073497</v>
      </c>
      <c r="EV17" s="32">
        <v>0.33407079646017701</v>
      </c>
      <c r="EW17" s="32">
        <v>0.33406593406593404</v>
      </c>
      <c r="EX17" s="32">
        <v>0.33406113537117904</v>
      </c>
      <c r="EY17" s="32">
        <v>0.33405639913232105</v>
      </c>
      <c r="EZ17" s="31">
        <v>0.33405172413793105</v>
      </c>
      <c r="FA17" s="32">
        <v>0.3340471092077088</v>
      </c>
      <c r="FB17" s="32">
        <v>0.33404255319148934</v>
      </c>
      <c r="FC17" s="32">
        <v>0.33403805496828753</v>
      </c>
      <c r="FD17" s="32">
        <v>0.33403361344537813</v>
      </c>
      <c r="FE17" s="32">
        <v>0.33402922755741127</v>
      </c>
      <c r="FF17" s="32">
        <v>0.33402489626556015</v>
      </c>
      <c r="FG17" s="32">
        <v>0.33402061855670101</v>
      </c>
      <c r="FH17" s="32">
        <v>0.33401639344262296</v>
      </c>
      <c r="FI17" s="32">
        <v>0.33401221995926678</v>
      </c>
      <c r="FJ17" s="32">
        <v>0.33400809716599189</v>
      </c>
      <c r="FK17" s="31">
        <v>0.33400402414486924</v>
      </c>
      <c r="FL17" s="32">
        <v>0.33400000000000002</v>
      </c>
      <c r="FM17" s="32">
        <v>0.33399602385685884</v>
      </c>
      <c r="FN17" s="32">
        <v>0.33399209486166009</v>
      </c>
      <c r="FO17" s="32">
        <v>0.33398821218074654</v>
      </c>
      <c r="FP17" s="32">
        <v>0.333984375</v>
      </c>
      <c r="FQ17" s="32">
        <v>0.33398058252427182</v>
      </c>
      <c r="FR17" s="32">
        <v>0.33397683397683398</v>
      </c>
      <c r="FS17" s="32">
        <v>0.33397312859884837</v>
      </c>
      <c r="FT17" s="32">
        <v>0.33396946564885494</v>
      </c>
      <c r="FU17" s="32">
        <v>0.33396584440227706</v>
      </c>
      <c r="FV17" s="31">
        <v>0.33396226415094338</v>
      </c>
      <c r="FW17" s="32">
        <v>0.33395872420262662</v>
      </c>
      <c r="FX17" s="32">
        <v>0.33395522388059701</v>
      </c>
      <c r="FY17" s="32">
        <v>0.33395176252319109</v>
      </c>
      <c r="FZ17" s="32">
        <v>0.33394833948339481</v>
      </c>
      <c r="GA17" s="32">
        <v>0.33394495412844039</v>
      </c>
      <c r="GB17" s="32">
        <v>0.33394160583941607</v>
      </c>
      <c r="GC17" s="32">
        <v>0.33393829401088931</v>
      </c>
      <c r="GD17" s="32">
        <v>0.33393501805054154</v>
      </c>
      <c r="GE17" s="32">
        <v>0.33393177737881508</v>
      </c>
      <c r="GF17" s="32">
        <v>0.33392857142857141</v>
      </c>
      <c r="GG17" s="31">
        <v>0.3339253996447602</v>
      </c>
      <c r="GH17" s="32">
        <v>0.33392226148409893</v>
      </c>
      <c r="GI17" s="32">
        <v>0.33391915641476272</v>
      </c>
      <c r="GJ17" s="32">
        <v>0.33391608391608391</v>
      </c>
      <c r="GK17" s="32">
        <v>0.3339130434782609</v>
      </c>
      <c r="GL17" s="32">
        <v>0.33391003460207613</v>
      </c>
      <c r="GM17" s="32">
        <v>0.33390705679862304</v>
      </c>
      <c r="GN17" s="32">
        <v>0.3339041095890411</v>
      </c>
      <c r="GO17" s="32">
        <v>0.33390119250425893</v>
      </c>
      <c r="GP17" s="32">
        <v>0.33389830508474577</v>
      </c>
      <c r="GQ17" s="32">
        <v>0.33389544688026984</v>
      </c>
      <c r="GR17" s="31">
        <v>0.33389261744966442</v>
      </c>
      <c r="GS17" s="32">
        <v>0.333889816360601</v>
      </c>
    </row>
    <row r="18" spans="1:255" x14ac:dyDescent="0.2">
      <c r="A18" s="35" t="s">
        <v>25</v>
      </c>
      <c r="B18" s="36">
        <v>0.5</v>
      </c>
      <c r="C18" s="37">
        <v>0.6</v>
      </c>
      <c r="D18" s="37">
        <v>0.625</v>
      </c>
      <c r="E18" s="37">
        <v>0.63636363636363635</v>
      </c>
      <c r="F18" s="37">
        <v>0.64285714285714279</v>
      </c>
      <c r="G18" s="37">
        <v>0.64705882352941169</v>
      </c>
      <c r="H18" s="37">
        <v>0.64999999999999991</v>
      </c>
      <c r="I18" s="37">
        <v>0.65217391304347827</v>
      </c>
      <c r="J18" s="37">
        <v>0.65384615384615385</v>
      </c>
      <c r="K18" s="37">
        <v>0.65517241379310343</v>
      </c>
      <c r="L18" s="37">
        <v>0.65625</v>
      </c>
      <c r="M18" s="36">
        <v>0.65714285714285714</v>
      </c>
      <c r="N18" s="37">
        <v>0.65789473684210531</v>
      </c>
      <c r="O18" s="37">
        <v>0.65853658536585358</v>
      </c>
      <c r="P18" s="37">
        <v>0.65909090909090906</v>
      </c>
      <c r="Q18" s="37">
        <v>0.65957446808510634</v>
      </c>
      <c r="R18" s="37">
        <v>0.65999999999999992</v>
      </c>
      <c r="S18" s="37">
        <v>0.660377358490566</v>
      </c>
      <c r="T18" s="37">
        <v>0.6607142857142857</v>
      </c>
      <c r="U18" s="37">
        <v>0.6607142857142857</v>
      </c>
      <c r="V18" s="37">
        <v>0.66129032258064513</v>
      </c>
      <c r="W18" s="37">
        <v>0.66153846153846152</v>
      </c>
      <c r="X18" s="36">
        <v>0.66176470588235292</v>
      </c>
      <c r="Y18" s="37">
        <v>0.6619718309859155</v>
      </c>
      <c r="Z18" s="37">
        <v>0.66216216216216217</v>
      </c>
      <c r="AA18" s="37">
        <v>0.66233766233766234</v>
      </c>
      <c r="AB18" s="37">
        <v>0.66249999999999998</v>
      </c>
      <c r="AC18" s="37">
        <v>0.66265060240963858</v>
      </c>
      <c r="AD18" s="37">
        <v>0.66279069767441856</v>
      </c>
      <c r="AE18" s="37">
        <v>0.6629213483146067</v>
      </c>
      <c r="AF18" s="37">
        <v>0.66304347826086962</v>
      </c>
      <c r="AG18" s="37">
        <v>0.66315789473684217</v>
      </c>
      <c r="AH18" s="37">
        <v>0.66326530612244894</v>
      </c>
      <c r="AI18" s="36">
        <v>0.66336633663366329</v>
      </c>
      <c r="AJ18" s="37">
        <v>0.66346153846153844</v>
      </c>
      <c r="AK18" s="37">
        <v>0.66355140186915884</v>
      </c>
      <c r="AL18" s="37">
        <v>0.66363636363636358</v>
      </c>
      <c r="AM18" s="37">
        <v>0.66371681415929196</v>
      </c>
      <c r="AN18" s="37">
        <v>0.6637931034482758</v>
      </c>
      <c r="AO18" s="37">
        <v>0.66386554621848737</v>
      </c>
      <c r="AP18" s="37">
        <v>0.66393442622950816</v>
      </c>
      <c r="AQ18" s="37">
        <v>0.66399999999999992</v>
      </c>
      <c r="AR18" s="37">
        <v>0.6640625</v>
      </c>
      <c r="AS18" s="37">
        <v>0.66412213740458015</v>
      </c>
      <c r="AT18" s="36">
        <v>0.66417910447761197</v>
      </c>
      <c r="AU18" s="37">
        <v>0.66423357664233573</v>
      </c>
      <c r="AV18" s="37">
        <v>0.66428571428571426</v>
      </c>
      <c r="AW18" s="37">
        <v>0.66433566433566438</v>
      </c>
      <c r="AX18" s="37">
        <v>0.66438356164383561</v>
      </c>
      <c r="AY18" s="37">
        <v>0.66442953020134232</v>
      </c>
      <c r="AZ18" s="37">
        <v>0.66447368421052633</v>
      </c>
      <c r="BA18" s="37">
        <v>0.6645161290322581</v>
      </c>
      <c r="BB18" s="37">
        <v>0.66455696202531644</v>
      </c>
      <c r="BC18" s="37">
        <v>0.6645962732919255</v>
      </c>
      <c r="BD18" s="37">
        <v>0.66463414634146334</v>
      </c>
      <c r="BE18" s="36">
        <v>0.66467065868263475</v>
      </c>
      <c r="BF18" s="37">
        <v>0.66470588235294115</v>
      </c>
      <c r="BG18" s="37">
        <v>0.66473988439306364</v>
      </c>
      <c r="BH18" s="37">
        <v>0.66477272727272729</v>
      </c>
      <c r="BI18" s="37">
        <v>0.66480446927374293</v>
      </c>
      <c r="BJ18" s="37">
        <v>0.6648351648351648</v>
      </c>
      <c r="BK18" s="37">
        <v>0.66486486486486485</v>
      </c>
      <c r="BL18" s="37">
        <v>0.66489361702127658</v>
      </c>
      <c r="BM18" s="37">
        <v>0.66492146596858637</v>
      </c>
      <c r="BN18" s="37">
        <v>0.66494845360824739</v>
      </c>
      <c r="BO18" s="37">
        <v>0.6649746192893401</v>
      </c>
      <c r="BP18" s="36">
        <v>0.66500000000000004</v>
      </c>
      <c r="BQ18" s="37">
        <v>0.66502463054187189</v>
      </c>
      <c r="BR18" s="37">
        <v>0.66504854368932032</v>
      </c>
      <c r="BS18" s="37">
        <v>0.66507177033492826</v>
      </c>
      <c r="BT18" s="37">
        <v>0.66509433962264142</v>
      </c>
      <c r="BU18" s="37">
        <v>0.66511627906976745</v>
      </c>
      <c r="BV18" s="37">
        <v>0.66513761467889909</v>
      </c>
      <c r="BW18" s="37">
        <v>0.66515837104072395</v>
      </c>
      <c r="BX18" s="37">
        <v>0.6651785714285714</v>
      </c>
      <c r="BY18" s="37">
        <v>0.66519823788546262</v>
      </c>
      <c r="BZ18" s="37">
        <v>0.66521739130434776</v>
      </c>
      <c r="CA18" s="36">
        <v>0.66523605150214593</v>
      </c>
      <c r="CB18" s="37">
        <v>0.6652542372881356</v>
      </c>
      <c r="CC18" s="37">
        <v>0.66527196652719667</v>
      </c>
      <c r="CD18" s="37">
        <v>0.66528925619834711</v>
      </c>
      <c r="CE18" s="37">
        <v>0.66530612244897958</v>
      </c>
      <c r="CF18" s="37">
        <v>0.66532258064516125</v>
      </c>
      <c r="CG18" s="37">
        <v>0.66533864541832666</v>
      </c>
      <c r="CH18" s="37">
        <v>0.66535433070866135</v>
      </c>
      <c r="CI18" s="37">
        <v>0.66536964980544744</v>
      </c>
      <c r="CJ18" s="37">
        <v>0.66538461538461535</v>
      </c>
      <c r="CK18" s="37">
        <v>0.66539923954372626</v>
      </c>
      <c r="CL18" s="36">
        <v>0.66541353383458646</v>
      </c>
      <c r="CM18" s="37">
        <v>0.66542750929368033</v>
      </c>
      <c r="CN18" s="37">
        <v>0.6654411764705882</v>
      </c>
      <c r="CO18" s="37">
        <v>0.66545454545454541</v>
      </c>
      <c r="CP18" s="37">
        <v>0.66546762589928055</v>
      </c>
      <c r="CQ18" s="37">
        <v>0.66548042704626331</v>
      </c>
      <c r="CR18" s="37">
        <v>0.66549295774647887</v>
      </c>
      <c r="CS18" s="37">
        <v>0.66550522648083621</v>
      </c>
      <c r="CT18" s="37">
        <v>0.66551724137931034</v>
      </c>
      <c r="CU18" s="37">
        <v>0.66552901023890776</v>
      </c>
      <c r="CV18" s="37">
        <v>0.66554054054054057</v>
      </c>
      <c r="CW18" s="36">
        <v>0.66555183946488294</v>
      </c>
      <c r="CX18" s="37">
        <v>0.66556291390728473</v>
      </c>
      <c r="CY18" s="37">
        <v>0.66557377049180322</v>
      </c>
      <c r="CZ18" s="37">
        <v>0.6655844155844155</v>
      </c>
      <c r="DA18" s="37">
        <v>0.66559485530546625</v>
      </c>
      <c r="DB18" s="37">
        <v>0.66560509554140124</v>
      </c>
      <c r="DC18" s="37">
        <v>0.66561514195583593</v>
      </c>
      <c r="DD18" s="37">
        <v>0.66562499999999991</v>
      </c>
      <c r="DE18" s="37">
        <v>0.66563467492260053</v>
      </c>
      <c r="DF18" s="37">
        <v>0.66564417177914104</v>
      </c>
      <c r="DG18" s="37">
        <v>0.66565349544072949</v>
      </c>
      <c r="DH18" s="36">
        <v>0.6656626506024097</v>
      </c>
      <c r="DI18" s="37">
        <v>0.66567164179104477</v>
      </c>
      <c r="DJ18" s="37">
        <v>0.66568047337278102</v>
      </c>
      <c r="DK18" s="37">
        <v>0.66568914956011727</v>
      </c>
      <c r="DL18" s="37">
        <v>0.66569767441860461</v>
      </c>
      <c r="DM18" s="37">
        <v>0.66570605187319876</v>
      </c>
      <c r="DN18" s="37">
        <v>0.6657142857142857</v>
      </c>
      <c r="DO18" s="37">
        <v>0.66572237960339942</v>
      </c>
      <c r="DP18" s="37">
        <v>0.66573033707865159</v>
      </c>
      <c r="DQ18" s="37">
        <v>0.66573816155988852</v>
      </c>
      <c r="DR18" s="37">
        <v>0.66574585635359118</v>
      </c>
      <c r="DS18" s="36">
        <v>0.66575342465753429</v>
      </c>
      <c r="DT18" s="37">
        <v>0.66576086956521729</v>
      </c>
      <c r="DU18" s="37">
        <v>0.66576819407008081</v>
      </c>
      <c r="DV18" s="37">
        <v>0.66577540106951871</v>
      </c>
      <c r="DW18" s="37">
        <v>0.66578249336870021</v>
      </c>
      <c r="DX18" s="37">
        <v>0.66578947368421049</v>
      </c>
      <c r="DY18" s="37">
        <v>0.66579634464751958</v>
      </c>
      <c r="DZ18" s="37">
        <v>0.66580310880829008</v>
      </c>
      <c r="EA18" s="37">
        <v>0.66580976863753216</v>
      </c>
      <c r="EB18" s="37">
        <v>0.66581632653061229</v>
      </c>
      <c r="EC18" s="37">
        <v>0.66582278481012658</v>
      </c>
      <c r="ED18" s="36">
        <v>0.66582914572864316</v>
      </c>
      <c r="EE18" s="37">
        <v>0.66583541147132164</v>
      </c>
      <c r="EF18" s="37">
        <v>0.66584158415841577</v>
      </c>
      <c r="EG18" s="37">
        <v>0.66584766584766575</v>
      </c>
      <c r="EH18" s="37">
        <v>0.66585365853658529</v>
      </c>
      <c r="EI18" s="37">
        <v>0.66585956416464886</v>
      </c>
      <c r="EJ18" s="37">
        <v>0.66586538461538458</v>
      </c>
      <c r="EK18" s="37">
        <v>0.66587112171837703</v>
      </c>
      <c r="EL18" s="37">
        <v>0.66587677725118488</v>
      </c>
      <c r="EM18" s="37">
        <v>0.66588235294117637</v>
      </c>
      <c r="EN18" s="37">
        <v>0.66588785046728971</v>
      </c>
      <c r="EO18" s="36">
        <v>0.66589327146171695</v>
      </c>
      <c r="EP18" s="37">
        <v>0.66589861751152069</v>
      </c>
      <c r="EQ18" s="37">
        <v>0.66590389016018303</v>
      </c>
      <c r="ER18" s="37">
        <v>0.66590909090909089</v>
      </c>
      <c r="ES18" s="37">
        <v>0.6659142212189616</v>
      </c>
      <c r="ET18" s="37">
        <v>0.6659192825112108</v>
      </c>
      <c r="EU18" s="37">
        <v>0.66592427616926497</v>
      </c>
      <c r="EV18" s="37">
        <v>0.66592920353982299</v>
      </c>
      <c r="EW18" s="37">
        <v>0.6659340659340659</v>
      </c>
      <c r="EX18" s="37">
        <v>0.6659388646288209</v>
      </c>
      <c r="EY18" s="37">
        <v>0.6659436008676789</v>
      </c>
      <c r="EZ18" s="36">
        <v>0.66594827586206895</v>
      </c>
      <c r="FA18" s="37">
        <v>0.66595289079229114</v>
      </c>
      <c r="FB18" s="37">
        <v>0.66595744680851054</v>
      </c>
      <c r="FC18" s="37">
        <v>0.66596194503171247</v>
      </c>
      <c r="FD18" s="37">
        <v>0.66596638655462181</v>
      </c>
      <c r="FE18" s="37">
        <v>0.66597077244258873</v>
      </c>
      <c r="FF18" s="37">
        <v>0.6659751037344398</v>
      </c>
      <c r="FG18" s="37">
        <v>0.66597938144329893</v>
      </c>
      <c r="FH18" s="37">
        <v>0.66598360655737698</v>
      </c>
      <c r="FI18" s="37">
        <v>0.66598778004073322</v>
      </c>
      <c r="FJ18" s="37">
        <v>0.665991902834008</v>
      </c>
      <c r="FK18" s="36">
        <v>0.66599597585513082</v>
      </c>
      <c r="FL18" s="37">
        <v>0.66599999999999993</v>
      </c>
      <c r="FM18" s="37">
        <v>0.66600397614314111</v>
      </c>
      <c r="FN18" s="37">
        <v>0.66600790513833985</v>
      </c>
      <c r="FO18" s="37">
        <v>0.66601178781925341</v>
      </c>
      <c r="FP18" s="37">
        <v>0.666015625</v>
      </c>
      <c r="FQ18" s="37">
        <v>0.66601941747572813</v>
      </c>
      <c r="FR18" s="37">
        <v>0.66602316602316602</v>
      </c>
      <c r="FS18" s="37">
        <v>0.66602687140115169</v>
      </c>
      <c r="FT18" s="37">
        <v>0.66603053435114501</v>
      </c>
      <c r="FU18" s="37">
        <v>0.66603415559772294</v>
      </c>
      <c r="FV18" s="36">
        <v>0.66603773584905657</v>
      </c>
      <c r="FW18" s="37">
        <v>0.66604127579737327</v>
      </c>
      <c r="FX18" s="37">
        <v>0.66604477611940305</v>
      </c>
      <c r="FY18" s="37">
        <v>0.66604823747680886</v>
      </c>
      <c r="FZ18" s="37">
        <v>0.66605166051660514</v>
      </c>
      <c r="GA18" s="37">
        <v>0.66605504587155961</v>
      </c>
      <c r="GB18" s="37">
        <v>0.66605839416058399</v>
      </c>
      <c r="GC18" s="37">
        <v>0.66606170598911074</v>
      </c>
      <c r="GD18" s="37">
        <v>0.6660649819494584</v>
      </c>
      <c r="GE18" s="37">
        <v>0.66606822262118492</v>
      </c>
      <c r="GF18" s="37">
        <v>0.66607142857142854</v>
      </c>
      <c r="GG18" s="36">
        <v>0.6660746003552398</v>
      </c>
      <c r="GH18" s="37">
        <v>0.66607773851590102</v>
      </c>
      <c r="GI18" s="37">
        <v>0.66608084358523723</v>
      </c>
      <c r="GJ18" s="37">
        <v>0.66608391608391604</v>
      </c>
      <c r="GK18" s="37">
        <v>0.6660869565217391</v>
      </c>
      <c r="GL18" s="37">
        <v>0.66608996539792387</v>
      </c>
      <c r="GM18" s="37">
        <v>0.66609294320137691</v>
      </c>
      <c r="GN18" s="37">
        <v>0.66609589041095885</v>
      </c>
      <c r="GO18" s="37">
        <v>0.66609880749574102</v>
      </c>
      <c r="GP18" s="37">
        <v>0.66610169491525428</v>
      </c>
      <c r="GQ18" s="37">
        <v>0.66610455311973016</v>
      </c>
      <c r="GR18" s="36">
        <v>0.66610738255033553</v>
      </c>
      <c r="GS18" s="37">
        <v>0.666110183639399</v>
      </c>
    </row>
    <row r="19" spans="1:255" x14ac:dyDescent="0.2">
      <c r="A19" s="35" t="s">
        <v>27</v>
      </c>
      <c r="B19" s="36">
        <v>1</v>
      </c>
      <c r="C19" s="37">
        <v>1</v>
      </c>
      <c r="D19" s="37">
        <v>1</v>
      </c>
      <c r="E19" s="37">
        <v>1</v>
      </c>
      <c r="F19" s="37">
        <v>1</v>
      </c>
      <c r="G19" s="37">
        <v>1</v>
      </c>
      <c r="H19" s="37">
        <v>0.99999999999999989</v>
      </c>
      <c r="I19" s="37">
        <v>1</v>
      </c>
      <c r="J19" s="37">
        <v>1</v>
      </c>
      <c r="K19" s="37">
        <v>1</v>
      </c>
      <c r="L19" s="37">
        <v>1</v>
      </c>
      <c r="M19" s="36">
        <v>1</v>
      </c>
      <c r="N19" s="37">
        <v>1</v>
      </c>
      <c r="O19" s="37">
        <v>1</v>
      </c>
      <c r="P19" s="37">
        <v>1</v>
      </c>
      <c r="Q19" s="37">
        <v>1</v>
      </c>
      <c r="R19" s="37">
        <v>1</v>
      </c>
      <c r="S19" s="37">
        <v>1</v>
      </c>
      <c r="T19" s="37">
        <v>1</v>
      </c>
      <c r="U19" s="37">
        <v>1</v>
      </c>
      <c r="V19" s="37">
        <v>1</v>
      </c>
      <c r="W19" s="37">
        <v>1</v>
      </c>
      <c r="X19" s="36">
        <v>1</v>
      </c>
      <c r="Y19" s="37">
        <v>1</v>
      </c>
      <c r="Z19" s="37">
        <v>1</v>
      </c>
      <c r="AA19" s="37">
        <v>1</v>
      </c>
      <c r="AB19" s="37">
        <v>1</v>
      </c>
      <c r="AC19" s="37">
        <v>1</v>
      </c>
      <c r="AD19" s="37">
        <v>1</v>
      </c>
      <c r="AE19" s="37">
        <v>1</v>
      </c>
      <c r="AF19" s="37">
        <v>1</v>
      </c>
      <c r="AG19" s="37">
        <v>1</v>
      </c>
      <c r="AH19" s="37">
        <v>1</v>
      </c>
      <c r="AI19" s="36">
        <v>1</v>
      </c>
      <c r="AJ19" s="37">
        <v>1</v>
      </c>
      <c r="AK19" s="37">
        <v>1</v>
      </c>
      <c r="AL19" s="37">
        <v>1</v>
      </c>
      <c r="AM19" s="37">
        <v>1</v>
      </c>
      <c r="AN19" s="37">
        <v>1</v>
      </c>
      <c r="AO19" s="37">
        <v>1</v>
      </c>
      <c r="AP19" s="37">
        <v>1</v>
      </c>
      <c r="AQ19" s="37">
        <v>1</v>
      </c>
      <c r="AR19" s="37">
        <v>1</v>
      </c>
      <c r="AS19" s="37">
        <v>1</v>
      </c>
      <c r="AT19" s="36">
        <v>1</v>
      </c>
      <c r="AU19" s="37">
        <v>1</v>
      </c>
      <c r="AV19" s="37">
        <v>1</v>
      </c>
      <c r="AW19" s="37">
        <v>1</v>
      </c>
      <c r="AX19" s="37">
        <v>1</v>
      </c>
      <c r="AY19" s="37">
        <v>1</v>
      </c>
      <c r="AZ19" s="37">
        <v>1</v>
      </c>
      <c r="BA19" s="37">
        <v>1</v>
      </c>
      <c r="BB19" s="37">
        <v>1</v>
      </c>
      <c r="BC19" s="37">
        <v>1</v>
      </c>
      <c r="BD19" s="37">
        <v>1</v>
      </c>
      <c r="BE19" s="36">
        <v>1</v>
      </c>
      <c r="BF19" s="37">
        <v>1</v>
      </c>
      <c r="BG19" s="37">
        <v>1</v>
      </c>
      <c r="BH19" s="37">
        <v>1</v>
      </c>
      <c r="BI19" s="37">
        <v>0.99999999999999989</v>
      </c>
      <c r="BJ19" s="37">
        <v>1</v>
      </c>
      <c r="BK19" s="37">
        <v>1</v>
      </c>
      <c r="BL19" s="37">
        <v>1</v>
      </c>
      <c r="BM19" s="37">
        <v>1</v>
      </c>
      <c r="BN19" s="37">
        <v>1</v>
      </c>
      <c r="BO19" s="37">
        <v>1</v>
      </c>
      <c r="BP19" s="36">
        <v>1</v>
      </c>
      <c r="BQ19" s="37">
        <v>1</v>
      </c>
      <c r="BR19" s="37">
        <v>1</v>
      </c>
      <c r="BS19" s="37">
        <v>1</v>
      </c>
      <c r="BT19" s="37">
        <v>0.99999999999999989</v>
      </c>
      <c r="BU19" s="37">
        <v>1</v>
      </c>
      <c r="BV19" s="37">
        <v>1</v>
      </c>
      <c r="BW19" s="37">
        <v>1</v>
      </c>
      <c r="BX19" s="37">
        <v>1</v>
      </c>
      <c r="BY19" s="37">
        <v>1</v>
      </c>
      <c r="BZ19" s="37">
        <v>1</v>
      </c>
      <c r="CA19" s="36">
        <v>1</v>
      </c>
      <c r="CB19" s="37">
        <v>1</v>
      </c>
      <c r="CC19" s="37">
        <v>1</v>
      </c>
      <c r="CD19" s="37">
        <v>1</v>
      </c>
      <c r="CE19" s="37">
        <v>1</v>
      </c>
      <c r="CF19" s="37">
        <v>1</v>
      </c>
      <c r="CG19" s="37">
        <v>1</v>
      </c>
      <c r="CH19" s="37">
        <v>1</v>
      </c>
      <c r="CI19" s="37">
        <v>1</v>
      </c>
      <c r="CJ19" s="37">
        <v>1</v>
      </c>
      <c r="CK19" s="37">
        <v>1</v>
      </c>
      <c r="CL19" s="36">
        <v>1</v>
      </c>
      <c r="CM19" s="37">
        <v>1</v>
      </c>
      <c r="CN19" s="37">
        <v>1</v>
      </c>
      <c r="CO19" s="37">
        <v>1</v>
      </c>
      <c r="CP19" s="37">
        <v>1</v>
      </c>
      <c r="CQ19" s="37">
        <v>1</v>
      </c>
      <c r="CR19" s="37">
        <v>1</v>
      </c>
      <c r="CS19" s="37">
        <v>1</v>
      </c>
      <c r="CT19" s="37">
        <v>1</v>
      </c>
      <c r="CU19" s="37">
        <v>0.99999999999999989</v>
      </c>
      <c r="CV19" s="37">
        <v>1</v>
      </c>
      <c r="CW19" s="36">
        <v>1</v>
      </c>
      <c r="CX19" s="37">
        <v>1</v>
      </c>
      <c r="CY19" s="37">
        <v>1</v>
      </c>
      <c r="CZ19" s="37">
        <v>0.99999999999999989</v>
      </c>
      <c r="DA19" s="37">
        <v>1</v>
      </c>
      <c r="DB19" s="37">
        <v>1</v>
      </c>
      <c r="DC19" s="37">
        <v>1</v>
      </c>
      <c r="DD19" s="37">
        <v>0.99999999999999989</v>
      </c>
      <c r="DE19" s="37">
        <v>0.99999999999999989</v>
      </c>
      <c r="DF19" s="37">
        <v>1</v>
      </c>
      <c r="DG19" s="37">
        <v>1</v>
      </c>
      <c r="DH19" s="36">
        <v>1</v>
      </c>
      <c r="DI19" s="37">
        <v>1</v>
      </c>
      <c r="DJ19" s="37">
        <v>1</v>
      </c>
      <c r="DK19" s="37">
        <v>1</v>
      </c>
      <c r="DL19" s="37">
        <v>1</v>
      </c>
      <c r="DM19" s="37">
        <v>0.99999999999999989</v>
      </c>
      <c r="DN19" s="37">
        <v>1</v>
      </c>
      <c r="DO19" s="37">
        <v>1</v>
      </c>
      <c r="DP19" s="37">
        <v>0.99999999999999989</v>
      </c>
      <c r="DQ19" s="37">
        <v>1</v>
      </c>
      <c r="DR19" s="37">
        <v>1</v>
      </c>
      <c r="DS19" s="36">
        <v>1</v>
      </c>
      <c r="DT19" s="37">
        <v>0.99999999999999989</v>
      </c>
      <c r="DU19" s="37">
        <v>1</v>
      </c>
      <c r="DV19" s="37">
        <v>1</v>
      </c>
      <c r="DW19" s="37">
        <v>1</v>
      </c>
      <c r="DX19" s="37">
        <v>1</v>
      </c>
      <c r="DY19" s="37">
        <v>1</v>
      </c>
      <c r="DZ19" s="37">
        <v>1</v>
      </c>
      <c r="EA19" s="37">
        <v>1</v>
      </c>
      <c r="EB19" s="37">
        <v>1</v>
      </c>
      <c r="EC19" s="37">
        <v>1</v>
      </c>
      <c r="ED19" s="36">
        <v>1</v>
      </c>
      <c r="EE19" s="37">
        <v>1</v>
      </c>
      <c r="EF19" s="37">
        <v>1</v>
      </c>
      <c r="EG19" s="37">
        <v>0.99999999999999989</v>
      </c>
      <c r="EH19" s="37">
        <v>1</v>
      </c>
      <c r="EI19" s="37">
        <v>1</v>
      </c>
      <c r="EJ19" s="37">
        <v>1</v>
      </c>
      <c r="EK19" s="37">
        <v>1</v>
      </c>
      <c r="EL19" s="37">
        <v>1</v>
      </c>
      <c r="EM19" s="37">
        <v>0.99999999999999989</v>
      </c>
      <c r="EN19" s="37">
        <v>1</v>
      </c>
      <c r="EO19" s="36">
        <v>1</v>
      </c>
      <c r="EP19" s="37">
        <v>1</v>
      </c>
      <c r="EQ19" s="37">
        <v>1</v>
      </c>
      <c r="ER19" s="37">
        <v>1</v>
      </c>
      <c r="ES19" s="37">
        <v>1</v>
      </c>
      <c r="ET19" s="37">
        <v>1</v>
      </c>
      <c r="EU19" s="37">
        <v>1</v>
      </c>
      <c r="EV19" s="37">
        <v>1</v>
      </c>
      <c r="EW19" s="37">
        <v>1</v>
      </c>
      <c r="EX19" s="37">
        <v>1</v>
      </c>
      <c r="EY19" s="37">
        <v>1</v>
      </c>
      <c r="EZ19" s="36">
        <v>1</v>
      </c>
      <c r="FA19" s="37">
        <v>1</v>
      </c>
      <c r="FB19" s="37">
        <v>0.99999999999999989</v>
      </c>
      <c r="FC19" s="37">
        <v>1</v>
      </c>
      <c r="FD19" s="37">
        <v>1</v>
      </c>
      <c r="FE19" s="37">
        <v>1</v>
      </c>
      <c r="FF19" s="37">
        <v>1</v>
      </c>
      <c r="FG19" s="37">
        <v>1</v>
      </c>
      <c r="FH19" s="37">
        <v>1</v>
      </c>
      <c r="FI19" s="37">
        <v>1</v>
      </c>
      <c r="FJ19" s="37">
        <v>0.99999999999999989</v>
      </c>
      <c r="FK19" s="36">
        <v>1</v>
      </c>
      <c r="FL19" s="37">
        <v>1</v>
      </c>
      <c r="FM19" s="37">
        <v>1</v>
      </c>
      <c r="FN19" s="37">
        <v>1</v>
      </c>
      <c r="FO19" s="37">
        <v>1</v>
      </c>
      <c r="FP19" s="37">
        <v>1</v>
      </c>
      <c r="FQ19" s="37">
        <v>1</v>
      </c>
      <c r="FR19" s="37">
        <v>1</v>
      </c>
      <c r="FS19" s="37">
        <v>1</v>
      </c>
      <c r="FT19" s="37">
        <v>1</v>
      </c>
      <c r="FU19" s="37">
        <v>1</v>
      </c>
      <c r="FV19" s="36">
        <v>1</v>
      </c>
      <c r="FW19" s="37">
        <v>0.99999999999999989</v>
      </c>
      <c r="FX19" s="37">
        <v>1</v>
      </c>
      <c r="FY19" s="37">
        <v>1</v>
      </c>
      <c r="FZ19" s="37">
        <v>1</v>
      </c>
      <c r="GA19" s="37">
        <v>1</v>
      </c>
      <c r="GB19" s="37">
        <v>1</v>
      </c>
      <c r="GC19" s="37">
        <v>1</v>
      </c>
      <c r="GD19" s="37">
        <v>1</v>
      </c>
      <c r="GE19" s="37">
        <v>1</v>
      </c>
      <c r="GF19" s="37">
        <v>1</v>
      </c>
      <c r="GG19" s="36">
        <v>1</v>
      </c>
      <c r="GH19" s="37">
        <v>1</v>
      </c>
      <c r="GI19" s="37">
        <v>1</v>
      </c>
      <c r="GJ19" s="37">
        <v>1</v>
      </c>
      <c r="GK19" s="37">
        <v>1</v>
      </c>
      <c r="GL19" s="37">
        <v>1</v>
      </c>
      <c r="GM19" s="37">
        <v>1</v>
      </c>
      <c r="GN19" s="37">
        <v>1</v>
      </c>
      <c r="GO19" s="37">
        <v>1</v>
      </c>
      <c r="GP19" s="37">
        <v>1</v>
      </c>
      <c r="GQ19" s="37">
        <v>1</v>
      </c>
      <c r="GR19" s="36">
        <v>1</v>
      </c>
      <c r="GS19" s="37">
        <v>1</v>
      </c>
    </row>
    <row r="20" spans="1:255" x14ac:dyDescent="0.2">
      <c r="A20" s="41" t="s">
        <v>30</v>
      </c>
      <c r="B20" s="42">
        <v>2</v>
      </c>
      <c r="C20" s="43">
        <v>2.5</v>
      </c>
      <c r="D20" s="43">
        <v>2.6666666666666665</v>
      </c>
      <c r="E20" s="43">
        <v>2.75</v>
      </c>
      <c r="F20" s="43">
        <v>2.8</v>
      </c>
      <c r="G20" s="43">
        <v>2.833333333333333</v>
      </c>
      <c r="H20" s="43">
        <v>2.8571428571428572</v>
      </c>
      <c r="I20" s="43">
        <v>2.875</v>
      </c>
      <c r="J20" s="43">
        <v>2.8888888888888888</v>
      </c>
      <c r="K20" s="43">
        <v>2.9</v>
      </c>
      <c r="L20" s="43">
        <v>2.9090909090909092</v>
      </c>
      <c r="M20" s="43">
        <v>2.9166666666666665</v>
      </c>
      <c r="N20" s="43">
        <v>2.9230769230769229</v>
      </c>
      <c r="O20" s="43">
        <v>2.9285714285714284</v>
      </c>
      <c r="P20" s="43">
        <v>2.9333333333333336</v>
      </c>
      <c r="Q20" s="43">
        <v>2.9375</v>
      </c>
      <c r="R20" s="43">
        <v>2.9411764705882351</v>
      </c>
      <c r="S20" s="43">
        <v>2.9444444444444446</v>
      </c>
      <c r="T20" s="43">
        <v>2.9473684210526314</v>
      </c>
      <c r="U20" s="43">
        <v>2.9473684210526314</v>
      </c>
      <c r="V20" s="43">
        <v>2.9523809523809526</v>
      </c>
      <c r="W20" s="43">
        <v>2.9545454545454546</v>
      </c>
      <c r="X20" s="43">
        <v>2.9565217391304346</v>
      </c>
      <c r="Y20" s="43">
        <v>2.9583333333333335</v>
      </c>
      <c r="Z20" s="43">
        <v>2.96</v>
      </c>
      <c r="AA20" s="43">
        <v>2.9615384615384617</v>
      </c>
      <c r="AB20" s="43">
        <v>2.9629629629629628</v>
      </c>
      <c r="AC20" s="43">
        <v>2.9642857142857144</v>
      </c>
      <c r="AD20" s="43">
        <v>2.9655172413793105</v>
      </c>
      <c r="AE20" s="43">
        <v>2.9666666666666668</v>
      </c>
      <c r="AF20" s="43">
        <v>2.967741935483871</v>
      </c>
      <c r="AG20" s="43">
        <v>2.96875</v>
      </c>
      <c r="AH20" s="43">
        <v>2.9696969696969697</v>
      </c>
      <c r="AI20" s="43">
        <v>2.9705882352941173</v>
      </c>
      <c r="AJ20" s="43">
        <v>2.9714285714285711</v>
      </c>
      <c r="AK20" s="43">
        <v>2.9722222222222223</v>
      </c>
      <c r="AL20" s="43">
        <v>2.9729729729729728</v>
      </c>
      <c r="AM20" s="43">
        <v>2.9736842105263155</v>
      </c>
      <c r="AN20" s="43">
        <v>2.9743589743589745</v>
      </c>
      <c r="AO20" s="43">
        <v>2.9749999999999996</v>
      </c>
      <c r="AP20" s="43">
        <v>2.975609756097561</v>
      </c>
      <c r="AQ20" s="43">
        <v>2.9761904761904758</v>
      </c>
      <c r="AR20" s="43">
        <v>2.9767441860465116</v>
      </c>
      <c r="AS20" s="43">
        <v>2.9772727272727271</v>
      </c>
      <c r="AT20" s="43">
        <v>2.9777777777777774</v>
      </c>
      <c r="AU20" s="43">
        <v>2.9782608695652177</v>
      </c>
      <c r="AV20" s="43">
        <v>2.9787234042553195</v>
      </c>
      <c r="AW20" s="43">
        <v>2.9791666666666665</v>
      </c>
      <c r="AX20" s="43">
        <v>2.9795918367346936</v>
      </c>
      <c r="AY20" s="43">
        <v>2.98</v>
      </c>
      <c r="AZ20" s="43">
        <v>2.9803921568627452</v>
      </c>
      <c r="BA20" s="43">
        <v>2.9807692307692304</v>
      </c>
      <c r="BB20" s="43">
        <v>2.9811320754716979</v>
      </c>
      <c r="BC20" s="43">
        <v>2.9814814814814814</v>
      </c>
      <c r="BD20" s="43">
        <v>2.9818181818181815</v>
      </c>
      <c r="BE20" s="43">
        <v>2.9821428571428572</v>
      </c>
      <c r="BF20" s="43">
        <v>2.9824561403508776</v>
      </c>
      <c r="BG20" s="43">
        <v>2.9827586206896552</v>
      </c>
      <c r="BH20" s="43">
        <v>2.9830508474576272</v>
      </c>
      <c r="BI20" s="43">
        <v>2.9833333333333334</v>
      </c>
      <c r="BJ20" s="43">
        <v>2.9836065573770494</v>
      </c>
      <c r="BK20" s="43">
        <v>2.9838709677419355</v>
      </c>
      <c r="BL20" s="43">
        <v>2.9841269841269842</v>
      </c>
      <c r="BM20" s="43">
        <v>2.984375</v>
      </c>
      <c r="BN20" s="43">
        <v>2.9846153846153847</v>
      </c>
      <c r="BO20" s="43">
        <v>2.9848484848484849</v>
      </c>
      <c r="BP20" s="43">
        <v>2.9850746268656714</v>
      </c>
      <c r="BQ20" s="43">
        <v>2.9852941176470589</v>
      </c>
      <c r="BR20" s="43">
        <v>2.9855072463768115</v>
      </c>
      <c r="BS20" s="43">
        <v>2.9857142857142853</v>
      </c>
      <c r="BT20" s="43">
        <v>2.9859154929577465</v>
      </c>
      <c r="BU20" s="43">
        <v>2.9861111111111112</v>
      </c>
      <c r="BV20" s="43">
        <v>2.9863013698630136</v>
      </c>
      <c r="BW20" s="43">
        <v>2.9864864864864868</v>
      </c>
      <c r="BX20" s="43">
        <v>2.9866666666666668</v>
      </c>
      <c r="BY20" s="43">
        <v>2.986842105263158</v>
      </c>
      <c r="BZ20" s="43">
        <v>2.9870129870129869</v>
      </c>
      <c r="CA20" s="43">
        <v>2.9871794871794872</v>
      </c>
      <c r="CB20" s="43">
        <v>2.9873417721518987</v>
      </c>
      <c r="CC20" s="43">
        <v>2.9875000000000003</v>
      </c>
      <c r="CD20" s="43">
        <v>2.9876543209876543</v>
      </c>
      <c r="CE20" s="43">
        <v>2.9878048780487805</v>
      </c>
      <c r="CF20" s="43">
        <v>2.987951807228916</v>
      </c>
      <c r="CG20" s="43">
        <v>2.9880952380952381</v>
      </c>
      <c r="CH20" s="43">
        <v>2.9882352941176471</v>
      </c>
      <c r="CI20" s="43">
        <v>2.9883720930232562</v>
      </c>
      <c r="CJ20" s="43">
        <v>2.9885057471264371</v>
      </c>
      <c r="CK20" s="43">
        <v>2.9886363636363638</v>
      </c>
      <c r="CL20" s="43">
        <v>2.98876404494382</v>
      </c>
      <c r="CM20" s="43">
        <v>2.9888888888888885</v>
      </c>
      <c r="CN20" s="43">
        <v>2.9890109890109891</v>
      </c>
      <c r="CO20" s="43">
        <v>2.9891304347826089</v>
      </c>
      <c r="CP20" s="43">
        <v>2.9892473118279574</v>
      </c>
      <c r="CQ20" s="43">
        <v>2.9893617021276597</v>
      </c>
      <c r="CR20" s="43">
        <v>2.9894736842105263</v>
      </c>
      <c r="CS20" s="43">
        <v>2.989583333333333</v>
      </c>
      <c r="CT20" s="43">
        <v>2.9896907216494846</v>
      </c>
      <c r="CU20" s="43">
        <v>2.989795918367347</v>
      </c>
      <c r="CV20" s="43">
        <v>2.9898989898989896</v>
      </c>
      <c r="CW20" s="43">
        <v>2.99</v>
      </c>
      <c r="CX20" s="43">
        <v>2.9900990099009901</v>
      </c>
      <c r="CY20" s="43">
        <v>2.9901960784313726</v>
      </c>
      <c r="CZ20" s="43">
        <v>2.9902912621359228</v>
      </c>
      <c r="DA20" s="43">
        <v>2.9903846153846154</v>
      </c>
      <c r="DB20" s="43">
        <v>2.9904761904761905</v>
      </c>
      <c r="DC20" s="43">
        <v>2.9905660377358494</v>
      </c>
      <c r="DD20" s="43">
        <v>2.990654205607477</v>
      </c>
      <c r="DE20" s="43">
        <v>2.9907407407407409</v>
      </c>
      <c r="DF20" s="43">
        <v>2.9908256880733943</v>
      </c>
      <c r="DG20" s="43">
        <v>2.9909090909090912</v>
      </c>
      <c r="DH20" s="43">
        <v>2.9909909909909911</v>
      </c>
      <c r="DI20" s="43">
        <v>2.9910714285714284</v>
      </c>
      <c r="DJ20" s="43">
        <v>2.9911504424778763</v>
      </c>
      <c r="DK20" s="43">
        <v>2.9912280701754388</v>
      </c>
      <c r="DL20" s="43">
        <v>2.991304347826087</v>
      </c>
      <c r="DM20" s="43">
        <v>2.9913793103448278</v>
      </c>
      <c r="DN20" s="43">
        <v>2.9914529914529915</v>
      </c>
      <c r="DO20" s="43">
        <v>2.9915254237288136</v>
      </c>
      <c r="DP20" s="43">
        <v>2.9915966386554622</v>
      </c>
      <c r="DQ20" s="43">
        <v>2.9916666666666667</v>
      </c>
      <c r="DR20" s="43">
        <v>2.9917355371900829</v>
      </c>
      <c r="DS20" s="43">
        <v>2.9918032786885242</v>
      </c>
      <c r="DT20" s="43">
        <v>2.9918699186991873</v>
      </c>
      <c r="DU20" s="43">
        <v>2.991935483870968</v>
      </c>
      <c r="DV20" s="43">
        <v>2.992</v>
      </c>
      <c r="DW20" s="43">
        <v>2.9920634920634921</v>
      </c>
      <c r="DX20" s="43">
        <v>2.9921259842519685</v>
      </c>
      <c r="DY20" s="43">
        <v>2.9921875</v>
      </c>
      <c r="DZ20" s="43">
        <v>2.9922480620155039</v>
      </c>
      <c r="EA20" s="43">
        <v>2.9923076923076919</v>
      </c>
      <c r="EB20" s="43">
        <v>2.9923664122137406</v>
      </c>
      <c r="EC20" s="43">
        <v>2.9924242424242422</v>
      </c>
      <c r="ED20" s="43">
        <v>2.992481203007519</v>
      </c>
      <c r="EE20" s="43">
        <v>2.9925373134328357</v>
      </c>
      <c r="EF20" s="43">
        <v>2.9925925925925925</v>
      </c>
      <c r="EG20" s="43">
        <v>2.9926470588235294</v>
      </c>
      <c r="EH20" s="43">
        <v>2.992700729927007</v>
      </c>
      <c r="EI20" s="43">
        <v>2.9927536231884058</v>
      </c>
      <c r="EJ20" s="43">
        <v>2.9928057553956835</v>
      </c>
      <c r="EK20" s="43">
        <v>2.9928571428571429</v>
      </c>
      <c r="EL20" s="43">
        <v>2.9929078014184398</v>
      </c>
      <c r="EM20" s="43">
        <v>2.9929577464788735</v>
      </c>
      <c r="EN20" s="43">
        <v>2.9930069930069929</v>
      </c>
      <c r="EO20" s="43">
        <v>2.9930555555555558</v>
      </c>
      <c r="EP20" s="43">
        <v>2.9931034482758623</v>
      </c>
      <c r="EQ20" s="43">
        <v>2.993150684931507</v>
      </c>
      <c r="ER20" s="43">
        <v>2.9931972789115644</v>
      </c>
      <c r="ES20" s="43">
        <v>2.993243243243243</v>
      </c>
      <c r="ET20" s="43">
        <v>2.9932885906040267</v>
      </c>
      <c r="EU20" s="43">
        <v>2.9933333333333332</v>
      </c>
      <c r="EV20" s="43">
        <v>2.9933774834437084</v>
      </c>
      <c r="EW20" s="43">
        <v>2.9934210526315792</v>
      </c>
      <c r="EX20" s="43">
        <v>2.9934640522875817</v>
      </c>
      <c r="EY20" s="43">
        <v>2.9935064935064934</v>
      </c>
      <c r="EZ20" s="43">
        <v>2.9935483870967738</v>
      </c>
      <c r="FA20" s="43">
        <v>2.9935897435897432</v>
      </c>
      <c r="FB20" s="43">
        <v>2.9936305732484079</v>
      </c>
      <c r="FC20" s="43">
        <v>2.9936708860759493</v>
      </c>
      <c r="FD20" s="43">
        <v>2.9937106918238996</v>
      </c>
      <c r="FE20" s="43">
        <v>2.9937499999999999</v>
      </c>
      <c r="FF20" s="43">
        <v>2.9937888198757765</v>
      </c>
      <c r="FG20" s="43">
        <v>2.9938271604938271</v>
      </c>
      <c r="FH20" s="43">
        <v>2.9938650306748467</v>
      </c>
      <c r="FI20" s="43">
        <v>2.9939024390243905</v>
      </c>
      <c r="FJ20" s="43">
        <v>2.9939393939393941</v>
      </c>
      <c r="FK20" s="43">
        <v>2.9939759036144578</v>
      </c>
      <c r="FL20" s="43">
        <v>2.9940119760479038</v>
      </c>
      <c r="FM20" s="43">
        <v>2.9940476190476191</v>
      </c>
      <c r="FN20" s="43">
        <v>2.9940828402366861</v>
      </c>
      <c r="FO20" s="43">
        <v>2.9941176470588236</v>
      </c>
      <c r="FP20" s="43">
        <v>2.9941520467836256</v>
      </c>
      <c r="FQ20" s="43">
        <v>2.9941860465116283</v>
      </c>
      <c r="FR20" s="43">
        <v>2.9942196531791909</v>
      </c>
      <c r="FS20" s="43">
        <v>2.9942528735632186</v>
      </c>
      <c r="FT20" s="43">
        <v>2.9942857142857147</v>
      </c>
      <c r="FU20" s="43">
        <v>2.9943181818181817</v>
      </c>
      <c r="FV20" s="43">
        <v>2.9943502824858759</v>
      </c>
      <c r="FW20" s="43">
        <v>2.9943820224719104</v>
      </c>
      <c r="FX20" s="43">
        <v>2.994413407821229</v>
      </c>
      <c r="FY20" s="43">
        <v>2.9944444444444445</v>
      </c>
      <c r="FZ20" s="43">
        <v>2.9944751381215471</v>
      </c>
      <c r="GA20" s="43">
        <v>2.9945054945054945</v>
      </c>
      <c r="GB20" s="43">
        <v>2.9945355191256828</v>
      </c>
      <c r="GC20" s="43">
        <v>2.9945652173913042</v>
      </c>
      <c r="GD20" s="43">
        <v>2.9945945945945942</v>
      </c>
      <c r="GE20" s="43">
        <v>2.9946236559139785</v>
      </c>
      <c r="GF20" s="43">
        <v>2.9946524064171123</v>
      </c>
      <c r="GG20" s="43">
        <v>2.9946808510638299</v>
      </c>
      <c r="GH20" s="43">
        <v>2.9947089947089949</v>
      </c>
      <c r="GI20" s="43">
        <v>2.9947368421052634</v>
      </c>
      <c r="GJ20" s="43">
        <v>2.9947643979057594</v>
      </c>
      <c r="GK20" s="43">
        <v>2.9947916666666665</v>
      </c>
      <c r="GL20" s="43">
        <v>2.9948186528497409</v>
      </c>
      <c r="GM20" s="43">
        <v>2.9948453608247427</v>
      </c>
      <c r="GN20" s="43">
        <v>2.9948717948717949</v>
      </c>
      <c r="GO20" s="43">
        <v>2.9948979591836737</v>
      </c>
      <c r="GP20" s="43">
        <v>2.9949238578680202</v>
      </c>
      <c r="GQ20" s="43">
        <v>2.9949494949494948</v>
      </c>
      <c r="GR20" s="43">
        <v>2.9949748743718594</v>
      </c>
      <c r="GS20" s="43">
        <v>2.9950000000000001</v>
      </c>
    </row>
    <row r="21" spans="1:255" x14ac:dyDescent="0.2">
      <c r="A21" s="46" t="s">
        <v>31</v>
      </c>
      <c r="B21" s="47">
        <v>1</v>
      </c>
      <c r="C21" s="48">
        <v>0.66666666666666674</v>
      </c>
      <c r="D21" s="48">
        <v>0.6</v>
      </c>
      <c r="E21" s="48">
        <v>0.57142857142857151</v>
      </c>
      <c r="F21" s="48">
        <v>0.55555555555555558</v>
      </c>
      <c r="G21" s="48">
        <v>0.54545454545454553</v>
      </c>
      <c r="H21" s="48">
        <v>0.53846153846153844</v>
      </c>
      <c r="I21" s="48">
        <v>0.53333333333333333</v>
      </c>
      <c r="J21" s="48">
        <v>0.52941176470588236</v>
      </c>
      <c r="K21" s="48">
        <v>0.52631578947368429</v>
      </c>
      <c r="L21" s="48">
        <v>0.52380952380952384</v>
      </c>
      <c r="M21" s="48">
        <v>0.52173913043478259</v>
      </c>
      <c r="N21" s="48">
        <v>0.52</v>
      </c>
      <c r="O21" s="48">
        <v>0.5185185185185186</v>
      </c>
      <c r="P21" s="48">
        <v>0.51724137931034475</v>
      </c>
      <c r="Q21" s="48">
        <v>0.5161290322580645</v>
      </c>
      <c r="R21" s="48">
        <v>0.51515151515151525</v>
      </c>
      <c r="S21" s="48">
        <v>0.51428571428571423</v>
      </c>
      <c r="T21" s="48">
        <v>0.5135135135135136</v>
      </c>
      <c r="U21" s="48">
        <v>0.5135135135135136</v>
      </c>
      <c r="V21" s="48">
        <v>0.51219512195121941</v>
      </c>
      <c r="W21" s="48">
        <v>0.51162790697674421</v>
      </c>
      <c r="X21" s="48">
        <v>0.51111111111111118</v>
      </c>
      <c r="Y21" s="48">
        <v>0.51063829787234039</v>
      </c>
      <c r="Z21" s="48">
        <v>0.51020408163265307</v>
      </c>
      <c r="AA21" s="48">
        <v>0.50980392156862742</v>
      </c>
      <c r="AB21" s="48">
        <v>0.50943396226415094</v>
      </c>
      <c r="AC21" s="48">
        <v>0.50909090909090904</v>
      </c>
      <c r="AD21" s="48">
        <v>0.50877192982456132</v>
      </c>
      <c r="AE21" s="48">
        <v>0.50847457627118642</v>
      </c>
      <c r="AF21" s="48">
        <v>0.50819672131147531</v>
      </c>
      <c r="AG21" s="48">
        <v>0.50793650793650791</v>
      </c>
      <c r="AH21" s="48">
        <v>0.50769230769230766</v>
      </c>
      <c r="AI21" s="48">
        <v>0.50746268656716431</v>
      </c>
      <c r="AJ21" s="48">
        <v>0.50724637681159424</v>
      </c>
      <c r="AK21" s="48">
        <v>0.50704225352112675</v>
      </c>
      <c r="AL21" s="48">
        <v>0.50684931506849318</v>
      </c>
      <c r="AM21" s="48">
        <v>0.50666666666666671</v>
      </c>
      <c r="AN21" s="48">
        <v>0.50649350649350655</v>
      </c>
      <c r="AO21" s="48">
        <v>0.50632911392405067</v>
      </c>
      <c r="AP21" s="48">
        <v>0.50617283950617287</v>
      </c>
      <c r="AQ21" s="48">
        <v>0.50602409638554224</v>
      </c>
      <c r="AR21" s="48">
        <v>0.50588235294117645</v>
      </c>
      <c r="AS21" s="48">
        <v>0.50574712643678166</v>
      </c>
      <c r="AT21" s="48">
        <v>0.5056179775280899</v>
      </c>
      <c r="AU21" s="48">
        <v>0.50549450549450547</v>
      </c>
      <c r="AV21" s="48">
        <v>0.50537634408602139</v>
      </c>
      <c r="AW21" s="48">
        <v>0.50526315789473686</v>
      </c>
      <c r="AX21" s="48">
        <v>0.50515463917525771</v>
      </c>
      <c r="AY21" s="48">
        <v>0.50505050505050508</v>
      </c>
      <c r="AZ21" s="48">
        <v>0.50495049504950495</v>
      </c>
      <c r="BA21" s="48">
        <v>0.50485436893203883</v>
      </c>
      <c r="BB21" s="48">
        <v>0.50476190476190474</v>
      </c>
      <c r="BC21" s="48">
        <v>0.50467289719626174</v>
      </c>
      <c r="BD21" s="48">
        <v>0.50458715596330284</v>
      </c>
      <c r="BE21" s="48">
        <v>0.50450450450450446</v>
      </c>
      <c r="BF21" s="48">
        <v>0.50442477876106184</v>
      </c>
      <c r="BG21" s="48">
        <v>0.5043478260869565</v>
      </c>
      <c r="BH21" s="48">
        <v>0.50427350427350426</v>
      </c>
      <c r="BI21" s="48">
        <v>0.50420168067226889</v>
      </c>
      <c r="BJ21" s="48">
        <v>0.50413223140495855</v>
      </c>
      <c r="BK21" s="48">
        <v>0.50406504065040658</v>
      </c>
      <c r="BL21" s="48">
        <v>0.504</v>
      </c>
      <c r="BM21" s="48">
        <v>0.50393700787401574</v>
      </c>
      <c r="BN21" s="48">
        <v>0.50387596899224796</v>
      </c>
      <c r="BO21" s="48">
        <v>0.50381679389312983</v>
      </c>
      <c r="BP21" s="48">
        <v>0.50375939849624063</v>
      </c>
      <c r="BQ21" s="48">
        <v>0.50370370370370365</v>
      </c>
      <c r="BR21" s="48">
        <v>0.5036496350364964</v>
      </c>
      <c r="BS21" s="48">
        <v>0.50359712230215825</v>
      </c>
      <c r="BT21" s="48">
        <v>0.50354609929078009</v>
      </c>
      <c r="BU21" s="48">
        <v>0.50349650349650343</v>
      </c>
      <c r="BV21" s="48">
        <v>0.50344827586206897</v>
      </c>
      <c r="BW21" s="48">
        <v>0.50340136054421758</v>
      </c>
      <c r="BX21" s="48">
        <v>0.50335570469798652</v>
      </c>
      <c r="BY21" s="48">
        <v>0.5033112582781456</v>
      </c>
      <c r="BZ21" s="48">
        <v>0.50326797385620925</v>
      </c>
      <c r="CA21" s="48">
        <v>0.50322580645161286</v>
      </c>
      <c r="CB21" s="48">
        <v>0.50318471337579618</v>
      </c>
      <c r="CC21" s="48">
        <v>0.50314465408805031</v>
      </c>
      <c r="CD21" s="48">
        <v>0.50310559006211175</v>
      </c>
      <c r="CE21" s="48">
        <v>0.50306748466257667</v>
      </c>
      <c r="CF21" s="48">
        <v>0.50303030303030305</v>
      </c>
      <c r="CG21" s="48">
        <v>0.50299401197604787</v>
      </c>
      <c r="CH21" s="48">
        <v>0.50295857988165693</v>
      </c>
      <c r="CI21" s="48">
        <v>0.502923976608187</v>
      </c>
      <c r="CJ21" s="48">
        <v>0.50289017341040454</v>
      </c>
      <c r="CK21" s="48">
        <v>0.50285714285714278</v>
      </c>
      <c r="CL21" s="48">
        <v>0.50282485875706218</v>
      </c>
      <c r="CM21" s="48">
        <v>0.5027932960893855</v>
      </c>
      <c r="CN21" s="48">
        <v>0.50276243093922646</v>
      </c>
      <c r="CO21" s="48">
        <v>0.50273224043715836</v>
      </c>
      <c r="CP21" s="48">
        <v>0.50270270270270256</v>
      </c>
      <c r="CQ21" s="48">
        <v>0.50267379679144386</v>
      </c>
      <c r="CR21" s="48">
        <v>0.50264550264550267</v>
      </c>
      <c r="CS21" s="48">
        <v>0.5026178010471205</v>
      </c>
      <c r="CT21" s="48">
        <v>0.50259067357512954</v>
      </c>
      <c r="CU21" s="48">
        <v>0.50256410256410255</v>
      </c>
      <c r="CV21" s="48">
        <v>0.50253807106598991</v>
      </c>
      <c r="CW21" s="48">
        <v>0.50251256281407031</v>
      </c>
      <c r="CX21" s="48">
        <v>0.50248756218905477</v>
      </c>
      <c r="CY21" s="48">
        <v>0.50246305418719217</v>
      </c>
      <c r="CZ21" s="48">
        <v>0.50243902439024379</v>
      </c>
      <c r="DA21" s="48">
        <v>0.50241545893719808</v>
      </c>
      <c r="DB21" s="48">
        <v>0.50239234449760761</v>
      </c>
      <c r="DC21" s="48">
        <v>0.50236966824644536</v>
      </c>
      <c r="DD21" s="48">
        <v>0.50234741784037551</v>
      </c>
      <c r="DE21" s="48">
        <v>0.50232558139534877</v>
      </c>
      <c r="DF21" s="48">
        <v>0.50230414746543783</v>
      </c>
      <c r="DG21" s="48">
        <v>0.50228310502283102</v>
      </c>
      <c r="DH21" s="48">
        <v>0.50226244343891402</v>
      </c>
      <c r="DI21" s="48">
        <v>0.50224215246636772</v>
      </c>
      <c r="DJ21" s="48">
        <v>0.50222222222222224</v>
      </c>
      <c r="DK21" s="48">
        <v>0.50220264317180607</v>
      </c>
      <c r="DL21" s="48">
        <v>0.50218340611353707</v>
      </c>
      <c r="DM21" s="48">
        <v>0.50216450216450215</v>
      </c>
      <c r="DN21" s="48">
        <v>0.50214592274678116</v>
      </c>
      <c r="DO21" s="48">
        <v>0.50212765957446814</v>
      </c>
      <c r="DP21" s="48">
        <v>0.50210970464135019</v>
      </c>
      <c r="DQ21" s="48">
        <v>0.50209205020920511</v>
      </c>
      <c r="DR21" s="48">
        <v>0.50207468879668049</v>
      </c>
      <c r="DS21" s="48">
        <v>0.50205761316872433</v>
      </c>
      <c r="DT21" s="48">
        <v>0.50204081632653053</v>
      </c>
      <c r="DU21" s="48">
        <v>0.50202429149797578</v>
      </c>
      <c r="DV21" s="48">
        <v>0.50200803212851408</v>
      </c>
      <c r="DW21" s="48">
        <v>0.50199203187250996</v>
      </c>
      <c r="DX21" s="48">
        <v>0.50197628458498023</v>
      </c>
      <c r="DY21" s="48">
        <v>0.50196078431372548</v>
      </c>
      <c r="DZ21" s="48">
        <v>0.5019455252918289</v>
      </c>
      <c r="EA21" s="48">
        <v>0.50193050193050193</v>
      </c>
      <c r="EB21" s="48">
        <v>0.50191570881226055</v>
      </c>
      <c r="EC21" s="48">
        <v>0.50190114068441061</v>
      </c>
      <c r="ED21" s="48">
        <v>0.50188679245283019</v>
      </c>
      <c r="EE21" s="48">
        <v>0.50187265917602997</v>
      </c>
      <c r="EF21" s="48">
        <v>0.50185873605947962</v>
      </c>
      <c r="EG21" s="48">
        <v>0.50184501845018448</v>
      </c>
      <c r="EH21" s="48">
        <v>0.50183150183150194</v>
      </c>
      <c r="EI21" s="48">
        <v>0.50181818181818172</v>
      </c>
      <c r="EJ21" s="48">
        <v>0.50180505415162457</v>
      </c>
      <c r="EK21" s="48">
        <v>0.50179211469534057</v>
      </c>
      <c r="EL21" s="48">
        <v>0.50177935943060492</v>
      </c>
      <c r="EM21" s="48">
        <v>0.50176678445229683</v>
      </c>
      <c r="EN21" s="48">
        <v>0.50175438596491229</v>
      </c>
      <c r="EO21" s="48">
        <v>0.50174216027874563</v>
      </c>
      <c r="EP21" s="48">
        <v>0.5017301038062284</v>
      </c>
      <c r="EQ21" s="48">
        <v>0.50171821305841924</v>
      </c>
      <c r="ER21" s="48">
        <v>0.50170648464163825</v>
      </c>
      <c r="ES21" s="48">
        <v>0.50169491525423737</v>
      </c>
      <c r="ET21" s="48">
        <v>0.50168350168350173</v>
      </c>
      <c r="EU21" s="48">
        <v>0.50167224080267558</v>
      </c>
      <c r="EV21" s="48">
        <v>0.50166112956810638</v>
      </c>
      <c r="EW21" s="48">
        <v>0.50165016501650161</v>
      </c>
      <c r="EX21" s="48">
        <v>0.50163934426229517</v>
      </c>
      <c r="EY21" s="48">
        <v>0.50162866449511401</v>
      </c>
      <c r="EZ21" s="48">
        <v>0.50161812297734631</v>
      </c>
      <c r="FA21" s="48">
        <v>0.50160771704180074</v>
      </c>
      <c r="FB21" s="48">
        <v>0.50159744408945683</v>
      </c>
      <c r="FC21" s="48">
        <v>0.50158730158730158</v>
      </c>
      <c r="FD21" s="48">
        <v>0.50157728706624594</v>
      </c>
      <c r="FE21" s="48">
        <v>0.50156739811912221</v>
      </c>
      <c r="FF21" s="48">
        <v>0.50155763239875384</v>
      </c>
      <c r="FG21" s="48">
        <v>0.50154798761609898</v>
      </c>
      <c r="FH21" s="48">
        <v>0.5015384615384616</v>
      </c>
      <c r="FI21" s="48">
        <v>0.50152905198776754</v>
      </c>
      <c r="FJ21" s="48">
        <v>0.50151975683890571</v>
      </c>
      <c r="FK21" s="48">
        <v>0.50151057401812693</v>
      </c>
      <c r="FL21" s="48">
        <v>0.50150150150150163</v>
      </c>
      <c r="FM21" s="48">
        <v>0.50149253731343291</v>
      </c>
      <c r="FN21" s="48">
        <v>0.50148367952522266</v>
      </c>
      <c r="FO21" s="48">
        <v>0.50147492625368717</v>
      </c>
      <c r="FP21" s="48">
        <v>0.50146627565982405</v>
      </c>
      <c r="FQ21" s="48">
        <v>0.5014577259475218</v>
      </c>
      <c r="FR21" s="48">
        <v>0.50144927536231887</v>
      </c>
      <c r="FS21" s="48">
        <v>0.50144092219020164</v>
      </c>
      <c r="FT21" s="48">
        <v>0.50143266475644699</v>
      </c>
      <c r="FU21" s="48">
        <v>0.50142450142450146</v>
      </c>
      <c r="FV21" s="48">
        <v>0.50141643059490082</v>
      </c>
      <c r="FW21" s="48">
        <v>0.50140845070422535</v>
      </c>
      <c r="FX21" s="48">
        <v>0.50140056022408963</v>
      </c>
      <c r="FY21" s="48">
        <v>0.50139275766016711</v>
      </c>
      <c r="FZ21" s="48">
        <v>0.50138504155124652</v>
      </c>
      <c r="GA21" s="48">
        <v>0.50137741046831963</v>
      </c>
      <c r="GB21" s="48">
        <v>0.50136986301369857</v>
      </c>
      <c r="GC21" s="48">
        <v>0.50136239782016345</v>
      </c>
      <c r="GD21" s="48">
        <v>0.50135501355013556</v>
      </c>
      <c r="GE21" s="48">
        <v>0.50134770889487867</v>
      </c>
      <c r="GF21" s="48">
        <v>0.50134048257372643</v>
      </c>
      <c r="GG21" s="48">
        <v>0.5013333333333333</v>
      </c>
      <c r="GH21" s="48">
        <v>0.50132625994694957</v>
      </c>
      <c r="GI21" s="48">
        <v>0.50131926121372028</v>
      </c>
      <c r="GJ21" s="48">
        <v>0.50131233595800528</v>
      </c>
      <c r="GK21" s="48">
        <v>0.50130548302872069</v>
      </c>
      <c r="GL21" s="48">
        <v>0.50129870129870135</v>
      </c>
      <c r="GM21" s="48">
        <v>0.50129198966408262</v>
      </c>
      <c r="GN21" s="48">
        <v>0.50128534704370187</v>
      </c>
      <c r="GO21" s="48">
        <v>0.50127877237851659</v>
      </c>
      <c r="GP21" s="48">
        <v>0.50127226463104324</v>
      </c>
      <c r="GQ21" s="48">
        <v>0.50126582278481013</v>
      </c>
      <c r="GR21" s="48">
        <v>0.50125944584382864</v>
      </c>
      <c r="GS21" s="48">
        <v>0.50125313283208017</v>
      </c>
    </row>
    <row r="22" spans="1:255" x14ac:dyDescent="0.2">
      <c r="A22" s="46" t="s">
        <v>32</v>
      </c>
      <c r="B22" s="47">
        <v>5.0000000000000009</v>
      </c>
      <c r="C22" s="48">
        <v>2.7500000000000004</v>
      </c>
      <c r="D22" s="48">
        <v>2.4285714285714284</v>
      </c>
      <c r="E22" s="48">
        <v>2.3000000000000003</v>
      </c>
      <c r="F22" s="48">
        <v>2.2307692307692308</v>
      </c>
      <c r="G22" s="48">
        <v>2.1875</v>
      </c>
      <c r="H22" s="48">
        <v>2.1578947368421053</v>
      </c>
      <c r="I22" s="48">
        <v>2.1363636363636367</v>
      </c>
      <c r="J22" s="48">
        <v>2.12</v>
      </c>
      <c r="K22" s="48">
        <v>2.1071428571428572</v>
      </c>
      <c r="L22" s="48">
        <v>2.0967741935483866</v>
      </c>
      <c r="M22" s="48">
        <v>2.0882352941176472</v>
      </c>
      <c r="N22" s="48">
        <v>2.0810810810810811</v>
      </c>
      <c r="O22" s="48">
        <v>2.0750000000000002</v>
      </c>
      <c r="P22" s="48">
        <v>2.0697674418604652</v>
      </c>
      <c r="Q22" s="48">
        <v>2.0652173913043477</v>
      </c>
      <c r="R22" s="48">
        <v>2.0612244897959182</v>
      </c>
      <c r="S22" s="48">
        <v>2.0576923076923079</v>
      </c>
      <c r="T22" s="48">
        <v>2.0545454545454547</v>
      </c>
      <c r="U22" s="48">
        <v>2.0545454545454547</v>
      </c>
      <c r="V22" s="48">
        <v>2.0491803278688527</v>
      </c>
      <c r="W22" s="48">
        <v>2.046875</v>
      </c>
      <c r="X22" s="48">
        <v>2.0447761194029854</v>
      </c>
      <c r="Y22" s="48">
        <v>2.0428571428571423</v>
      </c>
      <c r="Z22" s="48">
        <v>2.0410958904109586</v>
      </c>
      <c r="AA22" s="48">
        <v>2.0394736842105261</v>
      </c>
      <c r="AB22" s="48">
        <v>2.037974683544304</v>
      </c>
      <c r="AC22" s="48">
        <v>2.0365853658536586</v>
      </c>
      <c r="AD22" s="48">
        <v>2.0352941176470591</v>
      </c>
      <c r="AE22" s="48">
        <v>2.0340909090909096</v>
      </c>
      <c r="AF22" s="48">
        <v>2.0329670329670328</v>
      </c>
      <c r="AG22" s="48">
        <v>2.0319148936170208</v>
      </c>
      <c r="AH22" s="48">
        <v>2.0309278350515463</v>
      </c>
      <c r="AI22" s="48">
        <v>2.0300000000000002</v>
      </c>
      <c r="AJ22" s="48">
        <v>2.0291262135922334</v>
      </c>
      <c r="AK22" s="48">
        <v>2.0283018867924527</v>
      </c>
      <c r="AL22" s="48">
        <v>2.0275229357798166</v>
      </c>
      <c r="AM22" s="48">
        <v>2.0267857142857144</v>
      </c>
      <c r="AN22" s="48">
        <v>2.026086956521739</v>
      </c>
      <c r="AO22" s="48">
        <v>2.0254237288135597</v>
      </c>
      <c r="AP22" s="48">
        <v>2.0247933884297522</v>
      </c>
      <c r="AQ22" s="48">
        <v>2.024193548387097</v>
      </c>
      <c r="AR22" s="48">
        <v>2.023622047244094</v>
      </c>
      <c r="AS22" s="48">
        <v>2.023076923076923</v>
      </c>
      <c r="AT22" s="48">
        <v>2.0225563909774436</v>
      </c>
      <c r="AU22" s="48">
        <v>2.0220588235294117</v>
      </c>
      <c r="AV22" s="48">
        <v>2.02158273381295</v>
      </c>
      <c r="AW22" s="48">
        <v>2.02112676056338</v>
      </c>
      <c r="AX22" s="48">
        <v>2.0206896551724136</v>
      </c>
      <c r="AY22" s="48">
        <v>2.0202702702702702</v>
      </c>
      <c r="AZ22" s="48">
        <v>2.0198675496688745</v>
      </c>
      <c r="BA22" s="48">
        <v>2.0194805194805197</v>
      </c>
      <c r="BB22" s="48">
        <v>2.0191082802547768</v>
      </c>
      <c r="BC22" s="48">
        <v>2.0187499999999998</v>
      </c>
      <c r="BD22" s="48">
        <v>2.01840490797546</v>
      </c>
      <c r="BE22" s="48">
        <v>2.0180722891566267</v>
      </c>
      <c r="BF22" s="48">
        <v>2.0177514792899411</v>
      </c>
      <c r="BG22" s="48">
        <v>2.0174418604651163</v>
      </c>
      <c r="BH22" s="48">
        <v>2.0171428571428573</v>
      </c>
      <c r="BI22" s="48">
        <v>2.0168539325842696</v>
      </c>
      <c r="BJ22" s="48">
        <v>2.0165745856353592</v>
      </c>
      <c r="BK22" s="48">
        <v>2.0163043478260869</v>
      </c>
      <c r="BL22" s="48">
        <v>2.0160427807486632</v>
      </c>
      <c r="BM22" s="48">
        <v>2.0157894736842108</v>
      </c>
      <c r="BN22" s="48">
        <v>2.0155440414507777</v>
      </c>
      <c r="BO22" s="48">
        <v>2.0153061224489797</v>
      </c>
      <c r="BP22" s="48">
        <v>2.0150753768844223</v>
      </c>
      <c r="BQ22" s="48">
        <v>2.0148514851485149</v>
      </c>
      <c r="BR22" s="48">
        <v>2.0146341463414634</v>
      </c>
      <c r="BS22" s="48">
        <v>2.0144230769230771</v>
      </c>
      <c r="BT22" s="48">
        <v>2.014218009478673</v>
      </c>
      <c r="BU22" s="48">
        <v>2.014018691588785</v>
      </c>
      <c r="BV22" s="48">
        <v>2.0138248847926268</v>
      </c>
      <c r="BW22" s="48">
        <v>2.0136363636363641</v>
      </c>
      <c r="BX22" s="48">
        <v>2.0134529147982061</v>
      </c>
      <c r="BY22" s="48">
        <v>2.0132743362831858</v>
      </c>
      <c r="BZ22" s="48">
        <v>2.0131004366812228</v>
      </c>
      <c r="CA22" s="48">
        <v>2.0129310344827585</v>
      </c>
      <c r="CB22" s="48">
        <v>2.012765957446808</v>
      </c>
      <c r="CC22" s="48">
        <v>2.0126050420168071</v>
      </c>
      <c r="CD22" s="48">
        <v>2.0124481327800829</v>
      </c>
      <c r="CE22" s="48">
        <v>2.012295081967213</v>
      </c>
      <c r="CF22" s="48">
        <v>2.0121457489878543</v>
      </c>
      <c r="CG22" s="48">
        <v>2.0120000000000005</v>
      </c>
      <c r="CH22" s="48">
        <v>2.0118577075098814</v>
      </c>
      <c r="CI22" s="48">
        <v>2.0117187500000004</v>
      </c>
      <c r="CJ22" s="48">
        <v>2.0115830115830118</v>
      </c>
      <c r="CK22" s="48">
        <v>2.0114503816793894</v>
      </c>
      <c r="CL22" s="48">
        <v>2.0113207547169814</v>
      </c>
      <c r="CM22" s="48">
        <v>2.0111940298507465</v>
      </c>
      <c r="CN22" s="48">
        <v>2.0110701107011075</v>
      </c>
      <c r="CO22" s="48">
        <v>2.0109489051094895</v>
      </c>
      <c r="CP22" s="48">
        <v>2.0108303249097474</v>
      </c>
      <c r="CQ22" s="48">
        <v>2.0107142857142857</v>
      </c>
      <c r="CR22" s="48">
        <v>2.010600706713781</v>
      </c>
      <c r="CS22" s="48">
        <v>2.0104895104895109</v>
      </c>
      <c r="CT22" s="48">
        <v>2.0103806228373702</v>
      </c>
      <c r="CU22" s="48">
        <v>2.0102739726027399</v>
      </c>
      <c r="CV22" s="48">
        <v>2.0101694915254238</v>
      </c>
      <c r="CW22" s="48">
        <v>2.0100671140939594</v>
      </c>
      <c r="CX22" s="48">
        <v>2.0099667774086378</v>
      </c>
      <c r="CY22" s="48">
        <v>2.0098684210526314</v>
      </c>
      <c r="CZ22" s="48">
        <v>2.009771986970684</v>
      </c>
      <c r="DA22" s="48">
        <v>2.0096774193548388</v>
      </c>
      <c r="DB22" s="48">
        <v>2.009584664536741</v>
      </c>
      <c r="DC22" s="48">
        <v>2.0094936708860764</v>
      </c>
      <c r="DD22" s="48">
        <v>2.0094043887147337</v>
      </c>
      <c r="DE22" s="48">
        <v>2.0093167701863357</v>
      </c>
      <c r="DF22" s="48">
        <v>2.0092307692307694</v>
      </c>
      <c r="DG22" s="48">
        <v>2.0091463414634148</v>
      </c>
      <c r="DH22" s="48">
        <v>2.0090634441087611</v>
      </c>
      <c r="DI22" s="48">
        <v>2.0089820359281436</v>
      </c>
      <c r="DJ22" s="48">
        <v>2.0089020771513355</v>
      </c>
      <c r="DK22" s="48">
        <v>2.0088235294117651</v>
      </c>
      <c r="DL22" s="48">
        <v>2.0087463556851315</v>
      </c>
      <c r="DM22" s="48">
        <v>2.0086705202312141</v>
      </c>
      <c r="DN22" s="48">
        <v>2.0085959885386817</v>
      </c>
      <c r="DO22" s="48">
        <v>2.0085227272727275</v>
      </c>
      <c r="DP22" s="48">
        <v>2.0084507042253521</v>
      </c>
      <c r="DQ22" s="48">
        <v>2.0083798882681565</v>
      </c>
      <c r="DR22" s="48">
        <v>2.0083102493074794</v>
      </c>
      <c r="DS22" s="48">
        <v>2.0082417582417582</v>
      </c>
      <c r="DT22" s="48">
        <v>2.0081743869209809</v>
      </c>
      <c r="DU22" s="48">
        <v>2.0081081081081078</v>
      </c>
      <c r="DV22" s="48">
        <v>2.008042895442359</v>
      </c>
      <c r="DW22" s="48">
        <v>2.0079787234042552</v>
      </c>
      <c r="DX22" s="48">
        <v>2.0079155672823221</v>
      </c>
      <c r="DY22" s="48">
        <v>2.0078534031413615</v>
      </c>
      <c r="DZ22" s="48">
        <v>2.0077922077922077</v>
      </c>
      <c r="EA22" s="48">
        <v>2.0077319587628866</v>
      </c>
      <c r="EB22" s="48">
        <v>2.0076726342710995</v>
      </c>
      <c r="EC22" s="48">
        <v>2.0076142131979693</v>
      </c>
      <c r="ED22" s="48">
        <v>2.0075566750629723</v>
      </c>
      <c r="EE22" s="48">
        <v>2.0074999999999998</v>
      </c>
      <c r="EF22" s="48">
        <v>2.0074441687344913</v>
      </c>
      <c r="EG22" s="48">
        <v>2.0073891625615765</v>
      </c>
      <c r="EH22" s="48">
        <v>2.0073349633251834</v>
      </c>
      <c r="EI22" s="48">
        <v>2.0072815533980588</v>
      </c>
      <c r="EJ22" s="48">
        <v>2.0072289156626506</v>
      </c>
      <c r="EK22" s="48">
        <v>2.0071770334928227</v>
      </c>
      <c r="EL22" s="48">
        <v>2.0071258907363418</v>
      </c>
      <c r="EM22" s="48">
        <v>2.0070754716981134</v>
      </c>
      <c r="EN22" s="48">
        <v>2.007025761124122</v>
      </c>
      <c r="EO22" s="48">
        <v>2.0069767441860469</v>
      </c>
      <c r="EP22" s="48">
        <v>2.0069284064665127</v>
      </c>
      <c r="EQ22" s="48">
        <v>2.0068807339449539</v>
      </c>
      <c r="ER22" s="48">
        <v>2.0068337129840548</v>
      </c>
      <c r="ES22" s="48">
        <v>2.0067873303167425</v>
      </c>
      <c r="ET22" s="48">
        <v>2.0067415730337079</v>
      </c>
      <c r="EU22" s="48">
        <v>2.0066964285714284</v>
      </c>
      <c r="EV22" s="48">
        <v>2.0066518847006649</v>
      </c>
      <c r="EW22" s="48">
        <v>2.0066079295154187</v>
      </c>
      <c r="EX22" s="48">
        <v>2.0065645514223194</v>
      </c>
      <c r="EY22" s="48">
        <v>2.0065217391304349</v>
      </c>
      <c r="EZ22" s="48">
        <v>2.0064794816414686</v>
      </c>
      <c r="FA22" s="48">
        <v>2.0064377682403434</v>
      </c>
      <c r="FB22" s="48">
        <v>2.0063965884861408</v>
      </c>
      <c r="FC22" s="48">
        <v>2.0063559322033897</v>
      </c>
      <c r="FD22" s="48">
        <v>2.0063157894736845</v>
      </c>
      <c r="FE22" s="48">
        <v>2.0062761506276146</v>
      </c>
      <c r="FF22" s="48">
        <v>2.0062370062370065</v>
      </c>
      <c r="FG22" s="48">
        <v>2.0061983471074383</v>
      </c>
      <c r="FH22" s="48">
        <v>2.0061601642710469</v>
      </c>
      <c r="FI22" s="48">
        <v>2.0061224489795921</v>
      </c>
      <c r="FJ22" s="48">
        <v>2.006085192697769</v>
      </c>
      <c r="FK22" s="48">
        <v>2.006048387096774</v>
      </c>
      <c r="FL22" s="48">
        <v>2.0060120240480961</v>
      </c>
      <c r="FM22" s="48">
        <v>2.0059760956175299</v>
      </c>
      <c r="FN22" s="48">
        <v>2.0059405940594059</v>
      </c>
      <c r="FO22" s="48">
        <v>2.0059055118110241</v>
      </c>
      <c r="FP22" s="48">
        <v>2.0058708414872797</v>
      </c>
      <c r="FQ22" s="48">
        <v>2.0058365758754864</v>
      </c>
      <c r="FR22" s="48">
        <v>2.0058027079303673</v>
      </c>
      <c r="FS22" s="48">
        <v>2.0057692307692307</v>
      </c>
      <c r="FT22" s="48">
        <v>2.005736137667304</v>
      </c>
      <c r="FU22" s="48">
        <v>2.0057034220532319</v>
      </c>
      <c r="FV22" s="48">
        <v>2.0056710775047257</v>
      </c>
      <c r="FW22" s="48">
        <v>2.005639097744361</v>
      </c>
      <c r="FX22" s="48">
        <v>2.0056074766355136</v>
      </c>
      <c r="FY22" s="48">
        <v>2.0055762081784385</v>
      </c>
      <c r="FZ22" s="48">
        <v>2.0055452865064693</v>
      </c>
      <c r="GA22" s="48">
        <v>2.0055147058823533</v>
      </c>
      <c r="GB22" s="48">
        <v>2.0054844606946984</v>
      </c>
      <c r="GC22" s="48">
        <v>2.0054545454545454</v>
      </c>
      <c r="GD22" s="48">
        <v>2.0054249547920433</v>
      </c>
      <c r="GE22" s="48">
        <v>2.0053956834532372</v>
      </c>
      <c r="GF22" s="48">
        <v>2.005366726296959</v>
      </c>
      <c r="GG22" s="48">
        <v>2.0053380782918153</v>
      </c>
      <c r="GH22" s="48">
        <v>2.0053097345132747</v>
      </c>
      <c r="GI22" s="48">
        <v>2.005281690140845</v>
      </c>
      <c r="GJ22" s="48">
        <v>2.0052539404553418</v>
      </c>
      <c r="GK22" s="48">
        <v>2.005226480836237</v>
      </c>
      <c r="GL22" s="48">
        <v>2.0051993067590987</v>
      </c>
      <c r="GM22" s="48">
        <v>2.0051724137931033</v>
      </c>
      <c r="GN22" s="48">
        <v>2.0051457975986278</v>
      </c>
      <c r="GO22" s="48">
        <v>2.0051194539249146</v>
      </c>
      <c r="GP22" s="48">
        <v>2.0050933786078096</v>
      </c>
      <c r="GQ22" s="48">
        <v>2.005067567567568</v>
      </c>
      <c r="GR22" s="48">
        <v>2.0050420168067231</v>
      </c>
      <c r="GS22" s="48">
        <v>2.0050167224080262</v>
      </c>
    </row>
    <row r="23" spans="1:255" x14ac:dyDescent="0.2">
      <c r="A23" s="51" t="s">
        <v>20</v>
      </c>
      <c r="B23" s="206">
        <v>0.39999999999999991</v>
      </c>
      <c r="C23" s="52">
        <v>0.90909090909090895</v>
      </c>
      <c r="D23" s="52">
        <v>1.0980392156862746</v>
      </c>
      <c r="E23" s="52">
        <v>1.1956521739130432</v>
      </c>
      <c r="F23" s="52">
        <v>1.2551724137931033</v>
      </c>
      <c r="G23" s="52">
        <v>1.2952380952380951</v>
      </c>
      <c r="H23" s="52">
        <v>1.3240418118466899</v>
      </c>
      <c r="I23" s="52">
        <v>1.3457446808510636</v>
      </c>
      <c r="J23" s="52">
        <v>1.3626834381551363</v>
      </c>
      <c r="K23" s="52">
        <v>1.3762711864406778</v>
      </c>
      <c r="L23" s="52">
        <v>1.3874125874125878</v>
      </c>
      <c r="M23" s="52">
        <v>1.396713615023474</v>
      </c>
      <c r="N23" s="52">
        <v>1.4045954045954046</v>
      </c>
      <c r="O23" s="52">
        <v>1.4113597246127365</v>
      </c>
      <c r="P23" s="52">
        <v>1.4172284644194757</v>
      </c>
      <c r="Q23" s="52">
        <v>1.4223684210526317</v>
      </c>
      <c r="R23" s="52">
        <v>1.4269073966220152</v>
      </c>
      <c r="S23" s="52">
        <v>1.430944963655244</v>
      </c>
      <c r="T23" s="52">
        <v>1.4345598509548205</v>
      </c>
      <c r="U23" s="52">
        <v>1.4345598509548205</v>
      </c>
      <c r="V23" s="52">
        <v>1.4407619047619047</v>
      </c>
      <c r="W23" s="52">
        <v>1.4434420541290771</v>
      </c>
      <c r="X23" s="52">
        <v>1.4458901935893365</v>
      </c>
      <c r="Y23" s="52">
        <v>1.4481351981351986</v>
      </c>
      <c r="Z23" s="52">
        <v>1.4502013422818794</v>
      </c>
      <c r="AA23" s="52">
        <v>1.4521091811414395</v>
      </c>
      <c r="AB23" s="52">
        <v>1.4538762364849318</v>
      </c>
      <c r="AC23" s="52">
        <v>1.4555175363558597</v>
      </c>
      <c r="AD23" s="52">
        <v>1.4570460434522621</v>
      </c>
      <c r="AE23" s="52">
        <v>1.4584729981378022</v>
      </c>
      <c r="AF23" s="52">
        <v>1.4598081952920663</v>
      </c>
      <c r="AG23" s="52">
        <v>1.4610602094240841</v>
      </c>
      <c r="AH23" s="52">
        <v>1.4622365789878482</v>
      </c>
      <c r="AI23" s="52">
        <v>1.4633439582729639</v>
      </c>
      <c r="AJ23" s="52">
        <v>1.4643882433356112</v>
      </c>
      <c r="AK23" s="52">
        <v>1.4653746770025842</v>
      </c>
      <c r="AL23" s="52">
        <v>1.466307936896172</v>
      </c>
      <c r="AM23" s="52">
        <v>1.4671922095988867</v>
      </c>
      <c r="AN23" s="52">
        <v>1.468031253438979</v>
      </c>
      <c r="AO23" s="52">
        <v>1.4688284518828447</v>
      </c>
      <c r="AP23" s="52">
        <v>1.4695868591338974</v>
      </c>
      <c r="AQ23" s="52">
        <v>1.4703092392335417</v>
      </c>
      <c r="AR23" s="52">
        <v>1.4709980997194827</v>
      </c>
      <c r="AS23" s="52">
        <v>1.4716557207051504</v>
      </c>
      <c r="AT23" s="52">
        <v>1.4722841800908715</v>
      </c>
      <c r="AU23" s="52">
        <v>1.4728853754940714</v>
      </c>
      <c r="AV23" s="52">
        <v>1.4734610433860831</v>
      </c>
      <c r="AW23" s="52">
        <v>1.4740127758420443</v>
      </c>
      <c r="AX23" s="52">
        <v>1.4745420352441319</v>
      </c>
      <c r="AY23" s="52">
        <v>1.4750501672240803</v>
      </c>
      <c r="AZ23" s="52">
        <v>1.4755384120861457</v>
      </c>
      <c r="BA23" s="52">
        <v>1.476007914914667</v>
      </c>
      <c r="BB23" s="52">
        <v>1.4764597345396109</v>
      </c>
      <c r="BC23" s="52">
        <v>1.4768948515078546</v>
      </c>
      <c r="BD23" s="52">
        <v>1.4773141751865155</v>
      </c>
      <c r="BE23" s="52">
        <v>1.4777185501066097</v>
      </c>
      <c r="BF23" s="52">
        <v>1.4781087616401707</v>
      </c>
      <c r="BG23" s="52">
        <v>1.478485541091126</v>
      </c>
      <c r="BH23" s="52">
        <v>1.4788495702693618</v>
      </c>
      <c r="BI23" s="52">
        <v>1.479201485608171</v>
      </c>
      <c r="BJ23" s="52">
        <v>1.479541881877386</v>
      </c>
      <c r="BK23" s="52">
        <v>1.4798713155377794</v>
      </c>
      <c r="BL23" s="52">
        <v>1.4801903077765146</v>
      </c>
      <c r="BM23" s="52">
        <v>1.4804993472584855</v>
      </c>
      <c r="BN23" s="52">
        <v>1.4807988926240852</v>
      </c>
      <c r="BO23" s="52">
        <v>1.4810893747602607</v>
      </c>
      <c r="BP23" s="52">
        <v>1.4813711988685001</v>
      </c>
      <c r="BQ23" s="52">
        <v>1.4816447463506288</v>
      </c>
      <c r="BR23" s="52">
        <v>1.4819103765308628</v>
      </c>
      <c r="BS23" s="52">
        <v>1.4821684282304803</v>
      </c>
      <c r="BT23" s="52">
        <v>1.4824192212096106</v>
      </c>
      <c r="BU23" s="52">
        <v>1.4826630574890436</v>
      </c>
      <c r="BV23" s="52">
        <v>1.4829002225635559</v>
      </c>
      <c r="BW23" s="52">
        <v>1.4831309865169908</v>
      </c>
      <c r="BX23" s="52">
        <v>1.4833556050482555</v>
      </c>
      <c r="BY23" s="52">
        <v>1.4835743204164258</v>
      </c>
      <c r="BZ23" s="52">
        <v>1.4837873623123079</v>
      </c>
      <c r="CA23" s="52">
        <v>1.483994948663043</v>
      </c>
      <c r="CB23" s="52">
        <v>1.4841972863756794</v>
      </c>
      <c r="CC23" s="52">
        <v>1.484394572025052</v>
      </c>
      <c r="CD23" s="52">
        <v>1.4845869924907726</v>
      </c>
      <c r="CE23" s="52">
        <v>1.4847747255476629</v>
      </c>
      <c r="CF23" s="52">
        <v>1.4849579404135658</v>
      </c>
      <c r="CG23" s="52">
        <v>1.4851367982580703</v>
      </c>
      <c r="CH23" s="52">
        <v>1.4853114526753728</v>
      </c>
      <c r="CI23" s="52">
        <v>1.4854820501241814</v>
      </c>
      <c r="CJ23" s="52">
        <v>1.4856487303373265</v>
      </c>
      <c r="CK23" s="52">
        <v>1.4858116267034673</v>
      </c>
      <c r="CL23" s="52">
        <v>1.4859708666230997</v>
      </c>
      <c r="CM23" s="52">
        <v>1.4861265718408572</v>
      </c>
      <c r="CN23" s="52">
        <v>1.4862788587559226</v>
      </c>
      <c r="CO23" s="52">
        <v>1.4864278387122225</v>
      </c>
      <c r="CP23" s="52">
        <v>1.4865736182699176</v>
      </c>
      <c r="CQ23" s="52">
        <v>1.4867162994595822</v>
      </c>
      <c r="CR23" s="52">
        <v>1.4868559800203496</v>
      </c>
      <c r="CS23" s="52">
        <v>1.4869927536231879</v>
      </c>
      <c r="CT23" s="52">
        <v>1.4871267100803804</v>
      </c>
      <c r="CU23" s="52">
        <v>1.4872579355421895</v>
      </c>
      <c r="CV23" s="52">
        <v>1.4873865126816221</v>
      </c>
      <c r="CW23" s="52">
        <v>1.4875125208681139</v>
      </c>
      <c r="CX23" s="52">
        <v>1.4876360363309058</v>
      </c>
      <c r="CY23" s="52">
        <v>1.4877571323128271</v>
      </c>
      <c r="CZ23" s="52">
        <v>1.4878758792151188</v>
      </c>
      <c r="DA23" s="52">
        <v>1.4879923447339176</v>
      </c>
      <c r="DB23" s="52">
        <v>1.4881065939889471</v>
      </c>
      <c r="DC23" s="52">
        <v>1.4882186896449263</v>
      </c>
      <c r="DD23" s="52">
        <v>1.4883286920261858</v>
      </c>
      <c r="DE23" s="52">
        <v>1.4884366592249125</v>
      </c>
      <c r="DF23" s="52">
        <v>1.4885426472034504</v>
      </c>
      <c r="DG23" s="52">
        <v>1.4886467098910194</v>
      </c>
      <c r="DH23" s="52">
        <v>1.4887488992752151</v>
      </c>
      <c r="DI23" s="52">
        <v>1.4888492654886096</v>
      </c>
      <c r="DJ23" s="52">
        <v>1.4889478568907595</v>
      </c>
      <c r="DK23" s="52">
        <v>1.4890447201458989</v>
      </c>
      <c r="DL23" s="52">
        <v>1.4891399002965859</v>
      </c>
      <c r="DM23" s="52">
        <v>1.4892334408335401</v>
      </c>
      <c r="DN23" s="52">
        <v>1.4893253837619032</v>
      </c>
      <c r="DO23" s="52">
        <v>1.4894157696641332</v>
      </c>
      <c r="DP23" s="52">
        <v>1.4895046377597323</v>
      </c>
      <c r="DQ23" s="52">
        <v>1.4895920259619841</v>
      </c>
      <c r="DR23" s="52">
        <v>1.4896779709318895</v>
      </c>
      <c r="DS23" s="52">
        <v>1.489762508129443</v>
      </c>
      <c r="DT23" s="52">
        <v>1.4898456718624176</v>
      </c>
      <c r="DU23" s="52">
        <v>1.4899274953327837</v>
      </c>
      <c r="DV23" s="52">
        <v>1.4900080106809079</v>
      </c>
      <c r="DW23" s="52">
        <v>1.4900872490276464</v>
      </c>
      <c r="DX23" s="52">
        <v>1.4901652405144494</v>
      </c>
      <c r="DY23" s="52">
        <v>1.4902420143415904</v>
      </c>
      <c r="DZ23" s="52">
        <v>1.4903175988046171</v>
      </c>
      <c r="EA23" s="52">
        <v>1.49039202132912</v>
      </c>
      <c r="EB23" s="52">
        <v>1.4904653085039143</v>
      </c>
      <c r="EC23" s="52">
        <v>1.4905374861127074</v>
      </c>
      <c r="ED23" s="52">
        <v>1.4906085791643475</v>
      </c>
      <c r="EE23" s="52">
        <v>1.4906786119217115</v>
      </c>
      <c r="EF23" s="52">
        <v>1.4907476079293136</v>
      </c>
      <c r="EG23" s="52">
        <v>1.4908155900396967</v>
      </c>
      <c r="EH23" s="52">
        <v>1.4908825804386674</v>
      </c>
      <c r="EI23" s="52">
        <v>1.490948600669435</v>
      </c>
      <c r="EJ23" s="52">
        <v>1.4910136716557127</v>
      </c>
      <c r="EK23" s="52">
        <v>1.491077813723821</v>
      </c>
      <c r="EL23" s="52">
        <v>1.4911410466238619</v>
      </c>
      <c r="EM23" s="52">
        <v>1.4912033895499908</v>
      </c>
      <c r="EN23" s="52">
        <v>1.4912648611598434</v>
      </c>
      <c r="EO23" s="52">
        <v>1.4913254795931503</v>
      </c>
      <c r="EP23" s="52">
        <v>1.4913852624895838</v>
      </c>
      <c r="EQ23" s="52">
        <v>1.4914442270058712</v>
      </c>
      <c r="ER23" s="52">
        <v>1.4915023898322097</v>
      </c>
      <c r="ES23" s="52">
        <v>1.4915597672080192</v>
      </c>
      <c r="ET23" s="52">
        <v>1.491616374937057</v>
      </c>
      <c r="EU23" s="52">
        <v>1.4916722284019281</v>
      </c>
      <c r="EV23" s="52">
        <v>1.4917273425780251</v>
      </c>
      <c r="EW23" s="52">
        <v>1.491781732046912</v>
      </c>
      <c r="EX23" s="52">
        <v>1.4918354110091874</v>
      </c>
      <c r="EY23" s="52">
        <v>1.4918883932968439</v>
      </c>
      <c r="EZ23" s="52">
        <v>1.4919406923851521</v>
      </c>
      <c r="FA23" s="52">
        <v>1.4919923214040858</v>
      </c>
      <c r="FB23" s="52">
        <v>1.4920432931493126</v>
      </c>
      <c r="FC23" s="52">
        <v>1.4920936200927648</v>
      </c>
      <c r="FD23" s="52">
        <v>1.4921433143928144</v>
      </c>
      <c r="FE23" s="52">
        <v>1.4921923879040671</v>
      </c>
      <c r="FF23" s="52">
        <v>1.4922408521867858</v>
      </c>
      <c r="FG23" s="52">
        <v>1.4922887185159754</v>
      </c>
      <c r="FH23" s="52">
        <v>1.4923359978901234</v>
      </c>
      <c r="FI23" s="52">
        <v>1.4923827010396247</v>
      </c>
      <c r="FJ23" s="52">
        <v>1.4924288384349051</v>
      </c>
      <c r="FK23" s="52">
        <v>1.4924744202942424</v>
      </c>
      <c r="FL23" s="52">
        <v>1.4925194565913127</v>
      </c>
      <c r="FM23" s="52">
        <v>1.4925639570624676</v>
      </c>
      <c r="FN23" s="52">
        <v>1.4926079312137477</v>
      </c>
      <c r="FO23" s="52">
        <v>1.4926513883276566</v>
      </c>
      <c r="FP23" s="52">
        <v>1.4926943374696906</v>
      </c>
      <c r="FQ23" s="52">
        <v>1.4927367874946431</v>
      </c>
      <c r="FR23" s="52">
        <v>1.4927787470526923</v>
      </c>
      <c r="FS23" s="52">
        <v>1.4928202245952769</v>
      </c>
      <c r="FT23" s="52">
        <v>1.492861228380771</v>
      </c>
      <c r="FU23" s="52">
        <v>1.4929017664799655</v>
      </c>
      <c r="FV23" s="52">
        <v>1.4929418467813651</v>
      </c>
      <c r="FW23" s="52">
        <v>1.4929814769963039</v>
      </c>
      <c r="FX23" s="52">
        <v>1.4930206646638935</v>
      </c>
      <c r="FY23" s="52">
        <v>1.4930594171558029</v>
      </c>
      <c r="FZ23" s="52">
        <v>1.4930977416808822</v>
      </c>
      <c r="GA23" s="52">
        <v>1.4931356452896323</v>
      </c>
      <c r="GB23" s="52">
        <v>1.4931731348785309</v>
      </c>
      <c r="GC23" s="52">
        <v>1.4932102171942134</v>
      </c>
      <c r="GD23" s="52">
        <v>1.4932468988375209</v>
      </c>
      <c r="GE23" s="52">
        <v>1.493283186267419</v>
      </c>
      <c r="GF23" s="52">
        <v>1.4933190858047865</v>
      </c>
      <c r="GG23" s="52">
        <v>1.4933546036360887</v>
      </c>
      <c r="GH23" s="52">
        <v>1.4933897458169301</v>
      </c>
      <c r="GI23" s="52">
        <v>1.4934245182754957</v>
      </c>
      <c r="GJ23" s="52">
        <v>1.4934589268158851</v>
      </c>
      <c r="GK23" s="52">
        <v>1.4934929771213437</v>
      </c>
      <c r="GL23" s="52">
        <v>1.4935266747573903</v>
      </c>
      <c r="GM23" s="52">
        <v>1.4935600251748504</v>
      </c>
      <c r="GN23" s="52">
        <v>1.4935930337127943</v>
      </c>
      <c r="GO23" s="52">
        <v>1.4936257056013897</v>
      </c>
      <c r="GP23" s="52">
        <v>1.4936580459646607</v>
      </c>
      <c r="GQ23" s="52">
        <v>1.4936900598231682</v>
      </c>
      <c r="GR23" s="52">
        <v>1.4937217520966102</v>
      </c>
      <c r="GS23" s="52">
        <v>1.4937531276063392</v>
      </c>
    </row>
    <row r="24" spans="1:255" x14ac:dyDescent="0.2">
      <c r="A24" s="214" t="s">
        <v>33</v>
      </c>
      <c r="B24" s="215"/>
      <c r="C24" s="215"/>
      <c r="D24" s="215"/>
      <c r="E24" s="215"/>
      <c r="F24" s="215"/>
      <c r="G24" s="215"/>
      <c r="H24" s="215"/>
      <c r="I24" s="215"/>
      <c r="J24" s="215"/>
      <c r="K24" s="215"/>
      <c r="L24" s="215"/>
      <c r="M24" s="215"/>
      <c r="N24" s="215"/>
      <c r="O24" s="215"/>
      <c r="P24" s="215"/>
      <c r="Q24" s="215"/>
      <c r="R24" s="215"/>
      <c r="S24" s="215"/>
      <c r="T24" s="215"/>
      <c r="U24" s="215"/>
      <c r="V24" s="215"/>
      <c r="W24" s="215"/>
      <c r="X24" s="215"/>
      <c r="Y24" s="215"/>
      <c r="Z24" s="215"/>
      <c r="AA24" s="215"/>
      <c r="AB24" s="215"/>
      <c r="AC24" s="215"/>
      <c r="AD24" s="215"/>
      <c r="AE24" s="215"/>
      <c r="AF24" s="215"/>
      <c r="AG24" s="215"/>
      <c r="AH24" s="215"/>
      <c r="AI24" s="215"/>
      <c r="AJ24" s="215"/>
      <c r="AK24" s="215"/>
      <c r="AL24" s="215"/>
      <c r="AM24" s="215"/>
      <c r="AN24" s="215"/>
      <c r="AO24" s="215"/>
      <c r="AP24" s="215"/>
      <c r="AQ24" s="215"/>
      <c r="AR24" s="215"/>
      <c r="AS24" s="215"/>
      <c r="AT24" s="215"/>
      <c r="AU24" s="215"/>
      <c r="AV24" s="215"/>
      <c r="AW24" s="215"/>
      <c r="AX24" s="215"/>
      <c r="AY24" s="215"/>
      <c r="AZ24" s="215"/>
      <c r="BA24" s="215"/>
      <c r="BB24" s="215"/>
      <c r="BC24" s="215"/>
      <c r="BD24" s="215"/>
      <c r="BE24" s="215"/>
      <c r="BF24" s="215"/>
      <c r="BG24" s="215"/>
      <c r="BH24" s="215"/>
      <c r="BI24" s="215"/>
      <c r="BJ24" s="215"/>
      <c r="BK24" s="215"/>
      <c r="BL24" s="215"/>
      <c r="BM24" s="215"/>
      <c r="BN24" s="215"/>
      <c r="BO24" s="215"/>
      <c r="BP24" s="215"/>
      <c r="BQ24" s="215"/>
      <c r="BR24" s="215"/>
      <c r="BS24" s="215"/>
      <c r="BT24" s="215"/>
      <c r="BU24" s="215"/>
      <c r="BV24" s="215"/>
      <c r="BW24" s="215"/>
      <c r="BX24" s="215"/>
      <c r="BY24" s="215"/>
      <c r="BZ24" s="215"/>
      <c r="CA24" s="215"/>
      <c r="CB24" s="215"/>
      <c r="CC24" s="215"/>
      <c r="CD24" s="215"/>
      <c r="CE24" s="215"/>
      <c r="CF24" s="215"/>
      <c r="CG24" s="215"/>
      <c r="CH24" s="215"/>
      <c r="CI24" s="215"/>
      <c r="CJ24" s="215"/>
      <c r="CK24" s="215"/>
      <c r="CL24" s="215"/>
      <c r="CM24" s="215"/>
      <c r="CN24" s="215"/>
      <c r="CO24" s="215"/>
      <c r="CP24" s="215"/>
      <c r="CQ24" s="215"/>
      <c r="CR24" s="215"/>
      <c r="CS24" s="215"/>
      <c r="CT24" s="215"/>
      <c r="CU24" s="215"/>
      <c r="CV24" s="215"/>
      <c r="CW24" s="215"/>
      <c r="CX24" s="215"/>
      <c r="CY24" s="215"/>
      <c r="CZ24" s="215"/>
      <c r="DA24" s="215"/>
      <c r="DB24" s="215"/>
      <c r="DC24" s="215"/>
      <c r="DD24" s="215"/>
      <c r="DE24" s="215"/>
      <c r="DF24" s="215"/>
      <c r="DG24" s="215"/>
      <c r="DH24" s="215"/>
      <c r="DI24" s="215"/>
      <c r="DJ24" s="215"/>
      <c r="DK24" s="215"/>
      <c r="DL24" s="215"/>
      <c r="DM24" s="215"/>
      <c r="DN24" s="215"/>
      <c r="DO24" s="215"/>
      <c r="DP24" s="215"/>
      <c r="DQ24" s="215"/>
      <c r="DR24" s="215"/>
      <c r="DS24" s="215"/>
      <c r="DT24" s="215"/>
      <c r="DU24" s="215"/>
      <c r="DV24" s="215"/>
      <c r="DW24" s="215"/>
      <c r="DX24" s="215"/>
      <c r="DY24" s="215"/>
      <c r="DZ24" s="215"/>
      <c r="EA24" s="215"/>
      <c r="EB24" s="215"/>
      <c r="EC24" s="215"/>
      <c r="ED24" s="215"/>
      <c r="EE24" s="215"/>
      <c r="EF24" s="215"/>
      <c r="EG24" s="215"/>
      <c r="EH24" s="215"/>
      <c r="EI24" s="215"/>
      <c r="EJ24" s="215"/>
      <c r="EK24" s="215"/>
      <c r="EL24" s="215"/>
      <c r="EM24" s="215"/>
      <c r="EN24" s="215"/>
      <c r="EO24" s="215"/>
      <c r="EP24" s="215"/>
      <c r="EQ24" s="215"/>
      <c r="ER24" s="215"/>
      <c r="ES24" s="215"/>
      <c r="ET24" s="215"/>
      <c r="EU24" s="215"/>
      <c r="EV24" s="215"/>
      <c r="EW24" s="215"/>
      <c r="EX24" s="215"/>
      <c r="EY24" s="215"/>
      <c r="EZ24" s="215"/>
      <c r="FA24" s="215"/>
      <c r="FB24" s="215"/>
      <c r="FC24" s="215"/>
      <c r="FD24" s="215"/>
      <c r="FE24" s="215"/>
      <c r="FF24" s="215"/>
      <c r="FG24" s="215"/>
      <c r="FH24" s="215"/>
      <c r="FI24" s="215"/>
      <c r="FJ24" s="215"/>
      <c r="FK24" s="215"/>
      <c r="FL24" s="215"/>
      <c r="FM24" s="215"/>
      <c r="FN24" s="215"/>
      <c r="FO24" s="215"/>
      <c r="FP24" s="215"/>
      <c r="FQ24" s="215"/>
      <c r="FR24" s="215"/>
      <c r="FS24" s="215"/>
      <c r="FT24" s="215"/>
      <c r="FU24" s="215"/>
      <c r="FV24" s="215"/>
      <c r="FW24" s="215"/>
      <c r="FX24" s="215"/>
      <c r="FY24" s="215"/>
      <c r="FZ24" s="215"/>
      <c r="GA24" s="215"/>
      <c r="GB24" s="215"/>
      <c r="GC24" s="215"/>
      <c r="GD24" s="215"/>
      <c r="GE24" s="215"/>
      <c r="GF24" s="215"/>
      <c r="GG24" s="215"/>
      <c r="GH24" s="215"/>
      <c r="GI24" s="215"/>
      <c r="GJ24" s="215"/>
      <c r="GK24" s="215"/>
      <c r="GL24" s="215"/>
      <c r="GM24" s="215"/>
      <c r="GN24" s="215"/>
      <c r="GO24" s="215"/>
      <c r="GP24" s="215"/>
      <c r="GQ24" s="215"/>
      <c r="GR24" s="215"/>
      <c r="GS24" s="215"/>
    </row>
    <row r="25" spans="1:255" x14ac:dyDescent="0.2">
      <c r="A25" s="55" t="s">
        <v>34</v>
      </c>
      <c r="B25" s="56" t="s">
        <v>329</v>
      </c>
      <c r="C25" s="13" t="s">
        <v>330</v>
      </c>
      <c r="D25" s="13" t="s">
        <v>331</v>
      </c>
      <c r="E25" s="13" t="s">
        <v>332</v>
      </c>
      <c r="F25" s="13" t="s">
        <v>333</v>
      </c>
      <c r="G25" s="13" t="s">
        <v>334</v>
      </c>
      <c r="H25" s="13" t="s">
        <v>335</v>
      </c>
      <c r="I25" s="13" t="s">
        <v>336</v>
      </c>
      <c r="J25" s="13" t="s">
        <v>337</v>
      </c>
      <c r="K25" s="13" t="s">
        <v>338</v>
      </c>
      <c r="L25" s="13" t="s">
        <v>339</v>
      </c>
      <c r="M25" s="13" t="s">
        <v>340</v>
      </c>
      <c r="N25" s="13" t="s">
        <v>341</v>
      </c>
      <c r="O25" s="13" t="s">
        <v>342</v>
      </c>
      <c r="P25" s="13" t="s">
        <v>343</v>
      </c>
      <c r="Q25" s="13" t="s">
        <v>344</v>
      </c>
      <c r="R25" s="13" t="s">
        <v>345</v>
      </c>
      <c r="S25" s="13" t="s">
        <v>346</v>
      </c>
      <c r="T25" s="13" t="s">
        <v>347</v>
      </c>
      <c r="U25" s="13" t="s">
        <v>348</v>
      </c>
      <c r="V25" s="13" t="s">
        <v>349</v>
      </c>
      <c r="W25" s="13" t="s">
        <v>350</v>
      </c>
      <c r="X25" s="13" t="s">
        <v>351</v>
      </c>
      <c r="Y25" s="13" t="s">
        <v>352</v>
      </c>
      <c r="Z25" s="13" t="s">
        <v>353</v>
      </c>
      <c r="AA25" s="13" t="s">
        <v>354</v>
      </c>
      <c r="AB25" s="13" t="s">
        <v>355</v>
      </c>
      <c r="AC25" s="13" t="s">
        <v>356</v>
      </c>
      <c r="AD25" s="13" t="s">
        <v>357</v>
      </c>
      <c r="AE25" s="13" t="s">
        <v>358</v>
      </c>
      <c r="AF25" s="13" t="s">
        <v>359</v>
      </c>
      <c r="AG25" s="13" t="s">
        <v>360</v>
      </c>
      <c r="AH25" s="13" t="s">
        <v>361</v>
      </c>
      <c r="AI25" s="13" t="s">
        <v>362</v>
      </c>
      <c r="AJ25" s="13" t="s">
        <v>363</v>
      </c>
      <c r="AK25" s="13" t="s">
        <v>364</v>
      </c>
      <c r="AL25" s="13" t="s">
        <v>365</v>
      </c>
      <c r="AM25" s="13" t="s">
        <v>366</v>
      </c>
      <c r="AN25" s="13" t="s">
        <v>367</v>
      </c>
      <c r="AO25" s="13" t="s">
        <v>368</v>
      </c>
      <c r="AP25" s="13" t="s">
        <v>369</v>
      </c>
      <c r="AQ25" s="13" t="s">
        <v>370</v>
      </c>
      <c r="AR25" s="13" t="s">
        <v>371</v>
      </c>
      <c r="AS25" s="13" t="s">
        <v>372</v>
      </c>
      <c r="AT25" s="13" t="s">
        <v>373</v>
      </c>
      <c r="AU25" s="13" t="s">
        <v>374</v>
      </c>
      <c r="AV25" s="13" t="s">
        <v>375</v>
      </c>
      <c r="AW25" s="13" t="s">
        <v>376</v>
      </c>
      <c r="AX25" s="13" t="s">
        <v>377</v>
      </c>
      <c r="AY25" s="13" t="s">
        <v>378</v>
      </c>
      <c r="AZ25" s="13" t="s">
        <v>379</v>
      </c>
      <c r="BA25" s="13" t="s">
        <v>380</v>
      </c>
      <c r="BB25" s="13" t="s">
        <v>381</v>
      </c>
      <c r="BC25" s="13" t="s">
        <v>382</v>
      </c>
      <c r="BD25" s="13" t="s">
        <v>383</v>
      </c>
      <c r="BE25" s="13" t="s">
        <v>384</v>
      </c>
      <c r="BF25" s="13" t="s">
        <v>385</v>
      </c>
      <c r="BG25" s="13" t="s">
        <v>386</v>
      </c>
      <c r="BH25" s="13" t="s">
        <v>387</v>
      </c>
      <c r="BI25" s="13" t="s">
        <v>388</v>
      </c>
      <c r="BJ25" s="13" t="s">
        <v>389</v>
      </c>
      <c r="BK25" s="13" t="s">
        <v>390</v>
      </c>
      <c r="BL25" s="13" t="s">
        <v>391</v>
      </c>
      <c r="BM25" s="13" t="s">
        <v>392</v>
      </c>
      <c r="BN25" s="13" t="s">
        <v>393</v>
      </c>
      <c r="BO25" s="13" t="s">
        <v>394</v>
      </c>
      <c r="BP25" s="13" t="s">
        <v>395</v>
      </c>
      <c r="BQ25" s="13" t="s">
        <v>396</v>
      </c>
      <c r="BR25" s="13" t="s">
        <v>397</v>
      </c>
      <c r="BS25" s="13" t="s">
        <v>398</v>
      </c>
      <c r="BT25" s="13" t="s">
        <v>399</v>
      </c>
      <c r="BU25" s="13" t="s">
        <v>400</v>
      </c>
      <c r="BV25" s="13" t="s">
        <v>401</v>
      </c>
      <c r="BW25" s="13" t="s">
        <v>402</v>
      </c>
      <c r="BX25" s="13" t="s">
        <v>403</v>
      </c>
      <c r="BY25" s="13" t="s">
        <v>404</v>
      </c>
      <c r="BZ25" s="13" t="s">
        <v>405</v>
      </c>
      <c r="CA25" s="13" t="s">
        <v>406</v>
      </c>
      <c r="CB25" s="13" t="s">
        <v>407</v>
      </c>
      <c r="CC25" s="13" t="s">
        <v>408</v>
      </c>
      <c r="CD25" s="13" t="s">
        <v>409</v>
      </c>
      <c r="CE25" s="13" t="s">
        <v>410</v>
      </c>
      <c r="CF25" s="13" t="s">
        <v>411</v>
      </c>
      <c r="CG25" s="13" t="s">
        <v>412</v>
      </c>
      <c r="CH25" s="13" t="s">
        <v>413</v>
      </c>
      <c r="CI25" s="13" t="s">
        <v>414</v>
      </c>
      <c r="CJ25" s="13" t="s">
        <v>415</v>
      </c>
      <c r="CK25" s="13" t="s">
        <v>416</v>
      </c>
      <c r="CL25" s="13" t="s">
        <v>417</v>
      </c>
      <c r="CM25" s="13" t="s">
        <v>418</v>
      </c>
      <c r="CN25" s="13" t="s">
        <v>419</v>
      </c>
      <c r="CO25" s="13" t="s">
        <v>420</v>
      </c>
      <c r="CP25" s="13" t="s">
        <v>421</v>
      </c>
      <c r="CQ25" s="13" t="s">
        <v>422</v>
      </c>
      <c r="CR25" s="13" t="s">
        <v>423</v>
      </c>
      <c r="CS25" s="13" t="s">
        <v>424</v>
      </c>
      <c r="CT25" s="13" t="s">
        <v>425</v>
      </c>
      <c r="CU25" s="13" t="s">
        <v>426</v>
      </c>
      <c r="CV25" s="13" t="s">
        <v>427</v>
      </c>
      <c r="CW25" s="13" t="s">
        <v>428</v>
      </c>
      <c r="CX25" s="13" t="s">
        <v>429</v>
      </c>
      <c r="CY25" s="13" t="s">
        <v>430</v>
      </c>
      <c r="CZ25" s="13" t="s">
        <v>431</v>
      </c>
      <c r="DA25" s="13" t="s">
        <v>432</v>
      </c>
      <c r="DB25" s="13" t="s">
        <v>433</v>
      </c>
      <c r="DC25" s="13" t="s">
        <v>434</v>
      </c>
      <c r="DD25" s="13" t="s">
        <v>435</v>
      </c>
      <c r="DE25" s="13" t="s">
        <v>436</v>
      </c>
      <c r="DF25" s="13" t="s">
        <v>437</v>
      </c>
      <c r="DG25" s="13" t="s">
        <v>438</v>
      </c>
      <c r="DH25" s="13" t="s">
        <v>439</v>
      </c>
      <c r="DI25" s="13" t="s">
        <v>440</v>
      </c>
      <c r="DJ25" s="13" t="s">
        <v>441</v>
      </c>
      <c r="DK25" s="13" t="s">
        <v>442</v>
      </c>
      <c r="DL25" s="13" t="s">
        <v>443</v>
      </c>
      <c r="DM25" s="13" t="s">
        <v>444</v>
      </c>
      <c r="DN25" s="13" t="s">
        <v>445</v>
      </c>
      <c r="DO25" s="13" t="s">
        <v>446</v>
      </c>
      <c r="DP25" s="13" t="s">
        <v>447</v>
      </c>
      <c r="DQ25" s="13" t="s">
        <v>448</v>
      </c>
      <c r="DR25" s="13" t="s">
        <v>449</v>
      </c>
      <c r="DS25" s="13" t="s">
        <v>450</v>
      </c>
      <c r="DT25" s="13" t="s">
        <v>451</v>
      </c>
      <c r="DU25" s="13" t="s">
        <v>452</v>
      </c>
      <c r="DV25" s="13" t="s">
        <v>453</v>
      </c>
      <c r="DW25" s="13" t="s">
        <v>454</v>
      </c>
      <c r="DX25" s="13" t="s">
        <v>455</v>
      </c>
      <c r="DY25" s="13" t="s">
        <v>456</v>
      </c>
      <c r="DZ25" s="13" t="s">
        <v>457</v>
      </c>
      <c r="EA25" s="13" t="s">
        <v>458</v>
      </c>
      <c r="EB25" s="13" t="s">
        <v>459</v>
      </c>
      <c r="EC25" s="13" t="s">
        <v>460</v>
      </c>
      <c r="ED25" s="13" t="s">
        <v>461</v>
      </c>
      <c r="EE25" s="13" t="s">
        <v>462</v>
      </c>
      <c r="EF25" s="13" t="s">
        <v>463</v>
      </c>
      <c r="EG25" s="13" t="s">
        <v>464</v>
      </c>
      <c r="EH25" s="13" t="s">
        <v>465</v>
      </c>
      <c r="EI25" s="13" t="s">
        <v>466</v>
      </c>
      <c r="EJ25" s="13" t="s">
        <v>467</v>
      </c>
      <c r="EK25" s="13" t="s">
        <v>468</v>
      </c>
      <c r="EL25" s="13" t="s">
        <v>469</v>
      </c>
      <c r="EM25" s="13" t="s">
        <v>470</v>
      </c>
      <c r="EN25" s="13" t="s">
        <v>471</v>
      </c>
      <c r="EO25" s="13" t="s">
        <v>472</v>
      </c>
      <c r="EP25" s="13" t="s">
        <v>473</v>
      </c>
      <c r="EQ25" s="13" t="s">
        <v>474</v>
      </c>
      <c r="ER25" s="13" t="s">
        <v>475</v>
      </c>
      <c r="ES25" s="13" t="s">
        <v>476</v>
      </c>
      <c r="ET25" s="13" t="s">
        <v>477</v>
      </c>
      <c r="EU25" s="13" t="s">
        <v>478</v>
      </c>
      <c r="EV25" s="13" t="s">
        <v>479</v>
      </c>
      <c r="EW25" s="13" t="s">
        <v>480</v>
      </c>
      <c r="EX25" s="13" t="s">
        <v>481</v>
      </c>
      <c r="EY25" s="13" t="s">
        <v>482</v>
      </c>
      <c r="EZ25" s="13" t="s">
        <v>483</v>
      </c>
      <c r="FA25" s="13" t="s">
        <v>484</v>
      </c>
      <c r="FB25" s="13" t="s">
        <v>485</v>
      </c>
      <c r="FC25" s="13" t="s">
        <v>486</v>
      </c>
      <c r="FD25" s="13" t="s">
        <v>487</v>
      </c>
      <c r="FE25" s="13" t="s">
        <v>488</v>
      </c>
      <c r="FF25" s="13" t="s">
        <v>489</v>
      </c>
      <c r="FG25" s="13" t="s">
        <v>490</v>
      </c>
      <c r="FH25" s="13" t="s">
        <v>491</v>
      </c>
      <c r="FI25" s="13" t="s">
        <v>492</v>
      </c>
      <c r="FJ25" s="13" t="s">
        <v>493</v>
      </c>
      <c r="FK25" s="13" t="s">
        <v>494</v>
      </c>
      <c r="FL25" s="13" t="s">
        <v>495</v>
      </c>
      <c r="FM25" s="13" t="s">
        <v>496</v>
      </c>
      <c r="FN25" s="13" t="s">
        <v>497</v>
      </c>
      <c r="FO25" s="13" t="s">
        <v>498</v>
      </c>
      <c r="FP25" s="13" t="s">
        <v>499</v>
      </c>
      <c r="FQ25" s="13" t="s">
        <v>500</v>
      </c>
      <c r="FR25" s="13" t="s">
        <v>501</v>
      </c>
      <c r="FS25" s="13" t="s">
        <v>502</v>
      </c>
      <c r="FT25" s="13" t="s">
        <v>503</v>
      </c>
      <c r="FU25" s="13" t="s">
        <v>504</v>
      </c>
      <c r="FV25" s="13" t="s">
        <v>505</v>
      </c>
      <c r="FW25" s="13" t="s">
        <v>506</v>
      </c>
      <c r="FX25" s="13" t="s">
        <v>507</v>
      </c>
      <c r="FY25" s="13" t="s">
        <v>508</v>
      </c>
      <c r="FZ25" s="13" t="s">
        <v>509</v>
      </c>
      <c r="GA25" s="13" t="s">
        <v>510</v>
      </c>
      <c r="GB25" s="13" t="s">
        <v>511</v>
      </c>
      <c r="GC25" s="13" t="s">
        <v>512</v>
      </c>
      <c r="GD25" s="13" t="s">
        <v>513</v>
      </c>
      <c r="GE25" s="13" t="s">
        <v>514</v>
      </c>
      <c r="GF25" s="13" t="s">
        <v>515</v>
      </c>
      <c r="GG25" s="13" t="s">
        <v>516</v>
      </c>
      <c r="GH25" s="13" t="s">
        <v>517</v>
      </c>
      <c r="GI25" s="13" t="s">
        <v>518</v>
      </c>
      <c r="GJ25" s="13" t="s">
        <v>519</v>
      </c>
      <c r="GK25" s="13" t="s">
        <v>520</v>
      </c>
      <c r="GL25" s="13" t="s">
        <v>521</v>
      </c>
      <c r="GM25" s="13" t="s">
        <v>522</v>
      </c>
      <c r="GN25" s="13" t="s">
        <v>523</v>
      </c>
      <c r="GO25" s="13" t="s">
        <v>524</v>
      </c>
      <c r="GP25" s="13" t="s">
        <v>525</v>
      </c>
      <c r="GQ25" s="13" t="s">
        <v>526</v>
      </c>
      <c r="GR25" s="13" t="s">
        <v>527</v>
      </c>
      <c r="GS25" s="13" t="s">
        <v>528</v>
      </c>
    </row>
    <row r="26" spans="1:255" ht="15.75" x14ac:dyDescent="0.3">
      <c r="A26" s="57" t="s">
        <v>109</v>
      </c>
      <c r="B26" s="58">
        <v>9.6225044864937673E-2</v>
      </c>
      <c r="C26" s="59">
        <v>3.8490017945975043E-2</v>
      </c>
      <c r="D26" s="59">
        <v>2.4056261216234449E-2</v>
      </c>
      <c r="E26" s="59">
        <v>1.7495462702715917E-2</v>
      </c>
      <c r="F26" s="59">
        <v>1.3746434980705328E-2</v>
      </c>
      <c r="G26" s="59">
        <v>1.1320593513522034E-2</v>
      </c>
      <c r="H26" s="59">
        <v>9.6225044864937295E-3</v>
      </c>
      <c r="I26" s="59">
        <v>8.3673952056467875E-3</v>
      </c>
      <c r="J26" s="59">
        <v>7.4019265280720996E-3</v>
      </c>
      <c r="K26" s="59">
        <v>6.6362099906854101E-3</v>
      </c>
      <c r="L26" s="59">
        <v>6.0140653040586444E-3</v>
      </c>
      <c r="M26" s="59">
        <v>5.4985739922821311E-3</v>
      </c>
      <c r="N26" s="59">
        <v>5.0644760455230489E-3</v>
      </c>
      <c r="O26" s="59">
        <v>4.6939046275580225E-3</v>
      </c>
      <c r="P26" s="59">
        <v>4.3738656756789791E-3</v>
      </c>
      <c r="Q26" s="59">
        <v>4.0946827602100534E-3</v>
      </c>
      <c r="R26" s="59">
        <v>3.8490017945975942E-3</v>
      </c>
      <c r="S26" s="59">
        <v>3.6311337684882118E-3</v>
      </c>
      <c r="T26" s="59">
        <v>3.4366087451763319E-3</v>
      </c>
      <c r="U26" s="59">
        <v>3.4366087451763319E-3</v>
      </c>
      <c r="V26" s="59">
        <v>3.1040337053205662E-3</v>
      </c>
      <c r="W26" s="59">
        <v>2.9607706112288398E-3</v>
      </c>
      <c r="X26" s="59">
        <v>2.8301483783805086E-3</v>
      </c>
      <c r="Y26" s="59">
        <v>2.7105646440827892E-3</v>
      </c>
      <c r="Z26" s="59">
        <v>2.6006768882415312E-3</v>
      </c>
      <c r="AA26" s="59">
        <v>2.4993518146736843E-3</v>
      </c>
      <c r="AB26" s="59">
        <v>2.4056261216234324E-3</v>
      </c>
      <c r="AC26" s="59">
        <v>2.3186757798780442E-3</v>
      </c>
      <c r="AD26" s="59">
        <v>2.2377917410450654E-3</v>
      </c>
      <c r="AE26" s="59">
        <v>2.1623605587626489E-3</v>
      </c>
      <c r="AF26" s="59">
        <v>2.0918488014116969E-3</v>
      </c>
      <c r="AG26" s="59">
        <v>2.0257904182092198E-3</v>
      </c>
      <c r="AH26" s="59">
        <v>1.9637764258149918E-3</v>
      </c>
      <c r="AI26" s="59">
        <v>1.9054464329691491E-3</v>
      </c>
      <c r="AJ26" s="59">
        <v>1.8504816320180249E-3</v>
      </c>
      <c r="AK26" s="59">
        <v>1.7985989694380227E-3</v>
      </c>
      <c r="AL26" s="59">
        <v>1.7495462702715404E-3</v>
      </c>
      <c r="AM26" s="59">
        <v>1.7030981392023958E-3</v>
      </c>
      <c r="AN26" s="59">
        <v>1.6590524976712883E-3</v>
      </c>
      <c r="AO26" s="59">
        <v>1.617227644788862E-3</v>
      </c>
      <c r="AP26" s="59">
        <v>1.5774597518841611E-3</v>
      </c>
      <c r="AQ26" s="59">
        <v>1.5396007178390889E-3</v>
      </c>
      <c r="AR26" s="59">
        <v>1.5035163260146932E-3</v>
      </c>
      <c r="AS26" s="59">
        <v>1.4690846544265098E-3</v>
      </c>
      <c r="AT26" s="59">
        <v>1.4361946994767066E-3</v>
      </c>
      <c r="AU26" s="59">
        <v>1.4047451805099726E-3</v>
      </c>
      <c r="AV26" s="59">
        <v>1.3746434980705328E-3</v>
      </c>
      <c r="AW26" s="59">
        <v>1.3458048232858595E-3</v>
      </c>
      <c r="AX26" s="59">
        <v>1.3181512995197415E-3</v>
      </c>
      <c r="AY26" s="59">
        <v>1.2916113404689809E-3</v>
      </c>
      <c r="AZ26" s="59">
        <v>1.2661190113807943E-3</v>
      </c>
      <c r="BA26" s="59">
        <v>1.241613482128252E-3</v>
      </c>
      <c r="BB26" s="59">
        <v>1.2180385425941964E-3</v>
      </c>
      <c r="BC26" s="59">
        <v>1.1953421722352736E-3</v>
      </c>
      <c r="BD26" s="59">
        <v>1.1734761568894417E-3</v>
      </c>
      <c r="BE26" s="59">
        <v>1.1523957468853828E-3</v>
      </c>
      <c r="BF26" s="59">
        <v>1.1320593513522033E-3</v>
      </c>
      <c r="BG26" s="59">
        <v>1.1124282643345492E-3</v>
      </c>
      <c r="BH26" s="59">
        <v>1.0934664189197769E-3</v>
      </c>
      <c r="BI26" s="59">
        <v>1.0751401660886555E-3</v>
      </c>
      <c r="BJ26" s="59">
        <v>1.0574180754388714E-3</v>
      </c>
      <c r="BK26" s="59">
        <v>1.0402707552966124E-3</v>
      </c>
      <c r="BL26" s="59">
        <v>1.0236706900525134E-3</v>
      </c>
      <c r="BM26" s="59">
        <v>1.0075920928265625E-3</v>
      </c>
      <c r="BN26" s="59">
        <v>9.9201077180347723E-4</v>
      </c>
      <c r="BO26" s="59">
        <v>9.7690400878107419E-4</v>
      </c>
      <c r="BP26" s="59">
        <v>9.6225044864939855E-4</v>
      </c>
      <c r="BQ26" s="59">
        <v>9.4802999866927106E-4</v>
      </c>
      <c r="BR26" s="59">
        <v>9.3422373655274943E-4</v>
      </c>
      <c r="BS26" s="59">
        <v>9.2081382645875954E-4</v>
      </c>
      <c r="BT26" s="59">
        <v>9.0778344212202086E-4</v>
      </c>
      <c r="BU26" s="59">
        <v>8.9511669641800047E-4</v>
      </c>
      <c r="BV26" s="59">
        <v>8.8279857674252045E-4</v>
      </c>
      <c r="BW26" s="59">
        <v>8.7081488565554112E-4</v>
      </c>
      <c r="BX26" s="59">
        <v>8.5915218629401891E-4</v>
      </c>
      <c r="BY26" s="59">
        <v>8.4779775211399453E-4</v>
      </c>
      <c r="BZ26" s="59">
        <v>8.3673952056462751E-4</v>
      </c>
      <c r="CA26" s="59">
        <v>8.2596605034278628E-4</v>
      </c>
      <c r="CB26" s="59">
        <v>8.1546648190629172E-4</v>
      </c>
      <c r="CC26" s="59">
        <v>8.0523050096172717E-4</v>
      </c>
      <c r="CD26" s="59">
        <v>7.9524830466888206E-4</v>
      </c>
      <c r="CE26" s="59">
        <v>7.8551057032607359E-4</v>
      </c>
      <c r="CF26" s="59">
        <v>7.7600842633007738E-4</v>
      </c>
      <c r="CG26" s="59">
        <v>7.6673342521862585E-4</v>
      </c>
      <c r="CH26" s="59">
        <v>7.5767751862164032E-4</v>
      </c>
      <c r="CI26" s="59">
        <v>7.4883303396838363E-4</v>
      </c>
      <c r="CJ26" s="59">
        <v>7.4019265280720996E-4</v>
      </c>
      <c r="CK26" s="59">
        <v>7.3174939060791837E-4</v>
      </c>
      <c r="CL26" s="59">
        <v>7.2349657793184584E-4</v>
      </c>
      <c r="CM26" s="59">
        <v>7.1542784286201351E-4</v>
      </c>
      <c r="CN26" s="59">
        <v>7.0753709459512714E-4</v>
      </c>
      <c r="CO26" s="59">
        <v>6.998185081086418E-4</v>
      </c>
      <c r="CP26" s="59">
        <v>6.9226650981969089E-4</v>
      </c>
      <c r="CQ26" s="59">
        <v>6.8487576416319089E-4</v>
      </c>
      <c r="CR26" s="59">
        <v>6.7764116102066532E-4</v>
      </c>
      <c r="CS26" s="59">
        <v>6.7055780393684213E-4</v>
      </c>
      <c r="CT26" s="59">
        <v>6.6362099906851538E-4</v>
      </c>
      <c r="CU26" s="59">
        <v>6.5682624481182804E-4</v>
      </c>
      <c r="CV26" s="59">
        <v>6.5016922206041479E-4</v>
      </c>
      <c r="CW26" s="59">
        <v>6.4364578504979241E-4</v>
      </c>
      <c r="CX26" s="59">
        <v>6.3725195274787053E-4</v>
      </c>
      <c r="CY26" s="59">
        <v>6.3098390075376704E-4</v>
      </c>
      <c r="CZ26" s="59">
        <v>6.2483795366838899E-4</v>
      </c>
      <c r="DA26" s="59">
        <v>6.1881057790960333E-4</v>
      </c>
      <c r="DB26" s="59">
        <v>6.1289837493584427E-4</v>
      </c>
      <c r="DC26" s="59">
        <v>6.0709807485764692E-4</v>
      </c>
      <c r="DD26" s="59">
        <v>6.01406530405826E-4</v>
      </c>
      <c r="DE26" s="59">
        <v>5.958207112379681E-4</v>
      </c>
      <c r="DF26" s="59">
        <v>5.903376985578534E-4</v>
      </c>
      <c r="DG26" s="59">
        <v>5.849546800299894E-4</v>
      </c>
      <c r="DH26" s="59">
        <v>5.7966894496951104E-4</v>
      </c>
      <c r="DI26" s="59">
        <v>5.7447787979065699E-4</v>
      </c>
      <c r="DJ26" s="59">
        <v>5.6937896369779457E-4</v>
      </c>
      <c r="DK26" s="59">
        <v>5.6436976460373927E-4</v>
      </c>
      <c r="DL26" s="59">
        <v>5.5944793526126635E-4</v>
      </c>
      <c r="DM26" s="59">
        <v>5.5461120959614935E-4</v>
      </c>
      <c r="DN26" s="59">
        <v>5.4985739922826433E-4</v>
      </c>
      <c r="DO26" s="59">
        <v>5.4518439016960657E-4</v>
      </c>
      <c r="DP26" s="59">
        <v>5.4059013969063013E-4</v>
      </c>
      <c r="DQ26" s="59">
        <v>5.3607267334234831E-4</v>
      </c>
      <c r="DR26" s="59">
        <v>5.3163008212675793E-4</v>
      </c>
      <c r="DS26" s="59">
        <v>5.2726051980789669E-4</v>
      </c>
      <c r="DT26" s="59">
        <v>5.2296220035289223E-4</v>
      </c>
      <c r="DU26" s="59">
        <v>5.1873339549826105E-4</v>
      </c>
      <c r="DV26" s="59">
        <v>5.1457243243286635E-4</v>
      </c>
      <c r="DW26" s="59">
        <v>5.1047769159112623E-4</v>
      </c>
      <c r="DX26" s="59">
        <v>5.0644760455224077E-4</v>
      </c>
      <c r="DY26" s="59">
        <v>5.0248065203620902E-4</v>
      </c>
      <c r="DZ26" s="59">
        <v>4.9857536199458276E-4</v>
      </c>
      <c r="EA26" s="59">
        <v>4.947303077889087E-4</v>
      </c>
      <c r="EB26" s="59">
        <v>4.9094410645378003E-4</v>
      </c>
      <c r="EC26" s="59">
        <v>4.8721541703770422E-4</v>
      </c>
      <c r="ED26" s="59">
        <v>4.8354293901986398E-4</v>
      </c>
      <c r="EE26" s="59">
        <v>4.7992541079777088E-4</v>
      </c>
      <c r="EF26" s="59">
        <v>4.763616082422232E-4</v>
      </c>
      <c r="EG26" s="59">
        <v>4.7285034331661871E-4</v>
      </c>
      <c r="EH26" s="59">
        <v>4.6939046275587922E-4</v>
      </c>
      <c r="EI26" s="59">
        <v>4.6598084680357692E-4</v>
      </c>
      <c r="EJ26" s="59">
        <v>4.6262040800444209E-4</v>
      </c>
      <c r="EK26" s="59">
        <v>4.5930809004750864E-4</v>
      </c>
      <c r="EL26" s="59">
        <v>4.5604286665848758E-4</v>
      </c>
      <c r="EM26" s="59">
        <v>4.5282374054085573E-4</v>
      </c>
      <c r="EN26" s="59">
        <v>4.4964974235950567E-4</v>
      </c>
      <c r="EO26" s="59">
        <v>4.4651992976772672E-4</v>
      </c>
      <c r="EP26" s="59">
        <v>4.4343338647443982E-4</v>
      </c>
      <c r="EQ26" s="59">
        <v>4.4038922134976346E-4</v>
      </c>
      <c r="ER26" s="59">
        <v>4.3738656756788511E-4</v>
      </c>
      <c r="ES26" s="59">
        <v>4.3442458178300766E-4</v>
      </c>
      <c r="ET26" s="59">
        <v>4.3150244334055009E-4</v>
      </c>
      <c r="EU26" s="59">
        <v>4.2861935351873098E-4</v>
      </c>
      <c r="EV26" s="59">
        <v>4.2577453480066308E-4</v>
      </c>
      <c r="EW26" s="59">
        <v>4.2296723017554855E-4</v>
      </c>
      <c r="EX26" s="59">
        <v>4.2019670246705231E-4</v>
      </c>
      <c r="EY26" s="59">
        <v>4.1746223368744305E-4</v>
      </c>
      <c r="EZ26" s="59">
        <v>4.1476312441788622E-4</v>
      </c>
      <c r="FA26" s="59">
        <v>4.1209869321181294E-4</v>
      </c>
      <c r="FB26" s="59">
        <v>4.0946827602097974E-4</v>
      </c>
      <c r="FC26" s="59">
        <v>4.0687122564460391E-4</v>
      </c>
      <c r="FD26" s="59">
        <v>4.043069111972155E-4</v>
      </c>
      <c r="FE26" s="59">
        <v>4.0177471759894406E-4</v>
      </c>
      <c r="FF26" s="59">
        <v>3.9927404508272735E-4</v>
      </c>
      <c r="FG26" s="59">
        <v>3.968043087213909E-4</v>
      </c>
      <c r="FH26" s="59">
        <v>3.9436493797100823E-4</v>
      </c>
      <c r="FI26" s="59">
        <v>3.919553762318246E-4</v>
      </c>
      <c r="FJ26" s="59">
        <v>3.8957508042482036E-4</v>
      </c>
      <c r="FK26" s="59">
        <v>3.8722352058327393E-4</v>
      </c>
      <c r="FL26" s="59">
        <v>3.8490017945970814E-4</v>
      </c>
      <c r="FM26" s="59">
        <v>3.8260455214681008E-4</v>
      </c>
      <c r="FN26" s="59">
        <v>3.8033614571117099E-4</v>
      </c>
      <c r="FO26" s="59">
        <v>3.7809447884061477E-4</v>
      </c>
      <c r="FP26" s="59">
        <v>3.7587908150370534E-4</v>
      </c>
      <c r="FQ26" s="59">
        <v>3.7368949462104846E-4</v>
      </c>
      <c r="FR26" s="59">
        <v>3.7152526974877187E-4</v>
      </c>
      <c r="FS26" s="59">
        <v>3.6938596877136393E-4</v>
      </c>
      <c r="FT26" s="59">
        <v>3.6727116360656337E-4</v>
      </c>
      <c r="FU26" s="59">
        <v>3.6518043592011939E-4</v>
      </c>
      <c r="FV26" s="59">
        <v>3.6311337684875709E-4</v>
      </c>
      <c r="FW26" s="59">
        <v>3.6106958673519309E-4</v>
      </c>
      <c r="FX26" s="59">
        <v>3.5904867486917665E-4</v>
      </c>
      <c r="FY26" s="59">
        <v>3.5705025923904281E-4</v>
      </c>
      <c r="FZ26" s="59">
        <v>3.5507396629121389E-4</v>
      </c>
      <c r="GA26" s="59">
        <v>3.5311943069700816E-4</v>
      </c>
      <c r="GB26" s="59">
        <v>3.511862951275252E-4</v>
      </c>
      <c r="GC26" s="59">
        <v>3.4927421003609448E-4</v>
      </c>
      <c r="GD26" s="59">
        <v>3.4738283344751866E-4</v>
      </c>
      <c r="GE26" s="59">
        <v>3.4551183075385531E-4</v>
      </c>
      <c r="GF26" s="59">
        <v>3.4366087451763319E-4</v>
      </c>
      <c r="GG26" s="59">
        <v>3.4182964428032558E-4</v>
      </c>
      <c r="GH26" s="59">
        <v>3.4001782637787392E-4</v>
      </c>
      <c r="GI26" s="59">
        <v>3.3822511376069845E-4</v>
      </c>
      <c r="GJ26" s="59">
        <v>3.3645120582140081E-4</v>
      </c>
      <c r="GK26" s="59">
        <v>3.346958082259279E-4</v>
      </c>
      <c r="GL26" s="59">
        <v>3.3295863275063298E-4</v>
      </c>
      <c r="GM26" s="59">
        <v>3.3123939712536161E-4</v>
      </c>
      <c r="GN26" s="59">
        <v>3.2953782487999951E-4</v>
      </c>
      <c r="GO26" s="59">
        <v>3.2785364519563506E-4</v>
      </c>
      <c r="GP26" s="59">
        <v>3.2618659276251665E-4</v>
      </c>
      <c r="GQ26" s="59">
        <v>3.2453640763890706E-4</v>
      </c>
      <c r="GR26" s="59">
        <v>3.2290283511724523E-4</v>
      </c>
      <c r="GS26" s="59">
        <v>3.2128562559248763E-4</v>
      </c>
    </row>
    <row r="27" spans="1:255" ht="15.75" x14ac:dyDescent="0.3">
      <c r="A27" s="63" t="s">
        <v>110</v>
      </c>
      <c r="B27" s="64">
        <v>0.16666666666666666</v>
      </c>
      <c r="C27" s="65">
        <v>0.26666666666666666</v>
      </c>
      <c r="D27" s="65">
        <v>0.29166666666666669</v>
      </c>
      <c r="E27" s="65">
        <v>0.30303030303030304</v>
      </c>
      <c r="F27" s="65">
        <v>0.30952380952380953</v>
      </c>
      <c r="G27" s="59">
        <v>0.31372549019607843</v>
      </c>
      <c r="H27" s="59">
        <v>0.31666666666666665</v>
      </c>
      <c r="I27" s="59">
        <v>0.3188405797101449</v>
      </c>
      <c r="J27" s="59">
        <v>0.32051282051282054</v>
      </c>
      <c r="K27" s="59">
        <v>0.32183908045977011</v>
      </c>
      <c r="L27" s="59">
        <v>0.32291666666666669</v>
      </c>
      <c r="M27" s="59">
        <v>0.32380952380952382</v>
      </c>
      <c r="N27" s="59">
        <v>0.32456140350877194</v>
      </c>
      <c r="O27" s="59">
        <v>0.32520325203252032</v>
      </c>
      <c r="P27" s="59">
        <v>0.32575757575757575</v>
      </c>
      <c r="Q27" s="59">
        <v>0.32624113475177308</v>
      </c>
      <c r="R27" s="59">
        <v>0.32666666666666666</v>
      </c>
      <c r="S27" s="59">
        <v>0.32704402515723269</v>
      </c>
      <c r="T27" s="59">
        <v>0.32738095238095238</v>
      </c>
      <c r="U27" s="59">
        <v>0.32768361581920902</v>
      </c>
      <c r="V27" s="59">
        <v>0.32795698924731181</v>
      </c>
      <c r="W27" s="59">
        <v>0.3282051282051282</v>
      </c>
      <c r="X27" s="59">
        <v>0.32843137254901961</v>
      </c>
      <c r="Y27" s="59">
        <v>0.32863849765258218</v>
      </c>
      <c r="Z27" s="59">
        <v>0.32882882882882886</v>
      </c>
      <c r="AA27" s="59">
        <v>0.32900432900432902</v>
      </c>
      <c r="AB27" s="59">
        <v>0.32916666666666666</v>
      </c>
      <c r="AC27" s="59">
        <v>0.32931726907630521</v>
      </c>
      <c r="AD27" s="59">
        <v>0.32945736434108525</v>
      </c>
      <c r="AE27" s="59">
        <v>0.32958801498127338</v>
      </c>
      <c r="AF27" s="59">
        <v>0.32971014492753625</v>
      </c>
      <c r="AG27" s="59">
        <v>0.3298245614035088</v>
      </c>
      <c r="AH27" s="59">
        <v>0.32993197278911562</v>
      </c>
      <c r="AI27" s="59">
        <v>0.33003300330033003</v>
      </c>
      <c r="AJ27" s="59">
        <v>0.33012820512820512</v>
      </c>
      <c r="AK27" s="59">
        <v>0.33021806853582553</v>
      </c>
      <c r="AL27" s="59">
        <v>0.33030303030303032</v>
      </c>
      <c r="AM27" s="59">
        <v>0.3303834808259587</v>
      </c>
      <c r="AN27" s="59">
        <v>0.33045977011494254</v>
      </c>
      <c r="AO27" s="59">
        <v>0.33053221288515405</v>
      </c>
      <c r="AP27" s="59">
        <v>0.33060109289617484</v>
      </c>
      <c r="AQ27" s="59">
        <v>0.33066666666666666</v>
      </c>
      <c r="AR27" s="59">
        <v>0.33072916666666669</v>
      </c>
      <c r="AS27" s="59">
        <v>0.33078880407124683</v>
      </c>
      <c r="AT27" s="59">
        <v>0.3308457711442786</v>
      </c>
      <c r="AU27" s="59">
        <v>0.33090024330900242</v>
      </c>
      <c r="AV27" s="59">
        <v>0.33095238095238094</v>
      </c>
      <c r="AW27" s="59">
        <v>0.33100233100233101</v>
      </c>
      <c r="AX27" s="59">
        <v>0.33105022831050229</v>
      </c>
      <c r="AY27" s="59">
        <v>0.33109619686800895</v>
      </c>
      <c r="AZ27" s="59">
        <v>0.33114035087719296</v>
      </c>
      <c r="BA27" s="59">
        <v>0.33118279569892473</v>
      </c>
      <c r="BB27" s="59">
        <v>0.33122362869198313</v>
      </c>
      <c r="BC27" s="59">
        <v>0.33126293995859213</v>
      </c>
      <c r="BD27" s="59">
        <v>0.33130081300813008</v>
      </c>
      <c r="BE27" s="59">
        <v>0.33133732534930138</v>
      </c>
      <c r="BF27" s="59">
        <v>0.33137254901960783</v>
      </c>
      <c r="BG27" s="59">
        <v>0.33140655105973027</v>
      </c>
      <c r="BH27" s="59">
        <v>0.33143939393939392</v>
      </c>
      <c r="BI27" s="59">
        <v>0.33147113594040967</v>
      </c>
      <c r="BJ27" s="59">
        <v>0.33150183150183149</v>
      </c>
      <c r="BK27" s="59">
        <v>0.33153153153153153</v>
      </c>
      <c r="BL27" s="59">
        <v>0.33156028368794327</v>
      </c>
      <c r="BM27" s="59">
        <v>0.33158813263525305</v>
      </c>
      <c r="BN27" s="59">
        <v>0.33161512027491408</v>
      </c>
      <c r="BO27" s="59">
        <v>0.33164128595600678</v>
      </c>
      <c r="BP27" s="59">
        <v>0.33166666666666667</v>
      </c>
      <c r="BQ27" s="59">
        <v>0.33169129720853857</v>
      </c>
      <c r="BR27" s="59">
        <v>0.33171521035598706</v>
      </c>
      <c r="BS27" s="59">
        <v>0.33173843700159489</v>
      </c>
      <c r="BT27" s="59">
        <v>0.33176100628930816</v>
      </c>
      <c r="BU27" s="59">
        <v>0.33178294573643413</v>
      </c>
      <c r="BV27" s="59">
        <v>0.33180428134556578</v>
      </c>
      <c r="BW27" s="59">
        <v>0.33182503770739064</v>
      </c>
      <c r="BX27" s="59">
        <v>0.33184523809523808</v>
      </c>
      <c r="BY27" s="59">
        <v>0.33186490455212925</v>
      </c>
      <c r="BZ27" s="59">
        <v>0.3318840579710145</v>
      </c>
      <c r="CA27" s="59">
        <v>0.33190271816881262</v>
      </c>
      <c r="CB27" s="59">
        <v>0.33192090395480228</v>
      </c>
      <c r="CC27" s="59">
        <v>0.3319386331938633</v>
      </c>
      <c r="CD27" s="59">
        <v>0.3319559228650138</v>
      </c>
      <c r="CE27" s="59">
        <v>0.33197278911564626</v>
      </c>
      <c r="CF27" s="59">
        <v>0.33198924731182794</v>
      </c>
      <c r="CG27" s="59">
        <v>0.33200531208499334</v>
      </c>
      <c r="CH27" s="59">
        <v>0.33202099737532809</v>
      </c>
      <c r="CI27" s="59">
        <v>0.33203631647211412</v>
      </c>
      <c r="CJ27" s="59">
        <v>0.33205128205128204</v>
      </c>
      <c r="CK27" s="59">
        <v>0.33206590621039289</v>
      </c>
      <c r="CL27" s="59">
        <v>0.33208020050125314</v>
      </c>
      <c r="CM27" s="59">
        <v>0.33209417596034696</v>
      </c>
      <c r="CN27" s="59">
        <v>0.33210784313725489</v>
      </c>
      <c r="CO27" s="59">
        <v>0.33212121212121209</v>
      </c>
      <c r="CP27" s="59">
        <v>0.33213429256594723</v>
      </c>
      <c r="CQ27" s="59">
        <v>0.33214709371293</v>
      </c>
      <c r="CR27" s="59">
        <v>0.33215962441314556</v>
      </c>
      <c r="CS27" s="59">
        <v>0.33217189314750289</v>
      </c>
      <c r="CT27" s="59">
        <v>0.33218390804597703</v>
      </c>
      <c r="CU27" s="59">
        <v>0.3321956769055745</v>
      </c>
      <c r="CV27" s="59">
        <v>0.3322072072072072</v>
      </c>
      <c r="CW27" s="59">
        <v>0.33221850613154963</v>
      </c>
      <c r="CX27" s="59">
        <v>0.33222958057395141</v>
      </c>
      <c r="CY27" s="59">
        <v>0.33224043715846996</v>
      </c>
      <c r="CZ27" s="59">
        <v>0.33225108225108224</v>
      </c>
      <c r="DA27" s="59">
        <v>0.33226152197213288</v>
      </c>
      <c r="DB27" s="59">
        <v>0.33227176220806792</v>
      </c>
      <c r="DC27" s="59">
        <v>0.33228180862250262</v>
      </c>
      <c r="DD27" s="59">
        <v>0.33229166666666665</v>
      </c>
      <c r="DE27" s="59">
        <v>0.33230134158926727</v>
      </c>
      <c r="DF27" s="59">
        <v>0.33231083844580778</v>
      </c>
      <c r="DG27" s="59">
        <v>0.33232016210739618</v>
      </c>
      <c r="DH27" s="59">
        <v>0.33232931726907633</v>
      </c>
      <c r="DI27" s="59">
        <v>0.33233830845771145</v>
      </c>
      <c r="DJ27" s="59">
        <v>0.33234714003944771</v>
      </c>
      <c r="DK27" s="59">
        <v>0.33235581622678395</v>
      </c>
      <c r="DL27" s="59">
        <v>0.3323643410852713</v>
      </c>
      <c r="DM27" s="59">
        <v>0.3323727185398655</v>
      </c>
      <c r="DN27" s="59">
        <v>0.33238095238095239</v>
      </c>
      <c r="DO27" s="59">
        <v>0.3323890462700661</v>
      </c>
      <c r="DP27" s="59">
        <v>0.33239700374531833</v>
      </c>
      <c r="DQ27" s="59">
        <v>0.33240482822655526</v>
      </c>
      <c r="DR27" s="59">
        <v>0.33241252302025781</v>
      </c>
      <c r="DS27" s="59">
        <v>0.33242009132420092</v>
      </c>
      <c r="DT27" s="59">
        <v>0.33242753623188404</v>
      </c>
      <c r="DU27" s="59">
        <v>0.33243486073674755</v>
      </c>
      <c r="DV27" s="59">
        <v>0.3324420677361854</v>
      </c>
      <c r="DW27" s="59">
        <v>0.33244916003536695</v>
      </c>
      <c r="DX27" s="59">
        <v>0.33245614035087717</v>
      </c>
      <c r="DY27" s="59">
        <v>0.33246301131418626</v>
      </c>
      <c r="DZ27" s="59">
        <v>0.33246977547495682</v>
      </c>
      <c r="EA27" s="59">
        <v>0.33247643530419879</v>
      </c>
      <c r="EB27" s="59">
        <v>0.33248299319727892</v>
      </c>
      <c r="EC27" s="59">
        <v>0.33248945147679326</v>
      </c>
      <c r="ED27" s="59">
        <v>0.3324958123953099</v>
      </c>
      <c r="EE27" s="59">
        <v>0.33250207813798838</v>
      </c>
      <c r="EF27" s="59">
        <v>0.33250825082508251</v>
      </c>
      <c r="EG27" s="59">
        <v>0.33251433251433249</v>
      </c>
      <c r="EH27" s="59">
        <v>0.33252032520325203</v>
      </c>
      <c r="EI27" s="59">
        <v>0.33252623083131555</v>
      </c>
      <c r="EJ27" s="59">
        <v>0.33253205128205127</v>
      </c>
      <c r="EK27" s="59">
        <v>0.33253778838504378</v>
      </c>
      <c r="EL27" s="59">
        <v>0.33254344391785151</v>
      </c>
      <c r="EM27" s="59">
        <v>0.33254901960784311</v>
      </c>
      <c r="EN27" s="59">
        <v>0.3325545171339564</v>
      </c>
      <c r="EO27" s="59">
        <v>0.33255993812838358</v>
      </c>
      <c r="EP27" s="59">
        <v>0.33256528417818743</v>
      </c>
      <c r="EQ27" s="59">
        <v>0.33257055682684972</v>
      </c>
      <c r="ER27" s="59">
        <v>0.33257575757575758</v>
      </c>
      <c r="ES27" s="59">
        <v>0.33258088788562828</v>
      </c>
      <c r="ET27" s="59">
        <v>0.33258594917787743</v>
      </c>
      <c r="EU27" s="59">
        <v>0.33259094283593171</v>
      </c>
      <c r="EV27" s="59">
        <v>0.33259587020648967</v>
      </c>
      <c r="EW27" s="59">
        <v>0.33260073260073258</v>
      </c>
      <c r="EX27" s="59">
        <v>0.33260553129548764</v>
      </c>
      <c r="EY27" s="59">
        <v>0.33261026753434564</v>
      </c>
      <c r="EZ27" s="59">
        <v>0.33261494252873564</v>
      </c>
      <c r="FA27" s="59">
        <v>0.33261955745895788</v>
      </c>
      <c r="FB27" s="59">
        <v>0.33262411347517729</v>
      </c>
      <c r="FC27" s="59">
        <v>0.33262861169837915</v>
      </c>
      <c r="FD27" s="59">
        <v>0.3326330532212885</v>
      </c>
      <c r="FE27" s="59">
        <v>0.33263743910925542</v>
      </c>
      <c r="FF27" s="59">
        <v>0.33264177040110648</v>
      </c>
      <c r="FG27" s="59">
        <v>0.33264604810996562</v>
      </c>
      <c r="FH27" s="59">
        <v>0.33265027322404372</v>
      </c>
      <c r="FI27" s="59">
        <v>0.33265444670739985</v>
      </c>
      <c r="FJ27" s="59">
        <v>0.33265856950067474</v>
      </c>
      <c r="FK27" s="59">
        <v>0.33266264252179745</v>
      </c>
      <c r="FL27" s="59">
        <v>0.33266666666666667</v>
      </c>
      <c r="FM27" s="59">
        <v>0.33267064280980779</v>
      </c>
      <c r="FN27" s="59">
        <v>0.33267457180500659</v>
      </c>
      <c r="FO27" s="59">
        <v>0.33267845448592009</v>
      </c>
      <c r="FP27" s="59">
        <v>0.33268229166666669</v>
      </c>
      <c r="FQ27" s="59">
        <v>0.33268608414239481</v>
      </c>
      <c r="FR27" s="59">
        <v>0.33268983268983271</v>
      </c>
      <c r="FS27" s="59">
        <v>0.33269353806781832</v>
      </c>
      <c r="FT27" s="59">
        <v>0.33269720101781169</v>
      </c>
      <c r="FU27" s="59">
        <v>0.33270082226438963</v>
      </c>
      <c r="FV27" s="59">
        <v>0.33270440251572325</v>
      </c>
      <c r="FW27" s="59">
        <v>0.33270794246404001</v>
      </c>
      <c r="FX27" s="59">
        <v>0.33271144278606968</v>
      </c>
      <c r="FY27" s="59">
        <v>0.3327149041434756</v>
      </c>
      <c r="FZ27" s="59">
        <v>0.33271832718327182</v>
      </c>
      <c r="GA27" s="59">
        <v>0.3327217125382263</v>
      </c>
      <c r="GB27" s="59">
        <v>0.33272506082725062</v>
      </c>
      <c r="GC27" s="59">
        <v>0.33272837265577737</v>
      </c>
      <c r="GD27" s="59">
        <v>0.33273164861612514</v>
      </c>
      <c r="GE27" s="59">
        <v>0.33273488928785161</v>
      </c>
      <c r="GF27" s="59">
        <v>0.33273809523809522</v>
      </c>
      <c r="GG27" s="59">
        <v>0.33274126702190643</v>
      </c>
      <c r="GH27" s="59">
        <v>0.3327444051825677</v>
      </c>
      <c r="GI27" s="59">
        <v>0.33274751025190391</v>
      </c>
      <c r="GJ27" s="59">
        <v>0.33275058275058272</v>
      </c>
      <c r="GK27" s="59">
        <v>0.33275362318840579</v>
      </c>
      <c r="GL27" s="59">
        <v>0.33275663206459055</v>
      </c>
      <c r="GM27" s="59">
        <v>0.33275960986804359</v>
      </c>
      <c r="GN27" s="59">
        <v>0.33276255707762559</v>
      </c>
      <c r="GO27" s="59">
        <v>0.3327654741624077</v>
      </c>
      <c r="GP27" s="59">
        <v>0.33276836158192091</v>
      </c>
      <c r="GQ27" s="59">
        <v>0.33277121978639684</v>
      </c>
      <c r="GR27" s="59">
        <v>0.33277404921700221</v>
      </c>
      <c r="GS27" s="59">
        <v>0.33277685030606569</v>
      </c>
    </row>
    <row r="28" spans="1:255" x14ac:dyDescent="0.2">
      <c r="A28" s="216" t="s">
        <v>34</v>
      </c>
      <c r="B28" s="217"/>
      <c r="C28" s="218"/>
      <c r="D28" s="13" t="s">
        <v>36</v>
      </c>
      <c r="E28" s="13" t="s">
        <v>37</v>
      </c>
      <c r="F28" s="13" t="s">
        <v>38</v>
      </c>
      <c r="G28" s="69"/>
      <c r="H28" s="69"/>
      <c r="I28" s="69"/>
      <c r="J28" s="69"/>
      <c r="K28" s="69"/>
      <c r="L28" s="70"/>
      <c r="M28" s="71"/>
      <c r="N28" s="38" t="s">
        <v>26</v>
      </c>
      <c r="O28" s="39"/>
      <c r="BD28" s="10">
        <v>1</v>
      </c>
      <c r="BE28" s="10">
        <v>2</v>
      </c>
      <c r="BF28" s="10">
        <v>3</v>
      </c>
      <c r="BG28" s="10">
        <v>4</v>
      </c>
      <c r="BH28" s="10">
        <v>5</v>
      </c>
      <c r="BI28" s="10">
        <v>6</v>
      </c>
      <c r="BJ28" s="10">
        <v>7</v>
      </c>
      <c r="BK28" s="10">
        <v>8</v>
      </c>
      <c r="BL28" s="10">
        <v>9</v>
      </c>
      <c r="BM28" s="10">
        <v>10</v>
      </c>
      <c r="BN28" s="10">
        <v>11</v>
      </c>
      <c r="BO28" s="10">
        <v>12</v>
      </c>
      <c r="BP28" s="10">
        <v>13</v>
      </c>
      <c r="BQ28" s="10">
        <v>14</v>
      </c>
      <c r="BR28" s="10">
        <v>15</v>
      </c>
      <c r="BS28" s="10">
        <v>16</v>
      </c>
      <c r="BT28" s="10">
        <v>17</v>
      </c>
      <c r="BU28" s="10">
        <v>18</v>
      </c>
      <c r="BV28" s="10">
        <v>19</v>
      </c>
      <c r="BW28" s="10">
        <v>20</v>
      </c>
      <c r="BX28" s="10">
        <v>21</v>
      </c>
      <c r="BY28" s="10">
        <v>22</v>
      </c>
      <c r="BZ28" s="10">
        <v>23</v>
      </c>
      <c r="CA28" s="10">
        <v>24</v>
      </c>
      <c r="CB28" s="10">
        <v>25</v>
      </c>
      <c r="CC28" s="10">
        <v>26</v>
      </c>
      <c r="CD28" s="10">
        <v>27</v>
      </c>
      <c r="CE28" s="10">
        <v>28</v>
      </c>
      <c r="CF28" s="10">
        <v>29</v>
      </c>
      <c r="CG28" s="10">
        <v>30</v>
      </c>
      <c r="CH28" s="10">
        <v>31</v>
      </c>
      <c r="CI28" s="10">
        <v>32</v>
      </c>
      <c r="CJ28" s="10">
        <v>33</v>
      </c>
      <c r="CK28" s="10">
        <v>34</v>
      </c>
      <c r="CL28" s="10">
        <v>35</v>
      </c>
      <c r="CM28" s="10">
        <v>36</v>
      </c>
      <c r="CN28" s="10">
        <v>37</v>
      </c>
      <c r="CO28" s="10">
        <v>38</v>
      </c>
      <c r="CP28" s="10">
        <v>39</v>
      </c>
      <c r="CQ28" s="10">
        <v>40</v>
      </c>
      <c r="CR28" s="10">
        <v>41</v>
      </c>
      <c r="CS28" s="10">
        <v>42</v>
      </c>
      <c r="CT28" s="10">
        <v>43</v>
      </c>
      <c r="CU28" s="10">
        <v>44</v>
      </c>
      <c r="CV28" s="10">
        <v>45</v>
      </c>
      <c r="CW28" s="10">
        <v>46</v>
      </c>
      <c r="CX28" s="10">
        <v>47</v>
      </c>
      <c r="CY28" s="10">
        <v>48</v>
      </c>
      <c r="CZ28" s="10">
        <v>49</v>
      </c>
      <c r="DA28" s="10">
        <v>50</v>
      </c>
      <c r="DB28" s="10">
        <v>51</v>
      </c>
      <c r="DC28" s="10">
        <v>52</v>
      </c>
      <c r="DD28" s="10">
        <v>53</v>
      </c>
      <c r="DE28" s="10">
        <v>54</v>
      </c>
      <c r="DF28" s="10">
        <v>55</v>
      </c>
      <c r="DG28" s="10">
        <v>56</v>
      </c>
      <c r="DH28" s="10">
        <v>57</v>
      </c>
      <c r="DI28" s="10">
        <v>58</v>
      </c>
      <c r="DJ28" s="10">
        <v>59</v>
      </c>
      <c r="DK28" s="10">
        <v>60</v>
      </c>
      <c r="DL28" s="10">
        <v>61</v>
      </c>
      <c r="DM28" s="10">
        <v>62</v>
      </c>
      <c r="DN28" s="10">
        <v>63</v>
      </c>
      <c r="DO28" s="10">
        <v>64</v>
      </c>
      <c r="DP28" s="10">
        <v>65</v>
      </c>
      <c r="DQ28" s="10">
        <v>66</v>
      </c>
      <c r="DR28" s="10">
        <v>67</v>
      </c>
      <c r="DS28" s="10">
        <v>68</v>
      </c>
      <c r="DT28" s="10">
        <v>69</v>
      </c>
      <c r="DU28" s="10">
        <v>70</v>
      </c>
      <c r="DV28" s="10">
        <v>71</v>
      </c>
      <c r="DW28" s="10">
        <v>72</v>
      </c>
      <c r="DX28" s="10">
        <v>73</v>
      </c>
      <c r="DY28" s="10">
        <v>74</v>
      </c>
      <c r="DZ28" s="10">
        <v>75</v>
      </c>
      <c r="EA28" s="10">
        <v>76</v>
      </c>
      <c r="EB28" s="10">
        <v>77</v>
      </c>
      <c r="EC28" s="10">
        <v>78</v>
      </c>
      <c r="ED28" s="10">
        <v>79</v>
      </c>
      <c r="EE28" s="10">
        <v>80</v>
      </c>
      <c r="EF28" s="10">
        <v>81</v>
      </c>
      <c r="EG28" s="10">
        <v>82</v>
      </c>
      <c r="EH28" s="10">
        <v>83</v>
      </c>
      <c r="EI28" s="10">
        <v>84</v>
      </c>
      <c r="EJ28" s="10">
        <v>85</v>
      </c>
      <c r="EK28" s="10">
        <v>86</v>
      </c>
      <c r="EL28" s="10">
        <v>87</v>
      </c>
      <c r="EM28" s="10">
        <v>88</v>
      </c>
      <c r="EN28" s="10">
        <v>89</v>
      </c>
      <c r="EO28" s="10">
        <v>90</v>
      </c>
      <c r="EP28" s="10">
        <v>91</v>
      </c>
      <c r="EQ28" s="10">
        <v>92</v>
      </c>
      <c r="ER28" s="10">
        <v>93</v>
      </c>
      <c r="ES28" s="10">
        <v>94</v>
      </c>
      <c r="ET28" s="10">
        <v>95</v>
      </c>
      <c r="EU28" s="10">
        <v>96</v>
      </c>
      <c r="EV28" s="10">
        <v>97</v>
      </c>
      <c r="EW28" s="10">
        <v>98</v>
      </c>
      <c r="EX28" s="10">
        <v>99</v>
      </c>
      <c r="EY28" s="10">
        <v>100</v>
      </c>
      <c r="EZ28" s="10">
        <v>101</v>
      </c>
      <c r="FA28" s="10">
        <v>102</v>
      </c>
      <c r="FB28" s="10">
        <v>103</v>
      </c>
      <c r="FC28" s="10">
        <v>104</v>
      </c>
      <c r="FD28" s="10">
        <v>105</v>
      </c>
      <c r="FE28" s="10">
        <v>106</v>
      </c>
      <c r="FF28" s="10">
        <v>107</v>
      </c>
      <c r="FG28" s="10">
        <v>108</v>
      </c>
      <c r="FH28" s="10">
        <v>109</v>
      </c>
      <c r="FI28" s="10">
        <v>110</v>
      </c>
      <c r="FJ28" s="10">
        <v>111</v>
      </c>
      <c r="FK28" s="10">
        <v>112</v>
      </c>
      <c r="FL28" s="10">
        <v>113</v>
      </c>
      <c r="FM28" s="10">
        <v>114</v>
      </c>
      <c r="FN28" s="10">
        <v>115</v>
      </c>
      <c r="FO28" s="10">
        <v>116</v>
      </c>
      <c r="FP28" s="10">
        <v>117</v>
      </c>
      <c r="FQ28" s="10">
        <v>118</v>
      </c>
      <c r="FR28" s="10">
        <v>119</v>
      </c>
      <c r="FS28" s="10">
        <v>120</v>
      </c>
      <c r="FT28" s="10">
        <v>121</v>
      </c>
      <c r="FU28" s="10">
        <v>122</v>
      </c>
      <c r="FV28" s="10">
        <v>123</v>
      </c>
      <c r="FW28" s="10">
        <v>124</v>
      </c>
      <c r="FX28" s="10">
        <v>125</v>
      </c>
      <c r="FY28" s="10">
        <v>126</v>
      </c>
      <c r="FZ28" s="10">
        <v>127</v>
      </c>
      <c r="GA28" s="10">
        <v>128</v>
      </c>
      <c r="GB28" s="10">
        <v>129</v>
      </c>
      <c r="GC28" s="10">
        <v>130</v>
      </c>
      <c r="GD28" s="10">
        <v>131</v>
      </c>
      <c r="GE28" s="10">
        <v>132</v>
      </c>
      <c r="GF28" s="10">
        <v>133</v>
      </c>
      <c r="GG28" s="10">
        <v>134</v>
      </c>
      <c r="GH28" s="10">
        <v>135</v>
      </c>
      <c r="GI28" s="10">
        <v>136</v>
      </c>
      <c r="GJ28" s="10">
        <v>137</v>
      </c>
      <c r="GK28" s="10">
        <v>138</v>
      </c>
      <c r="GL28" s="10">
        <v>139</v>
      </c>
      <c r="GM28" s="10">
        <v>140</v>
      </c>
      <c r="GN28" s="10">
        <v>141</v>
      </c>
      <c r="GO28" s="10">
        <v>142</v>
      </c>
      <c r="GP28" s="10">
        <v>143</v>
      </c>
      <c r="GQ28" s="10">
        <v>144</v>
      </c>
      <c r="GR28" s="10">
        <v>145</v>
      </c>
      <c r="GS28" s="10">
        <v>146</v>
      </c>
      <c r="GT28" s="10">
        <v>147</v>
      </c>
      <c r="GU28" s="10">
        <v>148</v>
      </c>
      <c r="GV28" s="10">
        <v>149</v>
      </c>
      <c r="GW28" s="10">
        <v>150</v>
      </c>
      <c r="GX28" s="10">
        <v>151</v>
      </c>
      <c r="GY28" s="10">
        <v>152</v>
      </c>
      <c r="GZ28" s="10">
        <v>153</v>
      </c>
      <c r="HA28" s="10">
        <v>154</v>
      </c>
      <c r="HB28" s="10">
        <v>155</v>
      </c>
      <c r="HC28" s="10">
        <v>156</v>
      </c>
      <c r="HD28" s="10">
        <v>157</v>
      </c>
      <c r="HE28" s="10">
        <v>158</v>
      </c>
      <c r="HF28" s="10">
        <v>159</v>
      </c>
      <c r="HG28" s="10">
        <v>160</v>
      </c>
      <c r="HH28" s="10">
        <v>161</v>
      </c>
      <c r="HI28" s="10">
        <v>162</v>
      </c>
      <c r="HJ28" s="10">
        <v>163</v>
      </c>
      <c r="HK28" s="10">
        <v>164</v>
      </c>
      <c r="HL28" s="10">
        <v>165</v>
      </c>
      <c r="HM28" s="10">
        <v>166</v>
      </c>
      <c r="HN28" s="10">
        <v>167</v>
      </c>
      <c r="HO28" s="10">
        <v>168</v>
      </c>
      <c r="HP28" s="10">
        <v>169</v>
      </c>
      <c r="HQ28" s="10">
        <v>170</v>
      </c>
      <c r="HR28" s="10">
        <v>171</v>
      </c>
      <c r="HS28" s="10">
        <v>172</v>
      </c>
      <c r="HT28" s="10">
        <v>173</v>
      </c>
      <c r="HU28" s="10">
        <v>174</v>
      </c>
      <c r="HV28" s="10">
        <v>175</v>
      </c>
      <c r="HW28" s="10">
        <v>176</v>
      </c>
      <c r="HX28" s="10">
        <v>177</v>
      </c>
      <c r="HY28" s="10">
        <v>178</v>
      </c>
      <c r="HZ28" s="10">
        <v>179</v>
      </c>
      <c r="IA28" s="10">
        <v>180</v>
      </c>
      <c r="IB28" s="10">
        <v>181</v>
      </c>
      <c r="IC28" s="10">
        <v>182</v>
      </c>
      <c r="ID28" s="10">
        <v>183</v>
      </c>
      <c r="IE28" s="10">
        <v>184</v>
      </c>
      <c r="IF28" s="10">
        <v>185</v>
      </c>
      <c r="IG28" s="10">
        <v>186</v>
      </c>
      <c r="IH28" s="10">
        <v>187</v>
      </c>
      <c r="II28" s="10">
        <v>188</v>
      </c>
      <c r="IJ28" s="10">
        <v>189</v>
      </c>
      <c r="IK28" s="10">
        <v>190</v>
      </c>
      <c r="IL28" s="10">
        <v>191</v>
      </c>
      <c r="IM28" s="10">
        <v>192</v>
      </c>
      <c r="IN28" s="10">
        <v>193</v>
      </c>
      <c r="IO28" s="10">
        <v>194</v>
      </c>
      <c r="IP28" s="10">
        <v>195</v>
      </c>
      <c r="IQ28" s="10">
        <v>196</v>
      </c>
      <c r="IR28" s="10">
        <v>197</v>
      </c>
      <c r="IS28" s="10">
        <v>198</v>
      </c>
      <c r="IT28" s="10">
        <v>199</v>
      </c>
      <c r="IU28" s="10">
        <v>200</v>
      </c>
    </row>
    <row r="29" spans="1:255" x14ac:dyDescent="0.2">
      <c r="A29" s="72"/>
      <c r="B29" s="73" t="str">
        <f>VLOOKUP(A28,A25:G25,A83,0)</f>
        <v>4-Ponto4</v>
      </c>
      <c r="C29" s="74"/>
      <c r="D29" s="75" t="e">
        <f ca="1">D103</f>
        <v>#REF!</v>
      </c>
      <c r="E29" s="75" t="e">
        <f ca="1">D100</f>
        <v>#REF!</v>
      </c>
      <c r="F29" s="75" t="e">
        <f ca="1">E103</f>
        <v>#REF!</v>
      </c>
      <c r="G29" s="76" t="s">
        <v>39</v>
      </c>
      <c r="H29" s="77"/>
      <c r="I29" s="77"/>
      <c r="J29" s="77"/>
      <c r="K29" s="77"/>
      <c r="L29" s="77"/>
      <c r="M29" s="78"/>
      <c r="N29" s="40" t="s">
        <v>28</v>
      </c>
      <c r="O29" s="40" t="s">
        <v>29</v>
      </c>
      <c r="AN29" s="9" t="s">
        <v>35</v>
      </c>
      <c r="AP29" s="60">
        <f>IF(DIAG!T21,$GL$55,-1)</f>
        <v>-1</v>
      </c>
      <c r="AQ29" s="61">
        <f>AP29+(AY29-AP29)/9</f>
        <v>-1</v>
      </c>
      <c r="AR29" s="61">
        <f>AQ29+(AY29-AQ29)/8</f>
        <v>-1</v>
      </c>
      <c r="AS29" s="61">
        <f>AR29+(AY29-AR29)/7</f>
        <v>-1</v>
      </c>
      <c r="AT29" s="61">
        <f>AS29+(AY29-AS29)/6</f>
        <v>-1</v>
      </c>
      <c r="AU29" s="61">
        <f>AT29+(AY29-AT29)/5</f>
        <v>-1</v>
      </c>
      <c r="AV29" s="61">
        <f>AU29+(AY29-AU29)/4</f>
        <v>-1</v>
      </c>
      <c r="AW29" s="61">
        <f>AV29+(AY29-AV29)/3</f>
        <v>-1</v>
      </c>
      <c r="AX29" s="61">
        <f>AW29+(AY29-AW29)/2</f>
        <v>-1</v>
      </c>
      <c r="AY29" s="62">
        <f>IF(DIAG!T21,$B$26,-1)</f>
        <v>-1</v>
      </c>
      <c r="BA29" s="11" t="s">
        <v>86</v>
      </c>
      <c r="BB29" s="9">
        <f>DIAG!W1</f>
        <v>200</v>
      </c>
    </row>
    <row r="30" spans="1:255" x14ac:dyDescent="0.2">
      <c r="A30" s="79"/>
      <c r="B30" s="80"/>
      <c r="C30" s="81"/>
      <c r="D30" s="75" t="e">
        <f ca="1">N103</f>
        <v>#REF!</v>
      </c>
      <c r="E30" s="75" t="e">
        <f ca="1">M100</f>
        <v>#REF!</v>
      </c>
      <c r="F30" s="75" t="e">
        <f ca="1">M103</f>
        <v>#REF!</v>
      </c>
      <c r="G30" s="76" t="s">
        <v>41</v>
      </c>
      <c r="H30" s="77"/>
      <c r="I30" s="77"/>
      <c r="J30" s="77"/>
      <c r="K30" s="77"/>
      <c r="L30" s="77"/>
      <c r="M30" s="78"/>
      <c r="N30" s="44">
        <v>5</v>
      </c>
      <c r="O30" s="45">
        <v>2</v>
      </c>
      <c r="AP30" s="66">
        <f>IF(DIAG!T21,$GL$56,-1)</f>
        <v>-1</v>
      </c>
      <c r="AQ30" s="67">
        <f>AP30+(AY30-AP30)/9</f>
        <v>-1</v>
      </c>
      <c r="AR30" s="67">
        <f>AQ30+(AY30-AQ30)/8</f>
        <v>-1</v>
      </c>
      <c r="AS30" s="67">
        <f>AR30+(AY30-AR30)/7</f>
        <v>-1</v>
      </c>
      <c r="AT30" s="67">
        <f>AS30+(AY30-AS30)/6</f>
        <v>-1</v>
      </c>
      <c r="AU30" s="67">
        <f>AT30+(AY30-AT30)/5</f>
        <v>-1</v>
      </c>
      <c r="AV30" s="67">
        <f>AU30+(AY30-AU30)/4</f>
        <v>-1</v>
      </c>
      <c r="AW30" s="67">
        <f>AV30+(AY30-AV30)/3</f>
        <v>-1</v>
      </c>
      <c r="AX30" s="67">
        <f>AW30+(AY30-AW30)/2</f>
        <v>-1</v>
      </c>
      <c r="AY30" s="68">
        <f>IF(DIAG!T21,$B$27,-1)</f>
        <v>-1</v>
      </c>
      <c r="BA30" s="11" t="s">
        <v>84</v>
      </c>
      <c r="BB30" s="14">
        <f ca="1">IF(BB29=0,0,MAX(OFFSET(BC29,1,1,1,BB29)))</f>
        <v>1797</v>
      </c>
      <c r="BD30" s="14">
        <f t="shared" ref="BD30:BM30" si="0">B9</f>
        <v>6</v>
      </c>
      <c r="BE30" s="14">
        <f t="shared" si="0"/>
        <v>15</v>
      </c>
      <c r="BF30" s="14">
        <f t="shared" si="0"/>
        <v>24</v>
      </c>
      <c r="BG30" s="14">
        <f t="shared" si="0"/>
        <v>33</v>
      </c>
      <c r="BH30" s="14">
        <f t="shared" si="0"/>
        <v>42</v>
      </c>
      <c r="BI30" s="14">
        <f t="shared" si="0"/>
        <v>51</v>
      </c>
      <c r="BJ30" s="14">
        <f t="shared" si="0"/>
        <v>60</v>
      </c>
      <c r="BK30" s="14">
        <f t="shared" si="0"/>
        <v>69</v>
      </c>
      <c r="BL30" s="14">
        <f t="shared" si="0"/>
        <v>78</v>
      </c>
      <c r="BM30" s="14">
        <f t="shared" si="0"/>
        <v>87</v>
      </c>
      <c r="BN30" s="14">
        <f t="shared" ref="BN30" si="1">L9</f>
        <v>96</v>
      </c>
      <c r="BO30" s="14">
        <f t="shared" ref="BO30" si="2">M9</f>
        <v>105</v>
      </c>
      <c r="BP30" s="14">
        <f t="shared" ref="BP30" si="3">N9</f>
        <v>114</v>
      </c>
      <c r="BQ30" s="14">
        <f t="shared" ref="BQ30" si="4">O9</f>
        <v>123</v>
      </c>
      <c r="BR30" s="14">
        <f t="shared" ref="BR30" si="5">P9</f>
        <v>132</v>
      </c>
      <c r="BS30" s="14">
        <f t="shared" ref="BS30" si="6">Q9</f>
        <v>141</v>
      </c>
      <c r="BT30" s="14">
        <f t="shared" ref="BT30" si="7">R9</f>
        <v>150</v>
      </c>
      <c r="BU30" s="14">
        <f t="shared" ref="BU30" si="8">S9</f>
        <v>159</v>
      </c>
      <c r="BV30" s="14">
        <f t="shared" ref="BV30" si="9">T9</f>
        <v>168</v>
      </c>
      <c r="BW30" s="14">
        <f t="shared" ref="BW30" si="10">U9</f>
        <v>177</v>
      </c>
      <c r="BX30" s="14">
        <f t="shared" ref="BX30" si="11">V9</f>
        <v>186</v>
      </c>
      <c r="BY30" s="14">
        <f t="shared" ref="BY30" si="12">W9</f>
        <v>195</v>
      </c>
      <c r="BZ30" s="14">
        <f t="shared" ref="BZ30" si="13">X9</f>
        <v>204</v>
      </c>
      <c r="CA30" s="14">
        <f t="shared" ref="CA30" si="14">Y9</f>
        <v>213</v>
      </c>
      <c r="CB30" s="14">
        <f t="shared" ref="CB30" si="15">Z9</f>
        <v>222</v>
      </c>
      <c r="CC30" s="14">
        <f t="shared" ref="CC30" si="16">AA9</f>
        <v>231</v>
      </c>
      <c r="CD30" s="14">
        <f t="shared" ref="CD30" si="17">AB9</f>
        <v>240</v>
      </c>
      <c r="CE30" s="14">
        <f t="shared" ref="CE30" si="18">AC9</f>
        <v>249</v>
      </c>
      <c r="CF30" s="14">
        <f t="shared" ref="CF30" si="19">AD9</f>
        <v>258</v>
      </c>
      <c r="CG30" s="14">
        <f t="shared" ref="CG30" si="20">AE9</f>
        <v>267</v>
      </c>
      <c r="CH30" s="14">
        <f t="shared" ref="CH30" si="21">AF9</f>
        <v>276</v>
      </c>
      <c r="CI30" s="14">
        <f t="shared" ref="CI30" si="22">AG9</f>
        <v>285</v>
      </c>
      <c r="CJ30" s="14">
        <f t="shared" ref="CJ30" si="23">AH9</f>
        <v>294</v>
      </c>
      <c r="CK30" s="14">
        <f t="shared" ref="CK30" si="24">AI9</f>
        <v>303</v>
      </c>
      <c r="CL30" s="14">
        <f t="shared" ref="CL30" si="25">AJ9</f>
        <v>312</v>
      </c>
      <c r="CM30" s="14">
        <f t="shared" ref="CM30" si="26">AK9</f>
        <v>321</v>
      </c>
      <c r="CN30" s="14">
        <f t="shared" ref="CN30" si="27">AL9</f>
        <v>330</v>
      </c>
      <c r="CO30" s="14">
        <f t="shared" ref="CO30" si="28">AM9</f>
        <v>339</v>
      </c>
      <c r="CP30" s="14">
        <f t="shared" ref="CP30" si="29">AN9</f>
        <v>348</v>
      </c>
      <c r="CQ30" s="14">
        <f t="shared" ref="CQ30" si="30">AO9</f>
        <v>357</v>
      </c>
      <c r="CR30" s="14">
        <f t="shared" ref="CR30" si="31">AP9</f>
        <v>366</v>
      </c>
      <c r="CS30" s="14">
        <f t="shared" ref="CS30" si="32">AQ9</f>
        <v>375</v>
      </c>
      <c r="CT30" s="14">
        <f t="shared" ref="CT30" si="33">AR9</f>
        <v>384</v>
      </c>
      <c r="CU30" s="14">
        <f t="shared" ref="CU30" si="34">AS9</f>
        <v>393</v>
      </c>
      <c r="CV30" s="14">
        <f t="shared" ref="CV30" si="35">AT9</f>
        <v>402</v>
      </c>
      <c r="CW30" s="14">
        <f t="shared" ref="CW30" si="36">AU9</f>
        <v>411</v>
      </c>
      <c r="CX30" s="14">
        <f t="shared" ref="CX30" si="37">AV9</f>
        <v>420</v>
      </c>
      <c r="CY30" s="14">
        <f t="shared" ref="CY30" si="38">AW9</f>
        <v>429</v>
      </c>
      <c r="CZ30" s="14">
        <f t="shared" ref="CZ30" si="39">AX9</f>
        <v>438</v>
      </c>
      <c r="DA30" s="14">
        <f t="shared" ref="DA30" si="40">AY9</f>
        <v>447</v>
      </c>
      <c r="DB30" s="14">
        <f t="shared" ref="DB30" si="41">AZ9</f>
        <v>456</v>
      </c>
      <c r="DC30" s="14">
        <f t="shared" ref="DC30" si="42">BA9</f>
        <v>465</v>
      </c>
      <c r="DD30" s="14">
        <f t="shared" ref="DD30" si="43">BB9</f>
        <v>474</v>
      </c>
      <c r="DE30" s="14">
        <f t="shared" ref="DE30" si="44">BC9</f>
        <v>483</v>
      </c>
      <c r="DF30" s="14">
        <f t="shared" ref="DF30" si="45">BD9</f>
        <v>492</v>
      </c>
      <c r="DG30" s="14">
        <f t="shared" ref="DG30" si="46">BE9</f>
        <v>501</v>
      </c>
      <c r="DH30" s="14">
        <f t="shared" ref="DH30" si="47">BF9</f>
        <v>510</v>
      </c>
      <c r="DI30" s="14">
        <f t="shared" ref="DI30" si="48">BG9</f>
        <v>519</v>
      </c>
      <c r="DJ30" s="14">
        <f t="shared" ref="DJ30" si="49">BH9</f>
        <v>528</v>
      </c>
      <c r="DK30" s="14">
        <f t="shared" ref="DK30" si="50">BI9</f>
        <v>537</v>
      </c>
      <c r="DL30" s="14">
        <f t="shared" ref="DL30" si="51">BJ9</f>
        <v>546</v>
      </c>
      <c r="DM30" s="14">
        <f t="shared" ref="DM30" si="52">BK9</f>
        <v>555</v>
      </c>
      <c r="DN30" s="14">
        <f t="shared" ref="DN30" si="53">BL9</f>
        <v>564</v>
      </c>
      <c r="DO30" s="14">
        <f t="shared" ref="DO30" si="54">BM9</f>
        <v>573</v>
      </c>
      <c r="DP30" s="14">
        <f t="shared" ref="DP30" si="55">BN9</f>
        <v>582</v>
      </c>
      <c r="DQ30" s="14">
        <f t="shared" ref="DQ30" si="56">BO9</f>
        <v>591</v>
      </c>
      <c r="DR30" s="14">
        <f t="shared" ref="DR30" si="57">BP9</f>
        <v>600</v>
      </c>
      <c r="DS30" s="14">
        <f t="shared" ref="DS30" si="58">BQ9</f>
        <v>609</v>
      </c>
      <c r="DT30" s="14">
        <f t="shared" ref="DT30" si="59">BR9</f>
        <v>618</v>
      </c>
      <c r="DU30" s="14">
        <f t="shared" ref="DU30" si="60">BS9</f>
        <v>627</v>
      </c>
      <c r="DV30" s="14">
        <f t="shared" ref="DV30" si="61">BT9</f>
        <v>636</v>
      </c>
      <c r="DW30" s="14">
        <f t="shared" ref="DW30" si="62">BU9</f>
        <v>645</v>
      </c>
      <c r="DX30" s="14">
        <f t="shared" ref="DX30" si="63">BV9</f>
        <v>654</v>
      </c>
      <c r="DY30" s="14">
        <f t="shared" ref="DY30" si="64">BW9</f>
        <v>663</v>
      </c>
      <c r="DZ30" s="14">
        <f t="shared" ref="DZ30" si="65">BX9</f>
        <v>672</v>
      </c>
      <c r="EA30" s="14">
        <f t="shared" ref="EA30" si="66">BY9</f>
        <v>681</v>
      </c>
      <c r="EB30" s="14">
        <f t="shared" ref="EB30" si="67">BZ9</f>
        <v>690</v>
      </c>
      <c r="EC30" s="14">
        <f t="shared" ref="EC30" si="68">CA9</f>
        <v>699</v>
      </c>
      <c r="ED30" s="14">
        <f t="shared" ref="ED30" si="69">CB9</f>
        <v>708</v>
      </c>
      <c r="EE30" s="14">
        <f t="shared" ref="EE30" si="70">CC9</f>
        <v>717</v>
      </c>
      <c r="EF30" s="14">
        <f t="shared" ref="EF30" si="71">CD9</f>
        <v>726</v>
      </c>
      <c r="EG30" s="14">
        <f t="shared" ref="EG30" si="72">CE9</f>
        <v>735</v>
      </c>
      <c r="EH30" s="14">
        <f t="shared" ref="EH30" si="73">CF9</f>
        <v>744</v>
      </c>
      <c r="EI30" s="14">
        <f t="shared" ref="EI30" si="74">CG9</f>
        <v>753</v>
      </c>
      <c r="EJ30" s="14">
        <f t="shared" ref="EJ30" si="75">CH9</f>
        <v>762</v>
      </c>
      <c r="EK30" s="14">
        <f t="shared" ref="EK30" si="76">CI9</f>
        <v>771</v>
      </c>
      <c r="EL30" s="14">
        <f t="shared" ref="EL30" si="77">CJ9</f>
        <v>780</v>
      </c>
      <c r="EM30" s="14">
        <f t="shared" ref="EM30" si="78">CK9</f>
        <v>789</v>
      </c>
      <c r="EN30" s="14">
        <f t="shared" ref="EN30" si="79">CL9</f>
        <v>798</v>
      </c>
      <c r="EO30" s="14">
        <f t="shared" ref="EO30" si="80">CM9</f>
        <v>807</v>
      </c>
      <c r="EP30" s="14">
        <f t="shared" ref="EP30" si="81">CN9</f>
        <v>816</v>
      </c>
      <c r="EQ30" s="14">
        <f t="shared" ref="EQ30" si="82">CO9</f>
        <v>825</v>
      </c>
      <c r="ER30" s="14">
        <f t="shared" ref="ER30" si="83">CP9</f>
        <v>834</v>
      </c>
      <c r="ES30" s="14">
        <f t="shared" ref="ES30" si="84">CQ9</f>
        <v>843</v>
      </c>
      <c r="ET30" s="14">
        <f t="shared" ref="ET30" si="85">CR9</f>
        <v>852</v>
      </c>
      <c r="EU30" s="14">
        <f t="shared" ref="EU30" si="86">CS9</f>
        <v>861</v>
      </c>
      <c r="EV30" s="14">
        <f t="shared" ref="EV30" si="87">CT9</f>
        <v>870</v>
      </c>
      <c r="EW30" s="14">
        <f t="shared" ref="EW30" si="88">CU9</f>
        <v>879</v>
      </c>
      <c r="EX30" s="14">
        <f t="shared" ref="EX30" si="89">CV9</f>
        <v>888</v>
      </c>
      <c r="EY30" s="14">
        <f t="shared" ref="EY30" si="90">CW9</f>
        <v>897</v>
      </c>
      <c r="EZ30" s="14">
        <f t="shared" ref="EZ30" si="91">CX9</f>
        <v>906</v>
      </c>
      <c r="FA30" s="14">
        <f t="shared" ref="FA30" si="92">CY9</f>
        <v>915</v>
      </c>
      <c r="FB30" s="14">
        <f t="shared" ref="FB30" si="93">CZ9</f>
        <v>924</v>
      </c>
      <c r="FC30" s="14">
        <f t="shared" ref="FC30" si="94">DA9</f>
        <v>933</v>
      </c>
      <c r="FD30" s="14">
        <f t="shared" ref="FD30" si="95">DB9</f>
        <v>942</v>
      </c>
      <c r="FE30" s="14">
        <f t="shared" ref="FE30" si="96">DC9</f>
        <v>951</v>
      </c>
      <c r="FF30" s="14">
        <f t="shared" ref="FF30" si="97">DD9</f>
        <v>960</v>
      </c>
      <c r="FG30" s="14">
        <f t="shared" ref="FG30" si="98">DE9</f>
        <v>969</v>
      </c>
      <c r="FH30" s="14">
        <f t="shared" ref="FH30" si="99">DF9</f>
        <v>978</v>
      </c>
      <c r="FI30" s="14">
        <f t="shared" ref="FI30" si="100">DG9</f>
        <v>987</v>
      </c>
      <c r="FJ30" s="14">
        <f t="shared" ref="FJ30" si="101">DH9</f>
        <v>996</v>
      </c>
      <c r="FK30" s="14">
        <f t="shared" ref="FK30" si="102">DI9</f>
        <v>1005</v>
      </c>
      <c r="FL30" s="14">
        <f t="shared" ref="FL30" si="103">DJ9</f>
        <v>1014</v>
      </c>
      <c r="FM30" s="14">
        <f t="shared" ref="FM30" si="104">DK9</f>
        <v>1023</v>
      </c>
      <c r="FN30" s="14">
        <f t="shared" ref="FN30" si="105">DL9</f>
        <v>1032</v>
      </c>
      <c r="FO30" s="14">
        <f t="shared" ref="FO30" si="106">DM9</f>
        <v>1041</v>
      </c>
      <c r="FP30" s="14">
        <f t="shared" ref="FP30" si="107">DN9</f>
        <v>1050</v>
      </c>
      <c r="FQ30" s="14">
        <f t="shared" ref="FQ30" si="108">DO9</f>
        <v>1059</v>
      </c>
      <c r="FR30" s="14">
        <f t="shared" ref="FR30" si="109">DP9</f>
        <v>1068</v>
      </c>
      <c r="FS30" s="14">
        <f t="shared" ref="FS30" si="110">DQ9</f>
        <v>1077</v>
      </c>
      <c r="FT30" s="14">
        <f t="shared" ref="FT30" si="111">DR9</f>
        <v>1086</v>
      </c>
      <c r="FU30" s="14">
        <f t="shared" ref="FU30" si="112">DS9</f>
        <v>1095</v>
      </c>
      <c r="FV30" s="14">
        <f t="shared" ref="FV30" si="113">DT9</f>
        <v>1104</v>
      </c>
      <c r="FW30" s="14">
        <f t="shared" ref="FW30" si="114">DU9</f>
        <v>1113</v>
      </c>
      <c r="FX30" s="14">
        <f t="shared" ref="FX30" si="115">DV9</f>
        <v>1122</v>
      </c>
      <c r="FY30" s="14">
        <f t="shared" ref="FY30" si="116">DW9</f>
        <v>1131</v>
      </c>
      <c r="FZ30" s="14">
        <f t="shared" ref="FZ30" si="117">DX9</f>
        <v>1140</v>
      </c>
      <c r="GA30" s="14">
        <f t="shared" ref="GA30" si="118">DY9</f>
        <v>1149</v>
      </c>
      <c r="GB30" s="14">
        <f t="shared" ref="GB30" si="119">DZ9</f>
        <v>1158</v>
      </c>
      <c r="GC30" s="14">
        <f t="shared" ref="GC30" si="120">EA9</f>
        <v>1167</v>
      </c>
      <c r="GD30" s="14">
        <f t="shared" ref="GD30" si="121">EB9</f>
        <v>1176</v>
      </c>
      <c r="GE30" s="14">
        <f t="shared" ref="GE30" si="122">EC9</f>
        <v>1185</v>
      </c>
      <c r="GF30" s="14">
        <f t="shared" ref="GF30" si="123">ED9</f>
        <v>1194</v>
      </c>
      <c r="GG30" s="14">
        <f t="shared" ref="GG30" si="124">EE9</f>
        <v>1203</v>
      </c>
      <c r="GH30" s="14">
        <f t="shared" ref="GH30" si="125">EF9</f>
        <v>1212</v>
      </c>
      <c r="GI30" s="14">
        <f t="shared" ref="GI30" si="126">EG9</f>
        <v>1221</v>
      </c>
      <c r="GJ30" s="14">
        <f t="shared" ref="GJ30" si="127">EH9</f>
        <v>1230</v>
      </c>
      <c r="GK30" s="14">
        <f t="shared" ref="GK30" si="128">EI9</f>
        <v>1239</v>
      </c>
      <c r="GL30" s="14">
        <f t="shared" ref="GL30" si="129">EJ9</f>
        <v>1248</v>
      </c>
      <c r="GM30" s="14">
        <f t="shared" ref="GM30" si="130">EK9</f>
        <v>1257</v>
      </c>
      <c r="GN30" s="14">
        <f t="shared" ref="GN30" si="131">EL9</f>
        <v>1266</v>
      </c>
      <c r="GO30" s="14">
        <f t="shared" ref="GO30" si="132">EM9</f>
        <v>1275</v>
      </c>
      <c r="GP30" s="14">
        <f t="shared" ref="GP30" si="133">EN9</f>
        <v>1284</v>
      </c>
      <c r="GQ30" s="14">
        <f t="shared" ref="GQ30" si="134">EO9</f>
        <v>1293</v>
      </c>
      <c r="GR30" s="14">
        <f t="shared" ref="GR30" si="135">EP9</f>
        <v>1302</v>
      </c>
      <c r="GS30" s="14">
        <f t="shared" ref="GS30" si="136">EQ9</f>
        <v>1311</v>
      </c>
      <c r="GT30" s="14">
        <f t="shared" ref="GT30" si="137">ER9</f>
        <v>1320</v>
      </c>
      <c r="GU30" s="14">
        <f t="shared" ref="GU30" si="138">ES9</f>
        <v>1329</v>
      </c>
      <c r="GV30" s="14">
        <f t="shared" ref="GV30" si="139">ET9</f>
        <v>1338</v>
      </c>
      <c r="GW30" s="14">
        <f t="shared" ref="GW30" si="140">EU9</f>
        <v>1347</v>
      </c>
      <c r="GX30" s="14">
        <f t="shared" ref="GX30" si="141">EV9</f>
        <v>1356</v>
      </c>
      <c r="GY30" s="14">
        <f t="shared" ref="GY30" si="142">EW9</f>
        <v>1365</v>
      </c>
      <c r="GZ30" s="14">
        <f t="shared" ref="GZ30" si="143">EX9</f>
        <v>1374</v>
      </c>
      <c r="HA30" s="14">
        <f t="shared" ref="HA30" si="144">EY9</f>
        <v>1383</v>
      </c>
      <c r="HB30" s="14">
        <f t="shared" ref="HB30" si="145">EZ9</f>
        <v>1392</v>
      </c>
      <c r="HC30" s="14">
        <f t="shared" ref="HC30" si="146">FA9</f>
        <v>1401</v>
      </c>
      <c r="HD30" s="14">
        <f t="shared" ref="HD30" si="147">FB9</f>
        <v>1410</v>
      </c>
      <c r="HE30" s="14">
        <f t="shared" ref="HE30" si="148">FC9</f>
        <v>1419</v>
      </c>
      <c r="HF30" s="14">
        <f t="shared" ref="HF30" si="149">FD9</f>
        <v>1428</v>
      </c>
      <c r="HG30" s="14">
        <f t="shared" ref="HG30" si="150">FE9</f>
        <v>1437</v>
      </c>
      <c r="HH30" s="14">
        <f t="shared" ref="HH30" si="151">FF9</f>
        <v>1446</v>
      </c>
      <c r="HI30" s="14">
        <f t="shared" ref="HI30" si="152">FG9</f>
        <v>1455</v>
      </c>
      <c r="HJ30" s="14">
        <f t="shared" ref="HJ30" si="153">FH9</f>
        <v>1464</v>
      </c>
      <c r="HK30" s="14">
        <f t="shared" ref="HK30" si="154">FI9</f>
        <v>1473</v>
      </c>
      <c r="HL30" s="14">
        <f t="shared" ref="HL30" si="155">FJ9</f>
        <v>1482</v>
      </c>
      <c r="HM30" s="14">
        <f t="shared" ref="HM30" si="156">FK9</f>
        <v>1491</v>
      </c>
      <c r="HN30" s="14">
        <f t="shared" ref="HN30" si="157">FL9</f>
        <v>1500</v>
      </c>
      <c r="HO30" s="14">
        <f t="shared" ref="HO30" si="158">FM9</f>
        <v>1509</v>
      </c>
      <c r="HP30" s="14">
        <f t="shared" ref="HP30" si="159">FN9</f>
        <v>1518</v>
      </c>
      <c r="HQ30" s="14">
        <f t="shared" ref="HQ30" si="160">FO9</f>
        <v>1527</v>
      </c>
      <c r="HR30" s="14">
        <f t="shared" ref="HR30" si="161">FP9</f>
        <v>1536</v>
      </c>
      <c r="HS30" s="14">
        <f t="shared" ref="HS30" si="162">FQ9</f>
        <v>1545</v>
      </c>
      <c r="HT30" s="14">
        <f t="shared" ref="HT30" si="163">FR9</f>
        <v>1554</v>
      </c>
      <c r="HU30" s="14">
        <f t="shared" ref="HU30" si="164">FS9</f>
        <v>1563</v>
      </c>
      <c r="HV30" s="14">
        <f t="shared" ref="HV30" si="165">FT9</f>
        <v>1572</v>
      </c>
      <c r="HW30" s="14">
        <f t="shared" ref="HW30" si="166">FU9</f>
        <v>1581</v>
      </c>
      <c r="HX30" s="14">
        <f t="shared" ref="HX30" si="167">FV9</f>
        <v>1590</v>
      </c>
      <c r="HY30" s="14">
        <f t="shared" ref="HY30" si="168">FW9</f>
        <v>1599</v>
      </c>
      <c r="HZ30" s="14">
        <f t="shared" ref="HZ30" si="169">FX9</f>
        <v>1608</v>
      </c>
      <c r="IA30" s="14">
        <f t="shared" ref="IA30" si="170">FY9</f>
        <v>1617</v>
      </c>
      <c r="IB30" s="14">
        <f t="shared" ref="IB30" si="171">FZ9</f>
        <v>1626</v>
      </c>
      <c r="IC30" s="14">
        <f t="shared" ref="IC30" si="172">GA9</f>
        <v>1635</v>
      </c>
      <c r="ID30" s="14">
        <f t="shared" ref="ID30" si="173">GB9</f>
        <v>1644</v>
      </c>
      <c r="IE30" s="14">
        <f t="shared" ref="IE30" si="174">GC9</f>
        <v>1653</v>
      </c>
      <c r="IF30" s="14">
        <f t="shared" ref="IF30" si="175">GD9</f>
        <v>1662</v>
      </c>
      <c r="IG30" s="14">
        <f t="shared" ref="IG30" si="176">GE9</f>
        <v>1671</v>
      </c>
      <c r="IH30" s="14">
        <f t="shared" ref="IH30" si="177">GF9</f>
        <v>1680</v>
      </c>
      <c r="II30" s="14">
        <f t="shared" ref="II30" si="178">GG9</f>
        <v>1689</v>
      </c>
      <c r="IJ30" s="14">
        <f t="shared" ref="IJ30" si="179">GH9</f>
        <v>1698</v>
      </c>
      <c r="IK30" s="14">
        <f t="shared" ref="IK30" si="180">GI9</f>
        <v>1707</v>
      </c>
      <c r="IL30" s="14">
        <f t="shared" ref="IL30" si="181">GJ9</f>
        <v>1716</v>
      </c>
      <c r="IM30" s="14">
        <f t="shared" ref="IM30" si="182">GK9</f>
        <v>1725</v>
      </c>
      <c r="IN30" s="14">
        <f t="shared" ref="IN30" si="183">GL9</f>
        <v>1734</v>
      </c>
      <c r="IO30" s="14">
        <f t="shared" ref="IO30" si="184">GM9</f>
        <v>1743</v>
      </c>
      <c r="IP30" s="14">
        <f t="shared" ref="IP30" si="185">GN9</f>
        <v>1752</v>
      </c>
      <c r="IQ30" s="14">
        <f t="shared" ref="IQ30" si="186">GO9</f>
        <v>1761</v>
      </c>
      <c r="IR30" s="14">
        <f t="shared" ref="IR30" si="187">GP9</f>
        <v>1770</v>
      </c>
      <c r="IS30" s="14">
        <f t="shared" ref="IS30" si="188">GQ9</f>
        <v>1779</v>
      </c>
      <c r="IT30" s="14">
        <f t="shared" ref="IT30" si="189">GR9</f>
        <v>1788</v>
      </c>
      <c r="IU30" s="14">
        <f t="shared" ref="IU30" si="190">GS9</f>
        <v>1797</v>
      </c>
    </row>
    <row r="31" spans="1:255" x14ac:dyDescent="0.2">
      <c r="A31" s="82"/>
      <c r="B31" s="83"/>
      <c r="D31" s="84"/>
      <c r="E31" s="84"/>
      <c r="F31" s="84"/>
      <c r="G31" s="85"/>
      <c r="H31" s="85"/>
      <c r="I31" s="85"/>
      <c r="J31" s="85"/>
      <c r="K31" s="85"/>
      <c r="N31" s="49">
        <v>0.25</v>
      </c>
      <c r="O31" s="50">
        <v>1</v>
      </c>
      <c r="S31" s="34"/>
      <c r="T31" s="34"/>
      <c r="U31" s="34"/>
      <c r="V31" s="34"/>
      <c r="W31" s="34"/>
      <c r="X31" s="34"/>
      <c r="Y31" s="34"/>
      <c r="Z31" s="34"/>
      <c r="AA31" s="34"/>
      <c r="AB31" s="34"/>
      <c r="AO31" s="34"/>
      <c r="AP31" s="34"/>
      <c r="AQ31" s="34"/>
      <c r="AR31" s="34"/>
      <c r="AS31" s="34"/>
      <c r="AT31" s="34"/>
      <c r="AU31" s="34"/>
      <c r="BA31" s="11" t="s">
        <v>85</v>
      </c>
      <c r="BB31" s="14">
        <f ca="1">IF(BB29=0,0,MIN(OFFSET(BC29,1,1,1,BB29)))</f>
        <v>6</v>
      </c>
      <c r="BD31" s="9">
        <f t="shared" ref="BD31:DO31" ca="1" si="191">IF(BD30=0,0,LOG(BD30/$BB$31,10))</f>
        <v>0</v>
      </c>
      <c r="BE31" s="9">
        <f t="shared" ca="1" si="191"/>
        <v>0.3979400086720376</v>
      </c>
      <c r="BF31" s="9">
        <f t="shared" ca="1" si="191"/>
        <v>0.60205999132796229</v>
      </c>
      <c r="BG31" s="9">
        <f t="shared" ca="1" si="191"/>
        <v>0.74036268949424378</v>
      </c>
      <c r="BH31" s="9">
        <f t="shared" ca="1" si="191"/>
        <v>0.8450980400142567</v>
      </c>
      <c r="BI31" s="9">
        <f t="shared" ca="1" si="191"/>
        <v>0.92941892571429263</v>
      </c>
      <c r="BJ31" s="9">
        <f t="shared" ca="1" si="191"/>
        <v>1</v>
      </c>
      <c r="BK31" s="9">
        <f t="shared" ca="1" si="191"/>
        <v>1.0606978403536116</v>
      </c>
      <c r="BL31" s="9">
        <f t="shared" ca="1" si="191"/>
        <v>1.1139433523068367</v>
      </c>
      <c r="BM31" s="9">
        <f t="shared" ca="1" si="191"/>
        <v>1.1613680022349748</v>
      </c>
      <c r="BN31" s="9">
        <f t="shared" ca="1" si="191"/>
        <v>1.2041199826559246</v>
      </c>
      <c r="BO31" s="9">
        <f t="shared" ca="1" si="191"/>
        <v>1.2430380486862944</v>
      </c>
      <c r="BP31" s="9">
        <f t="shared" ca="1" si="191"/>
        <v>1.2787536009528289</v>
      </c>
      <c r="BQ31" s="9">
        <f t="shared" ca="1" si="191"/>
        <v>1.3117538610557542</v>
      </c>
      <c r="BR31" s="9">
        <f t="shared" ca="1" si="191"/>
        <v>1.3424226808222062</v>
      </c>
      <c r="BS31" s="9">
        <f t="shared" ca="1" si="191"/>
        <v>1.3710678622717363</v>
      </c>
      <c r="BT31" s="9">
        <f t="shared" ca="1" si="191"/>
        <v>1.3979400086720375</v>
      </c>
      <c r="BU31" s="9">
        <f t="shared" ca="1" si="191"/>
        <v>1.4232458739368077</v>
      </c>
      <c r="BV31" s="9">
        <f t="shared" ca="1" si="191"/>
        <v>1.447158031342219</v>
      </c>
      <c r="BW31" s="9">
        <f t="shared" ca="1" si="191"/>
        <v>1.469822015978163</v>
      </c>
      <c r="BX31" s="9">
        <f t="shared" ca="1" si="191"/>
        <v>1.4913616938342726</v>
      </c>
      <c r="BY31" s="9">
        <f t="shared" ca="1" si="191"/>
        <v>1.5118833609788742</v>
      </c>
      <c r="BZ31" s="9">
        <f t="shared" ca="1" si="191"/>
        <v>1.5314789170422551</v>
      </c>
      <c r="CA31" s="9">
        <f t="shared" ca="1" si="191"/>
        <v>1.550228353055094</v>
      </c>
      <c r="CB31" s="9">
        <f t="shared" ca="1" si="191"/>
        <v>1.5682017240669948</v>
      </c>
      <c r="CC31" s="9">
        <f t="shared" ca="1" si="191"/>
        <v>1.5854607295085006</v>
      </c>
      <c r="CD31" s="9">
        <f t="shared" ca="1" si="191"/>
        <v>1.6020599913279623</v>
      </c>
      <c r="CE31" s="9">
        <f t="shared" ca="1" si="191"/>
        <v>1.6180480967120925</v>
      </c>
      <c r="CF31" s="9">
        <f t="shared" ca="1" si="191"/>
        <v>1.6334684555795864</v>
      </c>
      <c r="CG31" s="9">
        <f t="shared" ca="1" si="191"/>
        <v>1.6483600109809315</v>
      </c>
      <c r="CH31" s="9">
        <f t="shared" ca="1" si="191"/>
        <v>1.6627578316815739</v>
      </c>
      <c r="CI31" s="9">
        <f t="shared" ca="1" si="191"/>
        <v>1.6766936096248664</v>
      </c>
      <c r="CJ31" s="9">
        <f t="shared" ca="1" si="191"/>
        <v>1.6901960800285134</v>
      </c>
      <c r="CK31" s="9">
        <f t="shared" ca="1" si="191"/>
        <v>1.7032913781186614</v>
      </c>
      <c r="CL31" s="9">
        <f t="shared" ca="1" si="191"/>
        <v>1.716003343634799</v>
      </c>
      <c r="CM31" s="9">
        <f t="shared" ca="1" si="191"/>
        <v>1.7283537820212282</v>
      </c>
      <c r="CN31" s="9">
        <f t="shared" ca="1" si="191"/>
        <v>1.7403626894942439</v>
      </c>
      <c r="CO31" s="9">
        <f t="shared" ca="1" si="191"/>
        <v>1.7520484478194385</v>
      </c>
      <c r="CP31" s="9">
        <f t="shared" ca="1" si="191"/>
        <v>1.7634279935629371</v>
      </c>
      <c r="CQ31" s="9">
        <f t="shared" ca="1" si="191"/>
        <v>1.7745169657285496</v>
      </c>
      <c r="CR31" s="9">
        <f t="shared" ca="1" si="191"/>
        <v>1.7853298350107669</v>
      </c>
      <c r="CS31" s="9">
        <f t="shared" ca="1" si="191"/>
        <v>1.7958800173440752</v>
      </c>
      <c r="CT31" s="9">
        <f t="shared" ca="1" si="191"/>
        <v>1.8061799739838869</v>
      </c>
      <c r="CU31" s="9">
        <f t="shared" ca="1" si="191"/>
        <v>1.8162412999917832</v>
      </c>
      <c r="CV31" s="9">
        <f t="shared" ca="1" si="191"/>
        <v>1.8260748027008262</v>
      </c>
      <c r="CW31" s="9">
        <f t="shared" ca="1" si="191"/>
        <v>1.8356905714924254</v>
      </c>
      <c r="CX31" s="9">
        <f t="shared" ca="1" si="191"/>
        <v>1.8450980400142569</v>
      </c>
      <c r="CY31" s="9">
        <f t="shared" ca="1" si="191"/>
        <v>1.8543060418010802</v>
      </c>
      <c r="CZ31" s="9">
        <f t="shared" ca="1" si="191"/>
        <v>1.8633228601204557</v>
      </c>
      <c r="DA31" s="9">
        <f t="shared" ca="1" si="191"/>
        <v>1.8721562727482925</v>
      </c>
      <c r="DB31" s="9">
        <f t="shared" ca="1" si="191"/>
        <v>1.8808135922807911</v>
      </c>
      <c r="DC31" s="9">
        <f t="shared" ca="1" si="191"/>
        <v>1.8893017025063101</v>
      </c>
      <c r="DD31" s="9">
        <f t="shared" ca="1" si="191"/>
        <v>1.8976270912904412</v>
      </c>
      <c r="DE31" s="9">
        <f t="shared" ca="1" si="191"/>
        <v>1.9057958803678683</v>
      </c>
      <c r="DF31" s="9">
        <f t="shared" ca="1" si="191"/>
        <v>1.9138138523837167</v>
      </c>
      <c r="DG31" s="9">
        <f t="shared" ca="1" si="191"/>
        <v>1.9216864754836021</v>
      </c>
      <c r="DH31" s="9">
        <f t="shared" ca="1" si="191"/>
        <v>1.9294189257142926</v>
      </c>
      <c r="DI31" s="9">
        <f t="shared" ca="1" si="191"/>
        <v>1.9370161074648142</v>
      </c>
      <c r="DJ31" s="9">
        <f t="shared" ca="1" si="191"/>
        <v>1.9444826721501687</v>
      </c>
      <c r="DK31" s="9">
        <f t="shared" ca="1" si="191"/>
        <v>1.9518230353159116</v>
      </c>
      <c r="DL31" s="9">
        <f t="shared" ca="1" si="191"/>
        <v>1.9590413923210932</v>
      </c>
      <c r="DM31" s="9">
        <f t="shared" ca="1" si="191"/>
        <v>1.9661417327390327</v>
      </c>
      <c r="DN31" s="9">
        <f t="shared" ca="1" si="191"/>
        <v>1.9731278535996983</v>
      </c>
      <c r="DO31" s="9">
        <f t="shared" ca="1" si="191"/>
        <v>1.9800033715837462</v>
      </c>
      <c r="DP31" s="9">
        <f t="shared" ref="DP31:GA31" ca="1" si="192">IF(DP30=0,0,LOG(DP30/$BB$31,10))</f>
        <v>1.9867717342662448</v>
      </c>
      <c r="DQ31" s="9">
        <f t="shared" ca="1" si="192"/>
        <v>1.9934362304976114</v>
      </c>
      <c r="DR31" s="9">
        <f t="shared" ca="1" si="192"/>
        <v>2</v>
      </c>
      <c r="DS31" s="9">
        <f t="shared" ca="1" si="192"/>
        <v>2.0064660422492313</v>
      </c>
      <c r="DT31" s="9">
        <f t="shared" ca="1" si="192"/>
        <v>2.012837224705172</v>
      </c>
      <c r="DU31" s="9">
        <f t="shared" ca="1" si="192"/>
        <v>2.0191162904470725</v>
      </c>
      <c r="DV31" s="9">
        <f t="shared" ca="1" si="192"/>
        <v>2.02530586526477</v>
      </c>
      <c r="DW31" s="9">
        <f t="shared" ca="1" si="192"/>
        <v>2.0314084642516237</v>
      </c>
      <c r="DX31" s="9">
        <f t="shared" ca="1" si="192"/>
        <v>2.0374264979406234</v>
      </c>
      <c r="DY31" s="9">
        <f t="shared" ca="1" si="192"/>
        <v>2.0433622780211294</v>
      </c>
      <c r="DZ31" s="9">
        <f t="shared" ca="1" si="192"/>
        <v>2.049218022670181</v>
      </c>
      <c r="EA31" s="9">
        <f t="shared" ca="1" si="192"/>
        <v>2.0549958615291413</v>
      </c>
      <c r="EB31" s="9">
        <f t="shared" ca="1" si="192"/>
        <v>2.0606978403536114</v>
      </c>
      <c r="EC31" s="9">
        <f t="shared" ca="1" si="192"/>
        <v>2.0663259253620376</v>
      </c>
      <c r="ED31" s="9">
        <f t="shared" ca="1" si="192"/>
        <v>2.0718820073061255</v>
      </c>
      <c r="EE31" s="9">
        <f t="shared" ca="1" si="192"/>
        <v>2.0773679052841563</v>
      </c>
      <c r="EF31" s="9">
        <f t="shared" ca="1" si="192"/>
        <v>2.0827853703164498</v>
      </c>
      <c r="EG31" s="9">
        <f t="shared" ca="1" si="192"/>
        <v>2.0881360887005513</v>
      </c>
      <c r="EH31" s="9">
        <f t="shared" ca="1" si="192"/>
        <v>2.0934216851622351</v>
      </c>
      <c r="EI31" s="9">
        <f t="shared" ca="1" si="192"/>
        <v>2.0986437258170567</v>
      </c>
      <c r="EJ31" s="9">
        <f t="shared" ca="1" si="192"/>
        <v>2.1038037209559568</v>
      </c>
      <c r="EK31" s="9">
        <f t="shared" ca="1" si="192"/>
        <v>2.1089031276673134</v>
      </c>
      <c r="EL31" s="9">
        <f t="shared" ca="1" si="192"/>
        <v>2.1139433523068365</v>
      </c>
      <c r="EM31" s="9">
        <f t="shared" ca="1" si="192"/>
        <v>2.1189257528257763</v>
      </c>
      <c r="EN31" s="9">
        <f t="shared" ca="1" si="192"/>
        <v>2.1238516409670858</v>
      </c>
      <c r="EO31" s="9">
        <f t="shared" ca="1" si="192"/>
        <v>2.1287222843384264</v>
      </c>
      <c r="EP31" s="9">
        <f t="shared" ca="1" si="192"/>
        <v>2.1335389083702174</v>
      </c>
      <c r="EQ31" s="9">
        <f t="shared" ca="1" si="192"/>
        <v>2.1383026981662816</v>
      </c>
      <c r="ER31" s="9">
        <f t="shared" ca="1" si="192"/>
        <v>2.143014800254095</v>
      </c>
      <c r="ES31" s="9">
        <f t="shared" ca="1" si="192"/>
        <v>2.1476763242410986</v>
      </c>
      <c r="ET31" s="9">
        <f t="shared" ca="1" si="192"/>
        <v>2.1522883443830563</v>
      </c>
      <c r="EU31" s="9">
        <f t="shared" ca="1" si="192"/>
        <v>2.1568519010700111</v>
      </c>
      <c r="EV31" s="9">
        <f t="shared" ca="1" si="192"/>
        <v>2.1613680022349744</v>
      </c>
      <c r="EW31" s="9">
        <f t="shared" ca="1" si="192"/>
        <v>2.1658376246901283</v>
      </c>
      <c r="EX31" s="9">
        <f t="shared" ca="1" si="192"/>
        <v>2.170261715394957</v>
      </c>
      <c r="EY31" s="9">
        <f t="shared" ca="1" si="192"/>
        <v>2.1746411926604483</v>
      </c>
      <c r="EZ31" s="9">
        <f t="shared" ca="1" si="192"/>
        <v>2.1789769472931693</v>
      </c>
      <c r="FA31" s="9">
        <f t="shared" ca="1" si="192"/>
        <v>2.1832698436828046</v>
      </c>
      <c r="FB31" s="9">
        <f t="shared" ca="1" si="192"/>
        <v>2.1875207208364631</v>
      </c>
      <c r="FC31" s="9">
        <f t="shared" ca="1" si="192"/>
        <v>2.1917303933628558</v>
      </c>
      <c r="FD31" s="9">
        <f t="shared" ca="1" si="192"/>
        <v>2.1958996524092336</v>
      </c>
      <c r="FE31" s="9">
        <f t="shared" ca="1" si="192"/>
        <v>2.20002926655377</v>
      </c>
      <c r="FF31" s="9">
        <f t="shared" ca="1" si="192"/>
        <v>2.2041199826559246</v>
      </c>
      <c r="FG31" s="9">
        <f t="shared" ca="1" si="192"/>
        <v>2.2081725266671213</v>
      </c>
      <c r="FH31" s="9">
        <f t="shared" ca="1" si="192"/>
        <v>2.2121876044039577</v>
      </c>
      <c r="FI31" s="9">
        <f t="shared" ca="1" si="192"/>
        <v>2.2161659022859928</v>
      </c>
      <c r="FJ31" s="9">
        <f t="shared" ca="1" si="192"/>
        <v>2.220108088040055</v>
      </c>
      <c r="FK31" s="9">
        <f t="shared" ca="1" si="192"/>
        <v>2.2240148113728635</v>
      </c>
      <c r="FL31" s="9">
        <f t="shared" ca="1" si="192"/>
        <v>2.2278867046136734</v>
      </c>
      <c r="FM31" s="9">
        <f t="shared" ca="1" si="192"/>
        <v>2.2317243833285163</v>
      </c>
      <c r="FN31" s="9">
        <f t="shared" ca="1" si="192"/>
        <v>2.2355284469075487</v>
      </c>
      <c r="FO31" s="9">
        <f t="shared" ca="1" si="192"/>
        <v>2.2392994791268923</v>
      </c>
      <c r="FP31" s="9">
        <f t="shared" ca="1" si="192"/>
        <v>2.2430380486862944</v>
      </c>
      <c r="FQ31" s="9">
        <f t="shared" ca="1" si="192"/>
        <v>2.2467447097238411</v>
      </c>
      <c r="FR31" s="9">
        <f t="shared" ca="1" si="192"/>
        <v>2.2504200023088936</v>
      </c>
      <c r="FS31" s="9">
        <f t="shared" ca="1" si="192"/>
        <v>2.2540644529143377</v>
      </c>
      <c r="FT31" s="9">
        <f t="shared" ca="1" si="192"/>
        <v>2.2576785748691846</v>
      </c>
      <c r="FU31" s="9">
        <f t="shared" ca="1" si="192"/>
        <v>2.2612628687924934</v>
      </c>
      <c r="FV31" s="9">
        <f t="shared" ca="1" si="192"/>
        <v>2.2648178230095364</v>
      </c>
      <c r="FW31" s="9">
        <f t="shared" ca="1" si="192"/>
        <v>2.2683439139510644</v>
      </c>
      <c r="FX31" s="9">
        <f t="shared" ca="1" si="192"/>
        <v>2.271841606536499</v>
      </c>
      <c r="FY31" s="9">
        <f t="shared" ca="1" si="192"/>
        <v>2.2753113545418113</v>
      </c>
      <c r="FZ31" s="9">
        <f t="shared" ca="1" si="192"/>
        <v>2.2787536009528289</v>
      </c>
      <c r="GA31" s="9">
        <f t="shared" ca="1" si="192"/>
        <v>2.2821687783046412</v>
      </c>
      <c r="GB31" s="9">
        <f t="shared" ref="GB31:IM31" ca="1" si="193">IF(GB30=0,0,LOG(GB30/$BB$31,10))</f>
        <v>2.2855573090077734</v>
      </c>
      <c r="GC31" s="9">
        <f t="shared" ca="1" si="193"/>
        <v>2.2889196056617265</v>
      </c>
      <c r="GD31" s="9">
        <f t="shared" ca="1" si="193"/>
        <v>2.2922560713564755</v>
      </c>
      <c r="GE31" s="9">
        <f t="shared" ca="1" si="193"/>
        <v>2.2955670999624789</v>
      </c>
      <c r="GF31" s="9">
        <f t="shared" ca="1" si="193"/>
        <v>2.2988530764097064</v>
      </c>
      <c r="GG31" s="9">
        <f t="shared" ca="1" si="193"/>
        <v>2.3021143769562009</v>
      </c>
      <c r="GH31" s="9">
        <f t="shared" ca="1" si="193"/>
        <v>2.3053513694466239</v>
      </c>
      <c r="GI31" s="9">
        <f t="shared" ca="1" si="193"/>
        <v>2.3085644135612386</v>
      </c>
      <c r="GJ31" s="9">
        <f t="shared" ca="1" si="193"/>
        <v>2.3117538610557542</v>
      </c>
      <c r="GK31" s="9">
        <f t="shared" ca="1" si="193"/>
        <v>2.3149200559924199</v>
      </c>
      <c r="GL31" s="9">
        <f t="shared" ca="1" si="193"/>
        <v>2.3180633349627615</v>
      </c>
      <c r="GM31" s="9">
        <f t="shared" ca="1" si="193"/>
        <v>2.3211840273023139</v>
      </c>
      <c r="GN31" s="9">
        <f t="shared" ca="1" si="193"/>
        <v>2.3242824552976926</v>
      </c>
      <c r="GO31" s="9">
        <f t="shared" ca="1" si="193"/>
        <v>2.3273589343863303</v>
      </c>
      <c r="GP31" s="9">
        <f t="shared" ca="1" si="193"/>
        <v>2.3304137733491905</v>
      </c>
      <c r="GQ31" s="9">
        <f t="shared" ca="1" si="193"/>
        <v>2.3334472744967503</v>
      </c>
      <c r="GR31" s="9">
        <f t="shared" ca="1" si="193"/>
        <v>2.3364597338485296</v>
      </c>
      <c r="GS31" s="9">
        <f t="shared" ca="1" si="193"/>
        <v>2.3394514413064402</v>
      </c>
      <c r="GT31" s="9">
        <f t="shared" ca="1" si="193"/>
        <v>2.3424226808222062</v>
      </c>
      <c r="GU31" s="9">
        <f t="shared" ca="1" si="193"/>
        <v>2.3453737305590883</v>
      </c>
      <c r="GV31" s="9">
        <f t="shared" ca="1" si="193"/>
        <v>2.3483048630481607</v>
      </c>
      <c r="GW31" s="9">
        <f t="shared" ca="1" si="193"/>
        <v>2.351216345339342</v>
      </c>
      <c r="GX31" s="9">
        <f t="shared" ca="1" si="193"/>
        <v>2.3541084391474008</v>
      </c>
      <c r="GY31" s="9">
        <f t="shared" ca="1" si="193"/>
        <v>2.3569814009931309</v>
      </c>
      <c r="GZ31" s="9">
        <f t="shared" ca="1" si="193"/>
        <v>2.3598354823398879</v>
      </c>
      <c r="HA31" s="9">
        <f t="shared" ca="1" si="193"/>
        <v>2.3626709297256667</v>
      </c>
      <c r="HB31" s="9">
        <f t="shared" ca="1" si="193"/>
        <v>2.3654879848908994</v>
      </c>
      <c r="HC31" s="9">
        <f t="shared" ca="1" si="193"/>
        <v>2.3682868849021306</v>
      </c>
      <c r="HD31" s="9">
        <f t="shared" ca="1" si="193"/>
        <v>2.3710678622717358</v>
      </c>
      <c r="HE31" s="9">
        <f t="shared" ca="1" si="193"/>
        <v>2.3738311450738303</v>
      </c>
      <c r="HF31" s="9">
        <f t="shared" ca="1" si="193"/>
        <v>2.3765769570565118</v>
      </c>
      <c r="HG31" s="9">
        <f t="shared" ca="1" si="193"/>
        <v>2.3793055177505815</v>
      </c>
      <c r="HH31" s="9">
        <f t="shared" ca="1" si="193"/>
        <v>2.3820170425748679</v>
      </c>
      <c r="HI31" s="9">
        <f t="shared" ca="1" si="193"/>
        <v>2.3847117429382823</v>
      </c>
      <c r="HJ31" s="9">
        <f t="shared" ca="1" si="193"/>
        <v>2.3873898263387292</v>
      </c>
      <c r="HK31" s="9">
        <f t="shared" ca="1" si="193"/>
        <v>2.390051496458987</v>
      </c>
      <c r="HL31" s="9">
        <f t="shared" ca="1" si="193"/>
        <v>2.3926969532596658</v>
      </c>
      <c r="HM31" s="9">
        <f t="shared" ca="1" si="193"/>
        <v>2.3953263930693507</v>
      </c>
      <c r="HN31" s="9">
        <f t="shared" ca="1" si="193"/>
        <v>2.397940008672037</v>
      </c>
      <c r="HO31" s="9">
        <f t="shared" ca="1" si="193"/>
        <v>2.4005379893919461</v>
      </c>
      <c r="HP31" s="9">
        <f t="shared" ca="1" si="193"/>
        <v>2.4031205211758175</v>
      </c>
      <c r="HQ31" s="9">
        <f t="shared" ca="1" si="193"/>
        <v>2.4056877866727771</v>
      </c>
      <c r="HR31" s="9">
        <f t="shared" ca="1" si="193"/>
        <v>2.4082399653118491</v>
      </c>
      <c r="HS31" s="9">
        <f t="shared" ca="1" si="193"/>
        <v>2.4107772333772095</v>
      </c>
      <c r="HT31" s="9">
        <f t="shared" ca="1" si="193"/>
        <v>2.4132997640812515</v>
      </c>
      <c r="HU31" s="9">
        <f t="shared" ca="1" si="193"/>
        <v>2.415807727635543</v>
      </c>
      <c r="HV31" s="9">
        <f t="shared" ca="1" si="193"/>
        <v>2.4183012913197452</v>
      </c>
      <c r="HW31" s="9">
        <f t="shared" ca="1" si="193"/>
        <v>2.420780619548565</v>
      </c>
      <c r="HX31" s="9">
        <f t="shared" ca="1" si="193"/>
        <v>2.4232458739368075</v>
      </c>
      <c r="HY31" s="9">
        <f t="shared" ca="1" si="193"/>
        <v>2.4256972133625907</v>
      </c>
      <c r="HZ31" s="9">
        <f t="shared" ca="1" si="193"/>
        <v>2.4281347940287885</v>
      </c>
      <c r="IA31" s="9">
        <f t="shared" ca="1" si="193"/>
        <v>2.4305587695227575</v>
      </c>
      <c r="IB31" s="9">
        <f t="shared" ca="1" si="193"/>
        <v>2.4329692908744054</v>
      </c>
      <c r="IC31" s="9">
        <f t="shared" ca="1" si="193"/>
        <v>2.4353665066126609</v>
      </c>
      <c r="ID31" s="9">
        <f t="shared" ca="1" si="193"/>
        <v>2.4377505628203879</v>
      </c>
      <c r="IE31" s="9">
        <f t="shared" ca="1" si="193"/>
        <v>2.4401216031878037</v>
      </c>
      <c r="IF31" s="9">
        <f t="shared" ca="1" si="193"/>
        <v>2.4424797690644482</v>
      </c>
      <c r="IG31" s="9">
        <f t="shared" ca="1" si="193"/>
        <v>2.4448251995097476</v>
      </c>
      <c r="IH31" s="9">
        <f t="shared" ca="1" si="193"/>
        <v>2.447158031342219</v>
      </c>
      <c r="II31" s="9">
        <f t="shared" ca="1" si="193"/>
        <v>2.449478399187365</v>
      </c>
      <c r="IJ31" s="9">
        <f t="shared" ca="1" si="193"/>
        <v>2.4517864355242902</v>
      </c>
      <c r="IK31" s="9">
        <f t="shared" ca="1" si="193"/>
        <v>2.4540822707310896</v>
      </c>
      <c r="IL31" s="9">
        <f t="shared" ca="1" si="193"/>
        <v>2.4563660331290427</v>
      </c>
      <c r="IM31" s="9">
        <f t="shared" ca="1" si="193"/>
        <v>2.4586378490256493</v>
      </c>
      <c r="IN31" s="9">
        <f t="shared" ref="IN31:IU31" ca="1" si="194">IF(IN30=0,0,LOG(IN30/$BB$31,10))</f>
        <v>2.4608978427565478</v>
      </c>
      <c r="IO31" s="9">
        <f t="shared" ca="1" si="194"/>
        <v>2.4631461367263494</v>
      </c>
      <c r="IP31" s="9">
        <f t="shared" ca="1" si="194"/>
        <v>2.465382851448418</v>
      </c>
      <c r="IQ31" s="9">
        <f t="shared" ca="1" si="194"/>
        <v>2.4676081055836332</v>
      </c>
      <c r="IR31" s="9">
        <f t="shared" ca="1" si="194"/>
        <v>2.469822015978163</v>
      </c>
      <c r="IS31" s="9">
        <f t="shared" ca="1" si="194"/>
        <v>2.4720246977002813</v>
      </c>
      <c r="IT31" s="9">
        <f t="shared" ca="1" si="194"/>
        <v>2.4742162640762553</v>
      </c>
      <c r="IU31" s="9">
        <f t="shared" ca="1" si="194"/>
        <v>2.4763968267253298</v>
      </c>
    </row>
    <row r="32" spans="1:255" x14ac:dyDescent="0.2">
      <c r="A32" s="82"/>
      <c r="B32" s="83"/>
      <c r="D32" s="84"/>
      <c r="E32" s="84"/>
      <c r="F32" s="84"/>
      <c r="G32" s="85"/>
      <c r="H32" s="85"/>
      <c r="I32" s="85"/>
      <c r="J32" s="85"/>
      <c r="K32" s="85"/>
      <c r="N32" s="49">
        <v>2</v>
      </c>
      <c r="O32" s="50">
        <v>10</v>
      </c>
      <c r="S32" s="34"/>
      <c r="T32" s="34"/>
      <c r="U32" s="34"/>
      <c r="V32" s="34"/>
      <c r="W32" s="34"/>
      <c r="X32" s="34"/>
      <c r="Y32" s="34"/>
      <c r="Z32" s="34"/>
      <c r="AA32" s="34"/>
      <c r="AB32" s="34"/>
      <c r="AN32" s="9" t="s">
        <v>40</v>
      </c>
      <c r="AO32" s="34"/>
      <c r="AP32" s="60">
        <f>IF(DIAG!$T$22,$GL$55,-1)</f>
        <v>-1</v>
      </c>
      <c r="AQ32" s="61">
        <f>AP32+(AY32-AP32)/9</f>
        <v>-1</v>
      </c>
      <c r="AR32" s="61">
        <f>AQ32+(AY32-AQ32)/8</f>
        <v>-1</v>
      </c>
      <c r="AS32" s="61">
        <f>AR32+(AY32-AR32)/7</f>
        <v>-1</v>
      </c>
      <c r="AT32" s="61">
        <f>AS32+(AY32-AS32)/6</f>
        <v>-1</v>
      </c>
      <c r="AU32" s="61">
        <f>AT32+(AY32-AT32)/5</f>
        <v>-1</v>
      </c>
      <c r="AV32" s="61">
        <f>AU32+(AY32-AU32)/4</f>
        <v>-1</v>
      </c>
      <c r="AW32" s="61">
        <f>AV32+(AY32-AV32)/3</f>
        <v>-1</v>
      </c>
      <c r="AX32" s="61">
        <f>AW32+(AY32-AW32)/2</f>
        <v>-1</v>
      </c>
      <c r="AY32" s="62">
        <f>IF(DIAG!$T$22,$C$26,-1)</f>
        <v>-1</v>
      </c>
      <c r="BB32" s="17"/>
    </row>
    <row r="33" spans="1:255" x14ac:dyDescent="0.2">
      <c r="B33" s="83"/>
      <c r="D33" s="84"/>
      <c r="E33" s="84"/>
      <c r="F33" s="84"/>
      <c r="G33" s="85"/>
      <c r="H33" s="85"/>
      <c r="I33" s="85"/>
      <c r="J33" s="85"/>
      <c r="K33" s="85"/>
      <c r="N33" s="53">
        <v>5</v>
      </c>
      <c r="O33" s="54">
        <v>1</v>
      </c>
      <c r="S33" s="34"/>
      <c r="T33" s="34"/>
      <c r="U33" s="34"/>
      <c r="V33" s="34"/>
      <c r="W33" s="34"/>
      <c r="X33" s="34"/>
      <c r="Y33" s="34"/>
      <c r="Z33" s="34"/>
      <c r="AA33" s="34"/>
      <c r="AB33" s="34"/>
      <c r="AO33" s="34"/>
      <c r="AP33" s="66">
        <f>IF(DIAG!$T$22,$GL$56,-1)</f>
        <v>-1</v>
      </c>
      <c r="AQ33" s="67">
        <f>AP33+(AY33-AP33)/9</f>
        <v>-1</v>
      </c>
      <c r="AR33" s="67">
        <f>AQ33+(AY33-AQ33)/8</f>
        <v>-1</v>
      </c>
      <c r="AS33" s="67">
        <f>AR33+(AY33-AR33)/7</f>
        <v>-1</v>
      </c>
      <c r="AT33" s="67">
        <f>AS33+(AY33-AS33)/6</f>
        <v>-1</v>
      </c>
      <c r="AU33" s="67">
        <f>AT33+(AY33-AT33)/5</f>
        <v>-1</v>
      </c>
      <c r="AV33" s="67">
        <f>AU33+(AY33-AU33)/4</f>
        <v>-1</v>
      </c>
      <c r="AW33" s="67">
        <f>AV33+(AY33-AV33)/3</f>
        <v>-1</v>
      </c>
      <c r="AX33" s="67">
        <f>AW33+(AY33-AW33)/2</f>
        <v>-1</v>
      </c>
      <c r="AY33" s="68">
        <f>IF(DIAG!$T$22,$C$27,-1)</f>
        <v>-1</v>
      </c>
      <c r="BA33" s="9" t="s">
        <v>87</v>
      </c>
      <c r="BB33" s="14">
        <f ca="1">IF(OR(BB29=0,BB30=BB31),1,LOG(BB30/BB31,10))</f>
        <v>2.4763968267253298</v>
      </c>
      <c r="BD33" s="14">
        <f t="shared" ref="BD33:DO33" ca="1" si="195">BD31/$BB$33</f>
        <v>0</v>
      </c>
      <c r="BE33" s="9">
        <f t="shared" ca="1" si="195"/>
        <v>0.16069315078159532</v>
      </c>
      <c r="BF33" s="14">
        <f t="shared" ca="1" si="195"/>
        <v>0.24311935180602617</v>
      </c>
      <c r="BG33" s="9">
        <f t="shared" ca="1" si="195"/>
        <v>0.29896771046717274</v>
      </c>
      <c r="BH33" s="9">
        <f t="shared" ca="1" si="195"/>
        <v>0.3412611544700509</v>
      </c>
      <c r="BI33" s="9">
        <f t="shared" ca="1" si="195"/>
        <v>0.37531098234498722</v>
      </c>
      <c r="BJ33" s="9">
        <f t="shared" ca="1" si="195"/>
        <v>0.40381250258762152</v>
      </c>
      <c r="BK33" s="9">
        <f t="shared" ca="1" si="195"/>
        <v>0.42832304940247734</v>
      </c>
      <c r="BL33" s="9">
        <f t="shared" ca="1" si="195"/>
        <v>0.4498242528358683</v>
      </c>
      <c r="BM33" s="9">
        <f t="shared" ca="1" si="195"/>
        <v>0.46897491940769165</v>
      </c>
      <c r="BN33" s="14">
        <f t="shared" ca="1" si="195"/>
        <v>0.48623870361205235</v>
      </c>
      <c r="BO33" s="9">
        <f t="shared" ca="1" si="195"/>
        <v>0.5019543052516463</v>
      </c>
      <c r="BP33" s="14">
        <f t="shared" ca="1" si="195"/>
        <v>0.51637669179369461</v>
      </c>
      <c r="BQ33" s="9">
        <f t="shared" ca="1" si="195"/>
        <v>0.52970260941189928</v>
      </c>
      <c r="BR33" s="9">
        <f t="shared" ca="1" si="195"/>
        <v>0.54208706227319892</v>
      </c>
      <c r="BS33" s="9">
        <f t="shared" ca="1" si="195"/>
        <v>0.55365434468141028</v>
      </c>
      <c r="BT33" s="9">
        <f t="shared" ca="1" si="195"/>
        <v>0.56450565336921676</v>
      </c>
      <c r="BU33" s="9">
        <f t="shared" ca="1" si="195"/>
        <v>0.57472447815192884</v>
      </c>
      <c r="BV33" s="9">
        <f t="shared" ca="1" si="195"/>
        <v>0.58438050627607707</v>
      </c>
      <c r="BW33" s="9">
        <f t="shared" ca="1" si="195"/>
        <v>0.59353250663052504</v>
      </c>
      <c r="BX33" s="14">
        <f t="shared" ca="1" si="195"/>
        <v>0.60223049785053184</v>
      </c>
      <c r="BY33" s="9">
        <f t="shared" ca="1" si="195"/>
        <v>0.61051740361746354</v>
      </c>
      <c r="BZ33" s="14">
        <f t="shared" ca="1" si="195"/>
        <v>0.61843033415101345</v>
      </c>
      <c r="CA33" s="9">
        <f t="shared" ca="1" si="195"/>
        <v>0.62600159082946438</v>
      </c>
      <c r="CB33" s="9">
        <f t="shared" ca="1" si="195"/>
        <v>0.63325946275771583</v>
      </c>
      <c r="CC33" s="9">
        <f t="shared" ca="1" si="195"/>
        <v>0.64022886493722375</v>
      </c>
      <c r="CD33" s="9">
        <f t="shared" ca="1" si="195"/>
        <v>0.64693185439364775</v>
      </c>
      <c r="CE33" s="9">
        <f t="shared" ca="1" si="195"/>
        <v>0.65338805124044796</v>
      </c>
      <c r="CF33" s="9">
        <f t="shared" ca="1" si="195"/>
        <v>0.65961498494552995</v>
      </c>
      <c r="CG33" s="9">
        <f t="shared" ca="1" si="195"/>
        <v>0.66562838119956924</v>
      </c>
      <c r="CH33" s="14">
        <f t="shared" ca="1" si="195"/>
        <v>0.67144240120850351</v>
      </c>
      <c r="CI33" s="9">
        <f t="shared" ca="1" si="195"/>
        <v>0.67706984257528979</v>
      </c>
      <c r="CJ33" s="14">
        <f t="shared" ca="1" si="195"/>
        <v>0.6825223089401018</v>
      </c>
      <c r="CK33" s="9">
        <f t="shared" ca="1" si="195"/>
        <v>0.68781035403401536</v>
      </c>
      <c r="CL33" s="9">
        <f t="shared" ca="1" si="195"/>
        <v>0.69294360464189453</v>
      </c>
      <c r="CM33" s="9">
        <f t="shared" ca="1" si="195"/>
        <v>0.69793086607477273</v>
      </c>
      <c r="CN33" s="9">
        <f t="shared" ca="1" si="195"/>
        <v>0.70278021305479432</v>
      </c>
      <c r="CO33" s="9">
        <f t="shared" ca="1" si="195"/>
        <v>0.70749906836872534</v>
      </c>
      <c r="CP33" s="9">
        <f t="shared" ca="1" si="195"/>
        <v>0.71209427121371782</v>
      </c>
      <c r="CQ33" s="9">
        <f t="shared" ca="1" si="195"/>
        <v>0.71657213681503829</v>
      </c>
      <c r="CR33" s="14">
        <f t="shared" ca="1" si="195"/>
        <v>0.72093850862004327</v>
      </c>
      <c r="CS33" s="9">
        <f t="shared" ca="1" si="195"/>
        <v>0.72519880415081217</v>
      </c>
      <c r="CT33" s="14">
        <f t="shared" ca="1" si="195"/>
        <v>0.72935805541807852</v>
      </c>
      <c r="CU33" s="9">
        <f t="shared" ca="1" si="195"/>
        <v>0.73342094465267704</v>
      </c>
      <c r="CV33" s="9">
        <f t="shared" ca="1" si="195"/>
        <v>0.73739183599081792</v>
      </c>
      <c r="CW33" s="9">
        <f t="shared" ca="1" si="195"/>
        <v>0.74127480365085752</v>
      </c>
      <c r="CX33" s="9">
        <f t="shared" ca="1" si="195"/>
        <v>0.74507365705767259</v>
      </c>
      <c r="CY33" s="9">
        <f t="shared" ca="1" si="195"/>
        <v>0.74879196330304099</v>
      </c>
      <c r="CZ33" s="9">
        <f t="shared" ca="1" si="195"/>
        <v>0.75243306727396586</v>
      </c>
      <c r="DA33" s="9">
        <f t="shared" ca="1" si="195"/>
        <v>0.75600010973360177</v>
      </c>
      <c r="DB33" s="14">
        <f t="shared" ca="1" si="195"/>
        <v>0.75949604359972078</v>
      </c>
      <c r="DC33" s="9">
        <f t="shared" ca="1" si="195"/>
        <v>0.76292364863212714</v>
      </c>
      <c r="DD33" s="14">
        <f t="shared" ca="1" si="195"/>
        <v>0.76628554471206201</v>
      </c>
      <c r="DE33" s="9">
        <f t="shared" ca="1" si="195"/>
        <v>0.76958420387252824</v>
      </c>
      <c r="DF33" s="9">
        <f t="shared" ca="1" si="195"/>
        <v>0.77282196121792557</v>
      </c>
      <c r="DG33" s="9">
        <f t="shared" ca="1" si="195"/>
        <v>0.77600102485381939</v>
      </c>
      <c r="DH33" s="9">
        <f t="shared" ca="1" si="195"/>
        <v>0.77912348493260875</v>
      </c>
      <c r="DI33" s="9">
        <f t="shared" ca="1" si="195"/>
        <v>0.78219132190789986</v>
      </c>
      <c r="DJ33" s="9">
        <f t="shared" ca="1" si="195"/>
        <v>0.7852064140792252</v>
      </c>
      <c r="DK33" s="9">
        <f t="shared" ca="1" si="195"/>
        <v>0.78817054449908586</v>
      </c>
      <c r="DL33" s="14">
        <f t="shared" ca="1" si="195"/>
        <v>0.79108540730591914</v>
      </c>
      <c r="DM33" s="9">
        <f t="shared" ca="1" si="195"/>
        <v>0.79395261353931135</v>
      </c>
      <c r="DN33" s="14">
        <f t="shared" ca="1" si="195"/>
        <v>0.79677369648743634</v>
      </c>
      <c r="DO33" s="9">
        <f t="shared" ca="1" si="195"/>
        <v>0.79955011661116082</v>
      </c>
      <c r="DP33" s="9">
        <f t="shared" ref="DP33:GA33" ca="1" si="196">DP31/$BB$33</f>
        <v>0.80228326608440126</v>
      </c>
      <c r="DQ33" s="9">
        <f t="shared" ca="1" si="196"/>
        <v>0.80497447298607527</v>
      </c>
      <c r="DR33" s="9">
        <f t="shared" ca="1" si="196"/>
        <v>0.80762500517524305</v>
      </c>
      <c r="DS33" s="9">
        <f t="shared" ca="1" si="196"/>
        <v>0.81023607387774244</v>
      </c>
      <c r="DT33" s="9">
        <f t="shared" ca="1" si="196"/>
        <v>0.81280883700971818</v>
      </c>
      <c r="DU33" s="9">
        <f t="shared" ca="1" si="196"/>
        <v>0.81534440226086724</v>
      </c>
      <c r="DV33" s="14">
        <f t="shared" ca="1" si="196"/>
        <v>0.81784382995795502</v>
      </c>
      <c r="DW33" s="9">
        <f t="shared" ca="1" si="196"/>
        <v>0.82030813572712513</v>
      </c>
      <c r="DX33" s="14">
        <f t="shared" ca="1" si="196"/>
        <v>0.82273829297173662</v>
      </c>
      <c r="DY33" s="9">
        <f t="shared" ca="1" si="196"/>
        <v>0.82513523518085552</v>
      </c>
      <c r="DZ33" s="9">
        <f t="shared" ca="1" si="196"/>
        <v>0.82749985808210313</v>
      </c>
      <c r="EA33" s="9">
        <f t="shared" ca="1" si="196"/>
        <v>0.82983302165128792</v>
      </c>
      <c r="EB33" s="9">
        <f t="shared" ca="1" si="196"/>
        <v>0.83213555199009881</v>
      </c>
      <c r="EC33" s="9">
        <f t="shared" ca="1" si="196"/>
        <v>0.83440824308212724</v>
      </c>
      <c r="ED33" s="9">
        <f t="shared" ca="1" si="196"/>
        <v>0.83665185843655132</v>
      </c>
      <c r="EE33" s="9">
        <f t="shared" ca="1" si="196"/>
        <v>0.83886713262800028</v>
      </c>
      <c r="EF33" s="14">
        <f t="shared" ca="1" si="196"/>
        <v>0.84105477274037166</v>
      </c>
      <c r="EG33" s="9">
        <f t="shared" ca="1" si="196"/>
        <v>0.84321545972169731</v>
      </c>
      <c r="EH33" s="14">
        <f t="shared" ca="1" si="196"/>
        <v>0.84534984965655813</v>
      </c>
      <c r="EI33" s="9">
        <f t="shared" ca="1" si="196"/>
        <v>0.84745857496199595</v>
      </c>
      <c r="EJ33" s="9">
        <f t="shared" ca="1" si="196"/>
        <v>0.84954224551237512</v>
      </c>
      <c r="EK33" s="9">
        <f t="shared" ca="1" si="196"/>
        <v>0.85160144969820017</v>
      </c>
      <c r="EL33" s="9">
        <f t="shared" ca="1" si="196"/>
        <v>0.85363675542348971</v>
      </c>
      <c r="EM33" s="9">
        <f t="shared" ca="1" si="196"/>
        <v>0.85564871104593676</v>
      </c>
      <c r="EN33" s="9">
        <f t="shared" ca="1" si="196"/>
        <v>0.85763784626374562</v>
      </c>
      <c r="EO33" s="9">
        <f t="shared" ca="1" si="196"/>
        <v>0.85960467295273846</v>
      </c>
      <c r="EP33" s="14">
        <f t="shared" ca="1" si="196"/>
        <v>0.86154968595703962</v>
      </c>
      <c r="EQ33" s="9">
        <f t="shared" ca="1" si="196"/>
        <v>0.86347336383638973</v>
      </c>
      <c r="ER33" s="14">
        <f t="shared" ca="1" si="196"/>
        <v>0.86537616957291796</v>
      </c>
      <c r="ES33" s="9">
        <f t="shared" ca="1" si="196"/>
        <v>0.86725855123998208</v>
      </c>
      <c r="ET33" s="9">
        <f t="shared" ca="1" si="196"/>
        <v>0.86912094263549056</v>
      </c>
      <c r="EU33" s="9">
        <f t="shared" ca="1" si="196"/>
        <v>0.87096376388195029</v>
      </c>
      <c r="EV33" s="9">
        <f t="shared" ca="1" si="196"/>
        <v>0.87278742199531301</v>
      </c>
      <c r="EW33" s="9">
        <f t="shared" ca="1" si="196"/>
        <v>0.87459231142455052</v>
      </c>
      <c r="EX33" s="9">
        <f t="shared" ca="1" si="196"/>
        <v>0.876378814563742</v>
      </c>
      <c r="EY33" s="9">
        <f t="shared" ca="1" si="196"/>
        <v>0.8781473022383457</v>
      </c>
      <c r="EZ33" s="14">
        <f t="shared" ca="1" si="196"/>
        <v>0.87989813416719054</v>
      </c>
      <c r="FA33" s="9">
        <f t="shared" ca="1" si="196"/>
        <v>0.88163165940163857</v>
      </c>
      <c r="FB33" s="14">
        <f t="shared" ca="1" si="196"/>
        <v>0.88334821674325004</v>
      </c>
      <c r="FC33" s="9">
        <f t="shared" ca="1" si="196"/>
        <v>0.88504813514120695</v>
      </c>
      <c r="FD33" s="9">
        <f t="shared" ca="1" si="196"/>
        <v>0.88673173407066086</v>
      </c>
      <c r="FE33" s="9">
        <f t="shared" ca="1" si="196"/>
        <v>0.88839932389308729</v>
      </c>
      <c r="FF33" s="9">
        <f t="shared" ca="1" si="196"/>
        <v>0.89005120619967393</v>
      </c>
      <c r="FG33" s="9">
        <f t="shared" ca="1" si="196"/>
        <v>0.89168767413868166</v>
      </c>
      <c r="FH33" s="9">
        <f t="shared" ca="1" si="196"/>
        <v>0.89330901272767749</v>
      </c>
      <c r="FI33" s="9">
        <f t="shared" ca="1" si="196"/>
        <v>0.89491549915146107</v>
      </c>
      <c r="FJ33" s="14">
        <f t="shared" ca="1" si="196"/>
        <v>0.89650740304647425</v>
      </c>
      <c r="FK33" s="9">
        <f t="shared" ca="1" si="196"/>
        <v>0.89808498677241311</v>
      </c>
      <c r="FL33" s="14">
        <f t="shared" ca="1" si="196"/>
        <v>0.8996485056717366</v>
      </c>
      <c r="FM33" s="9">
        <f t="shared" ca="1" si="196"/>
        <v>0.90119820831770459</v>
      </c>
      <c r="FN33" s="9">
        <f t="shared" ca="1" si="196"/>
        <v>0.90273433675155612</v>
      </c>
      <c r="FO33" s="9">
        <f t="shared" ca="1" si="196"/>
        <v>0.90425712670938774</v>
      </c>
      <c r="FP33" s="9">
        <f t="shared" ca="1" si="196"/>
        <v>0.90576680783926777</v>
      </c>
      <c r="FQ33" s="9">
        <f t="shared" ca="1" si="196"/>
        <v>0.90726360390908356</v>
      </c>
      <c r="FR33" s="9">
        <f t="shared" ca="1" si="196"/>
        <v>0.90874773300559542</v>
      </c>
      <c r="FS33" s="9">
        <f t="shared" ca="1" si="196"/>
        <v>0.91021940772513665</v>
      </c>
      <c r="FT33" s="14">
        <f t="shared" ca="1" si="196"/>
        <v>0.91167883535638028</v>
      </c>
      <c r="FU33" s="9">
        <f t="shared" ca="1" si="196"/>
        <v>0.91312621805556127</v>
      </c>
      <c r="FV33" s="14">
        <f t="shared" ca="1" si="196"/>
        <v>0.9145617530145298</v>
      </c>
      <c r="FW33" s="9">
        <f t="shared" ca="1" si="196"/>
        <v>0.91598563262197974</v>
      </c>
      <c r="FX33" s="9">
        <f t="shared" ca="1" si="196"/>
        <v>0.9173980446181863</v>
      </c>
      <c r="FY33" s="9">
        <f t="shared" ca="1" si="196"/>
        <v>0.91879917224355989</v>
      </c>
      <c r="FZ33" s="9">
        <f t="shared" ca="1" si="196"/>
        <v>0.92018919438131608</v>
      </c>
      <c r="GA33" s="9">
        <f t="shared" ca="1" si="196"/>
        <v>0.92156828569453197</v>
      </c>
      <c r="GB33" s="9">
        <f t="shared" ref="GB33:IM33" ca="1" si="197">GB31/$BB$33</f>
        <v>0.92293661675785887</v>
      </c>
      <c r="GC33" s="9">
        <f t="shared" ca="1" si="197"/>
        <v>0.92429435418413364</v>
      </c>
      <c r="GD33" s="14">
        <f t="shared" ca="1" si="197"/>
        <v>0.92564166074612797</v>
      </c>
      <c r="GE33" s="9">
        <f t="shared" ca="1" si="197"/>
        <v>0.92697869549365741</v>
      </c>
      <c r="GF33" s="14">
        <f t="shared" ca="1" si="197"/>
        <v>0.92830561386625632</v>
      </c>
      <c r="GG33" s="9">
        <f t="shared" ca="1" si="197"/>
        <v>0.92962256780162666</v>
      </c>
      <c r="GH33" s="9">
        <f t="shared" ca="1" si="197"/>
        <v>0.93092970584004164</v>
      </c>
      <c r="GI33" s="9">
        <f t="shared" ca="1" si="197"/>
        <v>0.93222717322488868</v>
      </c>
      <c r="GJ33" s="9">
        <f t="shared" ca="1" si="197"/>
        <v>0.93351511199952086</v>
      </c>
      <c r="GK33" s="9">
        <f t="shared" ca="1" si="197"/>
        <v>0.93479366110057605</v>
      </c>
      <c r="GL33" s="9">
        <f t="shared" ca="1" si="197"/>
        <v>0.9360629564479207</v>
      </c>
      <c r="GM33" s="9">
        <f t="shared" ca="1" si="197"/>
        <v>0.93732313103136145</v>
      </c>
      <c r="GN33" s="14">
        <f t="shared" ca="1" si="197"/>
        <v>0.9385743149942628</v>
      </c>
      <c r="GO33" s="9">
        <f t="shared" ca="1" si="197"/>
        <v>0.93981663571420415</v>
      </c>
      <c r="GP33" s="14">
        <f t="shared" ca="1" si="197"/>
        <v>0.9410502178807989</v>
      </c>
      <c r="GQ33" s="9">
        <f t="shared" ca="1" si="197"/>
        <v>0.94227518357079743</v>
      </c>
      <c r="GR33" s="9">
        <f t="shared" ca="1" si="197"/>
        <v>0.94349165232058285</v>
      </c>
      <c r="GS33" s="9">
        <f t="shared" ca="1" si="197"/>
        <v>0.94469974119617184</v>
      </c>
      <c r="GT33" s="9">
        <f t="shared" ca="1" si="197"/>
        <v>0.9458995648608205</v>
      </c>
      <c r="GU33" s="9">
        <f t="shared" ca="1" si="197"/>
        <v>0.94709123564033137</v>
      </c>
      <c r="GV33" s="9">
        <f t="shared" ca="1" si="197"/>
        <v>0.94827486358615964</v>
      </c>
      <c r="GW33" s="9">
        <f t="shared" ca="1" si="197"/>
        <v>0.94945055653640109</v>
      </c>
      <c r="GX33" s="14">
        <f t="shared" ca="1" si="197"/>
        <v>0.95061842017475151</v>
      </c>
      <c r="GY33" s="9">
        <f t="shared" ca="1" si="197"/>
        <v>0.95177855808751455</v>
      </c>
      <c r="GZ33" s="14">
        <f t="shared" ca="1" si="197"/>
        <v>0.95293107181873715</v>
      </c>
      <c r="HA33" s="9">
        <f t="shared" ca="1" si="197"/>
        <v>0.95407606092354402</v>
      </c>
      <c r="HB33" s="9">
        <f t="shared" ca="1" si="197"/>
        <v>0.955213623019744</v>
      </c>
      <c r="HC33" s="9">
        <f t="shared" ca="1" si="197"/>
        <v>0.95634385383777176</v>
      </c>
      <c r="HD33" s="9">
        <f t="shared" ca="1" si="197"/>
        <v>0.95746684726903164</v>
      </c>
      <c r="HE33" s="9">
        <f t="shared" ca="1" si="197"/>
        <v>0.95858269541270269</v>
      </c>
      <c r="HF33" s="9">
        <f t="shared" ca="1" si="197"/>
        <v>0.95969148862106446</v>
      </c>
      <c r="HG33" s="9">
        <f t="shared" ca="1" si="197"/>
        <v>0.96079331554339886</v>
      </c>
      <c r="HH33" s="14">
        <f t="shared" ca="1" si="197"/>
        <v>0.96188826316852249</v>
      </c>
      <c r="HI33" s="9">
        <f t="shared" ca="1" si="197"/>
        <v>0.96297641686599655</v>
      </c>
      <c r="HJ33" s="14">
        <f t="shared" ca="1" si="197"/>
        <v>0.96405786042606945</v>
      </c>
      <c r="HK33" s="9">
        <f t="shared" ca="1" si="197"/>
        <v>0.96513267609839337</v>
      </c>
      <c r="HL33" s="9">
        <f t="shared" ca="1" si="197"/>
        <v>0.96620094462956296</v>
      </c>
      <c r="HM33" s="9">
        <f t="shared" ca="1" si="197"/>
        <v>0.96726274529951539</v>
      </c>
      <c r="HN33" s="9">
        <f t="shared" ca="1" si="197"/>
        <v>0.96831815595683812</v>
      </c>
      <c r="HO33" s="9">
        <f t="shared" ca="1" si="197"/>
        <v>0.96936725305301907</v>
      </c>
      <c r="HP33" s="9">
        <f t="shared" ca="1" si="197"/>
        <v>0.97041011167567626</v>
      </c>
      <c r="HQ33" s="9">
        <f t="shared" ca="1" si="197"/>
        <v>0.97144680558081031</v>
      </c>
      <c r="HR33" s="14">
        <f t="shared" ca="1" si="197"/>
        <v>0.9724774072241047</v>
      </c>
      <c r="HS33" s="9">
        <f t="shared" ca="1" si="197"/>
        <v>0.97350198779131347</v>
      </c>
      <c r="HT33" s="14">
        <f t="shared" ca="1" si="197"/>
        <v>0.97452061722776684</v>
      </c>
      <c r="HU33" s="9">
        <f t="shared" ca="1" si="197"/>
        <v>0.97553336426702375</v>
      </c>
      <c r="HV33" s="9">
        <f t="shared" ca="1" si="197"/>
        <v>0.97654029645870311</v>
      </c>
      <c r="HW33" s="9">
        <f t="shared" ca="1" si="197"/>
        <v>0.97754148019551901</v>
      </c>
      <c r="HX33" s="9">
        <f t="shared" ca="1" si="197"/>
        <v>0.97853698073955031</v>
      </c>
      <c r="HY33" s="9">
        <f t="shared" ca="1" si="197"/>
        <v>0.97952686224776753</v>
      </c>
      <c r="HZ33" s="9">
        <f t="shared" ca="1" si="197"/>
        <v>0.9805111877968441</v>
      </c>
      <c r="IA33" s="9">
        <f t="shared" ca="1" si="197"/>
        <v>0.98149001940727476</v>
      </c>
      <c r="IB33" s="14">
        <f t="shared" ca="1" si="197"/>
        <v>0.98246341806682458</v>
      </c>
      <c r="IC33" s="9">
        <f t="shared" ca="1" si="197"/>
        <v>0.98343144375333191</v>
      </c>
      <c r="ID33" s="14">
        <f t="shared" ca="1" si="197"/>
        <v>0.9843941554568838</v>
      </c>
      <c r="IE33" s="9">
        <f t="shared" ca="1" si="197"/>
        <v>0.98535161120138615</v>
      </c>
      <c r="IF33" s="9">
        <f t="shared" ca="1" si="197"/>
        <v>0.9863038680655507</v>
      </c>
      <c r="IG33" s="9">
        <f t="shared" ca="1" si="197"/>
        <v>0.98725098220331231</v>
      </c>
      <c r="IH33" s="9">
        <f t="shared" ca="1" si="197"/>
        <v>0.98819300886369865</v>
      </c>
      <c r="II33" s="9">
        <f t="shared" ca="1" si="197"/>
        <v>0.98913000241017091</v>
      </c>
      <c r="IJ33" s="9">
        <f t="shared" ca="1" si="197"/>
        <v>0.99006201633944779</v>
      </c>
      <c r="IK33" s="9">
        <f t="shared" ca="1" si="197"/>
        <v>0.99098910329983425</v>
      </c>
      <c r="IL33" s="14">
        <f t="shared" ca="1" si="197"/>
        <v>0.99191131510906716</v>
      </c>
      <c r="IM33" s="9">
        <f t="shared" ca="1" si="197"/>
        <v>0.99282870277169422</v>
      </c>
      <c r="IN33" s="14">
        <f t="shared" ref="IN33:IU33" ca="1" si="198">IN31/$BB$33</f>
        <v>0.99374131649600073</v>
      </c>
      <c r="IO33" s="9">
        <f t="shared" ca="1" si="198"/>
        <v>0.99464920571049897</v>
      </c>
      <c r="IP33" s="9">
        <f t="shared" ca="1" si="198"/>
        <v>0.99555241907999203</v>
      </c>
      <c r="IQ33" s="9">
        <f t="shared" ca="1" si="198"/>
        <v>0.99645100452122681</v>
      </c>
      <c r="IR33" s="9">
        <f t="shared" ca="1" si="198"/>
        <v>0.99734500921814662</v>
      </c>
      <c r="IS33" s="9">
        <f t="shared" ca="1" si="198"/>
        <v>0.99823447963675915</v>
      </c>
      <c r="IT33" s="9">
        <f t="shared" ca="1" si="198"/>
        <v>0.99911946153962816</v>
      </c>
      <c r="IU33" s="9">
        <f t="shared" ca="1" si="198"/>
        <v>1</v>
      </c>
    </row>
    <row r="34" spans="1:255" x14ac:dyDescent="0.2">
      <c r="A34" s="86" t="s">
        <v>43</v>
      </c>
      <c r="B34" s="87"/>
      <c r="C34" s="87"/>
      <c r="D34" s="87"/>
      <c r="E34" s="87"/>
      <c r="F34" s="88"/>
      <c r="G34" s="89"/>
      <c r="H34" s="89"/>
      <c r="I34" s="89"/>
      <c r="J34" s="89"/>
      <c r="K34" s="89"/>
      <c r="L34" s="90"/>
      <c r="M34" s="90"/>
      <c r="N34" s="90"/>
      <c r="O34" s="90">
        <v>0</v>
      </c>
      <c r="P34" s="5">
        <v>1</v>
      </c>
      <c r="Q34" s="5">
        <v>2</v>
      </c>
      <c r="R34" s="5">
        <v>3</v>
      </c>
      <c r="S34" s="5">
        <v>4</v>
      </c>
      <c r="T34" s="5">
        <v>5</v>
      </c>
      <c r="U34" s="5">
        <v>6</v>
      </c>
      <c r="V34" s="5">
        <v>7</v>
      </c>
      <c r="W34" s="5">
        <v>8</v>
      </c>
      <c r="X34" s="5">
        <v>9</v>
      </c>
      <c r="Y34" s="90">
        <v>10</v>
      </c>
      <c r="Z34" s="5">
        <v>9</v>
      </c>
      <c r="AA34" s="5">
        <v>8</v>
      </c>
      <c r="AB34" s="5">
        <v>7</v>
      </c>
      <c r="AC34" s="5">
        <v>6</v>
      </c>
      <c r="AD34" s="5">
        <v>5</v>
      </c>
      <c r="AE34" s="5">
        <v>4</v>
      </c>
      <c r="AF34" s="5">
        <v>3</v>
      </c>
      <c r="AG34" s="5">
        <v>2</v>
      </c>
      <c r="AH34" s="5">
        <v>1</v>
      </c>
      <c r="AI34" s="91">
        <v>0</v>
      </c>
      <c r="AO34" s="34"/>
      <c r="AS34" s="34"/>
      <c r="AT34" s="34"/>
      <c r="AU34" s="34"/>
      <c r="GK34" s="12" t="s">
        <v>19</v>
      </c>
      <c r="GL34" s="13" t="s">
        <v>1</v>
      </c>
    </row>
    <row r="35" spans="1:255" x14ac:dyDescent="0.2">
      <c r="A35" s="92" t="s">
        <v>44</v>
      </c>
      <c r="B35" s="93"/>
      <c r="C35" s="93"/>
      <c r="D35" s="93" t="s">
        <v>45</v>
      </c>
      <c r="E35" s="94">
        <f>-1/SQRT(3)</f>
        <v>-0.57735026918962584</v>
      </c>
      <c r="F35" s="94">
        <v>0</v>
      </c>
      <c r="G35" s="95">
        <f>1/SQRT(3)</f>
        <v>0.57735026918962584</v>
      </c>
      <c r="H35" s="95"/>
      <c r="I35" s="95"/>
      <c r="J35" s="95"/>
      <c r="K35" s="95"/>
      <c r="O35" s="34">
        <f>-1/SQRT(3)</f>
        <v>-0.57735026918962584</v>
      </c>
      <c r="P35" s="96">
        <f t="shared" ref="P35:X35" si="199">-1/SQRT(3)+P34*(1/SQRT(3)/10)</f>
        <v>-0.51961524227066325</v>
      </c>
      <c r="Q35" s="96">
        <f t="shared" si="199"/>
        <v>-0.46188021535170065</v>
      </c>
      <c r="R35" s="96">
        <f t="shared" si="199"/>
        <v>-0.40414518843273811</v>
      </c>
      <c r="S35" s="96">
        <f t="shared" si="199"/>
        <v>-0.34641016151377552</v>
      </c>
      <c r="T35" s="96">
        <f t="shared" si="199"/>
        <v>-0.28867513459481292</v>
      </c>
      <c r="U35" s="96">
        <f t="shared" si="199"/>
        <v>-0.23094010767585038</v>
      </c>
      <c r="V35" s="96">
        <f t="shared" si="199"/>
        <v>-0.17320508075688779</v>
      </c>
      <c r="W35" s="96">
        <f t="shared" si="199"/>
        <v>-0.11547005383792519</v>
      </c>
      <c r="X35" s="96">
        <f t="shared" si="199"/>
        <v>-5.7735026918962595E-2</v>
      </c>
      <c r="Y35" s="34">
        <f>-1/SQRT(3)+Y34*(1/SQRT(3)/10)</f>
        <v>0</v>
      </c>
      <c r="Z35" s="96">
        <f t="shared" ref="Z35:AH35" si="200">1/SQRT(3)-Z34*1/SQRT(3)/10</f>
        <v>5.7735026918962595E-2</v>
      </c>
      <c r="AA35" s="96">
        <f t="shared" si="200"/>
        <v>0.11547005383792519</v>
      </c>
      <c r="AB35" s="96">
        <f t="shared" si="200"/>
        <v>0.17320508075688779</v>
      </c>
      <c r="AC35" s="96">
        <f t="shared" si="200"/>
        <v>0.23094010767585038</v>
      </c>
      <c r="AD35" s="96">
        <f t="shared" si="200"/>
        <v>0.28867513459481292</v>
      </c>
      <c r="AE35" s="96">
        <f t="shared" si="200"/>
        <v>0.34641016151377552</v>
      </c>
      <c r="AF35" s="96">
        <f t="shared" si="200"/>
        <v>0.40414518843273811</v>
      </c>
      <c r="AG35" s="96">
        <f t="shared" si="200"/>
        <v>0.46188021535170065</v>
      </c>
      <c r="AH35" s="96">
        <f t="shared" si="200"/>
        <v>0.51961524227066325</v>
      </c>
      <c r="AI35" s="97">
        <f>1/SQRT(3)</f>
        <v>0.57735026918962584</v>
      </c>
      <c r="AN35" s="9" t="s">
        <v>42</v>
      </c>
      <c r="AO35" s="34"/>
      <c r="AP35" s="60">
        <f>IF(DIAG!$T$23,$GL$55,-1)</f>
        <v>-1</v>
      </c>
      <c r="AQ35" s="61">
        <f>AP35+(AY35-AP35)/9</f>
        <v>-1</v>
      </c>
      <c r="AR35" s="61">
        <f>AQ35+(AY35-AQ35)/8</f>
        <v>-1</v>
      </c>
      <c r="AS35" s="61">
        <f>AR35+(AY35-AR35)/7</f>
        <v>-1</v>
      </c>
      <c r="AT35" s="61">
        <f>AS35+(AY35-AS35)/6</f>
        <v>-1</v>
      </c>
      <c r="AU35" s="61">
        <f>AT35+(AY35-AT35)/5</f>
        <v>-1</v>
      </c>
      <c r="AV35" s="61">
        <f>AU35+(AY35-AU35)/4</f>
        <v>-1</v>
      </c>
      <c r="AW35" s="61">
        <f>AV35+(AY35-AV35)/3</f>
        <v>-1</v>
      </c>
      <c r="AX35" s="61">
        <f>AW35+(AY35-AW35)/2</f>
        <v>-1</v>
      </c>
      <c r="AY35" s="62">
        <f>IF(DIAG!$T$23,$D$26,-1)</f>
        <v>-1</v>
      </c>
      <c r="BA35" s="9" t="s">
        <v>11</v>
      </c>
      <c r="BD35" s="9">
        <f ca="1">ROUND(10*BD33,0)</f>
        <v>0</v>
      </c>
      <c r="BE35" s="9">
        <f t="shared" ref="BE35:DP35" ca="1" si="201">ROUND(10*BE33,0)</f>
        <v>2</v>
      </c>
      <c r="BF35" s="9">
        <f ca="1">ROUND(10*BF33,0)</f>
        <v>2</v>
      </c>
      <c r="BG35" s="9">
        <f t="shared" ref="BG35" ca="1" si="202">ROUND(10*BG33,0)</f>
        <v>3</v>
      </c>
      <c r="BH35" s="9">
        <f t="shared" ca="1" si="201"/>
        <v>3</v>
      </c>
      <c r="BI35" s="9">
        <f t="shared" ca="1" si="201"/>
        <v>4</v>
      </c>
      <c r="BJ35" s="9">
        <f t="shared" ca="1" si="201"/>
        <v>4</v>
      </c>
      <c r="BK35" s="9">
        <f t="shared" ca="1" si="201"/>
        <v>4</v>
      </c>
      <c r="BL35" s="9">
        <f t="shared" ca="1" si="201"/>
        <v>4</v>
      </c>
      <c r="BM35" s="9">
        <f t="shared" ca="1" si="201"/>
        <v>5</v>
      </c>
      <c r="BN35" s="9">
        <f t="shared" ca="1" si="201"/>
        <v>5</v>
      </c>
      <c r="BO35" s="9">
        <f t="shared" ca="1" si="201"/>
        <v>5</v>
      </c>
      <c r="BP35" s="9">
        <f t="shared" ca="1" si="201"/>
        <v>5</v>
      </c>
      <c r="BQ35" s="9">
        <f t="shared" ca="1" si="201"/>
        <v>5</v>
      </c>
      <c r="BR35" s="9">
        <f t="shared" ca="1" si="201"/>
        <v>5</v>
      </c>
      <c r="BS35" s="9">
        <f t="shared" ca="1" si="201"/>
        <v>6</v>
      </c>
      <c r="BT35" s="9">
        <f t="shared" ca="1" si="201"/>
        <v>6</v>
      </c>
      <c r="BU35" s="9">
        <f t="shared" ca="1" si="201"/>
        <v>6</v>
      </c>
      <c r="BV35" s="9">
        <f t="shared" ca="1" si="201"/>
        <v>6</v>
      </c>
      <c r="BW35" s="9">
        <f t="shared" ca="1" si="201"/>
        <v>6</v>
      </c>
      <c r="BX35" s="9">
        <f t="shared" ca="1" si="201"/>
        <v>6</v>
      </c>
      <c r="BY35" s="9">
        <f t="shared" ca="1" si="201"/>
        <v>6</v>
      </c>
      <c r="BZ35" s="9">
        <f t="shared" ca="1" si="201"/>
        <v>6</v>
      </c>
      <c r="CA35" s="9">
        <f t="shared" ca="1" si="201"/>
        <v>6</v>
      </c>
      <c r="CB35" s="9">
        <f t="shared" ca="1" si="201"/>
        <v>6</v>
      </c>
      <c r="CC35" s="9">
        <f t="shared" ca="1" si="201"/>
        <v>6</v>
      </c>
      <c r="CD35" s="9">
        <f t="shared" ca="1" si="201"/>
        <v>6</v>
      </c>
      <c r="CE35" s="9">
        <f t="shared" ca="1" si="201"/>
        <v>7</v>
      </c>
      <c r="CF35" s="9">
        <f t="shared" ca="1" si="201"/>
        <v>7</v>
      </c>
      <c r="CG35" s="9">
        <f t="shared" ca="1" si="201"/>
        <v>7</v>
      </c>
      <c r="CH35" s="9">
        <f t="shared" ca="1" si="201"/>
        <v>7</v>
      </c>
      <c r="CI35" s="9">
        <f t="shared" ca="1" si="201"/>
        <v>7</v>
      </c>
      <c r="CJ35" s="9">
        <f t="shared" ca="1" si="201"/>
        <v>7</v>
      </c>
      <c r="CK35" s="9">
        <f t="shared" ca="1" si="201"/>
        <v>7</v>
      </c>
      <c r="CL35" s="9">
        <f t="shared" ca="1" si="201"/>
        <v>7</v>
      </c>
      <c r="CM35" s="9">
        <f t="shared" ca="1" si="201"/>
        <v>7</v>
      </c>
      <c r="CN35" s="9">
        <f t="shared" ca="1" si="201"/>
        <v>7</v>
      </c>
      <c r="CO35" s="9">
        <f t="shared" ca="1" si="201"/>
        <v>7</v>
      </c>
      <c r="CP35" s="9">
        <f t="shared" ca="1" si="201"/>
        <v>7</v>
      </c>
      <c r="CQ35" s="9">
        <f t="shared" ca="1" si="201"/>
        <v>7</v>
      </c>
      <c r="CR35" s="9">
        <f t="shared" ca="1" si="201"/>
        <v>7</v>
      </c>
      <c r="CS35" s="9">
        <f t="shared" ca="1" si="201"/>
        <v>7</v>
      </c>
      <c r="CT35" s="9">
        <f t="shared" ca="1" si="201"/>
        <v>7</v>
      </c>
      <c r="CU35" s="9">
        <f t="shared" ca="1" si="201"/>
        <v>7</v>
      </c>
      <c r="CV35" s="9">
        <f t="shared" ca="1" si="201"/>
        <v>7</v>
      </c>
      <c r="CW35" s="9">
        <f t="shared" ca="1" si="201"/>
        <v>7</v>
      </c>
      <c r="CX35" s="9">
        <f t="shared" ca="1" si="201"/>
        <v>7</v>
      </c>
      <c r="CY35" s="9">
        <f t="shared" ca="1" si="201"/>
        <v>7</v>
      </c>
      <c r="CZ35" s="9">
        <f t="shared" ca="1" si="201"/>
        <v>8</v>
      </c>
      <c r="DA35" s="9">
        <f t="shared" ca="1" si="201"/>
        <v>8</v>
      </c>
      <c r="DB35" s="9">
        <f t="shared" ca="1" si="201"/>
        <v>8</v>
      </c>
      <c r="DC35" s="9">
        <f t="shared" ca="1" si="201"/>
        <v>8</v>
      </c>
      <c r="DD35" s="9">
        <f t="shared" ca="1" si="201"/>
        <v>8</v>
      </c>
      <c r="DE35" s="9">
        <f t="shared" ca="1" si="201"/>
        <v>8</v>
      </c>
      <c r="DF35" s="9">
        <f t="shared" ca="1" si="201"/>
        <v>8</v>
      </c>
      <c r="DG35" s="9">
        <f t="shared" ca="1" si="201"/>
        <v>8</v>
      </c>
      <c r="DH35" s="9">
        <f t="shared" ca="1" si="201"/>
        <v>8</v>
      </c>
      <c r="DI35" s="9">
        <f t="shared" ca="1" si="201"/>
        <v>8</v>
      </c>
      <c r="DJ35" s="9">
        <f t="shared" ca="1" si="201"/>
        <v>8</v>
      </c>
      <c r="DK35" s="9">
        <f t="shared" ca="1" si="201"/>
        <v>8</v>
      </c>
      <c r="DL35" s="9">
        <f t="shared" ca="1" si="201"/>
        <v>8</v>
      </c>
      <c r="DM35" s="9">
        <f t="shared" ca="1" si="201"/>
        <v>8</v>
      </c>
      <c r="DN35" s="9">
        <f t="shared" ca="1" si="201"/>
        <v>8</v>
      </c>
      <c r="DO35" s="9">
        <f t="shared" ca="1" si="201"/>
        <v>8</v>
      </c>
      <c r="DP35" s="9">
        <f t="shared" ca="1" si="201"/>
        <v>8</v>
      </c>
      <c r="DQ35" s="9">
        <f t="shared" ref="DQ35:GB35" ca="1" si="203">ROUND(10*DQ33,0)</f>
        <v>8</v>
      </c>
      <c r="DR35" s="9">
        <f t="shared" ca="1" si="203"/>
        <v>8</v>
      </c>
      <c r="DS35" s="9">
        <f t="shared" ca="1" si="203"/>
        <v>8</v>
      </c>
      <c r="DT35" s="9">
        <f t="shared" ca="1" si="203"/>
        <v>8</v>
      </c>
      <c r="DU35" s="9">
        <f t="shared" ca="1" si="203"/>
        <v>8</v>
      </c>
      <c r="DV35" s="9">
        <f t="shared" ca="1" si="203"/>
        <v>8</v>
      </c>
      <c r="DW35" s="9">
        <f t="shared" ca="1" si="203"/>
        <v>8</v>
      </c>
      <c r="DX35" s="9">
        <f t="shared" ca="1" si="203"/>
        <v>8</v>
      </c>
      <c r="DY35" s="9">
        <f t="shared" ca="1" si="203"/>
        <v>8</v>
      </c>
      <c r="DZ35" s="9">
        <f t="shared" ca="1" si="203"/>
        <v>8</v>
      </c>
      <c r="EA35" s="9">
        <f t="shared" ca="1" si="203"/>
        <v>8</v>
      </c>
      <c r="EB35" s="9">
        <f t="shared" ca="1" si="203"/>
        <v>8</v>
      </c>
      <c r="EC35" s="9">
        <f t="shared" ca="1" si="203"/>
        <v>8</v>
      </c>
      <c r="ED35" s="9">
        <f t="shared" ca="1" si="203"/>
        <v>8</v>
      </c>
      <c r="EE35" s="9">
        <f t="shared" ca="1" si="203"/>
        <v>8</v>
      </c>
      <c r="EF35" s="9">
        <f t="shared" ca="1" si="203"/>
        <v>8</v>
      </c>
      <c r="EG35" s="9">
        <f t="shared" ca="1" si="203"/>
        <v>8</v>
      </c>
      <c r="EH35" s="9">
        <f t="shared" ca="1" si="203"/>
        <v>8</v>
      </c>
      <c r="EI35" s="9">
        <f t="shared" ca="1" si="203"/>
        <v>8</v>
      </c>
      <c r="EJ35" s="9">
        <f t="shared" ca="1" si="203"/>
        <v>8</v>
      </c>
      <c r="EK35" s="9">
        <f t="shared" ca="1" si="203"/>
        <v>9</v>
      </c>
      <c r="EL35" s="9">
        <f t="shared" ca="1" si="203"/>
        <v>9</v>
      </c>
      <c r="EM35" s="9">
        <f t="shared" ca="1" si="203"/>
        <v>9</v>
      </c>
      <c r="EN35" s="9">
        <f t="shared" ca="1" si="203"/>
        <v>9</v>
      </c>
      <c r="EO35" s="9">
        <f t="shared" ca="1" si="203"/>
        <v>9</v>
      </c>
      <c r="EP35" s="9">
        <f t="shared" ca="1" si="203"/>
        <v>9</v>
      </c>
      <c r="EQ35" s="9">
        <f t="shared" ca="1" si="203"/>
        <v>9</v>
      </c>
      <c r="ER35" s="9">
        <f t="shared" ca="1" si="203"/>
        <v>9</v>
      </c>
      <c r="ES35" s="9">
        <f t="shared" ca="1" si="203"/>
        <v>9</v>
      </c>
      <c r="ET35" s="9">
        <f t="shared" ca="1" si="203"/>
        <v>9</v>
      </c>
      <c r="EU35" s="9">
        <f t="shared" ca="1" si="203"/>
        <v>9</v>
      </c>
      <c r="EV35" s="9">
        <f t="shared" ca="1" si="203"/>
        <v>9</v>
      </c>
      <c r="EW35" s="9">
        <f t="shared" ca="1" si="203"/>
        <v>9</v>
      </c>
      <c r="EX35" s="9">
        <f t="shared" ca="1" si="203"/>
        <v>9</v>
      </c>
      <c r="EY35" s="9">
        <f t="shared" ca="1" si="203"/>
        <v>9</v>
      </c>
      <c r="EZ35" s="9">
        <f t="shared" ca="1" si="203"/>
        <v>9</v>
      </c>
      <c r="FA35" s="9">
        <f t="shared" ca="1" si="203"/>
        <v>9</v>
      </c>
      <c r="FB35" s="9">
        <f t="shared" ca="1" si="203"/>
        <v>9</v>
      </c>
      <c r="FC35" s="9">
        <f t="shared" ca="1" si="203"/>
        <v>9</v>
      </c>
      <c r="FD35" s="9">
        <f t="shared" ca="1" si="203"/>
        <v>9</v>
      </c>
      <c r="FE35" s="9">
        <f t="shared" ca="1" si="203"/>
        <v>9</v>
      </c>
      <c r="FF35" s="9">
        <f t="shared" ca="1" si="203"/>
        <v>9</v>
      </c>
      <c r="FG35" s="9">
        <f t="shared" ca="1" si="203"/>
        <v>9</v>
      </c>
      <c r="FH35" s="9">
        <f t="shared" ca="1" si="203"/>
        <v>9</v>
      </c>
      <c r="FI35" s="9">
        <f t="shared" ca="1" si="203"/>
        <v>9</v>
      </c>
      <c r="FJ35" s="9">
        <f t="shared" ca="1" si="203"/>
        <v>9</v>
      </c>
      <c r="FK35" s="9">
        <f t="shared" ca="1" si="203"/>
        <v>9</v>
      </c>
      <c r="FL35" s="9">
        <f t="shared" ca="1" si="203"/>
        <v>9</v>
      </c>
      <c r="FM35" s="9">
        <f t="shared" ca="1" si="203"/>
        <v>9</v>
      </c>
      <c r="FN35" s="9">
        <f t="shared" ca="1" si="203"/>
        <v>9</v>
      </c>
      <c r="FO35" s="9">
        <f t="shared" ca="1" si="203"/>
        <v>9</v>
      </c>
      <c r="FP35" s="9">
        <f t="shared" ca="1" si="203"/>
        <v>9</v>
      </c>
      <c r="FQ35" s="9">
        <f t="shared" ca="1" si="203"/>
        <v>9</v>
      </c>
      <c r="FR35" s="9">
        <f t="shared" ca="1" si="203"/>
        <v>9</v>
      </c>
      <c r="FS35" s="9">
        <f t="shared" ca="1" si="203"/>
        <v>9</v>
      </c>
      <c r="FT35" s="9">
        <f t="shared" ca="1" si="203"/>
        <v>9</v>
      </c>
      <c r="FU35" s="9">
        <f t="shared" ca="1" si="203"/>
        <v>9</v>
      </c>
      <c r="FV35" s="9">
        <f t="shared" ca="1" si="203"/>
        <v>9</v>
      </c>
      <c r="FW35" s="9">
        <f t="shared" ca="1" si="203"/>
        <v>9</v>
      </c>
      <c r="FX35" s="9">
        <f t="shared" ca="1" si="203"/>
        <v>9</v>
      </c>
      <c r="FY35" s="9">
        <f t="shared" ca="1" si="203"/>
        <v>9</v>
      </c>
      <c r="FZ35" s="9">
        <f t="shared" ca="1" si="203"/>
        <v>9</v>
      </c>
      <c r="GA35" s="9">
        <f t="shared" ca="1" si="203"/>
        <v>9</v>
      </c>
      <c r="GB35" s="9">
        <f t="shared" ca="1" si="203"/>
        <v>9</v>
      </c>
      <c r="GC35" s="9">
        <f t="shared" ref="GC35:IN35" ca="1" si="204">ROUND(10*GC33,0)</f>
        <v>9</v>
      </c>
      <c r="GD35" s="9">
        <f t="shared" ca="1" si="204"/>
        <v>9</v>
      </c>
      <c r="GE35" s="9">
        <f t="shared" ca="1" si="204"/>
        <v>9</v>
      </c>
      <c r="GF35" s="9">
        <f t="shared" ca="1" si="204"/>
        <v>9</v>
      </c>
      <c r="GG35" s="9">
        <f t="shared" ca="1" si="204"/>
        <v>9</v>
      </c>
      <c r="GH35" s="9">
        <f t="shared" ca="1" si="204"/>
        <v>9</v>
      </c>
      <c r="GI35" s="9">
        <f t="shared" ca="1" si="204"/>
        <v>9</v>
      </c>
      <c r="GJ35" s="9">
        <f t="shared" ca="1" si="204"/>
        <v>9</v>
      </c>
      <c r="GK35" s="9">
        <f t="shared" ca="1" si="204"/>
        <v>9</v>
      </c>
      <c r="GL35" s="9">
        <f t="shared" ca="1" si="204"/>
        <v>9</v>
      </c>
      <c r="GM35" s="9">
        <f t="shared" ca="1" si="204"/>
        <v>9</v>
      </c>
      <c r="GN35" s="9">
        <f t="shared" ca="1" si="204"/>
        <v>9</v>
      </c>
      <c r="GO35" s="9">
        <f t="shared" ca="1" si="204"/>
        <v>9</v>
      </c>
      <c r="GP35" s="9">
        <f t="shared" ca="1" si="204"/>
        <v>9</v>
      </c>
      <c r="GQ35" s="9">
        <f t="shared" ca="1" si="204"/>
        <v>9</v>
      </c>
      <c r="GR35" s="9">
        <f t="shared" ca="1" si="204"/>
        <v>9</v>
      </c>
      <c r="GS35" s="9">
        <f t="shared" ca="1" si="204"/>
        <v>9</v>
      </c>
      <c r="GT35" s="9">
        <f t="shared" ca="1" si="204"/>
        <v>9</v>
      </c>
      <c r="GU35" s="9">
        <f t="shared" ca="1" si="204"/>
        <v>9</v>
      </c>
      <c r="GV35" s="9">
        <f t="shared" ca="1" si="204"/>
        <v>9</v>
      </c>
      <c r="GW35" s="9">
        <f t="shared" ca="1" si="204"/>
        <v>9</v>
      </c>
      <c r="GX35" s="9">
        <f t="shared" ca="1" si="204"/>
        <v>10</v>
      </c>
      <c r="GY35" s="9">
        <f t="shared" ca="1" si="204"/>
        <v>10</v>
      </c>
      <c r="GZ35" s="9">
        <f t="shared" ca="1" si="204"/>
        <v>10</v>
      </c>
      <c r="HA35" s="9">
        <f t="shared" ca="1" si="204"/>
        <v>10</v>
      </c>
      <c r="HB35" s="9">
        <f t="shared" ca="1" si="204"/>
        <v>10</v>
      </c>
      <c r="HC35" s="9">
        <f t="shared" ca="1" si="204"/>
        <v>10</v>
      </c>
      <c r="HD35" s="9">
        <f t="shared" ca="1" si="204"/>
        <v>10</v>
      </c>
      <c r="HE35" s="9">
        <f t="shared" ca="1" si="204"/>
        <v>10</v>
      </c>
      <c r="HF35" s="9">
        <f t="shared" ca="1" si="204"/>
        <v>10</v>
      </c>
      <c r="HG35" s="9">
        <f t="shared" ca="1" si="204"/>
        <v>10</v>
      </c>
      <c r="HH35" s="9">
        <f t="shared" ca="1" si="204"/>
        <v>10</v>
      </c>
      <c r="HI35" s="9">
        <f t="shared" ca="1" si="204"/>
        <v>10</v>
      </c>
      <c r="HJ35" s="9">
        <f t="shared" ca="1" si="204"/>
        <v>10</v>
      </c>
      <c r="HK35" s="9">
        <f t="shared" ca="1" si="204"/>
        <v>10</v>
      </c>
      <c r="HL35" s="9">
        <f t="shared" ca="1" si="204"/>
        <v>10</v>
      </c>
      <c r="HM35" s="9">
        <f t="shared" ca="1" si="204"/>
        <v>10</v>
      </c>
      <c r="HN35" s="9">
        <f t="shared" ca="1" si="204"/>
        <v>10</v>
      </c>
      <c r="HO35" s="9">
        <f t="shared" ca="1" si="204"/>
        <v>10</v>
      </c>
      <c r="HP35" s="9">
        <f t="shared" ca="1" si="204"/>
        <v>10</v>
      </c>
      <c r="HQ35" s="9">
        <f t="shared" ca="1" si="204"/>
        <v>10</v>
      </c>
      <c r="HR35" s="9">
        <f t="shared" ca="1" si="204"/>
        <v>10</v>
      </c>
      <c r="HS35" s="9">
        <f t="shared" ca="1" si="204"/>
        <v>10</v>
      </c>
      <c r="HT35" s="9">
        <f t="shared" ca="1" si="204"/>
        <v>10</v>
      </c>
      <c r="HU35" s="9">
        <f t="shared" ca="1" si="204"/>
        <v>10</v>
      </c>
      <c r="HV35" s="9">
        <f t="shared" ca="1" si="204"/>
        <v>10</v>
      </c>
      <c r="HW35" s="9">
        <f t="shared" ca="1" si="204"/>
        <v>10</v>
      </c>
      <c r="HX35" s="9">
        <f t="shared" ca="1" si="204"/>
        <v>10</v>
      </c>
      <c r="HY35" s="9">
        <f t="shared" ca="1" si="204"/>
        <v>10</v>
      </c>
      <c r="HZ35" s="9">
        <f t="shared" ca="1" si="204"/>
        <v>10</v>
      </c>
      <c r="IA35" s="9">
        <f t="shared" ca="1" si="204"/>
        <v>10</v>
      </c>
      <c r="IB35" s="9">
        <f t="shared" ca="1" si="204"/>
        <v>10</v>
      </c>
      <c r="IC35" s="9">
        <f t="shared" ca="1" si="204"/>
        <v>10</v>
      </c>
      <c r="ID35" s="9">
        <f t="shared" ca="1" si="204"/>
        <v>10</v>
      </c>
      <c r="IE35" s="9">
        <f t="shared" ca="1" si="204"/>
        <v>10</v>
      </c>
      <c r="IF35" s="9">
        <f t="shared" ca="1" si="204"/>
        <v>10</v>
      </c>
      <c r="IG35" s="9">
        <f t="shared" ca="1" si="204"/>
        <v>10</v>
      </c>
      <c r="IH35" s="9">
        <f t="shared" ca="1" si="204"/>
        <v>10</v>
      </c>
      <c r="II35" s="9">
        <f t="shared" ca="1" si="204"/>
        <v>10</v>
      </c>
      <c r="IJ35" s="9">
        <f t="shared" ca="1" si="204"/>
        <v>10</v>
      </c>
      <c r="IK35" s="9">
        <f t="shared" ca="1" si="204"/>
        <v>10</v>
      </c>
      <c r="IL35" s="9">
        <f t="shared" ca="1" si="204"/>
        <v>10</v>
      </c>
      <c r="IM35" s="9">
        <f t="shared" ca="1" si="204"/>
        <v>10</v>
      </c>
      <c r="IN35" s="9">
        <f t="shared" ca="1" si="204"/>
        <v>10</v>
      </c>
      <c r="IO35" s="9">
        <f t="shared" ref="IO35:IU35" ca="1" si="205">ROUND(10*IO33,0)</f>
        <v>10</v>
      </c>
      <c r="IP35" s="9">
        <f t="shared" ca="1" si="205"/>
        <v>10</v>
      </c>
      <c r="IQ35" s="9">
        <f t="shared" ca="1" si="205"/>
        <v>10</v>
      </c>
      <c r="IR35" s="9">
        <f t="shared" ca="1" si="205"/>
        <v>10</v>
      </c>
      <c r="IS35" s="9">
        <f t="shared" ca="1" si="205"/>
        <v>10</v>
      </c>
      <c r="IT35" s="9">
        <f t="shared" ca="1" si="205"/>
        <v>10</v>
      </c>
      <c r="IU35" s="9">
        <f t="shared" ca="1" si="205"/>
        <v>10</v>
      </c>
    </row>
    <row r="36" spans="1:255" x14ac:dyDescent="0.2">
      <c r="A36" s="92" t="s">
        <v>47</v>
      </c>
      <c r="B36" s="93"/>
      <c r="C36" s="93"/>
      <c r="D36" s="93"/>
      <c r="E36" s="94">
        <v>0</v>
      </c>
      <c r="F36" s="94">
        <v>0</v>
      </c>
      <c r="G36" s="95">
        <v>0</v>
      </c>
      <c r="H36" s="95"/>
      <c r="I36" s="95"/>
      <c r="J36" s="95"/>
      <c r="K36" s="95"/>
      <c r="O36" s="34">
        <v>0</v>
      </c>
      <c r="P36" s="96">
        <v>0</v>
      </c>
      <c r="Q36" s="96">
        <v>0</v>
      </c>
      <c r="R36" s="96">
        <v>0</v>
      </c>
      <c r="S36" s="96">
        <v>0</v>
      </c>
      <c r="T36" s="96">
        <v>0</v>
      </c>
      <c r="U36" s="96">
        <v>0</v>
      </c>
      <c r="V36" s="96">
        <v>0</v>
      </c>
      <c r="W36" s="96">
        <v>0</v>
      </c>
      <c r="X36" s="96">
        <v>0</v>
      </c>
      <c r="Y36" s="34">
        <v>0</v>
      </c>
      <c r="Z36" s="96">
        <v>0</v>
      </c>
      <c r="AA36" s="96">
        <v>0</v>
      </c>
      <c r="AB36" s="96">
        <v>0</v>
      </c>
      <c r="AC36" s="96">
        <v>0</v>
      </c>
      <c r="AD36" s="96">
        <v>0</v>
      </c>
      <c r="AE36" s="96">
        <v>0</v>
      </c>
      <c r="AF36" s="96">
        <v>0</v>
      </c>
      <c r="AG36" s="96">
        <v>0</v>
      </c>
      <c r="AH36" s="96">
        <v>0</v>
      </c>
      <c r="AI36" s="97">
        <v>0</v>
      </c>
      <c r="AJ36" s="34"/>
      <c r="AK36" s="10"/>
      <c r="AL36" s="10"/>
      <c r="AM36" s="10"/>
      <c r="AO36" s="34"/>
      <c r="AP36" s="66">
        <f>IF(DIAG!$T$23,$GL$56,-1)</f>
        <v>-1</v>
      </c>
      <c r="AQ36" s="67">
        <f>AP36+(AY36-AP36)/9</f>
        <v>-1</v>
      </c>
      <c r="AR36" s="67">
        <f>AQ36+(AY36-AQ36)/8</f>
        <v>-1</v>
      </c>
      <c r="AS36" s="67">
        <f>AR36+(AY36-AR36)/7</f>
        <v>-1</v>
      </c>
      <c r="AT36" s="67">
        <f>AS36+(AY36-AS36)/6</f>
        <v>-1</v>
      </c>
      <c r="AU36" s="67">
        <f>AT36+(AY36-AT36)/5</f>
        <v>-1</v>
      </c>
      <c r="AV36" s="67">
        <f>AU36+(AY36-AU36)/4</f>
        <v>-1</v>
      </c>
      <c r="AW36" s="67">
        <f>AV36+(AY36-AV36)/3</f>
        <v>-1</v>
      </c>
      <c r="AX36" s="67">
        <f>AW36+(AY36-AW36)/2</f>
        <v>-1</v>
      </c>
      <c r="AY36" s="68">
        <f>IF(DIAG!$T$23,$D$27,-1)</f>
        <v>-1</v>
      </c>
      <c r="CW36" s="16"/>
      <c r="GK36" s="15" t="s">
        <v>6</v>
      </c>
      <c r="GL36" s="16">
        <f>SUMPRODUCT(B7:GS7,DIAG!$B$440:$GS$440,DIAG!$B$442:$GS$442)</f>
        <v>0</v>
      </c>
    </row>
    <row r="37" spans="1:255" x14ac:dyDescent="0.2">
      <c r="A37" s="98" t="s">
        <v>48</v>
      </c>
      <c r="B37" s="99"/>
      <c r="C37" s="99"/>
      <c r="D37" s="99"/>
      <c r="E37" s="100">
        <v>0</v>
      </c>
      <c r="F37" s="100">
        <v>1</v>
      </c>
      <c r="G37" s="101">
        <v>0</v>
      </c>
      <c r="H37" s="101"/>
      <c r="I37" s="101"/>
      <c r="J37" s="101"/>
      <c r="K37" s="101"/>
      <c r="L37" s="33"/>
      <c r="M37" s="33"/>
      <c r="N37" s="33"/>
      <c r="O37" s="33">
        <f>SQRT(3)*O35+1</f>
        <v>0</v>
      </c>
      <c r="P37" s="6">
        <f t="shared" ref="P37:X37" si="206">SQRT(3)*P35+1</f>
        <v>9.9999999999999978E-2</v>
      </c>
      <c r="Q37" s="6">
        <f t="shared" si="206"/>
        <v>0.19999999999999996</v>
      </c>
      <c r="R37" s="6">
        <f t="shared" si="206"/>
        <v>0.29999999999999993</v>
      </c>
      <c r="S37" s="6">
        <f t="shared" si="206"/>
        <v>0.39999999999999991</v>
      </c>
      <c r="T37" s="6">
        <f t="shared" si="206"/>
        <v>0.5</v>
      </c>
      <c r="U37" s="6">
        <f t="shared" si="206"/>
        <v>0.59999999999999987</v>
      </c>
      <c r="V37" s="6">
        <f t="shared" si="206"/>
        <v>0.7</v>
      </c>
      <c r="W37" s="6">
        <f t="shared" si="206"/>
        <v>0.79999999999999993</v>
      </c>
      <c r="X37" s="6">
        <f t="shared" si="206"/>
        <v>0.89999999999999991</v>
      </c>
      <c r="Y37" s="33">
        <f>SQRT(3)*Y35+1</f>
        <v>1</v>
      </c>
      <c r="Z37" s="6">
        <f t="shared" ref="Z37:AH37" si="207">1-SQRT(3)*Z35</f>
        <v>0.89999999999999991</v>
      </c>
      <c r="AA37" s="6">
        <f t="shared" si="207"/>
        <v>0.79999999999999993</v>
      </c>
      <c r="AB37" s="6">
        <f t="shared" si="207"/>
        <v>0.7</v>
      </c>
      <c r="AC37" s="6">
        <f t="shared" si="207"/>
        <v>0.59999999999999987</v>
      </c>
      <c r="AD37" s="6">
        <f t="shared" si="207"/>
        <v>0.5</v>
      </c>
      <c r="AE37" s="6">
        <f t="shared" si="207"/>
        <v>0.39999999999999991</v>
      </c>
      <c r="AF37" s="6">
        <f t="shared" si="207"/>
        <v>0.29999999999999993</v>
      </c>
      <c r="AG37" s="6">
        <f t="shared" si="207"/>
        <v>0.19999999999999996</v>
      </c>
      <c r="AH37" s="6">
        <f t="shared" si="207"/>
        <v>9.9999999999999978E-2</v>
      </c>
      <c r="AI37" s="102">
        <f>1-SQRT(3)*AI35</f>
        <v>0</v>
      </c>
      <c r="AK37" s="10"/>
      <c r="AL37" s="10"/>
      <c r="AM37" s="10"/>
      <c r="CW37" s="16"/>
      <c r="GK37" s="18" t="s">
        <v>7</v>
      </c>
      <c r="GL37" s="16">
        <f>SUMPRODUCT(B8:GS8,DIAG!$B$440:$GS$440,DIAG!$B$442:$GS$442)</f>
        <v>0</v>
      </c>
    </row>
    <row r="38" spans="1:255" x14ac:dyDescent="0.2">
      <c r="A38" s="82"/>
      <c r="B38" s="83"/>
      <c r="D38" s="84"/>
      <c r="E38" s="84"/>
      <c r="F38" s="84"/>
      <c r="G38" s="85"/>
      <c r="H38" s="85"/>
      <c r="I38" s="85"/>
      <c r="J38" s="85"/>
      <c r="K38" s="85"/>
      <c r="S38" s="34"/>
      <c r="T38" s="34"/>
      <c r="U38" s="34"/>
      <c r="V38" s="34"/>
      <c r="W38" s="34"/>
      <c r="X38" s="34"/>
      <c r="Y38" s="34"/>
      <c r="Z38" s="34"/>
      <c r="AA38" s="34"/>
      <c r="AB38" s="34"/>
      <c r="AK38" s="10"/>
      <c r="AL38" s="10"/>
      <c r="AM38" s="10"/>
      <c r="AN38" s="9" t="s">
        <v>46</v>
      </c>
      <c r="AP38" s="60">
        <f>IF(DIAG!$T$24,$GL$55,-1)</f>
        <v>-1</v>
      </c>
      <c r="AQ38" s="61">
        <f>AP38+(AY38-AP38)/9</f>
        <v>-1</v>
      </c>
      <c r="AR38" s="61">
        <f>AQ38+(AY38-AQ38)/8</f>
        <v>-1</v>
      </c>
      <c r="AS38" s="61">
        <f>AR38+(AY38-AR38)/7</f>
        <v>-1</v>
      </c>
      <c r="AT38" s="61">
        <f>AS38+(AY38-AS38)/6</f>
        <v>-1</v>
      </c>
      <c r="AU38" s="61">
        <f>AT38+(AY38-AT38)/5</f>
        <v>-1</v>
      </c>
      <c r="AV38" s="61">
        <f>AU38+(AY38-AU38)/4</f>
        <v>-1</v>
      </c>
      <c r="AW38" s="61">
        <f>AV38+(AY38-AV38)/3</f>
        <v>-1</v>
      </c>
      <c r="AX38" s="61">
        <f>AW38+(AY38-AW38)/2</f>
        <v>-1</v>
      </c>
      <c r="AY38" s="62">
        <f>IF(DIAG!$T$24,$E$26,-1)</f>
        <v>-1</v>
      </c>
      <c r="CW38" s="16"/>
      <c r="GK38" s="18" t="s">
        <v>16</v>
      </c>
      <c r="GL38" s="22">
        <f ca="1">SUM(GL35:GL37)</f>
        <v>9</v>
      </c>
    </row>
    <row r="39" spans="1:255" x14ac:dyDescent="0.2">
      <c r="A39" s="103" t="s">
        <v>50</v>
      </c>
      <c r="B39" s="104"/>
      <c r="C39" s="104"/>
      <c r="D39" s="105"/>
      <c r="E39" s="105"/>
      <c r="F39" s="105"/>
      <c r="G39" s="106"/>
      <c r="H39" s="106"/>
      <c r="I39" s="106"/>
      <c r="J39" s="106"/>
      <c r="K39" s="106"/>
      <c r="L39" s="90"/>
      <c r="M39" s="90"/>
      <c r="N39" s="88" t="s">
        <v>45</v>
      </c>
      <c r="O39" s="89">
        <v>0</v>
      </c>
      <c r="P39" s="107">
        <f>AI35</f>
        <v>0.57735026918962584</v>
      </c>
      <c r="Q39" s="108">
        <f>O35</f>
        <v>-0.57735026918962584</v>
      </c>
      <c r="S39" s="34"/>
      <c r="T39" s="34"/>
      <c r="U39" s="34"/>
      <c r="V39" s="34"/>
      <c r="W39" s="34"/>
      <c r="X39" s="34"/>
      <c r="Y39" s="34"/>
      <c r="Z39" s="34"/>
      <c r="AA39" s="34"/>
      <c r="AB39" s="34"/>
      <c r="AK39" s="10"/>
      <c r="AL39" s="10"/>
      <c r="AM39" s="10"/>
      <c r="AP39" s="66">
        <f>IF(DIAG!$T$24,$GL$56,-1)</f>
        <v>-1</v>
      </c>
      <c r="AQ39" s="67">
        <f>AP39+(AY39-AP39)/9</f>
        <v>-1</v>
      </c>
      <c r="AR39" s="67">
        <f>AQ39+(AY39-AQ39)/8</f>
        <v>-1</v>
      </c>
      <c r="AS39" s="67">
        <f>AR39+(AY39-AR39)/7</f>
        <v>-1</v>
      </c>
      <c r="AT39" s="67">
        <f>AS39+(AY39-AS39)/6</f>
        <v>-1</v>
      </c>
      <c r="AU39" s="67">
        <f>AT39+(AY39-AT39)/5</f>
        <v>-1</v>
      </c>
      <c r="AV39" s="67">
        <f>AU39+(AY39-AU39)/4</f>
        <v>-1</v>
      </c>
      <c r="AW39" s="67">
        <f>AV39+(AY39-AV39)/3</f>
        <v>-1</v>
      </c>
      <c r="AX39" s="67">
        <f>AW39+(AY39-AW39)/2</f>
        <v>-1</v>
      </c>
      <c r="AY39" s="68">
        <f>IF(DIAG!$T$24,$E$27,-1)</f>
        <v>-1</v>
      </c>
      <c r="BF39" s="9" t="s">
        <v>95</v>
      </c>
      <c r="BG39" s="9" t="s">
        <v>95</v>
      </c>
      <c r="BH39" s="9" t="s">
        <v>95</v>
      </c>
      <c r="BK39" s="10" t="s">
        <v>103</v>
      </c>
      <c r="BL39" s="10" t="s">
        <v>104</v>
      </c>
      <c r="BM39" s="10" t="s">
        <v>105</v>
      </c>
      <c r="CW39" s="22"/>
      <c r="GK39" s="23" t="s">
        <v>20</v>
      </c>
      <c r="GL39" s="25" t="e">
        <f t="shared" ref="GL39" ca="1" si="208">GL49/GL51</f>
        <v>#DIV/0!</v>
      </c>
    </row>
    <row r="40" spans="1:255" x14ac:dyDescent="0.2">
      <c r="A40" s="109"/>
      <c r="N40" s="93" t="s">
        <v>5</v>
      </c>
      <c r="O40" s="110">
        <v>1</v>
      </c>
      <c r="P40" s="110"/>
      <c r="Q40" s="111"/>
      <c r="BE40" s="9" t="s">
        <v>45</v>
      </c>
      <c r="BF40" s="29">
        <f t="shared" ref="BF40:BJ41" si="209">BF43*$BK$40+BF45*$BL$40+BF47*$BM$40</f>
        <v>-0.57999999999999996</v>
      </c>
      <c r="BG40" s="29">
        <f t="shared" si="209"/>
        <v>0.57999999999999996</v>
      </c>
      <c r="BH40" s="29">
        <f t="shared" si="209"/>
        <v>0.57999999999999996</v>
      </c>
      <c r="BI40" s="29">
        <f t="shared" si="209"/>
        <v>-0.57999999999999996</v>
      </c>
      <c r="BJ40" s="29">
        <f t="shared" si="209"/>
        <v>-0.57999999999999996</v>
      </c>
      <c r="BK40" s="30" t="b">
        <v>1</v>
      </c>
      <c r="BL40" s="30" t="b">
        <v>0</v>
      </c>
      <c r="BM40" s="30" t="b">
        <v>0</v>
      </c>
      <c r="CW40" s="25"/>
      <c r="GK40" s="23" t="s">
        <v>12</v>
      </c>
      <c r="GL40" s="26">
        <f ca="1">GL35/GL$38</f>
        <v>1</v>
      </c>
    </row>
    <row r="41" spans="1:255" x14ac:dyDescent="0.2">
      <c r="A41" s="109"/>
      <c r="N41" s="93" t="s">
        <v>7</v>
      </c>
      <c r="O41" s="110"/>
      <c r="P41" s="110">
        <v>0</v>
      </c>
      <c r="Q41" s="111"/>
      <c r="S41" s="9" t="s">
        <v>93</v>
      </c>
      <c r="Z41" s="9" t="s">
        <v>94</v>
      </c>
      <c r="AN41" s="9" t="s">
        <v>49</v>
      </c>
      <c r="AP41" s="60">
        <f>IF(DIAG!$T$25,$GL$55,-1)</f>
        <v>-1</v>
      </c>
      <c r="AQ41" s="61">
        <f>AP41+(AY41-AP41)/9</f>
        <v>-1</v>
      </c>
      <c r="AR41" s="61">
        <f>AQ41+(AY41-AQ41)/8</f>
        <v>-1</v>
      </c>
      <c r="AS41" s="61">
        <f>AR41+(AY41-AR41)/7</f>
        <v>-1</v>
      </c>
      <c r="AT41" s="61">
        <f>AS41+(AY41-AS41)/6</f>
        <v>-1</v>
      </c>
      <c r="AU41" s="61">
        <f>AT41+(AY41-AT41)/5</f>
        <v>-1</v>
      </c>
      <c r="AV41" s="61">
        <f>AU41+(AY41-AU41)/4</f>
        <v>-1</v>
      </c>
      <c r="AW41" s="61">
        <f>AV41+(AY41-AV41)/3</f>
        <v>-1</v>
      </c>
      <c r="AX41" s="61">
        <f>AW41+(AY41-AW41)/2</f>
        <v>-1</v>
      </c>
      <c r="AY41" s="62">
        <f>IF(DIAG!$T$25,$F$26,-1)</f>
        <v>-1</v>
      </c>
      <c r="BE41" s="9" t="s">
        <v>54</v>
      </c>
      <c r="BF41" s="29">
        <f t="shared" si="209"/>
        <v>-0.1</v>
      </c>
      <c r="BG41" s="29">
        <f t="shared" si="209"/>
        <v>-0.1</v>
      </c>
      <c r="BH41" s="29">
        <f t="shared" si="209"/>
        <v>1.1000000000000001</v>
      </c>
      <c r="BI41" s="29">
        <f t="shared" si="209"/>
        <v>1.1000000000000001</v>
      </c>
      <c r="BJ41" s="29">
        <f t="shared" si="209"/>
        <v>-0.1</v>
      </c>
      <c r="CW41" s="26"/>
      <c r="GK41" s="23" t="s">
        <v>14</v>
      </c>
      <c r="GL41" s="26">
        <f ca="1">GL36/GL$38</f>
        <v>0</v>
      </c>
    </row>
    <row r="42" spans="1:255" x14ac:dyDescent="0.2">
      <c r="A42" s="112"/>
      <c r="B42" s="33"/>
      <c r="C42" s="33"/>
      <c r="D42" s="33"/>
      <c r="E42" s="33"/>
      <c r="F42" s="33"/>
      <c r="G42" s="113"/>
      <c r="H42" s="113"/>
      <c r="I42" s="113"/>
      <c r="J42" s="113"/>
      <c r="K42" s="113"/>
      <c r="L42" s="33"/>
      <c r="M42" s="33"/>
      <c r="N42" s="99" t="s">
        <v>6</v>
      </c>
      <c r="O42" s="114"/>
      <c r="P42" s="114"/>
      <c r="Q42" s="115">
        <v>0</v>
      </c>
      <c r="S42" s="116">
        <v>-0.35799999999999998</v>
      </c>
      <c r="T42" s="116"/>
      <c r="Z42" s="9">
        <v>0</v>
      </c>
      <c r="AA42" s="9">
        <v>0</v>
      </c>
      <c r="AP42" s="66">
        <f>IF(DIAG!$T$25,$GL$56,-1)</f>
        <v>-1</v>
      </c>
      <c r="AQ42" s="67">
        <f>AP42+(AY42-AP42)/9</f>
        <v>-1</v>
      </c>
      <c r="AR42" s="67">
        <f>AQ42+(AY42-AQ42)/8</f>
        <v>-1</v>
      </c>
      <c r="AS42" s="67">
        <f>AR42+(AY42-AR42)/7</f>
        <v>-1</v>
      </c>
      <c r="AT42" s="67">
        <f>AS42+(AY42-AS42)/6</f>
        <v>-1</v>
      </c>
      <c r="AU42" s="67">
        <f>AT42+(AY42-AT42)/5</f>
        <v>-1</v>
      </c>
      <c r="AV42" s="67">
        <f>AU42+(AY42-AU42)/4</f>
        <v>-1</v>
      </c>
      <c r="AW42" s="67">
        <f>AV42+(AY42-AV42)/3</f>
        <v>-1</v>
      </c>
      <c r="AX42" s="67">
        <f>AW42+(AY42-AW42)/2</f>
        <v>-1</v>
      </c>
      <c r="AY42" s="68">
        <f>IF(DIAG!$T$25,$F$27,-1)</f>
        <v>-1</v>
      </c>
      <c r="BK42" s="33"/>
      <c r="BL42" s="33" t="s">
        <v>102</v>
      </c>
      <c r="BM42" s="33"/>
      <c r="BN42" s="33"/>
      <c r="BO42" s="33"/>
      <c r="BU42" s="10"/>
      <c r="CW42" s="26"/>
      <c r="GK42" s="23" t="s">
        <v>13</v>
      </c>
      <c r="GL42" s="26">
        <f ca="1">GL37/GL$38</f>
        <v>0</v>
      </c>
    </row>
    <row r="43" spans="1:255" x14ac:dyDescent="0.2">
      <c r="A43" s="82"/>
      <c r="B43" s="83"/>
      <c r="D43" s="84"/>
      <c r="E43" s="84"/>
      <c r="F43" s="84"/>
      <c r="G43" s="85"/>
      <c r="H43" s="85"/>
      <c r="I43" s="85"/>
      <c r="J43" s="85"/>
      <c r="K43" s="85"/>
      <c r="S43" s="34">
        <f>IF(DIAG!$X$42,0.5,-1)</f>
        <v>-1</v>
      </c>
      <c r="T43" s="34"/>
      <c r="U43" s="34"/>
      <c r="V43" s="34"/>
      <c r="W43" s="34"/>
      <c r="X43" s="34"/>
      <c r="Y43" s="34"/>
      <c r="Z43" s="116">
        <f>IF(DIAG!$X$42,-0.027,-1)</f>
        <v>-1</v>
      </c>
      <c r="AA43" s="116">
        <f>IF(DIAG!$X$42,1.02,-1)</f>
        <v>-1</v>
      </c>
      <c r="AB43" s="34"/>
      <c r="AC43" s="34"/>
      <c r="AD43" s="34"/>
      <c r="AE43" s="34"/>
      <c r="BE43" s="9" t="s">
        <v>97</v>
      </c>
      <c r="BF43" s="29">
        <v>-0.57999999999999996</v>
      </c>
      <c r="BG43" s="29">
        <v>0.57999999999999996</v>
      </c>
      <c r="BH43" s="29">
        <v>0.57999999999999996</v>
      </c>
      <c r="BI43" s="29">
        <v>-0.57999999999999996</v>
      </c>
      <c r="BJ43" s="29">
        <v>-0.57999999999999996</v>
      </c>
      <c r="BK43" s="29">
        <v>-0.57999999999999996</v>
      </c>
      <c r="BL43" s="29">
        <v>0.57999999999999996</v>
      </c>
      <c r="BM43" s="29">
        <v>0.57999999999999996</v>
      </c>
      <c r="BN43" s="29">
        <v>-0.57999999999999996</v>
      </c>
      <c r="BO43" s="29">
        <v>-0.57999999999999996</v>
      </c>
      <c r="CW43" s="26"/>
      <c r="GK43" s="210" t="s">
        <v>21</v>
      </c>
      <c r="GL43" s="209"/>
    </row>
    <row r="44" spans="1:255" x14ac:dyDescent="0.2">
      <c r="A44" s="82"/>
      <c r="B44" s="83"/>
      <c r="D44" s="84"/>
      <c r="E44" s="84"/>
      <c r="F44" s="84"/>
      <c r="G44" s="208"/>
      <c r="H44" s="208"/>
      <c r="I44" s="85" t="str">
        <f>CONCATENATE("texto1",CHAR(10),"texto2")</f>
        <v>texto1
texto2</v>
      </c>
      <c r="J44" s="85"/>
      <c r="K44" s="85"/>
      <c r="N44" s="33"/>
      <c r="S44" s="34"/>
      <c r="T44" s="34"/>
      <c r="U44" s="34"/>
      <c r="V44" s="34"/>
      <c r="W44" s="34"/>
      <c r="X44" s="34"/>
      <c r="Y44" s="34"/>
      <c r="Z44" s="34"/>
      <c r="AA44" s="34"/>
      <c r="AB44" s="34"/>
      <c r="AN44" s="9" t="s">
        <v>51</v>
      </c>
      <c r="AP44" s="60">
        <f>IF(DIAG!$T$26,$GL$55,-1)</f>
        <v>-1</v>
      </c>
      <c r="AQ44" s="61">
        <f>AP44+(AY44-AP44)/9</f>
        <v>-1</v>
      </c>
      <c r="AR44" s="61">
        <f>AQ44+(AY44-AQ44)/8</f>
        <v>-1</v>
      </c>
      <c r="AS44" s="61">
        <f>AR44+(AY44-AR44)/7</f>
        <v>-1</v>
      </c>
      <c r="AT44" s="61">
        <f>AS44+(AY44-AS44)/6</f>
        <v>-1</v>
      </c>
      <c r="AU44" s="61">
        <f>AT44+(AY44-AT44)/5</f>
        <v>-1</v>
      </c>
      <c r="AV44" s="61">
        <f>AU44+(AY44-AU44)/4</f>
        <v>-1</v>
      </c>
      <c r="AW44" s="61">
        <f>AV44+(AY44-AV44)/3</f>
        <v>-1</v>
      </c>
      <c r="AX44" s="61">
        <f>AW44+(AY44-AW44)/2</f>
        <v>-1</v>
      </c>
      <c r="AY44" s="62">
        <f>IF(DIAG!$T$26,$G$26,-1)</f>
        <v>-1</v>
      </c>
      <c r="BE44" s="9" t="s">
        <v>98</v>
      </c>
      <c r="BF44" s="29">
        <v>-0.1</v>
      </c>
      <c r="BG44" s="29">
        <v>-0.1</v>
      </c>
      <c r="BH44" s="29">
        <v>1.1000000000000001</v>
      </c>
      <c r="BI44" s="29">
        <v>1.1000000000000001</v>
      </c>
      <c r="BJ44" s="29">
        <v>-0.1</v>
      </c>
      <c r="BK44" s="29">
        <v>-0.1</v>
      </c>
      <c r="BL44" s="29">
        <v>-0.1</v>
      </c>
      <c r="BM44" s="29">
        <v>1.1000000000000001</v>
      </c>
      <c r="BN44" s="29">
        <v>1.1000000000000001</v>
      </c>
      <c r="BO44" s="29">
        <v>-0.1</v>
      </c>
      <c r="GK44" s="7" t="s">
        <v>22</v>
      </c>
      <c r="GL44" s="28">
        <f t="shared" ref="GL44" ca="1" si="210">GL35/GL38</f>
        <v>1</v>
      </c>
    </row>
    <row r="45" spans="1:255" x14ac:dyDescent="0.2">
      <c r="A45" s="117" t="s">
        <v>52</v>
      </c>
      <c r="B45" s="118"/>
      <c r="C45" s="118"/>
      <c r="D45" s="118"/>
      <c r="E45" s="118"/>
      <c r="F45" s="90" t="s">
        <v>6</v>
      </c>
      <c r="G45" s="119"/>
      <c r="H45" s="119"/>
      <c r="I45" s="119"/>
      <c r="J45" s="119"/>
      <c r="K45" s="119"/>
      <c r="L45" s="120">
        <f>DIAG!$T$46*2/100</f>
        <v>0.2</v>
      </c>
      <c r="M45" s="88"/>
      <c r="N45" s="93" t="str">
        <f>IF(DIAG!$T$43,CONCATENATE("N=",TRUNC(L45/2,2)),"")</f>
        <v/>
      </c>
      <c r="O45" s="88">
        <f>IF(DIAG!$T$43,IF(1-$L$45-SQRT(3)*(O35)&gt;1,1,1-$L$45-SQRT(3)*(O35)),-1)</f>
        <v>-1</v>
      </c>
      <c r="P45" s="88">
        <f>IF(DIAG!$T$43,IF(1-$L$45-SQRT(3)*(P35)&gt;1,1,1-$L$45-SQRT(3)*(P35)),-1)</f>
        <v>-1</v>
      </c>
      <c r="Q45" s="88">
        <f>IF(DIAG!$T$43,IF(1-$L$45-SQRT(3)*(Q35)&gt;1,1,1-$L$45-SQRT(3)*(Q35)),-1)</f>
        <v>-1</v>
      </c>
      <c r="R45" s="88">
        <f>IF(DIAG!$T$43,IF(1-$L$45-SQRT(3)*(R35)&gt;1,1,1-$L$45-SQRT(3)*(R35)),-1)</f>
        <v>-1</v>
      </c>
      <c r="S45" s="88">
        <f>IF(DIAG!$T$43,IF(1-$L$45-SQRT(3)*(S35)&gt;1,1,1-$L$45-SQRT(3)*(S35)),-1)</f>
        <v>-1</v>
      </c>
      <c r="T45" s="88">
        <f>IF(DIAG!$T$43,IF(1-$L$45-SQRT(3)*(T35)&gt;1,1,1-$L$45-SQRT(3)*(T35)),-1)</f>
        <v>-1</v>
      </c>
      <c r="U45" s="88">
        <f>IF(DIAG!$T$43,IF(1-$L$45-SQRT(3)*(U35)&gt;1,1,1-$L$45-SQRT(3)*(U35)),-1)</f>
        <v>-1</v>
      </c>
      <c r="V45" s="88">
        <f>IF(DIAG!$T$43,IF(1-$L$45-SQRT(3)*(V35)&gt;1,1,1-$L$45-SQRT(3)*(V35)),-1)</f>
        <v>-1</v>
      </c>
      <c r="W45" s="88">
        <f>IF(DIAG!$T$43,IF(1-$L$45-SQRT(3)*(W35)&gt;1,1,1-$L$45-SQRT(3)*(W35)),-1)</f>
        <v>-1</v>
      </c>
      <c r="X45" s="88">
        <f>IF(DIAG!$T$43,IF(1-$L$45-SQRT(3)*(X35)&gt;1,1,1-$L$45-SQRT(3)*(X35)),-1)</f>
        <v>-1</v>
      </c>
      <c r="Y45" s="88">
        <f>IF(DIAG!$T$43,IF(1-$L$45-SQRT(3)*(Y35)&gt;1,1,1-$L$45-SQRT(3)*(Y35)),-1)</f>
        <v>-1</v>
      </c>
      <c r="Z45" s="88">
        <f>IF(DIAG!$T$43,IF(1-$L$45-SQRT(3)*(Z35)&gt;1,1,1-$L$45-SQRT(3)*(Z35)),-1)</f>
        <v>-1</v>
      </c>
      <c r="AA45" s="88">
        <f>IF(DIAG!$T$43,IF(1-$L$45-SQRT(3)*(AA35)&gt;1,1,1-$L$45-SQRT(3)*(AA35)),-1)</f>
        <v>-1</v>
      </c>
      <c r="AB45" s="88">
        <f>IF(DIAG!$T$43,IF(1-$L$45-SQRT(3)*(AB35)&gt;1,1,1-$L$45-SQRT(3)*(AB35)),-1)</f>
        <v>-1</v>
      </c>
      <c r="AC45" s="88">
        <f>IF(DIAG!$T$43,IF(1-$L$45-SQRT(3)*(AC35)&gt;1,1,1-$L$45-SQRT(3)*(AC35)),-1)</f>
        <v>-1</v>
      </c>
      <c r="AD45" s="88">
        <f>IF(DIAG!$T$43,IF(1-$L$45-SQRT(3)*(AD35)&gt;1,1,1-$L$45-SQRT(3)*(AD35)),-1)</f>
        <v>-1</v>
      </c>
      <c r="AE45" s="88">
        <f>IF(DIAG!$T$43,IF(1-$L$45-SQRT(3)*(AE35)&gt;1,1,1-$L$45-SQRT(3)*(AE35)),-1)</f>
        <v>-1</v>
      </c>
      <c r="AF45" s="88">
        <f>IF(DIAG!$T$43,IF(1-$L$45-SQRT(3)*(AF35)&gt;1,1,1-$L$45-SQRT(3)*(AF35)),-1)</f>
        <v>-1</v>
      </c>
      <c r="AG45" s="88">
        <f>IF(DIAG!$T$43,IF(1-$L$45-SQRT(3)*(AG35)&gt;1,1,1-$L$45-SQRT(3)*(AG35)),-1)</f>
        <v>-1</v>
      </c>
      <c r="AH45" s="88">
        <f>IF(DIAG!$T$43,IF(1-$L$45-SQRT(3)*(AH35)&gt;1,1,1-$L$45-SQRT(3)*(AH35)),-1)</f>
        <v>-1</v>
      </c>
      <c r="AI45" s="88">
        <f>IF(DIAG!$T$43,IF(1-$L$45-SQRT(3)*(AI35)&gt;1,1,1-$L$45-SQRT(3)*(AI35)),-1)</f>
        <v>-1</v>
      </c>
      <c r="AP45" s="66">
        <f>IF(DIAG!$T$26,$GL$56,-1)</f>
        <v>-1</v>
      </c>
      <c r="AQ45" s="67">
        <f>AP45+(AY45-AP45)/9</f>
        <v>-1</v>
      </c>
      <c r="AR45" s="67">
        <f>AQ45+(AY45-AQ45)/8</f>
        <v>-1</v>
      </c>
      <c r="AS45" s="67">
        <f>AR45+(AY45-AR45)/7</f>
        <v>-1</v>
      </c>
      <c r="AT45" s="67">
        <f>AS45+(AY45-AS45)/6</f>
        <v>-1</v>
      </c>
      <c r="AU45" s="67">
        <f>AT45+(AY45-AT45)/5</f>
        <v>-1</v>
      </c>
      <c r="AV45" s="67">
        <f>AU45+(AY45-AU45)/4</f>
        <v>-1</v>
      </c>
      <c r="AW45" s="67">
        <f>AV45+(AY45-AV45)/3</f>
        <v>-1</v>
      </c>
      <c r="AX45" s="67">
        <f>AW45+(AY45-AW45)/2</f>
        <v>-1</v>
      </c>
      <c r="AY45" s="68">
        <f>IF(DIAG!$T$26,$G$27,-1)</f>
        <v>-1</v>
      </c>
      <c r="BE45" s="9" t="s">
        <v>96</v>
      </c>
      <c r="BF45" s="29">
        <v>-0.28999999999999992</v>
      </c>
      <c r="BG45" s="29">
        <v>0.28999999999999998</v>
      </c>
      <c r="BH45" s="29">
        <v>0.28999999999999998</v>
      </c>
      <c r="BI45" s="29">
        <v>-0.28999999999999992</v>
      </c>
      <c r="BJ45" s="29">
        <v>-0.28999999999999992</v>
      </c>
      <c r="BK45" s="29">
        <v>-0.57999999999999996</v>
      </c>
      <c r="BL45" s="29">
        <v>0</v>
      </c>
      <c r="BM45" s="29">
        <v>0</v>
      </c>
      <c r="BN45" s="29">
        <v>-0.57999999999999996</v>
      </c>
      <c r="BO45" s="29">
        <v>-0.57999999999999996</v>
      </c>
      <c r="CW45" s="37"/>
      <c r="GK45" s="7" t="s">
        <v>23</v>
      </c>
      <c r="GL45" s="28">
        <f t="shared" ref="GL45" ca="1" si="211">GL36/GL38</f>
        <v>0</v>
      </c>
    </row>
    <row r="46" spans="1:255" x14ac:dyDescent="0.2">
      <c r="A46" s="109"/>
      <c r="F46" s="9" t="s">
        <v>7</v>
      </c>
      <c r="L46" s="121">
        <f>DIAG!$T$47*2/100</f>
        <v>0.2</v>
      </c>
      <c r="M46" s="93"/>
      <c r="N46" s="93" t="str">
        <f>IF(DIAG!$T$44,CONCATENATE("F=",TRUNC(L46/2,2),CHAR(10),"EYR=",TRUNC(2/L46,2),CHAR(10),"EIR= ",TRUNC(L46/(2*(1-L46/2)),2)),"")</f>
        <v/>
      </c>
      <c r="O46" s="93">
        <f>IF(DIAG!$T$44,IF(1-$L$46+SQRT(3)*(O35)&gt;1,1,1-$L$46+SQRT(3)*(O35)),-1)</f>
        <v>-1</v>
      </c>
      <c r="P46" s="93">
        <f>IF(DIAG!$T$44,IF(1-$L$46+SQRT(3)*(P35)&gt;1,1,1-$L$46+SQRT(3)*(P35)),-1)</f>
        <v>-1</v>
      </c>
      <c r="Q46" s="93">
        <f>IF(DIAG!$T$44,IF(1-$L$46+SQRT(3)*(Q35)&gt;1,1,1-$L$46+SQRT(3)*(Q35)),-1)</f>
        <v>-1</v>
      </c>
      <c r="R46" s="93">
        <f>IF(DIAG!$T$44,IF(1-$L$46+SQRT(3)*(R35)&gt;1,1,1-$L$46+SQRT(3)*(R35)),-1)</f>
        <v>-1</v>
      </c>
      <c r="S46" s="93">
        <f>IF(DIAG!$T$44,IF(1-$L$46+SQRT(3)*(S35)&gt;1,1,1-$L$46+SQRT(3)*(S35)),-1)</f>
        <v>-1</v>
      </c>
      <c r="T46" s="93">
        <f>IF(DIAG!$T$44,IF(1-$L$46+SQRT(3)*(T35)&gt;1,1,1-$L$46+SQRT(3)*(T35)),-1)</f>
        <v>-1</v>
      </c>
      <c r="U46" s="93">
        <f>IF(DIAG!$T$44,IF(1-$L$46+SQRT(3)*(U35)&gt;1,1,1-$L$46+SQRT(3)*(U35)),-1)</f>
        <v>-1</v>
      </c>
      <c r="V46" s="93">
        <f>IF(DIAG!$T$44,IF(1-$L$46+SQRT(3)*(V35)&gt;1,1,1-$L$46+SQRT(3)*(V35)),-1)</f>
        <v>-1</v>
      </c>
      <c r="W46" s="93">
        <f>IF(DIAG!$T$44,IF(1-$L$46+SQRT(3)*(W35)&gt;1,1,1-$L$46+SQRT(3)*(W35)),-1)</f>
        <v>-1</v>
      </c>
      <c r="X46" s="93">
        <f>IF(DIAG!$T$44,IF(1-$L$46+SQRT(3)*(X35)&gt;1,1,1-$L$46+SQRT(3)*(X35)),-1)</f>
        <v>-1</v>
      </c>
      <c r="Y46" s="93">
        <f>IF(DIAG!$T$44,IF(1-$L$46+SQRT(3)*(Y35)&gt;1,1,1-$L$46+SQRT(3)*(Y35)),-1)</f>
        <v>-1</v>
      </c>
      <c r="Z46" s="93">
        <f>IF(DIAG!$T$44,IF(1-$L$46+SQRT(3)*(Z35)&gt;1,1,1-$L$46+SQRT(3)*(Z35)),-1)</f>
        <v>-1</v>
      </c>
      <c r="AA46" s="93">
        <f>IF(DIAG!$T$44,IF(1-$L$46+SQRT(3)*(AA35)&gt;1,1,1-$L$46+SQRT(3)*(AA35)),-1)</f>
        <v>-1</v>
      </c>
      <c r="AB46" s="93">
        <f>IF(DIAG!$T$44,IF(1-$L$46+SQRT(3)*(AB35)&gt;1,1,1-$L$46+SQRT(3)*(AB35)),-1)</f>
        <v>-1</v>
      </c>
      <c r="AC46" s="93">
        <f>IF(DIAG!$T$44,IF(1-$L$46+SQRT(3)*(AC35)&gt;1,1,1-$L$46+SQRT(3)*(AC35)),-1)</f>
        <v>-1</v>
      </c>
      <c r="AD46" s="93">
        <f>IF(DIAG!$T$44,IF(1-$L$46+SQRT(3)*(AD35)&gt;1,1,1-$L$46+SQRT(3)*(AD35)),-1)</f>
        <v>-1</v>
      </c>
      <c r="AE46" s="93">
        <f>IF(DIAG!$T$44,IF(1-$L$46+SQRT(3)*(AE35)&gt;1,1,1-$L$46+SQRT(3)*(AE35)),-1)</f>
        <v>-1</v>
      </c>
      <c r="AF46" s="93">
        <f>IF(DIAG!$T$44,IF(1-$L$46+SQRT(3)*(AF35)&gt;1,1,1-$L$46+SQRT(3)*(AF35)),-1)</f>
        <v>-1</v>
      </c>
      <c r="AG46" s="93">
        <f>IF(DIAG!$T$44,IF(1-$L$46+SQRT(3)*(AG35)&gt;1,1,1-$L$46+SQRT(3)*(AG35)),-1)</f>
        <v>-1</v>
      </c>
      <c r="AH46" s="93">
        <f>IF(DIAG!$T$44,IF(1-$L$46+SQRT(3)*(AH35)&gt;1,1,1-$L$46+SQRT(3)*(AH35)),-1)</f>
        <v>-1</v>
      </c>
      <c r="AI46" s="93">
        <f>IF(DIAG!$T$44,IF(1-$L$46+SQRT(3)*(AI35)&gt;1,1,1-$L$46+SQRT(3)*(AI35)),-1)</f>
        <v>-1</v>
      </c>
      <c r="BE46" s="9" t="s">
        <v>99</v>
      </c>
      <c r="BF46" s="29">
        <v>0</v>
      </c>
      <c r="BG46" s="29">
        <v>0</v>
      </c>
      <c r="BH46" s="29">
        <v>0.5</v>
      </c>
      <c r="BI46" s="29">
        <v>0.5</v>
      </c>
      <c r="BJ46" s="29">
        <v>0</v>
      </c>
      <c r="BK46" s="29">
        <v>0</v>
      </c>
      <c r="BL46" s="29">
        <v>0</v>
      </c>
      <c r="BM46" s="29">
        <v>0.5</v>
      </c>
      <c r="BN46" s="29">
        <v>0.5</v>
      </c>
      <c r="BO46" s="29">
        <v>0</v>
      </c>
      <c r="CW46" s="37"/>
      <c r="GK46" s="8" t="s">
        <v>24</v>
      </c>
      <c r="GL46" s="32">
        <f t="shared" ref="GL46" ca="1" si="212">GL37/GL38</f>
        <v>0</v>
      </c>
    </row>
    <row r="47" spans="1:255" x14ac:dyDescent="0.2">
      <c r="A47" s="112"/>
      <c r="B47" s="33"/>
      <c r="C47" s="33"/>
      <c r="D47" s="33"/>
      <c r="E47" s="33"/>
      <c r="F47" s="33" t="s">
        <v>5</v>
      </c>
      <c r="G47" s="113"/>
      <c r="H47" s="113"/>
      <c r="I47" s="113"/>
      <c r="J47" s="113"/>
      <c r="K47" s="113"/>
      <c r="L47" s="123">
        <f>DIAG!$T$45/100</f>
        <v>0.1</v>
      </c>
      <c r="M47" s="99"/>
      <c r="N47" s="99" t="str">
        <f>IF(DIAG!$T$42,CONCATENATE("R = ",L47,CHAR(10),"ELR=",TRUNC((1-L47)/(L47),2)),"")</f>
        <v/>
      </c>
      <c r="O47" s="99">
        <f>IF(DIAG!$T$42,$L$47,-1)</f>
        <v>-1</v>
      </c>
      <c r="P47" s="99">
        <f>IF(DIAG!$T$42,$L$47,-1)</f>
        <v>-1</v>
      </c>
      <c r="Q47" s="99">
        <f>IF(DIAG!$T$42,$L$47,-1)</f>
        <v>-1</v>
      </c>
      <c r="R47" s="99">
        <f>IF(DIAG!$T$42,$L$47,-1)</f>
        <v>-1</v>
      </c>
      <c r="S47" s="99">
        <f>IF(DIAG!$T$42,$L$47,-1)</f>
        <v>-1</v>
      </c>
      <c r="T47" s="99">
        <f>IF(DIAG!$T$42,$L$47,-1)</f>
        <v>-1</v>
      </c>
      <c r="U47" s="99">
        <f>IF(DIAG!$T$42,$L$47,-1)</f>
        <v>-1</v>
      </c>
      <c r="V47" s="99">
        <f>IF(DIAG!$T$42,$L$47,-1)</f>
        <v>-1</v>
      </c>
      <c r="W47" s="99">
        <f>IF(DIAG!$T$42,$L$47,-1)</f>
        <v>-1</v>
      </c>
      <c r="X47" s="99">
        <f>IF(DIAG!$T$42,$L$47,-1)</f>
        <v>-1</v>
      </c>
      <c r="Y47" s="99">
        <f>IF(DIAG!$T$42,$L$47,-1)</f>
        <v>-1</v>
      </c>
      <c r="Z47" s="99">
        <f>IF(DIAG!$T$42,$L$47,-1)</f>
        <v>-1</v>
      </c>
      <c r="AA47" s="99">
        <f>IF(DIAG!$T$42,$L$47,-1)</f>
        <v>-1</v>
      </c>
      <c r="AB47" s="99">
        <f>IF(DIAG!$T$42,$L$47,-1)</f>
        <v>-1</v>
      </c>
      <c r="AC47" s="99">
        <f>IF(DIAG!$T$42,$L$47,-1)</f>
        <v>-1</v>
      </c>
      <c r="AD47" s="99">
        <f>IF(DIAG!$T$42,$L$47,-1)</f>
        <v>-1</v>
      </c>
      <c r="AE47" s="99">
        <f>IF(DIAG!$T$42,$L$47,-1)</f>
        <v>-1</v>
      </c>
      <c r="AF47" s="99">
        <f>IF(DIAG!$T$42,$L$47,-1)</f>
        <v>-1</v>
      </c>
      <c r="AG47" s="99">
        <f>IF(DIAG!$T$42,$L$47,-1)</f>
        <v>-1</v>
      </c>
      <c r="AH47" s="99">
        <f>IF(DIAG!$T$42,$L$47,-1)</f>
        <v>-1</v>
      </c>
      <c r="AI47" s="99">
        <f>IF(DIAG!$T$42,$L$47,-1)</f>
        <v>-1</v>
      </c>
      <c r="AN47" s="9" t="s">
        <v>75</v>
      </c>
      <c r="AP47" s="60">
        <f>IF(DIAG!$T$27,$GL$55,-1)</f>
        <v>-1</v>
      </c>
      <c r="AQ47" s="61">
        <f>AP47+(AY47-AP47)/9</f>
        <v>-1</v>
      </c>
      <c r="AR47" s="61">
        <f>AQ47+(AY47-AQ47)/8</f>
        <v>-1</v>
      </c>
      <c r="AS47" s="61">
        <f>AR47+(AY47-AR47)/7</f>
        <v>-1</v>
      </c>
      <c r="AT47" s="61">
        <f>AS47+(AY47-AS47)/6</f>
        <v>-1</v>
      </c>
      <c r="AU47" s="61">
        <f>AT47+(AY47-AT47)/5</f>
        <v>-1</v>
      </c>
      <c r="AV47" s="61">
        <f>AU47+(AY47-AU47)/4</f>
        <v>-1</v>
      </c>
      <c r="AW47" s="61">
        <f>AV47+(AY47-AV47)/3</f>
        <v>-1</v>
      </c>
      <c r="AX47" s="61">
        <f>AW47+(AY47-AW47)/2</f>
        <v>-1</v>
      </c>
      <c r="AY47" s="62">
        <f>IF(DIAG!$T$27,$H$26,-1)</f>
        <v>-1</v>
      </c>
      <c r="BE47" s="9" t="s">
        <v>100</v>
      </c>
      <c r="BF47" s="29">
        <v>-7.2499999999999912E-2</v>
      </c>
      <c r="BG47" s="29">
        <v>0.21750000000000003</v>
      </c>
      <c r="BH47" s="29">
        <v>0.21750000000000003</v>
      </c>
      <c r="BI47" s="29">
        <v>-7.2499999999999912E-2</v>
      </c>
      <c r="BJ47" s="29">
        <v>-7.2499999999999912E-2</v>
      </c>
      <c r="BK47" s="29">
        <v>-0.57999999999999996</v>
      </c>
      <c r="BL47" s="29">
        <v>-0.28999999999999998</v>
      </c>
      <c r="BM47" s="29">
        <v>-0.28999999999999998</v>
      </c>
      <c r="BN47" s="29">
        <v>-0.57999999999999996</v>
      </c>
      <c r="BO47" s="29">
        <v>-0.57999999999999996</v>
      </c>
      <c r="GK47" s="35" t="s">
        <v>25</v>
      </c>
      <c r="GL47" s="37">
        <f t="shared" ref="GL47" ca="1" si="213">GL44+GL45</f>
        <v>1</v>
      </c>
    </row>
    <row r="48" spans="1:255" x14ac:dyDescent="0.2">
      <c r="A48" s="82"/>
      <c r="B48" s="83"/>
      <c r="D48" s="84"/>
      <c r="E48" s="84"/>
      <c r="F48" s="84"/>
      <c r="G48" s="85"/>
      <c r="H48" s="85"/>
      <c r="I48" s="85"/>
      <c r="J48" s="85"/>
      <c r="K48" s="85"/>
      <c r="S48" s="34"/>
      <c r="T48" s="34"/>
      <c r="U48" s="34"/>
      <c r="V48" s="34"/>
      <c r="W48" s="34"/>
      <c r="X48" s="34"/>
      <c r="Y48" s="34"/>
      <c r="Z48" s="34"/>
      <c r="AA48" s="34"/>
      <c r="AB48" s="34"/>
      <c r="AP48" s="66">
        <f>IF(DIAG!$T$27,$GL$56,-1)</f>
        <v>-1</v>
      </c>
      <c r="AQ48" s="67">
        <f>AP48+(AY48-AP48)/9</f>
        <v>-1</v>
      </c>
      <c r="AR48" s="67">
        <f>AQ48+(AY48-AQ48)/8</f>
        <v>-1</v>
      </c>
      <c r="AS48" s="67">
        <f>AR48+(AY48-AR48)/7</f>
        <v>-1</v>
      </c>
      <c r="AT48" s="67">
        <f>AS48+(AY48-AS48)/6</f>
        <v>-1</v>
      </c>
      <c r="AU48" s="67">
        <f>AT48+(AY48-AT48)/5</f>
        <v>-1</v>
      </c>
      <c r="AV48" s="67">
        <f>AU48+(AY48-AU48)/4</f>
        <v>-1</v>
      </c>
      <c r="AW48" s="67">
        <f>AV48+(AY48-AV48)/3</f>
        <v>-1</v>
      </c>
      <c r="AX48" s="67">
        <f>AW48+(AY48-AW48)/2</f>
        <v>-1</v>
      </c>
      <c r="AY48" s="68">
        <f>IF(DIAG!$T$27,$H$27,-1)</f>
        <v>-1</v>
      </c>
      <c r="BE48" s="9" t="s">
        <v>101</v>
      </c>
      <c r="BF48" s="29">
        <v>0.125</v>
      </c>
      <c r="BG48" s="29">
        <v>0.125</v>
      </c>
      <c r="BH48" s="29">
        <v>0.375</v>
      </c>
      <c r="BI48" s="29">
        <v>0.375</v>
      </c>
      <c r="BJ48" s="29">
        <v>0.125</v>
      </c>
      <c r="BK48" s="29">
        <v>0</v>
      </c>
      <c r="BL48" s="29">
        <v>0</v>
      </c>
      <c r="BM48" s="29">
        <v>0.25</v>
      </c>
      <c r="BN48" s="29">
        <v>0.25</v>
      </c>
      <c r="BO48" s="29">
        <v>0</v>
      </c>
      <c r="GK48" s="35" t="s">
        <v>27</v>
      </c>
      <c r="GL48" s="37">
        <f t="shared" ref="GL48" ca="1" si="214">GL44+GL45+GL46</f>
        <v>1</v>
      </c>
    </row>
    <row r="49" spans="1:196" x14ac:dyDescent="0.2">
      <c r="A49" s="82"/>
      <c r="B49" s="83"/>
      <c r="D49" s="84"/>
      <c r="E49" s="84"/>
      <c r="F49" s="84"/>
      <c r="G49" s="85"/>
      <c r="H49" s="85"/>
      <c r="I49" s="85"/>
      <c r="J49" s="85"/>
      <c r="K49" s="85"/>
      <c r="S49" s="34"/>
      <c r="T49" s="34"/>
      <c r="U49" s="34"/>
      <c r="V49" s="34"/>
      <c r="W49" s="34"/>
      <c r="X49" s="34"/>
      <c r="Y49" s="34"/>
      <c r="Z49" s="34"/>
      <c r="AA49" s="34"/>
      <c r="AB49" s="34"/>
      <c r="GK49" s="41" t="s">
        <v>30</v>
      </c>
      <c r="GL49" s="43" t="e">
        <f t="shared" ref="GL49" ca="1" si="215">1/GL46</f>
        <v>#DIV/0!</v>
      </c>
    </row>
    <row r="50" spans="1:196" x14ac:dyDescent="0.2">
      <c r="A50" s="103" t="s">
        <v>79</v>
      </c>
      <c r="B50" s="104"/>
      <c r="C50" s="104"/>
      <c r="D50" s="104"/>
      <c r="E50" s="105"/>
      <c r="F50" s="105"/>
      <c r="G50" s="106"/>
      <c r="H50" s="106"/>
      <c r="I50" s="106"/>
      <c r="J50" s="106"/>
      <c r="K50" s="106"/>
      <c r="L50" s="90"/>
      <c r="M50" s="90"/>
      <c r="N50" s="88"/>
      <c r="O50" s="88"/>
      <c r="P50" s="124">
        <f t="shared" ref="P50:S50" si="216">B26</f>
        <v>9.6225044864937673E-2</v>
      </c>
      <c r="Q50" s="124">
        <f t="shared" si="216"/>
        <v>3.8490017945975043E-2</v>
      </c>
      <c r="R50" s="124">
        <f t="shared" si="216"/>
        <v>2.4056261216234449E-2</v>
      </c>
      <c r="S50" s="124">
        <f t="shared" si="216"/>
        <v>1.7495462702715917E-2</v>
      </c>
      <c r="T50" s="124">
        <f t="shared" ref="T50" si="217">F26</f>
        <v>1.3746434980705328E-2</v>
      </c>
      <c r="U50" s="124">
        <f t="shared" ref="U50" si="218">G26</f>
        <v>1.1320593513522034E-2</v>
      </c>
      <c r="V50" s="124">
        <f t="shared" ref="V50" si="219">H26</f>
        <v>9.6225044864937295E-3</v>
      </c>
      <c r="W50" s="124">
        <f t="shared" ref="W50:Y50" si="220">I26</f>
        <v>8.3673952056467875E-3</v>
      </c>
      <c r="X50" s="124">
        <f t="shared" si="220"/>
        <v>7.4019265280720996E-3</v>
      </c>
      <c r="Y50" s="125">
        <f t="shared" si="220"/>
        <v>6.6362099906854101E-3</v>
      </c>
      <c r="Z50" s="34"/>
      <c r="AA50" s="34"/>
      <c r="AB50" s="34"/>
      <c r="AN50" s="9" t="s">
        <v>76</v>
      </c>
      <c r="AP50" s="60">
        <f>IF(DIAG!$T$28,$GL$55,-1)</f>
        <v>-1</v>
      </c>
      <c r="AQ50" s="61">
        <f>AP50+(AY50-AP50)/9</f>
        <v>-1</v>
      </c>
      <c r="AR50" s="61">
        <f>AQ50+(AY50-AQ50)/8</f>
        <v>-1</v>
      </c>
      <c r="AS50" s="61">
        <f>AR50+(AY50-AR50)/7</f>
        <v>-1</v>
      </c>
      <c r="AT50" s="61">
        <f>AS50+(AY50-AS50)/6</f>
        <v>-1</v>
      </c>
      <c r="AU50" s="61">
        <f>AT50+(AY50-AT50)/5</f>
        <v>-1</v>
      </c>
      <c r="AV50" s="61">
        <f>AU50+(AY50-AU50)/4</f>
        <v>-1</v>
      </c>
      <c r="AW50" s="61">
        <f>AV50+(AY50-AV50)/3</f>
        <v>-1</v>
      </c>
      <c r="AX50" s="61">
        <f>AW50+(AY50-AW50)/2</f>
        <v>-1</v>
      </c>
      <c r="AY50" s="62">
        <f>IF(DIAG!$T$28,$I$26,-1)</f>
        <v>-1</v>
      </c>
      <c r="GK50" s="46" t="s">
        <v>31</v>
      </c>
      <c r="GL50" s="48">
        <f t="shared" ref="GL50" ca="1" si="221">GL46/(1-GL46)</f>
        <v>0</v>
      </c>
    </row>
    <row r="51" spans="1:196" x14ac:dyDescent="0.2">
      <c r="A51" s="109"/>
      <c r="N51" s="93" t="str">
        <f>B5</f>
        <v>1-Ponto1</v>
      </c>
      <c r="O51" s="93"/>
      <c r="P51" s="94">
        <f>B27</f>
        <v>0.16666666666666666</v>
      </c>
      <c r="Q51" s="93"/>
      <c r="R51" s="93"/>
      <c r="S51" s="93"/>
      <c r="T51" s="93"/>
      <c r="U51" s="93"/>
      <c r="V51" s="93"/>
      <c r="W51" s="93"/>
      <c r="X51" s="93"/>
      <c r="Y51" s="122"/>
      <c r="AP51" s="66">
        <f>IF(DIAG!$T$28,$GL$56,-1)</f>
        <v>-1</v>
      </c>
      <c r="AQ51" s="67">
        <f>AP51+(AY51-AP51)/9</f>
        <v>-1</v>
      </c>
      <c r="AR51" s="67">
        <f>AQ51+(AY51-AQ51)/8</f>
        <v>-1</v>
      </c>
      <c r="AS51" s="67">
        <f>AR51+(AY51-AR51)/7</f>
        <v>-1</v>
      </c>
      <c r="AT51" s="67">
        <f>AS51+(AY51-AS51)/6</f>
        <v>-1</v>
      </c>
      <c r="AU51" s="67">
        <f>AT51+(AY51-AT51)/5</f>
        <v>-1</v>
      </c>
      <c r="AV51" s="67">
        <f>AU51+(AY51-AU51)/4</f>
        <v>-1</v>
      </c>
      <c r="AW51" s="67">
        <f>AV51+(AY51-AV51)/3</f>
        <v>-1</v>
      </c>
      <c r="AX51" s="67">
        <f>AW51+(AY51-AW51)/2</f>
        <v>-1</v>
      </c>
      <c r="AY51" s="68">
        <f>IF(DIAG!$T$28,$I$27,-1)</f>
        <v>-1</v>
      </c>
      <c r="GK51" s="46" t="s">
        <v>32</v>
      </c>
      <c r="GL51" s="48">
        <f t="shared" ref="GL51" ca="1" si="222">(1-GL44)/GL44</f>
        <v>0</v>
      </c>
    </row>
    <row r="52" spans="1:196" x14ac:dyDescent="0.2">
      <c r="A52" s="109"/>
      <c r="N52" s="93" t="str">
        <f>C5</f>
        <v>2-Ponto2</v>
      </c>
      <c r="O52" s="93"/>
      <c r="P52" s="93"/>
      <c r="Q52" s="94">
        <f>C27</f>
        <v>0.26666666666666666</v>
      </c>
      <c r="R52" s="93"/>
      <c r="S52" s="93"/>
      <c r="T52" s="93"/>
      <c r="U52" s="93"/>
      <c r="V52" s="93"/>
      <c r="W52" s="93"/>
      <c r="X52" s="93"/>
      <c r="Y52" s="122"/>
      <c r="GK52" s="51" t="s">
        <v>20</v>
      </c>
      <c r="GL52" s="52" t="e">
        <f t="shared" ref="GL52" ca="1" si="223">GL49/GL51</f>
        <v>#DIV/0!</v>
      </c>
    </row>
    <row r="53" spans="1:196" x14ac:dyDescent="0.2">
      <c r="A53" s="109"/>
      <c r="N53" s="93" t="str">
        <f>D5</f>
        <v>3-Ponto3</v>
      </c>
      <c r="O53" s="93"/>
      <c r="P53" s="93"/>
      <c r="Q53" s="93"/>
      <c r="R53" s="94">
        <f>D27</f>
        <v>0.29166666666666669</v>
      </c>
      <c r="S53" s="93"/>
      <c r="T53" s="93"/>
      <c r="U53" s="93"/>
      <c r="V53" s="93"/>
      <c r="W53" s="93"/>
      <c r="X53" s="93"/>
      <c r="Y53" s="122"/>
      <c r="AN53" s="9" t="s">
        <v>77</v>
      </c>
      <c r="AP53" s="60">
        <f>IF(DIAG!$T$29,$GL$55,-1)</f>
        <v>-1</v>
      </c>
      <c r="AQ53" s="61">
        <f>AP53+(AY53-AP53)/9</f>
        <v>-1</v>
      </c>
      <c r="AR53" s="61">
        <f>AQ53+(AY53-AQ53)/8</f>
        <v>-1</v>
      </c>
      <c r="AS53" s="61">
        <f>AR53+(AY53-AR53)/7</f>
        <v>-1</v>
      </c>
      <c r="AT53" s="61">
        <f>AS53+(AY53-AS53)/6</f>
        <v>-1</v>
      </c>
      <c r="AU53" s="61">
        <f>AT53+(AY53-AT53)/5</f>
        <v>-1</v>
      </c>
      <c r="AV53" s="61">
        <f>AU53+(AY53-AU53)/4</f>
        <v>-1</v>
      </c>
      <c r="AW53" s="61">
        <f>AV53+(AY53-AV53)/3</f>
        <v>-1</v>
      </c>
      <c r="AX53" s="61">
        <f>AW53+(AY53-AW53)/2</f>
        <v>-1</v>
      </c>
      <c r="AY53" s="62">
        <f>IF(DIAG!$T$29,$J$26,-1)</f>
        <v>-1</v>
      </c>
      <c r="GK53" s="210" t="s">
        <v>33</v>
      </c>
      <c r="GL53" s="209"/>
      <c r="GM53" s="211"/>
      <c r="GN53" s="211"/>
    </row>
    <row r="54" spans="1:196" x14ac:dyDescent="0.2">
      <c r="A54" s="109"/>
      <c r="N54" s="93" t="str">
        <f>E5</f>
        <v>4-Ponto4</v>
      </c>
      <c r="O54" s="93"/>
      <c r="P54" s="93"/>
      <c r="Q54" s="93"/>
      <c r="R54" s="93"/>
      <c r="S54" s="94">
        <f>E27</f>
        <v>0.30303030303030304</v>
      </c>
      <c r="T54" s="93"/>
      <c r="U54" s="93"/>
      <c r="V54" s="93"/>
      <c r="W54" s="93"/>
      <c r="X54" s="93"/>
      <c r="Y54" s="122"/>
      <c r="AP54" s="66">
        <f>IF(DIAG!$T$29,$GL$56,-1)</f>
        <v>-1</v>
      </c>
      <c r="AQ54" s="67">
        <f>AP54+(AY54-AP54)/9</f>
        <v>-1</v>
      </c>
      <c r="AR54" s="67">
        <f>AQ54+(AY54-AQ54)/8</f>
        <v>-1</v>
      </c>
      <c r="AS54" s="67">
        <f>AR54+(AY54-AR54)/7</f>
        <v>-1</v>
      </c>
      <c r="AT54" s="67">
        <f>AS54+(AY54-AS54)/6</f>
        <v>-1</v>
      </c>
      <c r="AU54" s="67">
        <f>AT54+(AY54-AT54)/5</f>
        <v>-1</v>
      </c>
      <c r="AV54" s="67">
        <f>AU54+(AY54-AU54)/4</f>
        <v>-1</v>
      </c>
      <c r="AW54" s="67">
        <f>AV54+(AY54-AV54)/3</f>
        <v>-1</v>
      </c>
      <c r="AX54" s="67">
        <f>AW54+(AY54-AW54)/2</f>
        <v>-1</v>
      </c>
      <c r="AY54" s="68">
        <f>IF(DIAG!$T$29,$J$27,-1)</f>
        <v>-1</v>
      </c>
      <c r="GK54" s="55" t="s">
        <v>34</v>
      </c>
      <c r="GL54" s="13" t="str">
        <f t="shared" ref="GL54" si="224">GL34</f>
        <v>Simergia</v>
      </c>
    </row>
    <row r="55" spans="1:196" ht="15.75" x14ac:dyDescent="0.3">
      <c r="A55" s="109"/>
      <c r="N55" s="93" t="str">
        <f>F5</f>
        <v>5-Ponto5</v>
      </c>
      <c r="O55" s="93"/>
      <c r="P55" s="93"/>
      <c r="Q55" s="93"/>
      <c r="R55" s="93"/>
      <c r="S55" s="93"/>
      <c r="T55" s="94"/>
      <c r="U55" s="93"/>
      <c r="V55" s="93"/>
      <c r="W55" s="93"/>
      <c r="X55" s="93"/>
      <c r="Y55" s="122"/>
      <c r="GK55" s="57" t="s">
        <v>109</v>
      </c>
      <c r="GL55" s="37">
        <f t="shared" ref="GL55" ca="1" si="225">(2*GL46+GL44-1)/SQRT(3)</f>
        <v>0</v>
      </c>
    </row>
    <row r="56" spans="1:196" ht="15.75" x14ac:dyDescent="0.3">
      <c r="A56" s="109"/>
      <c r="B56" s="10">
        <v>1</v>
      </c>
      <c r="C56" s="10">
        <v>2</v>
      </c>
      <c r="D56" s="10">
        <v>3</v>
      </c>
      <c r="E56" s="10">
        <v>4</v>
      </c>
      <c r="F56" s="10">
        <v>5</v>
      </c>
      <c r="N56" s="93" t="str">
        <f>G5</f>
        <v>6-Ponto6</v>
      </c>
      <c r="O56" s="93"/>
      <c r="P56" s="93"/>
      <c r="Q56" s="93"/>
      <c r="R56" s="93"/>
      <c r="S56" s="93"/>
      <c r="T56" s="93"/>
      <c r="U56" s="94"/>
      <c r="V56" s="93"/>
      <c r="W56" s="93"/>
      <c r="X56" s="93"/>
      <c r="Y56" s="122"/>
      <c r="AN56" s="9" t="s">
        <v>78</v>
      </c>
      <c r="AP56" s="60">
        <f>IF(DIAG!$T$30,$GL$55,-1)</f>
        <v>-1</v>
      </c>
      <c r="AQ56" s="61">
        <f>AP56+(AY56-AP56)/9</f>
        <v>-1</v>
      </c>
      <c r="AR56" s="61">
        <f>AQ56+(AY56-AQ56)/8</f>
        <v>-1</v>
      </c>
      <c r="AS56" s="61">
        <v>-0.5</v>
      </c>
      <c r="AT56" s="61">
        <v>-1</v>
      </c>
      <c r="AU56" s="61"/>
      <c r="AV56" s="61"/>
      <c r="AW56" s="61"/>
      <c r="AX56" s="61">
        <f>AW56+(AY56-AW56)/2</f>
        <v>-0.5</v>
      </c>
      <c r="AY56" s="62">
        <f>IF(DIAG!$T$30,$K$26,-1)</f>
        <v>-1</v>
      </c>
      <c r="GK56" s="63" t="s">
        <v>110</v>
      </c>
      <c r="GL56" s="37">
        <f>IF(OR(DIAG!G239,DIAG!G240,DIAG!G241,DIAG!G242,DIAG!G243,DIAG!G244,DIAG!G245,DIAG!G246,DIAG!G247,DIAG!G248,DIAG!G249,DIAG!G250,DIAG!G251,DIAG!G252,DIAG!G253,DIAG!G254,DIAG!G255,DIAG!G256,DIAG!G257,DIAG!G258,DIAG!G259,DIAG!G260,DIAG!G261,DIAG!G262,DIAG!G263,DIAG!G264,DIAG!G265,DIAG!G266,DIAG!G267,DIAG!G268,DIAG!G269,DIAG!G270,DIAG!G271,DIAG!G272,DIAG!G273,DIAG!G274,DIAG!G275,DIAG!G276,DIAG!G277,DIAG!G278,DIAG!G279,DIAG!G280,DIAG!G281,DIAG!G282,DIAG!G283,DIAG!G284,DIAG!G285,DIAG!G286,DIAG!G287,DIAG!G288,DIAG!G289,DIAG!G290,DIAG!G291,DIAG!G292,DIAG!G293,DIAG!G294,DIAG!G295,DIAG!G296,DIAG!G297,DIAG!G298,DIAG!G299,DIAG!G300,DIAG!G301,DIAG!G302,DIAG!G303,DIAG!G304,DIAG!G305,DIAG!G306,DIAG!G307,DIAG!G308,DIAG!G309,DIAG!G310,DIAG!G311,DIAG!G312,DIAG!G313,DIAG!G314,DIAG!G315,DIAG!G316,DIAG!G317,DIAG!G318,DIAG!G319,DIAG!G320,DIAG!G321,DIAG!G322,DIAG!G323,DIAG!G324,DIAG!G325,DIAG!G326,DIAG!G327,DIAG!G328,DIAG!G329,DIAG!G330,DIAG!G331,DIAG!G332,DIAG!G333,DIAG!G334,DIAG!G335,DIAG!G336,DIAG!G337,DIAG!G338,DIAG!G339,DIAG!G340,DIAG!G341,DIAG!G342,DIAG!G343,DIAG!G344,DIAG!G345,DIAG!G346,DIAG!G347,DIAG!G348,DIAG!G349,DIAG!G350,DIAG!G351,DIAG!G352,DIAG!G353,DIAG!G354,DIAG!G355,DIAG!G356,DIAG!G357,DIAG!G358,DIAG!G359,DIAG!G360,DIAG!G361,DIAG!G362,DIAG!G363,DIAG!G364,DIAG!G365,DIAG!G366,DIAG!G367,DIAG!G368,DIAG!G369,DIAG!G370,DIAG!G371,DIAG!G372,DIAG!G373,DIAG!G374,DIAG!G375,DIAG!G376,DIAG!G377,DIAG!G378,DIAG!G379,DIAG!G380,DIAG!G381,DIAG!G382,DIAG!G383,DIAG!G384,DIAG!G385,DIAG!G386,DIAG!G387,DIAG!G388,DIAG!G389,DIAG!G390,DIAG!G391,DIAG!G392,DIAG!G393,DIAG!G394,DIAG!G395,DIAG!G396,DIAG!G397,DIAG!G398,DIAG!G399,DIAG!G400,DIAG!G401,DIAG!G402,DIAG!G403,DIAG!G404,DIAG!G405,DIAG!G406,DIAG!G407,DIAG!G408,DIAG!G409,DIAG!G410,DIAG!G411,DIAG!G412,DIAG!G413,DIAG!G414,DIAG!G415,DIAG!G416,DIAG!G417,DIAG!G418,DIAG!G419,DIAG!G420,DIAG!G421,DIAG!G422,DIAG!G423,DIAG!G424,DIAG!G425,DIAG!G426,DIAG!G427,DIAG!G428,DIAG!G429,DIAG!G430,DIAG!G431,DIAG!G432,DIAG!G433,DIAG!G434,DIAG!G435,DIAG!G436,DIAG!G437,DIAG!G438),GL44,-1)</f>
        <v>-1</v>
      </c>
    </row>
    <row r="57" spans="1:196" x14ac:dyDescent="0.2">
      <c r="A57" s="109"/>
      <c r="B57" s="10"/>
      <c r="C57" s="10"/>
      <c r="D57" s="10"/>
      <c r="E57" s="10"/>
      <c r="F57" s="10"/>
      <c r="N57" s="93" t="str">
        <f>H5</f>
        <v>7-Ponto7</v>
      </c>
      <c r="O57" s="93"/>
      <c r="P57" s="93"/>
      <c r="Q57" s="93"/>
      <c r="R57" s="93"/>
      <c r="S57" s="93"/>
      <c r="T57" s="94">
        <f>F27</f>
        <v>0.30952380952380953</v>
      </c>
      <c r="U57" s="94">
        <v>0.31372549019607798</v>
      </c>
      <c r="V57" s="94">
        <f>H27</f>
        <v>0.31666666666666665</v>
      </c>
      <c r="W57" s="93"/>
      <c r="X57" s="93"/>
      <c r="Y57" s="122"/>
      <c r="AP57" s="66">
        <f>IF(DIAG!$T$30,$GL$56,-1)</f>
        <v>-1</v>
      </c>
      <c r="AQ57" s="67">
        <f>AP57+(AY57-AP57)/9</f>
        <v>-1</v>
      </c>
      <c r="AR57" s="67">
        <f>AQ57+(AY57-AQ57)/8</f>
        <v>-1</v>
      </c>
      <c r="AS57" s="67">
        <v>-0.5</v>
      </c>
      <c r="AT57" s="67">
        <v>-1</v>
      </c>
      <c r="AU57" s="67"/>
      <c r="AV57" s="67"/>
      <c r="AW57" s="67"/>
      <c r="AX57" s="67">
        <f>AW57+(AY57-AW57)/2</f>
        <v>-0.5</v>
      </c>
      <c r="AY57" s="68">
        <f>IF(DIAG!$T$30,$K$27,-1)</f>
        <v>-1</v>
      </c>
    </row>
    <row r="58" spans="1:196" x14ac:dyDescent="0.2">
      <c r="A58" s="109"/>
      <c r="B58" s="10"/>
      <c r="C58" s="10"/>
      <c r="D58" s="10"/>
      <c r="E58" s="10"/>
      <c r="F58" s="10"/>
      <c r="N58" s="93" t="str">
        <f>I5</f>
        <v>8-Ponto8</v>
      </c>
      <c r="O58" s="93"/>
      <c r="P58" s="93"/>
      <c r="Q58" s="93"/>
      <c r="R58" s="93"/>
      <c r="S58" s="93"/>
      <c r="T58" s="93"/>
      <c r="U58" s="94"/>
      <c r="V58" s="93"/>
      <c r="W58" s="94">
        <f>I27</f>
        <v>0.3188405797101449</v>
      </c>
      <c r="X58" s="93"/>
      <c r="Y58" s="122"/>
    </row>
    <row r="59" spans="1:196" x14ac:dyDescent="0.2">
      <c r="A59" s="109"/>
      <c r="B59" s="10"/>
      <c r="C59" s="10"/>
      <c r="D59" s="10"/>
      <c r="E59" s="10"/>
      <c r="F59" s="10"/>
      <c r="N59" s="93" t="str">
        <f>J5</f>
        <v>9-Ponto9</v>
      </c>
      <c r="O59" s="93"/>
      <c r="P59" s="93"/>
      <c r="Q59" s="93"/>
      <c r="R59" s="93"/>
      <c r="S59" s="93"/>
      <c r="T59" s="93"/>
      <c r="U59" s="94"/>
      <c r="V59" s="93"/>
      <c r="W59" s="93"/>
      <c r="X59" s="94">
        <f>J27</f>
        <v>0.32051282051282054</v>
      </c>
      <c r="Y59" s="122"/>
    </row>
    <row r="60" spans="1:196" x14ac:dyDescent="0.2">
      <c r="A60" s="112"/>
      <c r="B60" s="113"/>
      <c r="C60" s="113"/>
      <c r="D60" s="113"/>
      <c r="E60" s="113"/>
      <c r="F60" s="113"/>
      <c r="G60" s="113"/>
      <c r="H60" s="113"/>
      <c r="I60" s="113"/>
      <c r="J60" s="113"/>
      <c r="K60" s="113"/>
      <c r="L60" s="33"/>
      <c r="M60" s="33"/>
      <c r="N60" s="99" t="str">
        <f>K5</f>
        <v>10-Ponto10</v>
      </c>
      <c r="O60" s="99"/>
      <c r="P60" s="99"/>
      <c r="Q60" s="99"/>
      <c r="R60" s="99"/>
      <c r="S60" s="99"/>
      <c r="T60" s="99"/>
      <c r="U60" s="100"/>
      <c r="V60" s="99"/>
      <c r="W60" s="99"/>
      <c r="X60" s="99"/>
      <c r="Y60" s="126">
        <f>K27</f>
        <v>0.32183908045977011</v>
      </c>
    </row>
    <row r="61" spans="1:196" x14ac:dyDescent="0.2">
      <c r="A61" s="82"/>
      <c r="B61" s="83"/>
      <c r="D61" s="84"/>
      <c r="E61" s="84"/>
      <c r="F61" s="84"/>
      <c r="G61" s="85"/>
      <c r="H61" s="85"/>
      <c r="I61" s="85"/>
      <c r="J61" s="85"/>
      <c r="K61" s="85"/>
      <c r="S61" s="34"/>
      <c r="T61" s="34"/>
      <c r="U61" s="34"/>
      <c r="V61" s="34"/>
      <c r="W61" s="34"/>
      <c r="X61" s="34"/>
      <c r="Y61" s="34"/>
      <c r="Z61" s="34"/>
      <c r="AA61" s="34"/>
      <c r="AB61" s="34"/>
      <c r="AM61" s="9" t="s">
        <v>108</v>
      </c>
    </row>
    <row r="62" spans="1:196" x14ac:dyDescent="0.2">
      <c r="A62" s="82"/>
      <c r="B62" s="83"/>
      <c r="D62" s="84"/>
      <c r="E62" s="84"/>
      <c r="F62" s="84"/>
      <c r="G62" s="85"/>
      <c r="H62" s="85"/>
      <c r="I62" s="85"/>
      <c r="J62" s="85"/>
      <c r="K62" s="85"/>
      <c r="S62" s="34"/>
      <c r="T62" s="34"/>
      <c r="U62" s="34"/>
      <c r="V62" s="34"/>
      <c r="W62" s="34"/>
      <c r="X62" s="34"/>
      <c r="Y62" s="34"/>
      <c r="Z62" s="34"/>
      <c r="AA62" s="34"/>
      <c r="AB62" s="34"/>
    </row>
    <row r="63" spans="1:196" x14ac:dyDescent="0.2">
      <c r="A63" s="82"/>
      <c r="B63" s="83"/>
      <c r="D63" s="84"/>
      <c r="E63" s="84"/>
      <c r="F63" s="84"/>
      <c r="G63" s="85"/>
      <c r="H63" s="85"/>
      <c r="I63" s="85"/>
      <c r="J63" s="85"/>
      <c r="K63" s="85"/>
      <c r="O63" s="10"/>
      <c r="P63" s="10"/>
      <c r="Q63" s="10"/>
      <c r="R63" s="10"/>
      <c r="S63" s="10"/>
      <c r="T63" s="10"/>
      <c r="U63" s="10"/>
      <c r="V63" s="10"/>
      <c r="W63" s="10"/>
      <c r="X63" s="10"/>
      <c r="Y63" s="10"/>
      <c r="Z63" s="10"/>
      <c r="AA63" s="10"/>
      <c r="AB63" s="10"/>
      <c r="AC63" s="10"/>
      <c r="AD63" s="10"/>
      <c r="AE63" s="10"/>
      <c r="AF63" s="10"/>
      <c r="AG63" s="10"/>
    </row>
    <row r="64" spans="1:196" x14ac:dyDescent="0.2">
      <c r="A64" s="103" t="s">
        <v>4</v>
      </c>
      <c r="B64" s="104"/>
      <c r="C64" s="104"/>
      <c r="D64" s="105"/>
      <c r="E64" s="105"/>
      <c r="F64" s="84"/>
      <c r="G64" s="85"/>
      <c r="H64" s="85"/>
      <c r="I64" s="85"/>
      <c r="J64" s="85"/>
      <c r="K64" s="85"/>
      <c r="M64" s="93"/>
      <c r="N64" s="93" t="s">
        <v>80</v>
      </c>
      <c r="O64" s="110">
        <f>[1]DIAG!$T$51</f>
        <v>1</v>
      </c>
      <c r="P64" s="93"/>
      <c r="Q64" s="93"/>
      <c r="R64" s="93"/>
      <c r="S64" s="93"/>
      <c r="T64" s="93"/>
      <c r="U64" s="93"/>
      <c r="V64" s="93"/>
      <c r="W64" s="93"/>
      <c r="X64" s="93"/>
      <c r="Y64" s="93"/>
      <c r="Z64" s="94"/>
      <c r="AA64" s="94"/>
      <c r="AB64" s="94"/>
      <c r="AC64" s="93"/>
      <c r="AD64" s="93"/>
      <c r="AE64" s="93"/>
      <c r="AF64" s="93"/>
      <c r="AG64" s="93"/>
      <c r="AM64" s="93"/>
      <c r="AN64" s="93" t="s">
        <v>80</v>
      </c>
      <c r="AO64" s="110">
        <v>1</v>
      </c>
      <c r="AP64" s="93"/>
      <c r="AQ64" s="93"/>
      <c r="AR64" s="93"/>
      <c r="AS64" s="93"/>
      <c r="AT64" s="93"/>
      <c r="AU64" s="93"/>
      <c r="AV64" s="93"/>
      <c r="AW64" s="93"/>
      <c r="AX64" s="93"/>
      <c r="AY64" s="93"/>
      <c r="AZ64" s="94"/>
      <c r="BA64" s="94"/>
      <c r="BB64" s="94"/>
      <c r="BC64" s="93"/>
      <c r="BD64" s="93"/>
      <c r="BE64" s="93"/>
      <c r="BF64" s="93"/>
      <c r="BG64" s="93"/>
    </row>
    <row r="65" spans="1:59" x14ac:dyDescent="0.2">
      <c r="A65" s="82"/>
      <c r="B65" s="83"/>
      <c r="D65" s="84"/>
      <c r="E65" s="84"/>
      <c r="F65" s="84"/>
      <c r="G65" s="85"/>
      <c r="H65" s="85"/>
      <c r="I65" s="85"/>
      <c r="J65" s="85"/>
      <c r="K65" s="85"/>
      <c r="M65" s="57">
        <f>O64</f>
        <v>1</v>
      </c>
      <c r="N65" s="88" t="s">
        <v>53</v>
      </c>
      <c r="O65" s="89">
        <f t="shared" ref="O65:AG65" si="226">(2*O66*($M65+1)-$M65-$M65*O66^2)/(SQRT(3)*$M65*(1-O66))</f>
        <v>-1.7320508075688774</v>
      </c>
      <c r="P65" s="89">
        <f t="shared" si="226"/>
        <v>-1.7320508075688774</v>
      </c>
      <c r="Q65" s="89">
        <f t="shared" si="226"/>
        <v>-1.7320508075688774</v>
      </c>
      <c r="R65" s="89">
        <f t="shared" si="226"/>
        <v>-1.7320508075688774</v>
      </c>
      <c r="S65" s="89">
        <f t="shared" si="226"/>
        <v>-1.7320508075688774</v>
      </c>
      <c r="T65" s="89">
        <f t="shared" si="226"/>
        <v>-1.7320508075688774</v>
      </c>
      <c r="U65" s="89">
        <f t="shared" si="226"/>
        <v>-1.7320508075688774</v>
      </c>
      <c r="V65" s="89">
        <f t="shared" si="226"/>
        <v>-1.7320508075688774</v>
      </c>
      <c r="W65" s="89">
        <f t="shared" si="226"/>
        <v>-1.7320508075688774</v>
      </c>
      <c r="X65" s="89">
        <f t="shared" si="226"/>
        <v>-1.7320508075688774</v>
      </c>
      <c r="Y65" s="89">
        <f t="shared" si="226"/>
        <v>-1.7320508075688774</v>
      </c>
      <c r="Z65" s="89">
        <f t="shared" si="226"/>
        <v>-1.7320508075688774</v>
      </c>
      <c r="AA65" s="89">
        <f t="shared" si="226"/>
        <v>-1.7320508075688774</v>
      </c>
      <c r="AB65" s="89">
        <f t="shared" si="226"/>
        <v>-1.7320508075688774</v>
      </c>
      <c r="AC65" s="89">
        <f t="shared" si="226"/>
        <v>-1.7320508075688774</v>
      </c>
      <c r="AD65" s="89">
        <f t="shared" si="226"/>
        <v>-1.7320508075688774</v>
      </c>
      <c r="AE65" s="89">
        <f t="shared" si="226"/>
        <v>-1.7320508075688774</v>
      </c>
      <c r="AF65" s="89">
        <f t="shared" si="226"/>
        <v>-1.7320508075688774</v>
      </c>
      <c r="AG65" s="127">
        <f t="shared" si="226"/>
        <v>-1.7320508075688774</v>
      </c>
      <c r="AM65" s="57">
        <f>AO64</f>
        <v>1</v>
      </c>
      <c r="AN65" s="88" t="s">
        <v>53</v>
      </c>
      <c r="AO65" s="89">
        <f t="shared" ref="AO65:BG65" si="227">(2*AO66*($M65+1)-$M65-$M65*AO66^2)/(SQRT(3)*$M65*(1-AO66))</f>
        <v>-1.7320508075688774</v>
      </c>
      <c r="AP65" s="89">
        <f t="shared" si="227"/>
        <v>-1.7320508075688774</v>
      </c>
      <c r="AQ65" s="89">
        <f t="shared" si="227"/>
        <v>-1.7320508075688774</v>
      </c>
      <c r="AR65" s="89">
        <f t="shared" si="227"/>
        <v>-1.7320508075688774</v>
      </c>
      <c r="AS65" s="89">
        <f t="shared" si="227"/>
        <v>-1.7320508075688774</v>
      </c>
      <c r="AT65" s="89">
        <f t="shared" si="227"/>
        <v>-1.7320508075688774</v>
      </c>
      <c r="AU65" s="89">
        <f t="shared" si="227"/>
        <v>-1.7320508075688774</v>
      </c>
      <c r="AV65" s="89">
        <f t="shared" si="227"/>
        <v>-1.7320508075688774</v>
      </c>
      <c r="AW65" s="89">
        <f t="shared" si="227"/>
        <v>-1.7320508075688774</v>
      </c>
      <c r="AX65" s="89">
        <f t="shared" si="227"/>
        <v>-1.7320508075688774</v>
      </c>
      <c r="AY65" s="89">
        <f t="shared" si="227"/>
        <v>-1.7320508075688774</v>
      </c>
      <c r="AZ65" s="89">
        <f t="shared" si="227"/>
        <v>-1.7320508075688774</v>
      </c>
      <c r="BA65" s="89">
        <f t="shared" si="227"/>
        <v>-1.7320508075688774</v>
      </c>
      <c r="BB65" s="89">
        <f t="shared" si="227"/>
        <v>-1.7320508075688774</v>
      </c>
      <c r="BC65" s="89">
        <f t="shared" si="227"/>
        <v>-1.7320508075688774</v>
      </c>
      <c r="BD65" s="89">
        <f t="shared" si="227"/>
        <v>-1.7320508075688774</v>
      </c>
      <c r="BE65" s="89">
        <f t="shared" si="227"/>
        <v>-1.7320508075688774</v>
      </c>
      <c r="BF65" s="89">
        <f t="shared" si="227"/>
        <v>-1.7320508075688774</v>
      </c>
      <c r="BG65" s="127">
        <f t="shared" si="227"/>
        <v>-1.7320508075688774</v>
      </c>
    </row>
    <row r="66" spans="1:59" x14ac:dyDescent="0.2">
      <c r="A66" s="82"/>
      <c r="B66" s="83"/>
      <c r="D66" s="84"/>
      <c r="E66" s="84"/>
      <c r="F66" s="84"/>
      <c r="G66" s="85"/>
      <c r="H66" s="85"/>
      <c r="I66" s="85"/>
      <c r="J66" s="85"/>
      <c r="K66" s="85"/>
      <c r="M66" s="98" t="str">
        <f>CONCATENATE("SI=",O64)</f>
        <v>SI=1</v>
      </c>
      <c r="N66" s="99" t="s">
        <v>54</v>
      </c>
      <c r="O66" s="114">
        <f>IF(DIAG!T48,0,-1)</f>
        <v>-1</v>
      </c>
      <c r="P66" s="114">
        <f>IF(DIAG!$T$48,$AG$67*P75,-1)</f>
        <v>-1</v>
      </c>
      <c r="Q66" s="114">
        <f>IF(DIAG!$T$48,$AG$67*Q75,-1)</f>
        <v>-1</v>
      </c>
      <c r="R66" s="114">
        <f>IF(DIAG!$T$48,$AG$67*R75,-1)</f>
        <v>-1</v>
      </c>
      <c r="S66" s="114">
        <f>IF(DIAG!$T$48,$AG$67*S75,-1)</f>
        <v>-1</v>
      </c>
      <c r="T66" s="114">
        <f>IF(DIAG!$T$48,$AG$67*T75,-1)</f>
        <v>-1</v>
      </c>
      <c r="U66" s="114">
        <f>IF(DIAG!$T$48,$AG$67*U75,-1)</f>
        <v>-1</v>
      </c>
      <c r="V66" s="114">
        <f>IF(DIAG!$T$48,$AG$67*V75,-1)</f>
        <v>-1</v>
      </c>
      <c r="W66" s="114">
        <f>IF(DIAG!$T$48,$AG$67*W75,-1)</f>
        <v>-1</v>
      </c>
      <c r="X66" s="114">
        <f>IF(DIAG!$T$48,$AG$67*X75,-1)</f>
        <v>-1</v>
      </c>
      <c r="Y66" s="114">
        <f>IF(DIAG!$T$48,$AG$67*Y75,-1)</f>
        <v>-1</v>
      </c>
      <c r="Z66" s="114">
        <f>IF(DIAG!$T$48,$AG$67*Z75,-1)</f>
        <v>-1</v>
      </c>
      <c r="AA66" s="114">
        <f>IF(DIAG!$T$48,$AG$67*AA75,-1)</f>
        <v>-1</v>
      </c>
      <c r="AB66" s="114">
        <f>IF(DIAG!$T$48,$AG$67*AB75,-1)</f>
        <v>-1</v>
      </c>
      <c r="AC66" s="114">
        <f>IF(DIAG!$T$48,$AG$67*AC75,-1)</f>
        <v>-1</v>
      </c>
      <c r="AD66" s="114">
        <f>IF(DIAG!$T$48,$AG$67*AD75,-1)</f>
        <v>-1</v>
      </c>
      <c r="AE66" s="114">
        <f>IF(DIAG!$T$48,$AG$67*AE75,-1)</f>
        <v>-1</v>
      </c>
      <c r="AF66" s="114">
        <f>IF(DIAG!$T$48,$AG$67*AF75,-1)</f>
        <v>-1</v>
      </c>
      <c r="AG66" s="128">
        <f>IF(DIAG!T48,((2*$M$65+1-SQRT(4*$M$65+1))/($M$65*2))*DIAG!$T$48,-1)</f>
        <v>-1</v>
      </c>
      <c r="AM66" s="98" t="str">
        <f>CONCATENATE("SI=",AO64)</f>
        <v>SI=1</v>
      </c>
      <c r="AN66" s="99" t="s">
        <v>54</v>
      </c>
      <c r="AO66" s="101">
        <f>IF(DIAG!X44,0,-1)</f>
        <v>-1</v>
      </c>
      <c r="AP66" s="101">
        <f>IF(DIAG!$X44,$BG$67*AP73,-1)</f>
        <v>-1</v>
      </c>
      <c r="AQ66" s="101">
        <f>IF(DIAG!$X44,$BG$67*AQ73,-1)</f>
        <v>-1</v>
      </c>
      <c r="AR66" s="101">
        <f>IF(DIAG!$X44,$BG$67*AR73,-1)</f>
        <v>-1</v>
      </c>
      <c r="AS66" s="101">
        <f>IF(DIAG!$X44,$BG$67*AS73,-1)</f>
        <v>-1</v>
      </c>
      <c r="AT66" s="101">
        <f>IF(DIAG!$X44,$BG$67*AT73,-1)</f>
        <v>-1</v>
      </c>
      <c r="AU66" s="101">
        <f>IF(DIAG!$X44,$BG$67*AU73,-1)</f>
        <v>-1</v>
      </c>
      <c r="AV66" s="101">
        <f>IF(DIAG!$X44,$BG$67*AV73,-1)</f>
        <v>-1</v>
      </c>
      <c r="AW66" s="101">
        <f>IF(DIAG!$X44,$BG$67*AW73,-1)</f>
        <v>-1</v>
      </c>
      <c r="AX66" s="101">
        <f>IF(DIAG!$X44,$BG$67*AX73,-1)</f>
        <v>-1</v>
      </c>
      <c r="AY66" s="101">
        <f>IF(DIAG!$X44,$BG$67*AY73,-1)</f>
        <v>-1</v>
      </c>
      <c r="AZ66" s="101">
        <f>IF(DIAG!$X44,$BG$67*AZ73,-1)</f>
        <v>-1</v>
      </c>
      <c r="BA66" s="101">
        <f>IF(DIAG!$X44,$BG$67*BA73,-1)</f>
        <v>-1</v>
      </c>
      <c r="BB66" s="101">
        <f>IF(DIAG!$X44,$BG$67*BB73,-1)</f>
        <v>-1</v>
      </c>
      <c r="BC66" s="101">
        <f>IF(DIAG!$X44,$BG$67*BC73,-1)</f>
        <v>-1</v>
      </c>
      <c r="BD66" s="101">
        <f>IF(DIAG!$X44,$BG$67*BD73,-1)</f>
        <v>-1</v>
      </c>
      <c r="BE66" s="101">
        <f>IF(DIAG!$X44,$BG$67*BE73,-1)</f>
        <v>-1</v>
      </c>
      <c r="BF66" s="101">
        <f>IF(DIAG!$X44,$BG$67*BF73,-1)</f>
        <v>-1</v>
      </c>
      <c r="BG66" s="129">
        <f>IF(DIAG!X44,((2*$M$65+1-SQRT(4*$M$65+1))/($M$65*2))*DIAG!$X44,-1)</f>
        <v>-1</v>
      </c>
    </row>
    <row r="67" spans="1:59" x14ac:dyDescent="0.2">
      <c r="A67" s="82"/>
      <c r="B67" s="83"/>
      <c r="D67" s="84"/>
      <c r="E67" s="84"/>
      <c r="F67" s="84"/>
      <c r="G67" s="85"/>
      <c r="H67" s="85"/>
      <c r="I67" s="85"/>
      <c r="J67" s="85"/>
      <c r="K67" s="85"/>
      <c r="O67" s="10"/>
      <c r="P67" s="10"/>
      <c r="Q67" s="10"/>
      <c r="R67" s="10"/>
      <c r="S67" s="10"/>
      <c r="T67" s="10"/>
      <c r="U67" s="10"/>
      <c r="V67" s="10"/>
      <c r="W67" s="10"/>
      <c r="X67" s="10"/>
      <c r="Y67" s="10"/>
      <c r="Z67" s="10"/>
      <c r="AA67" s="10"/>
      <c r="AB67" s="10"/>
      <c r="AC67" s="10"/>
      <c r="AD67" s="10"/>
      <c r="AE67" s="10"/>
      <c r="AF67" s="10"/>
      <c r="AG67" s="130">
        <f>(AG66-O66)/18</f>
        <v>0</v>
      </c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30">
        <f>(BG66-AO66)/18</f>
        <v>0</v>
      </c>
    </row>
    <row r="68" spans="1:59" x14ac:dyDescent="0.2">
      <c r="A68" s="82"/>
      <c r="B68" s="83"/>
      <c r="D68" s="84"/>
      <c r="E68" s="84"/>
      <c r="F68" s="84"/>
      <c r="G68" s="85"/>
      <c r="H68" s="85"/>
      <c r="I68" s="85"/>
      <c r="J68" s="85"/>
      <c r="K68" s="85"/>
      <c r="M68" s="93"/>
      <c r="N68" s="93" t="s">
        <v>82</v>
      </c>
      <c r="O68" s="110">
        <f>[1]DIAG!$T$52</f>
        <v>5</v>
      </c>
      <c r="P68" s="93"/>
      <c r="Q68" s="93"/>
      <c r="R68" s="93"/>
      <c r="S68" s="93"/>
      <c r="T68" s="93"/>
      <c r="U68" s="93"/>
      <c r="V68" s="93"/>
      <c r="W68" s="93"/>
      <c r="X68" s="93"/>
      <c r="Y68" s="93"/>
      <c r="Z68" s="94"/>
      <c r="AA68" s="94"/>
      <c r="AB68" s="94"/>
      <c r="AC68" s="93"/>
      <c r="AD68" s="93"/>
      <c r="AE68" s="93"/>
      <c r="AF68" s="93"/>
      <c r="AG68" s="93"/>
      <c r="AM68" s="93"/>
      <c r="AN68" s="93" t="s">
        <v>81</v>
      </c>
      <c r="AO68" s="110">
        <v>5</v>
      </c>
      <c r="AP68" s="93"/>
      <c r="AQ68" s="93"/>
      <c r="AR68" s="93"/>
      <c r="AS68" s="93"/>
      <c r="AT68" s="93"/>
      <c r="AU68" s="93"/>
      <c r="AV68" s="93"/>
      <c r="AW68" s="93"/>
      <c r="AX68" s="93"/>
      <c r="AY68" s="93"/>
      <c r="AZ68" s="94"/>
      <c r="BA68" s="94"/>
      <c r="BB68" s="94"/>
      <c r="BC68" s="93"/>
      <c r="BD68" s="93"/>
      <c r="BE68" s="93"/>
      <c r="BF68" s="93"/>
      <c r="BG68" s="93"/>
    </row>
    <row r="69" spans="1:59" x14ac:dyDescent="0.2">
      <c r="A69" s="82"/>
      <c r="B69" s="83"/>
      <c r="D69" s="84"/>
      <c r="E69" s="84"/>
      <c r="F69" s="84"/>
      <c r="G69" s="85"/>
      <c r="H69" s="85"/>
      <c r="I69" s="85"/>
      <c r="J69" s="85"/>
      <c r="K69" s="85"/>
      <c r="M69" s="57">
        <f>O68</f>
        <v>5</v>
      </c>
      <c r="N69" s="88" t="s">
        <v>53</v>
      </c>
      <c r="O69" s="89">
        <f t="shared" ref="O69:AG69" si="228">(2*O70*($M69+1)-$M69-$M69*O70^2)/(SQRT(3)*$M69*(1-O70))</f>
        <v>-1.2701705922171769</v>
      </c>
      <c r="P69" s="89">
        <f t="shared" si="228"/>
        <v>-1.2701705922171769</v>
      </c>
      <c r="Q69" s="89">
        <f t="shared" si="228"/>
        <v>-1.2701705922171769</v>
      </c>
      <c r="R69" s="89">
        <f t="shared" si="228"/>
        <v>-1.2701705922171769</v>
      </c>
      <c r="S69" s="89">
        <f t="shared" si="228"/>
        <v>-1.2701705922171769</v>
      </c>
      <c r="T69" s="89">
        <f t="shared" si="228"/>
        <v>-1.2701705922171769</v>
      </c>
      <c r="U69" s="89">
        <f t="shared" si="228"/>
        <v>-1.2701705922171769</v>
      </c>
      <c r="V69" s="89">
        <f t="shared" si="228"/>
        <v>-1.2701705922171769</v>
      </c>
      <c r="W69" s="89">
        <f t="shared" si="228"/>
        <v>-1.2701705922171769</v>
      </c>
      <c r="X69" s="89">
        <f t="shared" si="228"/>
        <v>-1.2701705922171769</v>
      </c>
      <c r="Y69" s="89">
        <f t="shared" si="228"/>
        <v>-1.2701705922171769</v>
      </c>
      <c r="Z69" s="89">
        <f t="shared" si="228"/>
        <v>-1.2701705922171769</v>
      </c>
      <c r="AA69" s="89">
        <f t="shared" si="228"/>
        <v>-1.2701705922171769</v>
      </c>
      <c r="AB69" s="89">
        <f t="shared" si="228"/>
        <v>-1.2701705922171769</v>
      </c>
      <c r="AC69" s="89">
        <f t="shared" si="228"/>
        <v>-1.2701705922171769</v>
      </c>
      <c r="AD69" s="89">
        <f t="shared" si="228"/>
        <v>-1.2701705922171769</v>
      </c>
      <c r="AE69" s="89">
        <f t="shared" si="228"/>
        <v>-1.2701705922171769</v>
      </c>
      <c r="AF69" s="89">
        <f t="shared" si="228"/>
        <v>-1.2701705922171769</v>
      </c>
      <c r="AG69" s="127">
        <f t="shared" si="228"/>
        <v>-1.2701705922171769</v>
      </c>
      <c r="AM69" s="57">
        <f>AO68</f>
        <v>5</v>
      </c>
      <c r="AN69" s="88" t="s">
        <v>53</v>
      </c>
      <c r="AO69" s="89">
        <f t="shared" ref="AO69:BG69" si="229">(2*AO70*($M69+1)-$M69-$M69*AO70^2)/(SQRT(3)*$M69*(1-AO70))</f>
        <v>-1.2701705922171769</v>
      </c>
      <c r="AP69" s="89">
        <f t="shared" si="229"/>
        <v>-1.2701705922171769</v>
      </c>
      <c r="AQ69" s="89">
        <f t="shared" si="229"/>
        <v>-1.2701705922171769</v>
      </c>
      <c r="AR69" s="89">
        <f t="shared" si="229"/>
        <v>-1.2701705922171769</v>
      </c>
      <c r="AS69" s="89">
        <f t="shared" si="229"/>
        <v>-1.2701705922171769</v>
      </c>
      <c r="AT69" s="89">
        <f t="shared" si="229"/>
        <v>-1.2701705922171769</v>
      </c>
      <c r="AU69" s="89">
        <f t="shared" si="229"/>
        <v>-1.2701705922171769</v>
      </c>
      <c r="AV69" s="89">
        <f t="shared" si="229"/>
        <v>-1.2701705922171769</v>
      </c>
      <c r="AW69" s="89">
        <f t="shared" si="229"/>
        <v>-1.2701705922171769</v>
      </c>
      <c r="AX69" s="89">
        <f t="shared" si="229"/>
        <v>-1.2701705922171769</v>
      </c>
      <c r="AY69" s="89">
        <f t="shared" si="229"/>
        <v>-1.2701705922171769</v>
      </c>
      <c r="AZ69" s="89">
        <f t="shared" si="229"/>
        <v>-1.2701705922171769</v>
      </c>
      <c r="BA69" s="89">
        <f t="shared" si="229"/>
        <v>-1.2701705922171769</v>
      </c>
      <c r="BB69" s="89">
        <f t="shared" si="229"/>
        <v>-1.2701705922171769</v>
      </c>
      <c r="BC69" s="89">
        <f t="shared" si="229"/>
        <v>-1.2701705922171769</v>
      </c>
      <c r="BD69" s="89">
        <f t="shared" si="229"/>
        <v>-1.2701705922171769</v>
      </c>
      <c r="BE69" s="89">
        <f t="shared" si="229"/>
        <v>-1.2701705922171769</v>
      </c>
      <c r="BF69" s="89">
        <f t="shared" si="229"/>
        <v>-1.2701705922171769</v>
      </c>
      <c r="BG69" s="127">
        <f t="shared" si="229"/>
        <v>-1.2701705922171769</v>
      </c>
    </row>
    <row r="70" spans="1:59" x14ac:dyDescent="0.2">
      <c r="A70" s="82"/>
      <c r="B70" s="83"/>
      <c r="D70" s="84"/>
      <c r="E70" s="84"/>
      <c r="F70" s="84"/>
      <c r="G70" s="85"/>
      <c r="H70" s="85"/>
      <c r="I70" s="85"/>
      <c r="J70" s="85"/>
      <c r="K70" s="85"/>
      <c r="M70" s="98" t="str">
        <f>CONCATENATE("SI=",O68)</f>
        <v>SI=5</v>
      </c>
      <c r="N70" s="99" t="s">
        <v>54</v>
      </c>
      <c r="O70" s="114">
        <f>IF(DIAG!T49,0,-1)</f>
        <v>-1</v>
      </c>
      <c r="P70" s="114">
        <f>IF(DIAG!$T$49,$AG$71*P75,-1)</f>
        <v>-1</v>
      </c>
      <c r="Q70" s="114">
        <f>IF(DIAG!$T$49,$AG$71*Q75,-1)</f>
        <v>-1</v>
      </c>
      <c r="R70" s="114">
        <f>IF(DIAG!$T$49,$AG$71*R75,-1)</f>
        <v>-1</v>
      </c>
      <c r="S70" s="114">
        <f>IF(DIAG!$T$49,$AG$71*S75,-1)</f>
        <v>-1</v>
      </c>
      <c r="T70" s="114">
        <f>IF(DIAG!$T$49,$AG$71*T75,-1)</f>
        <v>-1</v>
      </c>
      <c r="U70" s="114">
        <f>IF(DIAG!$T$49,$AG$71*U75,-1)</f>
        <v>-1</v>
      </c>
      <c r="V70" s="114">
        <f>IF(DIAG!$T$49,$AG$71*V75,-1)</f>
        <v>-1</v>
      </c>
      <c r="W70" s="114">
        <f>IF(DIAG!$T$49,$AG$71*W75,-1)</f>
        <v>-1</v>
      </c>
      <c r="X70" s="114">
        <f>IF(DIAG!$T$49,$AG$71*X75,-1)</f>
        <v>-1</v>
      </c>
      <c r="Y70" s="114">
        <f>IF(DIAG!$T$49,$AG$71*Y75,-1)</f>
        <v>-1</v>
      </c>
      <c r="Z70" s="114">
        <f>IF(DIAG!$T$49,$AG$71*Z75,-1)</f>
        <v>-1</v>
      </c>
      <c r="AA70" s="114">
        <f>IF(DIAG!$T$49,$AG$71*AA75,-1)</f>
        <v>-1</v>
      </c>
      <c r="AB70" s="114">
        <f>IF(DIAG!$T$49,$AG$71*AB75,-1)</f>
        <v>-1</v>
      </c>
      <c r="AC70" s="114">
        <f>IF(DIAG!$T$49,$AG$71*AC75,-1)</f>
        <v>-1</v>
      </c>
      <c r="AD70" s="114">
        <f>IF(DIAG!$T$49,$AG$71*AD75,-1)</f>
        <v>-1</v>
      </c>
      <c r="AE70" s="114">
        <f>IF(DIAG!$T$49,$AG$71*AE75,-1)</f>
        <v>-1</v>
      </c>
      <c r="AF70" s="114">
        <f>IF(DIAG!$T$49,$AG$71*AF75,-1)</f>
        <v>-1</v>
      </c>
      <c r="AG70" s="128">
        <f>IF(DIAG!T49,((2*$M$69+1-SQRT(4*$M$69+1))/($M$69*2))*DIAG!$T$49,-1)</f>
        <v>-1</v>
      </c>
      <c r="AM70" s="98" t="str">
        <f>CONCATENATE("SI=",AO68)</f>
        <v>SI=5</v>
      </c>
      <c r="AN70" s="99" t="s">
        <v>54</v>
      </c>
      <c r="AO70" s="101">
        <f>IF(DIAG!X44,0,-1)</f>
        <v>-1</v>
      </c>
      <c r="AP70" s="101">
        <f>IF(DIAG!$X44,$BG$71*AP73,-1)</f>
        <v>-1</v>
      </c>
      <c r="AQ70" s="101">
        <f>IF(DIAG!$X44,$BG$71*AQ73,-1)</f>
        <v>-1</v>
      </c>
      <c r="AR70" s="101">
        <f>IF(DIAG!$X44,$BG$71*AR73,-1)</f>
        <v>-1</v>
      </c>
      <c r="AS70" s="101">
        <f>IF(DIAG!$X44,$BG$71*AS73,-1)</f>
        <v>-1</v>
      </c>
      <c r="AT70" s="101">
        <f>IF(DIAG!$X44,$BG$71*AT73,-1)</f>
        <v>-1</v>
      </c>
      <c r="AU70" s="101">
        <f>IF(DIAG!$X44,$BG$71*AU73,-1)</f>
        <v>-1</v>
      </c>
      <c r="AV70" s="101">
        <f>IF(DIAG!$X44,$BG$71*AV73,-1)</f>
        <v>-1</v>
      </c>
      <c r="AW70" s="101">
        <f>IF(DIAG!$X44,$BG$71*AW73,-1)</f>
        <v>-1</v>
      </c>
      <c r="AX70" s="101">
        <f>IF(DIAG!$X44,$BG$71*AX73,-1)</f>
        <v>-1</v>
      </c>
      <c r="AY70" s="101">
        <f>IF(DIAG!$X44,$BG$71*AY73,-1)</f>
        <v>-1</v>
      </c>
      <c r="AZ70" s="101">
        <f>IF(DIAG!$X44,$BG$71*AZ73,-1)</f>
        <v>-1</v>
      </c>
      <c r="BA70" s="101">
        <f>IF(DIAG!$X44,$BG$71*BA73,-1)</f>
        <v>-1</v>
      </c>
      <c r="BB70" s="101">
        <f>IF(DIAG!$X44,$BG$71*BB73,-1)</f>
        <v>-1</v>
      </c>
      <c r="BC70" s="101">
        <f>IF(DIAG!$X44,$BG$71*BC73,-1)</f>
        <v>-1</v>
      </c>
      <c r="BD70" s="101">
        <f>IF(DIAG!$X44,$BG$71*BD73,-1)</f>
        <v>-1</v>
      </c>
      <c r="BE70" s="101">
        <f>IF(DIAG!$X44,$BG$71*BE73,-1)</f>
        <v>-1</v>
      </c>
      <c r="BF70" s="101">
        <f>IF(DIAG!$X44,$BG$71*BF73,-1)</f>
        <v>-1</v>
      </c>
      <c r="BG70" s="129">
        <f>IF(DIAG!X44,((2*$M$69+1-SQRT(4*$M$69+1))/($M$69*2))*DIAG!$X44,-1)</f>
        <v>-1</v>
      </c>
    </row>
    <row r="71" spans="1:59" x14ac:dyDescent="0.2">
      <c r="A71" s="82"/>
      <c r="B71" s="83"/>
      <c r="D71" s="84"/>
      <c r="E71" s="84"/>
      <c r="F71" s="84"/>
      <c r="G71" s="85"/>
      <c r="H71" s="85"/>
      <c r="I71" s="85"/>
      <c r="J71" s="85"/>
      <c r="K71" s="85"/>
      <c r="O71" s="10"/>
      <c r="P71" s="10"/>
      <c r="Q71" s="10"/>
      <c r="R71" s="10"/>
      <c r="S71" s="10"/>
      <c r="T71" s="10"/>
      <c r="U71" s="10"/>
      <c r="V71" s="10"/>
      <c r="W71" s="10"/>
      <c r="X71" s="10"/>
      <c r="Y71" s="10"/>
      <c r="Z71" s="10"/>
      <c r="AA71" s="10"/>
      <c r="AB71" s="10"/>
      <c r="AC71" s="10"/>
      <c r="AD71" s="10"/>
      <c r="AE71" s="10"/>
      <c r="AF71" s="10"/>
      <c r="AG71" s="130">
        <f>(AG70-O70)/18</f>
        <v>0</v>
      </c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30">
        <f>(BG70-AO70)/18</f>
        <v>0</v>
      </c>
    </row>
    <row r="72" spans="1:59" x14ac:dyDescent="0.2">
      <c r="A72" s="82"/>
      <c r="B72" s="83"/>
      <c r="D72" s="84"/>
      <c r="E72" s="84"/>
      <c r="F72" s="84"/>
      <c r="G72" s="85"/>
      <c r="H72" s="85"/>
      <c r="I72" s="85"/>
      <c r="J72" s="85"/>
      <c r="K72" s="85"/>
      <c r="M72" s="93"/>
      <c r="N72" s="110" t="s">
        <v>121</v>
      </c>
      <c r="O72" s="110">
        <f>[1]DIAG!$T$53</f>
        <v>2</v>
      </c>
      <c r="P72" s="93"/>
      <c r="Q72" s="93"/>
      <c r="R72" s="93"/>
      <c r="S72" s="93"/>
      <c r="T72" s="93"/>
      <c r="U72" s="93"/>
      <c r="V72" s="93"/>
      <c r="W72" s="93"/>
      <c r="X72" s="93"/>
      <c r="Y72" s="93"/>
      <c r="Z72" s="94"/>
      <c r="AA72" s="94"/>
      <c r="AB72" s="94"/>
      <c r="AC72" s="93"/>
      <c r="AD72" s="93"/>
      <c r="AE72" s="93"/>
      <c r="AF72" s="93"/>
      <c r="AG72" s="93"/>
    </row>
    <row r="73" spans="1:59" x14ac:dyDescent="0.2">
      <c r="A73" s="82"/>
      <c r="B73" s="83"/>
      <c r="D73" s="84"/>
      <c r="E73" s="84"/>
      <c r="F73" s="84"/>
      <c r="G73" s="85"/>
      <c r="H73" s="85"/>
      <c r="I73" s="85"/>
      <c r="J73" s="85"/>
      <c r="K73" s="85"/>
      <c r="M73" s="57">
        <f>O72</f>
        <v>2</v>
      </c>
      <c r="N73" s="88" t="s">
        <v>53</v>
      </c>
      <c r="O73" s="89">
        <f>(2*O74*($M73+1)-$M73-$M73*O74^2)/(SQRT(3)*$M73*(1-O74))</f>
        <v>-1.4433756729740645</v>
      </c>
      <c r="P73" s="89">
        <f t="shared" ref="P73:AG73" si="230">(2*P74*($M73+1)-$M73-$M73*P74^2)/(SQRT(3)*$M73*(1-P74))</f>
        <v>-1.4433756729740645</v>
      </c>
      <c r="Q73" s="89">
        <f t="shared" si="230"/>
        <v>-1.4433756729740645</v>
      </c>
      <c r="R73" s="89">
        <f t="shared" si="230"/>
        <v>-1.4433756729740645</v>
      </c>
      <c r="S73" s="89">
        <f t="shared" si="230"/>
        <v>-1.4433756729740645</v>
      </c>
      <c r="T73" s="89">
        <f t="shared" si="230"/>
        <v>-1.4433756729740645</v>
      </c>
      <c r="U73" s="89">
        <f t="shared" si="230"/>
        <v>-1.4433756729740645</v>
      </c>
      <c r="V73" s="89">
        <f t="shared" si="230"/>
        <v>-1.4433756729740645</v>
      </c>
      <c r="W73" s="89">
        <f>(2*W74*($M73+1)-$M73-$M73*W74^2)/(SQRT(3)*$M73*(1-W74))</f>
        <v>-1.4433756729740645</v>
      </c>
      <c r="X73" s="89">
        <f>(2*X74*($M73+1)-$M73-$M73*X74^2)/(SQRT(3)*$M73*(1-X74))</f>
        <v>-1.4433756729740645</v>
      </c>
      <c r="Y73" s="89">
        <f>(2*Y74*($M73+1)-$M73-$M73*Y74^2)/(SQRT(3)*$M73*(1-Y74))</f>
        <v>-1.4433756729740645</v>
      </c>
      <c r="Z73" s="89">
        <f t="shared" si="230"/>
        <v>-1.4433756729740645</v>
      </c>
      <c r="AA73" s="89">
        <f>(2*AA74*($M73+1)-$M73-$M73*AA74^2)/(SQRT(3)*$M73*(1-AA74))</f>
        <v>-1.4433756729740645</v>
      </c>
      <c r="AB73" s="89">
        <f>(2*AB74*($M73+1)-$M73-$M73*AB74^2)/(SQRT(3)*$M73*(1-AB74))</f>
        <v>-1.4433756729740645</v>
      </c>
      <c r="AC73" s="89">
        <f>(2*AC74*($M73+1)-$M73-$M73*AC74^2)/(SQRT(3)*$M73*(1-AC74))</f>
        <v>-1.4433756729740645</v>
      </c>
      <c r="AD73" s="89">
        <f>(2*AD74*($M73+1)-$M73-$M73*AD74^2)/(SQRT(3)*$M73*(1-AD74))</f>
        <v>-1.4433756729740645</v>
      </c>
      <c r="AE73" s="89">
        <f t="shared" si="230"/>
        <v>-1.4433756729740645</v>
      </c>
      <c r="AF73" s="89">
        <f t="shared" si="230"/>
        <v>-1.4433756729740645</v>
      </c>
      <c r="AG73" s="127">
        <f t="shared" si="230"/>
        <v>-1.4433756729740645</v>
      </c>
      <c r="AH73" s="34"/>
      <c r="AI73" s="34"/>
      <c r="AJ73" s="34"/>
      <c r="AP73" s="114">
        <v>1</v>
      </c>
      <c r="AQ73" s="114">
        <v>2</v>
      </c>
      <c r="AR73" s="114">
        <v>3</v>
      </c>
      <c r="AS73" s="114">
        <v>4</v>
      </c>
      <c r="AT73" s="114">
        <v>5</v>
      </c>
      <c r="AU73" s="114">
        <v>6</v>
      </c>
      <c r="AV73" s="114">
        <v>7</v>
      </c>
      <c r="AW73" s="114">
        <v>8</v>
      </c>
      <c r="AX73" s="114">
        <v>9</v>
      </c>
      <c r="AY73" s="114">
        <v>10</v>
      </c>
      <c r="AZ73" s="114">
        <v>11</v>
      </c>
      <c r="BA73" s="114">
        <v>12</v>
      </c>
      <c r="BB73" s="114">
        <v>13</v>
      </c>
      <c r="BC73" s="114">
        <v>14</v>
      </c>
      <c r="BD73" s="114">
        <v>15</v>
      </c>
      <c r="BE73" s="114">
        <v>16</v>
      </c>
      <c r="BF73" s="114">
        <v>17</v>
      </c>
      <c r="BG73" s="130">
        <f>(BG74-AO74)/18</f>
        <v>0</v>
      </c>
    </row>
    <row r="74" spans="1:59" x14ac:dyDescent="0.2">
      <c r="A74" s="131"/>
      <c r="B74" s="132"/>
      <c r="C74" s="33"/>
      <c r="D74" s="133"/>
      <c r="E74" s="133"/>
      <c r="F74" s="84"/>
      <c r="G74" s="85"/>
      <c r="H74" s="85"/>
      <c r="I74" s="85"/>
      <c r="J74" s="85"/>
      <c r="K74" s="85"/>
      <c r="M74" s="98" t="str">
        <f>CONCATENATE("SI=",O72)</f>
        <v>SI=2</v>
      </c>
      <c r="N74" s="93" t="s">
        <v>54</v>
      </c>
      <c r="O74" s="110">
        <f>IF(DIAG!T50,0,-1)</f>
        <v>-1</v>
      </c>
      <c r="P74" s="110">
        <f>IF(DIAG!$T$50,$AG$75*P75,-1)</f>
        <v>-1</v>
      </c>
      <c r="Q74" s="110">
        <f>IF(DIAG!$T$50,$AG$75*Q75,-1)</f>
        <v>-1</v>
      </c>
      <c r="R74" s="110">
        <f>IF(DIAG!$T$50,$AG$75*R75,-1)</f>
        <v>-1</v>
      </c>
      <c r="S74" s="110">
        <f>IF(DIAG!$T$50,$AG$75*S75,-1)</f>
        <v>-1</v>
      </c>
      <c r="T74" s="110">
        <f>IF(DIAG!$T$50,$AG$75*T75,-1)</f>
        <v>-1</v>
      </c>
      <c r="U74" s="110">
        <f>IF(DIAG!$T$50,$AG$75*U75,-1)</f>
        <v>-1</v>
      </c>
      <c r="V74" s="110">
        <f>IF(DIAG!$T$50,$AG$75*V75,-1)</f>
        <v>-1</v>
      </c>
      <c r="W74" s="110">
        <f>IF(DIAG!$T$50,$AG$75*W75,-1)</f>
        <v>-1</v>
      </c>
      <c r="X74" s="110">
        <f>IF(DIAG!$T$50,$AG$75*X75,-1)</f>
        <v>-1</v>
      </c>
      <c r="Y74" s="110">
        <f>IF(DIAG!$T$50,$AG$75*Y75,-1)</f>
        <v>-1</v>
      </c>
      <c r="Z74" s="110">
        <f>IF(DIAG!$T$50,$AG$75*Z75,-1)</f>
        <v>-1</v>
      </c>
      <c r="AA74" s="110">
        <f>IF(DIAG!$T$50,$AG$75*AA75,-1)</f>
        <v>-1</v>
      </c>
      <c r="AB74" s="110">
        <f>IF(DIAG!$T$50,$AG$75*AB75,-1)</f>
        <v>-1</v>
      </c>
      <c r="AC74" s="110">
        <f>IF(DIAG!$T$50,$AG$75*AC75,-1)</f>
        <v>-1</v>
      </c>
      <c r="AD74" s="110">
        <f>IF(DIAG!$T$50,$AG$75*AD75,-1)</f>
        <v>-1</v>
      </c>
      <c r="AE74" s="110">
        <f>IF(DIAG!$T$50,$AG$75*AE75,-1)</f>
        <v>-1</v>
      </c>
      <c r="AF74" s="110">
        <f>IF(DIAG!$T$50,$AG$75*AF75,-1)</f>
        <v>-1</v>
      </c>
      <c r="AG74" s="128">
        <f>IF(DIAG!T50,((2*$M$73+1-SQRT(4*$M$73+1))/($M$73*2))*DIAG!$T$50,-1)</f>
        <v>-1</v>
      </c>
      <c r="AH74" s="34"/>
      <c r="AI74" s="34"/>
      <c r="AJ74" s="34"/>
    </row>
    <row r="75" spans="1:59" x14ac:dyDescent="0.2">
      <c r="A75" s="82"/>
      <c r="B75" s="83"/>
      <c r="D75" s="84"/>
      <c r="E75" s="84"/>
      <c r="F75" s="84"/>
      <c r="G75" s="85"/>
      <c r="H75" s="85"/>
      <c r="I75" s="85"/>
      <c r="J75" s="85"/>
      <c r="K75" s="85"/>
      <c r="M75" s="98"/>
      <c r="N75" s="99"/>
      <c r="O75" s="114"/>
      <c r="P75" s="114">
        <v>1</v>
      </c>
      <c r="Q75" s="114">
        <v>2</v>
      </c>
      <c r="R75" s="114">
        <v>3</v>
      </c>
      <c r="S75" s="114">
        <v>4</v>
      </c>
      <c r="T75" s="114">
        <v>5</v>
      </c>
      <c r="U75" s="114">
        <v>6</v>
      </c>
      <c r="V75" s="114">
        <v>7</v>
      </c>
      <c r="W75" s="114">
        <v>8</v>
      </c>
      <c r="X75" s="114">
        <v>9</v>
      </c>
      <c r="Y75" s="114">
        <v>10</v>
      </c>
      <c r="Z75" s="114">
        <v>11</v>
      </c>
      <c r="AA75" s="114">
        <v>12</v>
      </c>
      <c r="AB75" s="114">
        <v>13</v>
      </c>
      <c r="AC75" s="114">
        <v>14</v>
      </c>
      <c r="AD75" s="114">
        <v>15</v>
      </c>
      <c r="AE75" s="114">
        <v>16</v>
      </c>
      <c r="AF75" s="114">
        <v>17</v>
      </c>
      <c r="AG75" s="130">
        <f>(AG74-O74)/18</f>
        <v>0</v>
      </c>
    </row>
    <row r="76" spans="1:59" x14ac:dyDescent="0.2">
      <c r="A76" s="82" t="s">
        <v>6</v>
      </c>
      <c r="B76" s="83"/>
      <c r="D76" s="84"/>
      <c r="E76" s="84"/>
      <c r="F76" s="84" t="s">
        <v>5</v>
      </c>
      <c r="G76" s="85"/>
      <c r="H76" s="134" t="s">
        <v>7</v>
      </c>
      <c r="I76" s="85"/>
      <c r="J76" s="85"/>
      <c r="K76" s="85"/>
      <c r="Z76" s="34"/>
      <c r="AA76" s="34"/>
      <c r="AB76" s="34"/>
      <c r="AO76" s="9" t="s">
        <v>45</v>
      </c>
      <c r="AP76" s="135">
        <v>-0.52500000000000002</v>
      </c>
      <c r="AQ76" s="135">
        <v>0.52500000000000002</v>
      </c>
      <c r="AR76" s="96">
        <v>-0.38700000000000001</v>
      </c>
      <c r="AS76" s="96">
        <v>0.38700000000000001</v>
      </c>
      <c r="AT76" s="96">
        <v>0</v>
      </c>
      <c r="AU76" s="96">
        <v>0.28999999999999998</v>
      </c>
      <c r="AV76" s="96">
        <v>-0.34639999999999999</v>
      </c>
      <c r="AW76" s="96">
        <v>0.11700000000000001</v>
      </c>
    </row>
    <row r="77" spans="1:59" x14ac:dyDescent="0.2">
      <c r="A77" s="103" t="s">
        <v>55</v>
      </c>
      <c r="B77" s="104"/>
      <c r="C77" s="104"/>
      <c r="D77" s="104"/>
      <c r="E77" s="104"/>
      <c r="F77" s="105"/>
      <c r="G77" s="106"/>
      <c r="H77" s="106"/>
      <c r="I77" s="106"/>
      <c r="J77" s="106"/>
      <c r="K77" s="106"/>
      <c r="L77" s="90"/>
      <c r="M77" s="90"/>
      <c r="N77" s="90"/>
      <c r="O77" s="90"/>
      <c r="P77" s="90"/>
      <c r="Q77" s="90"/>
      <c r="R77" s="90"/>
      <c r="S77" s="136"/>
      <c r="T77" s="136"/>
      <c r="U77" s="136"/>
      <c r="V77" s="136"/>
      <c r="W77" s="136"/>
      <c r="X77" s="136"/>
      <c r="Y77" s="136"/>
      <c r="Z77" s="136"/>
      <c r="AA77" s="136"/>
      <c r="AB77" s="136"/>
      <c r="AC77" s="90"/>
      <c r="AD77" s="90"/>
      <c r="AE77" s="90"/>
      <c r="AF77" s="90"/>
      <c r="AG77" s="90"/>
      <c r="AH77" s="90"/>
      <c r="AI77" s="91"/>
      <c r="AM77" s="121">
        <v>1</v>
      </c>
      <c r="AN77" s="93"/>
      <c r="AO77" s="93" t="str">
        <f>IF([1]DIAG!X44,CONCATENATE("F=",TRUNC(AM77/2,2)),"")</f>
        <v/>
      </c>
      <c r="AP77" s="93"/>
      <c r="AQ77" s="93"/>
      <c r="AR77" s="93"/>
      <c r="AS77" s="93"/>
      <c r="AT77" s="93">
        <f>IF(DIAG!X44,IF(1-$AM$77+SQRT(3)*(AT76)&gt;1,1,1-$AM$77+SQRT(3)*(AT76)),-1)</f>
        <v>-1</v>
      </c>
      <c r="AU77" s="93">
        <f>IF(DIAG!X44,IF(1-$AM$77+SQRT(3)*(AU76)&gt;1,1,1-$AM$77+SQRT(3)*(AU76)),-1)</f>
        <v>-1</v>
      </c>
      <c r="AV77" s="93"/>
      <c r="AW77" s="93"/>
    </row>
    <row r="78" spans="1:59" ht="15.75" x14ac:dyDescent="0.3">
      <c r="A78" s="35" t="s">
        <v>109</v>
      </c>
      <c r="B78" s="137" t="s">
        <v>110</v>
      </c>
      <c r="C78" s="10" t="s">
        <v>56</v>
      </c>
      <c r="D78" s="10" t="s">
        <v>57</v>
      </c>
      <c r="E78" s="35" t="s">
        <v>109</v>
      </c>
      <c r="F78" s="137" t="s">
        <v>110</v>
      </c>
      <c r="G78" s="35" t="s">
        <v>109</v>
      </c>
      <c r="H78" s="137" t="s">
        <v>110</v>
      </c>
      <c r="N78" s="10" t="s">
        <v>45</v>
      </c>
      <c r="O78" s="29">
        <f>O35</f>
        <v>-0.57735026918962584</v>
      </c>
      <c r="P78" s="29">
        <f>P35</f>
        <v>-0.51961524227066325</v>
      </c>
      <c r="Q78" s="29">
        <f t="shared" ref="Q78:AI78" si="231">Q35</f>
        <v>-0.46188021535170065</v>
      </c>
      <c r="R78" s="29">
        <f t="shared" si="231"/>
        <v>-0.40414518843273811</v>
      </c>
      <c r="S78" s="29">
        <f t="shared" si="231"/>
        <v>-0.34641016151377552</v>
      </c>
      <c r="T78" s="29">
        <f t="shared" si="231"/>
        <v>-0.28867513459481292</v>
      </c>
      <c r="U78" s="29">
        <f t="shared" si="231"/>
        <v>-0.23094010767585038</v>
      </c>
      <c r="V78" s="29">
        <f t="shared" si="231"/>
        <v>-0.17320508075688779</v>
      </c>
      <c r="W78" s="29">
        <f t="shared" si="231"/>
        <v>-0.11547005383792519</v>
      </c>
      <c r="X78" s="29">
        <f t="shared" si="231"/>
        <v>-5.7735026918962595E-2</v>
      </c>
      <c r="Y78" s="29">
        <f t="shared" si="231"/>
        <v>0</v>
      </c>
      <c r="Z78" s="29">
        <f t="shared" si="231"/>
        <v>5.7735026918962595E-2</v>
      </c>
      <c r="AA78" s="29">
        <f t="shared" si="231"/>
        <v>0.11547005383792519</v>
      </c>
      <c r="AB78" s="29">
        <f t="shared" si="231"/>
        <v>0.17320508075688779</v>
      </c>
      <c r="AC78" s="29">
        <f t="shared" si="231"/>
        <v>0.23094010767585038</v>
      </c>
      <c r="AD78" s="29">
        <f t="shared" si="231"/>
        <v>0.28867513459481292</v>
      </c>
      <c r="AE78" s="29">
        <f t="shared" si="231"/>
        <v>0.34641016151377552</v>
      </c>
      <c r="AF78" s="29">
        <f t="shared" si="231"/>
        <v>0.40414518843273811</v>
      </c>
      <c r="AG78" s="29">
        <f t="shared" si="231"/>
        <v>0.46188021535170065</v>
      </c>
      <c r="AH78" s="29">
        <f t="shared" si="231"/>
        <v>0.51961524227066325</v>
      </c>
      <c r="AI78" s="29">
        <f t="shared" si="231"/>
        <v>0.57735026918962584</v>
      </c>
      <c r="AM78" s="121">
        <v>0.4</v>
      </c>
      <c r="AN78" s="93"/>
      <c r="AO78" s="93" t="str">
        <f>IF([1]DIAG!X44,CONCATENATE("F=",TRUNC(AM78/2,2)),"")</f>
        <v/>
      </c>
      <c r="AP78" s="93"/>
      <c r="AQ78" s="93"/>
      <c r="AR78" s="93"/>
      <c r="AS78" s="93"/>
      <c r="AT78" s="93"/>
      <c r="AU78" s="93"/>
      <c r="AV78" s="93">
        <f>IF(DIAG!X44,IF(1-$AM$78+SQRT(3)*(AV76)&gt;1,1,1-$AM$78+SQRT(3)*(AV76)),-1)</f>
        <v>-1</v>
      </c>
      <c r="AW78" s="93">
        <f>IF(DIAG!X44,IF(1-$AM$78+SQRT(3)*(AW67)&gt;1,1,1-$AM$78+SQRT(3)*(AW76)),-1)</f>
        <v>-1</v>
      </c>
    </row>
    <row r="79" spans="1:59" x14ac:dyDescent="0.2">
      <c r="A79" s="139">
        <f>VLOOKUP(A78,A26:K26,DIAG!$T$58+1,0)</f>
        <v>9.6225044864937673E-2</v>
      </c>
      <c r="B79" s="140">
        <f>VLOOKUP(B78,A27:K27,DIAG!$T$58+1,0)</f>
        <v>0.16666666666666666</v>
      </c>
      <c r="E79" s="139">
        <f>VLOOKUP(E78,A26:K26,DIAG!$W$56+1,0)</f>
        <v>9.6225044864937673E-2</v>
      </c>
      <c r="F79" s="140">
        <f>VLOOKUP(F78,A27:K27,DIAG!$W$56+1,0)</f>
        <v>0.16666666666666666</v>
      </c>
      <c r="G79" s="139">
        <f>VLOOKUP(G78,A26:K26,DIAG!$W$58+1,0)</f>
        <v>7.4019265280720996E-3</v>
      </c>
      <c r="H79" s="140">
        <f>VLOOKUP(H78,A27:K27,DIAG!$W$58+1,0)</f>
        <v>0.32051282051282054</v>
      </c>
      <c r="N79" s="10" t="s">
        <v>120</v>
      </c>
      <c r="O79" s="29">
        <f>IF(A79&lt;&gt;0,O35,0)</f>
        <v>-0.57735026918962584</v>
      </c>
      <c r="P79" s="29">
        <f>IF(A79&lt;&gt;0,P35,0)</f>
        <v>-0.51961524227066325</v>
      </c>
      <c r="Q79" s="29">
        <f>IF(A79&lt;&gt;0,Q35,0)</f>
        <v>-0.46188021535170065</v>
      </c>
      <c r="R79" s="29">
        <f>IF(A79&lt;&gt;0,R35,0)</f>
        <v>-0.40414518843273811</v>
      </c>
      <c r="S79" s="29">
        <f>IF(A79&lt;&gt;0,S35,0)</f>
        <v>-0.34641016151377552</v>
      </c>
      <c r="T79" s="29">
        <f>IF(A79&lt;&gt;0,T35,0)</f>
        <v>-0.28867513459481292</v>
      </c>
      <c r="U79" s="29">
        <f>IF(A79&lt;&gt;0,U35,0)</f>
        <v>-0.23094010767585038</v>
      </c>
      <c r="V79" s="29">
        <f>IF(A79&lt;&gt;0,V35,0)</f>
        <v>-0.17320508075688779</v>
      </c>
      <c r="W79" s="29">
        <f>IF(A79&lt;&gt;0,W35,0)</f>
        <v>-0.11547005383792519</v>
      </c>
      <c r="X79" s="29">
        <f>IF(A79&lt;&gt;0,X35,0)</f>
        <v>-5.7735026918962595E-2</v>
      </c>
      <c r="Y79" s="29">
        <f>IF(A79&lt;&gt;0,Y35,0)</f>
        <v>0</v>
      </c>
      <c r="Z79" s="29">
        <f>IF(A79&lt;&gt;0,Z35,0)</f>
        <v>5.7735026918962595E-2</v>
      </c>
      <c r="AA79" s="29">
        <f>IF(A79&lt;&gt;0,AA35,0)</f>
        <v>0.11547005383792519</v>
      </c>
      <c r="AB79" s="29">
        <f>IF(A79&lt;&gt;0,AB35,0)</f>
        <v>0.17320508075688779</v>
      </c>
      <c r="AC79" s="29">
        <f>IF(A79&lt;&gt;0,AC35,0)</f>
        <v>0.23094010767585038</v>
      </c>
      <c r="AD79" s="29">
        <f>IF(A79&lt;&gt;0,AD35,0)</f>
        <v>0.28867513459481292</v>
      </c>
      <c r="AE79" s="29">
        <f>IF(A79&lt;&gt;0,AE35,0)</f>
        <v>0.34641016151377552</v>
      </c>
      <c r="AF79" s="29">
        <f>IF(A79&lt;&gt;0,AF35,0)</f>
        <v>0.40414518843273811</v>
      </c>
      <c r="AG79" s="29">
        <f>IF(A79&lt;&gt;0,AG35,0)</f>
        <v>0.46188021535170065</v>
      </c>
      <c r="AH79" s="29">
        <f>IF(A79&lt;&gt;0,AH35,0)</f>
        <v>0.51961524227066325</v>
      </c>
      <c r="AI79" s="138">
        <f>IF(A79&lt;&gt;0,AI35,0)</f>
        <v>0.57735026918962584</v>
      </c>
      <c r="AM79" s="123">
        <v>9.0909000000000004E-2</v>
      </c>
      <c r="AN79" s="99"/>
      <c r="AO79" s="99" t="str">
        <f>IF([1]DIAG!X44,CONCATENATE("R = ",TRUNC(AM79,2)),"")</f>
        <v/>
      </c>
      <c r="AP79" s="99">
        <f>IF(DIAG!X44,$AM$79,-1)</f>
        <v>-1</v>
      </c>
      <c r="AQ79" s="99">
        <f>IF(DIAG!X44,$AM$79,-1)</f>
        <v>-1</v>
      </c>
      <c r="AR79" s="99"/>
      <c r="AS79" s="99"/>
      <c r="AT79" s="99"/>
      <c r="AU79" s="99"/>
      <c r="AV79" s="99"/>
      <c r="AW79" s="99"/>
    </row>
    <row r="80" spans="1:59" ht="15.75" x14ac:dyDescent="0.3">
      <c r="A80" s="142">
        <f>-1/SQRT(3)</f>
        <v>-0.57735026918962584</v>
      </c>
      <c r="B80" s="129">
        <v>0</v>
      </c>
      <c r="C80" s="29">
        <f>(B80-$F$79)/(A80-$E$79)</f>
        <v>0.2474358296526967</v>
      </c>
      <c r="D80" s="29">
        <f>(B80*(A80-$E$79)-A80*(B80-$F$79))/(A80-$E$79)</f>
        <v>0.14285714285714285</v>
      </c>
      <c r="E80" s="29" t="s">
        <v>5</v>
      </c>
      <c r="F80" s="29"/>
      <c r="N80" s="10" t="s">
        <v>111</v>
      </c>
      <c r="O80" s="29">
        <f>IF(DIAG!$T$55,($C$80*O35+$D$80),-1)</f>
        <v>-1</v>
      </c>
      <c r="P80" s="29">
        <f>IF(DIAG!$T$55,($C$80*P35+$D$80),-1)</f>
        <v>-1</v>
      </c>
      <c r="Q80" s="29">
        <f>IF(DIAG!$T$55,($C$80*Q35+$D$80),-1)</f>
        <v>-1</v>
      </c>
      <c r="R80" s="29">
        <f>IF(DIAG!$T$55,($C$80*R35+$D$80),-1)</f>
        <v>-1</v>
      </c>
      <c r="S80" s="29">
        <f>IF(DIAG!$T$55,($C$80*S35+$D$80),-1)</f>
        <v>-1</v>
      </c>
      <c r="T80" s="29">
        <f>IF(DIAG!$T$55,($C$80*T35+$D$80),-1)</f>
        <v>-1</v>
      </c>
      <c r="U80" s="29">
        <f>IF(DIAG!$T$55,($C$80*U35+$D$80),-1)</f>
        <v>-1</v>
      </c>
      <c r="V80" s="29">
        <f>IF(DIAG!$T$55,($C$80*V35+$D$80),-1)</f>
        <v>-1</v>
      </c>
      <c r="W80" s="29">
        <f>IF(DIAG!$T$55,($C$80*W35+$D$80),-1)</f>
        <v>-1</v>
      </c>
      <c r="X80" s="29">
        <f>IF(DIAG!$T$55,($C$80*X35+$D$80),-1)</f>
        <v>-1</v>
      </c>
      <c r="Y80" s="29">
        <f>IF(DIAG!$T$55,($C$80*Y35+$D$80),-1)</f>
        <v>-1</v>
      </c>
      <c r="Z80" s="29">
        <f>IF(DIAG!$T$55,($C$80*Z35+$D$80),-1)</f>
        <v>-1</v>
      </c>
      <c r="AA80" s="29">
        <f>IF(DIAG!$T$55,($C$80*AA35+$D$80),-1)</f>
        <v>-1</v>
      </c>
      <c r="AB80" s="29">
        <f>IF(DIAG!$T$55,($C$80*AB35+$D$80),-1)</f>
        <v>-1</v>
      </c>
      <c r="AC80" s="29">
        <f>IF(DIAG!$T$55,($C$80*AC35+$D$80),-1)</f>
        <v>-1</v>
      </c>
      <c r="AD80" s="29">
        <f>IF(DIAG!$T$55,($C$80*AD35+$D$80),-1)</f>
        <v>-1</v>
      </c>
      <c r="AE80" s="29">
        <f>IF(DIAG!$T$55,($C$80*AE35+$D$80),-1)</f>
        <v>-1</v>
      </c>
      <c r="AF80" s="29">
        <f>IF(DIAG!$T$55,($C$80*AF35+$D$80),-1)</f>
        <v>-1</v>
      </c>
      <c r="AG80" s="29">
        <f>IF(DIAG!$T$55,($C$80*AG35+$D$80),-1)</f>
        <v>-1</v>
      </c>
      <c r="AH80" s="29">
        <f>IF(DIAG!$T$55,($C$80*AH35+$D$80),-1)</f>
        <v>-1</v>
      </c>
      <c r="AI80" s="138">
        <f>IF(DIAG!$T$55,($C$80*AI35+$D$80),-1)</f>
        <v>-1</v>
      </c>
      <c r="AM80" s="123">
        <v>0.33333000000000002</v>
      </c>
      <c r="AN80" s="99"/>
      <c r="AO80" s="99" t="str">
        <f>IF([1]DIAG!X44,CONCATENATE("R = ",TRUNC(AM80,2)),"")</f>
        <v/>
      </c>
      <c r="AP80" s="99"/>
      <c r="AQ80" s="99"/>
      <c r="AR80" s="99">
        <f>IF(DIAG!X44,$AM$80,-1)</f>
        <v>-1</v>
      </c>
      <c r="AS80" s="99">
        <f>IF(DIAG!X44,$AM$80,-1)</f>
        <v>-1</v>
      </c>
      <c r="AT80" s="99"/>
      <c r="AU80" s="99"/>
      <c r="AV80" s="99"/>
      <c r="AW80" s="99"/>
    </row>
    <row r="81" spans="1:35" ht="15.75" x14ac:dyDescent="0.3">
      <c r="A81" s="142">
        <f>1/SQRT(3)</f>
        <v>0.57735026918962584</v>
      </c>
      <c r="B81" s="129">
        <v>0</v>
      </c>
      <c r="C81" s="29">
        <f>(B81-$H$79)/(A81-$G$79)</f>
        <v>-0.56235415830158353</v>
      </c>
      <c r="D81" s="29">
        <f>(B81*(A81-$G$79)-A81*(B81-$H$79))/(A81-$G$79)</f>
        <v>0.32467532467532473</v>
      </c>
      <c r="E81" s="29" t="s">
        <v>7</v>
      </c>
      <c r="N81" s="10" t="s">
        <v>112</v>
      </c>
      <c r="O81" s="29">
        <f>IF(DIAG!$T$56,($C$81*O35+$D$81),-1)</f>
        <v>-1</v>
      </c>
      <c r="P81" s="29">
        <f>IF(DIAG!$T$56,($C$81*P35+$D$81),-1)</f>
        <v>-1</v>
      </c>
      <c r="Q81" s="29">
        <f>IF(DIAG!$T$56,($C$81*Q35+$D$81),-1)</f>
        <v>-1</v>
      </c>
      <c r="R81" s="29">
        <f>IF(DIAG!$T$56,($C$81*R35+$D$81),-1)</f>
        <v>-1</v>
      </c>
      <c r="S81" s="29">
        <f>IF(DIAG!$T$56,($C$81*S35+$D$81),-1)</f>
        <v>-1</v>
      </c>
      <c r="T81" s="29">
        <f>IF(DIAG!$T$56,($C$81*T35+$D$81),-1)</f>
        <v>-1</v>
      </c>
      <c r="U81" s="29">
        <f>IF(DIAG!$T$56,($C$81*U35+$D$81),-1)</f>
        <v>-1</v>
      </c>
      <c r="V81" s="29">
        <f>IF(DIAG!$T$56,($C$81*V35+$D$81),-1)</f>
        <v>-1</v>
      </c>
      <c r="W81" s="29">
        <f>IF(DIAG!$T$56,($C$81*W35+$D$81),-1)</f>
        <v>-1</v>
      </c>
      <c r="X81" s="29">
        <f>IF(DIAG!$T$56,($C$81*X35+$D$81),-1)</f>
        <v>-1</v>
      </c>
      <c r="Y81" s="29">
        <f>IF(DIAG!$T$56,($C$81*Y35+$D$81),-1)</f>
        <v>-1</v>
      </c>
      <c r="Z81" s="29">
        <f>IF(DIAG!$T$56,($C$81*Z35+$D$81),-1)</f>
        <v>-1</v>
      </c>
      <c r="AA81" s="29">
        <f>IF(DIAG!$T$56,($C$81*AA35+$D$81),-1)</f>
        <v>-1</v>
      </c>
      <c r="AB81" s="29">
        <f>IF(DIAG!$T$56,($C$81*AB35+$D$81),-1)</f>
        <v>-1</v>
      </c>
      <c r="AC81" s="29">
        <f>IF(DIAG!$T$56,($C$81*AC35+$D$81),-1)</f>
        <v>-1</v>
      </c>
      <c r="AD81" s="29">
        <f>IF(DIAG!$T$56,($C$81*AD35+$D$81),-1)</f>
        <v>-1</v>
      </c>
      <c r="AE81" s="29">
        <f>IF(DIAG!$T$56,($C$81*AE35+$D$81),-1)</f>
        <v>-1</v>
      </c>
      <c r="AF81" s="29">
        <f>IF(DIAG!$T$56,($C$81*AF35+$D$81),-1)</f>
        <v>-1</v>
      </c>
      <c r="AG81" s="29">
        <f>IF(DIAG!$T$56,($C$81*AG35+$D$81),-1)</f>
        <v>-1</v>
      </c>
      <c r="AH81" s="29">
        <f>IF(DIAG!$T$56,($C$81*AH35+$D$81),-1)</f>
        <v>-1</v>
      </c>
      <c r="AI81" s="138">
        <f>IF(DIAG!$T$56,($C$81*AI35+$D$81),-1)</f>
        <v>-1</v>
      </c>
    </row>
    <row r="82" spans="1:35" ht="15.75" x14ac:dyDescent="0.3">
      <c r="A82" s="143">
        <v>0</v>
      </c>
      <c r="B82" s="144">
        <v>1</v>
      </c>
      <c r="C82" s="29">
        <f>(B82-$B$79)/(A82-$A$79)</f>
        <v>-8.660254037844382</v>
      </c>
      <c r="D82" s="29">
        <f>(B82*(A82-$A$79)-A82*(B82-$B$79))/(A82-$A$79)</f>
        <v>1</v>
      </c>
      <c r="E82" s="29" t="s">
        <v>6</v>
      </c>
      <c r="N82" s="10" t="s">
        <v>113</v>
      </c>
      <c r="O82" s="29">
        <f>IFERROR(IF(DIAG!$T$54,($C$82*O35+$D$82),-1),-3)</f>
        <v>-1</v>
      </c>
      <c r="P82" s="29">
        <f>IFERROR(IF(DIAG!$T$54,($C$82*P35+$D$82),-1),-2.66)</f>
        <v>-1</v>
      </c>
      <c r="Q82" s="29">
        <f>IFERROR(IF(DIAG!$T$54,($C$82*Q35+$D$82),-1),-2.33)</f>
        <v>-1</v>
      </c>
      <c r="R82" s="29">
        <f>IFERROR(IF(DIAG!$T$54,($C$82*R35+$D$82),-1),-2)</f>
        <v>-1</v>
      </c>
      <c r="S82" s="29">
        <f>IFERROR(IF(DIAG!$T$54,($C$82*S35+$D$82),-1),-1.66)</f>
        <v>-1</v>
      </c>
      <c r="T82" s="29">
        <f>IFERROR(IF(DIAG!$T$54,($C$82*T35+$D$82),-1),-1.33)</f>
        <v>-1</v>
      </c>
      <c r="U82" s="29">
        <f>IFERROR(IF(DIAG!$T$54,($C$82*U35+$D$82),-1),-1)</f>
        <v>-1</v>
      </c>
      <c r="V82" s="29">
        <f>IFERROR(IF(DIAG!$T$54,($C$82*V35+$D$82),-1),-0.66)</f>
        <v>-1</v>
      </c>
      <c r="W82" s="29">
        <f>IFERROR(IF(DIAG!$T$54,($C$82*W35+$D$82),-1),-0.33)</f>
        <v>-1</v>
      </c>
      <c r="X82" s="29">
        <f>IFERROR(IF(DIAG!$T$54,($C$82*X35+$D$82),-1),0)</f>
        <v>-1</v>
      </c>
      <c r="Y82" s="29">
        <f>IFERROR(IF(DIAG!$T$54,($C$82*Y35+$D$82),-1),1)</f>
        <v>-1</v>
      </c>
      <c r="Z82" s="29">
        <f>IFERROR(IF(DIAG!$T$54,($C$82*Z35+$D$82),-1),1.33)</f>
        <v>-1</v>
      </c>
      <c r="AA82" s="29">
        <f>IFERROR(IF(DIAG!$T$54,($C$82*AA35+$D$82),-1),1.66)</f>
        <v>-1</v>
      </c>
      <c r="AB82" s="29">
        <f>IFERROR(IF(DIAG!$T$54,($C$82*AB35+$D$82),-1),2)</f>
        <v>-1</v>
      </c>
      <c r="AC82" s="29">
        <f>IFERROR(IF(DIAG!$T$54,($C$82*AC35+$D$82),-1),2.33)</f>
        <v>-1</v>
      </c>
      <c r="AD82" s="29">
        <f>IFERROR(IF(DIAG!$T$54,($C$82*AD35+$D$82),-1),2.66)</f>
        <v>-1</v>
      </c>
      <c r="AE82" s="29">
        <f>IFERROR(IF(DIAG!$T$54,($C$82*AE35+$D$82),-1),3)</f>
        <v>-1</v>
      </c>
      <c r="AF82" s="29">
        <f>IFERROR(IF(DIAG!$T$54,($C$82*AF35+$D$82),-1),3.33)</f>
        <v>-1</v>
      </c>
      <c r="AG82" s="29">
        <f>IFERROR(IF(DIAG!$T$54,($C$82*AG35+$D$82),-1),3.66)</f>
        <v>-1</v>
      </c>
      <c r="AH82" s="29">
        <f>IFERROR(IF(DIAG!$T$54,($C$82*AH35+$D$82),-1),4)</f>
        <v>-1</v>
      </c>
      <c r="AI82" s="138">
        <f>IFERROR(IF(DIAG!$T$54,($C$82*AI35+$D$82),-1),4.33)</f>
        <v>-1</v>
      </c>
    </row>
    <row r="83" spans="1:35" x14ac:dyDescent="0.2">
      <c r="A83" s="145">
        <f>B83+1</f>
        <v>5</v>
      </c>
      <c r="B83" s="10">
        <v>4</v>
      </c>
      <c r="E83" s="29"/>
      <c r="AI83" s="141"/>
    </row>
    <row r="84" spans="1:35" x14ac:dyDescent="0.2">
      <c r="A84" s="109"/>
      <c r="B84" s="10">
        <v>2</v>
      </c>
      <c r="C84" s="10">
        <v>3</v>
      </c>
      <c r="D84" s="10">
        <v>4</v>
      </c>
      <c r="E84" s="10">
        <v>5</v>
      </c>
      <c r="F84" s="10">
        <v>6</v>
      </c>
      <c r="G84" s="10">
        <v>7</v>
      </c>
      <c r="L84" s="10"/>
      <c r="AI84" s="141"/>
    </row>
    <row r="85" spans="1:35" x14ac:dyDescent="0.2">
      <c r="A85" s="109"/>
      <c r="AI85" s="141"/>
    </row>
    <row r="86" spans="1:35" x14ac:dyDescent="0.2">
      <c r="A86" s="109"/>
      <c r="D86" s="9">
        <v>1</v>
      </c>
      <c r="E86" s="9">
        <v>2</v>
      </c>
      <c r="AI86" s="141"/>
    </row>
    <row r="87" spans="1:35" x14ac:dyDescent="0.2">
      <c r="A87" s="109"/>
      <c r="B87" s="146" t="s">
        <v>5</v>
      </c>
      <c r="C87" s="147" t="s">
        <v>53</v>
      </c>
      <c r="D87" s="148" t="e">
        <f ca="1">D90</f>
        <v>#REF!</v>
      </c>
      <c r="E87" s="149" t="e">
        <f ca="1">E91</f>
        <v>#REF!</v>
      </c>
      <c r="G87" s="146" t="s">
        <v>7</v>
      </c>
      <c r="H87" s="147"/>
      <c r="I87" s="147"/>
      <c r="J87" s="147"/>
      <c r="K87" s="147"/>
      <c r="L87" s="147" t="s">
        <v>53</v>
      </c>
      <c r="M87" s="148" t="e">
        <f ca="1">M90</f>
        <v>#REF!</v>
      </c>
      <c r="N87" s="149" t="e">
        <f ca="1">N91</f>
        <v>#REF!</v>
      </c>
      <c r="P87" s="150" t="s">
        <v>6</v>
      </c>
      <c r="Q87" s="90" t="s">
        <v>53</v>
      </c>
      <c r="R87" s="136" t="e">
        <f ca="1">R90</f>
        <v>#DIV/0!</v>
      </c>
      <c r="S87" s="62" t="e">
        <f ca="1">S91</f>
        <v>#DIV/0!</v>
      </c>
      <c r="AI87" s="141"/>
    </row>
    <row r="88" spans="1:35" x14ac:dyDescent="0.2">
      <c r="A88" s="109"/>
      <c r="B88" s="151"/>
      <c r="C88" s="152" t="s">
        <v>54</v>
      </c>
      <c r="D88" s="153" t="e">
        <f ca="1">C80*D87+D80</f>
        <v>#REF!</v>
      </c>
      <c r="E88" s="154" t="e">
        <f ca="1">C80*E87+D80</f>
        <v>#REF!</v>
      </c>
      <c r="G88" s="151"/>
      <c r="H88" s="152"/>
      <c r="I88" s="152"/>
      <c r="J88" s="152"/>
      <c r="K88" s="152"/>
      <c r="L88" s="152" t="s">
        <v>54</v>
      </c>
      <c r="M88" s="153" t="e">
        <f ca="1">C81*M87+D81</f>
        <v>#REF!</v>
      </c>
      <c r="N88" s="154" t="e">
        <f ca="1">C81*N87+D81</f>
        <v>#REF!</v>
      </c>
      <c r="P88" s="109"/>
      <c r="Q88" s="9" t="s">
        <v>54</v>
      </c>
      <c r="R88" s="34" t="e">
        <f ca="1">C82*R87+D82</f>
        <v>#DIV/0!</v>
      </c>
      <c r="S88" s="97" t="e">
        <f ca="1">C82*S87+D82</f>
        <v>#DIV/0!</v>
      </c>
      <c r="AI88" s="141"/>
    </row>
    <row r="89" spans="1:35" x14ac:dyDescent="0.2">
      <c r="A89" s="109"/>
      <c r="B89" s="151"/>
      <c r="C89" s="152"/>
      <c r="D89" s="153"/>
      <c r="E89" s="154"/>
      <c r="G89" s="151"/>
      <c r="H89" s="152"/>
      <c r="I89" s="152"/>
      <c r="J89" s="152"/>
      <c r="K89" s="152"/>
      <c r="L89" s="152"/>
      <c r="M89" s="153"/>
      <c r="N89" s="154"/>
      <c r="P89" s="109"/>
      <c r="S89" s="141"/>
      <c r="AI89" s="141"/>
    </row>
    <row r="90" spans="1:35" x14ac:dyDescent="0.2">
      <c r="A90" s="109"/>
      <c r="B90" s="151" t="s">
        <v>8</v>
      </c>
      <c r="C90" s="152" t="s">
        <v>58</v>
      </c>
      <c r="D90" s="153" t="e">
        <f ca="1">(SQRT(D88^2-2*D88+5)-2)/SQRT(3)</f>
        <v>#REF!</v>
      </c>
      <c r="E90" s="154"/>
      <c r="G90" s="151" t="s">
        <v>8</v>
      </c>
      <c r="H90" s="152"/>
      <c r="I90" s="152"/>
      <c r="J90" s="152"/>
      <c r="K90" s="152"/>
      <c r="L90" s="152" t="s">
        <v>58</v>
      </c>
      <c r="M90" s="153" t="e">
        <f ca="1">(SQRT(M88^2-2*M88+5)-2)/SQRT(3)</f>
        <v>#REF!</v>
      </c>
      <c r="N90" s="154"/>
      <c r="P90" s="109" t="s">
        <v>8</v>
      </c>
      <c r="Q90" s="9" t="s">
        <v>58</v>
      </c>
      <c r="R90" s="34" t="e">
        <f ca="1">(SQRT(R88^2-2*R88+5)-2)/SQRT(3)</f>
        <v>#DIV/0!</v>
      </c>
      <c r="S90" s="97"/>
      <c r="AI90" s="141"/>
    </row>
    <row r="91" spans="1:35" x14ac:dyDescent="0.2">
      <c r="A91" s="109"/>
      <c r="B91" s="151" t="s">
        <v>9</v>
      </c>
      <c r="C91" s="152" t="s">
        <v>59</v>
      </c>
      <c r="D91" s="153"/>
      <c r="E91" s="154" t="e">
        <f ca="1">(SQRT(25*E88^2-10*E88+21)-6)/(5*SQRT(3))</f>
        <v>#REF!</v>
      </c>
      <c r="G91" s="151" t="s">
        <v>9</v>
      </c>
      <c r="H91" s="152"/>
      <c r="I91" s="152"/>
      <c r="J91" s="152"/>
      <c r="K91" s="152"/>
      <c r="L91" s="152" t="s">
        <v>59</v>
      </c>
      <c r="M91" s="153"/>
      <c r="N91" s="154" t="e">
        <f ca="1">(SQRT(25*N88*N88-10*N88+21)-6)/(5*SQRT(3))</f>
        <v>#REF!</v>
      </c>
      <c r="P91" s="109" t="s">
        <v>9</v>
      </c>
      <c r="Q91" s="9" t="s">
        <v>59</v>
      </c>
      <c r="R91" s="34"/>
      <c r="S91" s="97" t="e">
        <f ca="1">(SQRT(25*S88*S88-10*S88+21)-6)/(5*SQRT(3))</f>
        <v>#DIV/0!</v>
      </c>
      <c r="AI91" s="141"/>
    </row>
    <row r="92" spans="1:35" x14ac:dyDescent="0.2">
      <c r="A92" s="109"/>
      <c r="B92" s="155" t="s">
        <v>60</v>
      </c>
      <c r="C92" s="156"/>
      <c r="D92" s="157" t="e">
        <f ca="1">SQRT((D87-E87)^2+(D88-E88)^2)</f>
        <v>#REF!</v>
      </c>
      <c r="E92" s="158"/>
      <c r="G92" s="155" t="s">
        <v>60</v>
      </c>
      <c r="H92" s="156"/>
      <c r="I92" s="156"/>
      <c r="J92" s="156"/>
      <c r="K92" s="156"/>
      <c r="L92" s="156"/>
      <c r="M92" s="157" t="e">
        <f ca="1">SQRT((M87-N87)^2+(M88-N88)^2)</f>
        <v>#REF!</v>
      </c>
      <c r="N92" s="158"/>
      <c r="P92" s="112" t="s">
        <v>60</v>
      </c>
      <c r="Q92" s="33"/>
      <c r="R92" s="159" t="e">
        <f ca="1">SQRT((R87-S87)^2+(R88-S88)^2)</f>
        <v>#DIV/0!</v>
      </c>
      <c r="S92" s="68"/>
      <c r="AI92" s="141"/>
    </row>
    <row r="93" spans="1:35" x14ac:dyDescent="0.2">
      <c r="A93" s="109"/>
      <c r="D93" s="9">
        <v>3</v>
      </c>
      <c r="E93" s="9">
        <v>0</v>
      </c>
      <c r="AI93" s="141"/>
    </row>
    <row r="94" spans="1:35" x14ac:dyDescent="0.2">
      <c r="A94" s="109"/>
      <c r="B94" s="146" t="s">
        <v>5</v>
      </c>
      <c r="C94" s="147" t="s">
        <v>53</v>
      </c>
      <c r="D94" s="148" t="e">
        <f ca="1">D97</f>
        <v>#REF!</v>
      </c>
      <c r="E94" s="149">
        <f>-1/SQRT(3)</f>
        <v>-0.57735026918962584</v>
      </c>
      <c r="G94" s="146" t="s">
        <v>7</v>
      </c>
      <c r="H94" s="147"/>
      <c r="I94" s="147"/>
      <c r="J94" s="147"/>
      <c r="K94" s="147"/>
      <c r="L94" s="147" t="s">
        <v>53</v>
      </c>
      <c r="M94" s="148" t="e">
        <f ca="1">M97</f>
        <v>#REF!</v>
      </c>
      <c r="N94" s="149">
        <f>1/SQRT(3)</f>
        <v>0.57735026918962584</v>
      </c>
      <c r="P94" s="150" t="s">
        <v>6</v>
      </c>
      <c r="Q94" s="90" t="s">
        <v>53</v>
      </c>
      <c r="R94" s="136">
        <f>(R95-D82)/C82</f>
        <v>0.11547005383792522</v>
      </c>
      <c r="S94" s="62">
        <v>0</v>
      </c>
      <c r="AI94" s="141"/>
    </row>
    <row r="95" spans="1:35" x14ac:dyDescent="0.2">
      <c r="A95" s="109"/>
      <c r="B95" s="151"/>
      <c r="C95" s="152" t="s">
        <v>54</v>
      </c>
      <c r="D95" s="153" t="e">
        <f ca="1">C80*D94+D80</f>
        <v>#REF!</v>
      </c>
      <c r="E95" s="154">
        <v>0</v>
      </c>
      <c r="G95" s="151"/>
      <c r="H95" s="152"/>
      <c r="I95" s="152"/>
      <c r="J95" s="152"/>
      <c r="K95" s="152"/>
      <c r="L95" s="152" t="s">
        <v>54</v>
      </c>
      <c r="M95" s="153" t="e">
        <f ca="1">C81*M94+D81</f>
        <v>#REF!</v>
      </c>
      <c r="N95" s="154">
        <v>0</v>
      </c>
      <c r="P95" s="109"/>
      <c r="Q95" s="9" t="s">
        <v>54</v>
      </c>
      <c r="R95" s="34">
        <f>R97</f>
        <v>0</v>
      </c>
      <c r="S95" s="97">
        <v>1</v>
      </c>
      <c r="AI95" s="141"/>
    </row>
    <row r="96" spans="1:35" x14ac:dyDescent="0.2">
      <c r="A96" s="109"/>
      <c r="B96" s="151"/>
      <c r="C96" s="152"/>
      <c r="D96" s="153"/>
      <c r="E96" s="154"/>
      <c r="G96" s="151"/>
      <c r="H96" s="152"/>
      <c r="I96" s="152"/>
      <c r="J96" s="152"/>
      <c r="K96" s="152"/>
      <c r="L96" s="152"/>
      <c r="M96" s="153"/>
      <c r="N96" s="154"/>
      <c r="P96" s="109"/>
      <c r="R96" s="34"/>
      <c r="S96" s="97"/>
      <c r="AI96" s="141"/>
    </row>
    <row r="97" spans="1:215" x14ac:dyDescent="0.2">
      <c r="A97" s="109"/>
      <c r="B97" s="151" t="s">
        <v>5</v>
      </c>
      <c r="C97" s="152" t="s">
        <v>58</v>
      </c>
      <c r="D97" s="153" t="e">
        <f ca="1">(1-D95)/SQRT(3)</f>
        <v>#REF!</v>
      </c>
      <c r="E97" s="154"/>
      <c r="G97" s="151" t="s">
        <v>7</v>
      </c>
      <c r="H97" s="152"/>
      <c r="I97" s="152"/>
      <c r="J97" s="152"/>
      <c r="K97" s="152"/>
      <c r="L97" s="152" t="s">
        <v>58</v>
      </c>
      <c r="M97" s="153" t="e">
        <f ca="1">-(1-M95)/SQRT(3)</f>
        <v>#REF!</v>
      </c>
      <c r="N97" s="154"/>
      <c r="P97" s="109" t="s">
        <v>6</v>
      </c>
      <c r="Q97" s="9" t="s">
        <v>61</v>
      </c>
      <c r="R97" s="34">
        <v>0</v>
      </c>
      <c r="S97" s="97"/>
      <c r="AI97" s="141"/>
    </row>
    <row r="98" spans="1:215" x14ac:dyDescent="0.2">
      <c r="A98" s="109"/>
      <c r="B98" s="155" t="s">
        <v>60</v>
      </c>
      <c r="C98" s="156"/>
      <c r="D98" s="157" t="e">
        <f ca="1">SQRT((D94-E94)^2+(D95-E95)^2)</f>
        <v>#REF!</v>
      </c>
      <c r="E98" s="158"/>
      <c r="G98" s="155" t="s">
        <v>60</v>
      </c>
      <c r="H98" s="156"/>
      <c r="I98" s="156"/>
      <c r="J98" s="156"/>
      <c r="K98" s="156"/>
      <c r="L98" s="156"/>
      <c r="M98" s="157" t="e">
        <f ca="1">SQRT((M94-N94)^2+(M95-N95)^2)</f>
        <v>#REF!</v>
      </c>
      <c r="N98" s="158"/>
      <c r="P98" s="112" t="s">
        <v>60</v>
      </c>
      <c r="Q98" s="33"/>
      <c r="R98" s="159">
        <f>SQRT((R94-S94)^2+(R95-S95)^2)</f>
        <v>1.0066445913694333</v>
      </c>
      <c r="S98" s="68"/>
      <c r="W98" s="9" t="e">
        <f ca="1">(SQRT(25*E88^2-10*E88+21)-6)/(5*SQRT(3))</f>
        <v>#REF!</v>
      </c>
      <c r="AI98" s="141"/>
    </row>
    <row r="99" spans="1:215" x14ac:dyDescent="0.2">
      <c r="A99" s="109"/>
      <c r="G99" s="9"/>
      <c r="H99" s="9"/>
      <c r="I99" s="9"/>
      <c r="J99" s="9"/>
      <c r="K99" s="9"/>
      <c r="AI99" s="141"/>
    </row>
    <row r="100" spans="1:215" x14ac:dyDescent="0.2">
      <c r="A100" s="109"/>
      <c r="B100" s="146" t="s">
        <v>62</v>
      </c>
      <c r="C100" s="147"/>
      <c r="D100" s="160" t="e">
        <f ca="1">D92/D98</f>
        <v>#REF!</v>
      </c>
      <c r="E100" s="161"/>
      <c r="G100" s="146" t="s">
        <v>135</v>
      </c>
      <c r="H100" s="147"/>
      <c r="I100" s="147"/>
      <c r="J100" s="147"/>
      <c r="K100" s="147"/>
      <c r="L100" s="147"/>
      <c r="M100" s="160" t="e">
        <f ca="1">M92/M98</f>
        <v>#REF!</v>
      </c>
      <c r="N100" s="161"/>
      <c r="P100" s="9" t="s">
        <v>63</v>
      </c>
      <c r="R100" s="162" t="e">
        <f ca="1">R92/R98</f>
        <v>#DIV/0!</v>
      </c>
      <c r="AI100" s="141"/>
    </row>
    <row r="101" spans="1:215" x14ac:dyDescent="0.2">
      <c r="A101" s="109"/>
      <c r="B101" s="151"/>
      <c r="C101" s="152"/>
      <c r="D101" s="163" t="s">
        <v>36</v>
      </c>
      <c r="E101" s="164" t="s">
        <v>38</v>
      </c>
      <c r="G101" s="165"/>
      <c r="H101" s="163"/>
      <c r="I101" s="163"/>
      <c r="J101" s="163"/>
      <c r="K101" s="163"/>
      <c r="L101" s="152"/>
      <c r="M101" s="163" t="s">
        <v>38</v>
      </c>
      <c r="N101" s="164" t="s">
        <v>36</v>
      </c>
      <c r="R101" s="10"/>
      <c r="S101" s="10"/>
      <c r="AI101" s="141"/>
    </row>
    <row r="102" spans="1:215" x14ac:dyDescent="0.2">
      <c r="A102" s="109"/>
      <c r="B102" s="151"/>
      <c r="C102" s="152"/>
      <c r="D102" s="152" t="e">
        <f ca="1">SQRT((E87-E94)^2+(E88-E95)^2)</f>
        <v>#REF!</v>
      </c>
      <c r="E102" s="166" t="e">
        <f ca="1">SQRT((D87-D94)^2+(D88-D95)^2)</f>
        <v>#REF!</v>
      </c>
      <c r="G102" s="165"/>
      <c r="H102" s="163"/>
      <c r="I102" s="163"/>
      <c r="J102" s="163"/>
      <c r="K102" s="163"/>
      <c r="L102" s="152"/>
      <c r="M102" s="152" t="e">
        <f ca="1">SQRT((M87-N94)^2+(M88-N95)^2)</f>
        <v>#REF!</v>
      </c>
      <c r="N102" s="166" t="e">
        <f ca="1">SQRT((N87-M94)^2+(N88-M95)^2)</f>
        <v>#REF!</v>
      </c>
      <c r="AI102" s="141"/>
    </row>
    <row r="103" spans="1:215" x14ac:dyDescent="0.2">
      <c r="A103" s="109"/>
      <c r="B103" s="155"/>
      <c r="C103" s="156"/>
      <c r="D103" s="167" t="e">
        <f ca="1">D102/D98</f>
        <v>#REF!</v>
      </c>
      <c r="E103" s="168" t="e">
        <f ca="1">E102/D98</f>
        <v>#REF!</v>
      </c>
      <c r="G103" s="169"/>
      <c r="H103" s="170"/>
      <c r="I103" s="170"/>
      <c r="J103" s="170"/>
      <c r="K103" s="170"/>
      <c r="L103" s="156"/>
      <c r="M103" s="167" t="e">
        <f ca="1">M102/M98</f>
        <v>#REF!</v>
      </c>
      <c r="N103" s="168" t="e">
        <f ca="1">N102/M98</f>
        <v>#REF!</v>
      </c>
      <c r="R103" s="171"/>
      <c r="S103" s="171"/>
      <c r="AI103" s="141"/>
    </row>
    <row r="104" spans="1:215" x14ac:dyDescent="0.2">
      <c r="A104" s="109"/>
      <c r="AI104" s="141"/>
    </row>
    <row r="105" spans="1:215" x14ac:dyDescent="0.2">
      <c r="A105" s="109"/>
      <c r="D105" s="172" t="e">
        <f ca="1">D100+D103+E103</f>
        <v>#REF!</v>
      </c>
      <c r="M105" s="172" t="e">
        <f ca="1">M100+M103+N103</f>
        <v>#REF!</v>
      </c>
      <c r="R105" s="172"/>
      <c r="AI105" s="141"/>
    </row>
    <row r="106" spans="1:215" x14ac:dyDescent="0.2">
      <c r="A106" s="109"/>
      <c r="AI106" s="141"/>
    </row>
    <row r="107" spans="1:215" x14ac:dyDescent="0.2">
      <c r="A107" s="109"/>
      <c r="AI107" s="141"/>
    </row>
    <row r="108" spans="1:215" x14ac:dyDescent="0.2">
      <c r="A108" s="109"/>
      <c r="D108" s="116" t="e">
        <f ca="1">LOG(100*E103)</f>
        <v>#REF!</v>
      </c>
      <c r="M108" s="116" t="e">
        <f ca="1">LOG(100*N103)</f>
        <v>#REF!</v>
      </c>
      <c r="AI108" s="141"/>
    </row>
    <row r="109" spans="1:215" x14ac:dyDescent="0.2">
      <c r="A109" s="109"/>
      <c r="D109" s="116" t="e">
        <f ca="1">LOG(100*D100)</f>
        <v>#REF!</v>
      </c>
      <c r="M109" s="116" t="e">
        <f ca="1">LOG(100*M100)</f>
        <v>#REF!</v>
      </c>
      <c r="AI109" s="141"/>
    </row>
    <row r="110" spans="1:215" x14ac:dyDescent="0.2">
      <c r="A110" s="112"/>
      <c r="B110" s="33"/>
      <c r="C110" s="33"/>
      <c r="D110" s="173" t="e">
        <f ca="1">LOG(100*D103)</f>
        <v>#REF!</v>
      </c>
      <c r="E110" s="33"/>
      <c r="F110" s="33"/>
      <c r="G110" s="113"/>
      <c r="H110" s="113"/>
      <c r="I110" s="113"/>
      <c r="J110" s="113"/>
      <c r="K110" s="113"/>
      <c r="L110" s="33"/>
      <c r="M110" s="173" t="e">
        <f ca="1">LOG(100*M103)</f>
        <v>#REF!</v>
      </c>
      <c r="N110" s="33"/>
      <c r="O110" s="33"/>
      <c r="P110" s="33"/>
      <c r="Q110" s="33"/>
      <c r="R110" s="33"/>
      <c r="S110" s="33"/>
      <c r="T110" s="33"/>
      <c r="U110" s="33"/>
      <c r="V110" s="33"/>
      <c r="W110" s="33"/>
      <c r="X110" s="33"/>
      <c r="Y110" s="33"/>
      <c r="Z110" s="33"/>
      <c r="AA110" s="33"/>
      <c r="AB110" s="33"/>
      <c r="AC110" s="33"/>
      <c r="AD110" s="33"/>
      <c r="AE110" s="33"/>
      <c r="AF110" s="33"/>
      <c r="AG110" s="33"/>
      <c r="AH110" s="33"/>
      <c r="AI110" s="102"/>
    </row>
    <row r="111" spans="1:215" x14ac:dyDescent="0.2">
      <c r="A111" s="103" t="s">
        <v>137</v>
      </c>
      <c r="B111" s="104"/>
      <c r="C111" s="104"/>
      <c r="D111" s="104"/>
      <c r="E111" s="105"/>
      <c r="F111" s="105"/>
      <c r="G111" s="106"/>
      <c r="H111" s="106"/>
      <c r="I111" s="106"/>
      <c r="J111" s="106"/>
      <c r="K111" s="106"/>
      <c r="L111" s="90"/>
      <c r="M111" s="90"/>
      <c r="N111" s="93"/>
      <c r="O111" s="93"/>
      <c r="P111" s="93">
        <v>9.6225044864937673E-2</v>
      </c>
      <c r="Q111" s="93">
        <v>3.8490017945975043E-2</v>
      </c>
      <c r="R111" s="93">
        <v>2.4056261216234449E-2</v>
      </c>
      <c r="S111" s="93">
        <v>1.7495462702715917E-2</v>
      </c>
      <c r="T111" s="93">
        <v>1.3746434980705328E-2</v>
      </c>
      <c r="U111" s="93">
        <v>1.1320593513522034E-2</v>
      </c>
      <c r="V111" s="93">
        <v>9.6225044864937295E-3</v>
      </c>
      <c r="W111" s="93">
        <v>8.3673952056467875E-3</v>
      </c>
      <c r="X111" s="93">
        <v>7.4019265280720996E-3</v>
      </c>
      <c r="Y111" s="93">
        <v>6.6362099906854101E-3</v>
      </c>
      <c r="Z111" s="93">
        <v>6.0140653040586444E-3</v>
      </c>
      <c r="AA111" s="93">
        <v>5.4985739922821311E-3</v>
      </c>
      <c r="AB111" s="93">
        <v>5.0644760455230489E-3</v>
      </c>
      <c r="AC111" s="93">
        <v>4.6939046275580225E-3</v>
      </c>
      <c r="AD111" s="93">
        <v>4.3738656756789791E-3</v>
      </c>
      <c r="AE111" s="93">
        <v>4.0946827602100534E-3</v>
      </c>
      <c r="AF111" s="93">
        <v>3.8490017945975942E-3</v>
      </c>
      <c r="AG111" s="93">
        <v>3.6311337684882118E-3</v>
      </c>
      <c r="AH111" s="93">
        <v>3.4366087451763319E-3</v>
      </c>
      <c r="AI111" s="93">
        <v>3.4366087451763319E-3</v>
      </c>
      <c r="AJ111" s="93">
        <v>3.1040337053205662E-3</v>
      </c>
      <c r="AK111" s="93">
        <v>2.9607706112288398E-3</v>
      </c>
      <c r="AL111" s="93">
        <v>2.8301483783805086E-3</v>
      </c>
      <c r="AM111" s="93">
        <v>2.7105646440827892E-3</v>
      </c>
      <c r="AN111" s="93">
        <v>2.6006768882415312E-3</v>
      </c>
      <c r="AO111" s="93">
        <v>2.4993518146736843E-3</v>
      </c>
      <c r="AP111" s="93">
        <v>2.4056261216234324E-3</v>
      </c>
      <c r="AQ111" s="93">
        <v>2.3186757798780442E-3</v>
      </c>
      <c r="AR111" s="93">
        <v>2.2377917410450654E-3</v>
      </c>
      <c r="AS111" s="93">
        <v>2.1623605587626489E-3</v>
      </c>
      <c r="AT111" s="93">
        <v>2.0918488014116969E-3</v>
      </c>
      <c r="AU111" s="93">
        <v>2.0257904182092198E-3</v>
      </c>
      <c r="AV111" s="93">
        <v>1.9637764258149918E-3</v>
      </c>
      <c r="AW111" s="93">
        <v>1.9054464329691491E-3</v>
      </c>
      <c r="AX111" s="93">
        <v>1.8504816320180249E-3</v>
      </c>
      <c r="AY111" s="93">
        <v>1.7985989694380227E-3</v>
      </c>
      <c r="AZ111" s="93">
        <v>1.7495462702715404E-3</v>
      </c>
      <c r="BA111" s="93">
        <v>1.7030981392023958E-3</v>
      </c>
      <c r="BB111" s="93">
        <v>1.6590524976712883E-3</v>
      </c>
      <c r="BC111" s="93">
        <v>1.617227644788862E-3</v>
      </c>
      <c r="BD111" s="93">
        <v>1.5774597518841611E-3</v>
      </c>
      <c r="BE111" s="93">
        <v>1.5396007178390889E-3</v>
      </c>
      <c r="BF111" s="93">
        <v>1.5035163260146932E-3</v>
      </c>
      <c r="BG111" s="93">
        <v>1.4690846544265098E-3</v>
      </c>
      <c r="BH111" s="93">
        <v>1.4361946994767066E-3</v>
      </c>
      <c r="BI111" s="93">
        <v>1.4047451805099726E-3</v>
      </c>
      <c r="BJ111" s="93">
        <v>1.3746434980705328E-3</v>
      </c>
      <c r="BK111" s="93">
        <v>1.3458048232858595E-3</v>
      </c>
      <c r="BL111" s="93">
        <v>1.3181512995197415E-3</v>
      </c>
      <c r="BM111" s="93">
        <v>1.2916113404689809E-3</v>
      </c>
      <c r="BN111" s="93">
        <v>1.2661190113807943E-3</v>
      </c>
      <c r="BO111" s="93">
        <v>1.241613482128252E-3</v>
      </c>
      <c r="BP111" s="93">
        <v>1.2180385425941964E-3</v>
      </c>
      <c r="BQ111" s="93">
        <v>1.1953421722352736E-3</v>
      </c>
      <c r="BR111" s="93">
        <v>1.1734761568894417E-3</v>
      </c>
      <c r="BS111" s="93">
        <v>1.1523957468853828E-3</v>
      </c>
      <c r="BT111" s="93">
        <v>1.1320593513522033E-3</v>
      </c>
      <c r="BU111" s="93">
        <v>1.1124282643345492E-3</v>
      </c>
      <c r="BV111" s="93">
        <v>1.0934664189197769E-3</v>
      </c>
      <c r="BW111" s="93">
        <v>1.0751401660886555E-3</v>
      </c>
      <c r="BX111" s="93">
        <v>1.0574180754388714E-3</v>
      </c>
      <c r="BY111" s="93">
        <v>1.0402707552966124E-3</v>
      </c>
      <c r="BZ111" s="93">
        <v>1.0236706900525134E-3</v>
      </c>
      <c r="CA111" s="93">
        <v>1.0075920928265625E-3</v>
      </c>
      <c r="CB111" s="93">
        <v>9.9201077180347723E-4</v>
      </c>
      <c r="CC111" s="93">
        <v>9.7690400878107419E-4</v>
      </c>
      <c r="CD111" s="93">
        <v>9.6225044864939855E-4</v>
      </c>
      <c r="CE111" s="93">
        <v>9.4802999866927106E-4</v>
      </c>
      <c r="CF111" s="93">
        <v>9.3422373655274943E-4</v>
      </c>
      <c r="CG111" s="93">
        <v>9.2081382645875954E-4</v>
      </c>
      <c r="CH111" s="93">
        <v>9.0778344212202086E-4</v>
      </c>
      <c r="CI111" s="93">
        <v>8.9511669641800047E-4</v>
      </c>
      <c r="CJ111" s="93">
        <v>8.8279857674252045E-4</v>
      </c>
      <c r="CK111" s="93">
        <v>8.7081488565554112E-4</v>
      </c>
      <c r="CL111" s="93">
        <v>8.5915218629401891E-4</v>
      </c>
      <c r="CM111" s="93">
        <v>8.4779775211399453E-4</v>
      </c>
      <c r="CN111" s="93">
        <v>8.3673952056462751E-4</v>
      </c>
      <c r="CO111" s="93">
        <v>8.2596605034278628E-4</v>
      </c>
      <c r="CP111" s="93">
        <v>8.1546648190629172E-4</v>
      </c>
      <c r="CQ111" s="93">
        <v>8.0523050096172717E-4</v>
      </c>
      <c r="CR111" s="93">
        <v>7.9524830466888206E-4</v>
      </c>
      <c r="CS111" s="93">
        <v>7.8551057032607359E-4</v>
      </c>
      <c r="CT111" s="93">
        <v>7.7600842633007738E-4</v>
      </c>
      <c r="CU111" s="93">
        <v>7.6673342521862585E-4</v>
      </c>
      <c r="CV111" s="93">
        <v>7.5767751862164032E-4</v>
      </c>
      <c r="CW111" s="93">
        <v>7.4883303396838363E-4</v>
      </c>
      <c r="CX111" s="93">
        <v>7.4019265280720996E-4</v>
      </c>
      <c r="CY111" s="93">
        <v>7.3174939060791837E-4</v>
      </c>
      <c r="CZ111" s="93">
        <v>7.2349657793184584E-4</v>
      </c>
      <c r="DA111" s="93">
        <v>7.1542784286201351E-4</v>
      </c>
      <c r="DB111" s="93">
        <v>7.0753709459512714E-4</v>
      </c>
      <c r="DC111" s="93">
        <v>6.998185081086418E-4</v>
      </c>
      <c r="DD111" s="93">
        <v>6.9226650981969089E-4</v>
      </c>
      <c r="DE111" s="93">
        <v>6.8487576416319089E-4</v>
      </c>
      <c r="DF111" s="93">
        <v>6.7764116102066532E-4</v>
      </c>
      <c r="DG111" s="93">
        <v>6.7055780393684213E-4</v>
      </c>
      <c r="DH111" s="93">
        <v>6.6362099906851538E-4</v>
      </c>
      <c r="DI111" s="93">
        <v>6.5682624481182804E-4</v>
      </c>
      <c r="DJ111" s="93">
        <v>6.5016922206041479E-4</v>
      </c>
      <c r="DK111" s="93">
        <v>6.4364578504979241E-4</v>
      </c>
      <c r="DL111" s="93">
        <v>6.3725195274787053E-4</v>
      </c>
      <c r="DM111" s="93">
        <v>6.3098390075376704E-4</v>
      </c>
      <c r="DN111" s="93">
        <v>6.2483795366838899E-4</v>
      </c>
      <c r="DO111" s="93">
        <v>6.1881057790960333E-4</v>
      </c>
      <c r="DP111" s="93">
        <v>6.1289837493584427E-4</v>
      </c>
      <c r="DQ111" s="93">
        <v>6.0709807485764692E-4</v>
      </c>
      <c r="DR111" s="93">
        <v>6.01406530405826E-4</v>
      </c>
      <c r="DS111" s="93">
        <v>5.958207112379681E-4</v>
      </c>
      <c r="DT111" s="93">
        <v>5.903376985578534E-4</v>
      </c>
      <c r="DU111" s="93">
        <v>5.849546800299894E-4</v>
      </c>
      <c r="DV111" s="93">
        <v>5.7966894496951104E-4</v>
      </c>
      <c r="DW111" s="93">
        <v>5.7447787979065699E-4</v>
      </c>
      <c r="DX111" s="93">
        <v>5.6937896369779457E-4</v>
      </c>
      <c r="DY111" s="93">
        <v>5.6436976460373927E-4</v>
      </c>
      <c r="DZ111" s="93">
        <v>5.5944793526126635E-4</v>
      </c>
      <c r="EA111" s="93">
        <v>5.5461120959614935E-4</v>
      </c>
      <c r="EB111" s="93">
        <v>5.4985739922826433E-4</v>
      </c>
      <c r="EC111" s="93">
        <v>5.4518439016960657E-4</v>
      </c>
      <c r="ED111" s="93">
        <v>5.4059013969063013E-4</v>
      </c>
      <c r="EE111" s="93">
        <v>5.3607267334234831E-4</v>
      </c>
      <c r="EF111" s="93">
        <v>5.3163008212675793E-4</v>
      </c>
      <c r="EG111" s="93">
        <v>5.2726051980789669E-4</v>
      </c>
      <c r="EH111" s="93">
        <v>5.2296220035289223E-4</v>
      </c>
      <c r="EI111" s="93">
        <v>5.1873339549826105E-4</v>
      </c>
      <c r="EJ111" s="93">
        <v>5.1457243243286635E-4</v>
      </c>
      <c r="EK111" s="93">
        <v>5.1047769159112623E-4</v>
      </c>
      <c r="EL111" s="93">
        <v>5.0644760455224077E-4</v>
      </c>
      <c r="EM111" s="93">
        <v>5.0248065203620902E-4</v>
      </c>
      <c r="EN111" s="93">
        <v>4.9857536199458276E-4</v>
      </c>
      <c r="EO111" s="93">
        <v>4.947303077889087E-4</v>
      </c>
      <c r="EP111" s="93">
        <v>4.9094410645378003E-4</v>
      </c>
      <c r="EQ111" s="93">
        <v>4.8721541703770422E-4</v>
      </c>
      <c r="ER111" s="93">
        <v>4.8354293901986398E-4</v>
      </c>
      <c r="ES111" s="93">
        <v>4.7992541079777088E-4</v>
      </c>
      <c r="ET111" s="93">
        <v>4.763616082422232E-4</v>
      </c>
      <c r="EU111" s="93">
        <v>4.7285034331661871E-4</v>
      </c>
      <c r="EV111" s="93">
        <v>4.6939046275587922E-4</v>
      </c>
      <c r="EW111" s="93">
        <v>4.6598084680357692E-4</v>
      </c>
      <c r="EX111" s="93">
        <v>4.6262040800444209E-4</v>
      </c>
      <c r="EY111" s="93">
        <v>4.5930809004750864E-4</v>
      </c>
      <c r="EZ111" s="93">
        <v>4.5604286665848758E-4</v>
      </c>
      <c r="FA111" s="93">
        <v>4.5282374054085573E-4</v>
      </c>
      <c r="FB111" s="93">
        <v>4.4964974235950567E-4</v>
      </c>
      <c r="FC111" s="93">
        <v>4.4651992976772672E-4</v>
      </c>
      <c r="FD111" s="93">
        <v>4.4343338647443982E-4</v>
      </c>
      <c r="FE111" s="93">
        <v>4.4038922134976346E-4</v>
      </c>
      <c r="FF111" s="93">
        <v>4.3738656756788511E-4</v>
      </c>
      <c r="FG111" s="93">
        <v>4.3442458178300766E-4</v>
      </c>
      <c r="FH111" s="93">
        <v>4.3150244334055009E-4</v>
      </c>
      <c r="FI111" s="93">
        <v>4.2861935351873098E-4</v>
      </c>
      <c r="FJ111" s="93">
        <v>4.2577453480066308E-4</v>
      </c>
      <c r="FK111" s="93">
        <v>4.2296723017554855E-4</v>
      </c>
      <c r="FL111" s="93">
        <v>4.2019670246705231E-4</v>
      </c>
      <c r="FM111" s="93">
        <v>4.1746223368744305E-4</v>
      </c>
      <c r="FN111" s="93">
        <v>4.1476312441788622E-4</v>
      </c>
      <c r="FO111" s="93">
        <v>4.1209869321181294E-4</v>
      </c>
      <c r="FP111" s="93">
        <v>4.0946827602097974E-4</v>
      </c>
      <c r="FQ111" s="93">
        <v>4.0687122564460391E-4</v>
      </c>
      <c r="FR111" s="93">
        <v>4.043069111972155E-4</v>
      </c>
      <c r="FS111" s="93">
        <v>4.0177471759894406E-4</v>
      </c>
      <c r="FT111" s="93">
        <v>3.9927404508272735E-4</v>
      </c>
      <c r="FU111" s="93">
        <v>3.968043087213909E-4</v>
      </c>
      <c r="FV111" s="93">
        <v>3.9436493797100823E-4</v>
      </c>
      <c r="FW111" s="93">
        <v>3.919553762318246E-4</v>
      </c>
      <c r="FX111" s="93">
        <v>3.8957508042482036E-4</v>
      </c>
      <c r="FY111" s="93">
        <v>3.8722352058327393E-4</v>
      </c>
      <c r="FZ111" s="93">
        <v>3.8490017945970814E-4</v>
      </c>
      <c r="GA111" s="93">
        <v>3.8260455214681008E-4</v>
      </c>
      <c r="GB111" s="93">
        <v>3.8033614571117099E-4</v>
      </c>
      <c r="GC111" s="93">
        <v>3.7809447884061477E-4</v>
      </c>
      <c r="GD111" s="93">
        <v>3.7587908150370534E-4</v>
      </c>
      <c r="GE111" s="93">
        <v>3.7368949462104846E-4</v>
      </c>
      <c r="GF111" s="93">
        <v>3.7152526974877187E-4</v>
      </c>
      <c r="GG111" s="93">
        <v>3.6938596877136393E-4</v>
      </c>
      <c r="GH111" s="93">
        <v>3.6727116360656337E-4</v>
      </c>
      <c r="GI111" s="93">
        <v>3.6518043592011939E-4</v>
      </c>
      <c r="GJ111" s="93">
        <v>3.6311337684875709E-4</v>
      </c>
      <c r="GK111" s="93">
        <v>3.6106958673519309E-4</v>
      </c>
      <c r="GL111" s="93">
        <v>3.5904867486917665E-4</v>
      </c>
      <c r="GM111" s="93">
        <v>3.5705025923904281E-4</v>
      </c>
      <c r="GN111" s="93">
        <v>3.5507396629121389E-4</v>
      </c>
      <c r="GO111" s="93">
        <v>3.5311943069700816E-4</v>
      </c>
      <c r="GP111" s="93">
        <v>3.511862951275252E-4</v>
      </c>
      <c r="GQ111" s="93">
        <v>3.4927421003609448E-4</v>
      </c>
      <c r="GR111" s="93">
        <v>3.4738283344751866E-4</v>
      </c>
      <c r="GS111" s="93">
        <v>3.4551183075385531E-4</v>
      </c>
      <c r="GT111" s="93">
        <v>3.4366087451763319E-4</v>
      </c>
      <c r="GU111" s="93">
        <v>3.4182964428032558E-4</v>
      </c>
      <c r="GV111" s="93">
        <v>3.4001782637787392E-4</v>
      </c>
      <c r="GW111" s="93">
        <v>3.3822511376069845E-4</v>
      </c>
      <c r="GX111" s="93">
        <v>3.3645120582140081E-4</v>
      </c>
      <c r="GY111" s="93">
        <v>3.346958082259279E-4</v>
      </c>
      <c r="GZ111" s="93">
        <v>3.3295863275063298E-4</v>
      </c>
      <c r="HA111" s="93">
        <v>3.3123939712536161E-4</v>
      </c>
      <c r="HB111" s="93">
        <v>3.2953782487999951E-4</v>
      </c>
      <c r="HC111" s="93">
        <v>3.2785364519563506E-4</v>
      </c>
      <c r="HD111" s="93">
        <v>3.2618659276251665E-4</v>
      </c>
      <c r="HE111" s="93">
        <v>3.2453640763890706E-4</v>
      </c>
      <c r="HF111" s="93">
        <v>3.2290283511724523E-4</v>
      </c>
      <c r="HG111" s="93">
        <v>3.2128562559248763E-4</v>
      </c>
    </row>
    <row r="112" spans="1:215" x14ac:dyDescent="0.2">
      <c r="A112" s="109"/>
      <c r="N112" s="93" t="s">
        <v>329</v>
      </c>
      <c r="O112" s="93"/>
      <c r="P112" s="93">
        <v>0.16666666666666666</v>
      </c>
      <c r="Q112" s="93"/>
      <c r="R112" s="93"/>
      <c r="S112" s="93"/>
      <c r="T112" s="93"/>
      <c r="U112" s="93"/>
      <c r="V112" s="93"/>
      <c r="W112" s="93"/>
      <c r="X112" s="93"/>
      <c r="Y112" s="93"/>
      <c r="Z112" s="93"/>
      <c r="AA112" s="93"/>
      <c r="AB112" s="93"/>
      <c r="AC112" s="93"/>
      <c r="AD112" s="93"/>
      <c r="AE112" s="93"/>
      <c r="AF112" s="93"/>
      <c r="AG112" s="93"/>
      <c r="AH112" s="93"/>
      <c r="AI112" s="93"/>
      <c r="AJ112" s="93"/>
      <c r="AK112" s="93"/>
      <c r="AL112" s="93"/>
      <c r="AM112" s="93"/>
      <c r="AN112" s="93"/>
      <c r="AO112" s="93"/>
      <c r="AP112" s="93"/>
      <c r="AQ112" s="93"/>
      <c r="AR112" s="93"/>
      <c r="AS112" s="93"/>
      <c r="AT112" s="93"/>
      <c r="AU112" s="93"/>
      <c r="AV112" s="93"/>
      <c r="AW112" s="93"/>
      <c r="AX112" s="93"/>
      <c r="AY112" s="93"/>
      <c r="AZ112" s="93"/>
      <c r="BA112" s="93"/>
      <c r="BB112" s="93"/>
      <c r="BC112" s="93"/>
      <c r="BD112" s="93"/>
      <c r="BE112" s="93"/>
      <c r="BF112" s="93"/>
      <c r="BG112" s="93"/>
      <c r="BH112" s="93"/>
      <c r="BI112" s="93"/>
      <c r="BJ112" s="93"/>
      <c r="BK112" s="93"/>
      <c r="BL112" s="93"/>
      <c r="BM112" s="93"/>
      <c r="BN112" s="93"/>
      <c r="BO112" s="93"/>
      <c r="BP112" s="93"/>
      <c r="BQ112" s="93"/>
      <c r="BR112" s="93"/>
      <c r="BS112" s="93"/>
      <c r="BT112" s="93"/>
      <c r="BU112" s="93"/>
      <c r="BV112" s="93"/>
      <c r="BW112" s="93"/>
      <c r="BX112" s="93"/>
      <c r="BY112" s="93"/>
      <c r="BZ112" s="93"/>
      <c r="CA112" s="93"/>
      <c r="CB112" s="93"/>
      <c r="CC112" s="93"/>
      <c r="CD112" s="93"/>
      <c r="CE112" s="93"/>
      <c r="CF112" s="93"/>
      <c r="CG112" s="93"/>
      <c r="CH112" s="93"/>
      <c r="CI112" s="93"/>
      <c r="CJ112" s="93"/>
      <c r="CK112" s="93"/>
      <c r="CL112" s="93"/>
      <c r="CM112" s="93"/>
      <c r="CN112" s="93"/>
      <c r="CO112" s="93"/>
      <c r="CP112" s="93"/>
      <c r="CQ112" s="93"/>
      <c r="CR112" s="93"/>
      <c r="CS112" s="93"/>
      <c r="CT112" s="93"/>
      <c r="CU112" s="93"/>
      <c r="CV112" s="93"/>
      <c r="CW112" s="93"/>
      <c r="CX112" s="93"/>
      <c r="CY112" s="93"/>
      <c r="CZ112" s="93"/>
      <c r="DA112" s="93"/>
      <c r="DB112" s="93"/>
      <c r="DC112" s="93"/>
      <c r="DD112" s="93"/>
      <c r="DE112" s="93"/>
      <c r="DF112" s="93"/>
      <c r="DG112" s="93"/>
      <c r="DH112" s="93"/>
      <c r="DI112" s="93"/>
      <c r="DJ112" s="93"/>
      <c r="DK112" s="93"/>
      <c r="DL112" s="93"/>
      <c r="DM112" s="93"/>
      <c r="DN112" s="93"/>
      <c r="DO112" s="93"/>
      <c r="DP112" s="93"/>
      <c r="DQ112" s="93"/>
      <c r="DR112" s="93"/>
      <c r="DS112" s="93"/>
      <c r="DT112" s="93"/>
      <c r="DU112" s="93"/>
      <c r="DV112" s="93"/>
      <c r="DW112" s="93"/>
      <c r="DX112" s="93"/>
      <c r="DY112" s="93"/>
      <c r="DZ112" s="93"/>
      <c r="EA112" s="93"/>
      <c r="EB112" s="93"/>
      <c r="EC112" s="93"/>
      <c r="ED112" s="93"/>
      <c r="EE112" s="93"/>
      <c r="EF112" s="93"/>
      <c r="EG112" s="93"/>
      <c r="EH112" s="93"/>
      <c r="EI112" s="93"/>
      <c r="EJ112" s="93"/>
      <c r="EK112" s="93"/>
      <c r="EL112" s="93"/>
      <c r="EM112" s="93"/>
      <c r="EN112" s="93"/>
      <c r="EO112" s="93"/>
      <c r="EP112" s="93"/>
      <c r="EQ112" s="93"/>
      <c r="ER112" s="93"/>
      <c r="ES112" s="93"/>
      <c r="ET112" s="93"/>
      <c r="EU112" s="93"/>
      <c r="EV112" s="93"/>
      <c r="EW112" s="93"/>
      <c r="EX112" s="93"/>
      <c r="EY112" s="93"/>
      <c r="EZ112" s="93"/>
      <c r="FA112" s="93"/>
      <c r="FB112" s="93"/>
      <c r="FC112" s="93"/>
      <c r="FD112" s="93"/>
      <c r="FE112" s="93"/>
      <c r="FF112" s="93"/>
      <c r="FG112" s="93"/>
      <c r="FH112" s="93"/>
      <c r="FI112" s="93"/>
      <c r="FJ112" s="93"/>
      <c r="FK112" s="93"/>
      <c r="FL112" s="93"/>
      <c r="FM112" s="93"/>
      <c r="FN112" s="93"/>
      <c r="FO112" s="93"/>
      <c r="FP112" s="93"/>
      <c r="FQ112" s="93"/>
      <c r="FR112" s="93"/>
      <c r="FS112" s="93"/>
      <c r="FT112" s="93"/>
      <c r="FU112" s="93"/>
      <c r="FV112" s="93"/>
      <c r="FW112" s="93"/>
      <c r="FX112" s="93"/>
      <c r="FY112" s="93"/>
      <c r="FZ112" s="93"/>
      <c r="GA112" s="93"/>
      <c r="GB112" s="93"/>
      <c r="GC112" s="93"/>
      <c r="GD112" s="93"/>
      <c r="GE112" s="93"/>
      <c r="GF112" s="93"/>
      <c r="GG112" s="93"/>
      <c r="GH112" s="93"/>
      <c r="GI112" s="93"/>
      <c r="GJ112" s="93"/>
      <c r="GK112" s="93"/>
      <c r="GL112" s="93"/>
      <c r="GM112" s="93"/>
      <c r="GN112" s="93"/>
      <c r="GO112" s="93"/>
      <c r="GP112" s="93"/>
      <c r="GQ112" s="93"/>
      <c r="GR112" s="93"/>
      <c r="GS112" s="93"/>
      <c r="GT112" s="93"/>
      <c r="GU112" s="93"/>
      <c r="GV112" s="93"/>
      <c r="GW112" s="93"/>
      <c r="GX112" s="93"/>
      <c r="GY112" s="93"/>
      <c r="GZ112" s="93"/>
      <c r="HA112" s="93"/>
      <c r="HB112" s="93"/>
      <c r="HC112" s="93"/>
      <c r="HD112" s="93"/>
      <c r="HE112" s="93"/>
      <c r="HF112" s="93"/>
      <c r="HG112" s="93"/>
    </row>
    <row r="113" spans="1:215" x14ac:dyDescent="0.2">
      <c r="A113" s="109"/>
      <c r="N113" s="93" t="s">
        <v>330</v>
      </c>
      <c r="O113" s="93"/>
      <c r="P113" s="93"/>
      <c r="Q113" s="93">
        <v>0.26666666666666666</v>
      </c>
      <c r="R113" s="93"/>
      <c r="S113" s="93"/>
      <c r="T113" s="93"/>
      <c r="U113" s="93"/>
      <c r="V113" s="93"/>
      <c r="W113" s="93"/>
      <c r="X113" s="93"/>
      <c r="Y113" s="93"/>
      <c r="Z113" s="93"/>
      <c r="AA113" s="93"/>
      <c r="AB113" s="93"/>
      <c r="AC113" s="93"/>
      <c r="AD113" s="93"/>
      <c r="AE113" s="93"/>
      <c r="AF113" s="93"/>
      <c r="AG113" s="93"/>
      <c r="AH113" s="93"/>
      <c r="AI113" s="93"/>
      <c r="AJ113" s="93"/>
      <c r="AK113" s="93"/>
      <c r="AL113" s="93"/>
      <c r="AM113" s="93"/>
      <c r="AN113" s="93"/>
      <c r="AO113" s="93"/>
      <c r="AP113" s="93"/>
      <c r="AQ113" s="93"/>
      <c r="AR113" s="93"/>
      <c r="AS113" s="93"/>
      <c r="AT113" s="93"/>
      <c r="AU113" s="93"/>
      <c r="AV113" s="93"/>
      <c r="AW113" s="93"/>
      <c r="AX113" s="93"/>
      <c r="AY113" s="93"/>
      <c r="AZ113" s="93"/>
      <c r="BA113" s="93"/>
      <c r="BB113" s="93"/>
      <c r="BC113" s="93"/>
      <c r="BD113" s="93"/>
      <c r="BE113" s="93"/>
      <c r="BF113" s="93"/>
      <c r="BG113" s="93"/>
      <c r="BH113" s="93"/>
      <c r="BI113" s="93"/>
      <c r="BJ113" s="93"/>
      <c r="BK113" s="93"/>
      <c r="BL113" s="93"/>
      <c r="BM113" s="93"/>
      <c r="BN113" s="93"/>
      <c r="BO113" s="93"/>
      <c r="BP113" s="93"/>
      <c r="BQ113" s="93"/>
      <c r="BR113" s="93"/>
      <c r="BS113" s="93"/>
      <c r="BT113" s="93"/>
      <c r="BU113" s="93"/>
      <c r="BV113" s="93"/>
      <c r="BW113" s="93"/>
      <c r="BX113" s="93"/>
      <c r="BY113" s="93"/>
      <c r="BZ113" s="93"/>
      <c r="CA113" s="93"/>
      <c r="CB113" s="93"/>
      <c r="CC113" s="93"/>
      <c r="CD113" s="93"/>
      <c r="CE113" s="93"/>
      <c r="CF113" s="93"/>
      <c r="CG113" s="93"/>
      <c r="CH113" s="93"/>
      <c r="CI113" s="93"/>
      <c r="CJ113" s="93"/>
      <c r="CK113" s="93"/>
      <c r="CL113" s="93"/>
      <c r="CM113" s="93"/>
      <c r="CN113" s="93"/>
      <c r="CO113" s="93"/>
      <c r="CP113" s="93"/>
      <c r="CQ113" s="93"/>
      <c r="CR113" s="93"/>
      <c r="CS113" s="93"/>
      <c r="CT113" s="93"/>
      <c r="CU113" s="93"/>
      <c r="CV113" s="93"/>
      <c r="CW113" s="93"/>
      <c r="CX113" s="93"/>
      <c r="CY113" s="93"/>
      <c r="CZ113" s="93"/>
      <c r="DA113" s="93"/>
      <c r="DB113" s="93"/>
      <c r="DC113" s="93"/>
      <c r="DD113" s="93"/>
      <c r="DE113" s="93"/>
      <c r="DF113" s="93"/>
      <c r="DG113" s="93"/>
      <c r="DH113" s="93"/>
      <c r="DI113" s="93"/>
      <c r="DJ113" s="93"/>
      <c r="DK113" s="93"/>
      <c r="DL113" s="93"/>
      <c r="DM113" s="93"/>
      <c r="DN113" s="93"/>
      <c r="DO113" s="93"/>
      <c r="DP113" s="93"/>
      <c r="DQ113" s="93"/>
      <c r="DR113" s="93"/>
      <c r="DS113" s="93"/>
      <c r="DT113" s="93"/>
      <c r="DU113" s="93"/>
      <c r="DV113" s="93"/>
      <c r="DW113" s="93"/>
      <c r="DX113" s="93"/>
      <c r="DY113" s="93"/>
      <c r="DZ113" s="93"/>
      <c r="EA113" s="93"/>
      <c r="EB113" s="93"/>
      <c r="EC113" s="93"/>
      <c r="ED113" s="93"/>
      <c r="EE113" s="93"/>
      <c r="EF113" s="93"/>
      <c r="EG113" s="93"/>
      <c r="EH113" s="93"/>
      <c r="EI113" s="93"/>
      <c r="EJ113" s="93"/>
      <c r="EK113" s="93"/>
      <c r="EL113" s="93"/>
      <c r="EM113" s="93"/>
      <c r="EN113" s="93"/>
      <c r="EO113" s="93"/>
      <c r="EP113" s="93"/>
      <c r="EQ113" s="93"/>
      <c r="ER113" s="93"/>
      <c r="ES113" s="93"/>
      <c r="ET113" s="93"/>
      <c r="EU113" s="93"/>
      <c r="EV113" s="93"/>
      <c r="EW113" s="93"/>
      <c r="EX113" s="93"/>
      <c r="EY113" s="93"/>
      <c r="EZ113" s="93"/>
      <c r="FA113" s="93"/>
      <c r="FB113" s="93"/>
      <c r="FC113" s="93"/>
      <c r="FD113" s="93"/>
      <c r="FE113" s="93"/>
      <c r="FF113" s="93"/>
      <c r="FG113" s="93"/>
      <c r="FH113" s="93"/>
      <c r="FI113" s="93"/>
      <c r="FJ113" s="93"/>
      <c r="FK113" s="93"/>
      <c r="FL113" s="93"/>
      <c r="FM113" s="93"/>
      <c r="FN113" s="93"/>
      <c r="FO113" s="93"/>
      <c r="FP113" s="93"/>
      <c r="FQ113" s="93"/>
      <c r="FR113" s="93"/>
      <c r="FS113" s="93"/>
      <c r="FT113" s="93"/>
      <c r="FU113" s="93"/>
      <c r="FV113" s="93"/>
      <c r="FW113" s="93"/>
      <c r="FX113" s="93"/>
      <c r="FY113" s="93"/>
      <c r="FZ113" s="93"/>
      <c r="GA113" s="93"/>
      <c r="GB113" s="93"/>
      <c r="GC113" s="93"/>
      <c r="GD113" s="93"/>
      <c r="GE113" s="93"/>
      <c r="GF113" s="93"/>
      <c r="GG113" s="93"/>
      <c r="GH113" s="93"/>
      <c r="GI113" s="93"/>
      <c r="GJ113" s="93"/>
      <c r="GK113" s="93"/>
      <c r="GL113" s="93"/>
      <c r="GM113" s="93"/>
      <c r="GN113" s="93"/>
      <c r="GO113" s="93"/>
      <c r="GP113" s="93"/>
      <c r="GQ113" s="93"/>
      <c r="GR113" s="93"/>
      <c r="GS113" s="93"/>
      <c r="GT113" s="93"/>
      <c r="GU113" s="93"/>
      <c r="GV113" s="93"/>
      <c r="GW113" s="93"/>
      <c r="GX113" s="93"/>
      <c r="GY113" s="93"/>
      <c r="GZ113" s="93"/>
      <c r="HA113" s="93"/>
      <c r="HB113" s="93"/>
      <c r="HC113" s="93"/>
      <c r="HD113" s="93"/>
      <c r="HE113" s="93"/>
      <c r="HF113" s="93"/>
      <c r="HG113" s="93"/>
    </row>
    <row r="114" spans="1:215" x14ac:dyDescent="0.2">
      <c r="A114" s="109"/>
      <c r="N114" s="93" t="s">
        <v>331</v>
      </c>
      <c r="O114" s="93"/>
      <c r="P114" s="93"/>
      <c r="Q114" s="93"/>
      <c r="R114" s="93">
        <v>0.29166666666666669</v>
      </c>
      <c r="S114" s="93"/>
      <c r="T114" s="93"/>
      <c r="U114" s="93"/>
      <c r="V114" s="93"/>
      <c r="W114" s="93"/>
      <c r="X114" s="93"/>
      <c r="Y114" s="93"/>
      <c r="Z114" s="93"/>
      <c r="AA114" s="93"/>
      <c r="AB114" s="93"/>
      <c r="AC114" s="93"/>
      <c r="AD114" s="93"/>
      <c r="AE114" s="93"/>
      <c r="AF114" s="93"/>
      <c r="AG114" s="93"/>
      <c r="AH114" s="93"/>
      <c r="AI114" s="93"/>
      <c r="AJ114" s="93"/>
      <c r="AK114" s="93"/>
      <c r="AL114" s="93"/>
      <c r="AM114" s="93"/>
      <c r="AN114" s="93"/>
      <c r="AO114" s="93"/>
      <c r="AP114" s="93"/>
      <c r="AQ114" s="93"/>
      <c r="AR114" s="93"/>
      <c r="AS114" s="93"/>
      <c r="AT114" s="93"/>
      <c r="AU114" s="93"/>
      <c r="AV114" s="93"/>
      <c r="AW114" s="93"/>
      <c r="AX114" s="93"/>
      <c r="AY114" s="93"/>
      <c r="AZ114" s="93"/>
      <c r="BA114" s="93"/>
      <c r="BB114" s="93"/>
      <c r="BC114" s="93"/>
      <c r="BD114" s="93"/>
      <c r="BE114" s="93"/>
      <c r="BF114" s="93"/>
      <c r="BG114" s="93"/>
      <c r="BH114" s="93"/>
      <c r="BI114" s="93"/>
      <c r="BJ114" s="93"/>
      <c r="BK114" s="93"/>
      <c r="BL114" s="93"/>
      <c r="BM114" s="93"/>
      <c r="BN114" s="93"/>
      <c r="BO114" s="93"/>
      <c r="BP114" s="93"/>
      <c r="BQ114" s="93"/>
      <c r="BR114" s="93"/>
      <c r="BS114" s="93"/>
      <c r="BT114" s="93"/>
      <c r="BU114" s="93"/>
      <c r="BV114" s="93"/>
      <c r="BW114" s="93"/>
      <c r="BX114" s="93"/>
      <c r="BY114" s="93"/>
      <c r="BZ114" s="93"/>
      <c r="CA114" s="93"/>
      <c r="CB114" s="93"/>
      <c r="CC114" s="93"/>
      <c r="CD114" s="93"/>
      <c r="CE114" s="93"/>
      <c r="CF114" s="93"/>
      <c r="CG114" s="93"/>
      <c r="CH114" s="93"/>
      <c r="CI114" s="93"/>
      <c r="CJ114" s="93"/>
      <c r="CK114" s="93"/>
      <c r="CL114" s="93"/>
      <c r="CM114" s="93"/>
      <c r="CN114" s="93"/>
      <c r="CO114" s="93"/>
      <c r="CP114" s="93"/>
      <c r="CQ114" s="93"/>
      <c r="CR114" s="93"/>
      <c r="CS114" s="93"/>
      <c r="CT114" s="93"/>
      <c r="CU114" s="93"/>
      <c r="CV114" s="93"/>
      <c r="CW114" s="93"/>
      <c r="CX114" s="93"/>
      <c r="CY114" s="93"/>
      <c r="CZ114" s="93"/>
      <c r="DA114" s="93"/>
      <c r="DB114" s="93"/>
      <c r="DC114" s="93"/>
      <c r="DD114" s="93"/>
      <c r="DE114" s="93"/>
      <c r="DF114" s="93"/>
      <c r="DG114" s="93"/>
      <c r="DH114" s="93"/>
      <c r="DI114" s="93"/>
      <c r="DJ114" s="93"/>
      <c r="DK114" s="93"/>
      <c r="DL114" s="93"/>
      <c r="DM114" s="93"/>
      <c r="DN114" s="93"/>
      <c r="DO114" s="93"/>
      <c r="DP114" s="93"/>
      <c r="DQ114" s="93"/>
      <c r="DR114" s="93"/>
      <c r="DS114" s="93"/>
      <c r="DT114" s="93"/>
      <c r="DU114" s="93"/>
      <c r="DV114" s="93"/>
      <c r="DW114" s="93"/>
      <c r="DX114" s="93"/>
      <c r="DY114" s="93"/>
      <c r="DZ114" s="93"/>
      <c r="EA114" s="93"/>
      <c r="EB114" s="93"/>
      <c r="EC114" s="93"/>
      <c r="ED114" s="93"/>
      <c r="EE114" s="93"/>
      <c r="EF114" s="93"/>
      <c r="EG114" s="93"/>
      <c r="EH114" s="93"/>
      <c r="EI114" s="93"/>
      <c r="EJ114" s="93"/>
      <c r="EK114" s="93"/>
      <c r="EL114" s="93"/>
      <c r="EM114" s="93"/>
      <c r="EN114" s="93"/>
      <c r="EO114" s="93"/>
      <c r="EP114" s="93"/>
      <c r="EQ114" s="93"/>
      <c r="ER114" s="93"/>
      <c r="ES114" s="93"/>
      <c r="ET114" s="93"/>
      <c r="EU114" s="93"/>
      <c r="EV114" s="93"/>
      <c r="EW114" s="93"/>
      <c r="EX114" s="93"/>
      <c r="EY114" s="93"/>
      <c r="EZ114" s="93"/>
      <c r="FA114" s="93"/>
      <c r="FB114" s="93"/>
      <c r="FC114" s="93"/>
      <c r="FD114" s="93"/>
      <c r="FE114" s="93"/>
      <c r="FF114" s="93"/>
      <c r="FG114" s="93"/>
      <c r="FH114" s="93"/>
      <c r="FI114" s="93"/>
      <c r="FJ114" s="93"/>
      <c r="FK114" s="93"/>
      <c r="FL114" s="93"/>
      <c r="FM114" s="93"/>
      <c r="FN114" s="93"/>
      <c r="FO114" s="93"/>
      <c r="FP114" s="93"/>
      <c r="FQ114" s="93"/>
      <c r="FR114" s="93"/>
      <c r="FS114" s="93"/>
      <c r="FT114" s="93"/>
      <c r="FU114" s="93"/>
      <c r="FV114" s="93"/>
      <c r="FW114" s="93"/>
      <c r="FX114" s="93"/>
      <c r="FY114" s="93"/>
      <c r="FZ114" s="93"/>
      <c r="GA114" s="93"/>
      <c r="GB114" s="93"/>
      <c r="GC114" s="93"/>
      <c r="GD114" s="93"/>
      <c r="GE114" s="93"/>
      <c r="GF114" s="93"/>
      <c r="GG114" s="93"/>
      <c r="GH114" s="93"/>
      <c r="GI114" s="93"/>
      <c r="GJ114" s="93"/>
      <c r="GK114" s="93"/>
      <c r="GL114" s="93"/>
      <c r="GM114" s="93"/>
      <c r="GN114" s="93"/>
      <c r="GO114" s="93"/>
      <c r="GP114" s="93"/>
      <c r="GQ114" s="93"/>
      <c r="GR114" s="93"/>
      <c r="GS114" s="93"/>
      <c r="GT114" s="93"/>
      <c r="GU114" s="93"/>
      <c r="GV114" s="93"/>
      <c r="GW114" s="93"/>
      <c r="GX114" s="93"/>
      <c r="GY114" s="93"/>
      <c r="GZ114" s="93"/>
      <c r="HA114" s="93"/>
      <c r="HB114" s="93"/>
      <c r="HC114" s="93"/>
      <c r="HD114" s="93"/>
      <c r="HE114" s="93"/>
      <c r="HF114" s="93"/>
      <c r="HG114" s="93"/>
    </row>
    <row r="115" spans="1:215" x14ac:dyDescent="0.2">
      <c r="A115" s="109"/>
      <c r="N115" s="93" t="s">
        <v>332</v>
      </c>
      <c r="O115" s="93"/>
      <c r="P115" s="93"/>
      <c r="Q115" s="93"/>
      <c r="R115" s="93"/>
      <c r="S115" s="93">
        <v>0.30303030303030304</v>
      </c>
      <c r="T115" s="93"/>
      <c r="U115" s="93"/>
      <c r="V115" s="93"/>
      <c r="W115" s="93"/>
      <c r="X115" s="93"/>
      <c r="Y115" s="93"/>
      <c r="Z115" s="93"/>
      <c r="AA115" s="93"/>
      <c r="AB115" s="93"/>
      <c r="AC115" s="93"/>
      <c r="AD115" s="93"/>
      <c r="AE115" s="93"/>
      <c r="AF115" s="93"/>
      <c r="AG115" s="93"/>
      <c r="AH115" s="93"/>
      <c r="AI115" s="93"/>
      <c r="AJ115" s="93"/>
      <c r="AK115" s="93"/>
      <c r="AL115" s="93"/>
      <c r="AM115" s="93"/>
      <c r="AN115" s="93"/>
      <c r="AO115" s="93"/>
      <c r="AP115" s="93"/>
      <c r="AQ115" s="93"/>
      <c r="AR115" s="93"/>
      <c r="AS115" s="93"/>
      <c r="AT115" s="93"/>
      <c r="AU115" s="93"/>
      <c r="AV115" s="93"/>
      <c r="AW115" s="93"/>
      <c r="AX115" s="93"/>
      <c r="AY115" s="93"/>
      <c r="AZ115" s="93"/>
      <c r="BA115" s="93"/>
      <c r="BB115" s="93"/>
      <c r="BC115" s="93"/>
      <c r="BD115" s="93"/>
      <c r="BE115" s="93"/>
      <c r="BF115" s="93"/>
      <c r="BG115" s="93"/>
      <c r="BH115" s="93"/>
      <c r="BI115" s="93"/>
      <c r="BJ115" s="93"/>
      <c r="BK115" s="93"/>
      <c r="BL115" s="93"/>
      <c r="BM115" s="93"/>
      <c r="BN115" s="93"/>
      <c r="BO115" s="93"/>
      <c r="BP115" s="93"/>
      <c r="BQ115" s="93"/>
      <c r="BR115" s="93"/>
      <c r="BS115" s="93"/>
      <c r="BT115" s="93"/>
      <c r="BU115" s="93"/>
      <c r="BV115" s="93"/>
      <c r="BW115" s="93"/>
      <c r="BX115" s="93"/>
      <c r="BY115" s="93"/>
      <c r="BZ115" s="93"/>
      <c r="CA115" s="93"/>
      <c r="CB115" s="93"/>
      <c r="CC115" s="93"/>
      <c r="CD115" s="93"/>
      <c r="CE115" s="93"/>
      <c r="CF115" s="93"/>
      <c r="CG115" s="93"/>
      <c r="CH115" s="93"/>
      <c r="CI115" s="93"/>
      <c r="CJ115" s="93"/>
      <c r="CK115" s="93"/>
      <c r="CL115" s="93"/>
      <c r="CM115" s="93"/>
      <c r="CN115" s="93"/>
      <c r="CO115" s="93"/>
      <c r="CP115" s="93"/>
      <c r="CQ115" s="93"/>
      <c r="CR115" s="93"/>
      <c r="CS115" s="93"/>
      <c r="CT115" s="93"/>
      <c r="CU115" s="93"/>
      <c r="CV115" s="93"/>
      <c r="CW115" s="93"/>
      <c r="CX115" s="93"/>
      <c r="CY115" s="93"/>
      <c r="CZ115" s="93"/>
      <c r="DA115" s="93"/>
      <c r="DB115" s="93"/>
      <c r="DC115" s="93"/>
      <c r="DD115" s="93"/>
      <c r="DE115" s="93"/>
      <c r="DF115" s="93"/>
      <c r="DG115" s="93"/>
      <c r="DH115" s="93"/>
      <c r="DI115" s="93"/>
      <c r="DJ115" s="93"/>
      <c r="DK115" s="93"/>
      <c r="DL115" s="93"/>
      <c r="DM115" s="93"/>
      <c r="DN115" s="93"/>
      <c r="DO115" s="93"/>
      <c r="DP115" s="93"/>
      <c r="DQ115" s="93"/>
      <c r="DR115" s="93"/>
      <c r="DS115" s="93"/>
      <c r="DT115" s="93"/>
      <c r="DU115" s="93"/>
      <c r="DV115" s="93"/>
      <c r="DW115" s="93"/>
      <c r="DX115" s="93"/>
      <c r="DY115" s="93"/>
      <c r="DZ115" s="93"/>
      <c r="EA115" s="93"/>
      <c r="EB115" s="93"/>
      <c r="EC115" s="93"/>
      <c r="ED115" s="93"/>
      <c r="EE115" s="93"/>
      <c r="EF115" s="93"/>
      <c r="EG115" s="93"/>
      <c r="EH115" s="93"/>
      <c r="EI115" s="93"/>
      <c r="EJ115" s="93"/>
      <c r="EK115" s="93"/>
      <c r="EL115" s="93"/>
      <c r="EM115" s="93"/>
      <c r="EN115" s="93"/>
      <c r="EO115" s="93"/>
      <c r="EP115" s="93"/>
      <c r="EQ115" s="93"/>
      <c r="ER115" s="93"/>
      <c r="ES115" s="93"/>
      <c r="ET115" s="93"/>
      <c r="EU115" s="93"/>
      <c r="EV115" s="93"/>
      <c r="EW115" s="93"/>
      <c r="EX115" s="93"/>
      <c r="EY115" s="93"/>
      <c r="EZ115" s="93"/>
      <c r="FA115" s="93"/>
      <c r="FB115" s="93"/>
      <c r="FC115" s="93"/>
      <c r="FD115" s="93"/>
      <c r="FE115" s="93"/>
      <c r="FF115" s="93"/>
      <c r="FG115" s="93"/>
      <c r="FH115" s="93"/>
      <c r="FI115" s="93"/>
      <c r="FJ115" s="93"/>
      <c r="FK115" s="93"/>
      <c r="FL115" s="93"/>
      <c r="FM115" s="93"/>
      <c r="FN115" s="93"/>
      <c r="FO115" s="93"/>
      <c r="FP115" s="93"/>
      <c r="FQ115" s="93"/>
      <c r="FR115" s="93"/>
      <c r="FS115" s="93"/>
      <c r="FT115" s="93"/>
      <c r="FU115" s="93"/>
      <c r="FV115" s="93"/>
      <c r="FW115" s="93"/>
      <c r="FX115" s="93"/>
      <c r="FY115" s="93"/>
      <c r="FZ115" s="93"/>
      <c r="GA115" s="93"/>
      <c r="GB115" s="93"/>
      <c r="GC115" s="93"/>
      <c r="GD115" s="93"/>
      <c r="GE115" s="93"/>
      <c r="GF115" s="93"/>
      <c r="GG115" s="93"/>
      <c r="GH115" s="93"/>
      <c r="GI115" s="93"/>
      <c r="GJ115" s="93"/>
      <c r="GK115" s="93"/>
      <c r="GL115" s="93"/>
      <c r="GM115" s="93"/>
      <c r="GN115" s="93"/>
      <c r="GO115" s="93"/>
      <c r="GP115" s="93"/>
      <c r="GQ115" s="93"/>
      <c r="GR115" s="93"/>
      <c r="GS115" s="93"/>
      <c r="GT115" s="93"/>
      <c r="GU115" s="93"/>
      <c r="GV115" s="93"/>
      <c r="GW115" s="93"/>
      <c r="GX115" s="93"/>
      <c r="GY115" s="93"/>
      <c r="GZ115" s="93"/>
      <c r="HA115" s="93"/>
      <c r="HB115" s="93"/>
      <c r="HC115" s="93"/>
      <c r="HD115" s="93"/>
      <c r="HE115" s="93"/>
      <c r="HF115" s="93"/>
      <c r="HG115" s="93"/>
    </row>
    <row r="116" spans="1:215" x14ac:dyDescent="0.2">
      <c r="A116" s="109"/>
      <c r="N116" s="93" t="s">
        <v>333</v>
      </c>
      <c r="O116" s="93"/>
      <c r="P116" s="93"/>
      <c r="Q116" s="93"/>
      <c r="R116" s="93"/>
      <c r="S116" s="93"/>
      <c r="T116" s="93">
        <v>0.30952380952380953</v>
      </c>
      <c r="U116" s="93"/>
      <c r="V116" s="93"/>
      <c r="W116" s="93"/>
      <c r="X116" s="93"/>
      <c r="Y116" s="93"/>
      <c r="Z116" s="93"/>
      <c r="AA116" s="93"/>
      <c r="AB116" s="93"/>
      <c r="AC116" s="93"/>
      <c r="AD116" s="93"/>
      <c r="AE116" s="93"/>
      <c r="AF116" s="93"/>
      <c r="AG116" s="93"/>
      <c r="AH116" s="93"/>
      <c r="AI116" s="93"/>
      <c r="AJ116" s="93"/>
      <c r="AK116" s="93"/>
      <c r="AL116" s="93"/>
      <c r="AM116" s="93"/>
      <c r="AN116" s="93"/>
      <c r="AO116" s="93"/>
      <c r="AP116" s="93"/>
      <c r="AQ116" s="93"/>
      <c r="AR116" s="93"/>
      <c r="AS116" s="93"/>
      <c r="AT116" s="93"/>
      <c r="AU116" s="93"/>
      <c r="AV116" s="93"/>
      <c r="AW116" s="93"/>
      <c r="AX116" s="93"/>
      <c r="AY116" s="93"/>
      <c r="AZ116" s="93"/>
      <c r="BA116" s="93"/>
      <c r="BB116" s="93"/>
      <c r="BC116" s="93"/>
      <c r="BD116" s="93"/>
      <c r="BE116" s="93"/>
      <c r="BF116" s="93"/>
      <c r="BG116" s="93"/>
      <c r="BH116" s="93"/>
      <c r="BI116" s="93"/>
      <c r="BJ116" s="93"/>
      <c r="BK116" s="93"/>
      <c r="BL116" s="93"/>
      <c r="BM116" s="93"/>
      <c r="BN116" s="93"/>
      <c r="BO116" s="93"/>
      <c r="BP116" s="93"/>
      <c r="BQ116" s="93"/>
      <c r="BR116" s="93"/>
      <c r="BS116" s="93"/>
      <c r="BT116" s="93"/>
      <c r="BU116" s="93"/>
      <c r="BV116" s="93"/>
      <c r="BW116" s="93"/>
      <c r="BX116" s="93"/>
      <c r="BY116" s="93"/>
      <c r="BZ116" s="93"/>
      <c r="CA116" s="93"/>
      <c r="CB116" s="93"/>
      <c r="CC116" s="93"/>
      <c r="CD116" s="93"/>
      <c r="CE116" s="93"/>
      <c r="CF116" s="93"/>
      <c r="CG116" s="93"/>
      <c r="CH116" s="93"/>
      <c r="CI116" s="93"/>
      <c r="CJ116" s="93"/>
      <c r="CK116" s="93"/>
      <c r="CL116" s="93"/>
      <c r="CM116" s="93"/>
      <c r="CN116" s="93"/>
      <c r="CO116" s="93"/>
      <c r="CP116" s="93"/>
      <c r="CQ116" s="93"/>
      <c r="CR116" s="93"/>
      <c r="CS116" s="93"/>
      <c r="CT116" s="93"/>
      <c r="CU116" s="93"/>
      <c r="CV116" s="93"/>
      <c r="CW116" s="93"/>
      <c r="CX116" s="93"/>
      <c r="CY116" s="93"/>
      <c r="CZ116" s="93"/>
      <c r="DA116" s="93"/>
      <c r="DB116" s="93"/>
      <c r="DC116" s="93"/>
      <c r="DD116" s="93"/>
      <c r="DE116" s="93"/>
      <c r="DF116" s="93"/>
      <c r="DG116" s="93"/>
      <c r="DH116" s="93"/>
      <c r="DI116" s="93"/>
      <c r="DJ116" s="93"/>
      <c r="DK116" s="93"/>
      <c r="DL116" s="93"/>
      <c r="DM116" s="93"/>
      <c r="DN116" s="93"/>
      <c r="DO116" s="93"/>
      <c r="DP116" s="93"/>
      <c r="DQ116" s="93"/>
      <c r="DR116" s="93"/>
      <c r="DS116" s="93"/>
      <c r="DT116" s="93"/>
      <c r="DU116" s="93"/>
      <c r="DV116" s="93"/>
      <c r="DW116" s="93"/>
      <c r="DX116" s="93"/>
      <c r="DY116" s="93"/>
      <c r="DZ116" s="93"/>
      <c r="EA116" s="93"/>
      <c r="EB116" s="93"/>
      <c r="EC116" s="93"/>
      <c r="ED116" s="93"/>
      <c r="EE116" s="93"/>
      <c r="EF116" s="93"/>
      <c r="EG116" s="93"/>
      <c r="EH116" s="93"/>
      <c r="EI116" s="93"/>
      <c r="EJ116" s="93"/>
      <c r="EK116" s="93"/>
      <c r="EL116" s="93"/>
      <c r="EM116" s="93"/>
      <c r="EN116" s="93"/>
      <c r="EO116" s="93"/>
      <c r="EP116" s="93"/>
      <c r="EQ116" s="93"/>
      <c r="ER116" s="93"/>
      <c r="ES116" s="93"/>
      <c r="ET116" s="93"/>
      <c r="EU116" s="93"/>
      <c r="EV116" s="93"/>
      <c r="EW116" s="93"/>
      <c r="EX116" s="93"/>
      <c r="EY116" s="93"/>
      <c r="EZ116" s="93"/>
      <c r="FA116" s="93"/>
      <c r="FB116" s="93"/>
      <c r="FC116" s="93"/>
      <c r="FD116" s="93"/>
      <c r="FE116" s="93"/>
      <c r="FF116" s="93"/>
      <c r="FG116" s="93"/>
      <c r="FH116" s="93"/>
      <c r="FI116" s="93"/>
      <c r="FJ116" s="93"/>
      <c r="FK116" s="93"/>
      <c r="FL116" s="93"/>
      <c r="FM116" s="93"/>
      <c r="FN116" s="93"/>
      <c r="FO116" s="93"/>
      <c r="FP116" s="93"/>
      <c r="FQ116" s="93"/>
      <c r="FR116" s="93"/>
      <c r="FS116" s="93"/>
      <c r="FT116" s="93"/>
      <c r="FU116" s="93"/>
      <c r="FV116" s="93"/>
      <c r="FW116" s="93"/>
      <c r="FX116" s="93"/>
      <c r="FY116" s="93"/>
      <c r="FZ116" s="93"/>
      <c r="GA116" s="93"/>
      <c r="GB116" s="93"/>
      <c r="GC116" s="93"/>
      <c r="GD116" s="93"/>
      <c r="GE116" s="93"/>
      <c r="GF116" s="93"/>
      <c r="GG116" s="93"/>
      <c r="GH116" s="93"/>
      <c r="GI116" s="93"/>
      <c r="GJ116" s="93"/>
      <c r="GK116" s="93"/>
      <c r="GL116" s="93"/>
      <c r="GM116" s="93"/>
      <c r="GN116" s="93"/>
      <c r="GO116" s="93"/>
      <c r="GP116" s="93"/>
      <c r="GQ116" s="93"/>
      <c r="GR116" s="93"/>
      <c r="GS116" s="93"/>
      <c r="GT116" s="93"/>
      <c r="GU116" s="93"/>
      <c r="GV116" s="93"/>
      <c r="GW116" s="93"/>
      <c r="GX116" s="93"/>
      <c r="GY116" s="93"/>
      <c r="GZ116" s="93"/>
      <c r="HA116" s="93"/>
      <c r="HB116" s="93"/>
      <c r="HC116" s="93"/>
      <c r="HD116" s="93"/>
      <c r="HE116" s="93"/>
      <c r="HF116" s="93"/>
      <c r="HG116" s="93"/>
    </row>
    <row r="117" spans="1:215" x14ac:dyDescent="0.2">
      <c r="A117" s="109"/>
      <c r="B117" s="10">
        <v>1</v>
      </c>
      <c r="C117" s="10">
        <v>2</v>
      </c>
      <c r="D117" s="10">
        <v>3</v>
      </c>
      <c r="E117" s="10">
        <v>4</v>
      </c>
      <c r="F117" s="10">
        <v>5</v>
      </c>
      <c r="N117" s="93" t="s">
        <v>334</v>
      </c>
      <c r="O117" s="93"/>
      <c r="P117" s="93"/>
      <c r="Q117" s="93"/>
      <c r="R117" s="93"/>
      <c r="S117" s="93"/>
      <c r="T117" s="93"/>
      <c r="U117" s="93">
        <v>0.31372549019607843</v>
      </c>
      <c r="V117" s="93"/>
      <c r="W117" s="93"/>
      <c r="X117" s="93"/>
      <c r="Y117" s="93"/>
      <c r="Z117" s="93"/>
      <c r="AA117" s="93"/>
      <c r="AB117" s="93"/>
      <c r="AC117" s="93"/>
      <c r="AD117" s="93"/>
      <c r="AE117" s="93"/>
      <c r="AF117" s="93"/>
      <c r="AG117" s="93"/>
      <c r="AH117" s="93"/>
      <c r="AI117" s="93"/>
      <c r="AJ117" s="93"/>
      <c r="AK117" s="93"/>
      <c r="AL117" s="93"/>
      <c r="AM117" s="93"/>
      <c r="AN117" s="93"/>
      <c r="AO117" s="93"/>
      <c r="AP117" s="93"/>
      <c r="AQ117" s="93"/>
      <c r="AR117" s="93"/>
      <c r="AS117" s="93"/>
      <c r="AT117" s="93"/>
      <c r="AU117" s="93"/>
      <c r="AV117" s="93"/>
      <c r="AW117" s="93"/>
      <c r="AX117" s="93"/>
      <c r="AY117" s="93"/>
      <c r="AZ117" s="93"/>
      <c r="BA117" s="93"/>
      <c r="BB117" s="93"/>
      <c r="BC117" s="93"/>
      <c r="BD117" s="93"/>
      <c r="BE117" s="93"/>
      <c r="BF117" s="93"/>
      <c r="BG117" s="93"/>
      <c r="BH117" s="93"/>
      <c r="BI117" s="93"/>
      <c r="BJ117" s="93"/>
      <c r="BK117" s="93"/>
      <c r="BL117" s="93"/>
      <c r="BM117" s="93"/>
      <c r="BN117" s="93"/>
      <c r="BO117" s="93"/>
      <c r="BP117" s="93"/>
      <c r="BQ117" s="93"/>
      <c r="BR117" s="93"/>
      <c r="BS117" s="93"/>
      <c r="BT117" s="93"/>
      <c r="BU117" s="93"/>
      <c r="BV117" s="93"/>
      <c r="BW117" s="93"/>
      <c r="BX117" s="93"/>
      <c r="BY117" s="93"/>
      <c r="BZ117" s="93"/>
      <c r="CA117" s="93"/>
      <c r="CB117" s="93"/>
      <c r="CC117" s="93"/>
      <c r="CD117" s="93"/>
      <c r="CE117" s="93"/>
      <c r="CF117" s="93"/>
      <c r="CG117" s="93"/>
      <c r="CH117" s="93"/>
      <c r="CI117" s="93"/>
      <c r="CJ117" s="93"/>
      <c r="CK117" s="93"/>
      <c r="CL117" s="93"/>
      <c r="CM117" s="93"/>
      <c r="CN117" s="93"/>
      <c r="CO117" s="93"/>
      <c r="CP117" s="93"/>
      <c r="CQ117" s="93"/>
      <c r="CR117" s="93"/>
      <c r="CS117" s="93"/>
      <c r="CT117" s="93"/>
      <c r="CU117" s="93"/>
      <c r="CV117" s="93"/>
      <c r="CW117" s="93"/>
      <c r="CX117" s="93"/>
      <c r="CY117" s="93"/>
      <c r="CZ117" s="93"/>
      <c r="DA117" s="93"/>
      <c r="DB117" s="93"/>
      <c r="DC117" s="93"/>
      <c r="DD117" s="93"/>
      <c r="DE117" s="93"/>
      <c r="DF117" s="93"/>
      <c r="DG117" s="93"/>
      <c r="DH117" s="93"/>
      <c r="DI117" s="93"/>
      <c r="DJ117" s="93"/>
      <c r="DK117" s="93"/>
      <c r="DL117" s="93"/>
      <c r="DM117" s="93"/>
      <c r="DN117" s="93"/>
      <c r="DO117" s="93"/>
      <c r="DP117" s="93"/>
      <c r="DQ117" s="93"/>
      <c r="DR117" s="93"/>
      <c r="DS117" s="93"/>
      <c r="DT117" s="93"/>
      <c r="DU117" s="93"/>
      <c r="DV117" s="93"/>
      <c r="DW117" s="93"/>
      <c r="DX117" s="93"/>
      <c r="DY117" s="93"/>
      <c r="DZ117" s="93"/>
      <c r="EA117" s="93"/>
      <c r="EB117" s="93"/>
      <c r="EC117" s="93"/>
      <c r="ED117" s="93"/>
      <c r="EE117" s="93"/>
      <c r="EF117" s="93"/>
      <c r="EG117" s="93"/>
      <c r="EH117" s="93"/>
      <c r="EI117" s="93"/>
      <c r="EJ117" s="93"/>
      <c r="EK117" s="93"/>
      <c r="EL117" s="93"/>
      <c r="EM117" s="93"/>
      <c r="EN117" s="93"/>
      <c r="EO117" s="93"/>
      <c r="EP117" s="93"/>
      <c r="EQ117" s="93"/>
      <c r="ER117" s="93"/>
      <c r="ES117" s="93"/>
      <c r="ET117" s="93"/>
      <c r="EU117" s="93"/>
      <c r="EV117" s="93"/>
      <c r="EW117" s="93"/>
      <c r="EX117" s="93"/>
      <c r="EY117" s="93"/>
      <c r="EZ117" s="93"/>
      <c r="FA117" s="93"/>
      <c r="FB117" s="93"/>
      <c r="FC117" s="93"/>
      <c r="FD117" s="93"/>
      <c r="FE117" s="93"/>
      <c r="FF117" s="93"/>
      <c r="FG117" s="93"/>
      <c r="FH117" s="93"/>
      <c r="FI117" s="93"/>
      <c r="FJ117" s="93"/>
      <c r="FK117" s="93"/>
      <c r="FL117" s="93"/>
      <c r="FM117" s="93"/>
      <c r="FN117" s="93"/>
      <c r="FO117" s="93"/>
      <c r="FP117" s="93"/>
      <c r="FQ117" s="93"/>
      <c r="FR117" s="93"/>
      <c r="FS117" s="93"/>
      <c r="FT117" s="93"/>
      <c r="FU117" s="93"/>
      <c r="FV117" s="93"/>
      <c r="FW117" s="93"/>
      <c r="FX117" s="93"/>
      <c r="FY117" s="93"/>
      <c r="FZ117" s="93"/>
      <c r="GA117" s="93"/>
      <c r="GB117" s="93"/>
      <c r="GC117" s="93"/>
      <c r="GD117" s="93"/>
      <c r="GE117" s="93"/>
      <c r="GF117" s="93"/>
      <c r="GG117" s="93"/>
      <c r="GH117" s="93"/>
      <c r="GI117" s="93"/>
      <c r="GJ117" s="93"/>
      <c r="GK117" s="93"/>
      <c r="GL117" s="93"/>
      <c r="GM117" s="93"/>
      <c r="GN117" s="93"/>
      <c r="GO117" s="93"/>
      <c r="GP117" s="93"/>
      <c r="GQ117" s="93"/>
      <c r="GR117" s="93"/>
      <c r="GS117" s="93"/>
      <c r="GT117" s="93"/>
      <c r="GU117" s="93"/>
      <c r="GV117" s="93"/>
      <c r="GW117" s="93"/>
      <c r="GX117" s="93"/>
      <c r="GY117" s="93"/>
      <c r="GZ117" s="93"/>
      <c r="HA117" s="93"/>
      <c r="HB117" s="93"/>
      <c r="HC117" s="93"/>
      <c r="HD117" s="93"/>
      <c r="HE117" s="93"/>
      <c r="HF117" s="93"/>
      <c r="HG117" s="93"/>
    </row>
    <row r="118" spans="1:215" x14ac:dyDescent="0.2">
      <c r="A118" s="109"/>
      <c r="B118" s="10"/>
      <c r="C118" s="10"/>
      <c r="D118" s="10"/>
      <c r="E118" s="10"/>
      <c r="F118" s="10"/>
      <c r="N118" s="93" t="s">
        <v>335</v>
      </c>
      <c r="O118" s="93"/>
      <c r="P118" s="93"/>
      <c r="Q118" s="93"/>
      <c r="R118" s="93"/>
      <c r="S118" s="93"/>
      <c r="T118" s="93"/>
      <c r="U118" s="93"/>
      <c r="V118" s="93">
        <v>0.31666666666666665</v>
      </c>
      <c r="W118" s="93"/>
      <c r="X118" s="93"/>
      <c r="Y118" s="93"/>
      <c r="Z118" s="93"/>
      <c r="AA118" s="93"/>
      <c r="AB118" s="93"/>
      <c r="AC118" s="93"/>
      <c r="AD118" s="93"/>
      <c r="AE118" s="93"/>
      <c r="AF118" s="93"/>
      <c r="AG118" s="93"/>
      <c r="AH118" s="93"/>
      <c r="AI118" s="93"/>
      <c r="AJ118" s="93"/>
      <c r="AK118" s="93"/>
      <c r="AL118" s="93"/>
      <c r="AM118" s="93"/>
      <c r="AN118" s="93"/>
      <c r="AO118" s="93"/>
      <c r="AP118" s="93"/>
      <c r="AQ118" s="93"/>
      <c r="AR118" s="93"/>
      <c r="AS118" s="93"/>
      <c r="AT118" s="93"/>
      <c r="AU118" s="93"/>
      <c r="AV118" s="93"/>
      <c r="AW118" s="93"/>
      <c r="AX118" s="93"/>
      <c r="AY118" s="93"/>
      <c r="AZ118" s="93"/>
      <c r="BA118" s="93"/>
      <c r="BB118" s="93"/>
      <c r="BC118" s="93"/>
      <c r="BD118" s="93"/>
      <c r="BE118" s="93"/>
      <c r="BF118" s="93"/>
      <c r="BG118" s="93"/>
      <c r="BH118" s="93"/>
      <c r="BI118" s="93"/>
      <c r="BJ118" s="93"/>
      <c r="BK118" s="93"/>
      <c r="BL118" s="93"/>
      <c r="BM118" s="93"/>
      <c r="BN118" s="93"/>
      <c r="BO118" s="93"/>
      <c r="BP118" s="93"/>
      <c r="BQ118" s="93"/>
      <c r="BR118" s="93"/>
      <c r="BS118" s="93"/>
      <c r="BT118" s="93"/>
      <c r="BU118" s="93"/>
      <c r="BV118" s="93"/>
      <c r="BW118" s="93"/>
      <c r="BX118" s="93"/>
      <c r="BY118" s="93"/>
      <c r="BZ118" s="93"/>
      <c r="CA118" s="93"/>
      <c r="CB118" s="93"/>
      <c r="CC118" s="93"/>
      <c r="CD118" s="93"/>
      <c r="CE118" s="93"/>
      <c r="CF118" s="93"/>
      <c r="CG118" s="93"/>
      <c r="CH118" s="93"/>
      <c r="CI118" s="93"/>
      <c r="CJ118" s="93"/>
      <c r="CK118" s="93"/>
      <c r="CL118" s="93"/>
      <c r="CM118" s="93"/>
      <c r="CN118" s="93"/>
      <c r="CO118" s="93"/>
      <c r="CP118" s="93"/>
      <c r="CQ118" s="93"/>
      <c r="CR118" s="93"/>
      <c r="CS118" s="93"/>
      <c r="CT118" s="93"/>
      <c r="CU118" s="93"/>
      <c r="CV118" s="93"/>
      <c r="CW118" s="93"/>
      <c r="CX118" s="93"/>
      <c r="CY118" s="93"/>
      <c r="CZ118" s="93"/>
      <c r="DA118" s="93"/>
      <c r="DB118" s="93"/>
      <c r="DC118" s="93"/>
      <c r="DD118" s="93"/>
      <c r="DE118" s="93"/>
      <c r="DF118" s="93"/>
      <c r="DG118" s="93"/>
      <c r="DH118" s="93"/>
      <c r="DI118" s="93"/>
      <c r="DJ118" s="93"/>
      <c r="DK118" s="93"/>
      <c r="DL118" s="93"/>
      <c r="DM118" s="93"/>
      <c r="DN118" s="93"/>
      <c r="DO118" s="93"/>
      <c r="DP118" s="93"/>
      <c r="DQ118" s="93"/>
      <c r="DR118" s="93"/>
      <c r="DS118" s="93"/>
      <c r="DT118" s="93"/>
      <c r="DU118" s="93"/>
      <c r="DV118" s="93"/>
      <c r="DW118" s="93"/>
      <c r="DX118" s="93"/>
      <c r="DY118" s="93"/>
      <c r="DZ118" s="93"/>
      <c r="EA118" s="93"/>
      <c r="EB118" s="93"/>
      <c r="EC118" s="93"/>
      <c r="ED118" s="93"/>
      <c r="EE118" s="93"/>
      <c r="EF118" s="93"/>
      <c r="EG118" s="93"/>
      <c r="EH118" s="93"/>
      <c r="EI118" s="93"/>
      <c r="EJ118" s="93"/>
      <c r="EK118" s="93"/>
      <c r="EL118" s="93"/>
      <c r="EM118" s="93"/>
      <c r="EN118" s="93"/>
      <c r="EO118" s="93"/>
      <c r="EP118" s="93"/>
      <c r="EQ118" s="93"/>
      <c r="ER118" s="93"/>
      <c r="ES118" s="93"/>
      <c r="ET118" s="93"/>
      <c r="EU118" s="93"/>
      <c r="EV118" s="93"/>
      <c r="EW118" s="93"/>
      <c r="EX118" s="93"/>
      <c r="EY118" s="93"/>
      <c r="EZ118" s="93"/>
      <c r="FA118" s="93"/>
      <c r="FB118" s="93"/>
      <c r="FC118" s="93"/>
      <c r="FD118" s="93"/>
      <c r="FE118" s="93"/>
      <c r="FF118" s="93"/>
      <c r="FG118" s="93"/>
      <c r="FH118" s="93"/>
      <c r="FI118" s="93"/>
      <c r="FJ118" s="93"/>
      <c r="FK118" s="93"/>
      <c r="FL118" s="93"/>
      <c r="FM118" s="93"/>
      <c r="FN118" s="93"/>
      <c r="FO118" s="93"/>
      <c r="FP118" s="93"/>
      <c r="FQ118" s="93"/>
      <c r="FR118" s="93"/>
      <c r="FS118" s="93"/>
      <c r="FT118" s="93"/>
      <c r="FU118" s="93"/>
      <c r="FV118" s="93"/>
      <c r="FW118" s="93"/>
      <c r="FX118" s="93"/>
      <c r="FY118" s="93"/>
      <c r="FZ118" s="93"/>
      <c r="GA118" s="93"/>
      <c r="GB118" s="93"/>
      <c r="GC118" s="93"/>
      <c r="GD118" s="93"/>
      <c r="GE118" s="93"/>
      <c r="GF118" s="93"/>
      <c r="GG118" s="93"/>
      <c r="GH118" s="93"/>
      <c r="GI118" s="93"/>
      <c r="GJ118" s="93"/>
      <c r="GK118" s="93"/>
      <c r="GL118" s="93"/>
      <c r="GM118" s="93"/>
      <c r="GN118" s="93"/>
      <c r="GO118" s="93"/>
      <c r="GP118" s="93"/>
      <c r="GQ118" s="93"/>
      <c r="GR118" s="93"/>
      <c r="GS118" s="93"/>
      <c r="GT118" s="93"/>
      <c r="GU118" s="93"/>
      <c r="GV118" s="93"/>
      <c r="GW118" s="93"/>
      <c r="GX118" s="93"/>
      <c r="GY118" s="93"/>
      <c r="GZ118" s="93"/>
      <c r="HA118" s="93"/>
      <c r="HB118" s="93"/>
      <c r="HC118" s="93"/>
      <c r="HD118" s="93"/>
      <c r="HE118" s="93"/>
      <c r="HF118" s="93"/>
      <c r="HG118" s="93"/>
    </row>
    <row r="119" spans="1:215" x14ac:dyDescent="0.2">
      <c r="A119" s="109"/>
      <c r="B119" s="10"/>
      <c r="C119" s="10"/>
      <c r="D119" s="10"/>
      <c r="E119" s="10"/>
      <c r="F119" s="10"/>
      <c r="N119" s="93" t="s">
        <v>336</v>
      </c>
      <c r="O119" s="93"/>
      <c r="P119" s="93"/>
      <c r="Q119" s="93"/>
      <c r="R119" s="93"/>
      <c r="S119" s="93"/>
      <c r="T119" s="93"/>
      <c r="U119" s="93"/>
      <c r="V119" s="93"/>
      <c r="W119" s="93">
        <v>0.3188405797101449</v>
      </c>
      <c r="X119" s="93"/>
      <c r="Y119" s="93"/>
      <c r="Z119" s="93"/>
      <c r="AA119" s="93"/>
      <c r="AB119" s="93"/>
      <c r="AC119" s="93"/>
      <c r="AD119" s="93"/>
      <c r="AE119" s="93"/>
      <c r="AF119" s="93"/>
      <c r="AG119" s="93"/>
      <c r="AH119" s="93"/>
      <c r="AI119" s="93"/>
      <c r="AJ119" s="93"/>
      <c r="AK119" s="93"/>
      <c r="AL119" s="93"/>
      <c r="AM119" s="93"/>
      <c r="AN119" s="93"/>
      <c r="AO119" s="93"/>
      <c r="AP119" s="93"/>
      <c r="AQ119" s="93"/>
      <c r="AR119" s="93"/>
      <c r="AS119" s="93"/>
      <c r="AT119" s="93"/>
      <c r="AU119" s="93"/>
      <c r="AV119" s="93"/>
      <c r="AW119" s="93"/>
      <c r="AX119" s="93"/>
      <c r="AY119" s="93"/>
      <c r="AZ119" s="93"/>
      <c r="BA119" s="93"/>
      <c r="BB119" s="93"/>
      <c r="BC119" s="93"/>
      <c r="BD119" s="93"/>
      <c r="BE119" s="93"/>
      <c r="BF119" s="93"/>
      <c r="BG119" s="93"/>
      <c r="BH119" s="93"/>
      <c r="BI119" s="93"/>
      <c r="BJ119" s="93"/>
      <c r="BK119" s="93"/>
      <c r="BL119" s="93"/>
      <c r="BM119" s="93"/>
      <c r="BN119" s="93"/>
      <c r="BO119" s="93"/>
      <c r="BP119" s="93"/>
      <c r="BQ119" s="93"/>
      <c r="BR119" s="93"/>
      <c r="BS119" s="93"/>
      <c r="BT119" s="93"/>
      <c r="BU119" s="93"/>
      <c r="BV119" s="93"/>
      <c r="BW119" s="93"/>
      <c r="BX119" s="93"/>
      <c r="BY119" s="93"/>
      <c r="BZ119" s="93"/>
      <c r="CA119" s="93"/>
      <c r="CB119" s="93"/>
      <c r="CC119" s="93"/>
      <c r="CD119" s="93"/>
      <c r="CE119" s="93"/>
      <c r="CF119" s="93"/>
      <c r="CG119" s="93"/>
      <c r="CH119" s="93"/>
      <c r="CI119" s="93"/>
      <c r="CJ119" s="93"/>
      <c r="CK119" s="93"/>
      <c r="CL119" s="93"/>
      <c r="CM119" s="93"/>
      <c r="CN119" s="93"/>
      <c r="CO119" s="93"/>
      <c r="CP119" s="93"/>
      <c r="CQ119" s="93"/>
      <c r="CR119" s="93"/>
      <c r="CS119" s="93"/>
      <c r="CT119" s="93"/>
      <c r="CU119" s="93"/>
      <c r="CV119" s="93"/>
      <c r="CW119" s="93"/>
      <c r="CX119" s="93"/>
      <c r="CY119" s="93"/>
      <c r="CZ119" s="93"/>
      <c r="DA119" s="93"/>
      <c r="DB119" s="93"/>
      <c r="DC119" s="93"/>
      <c r="DD119" s="93"/>
      <c r="DE119" s="93"/>
      <c r="DF119" s="93"/>
      <c r="DG119" s="93"/>
      <c r="DH119" s="93"/>
      <c r="DI119" s="93"/>
      <c r="DJ119" s="93"/>
      <c r="DK119" s="93"/>
      <c r="DL119" s="93"/>
      <c r="DM119" s="93"/>
      <c r="DN119" s="93"/>
      <c r="DO119" s="93"/>
      <c r="DP119" s="93"/>
      <c r="DQ119" s="93"/>
      <c r="DR119" s="93"/>
      <c r="DS119" s="93"/>
      <c r="DT119" s="93"/>
      <c r="DU119" s="93"/>
      <c r="DV119" s="93"/>
      <c r="DW119" s="93"/>
      <c r="DX119" s="93"/>
      <c r="DY119" s="93"/>
      <c r="DZ119" s="93"/>
      <c r="EA119" s="93"/>
      <c r="EB119" s="93"/>
      <c r="EC119" s="93"/>
      <c r="ED119" s="93"/>
      <c r="EE119" s="93"/>
      <c r="EF119" s="93"/>
      <c r="EG119" s="93"/>
      <c r="EH119" s="93"/>
      <c r="EI119" s="93"/>
      <c r="EJ119" s="93"/>
      <c r="EK119" s="93"/>
      <c r="EL119" s="93"/>
      <c r="EM119" s="93"/>
      <c r="EN119" s="93"/>
      <c r="EO119" s="93"/>
      <c r="EP119" s="93"/>
      <c r="EQ119" s="93"/>
      <c r="ER119" s="93"/>
      <c r="ES119" s="93"/>
      <c r="ET119" s="93"/>
      <c r="EU119" s="93"/>
      <c r="EV119" s="93"/>
      <c r="EW119" s="93"/>
      <c r="EX119" s="93"/>
      <c r="EY119" s="93"/>
      <c r="EZ119" s="93"/>
      <c r="FA119" s="93"/>
      <c r="FB119" s="93"/>
      <c r="FC119" s="93"/>
      <c r="FD119" s="93"/>
      <c r="FE119" s="93"/>
      <c r="FF119" s="93"/>
      <c r="FG119" s="93"/>
      <c r="FH119" s="93"/>
      <c r="FI119" s="93"/>
      <c r="FJ119" s="93"/>
      <c r="FK119" s="93"/>
      <c r="FL119" s="93"/>
      <c r="FM119" s="93"/>
      <c r="FN119" s="93"/>
      <c r="FO119" s="93"/>
      <c r="FP119" s="93"/>
      <c r="FQ119" s="93"/>
      <c r="FR119" s="93"/>
      <c r="FS119" s="93"/>
      <c r="FT119" s="93"/>
      <c r="FU119" s="93"/>
      <c r="FV119" s="93"/>
      <c r="FW119" s="93"/>
      <c r="FX119" s="93"/>
      <c r="FY119" s="93"/>
      <c r="FZ119" s="93"/>
      <c r="GA119" s="93"/>
      <c r="GB119" s="93"/>
      <c r="GC119" s="93"/>
      <c r="GD119" s="93"/>
      <c r="GE119" s="93"/>
      <c r="GF119" s="93"/>
      <c r="GG119" s="93"/>
      <c r="GH119" s="93"/>
      <c r="GI119" s="93"/>
      <c r="GJ119" s="93"/>
      <c r="GK119" s="93"/>
      <c r="GL119" s="93"/>
      <c r="GM119" s="93"/>
      <c r="GN119" s="93"/>
      <c r="GO119" s="93"/>
      <c r="GP119" s="93"/>
      <c r="GQ119" s="93"/>
      <c r="GR119" s="93"/>
      <c r="GS119" s="93"/>
      <c r="GT119" s="93"/>
      <c r="GU119" s="93"/>
      <c r="GV119" s="93"/>
      <c r="GW119" s="93"/>
      <c r="GX119" s="93"/>
      <c r="GY119" s="93"/>
      <c r="GZ119" s="93"/>
      <c r="HA119" s="93"/>
      <c r="HB119" s="93"/>
      <c r="HC119" s="93"/>
      <c r="HD119" s="93"/>
      <c r="HE119" s="93"/>
      <c r="HF119" s="93"/>
      <c r="HG119" s="93"/>
    </row>
    <row r="120" spans="1:215" x14ac:dyDescent="0.2">
      <c r="A120" s="109"/>
      <c r="B120" s="10"/>
      <c r="C120" s="10"/>
      <c r="D120" s="10"/>
      <c r="E120" s="10"/>
      <c r="F120" s="10"/>
      <c r="N120" s="93" t="s">
        <v>337</v>
      </c>
      <c r="O120" s="93"/>
      <c r="P120" s="93"/>
      <c r="Q120" s="93"/>
      <c r="R120" s="93"/>
      <c r="S120" s="93"/>
      <c r="T120" s="93"/>
      <c r="U120" s="93"/>
      <c r="V120" s="93"/>
      <c r="W120" s="93"/>
      <c r="X120" s="93">
        <v>0.32051282051282054</v>
      </c>
      <c r="Y120" s="93"/>
      <c r="Z120" s="93"/>
      <c r="AA120" s="93"/>
      <c r="AB120" s="93"/>
      <c r="AC120" s="93"/>
      <c r="AD120" s="93"/>
      <c r="AE120" s="93"/>
      <c r="AF120" s="93"/>
      <c r="AG120" s="93"/>
      <c r="AH120" s="93"/>
      <c r="AI120" s="93"/>
      <c r="AJ120" s="93"/>
      <c r="AK120" s="93"/>
      <c r="AL120" s="93"/>
      <c r="AM120" s="93"/>
      <c r="AN120" s="93"/>
      <c r="AO120" s="93"/>
      <c r="AP120" s="93"/>
      <c r="AQ120" s="93"/>
      <c r="AR120" s="93"/>
      <c r="AS120" s="93"/>
      <c r="AT120" s="93"/>
      <c r="AU120" s="93"/>
      <c r="AV120" s="93"/>
      <c r="AW120" s="93"/>
      <c r="AX120" s="93"/>
      <c r="AY120" s="93"/>
      <c r="AZ120" s="93"/>
      <c r="BA120" s="93"/>
      <c r="BB120" s="93"/>
      <c r="BC120" s="93"/>
      <c r="BD120" s="93"/>
      <c r="BE120" s="93"/>
      <c r="BF120" s="93"/>
      <c r="BG120" s="93"/>
      <c r="BH120" s="93"/>
      <c r="BI120" s="93"/>
      <c r="BJ120" s="93"/>
      <c r="BK120" s="93"/>
      <c r="BL120" s="93"/>
      <c r="BM120" s="93"/>
      <c r="BN120" s="93"/>
      <c r="BO120" s="93"/>
      <c r="BP120" s="93"/>
      <c r="BQ120" s="93"/>
      <c r="BR120" s="93"/>
      <c r="BS120" s="93"/>
      <c r="BT120" s="93"/>
      <c r="BU120" s="93"/>
      <c r="BV120" s="93"/>
      <c r="BW120" s="93"/>
      <c r="BX120" s="93"/>
      <c r="BY120" s="93"/>
      <c r="BZ120" s="93"/>
      <c r="CA120" s="93"/>
      <c r="CB120" s="93"/>
      <c r="CC120" s="93"/>
      <c r="CD120" s="93"/>
      <c r="CE120" s="93"/>
      <c r="CF120" s="93"/>
      <c r="CG120" s="93"/>
      <c r="CH120" s="93"/>
      <c r="CI120" s="93"/>
      <c r="CJ120" s="93"/>
      <c r="CK120" s="93"/>
      <c r="CL120" s="93"/>
      <c r="CM120" s="93"/>
      <c r="CN120" s="93"/>
      <c r="CO120" s="93"/>
      <c r="CP120" s="93"/>
      <c r="CQ120" s="93"/>
      <c r="CR120" s="93"/>
      <c r="CS120" s="93"/>
      <c r="CT120" s="93"/>
      <c r="CU120" s="93"/>
      <c r="CV120" s="93"/>
      <c r="CW120" s="93"/>
      <c r="CX120" s="93"/>
      <c r="CY120" s="93"/>
      <c r="CZ120" s="93"/>
      <c r="DA120" s="93"/>
      <c r="DB120" s="93"/>
      <c r="DC120" s="93"/>
      <c r="DD120" s="93"/>
      <c r="DE120" s="93"/>
      <c r="DF120" s="93"/>
      <c r="DG120" s="93"/>
      <c r="DH120" s="93"/>
      <c r="DI120" s="93"/>
      <c r="DJ120" s="93"/>
      <c r="DK120" s="93"/>
      <c r="DL120" s="93"/>
      <c r="DM120" s="93"/>
      <c r="DN120" s="93"/>
      <c r="DO120" s="93"/>
      <c r="DP120" s="93"/>
      <c r="DQ120" s="93"/>
      <c r="DR120" s="93"/>
      <c r="DS120" s="93"/>
      <c r="DT120" s="93"/>
      <c r="DU120" s="93"/>
      <c r="DV120" s="93"/>
      <c r="DW120" s="93"/>
      <c r="DX120" s="93"/>
      <c r="DY120" s="93"/>
      <c r="DZ120" s="93"/>
      <c r="EA120" s="93"/>
      <c r="EB120" s="93"/>
      <c r="EC120" s="93"/>
      <c r="ED120" s="93"/>
      <c r="EE120" s="93"/>
      <c r="EF120" s="93"/>
      <c r="EG120" s="93"/>
      <c r="EH120" s="93"/>
      <c r="EI120" s="93"/>
      <c r="EJ120" s="93"/>
      <c r="EK120" s="93"/>
      <c r="EL120" s="93"/>
      <c r="EM120" s="93"/>
      <c r="EN120" s="93"/>
      <c r="EO120" s="93"/>
      <c r="EP120" s="93"/>
      <c r="EQ120" s="93"/>
      <c r="ER120" s="93"/>
      <c r="ES120" s="93"/>
      <c r="ET120" s="93"/>
      <c r="EU120" s="93"/>
      <c r="EV120" s="93"/>
      <c r="EW120" s="93"/>
      <c r="EX120" s="93"/>
      <c r="EY120" s="93"/>
      <c r="EZ120" s="93"/>
      <c r="FA120" s="93"/>
      <c r="FB120" s="93"/>
      <c r="FC120" s="93"/>
      <c r="FD120" s="93"/>
      <c r="FE120" s="93"/>
      <c r="FF120" s="93"/>
      <c r="FG120" s="93"/>
      <c r="FH120" s="93"/>
      <c r="FI120" s="93"/>
      <c r="FJ120" s="93"/>
      <c r="FK120" s="93"/>
      <c r="FL120" s="93"/>
      <c r="FM120" s="93"/>
      <c r="FN120" s="93"/>
      <c r="FO120" s="93"/>
      <c r="FP120" s="93"/>
      <c r="FQ120" s="93"/>
      <c r="FR120" s="93"/>
      <c r="FS120" s="93"/>
      <c r="FT120" s="93"/>
      <c r="FU120" s="93"/>
      <c r="FV120" s="93"/>
      <c r="FW120" s="93"/>
      <c r="FX120" s="93"/>
      <c r="FY120" s="93"/>
      <c r="FZ120" s="93"/>
      <c r="GA120" s="93"/>
      <c r="GB120" s="93"/>
      <c r="GC120" s="93"/>
      <c r="GD120" s="93"/>
      <c r="GE120" s="93"/>
      <c r="GF120" s="93"/>
      <c r="GG120" s="93"/>
      <c r="GH120" s="93"/>
      <c r="GI120" s="93"/>
      <c r="GJ120" s="93"/>
      <c r="GK120" s="93"/>
      <c r="GL120" s="93"/>
      <c r="GM120" s="93"/>
      <c r="GN120" s="93"/>
      <c r="GO120" s="93"/>
      <c r="GP120" s="93"/>
      <c r="GQ120" s="93"/>
      <c r="GR120" s="93"/>
      <c r="GS120" s="93"/>
      <c r="GT120" s="93"/>
      <c r="GU120" s="93"/>
      <c r="GV120" s="93"/>
      <c r="GW120" s="93"/>
      <c r="GX120" s="93"/>
      <c r="GY120" s="93"/>
      <c r="GZ120" s="93"/>
      <c r="HA120" s="93"/>
      <c r="HB120" s="93"/>
      <c r="HC120" s="93"/>
      <c r="HD120" s="93"/>
      <c r="HE120" s="93"/>
      <c r="HF120" s="93"/>
      <c r="HG120" s="93"/>
    </row>
    <row r="121" spans="1:215" x14ac:dyDescent="0.2">
      <c r="A121" s="112"/>
      <c r="B121" s="113"/>
      <c r="C121" s="113"/>
      <c r="D121" s="113"/>
      <c r="E121" s="113"/>
      <c r="F121" s="113"/>
      <c r="G121" s="113"/>
      <c r="H121" s="113"/>
      <c r="I121" s="113"/>
      <c r="J121" s="113"/>
      <c r="K121" s="113"/>
      <c r="L121" s="33"/>
      <c r="M121" s="33"/>
      <c r="N121" s="93" t="s">
        <v>338</v>
      </c>
      <c r="O121" s="93"/>
      <c r="P121" s="93"/>
      <c r="Q121" s="93"/>
      <c r="R121" s="93"/>
      <c r="S121" s="93"/>
      <c r="T121" s="93"/>
      <c r="U121" s="93"/>
      <c r="V121" s="93"/>
      <c r="W121" s="93"/>
      <c r="X121" s="93"/>
      <c r="Y121" s="93">
        <v>0.32183908045977011</v>
      </c>
      <c r="Z121" s="93"/>
      <c r="AA121" s="93"/>
      <c r="AB121" s="93"/>
      <c r="AC121" s="93"/>
      <c r="AD121" s="93"/>
      <c r="AE121" s="93"/>
      <c r="AF121" s="93"/>
      <c r="AG121" s="93"/>
      <c r="AH121" s="93"/>
      <c r="AI121" s="93"/>
      <c r="AJ121" s="93"/>
      <c r="AK121" s="93"/>
      <c r="AL121" s="93"/>
      <c r="AM121" s="93"/>
      <c r="AN121" s="93"/>
      <c r="AO121" s="93"/>
      <c r="AP121" s="93"/>
      <c r="AQ121" s="93"/>
      <c r="AR121" s="93"/>
      <c r="AS121" s="93"/>
      <c r="AT121" s="93"/>
      <c r="AU121" s="93"/>
      <c r="AV121" s="93"/>
      <c r="AW121" s="93"/>
      <c r="AX121" s="93"/>
      <c r="AY121" s="93"/>
      <c r="AZ121" s="93"/>
      <c r="BA121" s="93"/>
      <c r="BB121" s="93"/>
      <c r="BC121" s="93"/>
      <c r="BD121" s="93"/>
      <c r="BE121" s="93"/>
      <c r="BF121" s="93"/>
      <c r="BG121" s="93"/>
      <c r="BH121" s="93"/>
      <c r="BI121" s="93"/>
      <c r="BJ121" s="93"/>
      <c r="BK121" s="93"/>
      <c r="BL121" s="93"/>
      <c r="BM121" s="93"/>
      <c r="BN121" s="93"/>
      <c r="BO121" s="93"/>
      <c r="BP121" s="93"/>
      <c r="BQ121" s="93"/>
      <c r="BR121" s="93"/>
      <c r="BS121" s="93"/>
      <c r="BT121" s="93"/>
      <c r="BU121" s="93"/>
      <c r="BV121" s="93"/>
      <c r="BW121" s="93"/>
      <c r="BX121" s="93"/>
      <c r="BY121" s="93"/>
      <c r="BZ121" s="93"/>
      <c r="CA121" s="93"/>
      <c r="CB121" s="93"/>
      <c r="CC121" s="93"/>
      <c r="CD121" s="93"/>
      <c r="CE121" s="93"/>
      <c r="CF121" s="93"/>
      <c r="CG121" s="93"/>
      <c r="CH121" s="93"/>
      <c r="CI121" s="93"/>
      <c r="CJ121" s="93"/>
      <c r="CK121" s="93"/>
      <c r="CL121" s="93"/>
      <c r="CM121" s="93"/>
      <c r="CN121" s="93"/>
      <c r="CO121" s="93"/>
      <c r="CP121" s="93"/>
      <c r="CQ121" s="93"/>
      <c r="CR121" s="93"/>
      <c r="CS121" s="93"/>
      <c r="CT121" s="93"/>
      <c r="CU121" s="93"/>
      <c r="CV121" s="93"/>
      <c r="CW121" s="93"/>
      <c r="CX121" s="93"/>
      <c r="CY121" s="93"/>
      <c r="CZ121" s="93"/>
      <c r="DA121" s="93"/>
      <c r="DB121" s="93"/>
      <c r="DC121" s="93"/>
      <c r="DD121" s="93"/>
      <c r="DE121" s="93"/>
      <c r="DF121" s="93"/>
      <c r="DG121" s="93"/>
      <c r="DH121" s="93"/>
      <c r="DI121" s="93"/>
      <c r="DJ121" s="93"/>
      <c r="DK121" s="93"/>
      <c r="DL121" s="93"/>
      <c r="DM121" s="93"/>
      <c r="DN121" s="93"/>
      <c r="DO121" s="93"/>
      <c r="DP121" s="93"/>
      <c r="DQ121" s="93"/>
      <c r="DR121" s="93"/>
      <c r="DS121" s="93"/>
      <c r="DT121" s="93"/>
      <c r="DU121" s="93"/>
      <c r="DV121" s="93"/>
      <c r="DW121" s="93"/>
      <c r="DX121" s="93"/>
      <c r="DY121" s="93"/>
      <c r="DZ121" s="93"/>
      <c r="EA121" s="93"/>
      <c r="EB121" s="93"/>
      <c r="EC121" s="93"/>
      <c r="ED121" s="93"/>
      <c r="EE121" s="93"/>
      <c r="EF121" s="93"/>
      <c r="EG121" s="93"/>
      <c r="EH121" s="93"/>
      <c r="EI121" s="93"/>
      <c r="EJ121" s="93"/>
      <c r="EK121" s="93"/>
      <c r="EL121" s="93"/>
      <c r="EM121" s="93"/>
      <c r="EN121" s="93"/>
      <c r="EO121" s="93"/>
      <c r="EP121" s="93"/>
      <c r="EQ121" s="93"/>
      <c r="ER121" s="93"/>
      <c r="ES121" s="93"/>
      <c r="ET121" s="93"/>
      <c r="EU121" s="93"/>
      <c r="EV121" s="93"/>
      <c r="EW121" s="93"/>
      <c r="EX121" s="93"/>
      <c r="EY121" s="93"/>
      <c r="EZ121" s="93"/>
      <c r="FA121" s="93"/>
      <c r="FB121" s="93"/>
      <c r="FC121" s="93"/>
      <c r="FD121" s="93"/>
      <c r="FE121" s="93"/>
      <c r="FF121" s="93"/>
      <c r="FG121" s="93"/>
      <c r="FH121" s="93"/>
      <c r="FI121" s="93"/>
      <c r="FJ121" s="93"/>
      <c r="FK121" s="93"/>
      <c r="FL121" s="93"/>
      <c r="FM121" s="93"/>
      <c r="FN121" s="93"/>
      <c r="FO121" s="93"/>
      <c r="FP121" s="93"/>
      <c r="FQ121" s="93"/>
      <c r="FR121" s="93"/>
      <c r="FS121" s="93"/>
      <c r="FT121" s="93"/>
      <c r="FU121" s="93"/>
      <c r="FV121" s="93"/>
      <c r="FW121" s="93"/>
      <c r="FX121" s="93"/>
      <c r="FY121" s="93"/>
      <c r="FZ121" s="93"/>
      <c r="GA121" s="93"/>
      <c r="GB121" s="93"/>
      <c r="GC121" s="93"/>
      <c r="GD121" s="93"/>
      <c r="GE121" s="93"/>
      <c r="GF121" s="93"/>
      <c r="GG121" s="93"/>
      <c r="GH121" s="93"/>
      <c r="GI121" s="93"/>
      <c r="GJ121" s="93"/>
      <c r="GK121" s="93"/>
      <c r="GL121" s="93"/>
      <c r="GM121" s="93"/>
      <c r="GN121" s="93"/>
      <c r="GO121" s="93"/>
      <c r="GP121" s="93"/>
      <c r="GQ121" s="93"/>
      <c r="GR121" s="93"/>
      <c r="GS121" s="93"/>
      <c r="GT121" s="93"/>
      <c r="GU121" s="93"/>
      <c r="GV121" s="93"/>
      <c r="GW121" s="93"/>
      <c r="GX121" s="93"/>
      <c r="GY121" s="93"/>
      <c r="GZ121" s="93"/>
      <c r="HA121" s="93"/>
      <c r="HB121" s="93"/>
      <c r="HC121" s="93"/>
      <c r="HD121" s="93"/>
      <c r="HE121" s="93"/>
      <c r="HF121" s="93"/>
      <c r="HG121" s="93"/>
    </row>
    <row r="122" spans="1:215" x14ac:dyDescent="0.2">
      <c r="N122" s="93" t="s">
        <v>339</v>
      </c>
      <c r="O122" s="93"/>
      <c r="P122" s="93"/>
      <c r="Q122" s="93"/>
      <c r="R122" s="93"/>
      <c r="S122" s="93"/>
      <c r="T122" s="93"/>
      <c r="U122" s="93"/>
      <c r="V122" s="93"/>
      <c r="W122" s="93"/>
      <c r="X122" s="93"/>
      <c r="Y122" s="93"/>
      <c r="Z122" s="93">
        <v>0.32291666666666669</v>
      </c>
      <c r="AA122" s="93"/>
      <c r="AB122" s="93"/>
      <c r="AC122" s="93"/>
      <c r="AD122" s="93"/>
      <c r="AE122" s="93"/>
      <c r="AF122" s="93"/>
      <c r="AG122" s="93"/>
      <c r="AH122" s="93"/>
      <c r="AI122" s="93"/>
      <c r="AJ122" s="93"/>
      <c r="AK122" s="93"/>
      <c r="AL122" s="93"/>
      <c r="AM122" s="93"/>
      <c r="AN122" s="93"/>
      <c r="AO122" s="93"/>
      <c r="AP122" s="93"/>
      <c r="AQ122" s="93"/>
      <c r="AR122" s="93"/>
      <c r="AS122" s="93"/>
      <c r="AT122" s="93"/>
      <c r="AU122" s="93"/>
      <c r="AV122" s="93"/>
      <c r="AW122" s="93"/>
      <c r="AX122" s="93"/>
      <c r="AY122" s="93"/>
      <c r="AZ122" s="93"/>
      <c r="BA122" s="93"/>
      <c r="BB122" s="93"/>
      <c r="BC122" s="93"/>
      <c r="BD122" s="93"/>
      <c r="BE122" s="93"/>
      <c r="BF122" s="93"/>
      <c r="BG122" s="93"/>
      <c r="BH122" s="93"/>
      <c r="BI122" s="93"/>
      <c r="BJ122" s="93"/>
      <c r="BK122" s="93"/>
      <c r="BL122" s="93"/>
      <c r="BM122" s="93"/>
      <c r="BN122" s="93"/>
      <c r="BO122" s="93"/>
      <c r="BP122" s="93"/>
      <c r="BQ122" s="93"/>
      <c r="BR122" s="93"/>
      <c r="BS122" s="93"/>
      <c r="BT122" s="93"/>
      <c r="BU122" s="93"/>
      <c r="BV122" s="93"/>
      <c r="BW122" s="93"/>
      <c r="BX122" s="93"/>
      <c r="BY122" s="93"/>
      <c r="BZ122" s="93"/>
      <c r="CA122" s="93"/>
      <c r="CB122" s="93"/>
      <c r="CC122" s="93"/>
      <c r="CD122" s="93"/>
      <c r="CE122" s="93"/>
      <c r="CF122" s="93"/>
      <c r="CG122" s="93"/>
      <c r="CH122" s="93"/>
      <c r="CI122" s="93"/>
      <c r="CJ122" s="93"/>
      <c r="CK122" s="93"/>
      <c r="CL122" s="93"/>
      <c r="CM122" s="93"/>
      <c r="CN122" s="93"/>
      <c r="CO122" s="93"/>
      <c r="CP122" s="93"/>
      <c r="CQ122" s="93"/>
      <c r="CR122" s="93"/>
      <c r="CS122" s="93"/>
      <c r="CT122" s="93"/>
      <c r="CU122" s="93"/>
      <c r="CV122" s="93"/>
      <c r="CW122" s="93"/>
      <c r="CX122" s="93"/>
      <c r="CY122" s="93"/>
      <c r="CZ122" s="93"/>
      <c r="DA122" s="93"/>
      <c r="DB122" s="93"/>
      <c r="DC122" s="93"/>
      <c r="DD122" s="93"/>
      <c r="DE122" s="93"/>
      <c r="DF122" s="93"/>
      <c r="DG122" s="93"/>
      <c r="DH122" s="93"/>
      <c r="DI122" s="93"/>
      <c r="DJ122" s="93"/>
      <c r="DK122" s="93"/>
      <c r="DL122" s="93"/>
      <c r="DM122" s="93"/>
      <c r="DN122" s="93"/>
      <c r="DO122" s="93"/>
      <c r="DP122" s="93"/>
      <c r="DQ122" s="93"/>
      <c r="DR122" s="93"/>
      <c r="DS122" s="93"/>
      <c r="DT122" s="93"/>
      <c r="DU122" s="93"/>
      <c r="DV122" s="93"/>
      <c r="DW122" s="93"/>
      <c r="DX122" s="93"/>
      <c r="DY122" s="93"/>
      <c r="DZ122" s="93"/>
      <c r="EA122" s="93"/>
      <c r="EB122" s="93"/>
      <c r="EC122" s="93"/>
      <c r="ED122" s="93"/>
      <c r="EE122" s="93"/>
      <c r="EF122" s="93"/>
      <c r="EG122" s="93"/>
      <c r="EH122" s="93"/>
      <c r="EI122" s="93"/>
      <c r="EJ122" s="93"/>
      <c r="EK122" s="93"/>
      <c r="EL122" s="93"/>
      <c r="EM122" s="93"/>
      <c r="EN122" s="93"/>
      <c r="EO122" s="93"/>
      <c r="EP122" s="93"/>
      <c r="EQ122" s="93"/>
      <c r="ER122" s="93"/>
      <c r="ES122" s="93"/>
      <c r="ET122" s="93"/>
      <c r="EU122" s="93"/>
      <c r="EV122" s="93"/>
      <c r="EW122" s="93"/>
      <c r="EX122" s="93"/>
      <c r="EY122" s="93"/>
      <c r="EZ122" s="93"/>
      <c r="FA122" s="93"/>
      <c r="FB122" s="93"/>
      <c r="FC122" s="93"/>
      <c r="FD122" s="93"/>
      <c r="FE122" s="93"/>
      <c r="FF122" s="93"/>
      <c r="FG122" s="93"/>
      <c r="FH122" s="93"/>
      <c r="FI122" s="93"/>
      <c r="FJ122" s="93"/>
      <c r="FK122" s="93"/>
      <c r="FL122" s="93"/>
      <c r="FM122" s="93"/>
      <c r="FN122" s="93"/>
      <c r="FO122" s="93"/>
      <c r="FP122" s="93"/>
      <c r="FQ122" s="93"/>
      <c r="FR122" s="93"/>
      <c r="FS122" s="93"/>
      <c r="FT122" s="93"/>
      <c r="FU122" s="93"/>
      <c r="FV122" s="93"/>
      <c r="FW122" s="93"/>
      <c r="FX122" s="93"/>
      <c r="FY122" s="93"/>
      <c r="FZ122" s="93"/>
      <c r="GA122" s="93"/>
      <c r="GB122" s="93"/>
      <c r="GC122" s="93"/>
      <c r="GD122" s="93"/>
      <c r="GE122" s="93"/>
      <c r="GF122" s="93"/>
      <c r="GG122" s="93"/>
      <c r="GH122" s="93"/>
      <c r="GI122" s="93"/>
      <c r="GJ122" s="93"/>
      <c r="GK122" s="93"/>
      <c r="GL122" s="93"/>
      <c r="GM122" s="93"/>
      <c r="GN122" s="93"/>
      <c r="GO122" s="93"/>
      <c r="GP122" s="93"/>
      <c r="GQ122" s="93"/>
      <c r="GR122" s="93"/>
      <c r="GS122" s="93"/>
      <c r="GT122" s="93"/>
      <c r="GU122" s="93"/>
      <c r="GV122" s="93"/>
      <c r="GW122" s="93"/>
      <c r="GX122" s="93"/>
      <c r="GY122" s="93"/>
      <c r="GZ122" s="93"/>
      <c r="HA122" s="93"/>
      <c r="HB122" s="93"/>
      <c r="HC122" s="93"/>
      <c r="HD122" s="93"/>
      <c r="HE122" s="93"/>
      <c r="HF122" s="93"/>
      <c r="HG122" s="93"/>
    </row>
    <row r="123" spans="1:215" x14ac:dyDescent="0.2">
      <c r="N123" s="93" t="s">
        <v>340</v>
      </c>
      <c r="O123" s="93"/>
      <c r="P123" s="93"/>
      <c r="Q123" s="93"/>
      <c r="R123" s="93"/>
      <c r="S123" s="93"/>
      <c r="T123" s="93"/>
      <c r="U123" s="93"/>
      <c r="V123" s="93"/>
      <c r="W123" s="93"/>
      <c r="X123" s="93"/>
      <c r="Y123" s="93"/>
      <c r="Z123" s="93"/>
      <c r="AA123" s="93">
        <v>0.32380952380952382</v>
      </c>
      <c r="AB123" s="93"/>
      <c r="AC123" s="93"/>
      <c r="AD123" s="93"/>
      <c r="AE123" s="93"/>
      <c r="AF123" s="93"/>
      <c r="AG123" s="93"/>
      <c r="AH123" s="93"/>
      <c r="AI123" s="93"/>
      <c r="AJ123" s="93"/>
      <c r="AK123" s="93"/>
      <c r="AL123" s="93"/>
      <c r="AM123" s="93"/>
      <c r="AN123" s="93"/>
      <c r="AO123" s="93"/>
      <c r="AP123" s="93"/>
      <c r="AQ123" s="93"/>
      <c r="AR123" s="93"/>
      <c r="AS123" s="93"/>
      <c r="AT123" s="93"/>
      <c r="AU123" s="93"/>
      <c r="AV123" s="93"/>
      <c r="AW123" s="93"/>
      <c r="AX123" s="93"/>
      <c r="AY123" s="93"/>
      <c r="AZ123" s="93"/>
      <c r="BA123" s="93"/>
      <c r="BB123" s="93"/>
      <c r="BC123" s="93"/>
      <c r="BD123" s="93"/>
      <c r="BE123" s="93"/>
      <c r="BF123" s="93"/>
      <c r="BG123" s="93"/>
      <c r="BH123" s="93"/>
      <c r="BI123" s="93"/>
      <c r="BJ123" s="93"/>
      <c r="BK123" s="93"/>
      <c r="BL123" s="93"/>
      <c r="BM123" s="93"/>
      <c r="BN123" s="93"/>
      <c r="BO123" s="93"/>
      <c r="BP123" s="93"/>
      <c r="BQ123" s="93"/>
      <c r="BR123" s="93"/>
      <c r="BS123" s="93"/>
      <c r="BT123" s="93"/>
      <c r="BU123" s="93"/>
      <c r="BV123" s="93"/>
      <c r="BW123" s="93"/>
      <c r="BX123" s="93"/>
      <c r="BY123" s="93"/>
      <c r="BZ123" s="93"/>
      <c r="CA123" s="93"/>
      <c r="CB123" s="93"/>
      <c r="CC123" s="93"/>
      <c r="CD123" s="93"/>
      <c r="CE123" s="93"/>
      <c r="CF123" s="93"/>
      <c r="CG123" s="93"/>
      <c r="CH123" s="93"/>
      <c r="CI123" s="93"/>
      <c r="CJ123" s="93"/>
      <c r="CK123" s="93"/>
      <c r="CL123" s="93"/>
      <c r="CM123" s="93"/>
      <c r="CN123" s="93"/>
      <c r="CO123" s="93"/>
      <c r="CP123" s="93"/>
      <c r="CQ123" s="93"/>
      <c r="CR123" s="93"/>
      <c r="CS123" s="93"/>
      <c r="CT123" s="93"/>
      <c r="CU123" s="93"/>
      <c r="CV123" s="93"/>
      <c r="CW123" s="93"/>
      <c r="CX123" s="93"/>
      <c r="CY123" s="93"/>
      <c r="CZ123" s="93"/>
      <c r="DA123" s="93"/>
      <c r="DB123" s="93"/>
      <c r="DC123" s="93"/>
      <c r="DD123" s="93"/>
      <c r="DE123" s="93"/>
      <c r="DF123" s="93"/>
      <c r="DG123" s="93"/>
      <c r="DH123" s="93"/>
      <c r="DI123" s="93"/>
      <c r="DJ123" s="93"/>
      <c r="DK123" s="93"/>
      <c r="DL123" s="93"/>
      <c r="DM123" s="93"/>
      <c r="DN123" s="93"/>
      <c r="DO123" s="93"/>
      <c r="DP123" s="93"/>
      <c r="DQ123" s="93"/>
      <c r="DR123" s="93"/>
      <c r="DS123" s="93"/>
      <c r="DT123" s="93"/>
      <c r="DU123" s="93"/>
      <c r="DV123" s="93"/>
      <c r="DW123" s="93"/>
      <c r="DX123" s="93"/>
      <c r="DY123" s="93"/>
      <c r="DZ123" s="93"/>
      <c r="EA123" s="93"/>
      <c r="EB123" s="93"/>
      <c r="EC123" s="93"/>
      <c r="ED123" s="93"/>
      <c r="EE123" s="93"/>
      <c r="EF123" s="93"/>
      <c r="EG123" s="93"/>
      <c r="EH123" s="93"/>
      <c r="EI123" s="93"/>
      <c r="EJ123" s="93"/>
      <c r="EK123" s="93"/>
      <c r="EL123" s="93"/>
      <c r="EM123" s="93"/>
      <c r="EN123" s="93"/>
      <c r="EO123" s="93"/>
      <c r="EP123" s="93"/>
      <c r="EQ123" s="93"/>
      <c r="ER123" s="93"/>
      <c r="ES123" s="93"/>
      <c r="ET123" s="93"/>
      <c r="EU123" s="93"/>
      <c r="EV123" s="93"/>
      <c r="EW123" s="93"/>
      <c r="EX123" s="93"/>
      <c r="EY123" s="93"/>
      <c r="EZ123" s="93"/>
      <c r="FA123" s="93"/>
      <c r="FB123" s="93"/>
      <c r="FC123" s="93"/>
      <c r="FD123" s="93"/>
      <c r="FE123" s="93"/>
      <c r="FF123" s="93"/>
      <c r="FG123" s="93"/>
      <c r="FH123" s="93"/>
      <c r="FI123" s="93"/>
      <c r="FJ123" s="93"/>
      <c r="FK123" s="93"/>
      <c r="FL123" s="93"/>
      <c r="FM123" s="93"/>
      <c r="FN123" s="93"/>
      <c r="FO123" s="93"/>
      <c r="FP123" s="93"/>
      <c r="FQ123" s="93"/>
      <c r="FR123" s="93"/>
      <c r="FS123" s="93"/>
      <c r="FT123" s="93"/>
      <c r="FU123" s="93"/>
      <c r="FV123" s="93"/>
      <c r="FW123" s="93"/>
      <c r="FX123" s="93"/>
      <c r="FY123" s="93"/>
      <c r="FZ123" s="93"/>
      <c r="GA123" s="93"/>
      <c r="GB123" s="93"/>
      <c r="GC123" s="93"/>
      <c r="GD123" s="93"/>
      <c r="GE123" s="93"/>
      <c r="GF123" s="93"/>
      <c r="GG123" s="93"/>
      <c r="GH123" s="93"/>
      <c r="GI123" s="93"/>
      <c r="GJ123" s="93"/>
      <c r="GK123" s="93"/>
      <c r="GL123" s="93"/>
      <c r="GM123" s="93"/>
      <c r="GN123" s="93"/>
      <c r="GO123" s="93"/>
      <c r="GP123" s="93"/>
      <c r="GQ123" s="93"/>
      <c r="GR123" s="93"/>
      <c r="GS123" s="93"/>
      <c r="GT123" s="93"/>
      <c r="GU123" s="93"/>
      <c r="GV123" s="93"/>
      <c r="GW123" s="93"/>
      <c r="GX123" s="93"/>
      <c r="GY123" s="93"/>
      <c r="GZ123" s="93"/>
      <c r="HA123" s="93"/>
      <c r="HB123" s="93"/>
      <c r="HC123" s="93"/>
      <c r="HD123" s="93"/>
      <c r="HE123" s="93"/>
      <c r="HF123" s="93"/>
      <c r="HG123" s="93"/>
    </row>
    <row r="124" spans="1:215" x14ac:dyDescent="0.2">
      <c r="N124" s="93" t="s">
        <v>341</v>
      </c>
      <c r="O124" s="93"/>
      <c r="P124" s="93"/>
      <c r="Q124" s="93"/>
      <c r="R124" s="93"/>
      <c r="S124" s="93"/>
      <c r="T124" s="93"/>
      <c r="U124" s="93"/>
      <c r="V124" s="93"/>
      <c r="W124" s="93"/>
      <c r="X124" s="93"/>
      <c r="Y124" s="93"/>
      <c r="Z124" s="93"/>
      <c r="AA124" s="93"/>
      <c r="AB124" s="93">
        <v>0.32456140350877194</v>
      </c>
      <c r="AC124" s="93"/>
      <c r="AD124" s="93"/>
      <c r="AE124" s="93"/>
      <c r="AF124" s="93"/>
      <c r="AG124" s="93"/>
      <c r="AH124" s="93"/>
      <c r="AI124" s="93"/>
      <c r="AJ124" s="93"/>
      <c r="AK124" s="93"/>
      <c r="AL124" s="93"/>
      <c r="AM124" s="93"/>
      <c r="AN124" s="93"/>
      <c r="AO124" s="93"/>
      <c r="AP124" s="93"/>
      <c r="AQ124" s="93"/>
      <c r="AR124" s="93"/>
      <c r="AS124" s="93"/>
      <c r="AT124" s="93"/>
      <c r="AU124" s="93"/>
      <c r="AV124" s="93"/>
      <c r="AW124" s="93"/>
      <c r="AX124" s="93"/>
      <c r="AY124" s="93"/>
      <c r="AZ124" s="93"/>
      <c r="BA124" s="93"/>
      <c r="BB124" s="93"/>
      <c r="BC124" s="93"/>
      <c r="BD124" s="93"/>
      <c r="BE124" s="93"/>
      <c r="BF124" s="93"/>
      <c r="BG124" s="93"/>
      <c r="BH124" s="93"/>
      <c r="BI124" s="93"/>
      <c r="BJ124" s="93"/>
      <c r="BK124" s="93"/>
      <c r="BL124" s="93"/>
      <c r="BM124" s="93"/>
      <c r="BN124" s="93"/>
      <c r="BO124" s="93"/>
      <c r="BP124" s="93"/>
      <c r="BQ124" s="93"/>
      <c r="BR124" s="93"/>
      <c r="BS124" s="93"/>
      <c r="BT124" s="93"/>
      <c r="BU124" s="93"/>
      <c r="BV124" s="93"/>
      <c r="BW124" s="93"/>
      <c r="BX124" s="93"/>
      <c r="BY124" s="93"/>
      <c r="BZ124" s="93"/>
      <c r="CA124" s="93"/>
      <c r="CB124" s="93"/>
      <c r="CC124" s="93"/>
      <c r="CD124" s="93"/>
      <c r="CE124" s="93"/>
      <c r="CF124" s="93"/>
      <c r="CG124" s="93"/>
      <c r="CH124" s="93"/>
      <c r="CI124" s="93"/>
      <c r="CJ124" s="93"/>
      <c r="CK124" s="93"/>
      <c r="CL124" s="93"/>
      <c r="CM124" s="93"/>
      <c r="CN124" s="93"/>
      <c r="CO124" s="93"/>
      <c r="CP124" s="93"/>
      <c r="CQ124" s="93"/>
      <c r="CR124" s="93"/>
      <c r="CS124" s="93"/>
      <c r="CT124" s="93"/>
      <c r="CU124" s="93"/>
      <c r="CV124" s="93"/>
      <c r="CW124" s="93"/>
      <c r="CX124" s="93"/>
      <c r="CY124" s="93"/>
      <c r="CZ124" s="93"/>
      <c r="DA124" s="93"/>
      <c r="DB124" s="93"/>
      <c r="DC124" s="93"/>
      <c r="DD124" s="93"/>
      <c r="DE124" s="93"/>
      <c r="DF124" s="93"/>
      <c r="DG124" s="93"/>
      <c r="DH124" s="93"/>
      <c r="DI124" s="93"/>
      <c r="DJ124" s="93"/>
      <c r="DK124" s="93"/>
      <c r="DL124" s="93"/>
      <c r="DM124" s="93"/>
      <c r="DN124" s="93"/>
      <c r="DO124" s="93"/>
      <c r="DP124" s="93"/>
      <c r="DQ124" s="93"/>
      <c r="DR124" s="93"/>
      <c r="DS124" s="93"/>
      <c r="DT124" s="93"/>
      <c r="DU124" s="93"/>
      <c r="DV124" s="93"/>
      <c r="DW124" s="93"/>
      <c r="DX124" s="93"/>
      <c r="DY124" s="93"/>
      <c r="DZ124" s="93"/>
      <c r="EA124" s="93"/>
      <c r="EB124" s="93"/>
      <c r="EC124" s="93"/>
      <c r="ED124" s="93"/>
      <c r="EE124" s="93"/>
      <c r="EF124" s="93"/>
      <c r="EG124" s="93"/>
      <c r="EH124" s="93"/>
      <c r="EI124" s="93"/>
      <c r="EJ124" s="93"/>
      <c r="EK124" s="93"/>
      <c r="EL124" s="93"/>
      <c r="EM124" s="93"/>
      <c r="EN124" s="93"/>
      <c r="EO124" s="93"/>
      <c r="EP124" s="93"/>
      <c r="EQ124" s="93"/>
      <c r="ER124" s="93"/>
      <c r="ES124" s="93"/>
      <c r="ET124" s="93"/>
      <c r="EU124" s="93"/>
      <c r="EV124" s="93"/>
      <c r="EW124" s="93"/>
      <c r="EX124" s="93"/>
      <c r="EY124" s="93"/>
      <c r="EZ124" s="93"/>
      <c r="FA124" s="93"/>
      <c r="FB124" s="93"/>
      <c r="FC124" s="93"/>
      <c r="FD124" s="93"/>
      <c r="FE124" s="93"/>
      <c r="FF124" s="93"/>
      <c r="FG124" s="93"/>
      <c r="FH124" s="93"/>
      <c r="FI124" s="93"/>
      <c r="FJ124" s="93"/>
      <c r="FK124" s="93"/>
      <c r="FL124" s="93"/>
      <c r="FM124" s="93"/>
      <c r="FN124" s="93"/>
      <c r="FO124" s="93"/>
      <c r="FP124" s="93"/>
      <c r="FQ124" s="93"/>
      <c r="FR124" s="93"/>
      <c r="FS124" s="93"/>
      <c r="FT124" s="93"/>
      <c r="FU124" s="93"/>
      <c r="FV124" s="93"/>
      <c r="FW124" s="93"/>
      <c r="FX124" s="93"/>
      <c r="FY124" s="93"/>
      <c r="FZ124" s="93"/>
      <c r="GA124" s="93"/>
      <c r="GB124" s="93"/>
      <c r="GC124" s="93"/>
      <c r="GD124" s="93"/>
      <c r="GE124" s="93"/>
      <c r="GF124" s="93"/>
      <c r="GG124" s="93"/>
      <c r="GH124" s="93"/>
      <c r="GI124" s="93"/>
      <c r="GJ124" s="93"/>
      <c r="GK124" s="93"/>
      <c r="GL124" s="93"/>
      <c r="GM124" s="93"/>
      <c r="GN124" s="93"/>
      <c r="GO124" s="93"/>
      <c r="GP124" s="93"/>
      <c r="GQ124" s="93"/>
      <c r="GR124" s="93"/>
      <c r="GS124" s="93"/>
      <c r="GT124" s="93"/>
      <c r="GU124" s="93"/>
      <c r="GV124" s="93"/>
      <c r="GW124" s="93"/>
      <c r="GX124" s="93"/>
      <c r="GY124" s="93"/>
      <c r="GZ124" s="93"/>
      <c r="HA124" s="93"/>
      <c r="HB124" s="93"/>
      <c r="HC124" s="93"/>
      <c r="HD124" s="93"/>
      <c r="HE124" s="93"/>
      <c r="HF124" s="93"/>
      <c r="HG124" s="93"/>
    </row>
    <row r="125" spans="1:215" x14ac:dyDescent="0.2">
      <c r="N125" s="93" t="s">
        <v>342</v>
      </c>
      <c r="O125" s="93"/>
      <c r="P125" s="93"/>
      <c r="Q125" s="93"/>
      <c r="R125" s="93"/>
      <c r="S125" s="93"/>
      <c r="T125" s="93"/>
      <c r="U125" s="93"/>
      <c r="V125" s="93"/>
      <c r="W125" s="93"/>
      <c r="X125" s="93"/>
      <c r="Y125" s="93"/>
      <c r="Z125" s="93"/>
      <c r="AA125" s="93"/>
      <c r="AB125" s="93"/>
      <c r="AC125" s="93">
        <v>0.32520325203252032</v>
      </c>
      <c r="AD125" s="93"/>
      <c r="AE125" s="93"/>
      <c r="AF125" s="93"/>
      <c r="AG125" s="93"/>
      <c r="AH125" s="93"/>
      <c r="AI125" s="93"/>
      <c r="AJ125" s="93"/>
      <c r="AK125" s="93"/>
      <c r="AL125" s="93"/>
      <c r="AM125" s="93"/>
      <c r="AN125" s="93"/>
      <c r="AO125" s="93"/>
      <c r="AP125" s="93"/>
      <c r="AQ125" s="93"/>
      <c r="AR125" s="93"/>
      <c r="AS125" s="93"/>
      <c r="AT125" s="93"/>
      <c r="AU125" s="93"/>
      <c r="AV125" s="93"/>
      <c r="AW125" s="93"/>
      <c r="AX125" s="93"/>
      <c r="AY125" s="93"/>
      <c r="AZ125" s="93"/>
      <c r="BA125" s="93"/>
      <c r="BB125" s="93"/>
      <c r="BC125" s="93"/>
      <c r="BD125" s="93"/>
      <c r="BE125" s="93"/>
      <c r="BF125" s="93"/>
      <c r="BG125" s="93"/>
      <c r="BH125" s="93"/>
      <c r="BI125" s="93"/>
      <c r="BJ125" s="93"/>
      <c r="BK125" s="93"/>
      <c r="BL125" s="93"/>
      <c r="BM125" s="93"/>
      <c r="BN125" s="93"/>
      <c r="BO125" s="93"/>
      <c r="BP125" s="93"/>
      <c r="BQ125" s="93"/>
      <c r="BR125" s="93"/>
      <c r="BS125" s="93"/>
      <c r="BT125" s="93"/>
      <c r="BU125" s="93"/>
      <c r="BV125" s="93"/>
      <c r="BW125" s="93"/>
      <c r="BX125" s="93"/>
      <c r="BY125" s="93"/>
      <c r="BZ125" s="93"/>
      <c r="CA125" s="93"/>
      <c r="CB125" s="93"/>
      <c r="CC125" s="93"/>
      <c r="CD125" s="93"/>
      <c r="CE125" s="93"/>
      <c r="CF125" s="93"/>
      <c r="CG125" s="93"/>
      <c r="CH125" s="93"/>
      <c r="CI125" s="93"/>
      <c r="CJ125" s="93"/>
      <c r="CK125" s="93"/>
      <c r="CL125" s="93"/>
      <c r="CM125" s="93"/>
      <c r="CN125" s="93"/>
      <c r="CO125" s="93"/>
      <c r="CP125" s="93"/>
      <c r="CQ125" s="93"/>
      <c r="CR125" s="93"/>
      <c r="CS125" s="93"/>
      <c r="CT125" s="93"/>
      <c r="CU125" s="93"/>
      <c r="CV125" s="93"/>
      <c r="CW125" s="93"/>
      <c r="CX125" s="93"/>
      <c r="CY125" s="93"/>
      <c r="CZ125" s="93"/>
      <c r="DA125" s="93"/>
      <c r="DB125" s="93"/>
      <c r="DC125" s="93"/>
      <c r="DD125" s="93"/>
      <c r="DE125" s="93"/>
      <c r="DF125" s="93"/>
      <c r="DG125" s="93"/>
      <c r="DH125" s="93"/>
      <c r="DI125" s="93"/>
      <c r="DJ125" s="93"/>
      <c r="DK125" s="93"/>
      <c r="DL125" s="93"/>
      <c r="DM125" s="93"/>
      <c r="DN125" s="93"/>
      <c r="DO125" s="93"/>
      <c r="DP125" s="93"/>
      <c r="DQ125" s="93"/>
      <c r="DR125" s="93"/>
      <c r="DS125" s="93"/>
      <c r="DT125" s="93"/>
      <c r="DU125" s="93"/>
      <c r="DV125" s="93"/>
      <c r="DW125" s="93"/>
      <c r="DX125" s="93"/>
      <c r="DY125" s="93"/>
      <c r="DZ125" s="93"/>
      <c r="EA125" s="93"/>
      <c r="EB125" s="93"/>
      <c r="EC125" s="93"/>
      <c r="ED125" s="93"/>
      <c r="EE125" s="93"/>
      <c r="EF125" s="93"/>
      <c r="EG125" s="93"/>
      <c r="EH125" s="93"/>
      <c r="EI125" s="93"/>
      <c r="EJ125" s="93"/>
      <c r="EK125" s="93"/>
      <c r="EL125" s="93"/>
      <c r="EM125" s="93"/>
      <c r="EN125" s="93"/>
      <c r="EO125" s="93"/>
      <c r="EP125" s="93"/>
      <c r="EQ125" s="93"/>
      <c r="ER125" s="93"/>
      <c r="ES125" s="93"/>
      <c r="ET125" s="93"/>
      <c r="EU125" s="93"/>
      <c r="EV125" s="93"/>
      <c r="EW125" s="93"/>
      <c r="EX125" s="93"/>
      <c r="EY125" s="93"/>
      <c r="EZ125" s="93"/>
      <c r="FA125" s="93"/>
      <c r="FB125" s="93"/>
      <c r="FC125" s="93"/>
      <c r="FD125" s="93"/>
      <c r="FE125" s="93"/>
      <c r="FF125" s="93"/>
      <c r="FG125" s="93"/>
      <c r="FH125" s="93"/>
      <c r="FI125" s="93"/>
      <c r="FJ125" s="93"/>
      <c r="FK125" s="93"/>
      <c r="FL125" s="93"/>
      <c r="FM125" s="93"/>
      <c r="FN125" s="93"/>
      <c r="FO125" s="93"/>
      <c r="FP125" s="93"/>
      <c r="FQ125" s="93"/>
      <c r="FR125" s="93"/>
      <c r="FS125" s="93"/>
      <c r="FT125" s="93"/>
      <c r="FU125" s="93"/>
      <c r="FV125" s="93"/>
      <c r="FW125" s="93"/>
      <c r="FX125" s="93"/>
      <c r="FY125" s="93"/>
      <c r="FZ125" s="93"/>
      <c r="GA125" s="93"/>
      <c r="GB125" s="93"/>
      <c r="GC125" s="93"/>
      <c r="GD125" s="93"/>
      <c r="GE125" s="93"/>
      <c r="GF125" s="93"/>
      <c r="GG125" s="93"/>
      <c r="GH125" s="93"/>
      <c r="GI125" s="93"/>
      <c r="GJ125" s="93"/>
      <c r="GK125" s="93"/>
      <c r="GL125" s="93"/>
      <c r="GM125" s="93"/>
      <c r="GN125" s="93"/>
      <c r="GO125" s="93"/>
      <c r="GP125" s="93"/>
      <c r="GQ125" s="93"/>
      <c r="GR125" s="93"/>
      <c r="GS125" s="93"/>
      <c r="GT125" s="93"/>
      <c r="GU125" s="93"/>
      <c r="GV125" s="93"/>
      <c r="GW125" s="93"/>
      <c r="GX125" s="93"/>
      <c r="GY125" s="93"/>
      <c r="GZ125" s="93"/>
      <c r="HA125" s="93"/>
      <c r="HB125" s="93"/>
      <c r="HC125" s="93"/>
      <c r="HD125" s="93"/>
      <c r="HE125" s="93"/>
      <c r="HF125" s="93"/>
      <c r="HG125" s="93"/>
    </row>
    <row r="126" spans="1:215" x14ac:dyDescent="0.2">
      <c r="N126" s="93" t="s">
        <v>343</v>
      </c>
      <c r="O126" s="93"/>
      <c r="P126" s="93"/>
      <c r="Q126" s="93"/>
      <c r="R126" s="93"/>
      <c r="S126" s="93"/>
      <c r="T126" s="93"/>
      <c r="U126" s="93"/>
      <c r="V126" s="93"/>
      <c r="W126" s="93"/>
      <c r="X126" s="93"/>
      <c r="Y126" s="93"/>
      <c r="Z126" s="93"/>
      <c r="AA126" s="93"/>
      <c r="AB126" s="93"/>
      <c r="AC126" s="93"/>
      <c r="AD126" s="93">
        <v>0.32575757575757575</v>
      </c>
      <c r="AE126" s="93"/>
      <c r="AF126" s="93"/>
      <c r="AG126" s="93"/>
      <c r="AH126" s="93"/>
      <c r="AI126" s="93"/>
      <c r="AJ126" s="93"/>
      <c r="AK126" s="93"/>
      <c r="AL126" s="93"/>
      <c r="AM126" s="93"/>
      <c r="AN126" s="93"/>
      <c r="AO126" s="93"/>
      <c r="AP126" s="93"/>
      <c r="AQ126" s="93"/>
      <c r="AR126" s="93"/>
      <c r="AS126" s="93"/>
      <c r="AT126" s="93"/>
      <c r="AU126" s="93"/>
      <c r="AV126" s="93"/>
      <c r="AW126" s="93"/>
      <c r="AX126" s="93"/>
      <c r="AY126" s="93"/>
      <c r="AZ126" s="93"/>
      <c r="BA126" s="93"/>
      <c r="BB126" s="93"/>
      <c r="BC126" s="93"/>
      <c r="BD126" s="93"/>
      <c r="BE126" s="93"/>
      <c r="BF126" s="93"/>
      <c r="BG126" s="93"/>
      <c r="BH126" s="93"/>
      <c r="BI126" s="93"/>
      <c r="BJ126" s="93"/>
      <c r="BK126" s="93"/>
      <c r="BL126" s="93"/>
      <c r="BM126" s="93"/>
      <c r="BN126" s="93"/>
      <c r="BO126" s="93"/>
      <c r="BP126" s="93"/>
      <c r="BQ126" s="93"/>
      <c r="BR126" s="93"/>
      <c r="BS126" s="93"/>
      <c r="BT126" s="93"/>
      <c r="BU126" s="93"/>
      <c r="BV126" s="93"/>
      <c r="BW126" s="93"/>
      <c r="BX126" s="93"/>
      <c r="BY126" s="93"/>
      <c r="BZ126" s="93"/>
      <c r="CA126" s="93"/>
      <c r="CB126" s="93"/>
      <c r="CC126" s="93"/>
      <c r="CD126" s="93"/>
      <c r="CE126" s="93"/>
      <c r="CF126" s="93"/>
      <c r="CG126" s="93"/>
      <c r="CH126" s="93"/>
      <c r="CI126" s="93"/>
      <c r="CJ126" s="93"/>
      <c r="CK126" s="93"/>
      <c r="CL126" s="93"/>
      <c r="CM126" s="93"/>
      <c r="CN126" s="93"/>
      <c r="CO126" s="93"/>
      <c r="CP126" s="93"/>
      <c r="CQ126" s="93"/>
      <c r="CR126" s="93"/>
      <c r="CS126" s="93"/>
      <c r="CT126" s="93"/>
      <c r="CU126" s="93"/>
      <c r="CV126" s="93"/>
      <c r="CW126" s="93"/>
      <c r="CX126" s="93"/>
      <c r="CY126" s="93"/>
      <c r="CZ126" s="93"/>
      <c r="DA126" s="93"/>
      <c r="DB126" s="93"/>
      <c r="DC126" s="93"/>
      <c r="DD126" s="93"/>
      <c r="DE126" s="93"/>
      <c r="DF126" s="93"/>
      <c r="DG126" s="93"/>
      <c r="DH126" s="93"/>
      <c r="DI126" s="93"/>
      <c r="DJ126" s="93"/>
      <c r="DK126" s="93"/>
      <c r="DL126" s="93"/>
      <c r="DM126" s="93"/>
      <c r="DN126" s="93"/>
      <c r="DO126" s="93"/>
      <c r="DP126" s="93"/>
      <c r="DQ126" s="93"/>
      <c r="DR126" s="93"/>
      <c r="DS126" s="93"/>
      <c r="DT126" s="93"/>
      <c r="DU126" s="93"/>
      <c r="DV126" s="93"/>
      <c r="DW126" s="93"/>
      <c r="DX126" s="93"/>
      <c r="DY126" s="93"/>
      <c r="DZ126" s="93"/>
      <c r="EA126" s="93"/>
      <c r="EB126" s="93"/>
      <c r="EC126" s="93"/>
      <c r="ED126" s="93"/>
      <c r="EE126" s="93"/>
      <c r="EF126" s="93"/>
      <c r="EG126" s="93"/>
      <c r="EH126" s="93"/>
      <c r="EI126" s="93"/>
      <c r="EJ126" s="93"/>
      <c r="EK126" s="93"/>
      <c r="EL126" s="93"/>
      <c r="EM126" s="93"/>
      <c r="EN126" s="93"/>
      <c r="EO126" s="93"/>
      <c r="EP126" s="93"/>
      <c r="EQ126" s="93"/>
      <c r="ER126" s="93"/>
      <c r="ES126" s="93"/>
      <c r="ET126" s="93"/>
      <c r="EU126" s="93"/>
      <c r="EV126" s="93"/>
      <c r="EW126" s="93"/>
      <c r="EX126" s="93"/>
      <c r="EY126" s="93"/>
      <c r="EZ126" s="93"/>
      <c r="FA126" s="93"/>
      <c r="FB126" s="93"/>
      <c r="FC126" s="93"/>
      <c r="FD126" s="93"/>
      <c r="FE126" s="93"/>
      <c r="FF126" s="93"/>
      <c r="FG126" s="93"/>
      <c r="FH126" s="93"/>
      <c r="FI126" s="93"/>
      <c r="FJ126" s="93"/>
      <c r="FK126" s="93"/>
      <c r="FL126" s="93"/>
      <c r="FM126" s="93"/>
      <c r="FN126" s="93"/>
      <c r="FO126" s="93"/>
      <c r="FP126" s="93"/>
      <c r="FQ126" s="93"/>
      <c r="FR126" s="93"/>
      <c r="FS126" s="93"/>
      <c r="FT126" s="93"/>
      <c r="FU126" s="93"/>
      <c r="FV126" s="93"/>
      <c r="FW126" s="93"/>
      <c r="FX126" s="93"/>
      <c r="FY126" s="93"/>
      <c r="FZ126" s="93"/>
      <c r="GA126" s="93"/>
      <c r="GB126" s="93"/>
      <c r="GC126" s="93"/>
      <c r="GD126" s="93"/>
      <c r="GE126" s="93"/>
      <c r="GF126" s="93"/>
      <c r="GG126" s="93"/>
      <c r="GH126" s="93"/>
      <c r="GI126" s="93"/>
      <c r="GJ126" s="93"/>
      <c r="GK126" s="93"/>
      <c r="GL126" s="93"/>
      <c r="GM126" s="93"/>
      <c r="GN126" s="93"/>
      <c r="GO126" s="93"/>
      <c r="GP126" s="93"/>
      <c r="GQ126" s="93"/>
      <c r="GR126" s="93"/>
      <c r="GS126" s="93"/>
      <c r="GT126" s="93"/>
      <c r="GU126" s="93"/>
      <c r="GV126" s="93"/>
      <c r="GW126" s="93"/>
      <c r="GX126" s="93"/>
      <c r="GY126" s="93"/>
      <c r="GZ126" s="93"/>
      <c r="HA126" s="93"/>
      <c r="HB126" s="93"/>
      <c r="HC126" s="93"/>
      <c r="HD126" s="93"/>
      <c r="HE126" s="93"/>
      <c r="HF126" s="93"/>
      <c r="HG126" s="93"/>
    </row>
    <row r="127" spans="1:215" x14ac:dyDescent="0.2">
      <c r="N127" s="93" t="s">
        <v>344</v>
      </c>
      <c r="O127" s="93"/>
      <c r="P127" s="93"/>
      <c r="Q127" s="93"/>
      <c r="R127" s="93"/>
      <c r="S127" s="93"/>
      <c r="T127" s="93"/>
      <c r="U127" s="93"/>
      <c r="V127" s="93"/>
      <c r="W127" s="93"/>
      <c r="X127" s="93"/>
      <c r="Y127" s="93"/>
      <c r="Z127" s="93"/>
      <c r="AA127" s="93"/>
      <c r="AB127" s="93"/>
      <c r="AC127" s="93"/>
      <c r="AD127" s="93"/>
      <c r="AE127" s="93">
        <v>0.32624113475177308</v>
      </c>
      <c r="AF127" s="93"/>
      <c r="AG127" s="93"/>
      <c r="AH127" s="93"/>
      <c r="AI127" s="93"/>
      <c r="AJ127" s="93"/>
      <c r="AK127" s="93"/>
      <c r="AL127" s="93"/>
      <c r="AM127" s="93"/>
      <c r="AN127" s="93"/>
      <c r="AO127" s="93"/>
      <c r="AP127" s="93"/>
      <c r="AQ127" s="93"/>
      <c r="AR127" s="93"/>
      <c r="AS127" s="93"/>
      <c r="AT127" s="93"/>
      <c r="AU127" s="93"/>
      <c r="AV127" s="93"/>
      <c r="AW127" s="93"/>
      <c r="AX127" s="93"/>
      <c r="AY127" s="93"/>
      <c r="AZ127" s="93"/>
      <c r="BA127" s="93"/>
      <c r="BB127" s="93"/>
      <c r="BC127" s="93"/>
      <c r="BD127" s="93"/>
      <c r="BE127" s="93"/>
      <c r="BF127" s="93"/>
      <c r="BG127" s="93"/>
      <c r="BH127" s="93"/>
      <c r="BI127" s="93"/>
      <c r="BJ127" s="93"/>
      <c r="BK127" s="93"/>
      <c r="BL127" s="93"/>
      <c r="BM127" s="93"/>
      <c r="BN127" s="93"/>
      <c r="BO127" s="93"/>
      <c r="BP127" s="93"/>
      <c r="BQ127" s="93"/>
      <c r="BR127" s="93"/>
      <c r="BS127" s="93"/>
      <c r="BT127" s="93"/>
      <c r="BU127" s="93"/>
      <c r="BV127" s="93"/>
      <c r="BW127" s="93"/>
      <c r="BX127" s="93"/>
      <c r="BY127" s="93"/>
      <c r="BZ127" s="93"/>
      <c r="CA127" s="93"/>
      <c r="CB127" s="93"/>
      <c r="CC127" s="93"/>
      <c r="CD127" s="93"/>
      <c r="CE127" s="93"/>
      <c r="CF127" s="93"/>
      <c r="CG127" s="93"/>
      <c r="CH127" s="93"/>
      <c r="CI127" s="93"/>
      <c r="CJ127" s="93"/>
      <c r="CK127" s="93"/>
      <c r="CL127" s="93"/>
      <c r="CM127" s="93"/>
      <c r="CN127" s="93"/>
      <c r="CO127" s="93"/>
      <c r="CP127" s="93"/>
      <c r="CQ127" s="93"/>
      <c r="CR127" s="93"/>
      <c r="CS127" s="93"/>
      <c r="CT127" s="93"/>
      <c r="CU127" s="93"/>
      <c r="CV127" s="93"/>
      <c r="CW127" s="93"/>
      <c r="CX127" s="93"/>
      <c r="CY127" s="93"/>
      <c r="CZ127" s="93"/>
      <c r="DA127" s="93"/>
      <c r="DB127" s="93"/>
      <c r="DC127" s="93"/>
      <c r="DD127" s="93"/>
      <c r="DE127" s="93"/>
      <c r="DF127" s="93"/>
      <c r="DG127" s="93"/>
      <c r="DH127" s="93"/>
      <c r="DI127" s="93"/>
      <c r="DJ127" s="93"/>
      <c r="DK127" s="93"/>
      <c r="DL127" s="93"/>
      <c r="DM127" s="93"/>
      <c r="DN127" s="93"/>
      <c r="DO127" s="93"/>
      <c r="DP127" s="93"/>
      <c r="DQ127" s="93"/>
      <c r="DR127" s="93"/>
      <c r="DS127" s="93"/>
      <c r="DT127" s="93"/>
      <c r="DU127" s="93"/>
      <c r="DV127" s="93"/>
      <c r="DW127" s="93"/>
      <c r="DX127" s="93"/>
      <c r="DY127" s="93"/>
      <c r="DZ127" s="93"/>
      <c r="EA127" s="93"/>
      <c r="EB127" s="93"/>
      <c r="EC127" s="93"/>
      <c r="ED127" s="93"/>
      <c r="EE127" s="93"/>
      <c r="EF127" s="93"/>
      <c r="EG127" s="93"/>
      <c r="EH127" s="93"/>
      <c r="EI127" s="93"/>
      <c r="EJ127" s="93"/>
      <c r="EK127" s="93"/>
      <c r="EL127" s="93"/>
      <c r="EM127" s="93"/>
      <c r="EN127" s="93"/>
      <c r="EO127" s="93"/>
      <c r="EP127" s="93"/>
      <c r="EQ127" s="93"/>
      <c r="ER127" s="93"/>
      <c r="ES127" s="93"/>
      <c r="ET127" s="93"/>
      <c r="EU127" s="93"/>
      <c r="EV127" s="93"/>
      <c r="EW127" s="93"/>
      <c r="EX127" s="93"/>
      <c r="EY127" s="93"/>
      <c r="EZ127" s="93"/>
      <c r="FA127" s="93"/>
      <c r="FB127" s="93"/>
      <c r="FC127" s="93"/>
      <c r="FD127" s="93"/>
      <c r="FE127" s="93"/>
      <c r="FF127" s="93"/>
      <c r="FG127" s="93"/>
      <c r="FH127" s="93"/>
      <c r="FI127" s="93"/>
      <c r="FJ127" s="93"/>
      <c r="FK127" s="93"/>
      <c r="FL127" s="93"/>
      <c r="FM127" s="93"/>
      <c r="FN127" s="93"/>
      <c r="FO127" s="93"/>
      <c r="FP127" s="93"/>
      <c r="FQ127" s="93"/>
      <c r="FR127" s="93"/>
      <c r="FS127" s="93"/>
      <c r="FT127" s="93"/>
      <c r="FU127" s="93"/>
      <c r="FV127" s="93"/>
      <c r="FW127" s="93"/>
      <c r="FX127" s="93"/>
      <c r="FY127" s="93"/>
      <c r="FZ127" s="93"/>
      <c r="GA127" s="93"/>
      <c r="GB127" s="93"/>
      <c r="GC127" s="93"/>
      <c r="GD127" s="93"/>
      <c r="GE127" s="93"/>
      <c r="GF127" s="93"/>
      <c r="GG127" s="93"/>
      <c r="GH127" s="93"/>
      <c r="GI127" s="93"/>
      <c r="GJ127" s="93"/>
      <c r="GK127" s="93"/>
      <c r="GL127" s="93"/>
      <c r="GM127" s="93"/>
      <c r="GN127" s="93"/>
      <c r="GO127" s="93"/>
      <c r="GP127" s="93"/>
      <c r="GQ127" s="93"/>
      <c r="GR127" s="93"/>
      <c r="GS127" s="93"/>
      <c r="GT127" s="93"/>
      <c r="GU127" s="93"/>
      <c r="GV127" s="93"/>
      <c r="GW127" s="93"/>
      <c r="GX127" s="93"/>
      <c r="GY127" s="93"/>
      <c r="GZ127" s="93"/>
      <c r="HA127" s="93"/>
      <c r="HB127" s="93"/>
      <c r="HC127" s="93"/>
      <c r="HD127" s="93"/>
      <c r="HE127" s="93"/>
      <c r="HF127" s="93"/>
      <c r="HG127" s="93"/>
    </row>
    <row r="128" spans="1:215" x14ac:dyDescent="0.2">
      <c r="N128" s="93" t="s">
        <v>345</v>
      </c>
      <c r="O128" s="93"/>
      <c r="P128" s="93"/>
      <c r="Q128" s="93"/>
      <c r="R128" s="93"/>
      <c r="S128" s="93"/>
      <c r="T128" s="93"/>
      <c r="U128" s="93"/>
      <c r="V128" s="93"/>
      <c r="W128" s="93"/>
      <c r="X128" s="93"/>
      <c r="Y128" s="93"/>
      <c r="Z128" s="93"/>
      <c r="AA128" s="93"/>
      <c r="AB128" s="93"/>
      <c r="AC128" s="93"/>
      <c r="AD128" s="93"/>
      <c r="AE128" s="93"/>
      <c r="AF128" s="93">
        <v>0.32666666666666666</v>
      </c>
      <c r="AG128" s="93"/>
      <c r="AH128" s="93"/>
      <c r="AI128" s="93"/>
      <c r="AJ128" s="93"/>
      <c r="AK128" s="93"/>
      <c r="AL128" s="93"/>
      <c r="AM128" s="93"/>
      <c r="AN128" s="93"/>
      <c r="AO128" s="93"/>
      <c r="AP128" s="93"/>
      <c r="AQ128" s="93"/>
      <c r="AR128" s="93"/>
      <c r="AS128" s="93"/>
      <c r="AT128" s="93"/>
      <c r="AU128" s="93"/>
      <c r="AV128" s="93"/>
      <c r="AW128" s="93"/>
      <c r="AX128" s="93"/>
      <c r="AY128" s="93"/>
      <c r="AZ128" s="93"/>
      <c r="BA128" s="93"/>
      <c r="BB128" s="93"/>
      <c r="BC128" s="93"/>
      <c r="BD128" s="93"/>
      <c r="BE128" s="93"/>
      <c r="BF128" s="93"/>
      <c r="BG128" s="93"/>
      <c r="BH128" s="93"/>
      <c r="BI128" s="93"/>
      <c r="BJ128" s="93"/>
      <c r="BK128" s="93"/>
      <c r="BL128" s="93"/>
      <c r="BM128" s="93"/>
      <c r="BN128" s="93"/>
      <c r="BO128" s="93"/>
      <c r="BP128" s="93"/>
      <c r="BQ128" s="93"/>
      <c r="BR128" s="93"/>
      <c r="BS128" s="93"/>
      <c r="BT128" s="93"/>
      <c r="BU128" s="93"/>
      <c r="BV128" s="93"/>
      <c r="BW128" s="93"/>
      <c r="BX128" s="93"/>
      <c r="BY128" s="93"/>
      <c r="BZ128" s="93"/>
      <c r="CA128" s="93"/>
      <c r="CB128" s="93"/>
      <c r="CC128" s="93"/>
      <c r="CD128" s="93"/>
      <c r="CE128" s="93"/>
      <c r="CF128" s="93"/>
      <c r="CG128" s="93"/>
      <c r="CH128" s="93"/>
      <c r="CI128" s="93"/>
      <c r="CJ128" s="93"/>
      <c r="CK128" s="93"/>
      <c r="CL128" s="93"/>
      <c r="CM128" s="93"/>
      <c r="CN128" s="93"/>
      <c r="CO128" s="93"/>
      <c r="CP128" s="93"/>
      <c r="CQ128" s="93"/>
      <c r="CR128" s="93"/>
      <c r="CS128" s="93"/>
      <c r="CT128" s="93"/>
      <c r="CU128" s="93"/>
      <c r="CV128" s="93"/>
      <c r="CW128" s="93"/>
      <c r="CX128" s="93"/>
      <c r="CY128" s="93"/>
      <c r="CZ128" s="93"/>
      <c r="DA128" s="93"/>
      <c r="DB128" s="93"/>
      <c r="DC128" s="93"/>
      <c r="DD128" s="93"/>
      <c r="DE128" s="93"/>
      <c r="DF128" s="93"/>
      <c r="DG128" s="93"/>
      <c r="DH128" s="93"/>
      <c r="DI128" s="93"/>
      <c r="DJ128" s="93"/>
      <c r="DK128" s="93"/>
      <c r="DL128" s="93"/>
      <c r="DM128" s="93"/>
      <c r="DN128" s="93"/>
      <c r="DO128" s="93"/>
      <c r="DP128" s="93"/>
      <c r="DQ128" s="93"/>
      <c r="DR128" s="93"/>
      <c r="DS128" s="93"/>
      <c r="DT128" s="93"/>
      <c r="DU128" s="93"/>
      <c r="DV128" s="93"/>
      <c r="DW128" s="93"/>
      <c r="DX128" s="93"/>
      <c r="DY128" s="93"/>
      <c r="DZ128" s="93"/>
      <c r="EA128" s="93"/>
      <c r="EB128" s="93"/>
      <c r="EC128" s="93"/>
      <c r="ED128" s="93"/>
      <c r="EE128" s="93"/>
      <c r="EF128" s="93"/>
      <c r="EG128" s="93"/>
      <c r="EH128" s="93"/>
      <c r="EI128" s="93"/>
      <c r="EJ128" s="93"/>
      <c r="EK128" s="93"/>
      <c r="EL128" s="93"/>
      <c r="EM128" s="93"/>
      <c r="EN128" s="93"/>
      <c r="EO128" s="93"/>
      <c r="EP128" s="93"/>
      <c r="EQ128" s="93"/>
      <c r="ER128" s="93"/>
      <c r="ES128" s="93"/>
      <c r="ET128" s="93"/>
      <c r="EU128" s="93"/>
      <c r="EV128" s="93"/>
      <c r="EW128" s="93"/>
      <c r="EX128" s="93"/>
      <c r="EY128" s="93"/>
      <c r="EZ128" s="93"/>
      <c r="FA128" s="93"/>
      <c r="FB128" s="93"/>
      <c r="FC128" s="93"/>
      <c r="FD128" s="93"/>
      <c r="FE128" s="93"/>
      <c r="FF128" s="93"/>
      <c r="FG128" s="93"/>
      <c r="FH128" s="93"/>
      <c r="FI128" s="93"/>
      <c r="FJ128" s="93"/>
      <c r="FK128" s="93"/>
      <c r="FL128" s="93"/>
      <c r="FM128" s="93"/>
      <c r="FN128" s="93"/>
      <c r="FO128" s="93"/>
      <c r="FP128" s="93"/>
      <c r="FQ128" s="93"/>
      <c r="FR128" s="93"/>
      <c r="FS128" s="93"/>
      <c r="FT128" s="93"/>
      <c r="FU128" s="93"/>
      <c r="FV128" s="93"/>
      <c r="FW128" s="93"/>
      <c r="FX128" s="93"/>
      <c r="FY128" s="93"/>
      <c r="FZ128" s="93"/>
      <c r="GA128" s="93"/>
      <c r="GB128" s="93"/>
      <c r="GC128" s="93"/>
      <c r="GD128" s="93"/>
      <c r="GE128" s="93"/>
      <c r="GF128" s="93"/>
      <c r="GG128" s="93"/>
      <c r="GH128" s="93"/>
      <c r="GI128" s="93"/>
      <c r="GJ128" s="93"/>
      <c r="GK128" s="93"/>
      <c r="GL128" s="93"/>
      <c r="GM128" s="93"/>
      <c r="GN128" s="93"/>
      <c r="GO128" s="93"/>
      <c r="GP128" s="93"/>
      <c r="GQ128" s="93"/>
      <c r="GR128" s="93"/>
      <c r="GS128" s="93"/>
      <c r="GT128" s="93"/>
      <c r="GU128" s="93"/>
      <c r="GV128" s="93"/>
      <c r="GW128" s="93"/>
      <c r="GX128" s="93"/>
      <c r="GY128" s="93"/>
      <c r="GZ128" s="93"/>
      <c r="HA128" s="93"/>
      <c r="HB128" s="93"/>
      <c r="HC128" s="93"/>
      <c r="HD128" s="93"/>
      <c r="HE128" s="93"/>
      <c r="HF128" s="93"/>
      <c r="HG128" s="93"/>
    </row>
    <row r="129" spans="14:215" x14ac:dyDescent="0.2">
      <c r="N129" s="93" t="s">
        <v>346</v>
      </c>
      <c r="O129" s="93"/>
      <c r="P129" s="93"/>
      <c r="Q129" s="93"/>
      <c r="R129" s="93"/>
      <c r="S129" s="93"/>
      <c r="T129" s="93"/>
      <c r="U129" s="93"/>
      <c r="V129" s="93"/>
      <c r="W129" s="93"/>
      <c r="X129" s="93"/>
      <c r="Y129" s="93"/>
      <c r="Z129" s="93"/>
      <c r="AA129" s="93"/>
      <c r="AB129" s="93"/>
      <c r="AC129" s="93"/>
      <c r="AD129" s="93"/>
      <c r="AE129" s="93"/>
      <c r="AF129" s="93"/>
      <c r="AG129" s="93">
        <v>0.32704402515723269</v>
      </c>
      <c r="AH129" s="93"/>
      <c r="AI129" s="93"/>
      <c r="AJ129" s="93"/>
      <c r="AK129" s="93"/>
      <c r="AL129" s="93"/>
      <c r="AM129" s="93"/>
      <c r="AN129" s="93"/>
      <c r="AO129" s="93"/>
      <c r="AP129" s="93"/>
      <c r="AQ129" s="93"/>
      <c r="AR129" s="93"/>
      <c r="AS129" s="93"/>
      <c r="AT129" s="93"/>
      <c r="AU129" s="93"/>
      <c r="AV129" s="93"/>
      <c r="AW129" s="93"/>
      <c r="AX129" s="93"/>
      <c r="AY129" s="93"/>
      <c r="AZ129" s="93"/>
      <c r="BA129" s="93"/>
      <c r="BB129" s="93"/>
      <c r="BC129" s="93"/>
      <c r="BD129" s="93"/>
      <c r="BE129" s="93"/>
      <c r="BF129" s="93"/>
      <c r="BG129" s="93"/>
      <c r="BH129" s="93"/>
      <c r="BI129" s="93"/>
      <c r="BJ129" s="93"/>
      <c r="BK129" s="93"/>
      <c r="BL129" s="93"/>
      <c r="BM129" s="93"/>
      <c r="BN129" s="93"/>
      <c r="BO129" s="93"/>
      <c r="BP129" s="93"/>
      <c r="BQ129" s="93"/>
      <c r="BR129" s="93"/>
      <c r="BS129" s="93"/>
      <c r="BT129" s="93"/>
      <c r="BU129" s="93"/>
      <c r="BV129" s="93"/>
      <c r="BW129" s="93"/>
      <c r="BX129" s="93"/>
      <c r="BY129" s="93"/>
      <c r="BZ129" s="93"/>
      <c r="CA129" s="93"/>
      <c r="CB129" s="93"/>
      <c r="CC129" s="93"/>
      <c r="CD129" s="93"/>
      <c r="CE129" s="93"/>
      <c r="CF129" s="93"/>
      <c r="CG129" s="93"/>
      <c r="CH129" s="93"/>
      <c r="CI129" s="93"/>
      <c r="CJ129" s="93"/>
      <c r="CK129" s="93"/>
      <c r="CL129" s="93"/>
      <c r="CM129" s="93"/>
      <c r="CN129" s="93"/>
      <c r="CO129" s="93"/>
      <c r="CP129" s="93"/>
      <c r="CQ129" s="93"/>
      <c r="CR129" s="93"/>
      <c r="CS129" s="93"/>
      <c r="CT129" s="93"/>
      <c r="CU129" s="93"/>
      <c r="CV129" s="93"/>
      <c r="CW129" s="93"/>
      <c r="CX129" s="93"/>
      <c r="CY129" s="93"/>
      <c r="CZ129" s="93"/>
      <c r="DA129" s="93"/>
      <c r="DB129" s="93"/>
      <c r="DC129" s="93"/>
      <c r="DD129" s="93"/>
      <c r="DE129" s="93"/>
      <c r="DF129" s="93"/>
      <c r="DG129" s="93"/>
      <c r="DH129" s="93"/>
      <c r="DI129" s="93"/>
      <c r="DJ129" s="93"/>
      <c r="DK129" s="93"/>
      <c r="DL129" s="93"/>
      <c r="DM129" s="93"/>
      <c r="DN129" s="93"/>
      <c r="DO129" s="93"/>
      <c r="DP129" s="93"/>
      <c r="DQ129" s="93"/>
      <c r="DR129" s="93"/>
      <c r="DS129" s="93"/>
      <c r="DT129" s="93"/>
      <c r="DU129" s="93"/>
      <c r="DV129" s="93"/>
      <c r="DW129" s="93"/>
      <c r="DX129" s="93"/>
      <c r="DY129" s="93"/>
      <c r="DZ129" s="93"/>
      <c r="EA129" s="93"/>
      <c r="EB129" s="93"/>
      <c r="EC129" s="93"/>
      <c r="ED129" s="93"/>
      <c r="EE129" s="93"/>
      <c r="EF129" s="93"/>
      <c r="EG129" s="93"/>
      <c r="EH129" s="93"/>
      <c r="EI129" s="93"/>
      <c r="EJ129" s="93"/>
      <c r="EK129" s="93"/>
      <c r="EL129" s="93"/>
      <c r="EM129" s="93"/>
      <c r="EN129" s="93"/>
      <c r="EO129" s="93"/>
      <c r="EP129" s="93"/>
      <c r="EQ129" s="93"/>
      <c r="ER129" s="93"/>
      <c r="ES129" s="93"/>
      <c r="ET129" s="93"/>
      <c r="EU129" s="93"/>
      <c r="EV129" s="93"/>
      <c r="EW129" s="93"/>
      <c r="EX129" s="93"/>
      <c r="EY129" s="93"/>
      <c r="EZ129" s="93"/>
      <c r="FA129" s="93"/>
      <c r="FB129" s="93"/>
      <c r="FC129" s="93"/>
      <c r="FD129" s="93"/>
      <c r="FE129" s="93"/>
      <c r="FF129" s="93"/>
      <c r="FG129" s="93"/>
      <c r="FH129" s="93"/>
      <c r="FI129" s="93"/>
      <c r="FJ129" s="93"/>
      <c r="FK129" s="93"/>
      <c r="FL129" s="93"/>
      <c r="FM129" s="93"/>
      <c r="FN129" s="93"/>
      <c r="FO129" s="93"/>
      <c r="FP129" s="93"/>
      <c r="FQ129" s="93"/>
      <c r="FR129" s="93"/>
      <c r="FS129" s="93"/>
      <c r="FT129" s="93"/>
      <c r="FU129" s="93"/>
      <c r="FV129" s="93"/>
      <c r="FW129" s="93"/>
      <c r="FX129" s="93"/>
      <c r="FY129" s="93"/>
      <c r="FZ129" s="93"/>
      <c r="GA129" s="93"/>
      <c r="GB129" s="93"/>
      <c r="GC129" s="93"/>
      <c r="GD129" s="93"/>
      <c r="GE129" s="93"/>
      <c r="GF129" s="93"/>
      <c r="GG129" s="93"/>
      <c r="GH129" s="93"/>
      <c r="GI129" s="93"/>
      <c r="GJ129" s="93"/>
      <c r="GK129" s="93"/>
      <c r="GL129" s="93"/>
      <c r="GM129" s="93"/>
      <c r="GN129" s="93"/>
      <c r="GO129" s="93"/>
      <c r="GP129" s="93"/>
      <c r="GQ129" s="93"/>
      <c r="GR129" s="93"/>
      <c r="GS129" s="93"/>
      <c r="GT129" s="93"/>
      <c r="GU129" s="93"/>
      <c r="GV129" s="93"/>
      <c r="GW129" s="93"/>
      <c r="GX129" s="93"/>
      <c r="GY129" s="93"/>
      <c r="GZ129" s="93"/>
      <c r="HA129" s="93"/>
      <c r="HB129" s="93"/>
      <c r="HC129" s="93"/>
      <c r="HD129" s="93"/>
      <c r="HE129" s="93"/>
      <c r="HF129" s="93"/>
      <c r="HG129" s="93"/>
    </row>
    <row r="130" spans="14:215" x14ac:dyDescent="0.2">
      <c r="N130" s="93" t="s">
        <v>347</v>
      </c>
      <c r="O130" s="93"/>
      <c r="P130" s="93"/>
      <c r="Q130" s="93"/>
      <c r="R130" s="93"/>
      <c r="S130" s="93"/>
      <c r="T130" s="93"/>
      <c r="U130" s="93"/>
      <c r="V130" s="93"/>
      <c r="W130" s="93"/>
      <c r="X130" s="93"/>
      <c r="Y130" s="93"/>
      <c r="Z130" s="93"/>
      <c r="AA130" s="93"/>
      <c r="AB130" s="93"/>
      <c r="AC130" s="93"/>
      <c r="AD130" s="93"/>
      <c r="AE130" s="93"/>
      <c r="AF130" s="93"/>
      <c r="AG130" s="93"/>
      <c r="AH130" s="93">
        <v>0.32738095238095238</v>
      </c>
      <c r="AI130" s="93"/>
      <c r="AJ130" s="93"/>
      <c r="AK130" s="93"/>
      <c r="AL130" s="93"/>
      <c r="AM130" s="93"/>
      <c r="AN130" s="93"/>
      <c r="AO130" s="93"/>
      <c r="AP130" s="93"/>
      <c r="AQ130" s="93"/>
      <c r="AR130" s="93"/>
      <c r="AS130" s="93"/>
      <c r="AT130" s="93"/>
      <c r="AU130" s="93"/>
      <c r="AV130" s="93"/>
      <c r="AW130" s="93"/>
      <c r="AX130" s="93"/>
      <c r="AY130" s="93"/>
      <c r="AZ130" s="93"/>
      <c r="BA130" s="93"/>
      <c r="BB130" s="93"/>
      <c r="BC130" s="93"/>
      <c r="BD130" s="93"/>
      <c r="BE130" s="93"/>
      <c r="BF130" s="93"/>
      <c r="BG130" s="93"/>
      <c r="BH130" s="93"/>
      <c r="BI130" s="93"/>
      <c r="BJ130" s="93"/>
      <c r="BK130" s="93"/>
      <c r="BL130" s="93"/>
      <c r="BM130" s="93"/>
      <c r="BN130" s="93"/>
      <c r="BO130" s="93"/>
      <c r="BP130" s="93"/>
      <c r="BQ130" s="93"/>
      <c r="BR130" s="93"/>
      <c r="BS130" s="93"/>
      <c r="BT130" s="93"/>
      <c r="BU130" s="93"/>
      <c r="BV130" s="93"/>
      <c r="BW130" s="93"/>
      <c r="BX130" s="93"/>
      <c r="BY130" s="93"/>
      <c r="BZ130" s="93"/>
      <c r="CA130" s="93"/>
      <c r="CB130" s="93"/>
      <c r="CC130" s="93"/>
      <c r="CD130" s="93"/>
      <c r="CE130" s="93"/>
      <c r="CF130" s="93"/>
      <c r="CG130" s="93"/>
      <c r="CH130" s="93"/>
      <c r="CI130" s="93"/>
      <c r="CJ130" s="93"/>
      <c r="CK130" s="93"/>
      <c r="CL130" s="93"/>
      <c r="CM130" s="93"/>
      <c r="CN130" s="93"/>
      <c r="CO130" s="93"/>
      <c r="CP130" s="93"/>
      <c r="CQ130" s="93"/>
      <c r="CR130" s="93"/>
      <c r="CS130" s="93"/>
      <c r="CT130" s="93"/>
      <c r="CU130" s="93"/>
      <c r="CV130" s="93"/>
      <c r="CW130" s="93"/>
      <c r="CX130" s="93"/>
      <c r="CY130" s="93"/>
      <c r="CZ130" s="93"/>
      <c r="DA130" s="93"/>
      <c r="DB130" s="93"/>
      <c r="DC130" s="93"/>
      <c r="DD130" s="93"/>
      <c r="DE130" s="93"/>
      <c r="DF130" s="93"/>
      <c r="DG130" s="93"/>
      <c r="DH130" s="93"/>
      <c r="DI130" s="93"/>
      <c r="DJ130" s="93"/>
      <c r="DK130" s="93"/>
      <c r="DL130" s="93"/>
      <c r="DM130" s="93"/>
      <c r="DN130" s="93"/>
      <c r="DO130" s="93"/>
      <c r="DP130" s="93"/>
      <c r="DQ130" s="93"/>
      <c r="DR130" s="93"/>
      <c r="DS130" s="93"/>
      <c r="DT130" s="93"/>
      <c r="DU130" s="93"/>
      <c r="DV130" s="93"/>
      <c r="DW130" s="93"/>
      <c r="DX130" s="93"/>
      <c r="DY130" s="93"/>
      <c r="DZ130" s="93"/>
      <c r="EA130" s="93"/>
      <c r="EB130" s="93"/>
      <c r="EC130" s="93"/>
      <c r="ED130" s="93"/>
      <c r="EE130" s="93"/>
      <c r="EF130" s="93"/>
      <c r="EG130" s="93"/>
      <c r="EH130" s="93"/>
      <c r="EI130" s="93"/>
      <c r="EJ130" s="93"/>
      <c r="EK130" s="93"/>
      <c r="EL130" s="93"/>
      <c r="EM130" s="93"/>
      <c r="EN130" s="93"/>
      <c r="EO130" s="93"/>
      <c r="EP130" s="93"/>
      <c r="EQ130" s="93"/>
      <c r="ER130" s="93"/>
      <c r="ES130" s="93"/>
      <c r="ET130" s="93"/>
      <c r="EU130" s="93"/>
      <c r="EV130" s="93"/>
      <c r="EW130" s="93"/>
      <c r="EX130" s="93"/>
      <c r="EY130" s="93"/>
      <c r="EZ130" s="93"/>
      <c r="FA130" s="93"/>
      <c r="FB130" s="93"/>
      <c r="FC130" s="93"/>
      <c r="FD130" s="93"/>
      <c r="FE130" s="93"/>
      <c r="FF130" s="93"/>
      <c r="FG130" s="93"/>
      <c r="FH130" s="93"/>
      <c r="FI130" s="93"/>
      <c r="FJ130" s="93"/>
      <c r="FK130" s="93"/>
      <c r="FL130" s="93"/>
      <c r="FM130" s="93"/>
      <c r="FN130" s="93"/>
      <c r="FO130" s="93"/>
      <c r="FP130" s="93"/>
      <c r="FQ130" s="93"/>
      <c r="FR130" s="93"/>
      <c r="FS130" s="93"/>
      <c r="FT130" s="93"/>
      <c r="FU130" s="93"/>
      <c r="FV130" s="93"/>
      <c r="FW130" s="93"/>
      <c r="FX130" s="93"/>
      <c r="FY130" s="93"/>
      <c r="FZ130" s="93"/>
      <c r="GA130" s="93"/>
      <c r="GB130" s="93"/>
      <c r="GC130" s="93"/>
      <c r="GD130" s="93"/>
      <c r="GE130" s="93"/>
      <c r="GF130" s="93"/>
      <c r="GG130" s="93"/>
      <c r="GH130" s="93"/>
      <c r="GI130" s="93"/>
      <c r="GJ130" s="93"/>
      <c r="GK130" s="93"/>
      <c r="GL130" s="93"/>
      <c r="GM130" s="93"/>
      <c r="GN130" s="93"/>
      <c r="GO130" s="93"/>
      <c r="GP130" s="93"/>
      <c r="GQ130" s="93"/>
      <c r="GR130" s="93"/>
      <c r="GS130" s="93"/>
      <c r="GT130" s="93"/>
      <c r="GU130" s="93"/>
      <c r="GV130" s="93"/>
      <c r="GW130" s="93"/>
      <c r="GX130" s="93"/>
      <c r="GY130" s="93"/>
      <c r="GZ130" s="93"/>
      <c r="HA130" s="93"/>
      <c r="HB130" s="93"/>
      <c r="HC130" s="93"/>
      <c r="HD130" s="93"/>
      <c r="HE130" s="93"/>
      <c r="HF130" s="93"/>
      <c r="HG130" s="93"/>
    </row>
    <row r="131" spans="14:215" x14ac:dyDescent="0.2">
      <c r="N131" s="93" t="s">
        <v>348</v>
      </c>
      <c r="O131" s="93"/>
      <c r="P131" s="93"/>
      <c r="Q131" s="93"/>
      <c r="R131" s="93"/>
      <c r="S131" s="93"/>
      <c r="T131" s="93"/>
      <c r="U131" s="93"/>
      <c r="V131" s="93"/>
      <c r="W131" s="93"/>
      <c r="X131" s="93"/>
      <c r="Y131" s="93"/>
      <c r="Z131" s="93"/>
      <c r="AA131" s="93"/>
      <c r="AB131" s="93"/>
      <c r="AC131" s="93"/>
      <c r="AD131" s="93"/>
      <c r="AE131" s="93"/>
      <c r="AF131" s="93"/>
      <c r="AG131" s="93"/>
      <c r="AH131" s="93"/>
      <c r="AI131" s="93">
        <v>0.32768361581920902</v>
      </c>
      <c r="AJ131" s="93"/>
      <c r="AK131" s="93"/>
      <c r="AL131" s="93"/>
      <c r="AM131" s="93"/>
      <c r="AN131" s="93"/>
      <c r="AO131" s="93"/>
      <c r="AP131" s="93"/>
      <c r="AQ131" s="93"/>
      <c r="AR131" s="93"/>
      <c r="AS131" s="93"/>
      <c r="AT131" s="93"/>
      <c r="AU131" s="93"/>
      <c r="AV131" s="93"/>
      <c r="AW131" s="93"/>
      <c r="AX131" s="93"/>
      <c r="AY131" s="93"/>
      <c r="AZ131" s="93"/>
      <c r="BA131" s="93"/>
      <c r="BB131" s="93"/>
      <c r="BC131" s="93"/>
      <c r="BD131" s="93"/>
      <c r="BE131" s="93"/>
      <c r="BF131" s="93"/>
      <c r="BG131" s="93"/>
      <c r="BH131" s="93"/>
      <c r="BI131" s="93"/>
      <c r="BJ131" s="93"/>
      <c r="BK131" s="93"/>
      <c r="BL131" s="93"/>
      <c r="BM131" s="93"/>
      <c r="BN131" s="93"/>
      <c r="BO131" s="93"/>
      <c r="BP131" s="93"/>
      <c r="BQ131" s="93"/>
      <c r="BR131" s="93"/>
      <c r="BS131" s="93"/>
      <c r="BT131" s="93"/>
      <c r="BU131" s="93"/>
      <c r="BV131" s="93"/>
      <c r="BW131" s="93"/>
      <c r="BX131" s="93"/>
      <c r="BY131" s="93"/>
      <c r="BZ131" s="93"/>
      <c r="CA131" s="93"/>
      <c r="CB131" s="93"/>
      <c r="CC131" s="93"/>
      <c r="CD131" s="93"/>
      <c r="CE131" s="93"/>
      <c r="CF131" s="93"/>
      <c r="CG131" s="93"/>
      <c r="CH131" s="93"/>
      <c r="CI131" s="93"/>
      <c r="CJ131" s="93"/>
      <c r="CK131" s="93"/>
      <c r="CL131" s="93"/>
      <c r="CM131" s="93"/>
      <c r="CN131" s="93"/>
      <c r="CO131" s="93"/>
      <c r="CP131" s="93"/>
      <c r="CQ131" s="93"/>
      <c r="CR131" s="93"/>
      <c r="CS131" s="93"/>
      <c r="CT131" s="93"/>
      <c r="CU131" s="93"/>
      <c r="CV131" s="93"/>
      <c r="CW131" s="93"/>
      <c r="CX131" s="93"/>
      <c r="CY131" s="93"/>
      <c r="CZ131" s="93"/>
      <c r="DA131" s="93"/>
      <c r="DB131" s="93"/>
      <c r="DC131" s="93"/>
      <c r="DD131" s="93"/>
      <c r="DE131" s="93"/>
      <c r="DF131" s="93"/>
      <c r="DG131" s="93"/>
      <c r="DH131" s="93"/>
      <c r="DI131" s="93"/>
      <c r="DJ131" s="93"/>
      <c r="DK131" s="93"/>
      <c r="DL131" s="93"/>
      <c r="DM131" s="93"/>
      <c r="DN131" s="93"/>
      <c r="DO131" s="93"/>
      <c r="DP131" s="93"/>
      <c r="DQ131" s="93"/>
      <c r="DR131" s="93"/>
      <c r="DS131" s="93"/>
      <c r="DT131" s="93"/>
      <c r="DU131" s="93"/>
      <c r="DV131" s="93"/>
      <c r="DW131" s="93"/>
      <c r="DX131" s="93"/>
      <c r="DY131" s="93"/>
      <c r="DZ131" s="93"/>
      <c r="EA131" s="93"/>
      <c r="EB131" s="93"/>
      <c r="EC131" s="93"/>
      <c r="ED131" s="93"/>
      <c r="EE131" s="93"/>
      <c r="EF131" s="93"/>
      <c r="EG131" s="93"/>
      <c r="EH131" s="93"/>
      <c r="EI131" s="93"/>
      <c r="EJ131" s="93"/>
      <c r="EK131" s="93"/>
      <c r="EL131" s="93"/>
      <c r="EM131" s="93"/>
      <c r="EN131" s="93"/>
      <c r="EO131" s="93"/>
      <c r="EP131" s="93"/>
      <c r="EQ131" s="93"/>
      <c r="ER131" s="93"/>
      <c r="ES131" s="93"/>
      <c r="ET131" s="93"/>
      <c r="EU131" s="93"/>
      <c r="EV131" s="93"/>
      <c r="EW131" s="93"/>
      <c r="EX131" s="93"/>
      <c r="EY131" s="93"/>
      <c r="EZ131" s="93"/>
      <c r="FA131" s="93"/>
      <c r="FB131" s="93"/>
      <c r="FC131" s="93"/>
      <c r="FD131" s="93"/>
      <c r="FE131" s="93"/>
      <c r="FF131" s="93"/>
      <c r="FG131" s="93"/>
      <c r="FH131" s="93"/>
      <c r="FI131" s="93"/>
      <c r="FJ131" s="93"/>
      <c r="FK131" s="93"/>
      <c r="FL131" s="93"/>
      <c r="FM131" s="93"/>
      <c r="FN131" s="93"/>
      <c r="FO131" s="93"/>
      <c r="FP131" s="93"/>
      <c r="FQ131" s="93"/>
      <c r="FR131" s="93"/>
      <c r="FS131" s="93"/>
      <c r="FT131" s="93"/>
      <c r="FU131" s="93"/>
      <c r="FV131" s="93"/>
      <c r="FW131" s="93"/>
      <c r="FX131" s="93"/>
      <c r="FY131" s="93"/>
      <c r="FZ131" s="93"/>
      <c r="GA131" s="93"/>
      <c r="GB131" s="93"/>
      <c r="GC131" s="93"/>
      <c r="GD131" s="93"/>
      <c r="GE131" s="93"/>
      <c r="GF131" s="93"/>
      <c r="GG131" s="93"/>
      <c r="GH131" s="93"/>
      <c r="GI131" s="93"/>
      <c r="GJ131" s="93"/>
      <c r="GK131" s="93"/>
      <c r="GL131" s="93"/>
      <c r="GM131" s="93"/>
      <c r="GN131" s="93"/>
      <c r="GO131" s="93"/>
      <c r="GP131" s="93"/>
      <c r="GQ131" s="93"/>
      <c r="GR131" s="93"/>
      <c r="GS131" s="93"/>
      <c r="GT131" s="93"/>
      <c r="GU131" s="93"/>
      <c r="GV131" s="93"/>
      <c r="GW131" s="93"/>
      <c r="GX131" s="93"/>
      <c r="GY131" s="93"/>
      <c r="GZ131" s="93"/>
      <c r="HA131" s="93"/>
      <c r="HB131" s="93"/>
      <c r="HC131" s="93"/>
      <c r="HD131" s="93"/>
      <c r="HE131" s="93"/>
      <c r="HF131" s="93"/>
      <c r="HG131" s="93"/>
    </row>
    <row r="132" spans="14:215" x14ac:dyDescent="0.2">
      <c r="N132" s="93" t="s">
        <v>349</v>
      </c>
      <c r="O132" s="93"/>
      <c r="P132" s="93"/>
      <c r="Q132" s="93"/>
      <c r="R132" s="93"/>
      <c r="S132" s="93"/>
      <c r="T132" s="93"/>
      <c r="U132" s="93"/>
      <c r="V132" s="93"/>
      <c r="W132" s="93"/>
      <c r="X132" s="93"/>
      <c r="Y132" s="93"/>
      <c r="Z132" s="93"/>
      <c r="AA132" s="93"/>
      <c r="AB132" s="93"/>
      <c r="AC132" s="93"/>
      <c r="AD132" s="93"/>
      <c r="AE132" s="93"/>
      <c r="AF132" s="93"/>
      <c r="AG132" s="93"/>
      <c r="AH132" s="93"/>
      <c r="AI132" s="93"/>
      <c r="AJ132" s="93">
        <v>0.32795698924731181</v>
      </c>
      <c r="AK132" s="93"/>
      <c r="AL132" s="93"/>
      <c r="AM132" s="93"/>
      <c r="AN132" s="93"/>
      <c r="AO132" s="93"/>
      <c r="AP132" s="93"/>
      <c r="AQ132" s="93"/>
      <c r="AR132" s="93"/>
      <c r="AS132" s="93"/>
      <c r="AT132" s="93"/>
      <c r="AU132" s="93"/>
      <c r="AV132" s="93"/>
      <c r="AW132" s="93"/>
      <c r="AX132" s="93"/>
      <c r="AY132" s="93"/>
      <c r="AZ132" s="93"/>
      <c r="BA132" s="93"/>
      <c r="BB132" s="93"/>
      <c r="BC132" s="93"/>
      <c r="BD132" s="93"/>
      <c r="BE132" s="93"/>
      <c r="BF132" s="93"/>
      <c r="BG132" s="93"/>
      <c r="BH132" s="93"/>
      <c r="BI132" s="93"/>
      <c r="BJ132" s="93"/>
      <c r="BK132" s="93"/>
      <c r="BL132" s="93"/>
      <c r="BM132" s="93"/>
      <c r="BN132" s="93"/>
      <c r="BO132" s="93"/>
      <c r="BP132" s="93"/>
      <c r="BQ132" s="93"/>
      <c r="BR132" s="93"/>
      <c r="BS132" s="93"/>
      <c r="BT132" s="93"/>
      <c r="BU132" s="93"/>
      <c r="BV132" s="93"/>
      <c r="BW132" s="93"/>
      <c r="BX132" s="93"/>
      <c r="BY132" s="93"/>
      <c r="BZ132" s="93"/>
      <c r="CA132" s="93"/>
      <c r="CB132" s="93"/>
      <c r="CC132" s="93"/>
      <c r="CD132" s="93"/>
      <c r="CE132" s="93"/>
      <c r="CF132" s="93"/>
      <c r="CG132" s="93"/>
      <c r="CH132" s="93"/>
      <c r="CI132" s="93"/>
      <c r="CJ132" s="93"/>
      <c r="CK132" s="93"/>
      <c r="CL132" s="93"/>
      <c r="CM132" s="93"/>
      <c r="CN132" s="93"/>
      <c r="CO132" s="93"/>
      <c r="CP132" s="93"/>
      <c r="CQ132" s="93"/>
      <c r="CR132" s="93"/>
      <c r="CS132" s="93"/>
      <c r="CT132" s="93"/>
      <c r="CU132" s="93"/>
      <c r="CV132" s="93"/>
      <c r="CW132" s="93"/>
      <c r="CX132" s="93"/>
      <c r="CY132" s="93"/>
      <c r="CZ132" s="93"/>
      <c r="DA132" s="93"/>
      <c r="DB132" s="93"/>
      <c r="DC132" s="93"/>
      <c r="DD132" s="93"/>
      <c r="DE132" s="93"/>
      <c r="DF132" s="93"/>
      <c r="DG132" s="93"/>
      <c r="DH132" s="93"/>
      <c r="DI132" s="93"/>
      <c r="DJ132" s="93"/>
      <c r="DK132" s="93"/>
      <c r="DL132" s="93"/>
      <c r="DM132" s="93"/>
      <c r="DN132" s="93"/>
      <c r="DO132" s="93"/>
      <c r="DP132" s="93"/>
      <c r="DQ132" s="93"/>
      <c r="DR132" s="93"/>
      <c r="DS132" s="93"/>
      <c r="DT132" s="93"/>
      <c r="DU132" s="93"/>
      <c r="DV132" s="93"/>
      <c r="DW132" s="93"/>
      <c r="DX132" s="93"/>
      <c r="DY132" s="93"/>
      <c r="DZ132" s="93"/>
      <c r="EA132" s="93"/>
      <c r="EB132" s="93"/>
      <c r="EC132" s="93"/>
      <c r="ED132" s="93"/>
      <c r="EE132" s="93"/>
      <c r="EF132" s="93"/>
      <c r="EG132" s="93"/>
      <c r="EH132" s="93"/>
      <c r="EI132" s="93"/>
      <c r="EJ132" s="93"/>
      <c r="EK132" s="93"/>
      <c r="EL132" s="93"/>
      <c r="EM132" s="93"/>
      <c r="EN132" s="93"/>
      <c r="EO132" s="93"/>
      <c r="EP132" s="93"/>
      <c r="EQ132" s="93"/>
      <c r="ER132" s="93"/>
      <c r="ES132" s="93"/>
      <c r="ET132" s="93"/>
      <c r="EU132" s="93"/>
      <c r="EV132" s="93"/>
      <c r="EW132" s="93"/>
      <c r="EX132" s="93"/>
      <c r="EY132" s="93"/>
      <c r="EZ132" s="93"/>
      <c r="FA132" s="93"/>
      <c r="FB132" s="93"/>
      <c r="FC132" s="93"/>
      <c r="FD132" s="93"/>
      <c r="FE132" s="93"/>
      <c r="FF132" s="93"/>
      <c r="FG132" s="93"/>
      <c r="FH132" s="93"/>
      <c r="FI132" s="93"/>
      <c r="FJ132" s="93"/>
      <c r="FK132" s="93"/>
      <c r="FL132" s="93"/>
      <c r="FM132" s="93"/>
      <c r="FN132" s="93"/>
      <c r="FO132" s="93"/>
      <c r="FP132" s="93"/>
      <c r="FQ132" s="93"/>
      <c r="FR132" s="93"/>
      <c r="FS132" s="93"/>
      <c r="FT132" s="93"/>
      <c r="FU132" s="93"/>
      <c r="FV132" s="93"/>
      <c r="FW132" s="93"/>
      <c r="FX132" s="93"/>
      <c r="FY132" s="93"/>
      <c r="FZ132" s="93"/>
      <c r="GA132" s="93"/>
      <c r="GB132" s="93"/>
      <c r="GC132" s="93"/>
      <c r="GD132" s="93"/>
      <c r="GE132" s="93"/>
      <c r="GF132" s="93"/>
      <c r="GG132" s="93"/>
      <c r="GH132" s="93"/>
      <c r="GI132" s="93"/>
      <c r="GJ132" s="93"/>
      <c r="GK132" s="93"/>
      <c r="GL132" s="93"/>
      <c r="GM132" s="93"/>
      <c r="GN132" s="93"/>
      <c r="GO132" s="93"/>
      <c r="GP132" s="93"/>
      <c r="GQ132" s="93"/>
      <c r="GR132" s="93"/>
      <c r="GS132" s="93"/>
      <c r="GT132" s="93"/>
      <c r="GU132" s="93"/>
      <c r="GV132" s="93"/>
      <c r="GW132" s="93"/>
      <c r="GX132" s="93"/>
      <c r="GY132" s="93"/>
      <c r="GZ132" s="93"/>
      <c r="HA132" s="93"/>
      <c r="HB132" s="93"/>
      <c r="HC132" s="93"/>
      <c r="HD132" s="93"/>
      <c r="HE132" s="93"/>
      <c r="HF132" s="93"/>
      <c r="HG132" s="93"/>
    </row>
    <row r="133" spans="14:215" x14ac:dyDescent="0.2">
      <c r="N133" s="93" t="s">
        <v>350</v>
      </c>
      <c r="O133" s="93"/>
      <c r="P133" s="93"/>
      <c r="Q133" s="93"/>
      <c r="R133" s="93"/>
      <c r="S133" s="93"/>
      <c r="T133" s="93"/>
      <c r="U133" s="93"/>
      <c r="V133" s="93"/>
      <c r="W133" s="93"/>
      <c r="X133" s="93"/>
      <c r="Y133" s="93"/>
      <c r="Z133" s="93"/>
      <c r="AA133" s="93"/>
      <c r="AB133" s="93"/>
      <c r="AC133" s="93"/>
      <c r="AD133" s="93"/>
      <c r="AE133" s="93"/>
      <c r="AF133" s="93"/>
      <c r="AG133" s="93"/>
      <c r="AH133" s="93"/>
      <c r="AI133" s="93"/>
      <c r="AJ133" s="93"/>
      <c r="AK133" s="93">
        <v>0.3282051282051282</v>
      </c>
      <c r="AL133" s="93"/>
      <c r="AM133" s="93"/>
      <c r="AN133" s="93"/>
      <c r="AO133" s="93"/>
      <c r="AP133" s="93"/>
      <c r="AQ133" s="93"/>
      <c r="AR133" s="93"/>
      <c r="AS133" s="93"/>
      <c r="AT133" s="93"/>
      <c r="AU133" s="93"/>
      <c r="AV133" s="93"/>
      <c r="AW133" s="93"/>
      <c r="AX133" s="93"/>
      <c r="AY133" s="93"/>
      <c r="AZ133" s="93"/>
      <c r="BA133" s="93"/>
      <c r="BB133" s="93"/>
      <c r="BC133" s="93"/>
      <c r="BD133" s="93"/>
      <c r="BE133" s="93"/>
      <c r="BF133" s="93"/>
      <c r="BG133" s="93"/>
      <c r="BH133" s="93"/>
      <c r="BI133" s="93"/>
      <c r="BJ133" s="93"/>
      <c r="BK133" s="93"/>
      <c r="BL133" s="93"/>
      <c r="BM133" s="93"/>
      <c r="BN133" s="93"/>
      <c r="BO133" s="93"/>
      <c r="BP133" s="93"/>
      <c r="BQ133" s="93"/>
      <c r="BR133" s="93"/>
      <c r="BS133" s="93"/>
      <c r="BT133" s="93"/>
      <c r="BU133" s="93"/>
      <c r="BV133" s="93"/>
      <c r="BW133" s="93"/>
      <c r="BX133" s="93"/>
      <c r="BY133" s="93"/>
      <c r="BZ133" s="93"/>
      <c r="CA133" s="93"/>
      <c r="CB133" s="93"/>
      <c r="CC133" s="93"/>
      <c r="CD133" s="93"/>
      <c r="CE133" s="93"/>
      <c r="CF133" s="93"/>
      <c r="CG133" s="93"/>
      <c r="CH133" s="93"/>
      <c r="CI133" s="93"/>
      <c r="CJ133" s="93"/>
      <c r="CK133" s="93"/>
      <c r="CL133" s="93"/>
      <c r="CM133" s="93"/>
      <c r="CN133" s="93"/>
      <c r="CO133" s="93"/>
      <c r="CP133" s="93"/>
      <c r="CQ133" s="93"/>
      <c r="CR133" s="93"/>
      <c r="CS133" s="93"/>
      <c r="CT133" s="93"/>
      <c r="CU133" s="93"/>
      <c r="CV133" s="93"/>
      <c r="CW133" s="93"/>
      <c r="CX133" s="93"/>
      <c r="CY133" s="93"/>
      <c r="CZ133" s="93"/>
      <c r="DA133" s="93"/>
      <c r="DB133" s="93"/>
      <c r="DC133" s="93"/>
      <c r="DD133" s="93"/>
      <c r="DE133" s="93"/>
      <c r="DF133" s="93"/>
      <c r="DG133" s="93"/>
      <c r="DH133" s="93"/>
      <c r="DI133" s="93"/>
      <c r="DJ133" s="93"/>
      <c r="DK133" s="93"/>
      <c r="DL133" s="93"/>
      <c r="DM133" s="93"/>
      <c r="DN133" s="93"/>
      <c r="DO133" s="93"/>
      <c r="DP133" s="93"/>
      <c r="DQ133" s="93"/>
      <c r="DR133" s="93"/>
      <c r="DS133" s="93"/>
      <c r="DT133" s="93"/>
      <c r="DU133" s="93"/>
      <c r="DV133" s="93"/>
      <c r="DW133" s="93"/>
      <c r="DX133" s="93"/>
      <c r="DY133" s="93"/>
      <c r="DZ133" s="93"/>
      <c r="EA133" s="93"/>
      <c r="EB133" s="93"/>
      <c r="EC133" s="93"/>
      <c r="ED133" s="93"/>
      <c r="EE133" s="93"/>
      <c r="EF133" s="93"/>
      <c r="EG133" s="93"/>
      <c r="EH133" s="93"/>
      <c r="EI133" s="93"/>
      <c r="EJ133" s="93"/>
      <c r="EK133" s="93"/>
      <c r="EL133" s="93"/>
      <c r="EM133" s="93"/>
      <c r="EN133" s="93"/>
      <c r="EO133" s="93"/>
      <c r="EP133" s="93"/>
      <c r="EQ133" s="93"/>
      <c r="ER133" s="93"/>
      <c r="ES133" s="93"/>
      <c r="ET133" s="93"/>
      <c r="EU133" s="93"/>
      <c r="EV133" s="93"/>
      <c r="EW133" s="93"/>
      <c r="EX133" s="93"/>
      <c r="EY133" s="93"/>
      <c r="EZ133" s="93"/>
      <c r="FA133" s="93"/>
      <c r="FB133" s="93"/>
      <c r="FC133" s="93"/>
      <c r="FD133" s="93"/>
      <c r="FE133" s="93"/>
      <c r="FF133" s="93"/>
      <c r="FG133" s="93"/>
      <c r="FH133" s="93"/>
      <c r="FI133" s="93"/>
      <c r="FJ133" s="93"/>
      <c r="FK133" s="93"/>
      <c r="FL133" s="93"/>
      <c r="FM133" s="93"/>
      <c r="FN133" s="93"/>
      <c r="FO133" s="93"/>
      <c r="FP133" s="93"/>
      <c r="FQ133" s="93"/>
      <c r="FR133" s="93"/>
      <c r="FS133" s="93"/>
      <c r="FT133" s="93"/>
      <c r="FU133" s="93"/>
      <c r="FV133" s="93"/>
      <c r="FW133" s="93"/>
      <c r="FX133" s="93"/>
      <c r="FY133" s="93"/>
      <c r="FZ133" s="93"/>
      <c r="GA133" s="93"/>
      <c r="GB133" s="93"/>
      <c r="GC133" s="93"/>
      <c r="GD133" s="93"/>
      <c r="GE133" s="93"/>
      <c r="GF133" s="93"/>
      <c r="GG133" s="93"/>
      <c r="GH133" s="93"/>
      <c r="GI133" s="93"/>
      <c r="GJ133" s="93"/>
      <c r="GK133" s="93"/>
      <c r="GL133" s="93"/>
      <c r="GM133" s="93"/>
      <c r="GN133" s="93"/>
      <c r="GO133" s="93"/>
      <c r="GP133" s="93"/>
      <c r="GQ133" s="93"/>
      <c r="GR133" s="93"/>
      <c r="GS133" s="93"/>
      <c r="GT133" s="93"/>
      <c r="GU133" s="93"/>
      <c r="GV133" s="93"/>
      <c r="GW133" s="93"/>
      <c r="GX133" s="93"/>
      <c r="GY133" s="93"/>
      <c r="GZ133" s="93"/>
      <c r="HA133" s="93"/>
      <c r="HB133" s="93"/>
      <c r="HC133" s="93"/>
      <c r="HD133" s="93"/>
      <c r="HE133" s="93"/>
      <c r="HF133" s="93"/>
      <c r="HG133" s="93"/>
    </row>
    <row r="134" spans="14:215" x14ac:dyDescent="0.2">
      <c r="N134" s="93" t="s">
        <v>351</v>
      </c>
      <c r="O134" s="93"/>
      <c r="P134" s="93"/>
      <c r="Q134" s="93"/>
      <c r="R134" s="93"/>
      <c r="S134" s="93"/>
      <c r="T134" s="93"/>
      <c r="U134" s="93"/>
      <c r="V134" s="93"/>
      <c r="W134" s="93"/>
      <c r="X134" s="93"/>
      <c r="Y134" s="93"/>
      <c r="Z134" s="93"/>
      <c r="AA134" s="93"/>
      <c r="AB134" s="93"/>
      <c r="AC134" s="93"/>
      <c r="AD134" s="93"/>
      <c r="AE134" s="93"/>
      <c r="AF134" s="93"/>
      <c r="AG134" s="93"/>
      <c r="AH134" s="93"/>
      <c r="AI134" s="93"/>
      <c r="AJ134" s="93"/>
      <c r="AK134" s="93"/>
      <c r="AL134" s="93">
        <v>0.32843137254901961</v>
      </c>
      <c r="AM134" s="93"/>
      <c r="AN134" s="93"/>
      <c r="AO134" s="93"/>
      <c r="AP134" s="93"/>
      <c r="AQ134" s="93"/>
      <c r="AR134" s="93"/>
      <c r="AS134" s="93"/>
      <c r="AT134" s="93"/>
      <c r="AU134" s="93"/>
      <c r="AV134" s="93"/>
      <c r="AW134" s="93"/>
      <c r="AX134" s="93"/>
      <c r="AY134" s="93"/>
      <c r="AZ134" s="93"/>
      <c r="BA134" s="93"/>
      <c r="BB134" s="93"/>
      <c r="BC134" s="93"/>
      <c r="BD134" s="93"/>
      <c r="BE134" s="93"/>
      <c r="BF134" s="93"/>
      <c r="BG134" s="93"/>
      <c r="BH134" s="93"/>
      <c r="BI134" s="93"/>
      <c r="BJ134" s="93"/>
      <c r="BK134" s="93"/>
      <c r="BL134" s="93"/>
      <c r="BM134" s="93"/>
      <c r="BN134" s="93"/>
      <c r="BO134" s="93"/>
      <c r="BP134" s="93"/>
      <c r="BQ134" s="93"/>
      <c r="BR134" s="93"/>
      <c r="BS134" s="93"/>
      <c r="BT134" s="93"/>
      <c r="BU134" s="93"/>
      <c r="BV134" s="93"/>
      <c r="BW134" s="93"/>
      <c r="BX134" s="93"/>
      <c r="BY134" s="93"/>
      <c r="BZ134" s="93"/>
      <c r="CA134" s="93"/>
      <c r="CB134" s="93"/>
      <c r="CC134" s="93"/>
      <c r="CD134" s="93"/>
      <c r="CE134" s="93"/>
      <c r="CF134" s="93"/>
      <c r="CG134" s="93"/>
      <c r="CH134" s="93"/>
      <c r="CI134" s="93"/>
      <c r="CJ134" s="93"/>
      <c r="CK134" s="93"/>
      <c r="CL134" s="93"/>
      <c r="CM134" s="93"/>
      <c r="CN134" s="93"/>
      <c r="CO134" s="93"/>
      <c r="CP134" s="93"/>
      <c r="CQ134" s="93"/>
      <c r="CR134" s="93"/>
      <c r="CS134" s="93"/>
      <c r="CT134" s="93"/>
      <c r="CU134" s="93"/>
      <c r="CV134" s="93"/>
      <c r="CW134" s="93"/>
      <c r="CX134" s="93"/>
      <c r="CY134" s="93"/>
      <c r="CZ134" s="93"/>
      <c r="DA134" s="93"/>
      <c r="DB134" s="93"/>
      <c r="DC134" s="93"/>
      <c r="DD134" s="93"/>
      <c r="DE134" s="93"/>
      <c r="DF134" s="93"/>
      <c r="DG134" s="93"/>
      <c r="DH134" s="93"/>
      <c r="DI134" s="93"/>
      <c r="DJ134" s="93"/>
      <c r="DK134" s="93"/>
      <c r="DL134" s="93"/>
      <c r="DM134" s="93"/>
      <c r="DN134" s="93"/>
      <c r="DO134" s="93"/>
      <c r="DP134" s="93"/>
      <c r="DQ134" s="93"/>
      <c r="DR134" s="93"/>
      <c r="DS134" s="93"/>
      <c r="DT134" s="93"/>
      <c r="DU134" s="93"/>
      <c r="DV134" s="93"/>
      <c r="DW134" s="93"/>
      <c r="DX134" s="93"/>
      <c r="DY134" s="93"/>
      <c r="DZ134" s="93"/>
      <c r="EA134" s="93"/>
      <c r="EB134" s="93"/>
      <c r="EC134" s="93"/>
      <c r="ED134" s="93"/>
      <c r="EE134" s="93"/>
      <c r="EF134" s="93"/>
      <c r="EG134" s="93"/>
      <c r="EH134" s="93"/>
      <c r="EI134" s="93"/>
      <c r="EJ134" s="93"/>
      <c r="EK134" s="93"/>
      <c r="EL134" s="93"/>
      <c r="EM134" s="93"/>
      <c r="EN134" s="93"/>
      <c r="EO134" s="93"/>
      <c r="EP134" s="93"/>
      <c r="EQ134" s="93"/>
      <c r="ER134" s="93"/>
      <c r="ES134" s="93"/>
      <c r="ET134" s="93"/>
      <c r="EU134" s="93"/>
      <c r="EV134" s="93"/>
      <c r="EW134" s="93"/>
      <c r="EX134" s="93"/>
      <c r="EY134" s="93"/>
      <c r="EZ134" s="93"/>
      <c r="FA134" s="93"/>
      <c r="FB134" s="93"/>
      <c r="FC134" s="93"/>
      <c r="FD134" s="93"/>
      <c r="FE134" s="93"/>
      <c r="FF134" s="93"/>
      <c r="FG134" s="93"/>
      <c r="FH134" s="93"/>
      <c r="FI134" s="93"/>
      <c r="FJ134" s="93"/>
      <c r="FK134" s="93"/>
      <c r="FL134" s="93"/>
      <c r="FM134" s="93"/>
      <c r="FN134" s="93"/>
      <c r="FO134" s="93"/>
      <c r="FP134" s="93"/>
      <c r="FQ134" s="93"/>
      <c r="FR134" s="93"/>
      <c r="FS134" s="93"/>
      <c r="FT134" s="93"/>
      <c r="FU134" s="93"/>
      <c r="FV134" s="93"/>
      <c r="FW134" s="93"/>
      <c r="FX134" s="93"/>
      <c r="FY134" s="93"/>
      <c r="FZ134" s="93"/>
      <c r="GA134" s="93"/>
      <c r="GB134" s="93"/>
      <c r="GC134" s="93"/>
      <c r="GD134" s="93"/>
      <c r="GE134" s="93"/>
      <c r="GF134" s="93"/>
      <c r="GG134" s="93"/>
      <c r="GH134" s="93"/>
      <c r="GI134" s="93"/>
      <c r="GJ134" s="93"/>
      <c r="GK134" s="93"/>
      <c r="GL134" s="93"/>
      <c r="GM134" s="93"/>
      <c r="GN134" s="93"/>
      <c r="GO134" s="93"/>
      <c r="GP134" s="93"/>
      <c r="GQ134" s="93"/>
      <c r="GR134" s="93"/>
      <c r="GS134" s="93"/>
      <c r="GT134" s="93"/>
      <c r="GU134" s="93"/>
      <c r="GV134" s="93"/>
      <c r="GW134" s="93"/>
      <c r="GX134" s="93"/>
      <c r="GY134" s="93"/>
      <c r="GZ134" s="93"/>
      <c r="HA134" s="93"/>
      <c r="HB134" s="93"/>
      <c r="HC134" s="93"/>
      <c r="HD134" s="93"/>
      <c r="HE134" s="93"/>
      <c r="HF134" s="93"/>
      <c r="HG134" s="93"/>
    </row>
    <row r="135" spans="14:215" x14ac:dyDescent="0.2">
      <c r="N135" s="93" t="s">
        <v>352</v>
      </c>
      <c r="O135" s="93"/>
      <c r="P135" s="93"/>
      <c r="Q135" s="93"/>
      <c r="R135" s="93"/>
      <c r="S135" s="93"/>
      <c r="T135" s="93"/>
      <c r="U135" s="93"/>
      <c r="V135" s="93"/>
      <c r="W135" s="93"/>
      <c r="X135" s="93"/>
      <c r="Y135" s="93"/>
      <c r="Z135" s="93"/>
      <c r="AA135" s="93"/>
      <c r="AB135" s="93"/>
      <c r="AC135" s="93"/>
      <c r="AD135" s="93"/>
      <c r="AE135" s="93"/>
      <c r="AF135" s="93"/>
      <c r="AG135" s="93"/>
      <c r="AH135" s="93"/>
      <c r="AI135" s="93"/>
      <c r="AJ135" s="93"/>
      <c r="AK135" s="93"/>
      <c r="AL135" s="93"/>
      <c r="AM135" s="93">
        <v>0.32863849765258218</v>
      </c>
      <c r="AN135" s="93"/>
      <c r="AO135" s="93"/>
      <c r="AP135" s="93"/>
      <c r="AQ135" s="93"/>
      <c r="AR135" s="93"/>
      <c r="AS135" s="93"/>
      <c r="AT135" s="93"/>
      <c r="AU135" s="93"/>
      <c r="AV135" s="93"/>
      <c r="AW135" s="93"/>
      <c r="AX135" s="93"/>
      <c r="AY135" s="93"/>
      <c r="AZ135" s="93"/>
      <c r="BA135" s="93"/>
      <c r="BB135" s="93"/>
      <c r="BC135" s="93"/>
      <c r="BD135" s="93"/>
      <c r="BE135" s="93"/>
      <c r="BF135" s="93"/>
      <c r="BG135" s="93"/>
      <c r="BH135" s="93"/>
      <c r="BI135" s="93"/>
      <c r="BJ135" s="93"/>
      <c r="BK135" s="93"/>
      <c r="BL135" s="93"/>
      <c r="BM135" s="93"/>
      <c r="BN135" s="93"/>
      <c r="BO135" s="93"/>
      <c r="BP135" s="93"/>
      <c r="BQ135" s="93"/>
      <c r="BR135" s="93"/>
      <c r="BS135" s="93"/>
      <c r="BT135" s="93"/>
      <c r="BU135" s="93"/>
      <c r="BV135" s="93"/>
      <c r="BW135" s="93"/>
      <c r="BX135" s="93"/>
      <c r="BY135" s="93"/>
      <c r="BZ135" s="93"/>
      <c r="CA135" s="93"/>
      <c r="CB135" s="93"/>
      <c r="CC135" s="93"/>
      <c r="CD135" s="93"/>
      <c r="CE135" s="93"/>
      <c r="CF135" s="93"/>
      <c r="CG135" s="93"/>
      <c r="CH135" s="93"/>
      <c r="CI135" s="93"/>
      <c r="CJ135" s="93"/>
      <c r="CK135" s="93"/>
      <c r="CL135" s="93"/>
      <c r="CM135" s="93"/>
      <c r="CN135" s="93"/>
      <c r="CO135" s="93"/>
      <c r="CP135" s="93"/>
      <c r="CQ135" s="93"/>
      <c r="CR135" s="93"/>
      <c r="CS135" s="93"/>
      <c r="CT135" s="93"/>
      <c r="CU135" s="93"/>
      <c r="CV135" s="93"/>
      <c r="CW135" s="93"/>
      <c r="CX135" s="93"/>
      <c r="CY135" s="93"/>
      <c r="CZ135" s="93"/>
      <c r="DA135" s="93"/>
      <c r="DB135" s="93"/>
      <c r="DC135" s="93"/>
      <c r="DD135" s="93"/>
      <c r="DE135" s="93"/>
      <c r="DF135" s="93"/>
      <c r="DG135" s="93"/>
      <c r="DH135" s="93"/>
      <c r="DI135" s="93"/>
      <c r="DJ135" s="93"/>
      <c r="DK135" s="93"/>
      <c r="DL135" s="93"/>
      <c r="DM135" s="93"/>
      <c r="DN135" s="93"/>
      <c r="DO135" s="93"/>
      <c r="DP135" s="93"/>
      <c r="DQ135" s="93"/>
      <c r="DR135" s="93"/>
      <c r="DS135" s="93"/>
      <c r="DT135" s="93"/>
      <c r="DU135" s="93"/>
      <c r="DV135" s="93"/>
      <c r="DW135" s="93"/>
      <c r="DX135" s="93"/>
      <c r="DY135" s="93"/>
      <c r="DZ135" s="93"/>
      <c r="EA135" s="93"/>
      <c r="EB135" s="93"/>
      <c r="EC135" s="93"/>
      <c r="ED135" s="93"/>
      <c r="EE135" s="93"/>
      <c r="EF135" s="93"/>
      <c r="EG135" s="93"/>
      <c r="EH135" s="93"/>
      <c r="EI135" s="93"/>
      <c r="EJ135" s="93"/>
      <c r="EK135" s="93"/>
      <c r="EL135" s="93"/>
      <c r="EM135" s="93"/>
      <c r="EN135" s="93"/>
      <c r="EO135" s="93"/>
      <c r="EP135" s="93"/>
      <c r="EQ135" s="93"/>
      <c r="ER135" s="93"/>
      <c r="ES135" s="93"/>
      <c r="ET135" s="93"/>
      <c r="EU135" s="93"/>
      <c r="EV135" s="93"/>
      <c r="EW135" s="93"/>
      <c r="EX135" s="93"/>
      <c r="EY135" s="93"/>
      <c r="EZ135" s="93"/>
      <c r="FA135" s="93"/>
      <c r="FB135" s="93"/>
      <c r="FC135" s="93"/>
      <c r="FD135" s="93"/>
      <c r="FE135" s="93"/>
      <c r="FF135" s="93"/>
      <c r="FG135" s="93"/>
      <c r="FH135" s="93"/>
      <c r="FI135" s="93"/>
      <c r="FJ135" s="93"/>
      <c r="FK135" s="93"/>
      <c r="FL135" s="93"/>
      <c r="FM135" s="93"/>
      <c r="FN135" s="93"/>
      <c r="FO135" s="93"/>
      <c r="FP135" s="93"/>
      <c r="FQ135" s="93"/>
      <c r="FR135" s="93"/>
      <c r="FS135" s="93"/>
      <c r="FT135" s="93"/>
      <c r="FU135" s="93"/>
      <c r="FV135" s="93"/>
      <c r="FW135" s="93"/>
      <c r="FX135" s="93"/>
      <c r="FY135" s="93"/>
      <c r="FZ135" s="93"/>
      <c r="GA135" s="93"/>
      <c r="GB135" s="93"/>
      <c r="GC135" s="93"/>
      <c r="GD135" s="93"/>
      <c r="GE135" s="93"/>
      <c r="GF135" s="93"/>
      <c r="GG135" s="93"/>
      <c r="GH135" s="93"/>
      <c r="GI135" s="93"/>
      <c r="GJ135" s="93"/>
      <c r="GK135" s="93"/>
      <c r="GL135" s="93"/>
      <c r="GM135" s="93"/>
      <c r="GN135" s="93"/>
      <c r="GO135" s="93"/>
      <c r="GP135" s="93"/>
      <c r="GQ135" s="93"/>
      <c r="GR135" s="93"/>
      <c r="GS135" s="93"/>
      <c r="GT135" s="93"/>
      <c r="GU135" s="93"/>
      <c r="GV135" s="93"/>
      <c r="GW135" s="93"/>
      <c r="GX135" s="93"/>
      <c r="GY135" s="93"/>
      <c r="GZ135" s="93"/>
      <c r="HA135" s="93"/>
      <c r="HB135" s="93"/>
      <c r="HC135" s="93"/>
      <c r="HD135" s="93"/>
      <c r="HE135" s="93"/>
      <c r="HF135" s="93"/>
      <c r="HG135" s="93"/>
    </row>
    <row r="136" spans="14:215" x14ac:dyDescent="0.2">
      <c r="N136" s="93" t="s">
        <v>353</v>
      </c>
      <c r="O136" s="93"/>
      <c r="P136" s="93"/>
      <c r="Q136" s="93"/>
      <c r="R136" s="93"/>
      <c r="S136" s="93"/>
      <c r="T136" s="93"/>
      <c r="U136" s="93"/>
      <c r="V136" s="93"/>
      <c r="W136" s="93"/>
      <c r="X136" s="93"/>
      <c r="Y136" s="93"/>
      <c r="Z136" s="93"/>
      <c r="AA136" s="93"/>
      <c r="AB136" s="93"/>
      <c r="AC136" s="93"/>
      <c r="AD136" s="93"/>
      <c r="AE136" s="93"/>
      <c r="AF136" s="93"/>
      <c r="AG136" s="93"/>
      <c r="AH136" s="93"/>
      <c r="AI136" s="93"/>
      <c r="AJ136" s="93"/>
      <c r="AK136" s="93"/>
      <c r="AL136" s="93"/>
      <c r="AM136" s="93"/>
      <c r="AN136" s="93">
        <v>0.32882882882882886</v>
      </c>
      <c r="AO136" s="93"/>
      <c r="AP136" s="93"/>
      <c r="AQ136" s="93"/>
      <c r="AR136" s="93"/>
      <c r="AS136" s="93"/>
      <c r="AT136" s="93"/>
      <c r="AU136" s="93"/>
      <c r="AV136" s="93"/>
      <c r="AW136" s="93"/>
      <c r="AX136" s="93"/>
      <c r="AY136" s="93"/>
      <c r="AZ136" s="93"/>
      <c r="BA136" s="93"/>
      <c r="BB136" s="93"/>
      <c r="BC136" s="93"/>
      <c r="BD136" s="93"/>
      <c r="BE136" s="93"/>
      <c r="BF136" s="93"/>
      <c r="BG136" s="93"/>
      <c r="BH136" s="93"/>
      <c r="BI136" s="93"/>
      <c r="BJ136" s="93"/>
      <c r="BK136" s="93"/>
      <c r="BL136" s="93"/>
      <c r="BM136" s="93"/>
      <c r="BN136" s="93"/>
      <c r="BO136" s="93"/>
      <c r="BP136" s="93"/>
      <c r="BQ136" s="93"/>
      <c r="BR136" s="93"/>
      <c r="BS136" s="93"/>
      <c r="BT136" s="93"/>
      <c r="BU136" s="93"/>
      <c r="BV136" s="93"/>
      <c r="BW136" s="93"/>
      <c r="BX136" s="93"/>
      <c r="BY136" s="93"/>
      <c r="BZ136" s="93"/>
      <c r="CA136" s="93"/>
      <c r="CB136" s="93"/>
      <c r="CC136" s="93"/>
      <c r="CD136" s="93"/>
      <c r="CE136" s="93"/>
      <c r="CF136" s="93"/>
      <c r="CG136" s="93"/>
      <c r="CH136" s="93"/>
      <c r="CI136" s="93"/>
      <c r="CJ136" s="93"/>
      <c r="CK136" s="93"/>
      <c r="CL136" s="93"/>
      <c r="CM136" s="93"/>
      <c r="CN136" s="93"/>
      <c r="CO136" s="93"/>
      <c r="CP136" s="93"/>
      <c r="CQ136" s="93"/>
      <c r="CR136" s="93"/>
      <c r="CS136" s="93"/>
      <c r="CT136" s="93"/>
      <c r="CU136" s="93"/>
      <c r="CV136" s="93"/>
      <c r="CW136" s="93"/>
      <c r="CX136" s="93"/>
      <c r="CY136" s="93"/>
      <c r="CZ136" s="93"/>
      <c r="DA136" s="93"/>
      <c r="DB136" s="93"/>
      <c r="DC136" s="93"/>
      <c r="DD136" s="93"/>
      <c r="DE136" s="93"/>
      <c r="DF136" s="93"/>
      <c r="DG136" s="93"/>
      <c r="DH136" s="93"/>
      <c r="DI136" s="93"/>
      <c r="DJ136" s="93"/>
      <c r="DK136" s="93"/>
      <c r="DL136" s="93"/>
      <c r="DM136" s="93"/>
      <c r="DN136" s="93"/>
      <c r="DO136" s="93"/>
      <c r="DP136" s="93"/>
      <c r="DQ136" s="93"/>
      <c r="DR136" s="93"/>
      <c r="DS136" s="93"/>
      <c r="DT136" s="93"/>
      <c r="DU136" s="93"/>
      <c r="DV136" s="93"/>
      <c r="DW136" s="93"/>
      <c r="DX136" s="93"/>
      <c r="DY136" s="93"/>
      <c r="DZ136" s="93"/>
      <c r="EA136" s="93"/>
      <c r="EB136" s="93"/>
      <c r="EC136" s="93"/>
      <c r="ED136" s="93"/>
      <c r="EE136" s="93"/>
      <c r="EF136" s="93"/>
      <c r="EG136" s="93"/>
      <c r="EH136" s="93"/>
      <c r="EI136" s="93"/>
      <c r="EJ136" s="93"/>
      <c r="EK136" s="93"/>
      <c r="EL136" s="93"/>
      <c r="EM136" s="93"/>
      <c r="EN136" s="93"/>
      <c r="EO136" s="93"/>
      <c r="EP136" s="93"/>
      <c r="EQ136" s="93"/>
      <c r="ER136" s="93"/>
      <c r="ES136" s="93"/>
      <c r="ET136" s="93"/>
      <c r="EU136" s="93"/>
      <c r="EV136" s="93"/>
      <c r="EW136" s="93"/>
      <c r="EX136" s="93"/>
      <c r="EY136" s="93"/>
      <c r="EZ136" s="93"/>
      <c r="FA136" s="93"/>
      <c r="FB136" s="93"/>
      <c r="FC136" s="93"/>
      <c r="FD136" s="93"/>
      <c r="FE136" s="93"/>
      <c r="FF136" s="93"/>
      <c r="FG136" s="93"/>
      <c r="FH136" s="93"/>
      <c r="FI136" s="93"/>
      <c r="FJ136" s="93"/>
      <c r="FK136" s="93"/>
      <c r="FL136" s="93"/>
      <c r="FM136" s="93"/>
      <c r="FN136" s="93"/>
      <c r="FO136" s="93"/>
      <c r="FP136" s="93"/>
      <c r="FQ136" s="93"/>
      <c r="FR136" s="93"/>
      <c r="FS136" s="93"/>
      <c r="FT136" s="93"/>
      <c r="FU136" s="93"/>
      <c r="FV136" s="93"/>
      <c r="FW136" s="93"/>
      <c r="FX136" s="93"/>
      <c r="FY136" s="93"/>
      <c r="FZ136" s="93"/>
      <c r="GA136" s="93"/>
      <c r="GB136" s="93"/>
      <c r="GC136" s="93"/>
      <c r="GD136" s="93"/>
      <c r="GE136" s="93"/>
      <c r="GF136" s="93"/>
      <c r="GG136" s="93"/>
      <c r="GH136" s="93"/>
      <c r="GI136" s="93"/>
      <c r="GJ136" s="93"/>
      <c r="GK136" s="93"/>
      <c r="GL136" s="93"/>
      <c r="GM136" s="93"/>
      <c r="GN136" s="93"/>
      <c r="GO136" s="93"/>
      <c r="GP136" s="93"/>
      <c r="GQ136" s="93"/>
      <c r="GR136" s="93"/>
      <c r="GS136" s="93"/>
      <c r="GT136" s="93"/>
      <c r="GU136" s="93"/>
      <c r="GV136" s="93"/>
      <c r="GW136" s="93"/>
      <c r="GX136" s="93"/>
      <c r="GY136" s="93"/>
      <c r="GZ136" s="93"/>
      <c r="HA136" s="93"/>
      <c r="HB136" s="93"/>
      <c r="HC136" s="93"/>
      <c r="HD136" s="93"/>
      <c r="HE136" s="93"/>
      <c r="HF136" s="93"/>
      <c r="HG136" s="93"/>
    </row>
    <row r="137" spans="14:215" x14ac:dyDescent="0.2">
      <c r="N137" s="93" t="s">
        <v>354</v>
      </c>
      <c r="O137" s="93"/>
      <c r="P137" s="93"/>
      <c r="Q137" s="93"/>
      <c r="R137" s="93"/>
      <c r="S137" s="93"/>
      <c r="T137" s="93"/>
      <c r="U137" s="93"/>
      <c r="V137" s="93"/>
      <c r="W137" s="93"/>
      <c r="X137" s="93"/>
      <c r="Y137" s="93"/>
      <c r="Z137" s="93"/>
      <c r="AA137" s="93"/>
      <c r="AB137" s="93"/>
      <c r="AC137" s="93"/>
      <c r="AD137" s="93"/>
      <c r="AE137" s="93"/>
      <c r="AF137" s="93"/>
      <c r="AG137" s="93"/>
      <c r="AH137" s="93"/>
      <c r="AI137" s="93"/>
      <c r="AJ137" s="93"/>
      <c r="AK137" s="93"/>
      <c r="AL137" s="93"/>
      <c r="AM137" s="93"/>
      <c r="AN137" s="93"/>
      <c r="AO137" s="93">
        <v>0.32900432900432902</v>
      </c>
      <c r="AP137" s="93"/>
      <c r="AQ137" s="93"/>
      <c r="AR137" s="93"/>
      <c r="AS137" s="93"/>
      <c r="AT137" s="93"/>
      <c r="AU137" s="93"/>
      <c r="AV137" s="93"/>
      <c r="AW137" s="93"/>
      <c r="AX137" s="93"/>
      <c r="AY137" s="93"/>
      <c r="AZ137" s="93"/>
      <c r="BA137" s="93"/>
      <c r="BB137" s="93"/>
      <c r="BC137" s="93"/>
      <c r="BD137" s="93"/>
      <c r="BE137" s="93"/>
      <c r="BF137" s="93"/>
      <c r="BG137" s="93"/>
      <c r="BH137" s="93"/>
      <c r="BI137" s="93"/>
      <c r="BJ137" s="93"/>
      <c r="BK137" s="93"/>
      <c r="BL137" s="93"/>
      <c r="BM137" s="93"/>
      <c r="BN137" s="93"/>
      <c r="BO137" s="93"/>
      <c r="BP137" s="93"/>
      <c r="BQ137" s="93"/>
      <c r="BR137" s="93"/>
      <c r="BS137" s="93"/>
      <c r="BT137" s="93"/>
      <c r="BU137" s="93"/>
      <c r="BV137" s="93"/>
      <c r="BW137" s="93"/>
      <c r="BX137" s="93"/>
      <c r="BY137" s="93"/>
      <c r="BZ137" s="93"/>
      <c r="CA137" s="93"/>
      <c r="CB137" s="93"/>
      <c r="CC137" s="93"/>
      <c r="CD137" s="93"/>
      <c r="CE137" s="93"/>
      <c r="CF137" s="93"/>
      <c r="CG137" s="93"/>
      <c r="CH137" s="93"/>
      <c r="CI137" s="93"/>
      <c r="CJ137" s="93"/>
      <c r="CK137" s="93"/>
      <c r="CL137" s="93"/>
      <c r="CM137" s="93"/>
      <c r="CN137" s="93"/>
      <c r="CO137" s="93"/>
      <c r="CP137" s="93"/>
      <c r="CQ137" s="93"/>
      <c r="CR137" s="93"/>
      <c r="CS137" s="93"/>
      <c r="CT137" s="93"/>
      <c r="CU137" s="93"/>
      <c r="CV137" s="93"/>
      <c r="CW137" s="93"/>
      <c r="CX137" s="93"/>
      <c r="CY137" s="93"/>
      <c r="CZ137" s="93"/>
      <c r="DA137" s="93"/>
      <c r="DB137" s="93"/>
      <c r="DC137" s="93"/>
      <c r="DD137" s="93"/>
      <c r="DE137" s="93"/>
      <c r="DF137" s="93"/>
      <c r="DG137" s="93"/>
      <c r="DH137" s="93"/>
      <c r="DI137" s="93"/>
      <c r="DJ137" s="93"/>
      <c r="DK137" s="93"/>
      <c r="DL137" s="93"/>
      <c r="DM137" s="93"/>
      <c r="DN137" s="93"/>
      <c r="DO137" s="93"/>
      <c r="DP137" s="93"/>
      <c r="DQ137" s="93"/>
      <c r="DR137" s="93"/>
      <c r="DS137" s="93"/>
      <c r="DT137" s="93"/>
      <c r="DU137" s="93"/>
      <c r="DV137" s="93"/>
      <c r="DW137" s="93"/>
      <c r="DX137" s="93"/>
      <c r="DY137" s="93"/>
      <c r="DZ137" s="93"/>
      <c r="EA137" s="93"/>
      <c r="EB137" s="93"/>
      <c r="EC137" s="93"/>
      <c r="ED137" s="93"/>
      <c r="EE137" s="93"/>
      <c r="EF137" s="93"/>
      <c r="EG137" s="93"/>
      <c r="EH137" s="93"/>
      <c r="EI137" s="93"/>
      <c r="EJ137" s="93"/>
      <c r="EK137" s="93"/>
      <c r="EL137" s="93"/>
      <c r="EM137" s="93"/>
      <c r="EN137" s="93"/>
      <c r="EO137" s="93"/>
      <c r="EP137" s="93"/>
      <c r="EQ137" s="93"/>
      <c r="ER137" s="93"/>
      <c r="ES137" s="93"/>
      <c r="ET137" s="93"/>
      <c r="EU137" s="93"/>
      <c r="EV137" s="93"/>
      <c r="EW137" s="93"/>
      <c r="EX137" s="93"/>
      <c r="EY137" s="93"/>
      <c r="EZ137" s="93"/>
      <c r="FA137" s="93"/>
      <c r="FB137" s="93"/>
      <c r="FC137" s="93"/>
      <c r="FD137" s="93"/>
      <c r="FE137" s="93"/>
      <c r="FF137" s="93"/>
      <c r="FG137" s="93"/>
      <c r="FH137" s="93"/>
      <c r="FI137" s="93"/>
      <c r="FJ137" s="93"/>
      <c r="FK137" s="93"/>
      <c r="FL137" s="93"/>
      <c r="FM137" s="93"/>
      <c r="FN137" s="93"/>
      <c r="FO137" s="93"/>
      <c r="FP137" s="93"/>
      <c r="FQ137" s="93"/>
      <c r="FR137" s="93"/>
      <c r="FS137" s="93"/>
      <c r="FT137" s="93"/>
      <c r="FU137" s="93"/>
      <c r="FV137" s="93"/>
      <c r="FW137" s="93"/>
      <c r="FX137" s="93"/>
      <c r="FY137" s="93"/>
      <c r="FZ137" s="93"/>
      <c r="GA137" s="93"/>
      <c r="GB137" s="93"/>
      <c r="GC137" s="93"/>
      <c r="GD137" s="93"/>
      <c r="GE137" s="93"/>
      <c r="GF137" s="93"/>
      <c r="GG137" s="93"/>
      <c r="GH137" s="93"/>
      <c r="GI137" s="93"/>
      <c r="GJ137" s="93"/>
      <c r="GK137" s="93"/>
      <c r="GL137" s="93"/>
      <c r="GM137" s="93"/>
      <c r="GN137" s="93"/>
      <c r="GO137" s="93"/>
      <c r="GP137" s="93"/>
      <c r="GQ137" s="93"/>
      <c r="GR137" s="93"/>
      <c r="GS137" s="93"/>
      <c r="GT137" s="93"/>
      <c r="GU137" s="93"/>
      <c r="GV137" s="93"/>
      <c r="GW137" s="93"/>
      <c r="GX137" s="93"/>
      <c r="GY137" s="93"/>
      <c r="GZ137" s="93"/>
      <c r="HA137" s="93"/>
      <c r="HB137" s="93"/>
      <c r="HC137" s="93"/>
      <c r="HD137" s="93"/>
      <c r="HE137" s="93"/>
      <c r="HF137" s="93"/>
      <c r="HG137" s="93"/>
    </row>
    <row r="138" spans="14:215" x14ac:dyDescent="0.2">
      <c r="N138" s="93" t="s">
        <v>355</v>
      </c>
      <c r="O138" s="93"/>
      <c r="P138" s="93"/>
      <c r="Q138" s="93"/>
      <c r="R138" s="93"/>
      <c r="S138" s="93"/>
      <c r="T138" s="93"/>
      <c r="U138" s="93"/>
      <c r="V138" s="93"/>
      <c r="W138" s="93"/>
      <c r="X138" s="93"/>
      <c r="Y138" s="93"/>
      <c r="Z138" s="93"/>
      <c r="AA138" s="93"/>
      <c r="AB138" s="93"/>
      <c r="AC138" s="93"/>
      <c r="AD138" s="93"/>
      <c r="AE138" s="93"/>
      <c r="AF138" s="93"/>
      <c r="AG138" s="93"/>
      <c r="AH138" s="93"/>
      <c r="AI138" s="93"/>
      <c r="AJ138" s="93"/>
      <c r="AK138" s="93"/>
      <c r="AL138" s="93"/>
      <c r="AM138" s="93"/>
      <c r="AN138" s="93"/>
      <c r="AO138" s="93"/>
      <c r="AP138" s="93">
        <v>0.32916666666666666</v>
      </c>
      <c r="AQ138" s="93"/>
      <c r="AR138" s="93"/>
      <c r="AS138" s="93"/>
      <c r="AT138" s="93"/>
      <c r="AU138" s="93"/>
      <c r="AV138" s="93"/>
      <c r="AW138" s="93"/>
      <c r="AX138" s="93"/>
      <c r="AY138" s="93"/>
      <c r="AZ138" s="93"/>
      <c r="BA138" s="93"/>
      <c r="BB138" s="93"/>
      <c r="BC138" s="93"/>
      <c r="BD138" s="93"/>
      <c r="BE138" s="93"/>
      <c r="BF138" s="93"/>
      <c r="BG138" s="93"/>
      <c r="BH138" s="93"/>
      <c r="BI138" s="93"/>
      <c r="BJ138" s="93"/>
      <c r="BK138" s="93"/>
      <c r="BL138" s="93"/>
      <c r="BM138" s="93"/>
      <c r="BN138" s="93"/>
      <c r="BO138" s="93"/>
      <c r="BP138" s="93"/>
      <c r="BQ138" s="93"/>
      <c r="BR138" s="93"/>
      <c r="BS138" s="93"/>
      <c r="BT138" s="93"/>
      <c r="BU138" s="93"/>
      <c r="BV138" s="93"/>
      <c r="BW138" s="93"/>
      <c r="BX138" s="93"/>
      <c r="BY138" s="93"/>
      <c r="BZ138" s="93"/>
      <c r="CA138" s="93"/>
      <c r="CB138" s="93"/>
      <c r="CC138" s="93"/>
      <c r="CD138" s="93"/>
      <c r="CE138" s="93"/>
      <c r="CF138" s="93"/>
      <c r="CG138" s="93"/>
      <c r="CH138" s="93"/>
      <c r="CI138" s="93"/>
      <c r="CJ138" s="93"/>
      <c r="CK138" s="93"/>
      <c r="CL138" s="93"/>
      <c r="CM138" s="93"/>
      <c r="CN138" s="93"/>
      <c r="CO138" s="93"/>
      <c r="CP138" s="93"/>
      <c r="CQ138" s="93"/>
      <c r="CR138" s="93"/>
      <c r="CS138" s="93"/>
      <c r="CT138" s="93"/>
      <c r="CU138" s="93"/>
      <c r="CV138" s="93"/>
      <c r="CW138" s="93"/>
      <c r="CX138" s="93"/>
      <c r="CY138" s="93"/>
      <c r="CZ138" s="93"/>
      <c r="DA138" s="93"/>
      <c r="DB138" s="93"/>
      <c r="DC138" s="93"/>
      <c r="DD138" s="93"/>
      <c r="DE138" s="93"/>
      <c r="DF138" s="93"/>
      <c r="DG138" s="93"/>
      <c r="DH138" s="93"/>
      <c r="DI138" s="93"/>
      <c r="DJ138" s="93"/>
      <c r="DK138" s="93"/>
      <c r="DL138" s="93"/>
      <c r="DM138" s="93"/>
      <c r="DN138" s="93"/>
      <c r="DO138" s="93"/>
      <c r="DP138" s="93"/>
      <c r="DQ138" s="93"/>
      <c r="DR138" s="93"/>
      <c r="DS138" s="93"/>
      <c r="DT138" s="93"/>
      <c r="DU138" s="93"/>
      <c r="DV138" s="93"/>
      <c r="DW138" s="93"/>
      <c r="DX138" s="93"/>
      <c r="DY138" s="93"/>
      <c r="DZ138" s="93"/>
      <c r="EA138" s="93"/>
      <c r="EB138" s="93"/>
      <c r="EC138" s="93"/>
      <c r="ED138" s="93"/>
      <c r="EE138" s="93"/>
      <c r="EF138" s="93"/>
      <c r="EG138" s="93"/>
      <c r="EH138" s="93"/>
      <c r="EI138" s="93"/>
      <c r="EJ138" s="93"/>
      <c r="EK138" s="93"/>
      <c r="EL138" s="93"/>
      <c r="EM138" s="93"/>
      <c r="EN138" s="93"/>
      <c r="EO138" s="93"/>
      <c r="EP138" s="93"/>
      <c r="EQ138" s="93"/>
      <c r="ER138" s="93"/>
      <c r="ES138" s="93"/>
      <c r="ET138" s="93"/>
      <c r="EU138" s="93"/>
      <c r="EV138" s="93"/>
      <c r="EW138" s="93"/>
      <c r="EX138" s="93"/>
      <c r="EY138" s="93"/>
      <c r="EZ138" s="93"/>
      <c r="FA138" s="93"/>
      <c r="FB138" s="93"/>
      <c r="FC138" s="93"/>
      <c r="FD138" s="93"/>
      <c r="FE138" s="93"/>
      <c r="FF138" s="93"/>
      <c r="FG138" s="93"/>
      <c r="FH138" s="93"/>
      <c r="FI138" s="93"/>
      <c r="FJ138" s="93"/>
      <c r="FK138" s="93"/>
      <c r="FL138" s="93"/>
      <c r="FM138" s="93"/>
      <c r="FN138" s="93"/>
      <c r="FO138" s="93"/>
      <c r="FP138" s="93"/>
      <c r="FQ138" s="93"/>
      <c r="FR138" s="93"/>
      <c r="FS138" s="93"/>
      <c r="FT138" s="93"/>
      <c r="FU138" s="93"/>
      <c r="FV138" s="93"/>
      <c r="FW138" s="93"/>
      <c r="FX138" s="93"/>
      <c r="FY138" s="93"/>
      <c r="FZ138" s="93"/>
      <c r="GA138" s="93"/>
      <c r="GB138" s="93"/>
      <c r="GC138" s="93"/>
      <c r="GD138" s="93"/>
      <c r="GE138" s="93"/>
      <c r="GF138" s="93"/>
      <c r="GG138" s="93"/>
      <c r="GH138" s="93"/>
      <c r="GI138" s="93"/>
      <c r="GJ138" s="93"/>
      <c r="GK138" s="93"/>
      <c r="GL138" s="93"/>
      <c r="GM138" s="93"/>
      <c r="GN138" s="93"/>
      <c r="GO138" s="93"/>
      <c r="GP138" s="93"/>
      <c r="GQ138" s="93"/>
      <c r="GR138" s="93"/>
      <c r="GS138" s="93"/>
      <c r="GT138" s="93"/>
      <c r="GU138" s="93"/>
      <c r="GV138" s="93"/>
      <c r="GW138" s="93"/>
      <c r="GX138" s="93"/>
      <c r="GY138" s="93"/>
      <c r="GZ138" s="93"/>
      <c r="HA138" s="93"/>
      <c r="HB138" s="93"/>
      <c r="HC138" s="93"/>
      <c r="HD138" s="93"/>
      <c r="HE138" s="93"/>
      <c r="HF138" s="93"/>
      <c r="HG138" s="93"/>
    </row>
    <row r="139" spans="14:215" x14ac:dyDescent="0.2">
      <c r="N139" s="93" t="s">
        <v>356</v>
      </c>
      <c r="O139" s="93"/>
      <c r="P139" s="93"/>
      <c r="Q139" s="93"/>
      <c r="R139" s="93"/>
      <c r="S139" s="93"/>
      <c r="T139" s="93"/>
      <c r="U139" s="93"/>
      <c r="V139" s="93"/>
      <c r="W139" s="93"/>
      <c r="X139" s="93"/>
      <c r="Y139" s="93"/>
      <c r="Z139" s="93"/>
      <c r="AA139" s="93"/>
      <c r="AB139" s="93"/>
      <c r="AC139" s="93"/>
      <c r="AD139" s="93"/>
      <c r="AE139" s="93"/>
      <c r="AF139" s="93"/>
      <c r="AG139" s="93"/>
      <c r="AH139" s="93"/>
      <c r="AI139" s="93"/>
      <c r="AJ139" s="93"/>
      <c r="AK139" s="93"/>
      <c r="AL139" s="93"/>
      <c r="AM139" s="93"/>
      <c r="AN139" s="93"/>
      <c r="AO139" s="93"/>
      <c r="AP139" s="93"/>
      <c r="AQ139" s="93">
        <v>0.32931726907630521</v>
      </c>
      <c r="AR139" s="93"/>
      <c r="AS139" s="93"/>
      <c r="AT139" s="93"/>
      <c r="AU139" s="93"/>
      <c r="AV139" s="93"/>
      <c r="AW139" s="93"/>
      <c r="AX139" s="93"/>
      <c r="AY139" s="93"/>
      <c r="AZ139" s="93"/>
      <c r="BA139" s="93"/>
      <c r="BB139" s="93"/>
      <c r="BC139" s="93"/>
      <c r="BD139" s="93"/>
      <c r="BE139" s="93"/>
      <c r="BF139" s="93"/>
      <c r="BG139" s="93"/>
      <c r="BH139" s="93"/>
      <c r="BI139" s="93"/>
      <c r="BJ139" s="93"/>
      <c r="BK139" s="93"/>
      <c r="BL139" s="93"/>
      <c r="BM139" s="93"/>
      <c r="BN139" s="93"/>
      <c r="BO139" s="93"/>
      <c r="BP139" s="93"/>
      <c r="BQ139" s="93"/>
      <c r="BR139" s="93"/>
      <c r="BS139" s="93"/>
      <c r="BT139" s="93"/>
      <c r="BU139" s="93"/>
      <c r="BV139" s="93"/>
      <c r="BW139" s="93"/>
      <c r="BX139" s="93"/>
      <c r="BY139" s="93"/>
      <c r="BZ139" s="93"/>
      <c r="CA139" s="93"/>
      <c r="CB139" s="93"/>
      <c r="CC139" s="93"/>
      <c r="CD139" s="93"/>
      <c r="CE139" s="93"/>
      <c r="CF139" s="93"/>
      <c r="CG139" s="93"/>
      <c r="CH139" s="93"/>
      <c r="CI139" s="93"/>
      <c r="CJ139" s="93"/>
      <c r="CK139" s="93"/>
      <c r="CL139" s="93"/>
      <c r="CM139" s="93"/>
      <c r="CN139" s="93"/>
      <c r="CO139" s="93"/>
      <c r="CP139" s="93"/>
      <c r="CQ139" s="93"/>
      <c r="CR139" s="93"/>
      <c r="CS139" s="93"/>
      <c r="CT139" s="93"/>
      <c r="CU139" s="93"/>
      <c r="CV139" s="93"/>
      <c r="CW139" s="93"/>
      <c r="CX139" s="93"/>
      <c r="CY139" s="93"/>
      <c r="CZ139" s="93"/>
      <c r="DA139" s="93"/>
      <c r="DB139" s="93"/>
      <c r="DC139" s="93"/>
      <c r="DD139" s="93"/>
      <c r="DE139" s="93"/>
      <c r="DF139" s="93"/>
      <c r="DG139" s="93"/>
      <c r="DH139" s="93"/>
      <c r="DI139" s="93"/>
      <c r="DJ139" s="93"/>
      <c r="DK139" s="93"/>
      <c r="DL139" s="93"/>
      <c r="DM139" s="93"/>
      <c r="DN139" s="93"/>
      <c r="DO139" s="93"/>
      <c r="DP139" s="93"/>
      <c r="DQ139" s="93"/>
      <c r="DR139" s="93"/>
      <c r="DS139" s="93"/>
      <c r="DT139" s="93"/>
      <c r="DU139" s="93"/>
      <c r="DV139" s="93"/>
      <c r="DW139" s="93"/>
      <c r="DX139" s="93"/>
      <c r="DY139" s="93"/>
      <c r="DZ139" s="93"/>
      <c r="EA139" s="93"/>
      <c r="EB139" s="93"/>
      <c r="EC139" s="93"/>
      <c r="ED139" s="93"/>
      <c r="EE139" s="93"/>
      <c r="EF139" s="93"/>
      <c r="EG139" s="93"/>
      <c r="EH139" s="93"/>
      <c r="EI139" s="93"/>
      <c r="EJ139" s="93"/>
      <c r="EK139" s="93"/>
      <c r="EL139" s="93"/>
      <c r="EM139" s="93"/>
      <c r="EN139" s="93"/>
      <c r="EO139" s="93"/>
      <c r="EP139" s="93"/>
      <c r="EQ139" s="93"/>
      <c r="ER139" s="93"/>
      <c r="ES139" s="93"/>
      <c r="ET139" s="93"/>
      <c r="EU139" s="93"/>
      <c r="EV139" s="93"/>
      <c r="EW139" s="93"/>
      <c r="EX139" s="93"/>
      <c r="EY139" s="93"/>
      <c r="EZ139" s="93"/>
      <c r="FA139" s="93"/>
      <c r="FB139" s="93"/>
      <c r="FC139" s="93"/>
      <c r="FD139" s="93"/>
      <c r="FE139" s="93"/>
      <c r="FF139" s="93"/>
      <c r="FG139" s="93"/>
      <c r="FH139" s="93"/>
      <c r="FI139" s="93"/>
      <c r="FJ139" s="93"/>
      <c r="FK139" s="93"/>
      <c r="FL139" s="93"/>
      <c r="FM139" s="93"/>
      <c r="FN139" s="93"/>
      <c r="FO139" s="93"/>
      <c r="FP139" s="93"/>
      <c r="FQ139" s="93"/>
      <c r="FR139" s="93"/>
      <c r="FS139" s="93"/>
      <c r="FT139" s="93"/>
      <c r="FU139" s="93"/>
      <c r="FV139" s="93"/>
      <c r="FW139" s="93"/>
      <c r="FX139" s="93"/>
      <c r="FY139" s="93"/>
      <c r="FZ139" s="93"/>
      <c r="GA139" s="93"/>
      <c r="GB139" s="93"/>
      <c r="GC139" s="93"/>
      <c r="GD139" s="93"/>
      <c r="GE139" s="93"/>
      <c r="GF139" s="93"/>
      <c r="GG139" s="93"/>
      <c r="GH139" s="93"/>
      <c r="GI139" s="93"/>
      <c r="GJ139" s="93"/>
      <c r="GK139" s="93"/>
      <c r="GL139" s="93"/>
      <c r="GM139" s="93"/>
      <c r="GN139" s="93"/>
      <c r="GO139" s="93"/>
      <c r="GP139" s="93"/>
      <c r="GQ139" s="93"/>
      <c r="GR139" s="93"/>
      <c r="GS139" s="93"/>
      <c r="GT139" s="93"/>
      <c r="GU139" s="93"/>
      <c r="GV139" s="93"/>
      <c r="GW139" s="93"/>
      <c r="GX139" s="93"/>
      <c r="GY139" s="93"/>
      <c r="GZ139" s="93"/>
      <c r="HA139" s="93"/>
      <c r="HB139" s="93"/>
      <c r="HC139" s="93"/>
      <c r="HD139" s="93"/>
      <c r="HE139" s="93"/>
      <c r="HF139" s="93"/>
      <c r="HG139" s="93"/>
    </row>
    <row r="140" spans="14:215" x14ac:dyDescent="0.2">
      <c r="N140" s="93" t="s">
        <v>357</v>
      </c>
      <c r="O140" s="93"/>
      <c r="P140" s="93"/>
      <c r="Q140" s="93"/>
      <c r="R140" s="93"/>
      <c r="S140" s="93"/>
      <c r="T140" s="93"/>
      <c r="U140" s="93"/>
      <c r="V140" s="93"/>
      <c r="W140" s="93"/>
      <c r="X140" s="93"/>
      <c r="Y140" s="93"/>
      <c r="Z140" s="93"/>
      <c r="AA140" s="93"/>
      <c r="AB140" s="93"/>
      <c r="AC140" s="93"/>
      <c r="AD140" s="93"/>
      <c r="AE140" s="93"/>
      <c r="AF140" s="93"/>
      <c r="AG140" s="93"/>
      <c r="AH140" s="93"/>
      <c r="AI140" s="93"/>
      <c r="AJ140" s="93"/>
      <c r="AK140" s="93"/>
      <c r="AL140" s="93"/>
      <c r="AM140" s="93"/>
      <c r="AN140" s="93"/>
      <c r="AO140" s="93"/>
      <c r="AP140" s="93"/>
      <c r="AQ140" s="93"/>
      <c r="AR140" s="93">
        <v>0.32945736434108525</v>
      </c>
      <c r="AS140" s="93"/>
      <c r="AT140" s="93"/>
      <c r="AU140" s="93"/>
      <c r="AV140" s="93"/>
      <c r="AW140" s="93"/>
      <c r="AX140" s="93"/>
      <c r="AY140" s="93"/>
      <c r="AZ140" s="93"/>
      <c r="BA140" s="93"/>
      <c r="BB140" s="93"/>
      <c r="BC140" s="93"/>
      <c r="BD140" s="93"/>
      <c r="BE140" s="93"/>
      <c r="BF140" s="93"/>
      <c r="BG140" s="93"/>
      <c r="BH140" s="93"/>
      <c r="BI140" s="93"/>
      <c r="BJ140" s="93"/>
      <c r="BK140" s="93"/>
      <c r="BL140" s="93"/>
      <c r="BM140" s="93"/>
      <c r="BN140" s="93"/>
      <c r="BO140" s="93"/>
      <c r="BP140" s="93"/>
      <c r="BQ140" s="93"/>
      <c r="BR140" s="93"/>
      <c r="BS140" s="93"/>
      <c r="BT140" s="93"/>
      <c r="BU140" s="93"/>
      <c r="BV140" s="93"/>
      <c r="BW140" s="93"/>
      <c r="BX140" s="93"/>
      <c r="BY140" s="93"/>
      <c r="BZ140" s="93"/>
      <c r="CA140" s="93"/>
      <c r="CB140" s="93"/>
      <c r="CC140" s="93"/>
      <c r="CD140" s="93"/>
      <c r="CE140" s="93"/>
      <c r="CF140" s="93"/>
      <c r="CG140" s="93"/>
      <c r="CH140" s="93"/>
      <c r="CI140" s="93"/>
      <c r="CJ140" s="93"/>
      <c r="CK140" s="93"/>
      <c r="CL140" s="93"/>
      <c r="CM140" s="93"/>
      <c r="CN140" s="93"/>
      <c r="CO140" s="93"/>
      <c r="CP140" s="93"/>
      <c r="CQ140" s="93"/>
      <c r="CR140" s="93"/>
      <c r="CS140" s="93"/>
      <c r="CT140" s="93"/>
      <c r="CU140" s="93"/>
      <c r="CV140" s="93"/>
      <c r="CW140" s="93"/>
      <c r="CX140" s="93"/>
      <c r="CY140" s="93"/>
      <c r="CZ140" s="93"/>
      <c r="DA140" s="93"/>
      <c r="DB140" s="93"/>
      <c r="DC140" s="93"/>
      <c r="DD140" s="93"/>
      <c r="DE140" s="93"/>
      <c r="DF140" s="93"/>
      <c r="DG140" s="93"/>
      <c r="DH140" s="93"/>
      <c r="DI140" s="93"/>
      <c r="DJ140" s="93"/>
      <c r="DK140" s="93"/>
      <c r="DL140" s="93"/>
      <c r="DM140" s="93"/>
      <c r="DN140" s="93"/>
      <c r="DO140" s="93"/>
      <c r="DP140" s="93"/>
      <c r="DQ140" s="93"/>
      <c r="DR140" s="93"/>
      <c r="DS140" s="93"/>
      <c r="DT140" s="93"/>
      <c r="DU140" s="93"/>
      <c r="DV140" s="93"/>
      <c r="DW140" s="93"/>
      <c r="DX140" s="93"/>
      <c r="DY140" s="93"/>
      <c r="DZ140" s="93"/>
      <c r="EA140" s="93"/>
      <c r="EB140" s="93"/>
      <c r="EC140" s="93"/>
      <c r="ED140" s="93"/>
      <c r="EE140" s="93"/>
      <c r="EF140" s="93"/>
      <c r="EG140" s="93"/>
      <c r="EH140" s="93"/>
      <c r="EI140" s="93"/>
      <c r="EJ140" s="93"/>
      <c r="EK140" s="93"/>
      <c r="EL140" s="93"/>
      <c r="EM140" s="93"/>
      <c r="EN140" s="93"/>
      <c r="EO140" s="93"/>
      <c r="EP140" s="93"/>
      <c r="EQ140" s="93"/>
      <c r="ER140" s="93"/>
      <c r="ES140" s="93"/>
      <c r="ET140" s="93"/>
      <c r="EU140" s="93"/>
      <c r="EV140" s="93"/>
      <c r="EW140" s="93"/>
      <c r="EX140" s="93"/>
      <c r="EY140" s="93"/>
      <c r="EZ140" s="93"/>
      <c r="FA140" s="93"/>
      <c r="FB140" s="93"/>
      <c r="FC140" s="93"/>
      <c r="FD140" s="93"/>
      <c r="FE140" s="93"/>
      <c r="FF140" s="93"/>
      <c r="FG140" s="93"/>
      <c r="FH140" s="93"/>
      <c r="FI140" s="93"/>
      <c r="FJ140" s="93"/>
      <c r="FK140" s="93"/>
      <c r="FL140" s="93"/>
      <c r="FM140" s="93"/>
      <c r="FN140" s="93"/>
      <c r="FO140" s="93"/>
      <c r="FP140" s="93"/>
      <c r="FQ140" s="93"/>
      <c r="FR140" s="93"/>
      <c r="FS140" s="93"/>
      <c r="FT140" s="93"/>
      <c r="FU140" s="93"/>
      <c r="FV140" s="93"/>
      <c r="FW140" s="93"/>
      <c r="FX140" s="93"/>
      <c r="FY140" s="93"/>
      <c r="FZ140" s="93"/>
      <c r="GA140" s="93"/>
      <c r="GB140" s="93"/>
      <c r="GC140" s="93"/>
      <c r="GD140" s="93"/>
      <c r="GE140" s="93"/>
      <c r="GF140" s="93"/>
      <c r="GG140" s="93"/>
      <c r="GH140" s="93"/>
      <c r="GI140" s="93"/>
      <c r="GJ140" s="93"/>
      <c r="GK140" s="93"/>
      <c r="GL140" s="93"/>
      <c r="GM140" s="93"/>
      <c r="GN140" s="93"/>
      <c r="GO140" s="93"/>
      <c r="GP140" s="93"/>
      <c r="GQ140" s="93"/>
      <c r="GR140" s="93"/>
      <c r="GS140" s="93"/>
      <c r="GT140" s="93"/>
      <c r="GU140" s="93"/>
      <c r="GV140" s="93"/>
      <c r="GW140" s="93"/>
      <c r="GX140" s="93"/>
      <c r="GY140" s="93"/>
      <c r="GZ140" s="93"/>
      <c r="HA140" s="93"/>
      <c r="HB140" s="93"/>
      <c r="HC140" s="93"/>
      <c r="HD140" s="93"/>
      <c r="HE140" s="93"/>
      <c r="HF140" s="93"/>
      <c r="HG140" s="93"/>
    </row>
    <row r="141" spans="14:215" x14ac:dyDescent="0.2">
      <c r="N141" s="93" t="s">
        <v>358</v>
      </c>
      <c r="O141" s="93"/>
      <c r="P141" s="93"/>
      <c r="Q141" s="93"/>
      <c r="R141" s="93"/>
      <c r="S141" s="93"/>
      <c r="T141" s="93"/>
      <c r="U141" s="93"/>
      <c r="V141" s="93"/>
      <c r="W141" s="93"/>
      <c r="X141" s="93"/>
      <c r="Y141" s="93"/>
      <c r="Z141" s="93"/>
      <c r="AA141" s="93"/>
      <c r="AB141" s="93"/>
      <c r="AC141" s="93"/>
      <c r="AD141" s="93"/>
      <c r="AE141" s="93"/>
      <c r="AF141" s="93"/>
      <c r="AG141" s="93"/>
      <c r="AH141" s="93"/>
      <c r="AI141" s="93"/>
      <c r="AJ141" s="93"/>
      <c r="AK141" s="93"/>
      <c r="AL141" s="93"/>
      <c r="AM141" s="93"/>
      <c r="AN141" s="93"/>
      <c r="AO141" s="93"/>
      <c r="AP141" s="93"/>
      <c r="AQ141" s="93"/>
      <c r="AR141" s="93"/>
      <c r="AS141" s="93">
        <v>0.32958801498127338</v>
      </c>
      <c r="AT141" s="93"/>
      <c r="AU141" s="93"/>
      <c r="AV141" s="93"/>
      <c r="AW141" s="93"/>
      <c r="AX141" s="93"/>
      <c r="AY141" s="93"/>
      <c r="AZ141" s="93"/>
      <c r="BA141" s="93"/>
      <c r="BB141" s="93"/>
      <c r="BC141" s="93"/>
      <c r="BD141" s="93"/>
      <c r="BE141" s="93"/>
      <c r="BF141" s="93"/>
      <c r="BG141" s="93"/>
      <c r="BH141" s="93"/>
      <c r="BI141" s="93"/>
      <c r="BJ141" s="93"/>
      <c r="BK141" s="93"/>
      <c r="BL141" s="93"/>
      <c r="BM141" s="93"/>
      <c r="BN141" s="93"/>
      <c r="BO141" s="93"/>
      <c r="BP141" s="93"/>
      <c r="BQ141" s="93"/>
      <c r="BR141" s="93"/>
      <c r="BS141" s="93"/>
      <c r="BT141" s="93"/>
      <c r="BU141" s="93"/>
      <c r="BV141" s="93"/>
      <c r="BW141" s="93"/>
      <c r="BX141" s="93"/>
      <c r="BY141" s="93"/>
      <c r="BZ141" s="93"/>
      <c r="CA141" s="93"/>
      <c r="CB141" s="93"/>
      <c r="CC141" s="93"/>
      <c r="CD141" s="93"/>
      <c r="CE141" s="93"/>
      <c r="CF141" s="93"/>
      <c r="CG141" s="93"/>
      <c r="CH141" s="93"/>
      <c r="CI141" s="93"/>
      <c r="CJ141" s="93"/>
      <c r="CK141" s="93"/>
      <c r="CL141" s="93"/>
      <c r="CM141" s="93"/>
      <c r="CN141" s="93"/>
      <c r="CO141" s="93"/>
      <c r="CP141" s="93"/>
      <c r="CQ141" s="93"/>
      <c r="CR141" s="93"/>
      <c r="CS141" s="93"/>
      <c r="CT141" s="93"/>
      <c r="CU141" s="93"/>
      <c r="CV141" s="93"/>
      <c r="CW141" s="93"/>
      <c r="CX141" s="93"/>
      <c r="CY141" s="93"/>
      <c r="CZ141" s="93"/>
      <c r="DA141" s="93"/>
      <c r="DB141" s="93"/>
      <c r="DC141" s="93"/>
      <c r="DD141" s="93"/>
      <c r="DE141" s="93"/>
      <c r="DF141" s="93"/>
      <c r="DG141" s="93"/>
      <c r="DH141" s="93"/>
      <c r="DI141" s="93"/>
      <c r="DJ141" s="93"/>
      <c r="DK141" s="93"/>
      <c r="DL141" s="93"/>
      <c r="DM141" s="93"/>
      <c r="DN141" s="93"/>
      <c r="DO141" s="93"/>
      <c r="DP141" s="93"/>
      <c r="DQ141" s="93"/>
      <c r="DR141" s="93"/>
      <c r="DS141" s="93"/>
      <c r="DT141" s="93"/>
      <c r="DU141" s="93"/>
      <c r="DV141" s="93"/>
      <c r="DW141" s="93"/>
      <c r="DX141" s="93"/>
      <c r="DY141" s="93"/>
      <c r="DZ141" s="93"/>
      <c r="EA141" s="93"/>
      <c r="EB141" s="93"/>
      <c r="EC141" s="93"/>
      <c r="ED141" s="93"/>
      <c r="EE141" s="93"/>
      <c r="EF141" s="93"/>
      <c r="EG141" s="93"/>
      <c r="EH141" s="93"/>
      <c r="EI141" s="93"/>
      <c r="EJ141" s="93"/>
      <c r="EK141" s="93"/>
      <c r="EL141" s="93"/>
      <c r="EM141" s="93"/>
      <c r="EN141" s="93"/>
      <c r="EO141" s="93"/>
      <c r="EP141" s="93"/>
      <c r="EQ141" s="93"/>
      <c r="ER141" s="93"/>
      <c r="ES141" s="93"/>
      <c r="ET141" s="93"/>
      <c r="EU141" s="93"/>
      <c r="EV141" s="93"/>
      <c r="EW141" s="93"/>
      <c r="EX141" s="93"/>
      <c r="EY141" s="93"/>
      <c r="EZ141" s="93"/>
      <c r="FA141" s="93"/>
      <c r="FB141" s="93"/>
      <c r="FC141" s="93"/>
      <c r="FD141" s="93"/>
      <c r="FE141" s="93"/>
      <c r="FF141" s="93"/>
      <c r="FG141" s="93"/>
      <c r="FH141" s="93"/>
      <c r="FI141" s="93"/>
      <c r="FJ141" s="93"/>
      <c r="FK141" s="93"/>
      <c r="FL141" s="93"/>
      <c r="FM141" s="93"/>
      <c r="FN141" s="93"/>
      <c r="FO141" s="93"/>
      <c r="FP141" s="93"/>
      <c r="FQ141" s="93"/>
      <c r="FR141" s="93"/>
      <c r="FS141" s="93"/>
      <c r="FT141" s="93"/>
      <c r="FU141" s="93"/>
      <c r="FV141" s="93"/>
      <c r="FW141" s="93"/>
      <c r="FX141" s="93"/>
      <c r="FY141" s="93"/>
      <c r="FZ141" s="93"/>
      <c r="GA141" s="93"/>
      <c r="GB141" s="93"/>
      <c r="GC141" s="93"/>
      <c r="GD141" s="93"/>
      <c r="GE141" s="93"/>
      <c r="GF141" s="93"/>
      <c r="GG141" s="93"/>
      <c r="GH141" s="93"/>
      <c r="GI141" s="93"/>
      <c r="GJ141" s="93"/>
      <c r="GK141" s="93"/>
      <c r="GL141" s="93"/>
      <c r="GM141" s="93"/>
      <c r="GN141" s="93"/>
      <c r="GO141" s="93"/>
      <c r="GP141" s="93"/>
      <c r="GQ141" s="93"/>
      <c r="GR141" s="93"/>
      <c r="GS141" s="93"/>
      <c r="GT141" s="93"/>
      <c r="GU141" s="93"/>
      <c r="GV141" s="93"/>
      <c r="GW141" s="93"/>
      <c r="GX141" s="93"/>
      <c r="GY141" s="93"/>
      <c r="GZ141" s="93"/>
      <c r="HA141" s="93"/>
      <c r="HB141" s="93"/>
      <c r="HC141" s="93"/>
      <c r="HD141" s="93"/>
      <c r="HE141" s="93"/>
      <c r="HF141" s="93"/>
      <c r="HG141" s="93"/>
    </row>
    <row r="142" spans="14:215" x14ac:dyDescent="0.2">
      <c r="N142" s="93" t="s">
        <v>359</v>
      </c>
      <c r="O142" s="93"/>
      <c r="P142" s="93"/>
      <c r="Q142" s="93"/>
      <c r="R142" s="93"/>
      <c r="S142" s="93"/>
      <c r="T142" s="93"/>
      <c r="U142" s="93"/>
      <c r="V142" s="93"/>
      <c r="W142" s="93"/>
      <c r="X142" s="93"/>
      <c r="Y142" s="93"/>
      <c r="Z142" s="93"/>
      <c r="AA142" s="93"/>
      <c r="AB142" s="93"/>
      <c r="AC142" s="93"/>
      <c r="AD142" s="93"/>
      <c r="AE142" s="93"/>
      <c r="AF142" s="93"/>
      <c r="AG142" s="93"/>
      <c r="AH142" s="93"/>
      <c r="AI142" s="93"/>
      <c r="AJ142" s="93"/>
      <c r="AK142" s="93"/>
      <c r="AL142" s="93"/>
      <c r="AM142" s="93"/>
      <c r="AN142" s="93"/>
      <c r="AO142" s="93"/>
      <c r="AP142" s="93"/>
      <c r="AQ142" s="93"/>
      <c r="AR142" s="93"/>
      <c r="AS142" s="93"/>
      <c r="AT142" s="93">
        <v>0.32971014492753625</v>
      </c>
      <c r="AU142" s="93"/>
      <c r="AV142" s="93"/>
      <c r="AW142" s="93"/>
      <c r="AX142" s="93"/>
      <c r="AY142" s="93"/>
      <c r="AZ142" s="93"/>
      <c r="BA142" s="93"/>
      <c r="BB142" s="93"/>
      <c r="BC142" s="93"/>
      <c r="BD142" s="93"/>
      <c r="BE142" s="93"/>
      <c r="BF142" s="93"/>
      <c r="BG142" s="93"/>
      <c r="BH142" s="93"/>
      <c r="BI142" s="93"/>
      <c r="BJ142" s="93"/>
      <c r="BK142" s="93"/>
      <c r="BL142" s="93"/>
      <c r="BM142" s="93"/>
      <c r="BN142" s="93"/>
      <c r="BO142" s="93"/>
      <c r="BP142" s="93"/>
      <c r="BQ142" s="93"/>
      <c r="BR142" s="93"/>
      <c r="BS142" s="93"/>
      <c r="BT142" s="93"/>
      <c r="BU142" s="93"/>
      <c r="BV142" s="93"/>
      <c r="BW142" s="93"/>
      <c r="BX142" s="93"/>
      <c r="BY142" s="93"/>
      <c r="BZ142" s="93"/>
      <c r="CA142" s="93"/>
      <c r="CB142" s="93"/>
      <c r="CC142" s="93"/>
      <c r="CD142" s="93"/>
      <c r="CE142" s="93"/>
      <c r="CF142" s="93"/>
      <c r="CG142" s="93"/>
      <c r="CH142" s="93"/>
      <c r="CI142" s="93"/>
      <c r="CJ142" s="93"/>
      <c r="CK142" s="93"/>
      <c r="CL142" s="93"/>
      <c r="CM142" s="93"/>
      <c r="CN142" s="93"/>
      <c r="CO142" s="93"/>
      <c r="CP142" s="93"/>
      <c r="CQ142" s="93"/>
      <c r="CR142" s="93"/>
      <c r="CS142" s="93"/>
      <c r="CT142" s="93"/>
      <c r="CU142" s="93"/>
      <c r="CV142" s="93"/>
      <c r="CW142" s="93"/>
      <c r="CX142" s="93"/>
      <c r="CY142" s="93"/>
      <c r="CZ142" s="93"/>
      <c r="DA142" s="93"/>
      <c r="DB142" s="93"/>
      <c r="DC142" s="93"/>
      <c r="DD142" s="93"/>
      <c r="DE142" s="93"/>
      <c r="DF142" s="93"/>
      <c r="DG142" s="93"/>
      <c r="DH142" s="93"/>
      <c r="DI142" s="93"/>
      <c r="DJ142" s="93"/>
      <c r="DK142" s="93"/>
      <c r="DL142" s="93"/>
      <c r="DM142" s="93"/>
      <c r="DN142" s="93"/>
      <c r="DO142" s="93"/>
      <c r="DP142" s="93"/>
      <c r="DQ142" s="93"/>
      <c r="DR142" s="93"/>
      <c r="DS142" s="93"/>
      <c r="DT142" s="93"/>
      <c r="DU142" s="93"/>
      <c r="DV142" s="93"/>
      <c r="DW142" s="93"/>
      <c r="DX142" s="93"/>
      <c r="DY142" s="93"/>
      <c r="DZ142" s="93"/>
      <c r="EA142" s="93"/>
      <c r="EB142" s="93"/>
      <c r="EC142" s="93"/>
      <c r="ED142" s="93"/>
      <c r="EE142" s="93"/>
      <c r="EF142" s="93"/>
      <c r="EG142" s="93"/>
      <c r="EH142" s="93"/>
      <c r="EI142" s="93"/>
      <c r="EJ142" s="93"/>
      <c r="EK142" s="93"/>
      <c r="EL142" s="93"/>
      <c r="EM142" s="93"/>
      <c r="EN142" s="93"/>
      <c r="EO142" s="93"/>
      <c r="EP142" s="93"/>
      <c r="EQ142" s="93"/>
      <c r="ER142" s="93"/>
      <c r="ES142" s="93"/>
      <c r="ET142" s="93"/>
      <c r="EU142" s="93"/>
      <c r="EV142" s="93"/>
      <c r="EW142" s="93"/>
      <c r="EX142" s="93"/>
      <c r="EY142" s="93"/>
      <c r="EZ142" s="93"/>
      <c r="FA142" s="93"/>
      <c r="FB142" s="93"/>
      <c r="FC142" s="93"/>
      <c r="FD142" s="93"/>
      <c r="FE142" s="93"/>
      <c r="FF142" s="93"/>
      <c r="FG142" s="93"/>
      <c r="FH142" s="93"/>
      <c r="FI142" s="93"/>
      <c r="FJ142" s="93"/>
      <c r="FK142" s="93"/>
      <c r="FL142" s="93"/>
      <c r="FM142" s="93"/>
      <c r="FN142" s="93"/>
      <c r="FO142" s="93"/>
      <c r="FP142" s="93"/>
      <c r="FQ142" s="93"/>
      <c r="FR142" s="93"/>
      <c r="FS142" s="93"/>
      <c r="FT142" s="93"/>
      <c r="FU142" s="93"/>
      <c r="FV142" s="93"/>
      <c r="FW142" s="93"/>
      <c r="FX142" s="93"/>
      <c r="FY142" s="93"/>
      <c r="FZ142" s="93"/>
      <c r="GA142" s="93"/>
      <c r="GB142" s="93"/>
      <c r="GC142" s="93"/>
      <c r="GD142" s="93"/>
      <c r="GE142" s="93"/>
      <c r="GF142" s="93"/>
      <c r="GG142" s="93"/>
      <c r="GH142" s="93"/>
      <c r="GI142" s="93"/>
      <c r="GJ142" s="93"/>
      <c r="GK142" s="93"/>
      <c r="GL142" s="93"/>
      <c r="GM142" s="93"/>
      <c r="GN142" s="93"/>
      <c r="GO142" s="93"/>
      <c r="GP142" s="93"/>
      <c r="GQ142" s="93"/>
      <c r="GR142" s="93"/>
      <c r="GS142" s="93"/>
      <c r="GT142" s="93"/>
      <c r="GU142" s="93"/>
      <c r="GV142" s="93"/>
      <c r="GW142" s="93"/>
      <c r="GX142" s="93"/>
      <c r="GY142" s="93"/>
      <c r="GZ142" s="93"/>
      <c r="HA142" s="93"/>
      <c r="HB142" s="93"/>
      <c r="HC142" s="93"/>
      <c r="HD142" s="93"/>
      <c r="HE142" s="93"/>
      <c r="HF142" s="93"/>
      <c r="HG142" s="93"/>
    </row>
    <row r="143" spans="14:215" x14ac:dyDescent="0.2">
      <c r="N143" s="93" t="s">
        <v>360</v>
      </c>
      <c r="O143" s="93"/>
      <c r="P143" s="93"/>
      <c r="Q143" s="93"/>
      <c r="R143" s="93"/>
      <c r="S143" s="93"/>
      <c r="T143" s="93"/>
      <c r="U143" s="93"/>
      <c r="V143" s="93"/>
      <c r="W143" s="93"/>
      <c r="X143" s="93"/>
      <c r="Y143" s="93"/>
      <c r="Z143" s="93"/>
      <c r="AA143" s="93"/>
      <c r="AB143" s="93"/>
      <c r="AC143" s="93"/>
      <c r="AD143" s="93"/>
      <c r="AE143" s="93"/>
      <c r="AF143" s="93"/>
      <c r="AG143" s="93"/>
      <c r="AH143" s="93"/>
      <c r="AI143" s="93"/>
      <c r="AJ143" s="93"/>
      <c r="AK143" s="93"/>
      <c r="AL143" s="93"/>
      <c r="AM143" s="93"/>
      <c r="AN143" s="93"/>
      <c r="AO143" s="93"/>
      <c r="AP143" s="93"/>
      <c r="AQ143" s="93"/>
      <c r="AR143" s="93"/>
      <c r="AS143" s="93"/>
      <c r="AT143" s="93"/>
      <c r="AU143" s="93">
        <v>0.3298245614035088</v>
      </c>
      <c r="AV143" s="93"/>
      <c r="AW143" s="93"/>
      <c r="AX143" s="93"/>
      <c r="AY143" s="93"/>
      <c r="AZ143" s="93"/>
      <c r="BA143" s="93"/>
      <c r="BB143" s="93"/>
      <c r="BC143" s="93"/>
      <c r="BD143" s="93"/>
      <c r="BE143" s="93"/>
      <c r="BF143" s="93"/>
      <c r="BG143" s="93"/>
      <c r="BH143" s="93"/>
      <c r="BI143" s="93"/>
      <c r="BJ143" s="93"/>
      <c r="BK143" s="93"/>
      <c r="BL143" s="93"/>
      <c r="BM143" s="93"/>
      <c r="BN143" s="93"/>
      <c r="BO143" s="93"/>
      <c r="BP143" s="93"/>
      <c r="BQ143" s="93"/>
      <c r="BR143" s="93"/>
      <c r="BS143" s="93"/>
      <c r="BT143" s="93"/>
      <c r="BU143" s="93"/>
      <c r="BV143" s="93"/>
      <c r="BW143" s="93"/>
      <c r="BX143" s="93"/>
      <c r="BY143" s="93"/>
      <c r="BZ143" s="93"/>
      <c r="CA143" s="93"/>
      <c r="CB143" s="93"/>
      <c r="CC143" s="93"/>
      <c r="CD143" s="93"/>
      <c r="CE143" s="93"/>
      <c r="CF143" s="93"/>
      <c r="CG143" s="93"/>
      <c r="CH143" s="93"/>
      <c r="CI143" s="93"/>
      <c r="CJ143" s="93"/>
      <c r="CK143" s="93"/>
      <c r="CL143" s="93"/>
      <c r="CM143" s="93"/>
      <c r="CN143" s="93"/>
      <c r="CO143" s="93"/>
      <c r="CP143" s="93"/>
      <c r="CQ143" s="93"/>
      <c r="CR143" s="93"/>
      <c r="CS143" s="93"/>
      <c r="CT143" s="93"/>
      <c r="CU143" s="93"/>
      <c r="CV143" s="93"/>
      <c r="CW143" s="93"/>
      <c r="CX143" s="93"/>
      <c r="CY143" s="93"/>
      <c r="CZ143" s="93"/>
      <c r="DA143" s="93"/>
      <c r="DB143" s="93"/>
      <c r="DC143" s="93"/>
      <c r="DD143" s="93"/>
      <c r="DE143" s="93"/>
      <c r="DF143" s="93"/>
      <c r="DG143" s="93"/>
      <c r="DH143" s="93"/>
      <c r="DI143" s="93"/>
      <c r="DJ143" s="93"/>
      <c r="DK143" s="93"/>
      <c r="DL143" s="93"/>
      <c r="DM143" s="93"/>
      <c r="DN143" s="93"/>
      <c r="DO143" s="93"/>
      <c r="DP143" s="93"/>
      <c r="DQ143" s="93"/>
      <c r="DR143" s="93"/>
      <c r="DS143" s="93"/>
      <c r="DT143" s="93"/>
      <c r="DU143" s="93"/>
      <c r="DV143" s="93"/>
      <c r="DW143" s="93"/>
      <c r="DX143" s="93"/>
      <c r="DY143" s="93"/>
      <c r="DZ143" s="93"/>
      <c r="EA143" s="93"/>
      <c r="EB143" s="93"/>
      <c r="EC143" s="93"/>
      <c r="ED143" s="93"/>
      <c r="EE143" s="93"/>
      <c r="EF143" s="93"/>
      <c r="EG143" s="93"/>
      <c r="EH143" s="93"/>
      <c r="EI143" s="93"/>
      <c r="EJ143" s="93"/>
      <c r="EK143" s="93"/>
      <c r="EL143" s="93"/>
      <c r="EM143" s="93"/>
      <c r="EN143" s="93"/>
      <c r="EO143" s="93"/>
      <c r="EP143" s="93"/>
      <c r="EQ143" s="93"/>
      <c r="ER143" s="93"/>
      <c r="ES143" s="93"/>
      <c r="ET143" s="93"/>
      <c r="EU143" s="93"/>
      <c r="EV143" s="93"/>
      <c r="EW143" s="93"/>
      <c r="EX143" s="93"/>
      <c r="EY143" s="93"/>
      <c r="EZ143" s="93"/>
      <c r="FA143" s="93"/>
      <c r="FB143" s="93"/>
      <c r="FC143" s="93"/>
      <c r="FD143" s="93"/>
      <c r="FE143" s="93"/>
      <c r="FF143" s="93"/>
      <c r="FG143" s="93"/>
      <c r="FH143" s="93"/>
      <c r="FI143" s="93"/>
      <c r="FJ143" s="93"/>
      <c r="FK143" s="93"/>
      <c r="FL143" s="93"/>
      <c r="FM143" s="93"/>
      <c r="FN143" s="93"/>
      <c r="FO143" s="93"/>
      <c r="FP143" s="93"/>
      <c r="FQ143" s="93"/>
      <c r="FR143" s="93"/>
      <c r="FS143" s="93"/>
      <c r="FT143" s="93"/>
      <c r="FU143" s="93"/>
      <c r="FV143" s="93"/>
      <c r="FW143" s="93"/>
      <c r="FX143" s="93"/>
      <c r="FY143" s="93"/>
      <c r="FZ143" s="93"/>
      <c r="GA143" s="93"/>
      <c r="GB143" s="93"/>
      <c r="GC143" s="93"/>
      <c r="GD143" s="93"/>
      <c r="GE143" s="93"/>
      <c r="GF143" s="93"/>
      <c r="GG143" s="93"/>
      <c r="GH143" s="93"/>
      <c r="GI143" s="93"/>
      <c r="GJ143" s="93"/>
      <c r="GK143" s="93"/>
      <c r="GL143" s="93"/>
      <c r="GM143" s="93"/>
      <c r="GN143" s="93"/>
      <c r="GO143" s="93"/>
      <c r="GP143" s="93"/>
      <c r="GQ143" s="93"/>
      <c r="GR143" s="93"/>
      <c r="GS143" s="93"/>
      <c r="GT143" s="93"/>
      <c r="GU143" s="93"/>
      <c r="GV143" s="93"/>
      <c r="GW143" s="93"/>
      <c r="GX143" s="93"/>
      <c r="GY143" s="93"/>
      <c r="GZ143" s="93"/>
      <c r="HA143" s="93"/>
      <c r="HB143" s="93"/>
      <c r="HC143" s="93"/>
      <c r="HD143" s="93"/>
      <c r="HE143" s="93"/>
      <c r="HF143" s="93"/>
      <c r="HG143" s="93"/>
    </row>
    <row r="144" spans="14:215" x14ac:dyDescent="0.2">
      <c r="N144" s="93" t="s">
        <v>361</v>
      </c>
      <c r="O144" s="93"/>
      <c r="P144" s="93"/>
      <c r="Q144" s="93"/>
      <c r="R144" s="93"/>
      <c r="S144" s="93"/>
      <c r="T144" s="93"/>
      <c r="U144" s="93"/>
      <c r="V144" s="93"/>
      <c r="W144" s="93"/>
      <c r="X144" s="93"/>
      <c r="Y144" s="93"/>
      <c r="Z144" s="93"/>
      <c r="AA144" s="93"/>
      <c r="AB144" s="93"/>
      <c r="AC144" s="93"/>
      <c r="AD144" s="93"/>
      <c r="AE144" s="93"/>
      <c r="AF144" s="93"/>
      <c r="AG144" s="93"/>
      <c r="AH144" s="93"/>
      <c r="AI144" s="93"/>
      <c r="AJ144" s="93"/>
      <c r="AK144" s="93"/>
      <c r="AL144" s="93"/>
      <c r="AM144" s="93"/>
      <c r="AN144" s="93"/>
      <c r="AO144" s="93"/>
      <c r="AP144" s="93"/>
      <c r="AQ144" s="93"/>
      <c r="AR144" s="93"/>
      <c r="AS144" s="93"/>
      <c r="AT144" s="93"/>
      <c r="AU144" s="93"/>
      <c r="AV144" s="93">
        <v>0.32993197278911562</v>
      </c>
      <c r="AW144" s="93"/>
      <c r="AX144" s="93"/>
      <c r="AY144" s="93"/>
      <c r="AZ144" s="93"/>
      <c r="BA144" s="93"/>
      <c r="BB144" s="93"/>
      <c r="BC144" s="93"/>
      <c r="BD144" s="93"/>
      <c r="BE144" s="93"/>
      <c r="BF144" s="93"/>
      <c r="BG144" s="93"/>
      <c r="BH144" s="93"/>
      <c r="BI144" s="93"/>
      <c r="BJ144" s="93"/>
      <c r="BK144" s="93"/>
      <c r="BL144" s="93"/>
      <c r="BM144" s="93"/>
      <c r="BN144" s="93"/>
      <c r="BO144" s="93"/>
      <c r="BP144" s="93"/>
      <c r="BQ144" s="93"/>
      <c r="BR144" s="93"/>
      <c r="BS144" s="93"/>
      <c r="BT144" s="93"/>
      <c r="BU144" s="93"/>
      <c r="BV144" s="93"/>
      <c r="BW144" s="93"/>
      <c r="BX144" s="93"/>
      <c r="BY144" s="93"/>
      <c r="BZ144" s="93"/>
      <c r="CA144" s="93"/>
      <c r="CB144" s="93"/>
      <c r="CC144" s="93"/>
      <c r="CD144" s="93"/>
      <c r="CE144" s="93"/>
      <c r="CF144" s="93"/>
      <c r="CG144" s="93"/>
      <c r="CH144" s="93"/>
      <c r="CI144" s="93"/>
      <c r="CJ144" s="93"/>
      <c r="CK144" s="93"/>
      <c r="CL144" s="93"/>
      <c r="CM144" s="93"/>
      <c r="CN144" s="93"/>
      <c r="CO144" s="93"/>
      <c r="CP144" s="93"/>
      <c r="CQ144" s="93"/>
      <c r="CR144" s="93"/>
      <c r="CS144" s="93"/>
      <c r="CT144" s="93"/>
      <c r="CU144" s="93"/>
      <c r="CV144" s="93"/>
      <c r="CW144" s="93"/>
      <c r="CX144" s="93"/>
      <c r="CY144" s="93"/>
      <c r="CZ144" s="93"/>
      <c r="DA144" s="93"/>
      <c r="DB144" s="93"/>
      <c r="DC144" s="93"/>
      <c r="DD144" s="93"/>
      <c r="DE144" s="93"/>
      <c r="DF144" s="93"/>
      <c r="DG144" s="93"/>
      <c r="DH144" s="93"/>
      <c r="DI144" s="93"/>
      <c r="DJ144" s="93"/>
      <c r="DK144" s="93"/>
      <c r="DL144" s="93"/>
      <c r="DM144" s="93"/>
      <c r="DN144" s="93"/>
      <c r="DO144" s="93"/>
      <c r="DP144" s="93"/>
      <c r="DQ144" s="93"/>
      <c r="DR144" s="93"/>
      <c r="DS144" s="93"/>
      <c r="DT144" s="93"/>
      <c r="DU144" s="93"/>
      <c r="DV144" s="93"/>
      <c r="DW144" s="93"/>
      <c r="DX144" s="93"/>
      <c r="DY144" s="93"/>
      <c r="DZ144" s="93"/>
      <c r="EA144" s="93"/>
      <c r="EB144" s="93"/>
      <c r="EC144" s="93"/>
      <c r="ED144" s="93"/>
      <c r="EE144" s="93"/>
      <c r="EF144" s="93"/>
      <c r="EG144" s="93"/>
      <c r="EH144" s="93"/>
      <c r="EI144" s="93"/>
      <c r="EJ144" s="93"/>
      <c r="EK144" s="93"/>
      <c r="EL144" s="93"/>
      <c r="EM144" s="93"/>
      <c r="EN144" s="93"/>
      <c r="EO144" s="93"/>
      <c r="EP144" s="93"/>
      <c r="EQ144" s="93"/>
      <c r="ER144" s="93"/>
      <c r="ES144" s="93"/>
      <c r="ET144" s="93"/>
      <c r="EU144" s="93"/>
      <c r="EV144" s="93"/>
      <c r="EW144" s="93"/>
      <c r="EX144" s="93"/>
      <c r="EY144" s="93"/>
      <c r="EZ144" s="93"/>
      <c r="FA144" s="93"/>
      <c r="FB144" s="93"/>
      <c r="FC144" s="93"/>
      <c r="FD144" s="93"/>
      <c r="FE144" s="93"/>
      <c r="FF144" s="93"/>
      <c r="FG144" s="93"/>
      <c r="FH144" s="93"/>
      <c r="FI144" s="93"/>
      <c r="FJ144" s="93"/>
      <c r="FK144" s="93"/>
      <c r="FL144" s="93"/>
      <c r="FM144" s="93"/>
      <c r="FN144" s="93"/>
      <c r="FO144" s="93"/>
      <c r="FP144" s="93"/>
      <c r="FQ144" s="93"/>
      <c r="FR144" s="93"/>
      <c r="FS144" s="93"/>
      <c r="FT144" s="93"/>
      <c r="FU144" s="93"/>
      <c r="FV144" s="93"/>
      <c r="FW144" s="93"/>
      <c r="FX144" s="93"/>
      <c r="FY144" s="93"/>
      <c r="FZ144" s="93"/>
      <c r="GA144" s="93"/>
      <c r="GB144" s="93"/>
      <c r="GC144" s="93"/>
      <c r="GD144" s="93"/>
      <c r="GE144" s="93"/>
      <c r="GF144" s="93"/>
      <c r="GG144" s="93"/>
      <c r="GH144" s="93"/>
      <c r="GI144" s="93"/>
      <c r="GJ144" s="93"/>
      <c r="GK144" s="93"/>
      <c r="GL144" s="93"/>
      <c r="GM144" s="93"/>
      <c r="GN144" s="93"/>
      <c r="GO144" s="93"/>
      <c r="GP144" s="93"/>
      <c r="GQ144" s="93"/>
      <c r="GR144" s="93"/>
      <c r="GS144" s="93"/>
      <c r="GT144" s="93"/>
      <c r="GU144" s="93"/>
      <c r="GV144" s="93"/>
      <c r="GW144" s="93"/>
      <c r="GX144" s="93"/>
      <c r="GY144" s="93"/>
      <c r="GZ144" s="93"/>
      <c r="HA144" s="93"/>
      <c r="HB144" s="93"/>
      <c r="HC144" s="93"/>
      <c r="HD144" s="93"/>
      <c r="HE144" s="93"/>
      <c r="HF144" s="93"/>
      <c r="HG144" s="93"/>
    </row>
    <row r="145" spans="14:215" x14ac:dyDescent="0.2">
      <c r="N145" s="93" t="s">
        <v>362</v>
      </c>
      <c r="O145" s="93"/>
      <c r="P145" s="93"/>
      <c r="Q145" s="93"/>
      <c r="R145" s="93"/>
      <c r="S145" s="93"/>
      <c r="T145" s="93"/>
      <c r="U145" s="93"/>
      <c r="V145" s="93"/>
      <c r="W145" s="93"/>
      <c r="X145" s="93"/>
      <c r="Y145" s="93"/>
      <c r="Z145" s="93"/>
      <c r="AA145" s="93"/>
      <c r="AB145" s="93"/>
      <c r="AC145" s="93"/>
      <c r="AD145" s="93"/>
      <c r="AE145" s="93"/>
      <c r="AF145" s="93"/>
      <c r="AG145" s="93"/>
      <c r="AH145" s="93"/>
      <c r="AI145" s="93"/>
      <c r="AJ145" s="93"/>
      <c r="AK145" s="93"/>
      <c r="AL145" s="93"/>
      <c r="AM145" s="93"/>
      <c r="AN145" s="93"/>
      <c r="AO145" s="93"/>
      <c r="AP145" s="93"/>
      <c r="AQ145" s="93"/>
      <c r="AR145" s="93"/>
      <c r="AS145" s="93"/>
      <c r="AT145" s="93"/>
      <c r="AU145" s="93"/>
      <c r="AV145" s="93"/>
      <c r="AW145" s="93">
        <v>0.33003300330033003</v>
      </c>
      <c r="AX145" s="93"/>
      <c r="AY145" s="93"/>
      <c r="AZ145" s="93"/>
      <c r="BA145" s="93"/>
      <c r="BB145" s="93"/>
      <c r="BC145" s="93"/>
      <c r="BD145" s="93"/>
      <c r="BE145" s="93"/>
      <c r="BF145" s="93"/>
      <c r="BG145" s="93"/>
      <c r="BH145" s="93"/>
      <c r="BI145" s="93"/>
      <c r="BJ145" s="93"/>
      <c r="BK145" s="93"/>
      <c r="BL145" s="93"/>
      <c r="BM145" s="93"/>
      <c r="BN145" s="93"/>
      <c r="BO145" s="93"/>
      <c r="BP145" s="93"/>
      <c r="BQ145" s="93"/>
      <c r="BR145" s="93"/>
      <c r="BS145" s="93"/>
      <c r="BT145" s="93"/>
      <c r="BU145" s="93"/>
      <c r="BV145" s="93"/>
      <c r="BW145" s="93"/>
      <c r="BX145" s="93"/>
      <c r="BY145" s="93"/>
      <c r="BZ145" s="93"/>
      <c r="CA145" s="93"/>
      <c r="CB145" s="93"/>
      <c r="CC145" s="93"/>
      <c r="CD145" s="93"/>
      <c r="CE145" s="93"/>
      <c r="CF145" s="93"/>
      <c r="CG145" s="93"/>
      <c r="CH145" s="93"/>
      <c r="CI145" s="93"/>
      <c r="CJ145" s="93"/>
      <c r="CK145" s="93"/>
      <c r="CL145" s="93"/>
      <c r="CM145" s="93"/>
      <c r="CN145" s="93"/>
      <c r="CO145" s="93"/>
      <c r="CP145" s="93"/>
      <c r="CQ145" s="93"/>
      <c r="CR145" s="93"/>
      <c r="CS145" s="93"/>
      <c r="CT145" s="93"/>
      <c r="CU145" s="93"/>
      <c r="CV145" s="93"/>
      <c r="CW145" s="93"/>
      <c r="CX145" s="93"/>
      <c r="CY145" s="93"/>
      <c r="CZ145" s="93"/>
      <c r="DA145" s="93"/>
      <c r="DB145" s="93"/>
      <c r="DC145" s="93"/>
      <c r="DD145" s="93"/>
      <c r="DE145" s="93"/>
      <c r="DF145" s="93"/>
      <c r="DG145" s="93"/>
      <c r="DH145" s="93"/>
      <c r="DI145" s="93"/>
      <c r="DJ145" s="93"/>
      <c r="DK145" s="93"/>
      <c r="DL145" s="93"/>
      <c r="DM145" s="93"/>
      <c r="DN145" s="93"/>
      <c r="DO145" s="93"/>
      <c r="DP145" s="93"/>
      <c r="DQ145" s="93"/>
      <c r="DR145" s="93"/>
      <c r="DS145" s="93"/>
      <c r="DT145" s="93"/>
      <c r="DU145" s="93"/>
      <c r="DV145" s="93"/>
      <c r="DW145" s="93"/>
      <c r="DX145" s="93"/>
      <c r="DY145" s="93"/>
      <c r="DZ145" s="93"/>
      <c r="EA145" s="93"/>
      <c r="EB145" s="93"/>
      <c r="EC145" s="93"/>
      <c r="ED145" s="93"/>
      <c r="EE145" s="93"/>
      <c r="EF145" s="93"/>
      <c r="EG145" s="93"/>
      <c r="EH145" s="93"/>
      <c r="EI145" s="93"/>
      <c r="EJ145" s="93"/>
      <c r="EK145" s="93"/>
      <c r="EL145" s="93"/>
      <c r="EM145" s="93"/>
      <c r="EN145" s="93"/>
      <c r="EO145" s="93"/>
      <c r="EP145" s="93"/>
      <c r="EQ145" s="93"/>
      <c r="ER145" s="93"/>
      <c r="ES145" s="93"/>
      <c r="ET145" s="93"/>
      <c r="EU145" s="93"/>
      <c r="EV145" s="93"/>
      <c r="EW145" s="93"/>
      <c r="EX145" s="93"/>
      <c r="EY145" s="93"/>
      <c r="EZ145" s="93"/>
      <c r="FA145" s="93"/>
      <c r="FB145" s="93"/>
      <c r="FC145" s="93"/>
      <c r="FD145" s="93"/>
      <c r="FE145" s="93"/>
      <c r="FF145" s="93"/>
      <c r="FG145" s="93"/>
      <c r="FH145" s="93"/>
      <c r="FI145" s="93"/>
      <c r="FJ145" s="93"/>
      <c r="FK145" s="93"/>
      <c r="FL145" s="93"/>
      <c r="FM145" s="93"/>
      <c r="FN145" s="93"/>
      <c r="FO145" s="93"/>
      <c r="FP145" s="93"/>
      <c r="FQ145" s="93"/>
      <c r="FR145" s="93"/>
      <c r="FS145" s="93"/>
      <c r="FT145" s="93"/>
      <c r="FU145" s="93"/>
      <c r="FV145" s="93"/>
      <c r="FW145" s="93"/>
      <c r="FX145" s="93"/>
      <c r="FY145" s="93"/>
      <c r="FZ145" s="93"/>
      <c r="GA145" s="93"/>
      <c r="GB145" s="93"/>
      <c r="GC145" s="93"/>
      <c r="GD145" s="93"/>
      <c r="GE145" s="93"/>
      <c r="GF145" s="93"/>
      <c r="GG145" s="93"/>
      <c r="GH145" s="93"/>
      <c r="GI145" s="93"/>
      <c r="GJ145" s="93"/>
      <c r="GK145" s="93"/>
      <c r="GL145" s="93"/>
      <c r="GM145" s="93"/>
      <c r="GN145" s="93"/>
      <c r="GO145" s="93"/>
      <c r="GP145" s="93"/>
      <c r="GQ145" s="93"/>
      <c r="GR145" s="93"/>
      <c r="GS145" s="93"/>
      <c r="GT145" s="93"/>
      <c r="GU145" s="93"/>
      <c r="GV145" s="93"/>
      <c r="GW145" s="93"/>
      <c r="GX145" s="93"/>
      <c r="GY145" s="93"/>
      <c r="GZ145" s="93"/>
      <c r="HA145" s="93"/>
      <c r="HB145" s="93"/>
      <c r="HC145" s="93"/>
      <c r="HD145" s="93"/>
      <c r="HE145" s="93"/>
      <c r="HF145" s="93"/>
      <c r="HG145" s="93"/>
    </row>
    <row r="146" spans="14:215" x14ac:dyDescent="0.2">
      <c r="N146" s="93" t="s">
        <v>363</v>
      </c>
      <c r="O146" s="93"/>
      <c r="P146" s="93"/>
      <c r="Q146" s="93"/>
      <c r="R146" s="93"/>
      <c r="S146" s="93"/>
      <c r="T146" s="93"/>
      <c r="U146" s="93"/>
      <c r="V146" s="93"/>
      <c r="W146" s="93"/>
      <c r="X146" s="93"/>
      <c r="Y146" s="93"/>
      <c r="Z146" s="93"/>
      <c r="AA146" s="93"/>
      <c r="AB146" s="93"/>
      <c r="AC146" s="93"/>
      <c r="AD146" s="93"/>
      <c r="AE146" s="93"/>
      <c r="AF146" s="93"/>
      <c r="AG146" s="93"/>
      <c r="AH146" s="93"/>
      <c r="AI146" s="93"/>
      <c r="AJ146" s="93"/>
      <c r="AK146" s="93"/>
      <c r="AL146" s="93"/>
      <c r="AM146" s="93"/>
      <c r="AN146" s="93"/>
      <c r="AO146" s="93"/>
      <c r="AP146" s="93"/>
      <c r="AQ146" s="93"/>
      <c r="AR146" s="93"/>
      <c r="AS146" s="93"/>
      <c r="AT146" s="93"/>
      <c r="AU146" s="93"/>
      <c r="AV146" s="93"/>
      <c r="AW146" s="93"/>
      <c r="AX146" s="93">
        <v>0.33012820512820512</v>
      </c>
      <c r="AY146" s="93"/>
      <c r="AZ146" s="93"/>
      <c r="BA146" s="93"/>
      <c r="BB146" s="93"/>
      <c r="BC146" s="93"/>
      <c r="BD146" s="93"/>
      <c r="BE146" s="93"/>
      <c r="BF146" s="93"/>
      <c r="BG146" s="93"/>
      <c r="BH146" s="93"/>
      <c r="BI146" s="93"/>
      <c r="BJ146" s="93"/>
      <c r="BK146" s="93"/>
      <c r="BL146" s="93"/>
      <c r="BM146" s="93"/>
      <c r="BN146" s="93"/>
      <c r="BO146" s="93"/>
      <c r="BP146" s="93"/>
      <c r="BQ146" s="93"/>
      <c r="BR146" s="93"/>
      <c r="BS146" s="93"/>
      <c r="BT146" s="93"/>
      <c r="BU146" s="93"/>
      <c r="BV146" s="93"/>
      <c r="BW146" s="93"/>
      <c r="BX146" s="93"/>
      <c r="BY146" s="93"/>
      <c r="BZ146" s="93"/>
      <c r="CA146" s="93"/>
      <c r="CB146" s="93"/>
      <c r="CC146" s="93"/>
      <c r="CD146" s="93"/>
      <c r="CE146" s="93"/>
      <c r="CF146" s="93"/>
      <c r="CG146" s="93"/>
      <c r="CH146" s="93"/>
      <c r="CI146" s="93"/>
      <c r="CJ146" s="93"/>
      <c r="CK146" s="93"/>
      <c r="CL146" s="93"/>
      <c r="CM146" s="93"/>
      <c r="CN146" s="93"/>
      <c r="CO146" s="93"/>
      <c r="CP146" s="93"/>
      <c r="CQ146" s="93"/>
      <c r="CR146" s="93"/>
      <c r="CS146" s="93"/>
      <c r="CT146" s="93"/>
      <c r="CU146" s="93"/>
      <c r="CV146" s="93"/>
      <c r="CW146" s="93"/>
      <c r="CX146" s="93"/>
      <c r="CY146" s="93"/>
      <c r="CZ146" s="93"/>
      <c r="DA146" s="93"/>
      <c r="DB146" s="93"/>
      <c r="DC146" s="93"/>
      <c r="DD146" s="93"/>
      <c r="DE146" s="93"/>
      <c r="DF146" s="93"/>
      <c r="DG146" s="93"/>
      <c r="DH146" s="93"/>
      <c r="DI146" s="93"/>
      <c r="DJ146" s="93"/>
      <c r="DK146" s="93"/>
      <c r="DL146" s="93"/>
      <c r="DM146" s="93"/>
      <c r="DN146" s="93"/>
      <c r="DO146" s="93"/>
      <c r="DP146" s="93"/>
      <c r="DQ146" s="93"/>
      <c r="DR146" s="93"/>
      <c r="DS146" s="93"/>
      <c r="DT146" s="93"/>
      <c r="DU146" s="93"/>
      <c r="DV146" s="93"/>
      <c r="DW146" s="93"/>
      <c r="DX146" s="93"/>
      <c r="DY146" s="93"/>
      <c r="DZ146" s="93"/>
      <c r="EA146" s="93"/>
      <c r="EB146" s="93"/>
      <c r="EC146" s="93"/>
      <c r="ED146" s="93"/>
      <c r="EE146" s="93"/>
      <c r="EF146" s="93"/>
      <c r="EG146" s="93"/>
      <c r="EH146" s="93"/>
      <c r="EI146" s="93"/>
      <c r="EJ146" s="93"/>
      <c r="EK146" s="93"/>
      <c r="EL146" s="93"/>
      <c r="EM146" s="93"/>
      <c r="EN146" s="93"/>
      <c r="EO146" s="93"/>
      <c r="EP146" s="93"/>
      <c r="EQ146" s="93"/>
      <c r="ER146" s="93"/>
      <c r="ES146" s="93"/>
      <c r="ET146" s="93"/>
      <c r="EU146" s="93"/>
      <c r="EV146" s="93"/>
      <c r="EW146" s="93"/>
      <c r="EX146" s="93"/>
      <c r="EY146" s="93"/>
      <c r="EZ146" s="93"/>
      <c r="FA146" s="93"/>
      <c r="FB146" s="93"/>
      <c r="FC146" s="93"/>
      <c r="FD146" s="93"/>
      <c r="FE146" s="93"/>
      <c r="FF146" s="93"/>
      <c r="FG146" s="93"/>
      <c r="FH146" s="93"/>
      <c r="FI146" s="93"/>
      <c r="FJ146" s="93"/>
      <c r="FK146" s="93"/>
      <c r="FL146" s="93"/>
      <c r="FM146" s="93"/>
      <c r="FN146" s="93"/>
      <c r="FO146" s="93"/>
      <c r="FP146" s="93"/>
      <c r="FQ146" s="93"/>
      <c r="FR146" s="93"/>
      <c r="FS146" s="93"/>
      <c r="FT146" s="93"/>
      <c r="FU146" s="93"/>
      <c r="FV146" s="93"/>
      <c r="FW146" s="93"/>
      <c r="FX146" s="93"/>
      <c r="FY146" s="93"/>
      <c r="FZ146" s="93"/>
      <c r="GA146" s="93"/>
      <c r="GB146" s="93"/>
      <c r="GC146" s="93"/>
      <c r="GD146" s="93"/>
      <c r="GE146" s="93"/>
      <c r="GF146" s="93"/>
      <c r="GG146" s="93"/>
      <c r="GH146" s="93"/>
      <c r="GI146" s="93"/>
      <c r="GJ146" s="93"/>
      <c r="GK146" s="93"/>
      <c r="GL146" s="93"/>
      <c r="GM146" s="93"/>
      <c r="GN146" s="93"/>
      <c r="GO146" s="93"/>
      <c r="GP146" s="93"/>
      <c r="GQ146" s="93"/>
      <c r="GR146" s="93"/>
      <c r="GS146" s="93"/>
      <c r="GT146" s="93"/>
      <c r="GU146" s="93"/>
      <c r="GV146" s="93"/>
      <c r="GW146" s="93"/>
      <c r="GX146" s="93"/>
      <c r="GY146" s="93"/>
      <c r="GZ146" s="93"/>
      <c r="HA146" s="93"/>
      <c r="HB146" s="93"/>
      <c r="HC146" s="93"/>
      <c r="HD146" s="93"/>
      <c r="HE146" s="93"/>
      <c r="HF146" s="93"/>
      <c r="HG146" s="93"/>
    </row>
    <row r="147" spans="14:215" x14ac:dyDescent="0.2">
      <c r="N147" s="93" t="s">
        <v>364</v>
      </c>
      <c r="O147" s="93"/>
      <c r="P147" s="93"/>
      <c r="Q147" s="93"/>
      <c r="R147" s="93"/>
      <c r="S147" s="93"/>
      <c r="T147" s="93"/>
      <c r="U147" s="93"/>
      <c r="V147" s="93"/>
      <c r="W147" s="93"/>
      <c r="X147" s="93"/>
      <c r="Y147" s="93"/>
      <c r="Z147" s="93"/>
      <c r="AA147" s="93"/>
      <c r="AB147" s="93"/>
      <c r="AC147" s="93"/>
      <c r="AD147" s="93"/>
      <c r="AE147" s="93"/>
      <c r="AF147" s="93"/>
      <c r="AG147" s="93"/>
      <c r="AH147" s="93"/>
      <c r="AI147" s="93"/>
      <c r="AJ147" s="93"/>
      <c r="AK147" s="93"/>
      <c r="AL147" s="93"/>
      <c r="AM147" s="93"/>
      <c r="AN147" s="93"/>
      <c r="AO147" s="93"/>
      <c r="AP147" s="93"/>
      <c r="AQ147" s="93"/>
      <c r="AR147" s="93"/>
      <c r="AS147" s="93"/>
      <c r="AT147" s="93"/>
      <c r="AU147" s="93"/>
      <c r="AV147" s="93"/>
      <c r="AW147" s="93"/>
      <c r="AX147" s="93"/>
      <c r="AY147" s="93">
        <v>0.33021806853582553</v>
      </c>
      <c r="AZ147" s="93"/>
      <c r="BA147" s="93"/>
      <c r="BB147" s="93"/>
      <c r="BC147" s="93"/>
      <c r="BD147" s="93"/>
      <c r="BE147" s="93"/>
      <c r="BF147" s="93"/>
      <c r="BG147" s="93"/>
      <c r="BH147" s="93"/>
      <c r="BI147" s="93"/>
      <c r="BJ147" s="93"/>
      <c r="BK147" s="93"/>
      <c r="BL147" s="93"/>
      <c r="BM147" s="93"/>
      <c r="BN147" s="93"/>
      <c r="BO147" s="93"/>
      <c r="BP147" s="93"/>
      <c r="BQ147" s="93"/>
      <c r="BR147" s="93"/>
      <c r="BS147" s="93"/>
      <c r="BT147" s="93"/>
      <c r="BU147" s="93"/>
      <c r="BV147" s="93"/>
      <c r="BW147" s="93"/>
      <c r="BX147" s="93"/>
      <c r="BY147" s="93"/>
      <c r="BZ147" s="93"/>
      <c r="CA147" s="93"/>
      <c r="CB147" s="93"/>
      <c r="CC147" s="93"/>
      <c r="CD147" s="93"/>
      <c r="CE147" s="93"/>
      <c r="CF147" s="93"/>
      <c r="CG147" s="93"/>
      <c r="CH147" s="93"/>
      <c r="CI147" s="93"/>
      <c r="CJ147" s="93"/>
      <c r="CK147" s="93"/>
      <c r="CL147" s="93"/>
      <c r="CM147" s="93"/>
      <c r="CN147" s="93"/>
      <c r="CO147" s="93"/>
      <c r="CP147" s="93"/>
      <c r="CQ147" s="93"/>
      <c r="CR147" s="93"/>
      <c r="CS147" s="93"/>
      <c r="CT147" s="93"/>
      <c r="CU147" s="93"/>
      <c r="CV147" s="93"/>
      <c r="CW147" s="93"/>
      <c r="CX147" s="93"/>
      <c r="CY147" s="93"/>
      <c r="CZ147" s="93"/>
      <c r="DA147" s="93"/>
      <c r="DB147" s="93"/>
      <c r="DC147" s="93"/>
      <c r="DD147" s="93"/>
      <c r="DE147" s="93"/>
      <c r="DF147" s="93"/>
      <c r="DG147" s="93"/>
      <c r="DH147" s="93"/>
      <c r="DI147" s="93"/>
      <c r="DJ147" s="93"/>
      <c r="DK147" s="93"/>
      <c r="DL147" s="93"/>
      <c r="DM147" s="93"/>
      <c r="DN147" s="93"/>
      <c r="DO147" s="93"/>
      <c r="DP147" s="93"/>
      <c r="DQ147" s="93"/>
      <c r="DR147" s="93"/>
      <c r="DS147" s="93"/>
      <c r="DT147" s="93"/>
      <c r="DU147" s="93"/>
      <c r="DV147" s="93"/>
      <c r="DW147" s="93"/>
      <c r="DX147" s="93"/>
      <c r="DY147" s="93"/>
      <c r="DZ147" s="93"/>
      <c r="EA147" s="93"/>
      <c r="EB147" s="93"/>
      <c r="EC147" s="93"/>
      <c r="ED147" s="93"/>
      <c r="EE147" s="93"/>
      <c r="EF147" s="93"/>
      <c r="EG147" s="93"/>
      <c r="EH147" s="93"/>
      <c r="EI147" s="93"/>
      <c r="EJ147" s="93"/>
      <c r="EK147" s="93"/>
      <c r="EL147" s="93"/>
      <c r="EM147" s="93"/>
      <c r="EN147" s="93"/>
      <c r="EO147" s="93"/>
      <c r="EP147" s="93"/>
      <c r="EQ147" s="93"/>
      <c r="ER147" s="93"/>
      <c r="ES147" s="93"/>
      <c r="ET147" s="93"/>
      <c r="EU147" s="93"/>
      <c r="EV147" s="93"/>
      <c r="EW147" s="93"/>
      <c r="EX147" s="93"/>
      <c r="EY147" s="93"/>
      <c r="EZ147" s="93"/>
      <c r="FA147" s="93"/>
      <c r="FB147" s="93"/>
      <c r="FC147" s="93"/>
      <c r="FD147" s="93"/>
      <c r="FE147" s="93"/>
      <c r="FF147" s="93"/>
      <c r="FG147" s="93"/>
      <c r="FH147" s="93"/>
      <c r="FI147" s="93"/>
      <c r="FJ147" s="93"/>
      <c r="FK147" s="93"/>
      <c r="FL147" s="93"/>
      <c r="FM147" s="93"/>
      <c r="FN147" s="93"/>
      <c r="FO147" s="93"/>
      <c r="FP147" s="93"/>
      <c r="FQ147" s="93"/>
      <c r="FR147" s="93"/>
      <c r="FS147" s="93"/>
      <c r="FT147" s="93"/>
      <c r="FU147" s="93"/>
      <c r="FV147" s="93"/>
      <c r="FW147" s="93"/>
      <c r="FX147" s="93"/>
      <c r="FY147" s="93"/>
      <c r="FZ147" s="93"/>
      <c r="GA147" s="93"/>
      <c r="GB147" s="93"/>
      <c r="GC147" s="93"/>
      <c r="GD147" s="93"/>
      <c r="GE147" s="93"/>
      <c r="GF147" s="93"/>
      <c r="GG147" s="93"/>
      <c r="GH147" s="93"/>
      <c r="GI147" s="93"/>
      <c r="GJ147" s="93"/>
      <c r="GK147" s="93"/>
      <c r="GL147" s="93"/>
      <c r="GM147" s="93"/>
      <c r="GN147" s="93"/>
      <c r="GO147" s="93"/>
      <c r="GP147" s="93"/>
      <c r="GQ147" s="93"/>
      <c r="GR147" s="93"/>
      <c r="GS147" s="93"/>
      <c r="GT147" s="93"/>
      <c r="GU147" s="93"/>
      <c r="GV147" s="93"/>
      <c r="GW147" s="93"/>
      <c r="GX147" s="93"/>
      <c r="GY147" s="93"/>
      <c r="GZ147" s="93"/>
      <c r="HA147" s="93"/>
      <c r="HB147" s="93"/>
      <c r="HC147" s="93"/>
      <c r="HD147" s="93"/>
      <c r="HE147" s="93"/>
      <c r="HF147" s="93"/>
      <c r="HG147" s="93"/>
    </row>
    <row r="148" spans="14:215" x14ac:dyDescent="0.2">
      <c r="N148" s="93" t="s">
        <v>365</v>
      </c>
      <c r="O148" s="93"/>
      <c r="P148" s="93"/>
      <c r="Q148" s="93"/>
      <c r="R148" s="93"/>
      <c r="S148" s="93"/>
      <c r="T148" s="93"/>
      <c r="U148" s="93"/>
      <c r="V148" s="93"/>
      <c r="W148" s="93"/>
      <c r="X148" s="93"/>
      <c r="Y148" s="93"/>
      <c r="Z148" s="93"/>
      <c r="AA148" s="93"/>
      <c r="AB148" s="93"/>
      <c r="AC148" s="93"/>
      <c r="AD148" s="93"/>
      <c r="AE148" s="93"/>
      <c r="AF148" s="93"/>
      <c r="AG148" s="93"/>
      <c r="AH148" s="93"/>
      <c r="AI148" s="93"/>
      <c r="AJ148" s="93"/>
      <c r="AK148" s="93"/>
      <c r="AL148" s="93"/>
      <c r="AM148" s="93"/>
      <c r="AN148" s="93"/>
      <c r="AO148" s="93"/>
      <c r="AP148" s="93"/>
      <c r="AQ148" s="93"/>
      <c r="AR148" s="93"/>
      <c r="AS148" s="93"/>
      <c r="AT148" s="93"/>
      <c r="AU148" s="93"/>
      <c r="AV148" s="93"/>
      <c r="AW148" s="93"/>
      <c r="AX148" s="93"/>
      <c r="AY148" s="93"/>
      <c r="AZ148" s="93">
        <v>0.33030303030303032</v>
      </c>
      <c r="BA148" s="93"/>
      <c r="BB148" s="93"/>
      <c r="BC148" s="93"/>
      <c r="BD148" s="93"/>
      <c r="BE148" s="93"/>
      <c r="BF148" s="93"/>
      <c r="BG148" s="93"/>
      <c r="BH148" s="93"/>
      <c r="BI148" s="93"/>
      <c r="BJ148" s="93"/>
      <c r="BK148" s="93"/>
      <c r="BL148" s="93"/>
      <c r="BM148" s="93"/>
      <c r="BN148" s="93"/>
      <c r="BO148" s="93"/>
      <c r="BP148" s="93"/>
      <c r="BQ148" s="93"/>
      <c r="BR148" s="93"/>
      <c r="BS148" s="93"/>
      <c r="BT148" s="93"/>
      <c r="BU148" s="93"/>
      <c r="BV148" s="93"/>
      <c r="BW148" s="93"/>
      <c r="BX148" s="93"/>
      <c r="BY148" s="93"/>
      <c r="BZ148" s="93"/>
      <c r="CA148" s="93"/>
      <c r="CB148" s="93"/>
      <c r="CC148" s="93"/>
      <c r="CD148" s="93"/>
      <c r="CE148" s="93"/>
      <c r="CF148" s="93"/>
      <c r="CG148" s="93"/>
      <c r="CH148" s="93"/>
      <c r="CI148" s="93"/>
      <c r="CJ148" s="93"/>
      <c r="CK148" s="93"/>
      <c r="CL148" s="93"/>
      <c r="CM148" s="93"/>
      <c r="CN148" s="93"/>
      <c r="CO148" s="93"/>
      <c r="CP148" s="93"/>
      <c r="CQ148" s="93"/>
      <c r="CR148" s="93"/>
      <c r="CS148" s="93"/>
      <c r="CT148" s="93"/>
      <c r="CU148" s="93"/>
      <c r="CV148" s="93"/>
      <c r="CW148" s="93"/>
      <c r="CX148" s="93"/>
      <c r="CY148" s="93"/>
      <c r="CZ148" s="93"/>
      <c r="DA148" s="93"/>
      <c r="DB148" s="93"/>
      <c r="DC148" s="93"/>
      <c r="DD148" s="93"/>
      <c r="DE148" s="93"/>
      <c r="DF148" s="93"/>
      <c r="DG148" s="93"/>
      <c r="DH148" s="93"/>
      <c r="DI148" s="93"/>
      <c r="DJ148" s="93"/>
      <c r="DK148" s="93"/>
      <c r="DL148" s="93"/>
      <c r="DM148" s="93"/>
      <c r="DN148" s="93"/>
      <c r="DO148" s="93"/>
      <c r="DP148" s="93"/>
      <c r="DQ148" s="93"/>
      <c r="DR148" s="93"/>
      <c r="DS148" s="93"/>
      <c r="DT148" s="93"/>
      <c r="DU148" s="93"/>
      <c r="DV148" s="93"/>
      <c r="DW148" s="93"/>
      <c r="DX148" s="93"/>
      <c r="DY148" s="93"/>
      <c r="DZ148" s="93"/>
      <c r="EA148" s="93"/>
      <c r="EB148" s="93"/>
      <c r="EC148" s="93"/>
      <c r="ED148" s="93"/>
      <c r="EE148" s="93"/>
      <c r="EF148" s="93"/>
      <c r="EG148" s="93"/>
      <c r="EH148" s="93"/>
      <c r="EI148" s="93"/>
      <c r="EJ148" s="93"/>
      <c r="EK148" s="93"/>
      <c r="EL148" s="93"/>
      <c r="EM148" s="93"/>
      <c r="EN148" s="93"/>
      <c r="EO148" s="93"/>
      <c r="EP148" s="93"/>
      <c r="EQ148" s="93"/>
      <c r="ER148" s="93"/>
      <c r="ES148" s="93"/>
      <c r="ET148" s="93"/>
      <c r="EU148" s="93"/>
      <c r="EV148" s="93"/>
      <c r="EW148" s="93"/>
      <c r="EX148" s="93"/>
      <c r="EY148" s="93"/>
      <c r="EZ148" s="93"/>
      <c r="FA148" s="93"/>
      <c r="FB148" s="93"/>
      <c r="FC148" s="93"/>
      <c r="FD148" s="93"/>
      <c r="FE148" s="93"/>
      <c r="FF148" s="93"/>
      <c r="FG148" s="93"/>
      <c r="FH148" s="93"/>
      <c r="FI148" s="93"/>
      <c r="FJ148" s="93"/>
      <c r="FK148" s="93"/>
      <c r="FL148" s="93"/>
      <c r="FM148" s="93"/>
      <c r="FN148" s="93"/>
      <c r="FO148" s="93"/>
      <c r="FP148" s="93"/>
      <c r="FQ148" s="93"/>
      <c r="FR148" s="93"/>
      <c r="FS148" s="93"/>
      <c r="FT148" s="93"/>
      <c r="FU148" s="93"/>
      <c r="FV148" s="93"/>
      <c r="FW148" s="93"/>
      <c r="FX148" s="93"/>
      <c r="FY148" s="93"/>
      <c r="FZ148" s="93"/>
      <c r="GA148" s="93"/>
      <c r="GB148" s="93"/>
      <c r="GC148" s="93"/>
      <c r="GD148" s="93"/>
      <c r="GE148" s="93"/>
      <c r="GF148" s="93"/>
      <c r="GG148" s="93"/>
      <c r="GH148" s="93"/>
      <c r="GI148" s="93"/>
      <c r="GJ148" s="93"/>
      <c r="GK148" s="93"/>
      <c r="GL148" s="93"/>
      <c r="GM148" s="93"/>
      <c r="GN148" s="93"/>
      <c r="GO148" s="93"/>
      <c r="GP148" s="93"/>
      <c r="GQ148" s="93"/>
      <c r="GR148" s="93"/>
      <c r="GS148" s="93"/>
      <c r="GT148" s="93"/>
      <c r="GU148" s="93"/>
      <c r="GV148" s="93"/>
      <c r="GW148" s="93"/>
      <c r="GX148" s="93"/>
      <c r="GY148" s="93"/>
      <c r="GZ148" s="93"/>
      <c r="HA148" s="93"/>
      <c r="HB148" s="93"/>
      <c r="HC148" s="93"/>
      <c r="HD148" s="93"/>
      <c r="HE148" s="93"/>
      <c r="HF148" s="93"/>
      <c r="HG148" s="93"/>
    </row>
    <row r="149" spans="14:215" x14ac:dyDescent="0.2">
      <c r="N149" s="93" t="s">
        <v>366</v>
      </c>
      <c r="O149" s="93"/>
      <c r="P149" s="93"/>
      <c r="Q149" s="93"/>
      <c r="R149" s="93"/>
      <c r="S149" s="93"/>
      <c r="T149" s="93"/>
      <c r="U149" s="93"/>
      <c r="V149" s="93"/>
      <c r="W149" s="93"/>
      <c r="X149" s="93"/>
      <c r="Y149" s="93"/>
      <c r="Z149" s="93"/>
      <c r="AA149" s="93"/>
      <c r="AB149" s="93"/>
      <c r="AC149" s="93"/>
      <c r="AD149" s="93"/>
      <c r="AE149" s="93"/>
      <c r="AF149" s="93"/>
      <c r="AG149" s="93"/>
      <c r="AH149" s="93"/>
      <c r="AI149" s="93"/>
      <c r="AJ149" s="93"/>
      <c r="AK149" s="93"/>
      <c r="AL149" s="93"/>
      <c r="AM149" s="93"/>
      <c r="AN149" s="93"/>
      <c r="AO149" s="93"/>
      <c r="AP149" s="93"/>
      <c r="AQ149" s="93"/>
      <c r="AR149" s="93"/>
      <c r="AS149" s="93"/>
      <c r="AT149" s="93"/>
      <c r="AU149" s="93"/>
      <c r="AV149" s="93"/>
      <c r="AW149" s="93"/>
      <c r="AX149" s="93"/>
      <c r="AY149" s="93"/>
      <c r="AZ149" s="93"/>
      <c r="BA149" s="93">
        <v>0.3303834808259587</v>
      </c>
      <c r="BB149" s="93"/>
      <c r="BC149" s="93"/>
      <c r="BD149" s="93"/>
      <c r="BE149" s="93"/>
      <c r="BF149" s="93"/>
      <c r="BG149" s="93"/>
      <c r="BH149" s="93"/>
      <c r="BI149" s="93"/>
      <c r="BJ149" s="93"/>
      <c r="BK149" s="93"/>
      <c r="BL149" s="93"/>
      <c r="BM149" s="93"/>
      <c r="BN149" s="93"/>
      <c r="BO149" s="93"/>
      <c r="BP149" s="93"/>
      <c r="BQ149" s="93"/>
      <c r="BR149" s="93"/>
      <c r="BS149" s="93"/>
      <c r="BT149" s="93"/>
      <c r="BU149" s="93"/>
      <c r="BV149" s="93"/>
      <c r="BW149" s="93"/>
      <c r="BX149" s="93"/>
      <c r="BY149" s="93"/>
      <c r="BZ149" s="93"/>
      <c r="CA149" s="93"/>
      <c r="CB149" s="93"/>
      <c r="CC149" s="93"/>
      <c r="CD149" s="93"/>
      <c r="CE149" s="93"/>
      <c r="CF149" s="93"/>
      <c r="CG149" s="93"/>
      <c r="CH149" s="93"/>
      <c r="CI149" s="93"/>
      <c r="CJ149" s="93"/>
      <c r="CK149" s="93"/>
      <c r="CL149" s="93"/>
      <c r="CM149" s="93"/>
      <c r="CN149" s="93"/>
      <c r="CO149" s="93"/>
      <c r="CP149" s="93"/>
      <c r="CQ149" s="93"/>
      <c r="CR149" s="93"/>
      <c r="CS149" s="93"/>
      <c r="CT149" s="93"/>
      <c r="CU149" s="93"/>
      <c r="CV149" s="93"/>
      <c r="CW149" s="93"/>
      <c r="CX149" s="93"/>
      <c r="CY149" s="93"/>
      <c r="CZ149" s="93"/>
      <c r="DA149" s="93"/>
      <c r="DB149" s="93"/>
      <c r="DC149" s="93"/>
      <c r="DD149" s="93"/>
      <c r="DE149" s="93"/>
      <c r="DF149" s="93"/>
      <c r="DG149" s="93"/>
      <c r="DH149" s="93"/>
      <c r="DI149" s="93"/>
      <c r="DJ149" s="93"/>
      <c r="DK149" s="93"/>
      <c r="DL149" s="93"/>
      <c r="DM149" s="93"/>
      <c r="DN149" s="93"/>
      <c r="DO149" s="93"/>
      <c r="DP149" s="93"/>
      <c r="DQ149" s="93"/>
      <c r="DR149" s="93"/>
      <c r="DS149" s="93"/>
      <c r="DT149" s="93"/>
      <c r="DU149" s="93"/>
      <c r="DV149" s="93"/>
      <c r="DW149" s="93"/>
      <c r="DX149" s="93"/>
      <c r="DY149" s="93"/>
      <c r="DZ149" s="93"/>
      <c r="EA149" s="93"/>
      <c r="EB149" s="93"/>
      <c r="EC149" s="93"/>
      <c r="ED149" s="93"/>
      <c r="EE149" s="93"/>
      <c r="EF149" s="93"/>
      <c r="EG149" s="93"/>
      <c r="EH149" s="93"/>
      <c r="EI149" s="93"/>
      <c r="EJ149" s="93"/>
      <c r="EK149" s="93"/>
      <c r="EL149" s="93"/>
      <c r="EM149" s="93"/>
      <c r="EN149" s="93"/>
      <c r="EO149" s="93"/>
      <c r="EP149" s="93"/>
      <c r="EQ149" s="93"/>
      <c r="ER149" s="93"/>
      <c r="ES149" s="93"/>
      <c r="ET149" s="93"/>
      <c r="EU149" s="93"/>
      <c r="EV149" s="93"/>
      <c r="EW149" s="93"/>
      <c r="EX149" s="93"/>
      <c r="EY149" s="93"/>
      <c r="EZ149" s="93"/>
      <c r="FA149" s="93"/>
      <c r="FB149" s="93"/>
      <c r="FC149" s="93"/>
      <c r="FD149" s="93"/>
      <c r="FE149" s="93"/>
      <c r="FF149" s="93"/>
      <c r="FG149" s="93"/>
      <c r="FH149" s="93"/>
      <c r="FI149" s="93"/>
      <c r="FJ149" s="93"/>
      <c r="FK149" s="93"/>
      <c r="FL149" s="93"/>
      <c r="FM149" s="93"/>
      <c r="FN149" s="93"/>
      <c r="FO149" s="93"/>
      <c r="FP149" s="93"/>
      <c r="FQ149" s="93"/>
      <c r="FR149" s="93"/>
      <c r="FS149" s="93"/>
      <c r="FT149" s="93"/>
      <c r="FU149" s="93"/>
      <c r="FV149" s="93"/>
      <c r="FW149" s="93"/>
      <c r="FX149" s="93"/>
      <c r="FY149" s="93"/>
      <c r="FZ149" s="93"/>
      <c r="GA149" s="93"/>
      <c r="GB149" s="93"/>
      <c r="GC149" s="93"/>
      <c r="GD149" s="93"/>
      <c r="GE149" s="93"/>
      <c r="GF149" s="93"/>
      <c r="GG149" s="93"/>
      <c r="GH149" s="93"/>
      <c r="GI149" s="93"/>
      <c r="GJ149" s="93"/>
      <c r="GK149" s="93"/>
      <c r="GL149" s="93"/>
      <c r="GM149" s="93"/>
      <c r="GN149" s="93"/>
      <c r="GO149" s="93"/>
      <c r="GP149" s="93"/>
      <c r="GQ149" s="93"/>
      <c r="GR149" s="93"/>
      <c r="GS149" s="93"/>
      <c r="GT149" s="93"/>
      <c r="GU149" s="93"/>
      <c r="GV149" s="93"/>
      <c r="GW149" s="93"/>
      <c r="GX149" s="93"/>
      <c r="GY149" s="93"/>
      <c r="GZ149" s="93"/>
      <c r="HA149" s="93"/>
      <c r="HB149" s="93"/>
      <c r="HC149" s="93"/>
      <c r="HD149" s="93"/>
      <c r="HE149" s="93"/>
      <c r="HF149" s="93"/>
      <c r="HG149" s="93"/>
    </row>
    <row r="150" spans="14:215" x14ac:dyDescent="0.2">
      <c r="N150" s="93" t="s">
        <v>367</v>
      </c>
      <c r="O150" s="93"/>
      <c r="P150" s="93"/>
      <c r="Q150" s="93"/>
      <c r="R150" s="93"/>
      <c r="S150" s="93"/>
      <c r="T150" s="93"/>
      <c r="U150" s="93"/>
      <c r="V150" s="93"/>
      <c r="W150" s="93"/>
      <c r="X150" s="93"/>
      <c r="Y150" s="93"/>
      <c r="Z150" s="93"/>
      <c r="AA150" s="93"/>
      <c r="AB150" s="93"/>
      <c r="AC150" s="93"/>
      <c r="AD150" s="93"/>
      <c r="AE150" s="93"/>
      <c r="AF150" s="93"/>
      <c r="AG150" s="93"/>
      <c r="AH150" s="93"/>
      <c r="AI150" s="93"/>
      <c r="AJ150" s="93"/>
      <c r="AK150" s="93"/>
      <c r="AL150" s="93"/>
      <c r="AM150" s="93"/>
      <c r="AN150" s="93"/>
      <c r="AO150" s="93"/>
      <c r="AP150" s="93"/>
      <c r="AQ150" s="93"/>
      <c r="AR150" s="93"/>
      <c r="AS150" s="93"/>
      <c r="AT150" s="93"/>
      <c r="AU150" s="93"/>
      <c r="AV150" s="93"/>
      <c r="AW150" s="93"/>
      <c r="AX150" s="93"/>
      <c r="AY150" s="93"/>
      <c r="AZ150" s="93"/>
      <c r="BA150" s="93"/>
      <c r="BB150" s="93">
        <v>0.33045977011494254</v>
      </c>
      <c r="BC150" s="93"/>
      <c r="BD150" s="93"/>
      <c r="BE150" s="93"/>
      <c r="BF150" s="93"/>
      <c r="BG150" s="93"/>
      <c r="BH150" s="93"/>
      <c r="BI150" s="93"/>
      <c r="BJ150" s="93"/>
      <c r="BK150" s="93"/>
      <c r="BL150" s="93"/>
      <c r="BM150" s="93"/>
      <c r="BN150" s="93"/>
      <c r="BO150" s="93"/>
      <c r="BP150" s="93"/>
      <c r="BQ150" s="93"/>
      <c r="BR150" s="93"/>
      <c r="BS150" s="93"/>
      <c r="BT150" s="93"/>
      <c r="BU150" s="93"/>
      <c r="BV150" s="93"/>
      <c r="BW150" s="93"/>
      <c r="BX150" s="93"/>
      <c r="BY150" s="93"/>
      <c r="BZ150" s="93"/>
      <c r="CA150" s="93"/>
      <c r="CB150" s="93"/>
      <c r="CC150" s="93"/>
      <c r="CD150" s="93"/>
      <c r="CE150" s="93"/>
      <c r="CF150" s="93"/>
      <c r="CG150" s="93"/>
      <c r="CH150" s="93"/>
      <c r="CI150" s="93"/>
      <c r="CJ150" s="93"/>
      <c r="CK150" s="93"/>
      <c r="CL150" s="93"/>
      <c r="CM150" s="93"/>
      <c r="CN150" s="93"/>
      <c r="CO150" s="93"/>
      <c r="CP150" s="93"/>
      <c r="CQ150" s="93"/>
      <c r="CR150" s="93"/>
      <c r="CS150" s="93"/>
      <c r="CT150" s="93"/>
      <c r="CU150" s="93"/>
      <c r="CV150" s="93"/>
      <c r="CW150" s="93"/>
      <c r="CX150" s="93"/>
      <c r="CY150" s="93"/>
      <c r="CZ150" s="93"/>
      <c r="DA150" s="93"/>
      <c r="DB150" s="93"/>
      <c r="DC150" s="93"/>
      <c r="DD150" s="93"/>
      <c r="DE150" s="93"/>
      <c r="DF150" s="93"/>
      <c r="DG150" s="93"/>
      <c r="DH150" s="93"/>
      <c r="DI150" s="93"/>
      <c r="DJ150" s="93"/>
      <c r="DK150" s="93"/>
      <c r="DL150" s="93"/>
      <c r="DM150" s="93"/>
      <c r="DN150" s="93"/>
      <c r="DO150" s="93"/>
      <c r="DP150" s="93"/>
      <c r="DQ150" s="93"/>
      <c r="DR150" s="93"/>
      <c r="DS150" s="93"/>
      <c r="DT150" s="93"/>
      <c r="DU150" s="93"/>
      <c r="DV150" s="93"/>
      <c r="DW150" s="93"/>
      <c r="DX150" s="93"/>
      <c r="DY150" s="93"/>
      <c r="DZ150" s="93"/>
      <c r="EA150" s="93"/>
      <c r="EB150" s="93"/>
      <c r="EC150" s="93"/>
      <c r="ED150" s="93"/>
      <c r="EE150" s="93"/>
      <c r="EF150" s="93"/>
      <c r="EG150" s="93"/>
      <c r="EH150" s="93"/>
      <c r="EI150" s="93"/>
      <c r="EJ150" s="93"/>
      <c r="EK150" s="93"/>
      <c r="EL150" s="93"/>
      <c r="EM150" s="93"/>
      <c r="EN150" s="93"/>
      <c r="EO150" s="93"/>
      <c r="EP150" s="93"/>
      <c r="EQ150" s="93"/>
      <c r="ER150" s="93"/>
      <c r="ES150" s="93"/>
      <c r="ET150" s="93"/>
      <c r="EU150" s="93"/>
      <c r="EV150" s="93"/>
      <c r="EW150" s="93"/>
      <c r="EX150" s="93"/>
      <c r="EY150" s="93"/>
      <c r="EZ150" s="93"/>
      <c r="FA150" s="93"/>
      <c r="FB150" s="93"/>
      <c r="FC150" s="93"/>
      <c r="FD150" s="93"/>
      <c r="FE150" s="93"/>
      <c r="FF150" s="93"/>
      <c r="FG150" s="93"/>
      <c r="FH150" s="93"/>
      <c r="FI150" s="93"/>
      <c r="FJ150" s="93"/>
      <c r="FK150" s="93"/>
      <c r="FL150" s="93"/>
      <c r="FM150" s="93"/>
      <c r="FN150" s="93"/>
      <c r="FO150" s="93"/>
      <c r="FP150" s="93"/>
      <c r="FQ150" s="93"/>
      <c r="FR150" s="93"/>
      <c r="FS150" s="93"/>
      <c r="FT150" s="93"/>
      <c r="FU150" s="93"/>
      <c r="FV150" s="93"/>
      <c r="FW150" s="93"/>
      <c r="FX150" s="93"/>
      <c r="FY150" s="93"/>
      <c r="FZ150" s="93"/>
      <c r="GA150" s="93"/>
      <c r="GB150" s="93"/>
      <c r="GC150" s="93"/>
      <c r="GD150" s="93"/>
      <c r="GE150" s="93"/>
      <c r="GF150" s="93"/>
      <c r="GG150" s="93"/>
      <c r="GH150" s="93"/>
      <c r="GI150" s="93"/>
      <c r="GJ150" s="93"/>
      <c r="GK150" s="93"/>
      <c r="GL150" s="93"/>
      <c r="GM150" s="93"/>
      <c r="GN150" s="93"/>
      <c r="GO150" s="93"/>
      <c r="GP150" s="93"/>
      <c r="GQ150" s="93"/>
      <c r="GR150" s="93"/>
      <c r="GS150" s="93"/>
      <c r="GT150" s="93"/>
      <c r="GU150" s="93"/>
      <c r="GV150" s="93"/>
      <c r="GW150" s="93"/>
      <c r="GX150" s="93"/>
      <c r="GY150" s="93"/>
      <c r="GZ150" s="93"/>
      <c r="HA150" s="93"/>
      <c r="HB150" s="93"/>
      <c r="HC150" s="93"/>
      <c r="HD150" s="93"/>
      <c r="HE150" s="93"/>
      <c r="HF150" s="93"/>
      <c r="HG150" s="93"/>
    </row>
    <row r="151" spans="14:215" x14ac:dyDescent="0.2">
      <c r="N151" s="93" t="s">
        <v>368</v>
      </c>
      <c r="O151" s="93"/>
      <c r="P151" s="93"/>
      <c r="Q151" s="93"/>
      <c r="R151" s="93"/>
      <c r="S151" s="93"/>
      <c r="T151" s="93"/>
      <c r="U151" s="93"/>
      <c r="V151" s="93"/>
      <c r="W151" s="93"/>
      <c r="X151" s="93"/>
      <c r="Y151" s="93"/>
      <c r="Z151" s="93"/>
      <c r="AA151" s="93"/>
      <c r="AB151" s="93"/>
      <c r="AC151" s="93"/>
      <c r="AD151" s="93"/>
      <c r="AE151" s="93"/>
      <c r="AF151" s="93"/>
      <c r="AG151" s="93"/>
      <c r="AH151" s="93"/>
      <c r="AI151" s="93"/>
      <c r="AJ151" s="93"/>
      <c r="AK151" s="93"/>
      <c r="AL151" s="93"/>
      <c r="AM151" s="93"/>
      <c r="AN151" s="93"/>
      <c r="AO151" s="93"/>
      <c r="AP151" s="93"/>
      <c r="AQ151" s="93"/>
      <c r="AR151" s="93"/>
      <c r="AS151" s="93"/>
      <c r="AT151" s="93"/>
      <c r="AU151" s="93"/>
      <c r="AV151" s="93"/>
      <c r="AW151" s="93"/>
      <c r="AX151" s="93"/>
      <c r="AY151" s="93"/>
      <c r="AZ151" s="93"/>
      <c r="BA151" s="93"/>
      <c r="BB151" s="93"/>
      <c r="BC151" s="93">
        <v>0.33053221288515405</v>
      </c>
      <c r="BD151" s="93"/>
      <c r="BE151" s="93"/>
      <c r="BF151" s="93"/>
      <c r="BG151" s="93"/>
      <c r="BH151" s="93"/>
      <c r="BI151" s="93"/>
      <c r="BJ151" s="93"/>
      <c r="BK151" s="93"/>
      <c r="BL151" s="93"/>
      <c r="BM151" s="93"/>
      <c r="BN151" s="93"/>
      <c r="BO151" s="93"/>
      <c r="BP151" s="93"/>
      <c r="BQ151" s="93"/>
      <c r="BR151" s="93"/>
      <c r="BS151" s="93"/>
      <c r="BT151" s="93"/>
      <c r="BU151" s="93"/>
      <c r="BV151" s="93"/>
      <c r="BW151" s="93"/>
      <c r="BX151" s="93"/>
      <c r="BY151" s="93"/>
      <c r="BZ151" s="93"/>
      <c r="CA151" s="93"/>
      <c r="CB151" s="93"/>
      <c r="CC151" s="93"/>
      <c r="CD151" s="93"/>
      <c r="CE151" s="93"/>
      <c r="CF151" s="93"/>
      <c r="CG151" s="93"/>
      <c r="CH151" s="93"/>
      <c r="CI151" s="93"/>
      <c r="CJ151" s="93"/>
      <c r="CK151" s="93"/>
      <c r="CL151" s="93"/>
      <c r="CM151" s="93"/>
      <c r="CN151" s="93"/>
      <c r="CO151" s="93"/>
      <c r="CP151" s="93"/>
      <c r="CQ151" s="93"/>
      <c r="CR151" s="93"/>
      <c r="CS151" s="93"/>
      <c r="CT151" s="93"/>
      <c r="CU151" s="93"/>
      <c r="CV151" s="93"/>
      <c r="CW151" s="93"/>
      <c r="CX151" s="93"/>
      <c r="CY151" s="93"/>
      <c r="CZ151" s="93"/>
      <c r="DA151" s="93"/>
      <c r="DB151" s="93"/>
      <c r="DC151" s="93"/>
      <c r="DD151" s="93"/>
      <c r="DE151" s="93"/>
      <c r="DF151" s="93"/>
      <c r="DG151" s="93"/>
      <c r="DH151" s="93"/>
      <c r="DI151" s="93"/>
      <c r="DJ151" s="93"/>
      <c r="DK151" s="93"/>
      <c r="DL151" s="93"/>
      <c r="DM151" s="93"/>
      <c r="DN151" s="93"/>
      <c r="DO151" s="93"/>
      <c r="DP151" s="93"/>
      <c r="DQ151" s="93"/>
      <c r="DR151" s="93"/>
      <c r="DS151" s="93"/>
      <c r="DT151" s="93"/>
      <c r="DU151" s="93"/>
      <c r="DV151" s="93"/>
      <c r="DW151" s="93"/>
      <c r="DX151" s="93"/>
      <c r="DY151" s="93"/>
      <c r="DZ151" s="93"/>
      <c r="EA151" s="93"/>
      <c r="EB151" s="93"/>
      <c r="EC151" s="93"/>
      <c r="ED151" s="93"/>
      <c r="EE151" s="93"/>
      <c r="EF151" s="93"/>
      <c r="EG151" s="93"/>
      <c r="EH151" s="93"/>
      <c r="EI151" s="93"/>
      <c r="EJ151" s="93"/>
      <c r="EK151" s="93"/>
      <c r="EL151" s="93"/>
      <c r="EM151" s="93"/>
      <c r="EN151" s="93"/>
      <c r="EO151" s="93"/>
      <c r="EP151" s="93"/>
      <c r="EQ151" s="93"/>
      <c r="ER151" s="93"/>
      <c r="ES151" s="93"/>
      <c r="ET151" s="93"/>
      <c r="EU151" s="93"/>
      <c r="EV151" s="93"/>
      <c r="EW151" s="93"/>
      <c r="EX151" s="93"/>
      <c r="EY151" s="93"/>
      <c r="EZ151" s="93"/>
      <c r="FA151" s="93"/>
      <c r="FB151" s="93"/>
      <c r="FC151" s="93"/>
      <c r="FD151" s="93"/>
      <c r="FE151" s="93"/>
      <c r="FF151" s="93"/>
      <c r="FG151" s="93"/>
      <c r="FH151" s="93"/>
      <c r="FI151" s="93"/>
      <c r="FJ151" s="93"/>
      <c r="FK151" s="93"/>
      <c r="FL151" s="93"/>
      <c r="FM151" s="93"/>
      <c r="FN151" s="93"/>
      <c r="FO151" s="93"/>
      <c r="FP151" s="93"/>
      <c r="FQ151" s="93"/>
      <c r="FR151" s="93"/>
      <c r="FS151" s="93"/>
      <c r="FT151" s="93"/>
      <c r="FU151" s="93"/>
      <c r="FV151" s="93"/>
      <c r="FW151" s="93"/>
      <c r="FX151" s="93"/>
      <c r="FY151" s="93"/>
      <c r="FZ151" s="93"/>
      <c r="GA151" s="93"/>
      <c r="GB151" s="93"/>
      <c r="GC151" s="93"/>
      <c r="GD151" s="93"/>
      <c r="GE151" s="93"/>
      <c r="GF151" s="93"/>
      <c r="GG151" s="93"/>
      <c r="GH151" s="93"/>
      <c r="GI151" s="93"/>
      <c r="GJ151" s="93"/>
      <c r="GK151" s="93"/>
      <c r="GL151" s="93"/>
      <c r="GM151" s="93"/>
      <c r="GN151" s="93"/>
      <c r="GO151" s="93"/>
      <c r="GP151" s="93"/>
      <c r="GQ151" s="93"/>
      <c r="GR151" s="93"/>
      <c r="GS151" s="93"/>
      <c r="GT151" s="93"/>
      <c r="GU151" s="93"/>
      <c r="GV151" s="93"/>
      <c r="GW151" s="93"/>
      <c r="GX151" s="93"/>
      <c r="GY151" s="93"/>
      <c r="GZ151" s="93"/>
      <c r="HA151" s="93"/>
      <c r="HB151" s="93"/>
      <c r="HC151" s="93"/>
      <c r="HD151" s="93"/>
      <c r="HE151" s="93"/>
      <c r="HF151" s="93"/>
      <c r="HG151" s="93"/>
    </row>
    <row r="152" spans="14:215" x14ac:dyDescent="0.2">
      <c r="N152" s="93" t="s">
        <v>369</v>
      </c>
      <c r="O152" s="93"/>
      <c r="P152" s="93"/>
      <c r="Q152" s="93"/>
      <c r="R152" s="93"/>
      <c r="S152" s="93"/>
      <c r="T152" s="93"/>
      <c r="U152" s="93"/>
      <c r="V152" s="93"/>
      <c r="W152" s="93"/>
      <c r="X152" s="93"/>
      <c r="Y152" s="93"/>
      <c r="Z152" s="93"/>
      <c r="AA152" s="93"/>
      <c r="AB152" s="93"/>
      <c r="AC152" s="93"/>
      <c r="AD152" s="93"/>
      <c r="AE152" s="93"/>
      <c r="AF152" s="93"/>
      <c r="AG152" s="93"/>
      <c r="AH152" s="93"/>
      <c r="AI152" s="93"/>
      <c r="AJ152" s="93"/>
      <c r="AK152" s="93"/>
      <c r="AL152" s="93"/>
      <c r="AM152" s="93"/>
      <c r="AN152" s="93"/>
      <c r="AO152" s="93"/>
      <c r="AP152" s="93"/>
      <c r="AQ152" s="93"/>
      <c r="AR152" s="93"/>
      <c r="AS152" s="93"/>
      <c r="AT152" s="93"/>
      <c r="AU152" s="93"/>
      <c r="AV152" s="93"/>
      <c r="AW152" s="93"/>
      <c r="AX152" s="93"/>
      <c r="AY152" s="93"/>
      <c r="AZ152" s="93"/>
      <c r="BA152" s="93"/>
      <c r="BB152" s="93"/>
      <c r="BC152" s="93"/>
      <c r="BD152" s="93">
        <v>0.33060109289617484</v>
      </c>
      <c r="BE152" s="93"/>
      <c r="BF152" s="93"/>
      <c r="BG152" s="93"/>
      <c r="BH152" s="93"/>
      <c r="BI152" s="93"/>
      <c r="BJ152" s="93"/>
      <c r="BK152" s="93"/>
      <c r="BL152" s="93"/>
      <c r="BM152" s="93"/>
      <c r="BN152" s="93"/>
      <c r="BO152" s="93"/>
      <c r="BP152" s="93"/>
      <c r="BQ152" s="93"/>
      <c r="BR152" s="93"/>
      <c r="BS152" s="93"/>
      <c r="BT152" s="93"/>
      <c r="BU152" s="93"/>
      <c r="BV152" s="93"/>
      <c r="BW152" s="93"/>
      <c r="BX152" s="93"/>
      <c r="BY152" s="93"/>
      <c r="BZ152" s="93"/>
      <c r="CA152" s="93"/>
      <c r="CB152" s="93"/>
      <c r="CC152" s="93"/>
      <c r="CD152" s="93"/>
      <c r="CE152" s="93"/>
      <c r="CF152" s="93"/>
      <c r="CG152" s="93"/>
      <c r="CH152" s="93"/>
      <c r="CI152" s="93"/>
      <c r="CJ152" s="93"/>
      <c r="CK152" s="93"/>
      <c r="CL152" s="93"/>
      <c r="CM152" s="93"/>
      <c r="CN152" s="93"/>
      <c r="CO152" s="93"/>
      <c r="CP152" s="93"/>
      <c r="CQ152" s="93"/>
      <c r="CR152" s="93"/>
      <c r="CS152" s="93"/>
      <c r="CT152" s="93"/>
      <c r="CU152" s="93"/>
      <c r="CV152" s="93"/>
      <c r="CW152" s="93"/>
      <c r="CX152" s="93"/>
      <c r="CY152" s="93"/>
      <c r="CZ152" s="93"/>
      <c r="DA152" s="93"/>
      <c r="DB152" s="93"/>
      <c r="DC152" s="93"/>
      <c r="DD152" s="93"/>
      <c r="DE152" s="93"/>
      <c r="DF152" s="93"/>
      <c r="DG152" s="93"/>
      <c r="DH152" s="93"/>
      <c r="DI152" s="93"/>
      <c r="DJ152" s="93"/>
      <c r="DK152" s="93"/>
      <c r="DL152" s="93"/>
      <c r="DM152" s="93"/>
      <c r="DN152" s="93"/>
      <c r="DO152" s="93"/>
      <c r="DP152" s="93"/>
      <c r="DQ152" s="93"/>
      <c r="DR152" s="93"/>
      <c r="DS152" s="93"/>
      <c r="DT152" s="93"/>
      <c r="DU152" s="93"/>
      <c r="DV152" s="93"/>
      <c r="DW152" s="93"/>
      <c r="DX152" s="93"/>
      <c r="DY152" s="93"/>
      <c r="DZ152" s="93"/>
      <c r="EA152" s="93"/>
      <c r="EB152" s="93"/>
      <c r="EC152" s="93"/>
      <c r="ED152" s="93"/>
      <c r="EE152" s="93"/>
      <c r="EF152" s="93"/>
      <c r="EG152" s="93"/>
      <c r="EH152" s="93"/>
      <c r="EI152" s="93"/>
      <c r="EJ152" s="93"/>
      <c r="EK152" s="93"/>
      <c r="EL152" s="93"/>
      <c r="EM152" s="93"/>
      <c r="EN152" s="93"/>
      <c r="EO152" s="93"/>
      <c r="EP152" s="93"/>
      <c r="EQ152" s="93"/>
      <c r="ER152" s="93"/>
      <c r="ES152" s="93"/>
      <c r="ET152" s="93"/>
      <c r="EU152" s="93"/>
      <c r="EV152" s="93"/>
      <c r="EW152" s="93"/>
      <c r="EX152" s="93"/>
      <c r="EY152" s="93"/>
      <c r="EZ152" s="93"/>
      <c r="FA152" s="93"/>
      <c r="FB152" s="93"/>
      <c r="FC152" s="93"/>
      <c r="FD152" s="93"/>
      <c r="FE152" s="93"/>
      <c r="FF152" s="93"/>
      <c r="FG152" s="93"/>
      <c r="FH152" s="93"/>
      <c r="FI152" s="93"/>
      <c r="FJ152" s="93"/>
      <c r="FK152" s="93"/>
      <c r="FL152" s="93"/>
      <c r="FM152" s="93"/>
      <c r="FN152" s="93"/>
      <c r="FO152" s="93"/>
      <c r="FP152" s="93"/>
      <c r="FQ152" s="93"/>
      <c r="FR152" s="93"/>
      <c r="FS152" s="93"/>
      <c r="FT152" s="93"/>
      <c r="FU152" s="93"/>
      <c r="FV152" s="93"/>
      <c r="FW152" s="93"/>
      <c r="FX152" s="93"/>
      <c r="FY152" s="93"/>
      <c r="FZ152" s="93"/>
      <c r="GA152" s="93"/>
      <c r="GB152" s="93"/>
      <c r="GC152" s="93"/>
      <c r="GD152" s="93"/>
      <c r="GE152" s="93"/>
      <c r="GF152" s="93"/>
      <c r="GG152" s="93"/>
      <c r="GH152" s="93"/>
      <c r="GI152" s="93"/>
      <c r="GJ152" s="93"/>
      <c r="GK152" s="93"/>
      <c r="GL152" s="93"/>
      <c r="GM152" s="93"/>
      <c r="GN152" s="93"/>
      <c r="GO152" s="93"/>
      <c r="GP152" s="93"/>
      <c r="GQ152" s="93"/>
      <c r="GR152" s="93"/>
      <c r="GS152" s="93"/>
      <c r="GT152" s="93"/>
      <c r="GU152" s="93"/>
      <c r="GV152" s="93"/>
      <c r="GW152" s="93"/>
      <c r="GX152" s="93"/>
      <c r="GY152" s="93"/>
      <c r="GZ152" s="93"/>
      <c r="HA152" s="93"/>
      <c r="HB152" s="93"/>
      <c r="HC152" s="93"/>
      <c r="HD152" s="93"/>
      <c r="HE152" s="93"/>
      <c r="HF152" s="93"/>
      <c r="HG152" s="93"/>
    </row>
    <row r="153" spans="14:215" x14ac:dyDescent="0.2">
      <c r="N153" s="93" t="s">
        <v>370</v>
      </c>
      <c r="O153" s="93"/>
      <c r="P153" s="93"/>
      <c r="Q153" s="93"/>
      <c r="R153" s="93"/>
      <c r="S153" s="93"/>
      <c r="T153" s="93"/>
      <c r="U153" s="93"/>
      <c r="V153" s="93"/>
      <c r="W153" s="93"/>
      <c r="X153" s="93"/>
      <c r="Y153" s="93"/>
      <c r="Z153" s="93"/>
      <c r="AA153" s="93"/>
      <c r="AB153" s="93"/>
      <c r="AC153" s="93"/>
      <c r="AD153" s="93"/>
      <c r="AE153" s="93"/>
      <c r="AF153" s="93"/>
      <c r="AG153" s="93"/>
      <c r="AH153" s="93"/>
      <c r="AI153" s="93"/>
      <c r="AJ153" s="93"/>
      <c r="AK153" s="93"/>
      <c r="AL153" s="93"/>
      <c r="AM153" s="93"/>
      <c r="AN153" s="93"/>
      <c r="AO153" s="93"/>
      <c r="AP153" s="93"/>
      <c r="AQ153" s="93"/>
      <c r="AR153" s="93"/>
      <c r="AS153" s="93"/>
      <c r="AT153" s="93"/>
      <c r="AU153" s="93"/>
      <c r="AV153" s="93"/>
      <c r="AW153" s="93"/>
      <c r="AX153" s="93"/>
      <c r="AY153" s="93"/>
      <c r="AZ153" s="93"/>
      <c r="BA153" s="93"/>
      <c r="BB153" s="93"/>
      <c r="BC153" s="93"/>
      <c r="BD153" s="93"/>
      <c r="BE153" s="93">
        <v>0.33066666666666666</v>
      </c>
      <c r="BF153" s="93"/>
      <c r="BG153" s="93"/>
      <c r="BH153" s="93"/>
      <c r="BI153" s="93"/>
      <c r="BJ153" s="93"/>
      <c r="BK153" s="93"/>
      <c r="BL153" s="93"/>
      <c r="BM153" s="93"/>
      <c r="BN153" s="93"/>
      <c r="BO153" s="93"/>
      <c r="BP153" s="93"/>
      <c r="BQ153" s="93"/>
      <c r="BR153" s="93"/>
      <c r="BS153" s="93"/>
      <c r="BT153" s="93"/>
      <c r="BU153" s="93"/>
      <c r="BV153" s="93"/>
      <c r="BW153" s="93"/>
      <c r="BX153" s="93"/>
      <c r="BY153" s="93"/>
      <c r="BZ153" s="93"/>
      <c r="CA153" s="93"/>
      <c r="CB153" s="93"/>
      <c r="CC153" s="93"/>
      <c r="CD153" s="93"/>
      <c r="CE153" s="93"/>
      <c r="CF153" s="93"/>
      <c r="CG153" s="93"/>
      <c r="CH153" s="93"/>
      <c r="CI153" s="93"/>
      <c r="CJ153" s="93"/>
      <c r="CK153" s="93"/>
      <c r="CL153" s="93"/>
      <c r="CM153" s="93"/>
      <c r="CN153" s="93"/>
      <c r="CO153" s="93"/>
      <c r="CP153" s="93"/>
      <c r="CQ153" s="93"/>
      <c r="CR153" s="93"/>
      <c r="CS153" s="93"/>
      <c r="CT153" s="93"/>
      <c r="CU153" s="93"/>
      <c r="CV153" s="93"/>
      <c r="CW153" s="93"/>
      <c r="CX153" s="93"/>
      <c r="CY153" s="93"/>
      <c r="CZ153" s="93"/>
      <c r="DA153" s="93"/>
      <c r="DB153" s="93"/>
      <c r="DC153" s="93"/>
      <c r="DD153" s="93"/>
      <c r="DE153" s="93"/>
      <c r="DF153" s="93"/>
      <c r="DG153" s="93"/>
      <c r="DH153" s="93"/>
      <c r="DI153" s="93"/>
      <c r="DJ153" s="93"/>
      <c r="DK153" s="93"/>
      <c r="DL153" s="93"/>
      <c r="DM153" s="93"/>
      <c r="DN153" s="93"/>
      <c r="DO153" s="93"/>
      <c r="DP153" s="93"/>
      <c r="DQ153" s="93"/>
      <c r="DR153" s="93"/>
      <c r="DS153" s="93"/>
      <c r="DT153" s="93"/>
      <c r="DU153" s="93"/>
      <c r="DV153" s="93"/>
      <c r="DW153" s="93"/>
      <c r="DX153" s="93"/>
      <c r="DY153" s="93"/>
      <c r="DZ153" s="93"/>
      <c r="EA153" s="93"/>
      <c r="EB153" s="93"/>
      <c r="EC153" s="93"/>
      <c r="ED153" s="93"/>
      <c r="EE153" s="93"/>
      <c r="EF153" s="93"/>
      <c r="EG153" s="93"/>
      <c r="EH153" s="93"/>
      <c r="EI153" s="93"/>
      <c r="EJ153" s="93"/>
      <c r="EK153" s="93"/>
      <c r="EL153" s="93"/>
      <c r="EM153" s="93"/>
      <c r="EN153" s="93"/>
      <c r="EO153" s="93"/>
      <c r="EP153" s="93"/>
      <c r="EQ153" s="93"/>
      <c r="ER153" s="93"/>
      <c r="ES153" s="93"/>
      <c r="ET153" s="93"/>
      <c r="EU153" s="93"/>
      <c r="EV153" s="93"/>
      <c r="EW153" s="93"/>
      <c r="EX153" s="93"/>
      <c r="EY153" s="93"/>
      <c r="EZ153" s="93"/>
      <c r="FA153" s="93"/>
      <c r="FB153" s="93"/>
      <c r="FC153" s="93"/>
      <c r="FD153" s="93"/>
      <c r="FE153" s="93"/>
      <c r="FF153" s="93"/>
      <c r="FG153" s="93"/>
      <c r="FH153" s="93"/>
      <c r="FI153" s="93"/>
      <c r="FJ153" s="93"/>
      <c r="FK153" s="93"/>
      <c r="FL153" s="93"/>
      <c r="FM153" s="93"/>
      <c r="FN153" s="93"/>
      <c r="FO153" s="93"/>
      <c r="FP153" s="93"/>
      <c r="FQ153" s="93"/>
      <c r="FR153" s="93"/>
      <c r="FS153" s="93"/>
      <c r="FT153" s="93"/>
      <c r="FU153" s="93"/>
      <c r="FV153" s="93"/>
      <c r="FW153" s="93"/>
      <c r="FX153" s="93"/>
      <c r="FY153" s="93"/>
      <c r="FZ153" s="93"/>
      <c r="GA153" s="93"/>
      <c r="GB153" s="93"/>
      <c r="GC153" s="93"/>
      <c r="GD153" s="93"/>
      <c r="GE153" s="93"/>
      <c r="GF153" s="93"/>
      <c r="GG153" s="93"/>
      <c r="GH153" s="93"/>
      <c r="GI153" s="93"/>
      <c r="GJ153" s="93"/>
      <c r="GK153" s="93"/>
      <c r="GL153" s="93"/>
      <c r="GM153" s="93"/>
      <c r="GN153" s="93"/>
      <c r="GO153" s="93"/>
      <c r="GP153" s="93"/>
      <c r="GQ153" s="93"/>
      <c r="GR153" s="93"/>
      <c r="GS153" s="93"/>
      <c r="GT153" s="93"/>
      <c r="GU153" s="93"/>
      <c r="GV153" s="93"/>
      <c r="GW153" s="93"/>
      <c r="GX153" s="93"/>
      <c r="GY153" s="93"/>
      <c r="GZ153" s="93"/>
      <c r="HA153" s="93"/>
      <c r="HB153" s="93"/>
      <c r="HC153" s="93"/>
      <c r="HD153" s="93"/>
      <c r="HE153" s="93"/>
      <c r="HF153" s="93"/>
      <c r="HG153" s="93"/>
    </row>
    <row r="154" spans="14:215" x14ac:dyDescent="0.2">
      <c r="N154" s="93" t="s">
        <v>371</v>
      </c>
      <c r="O154" s="93"/>
      <c r="P154" s="93"/>
      <c r="Q154" s="93"/>
      <c r="R154" s="93"/>
      <c r="S154" s="93"/>
      <c r="T154" s="93"/>
      <c r="U154" s="93"/>
      <c r="V154" s="93"/>
      <c r="W154" s="93"/>
      <c r="X154" s="93"/>
      <c r="Y154" s="93"/>
      <c r="Z154" s="93"/>
      <c r="AA154" s="93"/>
      <c r="AB154" s="93"/>
      <c r="AC154" s="93"/>
      <c r="AD154" s="93"/>
      <c r="AE154" s="93"/>
      <c r="AF154" s="93"/>
      <c r="AG154" s="93"/>
      <c r="AH154" s="93"/>
      <c r="AI154" s="93"/>
      <c r="AJ154" s="93"/>
      <c r="AK154" s="93"/>
      <c r="AL154" s="93"/>
      <c r="AM154" s="93"/>
      <c r="AN154" s="93"/>
      <c r="AO154" s="93"/>
      <c r="AP154" s="93"/>
      <c r="AQ154" s="93"/>
      <c r="AR154" s="93"/>
      <c r="AS154" s="93"/>
      <c r="AT154" s="93"/>
      <c r="AU154" s="93"/>
      <c r="AV154" s="93"/>
      <c r="AW154" s="93"/>
      <c r="AX154" s="93"/>
      <c r="AY154" s="93"/>
      <c r="AZ154" s="93"/>
      <c r="BA154" s="93"/>
      <c r="BB154" s="93"/>
      <c r="BC154" s="93"/>
      <c r="BD154" s="93"/>
      <c r="BE154" s="93"/>
      <c r="BF154" s="93">
        <v>0.33072916666666669</v>
      </c>
      <c r="BG154" s="93"/>
      <c r="BH154" s="93"/>
      <c r="BI154" s="93"/>
      <c r="BJ154" s="93"/>
      <c r="BK154" s="93"/>
      <c r="BL154" s="93"/>
      <c r="BM154" s="93"/>
      <c r="BN154" s="93"/>
      <c r="BO154" s="93"/>
      <c r="BP154" s="93"/>
      <c r="BQ154" s="93"/>
      <c r="BR154" s="93"/>
      <c r="BS154" s="93"/>
      <c r="BT154" s="93"/>
      <c r="BU154" s="93"/>
      <c r="BV154" s="93"/>
      <c r="BW154" s="93"/>
      <c r="BX154" s="93"/>
      <c r="BY154" s="93"/>
      <c r="BZ154" s="93"/>
      <c r="CA154" s="93"/>
      <c r="CB154" s="93"/>
      <c r="CC154" s="93"/>
      <c r="CD154" s="93"/>
      <c r="CE154" s="93"/>
      <c r="CF154" s="93"/>
      <c r="CG154" s="93"/>
      <c r="CH154" s="93"/>
      <c r="CI154" s="93"/>
      <c r="CJ154" s="93"/>
      <c r="CK154" s="93"/>
      <c r="CL154" s="93"/>
      <c r="CM154" s="93"/>
      <c r="CN154" s="93"/>
      <c r="CO154" s="93"/>
      <c r="CP154" s="93"/>
      <c r="CQ154" s="93"/>
      <c r="CR154" s="93"/>
      <c r="CS154" s="93"/>
      <c r="CT154" s="93"/>
      <c r="CU154" s="93"/>
      <c r="CV154" s="93"/>
      <c r="CW154" s="93"/>
      <c r="CX154" s="93"/>
      <c r="CY154" s="93"/>
      <c r="CZ154" s="93"/>
      <c r="DA154" s="93"/>
      <c r="DB154" s="93"/>
      <c r="DC154" s="93"/>
      <c r="DD154" s="93"/>
      <c r="DE154" s="93"/>
      <c r="DF154" s="93"/>
      <c r="DG154" s="93"/>
      <c r="DH154" s="93"/>
      <c r="DI154" s="93"/>
      <c r="DJ154" s="93"/>
      <c r="DK154" s="93"/>
      <c r="DL154" s="93"/>
      <c r="DM154" s="93"/>
      <c r="DN154" s="93"/>
      <c r="DO154" s="93"/>
      <c r="DP154" s="93"/>
      <c r="DQ154" s="93"/>
      <c r="DR154" s="93"/>
      <c r="DS154" s="93"/>
      <c r="DT154" s="93"/>
      <c r="DU154" s="93"/>
      <c r="DV154" s="93"/>
      <c r="DW154" s="93"/>
      <c r="DX154" s="93"/>
      <c r="DY154" s="93"/>
      <c r="DZ154" s="93"/>
      <c r="EA154" s="93"/>
      <c r="EB154" s="93"/>
      <c r="EC154" s="93"/>
      <c r="ED154" s="93"/>
      <c r="EE154" s="93"/>
      <c r="EF154" s="93"/>
      <c r="EG154" s="93"/>
      <c r="EH154" s="93"/>
      <c r="EI154" s="93"/>
      <c r="EJ154" s="93"/>
      <c r="EK154" s="93"/>
      <c r="EL154" s="93"/>
      <c r="EM154" s="93"/>
      <c r="EN154" s="93"/>
      <c r="EO154" s="93"/>
      <c r="EP154" s="93"/>
      <c r="EQ154" s="93"/>
      <c r="ER154" s="93"/>
      <c r="ES154" s="93"/>
      <c r="ET154" s="93"/>
      <c r="EU154" s="93"/>
      <c r="EV154" s="93"/>
      <c r="EW154" s="93"/>
      <c r="EX154" s="93"/>
      <c r="EY154" s="93"/>
      <c r="EZ154" s="93"/>
      <c r="FA154" s="93"/>
      <c r="FB154" s="93"/>
      <c r="FC154" s="93"/>
      <c r="FD154" s="93"/>
      <c r="FE154" s="93"/>
      <c r="FF154" s="93"/>
      <c r="FG154" s="93"/>
      <c r="FH154" s="93"/>
      <c r="FI154" s="93"/>
      <c r="FJ154" s="93"/>
      <c r="FK154" s="93"/>
      <c r="FL154" s="93"/>
      <c r="FM154" s="93"/>
      <c r="FN154" s="93"/>
      <c r="FO154" s="93"/>
      <c r="FP154" s="93"/>
      <c r="FQ154" s="93"/>
      <c r="FR154" s="93"/>
      <c r="FS154" s="93"/>
      <c r="FT154" s="93"/>
      <c r="FU154" s="93"/>
      <c r="FV154" s="93"/>
      <c r="FW154" s="93"/>
      <c r="FX154" s="93"/>
      <c r="FY154" s="93"/>
      <c r="FZ154" s="93"/>
      <c r="GA154" s="93"/>
      <c r="GB154" s="93"/>
      <c r="GC154" s="93"/>
      <c r="GD154" s="93"/>
      <c r="GE154" s="93"/>
      <c r="GF154" s="93"/>
      <c r="GG154" s="93"/>
      <c r="GH154" s="93"/>
      <c r="GI154" s="93"/>
      <c r="GJ154" s="93"/>
      <c r="GK154" s="93"/>
      <c r="GL154" s="93"/>
      <c r="GM154" s="93"/>
      <c r="GN154" s="93"/>
      <c r="GO154" s="93"/>
      <c r="GP154" s="93"/>
      <c r="GQ154" s="93"/>
      <c r="GR154" s="93"/>
      <c r="GS154" s="93"/>
      <c r="GT154" s="93"/>
      <c r="GU154" s="93"/>
      <c r="GV154" s="93"/>
      <c r="GW154" s="93"/>
      <c r="GX154" s="93"/>
      <c r="GY154" s="93"/>
      <c r="GZ154" s="93"/>
      <c r="HA154" s="93"/>
      <c r="HB154" s="93"/>
      <c r="HC154" s="93"/>
      <c r="HD154" s="93"/>
      <c r="HE154" s="93"/>
      <c r="HF154" s="93"/>
      <c r="HG154" s="93"/>
    </row>
    <row r="155" spans="14:215" x14ac:dyDescent="0.2">
      <c r="N155" s="93" t="s">
        <v>372</v>
      </c>
      <c r="O155" s="93"/>
      <c r="P155" s="93"/>
      <c r="Q155" s="93"/>
      <c r="R155" s="93"/>
      <c r="S155" s="93"/>
      <c r="T155" s="93"/>
      <c r="U155" s="93"/>
      <c r="V155" s="93"/>
      <c r="W155" s="93"/>
      <c r="X155" s="93"/>
      <c r="Y155" s="93"/>
      <c r="Z155" s="93"/>
      <c r="AA155" s="93"/>
      <c r="AB155" s="93"/>
      <c r="AC155" s="93"/>
      <c r="AD155" s="93"/>
      <c r="AE155" s="93"/>
      <c r="AF155" s="93"/>
      <c r="AG155" s="93"/>
      <c r="AH155" s="93"/>
      <c r="AI155" s="93"/>
      <c r="AJ155" s="93"/>
      <c r="AK155" s="93"/>
      <c r="AL155" s="93"/>
      <c r="AM155" s="93"/>
      <c r="AN155" s="93"/>
      <c r="AO155" s="93"/>
      <c r="AP155" s="93"/>
      <c r="AQ155" s="93"/>
      <c r="AR155" s="93"/>
      <c r="AS155" s="93"/>
      <c r="AT155" s="93"/>
      <c r="AU155" s="93"/>
      <c r="AV155" s="93"/>
      <c r="AW155" s="93"/>
      <c r="AX155" s="93"/>
      <c r="AY155" s="93"/>
      <c r="AZ155" s="93"/>
      <c r="BA155" s="93"/>
      <c r="BB155" s="93"/>
      <c r="BC155" s="93"/>
      <c r="BD155" s="93"/>
      <c r="BE155" s="93"/>
      <c r="BF155" s="93"/>
      <c r="BG155" s="93">
        <v>0.33078880407124683</v>
      </c>
      <c r="BH155" s="93"/>
      <c r="BI155" s="93"/>
      <c r="BJ155" s="93"/>
      <c r="BK155" s="93"/>
      <c r="BL155" s="93"/>
      <c r="BM155" s="93"/>
      <c r="BN155" s="93"/>
      <c r="BO155" s="93"/>
      <c r="BP155" s="93"/>
      <c r="BQ155" s="93"/>
      <c r="BR155" s="93"/>
      <c r="BS155" s="93"/>
      <c r="BT155" s="93"/>
      <c r="BU155" s="93"/>
      <c r="BV155" s="93"/>
      <c r="BW155" s="93"/>
      <c r="BX155" s="93"/>
      <c r="BY155" s="93"/>
      <c r="BZ155" s="93"/>
      <c r="CA155" s="93"/>
      <c r="CB155" s="93"/>
      <c r="CC155" s="93"/>
      <c r="CD155" s="93"/>
      <c r="CE155" s="93"/>
      <c r="CF155" s="93"/>
      <c r="CG155" s="93"/>
      <c r="CH155" s="93"/>
      <c r="CI155" s="93"/>
      <c r="CJ155" s="93"/>
      <c r="CK155" s="93"/>
      <c r="CL155" s="93"/>
      <c r="CM155" s="93"/>
      <c r="CN155" s="93"/>
      <c r="CO155" s="93"/>
      <c r="CP155" s="93"/>
      <c r="CQ155" s="93"/>
      <c r="CR155" s="93"/>
      <c r="CS155" s="93"/>
      <c r="CT155" s="93"/>
      <c r="CU155" s="93"/>
      <c r="CV155" s="93"/>
      <c r="CW155" s="93"/>
      <c r="CX155" s="93"/>
      <c r="CY155" s="93"/>
      <c r="CZ155" s="93"/>
      <c r="DA155" s="93"/>
      <c r="DB155" s="93"/>
      <c r="DC155" s="93"/>
      <c r="DD155" s="93"/>
      <c r="DE155" s="93"/>
      <c r="DF155" s="93"/>
      <c r="DG155" s="93"/>
      <c r="DH155" s="93"/>
      <c r="DI155" s="93"/>
      <c r="DJ155" s="93"/>
      <c r="DK155" s="93"/>
      <c r="DL155" s="93"/>
      <c r="DM155" s="93"/>
      <c r="DN155" s="93"/>
      <c r="DO155" s="93"/>
      <c r="DP155" s="93"/>
      <c r="DQ155" s="93"/>
      <c r="DR155" s="93"/>
      <c r="DS155" s="93"/>
      <c r="DT155" s="93"/>
      <c r="DU155" s="93"/>
      <c r="DV155" s="93"/>
      <c r="DW155" s="93"/>
      <c r="DX155" s="93"/>
      <c r="DY155" s="93"/>
      <c r="DZ155" s="93"/>
      <c r="EA155" s="93"/>
      <c r="EB155" s="93"/>
      <c r="EC155" s="93"/>
      <c r="ED155" s="93"/>
      <c r="EE155" s="93"/>
      <c r="EF155" s="93"/>
      <c r="EG155" s="93"/>
      <c r="EH155" s="93"/>
      <c r="EI155" s="93"/>
      <c r="EJ155" s="93"/>
      <c r="EK155" s="93"/>
      <c r="EL155" s="93"/>
      <c r="EM155" s="93"/>
      <c r="EN155" s="93"/>
      <c r="EO155" s="93"/>
      <c r="EP155" s="93"/>
      <c r="EQ155" s="93"/>
      <c r="ER155" s="93"/>
      <c r="ES155" s="93"/>
      <c r="ET155" s="93"/>
      <c r="EU155" s="93"/>
      <c r="EV155" s="93"/>
      <c r="EW155" s="93"/>
      <c r="EX155" s="93"/>
      <c r="EY155" s="93"/>
      <c r="EZ155" s="93"/>
      <c r="FA155" s="93"/>
      <c r="FB155" s="93"/>
      <c r="FC155" s="93"/>
      <c r="FD155" s="93"/>
      <c r="FE155" s="93"/>
      <c r="FF155" s="93"/>
      <c r="FG155" s="93"/>
      <c r="FH155" s="93"/>
      <c r="FI155" s="93"/>
      <c r="FJ155" s="93"/>
      <c r="FK155" s="93"/>
      <c r="FL155" s="93"/>
      <c r="FM155" s="93"/>
      <c r="FN155" s="93"/>
      <c r="FO155" s="93"/>
      <c r="FP155" s="93"/>
      <c r="FQ155" s="93"/>
      <c r="FR155" s="93"/>
      <c r="FS155" s="93"/>
      <c r="FT155" s="93"/>
      <c r="FU155" s="93"/>
      <c r="FV155" s="93"/>
      <c r="FW155" s="93"/>
      <c r="FX155" s="93"/>
      <c r="FY155" s="93"/>
      <c r="FZ155" s="93"/>
      <c r="GA155" s="93"/>
      <c r="GB155" s="93"/>
      <c r="GC155" s="93"/>
      <c r="GD155" s="93"/>
      <c r="GE155" s="93"/>
      <c r="GF155" s="93"/>
      <c r="GG155" s="93"/>
      <c r="GH155" s="93"/>
      <c r="GI155" s="93"/>
      <c r="GJ155" s="93"/>
      <c r="GK155" s="93"/>
      <c r="GL155" s="93"/>
      <c r="GM155" s="93"/>
      <c r="GN155" s="93"/>
      <c r="GO155" s="93"/>
      <c r="GP155" s="93"/>
      <c r="GQ155" s="93"/>
      <c r="GR155" s="93"/>
      <c r="GS155" s="93"/>
      <c r="GT155" s="93"/>
      <c r="GU155" s="93"/>
      <c r="GV155" s="93"/>
      <c r="GW155" s="93"/>
      <c r="GX155" s="93"/>
      <c r="GY155" s="93"/>
      <c r="GZ155" s="93"/>
      <c r="HA155" s="93"/>
      <c r="HB155" s="93"/>
      <c r="HC155" s="93"/>
      <c r="HD155" s="93"/>
      <c r="HE155" s="93"/>
      <c r="HF155" s="93"/>
      <c r="HG155" s="93"/>
    </row>
    <row r="156" spans="14:215" x14ac:dyDescent="0.2">
      <c r="N156" s="93" t="s">
        <v>373</v>
      </c>
      <c r="O156" s="93"/>
      <c r="P156" s="93"/>
      <c r="Q156" s="93"/>
      <c r="R156" s="93"/>
      <c r="S156" s="93"/>
      <c r="T156" s="93"/>
      <c r="U156" s="93"/>
      <c r="V156" s="93"/>
      <c r="W156" s="93"/>
      <c r="X156" s="93"/>
      <c r="Y156" s="93"/>
      <c r="Z156" s="93"/>
      <c r="AA156" s="93"/>
      <c r="AB156" s="93"/>
      <c r="AC156" s="93"/>
      <c r="AD156" s="93"/>
      <c r="AE156" s="93"/>
      <c r="AF156" s="93"/>
      <c r="AG156" s="93"/>
      <c r="AH156" s="93"/>
      <c r="AI156" s="93"/>
      <c r="AJ156" s="93"/>
      <c r="AK156" s="93"/>
      <c r="AL156" s="93"/>
      <c r="AM156" s="93"/>
      <c r="AN156" s="93"/>
      <c r="AO156" s="93"/>
      <c r="AP156" s="93"/>
      <c r="AQ156" s="93"/>
      <c r="AR156" s="93"/>
      <c r="AS156" s="93"/>
      <c r="AT156" s="93"/>
      <c r="AU156" s="93"/>
      <c r="AV156" s="93"/>
      <c r="AW156" s="93"/>
      <c r="AX156" s="93"/>
      <c r="AY156" s="93"/>
      <c r="AZ156" s="93"/>
      <c r="BA156" s="93"/>
      <c r="BB156" s="93"/>
      <c r="BC156" s="93"/>
      <c r="BD156" s="93"/>
      <c r="BE156" s="93"/>
      <c r="BF156" s="93"/>
      <c r="BG156" s="93"/>
      <c r="BH156" s="93">
        <v>0.3308457711442786</v>
      </c>
      <c r="BI156" s="93"/>
      <c r="BJ156" s="93"/>
      <c r="BK156" s="93"/>
      <c r="BL156" s="93"/>
      <c r="BM156" s="93"/>
      <c r="BN156" s="93"/>
      <c r="BO156" s="93"/>
      <c r="BP156" s="93"/>
      <c r="BQ156" s="93"/>
      <c r="BR156" s="93"/>
      <c r="BS156" s="93"/>
      <c r="BT156" s="93"/>
      <c r="BU156" s="93"/>
      <c r="BV156" s="93"/>
      <c r="BW156" s="93"/>
      <c r="BX156" s="93"/>
      <c r="BY156" s="93"/>
      <c r="BZ156" s="93"/>
      <c r="CA156" s="93"/>
      <c r="CB156" s="93"/>
      <c r="CC156" s="93"/>
      <c r="CD156" s="93"/>
      <c r="CE156" s="93"/>
      <c r="CF156" s="93"/>
      <c r="CG156" s="93"/>
      <c r="CH156" s="93"/>
      <c r="CI156" s="93"/>
      <c r="CJ156" s="93"/>
      <c r="CK156" s="93"/>
      <c r="CL156" s="93"/>
      <c r="CM156" s="93"/>
      <c r="CN156" s="93"/>
      <c r="CO156" s="93"/>
      <c r="CP156" s="93"/>
      <c r="CQ156" s="93"/>
      <c r="CR156" s="93"/>
      <c r="CS156" s="93"/>
      <c r="CT156" s="93"/>
      <c r="CU156" s="93"/>
      <c r="CV156" s="93"/>
      <c r="CW156" s="93"/>
      <c r="CX156" s="93"/>
      <c r="CY156" s="93"/>
      <c r="CZ156" s="93"/>
      <c r="DA156" s="93"/>
      <c r="DB156" s="93"/>
      <c r="DC156" s="93"/>
      <c r="DD156" s="93"/>
      <c r="DE156" s="93"/>
      <c r="DF156" s="93"/>
      <c r="DG156" s="93"/>
      <c r="DH156" s="93"/>
      <c r="DI156" s="93"/>
      <c r="DJ156" s="93"/>
      <c r="DK156" s="93"/>
      <c r="DL156" s="93"/>
      <c r="DM156" s="93"/>
      <c r="DN156" s="93"/>
      <c r="DO156" s="93"/>
      <c r="DP156" s="93"/>
      <c r="DQ156" s="93"/>
      <c r="DR156" s="93"/>
      <c r="DS156" s="93"/>
      <c r="DT156" s="93"/>
      <c r="DU156" s="93"/>
      <c r="DV156" s="93"/>
      <c r="DW156" s="93"/>
      <c r="DX156" s="93"/>
      <c r="DY156" s="93"/>
      <c r="DZ156" s="93"/>
      <c r="EA156" s="93"/>
      <c r="EB156" s="93"/>
      <c r="EC156" s="93"/>
      <c r="ED156" s="93"/>
      <c r="EE156" s="93"/>
      <c r="EF156" s="93"/>
      <c r="EG156" s="93"/>
      <c r="EH156" s="93"/>
      <c r="EI156" s="93"/>
      <c r="EJ156" s="93"/>
      <c r="EK156" s="93"/>
      <c r="EL156" s="93"/>
      <c r="EM156" s="93"/>
      <c r="EN156" s="93"/>
      <c r="EO156" s="93"/>
      <c r="EP156" s="93"/>
      <c r="EQ156" s="93"/>
      <c r="ER156" s="93"/>
      <c r="ES156" s="93"/>
      <c r="ET156" s="93"/>
      <c r="EU156" s="93"/>
      <c r="EV156" s="93"/>
      <c r="EW156" s="93"/>
      <c r="EX156" s="93"/>
      <c r="EY156" s="93"/>
      <c r="EZ156" s="93"/>
      <c r="FA156" s="93"/>
      <c r="FB156" s="93"/>
      <c r="FC156" s="93"/>
      <c r="FD156" s="93"/>
      <c r="FE156" s="93"/>
      <c r="FF156" s="93"/>
      <c r="FG156" s="93"/>
      <c r="FH156" s="93"/>
      <c r="FI156" s="93"/>
      <c r="FJ156" s="93"/>
      <c r="FK156" s="93"/>
      <c r="FL156" s="93"/>
      <c r="FM156" s="93"/>
      <c r="FN156" s="93"/>
      <c r="FO156" s="93"/>
      <c r="FP156" s="93"/>
      <c r="FQ156" s="93"/>
      <c r="FR156" s="93"/>
      <c r="FS156" s="93"/>
      <c r="FT156" s="93"/>
      <c r="FU156" s="93"/>
      <c r="FV156" s="93"/>
      <c r="FW156" s="93"/>
      <c r="FX156" s="93"/>
      <c r="FY156" s="93"/>
      <c r="FZ156" s="93"/>
      <c r="GA156" s="93"/>
      <c r="GB156" s="93"/>
      <c r="GC156" s="93"/>
      <c r="GD156" s="93"/>
      <c r="GE156" s="93"/>
      <c r="GF156" s="93"/>
      <c r="GG156" s="93"/>
      <c r="GH156" s="93"/>
      <c r="GI156" s="93"/>
      <c r="GJ156" s="93"/>
      <c r="GK156" s="93"/>
      <c r="GL156" s="93"/>
      <c r="GM156" s="93"/>
      <c r="GN156" s="93"/>
      <c r="GO156" s="93"/>
      <c r="GP156" s="93"/>
      <c r="GQ156" s="93"/>
      <c r="GR156" s="93"/>
      <c r="GS156" s="93"/>
      <c r="GT156" s="93"/>
      <c r="GU156" s="93"/>
      <c r="GV156" s="93"/>
      <c r="GW156" s="93"/>
      <c r="GX156" s="93"/>
      <c r="GY156" s="93"/>
      <c r="GZ156" s="93"/>
      <c r="HA156" s="93"/>
      <c r="HB156" s="93"/>
      <c r="HC156" s="93"/>
      <c r="HD156" s="93"/>
      <c r="HE156" s="93"/>
      <c r="HF156" s="93"/>
      <c r="HG156" s="93"/>
    </row>
    <row r="157" spans="14:215" x14ac:dyDescent="0.2">
      <c r="N157" s="93" t="s">
        <v>374</v>
      </c>
      <c r="O157" s="93"/>
      <c r="P157" s="93"/>
      <c r="Q157" s="93"/>
      <c r="R157" s="93"/>
      <c r="S157" s="93"/>
      <c r="T157" s="93"/>
      <c r="U157" s="93"/>
      <c r="V157" s="93"/>
      <c r="W157" s="93"/>
      <c r="X157" s="93"/>
      <c r="Y157" s="93"/>
      <c r="Z157" s="93"/>
      <c r="AA157" s="93"/>
      <c r="AB157" s="93"/>
      <c r="AC157" s="93"/>
      <c r="AD157" s="93"/>
      <c r="AE157" s="93"/>
      <c r="AF157" s="93"/>
      <c r="AG157" s="93"/>
      <c r="AH157" s="93"/>
      <c r="AI157" s="93"/>
      <c r="AJ157" s="93"/>
      <c r="AK157" s="93"/>
      <c r="AL157" s="93"/>
      <c r="AM157" s="93"/>
      <c r="AN157" s="93"/>
      <c r="AO157" s="93"/>
      <c r="AP157" s="93"/>
      <c r="AQ157" s="93"/>
      <c r="AR157" s="93"/>
      <c r="AS157" s="93"/>
      <c r="AT157" s="93"/>
      <c r="AU157" s="93"/>
      <c r="AV157" s="93"/>
      <c r="AW157" s="93"/>
      <c r="AX157" s="93"/>
      <c r="AY157" s="93"/>
      <c r="AZ157" s="93"/>
      <c r="BA157" s="93"/>
      <c r="BB157" s="93"/>
      <c r="BC157" s="93"/>
      <c r="BD157" s="93"/>
      <c r="BE157" s="93"/>
      <c r="BF157" s="93"/>
      <c r="BG157" s="93"/>
      <c r="BH157" s="93"/>
      <c r="BI157" s="93">
        <v>0.33090024330900242</v>
      </c>
      <c r="BJ157" s="93"/>
      <c r="BK157" s="93"/>
      <c r="BL157" s="93"/>
      <c r="BM157" s="93"/>
      <c r="BN157" s="93"/>
      <c r="BO157" s="93"/>
      <c r="BP157" s="93"/>
      <c r="BQ157" s="93"/>
      <c r="BR157" s="93"/>
      <c r="BS157" s="93"/>
      <c r="BT157" s="93"/>
      <c r="BU157" s="93"/>
      <c r="BV157" s="93"/>
      <c r="BW157" s="93"/>
      <c r="BX157" s="93"/>
      <c r="BY157" s="93"/>
      <c r="BZ157" s="93"/>
      <c r="CA157" s="93"/>
      <c r="CB157" s="93"/>
      <c r="CC157" s="93"/>
      <c r="CD157" s="93"/>
      <c r="CE157" s="93"/>
      <c r="CF157" s="93"/>
      <c r="CG157" s="93"/>
      <c r="CH157" s="93"/>
      <c r="CI157" s="93"/>
      <c r="CJ157" s="93"/>
      <c r="CK157" s="93"/>
      <c r="CL157" s="93"/>
      <c r="CM157" s="93"/>
      <c r="CN157" s="93"/>
      <c r="CO157" s="93"/>
      <c r="CP157" s="93"/>
      <c r="CQ157" s="93"/>
      <c r="CR157" s="93"/>
      <c r="CS157" s="93"/>
      <c r="CT157" s="93"/>
      <c r="CU157" s="93"/>
      <c r="CV157" s="93"/>
      <c r="CW157" s="93"/>
      <c r="CX157" s="93"/>
      <c r="CY157" s="93"/>
      <c r="CZ157" s="93"/>
      <c r="DA157" s="93"/>
      <c r="DB157" s="93"/>
      <c r="DC157" s="93"/>
      <c r="DD157" s="93"/>
      <c r="DE157" s="93"/>
      <c r="DF157" s="93"/>
      <c r="DG157" s="93"/>
      <c r="DH157" s="93"/>
      <c r="DI157" s="93"/>
      <c r="DJ157" s="93"/>
      <c r="DK157" s="93"/>
      <c r="DL157" s="93"/>
      <c r="DM157" s="93"/>
      <c r="DN157" s="93"/>
      <c r="DO157" s="93"/>
      <c r="DP157" s="93"/>
      <c r="DQ157" s="93"/>
      <c r="DR157" s="93"/>
      <c r="DS157" s="93"/>
      <c r="DT157" s="93"/>
      <c r="DU157" s="93"/>
      <c r="DV157" s="93"/>
      <c r="DW157" s="93"/>
      <c r="DX157" s="93"/>
      <c r="DY157" s="93"/>
      <c r="DZ157" s="93"/>
      <c r="EA157" s="93"/>
      <c r="EB157" s="93"/>
      <c r="EC157" s="93"/>
      <c r="ED157" s="93"/>
      <c r="EE157" s="93"/>
      <c r="EF157" s="93"/>
      <c r="EG157" s="93"/>
      <c r="EH157" s="93"/>
      <c r="EI157" s="93"/>
      <c r="EJ157" s="93"/>
      <c r="EK157" s="93"/>
      <c r="EL157" s="93"/>
      <c r="EM157" s="93"/>
      <c r="EN157" s="93"/>
      <c r="EO157" s="93"/>
      <c r="EP157" s="93"/>
      <c r="EQ157" s="93"/>
      <c r="ER157" s="93"/>
      <c r="ES157" s="93"/>
      <c r="ET157" s="93"/>
      <c r="EU157" s="93"/>
      <c r="EV157" s="93"/>
      <c r="EW157" s="93"/>
      <c r="EX157" s="93"/>
      <c r="EY157" s="93"/>
      <c r="EZ157" s="93"/>
      <c r="FA157" s="93"/>
      <c r="FB157" s="93"/>
      <c r="FC157" s="93"/>
      <c r="FD157" s="93"/>
      <c r="FE157" s="93"/>
      <c r="FF157" s="93"/>
      <c r="FG157" s="93"/>
      <c r="FH157" s="93"/>
      <c r="FI157" s="93"/>
      <c r="FJ157" s="93"/>
      <c r="FK157" s="93"/>
      <c r="FL157" s="93"/>
      <c r="FM157" s="93"/>
      <c r="FN157" s="93"/>
      <c r="FO157" s="93"/>
      <c r="FP157" s="93"/>
      <c r="FQ157" s="93"/>
      <c r="FR157" s="93"/>
      <c r="FS157" s="93"/>
      <c r="FT157" s="93"/>
      <c r="FU157" s="93"/>
      <c r="FV157" s="93"/>
      <c r="FW157" s="93"/>
      <c r="FX157" s="93"/>
      <c r="FY157" s="93"/>
      <c r="FZ157" s="93"/>
      <c r="GA157" s="93"/>
      <c r="GB157" s="93"/>
      <c r="GC157" s="93"/>
      <c r="GD157" s="93"/>
      <c r="GE157" s="93"/>
      <c r="GF157" s="93"/>
      <c r="GG157" s="93"/>
      <c r="GH157" s="93"/>
      <c r="GI157" s="93"/>
      <c r="GJ157" s="93"/>
      <c r="GK157" s="93"/>
      <c r="GL157" s="93"/>
      <c r="GM157" s="93"/>
      <c r="GN157" s="93"/>
      <c r="GO157" s="93"/>
      <c r="GP157" s="93"/>
      <c r="GQ157" s="93"/>
      <c r="GR157" s="93"/>
      <c r="GS157" s="93"/>
      <c r="GT157" s="93"/>
      <c r="GU157" s="93"/>
      <c r="GV157" s="93"/>
      <c r="GW157" s="93"/>
      <c r="GX157" s="93"/>
      <c r="GY157" s="93"/>
      <c r="GZ157" s="93"/>
      <c r="HA157" s="93"/>
      <c r="HB157" s="93"/>
      <c r="HC157" s="93"/>
      <c r="HD157" s="93"/>
      <c r="HE157" s="93"/>
      <c r="HF157" s="93"/>
      <c r="HG157" s="93"/>
    </row>
    <row r="158" spans="14:215" x14ac:dyDescent="0.2">
      <c r="N158" s="93" t="s">
        <v>375</v>
      </c>
      <c r="O158" s="93"/>
      <c r="P158" s="93"/>
      <c r="Q158" s="93"/>
      <c r="R158" s="93"/>
      <c r="S158" s="93"/>
      <c r="T158" s="93"/>
      <c r="U158" s="93"/>
      <c r="V158" s="93"/>
      <c r="W158" s="93"/>
      <c r="X158" s="93"/>
      <c r="Y158" s="93"/>
      <c r="Z158" s="93"/>
      <c r="AA158" s="93"/>
      <c r="AB158" s="93"/>
      <c r="AC158" s="93"/>
      <c r="AD158" s="93"/>
      <c r="AE158" s="93"/>
      <c r="AF158" s="93"/>
      <c r="AG158" s="93"/>
      <c r="AH158" s="93"/>
      <c r="AI158" s="93"/>
      <c r="AJ158" s="93"/>
      <c r="AK158" s="93"/>
      <c r="AL158" s="93"/>
      <c r="AM158" s="93"/>
      <c r="AN158" s="93"/>
      <c r="AO158" s="93"/>
      <c r="AP158" s="93"/>
      <c r="AQ158" s="93"/>
      <c r="AR158" s="93"/>
      <c r="AS158" s="93"/>
      <c r="AT158" s="93"/>
      <c r="AU158" s="93"/>
      <c r="AV158" s="93"/>
      <c r="AW158" s="93"/>
      <c r="AX158" s="93"/>
      <c r="AY158" s="93"/>
      <c r="AZ158" s="93"/>
      <c r="BA158" s="93"/>
      <c r="BB158" s="93"/>
      <c r="BC158" s="93"/>
      <c r="BD158" s="93"/>
      <c r="BE158" s="93"/>
      <c r="BF158" s="93"/>
      <c r="BG158" s="93"/>
      <c r="BH158" s="93"/>
      <c r="BI158" s="93"/>
      <c r="BJ158" s="93">
        <v>0.33095238095238094</v>
      </c>
      <c r="BK158" s="93"/>
      <c r="BL158" s="93"/>
      <c r="BM158" s="93"/>
      <c r="BN158" s="93"/>
      <c r="BO158" s="93"/>
      <c r="BP158" s="93"/>
      <c r="BQ158" s="93"/>
      <c r="BR158" s="93"/>
      <c r="BS158" s="93"/>
      <c r="BT158" s="93"/>
      <c r="BU158" s="93"/>
      <c r="BV158" s="93"/>
      <c r="BW158" s="93"/>
      <c r="BX158" s="93"/>
      <c r="BY158" s="93"/>
      <c r="BZ158" s="93"/>
      <c r="CA158" s="93"/>
      <c r="CB158" s="93"/>
      <c r="CC158" s="93"/>
      <c r="CD158" s="93"/>
      <c r="CE158" s="93"/>
      <c r="CF158" s="93"/>
      <c r="CG158" s="93"/>
      <c r="CH158" s="93"/>
      <c r="CI158" s="93"/>
      <c r="CJ158" s="93"/>
      <c r="CK158" s="93"/>
      <c r="CL158" s="93"/>
      <c r="CM158" s="93"/>
      <c r="CN158" s="93"/>
      <c r="CO158" s="93"/>
      <c r="CP158" s="93"/>
      <c r="CQ158" s="93"/>
      <c r="CR158" s="93"/>
      <c r="CS158" s="93"/>
      <c r="CT158" s="93"/>
      <c r="CU158" s="93"/>
      <c r="CV158" s="93"/>
      <c r="CW158" s="93"/>
      <c r="CX158" s="93"/>
      <c r="CY158" s="93"/>
      <c r="CZ158" s="93"/>
      <c r="DA158" s="93"/>
      <c r="DB158" s="93"/>
      <c r="DC158" s="93"/>
      <c r="DD158" s="93"/>
      <c r="DE158" s="93"/>
      <c r="DF158" s="93"/>
      <c r="DG158" s="93"/>
      <c r="DH158" s="93"/>
      <c r="DI158" s="93"/>
      <c r="DJ158" s="93"/>
      <c r="DK158" s="93"/>
      <c r="DL158" s="93"/>
      <c r="DM158" s="93"/>
      <c r="DN158" s="93"/>
      <c r="DO158" s="93"/>
      <c r="DP158" s="93"/>
      <c r="DQ158" s="93"/>
      <c r="DR158" s="93"/>
      <c r="DS158" s="93"/>
      <c r="DT158" s="93"/>
      <c r="DU158" s="93"/>
      <c r="DV158" s="93"/>
      <c r="DW158" s="93"/>
      <c r="DX158" s="93"/>
      <c r="DY158" s="93"/>
      <c r="DZ158" s="93"/>
      <c r="EA158" s="93"/>
      <c r="EB158" s="93"/>
      <c r="EC158" s="93"/>
      <c r="ED158" s="93"/>
      <c r="EE158" s="93"/>
      <c r="EF158" s="93"/>
      <c r="EG158" s="93"/>
      <c r="EH158" s="93"/>
      <c r="EI158" s="93"/>
      <c r="EJ158" s="93"/>
      <c r="EK158" s="93"/>
      <c r="EL158" s="93"/>
      <c r="EM158" s="93"/>
      <c r="EN158" s="93"/>
      <c r="EO158" s="93"/>
      <c r="EP158" s="93"/>
      <c r="EQ158" s="93"/>
      <c r="ER158" s="93"/>
      <c r="ES158" s="93"/>
      <c r="ET158" s="93"/>
      <c r="EU158" s="93"/>
      <c r="EV158" s="93"/>
      <c r="EW158" s="93"/>
      <c r="EX158" s="93"/>
      <c r="EY158" s="93"/>
      <c r="EZ158" s="93"/>
      <c r="FA158" s="93"/>
      <c r="FB158" s="93"/>
      <c r="FC158" s="93"/>
      <c r="FD158" s="93"/>
      <c r="FE158" s="93"/>
      <c r="FF158" s="93"/>
      <c r="FG158" s="93"/>
      <c r="FH158" s="93"/>
      <c r="FI158" s="93"/>
      <c r="FJ158" s="93"/>
      <c r="FK158" s="93"/>
      <c r="FL158" s="93"/>
      <c r="FM158" s="93"/>
      <c r="FN158" s="93"/>
      <c r="FO158" s="93"/>
      <c r="FP158" s="93"/>
      <c r="FQ158" s="93"/>
      <c r="FR158" s="93"/>
      <c r="FS158" s="93"/>
      <c r="FT158" s="93"/>
      <c r="FU158" s="93"/>
      <c r="FV158" s="93"/>
      <c r="FW158" s="93"/>
      <c r="FX158" s="93"/>
      <c r="FY158" s="93"/>
      <c r="FZ158" s="93"/>
      <c r="GA158" s="93"/>
      <c r="GB158" s="93"/>
      <c r="GC158" s="93"/>
      <c r="GD158" s="93"/>
      <c r="GE158" s="93"/>
      <c r="GF158" s="93"/>
      <c r="GG158" s="93"/>
      <c r="GH158" s="93"/>
      <c r="GI158" s="93"/>
      <c r="GJ158" s="93"/>
      <c r="GK158" s="93"/>
      <c r="GL158" s="93"/>
      <c r="GM158" s="93"/>
      <c r="GN158" s="93"/>
      <c r="GO158" s="93"/>
      <c r="GP158" s="93"/>
      <c r="GQ158" s="93"/>
      <c r="GR158" s="93"/>
      <c r="GS158" s="93"/>
      <c r="GT158" s="93"/>
      <c r="GU158" s="93"/>
      <c r="GV158" s="93"/>
      <c r="GW158" s="93"/>
      <c r="GX158" s="93"/>
      <c r="GY158" s="93"/>
      <c r="GZ158" s="93"/>
      <c r="HA158" s="93"/>
      <c r="HB158" s="93"/>
      <c r="HC158" s="93"/>
      <c r="HD158" s="93"/>
      <c r="HE158" s="93"/>
      <c r="HF158" s="93"/>
      <c r="HG158" s="93"/>
    </row>
    <row r="159" spans="14:215" x14ac:dyDescent="0.2">
      <c r="N159" s="93" t="s">
        <v>376</v>
      </c>
      <c r="O159" s="93"/>
      <c r="P159" s="93"/>
      <c r="Q159" s="93"/>
      <c r="R159" s="93"/>
      <c r="S159" s="93"/>
      <c r="T159" s="93"/>
      <c r="U159" s="93"/>
      <c r="V159" s="93"/>
      <c r="W159" s="93"/>
      <c r="X159" s="93"/>
      <c r="Y159" s="93"/>
      <c r="Z159" s="93"/>
      <c r="AA159" s="93"/>
      <c r="AB159" s="93"/>
      <c r="AC159" s="93"/>
      <c r="AD159" s="93"/>
      <c r="AE159" s="93"/>
      <c r="AF159" s="93"/>
      <c r="AG159" s="93"/>
      <c r="AH159" s="93"/>
      <c r="AI159" s="93"/>
      <c r="AJ159" s="93"/>
      <c r="AK159" s="93"/>
      <c r="AL159" s="93"/>
      <c r="AM159" s="93"/>
      <c r="AN159" s="93"/>
      <c r="AO159" s="93"/>
      <c r="AP159" s="93"/>
      <c r="AQ159" s="93"/>
      <c r="AR159" s="93"/>
      <c r="AS159" s="93"/>
      <c r="AT159" s="93"/>
      <c r="AU159" s="93"/>
      <c r="AV159" s="93"/>
      <c r="AW159" s="93"/>
      <c r="AX159" s="93"/>
      <c r="AY159" s="93"/>
      <c r="AZ159" s="93"/>
      <c r="BA159" s="93"/>
      <c r="BB159" s="93"/>
      <c r="BC159" s="93"/>
      <c r="BD159" s="93"/>
      <c r="BE159" s="93"/>
      <c r="BF159" s="93"/>
      <c r="BG159" s="93"/>
      <c r="BH159" s="93"/>
      <c r="BI159" s="93"/>
      <c r="BJ159" s="93"/>
      <c r="BK159" s="93">
        <v>0.33100233100233101</v>
      </c>
      <c r="BL159" s="93"/>
      <c r="BM159" s="93"/>
      <c r="BN159" s="93"/>
      <c r="BO159" s="93"/>
      <c r="BP159" s="93"/>
      <c r="BQ159" s="93"/>
      <c r="BR159" s="93"/>
      <c r="BS159" s="93"/>
      <c r="BT159" s="93"/>
      <c r="BU159" s="93"/>
      <c r="BV159" s="93"/>
      <c r="BW159" s="93"/>
      <c r="BX159" s="93"/>
      <c r="BY159" s="93"/>
      <c r="BZ159" s="93"/>
      <c r="CA159" s="93"/>
      <c r="CB159" s="93"/>
      <c r="CC159" s="93"/>
      <c r="CD159" s="93"/>
      <c r="CE159" s="93"/>
      <c r="CF159" s="93"/>
      <c r="CG159" s="93"/>
      <c r="CH159" s="93"/>
      <c r="CI159" s="93"/>
      <c r="CJ159" s="93"/>
      <c r="CK159" s="93"/>
      <c r="CL159" s="93"/>
      <c r="CM159" s="93"/>
      <c r="CN159" s="93"/>
      <c r="CO159" s="93"/>
      <c r="CP159" s="93"/>
      <c r="CQ159" s="93"/>
      <c r="CR159" s="93"/>
      <c r="CS159" s="93"/>
      <c r="CT159" s="93"/>
      <c r="CU159" s="93"/>
      <c r="CV159" s="93"/>
      <c r="CW159" s="93"/>
      <c r="CX159" s="93"/>
      <c r="CY159" s="93"/>
      <c r="CZ159" s="93"/>
      <c r="DA159" s="93"/>
      <c r="DB159" s="93"/>
      <c r="DC159" s="93"/>
      <c r="DD159" s="93"/>
      <c r="DE159" s="93"/>
      <c r="DF159" s="93"/>
      <c r="DG159" s="93"/>
      <c r="DH159" s="93"/>
      <c r="DI159" s="93"/>
      <c r="DJ159" s="93"/>
      <c r="DK159" s="93"/>
      <c r="DL159" s="93"/>
      <c r="DM159" s="93"/>
      <c r="DN159" s="93"/>
      <c r="DO159" s="93"/>
      <c r="DP159" s="93"/>
      <c r="DQ159" s="93"/>
      <c r="DR159" s="93"/>
      <c r="DS159" s="93"/>
      <c r="DT159" s="93"/>
      <c r="DU159" s="93"/>
      <c r="DV159" s="93"/>
      <c r="DW159" s="93"/>
      <c r="DX159" s="93"/>
      <c r="DY159" s="93"/>
      <c r="DZ159" s="93"/>
      <c r="EA159" s="93"/>
      <c r="EB159" s="93"/>
      <c r="EC159" s="93"/>
      <c r="ED159" s="93"/>
      <c r="EE159" s="93"/>
      <c r="EF159" s="93"/>
      <c r="EG159" s="93"/>
      <c r="EH159" s="93"/>
      <c r="EI159" s="93"/>
      <c r="EJ159" s="93"/>
      <c r="EK159" s="93"/>
      <c r="EL159" s="93"/>
      <c r="EM159" s="93"/>
      <c r="EN159" s="93"/>
      <c r="EO159" s="93"/>
      <c r="EP159" s="93"/>
      <c r="EQ159" s="93"/>
      <c r="ER159" s="93"/>
      <c r="ES159" s="93"/>
      <c r="ET159" s="93"/>
      <c r="EU159" s="93"/>
      <c r="EV159" s="93"/>
      <c r="EW159" s="93"/>
      <c r="EX159" s="93"/>
      <c r="EY159" s="93"/>
      <c r="EZ159" s="93"/>
      <c r="FA159" s="93"/>
      <c r="FB159" s="93"/>
      <c r="FC159" s="93"/>
      <c r="FD159" s="93"/>
      <c r="FE159" s="93"/>
      <c r="FF159" s="93"/>
      <c r="FG159" s="93"/>
      <c r="FH159" s="93"/>
      <c r="FI159" s="93"/>
      <c r="FJ159" s="93"/>
      <c r="FK159" s="93"/>
      <c r="FL159" s="93"/>
      <c r="FM159" s="93"/>
      <c r="FN159" s="93"/>
      <c r="FO159" s="93"/>
      <c r="FP159" s="93"/>
      <c r="FQ159" s="93"/>
      <c r="FR159" s="93"/>
      <c r="FS159" s="93"/>
      <c r="FT159" s="93"/>
      <c r="FU159" s="93"/>
      <c r="FV159" s="93"/>
      <c r="FW159" s="93"/>
      <c r="FX159" s="93"/>
      <c r="FY159" s="93"/>
      <c r="FZ159" s="93"/>
      <c r="GA159" s="93"/>
      <c r="GB159" s="93"/>
      <c r="GC159" s="93"/>
      <c r="GD159" s="93"/>
      <c r="GE159" s="93"/>
      <c r="GF159" s="93"/>
      <c r="GG159" s="93"/>
      <c r="GH159" s="93"/>
      <c r="GI159" s="93"/>
      <c r="GJ159" s="93"/>
      <c r="GK159" s="93"/>
      <c r="GL159" s="93"/>
      <c r="GM159" s="93"/>
      <c r="GN159" s="93"/>
      <c r="GO159" s="93"/>
      <c r="GP159" s="93"/>
      <c r="GQ159" s="93"/>
      <c r="GR159" s="93"/>
      <c r="GS159" s="93"/>
      <c r="GT159" s="93"/>
      <c r="GU159" s="93"/>
      <c r="GV159" s="93"/>
      <c r="GW159" s="93"/>
      <c r="GX159" s="93"/>
      <c r="GY159" s="93"/>
      <c r="GZ159" s="93"/>
      <c r="HA159" s="93"/>
      <c r="HB159" s="93"/>
      <c r="HC159" s="93"/>
      <c r="HD159" s="93"/>
      <c r="HE159" s="93"/>
      <c r="HF159" s="93"/>
      <c r="HG159" s="93"/>
    </row>
    <row r="160" spans="14:215" x14ac:dyDescent="0.2">
      <c r="N160" s="93" t="s">
        <v>377</v>
      </c>
      <c r="O160" s="93"/>
      <c r="P160" s="93"/>
      <c r="Q160" s="93"/>
      <c r="R160" s="93"/>
      <c r="S160" s="93"/>
      <c r="T160" s="93"/>
      <c r="U160" s="93"/>
      <c r="V160" s="93"/>
      <c r="W160" s="93"/>
      <c r="X160" s="93"/>
      <c r="Y160" s="93"/>
      <c r="Z160" s="93"/>
      <c r="AA160" s="93"/>
      <c r="AB160" s="93"/>
      <c r="AC160" s="93"/>
      <c r="AD160" s="93"/>
      <c r="AE160" s="93"/>
      <c r="AF160" s="93"/>
      <c r="AG160" s="93"/>
      <c r="AH160" s="93"/>
      <c r="AI160" s="93"/>
      <c r="AJ160" s="93"/>
      <c r="AK160" s="93"/>
      <c r="AL160" s="93"/>
      <c r="AM160" s="93"/>
      <c r="AN160" s="93"/>
      <c r="AO160" s="93"/>
      <c r="AP160" s="93"/>
      <c r="AQ160" s="93"/>
      <c r="AR160" s="93"/>
      <c r="AS160" s="93"/>
      <c r="AT160" s="93"/>
      <c r="AU160" s="93"/>
      <c r="AV160" s="93"/>
      <c r="AW160" s="93"/>
      <c r="AX160" s="93"/>
      <c r="AY160" s="93"/>
      <c r="AZ160" s="93"/>
      <c r="BA160" s="93"/>
      <c r="BB160" s="93"/>
      <c r="BC160" s="93"/>
      <c r="BD160" s="93"/>
      <c r="BE160" s="93"/>
      <c r="BF160" s="93"/>
      <c r="BG160" s="93"/>
      <c r="BH160" s="93"/>
      <c r="BI160" s="93"/>
      <c r="BJ160" s="93"/>
      <c r="BK160" s="93"/>
      <c r="BL160" s="93">
        <v>0.33105022831050229</v>
      </c>
      <c r="BM160" s="93"/>
      <c r="BN160" s="93"/>
      <c r="BO160" s="93"/>
      <c r="BP160" s="93"/>
      <c r="BQ160" s="93"/>
      <c r="BR160" s="93"/>
      <c r="BS160" s="93"/>
      <c r="BT160" s="93"/>
      <c r="BU160" s="93"/>
      <c r="BV160" s="93"/>
      <c r="BW160" s="93"/>
      <c r="BX160" s="93"/>
      <c r="BY160" s="93"/>
      <c r="BZ160" s="93"/>
      <c r="CA160" s="93"/>
      <c r="CB160" s="93"/>
      <c r="CC160" s="93"/>
      <c r="CD160" s="93"/>
      <c r="CE160" s="93"/>
      <c r="CF160" s="93"/>
      <c r="CG160" s="93"/>
      <c r="CH160" s="93"/>
      <c r="CI160" s="93"/>
      <c r="CJ160" s="93"/>
      <c r="CK160" s="93"/>
      <c r="CL160" s="93"/>
      <c r="CM160" s="93"/>
      <c r="CN160" s="93"/>
      <c r="CO160" s="93"/>
      <c r="CP160" s="93"/>
      <c r="CQ160" s="93"/>
      <c r="CR160" s="93"/>
      <c r="CS160" s="93"/>
      <c r="CT160" s="93"/>
      <c r="CU160" s="93"/>
      <c r="CV160" s="93"/>
      <c r="CW160" s="93"/>
      <c r="CX160" s="93"/>
      <c r="CY160" s="93"/>
      <c r="CZ160" s="93"/>
      <c r="DA160" s="93"/>
      <c r="DB160" s="93"/>
      <c r="DC160" s="93"/>
      <c r="DD160" s="93"/>
      <c r="DE160" s="93"/>
      <c r="DF160" s="93"/>
      <c r="DG160" s="93"/>
      <c r="DH160" s="93"/>
      <c r="DI160" s="93"/>
      <c r="DJ160" s="93"/>
      <c r="DK160" s="93"/>
      <c r="DL160" s="93"/>
      <c r="DM160" s="93"/>
      <c r="DN160" s="93"/>
      <c r="DO160" s="93"/>
      <c r="DP160" s="93"/>
      <c r="DQ160" s="93"/>
      <c r="DR160" s="93"/>
      <c r="DS160" s="93"/>
      <c r="DT160" s="93"/>
      <c r="DU160" s="93"/>
      <c r="DV160" s="93"/>
      <c r="DW160" s="93"/>
      <c r="DX160" s="93"/>
      <c r="DY160" s="93"/>
      <c r="DZ160" s="93"/>
      <c r="EA160" s="93"/>
      <c r="EB160" s="93"/>
      <c r="EC160" s="93"/>
      <c r="ED160" s="93"/>
      <c r="EE160" s="93"/>
      <c r="EF160" s="93"/>
      <c r="EG160" s="93"/>
      <c r="EH160" s="93"/>
      <c r="EI160" s="93"/>
      <c r="EJ160" s="93"/>
      <c r="EK160" s="93"/>
      <c r="EL160" s="93"/>
      <c r="EM160" s="93"/>
      <c r="EN160" s="93"/>
      <c r="EO160" s="93"/>
      <c r="EP160" s="93"/>
      <c r="EQ160" s="93"/>
      <c r="ER160" s="93"/>
      <c r="ES160" s="93"/>
      <c r="ET160" s="93"/>
      <c r="EU160" s="93"/>
      <c r="EV160" s="93"/>
      <c r="EW160" s="93"/>
      <c r="EX160" s="93"/>
      <c r="EY160" s="93"/>
      <c r="EZ160" s="93"/>
      <c r="FA160" s="93"/>
      <c r="FB160" s="93"/>
      <c r="FC160" s="93"/>
      <c r="FD160" s="93"/>
      <c r="FE160" s="93"/>
      <c r="FF160" s="93"/>
      <c r="FG160" s="93"/>
      <c r="FH160" s="93"/>
      <c r="FI160" s="93"/>
      <c r="FJ160" s="93"/>
      <c r="FK160" s="93"/>
      <c r="FL160" s="93"/>
      <c r="FM160" s="93"/>
      <c r="FN160" s="93"/>
      <c r="FO160" s="93"/>
      <c r="FP160" s="93"/>
      <c r="FQ160" s="93"/>
      <c r="FR160" s="93"/>
      <c r="FS160" s="93"/>
      <c r="FT160" s="93"/>
      <c r="FU160" s="93"/>
      <c r="FV160" s="93"/>
      <c r="FW160" s="93"/>
      <c r="FX160" s="93"/>
      <c r="FY160" s="93"/>
      <c r="FZ160" s="93"/>
      <c r="GA160" s="93"/>
      <c r="GB160" s="93"/>
      <c r="GC160" s="93"/>
      <c r="GD160" s="93"/>
      <c r="GE160" s="93"/>
      <c r="GF160" s="93"/>
      <c r="GG160" s="93"/>
      <c r="GH160" s="93"/>
      <c r="GI160" s="93"/>
      <c r="GJ160" s="93"/>
      <c r="GK160" s="93"/>
      <c r="GL160" s="93"/>
      <c r="GM160" s="93"/>
      <c r="GN160" s="93"/>
      <c r="GO160" s="93"/>
      <c r="GP160" s="93"/>
      <c r="GQ160" s="93"/>
      <c r="GR160" s="93"/>
      <c r="GS160" s="93"/>
      <c r="GT160" s="93"/>
      <c r="GU160" s="93"/>
      <c r="GV160" s="93"/>
      <c r="GW160" s="93"/>
      <c r="GX160" s="93"/>
      <c r="GY160" s="93"/>
      <c r="GZ160" s="93"/>
      <c r="HA160" s="93"/>
      <c r="HB160" s="93"/>
      <c r="HC160" s="93"/>
      <c r="HD160" s="93"/>
      <c r="HE160" s="93"/>
      <c r="HF160" s="93"/>
      <c r="HG160" s="93"/>
    </row>
    <row r="161" spans="14:215" x14ac:dyDescent="0.2">
      <c r="N161" s="93" t="s">
        <v>378</v>
      </c>
      <c r="O161" s="93"/>
      <c r="P161" s="93"/>
      <c r="Q161" s="93"/>
      <c r="R161" s="93"/>
      <c r="S161" s="93"/>
      <c r="T161" s="93"/>
      <c r="U161" s="93"/>
      <c r="V161" s="93"/>
      <c r="W161" s="93"/>
      <c r="X161" s="93"/>
      <c r="Y161" s="93"/>
      <c r="Z161" s="93"/>
      <c r="AA161" s="93"/>
      <c r="AB161" s="93"/>
      <c r="AC161" s="93"/>
      <c r="AD161" s="93"/>
      <c r="AE161" s="93"/>
      <c r="AF161" s="93"/>
      <c r="AG161" s="93"/>
      <c r="AH161" s="93"/>
      <c r="AI161" s="93"/>
      <c r="AJ161" s="93"/>
      <c r="AK161" s="93"/>
      <c r="AL161" s="93"/>
      <c r="AM161" s="93"/>
      <c r="AN161" s="93"/>
      <c r="AO161" s="93"/>
      <c r="AP161" s="93"/>
      <c r="AQ161" s="93"/>
      <c r="AR161" s="93"/>
      <c r="AS161" s="93"/>
      <c r="AT161" s="93"/>
      <c r="AU161" s="93"/>
      <c r="AV161" s="93"/>
      <c r="AW161" s="93"/>
      <c r="AX161" s="93"/>
      <c r="AY161" s="93"/>
      <c r="AZ161" s="93"/>
      <c r="BA161" s="93"/>
      <c r="BB161" s="93"/>
      <c r="BC161" s="93"/>
      <c r="BD161" s="93"/>
      <c r="BE161" s="93"/>
      <c r="BF161" s="93"/>
      <c r="BG161" s="93"/>
      <c r="BH161" s="93"/>
      <c r="BI161" s="93"/>
      <c r="BJ161" s="93"/>
      <c r="BK161" s="93"/>
      <c r="BL161" s="93"/>
      <c r="BM161" s="93">
        <v>0.33109619686800895</v>
      </c>
      <c r="BN161" s="93"/>
      <c r="BO161" s="93"/>
      <c r="BP161" s="93"/>
      <c r="BQ161" s="93"/>
      <c r="BR161" s="93"/>
      <c r="BS161" s="93"/>
      <c r="BT161" s="93"/>
      <c r="BU161" s="93"/>
      <c r="BV161" s="93"/>
      <c r="BW161" s="93"/>
      <c r="BX161" s="93"/>
      <c r="BY161" s="93"/>
      <c r="BZ161" s="93"/>
      <c r="CA161" s="93"/>
      <c r="CB161" s="93"/>
      <c r="CC161" s="93"/>
      <c r="CD161" s="93"/>
      <c r="CE161" s="93"/>
      <c r="CF161" s="93"/>
      <c r="CG161" s="93"/>
      <c r="CH161" s="93"/>
      <c r="CI161" s="93"/>
      <c r="CJ161" s="93"/>
      <c r="CK161" s="93"/>
      <c r="CL161" s="93"/>
      <c r="CM161" s="93"/>
      <c r="CN161" s="93"/>
      <c r="CO161" s="93"/>
      <c r="CP161" s="93"/>
      <c r="CQ161" s="93"/>
      <c r="CR161" s="93"/>
      <c r="CS161" s="93"/>
      <c r="CT161" s="93"/>
      <c r="CU161" s="93"/>
      <c r="CV161" s="93"/>
      <c r="CW161" s="93"/>
      <c r="CX161" s="93"/>
      <c r="CY161" s="93"/>
      <c r="CZ161" s="93"/>
      <c r="DA161" s="93"/>
      <c r="DB161" s="93"/>
      <c r="DC161" s="93"/>
      <c r="DD161" s="93"/>
      <c r="DE161" s="93"/>
      <c r="DF161" s="93"/>
      <c r="DG161" s="93"/>
      <c r="DH161" s="93"/>
      <c r="DI161" s="93"/>
      <c r="DJ161" s="93"/>
      <c r="DK161" s="93"/>
      <c r="DL161" s="93"/>
      <c r="DM161" s="93"/>
      <c r="DN161" s="93"/>
      <c r="DO161" s="93"/>
      <c r="DP161" s="93"/>
      <c r="DQ161" s="93"/>
      <c r="DR161" s="93"/>
      <c r="DS161" s="93"/>
      <c r="DT161" s="93"/>
      <c r="DU161" s="93"/>
      <c r="DV161" s="93"/>
      <c r="DW161" s="93"/>
      <c r="DX161" s="93"/>
      <c r="DY161" s="93"/>
      <c r="DZ161" s="93"/>
      <c r="EA161" s="93"/>
      <c r="EB161" s="93"/>
      <c r="EC161" s="93"/>
      <c r="ED161" s="93"/>
      <c r="EE161" s="93"/>
      <c r="EF161" s="93"/>
      <c r="EG161" s="93"/>
      <c r="EH161" s="93"/>
      <c r="EI161" s="93"/>
      <c r="EJ161" s="93"/>
      <c r="EK161" s="93"/>
      <c r="EL161" s="93"/>
      <c r="EM161" s="93"/>
      <c r="EN161" s="93"/>
      <c r="EO161" s="93"/>
      <c r="EP161" s="93"/>
      <c r="EQ161" s="93"/>
      <c r="ER161" s="93"/>
      <c r="ES161" s="93"/>
      <c r="ET161" s="93"/>
      <c r="EU161" s="93"/>
      <c r="EV161" s="93"/>
      <c r="EW161" s="93"/>
      <c r="EX161" s="93"/>
      <c r="EY161" s="93"/>
      <c r="EZ161" s="93"/>
      <c r="FA161" s="93"/>
      <c r="FB161" s="93"/>
      <c r="FC161" s="93"/>
      <c r="FD161" s="93"/>
      <c r="FE161" s="93"/>
      <c r="FF161" s="93"/>
      <c r="FG161" s="93"/>
      <c r="FH161" s="93"/>
      <c r="FI161" s="93"/>
      <c r="FJ161" s="93"/>
      <c r="FK161" s="93"/>
      <c r="FL161" s="93"/>
      <c r="FM161" s="93"/>
      <c r="FN161" s="93"/>
      <c r="FO161" s="93"/>
      <c r="FP161" s="93"/>
      <c r="FQ161" s="93"/>
      <c r="FR161" s="93"/>
      <c r="FS161" s="93"/>
      <c r="FT161" s="93"/>
      <c r="FU161" s="93"/>
      <c r="FV161" s="93"/>
      <c r="FW161" s="93"/>
      <c r="FX161" s="93"/>
      <c r="FY161" s="93"/>
      <c r="FZ161" s="93"/>
      <c r="GA161" s="93"/>
      <c r="GB161" s="93"/>
      <c r="GC161" s="93"/>
      <c r="GD161" s="93"/>
      <c r="GE161" s="93"/>
      <c r="GF161" s="93"/>
      <c r="GG161" s="93"/>
      <c r="GH161" s="93"/>
      <c r="GI161" s="93"/>
      <c r="GJ161" s="93"/>
      <c r="GK161" s="93"/>
      <c r="GL161" s="93"/>
      <c r="GM161" s="93"/>
      <c r="GN161" s="93"/>
      <c r="GO161" s="93"/>
      <c r="GP161" s="93"/>
      <c r="GQ161" s="93"/>
      <c r="GR161" s="93"/>
      <c r="GS161" s="93"/>
      <c r="GT161" s="93"/>
      <c r="GU161" s="93"/>
      <c r="GV161" s="93"/>
      <c r="GW161" s="93"/>
      <c r="GX161" s="93"/>
      <c r="GY161" s="93"/>
      <c r="GZ161" s="93"/>
      <c r="HA161" s="93"/>
      <c r="HB161" s="93"/>
      <c r="HC161" s="93"/>
      <c r="HD161" s="93"/>
      <c r="HE161" s="93"/>
      <c r="HF161" s="93"/>
      <c r="HG161" s="93"/>
    </row>
    <row r="162" spans="14:215" x14ac:dyDescent="0.2">
      <c r="N162" s="93" t="s">
        <v>379</v>
      </c>
      <c r="O162" s="93"/>
      <c r="P162" s="93"/>
      <c r="Q162" s="93"/>
      <c r="R162" s="93"/>
      <c r="S162" s="93"/>
      <c r="T162" s="93"/>
      <c r="U162" s="93"/>
      <c r="V162" s="93"/>
      <c r="W162" s="93"/>
      <c r="X162" s="93"/>
      <c r="Y162" s="93"/>
      <c r="Z162" s="93"/>
      <c r="AA162" s="93"/>
      <c r="AB162" s="93"/>
      <c r="AC162" s="93"/>
      <c r="AD162" s="93"/>
      <c r="AE162" s="93"/>
      <c r="AF162" s="93"/>
      <c r="AG162" s="93"/>
      <c r="AH162" s="93"/>
      <c r="AI162" s="93"/>
      <c r="AJ162" s="93"/>
      <c r="AK162" s="93"/>
      <c r="AL162" s="93"/>
      <c r="AM162" s="93"/>
      <c r="AN162" s="93"/>
      <c r="AO162" s="93"/>
      <c r="AP162" s="93"/>
      <c r="AQ162" s="93"/>
      <c r="AR162" s="93"/>
      <c r="AS162" s="93"/>
      <c r="AT162" s="93"/>
      <c r="AU162" s="93"/>
      <c r="AV162" s="93"/>
      <c r="AW162" s="93"/>
      <c r="AX162" s="93"/>
      <c r="AY162" s="93"/>
      <c r="AZ162" s="93"/>
      <c r="BA162" s="93"/>
      <c r="BB162" s="93"/>
      <c r="BC162" s="93"/>
      <c r="BD162" s="93"/>
      <c r="BE162" s="93"/>
      <c r="BF162" s="93"/>
      <c r="BG162" s="93"/>
      <c r="BH162" s="93"/>
      <c r="BI162" s="93"/>
      <c r="BJ162" s="93"/>
      <c r="BK162" s="93"/>
      <c r="BL162" s="93"/>
      <c r="BM162" s="93"/>
      <c r="BN162" s="93">
        <v>0.33114035087719296</v>
      </c>
      <c r="BO162" s="93"/>
      <c r="BP162" s="93"/>
      <c r="BQ162" s="93"/>
      <c r="BR162" s="93"/>
      <c r="BS162" s="93"/>
      <c r="BT162" s="93"/>
      <c r="BU162" s="93"/>
      <c r="BV162" s="93"/>
      <c r="BW162" s="93"/>
      <c r="BX162" s="93"/>
      <c r="BY162" s="93"/>
      <c r="BZ162" s="93"/>
      <c r="CA162" s="93"/>
      <c r="CB162" s="93"/>
      <c r="CC162" s="93"/>
      <c r="CD162" s="93"/>
      <c r="CE162" s="93"/>
      <c r="CF162" s="93"/>
      <c r="CG162" s="93"/>
      <c r="CH162" s="93"/>
      <c r="CI162" s="93"/>
      <c r="CJ162" s="93"/>
      <c r="CK162" s="93"/>
      <c r="CL162" s="93"/>
      <c r="CM162" s="93"/>
      <c r="CN162" s="93"/>
      <c r="CO162" s="93"/>
      <c r="CP162" s="93"/>
      <c r="CQ162" s="93"/>
      <c r="CR162" s="93"/>
      <c r="CS162" s="93"/>
      <c r="CT162" s="93"/>
      <c r="CU162" s="93"/>
      <c r="CV162" s="93"/>
      <c r="CW162" s="93"/>
      <c r="CX162" s="93"/>
      <c r="CY162" s="93"/>
      <c r="CZ162" s="93"/>
      <c r="DA162" s="93"/>
      <c r="DB162" s="93"/>
      <c r="DC162" s="93"/>
      <c r="DD162" s="93"/>
      <c r="DE162" s="93"/>
      <c r="DF162" s="93"/>
      <c r="DG162" s="93"/>
      <c r="DH162" s="93"/>
      <c r="DI162" s="93"/>
      <c r="DJ162" s="93"/>
      <c r="DK162" s="93"/>
      <c r="DL162" s="93"/>
      <c r="DM162" s="93"/>
      <c r="DN162" s="93"/>
      <c r="DO162" s="93"/>
      <c r="DP162" s="93"/>
      <c r="DQ162" s="93"/>
      <c r="DR162" s="93"/>
      <c r="DS162" s="93"/>
      <c r="DT162" s="93"/>
      <c r="DU162" s="93"/>
      <c r="DV162" s="93"/>
      <c r="DW162" s="93"/>
      <c r="DX162" s="93"/>
      <c r="DY162" s="93"/>
      <c r="DZ162" s="93"/>
      <c r="EA162" s="93"/>
      <c r="EB162" s="93"/>
      <c r="EC162" s="93"/>
      <c r="ED162" s="93"/>
      <c r="EE162" s="93"/>
      <c r="EF162" s="93"/>
      <c r="EG162" s="93"/>
      <c r="EH162" s="93"/>
      <c r="EI162" s="93"/>
      <c r="EJ162" s="93"/>
      <c r="EK162" s="93"/>
      <c r="EL162" s="93"/>
      <c r="EM162" s="93"/>
      <c r="EN162" s="93"/>
      <c r="EO162" s="93"/>
      <c r="EP162" s="93"/>
      <c r="EQ162" s="93"/>
      <c r="ER162" s="93"/>
      <c r="ES162" s="93"/>
      <c r="ET162" s="93"/>
      <c r="EU162" s="93"/>
      <c r="EV162" s="93"/>
      <c r="EW162" s="93"/>
      <c r="EX162" s="93"/>
      <c r="EY162" s="93"/>
      <c r="EZ162" s="93"/>
      <c r="FA162" s="93"/>
      <c r="FB162" s="93"/>
      <c r="FC162" s="93"/>
      <c r="FD162" s="93"/>
      <c r="FE162" s="93"/>
      <c r="FF162" s="93"/>
      <c r="FG162" s="93"/>
      <c r="FH162" s="93"/>
      <c r="FI162" s="93"/>
      <c r="FJ162" s="93"/>
      <c r="FK162" s="93"/>
      <c r="FL162" s="93"/>
      <c r="FM162" s="93"/>
      <c r="FN162" s="93"/>
      <c r="FO162" s="93"/>
      <c r="FP162" s="93"/>
      <c r="FQ162" s="93"/>
      <c r="FR162" s="93"/>
      <c r="FS162" s="93"/>
      <c r="FT162" s="93"/>
      <c r="FU162" s="93"/>
      <c r="FV162" s="93"/>
      <c r="FW162" s="93"/>
      <c r="FX162" s="93"/>
      <c r="FY162" s="93"/>
      <c r="FZ162" s="93"/>
      <c r="GA162" s="93"/>
      <c r="GB162" s="93"/>
      <c r="GC162" s="93"/>
      <c r="GD162" s="93"/>
      <c r="GE162" s="93"/>
      <c r="GF162" s="93"/>
      <c r="GG162" s="93"/>
      <c r="GH162" s="93"/>
      <c r="GI162" s="93"/>
      <c r="GJ162" s="93"/>
      <c r="GK162" s="93"/>
      <c r="GL162" s="93"/>
      <c r="GM162" s="93"/>
      <c r="GN162" s="93"/>
      <c r="GO162" s="93"/>
      <c r="GP162" s="93"/>
      <c r="GQ162" s="93"/>
      <c r="GR162" s="93"/>
      <c r="GS162" s="93"/>
      <c r="GT162" s="93"/>
      <c r="GU162" s="93"/>
      <c r="GV162" s="93"/>
      <c r="GW162" s="93"/>
      <c r="GX162" s="93"/>
      <c r="GY162" s="93"/>
      <c r="GZ162" s="93"/>
      <c r="HA162" s="93"/>
      <c r="HB162" s="93"/>
      <c r="HC162" s="93"/>
      <c r="HD162" s="93"/>
      <c r="HE162" s="93"/>
      <c r="HF162" s="93"/>
      <c r="HG162" s="93"/>
    </row>
    <row r="163" spans="14:215" x14ac:dyDescent="0.2">
      <c r="N163" s="93" t="s">
        <v>380</v>
      </c>
      <c r="O163" s="93"/>
      <c r="P163" s="93"/>
      <c r="Q163" s="93"/>
      <c r="R163" s="93"/>
      <c r="S163" s="93"/>
      <c r="T163" s="93"/>
      <c r="U163" s="93"/>
      <c r="V163" s="93"/>
      <c r="W163" s="93"/>
      <c r="X163" s="93"/>
      <c r="Y163" s="93"/>
      <c r="Z163" s="93"/>
      <c r="AA163" s="93"/>
      <c r="AB163" s="93"/>
      <c r="AC163" s="93"/>
      <c r="AD163" s="93"/>
      <c r="AE163" s="93"/>
      <c r="AF163" s="93"/>
      <c r="AG163" s="93"/>
      <c r="AH163" s="93"/>
      <c r="AI163" s="93"/>
      <c r="AJ163" s="93"/>
      <c r="AK163" s="93"/>
      <c r="AL163" s="93"/>
      <c r="AM163" s="93"/>
      <c r="AN163" s="93"/>
      <c r="AO163" s="93"/>
      <c r="AP163" s="93"/>
      <c r="AQ163" s="93"/>
      <c r="AR163" s="93"/>
      <c r="AS163" s="93"/>
      <c r="AT163" s="93"/>
      <c r="AU163" s="93"/>
      <c r="AV163" s="93"/>
      <c r="AW163" s="93"/>
      <c r="AX163" s="93"/>
      <c r="AY163" s="93"/>
      <c r="AZ163" s="93"/>
      <c r="BA163" s="93"/>
      <c r="BB163" s="93"/>
      <c r="BC163" s="93"/>
      <c r="BD163" s="93"/>
      <c r="BE163" s="93"/>
      <c r="BF163" s="93"/>
      <c r="BG163" s="93"/>
      <c r="BH163" s="93"/>
      <c r="BI163" s="93"/>
      <c r="BJ163" s="93"/>
      <c r="BK163" s="93"/>
      <c r="BL163" s="93"/>
      <c r="BM163" s="93"/>
      <c r="BN163" s="93"/>
      <c r="BO163" s="93">
        <v>0.33118279569892473</v>
      </c>
      <c r="BP163" s="93"/>
      <c r="BQ163" s="93"/>
      <c r="BR163" s="93"/>
      <c r="BS163" s="93"/>
      <c r="BT163" s="93"/>
      <c r="BU163" s="93"/>
      <c r="BV163" s="93"/>
      <c r="BW163" s="93"/>
      <c r="BX163" s="93"/>
      <c r="BY163" s="93"/>
      <c r="BZ163" s="93"/>
      <c r="CA163" s="93"/>
      <c r="CB163" s="93"/>
      <c r="CC163" s="93"/>
      <c r="CD163" s="93"/>
      <c r="CE163" s="93"/>
      <c r="CF163" s="93"/>
      <c r="CG163" s="93"/>
      <c r="CH163" s="93"/>
      <c r="CI163" s="93"/>
      <c r="CJ163" s="93"/>
      <c r="CK163" s="93"/>
      <c r="CL163" s="93"/>
      <c r="CM163" s="93"/>
      <c r="CN163" s="93"/>
      <c r="CO163" s="93"/>
      <c r="CP163" s="93"/>
      <c r="CQ163" s="93"/>
      <c r="CR163" s="93"/>
      <c r="CS163" s="93"/>
      <c r="CT163" s="93"/>
      <c r="CU163" s="93"/>
      <c r="CV163" s="93"/>
      <c r="CW163" s="93"/>
      <c r="CX163" s="93"/>
      <c r="CY163" s="93"/>
      <c r="CZ163" s="93"/>
      <c r="DA163" s="93"/>
      <c r="DB163" s="93"/>
      <c r="DC163" s="93"/>
      <c r="DD163" s="93"/>
      <c r="DE163" s="93"/>
      <c r="DF163" s="93"/>
      <c r="DG163" s="93"/>
      <c r="DH163" s="93"/>
      <c r="DI163" s="93"/>
      <c r="DJ163" s="93"/>
      <c r="DK163" s="93"/>
      <c r="DL163" s="93"/>
      <c r="DM163" s="93"/>
      <c r="DN163" s="93"/>
      <c r="DO163" s="93"/>
      <c r="DP163" s="93"/>
      <c r="DQ163" s="93"/>
      <c r="DR163" s="93"/>
      <c r="DS163" s="93"/>
      <c r="DT163" s="93"/>
      <c r="DU163" s="93"/>
      <c r="DV163" s="93"/>
      <c r="DW163" s="93"/>
      <c r="DX163" s="93"/>
      <c r="DY163" s="93"/>
      <c r="DZ163" s="93"/>
      <c r="EA163" s="93"/>
      <c r="EB163" s="93"/>
      <c r="EC163" s="93"/>
      <c r="ED163" s="93"/>
      <c r="EE163" s="93"/>
      <c r="EF163" s="93"/>
      <c r="EG163" s="93"/>
      <c r="EH163" s="93"/>
      <c r="EI163" s="93"/>
      <c r="EJ163" s="93"/>
      <c r="EK163" s="93"/>
      <c r="EL163" s="93"/>
      <c r="EM163" s="93"/>
      <c r="EN163" s="93"/>
      <c r="EO163" s="93"/>
      <c r="EP163" s="93"/>
      <c r="EQ163" s="93"/>
      <c r="ER163" s="93"/>
      <c r="ES163" s="93"/>
      <c r="ET163" s="93"/>
      <c r="EU163" s="93"/>
      <c r="EV163" s="93"/>
      <c r="EW163" s="93"/>
      <c r="EX163" s="93"/>
      <c r="EY163" s="93"/>
      <c r="EZ163" s="93"/>
      <c r="FA163" s="93"/>
      <c r="FB163" s="93"/>
      <c r="FC163" s="93"/>
      <c r="FD163" s="93"/>
      <c r="FE163" s="93"/>
      <c r="FF163" s="93"/>
      <c r="FG163" s="93"/>
      <c r="FH163" s="93"/>
      <c r="FI163" s="93"/>
      <c r="FJ163" s="93"/>
      <c r="FK163" s="93"/>
      <c r="FL163" s="93"/>
      <c r="FM163" s="93"/>
      <c r="FN163" s="93"/>
      <c r="FO163" s="93"/>
      <c r="FP163" s="93"/>
      <c r="FQ163" s="93"/>
      <c r="FR163" s="93"/>
      <c r="FS163" s="93"/>
      <c r="FT163" s="93"/>
      <c r="FU163" s="93"/>
      <c r="FV163" s="93"/>
      <c r="FW163" s="93"/>
      <c r="FX163" s="93"/>
      <c r="FY163" s="93"/>
      <c r="FZ163" s="93"/>
      <c r="GA163" s="93"/>
      <c r="GB163" s="93"/>
      <c r="GC163" s="93"/>
      <c r="GD163" s="93"/>
      <c r="GE163" s="93"/>
      <c r="GF163" s="93"/>
      <c r="GG163" s="93"/>
      <c r="GH163" s="93"/>
      <c r="GI163" s="93"/>
      <c r="GJ163" s="93"/>
      <c r="GK163" s="93"/>
      <c r="GL163" s="93"/>
      <c r="GM163" s="93"/>
      <c r="GN163" s="93"/>
      <c r="GO163" s="93"/>
      <c r="GP163" s="93"/>
      <c r="GQ163" s="93"/>
      <c r="GR163" s="93"/>
      <c r="GS163" s="93"/>
      <c r="GT163" s="93"/>
      <c r="GU163" s="93"/>
      <c r="GV163" s="93"/>
      <c r="GW163" s="93"/>
      <c r="GX163" s="93"/>
      <c r="GY163" s="93"/>
      <c r="GZ163" s="93"/>
      <c r="HA163" s="93"/>
      <c r="HB163" s="93"/>
      <c r="HC163" s="93"/>
      <c r="HD163" s="93"/>
      <c r="HE163" s="93"/>
      <c r="HF163" s="93"/>
      <c r="HG163" s="93"/>
    </row>
    <row r="164" spans="14:215" x14ac:dyDescent="0.2">
      <c r="N164" s="93" t="s">
        <v>381</v>
      </c>
      <c r="O164" s="93"/>
      <c r="P164" s="93"/>
      <c r="Q164" s="93"/>
      <c r="R164" s="93"/>
      <c r="S164" s="93"/>
      <c r="T164" s="93"/>
      <c r="U164" s="93"/>
      <c r="V164" s="93"/>
      <c r="W164" s="93"/>
      <c r="X164" s="93"/>
      <c r="Y164" s="93"/>
      <c r="Z164" s="93"/>
      <c r="AA164" s="93"/>
      <c r="AB164" s="93"/>
      <c r="AC164" s="93"/>
      <c r="AD164" s="93"/>
      <c r="AE164" s="93"/>
      <c r="AF164" s="93"/>
      <c r="AG164" s="93"/>
      <c r="AH164" s="93"/>
      <c r="AI164" s="93"/>
      <c r="AJ164" s="93"/>
      <c r="AK164" s="93"/>
      <c r="AL164" s="93"/>
      <c r="AM164" s="93"/>
      <c r="AN164" s="93"/>
      <c r="AO164" s="93"/>
      <c r="AP164" s="93"/>
      <c r="AQ164" s="93"/>
      <c r="AR164" s="93"/>
      <c r="AS164" s="93"/>
      <c r="AT164" s="93"/>
      <c r="AU164" s="93"/>
      <c r="AV164" s="93"/>
      <c r="AW164" s="93"/>
      <c r="AX164" s="93"/>
      <c r="AY164" s="93"/>
      <c r="AZ164" s="93"/>
      <c r="BA164" s="93"/>
      <c r="BB164" s="93"/>
      <c r="BC164" s="93"/>
      <c r="BD164" s="93"/>
      <c r="BE164" s="93"/>
      <c r="BF164" s="93"/>
      <c r="BG164" s="93"/>
      <c r="BH164" s="93"/>
      <c r="BI164" s="93"/>
      <c r="BJ164" s="93"/>
      <c r="BK164" s="93"/>
      <c r="BL164" s="93"/>
      <c r="BM164" s="93"/>
      <c r="BN164" s="93"/>
      <c r="BO164" s="93"/>
      <c r="BP164" s="93">
        <v>0.33122362869198313</v>
      </c>
      <c r="BQ164" s="93"/>
      <c r="BR164" s="93"/>
      <c r="BS164" s="93"/>
      <c r="BT164" s="93"/>
      <c r="BU164" s="93"/>
      <c r="BV164" s="93"/>
      <c r="BW164" s="93"/>
      <c r="BX164" s="93"/>
      <c r="BY164" s="93"/>
      <c r="BZ164" s="93"/>
      <c r="CA164" s="93"/>
      <c r="CB164" s="93"/>
      <c r="CC164" s="93"/>
      <c r="CD164" s="93"/>
      <c r="CE164" s="93"/>
      <c r="CF164" s="93"/>
      <c r="CG164" s="93"/>
      <c r="CH164" s="93"/>
      <c r="CI164" s="93"/>
      <c r="CJ164" s="93"/>
      <c r="CK164" s="93"/>
      <c r="CL164" s="93"/>
      <c r="CM164" s="93"/>
      <c r="CN164" s="93"/>
      <c r="CO164" s="93"/>
      <c r="CP164" s="93"/>
      <c r="CQ164" s="93"/>
      <c r="CR164" s="93"/>
      <c r="CS164" s="93"/>
      <c r="CT164" s="93"/>
      <c r="CU164" s="93"/>
      <c r="CV164" s="93"/>
      <c r="CW164" s="93"/>
      <c r="CX164" s="93"/>
      <c r="CY164" s="93"/>
      <c r="CZ164" s="93"/>
      <c r="DA164" s="93"/>
      <c r="DB164" s="93"/>
      <c r="DC164" s="93"/>
      <c r="DD164" s="93"/>
      <c r="DE164" s="93"/>
      <c r="DF164" s="93"/>
      <c r="DG164" s="93"/>
      <c r="DH164" s="93"/>
      <c r="DI164" s="93"/>
      <c r="DJ164" s="93"/>
      <c r="DK164" s="93"/>
      <c r="DL164" s="93"/>
      <c r="DM164" s="93"/>
      <c r="DN164" s="93"/>
      <c r="DO164" s="93"/>
      <c r="DP164" s="93"/>
      <c r="DQ164" s="93"/>
      <c r="DR164" s="93"/>
      <c r="DS164" s="93"/>
      <c r="DT164" s="93"/>
      <c r="DU164" s="93"/>
      <c r="DV164" s="93"/>
      <c r="DW164" s="93"/>
      <c r="DX164" s="93"/>
      <c r="DY164" s="93"/>
      <c r="DZ164" s="93"/>
      <c r="EA164" s="93"/>
      <c r="EB164" s="93"/>
      <c r="EC164" s="93"/>
      <c r="ED164" s="93"/>
      <c r="EE164" s="93"/>
      <c r="EF164" s="93"/>
      <c r="EG164" s="93"/>
      <c r="EH164" s="93"/>
      <c r="EI164" s="93"/>
      <c r="EJ164" s="93"/>
      <c r="EK164" s="93"/>
      <c r="EL164" s="93"/>
      <c r="EM164" s="93"/>
      <c r="EN164" s="93"/>
      <c r="EO164" s="93"/>
      <c r="EP164" s="93"/>
      <c r="EQ164" s="93"/>
      <c r="ER164" s="93"/>
      <c r="ES164" s="93"/>
      <c r="ET164" s="93"/>
      <c r="EU164" s="93"/>
      <c r="EV164" s="93"/>
      <c r="EW164" s="93"/>
      <c r="EX164" s="93"/>
      <c r="EY164" s="93"/>
      <c r="EZ164" s="93"/>
      <c r="FA164" s="93"/>
      <c r="FB164" s="93"/>
      <c r="FC164" s="93"/>
      <c r="FD164" s="93"/>
      <c r="FE164" s="93"/>
      <c r="FF164" s="93"/>
      <c r="FG164" s="93"/>
      <c r="FH164" s="93"/>
      <c r="FI164" s="93"/>
      <c r="FJ164" s="93"/>
      <c r="FK164" s="93"/>
      <c r="FL164" s="93"/>
      <c r="FM164" s="93"/>
      <c r="FN164" s="93"/>
      <c r="FO164" s="93"/>
      <c r="FP164" s="93"/>
      <c r="FQ164" s="93"/>
      <c r="FR164" s="93"/>
      <c r="FS164" s="93"/>
      <c r="FT164" s="93"/>
      <c r="FU164" s="93"/>
      <c r="FV164" s="93"/>
      <c r="FW164" s="93"/>
      <c r="FX164" s="93"/>
      <c r="FY164" s="93"/>
      <c r="FZ164" s="93"/>
      <c r="GA164" s="93"/>
      <c r="GB164" s="93"/>
      <c r="GC164" s="93"/>
      <c r="GD164" s="93"/>
      <c r="GE164" s="93"/>
      <c r="GF164" s="93"/>
      <c r="GG164" s="93"/>
      <c r="GH164" s="93"/>
      <c r="GI164" s="93"/>
      <c r="GJ164" s="93"/>
      <c r="GK164" s="93"/>
      <c r="GL164" s="93"/>
      <c r="GM164" s="93"/>
      <c r="GN164" s="93"/>
      <c r="GO164" s="93"/>
      <c r="GP164" s="93"/>
      <c r="GQ164" s="93"/>
      <c r="GR164" s="93"/>
      <c r="GS164" s="93"/>
      <c r="GT164" s="93"/>
      <c r="GU164" s="93"/>
      <c r="GV164" s="93"/>
      <c r="GW164" s="93"/>
      <c r="GX164" s="93"/>
      <c r="GY164" s="93"/>
      <c r="GZ164" s="93"/>
      <c r="HA164" s="93"/>
      <c r="HB164" s="93"/>
      <c r="HC164" s="93"/>
      <c r="HD164" s="93"/>
      <c r="HE164" s="93"/>
      <c r="HF164" s="93"/>
      <c r="HG164" s="93"/>
    </row>
    <row r="165" spans="14:215" x14ac:dyDescent="0.2">
      <c r="N165" s="93" t="s">
        <v>382</v>
      </c>
      <c r="O165" s="93"/>
      <c r="P165" s="93"/>
      <c r="Q165" s="93"/>
      <c r="R165" s="93"/>
      <c r="S165" s="93"/>
      <c r="T165" s="93"/>
      <c r="U165" s="93"/>
      <c r="V165" s="93"/>
      <c r="W165" s="93"/>
      <c r="X165" s="93"/>
      <c r="Y165" s="93"/>
      <c r="Z165" s="93"/>
      <c r="AA165" s="93"/>
      <c r="AB165" s="93"/>
      <c r="AC165" s="93"/>
      <c r="AD165" s="93"/>
      <c r="AE165" s="93"/>
      <c r="AF165" s="93"/>
      <c r="AG165" s="93"/>
      <c r="AH165" s="93"/>
      <c r="AI165" s="93"/>
      <c r="AJ165" s="93"/>
      <c r="AK165" s="93"/>
      <c r="AL165" s="93"/>
      <c r="AM165" s="93"/>
      <c r="AN165" s="93"/>
      <c r="AO165" s="93"/>
      <c r="AP165" s="93"/>
      <c r="AQ165" s="93"/>
      <c r="AR165" s="93"/>
      <c r="AS165" s="93"/>
      <c r="AT165" s="93"/>
      <c r="AU165" s="93"/>
      <c r="AV165" s="93"/>
      <c r="AW165" s="93"/>
      <c r="AX165" s="93"/>
      <c r="AY165" s="93"/>
      <c r="AZ165" s="93"/>
      <c r="BA165" s="93"/>
      <c r="BB165" s="93"/>
      <c r="BC165" s="93"/>
      <c r="BD165" s="93"/>
      <c r="BE165" s="93"/>
      <c r="BF165" s="93"/>
      <c r="BG165" s="93"/>
      <c r="BH165" s="93"/>
      <c r="BI165" s="93"/>
      <c r="BJ165" s="93"/>
      <c r="BK165" s="93"/>
      <c r="BL165" s="93"/>
      <c r="BM165" s="93"/>
      <c r="BN165" s="93"/>
      <c r="BO165" s="93"/>
      <c r="BP165" s="93"/>
      <c r="BQ165" s="93">
        <v>0.33126293995859213</v>
      </c>
      <c r="BR165" s="93"/>
      <c r="BS165" s="93"/>
      <c r="BT165" s="93"/>
      <c r="BU165" s="93"/>
      <c r="BV165" s="93"/>
      <c r="BW165" s="93"/>
      <c r="BX165" s="93"/>
      <c r="BY165" s="93"/>
      <c r="BZ165" s="93"/>
      <c r="CA165" s="93"/>
      <c r="CB165" s="93"/>
      <c r="CC165" s="93"/>
      <c r="CD165" s="93"/>
      <c r="CE165" s="93"/>
      <c r="CF165" s="93"/>
      <c r="CG165" s="93"/>
      <c r="CH165" s="93"/>
      <c r="CI165" s="93"/>
      <c r="CJ165" s="93"/>
      <c r="CK165" s="93"/>
      <c r="CL165" s="93"/>
      <c r="CM165" s="93"/>
      <c r="CN165" s="93"/>
      <c r="CO165" s="93"/>
      <c r="CP165" s="93"/>
      <c r="CQ165" s="93"/>
      <c r="CR165" s="93"/>
      <c r="CS165" s="93"/>
      <c r="CT165" s="93"/>
      <c r="CU165" s="93"/>
      <c r="CV165" s="93"/>
      <c r="CW165" s="93"/>
      <c r="CX165" s="93"/>
      <c r="CY165" s="93"/>
      <c r="CZ165" s="93"/>
      <c r="DA165" s="93"/>
      <c r="DB165" s="93"/>
      <c r="DC165" s="93"/>
      <c r="DD165" s="93"/>
      <c r="DE165" s="93"/>
      <c r="DF165" s="93"/>
      <c r="DG165" s="93"/>
      <c r="DH165" s="93"/>
      <c r="DI165" s="93"/>
      <c r="DJ165" s="93"/>
      <c r="DK165" s="93"/>
      <c r="DL165" s="93"/>
      <c r="DM165" s="93"/>
      <c r="DN165" s="93"/>
      <c r="DO165" s="93"/>
      <c r="DP165" s="93"/>
      <c r="DQ165" s="93"/>
      <c r="DR165" s="93"/>
      <c r="DS165" s="93"/>
      <c r="DT165" s="93"/>
      <c r="DU165" s="93"/>
      <c r="DV165" s="93"/>
      <c r="DW165" s="93"/>
      <c r="DX165" s="93"/>
      <c r="DY165" s="93"/>
      <c r="DZ165" s="93"/>
      <c r="EA165" s="93"/>
      <c r="EB165" s="93"/>
      <c r="EC165" s="93"/>
      <c r="ED165" s="93"/>
      <c r="EE165" s="93"/>
      <c r="EF165" s="93"/>
      <c r="EG165" s="93"/>
      <c r="EH165" s="93"/>
      <c r="EI165" s="93"/>
      <c r="EJ165" s="93"/>
      <c r="EK165" s="93"/>
      <c r="EL165" s="93"/>
      <c r="EM165" s="93"/>
      <c r="EN165" s="93"/>
      <c r="EO165" s="93"/>
      <c r="EP165" s="93"/>
      <c r="EQ165" s="93"/>
      <c r="ER165" s="93"/>
      <c r="ES165" s="93"/>
      <c r="ET165" s="93"/>
      <c r="EU165" s="93"/>
      <c r="EV165" s="93"/>
      <c r="EW165" s="93"/>
      <c r="EX165" s="93"/>
      <c r="EY165" s="93"/>
      <c r="EZ165" s="93"/>
      <c r="FA165" s="93"/>
      <c r="FB165" s="93"/>
      <c r="FC165" s="93"/>
      <c r="FD165" s="93"/>
      <c r="FE165" s="93"/>
      <c r="FF165" s="93"/>
      <c r="FG165" s="93"/>
      <c r="FH165" s="93"/>
      <c r="FI165" s="93"/>
      <c r="FJ165" s="93"/>
      <c r="FK165" s="93"/>
      <c r="FL165" s="93"/>
      <c r="FM165" s="93"/>
      <c r="FN165" s="93"/>
      <c r="FO165" s="93"/>
      <c r="FP165" s="93"/>
      <c r="FQ165" s="93"/>
      <c r="FR165" s="93"/>
      <c r="FS165" s="93"/>
      <c r="FT165" s="93"/>
      <c r="FU165" s="93"/>
      <c r="FV165" s="93"/>
      <c r="FW165" s="93"/>
      <c r="FX165" s="93"/>
      <c r="FY165" s="93"/>
      <c r="FZ165" s="93"/>
      <c r="GA165" s="93"/>
      <c r="GB165" s="93"/>
      <c r="GC165" s="93"/>
      <c r="GD165" s="93"/>
      <c r="GE165" s="93"/>
      <c r="GF165" s="93"/>
      <c r="GG165" s="93"/>
      <c r="GH165" s="93"/>
      <c r="GI165" s="93"/>
      <c r="GJ165" s="93"/>
      <c r="GK165" s="93"/>
      <c r="GL165" s="93"/>
      <c r="GM165" s="93"/>
      <c r="GN165" s="93"/>
      <c r="GO165" s="93"/>
      <c r="GP165" s="93"/>
      <c r="GQ165" s="93"/>
      <c r="GR165" s="93"/>
      <c r="GS165" s="93"/>
      <c r="GT165" s="93"/>
      <c r="GU165" s="93"/>
      <c r="GV165" s="93"/>
      <c r="GW165" s="93"/>
      <c r="GX165" s="93"/>
      <c r="GY165" s="93"/>
      <c r="GZ165" s="93"/>
      <c r="HA165" s="93"/>
      <c r="HB165" s="93"/>
      <c r="HC165" s="93"/>
      <c r="HD165" s="93"/>
      <c r="HE165" s="93"/>
      <c r="HF165" s="93"/>
      <c r="HG165" s="93"/>
    </row>
    <row r="166" spans="14:215" x14ac:dyDescent="0.2">
      <c r="N166" s="93" t="s">
        <v>383</v>
      </c>
      <c r="O166" s="93"/>
      <c r="P166" s="93"/>
      <c r="Q166" s="93"/>
      <c r="R166" s="93"/>
      <c r="S166" s="93"/>
      <c r="T166" s="93"/>
      <c r="U166" s="93"/>
      <c r="V166" s="93"/>
      <c r="W166" s="93"/>
      <c r="X166" s="93"/>
      <c r="Y166" s="93"/>
      <c r="Z166" s="93"/>
      <c r="AA166" s="93"/>
      <c r="AB166" s="93"/>
      <c r="AC166" s="93"/>
      <c r="AD166" s="93"/>
      <c r="AE166" s="93"/>
      <c r="AF166" s="93"/>
      <c r="AG166" s="93"/>
      <c r="AH166" s="93"/>
      <c r="AI166" s="93"/>
      <c r="AJ166" s="93"/>
      <c r="AK166" s="93"/>
      <c r="AL166" s="93"/>
      <c r="AM166" s="93"/>
      <c r="AN166" s="93"/>
      <c r="AO166" s="93"/>
      <c r="AP166" s="93"/>
      <c r="AQ166" s="93"/>
      <c r="AR166" s="93"/>
      <c r="AS166" s="93"/>
      <c r="AT166" s="93"/>
      <c r="AU166" s="93"/>
      <c r="AV166" s="93"/>
      <c r="AW166" s="93"/>
      <c r="AX166" s="93"/>
      <c r="AY166" s="93"/>
      <c r="AZ166" s="93"/>
      <c r="BA166" s="93"/>
      <c r="BB166" s="93"/>
      <c r="BC166" s="93"/>
      <c r="BD166" s="93"/>
      <c r="BE166" s="93"/>
      <c r="BF166" s="93"/>
      <c r="BG166" s="93"/>
      <c r="BH166" s="93"/>
      <c r="BI166" s="93"/>
      <c r="BJ166" s="93"/>
      <c r="BK166" s="93"/>
      <c r="BL166" s="93"/>
      <c r="BM166" s="93"/>
      <c r="BN166" s="93"/>
      <c r="BO166" s="93"/>
      <c r="BP166" s="93"/>
      <c r="BQ166" s="93"/>
      <c r="BR166" s="93">
        <v>0.33130081300813008</v>
      </c>
      <c r="BS166" s="93"/>
      <c r="BT166" s="93"/>
      <c r="BU166" s="93"/>
      <c r="BV166" s="93"/>
      <c r="BW166" s="93"/>
      <c r="BX166" s="93"/>
      <c r="BY166" s="93"/>
      <c r="BZ166" s="93"/>
      <c r="CA166" s="93"/>
      <c r="CB166" s="93"/>
      <c r="CC166" s="93"/>
      <c r="CD166" s="93"/>
      <c r="CE166" s="93"/>
      <c r="CF166" s="93"/>
      <c r="CG166" s="93"/>
      <c r="CH166" s="93"/>
      <c r="CI166" s="93"/>
      <c r="CJ166" s="93"/>
      <c r="CK166" s="93"/>
      <c r="CL166" s="93"/>
      <c r="CM166" s="93"/>
      <c r="CN166" s="93"/>
      <c r="CO166" s="93"/>
      <c r="CP166" s="93"/>
      <c r="CQ166" s="93"/>
      <c r="CR166" s="93"/>
      <c r="CS166" s="93"/>
      <c r="CT166" s="93"/>
      <c r="CU166" s="93"/>
      <c r="CV166" s="93"/>
      <c r="CW166" s="93"/>
      <c r="CX166" s="93"/>
      <c r="CY166" s="93"/>
      <c r="CZ166" s="93"/>
      <c r="DA166" s="93"/>
      <c r="DB166" s="93"/>
      <c r="DC166" s="93"/>
      <c r="DD166" s="93"/>
      <c r="DE166" s="93"/>
      <c r="DF166" s="93"/>
      <c r="DG166" s="93"/>
      <c r="DH166" s="93"/>
      <c r="DI166" s="93"/>
      <c r="DJ166" s="93"/>
      <c r="DK166" s="93"/>
      <c r="DL166" s="93"/>
      <c r="DM166" s="93"/>
      <c r="DN166" s="93"/>
      <c r="DO166" s="93"/>
      <c r="DP166" s="93"/>
      <c r="DQ166" s="93"/>
      <c r="DR166" s="93"/>
      <c r="DS166" s="93"/>
      <c r="DT166" s="93"/>
      <c r="DU166" s="93"/>
      <c r="DV166" s="93"/>
      <c r="DW166" s="93"/>
      <c r="DX166" s="93"/>
      <c r="DY166" s="93"/>
      <c r="DZ166" s="93"/>
      <c r="EA166" s="93"/>
      <c r="EB166" s="93"/>
      <c r="EC166" s="93"/>
      <c r="ED166" s="93"/>
      <c r="EE166" s="93"/>
      <c r="EF166" s="93"/>
      <c r="EG166" s="93"/>
      <c r="EH166" s="93"/>
      <c r="EI166" s="93"/>
      <c r="EJ166" s="93"/>
      <c r="EK166" s="93"/>
      <c r="EL166" s="93"/>
      <c r="EM166" s="93"/>
      <c r="EN166" s="93"/>
      <c r="EO166" s="93"/>
      <c r="EP166" s="93"/>
      <c r="EQ166" s="93"/>
      <c r="ER166" s="93"/>
      <c r="ES166" s="93"/>
      <c r="ET166" s="93"/>
      <c r="EU166" s="93"/>
      <c r="EV166" s="93"/>
      <c r="EW166" s="93"/>
      <c r="EX166" s="93"/>
      <c r="EY166" s="93"/>
      <c r="EZ166" s="93"/>
      <c r="FA166" s="93"/>
      <c r="FB166" s="93"/>
      <c r="FC166" s="93"/>
      <c r="FD166" s="93"/>
      <c r="FE166" s="93"/>
      <c r="FF166" s="93"/>
      <c r="FG166" s="93"/>
      <c r="FH166" s="93"/>
      <c r="FI166" s="93"/>
      <c r="FJ166" s="93"/>
      <c r="FK166" s="93"/>
      <c r="FL166" s="93"/>
      <c r="FM166" s="93"/>
      <c r="FN166" s="93"/>
      <c r="FO166" s="93"/>
      <c r="FP166" s="93"/>
      <c r="FQ166" s="93"/>
      <c r="FR166" s="93"/>
      <c r="FS166" s="93"/>
      <c r="FT166" s="93"/>
      <c r="FU166" s="93"/>
      <c r="FV166" s="93"/>
      <c r="FW166" s="93"/>
      <c r="FX166" s="93"/>
      <c r="FY166" s="93"/>
      <c r="FZ166" s="93"/>
      <c r="GA166" s="93"/>
      <c r="GB166" s="93"/>
      <c r="GC166" s="93"/>
      <c r="GD166" s="93"/>
      <c r="GE166" s="93"/>
      <c r="GF166" s="93"/>
      <c r="GG166" s="93"/>
      <c r="GH166" s="93"/>
      <c r="GI166" s="93"/>
      <c r="GJ166" s="93"/>
      <c r="GK166" s="93"/>
      <c r="GL166" s="93"/>
      <c r="GM166" s="93"/>
      <c r="GN166" s="93"/>
      <c r="GO166" s="93"/>
      <c r="GP166" s="93"/>
      <c r="GQ166" s="93"/>
      <c r="GR166" s="93"/>
      <c r="GS166" s="93"/>
      <c r="GT166" s="93"/>
      <c r="GU166" s="93"/>
      <c r="GV166" s="93"/>
      <c r="GW166" s="93"/>
      <c r="GX166" s="93"/>
      <c r="GY166" s="93"/>
      <c r="GZ166" s="93"/>
      <c r="HA166" s="93"/>
      <c r="HB166" s="93"/>
      <c r="HC166" s="93"/>
      <c r="HD166" s="93"/>
      <c r="HE166" s="93"/>
      <c r="HF166" s="93"/>
      <c r="HG166" s="93"/>
    </row>
    <row r="167" spans="14:215" x14ac:dyDescent="0.2">
      <c r="N167" s="93" t="s">
        <v>384</v>
      </c>
      <c r="O167" s="93"/>
      <c r="P167" s="93"/>
      <c r="Q167" s="93"/>
      <c r="R167" s="93"/>
      <c r="S167" s="93"/>
      <c r="T167" s="93"/>
      <c r="U167" s="93"/>
      <c r="V167" s="93"/>
      <c r="W167" s="93"/>
      <c r="X167" s="93"/>
      <c r="Y167" s="93"/>
      <c r="Z167" s="93"/>
      <c r="AA167" s="93"/>
      <c r="AB167" s="93"/>
      <c r="AC167" s="93"/>
      <c r="AD167" s="93"/>
      <c r="AE167" s="93"/>
      <c r="AF167" s="93"/>
      <c r="AG167" s="93"/>
      <c r="AH167" s="93"/>
      <c r="AI167" s="93"/>
      <c r="AJ167" s="93"/>
      <c r="AK167" s="93"/>
      <c r="AL167" s="93"/>
      <c r="AM167" s="93"/>
      <c r="AN167" s="93"/>
      <c r="AO167" s="93"/>
      <c r="AP167" s="93"/>
      <c r="AQ167" s="93"/>
      <c r="AR167" s="93"/>
      <c r="AS167" s="93"/>
      <c r="AT167" s="93"/>
      <c r="AU167" s="93"/>
      <c r="AV167" s="93"/>
      <c r="AW167" s="93"/>
      <c r="AX167" s="93"/>
      <c r="AY167" s="93"/>
      <c r="AZ167" s="93"/>
      <c r="BA167" s="93"/>
      <c r="BB167" s="93"/>
      <c r="BC167" s="93"/>
      <c r="BD167" s="93"/>
      <c r="BE167" s="93"/>
      <c r="BF167" s="93"/>
      <c r="BG167" s="93"/>
      <c r="BH167" s="93"/>
      <c r="BI167" s="93"/>
      <c r="BJ167" s="93"/>
      <c r="BK167" s="93"/>
      <c r="BL167" s="93"/>
      <c r="BM167" s="93"/>
      <c r="BN167" s="93"/>
      <c r="BO167" s="93"/>
      <c r="BP167" s="93"/>
      <c r="BQ167" s="93"/>
      <c r="BR167" s="93"/>
      <c r="BS167" s="93">
        <v>0.33133732534930138</v>
      </c>
      <c r="BT167" s="93"/>
      <c r="BU167" s="93"/>
      <c r="BV167" s="93"/>
      <c r="BW167" s="93"/>
      <c r="BX167" s="93"/>
      <c r="BY167" s="93"/>
      <c r="BZ167" s="93"/>
      <c r="CA167" s="93"/>
      <c r="CB167" s="93"/>
      <c r="CC167" s="93"/>
      <c r="CD167" s="93"/>
      <c r="CE167" s="93"/>
      <c r="CF167" s="93"/>
      <c r="CG167" s="93"/>
      <c r="CH167" s="93"/>
      <c r="CI167" s="93"/>
      <c r="CJ167" s="93"/>
      <c r="CK167" s="93"/>
      <c r="CL167" s="93"/>
      <c r="CM167" s="93"/>
      <c r="CN167" s="93"/>
      <c r="CO167" s="93"/>
      <c r="CP167" s="93"/>
      <c r="CQ167" s="93"/>
      <c r="CR167" s="93"/>
      <c r="CS167" s="93"/>
      <c r="CT167" s="93"/>
      <c r="CU167" s="93"/>
      <c r="CV167" s="93"/>
      <c r="CW167" s="93"/>
      <c r="CX167" s="93"/>
      <c r="CY167" s="93"/>
      <c r="CZ167" s="93"/>
      <c r="DA167" s="93"/>
      <c r="DB167" s="93"/>
      <c r="DC167" s="93"/>
      <c r="DD167" s="93"/>
      <c r="DE167" s="93"/>
      <c r="DF167" s="93"/>
      <c r="DG167" s="93"/>
      <c r="DH167" s="93"/>
      <c r="DI167" s="93"/>
      <c r="DJ167" s="93"/>
      <c r="DK167" s="93"/>
      <c r="DL167" s="93"/>
      <c r="DM167" s="93"/>
      <c r="DN167" s="93"/>
      <c r="DO167" s="93"/>
      <c r="DP167" s="93"/>
      <c r="DQ167" s="93"/>
      <c r="DR167" s="93"/>
      <c r="DS167" s="93"/>
      <c r="DT167" s="93"/>
      <c r="DU167" s="93"/>
      <c r="DV167" s="93"/>
      <c r="DW167" s="93"/>
      <c r="DX167" s="93"/>
      <c r="DY167" s="93"/>
      <c r="DZ167" s="93"/>
      <c r="EA167" s="93"/>
      <c r="EB167" s="93"/>
      <c r="EC167" s="93"/>
      <c r="ED167" s="93"/>
      <c r="EE167" s="93"/>
      <c r="EF167" s="93"/>
      <c r="EG167" s="93"/>
      <c r="EH167" s="93"/>
      <c r="EI167" s="93"/>
      <c r="EJ167" s="93"/>
      <c r="EK167" s="93"/>
      <c r="EL167" s="93"/>
      <c r="EM167" s="93"/>
      <c r="EN167" s="93"/>
      <c r="EO167" s="93"/>
      <c r="EP167" s="93"/>
      <c r="EQ167" s="93"/>
      <c r="ER167" s="93"/>
      <c r="ES167" s="93"/>
      <c r="ET167" s="93"/>
      <c r="EU167" s="93"/>
      <c r="EV167" s="93"/>
      <c r="EW167" s="93"/>
      <c r="EX167" s="93"/>
      <c r="EY167" s="93"/>
      <c r="EZ167" s="93"/>
      <c r="FA167" s="93"/>
      <c r="FB167" s="93"/>
      <c r="FC167" s="93"/>
      <c r="FD167" s="93"/>
      <c r="FE167" s="93"/>
      <c r="FF167" s="93"/>
      <c r="FG167" s="93"/>
      <c r="FH167" s="93"/>
      <c r="FI167" s="93"/>
      <c r="FJ167" s="93"/>
      <c r="FK167" s="93"/>
      <c r="FL167" s="93"/>
      <c r="FM167" s="93"/>
      <c r="FN167" s="93"/>
      <c r="FO167" s="93"/>
      <c r="FP167" s="93"/>
      <c r="FQ167" s="93"/>
      <c r="FR167" s="93"/>
      <c r="FS167" s="93"/>
      <c r="FT167" s="93"/>
      <c r="FU167" s="93"/>
      <c r="FV167" s="93"/>
      <c r="FW167" s="93"/>
      <c r="FX167" s="93"/>
      <c r="FY167" s="93"/>
      <c r="FZ167" s="93"/>
      <c r="GA167" s="93"/>
      <c r="GB167" s="93"/>
      <c r="GC167" s="93"/>
      <c r="GD167" s="93"/>
      <c r="GE167" s="93"/>
      <c r="GF167" s="93"/>
      <c r="GG167" s="93"/>
      <c r="GH167" s="93"/>
      <c r="GI167" s="93"/>
      <c r="GJ167" s="93"/>
      <c r="GK167" s="93"/>
      <c r="GL167" s="93"/>
      <c r="GM167" s="93"/>
      <c r="GN167" s="93"/>
      <c r="GO167" s="93"/>
      <c r="GP167" s="93"/>
      <c r="GQ167" s="93"/>
      <c r="GR167" s="93"/>
      <c r="GS167" s="93"/>
      <c r="GT167" s="93"/>
      <c r="GU167" s="93"/>
      <c r="GV167" s="93"/>
      <c r="GW167" s="93"/>
      <c r="GX167" s="93"/>
      <c r="GY167" s="93"/>
      <c r="GZ167" s="93"/>
      <c r="HA167" s="93"/>
      <c r="HB167" s="93"/>
      <c r="HC167" s="93"/>
      <c r="HD167" s="93"/>
      <c r="HE167" s="93"/>
      <c r="HF167" s="93"/>
      <c r="HG167" s="93"/>
    </row>
    <row r="168" spans="14:215" x14ac:dyDescent="0.2">
      <c r="N168" s="93" t="s">
        <v>385</v>
      </c>
      <c r="O168" s="93"/>
      <c r="P168" s="93"/>
      <c r="Q168" s="93"/>
      <c r="R168" s="93"/>
      <c r="S168" s="93"/>
      <c r="T168" s="93"/>
      <c r="U168" s="93"/>
      <c r="V168" s="93"/>
      <c r="W168" s="93"/>
      <c r="X168" s="93"/>
      <c r="Y168" s="93"/>
      <c r="Z168" s="93"/>
      <c r="AA168" s="93"/>
      <c r="AB168" s="93"/>
      <c r="AC168" s="93"/>
      <c r="AD168" s="93"/>
      <c r="AE168" s="93"/>
      <c r="AF168" s="93"/>
      <c r="AG168" s="93"/>
      <c r="AH168" s="93"/>
      <c r="AI168" s="93"/>
      <c r="AJ168" s="93"/>
      <c r="AK168" s="93"/>
      <c r="AL168" s="93"/>
      <c r="AM168" s="93"/>
      <c r="AN168" s="93"/>
      <c r="AO168" s="93"/>
      <c r="AP168" s="93"/>
      <c r="AQ168" s="93"/>
      <c r="AR168" s="93"/>
      <c r="AS168" s="93"/>
      <c r="AT168" s="93"/>
      <c r="AU168" s="93"/>
      <c r="AV168" s="93"/>
      <c r="AW168" s="93"/>
      <c r="AX168" s="93"/>
      <c r="AY168" s="93"/>
      <c r="AZ168" s="93"/>
      <c r="BA168" s="93"/>
      <c r="BB168" s="93"/>
      <c r="BC168" s="93"/>
      <c r="BD168" s="93"/>
      <c r="BE168" s="93"/>
      <c r="BF168" s="93"/>
      <c r="BG168" s="93"/>
      <c r="BH168" s="93"/>
      <c r="BI168" s="93"/>
      <c r="BJ168" s="93"/>
      <c r="BK168" s="93"/>
      <c r="BL168" s="93"/>
      <c r="BM168" s="93"/>
      <c r="BN168" s="93"/>
      <c r="BO168" s="93"/>
      <c r="BP168" s="93"/>
      <c r="BQ168" s="93"/>
      <c r="BR168" s="93"/>
      <c r="BS168" s="93"/>
      <c r="BT168" s="93">
        <v>0.33137254901960783</v>
      </c>
      <c r="BU168" s="93"/>
      <c r="BV168" s="93"/>
      <c r="BW168" s="93"/>
      <c r="BX168" s="93"/>
      <c r="BY168" s="93"/>
      <c r="BZ168" s="93"/>
      <c r="CA168" s="93"/>
      <c r="CB168" s="93"/>
      <c r="CC168" s="93"/>
      <c r="CD168" s="93"/>
      <c r="CE168" s="93"/>
      <c r="CF168" s="93"/>
      <c r="CG168" s="93"/>
      <c r="CH168" s="93"/>
      <c r="CI168" s="93"/>
      <c r="CJ168" s="93"/>
      <c r="CK168" s="93"/>
      <c r="CL168" s="93"/>
      <c r="CM168" s="93"/>
      <c r="CN168" s="93"/>
      <c r="CO168" s="93"/>
      <c r="CP168" s="93"/>
      <c r="CQ168" s="93"/>
      <c r="CR168" s="93"/>
      <c r="CS168" s="93"/>
      <c r="CT168" s="93"/>
      <c r="CU168" s="93"/>
      <c r="CV168" s="93"/>
      <c r="CW168" s="93"/>
      <c r="CX168" s="93"/>
      <c r="CY168" s="93"/>
      <c r="CZ168" s="93"/>
      <c r="DA168" s="93"/>
      <c r="DB168" s="93"/>
      <c r="DC168" s="93"/>
      <c r="DD168" s="93"/>
      <c r="DE168" s="93"/>
      <c r="DF168" s="93"/>
      <c r="DG168" s="93"/>
      <c r="DH168" s="93"/>
      <c r="DI168" s="93"/>
      <c r="DJ168" s="93"/>
      <c r="DK168" s="93"/>
      <c r="DL168" s="93"/>
      <c r="DM168" s="93"/>
      <c r="DN168" s="93"/>
      <c r="DO168" s="93"/>
      <c r="DP168" s="93"/>
      <c r="DQ168" s="93"/>
      <c r="DR168" s="93"/>
      <c r="DS168" s="93"/>
      <c r="DT168" s="93"/>
      <c r="DU168" s="93"/>
      <c r="DV168" s="93"/>
      <c r="DW168" s="93"/>
      <c r="DX168" s="93"/>
      <c r="DY168" s="93"/>
      <c r="DZ168" s="93"/>
      <c r="EA168" s="93"/>
      <c r="EB168" s="93"/>
      <c r="EC168" s="93"/>
      <c r="ED168" s="93"/>
      <c r="EE168" s="93"/>
      <c r="EF168" s="93"/>
      <c r="EG168" s="93"/>
      <c r="EH168" s="93"/>
      <c r="EI168" s="93"/>
      <c r="EJ168" s="93"/>
      <c r="EK168" s="93"/>
      <c r="EL168" s="93"/>
      <c r="EM168" s="93"/>
      <c r="EN168" s="93"/>
      <c r="EO168" s="93"/>
      <c r="EP168" s="93"/>
      <c r="EQ168" s="93"/>
      <c r="ER168" s="93"/>
      <c r="ES168" s="93"/>
      <c r="ET168" s="93"/>
      <c r="EU168" s="93"/>
      <c r="EV168" s="93"/>
      <c r="EW168" s="93"/>
      <c r="EX168" s="93"/>
      <c r="EY168" s="93"/>
      <c r="EZ168" s="93"/>
      <c r="FA168" s="93"/>
      <c r="FB168" s="93"/>
      <c r="FC168" s="93"/>
      <c r="FD168" s="93"/>
      <c r="FE168" s="93"/>
      <c r="FF168" s="93"/>
      <c r="FG168" s="93"/>
      <c r="FH168" s="93"/>
      <c r="FI168" s="93"/>
      <c r="FJ168" s="93"/>
      <c r="FK168" s="93"/>
      <c r="FL168" s="93"/>
      <c r="FM168" s="93"/>
      <c r="FN168" s="93"/>
      <c r="FO168" s="93"/>
      <c r="FP168" s="93"/>
      <c r="FQ168" s="93"/>
      <c r="FR168" s="93"/>
      <c r="FS168" s="93"/>
      <c r="FT168" s="93"/>
      <c r="FU168" s="93"/>
      <c r="FV168" s="93"/>
      <c r="FW168" s="93"/>
      <c r="FX168" s="93"/>
      <c r="FY168" s="93"/>
      <c r="FZ168" s="93"/>
      <c r="GA168" s="93"/>
      <c r="GB168" s="93"/>
      <c r="GC168" s="93"/>
      <c r="GD168" s="93"/>
      <c r="GE168" s="93"/>
      <c r="GF168" s="93"/>
      <c r="GG168" s="93"/>
      <c r="GH168" s="93"/>
      <c r="GI168" s="93"/>
      <c r="GJ168" s="93"/>
      <c r="GK168" s="93"/>
      <c r="GL168" s="93"/>
      <c r="GM168" s="93"/>
      <c r="GN168" s="93"/>
      <c r="GO168" s="93"/>
      <c r="GP168" s="93"/>
      <c r="GQ168" s="93"/>
      <c r="GR168" s="93"/>
      <c r="GS168" s="93"/>
      <c r="GT168" s="93"/>
      <c r="GU168" s="93"/>
      <c r="GV168" s="93"/>
      <c r="GW168" s="93"/>
      <c r="GX168" s="93"/>
      <c r="GY168" s="93"/>
      <c r="GZ168" s="93"/>
      <c r="HA168" s="93"/>
      <c r="HB168" s="93"/>
      <c r="HC168" s="93"/>
      <c r="HD168" s="93"/>
      <c r="HE168" s="93"/>
      <c r="HF168" s="93"/>
      <c r="HG168" s="93"/>
    </row>
    <row r="169" spans="14:215" x14ac:dyDescent="0.2">
      <c r="N169" s="93" t="s">
        <v>386</v>
      </c>
      <c r="O169" s="93"/>
      <c r="P169" s="93"/>
      <c r="Q169" s="93"/>
      <c r="R169" s="93"/>
      <c r="S169" s="93"/>
      <c r="T169" s="93"/>
      <c r="U169" s="93"/>
      <c r="V169" s="93"/>
      <c r="W169" s="93"/>
      <c r="X169" s="93"/>
      <c r="Y169" s="93"/>
      <c r="Z169" s="93"/>
      <c r="AA169" s="93"/>
      <c r="AB169" s="93"/>
      <c r="AC169" s="93"/>
      <c r="AD169" s="93"/>
      <c r="AE169" s="93"/>
      <c r="AF169" s="93"/>
      <c r="AG169" s="93"/>
      <c r="AH169" s="93"/>
      <c r="AI169" s="93"/>
      <c r="AJ169" s="93"/>
      <c r="AK169" s="93"/>
      <c r="AL169" s="93"/>
      <c r="AM169" s="93"/>
      <c r="AN169" s="93"/>
      <c r="AO169" s="93"/>
      <c r="AP169" s="93"/>
      <c r="AQ169" s="93"/>
      <c r="AR169" s="93"/>
      <c r="AS169" s="93"/>
      <c r="AT169" s="93"/>
      <c r="AU169" s="93"/>
      <c r="AV169" s="93"/>
      <c r="AW169" s="93"/>
      <c r="AX169" s="93"/>
      <c r="AY169" s="93"/>
      <c r="AZ169" s="93"/>
      <c r="BA169" s="93"/>
      <c r="BB169" s="93"/>
      <c r="BC169" s="93"/>
      <c r="BD169" s="93"/>
      <c r="BE169" s="93"/>
      <c r="BF169" s="93"/>
      <c r="BG169" s="93"/>
      <c r="BH169" s="93"/>
      <c r="BI169" s="93"/>
      <c r="BJ169" s="93"/>
      <c r="BK169" s="93"/>
      <c r="BL169" s="93"/>
      <c r="BM169" s="93"/>
      <c r="BN169" s="93"/>
      <c r="BO169" s="93"/>
      <c r="BP169" s="93"/>
      <c r="BQ169" s="93"/>
      <c r="BR169" s="93"/>
      <c r="BS169" s="93"/>
      <c r="BT169" s="93"/>
      <c r="BU169" s="93">
        <v>0.33140655105973027</v>
      </c>
      <c r="BV169" s="93"/>
      <c r="BW169" s="93"/>
      <c r="BX169" s="93"/>
      <c r="BY169" s="93"/>
      <c r="BZ169" s="93"/>
      <c r="CA169" s="93"/>
      <c r="CB169" s="93"/>
      <c r="CC169" s="93"/>
      <c r="CD169" s="93"/>
      <c r="CE169" s="93"/>
      <c r="CF169" s="93"/>
      <c r="CG169" s="93"/>
      <c r="CH169" s="93"/>
      <c r="CI169" s="93"/>
      <c r="CJ169" s="93"/>
      <c r="CK169" s="93"/>
      <c r="CL169" s="93"/>
      <c r="CM169" s="93"/>
      <c r="CN169" s="93"/>
      <c r="CO169" s="93"/>
      <c r="CP169" s="93"/>
      <c r="CQ169" s="93"/>
      <c r="CR169" s="93"/>
      <c r="CS169" s="93"/>
      <c r="CT169" s="93"/>
      <c r="CU169" s="93"/>
      <c r="CV169" s="93"/>
      <c r="CW169" s="93"/>
      <c r="CX169" s="93"/>
      <c r="CY169" s="93"/>
      <c r="CZ169" s="93"/>
      <c r="DA169" s="93"/>
      <c r="DB169" s="93"/>
      <c r="DC169" s="93"/>
      <c r="DD169" s="93"/>
      <c r="DE169" s="93"/>
      <c r="DF169" s="93"/>
      <c r="DG169" s="93"/>
      <c r="DH169" s="93"/>
      <c r="DI169" s="93"/>
      <c r="DJ169" s="93"/>
      <c r="DK169" s="93"/>
      <c r="DL169" s="93"/>
      <c r="DM169" s="93"/>
      <c r="DN169" s="93"/>
      <c r="DO169" s="93"/>
      <c r="DP169" s="93"/>
      <c r="DQ169" s="93"/>
      <c r="DR169" s="93"/>
      <c r="DS169" s="93"/>
      <c r="DT169" s="93"/>
      <c r="DU169" s="93"/>
      <c r="DV169" s="93"/>
      <c r="DW169" s="93"/>
      <c r="DX169" s="93"/>
      <c r="DY169" s="93"/>
      <c r="DZ169" s="93"/>
      <c r="EA169" s="93"/>
      <c r="EB169" s="93"/>
      <c r="EC169" s="93"/>
      <c r="ED169" s="93"/>
      <c r="EE169" s="93"/>
      <c r="EF169" s="93"/>
      <c r="EG169" s="93"/>
      <c r="EH169" s="93"/>
      <c r="EI169" s="93"/>
      <c r="EJ169" s="93"/>
      <c r="EK169" s="93"/>
      <c r="EL169" s="93"/>
      <c r="EM169" s="93"/>
      <c r="EN169" s="93"/>
      <c r="EO169" s="93"/>
      <c r="EP169" s="93"/>
      <c r="EQ169" s="93"/>
      <c r="ER169" s="93"/>
      <c r="ES169" s="93"/>
      <c r="ET169" s="93"/>
      <c r="EU169" s="93"/>
      <c r="EV169" s="93"/>
      <c r="EW169" s="93"/>
      <c r="EX169" s="93"/>
      <c r="EY169" s="93"/>
      <c r="EZ169" s="93"/>
      <c r="FA169" s="93"/>
      <c r="FB169" s="93"/>
      <c r="FC169" s="93"/>
      <c r="FD169" s="93"/>
      <c r="FE169" s="93"/>
      <c r="FF169" s="93"/>
      <c r="FG169" s="93"/>
      <c r="FH169" s="93"/>
      <c r="FI169" s="93"/>
      <c r="FJ169" s="93"/>
      <c r="FK169" s="93"/>
      <c r="FL169" s="93"/>
      <c r="FM169" s="93"/>
      <c r="FN169" s="93"/>
      <c r="FO169" s="93"/>
      <c r="FP169" s="93"/>
      <c r="FQ169" s="93"/>
      <c r="FR169" s="93"/>
      <c r="FS169" s="93"/>
      <c r="FT169" s="93"/>
      <c r="FU169" s="93"/>
      <c r="FV169" s="93"/>
      <c r="FW169" s="93"/>
      <c r="FX169" s="93"/>
      <c r="FY169" s="93"/>
      <c r="FZ169" s="93"/>
      <c r="GA169" s="93"/>
      <c r="GB169" s="93"/>
      <c r="GC169" s="93"/>
      <c r="GD169" s="93"/>
      <c r="GE169" s="93"/>
      <c r="GF169" s="93"/>
      <c r="GG169" s="93"/>
      <c r="GH169" s="93"/>
      <c r="GI169" s="93"/>
      <c r="GJ169" s="93"/>
      <c r="GK169" s="93"/>
      <c r="GL169" s="93"/>
      <c r="GM169" s="93"/>
      <c r="GN169" s="93"/>
      <c r="GO169" s="93"/>
      <c r="GP169" s="93"/>
      <c r="GQ169" s="93"/>
      <c r="GR169" s="93"/>
      <c r="GS169" s="93"/>
      <c r="GT169" s="93"/>
      <c r="GU169" s="93"/>
      <c r="GV169" s="93"/>
      <c r="GW169" s="93"/>
      <c r="GX169" s="93"/>
      <c r="GY169" s="93"/>
      <c r="GZ169" s="93"/>
      <c r="HA169" s="93"/>
      <c r="HB169" s="93"/>
      <c r="HC169" s="93"/>
      <c r="HD169" s="93"/>
      <c r="HE169" s="93"/>
      <c r="HF169" s="93"/>
      <c r="HG169" s="93"/>
    </row>
    <row r="170" spans="14:215" x14ac:dyDescent="0.2">
      <c r="N170" s="93" t="s">
        <v>387</v>
      </c>
      <c r="O170" s="93"/>
      <c r="P170" s="93"/>
      <c r="Q170" s="93"/>
      <c r="R170" s="93"/>
      <c r="S170" s="93"/>
      <c r="T170" s="93"/>
      <c r="U170" s="93"/>
      <c r="V170" s="93"/>
      <c r="W170" s="93"/>
      <c r="X170" s="93"/>
      <c r="Y170" s="93"/>
      <c r="Z170" s="93"/>
      <c r="AA170" s="93"/>
      <c r="AB170" s="93"/>
      <c r="AC170" s="93"/>
      <c r="AD170" s="93"/>
      <c r="AE170" s="93"/>
      <c r="AF170" s="93"/>
      <c r="AG170" s="93"/>
      <c r="AH170" s="93"/>
      <c r="AI170" s="93"/>
      <c r="AJ170" s="93"/>
      <c r="AK170" s="93"/>
      <c r="AL170" s="93"/>
      <c r="AM170" s="93"/>
      <c r="AN170" s="93"/>
      <c r="AO170" s="93"/>
      <c r="AP170" s="93"/>
      <c r="AQ170" s="93"/>
      <c r="AR170" s="93"/>
      <c r="AS170" s="93"/>
      <c r="AT170" s="93"/>
      <c r="AU170" s="93"/>
      <c r="AV170" s="93"/>
      <c r="AW170" s="93"/>
      <c r="AX170" s="93"/>
      <c r="AY170" s="93"/>
      <c r="AZ170" s="93"/>
      <c r="BA170" s="93"/>
      <c r="BB170" s="93"/>
      <c r="BC170" s="93"/>
      <c r="BD170" s="93"/>
      <c r="BE170" s="93"/>
      <c r="BF170" s="93"/>
      <c r="BG170" s="93"/>
      <c r="BH170" s="93"/>
      <c r="BI170" s="93"/>
      <c r="BJ170" s="93"/>
      <c r="BK170" s="93"/>
      <c r="BL170" s="93"/>
      <c r="BM170" s="93"/>
      <c r="BN170" s="93"/>
      <c r="BO170" s="93"/>
      <c r="BP170" s="93"/>
      <c r="BQ170" s="93"/>
      <c r="BR170" s="93"/>
      <c r="BS170" s="93"/>
      <c r="BT170" s="93"/>
      <c r="BU170" s="93"/>
      <c r="BV170" s="93">
        <v>0.33143939393939392</v>
      </c>
      <c r="BW170" s="93"/>
      <c r="BX170" s="93"/>
      <c r="BY170" s="93"/>
      <c r="BZ170" s="93"/>
      <c r="CA170" s="93"/>
      <c r="CB170" s="93"/>
      <c r="CC170" s="93"/>
      <c r="CD170" s="93"/>
      <c r="CE170" s="93"/>
      <c r="CF170" s="93"/>
      <c r="CG170" s="93"/>
      <c r="CH170" s="93"/>
      <c r="CI170" s="93"/>
      <c r="CJ170" s="93"/>
      <c r="CK170" s="93"/>
      <c r="CL170" s="93"/>
      <c r="CM170" s="93"/>
      <c r="CN170" s="93"/>
      <c r="CO170" s="93"/>
      <c r="CP170" s="93"/>
      <c r="CQ170" s="93"/>
      <c r="CR170" s="93"/>
      <c r="CS170" s="93"/>
      <c r="CT170" s="93"/>
      <c r="CU170" s="93"/>
      <c r="CV170" s="93"/>
      <c r="CW170" s="93"/>
      <c r="CX170" s="93"/>
      <c r="CY170" s="93"/>
      <c r="CZ170" s="93"/>
      <c r="DA170" s="93"/>
      <c r="DB170" s="93"/>
      <c r="DC170" s="93"/>
      <c r="DD170" s="93"/>
      <c r="DE170" s="93"/>
      <c r="DF170" s="93"/>
      <c r="DG170" s="93"/>
      <c r="DH170" s="93"/>
      <c r="DI170" s="93"/>
      <c r="DJ170" s="93"/>
      <c r="DK170" s="93"/>
      <c r="DL170" s="93"/>
      <c r="DM170" s="93"/>
      <c r="DN170" s="93"/>
      <c r="DO170" s="93"/>
      <c r="DP170" s="93"/>
      <c r="DQ170" s="93"/>
      <c r="DR170" s="93"/>
      <c r="DS170" s="93"/>
      <c r="DT170" s="93"/>
      <c r="DU170" s="93"/>
      <c r="DV170" s="93"/>
      <c r="DW170" s="93"/>
      <c r="DX170" s="93"/>
      <c r="DY170" s="93"/>
      <c r="DZ170" s="93"/>
      <c r="EA170" s="93"/>
      <c r="EB170" s="93"/>
      <c r="EC170" s="93"/>
      <c r="ED170" s="93"/>
      <c r="EE170" s="93"/>
      <c r="EF170" s="93"/>
      <c r="EG170" s="93"/>
      <c r="EH170" s="93"/>
      <c r="EI170" s="93"/>
      <c r="EJ170" s="93"/>
      <c r="EK170" s="93"/>
      <c r="EL170" s="93"/>
      <c r="EM170" s="93"/>
      <c r="EN170" s="93"/>
      <c r="EO170" s="93"/>
      <c r="EP170" s="93"/>
      <c r="EQ170" s="93"/>
      <c r="ER170" s="93"/>
      <c r="ES170" s="93"/>
      <c r="ET170" s="93"/>
      <c r="EU170" s="93"/>
      <c r="EV170" s="93"/>
      <c r="EW170" s="93"/>
      <c r="EX170" s="93"/>
      <c r="EY170" s="93"/>
      <c r="EZ170" s="93"/>
      <c r="FA170" s="93"/>
      <c r="FB170" s="93"/>
      <c r="FC170" s="93"/>
      <c r="FD170" s="93"/>
      <c r="FE170" s="93"/>
      <c r="FF170" s="93"/>
      <c r="FG170" s="93"/>
      <c r="FH170" s="93"/>
      <c r="FI170" s="93"/>
      <c r="FJ170" s="93"/>
      <c r="FK170" s="93"/>
      <c r="FL170" s="93"/>
      <c r="FM170" s="93"/>
      <c r="FN170" s="93"/>
      <c r="FO170" s="93"/>
      <c r="FP170" s="93"/>
      <c r="FQ170" s="93"/>
      <c r="FR170" s="93"/>
      <c r="FS170" s="93"/>
      <c r="FT170" s="93"/>
      <c r="FU170" s="93"/>
      <c r="FV170" s="93"/>
      <c r="FW170" s="93"/>
      <c r="FX170" s="93"/>
      <c r="FY170" s="93"/>
      <c r="FZ170" s="93"/>
      <c r="GA170" s="93"/>
      <c r="GB170" s="93"/>
      <c r="GC170" s="93"/>
      <c r="GD170" s="93"/>
      <c r="GE170" s="93"/>
      <c r="GF170" s="93"/>
      <c r="GG170" s="93"/>
      <c r="GH170" s="93"/>
      <c r="GI170" s="93"/>
      <c r="GJ170" s="93"/>
      <c r="GK170" s="93"/>
      <c r="GL170" s="93"/>
      <c r="GM170" s="93"/>
      <c r="GN170" s="93"/>
      <c r="GO170" s="93"/>
      <c r="GP170" s="93"/>
      <c r="GQ170" s="93"/>
      <c r="GR170" s="93"/>
      <c r="GS170" s="93"/>
      <c r="GT170" s="93"/>
      <c r="GU170" s="93"/>
      <c r="GV170" s="93"/>
      <c r="GW170" s="93"/>
      <c r="GX170" s="93"/>
      <c r="GY170" s="93"/>
      <c r="GZ170" s="93"/>
      <c r="HA170" s="93"/>
      <c r="HB170" s="93"/>
      <c r="HC170" s="93"/>
      <c r="HD170" s="93"/>
      <c r="HE170" s="93"/>
      <c r="HF170" s="93"/>
      <c r="HG170" s="93"/>
    </row>
    <row r="171" spans="14:215" x14ac:dyDescent="0.2">
      <c r="N171" s="93" t="s">
        <v>388</v>
      </c>
      <c r="O171" s="93"/>
      <c r="P171" s="93"/>
      <c r="Q171" s="93"/>
      <c r="R171" s="93"/>
      <c r="S171" s="93"/>
      <c r="T171" s="93"/>
      <c r="U171" s="93"/>
      <c r="V171" s="93"/>
      <c r="W171" s="93"/>
      <c r="X171" s="93"/>
      <c r="Y171" s="93"/>
      <c r="Z171" s="93"/>
      <c r="AA171" s="93"/>
      <c r="AB171" s="93"/>
      <c r="AC171" s="93"/>
      <c r="AD171" s="93"/>
      <c r="AE171" s="93"/>
      <c r="AF171" s="93"/>
      <c r="AG171" s="93"/>
      <c r="AH171" s="93"/>
      <c r="AI171" s="93"/>
      <c r="AJ171" s="93"/>
      <c r="AK171" s="93"/>
      <c r="AL171" s="93"/>
      <c r="AM171" s="93"/>
      <c r="AN171" s="93"/>
      <c r="AO171" s="93"/>
      <c r="AP171" s="93"/>
      <c r="AQ171" s="93"/>
      <c r="AR171" s="93"/>
      <c r="AS171" s="93"/>
      <c r="AT171" s="93"/>
      <c r="AU171" s="93"/>
      <c r="AV171" s="93"/>
      <c r="AW171" s="93"/>
      <c r="AX171" s="93"/>
      <c r="AY171" s="93"/>
      <c r="AZ171" s="93"/>
      <c r="BA171" s="93"/>
      <c r="BB171" s="93"/>
      <c r="BC171" s="93"/>
      <c r="BD171" s="93"/>
      <c r="BE171" s="93"/>
      <c r="BF171" s="93"/>
      <c r="BG171" s="93"/>
      <c r="BH171" s="93"/>
      <c r="BI171" s="93"/>
      <c r="BJ171" s="93"/>
      <c r="BK171" s="93"/>
      <c r="BL171" s="93"/>
      <c r="BM171" s="93"/>
      <c r="BN171" s="93"/>
      <c r="BO171" s="93"/>
      <c r="BP171" s="93"/>
      <c r="BQ171" s="93"/>
      <c r="BR171" s="93"/>
      <c r="BS171" s="93"/>
      <c r="BT171" s="93"/>
      <c r="BU171" s="93"/>
      <c r="BV171" s="93"/>
      <c r="BW171" s="93">
        <v>0.33147113594040967</v>
      </c>
      <c r="BX171" s="93"/>
      <c r="BY171" s="93"/>
      <c r="BZ171" s="93"/>
      <c r="CA171" s="93"/>
      <c r="CB171" s="93"/>
      <c r="CC171" s="93"/>
      <c r="CD171" s="93"/>
      <c r="CE171" s="93"/>
      <c r="CF171" s="93"/>
      <c r="CG171" s="93"/>
      <c r="CH171" s="93"/>
      <c r="CI171" s="93"/>
      <c r="CJ171" s="93"/>
      <c r="CK171" s="93"/>
      <c r="CL171" s="93"/>
      <c r="CM171" s="93"/>
      <c r="CN171" s="93"/>
      <c r="CO171" s="93"/>
      <c r="CP171" s="93"/>
      <c r="CQ171" s="93"/>
      <c r="CR171" s="93"/>
      <c r="CS171" s="93"/>
      <c r="CT171" s="93"/>
      <c r="CU171" s="93"/>
      <c r="CV171" s="93"/>
      <c r="CW171" s="93"/>
      <c r="CX171" s="93"/>
      <c r="CY171" s="93"/>
      <c r="CZ171" s="93"/>
      <c r="DA171" s="93"/>
      <c r="DB171" s="93"/>
      <c r="DC171" s="93"/>
      <c r="DD171" s="93"/>
      <c r="DE171" s="93"/>
      <c r="DF171" s="93"/>
      <c r="DG171" s="93"/>
      <c r="DH171" s="93"/>
      <c r="DI171" s="93"/>
      <c r="DJ171" s="93"/>
      <c r="DK171" s="93"/>
      <c r="DL171" s="93"/>
      <c r="DM171" s="93"/>
      <c r="DN171" s="93"/>
      <c r="DO171" s="93"/>
      <c r="DP171" s="93"/>
      <c r="DQ171" s="93"/>
      <c r="DR171" s="93"/>
      <c r="DS171" s="93"/>
      <c r="DT171" s="93"/>
      <c r="DU171" s="93"/>
      <c r="DV171" s="93"/>
      <c r="DW171" s="93"/>
      <c r="DX171" s="93"/>
      <c r="DY171" s="93"/>
      <c r="DZ171" s="93"/>
      <c r="EA171" s="93"/>
      <c r="EB171" s="93"/>
      <c r="EC171" s="93"/>
      <c r="ED171" s="93"/>
      <c r="EE171" s="93"/>
      <c r="EF171" s="93"/>
      <c r="EG171" s="93"/>
      <c r="EH171" s="93"/>
      <c r="EI171" s="93"/>
      <c r="EJ171" s="93"/>
      <c r="EK171" s="93"/>
      <c r="EL171" s="93"/>
      <c r="EM171" s="93"/>
      <c r="EN171" s="93"/>
      <c r="EO171" s="93"/>
      <c r="EP171" s="93"/>
      <c r="EQ171" s="93"/>
      <c r="ER171" s="93"/>
      <c r="ES171" s="93"/>
      <c r="ET171" s="93"/>
      <c r="EU171" s="93"/>
      <c r="EV171" s="93"/>
      <c r="EW171" s="93"/>
      <c r="EX171" s="93"/>
      <c r="EY171" s="93"/>
      <c r="EZ171" s="93"/>
      <c r="FA171" s="93"/>
      <c r="FB171" s="93"/>
      <c r="FC171" s="93"/>
      <c r="FD171" s="93"/>
      <c r="FE171" s="93"/>
      <c r="FF171" s="93"/>
      <c r="FG171" s="93"/>
      <c r="FH171" s="93"/>
      <c r="FI171" s="93"/>
      <c r="FJ171" s="93"/>
      <c r="FK171" s="93"/>
      <c r="FL171" s="93"/>
      <c r="FM171" s="93"/>
      <c r="FN171" s="93"/>
      <c r="FO171" s="93"/>
      <c r="FP171" s="93"/>
      <c r="FQ171" s="93"/>
      <c r="FR171" s="93"/>
      <c r="FS171" s="93"/>
      <c r="FT171" s="93"/>
      <c r="FU171" s="93"/>
      <c r="FV171" s="93"/>
      <c r="FW171" s="93"/>
      <c r="FX171" s="93"/>
      <c r="FY171" s="93"/>
      <c r="FZ171" s="93"/>
      <c r="GA171" s="93"/>
      <c r="GB171" s="93"/>
      <c r="GC171" s="93"/>
      <c r="GD171" s="93"/>
      <c r="GE171" s="93"/>
      <c r="GF171" s="93"/>
      <c r="GG171" s="93"/>
      <c r="GH171" s="93"/>
      <c r="GI171" s="93"/>
      <c r="GJ171" s="93"/>
      <c r="GK171" s="93"/>
      <c r="GL171" s="93"/>
      <c r="GM171" s="93"/>
      <c r="GN171" s="93"/>
      <c r="GO171" s="93"/>
      <c r="GP171" s="93"/>
      <c r="GQ171" s="93"/>
      <c r="GR171" s="93"/>
      <c r="GS171" s="93"/>
      <c r="GT171" s="93"/>
      <c r="GU171" s="93"/>
      <c r="GV171" s="93"/>
      <c r="GW171" s="93"/>
      <c r="GX171" s="93"/>
      <c r="GY171" s="93"/>
      <c r="GZ171" s="93"/>
      <c r="HA171" s="93"/>
      <c r="HB171" s="93"/>
      <c r="HC171" s="93"/>
      <c r="HD171" s="93"/>
      <c r="HE171" s="93"/>
      <c r="HF171" s="93"/>
      <c r="HG171" s="93"/>
    </row>
    <row r="172" spans="14:215" x14ac:dyDescent="0.2">
      <c r="N172" s="93" t="s">
        <v>389</v>
      </c>
      <c r="O172" s="93"/>
      <c r="P172" s="93"/>
      <c r="Q172" s="93"/>
      <c r="R172" s="93"/>
      <c r="S172" s="93"/>
      <c r="T172" s="93"/>
      <c r="U172" s="93"/>
      <c r="V172" s="93"/>
      <c r="W172" s="93"/>
      <c r="X172" s="93"/>
      <c r="Y172" s="93"/>
      <c r="Z172" s="93"/>
      <c r="AA172" s="93"/>
      <c r="AB172" s="93"/>
      <c r="AC172" s="93"/>
      <c r="AD172" s="93"/>
      <c r="AE172" s="93"/>
      <c r="AF172" s="93"/>
      <c r="AG172" s="93"/>
      <c r="AH172" s="93"/>
      <c r="AI172" s="93"/>
      <c r="AJ172" s="93"/>
      <c r="AK172" s="93"/>
      <c r="AL172" s="93"/>
      <c r="AM172" s="93"/>
      <c r="AN172" s="93"/>
      <c r="AO172" s="93"/>
      <c r="AP172" s="93"/>
      <c r="AQ172" s="93"/>
      <c r="AR172" s="93"/>
      <c r="AS172" s="93"/>
      <c r="AT172" s="93"/>
      <c r="AU172" s="93"/>
      <c r="AV172" s="93"/>
      <c r="AW172" s="93"/>
      <c r="AX172" s="93"/>
      <c r="AY172" s="93"/>
      <c r="AZ172" s="93"/>
      <c r="BA172" s="93"/>
      <c r="BB172" s="93"/>
      <c r="BC172" s="93"/>
      <c r="BD172" s="93"/>
      <c r="BE172" s="93"/>
      <c r="BF172" s="93"/>
      <c r="BG172" s="93"/>
      <c r="BH172" s="93"/>
      <c r="BI172" s="93"/>
      <c r="BJ172" s="93"/>
      <c r="BK172" s="93"/>
      <c r="BL172" s="93"/>
      <c r="BM172" s="93"/>
      <c r="BN172" s="93"/>
      <c r="BO172" s="93"/>
      <c r="BP172" s="93"/>
      <c r="BQ172" s="93"/>
      <c r="BR172" s="93"/>
      <c r="BS172" s="93"/>
      <c r="BT172" s="93"/>
      <c r="BU172" s="93"/>
      <c r="BV172" s="93"/>
      <c r="BW172" s="93"/>
      <c r="BX172" s="93">
        <v>0.33150183150183149</v>
      </c>
      <c r="BY172" s="93"/>
      <c r="BZ172" s="93"/>
      <c r="CA172" s="93"/>
      <c r="CB172" s="93"/>
      <c r="CC172" s="93"/>
      <c r="CD172" s="93"/>
      <c r="CE172" s="93"/>
      <c r="CF172" s="93"/>
      <c r="CG172" s="93"/>
      <c r="CH172" s="93"/>
      <c r="CI172" s="93"/>
      <c r="CJ172" s="93"/>
      <c r="CK172" s="93"/>
      <c r="CL172" s="93"/>
      <c r="CM172" s="93"/>
      <c r="CN172" s="93"/>
      <c r="CO172" s="93"/>
      <c r="CP172" s="93"/>
      <c r="CQ172" s="93"/>
      <c r="CR172" s="93"/>
      <c r="CS172" s="93"/>
      <c r="CT172" s="93"/>
      <c r="CU172" s="93"/>
      <c r="CV172" s="93"/>
      <c r="CW172" s="93"/>
      <c r="CX172" s="93"/>
      <c r="CY172" s="93"/>
      <c r="CZ172" s="93"/>
      <c r="DA172" s="93"/>
      <c r="DB172" s="93"/>
      <c r="DC172" s="93"/>
      <c r="DD172" s="93"/>
      <c r="DE172" s="93"/>
      <c r="DF172" s="93"/>
      <c r="DG172" s="93"/>
      <c r="DH172" s="93"/>
      <c r="DI172" s="93"/>
      <c r="DJ172" s="93"/>
      <c r="DK172" s="93"/>
      <c r="DL172" s="93"/>
      <c r="DM172" s="93"/>
      <c r="DN172" s="93"/>
      <c r="DO172" s="93"/>
      <c r="DP172" s="93"/>
      <c r="DQ172" s="93"/>
      <c r="DR172" s="93"/>
      <c r="DS172" s="93"/>
      <c r="DT172" s="93"/>
      <c r="DU172" s="93"/>
      <c r="DV172" s="93"/>
      <c r="DW172" s="93"/>
      <c r="DX172" s="93"/>
      <c r="DY172" s="93"/>
      <c r="DZ172" s="93"/>
      <c r="EA172" s="93"/>
      <c r="EB172" s="93"/>
      <c r="EC172" s="93"/>
      <c r="ED172" s="93"/>
      <c r="EE172" s="93"/>
      <c r="EF172" s="93"/>
      <c r="EG172" s="93"/>
      <c r="EH172" s="93"/>
      <c r="EI172" s="93"/>
      <c r="EJ172" s="93"/>
      <c r="EK172" s="93"/>
      <c r="EL172" s="93"/>
      <c r="EM172" s="93"/>
      <c r="EN172" s="93"/>
      <c r="EO172" s="93"/>
      <c r="EP172" s="93"/>
      <c r="EQ172" s="93"/>
      <c r="ER172" s="93"/>
      <c r="ES172" s="93"/>
      <c r="ET172" s="93"/>
      <c r="EU172" s="93"/>
      <c r="EV172" s="93"/>
      <c r="EW172" s="93"/>
      <c r="EX172" s="93"/>
      <c r="EY172" s="93"/>
      <c r="EZ172" s="93"/>
      <c r="FA172" s="93"/>
      <c r="FB172" s="93"/>
      <c r="FC172" s="93"/>
      <c r="FD172" s="93"/>
      <c r="FE172" s="93"/>
      <c r="FF172" s="93"/>
      <c r="FG172" s="93"/>
      <c r="FH172" s="93"/>
      <c r="FI172" s="93"/>
      <c r="FJ172" s="93"/>
      <c r="FK172" s="93"/>
      <c r="FL172" s="93"/>
      <c r="FM172" s="93"/>
      <c r="FN172" s="93"/>
      <c r="FO172" s="93"/>
      <c r="FP172" s="93"/>
      <c r="FQ172" s="93"/>
      <c r="FR172" s="93"/>
      <c r="FS172" s="93"/>
      <c r="FT172" s="93"/>
      <c r="FU172" s="93"/>
      <c r="FV172" s="93"/>
      <c r="FW172" s="93"/>
      <c r="FX172" s="93"/>
      <c r="FY172" s="93"/>
      <c r="FZ172" s="93"/>
      <c r="GA172" s="93"/>
      <c r="GB172" s="93"/>
      <c r="GC172" s="93"/>
      <c r="GD172" s="93"/>
      <c r="GE172" s="93"/>
      <c r="GF172" s="93"/>
      <c r="GG172" s="93"/>
      <c r="GH172" s="93"/>
      <c r="GI172" s="93"/>
      <c r="GJ172" s="93"/>
      <c r="GK172" s="93"/>
      <c r="GL172" s="93"/>
      <c r="GM172" s="93"/>
      <c r="GN172" s="93"/>
      <c r="GO172" s="93"/>
      <c r="GP172" s="93"/>
      <c r="GQ172" s="93"/>
      <c r="GR172" s="93"/>
      <c r="GS172" s="93"/>
      <c r="GT172" s="93"/>
      <c r="GU172" s="93"/>
      <c r="GV172" s="93"/>
      <c r="GW172" s="93"/>
      <c r="GX172" s="93"/>
      <c r="GY172" s="93"/>
      <c r="GZ172" s="93"/>
      <c r="HA172" s="93"/>
      <c r="HB172" s="93"/>
      <c r="HC172" s="93"/>
      <c r="HD172" s="93"/>
      <c r="HE172" s="93"/>
      <c r="HF172" s="93"/>
      <c r="HG172" s="93"/>
    </row>
    <row r="173" spans="14:215" x14ac:dyDescent="0.2">
      <c r="N173" s="93" t="s">
        <v>390</v>
      </c>
      <c r="O173" s="93"/>
      <c r="P173" s="93"/>
      <c r="Q173" s="93"/>
      <c r="R173" s="93"/>
      <c r="S173" s="93"/>
      <c r="T173" s="93"/>
      <c r="U173" s="93"/>
      <c r="V173" s="93"/>
      <c r="W173" s="93"/>
      <c r="X173" s="93"/>
      <c r="Y173" s="93"/>
      <c r="Z173" s="93"/>
      <c r="AA173" s="93"/>
      <c r="AB173" s="93"/>
      <c r="AC173" s="93"/>
      <c r="AD173" s="93"/>
      <c r="AE173" s="93"/>
      <c r="AF173" s="93"/>
      <c r="AG173" s="93"/>
      <c r="AH173" s="93"/>
      <c r="AI173" s="93"/>
      <c r="AJ173" s="93"/>
      <c r="AK173" s="93"/>
      <c r="AL173" s="93"/>
      <c r="AM173" s="93"/>
      <c r="AN173" s="93"/>
      <c r="AO173" s="93"/>
      <c r="AP173" s="93"/>
      <c r="AQ173" s="93"/>
      <c r="AR173" s="93"/>
      <c r="AS173" s="93"/>
      <c r="AT173" s="93"/>
      <c r="AU173" s="93"/>
      <c r="AV173" s="93"/>
      <c r="AW173" s="93"/>
      <c r="AX173" s="93"/>
      <c r="AY173" s="93"/>
      <c r="AZ173" s="93"/>
      <c r="BA173" s="93"/>
      <c r="BB173" s="93"/>
      <c r="BC173" s="93"/>
      <c r="BD173" s="93"/>
      <c r="BE173" s="93"/>
      <c r="BF173" s="93"/>
      <c r="BG173" s="93"/>
      <c r="BH173" s="93"/>
      <c r="BI173" s="93"/>
      <c r="BJ173" s="93"/>
      <c r="BK173" s="93"/>
      <c r="BL173" s="93"/>
      <c r="BM173" s="93"/>
      <c r="BN173" s="93"/>
      <c r="BO173" s="93"/>
      <c r="BP173" s="93"/>
      <c r="BQ173" s="93"/>
      <c r="BR173" s="93"/>
      <c r="BS173" s="93"/>
      <c r="BT173" s="93"/>
      <c r="BU173" s="93"/>
      <c r="BV173" s="93"/>
      <c r="BW173" s="93"/>
      <c r="BX173" s="93"/>
      <c r="BY173" s="93">
        <v>0.33153153153153153</v>
      </c>
      <c r="BZ173" s="93"/>
      <c r="CA173" s="93"/>
      <c r="CB173" s="93"/>
      <c r="CC173" s="93"/>
      <c r="CD173" s="93"/>
      <c r="CE173" s="93"/>
      <c r="CF173" s="93"/>
      <c r="CG173" s="93"/>
      <c r="CH173" s="93"/>
      <c r="CI173" s="93"/>
      <c r="CJ173" s="93"/>
      <c r="CK173" s="93"/>
      <c r="CL173" s="93"/>
      <c r="CM173" s="93"/>
      <c r="CN173" s="93"/>
      <c r="CO173" s="93"/>
      <c r="CP173" s="93"/>
      <c r="CQ173" s="93"/>
      <c r="CR173" s="93"/>
      <c r="CS173" s="93"/>
      <c r="CT173" s="93"/>
      <c r="CU173" s="93"/>
      <c r="CV173" s="93"/>
      <c r="CW173" s="93"/>
      <c r="CX173" s="93"/>
      <c r="CY173" s="93"/>
      <c r="CZ173" s="93"/>
      <c r="DA173" s="93"/>
      <c r="DB173" s="93"/>
      <c r="DC173" s="93"/>
      <c r="DD173" s="93"/>
      <c r="DE173" s="93"/>
      <c r="DF173" s="93"/>
      <c r="DG173" s="93"/>
      <c r="DH173" s="93"/>
      <c r="DI173" s="93"/>
      <c r="DJ173" s="93"/>
      <c r="DK173" s="93"/>
      <c r="DL173" s="93"/>
      <c r="DM173" s="93"/>
      <c r="DN173" s="93"/>
      <c r="DO173" s="93"/>
      <c r="DP173" s="93"/>
      <c r="DQ173" s="93"/>
      <c r="DR173" s="93"/>
      <c r="DS173" s="93"/>
      <c r="DT173" s="93"/>
      <c r="DU173" s="93"/>
      <c r="DV173" s="93"/>
      <c r="DW173" s="93"/>
      <c r="DX173" s="93"/>
      <c r="DY173" s="93"/>
      <c r="DZ173" s="93"/>
      <c r="EA173" s="93"/>
      <c r="EB173" s="93"/>
      <c r="EC173" s="93"/>
      <c r="ED173" s="93"/>
      <c r="EE173" s="93"/>
      <c r="EF173" s="93"/>
      <c r="EG173" s="93"/>
      <c r="EH173" s="93"/>
      <c r="EI173" s="93"/>
      <c r="EJ173" s="93"/>
      <c r="EK173" s="93"/>
      <c r="EL173" s="93"/>
      <c r="EM173" s="93"/>
      <c r="EN173" s="93"/>
      <c r="EO173" s="93"/>
      <c r="EP173" s="93"/>
      <c r="EQ173" s="93"/>
      <c r="ER173" s="93"/>
      <c r="ES173" s="93"/>
      <c r="ET173" s="93"/>
      <c r="EU173" s="93"/>
      <c r="EV173" s="93"/>
      <c r="EW173" s="93"/>
      <c r="EX173" s="93"/>
      <c r="EY173" s="93"/>
      <c r="EZ173" s="93"/>
      <c r="FA173" s="93"/>
      <c r="FB173" s="93"/>
      <c r="FC173" s="93"/>
      <c r="FD173" s="93"/>
      <c r="FE173" s="93"/>
      <c r="FF173" s="93"/>
      <c r="FG173" s="93"/>
      <c r="FH173" s="93"/>
      <c r="FI173" s="93"/>
      <c r="FJ173" s="93"/>
      <c r="FK173" s="93"/>
      <c r="FL173" s="93"/>
      <c r="FM173" s="93"/>
      <c r="FN173" s="93"/>
      <c r="FO173" s="93"/>
      <c r="FP173" s="93"/>
      <c r="FQ173" s="93"/>
      <c r="FR173" s="93"/>
      <c r="FS173" s="93"/>
      <c r="FT173" s="93"/>
      <c r="FU173" s="93"/>
      <c r="FV173" s="93"/>
      <c r="FW173" s="93"/>
      <c r="FX173" s="93"/>
      <c r="FY173" s="93"/>
      <c r="FZ173" s="93"/>
      <c r="GA173" s="93"/>
      <c r="GB173" s="93"/>
      <c r="GC173" s="93"/>
      <c r="GD173" s="93"/>
      <c r="GE173" s="93"/>
      <c r="GF173" s="93"/>
      <c r="GG173" s="93"/>
      <c r="GH173" s="93"/>
      <c r="GI173" s="93"/>
      <c r="GJ173" s="93"/>
      <c r="GK173" s="93"/>
      <c r="GL173" s="93"/>
      <c r="GM173" s="93"/>
      <c r="GN173" s="93"/>
      <c r="GO173" s="93"/>
      <c r="GP173" s="93"/>
      <c r="GQ173" s="93"/>
      <c r="GR173" s="93"/>
      <c r="GS173" s="93"/>
      <c r="GT173" s="93"/>
      <c r="GU173" s="93"/>
      <c r="GV173" s="93"/>
      <c r="GW173" s="93"/>
      <c r="GX173" s="93"/>
      <c r="GY173" s="93"/>
      <c r="GZ173" s="93"/>
      <c r="HA173" s="93"/>
      <c r="HB173" s="93"/>
      <c r="HC173" s="93"/>
      <c r="HD173" s="93"/>
      <c r="HE173" s="93"/>
      <c r="HF173" s="93"/>
      <c r="HG173" s="93"/>
    </row>
    <row r="174" spans="14:215" x14ac:dyDescent="0.2">
      <c r="N174" s="93" t="s">
        <v>391</v>
      </c>
      <c r="O174" s="93"/>
      <c r="P174" s="93"/>
      <c r="Q174" s="93"/>
      <c r="R174" s="93"/>
      <c r="S174" s="93"/>
      <c r="T174" s="93"/>
      <c r="U174" s="93"/>
      <c r="V174" s="93"/>
      <c r="W174" s="93"/>
      <c r="X174" s="93"/>
      <c r="Y174" s="93"/>
      <c r="Z174" s="93"/>
      <c r="AA174" s="93"/>
      <c r="AB174" s="93"/>
      <c r="AC174" s="93"/>
      <c r="AD174" s="93"/>
      <c r="AE174" s="93"/>
      <c r="AF174" s="93"/>
      <c r="AG174" s="93"/>
      <c r="AH174" s="93"/>
      <c r="AI174" s="93"/>
      <c r="AJ174" s="93"/>
      <c r="AK174" s="93"/>
      <c r="AL174" s="93"/>
      <c r="AM174" s="93"/>
      <c r="AN174" s="93"/>
      <c r="AO174" s="93"/>
      <c r="AP174" s="93"/>
      <c r="AQ174" s="93"/>
      <c r="AR174" s="93"/>
      <c r="AS174" s="93"/>
      <c r="AT174" s="93"/>
      <c r="AU174" s="93"/>
      <c r="AV174" s="93"/>
      <c r="AW174" s="93"/>
      <c r="AX174" s="93"/>
      <c r="AY174" s="93"/>
      <c r="AZ174" s="93"/>
      <c r="BA174" s="93"/>
      <c r="BB174" s="93"/>
      <c r="BC174" s="93"/>
      <c r="BD174" s="93"/>
      <c r="BE174" s="93"/>
      <c r="BF174" s="93"/>
      <c r="BG174" s="93"/>
      <c r="BH174" s="93"/>
      <c r="BI174" s="93"/>
      <c r="BJ174" s="93"/>
      <c r="BK174" s="93"/>
      <c r="BL174" s="93"/>
      <c r="BM174" s="93"/>
      <c r="BN174" s="93"/>
      <c r="BO174" s="93"/>
      <c r="BP174" s="93"/>
      <c r="BQ174" s="93"/>
      <c r="BR174" s="93"/>
      <c r="BS174" s="93"/>
      <c r="BT174" s="93"/>
      <c r="BU174" s="93"/>
      <c r="BV174" s="93"/>
      <c r="BW174" s="93"/>
      <c r="BX174" s="93"/>
      <c r="BY174" s="93"/>
      <c r="BZ174" s="93">
        <v>0.33156028368794327</v>
      </c>
      <c r="CA174" s="93"/>
      <c r="CB174" s="93"/>
      <c r="CC174" s="93"/>
      <c r="CD174" s="93"/>
      <c r="CE174" s="93"/>
      <c r="CF174" s="93"/>
      <c r="CG174" s="93"/>
      <c r="CH174" s="93"/>
      <c r="CI174" s="93"/>
      <c r="CJ174" s="93"/>
      <c r="CK174" s="93"/>
      <c r="CL174" s="93"/>
      <c r="CM174" s="93"/>
      <c r="CN174" s="93"/>
      <c r="CO174" s="93"/>
      <c r="CP174" s="93"/>
      <c r="CQ174" s="93"/>
      <c r="CR174" s="93"/>
      <c r="CS174" s="93"/>
      <c r="CT174" s="93"/>
      <c r="CU174" s="93"/>
      <c r="CV174" s="93"/>
      <c r="CW174" s="93"/>
      <c r="CX174" s="93"/>
      <c r="CY174" s="93"/>
      <c r="CZ174" s="93"/>
      <c r="DA174" s="93"/>
      <c r="DB174" s="93"/>
      <c r="DC174" s="93"/>
      <c r="DD174" s="93"/>
      <c r="DE174" s="93"/>
      <c r="DF174" s="93"/>
      <c r="DG174" s="93"/>
      <c r="DH174" s="93"/>
      <c r="DI174" s="93"/>
      <c r="DJ174" s="93"/>
      <c r="DK174" s="93"/>
      <c r="DL174" s="93"/>
      <c r="DM174" s="93"/>
      <c r="DN174" s="93"/>
      <c r="DO174" s="93"/>
      <c r="DP174" s="93"/>
      <c r="DQ174" s="93"/>
      <c r="DR174" s="93"/>
      <c r="DS174" s="93"/>
      <c r="DT174" s="93"/>
      <c r="DU174" s="93"/>
      <c r="DV174" s="93"/>
      <c r="DW174" s="93"/>
      <c r="DX174" s="93"/>
      <c r="DY174" s="93"/>
      <c r="DZ174" s="93"/>
      <c r="EA174" s="93"/>
      <c r="EB174" s="93"/>
      <c r="EC174" s="93"/>
      <c r="ED174" s="93"/>
      <c r="EE174" s="93"/>
      <c r="EF174" s="93"/>
      <c r="EG174" s="93"/>
      <c r="EH174" s="93"/>
      <c r="EI174" s="93"/>
      <c r="EJ174" s="93"/>
      <c r="EK174" s="93"/>
      <c r="EL174" s="93"/>
      <c r="EM174" s="93"/>
      <c r="EN174" s="93"/>
      <c r="EO174" s="93"/>
      <c r="EP174" s="93"/>
      <c r="EQ174" s="93"/>
      <c r="ER174" s="93"/>
      <c r="ES174" s="93"/>
      <c r="ET174" s="93"/>
      <c r="EU174" s="93"/>
      <c r="EV174" s="93"/>
      <c r="EW174" s="93"/>
      <c r="EX174" s="93"/>
      <c r="EY174" s="93"/>
      <c r="EZ174" s="93"/>
      <c r="FA174" s="93"/>
      <c r="FB174" s="93"/>
      <c r="FC174" s="93"/>
      <c r="FD174" s="93"/>
      <c r="FE174" s="93"/>
      <c r="FF174" s="93"/>
      <c r="FG174" s="93"/>
      <c r="FH174" s="93"/>
      <c r="FI174" s="93"/>
      <c r="FJ174" s="93"/>
      <c r="FK174" s="93"/>
      <c r="FL174" s="93"/>
      <c r="FM174" s="93"/>
      <c r="FN174" s="93"/>
      <c r="FO174" s="93"/>
      <c r="FP174" s="93"/>
      <c r="FQ174" s="93"/>
      <c r="FR174" s="93"/>
      <c r="FS174" s="93"/>
      <c r="FT174" s="93"/>
      <c r="FU174" s="93"/>
      <c r="FV174" s="93"/>
      <c r="FW174" s="93"/>
      <c r="FX174" s="93"/>
      <c r="FY174" s="93"/>
      <c r="FZ174" s="93"/>
      <c r="GA174" s="93"/>
      <c r="GB174" s="93"/>
      <c r="GC174" s="93"/>
      <c r="GD174" s="93"/>
      <c r="GE174" s="93"/>
      <c r="GF174" s="93"/>
      <c r="GG174" s="93"/>
      <c r="GH174" s="93"/>
      <c r="GI174" s="93"/>
      <c r="GJ174" s="93"/>
      <c r="GK174" s="93"/>
      <c r="GL174" s="93"/>
      <c r="GM174" s="93"/>
      <c r="GN174" s="93"/>
      <c r="GO174" s="93"/>
      <c r="GP174" s="93"/>
      <c r="GQ174" s="93"/>
      <c r="GR174" s="93"/>
      <c r="GS174" s="93"/>
      <c r="GT174" s="93"/>
      <c r="GU174" s="93"/>
      <c r="GV174" s="93"/>
      <c r="GW174" s="93"/>
      <c r="GX174" s="93"/>
      <c r="GY174" s="93"/>
      <c r="GZ174" s="93"/>
      <c r="HA174" s="93"/>
      <c r="HB174" s="93"/>
      <c r="HC174" s="93"/>
      <c r="HD174" s="93"/>
      <c r="HE174" s="93"/>
      <c r="HF174" s="93"/>
      <c r="HG174" s="93"/>
    </row>
    <row r="175" spans="14:215" x14ac:dyDescent="0.2">
      <c r="N175" s="93" t="s">
        <v>392</v>
      </c>
      <c r="O175" s="93"/>
      <c r="P175" s="93"/>
      <c r="Q175" s="93"/>
      <c r="R175" s="93"/>
      <c r="S175" s="93"/>
      <c r="T175" s="93"/>
      <c r="U175" s="93"/>
      <c r="V175" s="93"/>
      <c r="W175" s="93"/>
      <c r="X175" s="93"/>
      <c r="Y175" s="93"/>
      <c r="Z175" s="93"/>
      <c r="AA175" s="93"/>
      <c r="AB175" s="93"/>
      <c r="AC175" s="93"/>
      <c r="AD175" s="93"/>
      <c r="AE175" s="93"/>
      <c r="AF175" s="93"/>
      <c r="AG175" s="93"/>
      <c r="AH175" s="93"/>
      <c r="AI175" s="93"/>
      <c r="AJ175" s="93"/>
      <c r="AK175" s="93"/>
      <c r="AL175" s="93"/>
      <c r="AM175" s="93"/>
      <c r="AN175" s="93"/>
      <c r="AO175" s="93"/>
      <c r="AP175" s="93"/>
      <c r="AQ175" s="93"/>
      <c r="AR175" s="93"/>
      <c r="AS175" s="93"/>
      <c r="AT175" s="93"/>
      <c r="AU175" s="93"/>
      <c r="AV175" s="93"/>
      <c r="AW175" s="93"/>
      <c r="AX175" s="93"/>
      <c r="AY175" s="93"/>
      <c r="AZ175" s="93"/>
      <c r="BA175" s="93"/>
      <c r="BB175" s="93"/>
      <c r="BC175" s="93"/>
      <c r="BD175" s="93"/>
      <c r="BE175" s="93"/>
      <c r="BF175" s="93"/>
      <c r="BG175" s="93"/>
      <c r="BH175" s="93"/>
      <c r="BI175" s="93"/>
      <c r="BJ175" s="93"/>
      <c r="BK175" s="93"/>
      <c r="BL175" s="93"/>
      <c r="BM175" s="93"/>
      <c r="BN175" s="93"/>
      <c r="BO175" s="93"/>
      <c r="BP175" s="93"/>
      <c r="BQ175" s="93"/>
      <c r="BR175" s="93"/>
      <c r="BS175" s="93"/>
      <c r="BT175" s="93"/>
      <c r="BU175" s="93"/>
      <c r="BV175" s="93"/>
      <c r="BW175" s="93"/>
      <c r="BX175" s="93"/>
      <c r="BY175" s="93"/>
      <c r="BZ175" s="93"/>
      <c r="CA175" s="93">
        <v>0.33158813263525305</v>
      </c>
      <c r="CB175" s="93"/>
      <c r="CC175" s="93"/>
      <c r="CD175" s="93"/>
      <c r="CE175" s="93"/>
      <c r="CF175" s="93"/>
      <c r="CG175" s="93"/>
      <c r="CH175" s="93"/>
      <c r="CI175" s="93"/>
      <c r="CJ175" s="93"/>
      <c r="CK175" s="93"/>
      <c r="CL175" s="93"/>
      <c r="CM175" s="93"/>
      <c r="CN175" s="93"/>
      <c r="CO175" s="93"/>
      <c r="CP175" s="93"/>
      <c r="CQ175" s="93"/>
      <c r="CR175" s="93"/>
      <c r="CS175" s="93"/>
      <c r="CT175" s="93"/>
      <c r="CU175" s="93"/>
      <c r="CV175" s="93"/>
      <c r="CW175" s="93"/>
      <c r="CX175" s="93"/>
      <c r="CY175" s="93"/>
      <c r="CZ175" s="93"/>
      <c r="DA175" s="93"/>
      <c r="DB175" s="93"/>
      <c r="DC175" s="93"/>
      <c r="DD175" s="93"/>
      <c r="DE175" s="93"/>
      <c r="DF175" s="93"/>
      <c r="DG175" s="93"/>
      <c r="DH175" s="93"/>
      <c r="DI175" s="93"/>
      <c r="DJ175" s="93"/>
      <c r="DK175" s="93"/>
      <c r="DL175" s="93"/>
      <c r="DM175" s="93"/>
      <c r="DN175" s="93"/>
      <c r="DO175" s="93"/>
      <c r="DP175" s="93"/>
      <c r="DQ175" s="93"/>
      <c r="DR175" s="93"/>
      <c r="DS175" s="93"/>
      <c r="DT175" s="93"/>
      <c r="DU175" s="93"/>
      <c r="DV175" s="93"/>
      <c r="DW175" s="93"/>
      <c r="DX175" s="93"/>
      <c r="DY175" s="93"/>
      <c r="DZ175" s="93"/>
      <c r="EA175" s="93"/>
      <c r="EB175" s="93"/>
      <c r="EC175" s="93"/>
      <c r="ED175" s="93"/>
      <c r="EE175" s="93"/>
      <c r="EF175" s="93"/>
      <c r="EG175" s="93"/>
      <c r="EH175" s="93"/>
      <c r="EI175" s="93"/>
      <c r="EJ175" s="93"/>
      <c r="EK175" s="93"/>
      <c r="EL175" s="93"/>
      <c r="EM175" s="93"/>
      <c r="EN175" s="93"/>
      <c r="EO175" s="93"/>
      <c r="EP175" s="93"/>
      <c r="EQ175" s="93"/>
      <c r="ER175" s="93"/>
      <c r="ES175" s="93"/>
      <c r="ET175" s="93"/>
      <c r="EU175" s="93"/>
      <c r="EV175" s="93"/>
      <c r="EW175" s="93"/>
      <c r="EX175" s="93"/>
      <c r="EY175" s="93"/>
      <c r="EZ175" s="93"/>
      <c r="FA175" s="93"/>
      <c r="FB175" s="93"/>
      <c r="FC175" s="93"/>
      <c r="FD175" s="93"/>
      <c r="FE175" s="93"/>
      <c r="FF175" s="93"/>
      <c r="FG175" s="93"/>
      <c r="FH175" s="93"/>
      <c r="FI175" s="93"/>
      <c r="FJ175" s="93"/>
      <c r="FK175" s="93"/>
      <c r="FL175" s="93"/>
      <c r="FM175" s="93"/>
      <c r="FN175" s="93"/>
      <c r="FO175" s="93"/>
      <c r="FP175" s="93"/>
      <c r="FQ175" s="93"/>
      <c r="FR175" s="93"/>
      <c r="FS175" s="93"/>
      <c r="FT175" s="93"/>
      <c r="FU175" s="93"/>
      <c r="FV175" s="93"/>
      <c r="FW175" s="93"/>
      <c r="FX175" s="93"/>
      <c r="FY175" s="93"/>
      <c r="FZ175" s="93"/>
      <c r="GA175" s="93"/>
      <c r="GB175" s="93"/>
      <c r="GC175" s="93"/>
      <c r="GD175" s="93"/>
      <c r="GE175" s="93"/>
      <c r="GF175" s="93"/>
      <c r="GG175" s="93"/>
      <c r="GH175" s="93"/>
      <c r="GI175" s="93"/>
      <c r="GJ175" s="93"/>
      <c r="GK175" s="93"/>
      <c r="GL175" s="93"/>
      <c r="GM175" s="93"/>
      <c r="GN175" s="93"/>
      <c r="GO175" s="93"/>
      <c r="GP175" s="93"/>
      <c r="GQ175" s="93"/>
      <c r="GR175" s="93"/>
      <c r="GS175" s="93"/>
      <c r="GT175" s="93"/>
      <c r="GU175" s="93"/>
      <c r="GV175" s="93"/>
      <c r="GW175" s="93"/>
      <c r="GX175" s="93"/>
      <c r="GY175" s="93"/>
      <c r="GZ175" s="93"/>
      <c r="HA175" s="93"/>
      <c r="HB175" s="93"/>
      <c r="HC175" s="93"/>
      <c r="HD175" s="93"/>
      <c r="HE175" s="93"/>
      <c r="HF175" s="93"/>
      <c r="HG175" s="93"/>
    </row>
    <row r="176" spans="14:215" x14ac:dyDescent="0.2">
      <c r="N176" s="93" t="s">
        <v>393</v>
      </c>
      <c r="O176" s="93"/>
      <c r="P176" s="93"/>
      <c r="Q176" s="93"/>
      <c r="R176" s="93"/>
      <c r="S176" s="93"/>
      <c r="T176" s="93"/>
      <c r="U176" s="93"/>
      <c r="V176" s="93"/>
      <c r="W176" s="93"/>
      <c r="X176" s="93"/>
      <c r="Y176" s="93"/>
      <c r="Z176" s="93"/>
      <c r="AA176" s="93"/>
      <c r="AB176" s="93"/>
      <c r="AC176" s="93"/>
      <c r="AD176" s="93"/>
      <c r="AE176" s="93"/>
      <c r="AF176" s="93"/>
      <c r="AG176" s="93"/>
      <c r="AH176" s="93"/>
      <c r="AI176" s="93"/>
      <c r="AJ176" s="93"/>
      <c r="AK176" s="93"/>
      <c r="AL176" s="93"/>
      <c r="AM176" s="93"/>
      <c r="AN176" s="93"/>
      <c r="AO176" s="93"/>
      <c r="AP176" s="93"/>
      <c r="AQ176" s="93"/>
      <c r="AR176" s="93"/>
      <c r="AS176" s="93"/>
      <c r="AT176" s="93"/>
      <c r="AU176" s="93"/>
      <c r="AV176" s="93"/>
      <c r="AW176" s="93"/>
      <c r="AX176" s="93"/>
      <c r="AY176" s="93"/>
      <c r="AZ176" s="93"/>
      <c r="BA176" s="93"/>
      <c r="BB176" s="93"/>
      <c r="BC176" s="93"/>
      <c r="BD176" s="93"/>
      <c r="BE176" s="93"/>
      <c r="BF176" s="93"/>
      <c r="BG176" s="93"/>
      <c r="BH176" s="93"/>
      <c r="BI176" s="93"/>
      <c r="BJ176" s="93"/>
      <c r="BK176" s="93"/>
      <c r="BL176" s="93"/>
      <c r="BM176" s="93"/>
      <c r="BN176" s="93"/>
      <c r="BO176" s="93"/>
      <c r="BP176" s="93"/>
      <c r="BQ176" s="93"/>
      <c r="BR176" s="93"/>
      <c r="BS176" s="93"/>
      <c r="BT176" s="93"/>
      <c r="BU176" s="93"/>
      <c r="BV176" s="93"/>
      <c r="BW176" s="93"/>
      <c r="BX176" s="93"/>
      <c r="BY176" s="93"/>
      <c r="BZ176" s="93"/>
      <c r="CA176" s="93"/>
      <c r="CB176" s="93">
        <v>0.33161512027491408</v>
      </c>
      <c r="CC176" s="93"/>
      <c r="CD176" s="93"/>
      <c r="CE176" s="93"/>
      <c r="CF176" s="93"/>
      <c r="CG176" s="93"/>
      <c r="CH176" s="93"/>
      <c r="CI176" s="93"/>
      <c r="CJ176" s="93"/>
      <c r="CK176" s="93"/>
      <c r="CL176" s="93"/>
      <c r="CM176" s="93"/>
      <c r="CN176" s="93"/>
      <c r="CO176" s="93"/>
      <c r="CP176" s="93"/>
      <c r="CQ176" s="93"/>
      <c r="CR176" s="93"/>
      <c r="CS176" s="93"/>
      <c r="CT176" s="93"/>
      <c r="CU176" s="93"/>
      <c r="CV176" s="93"/>
      <c r="CW176" s="93"/>
      <c r="CX176" s="93"/>
      <c r="CY176" s="93"/>
      <c r="CZ176" s="93"/>
      <c r="DA176" s="93"/>
      <c r="DB176" s="93"/>
      <c r="DC176" s="93"/>
      <c r="DD176" s="93"/>
      <c r="DE176" s="93"/>
      <c r="DF176" s="93"/>
      <c r="DG176" s="93"/>
      <c r="DH176" s="93"/>
      <c r="DI176" s="93"/>
      <c r="DJ176" s="93"/>
      <c r="DK176" s="93"/>
      <c r="DL176" s="93"/>
      <c r="DM176" s="93"/>
      <c r="DN176" s="93"/>
      <c r="DO176" s="93"/>
      <c r="DP176" s="93"/>
      <c r="DQ176" s="93"/>
      <c r="DR176" s="93"/>
      <c r="DS176" s="93"/>
      <c r="DT176" s="93"/>
      <c r="DU176" s="93"/>
      <c r="DV176" s="93"/>
      <c r="DW176" s="93"/>
      <c r="DX176" s="93"/>
      <c r="DY176" s="93"/>
      <c r="DZ176" s="93"/>
      <c r="EA176" s="93"/>
      <c r="EB176" s="93"/>
      <c r="EC176" s="93"/>
      <c r="ED176" s="93"/>
      <c r="EE176" s="93"/>
      <c r="EF176" s="93"/>
      <c r="EG176" s="93"/>
      <c r="EH176" s="93"/>
      <c r="EI176" s="93"/>
      <c r="EJ176" s="93"/>
      <c r="EK176" s="93"/>
      <c r="EL176" s="93"/>
      <c r="EM176" s="93"/>
      <c r="EN176" s="93"/>
      <c r="EO176" s="93"/>
      <c r="EP176" s="93"/>
      <c r="EQ176" s="93"/>
      <c r="ER176" s="93"/>
      <c r="ES176" s="93"/>
      <c r="ET176" s="93"/>
      <c r="EU176" s="93"/>
      <c r="EV176" s="93"/>
      <c r="EW176" s="93"/>
      <c r="EX176" s="93"/>
      <c r="EY176" s="93"/>
      <c r="EZ176" s="93"/>
      <c r="FA176" s="93"/>
      <c r="FB176" s="93"/>
      <c r="FC176" s="93"/>
      <c r="FD176" s="93"/>
      <c r="FE176" s="93"/>
      <c r="FF176" s="93"/>
      <c r="FG176" s="93"/>
      <c r="FH176" s="93"/>
      <c r="FI176" s="93"/>
      <c r="FJ176" s="93"/>
      <c r="FK176" s="93"/>
      <c r="FL176" s="93"/>
      <c r="FM176" s="93"/>
      <c r="FN176" s="93"/>
      <c r="FO176" s="93"/>
      <c r="FP176" s="93"/>
      <c r="FQ176" s="93"/>
      <c r="FR176" s="93"/>
      <c r="FS176" s="93"/>
      <c r="FT176" s="93"/>
      <c r="FU176" s="93"/>
      <c r="FV176" s="93"/>
      <c r="FW176" s="93"/>
      <c r="FX176" s="93"/>
      <c r="FY176" s="93"/>
      <c r="FZ176" s="93"/>
      <c r="GA176" s="93"/>
      <c r="GB176" s="93"/>
      <c r="GC176" s="93"/>
      <c r="GD176" s="93"/>
      <c r="GE176" s="93"/>
      <c r="GF176" s="93"/>
      <c r="GG176" s="93"/>
      <c r="GH176" s="93"/>
      <c r="GI176" s="93"/>
      <c r="GJ176" s="93"/>
      <c r="GK176" s="93"/>
      <c r="GL176" s="93"/>
      <c r="GM176" s="93"/>
      <c r="GN176" s="93"/>
      <c r="GO176" s="93"/>
      <c r="GP176" s="93"/>
      <c r="GQ176" s="93"/>
      <c r="GR176" s="93"/>
      <c r="GS176" s="93"/>
      <c r="GT176" s="93"/>
      <c r="GU176" s="93"/>
      <c r="GV176" s="93"/>
      <c r="GW176" s="93"/>
      <c r="GX176" s="93"/>
      <c r="GY176" s="93"/>
      <c r="GZ176" s="93"/>
      <c r="HA176" s="93"/>
      <c r="HB176" s="93"/>
      <c r="HC176" s="93"/>
      <c r="HD176" s="93"/>
      <c r="HE176" s="93"/>
      <c r="HF176" s="93"/>
      <c r="HG176" s="93"/>
    </row>
    <row r="177" spans="14:215" x14ac:dyDescent="0.2">
      <c r="N177" s="93" t="s">
        <v>394</v>
      </c>
      <c r="O177" s="93"/>
      <c r="P177" s="93"/>
      <c r="Q177" s="93"/>
      <c r="R177" s="93"/>
      <c r="S177" s="93"/>
      <c r="T177" s="93"/>
      <c r="U177" s="93"/>
      <c r="V177" s="93"/>
      <c r="W177" s="93"/>
      <c r="X177" s="93"/>
      <c r="Y177" s="93"/>
      <c r="Z177" s="93"/>
      <c r="AA177" s="93"/>
      <c r="AB177" s="93"/>
      <c r="AC177" s="93"/>
      <c r="AD177" s="93"/>
      <c r="AE177" s="93"/>
      <c r="AF177" s="93"/>
      <c r="AG177" s="93"/>
      <c r="AH177" s="93"/>
      <c r="AI177" s="93"/>
      <c r="AJ177" s="93"/>
      <c r="AK177" s="93"/>
      <c r="AL177" s="93"/>
      <c r="AM177" s="93"/>
      <c r="AN177" s="93"/>
      <c r="AO177" s="93"/>
      <c r="AP177" s="93"/>
      <c r="AQ177" s="93"/>
      <c r="AR177" s="93"/>
      <c r="AS177" s="93"/>
      <c r="AT177" s="93"/>
      <c r="AU177" s="93"/>
      <c r="AV177" s="93"/>
      <c r="AW177" s="93"/>
      <c r="AX177" s="93"/>
      <c r="AY177" s="93"/>
      <c r="AZ177" s="93"/>
      <c r="BA177" s="93"/>
      <c r="BB177" s="93"/>
      <c r="BC177" s="93"/>
      <c r="BD177" s="93"/>
      <c r="BE177" s="93"/>
      <c r="BF177" s="93"/>
      <c r="BG177" s="93"/>
      <c r="BH177" s="93"/>
      <c r="BI177" s="93"/>
      <c r="BJ177" s="93"/>
      <c r="BK177" s="93"/>
      <c r="BL177" s="93"/>
      <c r="BM177" s="93"/>
      <c r="BN177" s="93"/>
      <c r="BO177" s="93"/>
      <c r="BP177" s="93"/>
      <c r="BQ177" s="93"/>
      <c r="BR177" s="93"/>
      <c r="BS177" s="93"/>
      <c r="BT177" s="93"/>
      <c r="BU177" s="93"/>
      <c r="BV177" s="93"/>
      <c r="BW177" s="93"/>
      <c r="BX177" s="93"/>
      <c r="BY177" s="93"/>
      <c r="BZ177" s="93"/>
      <c r="CA177" s="93"/>
      <c r="CB177" s="93"/>
      <c r="CC177" s="93">
        <v>0.33164128595600678</v>
      </c>
      <c r="CD177" s="93"/>
      <c r="CE177" s="93"/>
      <c r="CF177" s="93"/>
      <c r="CG177" s="93"/>
      <c r="CH177" s="93"/>
      <c r="CI177" s="93"/>
      <c r="CJ177" s="93"/>
      <c r="CK177" s="93"/>
      <c r="CL177" s="93"/>
      <c r="CM177" s="93"/>
      <c r="CN177" s="93"/>
      <c r="CO177" s="93"/>
      <c r="CP177" s="93"/>
      <c r="CQ177" s="93"/>
      <c r="CR177" s="93"/>
      <c r="CS177" s="93"/>
      <c r="CT177" s="93"/>
      <c r="CU177" s="93"/>
      <c r="CV177" s="93"/>
      <c r="CW177" s="93"/>
      <c r="CX177" s="93"/>
      <c r="CY177" s="93"/>
      <c r="CZ177" s="93"/>
      <c r="DA177" s="93"/>
      <c r="DB177" s="93"/>
      <c r="DC177" s="93"/>
      <c r="DD177" s="93"/>
      <c r="DE177" s="93"/>
      <c r="DF177" s="93"/>
      <c r="DG177" s="93"/>
      <c r="DH177" s="93"/>
      <c r="DI177" s="93"/>
      <c r="DJ177" s="93"/>
      <c r="DK177" s="93"/>
      <c r="DL177" s="93"/>
      <c r="DM177" s="93"/>
      <c r="DN177" s="93"/>
      <c r="DO177" s="93"/>
      <c r="DP177" s="93"/>
      <c r="DQ177" s="93"/>
      <c r="DR177" s="93"/>
      <c r="DS177" s="93"/>
      <c r="DT177" s="93"/>
      <c r="DU177" s="93"/>
      <c r="DV177" s="93"/>
      <c r="DW177" s="93"/>
      <c r="DX177" s="93"/>
      <c r="DY177" s="93"/>
      <c r="DZ177" s="93"/>
      <c r="EA177" s="93"/>
      <c r="EB177" s="93"/>
      <c r="EC177" s="93"/>
      <c r="ED177" s="93"/>
      <c r="EE177" s="93"/>
      <c r="EF177" s="93"/>
      <c r="EG177" s="93"/>
      <c r="EH177" s="93"/>
      <c r="EI177" s="93"/>
      <c r="EJ177" s="93"/>
      <c r="EK177" s="93"/>
      <c r="EL177" s="93"/>
      <c r="EM177" s="93"/>
      <c r="EN177" s="93"/>
      <c r="EO177" s="93"/>
      <c r="EP177" s="93"/>
      <c r="EQ177" s="93"/>
      <c r="ER177" s="93"/>
      <c r="ES177" s="93"/>
      <c r="ET177" s="93"/>
      <c r="EU177" s="93"/>
      <c r="EV177" s="93"/>
      <c r="EW177" s="93"/>
      <c r="EX177" s="93"/>
      <c r="EY177" s="93"/>
      <c r="EZ177" s="93"/>
      <c r="FA177" s="93"/>
      <c r="FB177" s="93"/>
      <c r="FC177" s="93"/>
      <c r="FD177" s="93"/>
      <c r="FE177" s="93"/>
      <c r="FF177" s="93"/>
      <c r="FG177" s="93"/>
      <c r="FH177" s="93"/>
      <c r="FI177" s="93"/>
      <c r="FJ177" s="93"/>
      <c r="FK177" s="93"/>
      <c r="FL177" s="93"/>
      <c r="FM177" s="93"/>
      <c r="FN177" s="93"/>
      <c r="FO177" s="93"/>
      <c r="FP177" s="93"/>
      <c r="FQ177" s="93"/>
      <c r="FR177" s="93"/>
      <c r="FS177" s="93"/>
      <c r="FT177" s="93"/>
      <c r="FU177" s="93"/>
      <c r="FV177" s="93"/>
      <c r="FW177" s="93"/>
      <c r="FX177" s="93"/>
      <c r="FY177" s="93"/>
      <c r="FZ177" s="93"/>
      <c r="GA177" s="93"/>
      <c r="GB177" s="93"/>
      <c r="GC177" s="93"/>
      <c r="GD177" s="93"/>
      <c r="GE177" s="93"/>
      <c r="GF177" s="93"/>
      <c r="GG177" s="93"/>
      <c r="GH177" s="93"/>
      <c r="GI177" s="93"/>
      <c r="GJ177" s="93"/>
      <c r="GK177" s="93"/>
      <c r="GL177" s="93"/>
      <c r="GM177" s="93"/>
      <c r="GN177" s="93"/>
      <c r="GO177" s="93"/>
      <c r="GP177" s="93"/>
      <c r="GQ177" s="93"/>
      <c r="GR177" s="93"/>
      <c r="GS177" s="93"/>
      <c r="GT177" s="93"/>
      <c r="GU177" s="93"/>
      <c r="GV177" s="93"/>
      <c r="GW177" s="93"/>
      <c r="GX177" s="93"/>
      <c r="GY177" s="93"/>
      <c r="GZ177" s="93"/>
      <c r="HA177" s="93"/>
      <c r="HB177" s="93"/>
      <c r="HC177" s="93"/>
      <c r="HD177" s="93"/>
      <c r="HE177" s="93"/>
      <c r="HF177" s="93"/>
      <c r="HG177" s="93"/>
    </row>
    <row r="178" spans="14:215" x14ac:dyDescent="0.2">
      <c r="N178" s="93" t="s">
        <v>395</v>
      </c>
      <c r="O178" s="93"/>
      <c r="P178" s="93"/>
      <c r="Q178" s="93"/>
      <c r="R178" s="93"/>
      <c r="S178" s="93"/>
      <c r="T178" s="93"/>
      <c r="U178" s="93"/>
      <c r="V178" s="93"/>
      <c r="W178" s="93"/>
      <c r="X178" s="93"/>
      <c r="Y178" s="93"/>
      <c r="Z178" s="93"/>
      <c r="AA178" s="93"/>
      <c r="AB178" s="93"/>
      <c r="AC178" s="93"/>
      <c r="AD178" s="93"/>
      <c r="AE178" s="93"/>
      <c r="AF178" s="93"/>
      <c r="AG178" s="93"/>
      <c r="AH178" s="93"/>
      <c r="AI178" s="93"/>
      <c r="AJ178" s="93"/>
      <c r="AK178" s="93"/>
      <c r="AL178" s="93"/>
      <c r="AM178" s="93"/>
      <c r="AN178" s="93"/>
      <c r="AO178" s="93"/>
      <c r="AP178" s="93"/>
      <c r="AQ178" s="93"/>
      <c r="AR178" s="93"/>
      <c r="AS178" s="93"/>
      <c r="AT178" s="93"/>
      <c r="AU178" s="93"/>
      <c r="AV178" s="93"/>
      <c r="AW178" s="93"/>
      <c r="AX178" s="93"/>
      <c r="AY178" s="93"/>
      <c r="AZ178" s="93"/>
      <c r="BA178" s="93"/>
      <c r="BB178" s="93"/>
      <c r="BC178" s="93"/>
      <c r="BD178" s="93"/>
      <c r="BE178" s="93"/>
      <c r="BF178" s="93"/>
      <c r="BG178" s="93"/>
      <c r="BH178" s="93"/>
      <c r="BI178" s="93"/>
      <c r="BJ178" s="93"/>
      <c r="BK178" s="93"/>
      <c r="BL178" s="93"/>
      <c r="BM178" s="93"/>
      <c r="BN178" s="93"/>
      <c r="BO178" s="93"/>
      <c r="BP178" s="93"/>
      <c r="BQ178" s="93"/>
      <c r="BR178" s="93"/>
      <c r="BS178" s="93"/>
      <c r="BT178" s="93"/>
      <c r="BU178" s="93"/>
      <c r="BV178" s="93"/>
      <c r="BW178" s="93"/>
      <c r="BX178" s="93"/>
      <c r="BY178" s="93"/>
      <c r="BZ178" s="93"/>
      <c r="CA178" s="93"/>
      <c r="CB178" s="93"/>
      <c r="CC178" s="93"/>
      <c r="CD178" s="93">
        <v>0.33166666666666667</v>
      </c>
      <c r="CE178" s="93"/>
      <c r="CF178" s="93"/>
      <c r="CG178" s="93"/>
      <c r="CH178" s="93"/>
      <c r="CI178" s="93"/>
      <c r="CJ178" s="93"/>
      <c r="CK178" s="93"/>
      <c r="CL178" s="93"/>
      <c r="CM178" s="93"/>
      <c r="CN178" s="93"/>
      <c r="CO178" s="93"/>
      <c r="CP178" s="93"/>
      <c r="CQ178" s="93"/>
      <c r="CR178" s="93"/>
      <c r="CS178" s="93"/>
      <c r="CT178" s="93"/>
      <c r="CU178" s="93"/>
      <c r="CV178" s="93"/>
      <c r="CW178" s="93"/>
      <c r="CX178" s="93"/>
      <c r="CY178" s="93"/>
      <c r="CZ178" s="93"/>
      <c r="DA178" s="93"/>
      <c r="DB178" s="93"/>
      <c r="DC178" s="93"/>
      <c r="DD178" s="93"/>
      <c r="DE178" s="93"/>
      <c r="DF178" s="93"/>
      <c r="DG178" s="93"/>
      <c r="DH178" s="93"/>
      <c r="DI178" s="93"/>
      <c r="DJ178" s="93"/>
      <c r="DK178" s="93"/>
      <c r="DL178" s="93"/>
      <c r="DM178" s="93"/>
      <c r="DN178" s="93"/>
      <c r="DO178" s="93"/>
      <c r="DP178" s="93"/>
      <c r="DQ178" s="93"/>
      <c r="DR178" s="93"/>
      <c r="DS178" s="93"/>
      <c r="DT178" s="93"/>
      <c r="DU178" s="93"/>
      <c r="DV178" s="93"/>
      <c r="DW178" s="93"/>
      <c r="DX178" s="93"/>
      <c r="DY178" s="93"/>
      <c r="DZ178" s="93"/>
      <c r="EA178" s="93"/>
      <c r="EB178" s="93"/>
      <c r="EC178" s="93"/>
      <c r="ED178" s="93"/>
      <c r="EE178" s="93"/>
      <c r="EF178" s="93"/>
      <c r="EG178" s="93"/>
      <c r="EH178" s="93"/>
      <c r="EI178" s="93"/>
      <c r="EJ178" s="93"/>
      <c r="EK178" s="93"/>
      <c r="EL178" s="93"/>
      <c r="EM178" s="93"/>
      <c r="EN178" s="93"/>
      <c r="EO178" s="93"/>
      <c r="EP178" s="93"/>
      <c r="EQ178" s="93"/>
      <c r="ER178" s="93"/>
      <c r="ES178" s="93"/>
      <c r="ET178" s="93"/>
      <c r="EU178" s="93"/>
      <c r="EV178" s="93"/>
      <c r="EW178" s="93"/>
      <c r="EX178" s="93"/>
      <c r="EY178" s="93"/>
      <c r="EZ178" s="93"/>
      <c r="FA178" s="93"/>
      <c r="FB178" s="93"/>
      <c r="FC178" s="93"/>
      <c r="FD178" s="93"/>
      <c r="FE178" s="93"/>
      <c r="FF178" s="93"/>
      <c r="FG178" s="93"/>
      <c r="FH178" s="93"/>
      <c r="FI178" s="93"/>
      <c r="FJ178" s="93"/>
      <c r="FK178" s="93"/>
      <c r="FL178" s="93"/>
      <c r="FM178" s="93"/>
      <c r="FN178" s="93"/>
      <c r="FO178" s="93"/>
      <c r="FP178" s="93"/>
      <c r="FQ178" s="93"/>
      <c r="FR178" s="93"/>
      <c r="FS178" s="93"/>
      <c r="FT178" s="93"/>
      <c r="FU178" s="93"/>
      <c r="FV178" s="93"/>
      <c r="FW178" s="93"/>
      <c r="FX178" s="93"/>
      <c r="FY178" s="93"/>
      <c r="FZ178" s="93"/>
      <c r="GA178" s="93"/>
      <c r="GB178" s="93"/>
      <c r="GC178" s="93"/>
      <c r="GD178" s="93"/>
      <c r="GE178" s="93"/>
      <c r="GF178" s="93"/>
      <c r="GG178" s="93"/>
      <c r="GH178" s="93"/>
      <c r="GI178" s="93"/>
      <c r="GJ178" s="93"/>
      <c r="GK178" s="93"/>
      <c r="GL178" s="93"/>
      <c r="GM178" s="93"/>
      <c r="GN178" s="93"/>
      <c r="GO178" s="93"/>
      <c r="GP178" s="93"/>
      <c r="GQ178" s="93"/>
      <c r="GR178" s="93"/>
      <c r="GS178" s="93"/>
      <c r="GT178" s="93"/>
      <c r="GU178" s="93"/>
      <c r="GV178" s="93"/>
      <c r="GW178" s="93"/>
      <c r="GX178" s="93"/>
      <c r="GY178" s="93"/>
      <c r="GZ178" s="93"/>
      <c r="HA178" s="93"/>
      <c r="HB178" s="93"/>
      <c r="HC178" s="93"/>
      <c r="HD178" s="93"/>
      <c r="HE178" s="93"/>
      <c r="HF178" s="93"/>
      <c r="HG178" s="93"/>
    </row>
    <row r="179" spans="14:215" x14ac:dyDescent="0.2">
      <c r="N179" s="93" t="s">
        <v>396</v>
      </c>
      <c r="O179" s="93"/>
      <c r="P179" s="93"/>
      <c r="Q179" s="93"/>
      <c r="R179" s="93"/>
      <c r="S179" s="93"/>
      <c r="T179" s="93"/>
      <c r="U179" s="93"/>
      <c r="V179" s="93"/>
      <c r="W179" s="93"/>
      <c r="X179" s="93"/>
      <c r="Y179" s="93"/>
      <c r="Z179" s="93"/>
      <c r="AA179" s="93"/>
      <c r="AB179" s="93"/>
      <c r="AC179" s="93"/>
      <c r="AD179" s="93"/>
      <c r="AE179" s="93"/>
      <c r="AF179" s="93"/>
      <c r="AG179" s="93"/>
      <c r="AH179" s="93"/>
      <c r="AI179" s="93"/>
      <c r="AJ179" s="93"/>
      <c r="AK179" s="93"/>
      <c r="AL179" s="93"/>
      <c r="AM179" s="93"/>
      <c r="AN179" s="93"/>
      <c r="AO179" s="93"/>
      <c r="AP179" s="93"/>
      <c r="AQ179" s="93"/>
      <c r="AR179" s="93"/>
      <c r="AS179" s="93"/>
      <c r="AT179" s="93"/>
      <c r="AU179" s="93"/>
      <c r="AV179" s="93"/>
      <c r="AW179" s="93"/>
      <c r="AX179" s="93"/>
      <c r="AY179" s="93"/>
      <c r="AZ179" s="93"/>
      <c r="BA179" s="93"/>
      <c r="BB179" s="93"/>
      <c r="BC179" s="93"/>
      <c r="BD179" s="93"/>
      <c r="BE179" s="93"/>
      <c r="BF179" s="93"/>
      <c r="BG179" s="93"/>
      <c r="BH179" s="93"/>
      <c r="BI179" s="93"/>
      <c r="BJ179" s="93"/>
      <c r="BK179" s="93"/>
      <c r="BL179" s="93"/>
      <c r="BM179" s="93"/>
      <c r="BN179" s="93"/>
      <c r="BO179" s="93"/>
      <c r="BP179" s="93"/>
      <c r="BQ179" s="93"/>
      <c r="BR179" s="93"/>
      <c r="BS179" s="93"/>
      <c r="BT179" s="93"/>
      <c r="BU179" s="93"/>
      <c r="BV179" s="93"/>
      <c r="BW179" s="93"/>
      <c r="BX179" s="93"/>
      <c r="BY179" s="93"/>
      <c r="BZ179" s="93"/>
      <c r="CA179" s="93"/>
      <c r="CB179" s="93"/>
      <c r="CC179" s="93"/>
      <c r="CD179" s="93"/>
      <c r="CE179" s="93">
        <v>0.33169129720853857</v>
      </c>
      <c r="CF179" s="93"/>
      <c r="CG179" s="93"/>
      <c r="CH179" s="93"/>
      <c r="CI179" s="93"/>
      <c r="CJ179" s="93"/>
      <c r="CK179" s="93"/>
      <c r="CL179" s="93"/>
      <c r="CM179" s="93"/>
      <c r="CN179" s="93"/>
      <c r="CO179" s="93"/>
      <c r="CP179" s="93"/>
      <c r="CQ179" s="93"/>
      <c r="CR179" s="93"/>
      <c r="CS179" s="93"/>
      <c r="CT179" s="93"/>
      <c r="CU179" s="93"/>
      <c r="CV179" s="93"/>
      <c r="CW179" s="93"/>
      <c r="CX179" s="93"/>
      <c r="CY179" s="93"/>
      <c r="CZ179" s="93"/>
      <c r="DA179" s="93"/>
      <c r="DB179" s="93"/>
      <c r="DC179" s="93"/>
      <c r="DD179" s="93"/>
      <c r="DE179" s="93"/>
      <c r="DF179" s="93"/>
      <c r="DG179" s="93"/>
      <c r="DH179" s="93"/>
      <c r="DI179" s="93"/>
      <c r="DJ179" s="93"/>
      <c r="DK179" s="93"/>
      <c r="DL179" s="93"/>
      <c r="DM179" s="93"/>
      <c r="DN179" s="93"/>
      <c r="DO179" s="93"/>
      <c r="DP179" s="93"/>
      <c r="DQ179" s="93"/>
      <c r="DR179" s="93"/>
      <c r="DS179" s="93"/>
      <c r="DT179" s="93"/>
      <c r="DU179" s="93"/>
      <c r="DV179" s="93"/>
      <c r="DW179" s="93"/>
      <c r="DX179" s="93"/>
      <c r="DY179" s="93"/>
      <c r="DZ179" s="93"/>
      <c r="EA179" s="93"/>
      <c r="EB179" s="93"/>
      <c r="EC179" s="93"/>
      <c r="ED179" s="93"/>
      <c r="EE179" s="93"/>
      <c r="EF179" s="93"/>
      <c r="EG179" s="93"/>
      <c r="EH179" s="93"/>
      <c r="EI179" s="93"/>
      <c r="EJ179" s="93"/>
      <c r="EK179" s="93"/>
      <c r="EL179" s="93"/>
      <c r="EM179" s="93"/>
      <c r="EN179" s="93"/>
      <c r="EO179" s="93"/>
      <c r="EP179" s="93"/>
      <c r="EQ179" s="93"/>
      <c r="ER179" s="93"/>
      <c r="ES179" s="93"/>
      <c r="ET179" s="93"/>
      <c r="EU179" s="93"/>
      <c r="EV179" s="93"/>
      <c r="EW179" s="93"/>
      <c r="EX179" s="93"/>
      <c r="EY179" s="93"/>
      <c r="EZ179" s="93"/>
      <c r="FA179" s="93"/>
      <c r="FB179" s="93"/>
      <c r="FC179" s="93"/>
      <c r="FD179" s="93"/>
      <c r="FE179" s="93"/>
      <c r="FF179" s="93"/>
      <c r="FG179" s="93"/>
      <c r="FH179" s="93"/>
      <c r="FI179" s="93"/>
      <c r="FJ179" s="93"/>
      <c r="FK179" s="93"/>
      <c r="FL179" s="93"/>
      <c r="FM179" s="93"/>
      <c r="FN179" s="93"/>
      <c r="FO179" s="93"/>
      <c r="FP179" s="93"/>
      <c r="FQ179" s="93"/>
      <c r="FR179" s="93"/>
      <c r="FS179" s="93"/>
      <c r="FT179" s="93"/>
      <c r="FU179" s="93"/>
      <c r="FV179" s="93"/>
      <c r="FW179" s="93"/>
      <c r="FX179" s="93"/>
      <c r="FY179" s="93"/>
      <c r="FZ179" s="93"/>
      <c r="GA179" s="93"/>
      <c r="GB179" s="93"/>
      <c r="GC179" s="93"/>
      <c r="GD179" s="93"/>
      <c r="GE179" s="93"/>
      <c r="GF179" s="93"/>
      <c r="GG179" s="93"/>
      <c r="GH179" s="93"/>
      <c r="GI179" s="93"/>
      <c r="GJ179" s="93"/>
      <c r="GK179" s="93"/>
      <c r="GL179" s="93"/>
      <c r="GM179" s="93"/>
      <c r="GN179" s="93"/>
      <c r="GO179" s="93"/>
      <c r="GP179" s="93"/>
      <c r="GQ179" s="93"/>
      <c r="GR179" s="93"/>
      <c r="GS179" s="93"/>
      <c r="GT179" s="93"/>
      <c r="GU179" s="93"/>
      <c r="GV179" s="93"/>
      <c r="GW179" s="93"/>
      <c r="GX179" s="93"/>
      <c r="GY179" s="93"/>
      <c r="GZ179" s="93"/>
      <c r="HA179" s="93"/>
      <c r="HB179" s="93"/>
      <c r="HC179" s="93"/>
      <c r="HD179" s="93"/>
      <c r="HE179" s="93"/>
      <c r="HF179" s="93"/>
      <c r="HG179" s="93"/>
    </row>
    <row r="180" spans="14:215" x14ac:dyDescent="0.2">
      <c r="N180" s="93" t="s">
        <v>397</v>
      </c>
      <c r="O180" s="93"/>
      <c r="P180" s="93"/>
      <c r="Q180" s="93"/>
      <c r="R180" s="93"/>
      <c r="S180" s="93"/>
      <c r="T180" s="93"/>
      <c r="U180" s="93"/>
      <c r="V180" s="93"/>
      <c r="W180" s="93"/>
      <c r="X180" s="93"/>
      <c r="Y180" s="93"/>
      <c r="Z180" s="93"/>
      <c r="AA180" s="93"/>
      <c r="AB180" s="93"/>
      <c r="AC180" s="93"/>
      <c r="AD180" s="93"/>
      <c r="AE180" s="93"/>
      <c r="AF180" s="93"/>
      <c r="AG180" s="93"/>
      <c r="AH180" s="93"/>
      <c r="AI180" s="93"/>
      <c r="AJ180" s="93"/>
      <c r="AK180" s="93"/>
      <c r="AL180" s="93"/>
      <c r="AM180" s="93"/>
      <c r="AN180" s="93"/>
      <c r="AO180" s="93"/>
      <c r="AP180" s="93"/>
      <c r="AQ180" s="93"/>
      <c r="AR180" s="93"/>
      <c r="AS180" s="93"/>
      <c r="AT180" s="93"/>
      <c r="AU180" s="93"/>
      <c r="AV180" s="93"/>
      <c r="AW180" s="93"/>
      <c r="AX180" s="93"/>
      <c r="AY180" s="93"/>
      <c r="AZ180" s="93"/>
      <c r="BA180" s="93"/>
      <c r="BB180" s="93"/>
      <c r="BC180" s="93"/>
      <c r="BD180" s="93"/>
      <c r="BE180" s="93"/>
      <c r="BF180" s="93"/>
      <c r="BG180" s="93"/>
      <c r="BH180" s="93"/>
      <c r="BI180" s="93"/>
      <c r="BJ180" s="93"/>
      <c r="BK180" s="93"/>
      <c r="BL180" s="93"/>
      <c r="BM180" s="93"/>
      <c r="BN180" s="93"/>
      <c r="BO180" s="93"/>
      <c r="BP180" s="93"/>
      <c r="BQ180" s="93"/>
      <c r="BR180" s="93"/>
      <c r="BS180" s="93"/>
      <c r="BT180" s="93"/>
      <c r="BU180" s="93"/>
      <c r="BV180" s="93"/>
      <c r="BW180" s="93"/>
      <c r="BX180" s="93"/>
      <c r="BY180" s="93"/>
      <c r="BZ180" s="93"/>
      <c r="CA180" s="93"/>
      <c r="CB180" s="93"/>
      <c r="CC180" s="93"/>
      <c r="CD180" s="93"/>
      <c r="CE180" s="93"/>
      <c r="CF180" s="93">
        <v>0.33171521035598706</v>
      </c>
      <c r="CG180" s="93"/>
      <c r="CH180" s="93"/>
      <c r="CI180" s="93"/>
      <c r="CJ180" s="93"/>
      <c r="CK180" s="93"/>
      <c r="CL180" s="93"/>
      <c r="CM180" s="93"/>
      <c r="CN180" s="93"/>
      <c r="CO180" s="93"/>
      <c r="CP180" s="93"/>
      <c r="CQ180" s="93"/>
      <c r="CR180" s="93"/>
      <c r="CS180" s="93"/>
      <c r="CT180" s="93"/>
      <c r="CU180" s="93"/>
      <c r="CV180" s="93"/>
      <c r="CW180" s="93"/>
      <c r="CX180" s="93"/>
      <c r="CY180" s="93"/>
      <c r="CZ180" s="93"/>
      <c r="DA180" s="93"/>
      <c r="DB180" s="93"/>
      <c r="DC180" s="93"/>
      <c r="DD180" s="93"/>
      <c r="DE180" s="93"/>
      <c r="DF180" s="93"/>
      <c r="DG180" s="93"/>
      <c r="DH180" s="93"/>
      <c r="DI180" s="93"/>
      <c r="DJ180" s="93"/>
      <c r="DK180" s="93"/>
      <c r="DL180" s="93"/>
      <c r="DM180" s="93"/>
      <c r="DN180" s="93"/>
      <c r="DO180" s="93"/>
      <c r="DP180" s="93"/>
      <c r="DQ180" s="93"/>
      <c r="DR180" s="93"/>
      <c r="DS180" s="93"/>
      <c r="DT180" s="93"/>
      <c r="DU180" s="93"/>
      <c r="DV180" s="93"/>
      <c r="DW180" s="93"/>
      <c r="DX180" s="93"/>
      <c r="DY180" s="93"/>
      <c r="DZ180" s="93"/>
      <c r="EA180" s="93"/>
      <c r="EB180" s="93"/>
      <c r="EC180" s="93"/>
      <c r="ED180" s="93"/>
      <c r="EE180" s="93"/>
      <c r="EF180" s="93"/>
      <c r="EG180" s="93"/>
      <c r="EH180" s="93"/>
      <c r="EI180" s="93"/>
      <c r="EJ180" s="93"/>
      <c r="EK180" s="93"/>
      <c r="EL180" s="93"/>
      <c r="EM180" s="93"/>
      <c r="EN180" s="93"/>
      <c r="EO180" s="93"/>
      <c r="EP180" s="93"/>
      <c r="EQ180" s="93"/>
      <c r="ER180" s="93"/>
      <c r="ES180" s="93"/>
      <c r="ET180" s="93"/>
      <c r="EU180" s="93"/>
      <c r="EV180" s="93"/>
      <c r="EW180" s="93"/>
      <c r="EX180" s="93"/>
      <c r="EY180" s="93"/>
      <c r="EZ180" s="93"/>
      <c r="FA180" s="93"/>
      <c r="FB180" s="93"/>
      <c r="FC180" s="93"/>
      <c r="FD180" s="93"/>
      <c r="FE180" s="93"/>
      <c r="FF180" s="93"/>
      <c r="FG180" s="93"/>
      <c r="FH180" s="93"/>
      <c r="FI180" s="93"/>
      <c r="FJ180" s="93"/>
      <c r="FK180" s="93"/>
      <c r="FL180" s="93"/>
      <c r="FM180" s="93"/>
      <c r="FN180" s="93"/>
      <c r="FO180" s="93"/>
      <c r="FP180" s="93"/>
      <c r="FQ180" s="93"/>
      <c r="FR180" s="93"/>
      <c r="FS180" s="93"/>
      <c r="FT180" s="93"/>
      <c r="FU180" s="93"/>
      <c r="FV180" s="93"/>
      <c r="FW180" s="93"/>
      <c r="FX180" s="93"/>
      <c r="FY180" s="93"/>
      <c r="FZ180" s="93"/>
      <c r="GA180" s="93"/>
      <c r="GB180" s="93"/>
      <c r="GC180" s="93"/>
      <c r="GD180" s="93"/>
      <c r="GE180" s="93"/>
      <c r="GF180" s="93"/>
      <c r="GG180" s="93"/>
      <c r="GH180" s="93"/>
      <c r="GI180" s="93"/>
      <c r="GJ180" s="93"/>
      <c r="GK180" s="93"/>
      <c r="GL180" s="93"/>
      <c r="GM180" s="93"/>
      <c r="GN180" s="93"/>
      <c r="GO180" s="93"/>
      <c r="GP180" s="93"/>
      <c r="GQ180" s="93"/>
      <c r="GR180" s="93"/>
      <c r="GS180" s="93"/>
      <c r="GT180" s="93"/>
      <c r="GU180" s="93"/>
      <c r="GV180" s="93"/>
      <c r="GW180" s="93"/>
      <c r="GX180" s="93"/>
      <c r="GY180" s="93"/>
      <c r="GZ180" s="93"/>
      <c r="HA180" s="93"/>
      <c r="HB180" s="93"/>
      <c r="HC180" s="93"/>
      <c r="HD180" s="93"/>
      <c r="HE180" s="93"/>
      <c r="HF180" s="93"/>
      <c r="HG180" s="93"/>
    </row>
    <row r="181" spans="14:215" x14ac:dyDescent="0.2">
      <c r="N181" s="93" t="s">
        <v>398</v>
      </c>
      <c r="O181" s="93"/>
      <c r="P181" s="93"/>
      <c r="Q181" s="93"/>
      <c r="R181" s="93"/>
      <c r="S181" s="93"/>
      <c r="T181" s="93"/>
      <c r="U181" s="93"/>
      <c r="V181" s="93"/>
      <c r="W181" s="93"/>
      <c r="X181" s="93"/>
      <c r="Y181" s="93"/>
      <c r="Z181" s="93"/>
      <c r="AA181" s="93"/>
      <c r="AB181" s="93"/>
      <c r="AC181" s="93"/>
      <c r="AD181" s="93"/>
      <c r="AE181" s="93"/>
      <c r="AF181" s="93"/>
      <c r="AG181" s="93"/>
      <c r="AH181" s="93"/>
      <c r="AI181" s="93"/>
      <c r="AJ181" s="93"/>
      <c r="AK181" s="93"/>
      <c r="AL181" s="93"/>
      <c r="AM181" s="93"/>
      <c r="AN181" s="93"/>
      <c r="AO181" s="93"/>
      <c r="AP181" s="93"/>
      <c r="AQ181" s="93"/>
      <c r="AR181" s="93"/>
      <c r="AS181" s="93"/>
      <c r="AT181" s="93"/>
      <c r="AU181" s="93"/>
      <c r="AV181" s="93"/>
      <c r="AW181" s="93"/>
      <c r="AX181" s="93"/>
      <c r="AY181" s="93"/>
      <c r="AZ181" s="93"/>
      <c r="BA181" s="93"/>
      <c r="BB181" s="93"/>
      <c r="BC181" s="93"/>
      <c r="BD181" s="93"/>
      <c r="BE181" s="93"/>
      <c r="BF181" s="93"/>
      <c r="BG181" s="93"/>
      <c r="BH181" s="93"/>
      <c r="BI181" s="93"/>
      <c r="BJ181" s="93"/>
      <c r="BK181" s="93"/>
      <c r="BL181" s="93"/>
      <c r="BM181" s="93"/>
      <c r="BN181" s="93"/>
      <c r="BO181" s="93"/>
      <c r="BP181" s="93"/>
      <c r="BQ181" s="93"/>
      <c r="BR181" s="93"/>
      <c r="BS181" s="93"/>
      <c r="BT181" s="93"/>
      <c r="BU181" s="93"/>
      <c r="BV181" s="93"/>
      <c r="BW181" s="93"/>
      <c r="BX181" s="93"/>
      <c r="BY181" s="93"/>
      <c r="BZ181" s="93"/>
      <c r="CA181" s="93"/>
      <c r="CB181" s="93"/>
      <c r="CC181" s="93"/>
      <c r="CD181" s="93"/>
      <c r="CE181" s="93"/>
      <c r="CF181" s="93"/>
      <c r="CG181" s="93">
        <v>0.33173843700159489</v>
      </c>
      <c r="CH181" s="93"/>
      <c r="CI181" s="93"/>
      <c r="CJ181" s="93"/>
      <c r="CK181" s="93"/>
      <c r="CL181" s="93"/>
      <c r="CM181" s="93"/>
      <c r="CN181" s="93"/>
      <c r="CO181" s="93"/>
      <c r="CP181" s="93"/>
      <c r="CQ181" s="93"/>
      <c r="CR181" s="93"/>
      <c r="CS181" s="93"/>
      <c r="CT181" s="93"/>
      <c r="CU181" s="93"/>
      <c r="CV181" s="93"/>
      <c r="CW181" s="93"/>
      <c r="CX181" s="93"/>
      <c r="CY181" s="93"/>
      <c r="CZ181" s="93"/>
      <c r="DA181" s="93"/>
      <c r="DB181" s="93"/>
      <c r="DC181" s="93"/>
      <c r="DD181" s="93"/>
      <c r="DE181" s="93"/>
      <c r="DF181" s="93"/>
      <c r="DG181" s="93"/>
      <c r="DH181" s="93"/>
      <c r="DI181" s="93"/>
      <c r="DJ181" s="93"/>
      <c r="DK181" s="93"/>
      <c r="DL181" s="93"/>
      <c r="DM181" s="93"/>
      <c r="DN181" s="93"/>
      <c r="DO181" s="93"/>
      <c r="DP181" s="93"/>
      <c r="DQ181" s="93"/>
      <c r="DR181" s="93"/>
      <c r="DS181" s="93"/>
      <c r="DT181" s="93"/>
      <c r="DU181" s="93"/>
      <c r="DV181" s="93"/>
      <c r="DW181" s="93"/>
      <c r="DX181" s="93"/>
      <c r="DY181" s="93"/>
      <c r="DZ181" s="93"/>
      <c r="EA181" s="93"/>
      <c r="EB181" s="93"/>
      <c r="EC181" s="93"/>
      <c r="ED181" s="93"/>
      <c r="EE181" s="93"/>
      <c r="EF181" s="93"/>
      <c r="EG181" s="93"/>
      <c r="EH181" s="93"/>
      <c r="EI181" s="93"/>
      <c r="EJ181" s="93"/>
      <c r="EK181" s="93"/>
      <c r="EL181" s="93"/>
      <c r="EM181" s="93"/>
      <c r="EN181" s="93"/>
      <c r="EO181" s="93"/>
      <c r="EP181" s="93"/>
      <c r="EQ181" s="93"/>
      <c r="ER181" s="93"/>
      <c r="ES181" s="93"/>
      <c r="ET181" s="93"/>
      <c r="EU181" s="93"/>
      <c r="EV181" s="93"/>
      <c r="EW181" s="93"/>
      <c r="EX181" s="93"/>
      <c r="EY181" s="93"/>
      <c r="EZ181" s="93"/>
      <c r="FA181" s="93"/>
      <c r="FB181" s="93"/>
      <c r="FC181" s="93"/>
      <c r="FD181" s="93"/>
      <c r="FE181" s="93"/>
      <c r="FF181" s="93"/>
      <c r="FG181" s="93"/>
      <c r="FH181" s="93"/>
      <c r="FI181" s="93"/>
      <c r="FJ181" s="93"/>
      <c r="FK181" s="93"/>
      <c r="FL181" s="93"/>
      <c r="FM181" s="93"/>
      <c r="FN181" s="93"/>
      <c r="FO181" s="93"/>
      <c r="FP181" s="93"/>
      <c r="FQ181" s="93"/>
      <c r="FR181" s="93"/>
      <c r="FS181" s="93"/>
      <c r="FT181" s="93"/>
      <c r="FU181" s="93"/>
      <c r="FV181" s="93"/>
      <c r="FW181" s="93"/>
      <c r="FX181" s="93"/>
      <c r="FY181" s="93"/>
      <c r="FZ181" s="93"/>
      <c r="GA181" s="93"/>
      <c r="GB181" s="93"/>
      <c r="GC181" s="93"/>
      <c r="GD181" s="93"/>
      <c r="GE181" s="93"/>
      <c r="GF181" s="93"/>
      <c r="GG181" s="93"/>
      <c r="GH181" s="93"/>
      <c r="GI181" s="93"/>
      <c r="GJ181" s="93"/>
      <c r="GK181" s="93"/>
      <c r="GL181" s="93"/>
      <c r="GM181" s="93"/>
      <c r="GN181" s="93"/>
      <c r="GO181" s="93"/>
      <c r="GP181" s="93"/>
      <c r="GQ181" s="93"/>
      <c r="GR181" s="93"/>
      <c r="GS181" s="93"/>
      <c r="GT181" s="93"/>
      <c r="GU181" s="93"/>
      <c r="GV181" s="93"/>
      <c r="GW181" s="93"/>
      <c r="GX181" s="93"/>
      <c r="GY181" s="93"/>
      <c r="GZ181" s="93"/>
      <c r="HA181" s="93"/>
      <c r="HB181" s="93"/>
      <c r="HC181" s="93"/>
      <c r="HD181" s="93"/>
      <c r="HE181" s="93"/>
      <c r="HF181" s="93"/>
      <c r="HG181" s="93"/>
    </row>
    <row r="182" spans="14:215" x14ac:dyDescent="0.2">
      <c r="N182" s="93" t="s">
        <v>399</v>
      </c>
      <c r="O182" s="93"/>
      <c r="P182" s="93"/>
      <c r="Q182" s="93"/>
      <c r="R182" s="93"/>
      <c r="S182" s="93"/>
      <c r="T182" s="93"/>
      <c r="U182" s="93"/>
      <c r="V182" s="93"/>
      <c r="W182" s="93"/>
      <c r="X182" s="93"/>
      <c r="Y182" s="93"/>
      <c r="Z182" s="93"/>
      <c r="AA182" s="93"/>
      <c r="AB182" s="93"/>
      <c r="AC182" s="93"/>
      <c r="AD182" s="93"/>
      <c r="AE182" s="93"/>
      <c r="AF182" s="93"/>
      <c r="AG182" s="93"/>
      <c r="AH182" s="93"/>
      <c r="AI182" s="93"/>
      <c r="AJ182" s="93"/>
      <c r="AK182" s="93"/>
      <c r="AL182" s="93"/>
      <c r="AM182" s="93"/>
      <c r="AN182" s="93"/>
      <c r="AO182" s="93"/>
      <c r="AP182" s="93"/>
      <c r="AQ182" s="93"/>
      <c r="AR182" s="93"/>
      <c r="AS182" s="93"/>
      <c r="AT182" s="93"/>
      <c r="AU182" s="93"/>
      <c r="AV182" s="93"/>
      <c r="AW182" s="93"/>
      <c r="AX182" s="93"/>
      <c r="AY182" s="93"/>
      <c r="AZ182" s="93"/>
      <c r="BA182" s="93"/>
      <c r="BB182" s="93"/>
      <c r="BC182" s="93"/>
      <c r="BD182" s="93"/>
      <c r="BE182" s="93"/>
      <c r="BF182" s="93"/>
      <c r="BG182" s="93"/>
      <c r="BH182" s="93"/>
      <c r="BI182" s="93"/>
      <c r="BJ182" s="93"/>
      <c r="BK182" s="93"/>
      <c r="BL182" s="93"/>
      <c r="BM182" s="93"/>
      <c r="BN182" s="93"/>
      <c r="BO182" s="93"/>
      <c r="BP182" s="93"/>
      <c r="BQ182" s="93"/>
      <c r="BR182" s="93"/>
      <c r="BS182" s="93"/>
      <c r="BT182" s="93"/>
      <c r="BU182" s="93"/>
      <c r="BV182" s="93"/>
      <c r="BW182" s="93"/>
      <c r="BX182" s="93"/>
      <c r="BY182" s="93"/>
      <c r="BZ182" s="93"/>
      <c r="CA182" s="93"/>
      <c r="CB182" s="93"/>
      <c r="CC182" s="93"/>
      <c r="CD182" s="93"/>
      <c r="CE182" s="93"/>
      <c r="CF182" s="93"/>
      <c r="CG182" s="93"/>
      <c r="CH182" s="93">
        <v>0.33176100628930816</v>
      </c>
      <c r="CI182" s="93"/>
      <c r="CJ182" s="93"/>
      <c r="CK182" s="93"/>
      <c r="CL182" s="93"/>
      <c r="CM182" s="93"/>
      <c r="CN182" s="93"/>
      <c r="CO182" s="93"/>
      <c r="CP182" s="93"/>
      <c r="CQ182" s="93"/>
      <c r="CR182" s="93"/>
      <c r="CS182" s="93"/>
      <c r="CT182" s="93"/>
      <c r="CU182" s="93"/>
      <c r="CV182" s="93"/>
      <c r="CW182" s="93"/>
      <c r="CX182" s="93"/>
      <c r="CY182" s="93"/>
      <c r="CZ182" s="93"/>
      <c r="DA182" s="93"/>
      <c r="DB182" s="93"/>
      <c r="DC182" s="93"/>
      <c r="DD182" s="93"/>
      <c r="DE182" s="93"/>
      <c r="DF182" s="93"/>
      <c r="DG182" s="93"/>
      <c r="DH182" s="93"/>
      <c r="DI182" s="93"/>
      <c r="DJ182" s="93"/>
      <c r="DK182" s="93"/>
      <c r="DL182" s="93"/>
      <c r="DM182" s="93"/>
      <c r="DN182" s="93"/>
      <c r="DO182" s="93"/>
      <c r="DP182" s="93"/>
      <c r="DQ182" s="93"/>
      <c r="DR182" s="93"/>
      <c r="DS182" s="93"/>
      <c r="DT182" s="93"/>
      <c r="DU182" s="93"/>
      <c r="DV182" s="93"/>
      <c r="DW182" s="93"/>
      <c r="DX182" s="93"/>
      <c r="DY182" s="93"/>
      <c r="DZ182" s="93"/>
      <c r="EA182" s="93"/>
      <c r="EB182" s="93"/>
      <c r="EC182" s="93"/>
      <c r="ED182" s="93"/>
      <c r="EE182" s="93"/>
      <c r="EF182" s="93"/>
      <c r="EG182" s="93"/>
      <c r="EH182" s="93"/>
      <c r="EI182" s="93"/>
      <c r="EJ182" s="93"/>
      <c r="EK182" s="93"/>
      <c r="EL182" s="93"/>
      <c r="EM182" s="93"/>
      <c r="EN182" s="93"/>
      <c r="EO182" s="93"/>
      <c r="EP182" s="93"/>
      <c r="EQ182" s="93"/>
      <c r="ER182" s="93"/>
      <c r="ES182" s="93"/>
      <c r="ET182" s="93"/>
      <c r="EU182" s="93"/>
      <c r="EV182" s="93"/>
      <c r="EW182" s="93"/>
      <c r="EX182" s="93"/>
      <c r="EY182" s="93"/>
      <c r="EZ182" s="93"/>
      <c r="FA182" s="93"/>
      <c r="FB182" s="93"/>
      <c r="FC182" s="93"/>
      <c r="FD182" s="93"/>
      <c r="FE182" s="93"/>
      <c r="FF182" s="93"/>
      <c r="FG182" s="93"/>
      <c r="FH182" s="93"/>
      <c r="FI182" s="93"/>
      <c r="FJ182" s="93"/>
      <c r="FK182" s="93"/>
      <c r="FL182" s="93"/>
      <c r="FM182" s="93"/>
      <c r="FN182" s="93"/>
      <c r="FO182" s="93"/>
      <c r="FP182" s="93"/>
      <c r="FQ182" s="93"/>
      <c r="FR182" s="93"/>
      <c r="FS182" s="93"/>
      <c r="FT182" s="93"/>
      <c r="FU182" s="93"/>
      <c r="FV182" s="93"/>
      <c r="FW182" s="93"/>
      <c r="FX182" s="93"/>
      <c r="FY182" s="93"/>
      <c r="FZ182" s="93"/>
      <c r="GA182" s="93"/>
      <c r="GB182" s="93"/>
      <c r="GC182" s="93"/>
      <c r="GD182" s="93"/>
      <c r="GE182" s="93"/>
      <c r="GF182" s="93"/>
      <c r="GG182" s="93"/>
      <c r="GH182" s="93"/>
      <c r="GI182" s="93"/>
      <c r="GJ182" s="93"/>
      <c r="GK182" s="93"/>
      <c r="GL182" s="93"/>
      <c r="GM182" s="93"/>
      <c r="GN182" s="93"/>
      <c r="GO182" s="93"/>
      <c r="GP182" s="93"/>
      <c r="GQ182" s="93"/>
      <c r="GR182" s="93"/>
      <c r="GS182" s="93"/>
      <c r="GT182" s="93"/>
      <c r="GU182" s="93"/>
      <c r="GV182" s="93"/>
      <c r="GW182" s="93"/>
      <c r="GX182" s="93"/>
      <c r="GY182" s="93"/>
      <c r="GZ182" s="93"/>
      <c r="HA182" s="93"/>
      <c r="HB182" s="93"/>
      <c r="HC182" s="93"/>
      <c r="HD182" s="93"/>
      <c r="HE182" s="93"/>
      <c r="HF182" s="93"/>
      <c r="HG182" s="93"/>
    </row>
    <row r="183" spans="14:215" x14ac:dyDescent="0.2">
      <c r="N183" s="93" t="s">
        <v>400</v>
      </c>
      <c r="O183" s="93"/>
      <c r="P183" s="93"/>
      <c r="Q183" s="93"/>
      <c r="R183" s="93"/>
      <c r="S183" s="93"/>
      <c r="T183" s="93"/>
      <c r="U183" s="93"/>
      <c r="V183" s="93"/>
      <c r="W183" s="93"/>
      <c r="X183" s="93"/>
      <c r="Y183" s="93"/>
      <c r="Z183" s="93"/>
      <c r="AA183" s="93"/>
      <c r="AB183" s="93"/>
      <c r="AC183" s="93"/>
      <c r="AD183" s="93"/>
      <c r="AE183" s="93"/>
      <c r="AF183" s="93"/>
      <c r="AG183" s="93"/>
      <c r="AH183" s="93"/>
      <c r="AI183" s="93"/>
      <c r="AJ183" s="93"/>
      <c r="AK183" s="93"/>
      <c r="AL183" s="93"/>
      <c r="AM183" s="93"/>
      <c r="AN183" s="93"/>
      <c r="AO183" s="93"/>
      <c r="AP183" s="93"/>
      <c r="AQ183" s="93"/>
      <c r="AR183" s="93"/>
      <c r="AS183" s="93"/>
      <c r="AT183" s="93"/>
      <c r="AU183" s="93"/>
      <c r="AV183" s="93"/>
      <c r="AW183" s="93"/>
      <c r="AX183" s="93"/>
      <c r="AY183" s="93"/>
      <c r="AZ183" s="93"/>
      <c r="BA183" s="93"/>
      <c r="BB183" s="93"/>
      <c r="BC183" s="93"/>
      <c r="BD183" s="93"/>
      <c r="BE183" s="93"/>
      <c r="BF183" s="93"/>
      <c r="BG183" s="93"/>
      <c r="BH183" s="93"/>
      <c r="BI183" s="93"/>
      <c r="BJ183" s="93"/>
      <c r="BK183" s="93"/>
      <c r="BL183" s="93"/>
      <c r="BM183" s="93"/>
      <c r="BN183" s="93"/>
      <c r="BO183" s="93"/>
      <c r="BP183" s="93"/>
      <c r="BQ183" s="93"/>
      <c r="BR183" s="93"/>
      <c r="BS183" s="93"/>
      <c r="BT183" s="93"/>
      <c r="BU183" s="93"/>
      <c r="BV183" s="93"/>
      <c r="BW183" s="93"/>
      <c r="BX183" s="93"/>
      <c r="BY183" s="93"/>
      <c r="BZ183" s="93"/>
      <c r="CA183" s="93"/>
      <c r="CB183" s="93"/>
      <c r="CC183" s="93"/>
      <c r="CD183" s="93"/>
      <c r="CE183" s="93"/>
      <c r="CF183" s="93"/>
      <c r="CG183" s="93"/>
      <c r="CH183" s="93"/>
      <c r="CI183" s="93">
        <v>0.33178294573643413</v>
      </c>
      <c r="CJ183" s="93"/>
      <c r="CK183" s="93"/>
      <c r="CL183" s="93"/>
      <c r="CM183" s="93"/>
      <c r="CN183" s="93"/>
      <c r="CO183" s="93"/>
      <c r="CP183" s="93"/>
      <c r="CQ183" s="93"/>
      <c r="CR183" s="93"/>
      <c r="CS183" s="93"/>
      <c r="CT183" s="93"/>
      <c r="CU183" s="93"/>
      <c r="CV183" s="93"/>
      <c r="CW183" s="93"/>
      <c r="CX183" s="93"/>
      <c r="CY183" s="93"/>
      <c r="CZ183" s="93"/>
      <c r="DA183" s="93"/>
      <c r="DB183" s="93"/>
      <c r="DC183" s="93"/>
      <c r="DD183" s="93"/>
      <c r="DE183" s="93"/>
      <c r="DF183" s="93"/>
      <c r="DG183" s="93"/>
      <c r="DH183" s="93"/>
      <c r="DI183" s="93"/>
      <c r="DJ183" s="93"/>
      <c r="DK183" s="93"/>
      <c r="DL183" s="93"/>
      <c r="DM183" s="93"/>
      <c r="DN183" s="93"/>
      <c r="DO183" s="93"/>
      <c r="DP183" s="93"/>
      <c r="DQ183" s="93"/>
      <c r="DR183" s="93"/>
      <c r="DS183" s="93"/>
      <c r="DT183" s="93"/>
      <c r="DU183" s="93"/>
      <c r="DV183" s="93"/>
      <c r="DW183" s="93"/>
      <c r="DX183" s="93"/>
      <c r="DY183" s="93"/>
      <c r="DZ183" s="93"/>
      <c r="EA183" s="93"/>
      <c r="EB183" s="93"/>
      <c r="EC183" s="93"/>
      <c r="ED183" s="93"/>
      <c r="EE183" s="93"/>
      <c r="EF183" s="93"/>
      <c r="EG183" s="93"/>
      <c r="EH183" s="93"/>
      <c r="EI183" s="93"/>
      <c r="EJ183" s="93"/>
      <c r="EK183" s="93"/>
      <c r="EL183" s="93"/>
      <c r="EM183" s="93"/>
      <c r="EN183" s="93"/>
      <c r="EO183" s="93"/>
      <c r="EP183" s="93"/>
      <c r="EQ183" s="93"/>
      <c r="ER183" s="93"/>
      <c r="ES183" s="93"/>
      <c r="ET183" s="93"/>
      <c r="EU183" s="93"/>
      <c r="EV183" s="93"/>
      <c r="EW183" s="93"/>
      <c r="EX183" s="93"/>
      <c r="EY183" s="93"/>
      <c r="EZ183" s="93"/>
      <c r="FA183" s="93"/>
      <c r="FB183" s="93"/>
      <c r="FC183" s="93"/>
      <c r="FD183" s="93"/>
      <c r="FE183" s="93"/>
      <c r="FF183" s="93"/>
      <c r="FG183" s="93"/>
      <c r="FH183" s="93"/>
      <c r="FI183" s="93"/>
      <c r="FJ183" s="93"/>
      <c r="FK183" s="93"/>
      <c r="FL183" s="93"/>
      <c r="FM183" s="93"/>
      <c r="FN183" s="93"/>
      <c r="FO183" s="93"/>
      <c r="FP183" s="93"/>
      <c r="FQ183" s="93"/>
      <c r="FR183" s="93"/>
      <c r="FS183" s="93"/>
      <c r="FT183" s="93"/>
      <c r="FU183" s="93"/>
      <c r="FV183" s="93"/>
      <c r="FW183" s="93"/>
      <c r="FX183" s="93"/>
      <c r="FY183" s="93"/>
      <c r="FZ183" s="93"/>
      <c r="GA183" s="93"/>
      <c r="GB183" s="93"/>
      <c r="GC183" s="93"/>
      <c r="GD183" s="93"/>
      <c r="GE183" s="93"/>
      <c r="GF183" s="93"/>
      <c r="GG183" s="93"/>
      <c r="GH183" s="93"/>
      <c r="GI183" s="93"/>
      <c r="GJ183" s="93"/>
      <c r="GK183" s="93"/>
      <c r="GL183" s="93"/>
      <c r="GM183" s="93"/>
      <c r="GN183" s="93"/>
      <c r="GO183" s="93"/>
      <c r="GP183" s="93"/>
      <c r="GQ183" s="93"/>
      <c r="GR183" s="93"/>
      <c r="GS183" s="93"/>
      <c r="GT183" s="93"/>
      <c r="GU183" s="93"/>
      <c r="GV183" s="93"/>
      <c r="GW183" s="93"/>
      <c r="GX183" s="93"/>
      <c r="GY183" s="93"/>
      <c r="GZ183" s="93"/>
      <c r="HA183" s="93"/>
      <c r="HB183" s="93"/>
      <c r="HC183" s="93"/>
      <c r="HD183" s="93"/>
      <c r="HE183" s="93"/>
      <c r="HF183" s="93"/>
      <c r="HG183" s="93"/>
    </row>
    <row r="184" spans="14:215" x14ac:dyDescent="0.2">
      <c r="N184" s="93" t="s">
        <v>401</v>
      </c>
      <c r="O184" s="93"/>
      <c r="P184" s="93"/>
      <c r="Q184" s="93"/>
      <c r="R184" s="93"/>
      <c r="S184" s="93"/>
      <c r="T184" s="93"/>
      <c r="U184" s="93"/>
      <c r="V184" s="93"/>
      <c r="W184" s="93"/>
      <c r="X184" s="93"/>
      <c r="Y184" s="93"/>
      <c r="Z184" s="93"/>
      <c r="AA184" s="93"/>
      <c r="AB184" s="93"/>
      <c r="AC184" s="93"/>
      <c r="AD184" s="93"/>
      <c r="AE184" s="93"/>
      <c r="AF184" s="93"/>
      <c r="AG184" s="93"/>
      <c r="AH184" s="93"/>
      <c r="AI184" s="93"/>
      <c r="AJ184" s="93"/>
      <c r="AK184" s="93"/>
      <c r="AL184" s="93"/>
      <c r="AM184" s="93"/>
      <c r="AN184" s="93"/>
      <c r="AO184" s="93"/>
      <c r="AP184" s="93"/>
      <c r="AQ184" s="93"/>
      <c r="AR184" s="93"/>
      <c r="AS184" s="93"/>
      <c r="AT184" s="93"/>
      <c r="AU184" s="93"/>
      <c r="AV184" s="93"/>
      <c r="AW184" s="93"/>
      <c r="AX184" s="93"/>
      <c r="AY184" s="93"/>
      <c r="AZ184" s="93"/>
      <c r="BA184" s="93"/>
      <c r="BB184" s="93"/>
      <c r="BC184" s="93"/>
      <c r="BD184" s="93"/>
      <c r="BE184" s="93"/>
      <c r="BF184" s="93"/>
      <c r="BG184" s="93"/>
      <c r="BH184" s="93"/>
      <c r="BI184" s="93"/>
      <c r="BJ184" s="93"/>
      <c r="BK184" s="93"/>
      <c r="BL184" s="93"/>
      <c r="BM184" s="93"/>
      <c r="BN184" s="93"/>
      <c r="BO184" s="93"/>
      <c r="BP184" s="93"/>
      <c r="BQ184" s="93"/>
      <c r="BR184" s="93"/>
      <c r="BS184" s="93"/>
      <c r="BT184" s="93"/>
      <c r="BU184" s="93"/>
      <c r="BV184" s="93"/>
      <c r="BW184" s="93"/>
      <c r="BX184" s="93"/>
      <c r="BY184" s="93"/>
      <c r="BZ184" s="93"/>
      <c r="CA184" s="93"/>
      <c r="CB184" s="93"/>
      <c r="CC184" s="93"/>
      <c r="CD184" s="93"/>
      <c r="CE184" s="93"/>
      <c r="CF184" s="93"/>
      <c r="CG184" s="93"/>
      <c r="CH184" s="93"/>
      <c r="CI184" s="93"/>
      <c r="CJ184" s="93">
        <v>0.33180428134556578</v>
      </c>
      <c r="CK184" s="93"/>
      <c r="CL184" s="93"/>
      <c r="CM184" s="93"/>
      <c r="CN184" s="93"/>
      <c r="CO184" s="93"/>
      <c r="CP184" s="93"/>
      <c r="CQ184" s="93"/>
      <c r="CR184" s="93"/>
      <c r="CS184" s="93"/>
      <c r="CT184" s="93"/>
      <c r="CU184" s="93"/>
      <c r="CV184" s="93"/>
      <c r="CW184" s="93"/>
      <c r="CX184" s="93"/>
      <c r="CY184" s="93"/>
      <c r="CZ184" s="93"/>
      <c r="DA184" s="93"/>
      <c r="DB184" s="93"/>
      <c r="DC184" s="93"/>
      <c r="DD184" s="93"/>
      <c r="DE184" s="93"/>
      <c r="DF184" s="93"/>
      <c r="DG184" s="93"/>
      <c r="DH184" s="93"/>
      <c r="DI184" s="93"/>
      <c r="DJ184" s="93"/>
      <c r="DK184" s="93"/>
      <c r="DL184" s="93"/>
      <c r="DM184" s="93"/>
      <c r="DN184" s="93"/>
      <c r="DO184" s="93"/>
      <c r="DP184" s="93"/>
      <c r="DQ184" s="93"/>
      <c r="DR184" s="93"/>
      <c r="DS184" s="93"/>
      <c r="DT184" s="93"/>
      <c r="DU184" s="93"/>
      <c r="DV184" s="93"/>
      <c r="DW184" s="93"/>
      <c r="DX184" s="93"/>
      <c r="DY184" s="93"/>
      <c r="DZ184" s="93"/>
      <c r="EA184" s="93"/>
      <c r="EB184" s="93"/>
      <c r="EC184" s="93"/>
      <c r="ED184" s="93"/>
      <c r="EE184" s="93"/>
      <c r="EF184" s="93"/>
      <c r="EG184" s="93"/>
      <c r="EH184" s="93"/>
      <c r="EI184" s="93"/>
      <c r="EJ184" s="93"/>
      <c r="EK184" s="93"/>
      <c r="EL184" s="93"/>
      <c r="EM184" s="93"/>
      <c r="EN184" s="93"/>
      <c r="EO184" s="93"/>
      <c r="EP184" s="93"/>
      <c r="EQ184" s="93"/>
      <c r="ER184" s="93"/>
      <c r="ES184" s="93"/>
      <c r="ET184" s="93"/>
      <c r="EU184" s="93"/>
      <c r="EV184" s="93"/>
      <c r="EW184" s="93"/>
      <c r="EX184" s="93"/>
      <c r="EY184" s="93"/>
      <c r="EZ184" s="93"/>
      <c r="FA184" s="93"/>
      <c r="FB184" s="93"/>
      <c r="FC184" s="93"/>
      <c r="FD184" s="93"/>
      <c r="FE184" s="93"/>
      <c r="FF184" s="93"/>
      <c r="FG184" s="93"/>
      <c r="FH184" s="93"/>
      <c r="FI184" s="93"/>
      <c r="FJ184" s="93"/>
      <c r="FK184" s="93"/>
      <c r="FL184" s="93"/>
      <c r="FM184" s="93"/>
      <c r="FN184" s="93"/>
      <c r="FO184" s="93"/>
      <c r="FP184" s="93"/>
      <c r="FQ184" s="93"/>
      <c r="FR184" s="93"/>
      <c r="FS184" s="93"/>
      <c r="FT184" s="93"/>
      <c r="FU184" s="93"/>
      <c r="FV184" s="93"/>
      <c r="FW184" s="93"/>
      <c r="FX184" s="93"/>
      <c r="FY184" s="93"/>
      <c r="FZ184" s="93"/>
      <c r="GA184" s="93"/>
      <c r="GB184" s="93"/>
      <c r="GC184" s="93"/>
      <c r="GD184" s="93"/>
      <c r="GE184" s="93"/>
      <c r="GF184" s="93"/>
      <c r="GG184" s="93"/>
      <c r="GH184" s="93"/>
      <c r="GI184" s="93"/>
      <c r="GJ184" s="93"/>
      <c r="GK184" s="93"/>
      <c r="GL184" s="93"/>
      <c r="GM184" s="93"/>
      <c r="GN184" s="93"/>
      <c r="GO184" s="93"/>
      <c r="GP184" s="93"/>
      <c r="GQ184" s="93"/>
      <c r="GR184" s="93"/>
      <c r="GS184" s="93"/>
      <c r="GT184" s="93"/>
      <c r="GU184" s="93"/>
      <c r="GV184" s="93"/>
      <c r="GW184" s="93"/>
      <c r="GX184" s="93"/>
      <c r="GY184" s="93"/>
      <c r="GZ184" s="93"/>
      <c r="HA184" s="93"/>
      <c r="HB184" s="93"/>
      <c r="HC184" s="93"/>
      <c r="HD184" s="93"/>
      <c r="HE184" s="93"/>
      <c r="HF184" s="93"/>
      <c r="HG184" s="93"/>
    </row>
    <row r="185" spans="14:215" x14ac:dyDescent="0.2">
      <c r="N185" s="93" t="s">
        <v>402</v>
      </c>
      <c r="O185" s="93"/>
      <c r="P185" s="93"/>
      <c r="Q185" s="93"/>
      <c r="R185" s="93"/>
      <c r="S185" s="93"/>
      <c r="T185" s="93"/>
      <c r="U185" s="93"/>
      <c r="V185" s="93"/>
      <c r="W185" s="93"/>
      <c r="X185" s="93"/>
      <c r="Y185" s="93"/>
      <c r="Z185" s="93"/>
      <c r="AA185" s="93"/>
      <c r="AB185" s="93"/>
      <c r="AC185" s="93"/>
      <c r="AD185" s="93"/>
      <c r="AE185" s="93"/>
      <c r="AF185" s="93"/>
      <c r="AG185" s="93"/>
      <c r="AH185" s="93"/>
      <c r="AI185" s="93"/>
      <c r="AJ185" s="93"/>
      <c r="AK185" s="93"/>
      <c r="AL185" s="93"/>
      <c r="AM185" s="93"/>
      <c r="AN185" s="93"/>
      <c r="AO185" s="93"/>
      <c r="AP185" s="93"/>
      <c r="AQ185" s="93"/>
      <c r="AR185" s="93"/>
      <c r="AS185" s="93"/>
      <c r="AT185" s="93"/>
      <c r="AU185" s="93"/>
      <c r="AV185" s="93"/>
      <c r="AW185" s="93"/>
      <c r="AX185" s="93"/>
      <c r="AY185" s="93"/>
      <c r="AZ185" s="93"/>
      <c r="BA185" s="93"/>
      <c r="BB185" s="93"/>
      <c r="BC185" s="93"/>
      <c r="BD185" s="93"/>
      <c r="BE185" s="93"/>
      <c r="BF185" s="93"/>
      <c r="BG185" s="93"/>
      <c r="BH185" s="93"/>
      <c r="BI185" s="93"/>
      <c r="BJ185" s="93"/>
      <c r="BK185" s="93"/>
      <c r="BL185" s="93"/>
      <c r="BM185" s="93"/>
      <c r="BN185" s="93"/>
      <c r="BO185" s="93"/>
      <c r="BP185" s="93"/>
      <c r="BQ185" s="93"/>
      <c r="BR185" s="93"/>
      <c r="BS185" s="93"/>
      <c r="BT185" s="93"/>
      <c r="BU185" s="93"/>
      <c r="BV185" s="93"/>
      <c r="BW185" s="93"/>
      <c r="BX185" s="93"/>
      <c r="BY185" s="93"/>
      <c r="BZ185" s="93"/>
      <c r="CA185" s="93"/>
      <c r="CB185" s="93"/>
      <c r="CC185" s="93"/>
      <c r="CD185" s="93"/>
      <c r="CE185" s="93"/>
      <c r="CF185" s="93"/>
      <c r="CG185" s="93"/>
      <c r="CH185" s="93"/>
      <c r="CI185" s="93"/>
      <c r="CJ185" s="93"/>
      <c r="CK185" s="93">
        <v>0.33182503770739064</v>
      </c>
      <c r="CL185" s="93"/>
      <c r="CM185" s="93"/>
      <c r="CN185" s="93"/>
      <c r="CO185" s="93"/>
      <c r="CP185" s="93"/>
      <c r="CQ185" s="93"/>
      <c r="CR185" s="93"/>
      <c r="CS185" s="93"/>
      <c r="CT185" s="93"/>
      <c r="CU185" s="93"/>
      <c r="CV185" s="93"/>
      <c r="CW185" s="93"/>
      <c r="CX185" s="93"/>
      <c r="CY185" s="93"/>
      <c r="CZ185" s="93"/>
      <c r="DA185" s="93"/>
      <c r="DB185" s="93"/>
      <c r="DC185" s="93"/>
      <c r="DD185" s="93"/>
      <c r="DE185" s="93"/>
      <c r="DF185" s="93"/>
      <c r="DG185" s="93"/>
      <c r="DH185" s="93"/>
      <c r="DI185" s="93"/>
      <c r="DJ185" s="93"/>
      <c r="DK185" s="93"/>
      <c r="DL185" s="93"/>
      <c r="DM185" s="93"/>
      <c r="DN185" s="93"/>
      <c r="DO185" s="93"/>
      <c r="DP185" s="93"/>
      <c r="DQ185" s="93"/>
      <c r="DR185" s="93"/>
      <c r="DS185" s="93"/>
      <c r="DT185" s="93"/>
      <c r="DU185" s="93"/>
      <c r="DV185" s="93"/>
      <c r="DW185" s="93"/>
      <c r="DX185" s="93"/>
      <c r="DY185" s="93"/>
      <c r="DZ185" s="93"/>
      <c r="EA185" s="93"/>
      <c r="EB185" s="93"/>
      <c r="EC185" s="93"/>
      <c r="ED185" s="93"/>
      <c r="EE185" s="93"/>
      <c r="EF185" s="93"/>
      <c r="EG185" s="93"/>
      <c r="EH185" s="93"/>
      <c r="EI185" s="93"/>
      <c r="EJ185" s="93"/>
      <c r="EK185" s="93"/>
      <c r="EL185" s="93"/>
      <c r="EM185" s="93"/>
      <c r="EN185" s="93"/>
      <c r="EO185" s="93"/>
      <c r="EP185" s="93"/>
      <c r="EQ185" s="93"/>
      <c r="ER185" s="93"/>
      <c r="ES185" s="93"/>
      <c r="ET185" s="93"/>
      <c r="EU185" s="93"/>
      <c r="EV185" s="93"/>
      <c r="EW185" s="93"/>
      <c r="EX185" s="93"/>
      <c r="EY185" s="93"/>
      <c r="EZ185" s="93"/>
      <c r="FA185" s="93"/>
      <c r="FB185" s="93"/>
      <c r="FC185" s="93"/>
      <c r="FD185" s="93"/>
      <c r="FE185" s="93"/>
      <c r="FF185" s="93"/>
      <c r="FG185" s="93"/>
      <c r="FH185" s="93"/>
      <c r="FI185" s="93"/>
      <c r="FJ185" s="93"/>
      <c r="FK185" s="93"/>
      <c r="FL185" s="93"/>
      <c r="FM185" s="93"/>
      <c r="FN185" s="93"/>
      <c r="FO185" s="93"/>
      <c r="FP185" s="93"/>
      <c r="FQ185" s="93"/>
      <c r="FR185" s="93"/>
      <c r="FS185" s="93"/>
      <c r="FT185" s="93"/>
      <c r="FU185" s="93"/>
      <c r="FV185" s="93"/>
      <c r="FW185" s="93"/>
      <c r="FX185" s="93"/>
      <c r="FY185" s="93"/>
      <c r="FZ185" s="93"/>
      <c r="GA185" s="93"/>
      <c r="GB185" s="93"/>
      <c r="GC185" s="93"/>
      <c r="GD185" s="93"/>
      <c r="GE185" s="93"/>
      <c r="GF185" s="93"/>
      <c r="GG185" s="93"/>
      <c r="GH185" s="93"/>
      <c r="GI185" s="93"/>
      <c r="GJ185" s="93"/>
      <c r="GK185" s="93"/>
      <c r="GL185" s="93"/>
      <c r="GM185" s="93"/>
      <c r="GN185" s="93"/>
      <c r="GO185" s="93"/>
      <c r="GP185" s="93"/>
      <c r="GQ185" s="93"/>
      <c r="GR185" s="93"/>
      <c r="GS185" s="93"/>
      <c r="GT185" s="93"/>
      <c r="GU185" s="93"/>
      <c r="GV185" s="93"/>
      <c r="GW185" s="93"/>
      <c r="GX185" s="93"/>
      <c r="GY185" s="93"/>
      <c r="GZ185" s="93"/>
      <c r="HA185" s="93"/>
      <c r="HB185" s="93"/>
      <c r="HC185" s="93"/>
      <c r="HD185" s="93"/>
      <c r="HE185" s="93"/>
      <c r="HF185" s="93"/>
      <c r="HG185" s="93"/>
    </row>
    <row r="186" spans="14:215" x14ac:dyDescent="0.2">
      <c r="N186" s="93" t="s">
        <v>403</v>
      </c>
      <c r="O186" s="93"/>
      <c r="P186" s="93"/>
      <c r="Q186" s="93"/>
      <c r="R186" s="93"/>
      <c r="S186" s="93"/>
      <c r="T186" s="93"/>
      <c r="U186" s="93"/>
      <c r="V186" s="93"/>
      <c r="W186" s="93"/>
      <c r="X186" s="93"/>
      <c r="Y186" s="93"/>
      <c r="Z186" s="93"/>
      <c r="AA186" s="93"/>
      <c r="AB186" s="93"/>
      <c r="AC186" s="93"/>
      <c r="AD186" s="93"/>
      <c r="AE186" s="93"/>
      <c r="AF186" s="93"/>
      <c r="AG186" s="93"/>
      <c r="AH186" s="93"/>
      <c r="AI186" s="93"/>
      <c r="AJ186" s="93"/>
      <c r="AK186" s="93"/>
      <c r="AL186" s="93"/>
      <c r="AM186" s="93"/>
      <c r="AN186" s="93"/>
      <c r="AO186" s="93"/>
      <c r="AP186" s="93"/>
      <c r="AQ186" s="93"/>
      <c r="AR186" s="93"/>
      <c r="AS186" s="93"/>
      <c r="AT186" s="93"/>
      <c r="AU186" s="93"/>
      <c r="AV186" s="93"/>
      <c r="AW186" s="93"/>
      <c r="AX186" s="93"/>
      <c r="AY186" s="93"/>
      <c r="AZ186" s="93"/>
      <c r="BA186" s="93"/>
      <c r="BB186" s="93"/>
      <c r="BC186" s="93"/>
      <c r="BD186" s="93"/>
      <c r="BE186" s="93"/>
      <c r="BF186" s="93"/>
      <c r="BG186" s="93"/>
      <c r="BH186" s="93"/>
      <c r="BI186" s="93"/>
      <c r="BJ186" s="93"/>
      <c r="BK186" s="93"/>
      <c r="BL186" s="93"/>
      <c r="BM186" s="93"/>
      <c r="BN186" s="93"/>
      <c r="BO186" s="93"/>
      <c r="BP186" s="93"/>
      <c r="BQ186" s="93"/>
      <c r="BR186" s="93"/>
      <c r="BS186" s="93"/>
      <c r="BT186" s="93"/>
      <c r="BU186" s="93"/>
      <c r="BV186" s="93"/>
      <c r="BW186" s="93"/>
      <c r="BX186" s="93"/>
      <c r="BY186" s="93"/>
      <c r="BZ186" s="93"/>
      <c r="CA186" s="93"/>
      <c r="CB186" s="93"/>
      <c r="CC186" s="93"/>
      <c r="CD186" s="93"/>
      <c r="CE186" s="93"/>
      <c r="CF186" s="93"/>
      <c r="CG186" s="93"/>
      <c r="CH186" s="93"/>
      <c r="CI186" s="93"/>
      <c r="CJ186" s="93"/>
      <c r="CK186" s="93"/>
      <c r="CL186" s="93">
        <v>0.33184523809523808</v>
      </c>
      <c r="CM186" s="93"/>
      <c r="CN186" s="93"/>
      <c r="CO186" s="93"/>
      <c r="CP186" s="93"/>
      <c r="CQ186" s="93"/>
      <c r="CR186" s="93"/>
      <c r="CS186" s="93"/>
      <c r="CT186" s="93"/>
      <c r="CU186" s="93"/>
      <c r="CV186" s="93"/>
      <c r="CW186" s="93"/>
      <c r="CX186" s="93"/>
      <c r="CY186" s="93"/>
      <c r="CZ186" s="93"/>
      <c r="DA186" s="93"/>
      <c r="DB186" s="93"/>
      <c r="DC186" s="93"/>
      <c r="DD186" s="93"/>
      <c r="DE186" s="93"/>
      <c r="DF186" s="93"/>
      <c r="DG186" s="93"/>
      <c r="DH186" s="93"/>
      <c r="DI186" s="93"/>
      <c r="DJ186" s="93"/>
      <c r="DK186" s="93"/>
      <c r="DL186" s="93"/>
      <c r="DM186" s="93"/>
      <c r="DN186" s="93"/>
      <c r="DO186" s="93"/>
      <c r="DP186" s="93"/>
      <c r="DQ186" s="93"/>
      <c r="DR186" s="93"/>
      <c r="DS186" s="93"/>
      <c r="DT186" s="93"/>
      <c r="DU186" s="93"/>
      <c r="DV186" s="93"/>
      <c r="DW186" s="93"/>
      <c r="DX186" s="93"/>
      <c r="DY186" s="93"/>
      <c r="DZ186" s="93"/>
      <c r="EA186" s="93"/>
      <c r="EB186" s="93"/>
      <c r="EC186" s="93"/>
      <c r="ED186" s="93"/>
      <c r="EE186" s="93"/>
      <c r="EF186" s="93"/>
      <c r="EG186" s="93"/>
      <c r="EH186" s="93"/>
      <c r="EI186" s="93"/>
      <c r="EJ186" s="93"/>
      <c r="EK186" s="93"/>
      <c r="EL186" s="93"/>
      <c r="EM186" s="93"/>
      <c r="EN186" s="93"/>
      <c r="EO186" s="93"/>
      <c r="EP186" s="93"/>
      <c r="EQ186" s="93"/>
      <c r="ER186" s="93"/>
      <c r="ES186" s="93"/>
      <c r="ET186" s="93"/>
      <c r="EU186" s="93"/>
      <c r="EV186" s="93"/>
      <c r="EW186" s="93"/>
      <c r="EX186" s="93"/>
      <c r="EY186" s="93"/>
      <c r="EZ186" s="93"/>
      <c r="FA186" s="93"/>
      <c r="FB186" s="93"/>
      <c r="FC186" s="93"/>
      <c r="FD186" s="93"/>
      <c r="FE186" s="93"/>
      <c r="FF186" s="93"/>
      <c r="FG186" s="93"/>
      <c r="FH186" s="93"/>
      <c r="FI186" s="93"/>
      <c r="FJ186" s="93"/>
      <c r="FK186" s="93"/>
      <c r="FL186" s="93"/>
      <c r="FM186" s="93"/>
      <c r="FN186" s="93"/>
      <c r="FO186" s="93"/>
      <c r="FP186" s="93"/>
      <c r="FQ186" s="93"/>
      <c r="FR186" s="93"/>
      <c r="FS186" s="93"/>
      <c r="FT186" s="93"/>
      <c r="FU186" s="93"/>
      <c r="FV186" s="93"/>
      <c r="FW186" s="93"/>
      <c r="FX186" s="93"/>
      <c r="FY186" s="93"/>
      <c r="FZ186" s="93"/>
      <c r="GA186" s="93"/>
      <c r="GB186" s="93"/>
      <c r="GC186" s="93"/>
      <c r="GD186" s="93"/>
      <c r="GE186" s="93"/>
      <c r="GF186" s="93"/>
      <c r="GG186" s="93"/>
      <c r="GH186" s="93"/>
      <c r="GI186" s="93"/>
      <c r="GJ186" s="93"/>
      <c r="GK186" s="93"/>
      <c r="GL186" s="93"/>
      <c r="GM186" s="93"/>
      <c r="GN186" s="93"/>
      <c r="GO186" s="93"/>
      <c r="GP186" s="93"/>
      <c r="GQ186" s="93"/>
      <c r="GR186" s="93"/>
      <c r="GS186" s="93"/>
      <c r="GT186" s="93"/>
      <c r="GU186" s="93"/>
      <c r="GV186" s="93"/>
      <c r="GW186" s="93"/>
      <c r="GX186" s="93"/>
      <c r="GY186" s="93"/>
      <c r="GZ186" s="93"/>
      <c r="HA186" s="93"/>
      <c r="HB186" s="93"/>
      <c r="HC186" s="93"/>
      <c r="HD186" s="93"/>
      <c r="HE186" s="93"/>
      <c r="HF186" s="93"/>
      <c r="HG186" s="93"/>
    </row>
    <row r="187" spans="14:215" x14ac:dyDescent="0.2">
      <c r="N187" s="93" t="s">
        <v>404</v>
      </c>
      <c r="O187" s="93"/>
      <c r="P187" s="93"/>
      <c r="Q187" s="93"/>
      <c r="R187" s="93"/>
      <c r="S187" s="93"/>
      <c r="T187" s="93"/>
      <c r="U187" s="93"/>
      <c r="V187" s="93"/>
      <c r="W187" s="93"/>
      <c r="X187" s="93"/>
      <c r="Y187" s="93"/>
      <c r="Z187" s="93"/>
      <c r="AA187" s="93"/>
      <c r="AB187" s="93"/>
      <c r="AC187" s="93"/>
      <c r="AD187" s="93"/>
      <c r="AE187" s="93"/>
      <c r="AF187" s="93"/>
      <c r="AG187" s="93"/>
      <c r="AH187" s="93"/>
      <c r="AI187" s="93"/>
      <c r="AJ187" s="93"/>
      <c r="AK187" s="93"/>
      <c r="AL187" s="93"/>
      <c r="AM187" s="93"/>
      <c r="AN187" s="93"/>
      <c r="AO187" s="93"/>
      <c r="AP187" s="93"/>
      <c r="AQ187" s="93"/>
      <c r="AR187" s="93"/>
      <c r="AS187" s="93"/>
      <c r="AT187" s="93"/>
      <c r="AU187" s="93"/>
      <c r="AV187" s="93"/>
      <c r="AW187" s="93"/>
      <c r="AX187" s="93"/>
      <c r="AY187" s="93"/>
      <c r="AZ187" s="93"/>
      <c r="BA187" s="93"/>
      <c r="BB187" s="93"/>
      <c r="BC187" s="93"/>
      <c r="BD187" s="93"/>
      <c r="BE187" s="93"/>
      <c r="BF187" s="93"/>
      <c r="BG187" s="93"/>
      <c r="BH187" s="93"/>
      <c r="BI187" s="93"/>
      <c r="BJ187" s="93"/>
      <c r="BK187" s="93"/>
      <c r="BL187" s="93"/>
      <c r="BM187" s="93"/>
      <c r="BN187" s="93"/>
      <c r="BO187" s="93"/>
      <c r="BP187" s="93"/>
      <c r="BQ187" s="93"/>
      <c r="BR187" s="93"/>
      <c r="BS187" s="93"/>
      <c r="BT187" s="93"/>
      <c r="BU187" s="93"/>
      <c r="BV187" s="93"/>
      <c r="BW187" s="93"/>
      <c r="BX187" s="93"/>
      <c r="BY187" s="93"/>
      <c r="BZ187" s="93"/>
      <c r="CA187" s="93"/>
      <c r="CB187" s="93"/>
      <c r="CC187" s="93"/>
      <c r="CD187" s="93"/>
      <c r="CE187" s="93"/>
      <c r="CF187" s="93"/>
      <c r="CG187" s="93"/>
      <c r="CH187" s="93"/>
      <c r="CI187" s="93"/>
      <c r="CJ187" s="93"/>
      <c r="CK187" s="93"/>
      <c r="CL187" s="93"/>
      <c r="CM187" s="93">
        <v>0.33186490455212925</v>
      </c>
      <c r="CN187" s="93"/>
      <c r="CO187" s="93"/>
      <c r="CP187" s="93"/>
      <c r="CQ187" s="93"/>
      <c r="CR187" s="93"/>
      <c r="CS187" s="93"/>
      <c r="CT187" s="93"/>
      <c r="CU187" s="93"/>
      <c r="CV187" s="93"/>
      <c r="CW187" s="93"/>
      <c r="CX187" s="93"/>
      <c r="CY187" s="93"/>
      <c r="CZ187" s="93"/>
      <c r="DA187" s="93"/>
      <c r="DB187" s="93"/>
      <c r="DC187" s="93"/>
      <c r="DD187" s="93"/>
      <c r="DE187" s="93"/>
      <c r="DF187" s="93"/>
      <c r="DG187" s="93"/>
      <c r="DH187" s="93"/>
      <c r="DI187" s="93"/>
      <c r="DJ187" s="93"/>
      <c r="DK187" s="93"/>
      <c r="DL187" s="93"/>
      <c r="DM187" s="93"/>
      <c r="DN187" s="93"/>
      <c r="DO187" s="93"/>
      <c r="DP187" s="93"/>
      <c r="DQ187" s="93"/>
      <c r="DR187" s="93"/>
      <c r="DS187" s="93"/>
      <c r="DT187" s="93"/>
      <c r="DU187" s="93"/>
      <c r="DV187" s="93"/>
      <c r="DW187" s="93"/>
      <c r="DX187" s="93"/>
      <c r="DY187" s="93"/>
      <c r="DZ187" s="93"/>
      <c r="EA187" s="93"/>
      <c r="EB187" s="93"/>
      <c r="EC187" s="93"/>
      <c r="ED187" s="93"/>
      <c r="EE187" s="93"/>
      <c r="EF187" s="93"/>
      <c r="EG187" s="93"/>
      <c r="EH187" s="93"/>
      <c r="EI187" s="93"/>
      <c r="EJ187" s="93"/>
      <c r="EK187" s="93"/>
      <c r="EL187" s="93"/>
      <c r="EM187" s="93"/>
      <c r="EN187" s="93"/>
      <c r="EO187" s="93"/>
      <c r="EP187" s="93"/>
      <c r="EQ187" s="93"/>
      <c r="ER187" s="93"/>
      <c r="ES187" s="93"/>
      <c r="ET187" s="93"/>
      <c r="EU187" s="93"/>
      <c r="EV187" s="93"/>
      <c r="EW187" s="93"/>
      <c r="EX187" s="93"/>
      <c r="EY187" s="93"/>
      <c r="EZ187" s="93"/>
      <c r="FA187" s="93"/>
      <c r="FB187" s="93"/>
      <c r="FC187" s="93"/>
      <c r="FD187" s="93"/>
      <c r="FE187" s="93"/>
      <c r="FF187" s="93"/>
      <c r="FG187" s="93"/>
      <c r="FH187" s="93"/>
      <c r="FI187" s="93"/>
      <c r="FJ187" s="93"/>
      <c r="FK187" s="93"/>
      <c r="FL187" s="93"/>
      <c r="FM187" s="93"/>
      <c r="FN187" s="93"/>
      <c r="FO187" s="93"/>
      <c r="FP187" s="93"/>
      <c r="FQ187" s="93"/>
      <c r="FR187" s="93"/>
      <c r="FS187" s="93"/>
      <c r="FT187" s="93"/>
      <c r="FU187" s="93"/>
      <c r="FV187" s="93"/>
      <c r="FW187" s="93"/>
      <c r="FX187" s="93"/>
      <c r="FY187" s="93"/>
      <c r="FZ187" s="93"/>
      <c r="GA187" s="93"/>
      <c r="GB187" s="93"/>
      <c r="GC187" s="93"/>
      <c r="GD187" s="93"/>
      <c r="GE187" s="93"/>
      <c r="GF187" s="93"/>
      <c r="GG187" s="93"/>
      <c r="GH187" s="93"/>
      <c r="GI187" s="93"/>
      <c r="GJ187" s="93"/>
      <c r="GK187" s="93"/>
      <c r="GL187" s="93"/>
      <c r="GM187" s="93"/>
      <c r="GN187" s="93"/>
      <c r="GO187" s="93"/>
      <c r="GP187" s="93"/>
      <c r="GQ187" s="93"/>
      <c r="GR187" s="93"/>
      <c r="GS187" s="93"/>
      <c r="GT187" s="93"/>
      <c r="GU187" s="93"/>
      <c r="GV187" s="93"/>
      <c r="GW187" s="93"/>
      <c r="GX187" s="93"/>
      <c r="GY187" s="93"/>
      <c r="GZ187" s="93"/>
      <c r="HA187" s="93"/>
      <c r="HB187" s="93"/>
      <c r="HC187" s="93"/>
      <c r="HD187" s="93"/>
      <c r="HE187" s="93"/>
      <c r="HF187" s="93"/>
      <c r="HG187" s="93"/>
    </row>
    <row r="188" spans="14:215" x14ac:dyDescent="0.2">
      <c r="N188" s="93" t="s">
        <v>405</v>
      </c>
      <c r="O188" s="93"/>
      <c r="P188" s="93"/>
      <c r="Q188" s="93"/>
      <c r="R188" s="93"/>
      <c r="S188" s="93"/>
      <c r="T188" s="93"/>
      <c r="U188" s="93"/>
      <c r="V188" s="93"/>
      <c r="W188" s="93"/>
      <c r="X188" s="93"/>
      <c r="Y188" s="93"/>
      <c r="Z188" s="93"/>
      <c r="AA188" s="93"/>
      <c r="AB188" s="93"/>
      <c r="AC188" s="93"/>
      <c r="AD188" s="93"/>
      <c r="AE188" s="93"/>
      <c r="AF188" s="93"/>
      <c r="AG188" s="93"/>
      <c r="AH188" s="93"/>
      <c r="AI188" s="93"/>
      <c r="AJ188" s="93"/>
      <c r="AK188" s="93"/>
      <c r="AL188" s="93"/>
      <c r="AM188" s="93"/>
      <c r="AN188" s="93"/>
      <c r="AO188" s="93"/>
      <c r="AP188" s="93"/>
      <c r="AQ188" s="93"/>
      <c r="AR188" s="93"/>
      <c r="AS188" s="93"/>
      <c r="AT188" s="93"/>
      <c r="AU188" s="93"/>
      <c r="AV188" s="93"/>
      <c r="AW188" s="93"/>
      <c r="AX188" s="93"/>
      <c r="AY188" s="93"/>
      <c r="AZ188" s="93"/>
      <c r="BA188" s="93"/>
      <c r="BB188" s="93"/>
      <c r="BC188" s="93"/>
      <c r="BD188" s="93"/>
      <c r="BE188" s="93"/>
      <c r="BF188" s="93"/>
      <c r="BG188" s="93"/>
      <c r="BH188" s="93"/>
      <c r="BI188" s="93"/>
      <c r="BJ188" s="93"/>
      <c r="BK188" s="93"/>
      <c r="BL188" s="93"/>
      <c r="BM188" s="93"/>
      <c r="BN188" s="93"/>
      <c r="BO188" s="93"/>
      <c r="BP188" s="93"/>
      <c r="BQ188" s="93"/>
      <c r="BR188" s="93"/>
      <c r="BS188" s="93"/>
      <c r="BT188" s="93"/>
      <c r="BU188" s="93"/>
      <c r="BV188" s="93"/>
      <c r="BW188" s="93"/>
      <c r="BX188" s="93"/>
      <c r="BY188" s="93"/>
      <c r="BZ188" s="93"/>
      <c r="CA188" s="93"/>
      <c r="CB188" s="93"/>
      <c r="CC188" s="93"/>
      <c r="CD188" s="93"/>
      <c r="CE188" s="93"/>
      <c r="CF188" s="93"/>
      <c r="CG188" s="93"/>
      <c r="CH188" s="93"/>
      <c r="CI188" s="93"/>
      <c r="CJ188" s="93"/>
      <c r="CK188" s="93"/>
      <c r="CL188" s="93"/>
      <c r="CM188" s="93"/>
      <c r="CN188" s="93">
        <v>0.3318840579710145</v>
      </c>
      <c r="CO188" s="93"/>
      <c r="CP188" s="93"/>
      <c r="CQ188" s="93"/>
      <c r="CR188" s="93"/>
      <c r="CS188" s="93"/>
      <c r="CT188" s="93"/>
      <c r="CU188" s="93"/>
      <c r="CV188" s="93"/>
      <c r="CW188" s="93"/>
      <c r="CX188" s="93"/>
      <c r="CY188" s="93"/>
      <c r="CZ188" s="93"/>
      <c r="DA188" s="93"/>
      <c r="DB188" s="93"/>
      <c r="DC188" s="93"/>
      <c r="DD188" s="93"/>
      <c r="DE188" s="93"/>
      <c r="DF188" s="93"/>
      <c r="DG188" s="93"/>
      <c r="DH188" s="93"/>
      <c r="DI188" s="93"/>
      <c r="DJ188" s="93"/>
      <c r="DK188" s="93"/>
      <c r="DL188" s="93"/>
      <c r="DM188" s="93"/>
      <c r="DN188" s="93"/>
      <c r="DO188" s="93"/>
      <c r="DP188" s="93"/>
      <c r="DQ188" s="93"/>
      <c r="DR188" s="93"/>
      <c r="DS188" s="93"/>
      <c r="DT188" s="93"/>
      <c r="DU188" s="93"/>
      <c r="DV188" s="93"/>
      <c r="DW188" s="93"/>
      <c r="DX188" s="93"/>
      <c r="DY188" s="93"/>
      <c r="DZ188" s="93"/>
      <c r="EA188" s="93"/>
      <c r="EB188" s="93"/>
      <c r="EC188" s="93"/>
      <c r="ED188" s="93"/>
      <c r="EE188" s="93"/>
      <c r="EF188" s="93"/>
      <c r="EG188" s="93"/>
      <c r="EH188" s="93"/>
      <c r="EI188" s="93"/>
      <c r="EJ188" s="93"/>
      <c r="EK188" s="93"/>
      <c r="EL188" s="93"/>
      <c r="EM188" s="93"/>
      <c r="EN188" s="93"/>
      <c r="EO188" s="93"/>
      <c r="EP188" s="93"/>
      <c r="EQ188" s="93"/>
      <c r="ER188" s="93"/>
      <c r="ES188" s="93"/>
      <c r="ET188" s="93"/>
      <c r="EU188" s="93"/>
      <c r="EV188" s="93"/>
      <c r="EW188" s="93"/>
      <c r="EX188" s="93"/>
      <c r="EY188" s="93"/>
      <c r="EZ188" s="93"/>
      <c r="FA188" s="93"/>
      <c r="FB188" s="93"/>
      <c r="FC188" s="93"/>
      <c r="FD188" s="93"/>
      <c r="FE188" s="93"/>
      <c r="FF188" s="93"/>
      <c r="FG188" s="93"/>
      <c r="FH188" s="93"/>
      <c r="FI188" s="93"/>
      <c r="FJ188" s="93"/>
      <c r="FK188" s="93"/>
      <c r="FL188" s="93"/>
      <c r="FM188" s="93"/>
      <c r="FN188" s="93"/>
      <c r="FO188" s="93"/>
      <c r="FP188" s="93"/>
      <c r="FQ188" s="93"/>
      <c r="FR188" s="93"/>
      <c r="FS188" s="93"/>
      <c r="FT188" s="93"/>
      <c r="FU188" s="93"/>
      <c r="FV188" s="93"/>
      <c r="FW188" s="93"/>
      <c r="FX188" s="93"/>
      <c r="FY188" s="93"/>
      <c r="FZ188" s="93"/>
      <c r="GA188" s="93"/>
      <c r="GB188" s="93"/>
      <c r="GC188" s="93"/>
      <c r="GD188" s="93"/>
      <c r="GE188" s="93"/>
      <c r="GF188" s="93"/>
      <c r="GG188" s="93"/>
      <c r="GH188" s="93"/>
      <c r="GI188" s="93"/>
      <c r="GJ188" s="93"/>
      <c r="GK188" s="93"/>
      <c r="GL188" s="93"/>
      <c r="GM188" s="93"/>
      <c r="GN188" s="93"/>
      <c r="GO188" s="93"/>
      <c r="GP188" s="93"/>
      <c r="GQ188" s="93"/>
      <c r="GR188" s="93"/>
      <c r="GS188" s="93"/>
      <c r="GT188" s="93"/>
      <c r="GU188" s="93"/>
      <c r="GV188" s="93"/>
      <c r="GW188" s="93"/>
      <c r="GX188" s="93"/>
      <c r="GY188" s="93"/>
      <c r="GZ188" s="93"/>
      <c r="HA188" s="93"/>
      <c r="HB188" s="93"/>
      <c r="HC188" s="93"/>
      <c r="HD188" s="93"/>
      <c r="HE188" s="93"/>
      <c r="HF188" s="93"/>
      <c r="HG188" s="93"/>
    </row>
    <row r="189" spans="14:215" x14ac:dyDescent="0.2">
      <c r="N189" s="93" t="s">
        <v>406</v>
      </c>
      <c r="O189" s="93"/>
      <c r="P189" s="93"/>
      <c r="Q189" s="93"/>
      <c r="R189" s="93"/>
      <c r="S189" s="93"/>
      <c r="T189" s="93"/>
      <c r="U189" s="93"/>
      <c r="V189" s="93"/>
      <c r="W189" s="93"/>
      <c r="X189" s="93"/>
      <c r="Y189" s="93"/>
      <c r="Z189" s="93"/>
      <c r="AA189" s="93"/>
      <c r="AB189" s="93"/>
      <c r="AC189" s="93"/>
      <c r="AD189" s="93"/>
      <c r="AE189" s="93"/>
      <c r="AF189" s="93"/>
      <c r="AG189" s="93"/>
      <c r="AH189" s="93"/>
      <c r="AI189" s="93"/>
      <c r="AJ189" s="93"/>
      <c r="AK189" s="93"/>
      <c r="AL189" s="93"/>
      <c r="AM189" s="93"/>
      <c r="AN189" s="93"/>
      <c r="AO189" s="93"/>
      <c r="AP189" s="93"/>
      <c r="AQ189" s="93"/>
      <c r="AR189" s="93"/>
      <c r="AS189" s="93"/>
      <c r="AT189" s="93"/>
      <c r="AU189" s="93"/>
      <c r="AV189" s="93"/>
      <c r="AW189" s="93"/>
      <c r="AX189" s="93"/>
      <c r="AY189" s="93"/>
      <c r="AZ189" s="93"/>
      <c r="BA189" s="93"/>
      <c r="BB189" s="93"/>
      <c r="BC189" s="93"/>
      <c r="BD189" s="93"/>
      <c r="BE189" s="93"/>
      <c r="BF189" s="93"/>
      <c r="BG189" s="93"/>
      <c r="BH189" s="93"/>
      <c r="BI189" s="93"/>
      <c r="BJ189" s="93"/>
      <c r="BK189" s="93"/>
      <c r="BL189" s="93"/>
      <c r="BM189" s="93"/>
      <c r="BN189" s="93"/>
      <c r="BO189" s="93"/>
      <c r="BP189" s="93"/>
      <c r="BQ189" s="93"/>
      <c r="BR189" s="93"/>
      <c r="BS189" s="93"/>
      <c r="BT189" s="93"/>
      <c r="BU189" s="93"/>
      <c r="BV189" s="93"/>
      <c r="BW189" s="93"/>
      <c r="BX189" s="93"/>
      <c r="BY189" s="93"/>
      <c r="BZ189" s="93"/>
      <c r="CA189" s="93"/>
      <c r="CB189" s="93"/>
      <c r="CC189" s="93"/>
      <c r="CD189" s="93"/>
      <c r="CE189" s="93"/>
      <c r="CF189" s="93"/>
      <c r="CG189" s="93"/>
      <c r="CH189" s="93"/>
      <c r="CI189" s="93"/>
      <c r="CJ189" s="93"/>
      <c r="CK189" s="93"/>
      <c r="CL189" s="93"/>
      <c r="CM189" s="93"/>
      <c r="CN189" s="93"/>
      <c r="CO189" s="93">
        <v>0.33190271816881262</v>
      </c>
      <c r="CP189" s="93"/>
      <c r="CQ189" s="93"/>
      <c r="CR189" s="93"/>
      <c r="CS189" s="93"/>
      <c r="CT189" s="93"/>
      <c r="CU189" s="93"/>
      <c r="CV189" s="93"/>
      <c r="CW189" s="93"/>
      <c r="CX189" s="93"/>
      <c r="CY189" s="93"/>
      <c r="CZ189" s="93"/>
      <c r="DA189" s="93"/>
      <c r="DB189" s="93"/>
      <c r="DC189" s="93"/>
      <c r="DD189" s="93"/>
      <c r="DE189" s="93"/>
      <c r="DF189" s="93"/>
      <c r="DG189" s="93"/>
      <c r="DH189" s="93"/>
      <c r="DI189" s="93"/>
      <c r="DJ189" s="93"/>
      <c r="DK189" s="93"/>
      <c r="DL189" s="93"/>
      <c r="DM189" s="93"/>
      <c r="DN189" s="93"/>
      <c r="DO189" s="93"/>
      <c r="DP189" s="93"/>
      <c r="DQ189" s="93"/>
      <c r="DR189" s="93"/>
      <c r="DS189" s="93"/>
      <c r="DT189" s="93"/>
      <c r="DU189" s="93"/>
      <c r="DV189" s="93"/>
      <c r="DW189" s="93"/>
      <c r="DX189" s="93"/>
      <c r="DY189" s="93"/>
      <c r="DZ189" s="93"/>
      <c r="EA189" s="93"/>
      <c r="EB189" s="93"/>
      <c r="EC189" s="93"/>
      <c r="ED189" s="93"/>
      <c r="EE189" s="93"/>
      <c r="EF189" s="93"/>
      <c r="EG189" s="93"/>
      <c r="EH189" s="93"/>
      <c r="EI189" s="93"/>
      <c r="EJ189" s="93"/>
      <c r="EK189" s="93"/>
      <c r="EL189" s="93"/>
      <c r="EM189" s="93"/>
      <c r="EN189" s="93"/>
      <c r="EO189" s="93"/>
      <c r="EP189" s="93"/>
      <c r="EQ189" s="93"/>
      <c r="ER189" s="93"/>
      <c r="ES189" s="93"/>
      <c r="ET189" s="93"/>
      <c r="EU189" s="93"/>
      <c r="EV189" s="93"/>
      <c r="EW189" s="93"/>
      <c r="EX189" s="93"/>
      <c r="EY189" s="93"/>
      <c r="EZ189" s="93"/>
      <c r="FA189" s="93"/>
      <c r="FB189" s="93"/>
      <c r="FC189" s="93"/>
      <c r="FD189" s="93"/>
      <c r="FE189" s="93"/>
      <c r="FF189" s="93"/>
      <c r="FG189" s="93"/>
      <c r="FH189" s="93"/>
      <c r="FI189" s="93"/>
      <c r="FJ189" s="93"/>
      <c r="FK189" s="93"/>
      <c r="FL189" s="93"/>
      <c r="FM189" s="93"/>
      <c r="FN189" s="93"/>
      <c r="FO189" s="93"/>
      <c r="FP189" s="93"/>
      <c r="FQ189" s="93"/>
      <c r="FR189" s="93"/>
      <c r="FS189" s="93"/>
      <c r="FT189" s="93"/>
      <c r="FU189" s="93"/>
      <c r="FV189" s="93"/>
      <c r="FW189" s="93"/>
      <c r="FX189" s="93"/>
      <c r="FY189" s="93"/>
      <c r="FZ189" s="93"/>
      <c r="GA189" s="93"/>
      <c r="GB189" s="93"/>
      <c r="GC189" s="93"/>
      <c r="GD189" s="93"/>
      <c r="GE189" s="93"/>
      <c r="GF189" s="93"/>
      <c r="GG189" s="93"/>
      <c r="GH189" s="93"/>
      <c r="GI189" s="93"/>
      <c r="GJ189" s="93"/>
      <c r="GK189" s="93"/>
      <c r="GL189" s="93"/>
      <c r="GM189" s="93"/>
      <c r="GN189" s="93"/>
      <c r="GO189" s="93"/>
      <c r="GP189" s="93"/>
      <c r="GQ189" s="93"/>
      <c r="GR189" s="93"/>
      <c r="GS189" s="93"/>
      <c r="GT189" s="93"/>
      <c r="GU189" s="93"/>
      <c r="GV189" s="93"/>
      <c r="GW189" s="93"/>
      <c r="GX189" s="93"/>
      <c r="GY189" s="93"/>
      <c r="GZ189" s="93"/>
      <c r="HA189" s="93"/>
      <c r="HB189" s="93"/>
      <c r="HC189" s="93"/>
      <c r="HD189" s="93"/>
      <c r="HE189" s="93"/>
      <c r="HF189" s="93"/>
      <c r="HG189" s="93"/>
    </row>
    <row r="190" spans="14:215" x14ac:dyDescent="0.2">
      <c r="N190" s="93" t="s">
        <v>407</v>
      </c>
      <c r="O190" s="93"/>
      <c r="P190" s="93"/>
      <c r="Q190" s="93"/>
      <c r="R190" s="93"/>
      <c r="S190" s="93"/>
      <c r="T190" s="93"/>
      <c r="U190" s="93"/>
      <c r="V190" s="93"/>
      <c r="W190" s="93"/>
      <c r="X190" s="93"/>
      <c r="Y190" s="93"/>
      <c r="Z190" s="93"/>
      <c r="AA190" s="93"/>
      <c r="AB190" s="93"/>
      <c r="AC190" s="93"/>
      <c r="AD190" s="93"/>
      <c r="AE190" s="93"/>
      <c r="AF190" s="93"/>
      <c r="AG190" s="93"/>
      <c r="AH190" s="93"/>
      <c r="AI190" s="93"/>
      <c r="AJ190" s="93"/>
      <c r="AK190" s="93"/>
      <c r="AL190" s="93"/>
      <c r="AM190" s="93"/>
      <c r="AN190" s="93"/>
      <c r="AO190" s="93"/>
      <c r="AP190" s="93"/>
      <c r="AQ190" s="93"/>
      <c r="AR190" s="93"/>
      <c r="AS190" s="93"/>
      <c r="AT190" s="93"/>
      <c r="AU190" s="93"/>
      <c r="AV190" s="93"/>
      <c r="AW190" s="93"/>
      <c r="AX190" s="93"/>
      <c r="AY190" s="93"/>
      <c r="AZ190" s="93"/>
      <c r="BA190" s="93"/>
      <c r="BB190" s="93"/>
      <c r="BC190" s="93"/>
      <c r="BD190" s="93"/>
      <c r="BE190" s="93"/>
      <c r="BF190" s="93"/>
      <c r="BG190" s="93"/>
      <c r="BH190" s="93"/>
      <c r="BI190" s="93"/>
      <c r="BJ190" s="93"/>
      <c r="BK190" s="93"/>
      <c r="BL190" s="93"/>
      <c r="BM190" s="93"/>
      <c r="BN190" s="93"/>
      <c r="BO190" s="93"/>
      <c r="BP190" s="93"/>
      <c r="BQ190" s="93"/>
      <c r="BR190" s="93"/>
      <c r="BS190" s="93"/>
      <c r="BT190" s="93"/>
      <c r="BU190" s="93"/>
      <c r="BV190" s="93"/>
      <c r="BW190" s="93"/>
      <c r="BX190" s="93"/>
      <c r="BY190" s="93"/>
      <c r="BZ190" s="93"/>
      <c r="CA190" s="93"/>
      <c r="CB190" s="93"/>
      <c r="CC190" s="93"/>
      <c r="CD190" s="93"/>
      <c r="CE190" s="93"/>
      <c r="CF190" s="93"/>
      <c r="CG190" s="93"/>
      <c r="CH190" s="93"/>
      <c r="CI190" s="93"/>
      <c r="CJ190" s="93"/>
      <c r="CK190" s="93"/>
      <c r="CL190" s="93"/>
      <c r="CM190" s="93"/>
      <c r="CN190" s="93"/>
      <c r="CO190" s="93"/>
      <c r="CP190" s="93">
        <v>0.33192090395480228</v>
      </c>
      <c r="CQ190" s="93"/>
      <c r="CR190" s="93"/>
      <c r="CS190" s="93"/>
      <c r="CT190" s="93"/>
      <c r="CU190" s="93"/>
      <c r="CV190" s="93"/>
      <c r="CW190" s="93"/>
      <c r="CX190" s="93"/>
      <c r="CY190" s="93"/>
      <c r="CZ190" s="93"/>
      <c r="DA190" s="93"/>
      <c r="DB190" s="93"/>
      <c r="DC190" s="93"/>
      <c r="DD190" s="93"/>
      <c r="DE190" s="93"/>
      <c r="DF190" s="93"/>
      <c r="DG190" s="93"/>
      <c r="DH190" s="93"/>
      <c r="DI190" s="93"/>
      <c r="DJ190" s="93"/>
      <c r="DK190" s="93"/>
      <c r="DL190" s="93"/>
      <c r="DM190" s="93"/>
      <c r="DN190" s="93"/>
      <c r="DO190" s="93"/>
      <c r="DP190" s="93"/>
      <c r="DQ190" s="93"/>
      <c r="DR190" s="93"/>
      <c r="DS190" s="93"/>
      <c r="DT190" s="93"/>
      <c r="DU190" s="93"/>
      <c r="DV190" s="93"/>
      <c r="DW190" s="93"/>
      <c r="DX190" s="93"/>
      <c r="DY190" s="93"/>
      <c r="DZ190" s="93"/>
      <c r="EA190" s="93"/>
      <c r="EB190" s="93"/>
      <c r="EC190" s="93"/>
      <c r="ED190" s="93"/>
      <c r="EE190" s="93"/>
      <c r="EF190" s="93"/>
      <c r="EG190" s="93"/>
      <c r="EH190" s="93"/>
      <c r="EI190" s="93"/>
      <c r="EJ190" s="93"/>
      <c r="EK190" s="93"/>
      <c r="EL190" s="93"/>
      <c r="EM190" s="93"/>
      <c r="EN190" s="93"/>
      <c r="EO190" s="93"/>
      <c r="EP190" s="93"/>
      <c r="EQ190" s="93"/>
      <c r="ER190" s="93"/>
      <c r="ES190" s="93"/>
      <c r="ET190" s="93"/>
      <c r="EU190" s="93"/>
      <c r="EV190" s="93"/>
      <c r="EW190" s="93"/>
      <c r="EX190" s="93"/>
      <c r="EY190" s="93"/>
      <c r="EZ190" s="93"/>
      <c r="FA190" s="93"/>
      <c r="FB190" s="93"/>
      <c r="FC190" s="93"/>
      <c r="FD190" s="93"/>
      <c r="FE190" s="93"/>
      <c r="FF190" s="93"/>
      <c r="FG190" s="93"/>
      <c r="FH190" s="93"/>
      <c r="FI190" s="93"/>
      <c r="FJ190" s="93"/>
      <c r="FK190" s="93"/>
      <c r="FL190" s="93"/>
      <c r="FM190" s="93"/>
      <c r="FN190" s="93"/>
      <c r="FO190" s="93"/>
      <c r="FP190" s="93"/>
      <c r="FQ190" s="93"/>
      <c r="FR190" s="93"/>
      <c r="FS190" s="93"/>
      <c r="FT190" s="93"/>
      <c r="FU190" s="93"/>
      <c r="FV190" s="93"/>
      <c r="FW190" s="93"/>
      <c r="FX190" s="93"/>
      <c r="FY190" s="93"/>
      <c r="FZ190" s="93"/>
      <c r="GA190" s="93"/>
      <c r="GB190" s="93"/>
      <c r="GC190" s="93"/>
      <c r="GD190" s="93"/>
      <c r="GE190" s="93"/>
      <c r="GF190" s="93"/>
      <c r="GG190" s="93"/>
      <c r="GH190" s="93"/>
      <c r="GI190" s="93"/>
      <c r="GJ190" s="93"/>
      <c r="GK190" s="93"/>
      <c r="GL190" s="93"/>
      <c r="GM190" s="93"/>
      <c r="GN190" s="93"/>
      <c r="GO190" s="93"/>
      <c r="GP190" s="93"/>
      <c r="GQ190" s="93"/>
      <c r="GR190" s="93"/>
      <c r="GS190" s="93"/>
      <c r="GT190" s="93"/>
      <c r="GU190" s="93"/>
      <c r="GV190" s="93"/>
      <c r="GW190" s="93"/>
      <c r="GX190" s="93"/>
      <c r="GY190" s="93"/>
      <c r="GZ190" s="93"/>
      <c r="HA190" s="93"/>
      <c r="HB190" s="93"/>
      <c r="HC190" s="93"/>
      <c r="HD190" s="93"/>
      <c r="HE190" s="93"/>
      <c r="HF190" s="93"/>
      <c r="HG190" s="93"/>
    </row>
    <row r="191" spans="14:215" x14ac:dyDescent="0.2">
      <c r="N191" s="93" t="s">
        <v>408</v>
      </c>
      <c r="O191" s="93"/>
      <c r="P191" s="93"/>
      <c r="Q191" s="93"/>
      <c r="R191" s="93"/>
      <c r="S191" s="93"/>
      <c r="T191" s="93"/>
      <c r="U191" s="93"/>
      <c r="V191" s="93"/>
      <c r="W191" s="93"/>
      <c r="X191" s="93"/>
      <c r="Y191" s="93"/>
      <c r="Z191" s="93"/>
      <c r="AA191" s="93"/>
      <c r="AB191" s="93"/>
      <c r="AC191" s="93"/>
      <c r="AD191" s="93"/>
      <c r="AE191" s="93"/>
      <c r="AF191" s="93"/>
      <c r="AG191" s="93"/>
      <c r="AH191" s="93"/>
      <c r="AI191" s="93"/>
      <c r="AJ191" s="93"/>
      <c r="AK191" s="93"/>
      <c r="AL191" s="93"/>
      <c r="AM191" s="93"/>
      <c r="AN191" s="93"/>
      <c r="AO191" s="93"/>
      <c r="AP191" s="93"/>
      <c r="AQ191" s="93"/>
      <c r="AR191" s="93"/>
      <c r="AS191" s="93"/>
      <c r="AT191" s="93"/>
      <c r="AU191" s="93"/>
      <c r="AV191" s="93"/>
      <c r="AW191" s="93"/>
      <c r="AX191" s="93"/>
      <c r="AY191" s="93"/>
      <c r="AZ191" s="93"/>
      <c r="BA191" s="93"/>
      <c r="BB191" s="93"/>
      <c r="BC191" s="93"/>
      <c r="BD191" s="93"/>
      <c r="BE191" s="93"/>
      <c r="BF191" s="93"/>
      <c r="BG191" s="93"/>
      <c r="BH191" s="93"/>
      <c r="BI191" s="93"/>
      <c r="BJ191" s="93"/>
      <c r="BK191" s="93"/>
      <c r="BL191" s="93"/>
      <c r="BM191" s="93"/>
      <c r="BN191" s="93"/>
      <c r="BO191" s="93"/>
      <c r="BP191" s="93"/>
      <c r="BQ191" s="93"/>
      <c r="BR191" s="93"/>
      <c r="BS191" s="93"/>
      <c r="BT191" s="93"/>
      <c r="BU191" s="93"/>
      <c r="BV191" s="93"/>
      <c r="BW191" s="93"/>
      <c r="BX191" s="93"/>
      <c r="BY191" s="93"/>
      <c r="BZ191" s="93"/>
      <c r="CA191" s="93"/>
      <c r="CB191" s="93"/>
      <c r="CC191" s="93"/>
      <c r="CD191" s="93"/>
      <c r="CE191" s="93"/>
      <c r="CF191" s="93"/>
      <c r="CG191" s="93"/>
      <c r="CH191" s="93"/>
      <c r="CI191" s="93"/>
      <c r="CJ191" s="93"/>
      <c r="CK191" s="93"/>
      <c r="CL191" s="93"/>
      <c r="CM191" s="93"/>
      <c r="CN191" s="93"/>
      <c r="CO191" s="93"/>
      <c r="CP191" s="93"/>
      <c r="CQ191" s="93">
        <v>0.3319386331938633</v>
      </c>
      <c r="CR191" s="93"/>
      <c r="CS191" s="93"/>
      <c r="CT191" s="93"/>
      <c r="CU191" s="93"/>
      <c r="CV191" s="93"/>
      <c r="CW191" s="93"/>
      <c r="CX191" s="93"/>
      <c r="CY191" s="93"/>
      <c r="CZ191" s="93"/>
      <c r="DA191" s="93"/>
      <c r="DB191" s="93"/>
      <c r="DC191" s="93"/>
      <c r="DD191" s="93"/>
      <c r="DE191" s="93"/>
      <c r="DF191" s="93"/>
      <c r="DG191" s="93"/>
      <c r="DH191" s="93"/>
      <c r="DI191" s="93"/>
      <c r="DJ191" s="93"/>
      <c r="DK191" s="93"/>
      <c r="DL191" s="93"/>
      <c r="DM191" s="93"/>
      <c r="DN191" s="93"/>
      <c r="DO191" s="93"/>
      <c r="DP191" s="93"/>
      <c r="DQ191" s="93"/>
      <c r="DR191" s="93"/>
      <c r="DS191" s="93"/>
      <c r="DT191" s="93"/>
      <c r="DU191" s="93"/>
      <c r="DV191" s="93"/>
      <c r="DW191" s="93"/>
      <c r="DX191" s="93"/>
      <c r="DY191" s="93"/>
      <c r="DZ191" s="93"/>
      <c r="EA191" s="93"/>
      <c r="EB191" s="93"/>
      <c r="EC191" s="93"/>
      <c r="ED191" s="93"/>
      <c r="EE191" s="93"/>
      <c r="EF191" s="93"/>
      <c r="EG191" s="93"/>
      <c r="EH191" s="93"/>
      <c r="EI191" s="93"/>
      <c r="EJ191" s="93"/>
      <c r="EK191" s="93"/>
      <c r="EL191" s="93"/>
      <c r="EM191" s="93"/>
      <c r="EN191" s="93"/>
      <c r="EO191" s="93"/>
      <c r="EP191" s="93"/>
      <c r="EQ191" s="93"/>
      <c r="ER191" s="93"/>
      <c r="ES191" s="93"/>
      <c r="ET191" s="93"/>
      <c r="EU191" s="93"/>
      <c r="EV191" s="93"/>
      <c r="EW191" s="93"/>
      <c r="EX191" s="93"/>
      <c r="EY191" s="93"/>
      <c r="EZ191" s="93"/>
      <c r="FA191" s="93"/>
      <c r="FB191" s="93"/>
      <c r="FC191" s="93"/>
      <c r="FD191" s="93"/>
      <c r="FE191" s="93"/>
      <c r="FF191" s="93"/>
      <c r="FG191" s="93"/>
      <c r="FH191" s="93"/>
      <c r="FI191" s="93"/>
      <c r="FJ191" s="93"/>
      <c r="FK191" s="93"/>
      <c r="FL191" s="93"/>
      <c r="FM191" s="93"/>
      <c r="FN191" s="93"/>
      <c r="FO191" s="93"/>
      <c r="FP191" s="93"/>
      <c r="FQ191" s="93"/>
      <c r="FR191" s="93"/>
      <c r="FS191" s="93"/>
      <c r="FT191" s="93"/>
      <c r="FU191" s="93"/>
      <c r="FV191" s="93"/>
      <c r="FW191" s="93"/>
      <c r="FX191" s="93"/>
      <c r="FY191" s="93"/>
      <c r="FZ191" s="93"/>
      <c r="GA191" s="93"/>
      <c r="GB191" s="93"/>
      <c r="GC191" s="93"/>
      <c r="GD191" s="93"/>
      <c r="GE191" s="93"/>
      <c r="GF191" s="93"/>
      <c r="GG191" s="93"/>
      <c r="GH191" s="93"/>
      <c r="GI191" s="93"/>
      <c r="GJ191" s="93"/>
      <c r="GK191" s="93"/>
      <c r="GL191" s="93"/>
      <c r="GM191" s="93"/>
      <c r="GN191" s="93"/>
      <c r="GO191" s="93"/>
      <c r="GP191" s="93"/>
      <c r="GQ191" s="93"/>
      <c r="GR191" s="93"/>
      <c r="GS191" s="93"/>
      <c r="GT191" s="93"/>
      <c r="GU191" s="93"/>
      <c r="GV191" s="93"/>
      <c r="GW191" s="93"/>
      <c r="GX191" s="93"/>
      <c r="GY191" s="93"/>
      <c r="GZ191" s="93"/>
      <c r="HA191" s="93"/>
      <c r="HB191" s="93"/>
      <c r="HC191" s="93"/>
      <c r="HD191" s="93"/>
      <c r="HE191" s="93"/>
      <c r="HF191" s="93"/>
      <c r="HG191" s="93"/>
    </row>
    <row r="192" spans="14:215" x14ac:dyDescent="0.2">
      <c r="N192" s="93" t="s">
        <v>409</v>
      </c>
      <c r="O192" s="93"/>
      <c r="P192" s="93"/>
      <c r="Q192" s="93"/>
      <c r="R192" s="93"/>
      <c r="S192" s="93"/>
      <c r="T192" s="93"/>
      <c r="U192" s="93"/>
      <c r="V192" s="93"/>
      <c r="W192" s="93"/>
      <c r="X192" s="93"/>
      <c r="Y192" s="93"/>
      <c r="Z192" s="93"/>
      <c r="AA192" s="93"/>
      <c r="AB192" s="93"/>
      <c r="AC192" s="93"/>
      <c r="AD192" s="93"/>
      <c r="AE192" s="93"/>
      <c r="AF192" s="93"/>
      <c r="AG192" s="93"/>
      <c r="AH192" s="93"/>
      <c r="AI192" s="93"/>
      <c r="AJ192" s="93"/>
      <c r="AK192" s="93"/>
      <c r="AL192" s="93"/>
      <c r="AM192" s="93"/>
      <c r="AN192" s="93"/>
      <c r="AO192" s="93"/>
      <c r="AP192" s="93"/>
      <c r="AQ192" s="93"/>
      <c r="AR192" s="93"/>
      <c r="AS192" s="93"/>
      <c r="AT192" s="93"/>
      <c r="AU192" s="93"/>
      <c r="AV192" s="93"/>
      <c r="AW192" s="93"/>
      <c r="AX192" s="93"/>
      <c r="AY192" s="93"/>
      <c r="AZ192" s="93"/>
      <c r="BA192" s="93"/>
      <c r="BB192" s="93"/>
      <c r="BC192" s="93"/>
      <c r="BD192" s="93"/>
      <c r="BE192" s="93"/>
      <c r="BF192" s="93"/>
      <c r="BG192" s="93"/>
      <c r="BH192" s="93"/>
      <c r="BI192" s="93"/>
      <c r="BJ192" s="93"/>
      <c r="BK192" s="93"/>
      <c r="BL192" s="93"/>
      <c r="BM192" s="93"/>
      <c r="BN192" s="93"/>
      <c r="BO192" s="93"/>
      <c r="BP192" s="93"/>
      <c r="BQ192" s="93"/>
      <c r="BR192" s="93"/>
      <c r="BS192" s="93"/>
      <c r="BT192" s="93"/>
      <c r="BU192" s="93"/>
      <c r="BV192" s="93"/>
      <c r="BW192" s="93"/>
      <c r="BX192" s="93"/>
      <c r="BY192" s="93"/>
      <c r="BZ192" s="93"/>
      <c r="CA192" s="93"/>
      <c r="CB192" s="93"/>
      <c r="CC192" s="93"/>
      <c r="CD192" s="93"/>
      <c r="CE192" s="93"/>
      <c r="CF192" s="93"/>
      <c r="CG192" s="93"/>
      <c r="CH192" s="93"/>
      <c r="CI192" s="93"/>
      <c r="CJ192" s="93"/>
      <c r="CK192" s="93"/>
      <c r="CL192" s="93"/>
      <c r="CM192" s="93"/>
      <c r="CN192" s="93"/>
      <c r="CO192" s="93"/>
      <c r="CP192" s="93"/>
      <c r="CQ192" s="93"/>
      <c r="CR192" s="93">
        <v>0.3319559228650138</v>
      </c>
      <c r="CS192" s="93"/>
      <c r="CT192" s="93"/>
      <c r="CU192" s="93"/>
      <c r="CV192" s="93"/>
      <c r="CW192" s="93"/>
      <c r="CX192" s="93"/>
      <c r="CY192" s="93"/>
      <c r="CZ192" s="93"/>
      <c r="DA192" s="93"/>
      <c r="DB192" s="93"/>
      <c r="DC192" s="93"/>
      <c r="DD192" s="93"/>
      <c r="DE192" s="93"/>
      <c r="DF192" s="93"/>
      <c r="DG192" s="93"/>
      <c r="DH192" s="93"/>
      <c r="DI192" s="93"/>
      <c r="DJ192" s="93"/>
      <c r="DK192" s="93"/>
      <c r="DL192" s="93"/>
      <c r="DM192" s="93"/>
      <c r="DN192" s="93"/>
      <c r="DO192" s="93"/>
      <c r="DP192" s="93"/>
      <c r="DQ192" s="93"/>
      <c r="DR192" s="93"/>
      <c r="DS192" s="93"/>
      <c r="DT192" s="93"/>
      <c r="DU192" s="93"/>
      <c r="DV192" s="93"/>
      <c r="DW192" s="93"/>
      <c r="DX192" s="93"/>
      <c r="DY192" s="93"/>
      <c r="DZ192" s="93"/>
      <c r="EA192" s="93"/>
      <c r="EB192" s="93"/>
      <c r="EC192" s="93"/>
      <c r="ED192" s="93"/>
      <c r="EE192" s="93"/>
      <c r="EF192" s="93"/>
      <c r="EG192" s="93"/>
      <c r="EH192" s="93"/>
      <c r="EI192" s="93"/>
      <c r="EJ192" s="93"/>
      <c r="EK192" s="93"/>
      <c r="EL192" s="93"/>
      <c r="EM192" s="93"/>
      <c r="EN192" s="93"/>
      <c r="EO192" s="93"/>
      <c r="EP192" s="93"/>
      <c r="EQ192" s="93"/>
      <c r="ER192" s="93"/>
      <c r="ES192" s="93"/>
      <c r="ET192" s="93"/>
      <c r="EU192" s="93"/>
      <c r="EV192" s="93"/>
      <c r="EW192" s="93"/>
      <c r="EX192" s="93"/>
      <c r="EY192" s="93"/>
      <c r="EZ192" s="93"/>
      <c r="FA192" s="93"/>
      <c r="FB192" s="93"/>
      <c r="FC192" s="93"/>
      <c r="FD192" s="93"/>
      <c r="FE192" s="93"/>
      <c r="FF192" s="93"/>
      <c r="FG192" s="93"/>
      <c r="FH192" s="93"/>
      <c r="FI192" s="93"/>
      <c r="FJ192" s="93"/>
      <c r="FK192" s="93"/>
      <c r="FL192" s="93"/>
      <c r="FM192" s="93"/>
      <c r="FN192" s="93"/>
      <c r="FO192" s="93"/>
      <c r="FP192" s="93"/>
      <c r="FQ192" s="93"/>
      <c r="FR192" s="93"/>
      <c r="FS192" s="93"/>
      <c r="FT192" s="93"/>
      <c r="FU192" s="93"/>
      <c r="FV192" s="93"/>
      <c r="FW192" s="93"/>
      <c r="FX192" s="93"/>
      <c r="FY192" s="93"/>
      <c r="FZ192" s="93"/>
      <c r="GA192" s="93"/>
      <c r="GB192" s="93"/>
      <c r="GC192" s="93"/>
      <c r="GD192" s="93"/>
      <c r="GE192" s="93"/>
      <c r="GF192" s="93"/>
      <c r="GG192" s="93"/>
      <c r="GH192" s="93"/>
      <c r="GI192" s="93"/>
      <c r="GJ192" s="93"/>
      <c r="GK192" s="93"/>
      <c r="GL192" s="93"/>
      <c r="GM192" s="93"/>
      <c r="GN192" s="93"/>
      <c r="GO192" s="93"/>
      <c r="GP192" s="93"/>
      <c r="GQ192" s="93"/>
      <c r="GR192" s="93"/>
      <c r="GS192" s="93"/>
      <c r="GT192" s="93"/>
      <c r="GU192" s="93"/>
      <c r="GV192" s="93"/>
      <c r="GW192" s="93"/>
      <c r="GX192" s="93"/>
      <c r="GY192" s="93"/>
      <c r="GZ192" s="93"/>
      <c r="HA192" s="93"/>
      <c r="HB192" s="93"/>
      <c r="HC192" s="93"/>
      <c r="HD192" s="93"/>
      <c r="HE192" s="93"/>
      <c r="HF192" s="93"/>
      <c r="HG192" s="93"/>
    </row>
    <row r="193" spans="14:215" x14ac:dyDescent="0.2">
      <c r="N193" s="93" t="s">
        <v>410</v>
      </c>
      <c r="O193" s="93"/>
      <c r="P193" s="93"/>
      <c r="Q193" s="93"/>
      <c r="R193" s="93"/>
      <c r="S193" s="93"/>
      <c r="T193" s="93"/>
      <c r="U193" s="93"/>
      <c r="V193" s="93"/>
      <c r="W193" s="93"/>
      <c r="X193" s="93"/>
      <c r="Y193" s="93"/>
      <c r="Z193" s="93"/>
      <c r="AA193" s="93"/>
      <c r="AB193" s="93"/>
      <c r="AC193" s="93"/>
      <c r="AD193" s="93"/>
      <c r="AE193" s="93"/>
      <c r="AF193" s="93"/>
      <c r="AG193" s="93"/>
      <c r="AH193" s="93"/>
      <c r="AI193" s="93"/>
      <c r="AJ193" s="93"/>
      <c r="AK193" s="93"/>
      <c r="AL193" s="93"/>
      <c r="AM193" s="93"/>
      <c r="AN193" s="93"/>
      <c r="AO193" s="93"/>
      <c r="AP193" s="93"/>
      <c r="AQ193" s="93"/>
      <c r="AR193" s="93"/>
      <c r="AS193" s="93"/>
      <c r="AT193" s="93"/>
      <c r="AU193" s="93"/>
      <c r="AV193" s="93"/>
      <c r="AW193" s="93"/>
      <c r="AX193" s="93"/>
      <c r="AY193" s="93"/>
      <c r="AZ193" s="93"/>
      <c r="BA193" s="93"/>
      <c r="BB193" s="93"/>
      <c r="BC193" s="93"/>
      <c r="BD193" s="93"/>
      <c r="BE193" s="93"/>
      <c r="BF193" s="93"/>
      <c r="BG193" s="93"/>
      <c r="BH193" s="93"/>
      <c r="BI193" s="93"/>
      <c r="BJ193" s="93"/>
      <c r="BK193" s="93"/>
      <c r="BL193" s="93"/>
      <c r="BM193" s="93"/>
      <c r="BN193" s="93"/>
      <c r="BO193" s="93"/>
      <c r="BP193" s="93"/>
      <c r="BQ193" s="93"/>
      <c r="BR193" s="93"/>
      <c r="BS193" s="93"/>
      <c r="BT193" s="93"/>
      <c r="BU193" s="93"/>
      <c r="BV193" s="93"/>
      <c r="BW193" s="93"/>
      <c r="BX193" s="93"/>
      <c r="BY193" s="93"/>
      <c r="BZ193" s="93"/>
      <c r="CA193" s="93"/>
      <c r="CB193" s="93"/>
      <c r="CC193" s="93"/>
      <c r="CD193" s="93"/>
      <c r="CE193" s="93"/>
      <c r="CF193" s="93"/>
      <c r="CG193" s="93"/>
      <c r="CH193" s="93"/>
      <c r="CI193" s="93"/>
      <c r="CJ193" s="93"/>
      <c r="CK193" s="93"/>
      <c r="CL193" s="93"/>
      <c r="CM193" s="93"/>
      <c r="CN193" s="93"/>
      <c r="CO193" s="93"/>
      <c r="CP193" s="93"/>
      <c r="CQ193" s="93"/>
      <c r="CR193" s="93"/>
      <c r="CS193" s="93">
        <v>0.33197278911564626</v>
      </c>
      <c r="CT193" s="93"/>
      <c r="CU193" s="93"/>
      <c r="CV193" s="93"/>
      <c r="CW193" s="93"/>
      <c r="CX193" s="93"/>
      <c r="CY193" s="93"/>
      <c r="CZ193" s="93"/>
      <c r="DA193" s="93"/>
      <c r="DB193" s="93"/>
      <c r="DC193" s="93"/>
      <c r="DD193" s="93"/>
      <c r="DE193" s="93"/>
      <c r="DF193" s="93"/>
      <c r="DG193" s="93"/>
      <c r="DH193" s="93"/>
      <c r="DI193" s="93"/>
      <c r="DJ193" s="93"/>
      <c r="DK193" s="93"/>
      <c r="DL193" s="93"/>
      <c r="DM193" s="93"/>
      <c r="DN193" s="93"/>
      <c r="DO193" s="93"/>
      <c r="DP193" s="93"/>
      <c r="DQ193" s="93"/>
      <c r="DR193" s="93"/>
      <c r="DS193" s="93"/>
      <c r="DT193" s="93"/>
      <c r="DU193" s="93"/>
      <c r="DV193" s="93"/>
      <c r="DW193" s="93"/>
      <c r="DX193" s="93"/>
      <c r="DY193" s="93"/>
      <c r="DZ193" s="93"/>
      <c r="EA193" s="93"/>
      <c r="EB193" s="93"/>
      <c r="EC193" s="93"/>
      <c r="ED193" s="93"/>
      <c r="EE193" s="93"/>
      <c r="EF193" s="93"/>
      <c r="EG193" s="93"/>
      <c r="EH193" s="93"/>
      <c r="EI193" s="93"/>
      <c r="EJ193" s="93"/>
      <c r="EK193" s="93"/>
      <c r="EL193" s="93"/>
      <c r="EM193" s="93"/>
      <c r="EN193" s="93"/>
      <c r="EO193" s="93"/>
      <c r="EP193" s="93"/>
      <c r="EQ193" s="93"/>
      <c r="ER193" s="93"/>
      <c r="ES193" s="93"/>
      <c r="ET193" s="93"/>
      <c r="EU193" s="93"/>
      <c r="EV193" s="93"/>
      <c r="EW193" s="93"/>
      <c r="EX193" s="93"/>
      <c r="EY193" s="93"/>
      <c r="EZ193" s="93"/>
      <c r="FA193" s="93"/>
      <c r="FB193" s="93"/>
      <c r="FC193" s="93"/>
      <c r="FD193" s="93"/>
      <c r="FE193" s="93"/>
      <c r="FF193" s="93"/>
      <c r="FG193" s="93"/>
      <c r="FH193" s="93"/>
      <c r="FI193" s="93"/>
      <c r="FJ193" s="93"/>
      <c r="FK193" s="93"/>
      <c r="FL193" s="93"/>
      <c r="FM193" s="93"/>
      <c r="FN193" s="93"/>
      <c r="FO193" s="93"/>
      <c r="FP193" s="93"/>
      <c r="FQ193" s="93"/>
      <c r="FR193" s="93"/>
      <c r="FS193" s="93"/>
      <c r="FT193" s="93"/>
      <c r="FU193" s="93"/>
      <c r="FV193" s="93"/>
      <c r="FW193" s="93"/>
      <c r="FX193" s="93"/>
      <c r="FY193" s="93"/>
      <c r="FZ193" s="93"/>
      <c r="GA193" s="93"/>
      <c r="GB193" s="93"/>
      <c r="GC193" s="93"/>
      <c r="GD193" s="93"/>
      <c r="GE193" s="93"/>
      <c r="GF193" s="93"/>
      <c r="GG193" s="93"/>
      <c r="GH193" s="93"/>
      <c r="GI193" s="93"/>
      <c r="GJ193" s="93"/>
      <c r="GK193" s="93"/>
      <c r="GL193" s="93"/>
      <c r="GM193" s="93"/>
      <c r="GN193" s="93"/>
      <c r="GO193" s="93"/>
      <c r="GP193" s="93"/>
      <c r="GQ193" s="93"/>
      <c r="GR193" s="93"/>
      <c r="GS193" s="93"/>
      <c r="GT193" s="93"/>
      <c r="GU193" s="93"/>
      <c r="GV193" s="93"/>
      <c r="GW193" s="93"/>
      <c r="GX193" s="93"/>
      <c r="GY193" s="93"/>
      <c r="GZ193" s="93"/>
      <c r="HA193" s="93"/>
      <c r="HB193" s="93"/>
      <c r="HC193" s="93"/>
      <c r="HD193" s="93"/>
      <c r="HE193" s="93"/>
      <c r="HF193" s="93"/>
      <c r="HG193" s="93"/>
    </row>
    <row r="194" spans="14:215" x14ac:dyDescent="0.2">
      <c r="N194" s="93" t="s">
        <v>411</v>
      </c>
      <c r="O194" s="93"/>
      <c r="P194" s="93"/>
      <c r="Q194" s="93"/>
      <c r="R194" s="93"/>
      <c r="S194" s="93"/>
      <c r="T194" s="93"/>
      <c r="U194" s="93"/>
      <c r="V194" s="93"/>
      <c r="W194" s="93"/>
      <c r="X194" s="93"/>
      <c r="Y194" s="93"/>
      <c r="Z194" s="93"/>
      <c r="AA194" s="93"/>
      <c r="AB194" s="93"/>
      <c r="AC194" s="93"/>
      <c r="AD194" s="93"/>
      <c r="AE194" s="93"/>
      <c r="AF194" s="93"/>
      <c r="AG194" s="93"/>
      <c r="AH194" s="93"/>
      <c r="AI194" s="93"/>
      <c r="AJ194" s="93"/>
      <c r="AK194" s="93"/>
      <c r="AL194" s="93"/>
      <c r="AM194" s="93"/>
      <c r="AN194" s="93"/>
      <c r="AO194" s="93"/>
      <c r="AP194" s="93"/>
      <c r="AQ194" s="93"/>
      <c r="AR194" s="93"/>
      <c r="AS194" s="93"/>
      <c r="AT194" s="93"/>
      <c r="AU194" s="93"/>
      <c r="AV194" s="93"/>
      <c r="AW194" s="93"/>
      <c r="AX194" s="93"/>
      <c r="AY194" s="93"/>
      <c r="AZ194" s="93"/>
      <c r="BA194" s="93"/>
      <c r="BB194" s="93"/>
      <c r="BC194" s="93"/>
      <c r="BD194" s="93"/>
      <c r="BE194" s="93"/>
      <c r="BF194" s="93"/>
      <c r="BG194" s="93"/>
      <c r="BH194" s="93"/>
      <c r="BI194" s="93"/>
      <c r="BJ194" s="93"/>
      <c r="BK194" s="93"/>
      <c r="BL194" s="93"/>
      <c r="BM194" s="93"/>
      <c r="BN194" s="93"/>
      <c r="BO194" s="93"/>
      <c r="BP194" s="93"/>
      <c r="BQ194" s="93"/>
      <c r="BR194" s="93"/>
      <c r="BS194" s="93"/>
      <c r="BT194" s="93"/>
      <c r="BU194" s="93"/>
      <c r="BV194" s="93"/>
      <c r="BW194" s="93"/>
      <c r="BX194" s="93"/>
      <c r="BY194" s="93"/>
      <c r="BZ194" s="93"/>
      <c r="CA194" s="93"/>
      <c r="CB194" s="93"/>
      <c r="CC194" s="93"/>
      <c r="CD194" s="93"/>
      <c r="CE194" s="93"/>
      <c r="CF194" s="93"/>
      <c r="CG194" s="93"/>
      <c r="CH194" s="93"/>
      <c r="CI194" s="93"/>
      <c r="CJ194" s="93"/>
      <c r="CK194" s="93"/>
      <c r="CL194" s="93"/>
      <c r="CM194" s="93"/>
      <c r="CN194" s="93"/>
      <c r="CO194" s="93"/>
      <c r="CP194" s="93"/>
      <c r="CQ194" s="93"/>
      <c r="CR194" s="93"/>
      <c r="CS194" s="93"/>
      <c r="CT194" s="93">
        <v>0.33198924731182794</v>
      </c>
      <c r="CU194" s="93"/>
      <c r="CV194" s="93"/>
      <c r="CW194" s="93"/>
      <c r="CX194" s="93"/>
      <c r="CY194" s="93"/>
      <c r="CZ194" s="93"/>
      <c r="DA194" s="93"/>
      <c r="DB194" s="93"/>
      <c r="DC194" s="93"/>
      <c r="DD194" s="93"/>
      <c r="DE194" s="93"/>
      <c r="DF194" s="93"/>
      <c r="DG194" s="93"/>
      <c r="DH194" s="93"/>
      <c r="DI194" s="93"/>
      <c r="DJ194" s="93"/>
      <c r="DK194" s="93"/>
      <c r="DL194" s="93"/>
      <c r="DM194" s="93"/>
      <c r="DN194" s="93"/>
      <c r="DO194" s="93"/>
      <c r="DP194" s="93"/>
      <c r="DQ194" s="93"/>
      <c r="DR194" s="93"/>
      <c r="DS194" s="93"/>
      <c r="DT194" s="93"/>
      <c r="DU194" s="93"/>
      <c r="DV194" s="93"/>
      <c r="DW194" s="93"/>
      <c r="DX194" s="93"/>
      <c r="DY194" s="93"/>
      <c r="DZ194" s="93"/>
      <c r="EA194" s="93"/>
      <c r="EB194" s="93"/>
      <c r="EC194" s="93"/>
      <c r="ED194" s="93"/>
      <c r="EE194" s="93"/>
      <c r="EF194" s="93"/>
      <c r="EG194" s="93"/>
      <c r="EH194" s="93"/>
      <c r="EI194" s="93"/>
      <c r="EJ194" s="93"/>
      <c r="EK194" s="93"/>
      <c r="EL194" s="93"/>
      <c r="EM194" s="93"/>
      <c r="EN194" s="93"/>
      <c r="EO194" s="93"/>
      <c r="EP194" s="93"/>
      <c r="EQ194" s="93"/>
      <c r="ER194" s="93"/>
      <c r="ES194" s="93"/>
      <c r="ET194" s="93"/>
      <c r="EU194" s="93"/>
      <c r="EV194" s="93"/>
      <c r="EW194" s="93"/>
      <c r="EX194" s="93"/>
      <c r="EY194" s="93"/>
      <c r="EZ194" s="93"/>
      <c r="FA194" s="93"/>
      <c r="FB194" s="93"/>
      <c r="FC194" s="93"/>
      <c r="FD194" s="93"/>
      <c r="FE194" s="93"/>
      <c r="FF194" s="93"/>
      <c r="FG194" s="93"/>
      <c r="FH194" s="93"/>
      <c r="FI194" s="93"/>
      <c r="FJ194" s="93"/>
      <c r="FK194" s="93"/>
      <c r="FL194" s="93"/>
      <c r="FM194" s="93"/>
      <c r="FN194" s="93"/>
      <c r="FO194" s="93"/>
      <c r="FP194" s="93"/>
      <c r="FQ194" s="93"/>
      <c r="FR194" s="93"/>
      <c r="FS194" s="93"/>
      <c r="FT194" s="93"/>
      <c r="FU194" s="93"/>
      <c r="FV194" s="93"/>
      <c r="FW194" s="93"/>
      <c r="FX194" s="93"/>
      <c r="FY194" s="93"/>
      <c r="FZ194" s="93"/>
      <c r="GA194" s="93"/>
      <c r="GB194" s="93"/>
      <c r="GC194" s="93"/>
      <c r="GD194" s="93"/>
      <c r="GE194" s="93"/>
      <c r="GF194" s="93"/>
      <c r="GG194" s="93"/>
      <c r="GH194" s="93"/>
      <c r="GI194" s="93"/>
      <c r="GJ194" s="93"/>
      <c r="GK194" s="93"/>
      <c r="GL194" s="93"/>
      <c r="GM194" s="93"/>
      <c r="GN194" s="93"/>
      <c r="GO194" s="93"/>
      <c r="GP194" s="93"/>
      <c r="GQ194" s="93"/>
      <c r="GR194" s="93"/>
      <c r="GS194" s="93"/>
      <c r="GT194" s="93"/>
      <c r="GU194" s="93"/>
      <c r="GV194" s="93"/>
      <c r="GW194" s="93"/>
      <c r="GX194" s="93"/>
      <c r="GY194" s="93"/>
      <c r="GZ194" s="93"/>
      <c r="HA194" s="93"/>
      <c r="HB194" s="93"/>
      <c r="HC194" s="93"/>
      <c r="HD194" s="93"/>
      <c r="HE194" s="93"/>
      <c r="HF194" s="93"/>
      <c r="HG194" s="93"/>
    </row>
    <row r="195" spans="14:215" x14ac:dyDescent="0.2">
      <c r="N195" s="93" t="s">
        <v>412</v>
      </c>
      <c r="O195" s="93"/>
      <c r="P195" s="93"/>
      <c r="Q195" s="93"/>
      <c r="R195" s="93"/>
      <c r="S195" s="93"/>
      <c r="T195" s="93"/>
      <c r="U195" s="93"/>
      <c r="V195" s="93"/>
      <c r="W195" s="93"/>
      <c r="X195" s="93"/>
      <c r="Y195" s="93"/>
      <c r="Z195" s="93"/>
      <c r="AA195" s="93"/>
      <c r="AB195" s="93"/>
      <c r="AC195" s="93"/>
      <c r="AD195" s="93"/>
      <c r="AE195" s="93"/>
      <c r="AF195" s="93"/>
      <c r="AG195" s="93"/>
      <c r="AH195" s="93"/>
      <c r="AI195" s="93"/>
      <c r="AJ195" s="93"/>
      <c r="AK195" s="93"/>
      <c r="AL195" s="93"/>
      <c r="AM195" s="93"/>
      <c r="AN195" s="93"/>
      <c r="AO195" s="93"/>
      <c r="AP195" s="93"/>
      <c r="AQ195" s="93"/>
      <c r="AR195" s="93"/>
      <c r="AS195" s="93"/>
      <c r="AT195" s="93"/>
      <c r="AU195" s="93"/>
      <c r="AV195" s="93"/>
      <c r="AW195" s="93"/>
      <c r="AX195" s="93"/>
      <c r="AY195" s="93"/>
      <c r="AZ195" s="93"/>
      <c r="BA195" s="93"/>
      <c r="BB195" s="93"/>
      <c r="BC195" s="93"/>
      <c r="BD195" s="93"/>
      <c r="BE195" s="93"/>
      <c r="BF195" s="93"/>
      <c r="BG195" s="93"/>
      <c r="BH195" s="93"/>
      <c r="BI195" s="93"/>
      <c r="BJ195" s="93"/>
      <c r="BK195" s="93"/>
      <c r="BL195" s="93"/>
      <c r="BM195" s="93"/>
      <c r="BN195" s="93"/>
      <c r="BO195" s="93"/>
      <c r="BP195" s="93"/>
      <c r="BQ195" s="93"/>
      <c r="BR195" s="93"/>
      <c r="BS195" s="93"/>
      <c r="BT195" s="93"/>
      <c r="BU195" s="93"/>
      <c r="BV195" s="93"/>
      <c r="BW195" s="93"/>
      <c r="BX195" s="93"/>
      <c r="BY195" s="93"/>
      <c r="BZ195" s="93"/>
      <c r="CA195" s="93"/>
      <c r="CB195" s="93"/>
      <c r="CC195" s="93"/>
      <c r="CD195" s="93"/>
      <c r="CE195" s="93"/>
      <c r="CF195" s="93"/>
      <c r="CG195" s="93"/>
      <c r="CH195" s="93"/>
      <c r="CI195" s="93"/>
      <c r="CJ195" s="93"/>
      <c r="CK195" s="93"/>
      <c r="CL195" s="93"/>
      <c r="CM195" s="93"/>
      <c r="CN195" s="93"/>
      <c r="CO195" s="93"/>
      <c r="CP195" s="93"/>
      <c r="CQ195" s="93"/>
      <c r="CR195" s="93"/>
      <c r="CS195" s="93"/>
      <c r="CT195" s="93"/>
      <c r="CU195" s="93">
        <v>0.33200531208499334</v>
      </c>
      <c r="CV195" s="93"/>
      <c r="CW195" s="93"/>
      <c r="CX195" s="93"/>
      <c r="CY195" s="93"/>
      <c r="CZ195" s="93"/>
      <c r="DA195" s="93"/>
      <c r="DB195" s="93"/>
      <c r="DC195" s="93"/>
      <c r="DD195" s="93"/>
      <c r="DE195" s="93"/>
      <c r="DF195" s="93"/>
      <c r="DG195" s="93"/>
      <c r="DH195" s="93"/>
      <c r="DI195" s="93"/>
      <c r="DJ195" s="93"/>
      <c r="DK195" s="93"/>
      <c r="DL195" s="93"/>
      <c r="DM195" s="93"/>
      <c r="DN195" s="93"/>
      <c r="DO195" s="93"/>
      <c r="DP195" s="93"/>
      <c r="DQ195" s="93"/>
      <c r="DR195" s="93"/>
      <c r="DS195" s="93"/>
      <c r="DT195" s="93"/>
      <c r="DU195" s="93"/>
      <c r="DV195" s="93"/>
      <c r="DW195" s="93"/>
      <c r="DX195" s="93"/>
      <c r="DY195" s="93"/>
      <c r="DZ195" s="93"/>
      <c r="EA195" s="93"/>
      <c r="EB195" s="93"/>
      <c r="EC195" s="93"/>
      <c r="ED195" s="93"/>
      <c r="EE195" s="93"/>
      <c r="EF195" s="93"/>
      <c r="EG195" s="93"/>
      <c r="EH195" s="93"/>
      <c r="EI195" s="93"/>
      <c r="EJ195" s="93"/>
      <c r="EK195" s="93"/>
      <c r="EL195" s="93"/>
      <c r="EM195" s="93"/>
      <c r="EN195" s="93"/>
      <c r="EO195" s="93"/>
      <c r="EP195" s="93"/>
      <c r="EQ195" s="93"/>
      <c r="ER195" s="93"/>
      <c r="ES195" s="93"/>
      <c r="ET195" s="93"/>
      <c r="EU195" s="93"/>
      <c r="EV195" s="93"/>
      <c r="EW195" s="93"/>
      <c r="EX195" s="93"/>
      <c r="EY195" s="93"/>
      <c r="EZ195" s="93"/>
      <c r="FA195" s="93"/>
      <c r="FB195" s="93"/>
      <c r="FC195" s="93"/>
      <c r="FD195" s="93"/>
      <c r="FE195" s="93"/>
      <c r="FF195" s="93"/>
      <c r="FG195" s="93"/>
      <c r="FH195" s="93"/>
      <c r="FI195" s="93"/>
      <c r="FJ195" s="93"/>
      <c r="FK195" s="93"/>
      <c r="FL195" s="93"/>
      <c r="FM195" s="93"/>
      <c r="FN195" s="93"/>
      <c r="FO195" s="93"/>
      <c r="FP195" s="93"/>
      <c r="FQ195" s="93"/>
      <c r="FR195" s="93"/>
      <c r="FS195" s="93"/>
      <c r="FT195" s="93"/>
      <c r="FU195" s="93"/>
      <c r="FV195" s="93"/>
      <c r="FW195" s="93"/>
      <c r="FX195" s="93"/>
      <c r="FY195" s="93"/>
      <c r="FZ195" s="93"/>
      <c r="GA195" s="93"/>
      <c r="GB195" s="93"/>
      <c r="GC195" s="93"/>
      <c r="GD195" s="93"/>
      <c r="GE195" s="93"/>
      <c r="GF195" s="93"/>
      <c r="GG195" s="93"/>
      <c r="GH195" s="93"/>
      <c r="GI195" s="93"/>
      <c r="GJ195" s="93"/>
      <c r="GK195" s="93"/>
      <c r="GL195" s="93"/>
      <c r="GM195" s="93"/>
      <c r="GN195" s="93"/>
      <c r="GO195" s="93"/>
      <c r="GP195" s="93"/>
      <c r="GQ195" s="93"/>
      <c r="GR195" s="93"/>
      <c r="GS195" s="93"/>
      <c r="GT195" s="93"/>
      <c r="GU195" s="93"/>
      <c r="GV195" s="93"/>
      <c r="GW195" s="93"/>
      <c r="GX195" s="93"/>
      <c r="GY195" s="93"/>
      <c r="GZ195" s="93"/>
      <c r="HA195" s="93"/>
      <c r="HB195" s="93"/>
      <c r="HC195" s="93"/>
      <c r="HD195" s="93"/>
      <c r="HE195" s="93"/>
      <c r="HF195" s="93"/>
      <c r="HG195" s="93"/>
    </row>
    <row r="196" spans="14:215" x14ac:dyDescent="0.2">
      <c r="N196" s="93" t="s">
        <v>413</v>
      </c>
      <c r="O196" s="93"/>
      <c r="P196" s="93"/>
      <c r="Q196" s="93"/>
      <c r="R196" s="93"/>
      <c r="S196" s="93"/>
      <c r="T196" s="93"/>
      <c r="U196" s="93"/>
      <c r="V196" s="93"/>
      <c r="W196" s="93"/>
      <c r="X196" s="93"/>
      <c r="Y196" s="93"/>
      <c r="Z196" s="93"/>
      <c r="AA196" s="93"/>
      <c r="AB196" s="93"/>
      <c r="AC196" s="93"/>
      <c r="AD196" s="93"/>
      <c r="AE196" s="93"/>
      <c r="AF196" s="93"/>
      <c r="AG196" s="93"/>
      <c r="AH196" s="93"/>
      <c r="AI196" s="93"/>
      <c r="AJ196" s="93"/>
      <c r="AK196" s="93"/>
      <c r="AL196" s="93"/>
      <c r="AM196" s="93"/>
      <c r="AN196" s="93"/>
      <c r="AO196" s="93"/>
      <c r="AP196" s="93"/>
      <c r="AQ196" s="93"/>
      <c r="AR196" s="93"/>
      <c r="AS196" s="93"/>
      <c r="AT196" s="93"/>
      <c r="AU196" s="93"/>
      <c r="AV196" s="93"/>
      <c r="AW196" s="93"/>
      <c r="AX196" s="93"/>
      <c r="AY196" s="93"/>
      <c r="AZ196" s="93"/>
      <c r="BA196" s="93"/>
      <c r="BB196" s="93"/>
      <c r="BC196" s="93"/>
      <c r="BD196" s="93"/>
      <c r="BE196" s="93"/>
      <c r="BF196" s="93"/>
      <c r="BG196" s="93"/>
      <c r="BH196" s="93"/>
      <c r="BI196" s="93"/>
      <c r="BJ196" s="93"/>
      <c r="BK196" s="93"/>
      <c r="BL196" s="93"/>
      <c r="BM196" s="93"/>
      <c r="BN196" s="93"/>
      <c r="BO196" s="93"/>
      <c r="BP196" s="93"/>
      <c r="BQ196" s="93"/>
      <c r="BR196" s="93"/>
      <c r="BS196" s="93"/>
      <c r="BT196" s="93"/>
      <c r="BU196" s="93"/>
      <c r="BV196" s="93"/>
      <c r="BW196" s="93"/>
      <c r="BX196" s="93"/>
      <c r="BY196" s="93"/>
      <c r="BZ196" s="93"/>
      <c r="CA196" s="93"/>
      <c r="CB196" s="93"/>
      <c r="CC196" s="93"/>
      <c r="CD196" s="93"/>
      <c r="CE196" s="93"/>
      <c r="CF196" s="93"/>
      <c r="CG196" s="93"/>
      <c r="CH196" s="93"/>
      <c r="CI196" s="93"/>
      <c r="CJ196" s="93"/>
      <c r="CK196" s="93"/>
      <c r="CL196" s="93"/>
      <c r="CM196" s="93"/>
      <c r="CN196" s="93"/>
      <c r="CO196" s="93"/>
      <c r="CP196" s="93"/>
      <c r="CQ196" s="93"/>
      <c r="CR196" s="93"/>
      <c r="CS196" s="93"/>
      <c r="CT196" s="93"/>
      <c r="CU196" s="93"/>
      <c r="CV196" s="93">
        <v>0.33202099737532809</v>
      </c>
      <c r="CW196" s="93"/>
      <c r="CX196" s="93"/>
      <c r="CY196" s="93"/>
      <c r="CZ196" s="93"/>
      <c r="DA196" s="93"/>
      <c r="DB196" s="93"/>
      <c r="DC196" s="93"/>
      <c r="DD196" s="93"/>
      <c r="DE196" s="93"/>
      <c r="DF196" s="93"/>
      <c r="DG196" s="93"/>
      <c r="DH196" s="93"/>
      <c r="DI196" s="93"/>
      <c r="DJ196" s="93"/>
      <c r="DK196" s="93"/>
      <c r="DL196" s="93"/>
      <c r="DM196" s="93"/>
      <c r="DN196" s="93"/>
      <c r="DO196" s="93"/>
      <c r="DP196" s="93"/>
      <c r="DQ196" s="93"/>
      <c r="DR196" s="93"/>
      <c r="DS196" s="93"/>
      <c r="DT196" s="93"/>
      <c r="DU196" s="93"/>
      <c r="DV196" s="93"/>
      <c r="DW196" s="93"/>
      <c r="DX196" s="93"/>
      <c r="DY196" s="93"/>
      <c r="DZ196" s="93"/>
      <c r="EA196" s="93"/>
      <c r="EB196" s="93"/>
      <c r="EC196" s="93"/>
      <c r="ED196" s="93"/>
      <c r="EE196" s="93"/>
      <c r="EF196" s="93"/>
      <c r="EG196" s="93"/>
      <c r="EH196" s="93"/>
      <c r="EI196" s="93"/>
      <c r="EJ196" s="93"/>
      <c r="EK196" s="93"/>
      <c r="EL196" s="93"/>
      <c r="EM196" s="93"/>
      <c r="EN196" s="93"/>
      <c r="EO196" s="93"/>
      <c r="EP196" s="93"/>
      <c r="EQ196" s="93"/>
      <c r="ER196" s="93"/>
      <c r="ES196" s="93"/>
      <c r="ET196" s="93"/>
      <c r="EU196" s="93"/>
      <c r="EV196" s="93"/>
      <c r="EW196" s="93"/>
      <c r="EX196" s="93"/>
      <c r="EY196" s="93"/>
      <c r="EZ196" s="93"/>
      <c r="FA196" s="93"/>
      <c r="FB196" s="93"/>
      <c r="FC196" s="93"/>
      <c r="FD196" s="93"/>
      <c r="FE196" s="93"/>
      <c r="FF196" s="93"/>
      <c r="FG196" s="93"/>
      <c r="FH196" s="93"/>
      <c r="FI196" s="93"/>
      <c r="FJ196" s="93"/>
      <c r="FK196" s="93"/>
      <c r="FL196" s="93"/>
      <c r="FM196" s="93"/>
      <c r="FN196" s="93"/>
      <c r="FO196" s="93"/>
      <c r="FP196" s="93"/>
      <c r="FQ196" s="93"/>
      <c r="FR196" s="93"/>
      <c r="FS196" s="93"/>
      <c r="FT196" s="93"/>
      <c r="FU196" s="93"/>
      <c r="FV196" s="93"/>
      <c r="FW196" s="93"/>
      <c r="FX196" s="93"/>
      <c r="FY196" s="93"/>
      <c r="FZ196" s="93"/>
      <c r="GA196" s="93"/>
      <c r="GB196" s="93"/>
      <c r="GC196" s="93"/>
      <c r="GD196" s="93"/>
      <c r="GE196" s="93"/>
      <c r="GF196" s="93"/>
      <c r="GG196" s="93"/>
      <c r="GH196" s="93"/>
      <c r="GI196" s="93"/>
      <c r="GJ196" s="93"/>
      <c r="GK196" s="93"/>
      <c r="GL196" s="93"/>
      <c r="GM196" s="93"/>
      <c r="GN196" s="93"/>
      <c r="GO196" s="93"/>
      <c r="GP196" s="93"/>
      <c r="GQ196" s="93"/>
      <c r="GR196" s="93"/>
      <c r="GS196" s="93"/>
      <c r="GT196" s="93"/>
      <c r="GU196" s="93"/>
      <c r="GV196" s="93"/>
      <c r="GW196" s="93"/>
      <c r="GX196" s="93"/>
      <c r="GY196" s="93"/>
      <c r="GZ196" s="93"/>
      <c r="HA196" s="93"/>
      <c r="HB196" s="93"/>
      <c r="HC196" s="93"/>
      <c r="HD196" s="93"/>
      <c r="HE196" s="93"/>
      <c r="HF196" s="93"/>
      <c r="HG196" s="93"/>
    </row>
    <row r="197" spans="14:215" x14ac:dyDescent="0.2">
      <c r="N197" s="93" t="s">
        <v>414</v>
      </c>
      <c r="O197" s="93"/>
      <c r="P197" s="93"/>
      <c r="Q197" s="93"/>
      <c r="R197" s="93"/>
      <c r="S197" s="93"/>
      <c r="T197" s="93"/>
      <c r="U197" s="93"/>
      <c r="V197" s="93"/>
      <c r="W197" s="93"/>
      <c r="X197" s="93"/>
      <c r="Y197" s="93"/>
      <c r="Z197" s="93"/>
      <c r="AA197" s="93"/>
      <c r="AB197" s="93"/>
      <c r="AC197" s="93"/>
      <c r="AD197" s="93"/>
      <c r="AE197" s="93"/>
      <c r="AF197" s="93"/>
      <c r="AG197" s="93"/>
      <c r="AH197" s="93"/>
      <c r="AI197" s="93"/>
      <c r="AJ197" s="93"/>
      <c r="AK197" s="93"/>
      <c r="AL197" s="93"/>
      <c r="AM197" s="93"/>
      <c r="AN197" s="93"/>
      <c r="AO197" s="93"/>
      <c r="AP197" s="93"/>
      <c r="AQ197" s="93"/>
      <c r="AR197" s="93"/>
      <c r="AS197" s="93"/>
      <c r="AT197" s="93"/>
      <c r="AU197" s="93"/>
      <c r="AV197" s="93"/>
      <c r="AW197" s="93"/>
      <c r="AX197" s="93"/>
      <c r="AY197" s="93"/>
      <c r="AZ197" s="93"/>
      <c r="BA197" s="93"/>
      <c r="BB197" s="93"/>
      <c r="BC197" s="93"/>
      <c r="BD197" s="93"/>
      <c r="BE197" s="93"/>
      <c r="BF197" s="93"/>
      <c r="BG197" s="93"/>
      <c r="BH197" s="93"/>
      <c r="BI197" s="93"/>
      <c r="BJ197" s="93"/>
      <c r="BK197" s="93"/>
      <c r="BL197" s="93"/>
      <c r="BM197" s="93"/>
      <c r="BN197" s="93"/>
      <c r="BO197" s="93"/>
      <c r="BP197" s="93"/>
      <c r="BQ197" s="93"/>
      <c r="BR197" s="93"/>
      <c r="BS197" s="93"/>
      <c r="BT197" s="93"/>
      <c r="BU197" s="93"/>
      <c r="BV197" s="93"/>
      <c r="BW197" s="93"/>
      <c r="BX197" s="93"/>
      <c r="BY197" s="93"/>
      <c r="BZ197" s="93"/>
      <c r="CA197" s="93"/>
      <c r="CB197" s="93"/>
      <c r="CC197" s="93"/>
      <c r="CD197" s="93"/>
      <c r="CE197" s="93"/>
      <c r="CF197" s="93"/>
      <c r="CG197" s="93"/>
      <c r="CH197" s="93"/>
      <c r="CI197" s="93"/>
      <c r="CJ197" s="93"/>
      <c r="CK197" s="93"/>
      <c r="CL197" s="93"/>
      <c r="CM197" s="93"/>
      <c r="CN197" s="93"/>
      <c r="CO197" s="93"/>
      <c r="CP197" s="93"/>
      <c r="CQ197" s="93"/>
      <c r="CR197" s="93"/>
      <c r="CS197" s="93"/>
      <c r="CT197" s="93"/>
      <c r="CU197" s="93"/>
      <c r="CV197" s="93"/>
      <c r="CW197" s="93">
        <v>0.33203631647211412</v>
      </c>
      <c r="CX197" s="93"/>
      <c r="CY197" s="93"/>
      <c r="CZ197" s="93"/>
      <c r="DA197" s="93"/>
      <c r="DB197" s="93"/>
      <c r="DC197" s="93"/>
      <c r="DD197" s="93"/>
      <c r="DE197" s="93"/>
      <c r="DF197" s="93"/>
      <c r="DG197" s="93"/>
      <c r="DH197" s="93"/>
      <c r="DI197" s="93"/>
      <c r="DJ197" s="93"/>
      <c r="DK197" s="93"/>
      <c r="DL197" s="93"/>
      <c r="DM197" s="93"/>
      <c r="DN197" s="93"/>
      <c r="DO197" s="93"/>
      <c r="DP197" s="93"/>
      <c r="DQ197" s="93"/>
      <c r="DR197" s="93"/>
      <c r="DS197" s="93"/>
      <c r="DT197" s="93"/>
      <c r="DU197" s="93"/>
      <c r="DV197" s="93"/>
      <c r="DW197" s="93"/>
      <c r="DX197" s="93"/>
      <c r="DY197" s="93"/>
      <c r="DZ197" s="93"/>
      <c r="EA197" s="93"/>
      <c r="EB197" s="93"/>
      <c r="EC197" s="93"/>
      <c r="ED197" s="93"/>
      <c r="EE197" s="93"/>
      <c r="EF197" s="93"/>
      <c r="EG197" s="93"/>
      <c r="EH197" s="93"/>
      <c r="EI197" s="93"/>
      <c r="EJ197" s="93"/>
      <c r="EK197" s="93"/>
      <c r="EL197" s="93"/>
      <c r="EM197" s="93"/>
      <c r="EN197" s="93"/>
      <c r="EO197" s="93"/>
      <c r="EP197" s="93"/>
      <c r="EQ197" s="93"/>
      <c r="ER197" s="93"/>
      <c r="ES197" s="93"/>
      <c r="ET197" s="93"/>
      <c r="EU197" s="93"/>
      <c r="EV197" s="93"/>
      <c r="EW197" s="93"/>
      <c r="EX197" s="93"/>
      <c r="EY197" s="93"/>
      <c r="EZ197" s="93"/>
      <c r="FA197" s="93"/>
      <c r="FB197" s="93"/>
      <c r="FC197" s="93"/>
      <c r="FD197" s="93"/>
      <c r="FE197" s="93"/>
      <c r="FF197" s="93"/>
      <c r="FG197" s="93"/>
      <c r="FH197" s="93"/>
      <c r="FI197" s="93"/>
      <c r="FJ197" s="93"/>
      <c r="FK197" s="93"/>
      <c r="FL197" s="93"/>
      <c r="FM197" s="93"/>
      <c r="FN197" s="93"/>
      <c r="FO197" s="93"/>
      <c r="FP197" s="93"/>
      <c r="FQ197" s="93"/>
      <c r="FR197" s="93"/>
      <c r="FS197" s="93"/>
      <c r="FT197" s="93"/>
      <c r="FU197" s="93"/>
      <c r="FV197" s="93"/>
      <c r="FW197" s="93"/>
      <c r="FX197" s="93"/>
      <c r="FY197" s="93"/>
      <c r="FZ197" s="93"/>
      <c r="GA197" s="93"/>
      <c r="GB197" s="93"/>
      <c r="GC197" s="93"/>
      <c r="GD197" s="93"/>
      <c r="GE197" s="93"/>
      <c r="GF197" s="93"/>
      <c r="GG197" s="93"/>
      <c r="GH197" s="93"/>
      <c r="GI197" s="93"/>
      <c r="GJ197" s="93"/>
      <c r="GK197" s="93"/>
      <c r="GL197" s="93"/>
      <c r="GM197" s="93"/>
      <c r="GN197" s="93"/>
      <c r="GO197" s="93"/>
      <c r="GP197" s="93"/>
      <c r="GQ197" s="93"/>
      <c r="GR197" s="93"/>
      <c r="GS197" s="93"/>
      <c r="GT197" s="93"/>
      <c r="GU197" s="93"/>
      <c r="GV197" s="93"/>
      <c r="GW197" s="93"/>
      <c r="GX197" s="93"/>
      <c r="GY197" s="93"/>
      <c r="GZ197" s="93"/>
      <c r="HA197" s="93"/>
      <c r="HB197" s="93"/>
      <c r="HC197" s="93"/>
      <c r="HD197" s="93"/>
      <c r="HE197" s="93"/>
      <c r="HF197" s="93"/>
      <c r="HG197" s="93"/>
    </row>
    <row r="198" spans="14:215" x14ac:dyDescent="0.2">
      <c r="N198" s="93" t="s">
        <v>415</v>
      </c>
      <c r="O198" s="93"/>
      <c r="P198" s="93"/>
      <c r="Q198" s="93"/>
      <c r="R198" s="93"/>
      <c r="S198" s="93"/>
      <c r="T198" s="93"/>
      <c r="U198" s="93"/>
      <c r="V198" s="93"/>
      <c r="W198" s="93"/>
      <c r="X198" s="93"/>
      <c r="Y198" s="93"/>
      <c r="Z198" s="93"/>
      <c r="AA198" s="93"/>
      <c r="AB198" s="93"/>
      <c r="AC198" s="93"/>
      <c r="AD198" s="93"/>
      <c r="AE198" s="93"/>
      <c r="AF198" s="93"/>
      <c r="AG198" s="93"/>
      <c r="AH198" s="93"/>
      <c r="AI198" s="93"/>
      <c r="AJ198" s="93"/>
      <c r="AK198" s="93"/>
      <c r="AL198" s="93"/>
      <c r="AM198" s="93"/>
      <c r="AN198" s="93"/>
      <c r="AO198" s="93"/>
      <c r="AP198" s="93"/>
      <c r="AQ198" s="93"/>
      <c r="AR198" s="93"/>
      <c r="AS198" s="93"/>
      <c r="AT198" s="93"/>
      <c r="AU198" s="93"/>
      <c r="AV198" s="93"/>
      <c r="AW198" s="93"/>
      <c r="AX198" s="93"/>
      <c r="AY198" s="93"/>
      <c r="AZ198" s="93"/>
      <c r="BA198" s="93"/>
      <c r="BB198" s="93"/>
      <c r="BC198" s="93"/>
      <c r="BD198" s="93"/>
      <c r="BE198" s="93"/>
      <c r="BF198" s="93"/>
      <c r="BG198" s="93"/>
      <c r="BH198" s="93"/>
      <c r="BI198" s="93"/>
      <c r="BJ198" s="93"/>
      <c r="BK198" s="93"/>
      <c r="BL198" s="93"/>
      <c r="BM198" s="93"/>
      <c r="BN198" s="93"/>
      <c r="BO198" s="93"/>
      <c r="BP198" s="93"/>
      <c r="BQ198" s="93"/>
      <c r="BR198" s="93"/>
      <c r="BS198" s="93"/>
      <c r="BT198" s="93"/>
      <c r="BU198" s="93"/>
      <c r="BV198" s="93"/>
      <c r="BW198" s="93"/>
      <c r="BX198" s="93"/>
      <c r="BY198" s="93"/>
      <c r="BZ198" s="93"/>
      <c r="CA198" s="93"/>
      <c r="CB198" s="93"/>
      <c r="CC198" s="93"/>
      <c r="CD198" s="93"/>
      <c r="CE198" s="93"/>
      <c r="CF198" s="93"/>
      <c r="CG198" s="93"/>
      <c r="CH198" s="93"/>
      <c r="CI198" s="93"/>
      <c r="CJ198" s="93"/>
      <c r="CK198" s="93"/>
      <c r="CL198" s="93"/>
      <c r="CM198" s="93"/>
      <c r="CN198" s="93"/>
      <c r="CO198" s="93"/>
      <c r="CP198" s="93"/>
      <c r="CQ198" s="93"/>
      <c r="CR198" s="93"/>
      <c r="CS198" s="93"/>
      <c r="CT198" s="93"/>
      <c r="CU198" s="93"/>
      <c r="CV198" s="93"/>
      <c r="CW198" s="93"/>
      <c r="CX198" s="93">
        <v>0.33205128205128204</v>
      </c>
      <c r="CY198" s="93"/>
      <c r="CZ198" s="93"/>
      <c r="DA198" s="93"/>
      <c r="DB198" s="93"/>
      <c r="DC198" s="93"/>
      <c r="DD198" s="93"/>
      <c r="DE198" s="93"/>
      <c r="DF198" s="93"/>
      <c r="DG198" s="93"/>
      <c r="DH198" s="93"/>
      <c r="DI198" s="93"/>
      <c r="DJ198" s="93"/>
      <c r="DK198" s="93"/>
      <c r="DL198" s="93"/>
      <c r="DM198" s="93"/>
      <c r="DN198" s="93"/>
      <c r="DO198" s="93"/>
      <c r="DP198" s="93"/>
      <c r="DQ198" s="93"/>
      <c r="DR198" s="93"/>
      <c r="DS198" s="93"/>
      <c r="DT198" s="93"/>
      <c r="DU198" s="93"/>
      <c r="DV198" s="93"/>
      <c r="DW198" s="93"/>
      <c r="DX198" s="93"/>
      <c r="DY198" s="93"/>
      <c r="DZ198" s="93"/>
      <c r="EA198" s="93"/>
      <c r="EB198" s="93"/>
      <c r="EC198" s="93"/>
      <c r="ED198" s="93"/>
      <c r="EE198" s="93"/>
      <c r="EF198" s="93"/>
      <c r="EG198" s="93"/>
      <c r="EH198" s="93"/>
      <c r="EI198" s="93"/>
      <c r="EJ198" s="93"/>
      <c r="EK198" s="93"/>
      <c r="EL198" s="93"/>
      <c r="EM198" s="93"/>
      <c r="EN198" s="93"/>
      <c r="EO198" s="93"/>
      <c r="EP198" s="93"/>
      <c r="EQ198" s="93"/>
      <c r="ER198" s="93"/>
      <c r="ES198" s="93"/>
      <c r="ET198" s="93"/>
      <c r="EU198" s="93"/>
      <c r="EV198" s="93"/>
      <c r="EW198" s="93"/>
      <c r="EX198" s="93"/>
      <c r="EY198" s="93"/>
      <c r="EZ198" s="93"/>
      <c r="FA198" s="93"/>
      <c r="FB198" s="93"/>
      <c r="FC198" s="93"/>
      <c r="FD198" s="93"/>
      <c r="FE198" s="93"/>
      <c r="FF198" s="93"/>
      <c r="FG198" s="93"/>
      <c r="FH198" s="93"/>
      <c r="FI198" s="93"/>
      <c r="FJ198" s="93"/>
      <c r="FK198" s="93"/>
      <c r="FL198" s="93"/>
      <c r="FM198" s="93"/>
      <c r="FN198" s="93"/>
      <c r="FO198" s="93"/>
      <c r="FP198" s="93"/>
      <c r="FQ198" s="93"/>
      <c r="FR198" s="93"/>
      <c r="FS198" s="93"/>
      <c r="FT198" s="93"/>
      <c r="FU198" s="93"/>
      <c r="FV198" s="93"/>
      <c r="FW198" s="93"/>
      <c r="FX198" s="93"/>
      <c r="FY198" s="93"/>
      <c r="FZ198" s="93"/>
      <c r="GA198" s="93"/>
      <c r="GB198" s="93"/>
      <c r="GC198" s="93"/>
      <c r="GD198" s="93"/>
      <c r="GE198" s="93"/>
      <c r="GF198" s="93"/>
      <c r="GG198" s="93"/>
      <c r="GH198" s="93"/>
      <c r="GI198" s="93"/>
      <c r="GJ198" s="93"/>
      <c r="GK198" s="93"/>
      <c r="GL198" s="93"/>
      <c r="GM198" s="93"/>
      <c r="GN198" s="93"/>
      <c r="GO198" s="93"/>
      <c r="GP198" s="93"/>
      <c r="GQ198" s="93"/>
      <c r="GR198" s="93"/>
      <c r="GS198" s="93"/>
      <c r="GT198" s="93"/>
      <c r="GU198" s="93"/>
      <c r="GV198" s="93"/>
      <c r="GW198" s="93"/>
      <c r="GX198" s="93"/>
      <c r="GY198" s="93"/>
      <c r="GZ198" s="93"/>
      <c r="HA198" s="93"/>
      <c r="HB198" s="93"/>
      <c r="HC198" s="93"/>
      <c r="HD198" s="93"/>
      <c r="HE198" s="93"/>
      <c r="HF198" s="93"/>
      <c r="HG198" s="93"/>
    </row>
    <row r="199" spans="14:215" x14ac:dyDescent="0.2">
      <c r="N199" s="93" t="s">
        <v>416</v>
      </c>
      <c r="O199" s="93"/>
      <c r="P199" s="93"/>
      <c r="Q199" s="93"/>
      <c r="R199" s="93"/>
      <c r="S199" s="93"/>
      <c r="T199" s="93"/>
      <c r="U199" s="93"/>
      <c r="V199" s="93"/>
      <c r="W199" s="93"/>
      <c r="X199" s="93"/>
      <c r="Y199" s="93"/>
      <c r="Z199" s="93"/>
      <c r="AA199" s="93"/>
      <c r="AB199" s="93"/>
      <c r="AC199" s="93"/>
      <c r="AD199" s="93"/>
      <c r="AE199" s="93"/>
      <c r="AF199" s="93"/>
      <c r="AG199" s="93"/>
      <c r="AH199" s="93"/>
      <c r="AI199" s="93"/>
      <c r="AJ199" s="93"/>
      <c r="AK199" s="93"/>
      <c r="AL199" s="93"/>
      <c r="AM199" s="93"/>
      <c r="AN199" s="93"/>
      <c r="AO199" s="93"/>
      <c r="AP199" s="93"/>
      <c r="AQ199" s="93"/>
      <c r="AR199" s="93"/>
      <c r="AS199" s="93"/>
      <c r="AT199" s="93"/>
      <c r="AU199" s="93"/>
      <c r="AV199" s="93"/>
      <c r="AW199" s="93"/>
      <c r="AX199" s="93"/>
      <c r="AY199" s="93"/>
      <c r="AZ199" s="93"/>
      <c r="BA199" s="93"/>
      <c r="BB199" s="93"/>
      <c r="BC199" s="93"/>
      <c r="BD199" s="93"/>
      <c r="BE199" s="93"/>
      <c r="BF199" s="93"/>
      <c r="BG199" s="93"/>
      <c r="BH199" s="93"/>
      <c r="BI199" s="93"/>
      <c r="BJ199" s="93"/>
      <c r="BK199" s="93"/>
      <c r="BL199" s="93"/>
      <c r="BM199" s="93"/>
      <c r="BN199" s="93"/>
      <c r="BO199" s="93"/>
      <c r="BP199" s="93"/>
      <c r="BQ199" s="93"/>
      <c r="BR199" s="93"/>
      <c r="BS199" s="93"/>
      <c r="BT199" s="93"/>
      <c r="BU199" s="93"/>
      <c r="BV199" s="93"/>
      <c r="BW199" s="93"/>
      <c r="BX199" s="93"/>
      <c r="BY199" s="93"/>
      <c r="BZ199" s="93"/>
      <c r="CA199" s="93"/>
      <c r="CB199" s="93"/>
      <c r="CC199" s="93"/>
      <c r="CD199" s="93"/>
      <c r="CE199" s="93"/>
      <c r="CF199" s="93"/>
      <c r="CG199" s="93"/>
      <c r="CH199" s="93"/>
      <c r="CI199" s="93"/>
      <c r="CJ199" s="93"/>
      <c r="CK199" s="93"/>
      <c r="CL199" s="93"/>
      <c r="CM199" s="93"/>
      <c r="CN199" s="93"/>
      <c r="CO199" s="93"/>
      <c r="CP199" s="93"/>
      <c r="CQ199" s="93"/>
      <c r="CR199" s="93"/>
      <c r="CS199" s="93"/>
      <c r="CT199" s="93"/>
      <c r="CU199" s="93"/>
      <c r="CV199" s="93"/>
      <c r="CW199" s="93"/>
      <c r="CX199" s="93"/>
      <c r="CY199" s="93">
        <v>0.33206590621039289</v>
      </c>
      <c r="CZ199" s="93"/>
      <c r="DA199" s="93"/>
      <c r="DB199" s="93"/>
      <c r="DC199" s="93"/>
      <c r="DD199" s="93"/>
      <c r="DE199" s="93"/>
      <c r="DF199" s="93"/>
      <c r="DG199" s="93"/>
      <c r="DH199" s="93"/>
      <c r="DI199" s="93"/>
      <c r="DJ199" s="93"/>
      <c r="DK199" s="93"/>
      <c r="DL199" s="93"/>
      <c r="DM199" s="93"/>
      <c r="DN199" s="93"/>
      <c r="DO199" s="93"/>
      <c r="DP199" s="93"/>
      <c r="DQ199" s="93"/>
      <c r="DR199" s="93"/>
      <c r="DS199" s="93"/>
      <c r="DT199" s="93"/>
      <c r="DU199" s="93"/>
      <c r="DV199" s="93"/>
      <c r="DW199" s="93"/>
      <c r="DX199" s="93"/>
      <c r="DY199" s="93"/>
      <c r="DZ199" s="93"/>
      <c r="EA199" s="93"/>
      <c r="EB199" s="93"/>
      <c r="EC199" s="93"/>
      <c r="ED199" s="93"/>
      <c r="EE199" s="93"/>
      <c r="EF199" s="93"/>
      <c r="EG199" s="93"/>
      <c r="EH199" s="93"/>
      <c r="EI199" s="93"/>
      <c r="EJ199" s="93"/>
      <c r="EK199" s="93"/>
      <c r="EL199" s="93"/>
      <c r="EM199" s="93"/>
      <c r="EN199" s="93"/>
      <c r="EO199" s="93"/>
      <c r="EP199" s="93"/>
      <c r="EQ199" s="93"/>
      <c r="ER199" s="93"/>
      <c r="ES199" s="93"/>
      <c r="ET199" s="93"/>
      <c r="EU199" s="93"/>
      <c r="EV199" s="93"/>
      <c r="EW199" s="93"/>
      <c r="EX199" s="93"/>
      <c r="EY199" s="93"/>
      <c r="EZ199" s="93"/>
      <c r="FA199" s="93"/>
      <c r="FB199" s="93"/>
      <c r="FC199" s="93"/>
      <c r="FD199" s="93"/>
      <c r="FE199" s="93"/>
      <c r="FF199" s="93"/>
      <c r="FG199" s="93"/>
      <c r="FH199" s="93"/>
      <c r="FI199" s="93"/>
      <c r="FJ199" s="93"/>
      <c r="FK199" s="93"/>
      <c r="FL199" s="93"/>
      <c r="FM199" s="93"/>
      <c r="FN199" s="93"/>
      <c r="FO199" s="93"/>
      <c r="FP199" s="93"/>
      <c r="FQ199" s="93"/>
      <c r="FR199" s="93"/>
      <c r="FS199" s="93"/>
      <c r="FT199" s="93"/>
      <c r="FU199" s="93"/>
      <c r="FV199" s="93"/>
      <c r="FW199" s="93"/>
      <c r="FX199" s="93"/>
      <c r="FY199" s="93"/>
      <c r="FZ199" s="93"/>
      <c r="GA199" s="93"/>
      <c r="GB199" s="93"/>
      <c r="GC199" s="93"/>
      <c r="GD199" s="93"/>
      <c r="GE199" s="93"/>
      <c r="GF199" s="93"/>
      <c r="GG199" s="93"/>
      <c r="GH199" s="93"/>
      <c r="GI199" s="93"/>
      <c r="GJ199" s="93"/>
      <c r="GK199" s="93"/>
      <c r="GL199" s="93"/>
      <c r="GM199" s="93"/>
      <c r="GN199" s="93"/>
      <c r="GO199" s="93"/>
      <c r="GP199" s="93"/>
      <c r="GQ199" s="93"/>
      <c r="GR199" s="93"/>
      <c r="GS199" s="93"/>
      <c r="GT199" s="93"/>
      <c r="GU199" s="93"/>
      <c r="GV199" s="93"/>
      <c r="GW199" s="93"/>
      <c r="GX199" s="93"/>
      <c r="GY199" s="93"/>
      <c r="GZ199" s="93"/>
      <c r="HA199" s="93"/>
      <c r="HB199" s="93"/>
      <c r="HC199" s="93"/>
      <c r="HD199" s="93"/>
      <c r="HE199" s="93"/>
      <c r="HF199" s="93"/>
      <c r="HG199" s="93"/>
    </row>
    <row r="200" spans="14:215" x14ac:dyDescent="0.2">
      <c r="N200" s="93" t="s">
        <v>417</v>
      </c>
      <c r="O200" s="93"/>
      <c r="P200" s="93"/>
      <c r="Q200" s="93"/>
      <c r="R200" s="93"/>
      <c r="S200" s="93"/>
      <c r="T200" s="93"/>
      <c r="U200" s="93"/>
      <c r="V200" s="93"/>
      <c r="W200" s="93"/>
      <c r="X200" s="93"/>
      <c r="Y200" s="93"/>
      <c r="Z200" s="93"/>
      <c r="AA200" s="93"/>
      <c r="AB200" s="93"/>
      <c r="AC200" s="93"/>
      <c r="AD200" s="93"/>
      <c r="AE200" s="93"/>
      <c r="AF200" s="93"/>
      <c r="AG200" s="93"/>
      <c r="AH200" s="93"/>
      <c r="AI200" s="93"/>
      <c r="AJ200" s="93"/>
      <c r="AK200" s="93"/>
      <c r="AL200" s="93"/>
      <c r="AM200" s="93"/>
      <c r="AN200" s="93"/>
      <c r="AO200" s="93"/>
      <c r="AP200" s="93"/>
      <c r="AQ200" s="93"/>
      <c r="AR200" s="93"/>
      <c r="AS200" s="93"/>
      <c r="AT200" s="93"/>
      <c r="AU200" s="93"/>
      <c r="AV200" s="93"/>
      <c r="AW200" s="93"/>
      <c r="AX200" s="93"/>
      <c r="AY200" s="93"/>
      <c r="AZ200" s="93"/>
      <c r="BA200" s="93"/>
      <c r="BB200" s="93"/>
      <c r="BC200" s="93"/>
      <c r="BD200" s="93"/>
      <c r="BE200" s="93"/>
      <c r="BF200" s="93"/>
      <c r="BG200" s="93"/>
      <c r="BH200" s="93"/>
      <c r="BI200" s="93"/>
      <c r="BJ200" s="93"/>
      <c r="BK200" s="93"/>
      <c r="BL200" s="93"/>
      <c r="BM200" s="93"/>
      <c r="BN200" s="93"/>
      <c r="BO200" s="93"/>
      <c r="BP200" s="93"/>
      <c r="BQ200" s="93"/>
      <c r="BR200" s="93"/>
      <c r="BS200" s="93"/>
      <c r="BT200" s="93"/>
      <c r="BU200" s="93"/>
      <c r="BV200" s="93"/>
      <c r="BW200" s="93"/>
      <c r="BX200" s="93"/>
      <c r="BY200" s="93"/>
      <c r="BZ200" s="93"/>
      <c r="CA200" s="93"/>
      <c r="CB200" s="93"/>
      <c r="CC200" s="93"/>
      <c r="CD200" s="93"/>
      <c r="CE200" s="93"/>
      <c r="CF200" s="93"/>
      <c r="CG200" s="93"/>
      <c r="CH200" s="93"/>
      <c r="CI200" s="93"/>
      <c r="CJ200" s="93"/>
      <c r="CK200" s="93"/>
      <c r="CL200" s="93"/>
      <c r="CM200" s="93"/>
      <c r="CN200" s="93"/>
      <c r="CO200" s="93"/>
      <c r="CP200" s="93"/>
      <c r="CQ200" s="93"/>
      <c r="CR200" s="93"/>
      <c r="CS200" s="93"/>
      <c r="CT200" s="93"/>
      <c r="CU200" s="93"/>
      <c r="CV200" s="93"/>
      <c r="CW200" s="93"/>
      <c r="CX200" s="93"/>
      <c r="CY200" s="93"/>
      <c r="CZ200" s="93">
        <v>0.33208020050125314</v>
      </c>
      <c r="DA200" s="93"/>
      <c r="DB200" s="93"/>
      <c r="DC200" s="93"/>
      <c r="DD200" s="93"/>
      <c r="DE200" s="93"/>
      <c r="DF200" s="93"/>
      <c r="DG200" s="93"/>
      <c r="DH200" s="93"/>
      <c r="DI200" s="93"/>
      <c r="DJ200" s="93"/>
      <c r="DK200" s="93"/>
      <c r="DL200" s="93"/>
      <c r="DM200" s="93"/>
      <c r="DN200" s="93"/>
      <c r="DO200" s="93"/>
      <c r="DP200" s="93"/>
      <c r="DQ200" s="93"/>
      <c r="DR200" s="93"/>
      <c r="DS200" s="93"/>
      <c r="DT200" s="93"/>
      <c r="DU200" s="93"/>
      <c r="DV200" s="93"/>
      <c r="DW200" s="93"/>
      <c r="DX200" s="93"/>
      <c r="DY200" s="93"/>
      <c r="DZ200" s="93"/>
      <c r="EA200" s="93"/>
      <c r="EB200" s="93"/>
      <c r="EC200" s="93"/>
      <c r="ED200" s="93"/>
      <c r="EE200" s="93"/>
      <c r="EF200" s="93"/>
      <c r="EG200" s="93"/>
      <c r="EH200" s="93"/>
      <c r="EI200" s="93"/>
      <c r="EJ200" s="93"/>
      <c r="EK200" s="93"/>
      <c r="EL200" s="93"/>
      <c r="EM200" s="93"/>
      <c r="EN200" s="93"/>
      <c r="EO200" s="93"/>
      <c r="EP200" s="93"/>
      <c r="EQ200" s="93"/>
      <c r="ER200" s="93"/>
      <c r="ES200" s="93"/>
      <c r="ET200" s="93"/>
      <c r="EU200" s="93"/>
      <c r="EV200" s="93"/>
      <c r="EW200" s="93"/>
      <c r="EX200" s="93"/>
      <c r="EY200" s="93"/>
      <c r="EZ200" s="93"/>
      <c r="FA200" s="93"/>
      <c r="FB200" s="93"/>
      <c r="FC200" s="93"/>
      <c r="FD200" s="93"/>
      <c r="FE200" s="93"/>
      <c r="FF200" s="93"/>
      <c r="FG200" s="93"/>
      <c r="FH200" s="93"/>
      <c r="FI200" s="93"/>
      <c r="FJ200" s="93"/>
      <c r="FK200" s="93"/>
      <c r="FL200" s="93"/>
      <c r="FM200" s="93"/>
      <c r="FN200" s="93"/>
      <c r="FO200" s="93"/>
      <c r="FP200" s="93"/>
      <c r="FQ200" s="93"/>
      <c r="FR200" s="93"/>
      <c r="FS200" s="93"/>
      <c r="FT200" s="93"/>
      <c r="FU200" s="93"/>
      <c r="FV200" s="93"/>
      <c r="FW200" s="93"/>
      <c r="FX200" s="93"/>
      <c r="FY200" s="93"/>
      <c r="FZ200" s="93"/>
      <c r="GA200" s="93"/>
      <c r="GB200" s="93"/>
      <c r="GC200" s="93"/>
      <c r="GD200" s="93"/>
      <c r="GE200" s="93"/>
      <c r="GF200" s="93"/>
      <c r="GG200" s="93"/>
      <c r="GH200" s="93"/>
      <c r="GI200" s="93"/>
      <c r="GJ200" s="93"/>
      <c r="GK200" s="93"/>
      <c r="GL200" s="93"/>
      <c r="GM200" s="93"/>
      <c r="GN200" s="93"/>
      <c r="GO200" s="93"/>
      <c r="GP200" s="93"/>
      <c r="GQ200" s="93"/>
      <c r="GR200" s="93"/>
      <c r="GS200" s="93"/>
      <c r="GT200" s="93"/>
      <c r="GU200" s="93"/>
      <c r="GV200" s="93"/>
      <c r="GW200" s="93"/>
      <c r="GX200" s="93"/>
      <c r="GY200" s="93"/>
      <c r="GZ200" s="93"/>
      <c r="HA200" s="93"/>
      <c r="HB200" s="93"/>
      <c r="HC200" s="93"/>
      <c r="HD200" s="93"/>
      <c r="HE200" s="93"/>
      <c r="HF200" s="93"/>
      <c r="HG200" s="93"/>
    </row>
    <row r="201" spans="14:215" x14ac:dyDescent="0.2">
      <c r="N201" s="93" t="s">
        <v>418</v>
      </c>
      <c r="O201" s="93"/>
      <c r="P201" s="93"/>
      <c r="Q201" s="93"/>
      <c r="R201" s="93"/>
      <c r="S201" s="93"/>
      <c r="T201" s="93"/>
      <c r="U201" s="93"/>
      <c r="V201" s="93"/>
      <c r="W201" s="93"/>
      <c r="X201" s="93"/>
      <c r="Y201" s="93"/>
      <c r="Z201" s="93"/>
      <c r="AA201" s="93"/>
      <c r="AB201" s="93"/>
      <c r="AC201" s="93"/>
      <c r="AD201" s="93"/>
      <c r="AE201" s="93"/>
      <c r="AF201" s="93"/>
      <c r="AG201" s="93"/>
      <c r="AH201" s="93"/>
      <c r="AI201" s="93"/>
      <c r="AJ201" s="93"/>
      <c r="AK201" s="93"/>
      <c r="AL201" s="93"/>
      <c r="AM201" s="93"/>
      <c r="AN201" s="93"/>
      <c r="AO201" s="93"/>
      <c r="AP201" s="93"/>
      <c r="AQ201" s="93"/>
      <c r="AR201" s="93"/>
      <c r="AS201" s="93"/>
      <c r="AT201" s="93"/>
      <c r="AU201" s="93"/>
      <c r="AV201" s="93"/>
      <c r="AW201" s="93"/>
      <c r="AX201" s="93"/>
      <c r="AY201" s="93"/>
      <c r="AZ201" s="93"/>
      <c r="BA201" s="93"/>
      <c r="BB201" s="93"/>
      <c r="BC201" s="93"/>
      <c r="BD201" s="93"/>
      <c r="BE201" s="93"/>
      <c r="BF201" s="93"/>
      <c r="BG201" s="93"/>
      <c r="BH201" s="93"/>
      <c r="BI201" s="93"/>
      <c r="BJ201" s="93"/>
      <c r="BK201" s="93"/>
      <c r="BL201" s="93"/>
      <c r="BM201" s="93"/>
      <c r="BN201" s="93"/>
      <c r="BO201" s="93"/>
      <c r="BP201" s="93"/>
      <c r="BQ201" s="93"/>
      <c r="BR201" s="93"/>
      <c r="BS201" s="93"/>
      <c r="BT201" s="93"/>
      <c r="BU201" s="93"/>
      <c r="BV201" s="93"/>
      <c r="BW201" s="93"/>
      <c r="BX201" s="93"/>
      <c r="BY201" s="93"/>
      <c r="BZ201" s="93"/>
      <c r="CA201" s="93"/>
      <c r="CB201" s="93"/>
      <c r="CC201" s="93"/>
      <c r="CD201" s="93"/>
      <c r="CE201" s="93"/>
      <c r="CF201" s="93"/>
      <c r="CG201" s="93"/>
      <c r="CH201" s="93"/>
      <c r="CI201" s="93"/>
      <c r="CJ201" s="93"/>
      <c r="CK201" s="93"/>
      <c r="CL201" s="93"/>
      <c r="CM201" s="93"/>
      <c r="CN201" s="93"/>
      <c r="CO201" s="93"/>
      <c r="CP201" s="93"/>
      <c r="CQ201" s="93"/>
      <c r="CR201" s="93"/>
      <c r="CS201" s="93"/>
      <c r="CT201" s="93"/>
      <c r="CU201" s="93"/>
      <c r="CV201" s="93"/>
      <c r="CW201" s="93"/>
      <c r="CX201" s="93"/>
      <c r="CY201" s="93"/>
      <c r="CZ201" s="93"/>
      <c r="DA201" s="93">
        <v>0.33209417596034696</v>
      </c>
      <c r="DB201" s="93"/>
      <c r="DC201" s="93"/>
      <c r="DD201" s="93"/>
      <c r="DE201" s="93"/>
      <c r="DF201" s="93"/>
      <c r="DG201" s="93"/>
      <c r="DH201" s="93"/>
      <c r="DI201" s="93"/>
      <c r="DJ201" s="93"/>
      <c r="DK201" s="93"/>
      <c r="DL201" s="93"/>
      <c r="DM201" s="93"/>
      <c r="DN201" s="93"/>
      <c r="DO201" s="93"/>
      <c r="DP201" s="93"/>
      <c r="DQ201" s="93"/>
      <c r="DR201" s="93"/>
      <c r="DS201" s="93"/>
      <c r="DT201" s="93"/>
      <c r="DU201" s="93"/>
      <c r="DV201" s="93"/>
      <c r="DW201" s="93"/>
      <c r="DX201" s="93"/>
      <c r="DY201" s="93"/>
      <c r="DZ201" s="93"/>
      <c r="EA201" s="93"/>
      <c r="EB201" s="93"/>
      <c r="EC201" s="93"/>
      <c r="ED201" s="93"/>
      <c r="EE201" s="93"/>
      <c r="EF201" s="93"/>
      <c r="EG201" s="93"/>
      <c r="EH201" s="93"/>
      <c r="EI201" s="93"/>
      <c r="EJ201" s="93"/>
      <c r="EK201" s="93"/>
      <c r="EL201" s="93"/>
      <c r="EM201" s="93"/>
      <c r="EN201" s="93"/>
      <c r="EO201" s="93"/>
      <c r="EP201" s="93"/>
      <c r="EQ201" s="93"/>
      <c r="ER201" s="93"/>
      <c r="ES201" s="93"/>
      <c r="ET201" s="93"/>
      <c r="EU201" s="93"/>
      <c r="EV201" s="93"/>
      <c r="EW201" s="93"/>
      <c r="EX201" s="93"/>
      <c r="EY201" s="93"/>
      <c r="EZ201" s="93"/>
      <c r="FA201" s="93"/>
      <c r="FB201" s="93"/>
      <c r="FC201" s="93"/>
      <c r="FD201" s="93"/>
      <c r="FE201" s="93"/>
      <c r="FF201" s="93"/>
      <c r="FG201" s="93"/>
      <c r="FH201" s="93"/>
      <c r="FI201" s="93"/>
      <c r="FJ201" s="93"/>
      <c r="FK201" s="93"/>
      <c r="FL201" s="93"/>
      <c r="FM201" s="93"/>
      <c r="FN201" s="93"/>
      <c r="FO201" s="93"/>
      <c r="FP201" s="93"/>
      <c r="FQ201" s="93"/>
      <c r="FR201" s="93"/>
      <c r="FS201" s="93"/>
      <c r="FT201" s="93"/>
      <c r="FU201" s="93"/>
      <c r="FV201" s="93"/>
      <c r="FW201" s="93"/>
      <c r="FX201" s="93"/>
      <c r="FY201" s="93"/>
      <c r="FZ201" s="93"/>
      <c r="GA201" s="93"/>
      <c r="GB201" s="93"/>
      <c r="GC201" s="93"/>
      <c r="GD201" s="93"/>
      <c r="GE201" s="93"/>
      <c r="GF201" s="93"/>
      <c r="GG201" s="93"/>
      <c r="GH201" s="93"/>
      <c r="GI201" s="93"/>
      <c r="GJ201" s="93"/>
      <c r="GK201" s="93"/>
      <c r="GL201" s="93"/>
      <c r="GM201" s="93"/>
      <c r="GN201" s="93"/>
      <c r="GO201" s="93"/>
      <c r="GP201" s="93"/>
      <c r="GQ201" s="93"/>
      <c r="GR201" s="93"/>
      <c r="GS201" s="93"/>
      <c r="GT201" s="93"/>
      <c r="GU201" s="93"/>
      <c r="GV201" s="93"/>
      <c r="GW201" s="93"/>
      <c r="GX201" s="93"/>
      <c r="GY201" s="93"/>
      <c r="GZ201" s="93"/>
      <c r="HA201" s="93"/>
      <c r="HB201" s="93"/>
      <c r="HC201" s="93"/>
      <c r="HD201" s="93"/>
      <c r="HE201" s="93"/>
      <c r="HF201" s="93"/>
      <c r="HG201" s="93"/>
    </row>
    <row r="202" spans="14:215" x14ac:dyDescent="0.2">
      <c r="N202" s="93" t="s">
        <v>419</v>
      </c>
      <c r="O202" s="93"/>
      <c r="P202" s="93"/>
      <c r="Q202" s="93"/>
      <c r="R202" s="93"/>
      <c r="S202" s="93"/>
      <c r="T202" s="93"/>
      <c r="U202" s="93"/>
      <c r="V202" s="93"/>
      <c r="W202" s="93"/>
      <c r="X202" s="93"/>
      <c r="Y202" s="93"/>
      <c r="Z202" s="93"/>
      <c r="AA202" s="93"/>
      <c r="AB202" s="93"/>
      <c r="AC202" s="93"/>
      <c r="AD202" s="93"/>
      <c r="AE202" s="93"/>
      <c r="AF202" s="93"/>
      <c r="AG202" s="93"/>
      <c r="AH202" s="93"/>
      <c r="AI202" s="93"/>
      <c r="AJ202" s="93"/>
      <c r="AK202" s="93"/>
      <c r="AL202" s="93"/>
      <c r="AM202" s="93"/>
      <c r="AN202" s="93"/>
      <c r="AO202" s="93"/>
      <c r="AP202" s="93"/>
      <c r="AQ202" s="93"/>
      <c r="AR202" s="93"/>
      <c r="AS202" s="93"/>
      <c r="AT202" s="93"/>
      <c r="AU202" s="93"/>
      <c r="AV202" s="93"/>
      <c r="AW202" s="93"/>
      <c r="AX202" s="93"/>
      <c r="AY202" s="93"/>
      <c r="AZ202" s="93"/>
      <c r="BA202" s="93"/>
      <c r="BB202" s="93"/>
      <c r="BC202" s="93"/>
      <c r="BD202" s="93"/>
      <c r="BE202" s="93"/>
      <c r="BF202" s="93"/>
      <c r="BG202" s="93"/>
      <c r="BH202" s="93"/>
      <c r="BI202" s="93"/>
      <c r="BJ202" s="93"/>
      <c r="BK202" s="93"/>
      <c r="BL202" s="93"/>
      <c r="BM202" s="93"/>
      <c r="BN202" s="93"/>
      <c r="BO202" s="93"/>
      <c r="BP202" s="93"/>
      <c r="BQ202" s="93"/>
      <c r="BR202" s="93"/>
      <c r="BS202" s="93"/>
      <c r="BT202" s="93"/>
      <c r="BU202" s="93"/>
      <c r="BV202" s="93"/>
      <c r="BW202" s="93"/>
      <c r="BX202" s="93"/>
      <c r="BY202" s="93"/>
      <c r="BZ202" s="93"/>
      <c r="CA202" s="93"/>
      <c r="CB202" s="93"/>
      <c r="CC202" s="93"/>
      <c r="CD202" s="93"/>
      <c r="CE202" s="93"/>
      <c r="CF202" s="93"/>
      <c r="CG202" s="93"/>
      <c r="CH202" s="93"/>
      <c r="CI202" s="93"/>
      <c r="CJ202" s="93"/>
      <c r="CK202" s="93"/>
      <c r="CL202" s="93"/>
      <c r="CM202" s="93"/>
      <c r="CN202" s="93"/>
      <c r="CO202" s="93"/>
      <c r="CP202" s="93"/>
      <c r="CQ202" s="93"/>
      <c r="CR202" s="93"/>
      <c r="CS202" s="93"/>
      <c r="CT202" s="93"/>
      <c r="CU202" s="93"/>
      <c r="CV202" s="93"/>
      <c r="CW202" s="93"/>
      <c r="CX202" s="93"/>
      <c r="CY202" s="93"/>
      <c r="CZ202" s="93"/>
      <c r="DA202" s="93"/>
      <c r="DB202" s="93">
        <v>0.33210784313725489</v>
      </c>
      <c r="DC202" s="93"/>
      <c r="DD202" s="93"/>
      <c r="DE202" s="93"/>
      <c r="DF202" s="93"/>
      <c r="DG202" s="93"/>
      <c r="DH202" s="93"/>
      <c r="DI202" s="93"/>
      <c r="DJ202" s="93"/>
      <c r="DK202" s="93"/>
      <c r="DL202" s="93"/>
      <c r="DM202" s="93"/>
      <c r="DN202" s="93"/>
      <c r="DO202" s="93"/>
      <c r="DP202" s="93"/>
      <c r="DQ202" s="93"/>
      <c r="DR202" s="93"/>
      <c r="DS202" s="93"/>
      <c r="DT202" s="93"/>
      <c r="DU202" s="93"/>
      <c r="DV202" s="93"/>
      <c r="DW202" s="93"/>
      <c r="DX202" s="93"/>
      <c r="DY202" s="93"/>
      <c r="DZ202" s="93"/>
      <c r="EA202" s="93"/>
      <c r="EB202" s="93"/>
      <c r="EC202" s="93"/>
      <c r="ED202" s="93"/>
      <c r="EE202" s="93"/>
      <c r="EF202" s="93"/>
      <c r="EG202" s="93"/>
      <c r="EH202" s="93"/>
      <c r="EI202" s="93"/>
      <c r="EJ202" s="93"/>
      <c r="EK202" s="93"/>
      <c r="EL202" s="93"/>
      <c r="EM202" s="93"/>
      <c r="EN202" s="93"/>
      <c r="EO202" s="93"/>
      <c r="EP202" s="93"/>
      <c r="EQ202" s="93"/>
      <c r="ER202" s="93"/>
      <c r="ES202" s="93"/>
      <c r="ET202" s="93"/>
      <c r="EU202" s="93"/>
      <c r="EV202" s="93"/>
      <c r="EW202" s="93"/>
      <c r="EX202" s="93"/>
      <c r="EY202" s="93"/>
      <c r="EZ202" s="93"/>
      <c r="FA202" s="93"/>
      <c r="FB202" s="93"/>
      <c r="FC202" s="93"/>
      <c r="FD202" s="93"/>
      <c r="FE202" s="93"/>
      <c r="FF202" s="93"/>
      <c r="FG202" s="93"/>
      <c r="FH202" s="93"/>
      <c r="FI202" s="93"/>
      <c r="FJ202" s="93"/>
      <c r="FK202" s="93"/>
      <c r="FL202" s="93"/>
      <c r="FM202" s="93"/>
      <c r="FN202" s="93"/>
      <c r="FO202" s="93"/>
      <c r="FP202" s="93"/>
      <c r="FQ202" s="93"/>
      <c r="FR202" s="93"/>
      <c r="FS202" s="93"/>
      <c r="FT202" s="93"/>
      <c r="FU202" s="93"/>
      <c r="FV202" s="93"/>
      <c r="FW202" s="93"/>
      <c r="FX202" s="93"/>
      <c r="FY202" s="93"/>
      <c r="FZ202" s="93"/>
      <c r="GA202" s="93"/>
      <c r="GB202" s="93"/>
      <c r="GC202" s="93"/>
      <c r="GD202" s="93"/>
      <c r="GE202" s="93"/>
      <c r="GF202" s="93"/>
      <c r="GG202" s="93"/>
      <c r="GH202" s="93"/>
      <c r="GI202" s="93"/>
      <c r="GJ202" s="93"/>
      <c r="GK202" s="93"/>
      <c r="GL202" s="93"/>
      <c r="GM202" s="93"/>
      <c r="GN202" s="93"/>
      <c r="GO202" s="93"/>
      <c r="GP202" s="93"/>
      <c r="GQ202" s="93"/>
      <c r="GR202" s="93"/>
      <c r="GS202" s="93"/>
      <c r="GT202" s="93"/>
      <c r="GU202" s="93"/>
      <c r="GV202" s="93"/>
      <c r="GW202" s="93"/>
      <c r="GX202" s="93"/>
      <c r="GY202" s="93"/>
      <c r="GZ202" s="93"/>
      <c r="HA202" s="93"/>
      <c r="HB202" s="93"/>
      <c r="HC202" s="93"/>
      <c r="HD202" s="93"/>
      <c r="HE202" s="93"/>
      <c r="HF202" s="93"/>
      <c r="HG202" s="93"/>
    </row>
    <row r="203" spans="14:215" x14ac:dyDescent="0.2">
      <c r="N203" s="93" t="s">
        <v>420</v>
      </c>
      <c r="O203" s="93"/>
      <c r="P203" s="93"/>
      <c r="Q203" s="93"/>
      <c r="R203" s="93"/>
      <c r="S203" s="93"/>
      <c r="T203" s="93"/>
      <c r="U203" s="93"/>
      <c r="V203" s="93"/>
      <c r="W203" s="93"/>
      <c r="X203" s="93"/>
      <c r="Y203" s="93"/>
      <c r="Z203" s="93"/>
      <c r="AA203" s="93"/>
      <c r="AB203" s="93"/>
      <c r="AC203" s="93"/>
      <c r="AD203" s="93"/>
      <c r="AE203" s="93"/>
      <c r="AF203" s="93"/>
      <c r="AG203" s="93"/>
      <c r="AH203" s="93"/>
      <c r="AI203" s="93"/>
      <c r="AJ203" s="93"/>
      <c r="AK203" s="93"/>
      <c r="AL203" s="93"/>
      <c r="AM203" s="93"/>
      <c r="AN203" s="93"/>
      <c r="AO203" s="93"/>
      <c r="AP203" s="93"/>
      <c r="AQ203" s="93"/>
      <c r="AR203" s="93"/>
      <c r="AS203" s="93"/>
      <c r="AT203" s="93"/>
      <c r="AU203" s="93"/>
      <c r="AV203" s="93"/>
      <c r="AW203" s="93"/>
      <c r="AX203" s="93"/>
      <c r="AY203" s="93"/>
      <c r="AZ203" s="93"/>
      <c r="BA203" s="93"/>
      <c r="BB203" s="93"/>
      <c r="BC203" s="93"/>
      <c r="BD203" s="93"/>
      <c r="BE203" s="93"/>
      <c r="BF203" s="93"/>
      <c r="BG203" s="93"/>
      <c r="BH203" s="93"/>
      <c r="BI203" s="93"/>
      <c r="BJ203" s="93"/>
      <c r="BK203" s="93"/>
      <c r="BL203" s="93"/>
      <c r="BM203" s="93"/>
      <c r="BN203" s="93"/>
      <c r="BO203" s="93"/>
      <c r="BP203" s="93"/>
      <c r="BQ203" s="93"/>
      <c r="BR203" s="93"/>
      <c r="BS203" s="93"/>
      <c r="BT203" s="93"/>
      <c r="BU203" s="93"/>
      <c r="BV203" s="93"/>
      <c r="BW203" s="93"/>
      <c r="BX203" s="93"/>
      <c r="BY203" s="93"/>
      <c r="BZ203" s="93"/>
      <c r="CA203" s="93"/>
      <c r="CB203" s="93"/>
      <c r="CC203" s="93"/>
      <c r="CD203" s="93"/>
      <c r="CE203" s="93"/>
      <c r="CF203" s="93"/>
      <c r="CG203" s="93"/>
      <c r="CH203" s="93"/>
      <c r="CI203" s="93"/>
      <c r="CJ203" s="93"/>
      <c r="CK203" s="93"/>
      <c r="CL203" s="93"/>
      <c r="CM203" s="93"/>
      <c r="CN203" s="93"/>
      <c r="CO203" s="93"/>
      <c r="CP203" s="93"/>
      <c r="CQ203" s="93"/>
      <c r="CR203" s="93"/>
      <c r="CS203" s="93"/>
      <c r="CT203" s="93"/>
      <c r="CU203" s="93"/>
      <c r="CV203" s="93"/>
      <c r="CW203" s="93"/>
      <c r="CX203" s="93"/>
      <c r="CY203" s="93"/>
      <c r="CZ203" s="93"/>
      <c r="DA203" s="93"/>
      <c r="DB203" s="93"/>
      <c r="DC203" s="93">
        <v>0.33212121212121209</v>
      </c>
      <c r="DD203" s="93"/>
      <c r="DE203" s="93"/>
      <c r="DF203" s="93"/>
      <c r="DG203" s="93"/>
      <c r="DH203" s="93"/>
      <c r="DI203" s="93"/>
      <c r="DJ203" s="93"/>
      <c r="DK203" s="93"/>
      <c r="DL203" s="93"/>
      <c r="DM203" s="93"/>
      <c r="DN203" s="93"/>
      <c r="DO203" s="93"/>
      <c r="DP203" s="93"/>
      <c r="DQ203" s="93"/>
      <c r="DR203" s="93"/>
      <c r="DS203" s="93"/>
      <c r="DT203" s="93"/>
      <c r="DU203" s="93"/>
      <c r="DV203" s="93"/>
      <c r="DW203" s="93"/>
      <c r="DX203" s="93"/>
      <c r="DY203" s="93"/>
      <c r="DZ203" s="93"/>
      <c r="EA203" s="93"/>
      <c r="EB203" s="93"/>
      <c r="EC203" s="93"/>
      <c r="ED203" s="93"/>
      <c r="EE203" s="93"/>
      <c r="EF203" s="93"/>
      <c r="EG203" s="93"/>
      <c r="EH203" s="93"/>
      <c r="EI203" s="93"/>
      <c r="EJ203" s="93"/>
      <c r="EK203" s="93"/>
      <c r="EL203" s="93"/>
      <c r="EM203" s="93"/>
      <c r="EN203" s="93"/>
      <c r="EO203" s="93"/>
      <c r="EP203" s="93"/>
      <c r="EQ203" s="93"/>
      <c r="ER203" s="93"/>
      <c r="ES203" s="93"/>
      <c r="ET203" s="93"/>
      <c r="EU203" s="93"/>
      <c r="EV203" s="93"/>
      <c r="EW203" s="93"/>
      <c r="EX203" s="93"/>
      <c r="EY203" s="93"/>
      <c r="EZ203" s="93"/>
      <c r="FA203" s="93"/>
      <c r="FB203" s="93"/>
      <c r="FC203" s="93"/>
      <c r="FD203" s="93"/>
      <c r="FE203" s="93"/>
      <c r="FF203" s="93"/>
      <c r="FG203" s="93"/>
      <c r="FH203" s="93"/>
      <c r="FI203" s="93"/>
      <c r="FJ203" s="93"/>
      <c r="FK203" s="93"/>
      <c r="FL203" s="93"/>
      <c r="FM203" s="93"/>
      <c r="FN203" s="93"/>
      <c r="FO203" s="93"/>
      <c r="FP203" s="93"/>
      <c r="FQ203" s="93"/>
      <c r="FR203" s="93"/>
      <c r="FS203" s="93"/>
      <c r="FT203" s="93"/>
      <c r="FU203" s="93"/>
      <c r="FV203" s="93"/>
      <c r="FW203" s="93"/>
      <c r="FX203" s="93"/>
      <c r="FY203" s="93"/>
      <c r="FZ203" s="93"/>
      <c r="GA203" s="93"/>
      <c r="GB203" s="93"/>
      <c r="GC203" s="93"/>
      <c r="GD203" s="93"/>
      <c r="GE203" s="93"/>
      <c r="GF203" s="93"/>
      <c r="GG203" s="93"/>
      <c r="GH203" s="93"/>
      <c r="GI203" s="93"/>
      <c r="GJ203" s="93"/>
      <c r="GK203" s="93"/>
      <c r="GL203" s="93"/>
      <c r="GM203" s="93"/>
      <c r="GN203" s="93"/>
      <c r="GO203" s="93"/>
      <c r="GP203" s="93"/>
      <c r="GQ203" s="93"/>
      <c r="GR203" s="93"/>
      <c r="GS203" s="93"/>
      <c r="GT203" s="93"/>
      <c r="GU203" s="93"/>
      <c r="GV203" s="93"/>
      <c r="GW203" s="93"/>
      <c r="GX203" s="93"/>
      <c r="GY203" s="93"/>
      <c r="GZ203" s="93"/>
      <c r="HA203" s="93"/>
      <c r="HB203" s="93"/>
      <c r="HC203" s="93"/>
      <c r="HD203" s="93"/>
      <c r="HE203" s="93"/>
      <c r="HF203" s="93"/>
      <c r="HG203" s="93"/>
    </row>
    <row r="204" spans="14:215" x14ac:dyDescent="0.2">
      <c r="N204" s="93" t="s">
        <v>421</v>
      </c>
      <c r="O204" s="93"/>
      <c r="P204" s="93"/>
      <c r="Q204" s="93"/>
      <c r="R204" s="93"/>
      <c r="S204" s="93"/>
      <c r="T204" s="93"/>
      <c r="U204" s="93"/>
      <c r="V204" s="93"/>
      <c r="W204" s="93"/>
      <c r="X204" s="93"/>
      <c r="Y204" s="93"/>
      <c r="Z204" s="93"/>
      <c r="AA204" s="93"/>
      <c r="AB204" s="93"/>
      <c r="AC204" s="93"/>
      <c r="AD204" s="93"/>
      <c r="AE204" s="93"/>
      <c r="AF204" s="93"/>
      <c r="AG204" s="93"/>
      <c r="AH204" s="93"/>
      <c r="AI204" s="93"/>
      <c r="AJ204" s="93"/>
      <c r="AK204" s="93"/>
      <c r="AL204" s="93"/>
      <c r="AM204" s="93"/>
      <c r="AN204" s="93"/>
      <c r="AO204" s="93"/>
      <c r="AP204" s="93"/>
      <c r="AQ204" s="93"/>
      <c r="AR204" s="93"/>
      <c r="AS204" s="93"/>
      <c r="AT204" s="93"/>
      <c r="AU204" s="93"/>
      <c r="AV204" s="93"/>
      <c r="AW204" s="93"/>
      <c r="AX204" s="93"/>
      <c r="AY204" s="93"/>
      <c r="AZ204" s="93"/>
      <c r="BA204" s="93"/>
      <c r="BB204" s="93"/>
      <c r="BC204" s="93"/>
      <c r="BD204" s="93"/>
      <c r="BE204" s="93"/>
      <c r="BF204" s="93"/>
      <c r="BG204" s="93"/>
      <c r="BH204" s="93"/>
      <c r="BI204" s="93"/>
      <c r="BJ204" s="93"/>
      <c r="BK204" s="93"/>
      <c r="BL204" s="93"/>
      <c r="BM204" s="93"/>
      <c r="BN204" s="93"/>
      <c r="BO204" s="93"/>
      <c r="BP204" s="93"/>
      <c r="BQ204" s="93"/>
      <c r="BR204" s="93"/>
      <c r="BS204" s="93"/>
      <c r="BT204" s="93"/>
      <c r="BU204" s="93"/>
      <c r="BV204" s="93"/>
      <c r="BW204" s="93"/>
      <c r="BX204" s="93"/>
      <c r="BY204" s="93"/>
      <c r="BZ204" s="93"/>
      <c r="CA204" s="93"/>
      <c r="CB204" s="93"/>
      <c r="CC204" s="93"/>
      <c r="CD204" s="93"/>
      <c r="CE204" s="93"/>
      <c r="CF204" s="93"/>
      <c r="CG204" s="93"/>
      <c r="CH204" s="93"/>
      <c r="CI204" s="93"/>
      <c r="CJ204" s="93"/>
      <c r="CK204" s="93"/>
      <c r="CL204" s="93"/>
      <c r="CM204" s="93"/>
      <c r="CN204" s="93"/>
      <c r="CO204" s="93"/>
      <c r="CP204" s="93"/>
      <c r="CQ204" s="93"/>
      <c r="CR204" s="93"/>
      <c r="CS204" s="93"/>
      <c r="CT204" s="93"/>
      <c r="CU204" s="93"/>
      <c r="CV204" s="93"/>
      <c r="CW204" s="93"/>
      <c r="CX204" s="93"/>
      <c r="CY204" s="93"/>
      <c r="CZ204" s="93"/>
      <c r="DA204" s="93"/>
      <c r="DB204" s="93"/>
      <c r="DC204" s="93"/>
      <c r="DD204" s="93">
        <v>0.33213429256594723</v>
      </c>
      <c r="DE204" s="93"/>
      <c r="DF204" s="93"/>
      <c r="DG204" s="93"/>
      <c r="DH204" s="93"/>
      <c r="DI204" s="93"/>
      <c r="DJ204" s="93"/>
      <c r="DK204" s="93"/>
      <c r="DL204" s="93"/>
      <c r="DM204" s="93"/>
      <c r="DN204" s="93"/>
      <c r="DO204" s="93"/>
      <c r="DP204" s="93"/>
      <c r="DQ204" s="93"/>
      <c r="DR204" s="93"/>
      <c r="DS204" s="93"/>
      <c r="DT204" s="93"/>
      <c r="DU204" s="93"/>
      <c r="DV204" s="93"/>
      <c r="DW204" s="93"/>
      <c r="DX204" s="93"/>
      <c r="DY204" s="93"/>
      <c r="DZ204" s="93"/>
      <c r="EA204" s="93"/>
      <c r="EB204" s="93"/>
      <c r="EC204" s="93"/>
      <c r="ED204" s="93"/>
      <c r="EE204" s="93"/>
      <c r="EF204" s="93"/>
      <c r="EG204" s="93"/>
      <c r="EH204" s="93"/>
      <c r="EI204" s="93"/>
      <c r="EJ204" s="93"/>
      <c r="EK204" s="93"/>
      <c r="EL204" s="93"/>
      <c r="EM204" s="93"/>
      <c r="EN204" s="93"/>
      <c r="EO204" s="93"/>
      <c r="EP204" s="93"/>
      <c r="EQ204" s="93"/>
      <c r="ER204" s="93"/>
      <c r="ES204" s="93"/>
      <c r="ET204" s="93"/>
      <c r="EU204" s="93"/>
      <c r="EV204" s="93"/>
      <c r="EW204" s="93"/>
      <c r="EX204" s="93"/>
      <c r="EY204" s="93"/>
      <c r="EZ204" s="93"/>
      <c r="FA204" s="93"/>
      <c r="FB204" s="93"/>
      <c r="FC204" s="93"/>
      <c r="FD204" s="93"/>
      <c r="FE204" s="93"/>
      <c r="FF204" s="93"/>
      <c r="FG204" s="93"/>
      <c r="FH204" s="93"/>
      <c r="FI204" s="93"/>
      <c r="FJ204" s="93"/>
      <c r="FK204" s="93"/>
      <c r="FL204" s="93"/>
      <c r="FM204" s="93"/>
      <c r="FN204" s="93"/>
      <c r="FO204" s="93"/>
      <c r="FP204" s="93"/>
      <c r="FQ204" s="93"/>
      <c r="FR204" s="93"/>
      <c r="FS204" s="93"/>
      <c r="FT204" s="93"/>
      <c r="FU204" s="93"/>
      <c r="FV204" s="93"/>
      <c r="FW204" s="93"/>
      <c r="FX204" s="93"/>
      <c r="FY204" s="93"/>
      <c r="FZ204" s="93"/>
      <c r="GA204" s="93"/>
      <c r="GB204" s="93"/>
      <c r="GC204" s="93"/>
      <c r="GD204" s="93"/>
      <c r="GE204" s="93"/>
      <c r="GF204" s="93"/>
      <c r="GG204" s="93"/>
      <c r="GH204" s="93"/>
      <c r="GI204" s="93"/>
      <c r="GJ204" s="93"/>
      <c r="GK204" s="93"/>
      <c r="GL204" s="93"/>
      <c r="GM204" s="93"/>
      <c r="GN204" s="93"/>
      <c r="GO204" s="93"/>
      <c r="GP204" s="93"/>
      <c r="GQ204" s="93"/>
      <c r="GR204" s="93"/>
      <c r="GS204" s="93"/>
      <c r="GT204" s="93"/>
      <c r="GU204" s="93"/>
      <c r="GV204" s="93"/>
      <c r="GW204" s="93"/>
      <c r="GX204" s="93"/>
      <c r="GY204" s="93"/>
      <c r="GZ204" s="93"/>
      <c r="HA204" s="93"/>
      <c r="HB204" s="93"/>
      <c r="HC204" s="93"/>
      <c r="HD204" s="93"/>
      <c r="HE204" s="93"/>
      <c r="HF204" s="93"/>
      <c r="HG204" s="93"/>
    </row>
    <row r="205" spans="14:215" x14ac:dyDescent="0.2">
      <c r="N205" s="93" t="s">
        <v>422</v>
      </c>
      <c r="O205" s="93"/>
      <c r="P205" s="93"/>
      <c r="Q205" s="93"/>
      <c r="R205" s="93"/>
      <c r="S205" s="93"/>
      <c r="T205" s="93"/>
      <c r="U205" s="93"/>
      <c r="V205" s="93"/>
      <c r="W205" s="93"/>
      <c r="X205" s="93"/>
      <c r="Y205" s="93"/>
      <c r="Z205" s="93"/>
      <c r="AA205" s="93"/>
      <c r="AB205" s="93"/>
      <c r="AC205" s="93"/>
      <c r="AD205" s="93"/>
      <c r="AE205" s="93"/>
      <c r="AF205" s="93"/>
      <c r="AG205" s="93"/>
      <c r="AH205" s="93"/>
      <c r="AI205" s="93"/>
      <c r="AJ205" s="93"/>
      <c r="AK205" s="93"/>
      <c r="AL205" s="93"/>
      <c r="AM205" s="93"/>
      <c r="AN205" s="93"/>
      <c r="AO205" s="93"/>
      <c r="AP205" s="93"/>
      <c r="AQ205" s="93"/>
      <c r="AR205" s="93"/>
      <c r="AS205" s="93"/>
      <c r="AT205" s="93"/>
      <c r="AU205" s="93"/>
      <c r="AV205" s="93"/>
      <c r="AW205" s="93"/>
      <c r="AX205" s="93"/>
      <c r="AY205" s="93"/>
      <c r="AZ205" s="93"/>
      <c r="BA205" s="93"/>
      <c r="BB205" s="93"/>
      <c r="BC205" s="93"/>
      <c r="BD205" s="93"/>
      <c r="BE205" s="93"/>
      <c r="BF205" s="93"/>
      <c r="BG205" s="93"/>
      <c r="BH205" s="93"/>
      <c r="BI205" s="93"/>
      <c r="BJ205" s="93"/>
      <c r="BK205" s="93"/>
      <c r="BL205" s="93"/>
      <c r="BM205" s="93"/>
      <c r="BN205" s="93"/>
      <c r="BO205" s="93"/>
      <c r="BP205" s="93"/>
      <c r="BQ205" s="93"/>
      <c r="BR205" s="93"/>
      <c r="BS205" s="93"/>
      <c r="BT205" s="93"/>
      <c r="BU205" s="93"/>
      <c r="BV205" s="93"/>
      <c r="BW205" s="93"/>
      <c r="BX205" s="93"/>
      <c r="BY205" s="93"/>
      <c r="BZ205" s="93"/>
      <c r="CA205" s="93"/>
      <c r="CB205" s="93"/>
      <c r="CC205" s="93"/>
      <c r="CD205" s="93"/>
      <c r="CE205" s="93"/>
      <c r="CF205" s="93"/>
      <c r="CG205" s="93"/>
      <c r="CH205" s="93"/>
      <c r="CI205" s="93"/>
      <c r="CJ205" s="93"/>
      <c r="CK205" s="93"/>
      <c r="CL205" s="93"/>
      <c r="CM205" s="93"/>
      <c r="CN205" s="93"/>
      <c r="CO205" s="93"/>
      <c r="CP205" s="93"/>
      <c r="CQ205" s="93"/>
      <c r="CR205" s="93"/>
      <c r="CS205" s="93"/>
      <c r="CT205" s="93"/>
      <c r="CU205" s="93"/>
      <c r="CV205" s="93"/>
      <c r="CW205" s="93"/>
      <c r="CX205" s="93"/>
      <c r="CY205" s="93"/>
      <c r="CZ205" s="93"/>
      <c r="DA205" s="93"/>
      <c r="DB205" s="93"/>
      <c r="DC205" s="93"/>
      <c r="DD205" s="93"/>
      <c r="DE205" s="93">
        <v>0.33214709371293</v>
      </c>
      <c r="DF205" s="93"/>
      <c r="DG205" s="93"/>
      <c r="DH205" s="93"/>
      <c r="DI205" s="93"/>
      <c r="DJ205" s="93"/>
      <c r="DK205" s="93"/>
      <c r="DL205" s="93"/>
      <c r="DM205" s="93"/>
      <c r="DN205" s="93"/>
      <c r="DO205" s="93"/>
      <c r="DP205" s="93"/>
      <c r="DQ205" s="93"/>
      <c r="DR205" s="93"/>
      <c r="DS205" s="93"/>
      <c r="DT205" s="93"/>
      <c r="DU205" s="93"/>
      <c r="DV205" s="93"/>
      <c r="DW205" s="93"/>
      <c r="DX205" s="93"/>
      <c r="DY205" s="93"/>
      <c r="DZ205" s="93"/>
      <c r="EA205" s="93"/>
      <c r="EB205" s="93"/>
      <c r="EC205" s="93"/>
      <c r="ED205" s="93"/>
      <c r="EE205" s="93"/>
      <c r="EF205" s="93"/>
      <c r="EG205" s="93"/>
      <c r="EH205" s="93"/>
      <c r="EI205" s="93"/>
      <c r="EJ205" s="93"/>
      <c r="EK205" s="93"/>
      <c r="EL205" s="93"/>
      <c r="EM205" s="93"/>
      <c r="EN205" s="93"/>
      <c r="EO205" s="93"/>
      <c r="EP205" s="93"/>
      <c r="EQ205" s="93"/>
      <c r="ER205" s="93"/>
      <c r="ES205" s="93"/>
      <c r="ET205" s="93"/>
      <c r="EU205" s="93"/>
      <c r="EV205" s="93"/>
      <c r="EW205" s="93"/>
      <c r="EX205" s="93"/>
      <c r="EY205" s="93"/>
      <c r="EZ205" s="93"/>
      <c r="FA205" s="93"/>
      <c r="FB205" s="93"/>
      <c r="FC205" s="93"/>
      <c r="FD205" s="93"/>
      <c r="FE205" s="93"/>
      <c r="FF205" s="93"/>
      <c r="FG205" s="93"/>
      <c r="FH205" s="93"/>
      <c r="FI205" s="93"/>
      <c r="FJ205" s="93"/>
      <c r="FK205" s="93"/>
      <c r="FL205" s="93"/>
      <c r="FM205" s="93"/>
      <c r="FN205" s="93"/>
      <c r="FO205" s="93"/>
      <c r="FP205" s="93"/>
      <c r="FQ205" s="93"/>
      <c r="FR205" s="93"/>
      <c r="FS205" s="93"/>
      <c r="FT205" s="93"/>
      <c r="FU205" s="93"/>
      <c r="FV205" s="93"/>
      <c r="FW205" s="93"/>
      <c r="FX205" s="93"/>
      <c r="FY205" s="93"/>
      <c r="FZ205" s="93"/>
      <c r="GA205" s="93"/>
      <c r="GB205" s="93"/>
      <c r="GC205" s="93"/>
      <c r="GD205" s="93"/>
      <c r="GE205" s="93"/>
      <c r="GF205" s="93"/>
      <c r="GG205" s="93"/>
      <c r="GH205" s="93"/>
      <c r="GI205" s="93"/>
      <c r="GJ205" s="93"/>
      <c r="GK205" s="93"/>
      <c r="GL205" s="93"/>
      <c r="GM205" s="93"/>
      <c r="GN205" s="93"/>
      <c r="GO205" s="93"/>
      <c r="GP205" s="93"/>
      <c r="GQ205" s="93"/>
      <c r="GR205" s="93"/>
      <c r="GS205" s="93"/>
      <c r="GT205" s="93"/>
      <c r="GU205" s="93"/>
      <c r="GV205" s="93"/>
      <c r="GW205" s="93"/>
      <c r="GX205" s="93"/>
      <c r="GY205" s="93"/>
      <c r="GZ205" s="93"/>
      <c r="HA205" s="93"/>
      <c r="HB205" s="93"/>
      <c r="HC205" s="93"/>
      <c r="HD205" s="93"/>
      <c r="HE205" s="93"/>
      <c r="HF205" s="93"/>
      <c r="HG205" s="93"/>
    </row>
    <row r="206" spans="14:215" x14ac:dyDescent="0.2">
      <c r="N206" s="93" t="s">
        <v>423</v>
      </c>
      <c r="O206" s="93"/>
      <c r="P206" s="93"/>
      <c r="Q206" s="93"/>
      <c r="R206" s="93"/>
      <c r="S206" s="93"/>
      <c r="T206" s="93"/>
      <c r="U206" s="93"/>
      <c r="V206" s="93"/>
      <c r="W206" s="93"/>
      <c r="X206" s="93"/>
      <c r="Y206" s="93"/>
      <c r="Z206" s="93"/>
      <c r="AA206" s="93"/>
      <c r="AB206" s="93"/>
      <c r="AC206" s="93"/>
      <c r="AD206" s="93"/>
      <c r="AE206" s="93"/>
      <c r="AF206" s="93"/>
      <c r="AG206" s="93"/>
      <c r="AH206" s="93"/>
      <c r="AI206" s="93"/>
      <c r="AJ206" s="93"/>
      <c r="AK206" s="93"/>
      <c r="AL206" s="93"/>
      <c r="AM206" s="93"/>
      <c r="AN206" s="93"/>
      <c r="AO206" s="93"/>
      <c r="AP206" s="93"/>
      <c r="AQ206" s="93"/>
      <c r="AR206" s="93"/>
      <c r="AS206" s="93"/>
      <c r="AT206" s="93"/>
      <c r="AU206" s="93"/>
      <c r="AV206" s="93"/>
      <c r="AW206" s="93"/>
      <c r="AX206" s="93"/>
      <c r="AY206" s="93"/>
      <c r="AZ206" s="93"/>
      <c r="BA206" s="93"/>
      <c r="BB206" s="93"/>
      <c r="BC206" s="93"/>
      <c r="BD206" s="93"/>
      <c r="BE206" s="93"/>
      <c r="BF206" s="93"/>
      <c r="BG206" s="93"/>
      <c r="BH206" s="93"/>
      <c r="BI206" s="93"/>
      <c r="BJ206" s="93"/>
      <c r="BK206" s="93"/>
      <c r="BL206" s="93"/>
      <c r="BM206" s="93"/>
      <c r="BN206" s="93"/>
      <c r="BO206" s="93"/>
      <c r="BP206" s="93"/>
      <c r="BQ206" s="93"/>
      <c r="BR206" s="93"/>
      <c r="BS206" s="93"/>
      <c r="BT206" s="93"/>
      <c r="BU206" s="93"/>
      <c r="BV206" s="93"/>
      <c r="BW206" s="93"/>
      <c r="BX206" s="93"/>
      <c r="BY206" s="93"/>
      <c r="BZ206" s="93"/>
      <c r="CA206" s="93"/>
      <c r="CB206" s="93"/>
      <c r="CC206" s="93"/>
      <c r="CD206" s="93"/>
      <c r="CE206" s="93"/>
      <c r="CF206" s="93"/>
      <c r="CG206" s="93"/>
      <c r="CH206" s="93"/>
      <c r="CI206" s="93"/>
      <c r="CJ206" s="93"/>
      <c r="CK206" s="93"/>
      <c r="CL206" s="93"/>
      <c r="CM206" s="93"/>
      <c r="CN206" s="93"/>
      <c r="CO206" s="93"/>
      <c r="CP206" s="93"/>
      <c r="CQ206" s="93"/>
      <c r="CR206" s="93"/>
      <c r="CS206" s="93"/>
      <c r="CT206" s="93"/>
      <c r="CU206" s="93"/>
      <c r="CV206" s="93"/>
      <c r="CW206" s="93"/>
      <c r="CX206" s="93"/>
      <c r="CY206" s="93"/>
      <c r="CZ206" s="93"/>
      <c r="DA206" s="93"/>
      <c r="DB206" s="93"/>
      <c r="DC206" s="93"/>
      <c r="DD206" s="93"/>
      <c r="DE206" s="93"/>
      <c r="DF206" s="93">
        <v>0.33215962441314556</v>
      </c>
      <c r="DG206" s="93"/>
      <c r="DH206" s="93"/>
      <c r="DI206" s="93"/>
      <c r="DJ206" s="93"/>
      <c r="DK206" s="93"/>
      <c r="DL206" s="93"/>
      <c r="DM206" s="93"/>
      <c r="DN206" s="93"/>
      <c r="DO206" s="93"/>
      <c r="DP206" s="93"/>
      <c r="DQ206" s="93"/>
      <c r="DR206" s="93"/>
      <c r="DS206" s="93"/>
      <c r="DT206" s="93"/>
      <c r="DU206" s="93"/>
      <c r="DV206" s="93"/>
      <c r="DW206" s="93"/>
      <c r="DX206" s="93"/>
      <c r="DY206" s="93"/>
      <c r="DZ206" s="93"/>
      <c r="EA206" s="93"/>
      <c r="EB206" s="93"/>
      <c r="EC206" s="93"/>
      <c r="ED206" s="93"/>
      <c r="EE206" s="93"/>
      <c r="EF206" s="93"/>
      <c r="EG206" s="93"/>
      <c r="EH206" s="93"/>
      <c r="EI206" s="93"/>
      <c r="EJ206" s="93"/>
      <c r="EK206" s="93"/>
      <c r="EL206" s="93"/>
      <c r="EM206" s="93"/>
      <c r="EN206" s="93"/>
      <c r="EO206" s="93"/>
      <c r="EP206" s="93"/>
      <c r="EQ206" s="93"/>
      <c r="ER206" s="93"/>
      <c r="ES206" s="93"/>
      <c r="ET206" s="93"/>
      <c r="EU206" s="93"/>
      <c r="EV206" s="93"/>
      <c r="EW206" s="93"/>
      <c r="EX206" s="93"/>
      <c r="EY206" s="93"/>
      <c r="EZ206" s="93"/>
      <c r="FA206" s="93"/>
      <c r="FB206" s="93"/>
      <c r="FC206" s="93"/>
      <c r="FD206" s="93"/>
      <c r="FE206" s="93"/>
      <c r="FF206" s="93"/>
      <c r="FG206" s="93"/>
      <c r="FH206" s="93"/>
      <c r="FI206" s="93"/>
      <c r="FJ206" s="93"/>
      <c r="FK206" s="93"/>
      <c r="FL206" s="93"/>
      <c r="FM206" s="93"/>
      <c r="FN206" s="93"/>
      <c r="FO206" s="93"/>
      <c r="FP206" s="93"/>
      <c r="FQ206" s="93"/>
      <c r="FR206" s="93"/>
      <c r="FS206" s="93"/>
      <c r="FT206" s="93"/>
      <c r="FU206" s="93"/>
      <c r="FV206" s="93"/>
      <c r="FW206" s="93"/>
      <c r="FX206" s="93"/>
      <c r="FY206" s="93"/>
      <c r="FZ206" s="93"/>
      <c r="GA206" s="93"/>
      <c r="GB206" s="93"/>
      <c r="GC206" s="93"/>
      <c r="GD206" s="93"/>
      <c r="GE206" s="93"/>
      <c r="GF206" s="93"/>
      <c r="GG206" s="93"/>
      <c r="GH206" s="93"/>
      <c r="GI206" s="93"/>
      <c r="GJ206" s="93"/>
      <c r="GK206" s="93"/>
      <c r="GL206" s="93"/>
      <c r="GM206" s="93"/>
      <c r="GN206" s="93"/>
      <c r="GO206" s="93"/>
      <c r="GP206" s="93"/>
      <c r="GQ206" s="93"/>
      <c r="GR206" s="93"/>
      <c r="GS206" s="93"/>
      <c r="GT206" s="93"/>
      <c r="GU206" s="93"/>
      <c r="GV206" s="93"/>
      <c r="GW206" s="93"/>
      <c r="GX206" s="93"/>
      <c r="GY206" s="93"/>
      <c r="GZ206" s="93"/>
      <c r="HA206" s="93"/>
      <c r="HB206" s="93"/>
      <c r="HC206" s="93"/>
      <c r="HD206" s="93"/>
      <c r="HE206" s="93"/>
      <c r="HF206" s="93"/>
      <c r="HG206" s="93"/>
    </row>
    <row r="207" spans="14:215" x14ac:dyDescent="0.2">
      <c r="N207" s="93" t="s">
        <v>424</v>
      </c>
      <c r="O207" s="93"/>
      <c r="P207" s="93"/>
      <c r="Q207" s="93"/>
      <c r="R207" s="93"/>
      <c r="S207" s="93"/>
      <c r="T207" s="93"/>
      <c r="U207" s="93"/>
      <c r="V207" s="93"/>
      <c r="W207" s="93"/>
      <c r="X207" s="93"/>
      <c r="Y207" s="93"/>
      <c r="Z207" s="93"/>
      <c r="AA207" s="93"/>
      <c r="AB207" s="93"/>
      <c r="AC207" s="93"/>
      <c r="AD207" s="93"/>
      <c r="AE207" s="93"/>
      <c r="AF207" s="93"/>
      <c r="AG207" s="93"/>
      <c r="AH207" s="93"/>
      <c r="AI207" s="93"/>
      <c r="AJ207" s="93"/>
      <c r="AK207" s="93"/>
      <c r="AL207" s="93"/>
      <c r="AM207" s="93"/>
      <c r="AN207" s="93"/>
      <c r="AO207" s="93"/>
      <c r="AP207" s="93"/>
      <c r="AQ207" s="93"/>
      <c r="AR207" s="93"/>
      <c r="AS207" s="93"/>
      <c r="AT207" s="93"/>
      <c r="AU207" s="93"/>
      <c r="AV207" s="93"/>
      <c r="AW207" s="93"/>
      <c r="AX207" s="93"/>
      <c r="AY207" s="93"/>
      <c r="AZ207" s="93"/>
      <c r="BA207" s="93"/>
      <c r="BB207" s="93"/>
      <c r="BC207" s="93"/>
      <c r="BD207" s="93"/>
      <c r="BE207" s="93"/>
      <c r="BF207" s="93"/>
      <c r="BG207" s="93"/>
      <c r="BH207" s="93"/>
      <c r="BI207" s="93"/>
      <c r="BJ207" s="93"/>
      <c r="BK207" s="93"/>
      <c r="BL207" s="93"/>
      <c r="BM207" s="93"/>
      <c r="BN207" s="93"/>
      <c r="BO207" s="93"/>
      <c r="BP207" s="93"/>
      <c r="BQ207" s="93"/>
      <c r="BR207" s="93"/>
      <c r="BS207" s="93"/>
      <c r="BT207" s="93"/>
      <c r="BU207" s="93"/>
      <c r="BV207" s="93"/>
      <c r="BW207" s="93"/>
      <c r="BX207" s="93"/>
      <c r="BY207" s="93"/>
      <c r="BZ207" s="93"/>
      <c r="CA207" s="93"/>
      <c r="CB207" s="93"/>
      <c r="CC207" s="93"/>
      <c r="CD207" s="93"/>
      <c r="CE207" s="93"/>
      <c r="CF207" s="93"/>
      <c r="CG207" s="93"/>
      <c r="CH207" s="93"/>
      <c r="CI207" s="93"/>
      <c r="CJ207" s="93"/>
      <c r="CK207" s="93"/>
      <c r="CL207" s="93"/>
      <c r="CM207" s="93"/>
      <c r="CN207" s="93"/>
      <c r="CO207" s="93"/>
      <c r="CP207" s="93"/>
      <c r="CQ207" s="93"/>
      <c r="CR207" s="93"/>
      <c r="CS207" s="93"/>
      <c r="CT207" s="93"/>
      <c r="CU207" s="93"/>
      <c r="CV207" s="93"/>
      <c r="CW207" s="93"/>
      <c r="CX207" s="93"/>
      <c r="CY207" s="93"/>
      <c r="CZ207" s="93"/>
      <c r="DA207" s="93"/>
      <c r="DB207" s="93"/>
      <c r="DC207" s="93"/>
      <c r="DD207" s="93"/>
      <c r="DE207" s="93"/>
      <c r="DF207" s="93"/>
      <c r="DG207" s="93">
        <v>0.33217189314750289</v>
      </c>
      <c r="DH207" s="93"/>
      <c r="DI207" s="93"/>
      <c r="DJ207" s="93"/>
      <c r="DK207" s="93"/>
      <c r="DL207" s="93"/>
      <c r="DM207" s="93"/>
      <c r="DN207" s="93"/>
      <c r="DO207" s="93"/>
      <c r="DP207" s="93"/>
      <c r="DQ207" s="93"/>
      <c r="DR207" s="93"/>
      <c r="DS207" s="93"/>
      <c r="DT207" s="93"/>
      <c r="DU207" s="93"/>
      <c r="DV207" s="93"/>
      <c r="DW207" s="93"/>
      <c r="DX207" s="93"/>
      <c r="DY207" s="93"/>
      <c r="DZ207" s="93"/>
      <c r="EA207" s="93"/>
      <c r="EB207" s="93"/>
      <c r="EC207" s="93"/>
      <c r="ED207" s="93"/>
      <c r="EE207" s="93"/>
      <c r="EF207" s="93"/>
      <c r="EG207" s="93"/>
      <c r="EH207" s="93"/>
      <c r="EI207" s="93"/>
      <c r="EJ207" s="93"/>
      <c r="EK207" s="93"/>
      <c r="EL207" s="93"/>
      <c r="EM207" s="93"/>
      <c r="EN207" s="93"/>
      <c r="EO207" s="93"/>
      <c r="EP207" s="93"/>
      <c r="EQ207" s="93"/>
      <c r="ER207" s="93"/>
      <c r="ES207" s="93"/>
      <c r="ET207" s="93"/>
      <c r="EU207" s="93"/>
      <c r="EV207" s="93"/>
      <c r="EW207" s="93"/>
      <c r="EX207" s="93"/>
      <c r="EY207" s="93"/>
      <c r="EZ207" s="93"/>
      <c r="FA207" s="93"/>
      <c r="FB207" s="93"/>
      <c r="FC207" s="93"/>
      <c r="FD207" s="93"/>
      <c r="FE207" s="93"/>
      <c r="FF207" s="93"/>
      <c r="FG207" s="93"/>
      <c r="FH207" s="93"/>
      <c r="FI207" s="93"/>
      <c r="FJ207" s="93"/>
      <c r="FK207" s="93"/>
      <c r="FL207" s="93"/>
      <c r="FM207" s="93"/>
      <c r="FN207" s="93"/>
      <c r="FO207" s="93"/>
      <c r="FP207" s="93"/>
      <c r="FQ207" s="93"/>
      <c r="FR207" s="93"/>
      <c r="FS207" s="93"/>
      <c r="FT207" s="93"/>
      <c r="FU207" s="93"/>
      <c r="FV207" s="93"/>
      <c r="FW207" s="93"/>
      <c r="FX207" s="93"/>
      <c r="FY207" s="93"/>
      <c r="FZ207" s="93"/>
      <c r="GA207" s="93"/>
      <c r="GB207" s="93"/>
      <c r="GC207" s="93"/>
      <c r="GD207" s="93"/>
      <c r="GE207" s="93"/>
      <c r="GF207" s="93"/>
      <c r="GG207" s="93"/>
      <c r="GH207" s="93"/>
      <c r="GI207" s="93"/>
      <c r="GJ207" s="93"/>
      <c r="GK207" s="93"/>
      <c r="GL207" s="93"/>
      <c r="GM207" s="93"/>
      <c r="GN207" s="93"/>
      <c r="GO207" s="93"/>
      <c r="GP207" s="93"/>
      <c r="GQ207" s="93"/>
      <c r="GR207" s="93"/>
      <c r="GS207" s="93"/>
      <c r="GT207" s="93"/>
      <c r="GU207" s="93"/>
      <c r="GV207" s="93"/>
      <c r="GW207" s="93"/>
      <c r="GX207" s="93"/>
      <c r="GY207" s="93"/>
      <c r="GZ207" s="93"/>
      <c r="HA207" s="93"/>
      <c r="HB207" s="93"/>
      <c r="HC207" s="93"/>
      <c r="HD207" s="93"/>
      <c r="HE207" s="93"/>
      <c r="HF207" s="93"/>
      <c r="HG207" s="93"/>
    </row>
    <row r="208" spans="14:215" x14ac:dyDescent="0.2">
      <c r="N208" s="93" t="s">
        <v>425</v>
      </c>
      <c r="O208" s="93"/>
      <c r="P208" s="93"/>
      <c r="Q208" s="93"/>
      <c r="R208" s="93"/>
      <c r="S208" s="93"/>
      <c r="T208" s="93"/>
      <c r="U208" s="93"/>
      <c r="V208" s="93"/>
      <c r="W208" s="93"/>
      <c r="X208" s="93"/>
      <c r="Y208" s="93"/>
      <c r="Z208" s="93"/>
      <c r="AA208" s="93"/>
      <c r="AB208" s="93"/>
      <c r="AC208" s="93"/>
      <c r="AD208" s="93"/>
      <c r="AE208" s="93"/>
      <c r="AF208" s="93"/>
      <c r="AG208" s="93"/>
      <c r="AH208" s="93"/>
      <c r="AI208" s="93"/>
      <c r="AJ208" s="93"/>
      <c r="AK208" s="93"/>
      <c r="AL208" s="93"/>
      <c r="AM208" s="93"/>
      <c r="AN208" s="93"/>
      <c r="AO208" s="93"/>
      <c r="AP208" s="93"/>
      <c r="AQ208" s="93"/>
      <c r="AR208" s="93"/>
      <c r="AS208" s="93"/>
      <c r="AT208" s="93"/>
      <c r="AU208" s="93"/>
      <c r="AV208" s="93"/>
      <c r="AW208" s="93"/>
      <c r="AX208" s="93"/>
      <c r="AY208" s="93"/>
      <c r="AZ208" s="93"/>
      <c r="BA208" s="93"/>
      <c r="BB208" s="93"/>
      <c r="BC208" s="93"/>
      <c r="BD208" s="93"/>
      <c r="BE208" s="93"/>
      <c r="BF208" s="93"/>
      <c r="BG208" s="93"/>
      <c r="BH208" s="93"/>
      <c r="BI208" s="93"/>
      <c r="BJ208" s="93"/>
      <c r="BK208" s="93"/>
      <c r="BL208" s="93"/>
      <c r="BM208" s="93"/>
      <c r="BN208" s="93"/>
      <c r="BO208" s="93"/>
      <c r="BP208" s="93"/>
      <c r="BQ208" s="93"/>
      <c r="BR208" s="93"/>
      <c r="BS208" s="93"/>
      <c r="BT208" s="93"/>
      <c r="BU208" s="93"/>
      <c r="BV208" s="93"/>
      <c r="BW208" s="93"/>
      <c r="BX208" s="93"/>
      <c r="BY208" s="93"/>
      <c r="BZ208" s="93"/>
      <c r="CA208" s="93"/>
      <c r="CB208" s="93"/>
      <c r="CC208" s="93"/>
      <c r="CD208" s="93"/>
      <c r="CE208" s="93"/>
      <c r="CF208" s="93"/>
      <c r="CG208" s="93"/>
      <c r="CH208" s="93"/>
      <c r="CI208" s="93"/>
      <c r="CJ208" s="93"/>
      <c r="CK208" s="93"/>
      <c r="CL208" s="93"/>
      <c r="CM208" s="93"/>
      <c r="CN208" s="93"/>
      <c r="CO208" s="93"/>
      <c r="CP208" s="93"/>
      <c r="CQ208" s="93"/>
      <c r="CR208" s="93"/>
      <c r="CS208" s="93"/>
      <c r="CT208" s="93"/>
      <c r="CU208" s="93"/>
      <c r="CV208" s="93"/>
      <c r="CW208" s="93"/>
      <c r="CX208" s="93"/>
      <c r="CY208" s="93"/>
      <c r="CZ208" s="93"/>
      <c r="DA208" s="93"/>
      <c r="DB208" s="93"/>
      <c r="DC208" s="93"/>
      <c r="DD208" s="93"/>
      <c r="DE208" s="93"/>
      <c r="DF208" s="93"/>
      <c r="DG208" s="93"/>
      <c r="DH208" s="93">
        <v>0.33218390804597703</v>
      </c>
      <c r="DI208" s="93"/>
      <c r="DJ208" s="93"/>
      <c r="DK208" s="93"/>
      <c r="DL208" s="93"/>
      <c r="DM208" s="93"/>
      <c r="DN208" s="93"/>
      <c r="DO208" s="93"/>
      <c r="DP208" s="93"/>
      <c r="DQ208" s="93"/>
      <c r="DR208" s="93"/>
      <c r="DS208" s="93"/>
      <c r="DT208" s="93"/>
      <c r="DU208" s="93"/>
      <c r="DV208" s="93"/>
      <c r="DW208" s="93"/>
      <c r="DX208" s="93"/>
      <c r="DY208" s="93"/>
      <c r="DZ208" s="93"/>
      <c r="EA208" s="93"/>
      <c r="EB208" s="93"/>
      <c r="EC208" s="93"/>
      <c r="ED208" s="93"/>
      <c r="EE208" s="93"/>
      <c r="EF208" s="93"/>
      <c r="EG208" s="93"/>
      <c r="EH208" s="93"/>
      <c r="EI208" s="93"/>
      <c r="EJ208" s="93"/>
      <c r="EK208" s="93"/>
      <c r="EL208" s="93"/>
      <c r="EM208" s="93"/>
      <c r="EN208" s="93"/>
      <c r="EO208" s="93"/>
      <c r="EP208" s="93"/>
      <c r="EQ208" s="93"/>
      <c r="ER208" s="93"/>
      <c r="ES208" s="93"/>
      <c r="ET208" s="93"/>
      <c r="EU208" s="93"/>
      <c r="EV208" s="93"/>
      <c r="EW208" s="93"/>
      <c r="EX208" s="93"/>
      <c r="EY208" s="93"/>
      <c r="EZ208" s="93"/>
      <c r="FA208" s="93"/>
      <c r="FB208" s="93"/>
      <c r="FC208" s="93"/>
      <c r="FD208" s="93"/>
      <c r="FE208" s="93"/>
      <c r="FF208" s="93"/>
      <c r="FG208" s="93"/>
      <c r="FH208" s="93"/>
      <c r="FI208" s="93"/>
      <c r="FJ208" s="93"/>
      <c r="FK208" s="93"/>
      <c r="FL208" s="93"/>
      <c r="FM208" s="93"/>
      <c r="FN208" s="93"/>
      <c r="FO208" s="93"/>
      <c r="FP208" s="93"/>
      <c r="FQ208" s="93"/>
      <c r="FR208" s="93"/>
      <c r="FS208" s="93"/>
      <c r="FT208" s="93"/>
      <c r="FU208" s="93"/>
      <c r="FV208" s="93"/>
      <c r="FW208" s="93"/>
      <c r="FX208" s="93"/>
      <c r="FY208" s="93"/>
      <c r="FZ208" s="93"/>
      <c r="GA208" s="93"/>
      <c r="GB208" s="93"/>
      <c r="GC208" s="93"/>
      <c r="GD208" s="93"/>
      <c r="GE208" s="93"/>
      <c r="GF208" s="93"/>
      <c r="GG208" s="93"/>
      <c r="GH208" s="93"/>
      <c r="GI208" s="93"/>
      <c r="GJ208" s="93"/>
      <c r="GK208" s="93"/>
      <c r="GL208" s="93"/>
      <c r="GM208" s="93"/>
      <c r="GN208" s="93"/>
      <c r="GO208" s="93"/>
      <c r="GP208" s="93"/>
      <c r="GQ208" s="93"/>
      <c r="GR208" s="93"/>
      <c r="GS208" s="93"/>
      <c r="GT208" s="93"/>
      <c r="GU208" s="93"/>
      <c r="GV208" s="93"/>
      <c r="GW208" s="93"/>
      <c r="GX208" s="93"/>
      <c r="GY208" s="93"/>
      <c r="GZ208" s="93"/>
      <c r="HA208" s="93"/>
      <c r="HB208" s="93"/>
      <c r="HC208" s="93"/>
      <c r="HD208" s="93"/>
      <c r="HE208" s="93"/>
      <c r="HF208" s="93"/>
      <c r="HG208" s="93"/>
    </row>
    <row r="209" spans="14:215" x14ac:dyDescent="0.2">
      <c r="N209" s="93" t="s">
        <v>426</v>
      </c>
      <c r="O209" s="93"/>
      <c r="P209" s="93"/>
      <c r="Q209" s="93"/>
      <c r="R209" s="93"/>
      <c r="S209" s="93"/>
      <c r="T209" s="93"/>
      <c r="U209" s="93"/>
      <c r="V209" s="93"/>
      <c r="W209" s="93"/>
      <c r="X209" s="93"/>
      <c r="Y209" s="93"/>
      <c r="Z209" s="93"/>
      <c r="AA209" s="93"/>
      <c r="AB209" s="93"/>
      <c r="AC209" s="93"/>
      <c r="AD209" s="93"/>
      <c r="AE209" s="93"/>
      <c r="AF209" s="93"/>
      <c r="AG209" s="93"/>
      <c r="AH209" s="93"/>
      <c r="AI209" s="93"/>
      <c r="AJ209" s="93"/>
      <c r="AK209" s="93"/>
      <c r="AL209" s="93"/>
      <c r="AM209" s="93"/>
      <c r="AN209" s="93"/>
      <c r="AO209" s="93"/>
      <c r="AP209" s="93"/>
      <c r="AQ209" s="93"/>
      <c r="AR209" s="93"/>
      <c r="AS209" s="93"/>
      <c r="AT209" s="93"/>
      <c r="AU209" s="93"/>
      <c r="AV209" s="93"/>
      <c r="AW209" s="93"/>
      <c r="AX209" s="93"/>
      <c r="AY209" s="93"/>
      <c r="AZ209" s="93"/>
      <c r="BA209" s="93"/>
      <c r="BB209" s="93"/>
      <c r="BC209" s="93"/>
      <c r="BD209" s="93"/>
      <c r="BE209" s="93"/>
      <c r="BF209" s="93"/>
      <c r="BG209" s="93"/>
      <c r="BH209" s="93"/>
      <c r="BI209" s="93"/>
      <c r="BJ209" s="93"/>
      <c r="BK209" s="93"/>
      <c r="BL209" s="93"/>
      <c r="BM209" s="93"/>
      <c r="BN209" s="93"/>
      <c r="BO209" s="93"/>
      <c r="BP209" s="93"/>
      <c r="BQ209" s="93"/>
      <c r="BR209" s="93"/>
      <c r="BS209" s="93"/>
      <c r="BT209" s="93"/>
      <c r="BU209" s="93"/>
      <c r="BV209" s="93"/>
      <c r="BW209" s="93"/>
      <c r="BX209" s="93"/>
      <c r="BY209" s="93"/>
      <c r="BZ209" s="93"/>
      <c r="CA209" s="93"/>
      <c r="CB209" s="93"/>
      <c r="CC209" s="93"/>
      <c r="CD209" s="93"/>
      <c r="CE209" s="93"/>
      <c r="CF209" s="93"/>
      <c r="CG209" s="93"/>
      <c r="CH209" s="93"/>
      <c r="CI209" s="93"/>
      <c r="CJ209" s="93"/>
      <c r="CK209" s="93"/>
      <c r="CL209" s="93"/>
      <c r="CM209" s="93"/>
      <c r="CN209" s="93"/>
      <c r="CO209" s="93"/>
      <c r="CP209" s="93"/>
      <c r="CQ209" s="93"/>
      <c r="CR209" s="93"/>
      <c r="CS209" s="93"/>
      <c r="CT209" s="93"/>
      <c r="CU209" s="93"/>
      <c r="CV209" s="93"/>
      <c r="CW209" s="93"/>
      <c r="CX209" s="93"/>
      <c r="CY209" s="93"/>
      <c r="CZ209" s="93"/>
      <c r="DA209" s="93"/>
      <c r="DB209" s="93"/>
      <c r="DC209" s="93"/>
      <c r="DD209" s="93"/>
      <c r="DE209" s="93"/>
      <c r="DF209" s="93"/>
      <c r="DG209" s="93"/>
      <c r="DH209" s="93"/>
      <c r="DI209" s="93">
        <v>0.3321956769055745</v>
      </c>
      <c r="DJ209" s="93"/>
      <c r="DK209" s="93"/>
      <c r="DL209" s="93"/>
      <c r="DM209" s="93"/>
      <c r="DN209" s="93"/>
      <c r="DO209" s="93"/>
      <c r="DP209" s="93"/>
      <c r="DQ209" s="93"/>
      <c r="DR209" s="93"/>
      <c r="DS209" s="93"/>
      <c r="DT209" s="93"/>
      <c r="DU209" s="93"/>
      <c r="DV209" s="93"/>
      <c r="DW209" s="93"/>
      <c r="DX209" s="93"/>
      <c r="DY209" s="93"/>
      <c r="DZ209" s="93"/>
      <c r="EA209" s="93"/>
      <c r="EB209" s="93"/>
      <c r="EC209" s="93"/>
      <c r="ED209" s="93"/>
      <c r="EE209" s="93"/>
      <c r="EF209" s="93"/>
      <c r="EG209" s="93"/>
      <c r="EH209" s="93"/>
      <c r="EI209" s="93"/>
      <c r="EJ209" s="93"/>
      <c r="EK209" s="93"/>
      <c r="EL209" s="93"/>
      <c r="EM209" s="93"/>
      <c r="EN209" s="93"/>
      <c r="EO209" s="93"/>
      <c r="EP209" s="93"/>
      <c r="EQ209" s="93"/>
      <c r="ER209" s="93"/>
      <c r="ES209" s="93"/>
      <c r="ET209" s="93"/>
      <c r="EU209" s="93"/>
      <c r="EV209" s="93"/>
      <c r="EW209" s="93"/>
      <c r="EX209" s="93"/>
      <c r="EY209" s="93"/>
      <c r="EZ209" s="93"/>
      <c r="FA209" s="93"/>
      <c r="FB209" s="93"/>
      <c r="FC209" s="93"/>
      <c r="FD209" s="93"/>
      <c r="FE209" s="93"/>
      <c r="FF209" s="93"/>
      <c r="FG209" s="93"/>
      <c r="FH209" s="93"/>
      <c r="FI209" s="93"/>
      <c r="FJ209" s="93"/>
      <c r="FK209" s="93"/>
      <c r="FL209" s="93"/>
      <c r="FM209" s="93"/>
      <c r="FN209" s="93"/>
      <c r="FO209" s="93"/>
      <c r="FP209" s="93"/>
      <c r="FQ209" s="93"/>
      <c r="FR209" s="93"/>
      <c r="FS209" s="93"/>
      <c r="FT209" s="93"/>
      <c r="FU209" s="93"/>
      <c r="FV209" s="93"/>
      <c r="FW209" s="93"/>
      <c r="FX209" s="93"/>
      <c r="FY209" s="93"/>
      <c r="FZ209" s="93"/>
      <c r="GA209" s="93"/>
      <c r="GB209" s="93"/>
      <c r="GC209" s="93"/>
      <c r="GD209" s="93"/>
      <c r="GE209" s="93"/>
      <c r="GF209" s="93"/>
      <c r="GG209" s="93"/>
      <c r="GH209" s="93"/>
      <c r="GI209" s="93"/>
      <c r="GJ209" s="93"/>
      <c r="GK209" s="93"/>
      <c r="GL209" s="93"/>
      <c r="GM209" s="93"/>
      <c r="GN209" s="93"/>
      <c r="GO209" s="93"/>
      <c r="GP209" s="93"/>
      <c r="GQ209" s="93"/>
      <c r="GR209" s="93"/>
      <c r="GS209" s="93"/>
      <c r="GT209" s="93"/>
      <c r="GU209" s="93"/>
      <c r="GV209" s="93"/>
      <c r="GW209" s="93"/>
      <c r="GX209" s="93"/>
      <c r="GY209" s="93"/>
      <c r="GZ209" s="93"/>
      <c r="HA209" s="93"/>
      <c r="HB209" s="93"/>
      <c r="HC209" s="93"/>
      <c r="HD209" s="93"/>
      <c r="HE209" s="93"/>
      <c r="HF209" s="93"/>
      <c r="HG209" s="93"/>
    </row>
    <row r="210" spans="14:215" x14ac:dyDescent="0.2">
      <c r="N210" s="93" t="s">
        <v>427</v>
      </c>
      <c r="O210" s="93"/>
      <c r="P210" s="93"/>
      <c r="Q210" s="93"/>
      <c r="R210" s="93"/>
      <c r="S210" s="93"/>
      <c r="T210" s="93"/>
      <c r="U210" s="93"/>
      <c r="V210" s="93"/>
      <c r="W210" s="93"/>
      <c r="X210" s="93"/>
      <c r="Y210" s="93"/>
      <c r="Z210" s="93"/>
      <c r="AA210" s="93"/>
      <c r="AB210" s="93"/>
      <c r="AC210" s="93"/>
      <c r="AD210" s="93"/>
      <c r="AE210" s="93"/>
      <c r="AF210" s="93"/>
      <c r="AG210" s="93"/>
      <c r="AH210" s="93"/>
      <c r="AI210" s="93"/>
      <c r="AJ210" s="93"/>
      <c r="AK210" s="93"/>
      <c r="AL210" s="93"/>
      <c r="AM210" s="93"/>
      <c r="AN210" s="93"/>
      <c r="AO210" s="93"/>
      <c r="AP210" s="93"/>
      <c r="AQ210" s="93"/>
      <c r="AR210" s="93"/>
      <c r="AS210" s="93"/>
      <c r="AT210" s="93"/>
      <c r="AU210" s="93"/>
      <c r="AV210" s="93"/>
      <c r="AW210" s="93"/>
      <c r="AX210" s="93"/>
      <c r="AY210" s="93"/>
      <c r="AZ210" s="93"/>
      <c r="BA210" s="93"/>
      <c r="BB210" s="93"/>
      <c r="BC210" s="93"/>
      <c r="BD210" s="93"/>
      <c r="BE210" s="93"/>
      <c r="BF210" s="93"/>
      <c r="BG210" s="93"/>
      <c r="BH210" s="93"/>
      <c r="BI210" s="93"/>
      <c r="BJ210" s="93"/>
      <c r="BK210" s="93"/>
      <c r="BL210" s="93"/>
      <c r="BM210" s="93"/>
      <c r="BN210" s="93"/>
      <c r="BO210" s="93"/>
      <c r="BP210" s="93"/>
      <c r="BQ210" s="93"/>
      <c r="BR210" s="93"/>
      <c r="BS210" s="93"/>
      <c r="BT210" s="93"/>
      <c r="BU210" s="93"/>
      <c r="BV210" s="93"/>
      <c r="BW210" s="93"/>
      <c r="BX210" s="93"/>
      <c r="BY210" s="93"/>
      <c r="BZ210" s="93"/>
      <c r="CA210" s="93"/>
      <c r="CB210" s="93"/>
      <c r="CC210" s="93"/>
      <c r="CD210" s="93"/>
      <c r="CE210" s="93"/>
      <c r="CF210" s="93"/>
      <c r="CG210" s="93"/>
      <c r="CH210" s="93"/>
      <c r="CI210" s="93"/>
      <c r="CJ210" s="93"/>
      <c r="CK210" s="93"/>
      <c r="CL210" s="93"/>
      <c r="CM210" s="93"/>
      <c r="CN210" s="93"/>
      <c r="CO210" s="93"/>
      <c r="CP210" s="93"/>
      <c r="CQ210" s="93"/>
      <c r="CR210" s="93"/>
      <c r="CS210" s="93"/>
      <c r="CT210" s="93"/>
      <c r="CU210" s="93"/>
      <c r="CV210" s="93"/>
      <c r="CW210" s="93"/>
      <c r="CX210" s="93"/>
      <c r="CY210" s="93"/>
      <c r="CZ210" s="93"/>
      <c r="DA210" s="93"/>
      <c r="DB210" s="93"/>
      <c r="DC210" s="93"/>
      <c r="DD210" s="93"/>
      <c r="DE210" s="93"/>
      <c r="DF210" s="93"/>
      <c r="DG210" s="93"/>
      <c r="DH210" s="93"/>
      <c r="DI210" s="93"/>
      <c r="DJ210" s="93">
        <v>0.3322072072072072</v>
      </c>
      <c r="DK210" s="93"/>
      <c r="DL210" s="93"/>
      <c r="DM210" s="93"/>
      <c r="DN210" s="93"/>
      <c r="DO210" s="93"/>
      <c r="DP210" s="93"/>
      <c r="DQ210" s="93"/>
      <c r="DR210" s="93"/>
      <c r="DS210" s="93"/>
      <c r="DT210" s="93"/>
      <c r="DU210" s="93"/>
      <c r="DV210" s="93"/>
      <c r="DW210" s="93"/>
      <c r="DX210" s="93"/>
      <c r="DY210" s="93"/>
      <c r="DZ210" s="93"/>
      <c r="EA210" s="93"/>
      <c r="EB210" s="93"/>
      <c r="EC210" s="93"/>
      <c r="ED210" s="93"/>
      <c r="EE210" s="93"/>
      <c r="EF210" s="93"/>
      <c r="EG210" s="93"/>
      <c r="EH210" s="93"/>
      <c r="EI210" s="93"/>
      <c r="EJ210" s="93"/>
      <c r="EK210" s="93"/>
      <c r="EL210" s="93"/>
      <c r="EM210" s="93"/>
      <c r="EN210" s="93"/>
      <c r="EO210" s="93"/>
      <c r="EP210" s="93"/>
      <c r="EQ210" s="93"/>
      <c r="ER210" s="93"/>
      <c r="ES210" s="93"/>
      <c r="ET210" s="93"/>
      <c r="EU210" s="93"/>
      <c r="EV210" s="93"/>
      <c r="EW210" s="93"/>
      <c r="EX210" s="93"/>
      <c r="EY210" s="93"/>
      <c r="EZ210" s="93"/>
      <c r="FA210" s="93"/>
      <c r="FB210" s="93"/>
      <c r="FC210" s="93"/>
      <c r="FD210" s="93"/>
      <c r="FE210" s="93"/>
      <c r="FF210" s="93"/>
      <c r="FG210" s="93"/>
      <c r="FH210" s="93"/>
      <c r="FI210" s="93"/>
      <c r="FJ210" s="93"/>
      <c r="FK210" s="93"/>
      <c r="FL210" s="93"/>
      <c r="FM210" s="93"/>
      <c r="FN210" s="93"/>
      <c r="FO210" s="93"/>
      <c r="FP210" s="93"/>
      <c r="FQ210" s="93"/>
      <c r="FR210" s="93"/>
      <c r="FS210" s="93"/>
      <c r="FT210" s="93"/>
      <c r="FU210" s="93"/>
      <c r="FV210" s="93"/>
      <c r="FW210" s="93"/>
      <c r="FX210" s="93"/>
      <c r="FY210" s="93"/>
      <c r="FZ210" s="93"/>
      <c r="GA210" s="93"/>
      <c r="GB210" s="93"/>
      <c r="GC210" s="93"/>
      <c r="GD210" s="93"/>
      <c r="GE210" s="93"/>
      <c r="GF210" s="93"/>
      <c r="GG210" s="93"/>
      <c r="GH210" s="93"/>
      <c r="GI210" s="93"/>
      <c r="GJ210" s="93"/>
      <c r="GK210" s="93"/>
      <c r="GL210" s="93"/>
      <c r="GM210" s="93"/>
      <c r="GN210" s="93"/>
      <c r="GO210" s="93"/>
      <c r="GP210" s="93"/>
      <c r="GQ210" s="93"/>
      <c r="GR210" s="93"/>
      <c r="GS210" s="93"/>
      <c r="GT210" s="93"/>
      <c r="GU210" s="93"/>
      <c r="GV210" s="93"/>
      <c r="GW210" s="93"/>
      <c r="GX210" s="93"/>
      <c r="GY210" s="93"/>
      <c r="GZ210" s="93"/>
      <c r="HA210" s="93"/>
      <c r="HB210" s="93"/>
      <c r="HC210" s="93"/>
      <c r="HD210" s="93"/>
      <c r="HE210" s="93"/>
      <c r="HF210" s="93"/>
      <c r="HG210" s="93"/>
    </row>
    <row r="211" spans="14:215" x14ac:dyDescent="0.2">
      <c r="N211" s="93" t="s">
        <v>428</v>
      </c>
      <c r="O211" s="93"/>
      <c r="P211" s="93"/>
      <c r="Q211" s="93"/>
      <c r="R211" s="93"/>
      <c r="S211" s="93"/>
      <c r="T211" s="93"/>
      <c r="U211" s="93"/>
      <c r="V211" s="93"/>
      <c r="W211" s="93"/>
      <c r="X211" s="93"/>
      <c r="Y211" s="93"/>
      <c r="Z211" s="93"/>
      <c r="AA211" s="93"/>
      <c r="AB211" s="93"/>
      <c r="AC211" s="93"/>
      <c r="AD211" s="93"/>
      <c r="AE211" s="93"/>
      <c r="AF211" s="93"/>
      <c r="AG211" s="93"/>
      <c r="AH211" s="93"/>
      <c r="AI211" s="93"/>
      <c r="AJ211" s="93"/>
      <c r="AK211" s="93"/>
      <c r="AL211" s="93"/>
      <c r="AM211" s="93"/>
      <c r="AN211" s="93"/>
      <c r="AO211" s="93"/>
      <c r="AP211" s="93"/>
      <c r="AQ211" s="93"/>
      <c r="AR211" s="93"/>
      <c r="AS211" s="93"/>
      <c r="AT211" s="93"/>
      <c r="AU211" s="93"/>
      <c r="AV211" s="93"/>
      <c r="AW211" s="93"/>
      <c r="AX211" s="93"/>
      <c r="AY211" s="93"/>
      <c r="AZ211" s="93"/>
      <c r="BA211" s="93"/>
      <c r="BB211" s="93"/>
      <c r="BC211" s="93"/>
      <c r="BD211" s="93"/>
      <c r="BE211" s="93"/>
      <c r="BF211" s="93"/>
      <c r="BG211" s="93"/>
      <c r="BH211" s="93"/>
      <c r="BI211" s="93"/>
      <c r="BJ211" s="93"/>
      <c r="BK211" s="93"/>
      <c r="BL211" s="93"/>
      <c r="BM211" s="93"/>
      <c r="BN211" s="93"/>
      <c r="BO211" s="93"/>
      <c r="BP211" s="93"/>
      <c r="BQ211" s="93"/>
      <c r="BR211" s="93"/>
      <c r="BS211" s="93"/>
      <c r="BT211" s="93"/>
      <c r="BU211" s="93"/>
      <c r="BV211" s="93"/>
      <c r="BW211" s="93"/>
      <c r="BX211" s="93"/>
      <c r="BY211" s="93"/>
      <c r="BZ211" s="93"/>
      <c r="CA211" s="93"/>
      <c r="CB211" s="93"/>
      <c r="CC211" s="93"/>
      <c r="CD211" s="93"/>
      <c r="CE211" s="93"/>
      <c r="CF211" s="93"/>
      <c r="CG211" s="93"/>
      <c r="CH211" s="93"/>
      <c r="CI211" s="93"/>
      <c r="CJ211" s="93"/>
      <c r="CK211" s="93"/>
      <c r="CL211" s="93"/>
      <c r="CM211" s="93"/>
      <c r="CN211" s="93"/>
      <c r="CO211" s="93"/>
      <c r="CP211" s="93"/>
      <c r="CQ211" s="93"/>
      <c r="CR211" s="93"/>
      <c r="CS211" s="93"/>
      <c r="CT211" s="93"/>
      <c r="CU211" s="93"/>
      <c r="CV211" s="93"/>
      <c r="CW211" s="93"/>
      <c r="CX211" s="93"/>
      <c r="CY211" s="93"/>
      <c r="CZ211" s="93"/>
      <c r="DA211" s="93"/>
      <c r="DB211" s="93"/>
      <c r="DC211" s="93"/>
      <c r="DD211" s="93"/>
      <c r="DE211" s="93"/>
      <c r="DF211" s="93"/>
      <c r="DG211" s="93"/>
      <c r="DH211" s="93"/>
      <c r="DI211" s="93"/>
      <c r="DJ211" s="93"/>
      <c r="DK211" s="93">
        <v>0.33221850613154963</v>
      </c>
      <c r="DL211" s="93"/>
      <c r="DM211" s="93"/>
      <c r="DN211" s="93"/>
      <c r="DO211" s="93"/>
      <c r="DP211" s="93"/>
      <c r="DQ211" s="93"/>
      <c r="DR211" s="93"/>
      <c r="DS211" s="93"/>
      <c r="DT211" s="93"/>
      <c r="DU211" s="93"/>
      <c r="DV211" s="93"/>
      <c r="DW211" s="93"/>
      <c r="DX211" s="93"/>
      <c r="DY211" s="93"/>
      <c r="DZ211" s="93"/>
      <c r="EA211" s="93"/>
      <c r="EB211" s="93"/>
      <c r="EC211" s="93"/>
      <c r="ED211" s="93"/>
      <c r="EE211" s="93"/>
      <c r="EF211" s="93"/>
      <c r="EG211" s="93"/>
      <c r="EH211" s="93"/>
      <c r="EI211" s="93"/>
      <c r="EJ211" s="93"/>
      <c r="EK211" s="93"/>
      <c r="EL211" s="93"/>
      <c r="EM211" s="93"/>
      <c r="EN211" s="93"/>
      <c r="EO211" s="93"/>
      <c r="EP211" s="93"/>
      <c r="EQ211" s="93"/>
      <c r="ER211" s="93"/>
      <c r="ES211" s="93"/>
      <c r="ET211" s="93"/>
      <c r="EU211" s="93"/>
      <c r="EV211" s="93"/>
      <c r="EW211" s="93"/>
      <c r="EX211" s="93"/>
      <c r="EY211" s="93"/>
      <c r="EZ211" s="93"/>
      <c r="FA211" s="93"/>
      <c r="FB211" s="93"/>
      <c r="FC211" s="93"/>
      <c r="FD211" s="93"/>
      <c r="FE211" s="93"/>
      <c r="FF211" s="93"/>
      <c r="FG211" s="93"/>
      <c r="FH211" s="93"/>
      <c r="FI211" s="93"/>
      <c r="FJ211" s="93"/>
      <c r="FK211" s="93"/>
      <c r="FL211" s="93"/>
      <c r="FM211" s="93"/>
      <c r="FN211" s="93"/>
      <c r="FO211" s="93"/>
      <c r="FP211" s="93"/>
      <c r="FQ211" s="93"/>
      <c r="FR211" s="93"/>
      <c r="FS211" s="93"/>
      <c r="FT211" s="93"/>
      <c r="FU211" s="93"/>
      <c r="FV211" s="93"/>
      <c r="FW211" s="93"/>
      <c r="FX211" s="93"/>
      <c r="FY211" s="93"/>
      <c r="FZ211" s="93"/>
      <c r="GA211" s="93"/>
      <c r="GB211" s="93"/>
      <c r="GC211" s="93"/>
      <c r="GD211" s="93"/>
      <c r="GE211" s="93"/>
      <c r="GF211" s="93"/>
      <c r="GG211" s="93"/>
      <c r="GH211" s="93"/>
      <c r="GI211" s="93"/>
      <c r="GJ211" s="93"/>
      <c r="GK211" s="93"/>
      <c r="GL211" s="93"/>
      <c r="GM211" s="93"/>
      <c r="GN211" s="93"/>
      <c r="GO211" s="93"/>
      <c r="GP211" s="93"/>
      <c r="GQ211" s="93"/>
      <c r="GR211" s="93"/>
      <c r="GS211" s="93"/>
      <c r="GT211" s="93"/>
      <c r="GU211" s="93"/>
      <c r="GV211" s="93"/>
      <c r="GW211" s="93"/>
      <c r="GX211" s="93"/>
      <c r="GY211" s="93"/>
      <c r="GZ211" s="93"/>
      <c r="HA211" s="93"/>
      <c r="HB211" s="93"/>
      <c r="HC211" s="93"/>
      <c r="HD211" s="93"/>
      <c r="HE211" s="93"/>
      <c r="HF211" s="93"/>
      <c r="HG211" s="93"/>
    </row>
    <row r="212" spans="14:215" x14ac:dyDescent="0.2">
      <c r="N212" s="93" t="s">
        <v>429</v>
      </c>
      <c r="O212" s="93"/>
      <c r="P212" s="93"/>
      <c r="Q212" s="93"/>
      <c r="R212" s="93"/>
      <c r="S212" s="93"/>
      <c r="T212" s="93"/>
      <c r="U212" s="93"/>
      <c r="V212" s="93"/>
      <c r="W212" s="93"/>
      <c r="X212" s="93"/>
      <c r="Y212" s="93"/>
      <c r="Z212" s="93"/>
      <c r="AA212" s="93"/>
      <c r="AB212" s="93"/>
      <c r="AC212" s="93"/>
      <c r="AD212" s="93"/>
      <c r="AE212" s="93"/>
      <c r="AF212" s="93"/>
      <c r="AG212" s="93"/>
      <c r="AH212" s="93"/>
      <c r="AI212" s="93"/>
      <c r="AJ212" s="93"/>
      <c r="AK212" s="93"/>
      <c r="AL212" s="93"/>
      <c r="AM212" s="93"/>
      <c r="AN212" s="93"/>
      <c r="AO212" s="93"/>
      <c r="AP212" s="93"/>
      <c r="AQ212" s="93"/>
      <c r="AR212" s="93"/>
      <c r="AS212" s="93"/>
      <c r="AT212" s="93"/>
      <c r="AU212" s="93"/>
      <c r="AV212" s="93"/>
      <c r="AW212" s="93"/>
      <c r="AX212" s="93"/>
      <c r="AY212" s="93"/>
      <c r="AZ212" s="93"/>
      <c r="BA212" s="93"/>
      <c r="BB212" s="93"/>
      <c r="BC212" s="93"/>
      <c r="BD212" s="93"/>
      <c r="BE212" s="93"/>
      <c r="BF212" s="93"/>
      <c r="BG212" s="93"/>
      <c r="BH212" s="93"/>
      <c r="BI212" s="93"/>
      <c r="BJ212" s="93"/>
      <c r="BK212" s="93"/>
      <c r="BL212" s="93"/>
      <c r="BM212" s="93"/>
      <c r="BN212" s="93"/>
      <c r="BO212" s="93"/>
      <c r="BP212" s="93"/>
      <c r="BQ212" s="93"/>
      <c r="BR212" s="93"/>
      <c r="BS212" s="93"/>
      <c r="BT212" s="93"/>
      <c r="BU212" s="93"/>
      <c r="BV212" s="93"/>
      <c r="BW212" s="93"/>
      <c r="BX212" s="93"/>
      <c r="BY212" s="93"/>
      <c r="BZ212" s="93"/>
      <c r="CA212" s="93"/>
      <c r="CB212" s="93"/>
      <c r="CC212" s="93"/>
      <c r="CD212" s="93"/>
      <c r="CE212" s="93"/>
      <c r="CF212" s="93"/>
      <c r="CG212" s="93"/>
      <c r="CH212" s="93"/>
      <c r="CI212" s="93"/>
      <c r="CJ212" s="93"/>
      <c r="CK212" s="93"/>
      <c r="CL212" s="93"/>
      <c r="CM212" s="93"/>
      <c r="CN212" s="93"/>
      <c r="CO212" s="93"/>
      <c r="CP212" s="93"/>
      <c r="CQ212" s="93"/>
      <c r="CR212" s="93"/>
      <c r="CS212" s="93"/>
      <c r="CT212" s="93"/>
      <c r="CU212" s="93"/>
      <c r="CV212" s="93"/>
      <c r="CW212" s="93"/>
      <c r="CX212" s="93"/>
      <c r="CY212" s="93"/>
      <c r="CZ212" s="93"/>
      <c r="DA212" s="93"/>
      <c r="DB212" s="93"/>
      <c r="DC212" s="93"/>
      <c r="DD212" s="93"/>
      <c r="DE212" s="93"/>
      <c r="DF212" s="93"/>
      <c r="DG212" s="93"/>
      <c r="DH212" s="93"/>
      <c r="DI212" s="93"/>
      <c r="DJ212" s="93"/>
      <c r="DK212" s="93"/>
      <c r="DL212" s="93">
        <v>0.33222958057395141</v>
      </c>
      <c r="DM212" s="93"/>
      <c r="DN212" s="93"/>
      <c r="DO212" s="93"/>
      <c r="DP212" s="93"/>
      <c r="DQ212" s="93"/>
      <c r="DR212" s="93"/>
      <c r="DS212" s="93"/>
      <c r="DT212" s="93"/>
      <c r="DU212" s="93"/>
      <c r="DV212" s="93"/>
      <c r="DW212" s="93"/>
      <c r="DX212" s="93"/>
      <c r="DY212" s="93"/>
      <c r="DZ212" s="93"/>
      <c r="EA212" s="93"/>
      <c r="EB212" s="93"/>
      <c r="EC212" s="93"/>
      <c r="ED212" s="93"/>
      <c r="EE212" s="93"/>
      <c r="EF212" s="93"/>
      <c r="EG212" s="93"/>
      <c r="EH212" s="93"/>
      <c r="EI212" s="93"/>
      <c r="EJ212" s="93"/>
      <c r="EK212" s="93"/>
      <c r="EL212" s="93"/>
      <c r="EM212" s="93"/>
      <c r="EN212" s="93"/>
      <c r="EO212" s="93"/>
      <c r="EP212" s="93"/>
      <c r="EQ212" s="93"/>
      <c r="ER212" s="93"/>
      <c r="ES212" s="93"/>
      <c r="ET212" s="93"/>
      <c r="EU212" s="93"/>
      <c r="EV212" s="93"/>
      <c r="EW212" s="93"/>
      <c r="EX212" s="93"/>
      <c r="EY212" s="93"/>
      <c r="EZ212" s="93"/>
      <c r="FA212" s="93"/>
      <c r="FB212" s="93"/>
      <c r="FC212" s="93"/>
      <c r="FD212" s="93"/>
      <c r="FE212" s="93"/>
      <c r="FF212" s="93"/>
      <c r="FG212" s="93"/>
      <c r="FH212" s="93"/>
      <c r="FI212" s="93"/>
      <c r="FJ212" s="93"/>
      <c r="FK212" s="93"/>
      <c r="FL212" s="93"/>
      <c r="FM212" s="93"/>
      <c r="FN212" s="93"/>
      <c r="FO212" s="93"/>
      <c r="FP212" s="93"/>
      <c r="FQ212" s="93"/>
      <c r="FR212" s="93"/>
      <c r="FS212" s="93"/>
      <c r="FT212" s="93"/>
      <c r="FU212" s="93"/>
      <c r="FV212" s="93"/>
      <c r="FW212" s="93"/>
      <c r="FX212" s="93"/>
      <c r="FY212" s="93"/>
      <c r="FZ212" s="93"/>
      <c r="GA212" s="93"/>
      <c r="GB212" s="93"/>
      <c r="GC212" s="93"/>
      <c r="GD212" s="93"/>
      <c r="GE212" s="93"/>
      <c r="GF212" s="93"/>
      <c r="GG212" s="93"/>
      <c r="GH212" s="93"/>
      <c r="GI212" s="93"/>
      <c r="GJ212" s="93"/>
      <c r="GK212" s="93"/>
      <c r="GL212" s="93"/>
      <c r="GM212" s="93"/>
      <c r="GN212" s="93"/>
      <c r="GO212" s="93"/>
      <c r="GP212" s="93"/>
      <c r="GQ212" s="93"/>
      <c r="GR212" s="93"/>
      <c r="GS212" s="93"/>
      <c r="GT212" s="93"/>
      <c r="GU212" s="93"/>
      <c r="GV212" s="93"/>
      <c r="GW212" s="93"/>
      <c r="GX212" s="93"/>
      <c r="GY212" s="93"/>
      <c r="GZ212" s="93"/>
      <c r="HA212" s="93"/>
      <c r="HB212" s="93"/>
      <c r="HC212" s="93"/>
      <c r="HD212" s="93"/>
      <c r="HE212" s="93"/>
      <c r="HF212" s="93"/>
      <c r="HG212" s="93"/>
    </row>
    <row r="213" spans="14:215" x14ac:dyDescent="0.2">
      <c r="N213" s="93" t="s">
        <v>430</v>
      </c>
      <c r="O213" s="93"/>
      <c r="P213" s="93"/>
      <c r="Q213" s="93"/>
      <c r="R213" s="93"/>
      <c r="S213" s="93"/>
      <c r="T213" s="93"/>
      <c r="U213" s="93"/>
      <c r="V213" s="93"/>
      <c r="W213" s="93"/>
      <c r="X213" s="93"/>
      <c r="Y213" s="93"/>
      <c r="Z213" s="93"/>
      <c r="AA213" s="93"/>
      <c r="AB213" s="93"/>
      <c r="AC213" s="93"/>
      <c r="AD213" s="93"/>
      <c r="AE213" s="93"/>
      <c r="AF213" s="93"/>
      <c r="AG213" s="93"/>
      <c r="AH213" s="93"/>
      <c r="AI213" s="93"/>
      <c r="AJ213" s="93"/>
      <c r="AK213" s="93"/>
      <c r="AL213" s="93"/>
      <c r="AM213" s="93"/>
      <c r="AN213" s="93"/>
      <c r="AO213" s="93"/>
      <c r="AP213" s="93"/>
      <c r="AQ213" s="93"/>
      <c r="AR213" s="93"/>
      <c r="AS213" s="93"/>
      <c r="AT213" s="93"/>
      <c r="AU213" s="93"/>
      <c r="AV213" s="93"/>
      <c r="AW213" s="93"/>
      <c r="AX213" s="93"/>
      <c r="AY213" s="93"/>
      <c r="AZ213" s="93"/>
      <c r="BA213" s="93"/>
      <c r="BB213" s="93"/>
      <c r="BC213" s="93"/>
      <c r="BD213" s="93"/>
      <c r="BE213" s="93"/>
      <c r="BF213" s="93"/>
      <c r="BG213" s="93"/>
      <c r="BH213" s="93"/>
      <c r="BI213" s="93"/>
      <c r="BJ213" s="93"/>
      <c r="BK213" s="93"/>
      <c r="BL213" s="93"/>
      <c r="BM213" s="93"/>
      <c r="BN213" s="93"/>
      <c r="BO213" s="93"/>
      <c r="BP213" s="93"/>
      <c r="BQ213" s="93"/>
      <c r="BR213" s="93"/>
      <c r="BS213" s="93"/>
      <c r="BT213" s="93"/>
      <c r="BU213" s="93"/>
      <c r="BV213" s="93"/>
      <c r="BW213" s="93"/>
      <c r="BX213" s="93"/>
      <c r="BY213" s="93"/>
      <c r="BZ213" s="93"/>
      <c r="CA213" s="93"/>
      <c r="CB213" s="93"/>
      <c r="CC213" s="93"/>
      <c r="CD213" s="93"/>
      <c r="CE213" s="93"/>
      <c r="CF213" s="93"/>
      <c r="CG213" s="93"/>
      <c r="CH213" s="93"/>
      <c r="CI213" s="93"/>
      <c r="CJ213" s="93"/>
      <c r="CK213" s="93"/>
      <c r="CL213" s="93"/>
      <c r="CM213" s="93"/>
      <c r="CN213" s="93"/>
      <c r="CO213" s="93"/>
      <c r="CP213" s="93"/>
      <c r="CQ213" s="93"/>
      <c r="CR213" s="93"/>
      <c r="CS213" s="93"/>
      <c r="CT213" s="93"/>
      <c r="CU213" s="93"/>
      <c r="CV213" s="93"/>
      <c r="CW213" s="93"/>
      <c r="CX213" s="93"/>
      <c r="CY213" s="93"/>
      <c r="CZ213" s="93"/>
      <c r="DA213" s="93"/>
      <c r="DB213" s="93"/>
      <c r="DC213" s="93"/>
      <c r="DD213" s="93"/>
      <c r="DE213" s="93"/>
      <c r="DF213" s="93"/>
      <c r="DG213" s="93"/>
      <c r="DH213" s="93"/>
      <c r="DI213" s="93"/>
      <c r="DJ213" s="93"/>
      <c r="DK213" s="93"/>
      <c r="DL213" s="93"/>
      <c r="DM213" s="93">
        <v>0.33224043715846996</v>
      </c>
      <c r="DN213" s="93"/>
      <c r="DO213" s="93"/>
      <c r="DP213" s="93"/>
      <c r="DQ213" s="93"/>
      <c r="DR213" s="93"/>
      <c r="DS213" s="93"/>
      <c r="DT213" s="93"/>
      <c r="DU213" s="93"/>
      <c r="DV213" s="93"/>
      <c r="DW213" s="93"/>
      <c r="DX213" s="93"/>
      <c r="DY213" s="93"/>
      <c r="DZ213" s="93"/>
      <c r="EA213" s="93"/>
      <c r="EB213" s="93"/>
      <c r="EC213" s="93"/>
      <c r="ED213" s="93"/>
      <c r="EE213" s="93"/>
      <c r="EF213" s="93"/>
      <c r="EG213" s="93"/>
      <c r="EH213" s="93"/>
      <c r="EI213" s="93"/>
      <c r="EJ213" s="93"/>
      <c r="EK213" s="93"/>
      <c r="EL213" s="93"/>
      <c r="EM213" s="93"/>
      <c r="EN213" s="93"/>
      <c r="EO213" s="93"/>
      <c r="EP213" s="93"/>
      <c r="EQ213" s="93"/>
      <c r="ER213" s="93"/>
      <c r="ES213" s="93"/>
      <c r="ET213" s="93"/>
      <c r="EU213" s="93"/>
      <c r="EV213" s="93"/>
      <c r="EW213" s="93"/>
      <c r="EX213" s="93"/>
      <c r="EY213" s="93"/>
      <c r="EZ213" s="93"/>
      <c r="FA213" s="93"/>
      <c r="FB213" s="93"/>
      <c r="FC213" s="93"/>
      <c r="FD213" s="93"/>
      <c r="FE213" s="93"/>
      <c r="FF213" s="93"/>
      <c r="FG213" s="93"/>
      <c r="FH213" s="93"/>
      <c r="FI213" s="93"/>
      <c r="FJ213" s="93"/>
      <c r="FK213" s="93"/>
      <c r="FL213" s="93"/>
      <c r="FM213" s="93"/>
      <c r="FN213" s="93"/>
      <c r="FO213" s="93"/>
      <c r="FP213" s="93"/>
      <c r="FQ213" s="93"/>
      <c r="FR213" s="93"/>
      <c r="FS213" s="93"/>
      <c r="FT213" s="93"/>
      <c r="FU213" s="93"/>
      <c r="FV213" s="93"/>
      <c r="FW213" s="93"/>
      <c r="FX213" s="93"/>
      <c r="FY213" s="93"/>
      <c r="FZ213" s="93"/>
      <c r="GA213" s="93"/>
      <c r="GB213" s="93"/>
      <c r="GC213" s="93"/>
      <c r="GD213" s="93"/>
      <c r="GE213" s="93"/>
      <c r="GF213" s="93"/>
      <c r="GG213" s="93"/>
      <c r="GH213" s="93"/>
      <c r="GI213" s="93"/>
      <c r="GJ213" s="93"/>
      <c r="GK213" s="93"/>
      <c r="GL213" s="93"/>
      <c r="GM213" s="93"/>
      <c r="GN213" s="93"/>
      <c r="GO213" s="93"/>
      <c r="GP213" s="93"/>
      <c r="GQ213" s="93"/>
      <c r="GR213" s="93"/>
      <c r="GS213" s="93"/>
      <c r="GT213" s="93"/>
      <c r="GU213" s="93"/>
      <c r="GV213" s="93"/>
      <c r="GW213" s="93"/>
      <c r="GX213" s="93"/>
      <c r="GY213" s="93"/>
      <c r="GZ213" s="93"/>
      <c r="HA213" s="93"/>
      <c r="HB213" s="93"/>
      <c r="HC213" s="93"/>
      <c r="HD213" s="93"/>
      <c r="HE213" s="93"/>
      <c r="HF213" s="93"/>
      <c r="HG213" s="93"/>
    </row>
    <row r="214" spans="14:215" x14ac:dyDescent="0.2">
      <c r="N214" s="93" t="s">
        <v>431</v>
      </c>
      <c r="O214" s="93"/>
      <c r="P214" s="93"/>
      <c r="Q214" s="93"/>
      <c r="R214" s="93"/>
      <c r="S214" s="93"/>
      <c r="T214" s="93"/>
      <c r="U214" s="93"/>
      <c r="V214" s="93"/>
      <c r="W214" s="93"/>
      <c r="X214" s="93"/>
      <c r="Y214" s="93"/>
      <c r="Z214" s="93"/>
      <c r="AA214" s="93"/>
      <c r="AB214" s="93"/>
      <c r="AC214" s="93"/>
      <c r="AD214" s="93"/>
      <c r="AE214" s="93"/>
      <c r="AF214" s="93"/>
      <c r="AG214" s="93"/>
      <c r="AH214" s="93"/>
      <c r="AI214" s="93"/>
      <c r="AJ214" s="93"/>
      <c r="AK214" s="93"/>
      <c r="AL214" s="93"/>
      <c r="AM214" s="93"/>
      <c r="AN214" s="93"/>
      <c r="AO214" s="93"/>
      <c r="AP214" s="93"/>
      <c r="AQ214" s="93"/>
      <c r="AR214" s="93"/>
      <c r="AS214" s="93"/>
      <c r="AT214" s="93"/>
      <c r="AU214" s="93"/>
      <c r="AV214" s="93"/>
      <c r="AW214" s="93"/>
      <c r="AX214" s="93"/>
      <c r="AY214" s="93"/>
      <c r="AZ214" s="93"/>
      <c r="BA214" s="93"/>
      <c r="BB214" s="93"/>
      <c r="BC214" s="93"/>
      <c r="BD214" s="93"/>
      <c r="BE214" s="93"/>
      <c r="BF214" s="93"/>
      <c r="BG214" s="93"/>
      <c r="BH214" s="93"/>
      <c r="BI214" s="93"/>
      <c r="BJ214" s="93"/>
      <c r="BK214" s="93"/>
      <c r="BL214" s="93"/>
      <c r="BM214" s="93"/>
      <c r="BN214" s="93"/>
      <c r="BO214" s="93"/>
      <c r="BP214" s="93"/>
      <c r="BQ214" s="93"/>
      <c r="BR214" s="93"/>
      <c r="BS214" s="93"/>
      <c r="BT214" s="93"/>
      <c r="BU214" s="93"/>
      <c r="BV214" s="93"/>
      <c r="BW214" s="93"/>
      <c r="BX214" s="93"/>
      <c r="BY214" s="93"/>
      <c r="BZ214" s="93"/>
      <c r="CA214" s="93"/>
      <c r="CB214" s="93"/>
      <c r="CC214" s="93"/>
      <c r="CD214" s="93"/>
      <c r="CE214" s="93"/>
      <c r="CF214" s="93"/>
      <c r="CG214" s="93"/>
      <c r="CH214" s="93"/>
      <c r="CI214" s="93"/>
      <c r="CJ214" s="93"/>
      <c r="CK214" s="93"/>
      <c r="CL214" s="93"/>
      <c r="CM214" s="93"/>
      <c r="CN214" s="93"/>
      <c r="CO214" s="93"/>
      <c r="CP214" s="93"/>
      <c r="CQ214" s="93"/>
      <c r="CR214" s="93"/>
      <c r="CS214" s="93"/>
      <c r="CT214" s="93"/>
      <c r="CU214" s="93"/>
      <c r="CV214" s="93"/>
      <c r="CW214" s="93"/>
      <c r="CX214" s="93"/>
      <c r="CY214" s="93"/>
      <c r="CZ214" s="93"/>
      <c r="DA214" s="93"/>
      <c r="DB214" s="93"/>
      <c r="DC214" s="93"/>
      <c r="DD214" s="93"/>
      <c r="DE214" s="93"/>
      <c r="DF214" s="93"/>
      <c r="DG214" s="93"/>
      <c r="DH214" s="93"/>
      <c r="DI214" s="93"/>
      <c r="DJ214" s="93"/>
      <c r="DK214" s="93"/>
      <c r="DL214" s="93"/>
      <c r="DM214" s="93"/>
      <c r="DN214" s="93">
        <v>0.33225108225108224</v>
      </c>
      <c r="DO214" s="93"/>
      <c r="DP214" s="93"/>
      <c r="DQ214" s="93"/>
      <c r="DR214" s="93"/>
      <c r="DS214" s="93"/>
      <c r="DT214" s="93"/>
      <c r="DU214" s="93"/>
      <c r="DV214" s="93"/>
      <c r="DW214" s="93"/>
      <c r="DX214" s="93"/>
      <c r="DY214" s="93"/>
      <c r="DZ214" s="93"/>
      <c r="EA214" s="93"/>
      <c r="EB214" s="93"/>
      <c r="EC214" s="93"/>
      <c r="ED214" s="93"/>
      <c r="EE214" s="93"/>
      <c r="EF214" s="93"/>
      <c r="EG214" s="93"/>
      <c r="EH214" s="93"/>
      <c r="EI214" s="93"/>
      <c r="EJ214" s="93"/>
      <c r="EK214" s="93"/>
      <c r="EL214" s="93"/>
      <c r="EM214" s="93"/>
      <c r="EN214" s="93"/>
      <c r="EO214" s="93"/>
      <c r="EP214" s="93"/>
      <c r="EQ214" s="93"/>
      <c r="ER214" s="93"/>
      <c r="ES214" s="93"/>
      <c r="ET214" s="93"/>
      <c r="EU214" s="93"/>
      <c r="EV214" s="93"/>
      <c r="EW214" s="93"/>
      <c r="EX214" s="93"/>
      <c r="EY214" s="93"/>
      <c r="EZ214" s="93"/>
      <c r="FA214" s="93"/>
      <c r="FB214" s="93"/>
      <c r="FC214" s="93"/>
      <c r="FD214" s="93"/>
      <c r="FE214" s="93"/>
      <c r="FF214" s="93"/>
      <c r="FG214" s="93"/>
      <c r="FH214" s="93"/>
      <c r="FI214" s="93"/>
      <c r="FJ214" s="93"/>
      <c r="FK214" s="93"/>
      <c r="FL214" s="93"/>
      <c r="FM214" s="93"/>
      <c r="FN214" s="93"/>
      <c r="FO214" s="93"/>
      <c r="FP214" s="93"/>
      <c r="FQ214" s="93"/>
      <c r="FR214" s="93"/>
      <c r="FS214" s="93"/>
      <c r="FT214" s="93"/>
      <c r="FU214" s="93"/>
      <c r="FV214" s="93"/>
      <c r="FW214" s="93"/>
      <c r="FX214" s="93"/>
      <c r="FY214" s="93"/>
      <c r="FZ214" s="93"/>
      <c r="GA214" s="93"/>
      <c r="GB214" s="93"/>
      <c r="GC214" s="93"/>
      <c r="GD214" s="93"/>
      <c r="GE214" s="93"/>
      <c r="GF214" s="93"/>
      <c r="GG214" s="93"/>
      <c r="GH214" s="93"/>
      <c r="GI214" s="93"/>
      <c r="GJ214" s="93"/>
      <c r="GK214" s="93"/>
      <c r="GL214" s="93"/>
      <c r="GM214" s="93"/>
      <c r="GN214" s="93"/>
      <c r="GO214" s="93"/>
      <c r="GP214" s="93"/>
      <c r="GQ214" s="93"/>
      <c r="GR214" s="93"/>
      <c r="GS214" s="93"/>
      <c r="GT214" s="93"/>
      <c r="GU214" s="93"/>
      <c r="GV214" s="93"/>
      <c r="GW214" s="93"/>
      <c r="GX214" s="93"/>
      <c r="GY214" s="93"/>
      <c r="GZ214" s="93"/>
      <c r="HA214" s="93"/>
      <c r="HB214" s="93"/>
      <c r="HC214" s="93"/>
      <c r="HD214" s="93"/>
      <c r="HE214" s="93"/>
      <c r="HF214" s="93"/>
      <c r="HG214" s="93"/>
    </row>
    <row r="215" spans="14:215" x14ac:dyDescent="0.2">
      <c r="N215" s="93" t="s">
        <v>432</v>
      </c>
      <c r="O215" s="93"/>
      <c r="P215" s="93"/>
      <c r="Q215" s="93"/>
      <c r="R215" s="93"/>
      <c r="S215" s="93"/>
      <c r="T215" s="93"/>
      <c r="U215" s="93"/>
      <c r="V215" s="93"/>
      <c r="W215" s="93"/>
      <c r="X215" s="93"/>
      <c r="Y215" s="93"/>
      <c r="Z215" s="93"/>
      <c r="AA215" s="93"/>
      <c r="AB215" s="93"/>
      <c r="AC215" s="93"/>
      <c r="AD215" s="93"/>
      <c r="AE215" s="93"/>
      <c r="AF215" s="93"/>
      <c r="AG215" s="93"/>
      <c r="AH215" s="93"/>
      <c r="AI215" s="93"/>
      <c r="AJ215" s="93"/>
      <c r="AK215" s="93"/>
      <c r="AL215" s="93"/>
      <c r="AM215" s="93"/>
      <c r="AN215" s="93"/>
      <c r="AO215" s="93"/>
      <c r="AP215" s="93"/>
      <c r="AQ215" s="93"/>
      <c r="AR215" s="93"/>
      <c r="AS215" s="93"/>
      <c r="AT215" s="93"/>
      <c r="AU215" s="93"/>
      <c r="AV215" s="93"/>
      <c r="AW215" s="93"/>
      <c r="AX215" s="93"/>
      <c r="AY215" s="93"/>
      <c r="AZ215" s="93"/>
      <c r="BA215" s="93"/>
      <c r="BB215" s="93"/>
      <c r="BC215" s="93"/>
      <c r="BD215" s="93"/>
      <c r="BE215" s="93"/>
      <c r="BF215" s="93"/>
      <c r="BG215" s="93"/>
      <c r="BH215" s="93"/>
      <c r="BI215" s="93"/>
      <c r="BJ215" s="93"/>
      <c r="BK215" s="93"/>
      <c r="BL215" s="93"/>
      <c r="BM215" s="93"/>
      <c r="BN215" s="93"/>
      <c r="BO215" s="93"/>
      <c r="BP215" s="93"/>
      <c r="BQ215" s="93"/>
      <c r="BR215" s="93"/>
      <c r="BS215" s="93"/>
      <c r="BT215" s="93"/>
      <c r="BU215" s="93"/>
      <c r="BV215" s="93"/>
      <c r="BW215" s="93"/>
      <c r="BX215" s="93"/>
      <c r="BY215" s="93"/>
      <c r="BZ215" s="93"/>
      <c r="CA215" s="93"/>
      <c r="CB215" s="93"/>
      <c r="CC215" s="93"/>
      <c r="CD215" s="93"/>
      <c r="CE215" s="93"/>
      <c r="CF215" s="93"/>
      <c r="CG215" s="93"/>
      <c r="CH215" s="93"/>
      <c r="CI215" s="93"/>
      <c r="CJ215" s="93"/>
      <c r="CK215" s="93"/>
      <c r="CL215" s="93"/>
      <c r="CM215" s="93"/>
      <c r="CN215" s="93"/>
      <c r="CO215" s="93"/>
      <c r="CP215" s="93"/>
      <c r="CQ215" s="93"/>
      <c r="CR215" s="93"/>
      <c r="CS215" s="93"/>
      <c r="CT215" s="93"/>
      <c r="CU215" s="93"/>
      <c r="CV215" s="93"/>
      <c r="CW215" s="93"/>
      <c r="CX215" s="93"/>
      <c r="CY215" s="93"/>
      <c r="CZ215" s="93"/>
      <c r="DA215" s="93"/>
      <c r="DB215" s="93"/>
      <c r="DC215" s="93"/>
      <c r="DD215" s="93"/>
      <c r="DE215" s="93"/>
      <c r="DF215" s="93"/>
      <c r="DG215" s="93"/>
      <c r="DH215" s="93"/>
      <c r="DI215" s="93"/>
      <c r="DJ215" s="93"/>
      <c r="DK215" s="93"/>
      <c r="DL215" s="93"/>
      <c r="DM215" s="93"/>
      <c r="DN215" s="93"/>
      <c r="DO215" s="93">
        <v>0.33226152197213288</v>
      </c>
      <c r="DP215" s="93"/>
      <c r="DQ215" s="93"/>
      <c r="DR215" s="93"/>
      <c r="DS215" s="93"/>
      <c r="DT215" s="93"/>
      <c r="DU215" s="93"/>
      <c r="DV215" s="93"/>
      <c r="DW215" s="93"/>
      <c r="DX215" s="93"/>
      <c r="DY215" s="93"/>
      <c r="DZ215" s="93"/>
      <c r="EA215" s="93"/>
      <c r="EB215" s="93"/>
      <c r="EC215" s="93"/>
      <c r="ED215" s="93"/>
      <c r="EE215" s="93"/>
      <c r="EF215" s="93"/>
      <c r="EG215" s="93"/>
      <c r="EH215" s="93"/>
      <c r="EI215" s="93"/>
      <c r="EJ215" s="93"/>
      <c r="EK215" s="93"/>
      <c r="EL215" s="93"/>
      <c r="EM215" s="93"/>
      <c r="EN215" s="93"/>
      <c r="EO215" s="93"/>
      <c r="EP215" s="93"/>
      <c r="EQ215" s="93"/>
      <c r="ER215" s="93"/>
      <c r="ES215" s="93"/>
      <c r="ET215" s="93"/>
      <c r="EU215" s="93"/>
      <c r="EV215" s="93"/>
      <c r="EW215" s="93"/>
      <c r="EX215" s="93"/>
      <c r="EY215" s="93"/>
      <c r="EZ215" s="93"/>
      <c r="FA215" s="93"/>
      <c r="FB215" s="93"/>
      <c r="FC215" s="93"/>
      <c r="FD215" s="93"/>
      <c r="FE215" s="93"/>
      <c r="FF215" s="93"/>
      <c r="FG215" s="93"/>
      <c r="FH215" s="93"/>
      <c r="FI215" s="93"/>
      <c r="FJ215" s="93"/>
      <c r="FK215" s="93"/>
      <c r="FL215" s="93"/>
      <c r="FM215" s="93"/>
      <c r="FN215" s="93"/>
      <c r="FO215" s="93"/>
      <c r="FP215" s="93"/>
      <c r="FQ215" s="93"/>
      <c r="FR215" s="93"/>
      <c r="FS215" s="93"/>
      <c r="FT215" s="93"/>
      <c r="FU215" s="93"/>
      <c r="FV215" s="93"/>
      <c r="FW215" s="93"/>
      <c r="FX215" s="93"/>
      <c r="FY215" s="93"/>
      <c r="FZ215" s="93"/>
      <c r="GA215" s="93"/>
      <c r="GB215" s="93"/>
      <c r="GC215" s="93"/>
      <c r="GD215" s="93"/>
      <c r="GE215" s="93"/>
      <c r="GF215" s="93"/>
      <c r="GG215" s="93"/>
      <c r="GH215" s="93"/>
      <c r="GI215" s="93"/>
      <c r="GJ215" s="93"/>
      <c r="GK215" s="93"/>
      <c r="GL215" s="93"/>
      <c r="GM215" s="93"/>
      <c r="GN215" s="93"/>
      <c r="GO215" s="93"/>
      <c r="GP215" s="93"/>
      <c r="GQ215" s="93"/>
      <c r="GR215" s="93"/>
      <c r="GS215" s="93"/>
      <c r="GT215" s="93"/>
      <c r="GU215" s="93"/>
      <c r="GV215" s="93"/>
      <c r="GW215" s="93"/>
      <c r="GX215" s="93"/>
      <c r="GY215" s="93"/>
      <c r="GZ215" s="93"/>
      <c r="HA215" s="93"/>
      <c r="HB215" s="93"/>
      <c r="HC215" s="93"/>
      <c r="HD215" s="93"/>
      <c r="HE215" s="93"/>
      <c r="HF215" s="93"/>
      <c r="HG215" s="93"/>
    </row>
    <row r="216" spans="14:215" x14ac:dyDescent="0.2">
      <c r="N216" s="93" t="s">
        <v>433</v>
      </c>
      <c r="O216" s="93"/>
      <c r="P216" s="93"/>
      <c r="Q216" s="93"/>
      <c r="R216" s="93"/>
      <c r="S216" s="93"/>
      <c r="T216" s="93"/>
      <c r="U216" s="93"/>
      <c r="V216" s="93"/>
      <c r="W216" s="93"/>
      <c r="X216" s="93"/>
      <c r="Y216" s="93"/>
      <c r="Z216" s="93"/>
      <c r="AA216" s="93"/>
      <c r="AB216" s="93"/>
      <c r="AC216" s="93"/>
      <c r="AD216" s="93"/>
      <c r="AE216" s="93"/>
      <c r="AF216" s="93"/>
      <c r="AG216" s="93"/>
      <c r="AH216" s="93"/>
      <c r="AI216" s="93"/>
      <c r="AJ216" s="93"/>
      <c r="AK216" s="93"/>
      <c r="AL216" s="93"/>
      <c r="AM216" s="93"/>
      <c r="AN216" s="93"/>
      <c r="AO216" s="93"/>
      <c r="AP216" s="93"/>
      <c r="AQ216" s="93"/>
      <c r="AR216" s="93"/>
      <c r="AS216" s="93"/>
      <c r="AT216" s="93"/>
      <c r="AU216" s="93"/>
      <c r="AV216" s="93"/>
      <c r="AW216" s="93"/>
      <c r="AX216" s="93"/>
      <c r="AY216" s="93"/>
      <c r="AZ216" s="93"/>
      <c r="BA216" s="93"/>
      <c r="BB216" s="93"/>
      <c r="BC216" s="93"/>
      <c r="BD216" s="93"/>
      <c r="BE216" s="93"/>
      <c r="BF216" s="93"/>
      <c r="BG216" s="93"/>
      <c r="BH216" s="93"/>
      <c r="BI216" s="93"/>
      <c r="BJ216" s="93"/>
      <c r="BK216" s="93"/>
      <c r="BL216" s="93"/>
      <c r="BM216" s="93"/>
      <c r="BN216" s="93"/>
      <c r="BO216" s="93"/>
      <c r="BP216" s="93"/>
      <c r="BQ216" s="93"/>
      <c r="BR216" s="93"/>
      <c r="BS216" s="93"/>
      <c r="BT216" s="93"/>
      <c r="BU216" s="93"/>
      <c r="BV216" s="93"/>
      <c r="BW216" s="93"/>
      <c r="BX216" s="93"/>
      <c r="BY216" s="93"/>
      <c r="BZ216" s="93"/>
      <c r="CA216" s="93"/>
      <c r="CB216" s="93"/>
      <c r="CC216" s="93"/>
      <c r="CD216" s="93"/>
      <c r="CE216" s="93"/>
      <c r="CF216" s="93"/>
      <c r="CG216" s="93"/>
      <c r="CH216" s="93"/>
      <c r="CI216" s="93"/>
      <c r="CJ216" s="93"/>
      <c r="CK216" s="93"/>
      <c r="CL216" s="93"/>
      <c r="CM216" s="93"/>
      <c r="CN216" s="93"/>
      <c r="CO216" s="93"/>
      <c r="CP216" s="93"/>
      <c r="CQ216" s="93"/>
      <c r="CR216" s="93"/>
      <c r="CS216" s="93"/>
      <c r="CT216" s="93"/>
      <c r="CU216" s="93"/>
      <c r="CV216" s="93"/>
      <c r="CW216" s="93"/>
      <c r="CX216" s="93"/>
      <c r="CY216" s="93"/>
      <c r="CZ216" s="93"/>
      <c r="DA216" s="93"/>
      <c r="DB216" s="93"/>
      <c r="DC216" s="93"/>
      <c r="DD216" s="93"/>
      <c r="DE216" s="93"/>
      <c r="DF216" s="93"/>
      <c r="DG216" s="93"/>
      <c r="DH216" s="93"/>
      <c r="DI216" s="93"/>
      <c r="DJ216" s="93"/>
      <c r="DK216" s="93"/>
      <c r="DL216" s="93"/>
      <c r="DM216" s="93"/>
      <c r="DN216" s="93"/>
      <c r="DO216" s="93"/>
      <c r="DP216" s="93">
        <v>0.33227176220806792</v>
      </c>
      <c r="DQ216" s="93"/>
      <c r="DR216" s="93"/>
      <c r="DS216" s="93"/>
      <c r="DT216" s="93"/>
      <c r="DU216" s="93"/>
      <c r="DV216" s="93"/>
      <c r="DW216" s="93"/>
      <c r="DX216" s="93"/>
      <c r="DY216" s="93"/>
      <c r="DZ216" s="93"/>
      <c r="EA216" s="93"/>
      <c r="EB216" s="93"/>
      <c r="EC216" s="93"/>
      <c r="ED216" s="93"/>
      <c r="EE216" s="93"/>
      <c r="EF216" s="93"/>
      <c r="EG216" s="93"/>
      <c r="EH216" s="93"/>
      <c r="EI216" s="93"/>
      <c r="EJ216" s="93"/>
      <c r="EK216" s="93"/>
      <c r="EL216" s="93"/>
      <c r="EM216" s="93"/>
      <c r="EN216" s="93"/>
      <c r="EO216" s="93"/>
      <c r="EP216" s="93"/>
      <c r="EQ216" s="93"/>
      <c r="ER216" s="93"/>
      <c r="ES216" s="93"/>
      <c r="ET216" s="93"/>
      <c r="EU216" s="93"/>
      <c r="EV216" s="93"/>
      <c r="EW216" s="93"/>
      <c r="EX216" s="93"/>
      <c r="EY216" s="93"/>
      <c r="EZ216" s="93"/>
      <c r="FA216" s="93"/>
      <c r="FB216" s="93"/>
      <c r="FC216" s="93"/>
      <c r="FD216" s="93"/>
      <c r="FE216" s="93"/>
      <c r="FF216" s="93"/>
      <c r="FG216" s="93"/>
      <c r="FH216" s="93"/>
      <c r="FI216" s="93"/>
      <c r="FJ216" s="93"/>
      <c r="FK216" s="93"/>
      <c r="FL216" s="93"/>
      <c r="FM216" s="93"/>
      <c r="FN216" s="93"/>
      <c r="FO216" s="93"/>
      <c r="FP216" s="93"/>
      <c r="FQ216" s="93"/>
      <c r="FR216" s="93"/>
      <c r="FS216" s="93"/>
      <c r="FT216" s="93"/>
      <c r="FU216" s="93"/>
      <c r="FV216" s="93"/>
      <c r="FW216" s="93"/>
      <c r="FX216" s="93"/>
      <c r="FY216" s="93"/>
      <c r="FZ216" s="93"/>
      <c r="GA216" s="93"/>
      <c r="GB216" s="93"/>
      <c r="GC216" s="93"/>
      <c r="GD216" s="93"/>
      <c r="GE216" s="93"/>
      <c r="GF216" s="93"/>
      <c r="GG216" s="93"/>
      <c r="GH216" s="93"/>
      <c r="GI216" s="93"/>
      <c r="GJ216" s="93"/>
      <c r="GK216" s="93"/>
      <c r="GL216" s="93"/>
      <c r="GM216" s="93"/>
      <c r="GN216" s="93"/>
      <c r="GO216" s="93"/>
      <c r="GP216" s="93"/>
      <c r="GQ216" s="93"/>
      <c r="GR216" s="93"/>
      <c r="GS216" s="93"/>
      <c r="GT216" s="93"/>
      <c r="GU216" s="93"/>
      <c r="GV216" s="93"/>
      <c r="GW216" s="93"/>
      <c r="GX216" s="93"/>
      <c r="GY216" s="93"/>
      <c r="GZ216" s="93"/>
      <c r="HA216" s="93"/>
      <c r="HB216" s="93"/>
      <c r="HC216" s="93"/>
      <c r="HD216" s="93"/>
      <c r="HE216" s="93"/>
      <c r="HF216" s="93"/>
      <c r="HG216" s="93"/>
    </row>
    <row r="217" spans="14:215" x14ac:dyDescent="0.2">
      <c r="N217" s="93" t="s">
        <v>434</v>
      </c>
      <c r="O217" s="93"/>
      <c r="P217" s="93"/>
      <c r="Q217" s="93"/>
      <c r="R217" s="93"/>
      <c r="S217" s="93"/>
      <c r="T217" s="93"/>
      <c r="U217" s="93"/>
      <c r="V217" s="93"/>
      <c r="W217" s="93"/>
      <c r="X217" s="93"/>
      <c r="Y217" s="93"/>
      <c r="Z217" s="93"/>
      <c r="AA217" s="93"/>
      <c r="AB217" s="93"/>
      <c r="AC217" s="93"/>
      <c r="AD217" s="93"/>
      <c r="AE217" s="93"/>
      <c r="AF217" s="93"/>
      <c r="AG217" s="93"/>
      <c r="AH217" s="93"/>
      <c r="AI217" s="93"/>
      <c r="AJ217" s="93"/>
      <c r="AK217" s="93"/>
      <c r="AL217" s="93"/>
      <c r="AM217" s="93"/>
      <c r="AN217" s="93"/>
      <c r="AO217" s="93"/>
      <c r="AP217" s="93"/>
      <c r="AQ217" s="93"/>
      <c r="AR217" s="93"/>
      <c r="AS217" s="93"/>
      <c r="AT217" s="93"/>
      <c r="AU217" s="93"/>
      <c r="AV217" s="93"/>
      <c r="AW217" s="93"/>
      <c r="AX217" s="93"/>
      <c r="AY217" s="93"/>
      <c r="AZ217" s="93"/>
      <c r="BA217" s="93"/>
      <c r="BB217" s="93"/>
      <c r="BC217" s="93"/>
      <c r="BD217" s="93"/>
      <c r="BE217" s="93"/>
      <c r="BF217" s="93"/>
      <c r="BG217" s="93"/>
      <c r="BH217" s="93"/>
      <c r="BI217" s="93"/>
      <c r="BJ217" s="93"/>
      <c r="BK217" s="93"/>
      <c r="BL217" s="93"/>
      <c r="BM217" s="93"/>
      <c r="BN217" s="93"/>
      <c r="BO217" s="93"/>
      <c r="BP217" s="93"/>
      <c r="BQ217" s="93"/>
      <c r="BR217" s="93"/>
      <c r="BS217" s="93"/>
      <c r="BT217" s="93"/>
      <c r="BU217" s="93"/>
      <c r="BV217" s="93"/>
      <c r="BW217" s="93"/>
      <c r="BX217" s="93"/>
      <c r="BY217" s="93"/>
      <c r="BZ217" s="93"/>
      <c r="CA217" s="93"/>
      <c r="CB217" s="93"/>
      <c r="CC217" s="93"/>
      <c r="CD217" s="93"/>
      <c r="CE217" s="93"/>
      <c r="CF217" s="93"/>
      <c r="CG217" s="93"/>
      <c r="CH217" s="93"/>
      <c r="CI217" s="93"/>
      <c r="CJ217" s="93"/>
      <c r="CK217" s="93"/>
      <c r="CL217" s="93"/>
      <c r="CM217" s="93"/>
      <c r="CN217" s="93"/>
      <c r="CO217" s="93"/>
      <c r="CP217" s="93"/>
      <c r="CQ217" s="93"/>
      <c r="CR217" s="93"/>
      <c r="CS217" s="93"/>
      <c r="CT217" s="93"/>
      <c r="CU217" s="93"/>
      <c r="CV217" s="93"/>
      <c r="CW217" s="93"/>
      <c r="CX217" s="93"/>
      <c r="CY217" s="93"/>
      <c r="CZ217" s="93"/>
      <c r="DA217" s="93"/>
      <c r="DB217" s="93"/>
      <c r="DC217" s="93"/>
      <c r="DD217" s="93"/>
      <c r="DE217" s="93"/>
      <c r="DF217" s="93"/>
      <c r="DG217" s="93"/>
      <c r="DH217" s="93"/>
      <c r="DI217" s="93"/>
      <c r="DJ217" s="93"/>
      <c r="DK217" s="93"/>
      <c r="DL217" s="93"/>
      <c r="DM217" s="93"/>
      <c r="DN217" s="93"/>
      <c r="DO217" s="93"/>
      <c r="DP217" s="93"/>
      <c r="DQ217" s="93">
        <v>0.33228180862250262</v>
      </c>
      <c r="DR217" s="93"/>
      <c r="DS217" s="93"/>
      <c r="DT217" s="93"/>
      <c r="DU217" s="93"/>
      <c r="DV217" s="93"/>
      <c r="DW217" s="93"/>
      <c r="DX217" s="93"/>
      <c r="DY217" s="93"/>
      <c r="DZ217" s="93"/>
      <c r="EA217" s="93"/>
      <c r="EB217" s="93"/>
      <c r="EC217" s="93"/>
      <c r="ED217" s="93"/>
      <c r="EE217" s="93"/>
      <c r="EF217" s="93"/>
      <c r="EG217" s="93"/>
      <c r="EH217" s="93"/>
      <c r="EI217" s="93"/>
      <c r="EJ217" s="93"/>
      <c r="EK217" s="93"/>
      <c r="EL217" s="93"/>
      <c r="EM217" s="93"/>
      <c r="EN217" s="93"/>
      <c r="EO217" s="93"/>
      <c r="EP217" s="93"/>
      <c r="EQ217" s="93"/>
      <c r="ER217" s="93"/>
      <c r="ES217" s="93"/>
      <c r="ET217" s="93"/>
      <c r="EU217" s="93"/>
      <c r="EV217" s="93"/>
      <c r="EW217" s="93"/>
      <c r="EX217" s="93"/>
      <c r="EY217" s="93"/>
      <c r="EZ217" s="93"/>
      <c r="FA217" s="93"/>
      <c r="FB217" s="93"/>
      <c r="FC217" s="93"/>
      <c r="FD217" s="93"/>
      <c r="FE217" s="93"/>
      <c r="FF217" s="93"/>
      <c r="FG217" s="93"/>
      <c r="FH217" s="93"/>
      <c r="FI217" s="93"/>
      <c r="FJ217" s="93"/>
      <c r="FK217" s="93"/>
      <c r="FL217" s="93"/>
      <c r="FM217" s="93"/>
      <c r="FN217" s="93"/>
      <c r="FO217" s="93"/>
      <c r="FP217" s="93"/>
      <c r="FQ217" s="93"/>
      <c r="FR217" s="93"/>
      <c r="FS217" s="93"/>
      <c r="FT217" s="93"/>
      <c r="FU217" s="93"/>
      <c r="FV217" s="93"/>
      <c r="FW217" s="93"/>
      <c r="FX217" s="93"/>
      <c r="FY217" s="93"/>
      <c r="FZ217" s="93"/>
      <c r="GA217" s="93"/>
      <c r="GB217" s="93"/>
      <c r="GC217" s="93"/>
      <c r="GD217" s="93"/>
      <c r="GE217" s="93"/>
      <c r="GF217" s="93"/>
      <c r="GG217" s="93"/>
      <c r="GH217" s="93"/>
      <c r="GI217" s="93"/>
      <c r="GJ217" s="93"/>
      <c r="GK217" s="93"/>
      <c r="GL217" s="93"/>
      <c r="GM217" s="93"/>
      <c r="GN217" s="93"/>
      <c r="GO217" s="93"/>
      <c r="GP217" s="93"/>
      <c r="GQ217" s="93"/>
      <c r="GR217" s="93"/>
      <c r="GS217" s="93"/>
      <c r="GT217" s="93"/>
      <c r="GU217" s="93"/>
      <c r="GV217" s="93"/>
      <c r="GW217" s="93"/>
      <c r="GX217" s="93"/>
      <c r="GY217" s="93"/>
      <c r="GZ217" s="93"/>
      <c r="HA217" s="93"/>
      <c r="HB217" s="93"/>
      <c r="HC217" s="93"/>
      <c r="HD217" s="93"/>
      <c r="HE217" s="93"/>
      <c r="HF217" s="93"/>
      <c r="HG217" s="93"/>
    </row>
    <row r="218" spans="14:215" x14ac:dyDescent="0.2">
      <c r="N218" s="93" t="s">
        <v>435</v>
      </c>
      <c r="O218" s="93"/>
      <c r="P218" s="93"/>
      <c r="Q218" s="93"/>
      <c r="R218" s="93"/>
      <c r="S218" s="93"/>
      <c r="T218" s="93"/>
      <c r="U218" s="93"/>
      <c r="V218" s="93"/>
      <c r="W218" s="93"/>
      <c r="X218" s="93"/>
      <c r="Y218" s="93"/>
      <c r="Z218" s="93"/>
      <c r="AA218" s="93"/>
      <c r="AB218" s="93"/>
      <c r="AC218" s="93"/>
      <c r="AD218" s="93"/>
      <c r="AE218" s="93"/>
      <c r="AF218" s="93"/>
      <c r="AG218" s="93"/>
      <c r="AH218" s="93"/>
      <c r="AI218" s="93"/>
      <c r="AJ218" s="93"/>
      <c r="AK218" s="93"/>
      <c r="AL218" s="93"/>
      <c r="AM218" s="93"/>
      <c r="AN218" s="93"/>
      <c r="AO218" s="93"/>
      <c r="AP218" s="93"/>
      <c r="AQ218" s="93"/>
      <c r="AR218" s="93"/>
      <c r="AS218" s="93"/>
      <c r="AT218" s="93"/>
      <c r="AU218" s="93"/>
      <c r="AV218" s="93"/>
      <c r="AW218" s="93"/>
      <c r="AX218" s="93"/>
      <c r="AY218" s="93"/>
      <c r="AZ218" s="93"/>
      <c r="BA218" s="93"/>
      <c r="BB218" s="93"/>
      <c r="BC218" s="93"/>
      <c r="BD218" s="93"/>
      <c r="BE218" s="93"/>
      <c r="BF218" s="93"/>
      <c r="BG218" s="93"/>
      <c r="BH218" s="93"/>
      <c r="BI218" s="93"/>
      <c r="BJ218" s="93"/>
      <c r="BK218" s="93"/>
      <c r="BL218" s="93"/>
      <c r="BM218" s="93"/>
      <c r="BN218" s="93"/>
      <c r="BO218" s="93"/>
      <c r="BP218" s="93"/>
      <c r="BQ218" s="93"/>
      <c r="BR218" s="93"/>
      <c r="BS218" s="93"/>
      <c r="BT218" s="93"/>
      <c r="BU218" s="93"/>
      <c r="BV218" s="93"/>
      <c r="BW218" s="93"/>
      <c r="BX218" s="93"/>
      <c r="BY218" s="93"/>
      <c r="BZ218" s="93"/>
      <c r="CA218" s="93"/>
      <c r="CB218" s="93"/>
      <c r="CC218" s="93"/>
      <c r="CD218" s="93"/>
      <c r="CE218" s="93"/>
      <c r="CF218" s="93"/>
      <c r="CG218" s="93"/>
      <c r="CH218" s="93"/>
      <c r="CI218" s="93"/>
      <c r="CJ218" s="93"/>
      <c r="CK218" s="93"/>
      <c r="CL218" s="93"/>
      <c r="CM218" s="93"/>
      <c r="CN218" s="93"/>
      <c r="CO218" s="93"/>
      <c r="CP218" s="93"/>
      <c r="CQ218" s="93"/>
      <c r="CR218" s="93"/>
      <c r="CS218" s="93"/>
      <c r="CT218" s="93"/>
      <c r="CU218" s="93"/>
      <c r="CV218" s="93"/>
      <c r="CW218" s="93"/>
      <c r="CX218" s="93"/>
      <c r="CY218" s="93"/>
      <c r="CZ218" s="93"/>
      <c r="DA218" s="93"/>
      <c r="DB218" s="93"/>
      <c r="DC218" s="93"/>
      <c r="DD218" s="93"/>
      <c r="DE218" s="93"/>
      <c r="DF218" s="93"/>
      <c r="DG218" s="93"/>
      <c r="DH218" s="93"/>
      <c r="DI218" s="93"/>
      <c r="DJ218" s="93"/>
      <c r="DK218" s="93"/>
      <c r="DL218" s="93"/>
      <c r="DM218" s="93"/>
      <c r="DN218" s="93"/>
      <c r="DO218" s="93"/>
      <c r="DP218" s="93"/>
      <c r="DQ218" s="93"/>
      <c r="DR218" s="93">
        <v>0.33229166666666665</v>
      </c>
      <c r="DS218" s="93"/>
      <c r="DT218" s="93"/>
      <c r="DU218" s="93"/>
      <c r="DV218" s="93"/>
      <c r="DW218" s="93"/>
      <c r="DX218" s="93"/>
      <c r="DY218" s="93"/>
      <c r="DZ218" s="93"/>
      <c r="EA218" s="93"/>
      <c r="EB218" s="93"/>
      <c r="EC218" s="93"/>
      <c r="ED218" s="93"/>
      <c r="EE218" s="93"/>
      <c r="EF218" s="93"/>
      <c r="EG218" s="93"/>
      <c r="EH218" s="93"/>
      <c r="EI218" s="93"/>
      <c r="EJ218" s="93"/>
      <c r="EK218" s="93"/>
      <c r="EL218" s="93"/>
      <c r="EM218" s="93"/>
      <c r="EN218" s="93"/>
      <c r="EO218" s="93"/>
      <c r="EP218" s="93"/>
      <c r="EQ218" s="93"/>
      <c r="ER218" s="93"/>
      <c r="ES218" s="93"/>
      <c r="ET218" s="93"/>
      <c r="EU218" s="93"/>
      <c r="EV218" s="93"/>
      <c r="EW218" s="93"/>
      <c r="EX218" s="93"/>
      <c r="EY218" s="93"/>
      <c r="EZ218" s="93"/>
      <c r="FA218" s="93"/>
      <c r="FB218" s="93"/>
      <c r="FC218" s="93"/>
      <c r="FD218" s="93"/>
      <c r="FE218" s="93"/>
      <c r="FF218" s="93"/>
      <c r="FG218" s="93"/>
      <c r="FH218" s="93"/>
      <c r="FI218" s="93"/>
      <c r="FJ218" s="93"/>
      <c r="FK218" s="93"/>
      <c r="FL218" s="93"/>
      <c r="FM218" s="93"/>
      <c r="FN218" s="93"/>
      <c r="FO218" s="93"/>
      <c r="FP218" s="93"/>
      <c r="FQ218" s="93"/>
      <c r="FR218" s="93"/>
      <c r="FS218" s="93"/>
      <c r="FT218" s="93"/>
      <c r="FU218" s="93"/>
      <c r="FV218" s="93"/>
      <c r="FW218" s="93"/>
      <c r="FX218" s="93"/>
      <c r="FY218" s="93"/>
      <c r="FZ218" s="93"/>
      <c r="GA218" s="93"/>
      <c r="GB218" s="93"/>
      <c r="GC218" s="93"/>
      <c r="GD218" s="93"/>
      <c r="GE218" s="93"/>
      <c r="GF218" s="93"/>
      <c r="GG218" s="93"/>
      <c r="GH218" s="93"/>
      <c r="GI218" s="93"/>
      <c r="GJ218" s="93"/>
      <c r="GK218" s="93"/>
      <c r="GL218" s="93"/>
      <c r="GM218" s="93"/>
      <c r="GN218" s="93"/>
      <c r="GO218" s="93"/>
      <c r="GP218" s="93"/>
      <c r="GQ218" s="93"/>
      <c r="GR218" s="93"/>
      <c r="GS218" s="93"/>
      <c r="GT218" s="93"/>
      <c r="GU218" s="93"/>
      <c r="GV218" s="93"/>
      <c r="GW218" s="93"/>
      <c r="GX218" s="93"/>
      <c r="GY218" s="93"/>
      <c r="GZ218" s="93"/>
      <c r="HA218" s="93"/>
      <c r="HB218" s="93"/>
      <c r="HC218" s="93"/>
      <c r="HD218" s="93"/>
      <c r="HE218" s="93"/>
      <c r="HF218" s="93"/>
      <c r="HG218" s="93"/>
    </row>
    <row r="219" spans="14:215" x14ac:dyDescent="0.2">
      <c r="N219" s="93" t="s">
        <v>436</v>
      </c>
      <c r="O219" s="93"/>
      <c r="P219" s="93"/>
      <c r="Q219" s="93"/>
      <c r="R219" s="93"/>
      <c r="S219" s="93"/>
      <c r="T219" s="93"/>
      <c r="U219" s="93"/>
      <c r="V219" s="93"/>
      <c r="W219" s="93"/>
      <c r="X219" s="93"/>
      <c r="Y219" s="93"/>
      <c r="Z219" s="93"/>
      <c r="AA219" s="93"/>
      <c r="AB219" s="93"/>
      <c r="AC219" s="93"/>
      <c r="AD219" s="93"/>
      <c r="AE219" s="93"/>
      <c r="AF219" s="93"/>
      <c r="AG219" s="93"/>
      <c r="AH219" s="93"/>
      <c r="AI219" s="93"/>
      <c r="AJ219" s="93"/>
      <c r="AK219" s="93"/>
      <c r="AL219" s="93"/>
      <c r="AM219" s="93"/>
      <c r="AN219" s="93"/>
      <c r="AO219" s="93"/>
      <c r="AP219" s="93"/>
      <c r="AQ219" s="93"/>
      <c r="AR219" s="93"/>
      <c r="AS219" s="93"/>
      <c r="AT219" s="93"/>
      <c r="AU219" s="93"/>
      <c r="AV219" s="93"/>
      <c r="AW219" s="93"/>
      <c r="AX219" s="93"/>
      <c r="AY219" s="93"/>
      <c r="AZ219" s="93"/>
      <c r="BA219" s="93"/>
      <c r="BB219" s="93"/>
      <c r="BC219" s="93"/>
      <c r="BD219" s="93"/>
      <c r="BE219" s="93"/>
      <c r="BF219" s="93"/>
      <c r="BG219" s="93"/>
      <c r="BH219" s="93"/>
      <c r="BI219" s="93"/>
      <c r="BJ219" s="93"/>
      <c r="BK219" s="93"/>
      <c r="BL219" s="93"/>
      <c r="BM219" s="93"/>
      <c r="BN219" s="93"/>
      <c r="BO219" s="93"/>
      <c r="BP219" s="93"/>
      <c r="BQ219" s="93"/>
      <c r="BR219" s="93"/>
      <c r="BS219" s="93"/>
      <c r="BT219" s="93"/>
      <c r="BU219" s="93"/>
      <c r="BV219" s="93"/>
      <c r="BW219" s="93"/>
      <c r="BX219" s="93"/>
      <c r="BY219" s="93"/>
      <c r="BZ219" s="93"/>
      <c r="CA219" s="93"/>
      <c r="CB219" s="93"/>
      <c r="CC219" s="93"/>
      <c r="CD219" s="93"/>
      <c r="CE219" s="93"/>
      <c r="CF219" s="93"/>
      <c r="CG219" s="93"/>
      <c r="CH219" s="93"/>
      <c r="CI219" s="93"/>
      <c r="CJ219" s="93"/>
      <c r="CK219" s="93"/>
      <c r="CL219" s="93"/>
      <c r="CM219" s="93"/>
      <c r="CN219" s="93"/>
      <c r="CO219" s="93"/>
      <c r="CP219" s="93"/>
      <c r="CQ219" s="93"/>
      <c r="CR219" s="93"/>
      <c r="CS219" s="93"/>
      <c r="CT219" s="93"/>
      <c r="CU219" s="93"/>
      <c r="CV219" s="93"/>
      <c r="CW219" s="93"/>
      <c r="CX219" s="93"/>
      <c r="CY219" s="93"/>
      <c r="CZ219" s="93"/>
      <c r="DA219" s="93"/>
      <c r="DB219" s="93"/>
      <c r="DC219" s="93"/>
      <c r="DD219" s="93"/>
      <c r="DE219" s="93"/>
      <c r="DF219" s="93"/>
      <c r="DG219" s="93"/>
      <c r="DH219" s="93"/>
      <c r="DI219" s="93"/>
      <c r="DJ219" s="93"/>
      <c r="DK219" s="93"/>
      <c r="DL219" s="93"/>
      <c r="DM219" s="93"/>
      <c r="DN219" s="93"/>
      <c r="DO219" s="93"/>
      <c r="DP219" s="93"/>
      <c r="DQ219" s="93"/>
      <c r="DR219" s="93"/>
      <c r="DS219" s="93">
        <v>0.33230134158926727</v>
      </c>
      <c r="DT219" s="93"/>
      <c r="DU219" s="93"/>
      <c r="DV219" s="93"/>
      <c r="DW219" s="93"/>
      <c r="DX219" s="93"/>
      <c r="DY219" s="93"/>
      <c r="DZ219" s="93"/>
      <c r="EA219" s="93"/>
      <c r="EB219" s="93"/>
      <c r="EC219" s="93"/>
      <c r="ED219" s="93"/>
      <c r="EE219" s="93"/>
      <c r="EF219" s="93"/>
      <c r="EG219" s="93"/>
      <c r="EH219" s="93"/>
      <c r="EI219" s="93"/>
      <c r="EJ219" s="93"/>
      <c r="EK219" s="93"/>
      <c r="EL219" s="93"/>
      <c r="EM219" s="93"/>
      <c r="EN219" s="93"/>
      <c r="EO219" s="93"/>
      <c r="EP219" s="93"/>
      <c r="EQ219" s="93"/>
      <c r="ER219" s="93"/>
      <c r="ES219" s="93"/>
      <c r="ET219" s="93"/>
      <c r="EU219" s="93"/>
      <c r="EV219" s="93"/>
      <c r="EW219" s="93"/>
      <c r="EX219" s="93"/>
      <c r="EY219" s="93"/>
      <c r="EZ219" s="93"/>
      <c r="FA219" s="93"/>
      <c r="FB219" s="93"/>
      <c r="FC219" s="93"/>
      <c r="FD219" s="93"/>
      <c r="FE219" s="93"/>
      <c r="FF219" s="93"/>
      <c r="FG219" s="93"/>
      <c r="FH219" s="93"/>
      <c r="FI219" s="93"/>
      <c r="FJ219" s="93"/>
      <c r="FK219" s="93"/>
      <c r="FL219" s="93"/>
      <c r="FM219" s="93"/>
      <c r="FN219" s="93"/>
      <c r="FO219" s="93"/>
      <c r="FP219" s="93"/>
      <c r="FQ219" s="93"/>
      <c r="FR219" s="93"/>
      <c r="FS219" s="93"/>
      <c r="FT219" s="93"/>
      <c r="FU219" s="93"/>
      <c r="FV219" s="93"/>
      <c r="FW219" s="93"/>
      <c r="FX219" s="93"/>
      <c r="FY219" s="93"/>
      <c r="FZ219" s="93"/>
      <c r="GA219" s="93"/>
      <c r="GB219" s="93"/>
      <c r="GC219" s="93"/>
      <c r="GD219" s="93"/>
      <c r="GE219" s="93"/>
      <c r="GF219" s="93"/>
      <c r="GG219" s="93"/>
      <c r="GH219" s="93"/>
      <c r="GI219" s="93"/>
      <c r="GJ219" s="93"/>
      <c r="GK219" s="93"/>
      <c r="GL219" s="93"/>
      <c r="GM219" s="93"/>
      <c r="GN219" s="93"/>
      <c r="GO219" s="93"/>
      <c r="GP219" s="93"/>
      <c r="GQ219" s="93"/>
      <c r="GR219" s="93"/>
      <c r="GS219" s="93"/>
      <c r="GT219" s="93"/>
      <c r="GU219" s="93"/>
      <c r="GV219" s="93"/>
      <c r="GW219" s="93"/>
      <c r="GX219" s="93"/>
      <c r="GY219" s="93"/>
      <c r="GZ219" s="93"/>
      <c r="HA219" s="93"/>
      <c r="HB219" s="93"/>
      <c r="HC219" s="93"/>
      <c r="HD219" s="93"/>
      <c r="HE219" s="93"/>
      <c r="HF219" s="93"/>
      <c r="HG219" s="93"/>
    </row>
    <row r="220" spans="14:215" x14ac:dyDescent="0.2">
      <c r="N220" s="93" t="s">
        <v>437</v>
      </c>
      <c r="O220" s="93"/>
      <c r="P220" s="93"/>
      <c r="Q220" s="93"/>
      <c r="R220" s="93"/>
      <c r="S220" s="93"/>
      <c r="T220" s="93"/>
      <c r="U220" s="93"/>
      <c r="V220" s="93"/>
      <c r="W220" s="93"/>
      <c r="X220" s="93"/>
      <c r="Y220" s="93"/>
      <c r="Z220" s="93"/>
      <c r="AA220" s="93"/>
      <c r="AB220" s="93"/>
      <c r="AC220" s="93"/>
      <c r="AD220" s="93"/>
      <c r="AE220" s="93"/>
      <c r="AF220" s="93"/>
      <c r="AG220" s="93"/>
      <c r="AH220" s="93"/>
      <c r="AI220" s="93"/>
      <c r="AJ220" s="93"/>
      <c r="AK220" s="93"/>
      <c r="AL220" s="93"/>
      <c r="AM220" s="93"/>
      <c r="AN220" s="93"/>
      <c r="AO220" s="93"/>
      <c r="AP220" s="93"/>
      <c r="AQ220" s="93"/>
      <c r="AR220" s="93"/>
      <c r="AS220" s="93"/>
      <c r="AT220" s="93"/>
      <c r="AU220" s="93"/>
      <c r="AV220" s="93"/>
      <c r="AW220" s="93"/>
      <c r="AX220" s="93"/>
      <c r="AY220" s="93"/>
      <c r="AZ220" s="93"/>
      <c r="BA220" s="93"/>
      <c r="BB220" s="93"/>
      <c r="BC220" s="93"/>
      <c r="BD220" s="93"/>
      <c r="BE220" s="93"/>
      <c r="BF220" s="93"/>
      <c r="BG220" s="93"/>
      <c r="BH220" s="93"/>
      <c r="BI220" s="93"/>
      <c r="BJ220" s="93"/>
      <c r="BK220" s="93"/>
      <c r="BL220" s="93"/>
      <c r="BM220" s="93"/>
      <c r="BN220" s="93"/>
      <c r="BO220" s="93"/>
      <c r="BP220" s="93"/>
      <c r="BQ220" s="93"/>
      <c r="BR220" s="93"/>
      <c r="BS220" s="93"/>
      <c r="BT220" s="93"/>
      <c r="BU220" s="93"/>
      <c r="BV220" s="93"/>
      <c r="BW220" s="93"/>
      <c r="BX220" s="93"/>
      <c r="BY220" s="93"/>
      <c r="BZ220" s="93"/>
      <c r="CA220" s="93"/>
      <c r="CB220" s="93"/>
      <c r="CC220" s="93"/>
      <c r="CD220" s="93"/>
      <c r="CE220" s="93"/>
      <c r="CF220" s="93"/>
      <c r="CG220" s="93"/>
      <c r="CH220" s="93"/>
      <c r="CI220" s="93"/>
      <c r="CJ220" s="93"/>
      <c r="CK220" s="93"/>
      <c r="CL220" s="93"/>
      <c r="CM220" s="93"/>
      <c r="CN220" s="93"/>
      <c r="CO220" s="93"/>
      <c r="CP220" s="93"/>
      <c r="CQ220" s="93"/>
      <c r="CR220" s="93"/>
      <c r="CS220" s="93"/>
      <c r="CT220" s="93"/>
      <c r="CU220" s="93"/>
      <c r="CV220" s="93"/>
      <c r="CW220" s="93"/>
      <c r="CX220" s="93"/>
      <c r="CY220" s="93"/>
      <c r="CZ220" s="93"/>
      <c r="DA220" s="93"/>
      <c r="DB220" s="93"/>
      <c r="DC220" s="93"/>
      <c r="DD220" s="93"/>
      <c r="DE220" s="93"/>
      <c r="DF220" s="93"/>
      <c r="DG220" s="93"/>
      <c r="DH220" s="93"/>
      <c r="DI220" s="93"/>
      <c r="DJ220" s="93"/>
      <c r="DK220" s="93"/>
      <c r="DL220" s="93"/>
      <c r="DM220" s="93"/>
      <c r="DN220" s="93"/>
      <c r="DO220" s="93"/>
      <c r="DP220" s="93"/>
      <c r="DQ220" s="93"/>
      <c r="DR220" s="93"/>
      <c r="DS220" s="93"/>
      <c r="DT220" s="93">
        <v>0.33231083844580778</v>
      </c>
      <c r="DU220" s="93"/>
      <c r="DV220" s="93"/>
      <c r="DW220" s="93"/>
      <c r="DX220" s="93"/>
      <c r="DY220" s="93"/>
      <c r="DZ220" s="93"/>
      <c r="EA220" s="93"/>
      <c r="EB220" s="93"/>
      <c r="EC220" s="93"/>
      <c r="ED220" s="93"/>
      <c r="EE220" s="93"/>
      <c r="EF220" s="93"/>
      <c r="EG220" s="93"/>
      <c r="EH220" s="93"/>
      <c r="EI220" s="93"/>
      <c r="EJ220" s="93"/>
      <c r="EK220" s="93"/>
      <c r="EL220" s="93"/>
      <c r="EM220" s="93"/>
      <c r="EN220" s="93"/>
      <c r="EO220" s="93"/>
      <c r="EP220" s="93"/>
      <c r="EQ220" s="93"/>
      <c r="ER220" s="93"/>
      <c r="ES220" s="93"/>
      <c r="ET220" s="93"/>
      <c r="EU220" s="93"/>
      <c r="EV220" s="93"/>
      <c r="EW220" s="93"/>
      <c r="EX220" s="93"/>
      <c r="EY220" s="93"/>
      <c r="EZ220" s="93"/>
      <c r="FA220" s="93"/>
      <c r="FB220" s="93"/>
      <c r="FC220" s="93"/>
      <c r="FD220" s="93"/>
      <c r="FE220" s="93"/>
      <c r="FF220" s="93"/>
      <c r="FG220" s="93"/>
      <c r="FH220" s="93"/>
      <c r="FI220" s="93"/>
      <c r="FJ220" s="93"/>
      <c r="FK220" s="93"/>
      <c r="FL220" s="93"/>
      <c r="FM220" s="93"/>
      <c r="FN220" s="93"/>
      <c r="FO220" s="93"/>
      <c r="FP220" s="93"/>
      <c r="FQ220" s="93"/>
      <c r="FR220" s="93"/>
      <c r="FS220" s="93"/>
      <c r="FT220" s="93"/>
      <c r="FU220" s="93"/>
      <c r="FV220" s="93"/>
      <c r="FW220" s="93"/>
      <c r="FX220" s="93"/>
      <c r="FY220" s="93"/>
      <c r="FZ220" s="93"/>
      <c r="GA220" s="93"/>
      <c r="GB220" s="93"/>
      <c r="GC220" s="93"/>
      <c r="GD220" s="93"/>
      <c r="GE220" s="93"/>
      <c r="GF220" s="93"/>
      <c r="GG220" s="93"/>
      <c r="GH220" s="93"/>
      <c r="GI220" s="93"/>
      <c r="GJ220" s="93"/>
      <c r="GK220" s="93"/>
      <c r="GL220" s="93"/>
      <c r="GM220" s="93"/>
      <c r="GN220" s="93"/>
      <c r="GO220" s="93"/>
      <c r="GP220" s="93"/>
      <c r="GQ220" s="93"/>
      <c r="GR220" s="93"/>
      <c r="GS220" s="93"/>
      <c r="GT220" s="93"/>
      <c r="GU220" s="93"/>
      <c r="GV220" s="93"/>
      <c r="GW220" s="93"/>
      <c r="GX220" s="93"/>
      <c r="GY220" s="93"/>
      <c r="GZ220" s="93"/>
      <c r="HA220" s="93"/>
      <c r="HB220" s="93"/>
      <c r="HC220" s="93"/>
      <c r="HD220" s="93"/>
      <c r="HE220" s="93"/>
      <c r="HF220" s="93"/>
      <c r="HG220" s="93"/>
    </row>
    <row r="221" spans="14:215" x14ac:dyDescent="0.2">
      <c r="N221" s="93" t="s">
        <v>438</v>
      </c>
      <c r="O221" s="93"/>
      <c r="P221" s="93"/>
      <c r="Q221" s="93"/>
      <c r="R221" s="93"/>
      <c r="S221" s="93"/>
      <c r="T221" s="93"/>
      <c r="U221" s="93"/>
      <c r="V221" s="93"/>
      <c r="W221" s="93"/>
      <c r="X221" s="93"/>
      <c r="Y221" s="93"/>
      <c r="Z221" s="93"/>
      <c r="AA221" s="93"/>
      <c r="AB221" s="93"/>
      <c r="AC221" s="93"/>
      <c r="AD221" s="93"/>
      <c r="AE221" s="93"/>
      <c r="AF221" s="93"/>
      <c r="AG221" s="93"/>
      <c r="AH221" s="93"/>
      <c r="AI221" s="93"/>
      <c r="AJ221" s="93"/>
      <c r="AK221" s="93"/>
      <c r="AL221" s="93"/>
      <c r="AM221" s="93"/>
      <c r="AN221" s="93"/>
      <c r="AO221" s="93"/>
      <c r="AP221" s="93"/>
      <c r="AQ221" s="93"/>
      <c r="AR221" s="93"/>
      <c r="AS221" s="93"/>
      <c r="AT221" s="93"/>
      <c r="AU221" s="93"/>
      <c r="AV221" s="93"/>
      <c r="AW221" s="93"/>
      <c r="AX221" s="93"/>
      <c r="AY221" s="93"/>
      <c r="AZ221" s="93"/>
      <c r="BA221" s="93"/>
      <c r="BB221" s="93"/>
      <c r="BC221" s="93"/>
      <c r="BD221" s="93"/>
      <c r="BE221" s="93"/>
      <c r="BF221" s="93"/>
      <c r="BG221" s="93"/>
      <c r="BH221" s="93"/>
      <c r="BI221" s="93"/>
      <c r="BJ221" s="93"/>
      <c r="BK221" s="93"/>
      <c r="BL221" s="93"/>
      <c r="BM221" s="93"/>
      <c r="BN221" s="93"/>
      <c r="BO221" s="93"/>
      <c r="BP221" s="93"/>
      <c r="BQ221" s="93"/>
      <c r="BR221" s="93"/>
      <c r="BS221" s="93"/>
      <c r="BT221" s="93"/>
      <c r="BU221" s="93"/>
      <c r="BV221" s="93"/>
      <c r="BW221" s="93"/>
      <c r="BX221" s="93"/>
      <c r="BY221" s="93"/>
      <c r="BZ221" s="93"/>
      <c r="CA221" s="93"/>
      <c r="CB221" s="93"/>
      <c r="CC221" s="93"/>
      <c r="CD221" s="93"/>
      <c r="CE221" s="93"/>
      <c r="CF221" s="93"/>
      <c r="CG221" s="93"/>
      <c r="CH221" s="93"/>
      <c r="CI221" s="93"/>
      <c r="CJ221" s="93"/>
      <c r="CK221" s="93"/>
      <c r="CL221" s="93"/>
      <c r="CM221" s="93"/>
      <c r="CN221" s="93"/>
      <c r="CO221" s="93"/>
      <c r="CP221" s="93"/>
      <c r="CQ221" s="93"/>
      <c r="CR221" s="93"/>
      <c r="CS221" s="93"/>
      <c r="CT221" s="93"/>
      <c r="CU221" s="93"/>
      <c r="CV221" s="93"/>
      <c r="CW221" s="93"/>
      <c r="CX221" s="93"/>
      <c r="CY221" s="93"/>
      <c r="CZ221" s="93"/>
      <c r="DA221" s="93"/>
      <c r="DB221" s="93"/>
      <c r="DC221" s="93"/>
      <c r="DD221" s="93"/>
      <c r="DE221" s="93"/>
      <c r="DF221" s="93"/>
      <c r="DG221" s="93"/>
      <c r="DH221" s="93"/>
      <c r="DI221" s="93"/>
      <c r="DJ221" s="93"/>
      <c r="DK221" s="93"/>
      <c r="DL221" s="93"/>
      <c r="DM221" s="93"/>
      <c r="DN221" s="93"/>
      <c r="DO221" s="93"/>
      <c r="DP221" s="93"/>
      <c r="DQ221" s="93"/>
      <c r="DR221" s="93"/>
      <c r="DS221" s="93"/>
      <c r="DT221" s="93"/>
      <c r="DU221" s="93">
        <v>0.33232016210739618</v>
      </c>
      <c r="DV221" s="93"/>
      <c r="DW221" s="93"/>
      <c r="DX221" s="93"/>
      <c r="DY221" s="93"/>
      <c r="DZ221" s="93"/>
      <c r="EA221" s="93"/>
      <c r="EB221" s="93"/>
      <c r="EC221" s="93"/>
      <c r="ED221" s="93"/>
      <c r="EE221" s="93"/>
      <c r="EF221" s="93"/>
      <c r="EG221" s="93"/>
      <c r="EH221" s="93"/>
      <c r="EI221" s="93"/>
      <c r="EJ221" s="93"/>
      <c r="EK221" s="93"/>
      <c r="EL221" s="93"/>
      <c r="EM221" s="93"/>
      <c r="EN221" s="93"/>
      <c r="EO221" s="93"/>
      <c r="EP221" s="93"/>
      <c r="EQ221" s="93"/>
      <c r="ER221" s="93"/>
      <c r="ES221" s="93"/>
      <c r="ET221" s="93"/>
      <c r="EU221" s="93"/>
      <c r="EV221" s="93"/>
      <c r="EW221" s="93"/>
      <c r="EX221" s="93"/>
      <c r="EY221" s="93"/>
      <c r="EZ221" s="93"/>
      <c r="FA221" s="93"/>
      <c r="FB221" s="93"/>
      <c r="FC221" s="93"/>
      <c r="FD221" s="93"/>
      <c r="FE221" s="93"/>
      <c r="FF221" s="93"/>
      <c r="FG221" s="93"/>
      <c r="FH221" s="93"/>
      <c r="FI221" s="93"/>
      <c r="FJ221" s="93"/>
      <c r="FK221" s="93"/>
      <c r="FL221" s="93"/>
      <c r="FM221" s="93"/>
      <c r="FN221" s="93"/>
      <c r="FO221" s="93"/>
      <c r="FP221" s="93"/>
      <c r="FQ221" s="93"/>
      <c r="FR221" s="93"/>
      <c r="FS221" s="93"/>
      <c r="FT221" s="93"/>
      <c r="FU221" s="93"/>
      <c r="FV221" s="93"/>
      <c r="FW221" s="93"/>
      <c r="FX221" s="93"/>
      <c r="FY221" s="93"/>
      <c r="FZ221" s="93"/>
      <c r="GA221" s="93"/>
      <c r="GB221" s="93"/>
      <c r="GC221" s="93"/>
      <c r="GD221" s="93"/>
      <c r="GE221" s="93"/>
      <c r="GF221" s="93"/>
      <c r="GG221" s="93"/>
      <c r="GH221" s="93"/>
      <c r="GI221" s="93"/>
      <c r="GJ221" s="93"/>
      <c r="GK221" s="93"/>
      <c r="GL221" s="93"/>
      <c r="GM221" s="93"/>
      <c r="GN221" s="93"/>
      <c r="GO221" s="93"/>
      <c r="GP221" s="93"/>
      <c r="GQ221" s="93"/>
      <c r="GR221" s="93"/>
      <c r="GS221" s="93"/>
      <c r="GT221" s="93"/>
      <c r="GU221" s="93"/>
      <c r="GV221" s="93"/>
      <c r="GW221" s="93"/>
      <c r="GX221" s="93"/>
      <c r="GY221" s="93"/>
      <c r="GZ221" s="93"/>
      <c r="HA221" s="93"/>
      <c r="HB221" s="93"/>
      <c r="HC221" s="93"/>
      <c r="HD221" s="93"/>
      <c r="HE221" s="93"/>
      <c r="HF221" s="93"/>
      <c r="HG221" s="93"/>
    </row>
    <row r="222" spans="14:215" x14ac:dyDescent="0.2">
      <c r="N222" s="93" t="s">
        <v>439</v>
      </c>
      <c r="O222" s="93"/>
      <c r="P222" s="93"/>
      <c r="Q222" s="93"/>
      <c r="R222" s="93"/>
      <c r="S222" s="93"/>
      <c r="T222" s="93"/>
      <c r="U222" s="93"/>
      <c r="V222" s="93"/>
      <c r="W222" s="93"/>
      <c r="X222" s="93"/>
      <c r="Y222" s="93"/>
      <c r="Z222" s="93"/>
      <c r="AA222" s="93"/>
      <c r="AB222" s="93"/>
      <c r="AC222" s="93"/>
      <c r="AD222" s="93"/>
      <c r="AE222" s="93"/>
      <c r="AF222" s="93"/>
      <c r="AG222" s="93"/>
      <c r="AH222" s="93"/>
      <c r="AI222" s="93"/>
      <c r="AJ222" s="93"/>
      <c r="AK222" s="93"/>
      <c r="AL222" s="93"/>
      <c r="AM222" s="93"/>
      <c r="AN222" s="93"/>
      <c r="AO222" s="93"/>
      <c r="AP222" s="93"/>
      <c r="AQ222" s="93"/>
      <c r="AR222" s="93"/>
      <c r="AS222" s="93"/>
      <c r="AT222" s="93"/>
      <c r="AU222" s="93"/>
      <c r="AV222" s="93"/>
      <c r="AW222" s="93"/>
      <c r="AX222" s="93"/>
      <c r="AY222" s="93"/>
      <c r="AZ222" s="93"/>
      <c r="BA222" s="93"/>
      <c r="BB222" s="93"/>
      <c r="BC222" s="93"/>
      <c r="BD222" s="93"/>
      <c r="BE222" s="93"/>
      <c r="BF222" s="93"/>
      <c r="BG222" s="93"/>
      <c r="BH222" s="93"/>
      <c r="BI222" s="93"/>
      <c r="BJ222" s="93"/>
      <c r="BK222" s="93"/>
      <c r="BL222" s="93"/>
      <c r="BM222" s="93"/>
      <c r="BN222" s="93"/>
      <c r="BO222" s="93"/>
      <c r="BP222" s="93"/>
      <c r="BQ222" s="93"/>
      <c r="BR222" s="93"/>
      <c r="BS222" s="93"/>
      <c r="BT222" s="93"/>
      <c r="BU222" s="93"/>
      <c r="BV222" s="93"/>
      <c r="BW222" s="93"/>
      <c r="BX222" s="93"/>
      <c r="BY222" s="93"/>
      <c r="BZ222" s="93"/>
      <c r="CA222" s="93"/>
      <c r="CB222" s="93"/>
      <c r="CC222" s="93"/>
      <c r="CD222" s="93"/>
      <c r="CE222" s="93"/>
      <c r="CF222" s="93"/>
      <c r="CG222" s="93"/>
      <c r="CH222" s="93"/>
      <c r="CI222" s="93"/>
      <c r="CJ222" s="93"/>
      <c r="CK222" s="93"/>
      <c r="CL222" s="93"/>
      <c r="CM222" s="93"/>
      <c r="CN222" s="93"/>
      <c r="CO222" s="93"/>
      <c r="CP222" s="93"/>
      <c r="CQ222" s="93"/>
      <c r="CR222" s="93"/>
      <c r="CS222" s="93"/>
      <c r="CT222" s="93"/>
      <c r="CU222" s="93"/>
      <c r="CV222" s="93"/>
      <c r="CW222" s="93"/>
      <c r="CX222" s="93"/>
      <c r="CY222" s="93"/>
      <c r="CZ222" s="93"/>
      <c r="DA222" s="93"/>
      <c r="DB222" s="93"/>
      <c r="DC222" s="93"/>
      <c r="DD222" s="93"/>
      <c r="DE222" s="93"/>
      <c r="DF222" s="93"/>
      <c r="DG222" s="93"/>
      <c r="DH222" s="93"/>
      <c r="DI222" s="93"/>
      <c r="DJ222" s="93"/>
      <c r="DK222" s="93"/>
      <c r="DL222" s="93"/>
      <c r="DM222" s="93"/>
      <c r="DN222" s="93"/>
      <c r="DO222" s="93"/>
      <c r="DP222" s="93"/>
      <c r="DQ222" s="93"/>
      <c r="DR222" s="93"/>
      <c r="DS222" s="93"/>
      <c r="DT222" s="93"/>
      <c r="DU222" s="93"/>
      <c r="DV222" s="93">
        <v>0.33232931726907633</v>
      </c>
      <c r="DW222" s="93"/>
      <c r="DX222" s="93"/>
      <c r="DY222" s="93"/>
      <c r="DZ222" s="93"/>
      <c r="EA222" s="93"/>
      <c r="EB222" s="93"/>
      <c r="EC222" s="93"/>
      <c r="ED222" s="93"/>
      <c r="EE222" s="93"/>
      <c r="EF222" s="93"/>
      <c r="EG222" s="93"/>
      <c r="EH222" s="93"/>
      <c r="EI222" s="93"/>
      <c r="EJ222" s="93"/>
      <c r="EK222" s="93"/>
      <c r="EL222" s="93"/>
      <c r="EM222" s="93"/>
      <c r="EN222" s="93"/>
      <c r="EO222" s="93"/>
      <c r="EP222" s="93"/>
      <c r="EQ222" s="93"/>
      <c r="ER222" s="93"/>
      <c r="ES222" s="93"/>
      <c r="ET222" s="93"/>
      <c r="EU222" s="93"/>
      <c r="EV222" s="93"/>
      <c r="EW222" s="93"/>
      <c r="EX222" s="93"/>
      <c r="EY222" s="93"/>
      <c r="EZ222" s="93"/>
      <c r="FA222" s="93"/>
      <c r="FB222" s="93"/>
      <c r="FC222" s="93"/>
      <c r="FD222" s="93"/>
      <c r="FE222" s="93"/>
      <c r="FF222" s="93"/>
      <c r="FG222" s="93"/>
      <c r="FH222" s="93"/>
      <c r="FI222" s="93"/>
      <c r="FJ222" s="93"/>
      <c r="FK222" s="93"/>
      <c r="FL222" s="93"/>
      <c r="FM222" s="93"/>
      <c r="FN222" s="93"/>
      <c r="FO222" s="93"/>
      <c r="FP222" s="93"/>
      <c r="FQ222" s="93"/>
      <c r="FR222" s="93"/>
      <c r="FS222" s="93"/>
      <c r="FT222" s="93"/>
      <c r="FU222" s="93"/>
      <c r="FV222" s="93"/>
      <c r="FW222" s="93"/>
      <c r="FX222" s="93"/>
      <c r="FY222" s="93"/>
      <c r="FZ222" s="93"/>
      <c r="GA222" s="93"/>
      <c r="GB222" s="93"/>
      <c r="GC222" s="93"/>
      <c r="GD222" s="93"/>
      <c r="GE222" s="93"/>
      <c r="GF222" s="93"/>
      <c r="GG222" s="93"/>
      <c r="GH222" s="93"/>
      <c r="GI222" s="93"/>
      <c r="GJ222" s="93"/>
      <c r="GK222" s="93"/>
      <c r="GL222" s="93"/>
      <c r="GM222" s="93"/>
      <c r="GN222" s="93"/>
      <c r="GO222" s="93"/>
      <c r="GP222" s="93"/>
      <c r="GQ222" s="93"/>
      <c r="GR222" s="93"/>
      <c r="GS222" s="93"/>
      <c r="GT222" s="93"/>
      <c r="GU222" s="93"/>
      <c r="GV222" s="93"/>
      <c r="GW222" s="93"/>
      <c r="GX222" s="93"/>
      <c r="GY222" s="93"/>
      <c r="GZ222" s="93"/>
      <c r="HA222" s="93"/>
      <c r="HB222" s="93"/>
      <c r="HC222" s="93"/>
      <c r="HD222" s="93"/>
      <c r="HE222" s="93"/>
      <c r="HF222" s="93"/>
      <c r="HG222" s="93"/>
    </row>
    <row r="223" spans="14:215" x14ac:dyDescent="0.2">
      <c r="N223" s="93" t="s">
        <v>440</v>
      </c>
      <c r="O223" s="93"/>
      <c r="P223" s="93"/>
      <c r="Q223" s="93"/>
      <c r="R223" s="93"/>
      <c r="S223" s="93"/>
      <c r="T223" s="93"/>
      <c r="U223" s="93"/>
      <c r="V223" s="93"/>
      <c r="W223" s="93"/>
      <c r="X223" s="93"/>
      <c r="Y223" s="93"/>
      <c r="Z223" s="93"/>
      <c r="AA223" s="93"/>
      <c r="AB223" s="93"/>
      <c r="AC223" s="93"/>
      <c r="AD223" s="93"/>
      <c r="AE223" s="93"/>
      <c r="AF223" s="93"/>
      <c r="AG223" s="93"/>
      <c r="AH223" s="93"/>
      <c r="AI223" s="93"/>
      <c r="AJ223" s="93"/>
      <c r="AK223" s="93"/>
      <c r="AL223" s="93"/>
      <c r="AM223" s="93"/>
      <c r="AN223" s="93"/>
      <c r="AO223" s="93"/>
      <c r="AP223" s="93"/>
      <c r="AQ223" s="93"/>
      <c r="AR223" s="93"/>
      <c r="AS223" s="93"/>
      <c r="AT223" s="93"/>
      <c r="AU223" s="93"/>
      <c r="AV223" s="93"/>
      <c r="AW223" s="93"/>
      <c r="AX223" s="93"/>
      <c r="AY223" s="93"/>
      <c r="AZ223" s="93"/>
      <c r="BA223" s="93"/>
      <c r="BB223" s="93"/>
      <c r="BC223" s="93"/>
      <c r="BD223" s="93"/>
      <c r="BE223" s="93"/>
      <c r="BF223" s="93"/>
      <c r="BG223" s="93"/>
      <c r="BH223" s="93"/>
      <c r="BI223" s="93"/>
      <c r="BJ223" s="93"/>
      <c r="BK223" s="93"/>
      <c r="BL223" s="93"/>
      <c r="BM223" s="93"/>
      <c r="BN223" s="93"/>
      <c r="BO223" s="93"/>
      <c r="BP223" s="93"/>
      <c r="BQ223" s="93"/>
      <c r="BR223" s="93"/>
      <c r="BS223" s="93"/>
      <c r="BT223" s="93"/>
      <c r="BU223" s="93"/>
      <c r="BV223" s="93"/>
      <c r="BW223" s="93"/>
      <c r="BX223" s="93"/>
      <c r="BY223" s="93"/>
      <c r="BZ223" s="93"/>
      <c r="CA223" s="93"/>
      <c r="CB223" s="93"/>
      <c r="CC223" s="93"/>
      <c r="CD223" s="93"/>
      <c r="CE223" s="93"/>
      <c r="CF223" s="93"/>
      <c r="CG223" s="93"/>
      <c r="CH223" s="93"/>
      <c r="CI223" s="93"/>
      <c r="CJ223" s="93"/>
      <c r="CK223" s="93"/>
      <c r="CL223" s="93"/>
      <c r="CM223" s="93"/>
      <c r="CN223" s="93"/>
      <c r="CO223" s="93"/>
      <c r="CP223" s="93"/>
      <c r="CQ223" s="93"/>
      <c r="CR223" s="93"/>
      <c r="CS223" s="93"/>
      <c r="CT223" s="93"/>
      <c r="CU223" s="93"/>
      <c r="CV223" s="93"/>
      <c r="CW223" s="93"/>
      <c r="CX223" s="93"/>
      <c r="CY223" s="93"/>
      <c r="CZ223" s="93"/>
      <c r="DA223" s="93"/>
      <c r="DB223" s="93"/>
      <c r="DC223" s="93"/>
      <c r="DD223" s="93"/>
      <c r="DE223" s="93"/>
      <c r="DF223" s="93"/>
      <c r="DG223" s="93"/>
      <c r="DH223" s="93"/>
      <c r="DI223" s="93"/>
      <c r="DJ223" s="93"/>
      <c r="DK223" s="93"/>
      <c r="DL223" s="93"/>
      <c r="DM223" s="93"/>
      <c r="DN223" s="93"/>
      <c r="DO223" s="93"/>
      <c r="DP223" s="93"/>
      <c r="DQ223" s="93"/>
      <c r="DR223" s="93"/>
      <c r="DS223" s="93"/>
      <c r="DT223" s="93"/>
      <c r="DU223" s="93"/>
      <c r="DV223" s="93"/>
      <c r="DW223" s="93">
        <v>0.33233830845771145</v>
      </c>
      <c r="DX223" s="93"/>
      <c r="DY223" s="93"/>
      <c r="DZ223" s="93"/>
      <c r="EA223" s="93"/>
      <c r="EB223" s="93"/>
      <c r="EC223" s="93"/>
      <c r="ED223" s="93"/>
      <c r="EE223" s="93"/>
      <c r="EF223" s="93"/>
      <c r="EG223" s="93"/>
      <c r="EH223" s="93"/>
      <c r="EI223" s="93"/>
      <c r="EJ223" s="93"/>
      <c r="EK223" s="93"/>
      <c r="EL223" s="93"/>
      <c r="EM223" s="93"/>
      <c r="EN223" s="93"/>
      <c r="EO223" s="93"/>
      <c r="EP223" s="93"/>
      <c r="EQ223" s="93"/>
      <c r="ER223" s="93"/>
      <c r="ES223" s="93"/>
      <c r="ET223" s="93"/>
      <c r="EU223" s="93"/>
      <c r="EV223" s="93"/>
      <c r="EW223" s="93"/>
      <c r="EX223" s="93"/>
      <c r="EY223" s="93"/>
      <c r="EZ223" s="93"/>
      <c r="FA223" s="93"/>
      <c r="FB223" s="93"/>
      <c r="FC223" s="93"/>
      <c r="FD223" s="93"/>
      <c r="FE223" s="93"/>
      <c r="FF223" s="93"/>
      <c r="FG223" s="93"/>
      <c r="FH223" s="93"/>
      <c r="FI223" s="93"/>
      <c r="FJ223" s="93"/>
      <c r="FK223" s="93"/>
      <c r="FL223" s="93"/>
      <c r="FM223" s="93"/>
      <c r="FN223" s="93"/>
      <c r="FO223" s="93"/>
      <c r="FP223" s="93"/>
      <c r="FQ223" s="93"/>
      <c r="FR223" s="93"/>
      <c r="FS223" s="93"/>
      <c r="FT223" s="93"/>
      <c r="FU223" s="93"/>
      <c r="FV223" s="93"/>
      <c r="FW223" s="93"/>
      <c r="FX223" s="93"/>
      <c r="FY223" s="93"/>
      <c r="FZ223" s="93"/>
      <c r="GA223" s="93"/>
      <c r="GB223" s="93"/>
      <c r="GC223" s="93"/>
      <c r="GD223" s="93"/>
      <c r="GE223" s="93"/>
      <c r="GF223" s="93"/>
      <c r="GG223" s="93"/>
      <c r="GH223" s="93"/>
      <c r="GI223" s="93"/>
      <c r="GJ223" s="93"/>
      <c r="GK223" s="93"/>
      <c r="GL223" s="93"/>
      <c r="GM223" s="93"/>
      <c r="GN223" s="93"/>
      <c r="GO223" s="93"/>
      <c r="GP223" s="93"/>
      <c r="GQ223" s="93"/>
      <c r="GR223" s="93"/>
      <c r="GS223" s="93"/>
      <c r="GT223" s="93"/>
      <c r="GU223" s="93"/>
      <c r="GV223" s="93"/>
      <c r="GW223" s="93"/>
      <c r="GX223" s="93"/>
      <c r="GY223" s="93"/>
      <c r="GZ223" s="93"/>
      <c r="HA223" s="93"/>
      <c r="HB223" s="93"/>
      <c r="HC223" s="93"/>
      <c r="HD223" s="93"/>
      <c r="HE223" s="93"/>
      <c r="HF223" s="93"/>
      <c r="HG223" s="93"/>
    </row>
    <row r="224" spans="14:215" x14ac:dyDescent="0.2">
      <c r="N224" s="93" t="s">
        <v>441</v>
      </c>
      <c r="O224" s="93"/>
      <c r="P224" s="93"/>
      <c r="Q224" s="93"/>
      <c r="R224" s="93"/>
      <c r="S224" s="93"/>
      <c r="T224" s="93"/>
      <c r="U224" s="93"/>
      <c r="V224" s="93"/>
      <c r="W224" s="93"/>
      <c r="X224" s="93"/>
      <c r="Y224" s="93"/>
      <c r="Z224" s="93"/>
      <c r="AA224" s="93"/>
      <c r="AB224" s="93"/>
      <c r="AC224" s="93"/>
      <c r="AD224" s="93"/>
      <c r="AE224" s="93"/>
      <c r="AF224" s="93"/>
      <c r="AG224" s="93"/>
      <c r="AH224" s="93"/>
      <c r="AI224" s="93"/>
      <c r="AJ224" s="93"/>
      <c r="AK224" s="93"/>
      <c r="AL224" s="93"/>
      <c r="AM224" s="93"/>
      <c r="AN224" s="93"/>
      <c r="AO224" s="93"/>
      <c r="AP224" s="93"/>
      <c r="AQ224" s="93"/>
      <c r="AR224" s="93"/>
      <c r="AS224" s="93"/>
      <c r="AT224" s="93"/>
      <c r="AU224" s="93"/>
      <c r="AV224" s="93"/>
      <c r="AW224" s="93"/>
      <c r="AX224" s="93"/>
      <c r="AY224" s="93"/>
      <c r="AZ224" s="93"/>
      <c r="BA224" s="93"/>
      <c r="BB224" s="93"/>
      <c r="BC224" s="93"/>
      <c r="BD224" s="93"/>
      <c r="BE224" s="93"/>
      <c r="BF224" s="93"/>
      <c r="BG224" s="93"/>
      <c r="BH224" s="93"/>
      <c r="BI224" s="93"/>
      <c r="BJ224" s="93"/>
      <c r="BK224" s="93"/>
      <c r="BL224" s="93"/>
      <c r="BM224" s="93"/>
      <c r="BN224" s="93"/>
      <c r="BO224" s="93"/>
      <c r="BP224" s="93"/>
      <c r="BQ224" s="93"/>
      <c r="BR224" s="93"/>
      <c r="BS224" s="93"/>
      <c r="BT224" s="93"/>
      <c r="BU224" s="93"/>
      <c r="BV224" s="93"/>
      <c r="BW224" s="93"/>
      <c r="BX224" s="93"/>
      <c r="BY224" s="93"/>
      <c r="BZ224" s="93"/>
      <c r="CA224" s="93"/>
      <c r="CB224" s="93"/>
      <c r="CC224" s="93"/>
      <c r="CD224" s="93"/>
      <c r="CE224" s="93"/>
      <c r="CF224" s="93"/>
      <c r="CG224" s="93"/>
      <c r="CH224" s="93"/>
      <c r="CI224" s="93"/>
      <c r="CJ224" s="93"/>
      <c r="CK224" s="93"/>
      <c r="CL224" s="93"/>
      <c r="CM224" s="93"/>
      <c r="CN224" s="93"/>
      <c r="CO224" s="93"/>
      <c r="CP224" s="93"/>
      <c r="CQ224" s="93"/>
      <c r="CR224" s="93"/>
      <c r="CS224" s="93"/>
      <c r="CT224" s="93"/>
      <c r="CU224" s="93"/>
      <c r="CV224" s="93"/>
      <c r="CW224" s="93"/>
      <c r="CX224" s="93"/>
      <c r="CY224" s="93"/>
      <c r="CZ224" s="93"/>
      <c r="DA224" s="93"/>
      <c r="DB224" s="93"/>
      <c r="DC224" s="93"/>
      <c r="DD224" s="93"/>
      <c r="DE224" s="93"/>
      <c r="DF224" s="93"/>
      <c r="DG224" s="93"/>
      <c r="DH224" s="93"/>
      <c r="DI224" s="93"/>
      <c r="DJ224" s="93"/>
      <c r="DK224" s="93"/>
      <c r="DL224" s="93"/>
      <c r="DM224" s="93"/>
      <c r="DN224" s="93"/>
      <c r="DO224" s="93"/>
      <c r="DP224" s="93"/>
      <c r="DQ224" s="93"/>
      <c r="DR224" s="93"/>
      <c r="DS224" s="93"/>
      <c r="DT224" s="93"/>
      <c r="DU224" s="93"/>
      <c r="DV224" s="93"/>
      <c r="DW224" s="93"/>
      <c r="DX224" s="93">
        <v>0.33234714003944771</v>
      </c>
      <c r="DY224" s="93"/>
      <c r="DZ224" s="93"/>
      <c r="EA224" s="93"/>
      <c r="EB224" s="93"/>
      <c r="EC224" s="93"/>
      <c r="ED224" s="93"/>
      <c r="EE224" s="93"/>
      <c r="EF224" s="93"/>
      <c r="EG224" s="93"/>
      <c r="EH224" s="93"/>
      <c r="EI224" s="93"/>
      <c r="EJ224" s="93"/>
      <c r="EK224" s="93"/>
      <c r="EL224" s="93"/>
      <c r="EM224" s="93"/>
      <c r="EN224" s="93"/>
      <c r="EO224" s="93"/>
      <c r="EP224" s="93"/>
      <c r="EQ224" s="93"/>
      <c r="ER224" s="93"/>
      <c r="ES224" s="93"/>
      <c r="ET224" s="93"/>
      <c r="EU224" s="93"/>
      <c r="EV224" s="93"/>
      <c r="EW224" s="93"/>
      <c r="EX224" s="93"/>
      <c r="EY224" s="93"/>
      <c r="EZ224" s="93"/>
      <c r="FA224" s="93"/>
      <c r="FB224" s="93"/>
      <c r="FC224" s="93"/>
      <c r="FD224" s="93"/>
      <c r="FE224" s="93"/>
      <c r="FF224" s="93"/>
      <c r="FG224" s="93"/>
      <c r="FH224" s="93"/>
      <c r="FI224" s="93"/>
      <c r="FJ224" s="93"/>
      <c r="FK224" s="93"/>
      <c r="FL224" s="93"/>
      <c r="FM224" s="93"/>
      <c r="FN224" s="93"/>
      <c r="FO224" s="93"/>
      <c r="FP224" s="93"/>
      <c r="FQ224" s="93"/>
      <c r="FR224" s="93"/>
      <c r="FS224" s="93"/>
      <c r="FT224" s="93"/>
      <c r="FU224" s="93"/>
      <c r="FV224" s="93"/>
      <c r="FW224" s="93"/>
      <c r="FX224" s="93"/>
      <c r="FY224" s="93"/>
      <c r="FZ224" s="93"/>
      <c r="GA224" s="93"/>
      <c r="GB224" s="93"/>
      <c r="GC224" s="93"/>
      <c r="GD224" s="93"/>
      <c r="GE224" s="93"/>
      <c r="GF224" s="93"/>
      <c r="GG224" s="93"/>
      <c r="GH224" s="93"/>
      <c r="GI224" s="93"/>
      <c r="GJ224" s="93"/>
      <c r="GK224" s="93"/>
      <c r="GL224" s="93"/>
      <c r="GM224" s="93"/>
      <c r="GN224" s="93"/>
      <c r="GO224" s="93"/>
      <c r="GP224" s="93"/>
      <c r="GQ224" s="93"/>
      <c r="GR224" s="93"/>
      <c r="GS224" s="93"/>
      <c r="GT224" s="93"/>
      <c r="GU224" s="93"/>
      <c r="GV224" s="93"/>
      <c r="GW224" s="93"/>
      <c r="GX224" s="93"/>
      <c r="GY224" s="93"/>
      <c r="GZ224" s="93"/>
      <c r="HA224" s="93"/>
      <c r="HB224" s="93"/>
      <c r="HC224" s="93"/>
      <c r="HD224" s="93"/>
      <c r="HE224" s="93"/>
      <c r="HF224" s="93"/>
      <c r="HG224" s="93"/>
    </row>
    <row r="225" spans="14:215" x14ac:dyDescent="0.2">
      <c r="N225" s="93" t="s">
        <v>442</v>
      </c>
      <c r="O225" s="93"/>
      <c r="P225" s="93"/>
      <c r="Q225" s="93"/>
      <c r="R225" s="93"/>
      <c r="S225" s="93"/>
      <c r="T225" s="93"/>
      <c r="U225" s="93"/>
      <c r="V225" s="93"/>
      <c r="W225" s="93"/>
      <c r="X225" s="93"/>
      <c r="Y225" s="93"/>
      <c r="Z225" s="93"/>
      <c r="AA225" s="93"/>
      <c r="AB225" s="93"/>
      <c r="AC225" s="93"/>
      <c r="AD225" s="93"/>
      <c r="AE225" s="93"/>
      <c r="AF225" s="93"/>
      <c r="AG225" s="93"/>
      <c r="AH225" s="93"/>
      <c r="AI225" s="93"/>
      <c r="AJ225" s="93"/>
      <c r="AK225" s="93"/>
      <c r="AL225" s="93"/>
      <c r="AM225" s="93"/>
      <c r="AN225" s="93"/>
      <c r="AO225" s="93"/>
      <c r="AP225" s="93"/>
      <c r="AQ225" s="93"/>
      <c r="AR225" s="93"/>
      <c r="AS225" s="93"/>
      <c r="AT225" s="93"/>
      <c r="AU225" s="93"/>
      <c r="AV225" s="93"/>
      <c r="AW225" s="93"/>
      <c r="AX225" s="93"/>
      <c r="AY225" s="93"/>
      <c r="AZ225" s="93"/>
      <c r="BA225" s="93"/>
      <c r="BB225" s="93"/>
      <c r="BC225" s="93"/>
      <c r="BD225" s="93"/>
      <c r="BE225" s="93"/>
      <c r="BF225" s="93"/>
      <c r="BG225" s="93"/>
      <c r="BH225" s="93"/>
      <c r="BI225" s="93"/>
      <c r="BJ225" s="93"/>
      <c r="BK225" s="93"/>
      <c r="BL225" s="93"/>
      <c r="BM225" s="93"/>
      <c r="BN225" s="93"/>
      <c r="BO225" s="93"/>
      <c r="BP225" s="93"/>
      <c r="BQ225" s="93"/>
      <c r="BR225" s="93"/>
      <c r="BS225" s="93"/>
      <c r="BT225" s="93"/>
      <c r="BU225" s="93"/>
      <c r="BV225" s="93"/>
      <c r="BW225" s="93"/>
      <c r="BX225" s="93"/>
      <c r="BY225" s="93"/>
      <c r="BZ225" s="93"/>
      <c r="CA225" s="93"/>
      <c r="CB225" s="93"/>
      <c r="CC225" s="93"/>
      <c r="CD225" s="93"/>
      <c r="CE225" s="93"/>
      <c r="CF225" s="93"/>
      <c r="CG225" s="93"/>
      <c r="CH225" s="93"/>
      <c r="CI225" s="93"/>
      <c r="CJ225" s="93"/>
      <c r="CK225" s="93"/>
      <c r="CL225" s="93"/>
      <c r="CM225" s="93"/>
      <c r="CN225" s="93"/>
      <c r="CO225" s="93"/>
      <c r="CP225" s="93"/>
      <c r="CQ225" s="93"/>
      <c r="CR225" s="93"/>
      <c r="CS225" s="93"/>
      <c r="CT225" s="93"/>
      <c r="CU225" s="93"/>
      <c r="CV225" s="93"/>
      <c r="CW225" s="93"/>
      <c r="CX225" s="93"/>
      <c r="CY225" s="93"/>
      <c r="CZ225" s="93"/>
      <c r="DA225" s="93"/>
      <c r="DB225" s="93"/>
      <c r="DC225" s="93"/>
      <c r="DD225" s="93"/>
      <c r="DE225" s="93"/>
      <c r="DF225" s="93"/>
      <c r="DG225" s="93"/>
      <c r="DH225" s="93"/>
      <c r="DI225" s="93"/>
      <c r="DJ225" s="93"/>
      <c r="DK225" s="93"/>
      <c r="DL225" s="93"/>
      <c r="DM225" s="93"/>
      <c r="DN225" s="93"/>
      <c r="DO225" s="93"/>
      <c r="DP225" s="93"/>
      <c r="DQ225" s="93"/>
      <c r="DR225" s="93"/>
      <c r="DS225" s="93"/>
      <c r="DT225" s="93"/>
      <c r="DU225" s="93"/>
      <c r="DV225" s="93"/>
      <c r="DW225" s="93"/>
      <c r="DX225" s="93"/>
      <c r="DY225" s="93">
        <v>0.33235581622678395</v>
      </c>
      <c r="DZ225" s="93"/>
      <c r="EA225" s="93"/>
      <c r="EB225" s="93"/>
      <c r="EC225" s="93"/>
      <c r="ED225" s="93"/>
      <c r="EE225" s="93"/>
      <c r="EF225" s="93"/>
      <c r="EG225" s="93"/>
      <c r="EH225" s="93"/>
      <c r="EI225" s="93"/>
      <c r="EJ225" s="93"/>
      <c r="EK225" s="93"/>
      <c r="EL225" s="93"/>
      <c r="EM225" s="93"/>
      <c r="EN225" s="93"/>
      <c r="EO225" s="93"/>
      <c r="EP225" s="93"/>
      <c r="EQ225" s="93"/>
      <c r="ER225" s="93"/>
      <c r="ES225" s="93"/>
      <c r="ET225" s="93"/>
      <c r="EU225" s="93"/>
      <c r="EV225" s="93"/>
      <c r="EW225" s="93"/>
      <c r="EX225" s="93"/>
      <c r="EY225" s="93"/>
      <c r="EZ225" s="93"/>
      <c r="FA225" s="93"/>
      <c r="FB225" s="93"/>
      <c r="FC225" s="93"/>
      <c r="FD225" s="93"/>
      <c r="FE225" s="93"/>
      <c r="FF225" s="93"/>
      <c r="FG225" s="93"/>
      <c r="FH225" s="93"/>
      <c r="FI225" s="93"/>
      <c r="FJ225" s="93"/>
      <c r="FK225" s="93"/>
      <c r="FL225" s="93"/>
      <c r="FM225" s="93"/>
      <c r="FN225" s="93"/>
      <c r="FO225" s="93"/>
      <c r="FP225" s="93"/>
      <c r="FQ225" s="93"/>
      <c r="FR225" s="93"/>
      <c r="FS225" s="93"/>
      <c r="FT225" s="93"/>
      <c r="FU225" s="93"/>
      <c r="FV225" s="93"/>
      <c r="FW225" s="93"/>
      <c r="FX225" s="93"/>
      <c r="FY225" s="93"/>
      <c r="FZ225" s="93"/>
      <c r="GA225" s="93"/>
      <c r="GB225" s="93"/>
      <c r="GC225" s="93"/>
      <c r="GD225" s="93"/>
      <c r="GE225" s="93"/>
      <c r="GF225" s="93"/>
      <c r="GG225" s="93"/>
      <c r="GH225" s="93"/>
      <c r="GI225" s="93"/>
      <c r="GJ225" s="93"/>
      <c r="GK225" s="93"/>
      <c r="GL225" s="93"/>
      <c r="GM225" s="93"/>
      <c r="GN225" s="93"/>
      <c r="GO225" s="93"/>
      <c r="GP225" s="93"/>
      <c r="GQ225" s="93"/>
      <c r="GR225" s="93"/>
      <c r="GS225" s="93"/>
      <c r="GT225" s="93"/>
      <c r="GU225" s="93"/>
      <c r="GV225" s="93"/>
      <c r="GW225" s="93"/>
      <c r="GX225" s="93"/>
      <c r="GY225" s="93"/>
      <c r="GZ225" s="93"/>
      <c r="HA225" s="93"/>
      <c r="HB225" s="93"/>
      <c r="HC225" s="93"/>
      <c r="HD225" s="93"/>
      <c r="HE225" s="93"/>
      <c r="HF225" s="93"/>
      <c r="HG225" s="93"/>
    </row>
    <row r="226" spans="14:215" x14ac:dyDescent="0.2">
      <c r="N226" s="93" t="s">
        <v>443</v>
      </c>
      <c r="O226" s="93"/>
      <c r="P226" s="93"/>
      <c r="Q226" s="93"/>
      <c r="R226" s="93"/>
      <c r="S226" s="93"/>
      <c r="T226" s="93"/>
      <c r="U226" s="93"/>
      <c r="V226" s="93"/>
      <c r="W226" s="93"/>
      <c r="X226" s="93"/>
      <c r="Y226" s="93"/>
      <c r="Z226" s="93"/>
      <c r="AA226" s="93"/>
      <c r="AB226" s="93"/>
      <c r="AC226" s="93"/>
      <c r="AD226" s="93"/>
      <c r="AE226" s="93"/>
      <c r="AF226" s="93"/>
      <c r="AG226" s="93"/>
      <c r="AH226" s="93"/>
      <c r="AI226" s="93"/>
      <c r="AJ226" s="93"/>
      <c r="AK226" s="93"/>
      <c r="AL226" s="93"/>
      <c r="AM226" s="93"/>
      <c r="AN226" s="93"/>
      <c r="AO226" s="93"/>
      <c r="AP226" s="93"/>
      <c r="AQ226" s="93"/>
      <c r="AR226" s="93"/>
      <c r="AS226" s="93"/>
      <c r="AT226" s="93"/>
      <c r="AU226" s="93"/>
      <c r="AV226" s="93"/>
      <c r="AW226" s="93"/>
      <c r="AX226" s="93"/>
      <c r="AY226" s="93"/>
      <c r="AZ226" s="93"/>
      <c r="BA226" s="93"/>
      <c r="BB226" s="93"/>
      <c r="BC226" s="93"/>
      <c r="BD226" s="93"/>
      <c r="BE226" s="93"/>
      <c r="BF226" s="93"/>
      <c r="BG226" s="93"/>
      <c r="BH226" s="93"/>
      <c r="BI226" s="93"/>
      <c r="BJ226" s="93"/>
      <c r="BK226" s="93"/>
      <c r="BL226" s="93"/>
      <c r="BM226" s="93"/>
      <c r="BN226" s="93"/>
      <c r="BO226" s="93"/>
      <c r="BP226" s="93"/>
      <c r="BQ226" s="93"/>
      <c r="BR226" s="93"/>
      <c r="BS226" s="93"/>
      <c r="BT226" s="93"/>
      <c r="BU226" s="93"/>
      <c r="BV226" s="93"/>
      <c r="BW226" s="93"/>
      <c r="BX226" s="93"/>
      <c r="BY226" s="93"/>
      <c r="BZ226" s="93"/>
      <c r="CA226" s="93"/>
      <c r="CB226" s="93"/>
      <c r="CC226" s="93"/>
      <c r="CD226" s="93"/>
      <c r="CE226" s="93"/>
      <c r="CF226" s="93"/>
      <c r="CG226" s="93"/>
      <c r="CH226" s="93"/>
      <c r="CI226" s="93"/>
      <c r="CJ226" s="93"/>
      <c r="CK226" s="93"/>
      <c r="CL226" s="93"/>
      <c r="CM226" s="93"/>
      <c r="CN226" s="93"/>
      <c r="CO226" s="93"/>
      <c r="CP226" s="93"/>
      <c r="CQ226" s="93"/>
      <c r="CR226" s="93"/>
      <c r="CS226" s="93"/>
      <c r="CT226" s="93"/>
      <c r="CU226" s="93"/>
      <c r="CV226" s="93"/>
      <c r="CW226" s="93"/>
      <c r="CX226" s="93"/>
      <c r="CY226" s="93"/>
      <c r="CZ226" s="93"/>
      <c r="DA226" s="93"/>
      <c r="DB226" s="93"/>
      <c r="DC226" s="93"/>
      <c r="DD226" s="93"/>
      <c r="DE226" s="93"/>
      <c r="DF226" s="93"/>
      <c r="DG226" s="93"/>
      <c r="DH226" s="93"/>
      <c r="DI226" s="93"/>
      <c r="DJ226" s="93"/>
      <c r="DK226" s="93"/>
      <c r="DL226" s="93"/>
      <c r="DM226" s="93"/>
      <c r="DN226" s="93"/>
      <c r="DO226" s="93"/>
      <c r="DP226" s="93"/>
      <c r="DQ226" s="93"/>
      <c r="DR226" s="93"/>
      <c r="DS226" s="93"/>
      <c r="DT226" s="93"/>
      <c r="DU226" s="93"/>
      <c r="DV226" s="93"/>
      <c r="DW226" s="93"/>
      <c r="DX226" s="93"/>
      <c r="DY226" s="93"/>
      <c r="DZ226" s="93">
        <v>0.3323643410852713</v>
      </c>
      <c r="EA226" s="93"/>
      <c r="EB226" s="93"/>
      <c r="EC226" s="93"/>
      <c r="ED226" s="93"/>
      <c r="EE226" s="93"/>
      <c r="EF226" s="93"/>
      <c r="EG226" s="93"/>
      <c r="EH226" s="93"/>
      <c r="EI226" s="93"/>
      <c r="EJ226" s="93"/>
      <c r="EK226" s="93"/>
      <c r="EL226" s="93"/>
      <c r="EM226" s="93"/>
      <c r="EN226" s="93"/>
      <c r="EO226" s="93"/>
      <c r="EP226" s="93"/>
      <c r="EQ226" s="93"/>
      <c r="ER226" s="93"/>
      <c r="ES226" s="93"/>
      <c r="ET226" s="93"/>
      <c r="EU226" s="93"/>
      <c r="EV226" s="93"/>
      <c r="EW226" s="93"/>
      <c r="EX226" s="93"/>
      <c r="EY226" s="93"/>
      <c r="EZ226" s="93"/>
      <c r="FA226" s="93"/>
      <c r="FB226" s="93"/>
      <c r="FC226" s="93"/>
      <c r="FD226" s="93"/>
      <c r="FE226" s="93"/>
      <c r="FF226" s="93"/>
      <c r="FG226" s="93"/>
      <c r="FH226" s="93"/>
      <c r="FI226" s="93"/>
      <c r="FJ226" s="93"/>
      <c r="FK226" s="93"/>
      <c r="FL226" s="93"/>
      <c r="FM226" s="93"/>
      <c r="FN226" s="93"/>
      <c r="FO226" s="93"/>
      <c r="FP226" s="93"/>
      <c r="FQ226" s="93"/>
      <c r="FR226" s="93"/>
      <c r="FS226" s="93"/>
      <c r="FT226" s="93"/>
      <c r="FU226" s="93"/>
      <c r="FV226" s="93"/>
      <c r="FW226" s="93"/>
      <c r="FX226" s="93"/>
      <c r="FY226" s="93"/>
      <c r="FZ226" s="93"/>
      <c r="GA226" s="93"/>
      <c r="GB226" s="93"/>
      <c r="GC226" s="93"/>
      <c r="GD226" s="93"/>
      <c r="GE226" s="93"/>
      <c r="GF226" s="93"/>
      <c r="GG226" s="93"/>
      <c r="GH226" s="93"/>
      <c r="GI226" s="93"/>
      <c r="GJ226" s="93"/>
      <c r="GK226" s="93"/>
      <c r="GL226" s="93"/>
      <c r="GM226" s="93"/>
      <c r="GN226" s="93"/>
      <c r="GO226" s="93"/>
      <c r="GP226" s="93"/>
      <c r="GQ226" s="93"/>
      <c r="GR226" s="93"/>
      <c r="GS226" s="93"/>
      <c r="GT226" s="93"/>
      <c r="GU226" s="93"/>
      <c r="GV226" s="93"/>
      <c r="GW226" s="93"/>
      <c r="GX226" s="93"/>
      <c r="GY226" s="93"/>
      <c r="GZ226" s="93"/>
      <c r="HA226" s="93"/>
      <c r="HB226" s="93"/>
      <c r="HC226" s="93"/>
      <c r="HD226" s="93"/>
      <c r="HE226" s="93"/>
      <c r="HF226" s="93"/>
      <c r="HG226" s="93"/>
    </row>
    <row r="227" spans="14:215" x14ac:dyDescent="0.2">
      <c r="N227" s="93" t="s">
        <v>444</v>
      </c>
      <c r="O227" s="93"/>
      <c r="P227" s="93"/>
      <c r="Q227" s="93"/>
      <c r="R227" s="93"/>
      <c r="S227" s="93"/>
      <c r="T227" s="93"/>
      <c r="U227" s="93"/>
      <c r="V227" s="93"/>
      <c r="W227" s="93"/>
      <c r="X227" s="93"/>
      <c r="Y227" s="93"/>
      <c r="Z227" s="93"/>
      <c r="AA227" s="93"/>
      <c r="AB227" s="93"/>
      <c r="AC227" s="93"/>
      <c r="AD227" s="93"/>
      <c r="AE227" s="93"/>
      <c r="AF227" s="93"/>
      <c r="AG227" s="93"/>
      <c r="AH227" s="93"/>
      <c r="AI227" s="93"/>
      <c r="AJ227" s="93"/>
      <c r="AK227" s="93"/>
      <c r="AL227" s="93"/>
      <c r="AM227" s="93"/>
      <c r="AN227" s="93"/>
      <c r="AO227" s="93"/>
      <c r="AP227" s="93"/>
      <c r="AQ227" s="93"/>
      <c r="AR227" s="93"/>
      <c r="AS227" s="93"/>
      <c r="AT227" s="93"/>
      <c r="AU227" s="93"/>
      <c r="AV227" s="93"/>
      <c r="AW227" s="93"/>
      <c r="AX227" s="93"/>
      <c r="AY227" s="93"/>
      <c r="AZ227" s="93"/>
      <c r="BA227" s="93"/>
      <c r="BB227" s="93"/>
      <c r="BC227" s="93"/>
      <c r="BD227" s="93"/>
      <c r="BE227" s="93"/>
      <c r="BF227" s="93"/>
      <c r="BG227" s="93"/>
      <c r="BH227" s="93"/>
      <c r="BI227" s="93"/>
      <c r="BJ227" s="93"/>
      <c r="BK227" s="93"/>
      <c r="BL227" s="93"/>
      <c r="BM227" s="93"/>
      <c r="BN227" s="93"/>
      <c r="BO227" s="93"/>
      <c r="BP227" s="93"/>
      <c r="BQ227" s="93"/>
      <c r="BR227" s="93"/>
      <c r="BS227" s="93"/>
      <c r="BT227" s="93"/>
      <c r="BU227" s="93"/>
      <c r="BV227" s="93"/>
      <c r="BW227" s="93"/>
      <c r="BX227" s="93"/>
      <c r="BY227" s="93"/>
      <c r="BZ227" s="93"/>
      <c r="CA227" s="93"/>
      <c r="CB227" s="93"/>
      <c r="CC227" s="93"/>
      <c r="CD227" s="93"/>
      <c r="CE227" s="93"/>
      <c r="CF227" s="93"/>
      <c r="CG227" s="93"/>
      <c r="CH227" s="93"/>
      <c r="CI227" s="93"/>
      <c r="CJ227" s="93"/>
      <c r="CK227" s="93"/>
      <c r="CL227" s="93"/>
      <c r="CM227" s="93"/>
      <c r="CN227" s="93"/>
      <c r="CO227" s="93"/>
      <c r="CP227" s="93"/>
      <c r="CQ227" s="93"/>
      <c r="CR227" s="93"/>
      <c r="CS227" s="93"/>
      <c r="CT227" s="93"/>
      <c r="CU227" s="93"/>
      <c r="CV227" s="93"/>
      <c r="CW227" s="93"/>
      <c r="CX227" s="93"/>
      <c r="CY227" s="93"/>
      <c r="CZ227" s="93"/>
      <c r="DA227" s="93"/>
      <c r="DB227" s="93"/>
      <c r="DC227" s="93"/>
      <c r="DD227" s="93"/>
      <c r="DE227" s="93"/>
      <c r="DF227" s="93"/>
      <c r="DG227" s="93"/>
      <c r="DH227" s="93"/>
      <c r="DI227" s="93"/>
      <c r="DJ227" s="93"/>
      <c r="DK227" s="93"/>
      <c r="DL227" s="93"/>
      <c r="DM227" s="93"/>
      <c r="DN227" s="93"/>
      <c r="DO227" s="93"/>
      <c r="DP227" s="93"/>
      <c r="DQ227" s="93"/>
      <c r="DR227" s="93"/>
      <c r="DS227" s="93"/>
      <c r="DT227" s="93"/>
      <c r="DU227" s="93"/>
      <c r="DV227" s="93"/>
      <c r="DW227" s="93"/>
      <c r="DX227" s="93"/>
      <c r="DY227" s="93"/>
      <c r="DZ227" s="93"/>
      <c r="EA227" s="93">
        <v>0.3323727185398655</v>
      </c>
      <c r="EB227" s="93"/>
      <c r="EC227" s="93"/>
      <c r="ED227" s="93"/>
      <c r="EE227" s="93"/>
      <c r="EF227" s="93"/>
      <c r="EG227" s="93"/>
      <c r="EH227" s="93"/>
      <c r="EI227" s="93"/>
      <c r="EJ227" s="93"/>
      <c r="EK227" s="93"/>
      <c r="EL227" s="93"/>
      <c r="EM227" s="93"/>
      <c r="EN227" s="93"/>
      <c r="EO227" s="93"/>
      <c r="EP227" s="93"/>
      <c r="EQ227" s="93"/>
      <c r="ER227" s="93"/>
      <c r="ES227" s="93"/>
      <c r="ET227" s="93"/>
      <c r="EU227" s="93"/>
      <c r="EV227" s="93"/>
      <c r="EW227" s="93"/>
      <c r="EX227" s="93"/>
      <c r="EY227" s="93"/>
      <c r="EZ227" s="93"/>
      <c r="FA227" s="93"/>
      <c r="FB227" s="93"/>
      <c r="FC227" s="93"/>
      <c r="FD227" s="93"/>
      <c r="FE227" s="93"/>
      <c r="FF227" s="93"/>
      <c r="FG227" s="93"/>
      <c r="FH227" s="93"/>
      <c r="FI227" s="93"/>
      <c r="FJ227" s="93"/>
      <c r="FK227" s="93"/>
      <c r="FL227" s="93"/>
      <c r="FM227" s="93"/>
      <c r="FN227" s="93"/>
      <c r="FO227" s="93"/>
      <c r="FP227" s="93"/>
      <c r="FQ227" s="93"/>
      <c r="FR227" s="93"/>
      <c r="FS227" s="93"/>
      <c r="FT227" s="93"/>
      <c r="FU227" s="93"/>
      <c r="FV227" s="93"/>
      <c r="FW227" s="93"/>
      <c r="FX227" s="93"/>
      <c r="FY227" s="93"/>
      <c r="FZ227" s="93"/>
      <c r="GA227" s="93"/>
      <c r="GB227" s="93"/>
      <c r="GC227" s="93"/>
      <c r="GD227" s="93"/>
      <c r="GE227" s="93"/>
      <c r="GF227" s="93"/>
      <c r="GG227" s="93"/>
      <c r="GH227" s="93"/>
      <c r="GI227" s="93"/>
      <c r="GJ227" s="93"/>
      <c r="GK227" s="93"/>
      <c r="GL227" s="93"/>
      <c r="GM227" s="93"/>
      <c r="GN227" s="93"/>
      <c r="GO227" s="93"/>
      <c r="GP227" s="93"/>
      <c r="GQ227" s="93"/>
      <c r="GR227" s="93"/>
      <c r="GS227" s="93"/>
      <c r="GT227" s="93"/>
      <c r="GU227" s="93"/>
      <c r="GV227" s="93"/>
      <c r="GW227" s="93"/>
      <c r="GX227" s="93"/>
      <c r="GY227" s="93"/>
      <c r="GZ227" s="93"/>
      <c r="HA227" s="93"/>
      <c r="HB227" s="93"/>
      <c r="HC227" s="93"/>
      <c r="HD227" s="93"/>
      <c r="HE227" s="93"/>
      <c r="HF227" s="93"/>
      <c r="HG227" s="93"/>
    </row>
    <row r="228" spans="14:215" x14ac:dyDescent="0.2">
      <c r="N228" s="93" t="s">
        <v>445</v>
      </c>
      <c r="O228" s="93"/>
      <c r="P228" s="93"/>
      <c r="Q228" s="93"/>
      <c r="R228" s="93"/>
      <c r="S228" s="93"/>
      <c r="T228" s="93"/>
      <c r="U228" s="93"/>
      <c r="V228" s="93"/>
      <c r="W228" s="93"/>
      <c r="X228" s="93"/>
      <c r="Y228" s="93"/>
      <c r="Z228" s="93"/>
      <c r="AA228" s="93"/>
      <c r="AB228" s="93"/>
      <c r="AC228" s="93"/>
      <c r="AD228" s="93"/>
      <c r="AE228" s="93"/>
      <c r="AF228" s="93"/>
      <c r="AG228" s="93"/>
      <c r="AH228" s="93"/>
      <c r="AI228" s="93"/>
      <c r="AJ228" s="93"/>
      <c r="AK228" s="93"/>
      <c r="AL228" s="93"/>
      <c r="AM228" s="93"/>
      <c r="AN228" s="93"/>
      <c r="AO228" s="93"/>
      <c r="AP228" s="93"/>
      <c r="AQ228" s="93"/>
      <c r="AR228" s="93"/>
      <c r="AS228" s="93"/>
      <c r="AT228" s="93"/>
      <c r="AU228" s="93"/>
      <c r="AV228" s="93"/>
      <c r="AW228" s="93"/>
      <c r="AX228" s="93"/>
      <c r="AY228" s="93"/>
      <c r="AZ228" s="93"/>
      <c r="BA228" s="93"/>
      <c r="BB228" s="93"/>
      <c r="BC228" s="93"/>
      <c r="BD228" s="93"/>
      <c r="BE228" s="93"/>
      <c r="BF228" s="93"/>
      <c r="BG228" s="93"/>
      <c r="BH228" s="93"/>
      <c r="BI228" s="93"/>
      <c r="BJ228" s="93"/>
      <c r="BK228" s="93"/>
      <c r="BL228" s="93"/>
      <c r="BM228" s="93"/>
      <c r="BN228" s="93"/>
      <c r="BO228" s="93"/>
      <c r="BP228" s="93"/>
      <c r="BQ228" s="93"/>
      <c r="BR228" s="93"/>
      <c r="BS228" s="93"/>
      <c r="BT228" s="93"/>
      <c r="BU228" s="93"/>
      <c r="BV228" s="93"/>
      <c r="BW228" s="93"/>
      <c r="BX228" s="93"/>
      <c r="BY228" s="93"/>
      <c r="BZ228" s="93"/>
      <c r="CA228" s="93"/>
      <c r="CB228" s="93"/>
      <c r="CC228" s="93"/>
      <c r="CD228" s="93"/>
      <c r="CE228" s="93"/>
      <c r="CF228" s="93"/>
      <c r="CG228" s="93"/>
      <c r="CH228" s="93"/>
      <c r="CI228" s="93"/>
      <c r="CJ228" s="93"/>
      <c r="CK228" s="93"/>
      <c r="CL228" s="93"/>
      <c r="CM228" s="93"/>
      <c r="CN228" s="93"/>
      <c r="CO228" s="93"/>
      <c r="CP228" s="93"/>
      <c r="CQ228" s="93"/>
      <c r="CR228" s="93"/>
      <c r="CS228" s="93"/>
      <c r="CT228" s="93"/>
      <c r="CU228" s="93"/>
      <c r="CV228" s="93"/>
      <c r="CW228" s="93"/>
      <c r="CX228" s="93"/>
      <c r="CY228" s="93"/>
      <c r="CZ228" s="93"/>
      <c r="DA228" s="93"/>
      <c r="DB228" s="93"/>
      <c r="DC228" s="93"/>
      <c r="DD228" s="93"/>
      <c r="DE228" s="93"/>
      <c r="DF228" s="93"/>
      <c r="DG228" s="93"/>
      <c r="DH228" s="93"/>
      <c r="DI228" s="93"/>
      <c r="DJ228" s="93"/>
      <c r="DK228" s="93"/>
      <c r="DL228" s="93"/>
      <c r="DM228" s="93"/>
      <c r="DN228" s="93"/>
      <c r="DO228" s="93"/>
      <c r="DP228" s="93"/>
      <c r="DQ228" s="93"/>
      <c r="DR228" s="93"/>
      <c r="DS228" s="93"/>
      <c r="DT228" s="93"/>
      <c r="DU228" s="93"/>
      <c r="DV228" s="93"/>
      <c r="DW228" s="93"/>
      <c r="DX228" s="93"/>
      <c r="DY228" s="93"/>
      <c r="DZ228" s="93"/>
      <c r="EA228" s="93"/>
      <c r="EB228" s="93">
        <v>0.33238095238095239</v>
      </c>
      <c r="EC228" s="93"/>
      <c r="ED228" s="93"/>
      <c r="EE228" s="93"/>
      <c r="EF228" s="93"/>
      <c r="EG228" s="93"/>
      <c r="EH228" s="93"/>
      <c r="EI228" s="93"/>
      <c r="EJ228" s="93"/>
      <c r="EK228" s="93"/>
      <c r="EL228" s="93"/>
      <c r="EM228" s="93"/>
      <c r="EN228" s="93"/>
      <c r="EO228" s="93"/>
      <c r="EP228" s="93"/>
      <c r="EQ228" s="93"/>
      <c r="ER228" s="93"/>
      <c r="ES228" s="93"/>
      <c r="ET228" s="93"/>
      <c r="EU228" s="93"/>
      <c r="EV228" s="93"/>
      <c r="EW228" s="93"/>
      <c r="EX228" s="93"/>
      <c r="EY228" s="93"/>
      <c r="EZ228" s="93"/>
      <c r="FA228" s="93"/>
      <c r="FB228" s="93"/>
      <c r="FC228" s="93"/>
      <c r="FD228" s="93"/>
      <c r="FE228" s="93"/>
      <c r="FF228" s="93"/>
      <c r="FG228" s="93"/>
      <c r="FH228" s="93"/>
      <c r="FI228" s="93"/>
      <c r="FJ228" s="93"/>
      <c r="FK228" s="93"/>
      <c r="FL228" s="93"/>
      <c r="FM228" s="93"/>
      <c r="FN228" s="93"/>
      <c r="FO228" s="93"/>
      <c r="FP228" s="93"/>
      <c r="FQ228" s="93"/>
      <c r="FR228" s="93"/>
      <c r="FS228" s="93"/>
      <c r="FT228" s="93"/>
      <c r="FU228" s="93"/>
      <c r="FV228" s="93"/>
      <c r="FW228" s="93"/>
      <c r="FX228" s="93"/>
      <c r="FY228" s="93"/>
      <c r="FZ228" s="93"/>
      <c r="GA228" s="93"/>
      <c r="GB228" s="93"/>
      <c r="GC228" s="93"/>
      <c r="GD228" s="93"/>
      <c r="GE228" s="93"/>
      <c r="GF228" s="93"/>
      <c r="GG228" s="93"/>
      <c r="GH228" s="93"/>
      <c r="GI228" s="93"/>
      <c r="GJ228" s="93"/>
      <c r="GK228" s="93"/>
      <c r="GL228" s="93"/>
      <c r="GM228" s="93"/>
      <c r="GN228" s="93"/>
      <c r="GO228" s="93"/>
      <c r="GP228" s="93"/>
      <c r="GQ228" s="93"/>
      <c r="GR228" s="93"/>
      <c r="GS228" s="93"/>
      <c r="GT228" s="93"/>
      <c r="GU228" s="93"/>
      <c r="GV228" s="93"/>
      <c r="GW228" s="93"/>
      <c r="GX228" s="93"/>
      <c r="GY228" s="93"/>
      <c r="GZ228" s="93"/>
      <c r="HA228" s="93"/>
      <c r="HB228" s="93"/>
      <c r="HC228" s="93"/>
      <c r="HD228" s="93"/>
      <c r="HE228" s="93"/>
      <c r="HF228" s="93"/>
      <c r="HG228" s="93"/>
    </row>
    <row r="229" spans="14:215" x14ac:dyDescent="0.2">
      <c r="N229" s="93" t="s">
        <v>446</v>
      </c>
      <c r="O229" s="93"/>
      <c r="P229" s="93"/>
      <c r="Q229" s="93"/>
      <c r="R229" s="93"/>
      <c r="S229" s="93"/>
      <c r="T229" s="93"/>
      <c r="U229" s="93"/>
      <c r="V229" s="93"/>
      <c r="W229" s="93"/>
      <c r="X229" s="93"/>
      <c r="Y229" s="93"/>
      <c r="Z229" s="93"/>
      <c r="AA229" s="93"/>
      <c r="AB229" s="93"/>
      <c r="AC229" s="93"/>
      <c r="AD229" s="93"/>
      <c r="AE229" s="93"/>
      <c r="AF229" s="93"/>
      <c r="AG229" s="93"/>
      <c r="AH229" s="93"/>
      <c r="AI229" s="93"/>
      <c r="AJ229" s="93"/>
      <c r="AK229" s="93"/>
      <c r="AL229" s="93"/>
      <c r="AM229" s="93"/>
      <c r="AN229" s="93"/>
      <c r="AO229" s="93"/>
      <c r="AP229" s="93"/>
      <c r="AQ229" s="93"/>
      <c r="AR229" s="93"/>
      <c r="AS229" s="93"/>
      <c r="AT229" s="93"/>
      <c r="AU229" s="93"/>
      <c r="AV229" s="93"/>
      <c r="AW229" s="93"/>
      <c r="AX229" s="93"/>
      <c r="AY229" s="93"/>
      <c r="AZ229" s="93"/>
      <c r="BA229" s="93"/>
      <c r="BB229" s="93"/>
      <c r="BC229" s="93"/>
      <c r="BD229" s="93"/>
      <c r="BE229" s="93"/>
      <c r="BF229" s="93"/>
      <c r="BG229" s="93"/>
      <c r="BH229" s="93"/>
      <c r="BI229" s="93"/>
      <c r="BJ229" s="93"/>
      <c r="BK229" s="93"/>
      <c r="BL229" s="93"/>
      <c r="BM229" s="93"/>
      <c r="BN229" s="93"/>
      <c r="BO229" s="93"/>
      <c r="BP229" s="93"/>
      <c r="BQ229" s="93"/>
      <c r="BR229" s="93"/>
      <c r="BS229" s="93"/>
      <c r="BT229" s="93"/>
      <c r="BU229" s="93"/>
      <c r="BV229" s="93"/>
      <c r="BW229" s="93"/>
      <c r="BX229" s="93"/>
      <c r="BY229" s="93"/>
      <c r="BZ229" s="93"/>
      <c r="CA229" s="93"/>
      <c r="CB229" s="93"/>
      <c r="CC229" s="93"/>
      <c r="CD229" s="93"/>
      <c r="CE229" s="93"/>
      <c r="CF229" s="93"/>
      <c r="CG229" s="93"/>
      <c r="CH229" s="93"/>
      <c r="CI229" s="93"/>
      <c r="CJ229" s="93"/>
      <c r="CK229" s="93"/>
      <c r="CL229" s="93"/>
      <c r="CM229" s="93"/>
      <c r="CN229" s="93"/>
      <c r="CO229" s="93"/>
      <c r="CP229" s="93"/>
      <c r="CQ229" s="93"/>
      <c r="CR229" s="93"/>
      <c r="CS229" s="93"/>
      <c r="CT229" s="93"/>
      <c r="CU229" s="93"/>
      <c r="CV229" s="93"/>
      <c r="CW229" s="93"/>
      <c r="CX229" s="93"/>
      <c r="CY229" s="93"/>
      <c r="CZ229" s="93"/>
      <c r="DA229" s="93"/>
      <c r="DB229" s="93"/>
      <c r="DC229" s="93"/>
      <c r="DD229" s="93"/>
      <c r="DE229" s="93"/>
      <c r="DF229" s="93"/>
      <c r="DG229" s="93"/>
      <c r="DH229" s="93"/>
      <c r="DI229" s="93"/>
      <c r="DJ229" s="93"/>
      <c r="DK229" s="93"/>
      <c r="DL229" s="93"/>
      <c r="DM229" s="93"/>
      <c r="DN229" s="93"/>
      <c r="DO229" s="93"/>
      <c r="DP229" s="93"/>
      <c r="DQ229" s="93"/>
      <c r="DR229" s="93"/>
      <c r="DS229" s="93"/>
      <c r="DT229" s="93"/>
      <c r="DU229" s="93"/>
      <c r="DV229" s="93"/>
      <c r="DW229" s="93"/>
      <c r="DX229" s="93"/>
      <c r="DY229" s="93"/>
      <c r="DZ229" s="93"/>
      <c r="EA229" s="93"/>
      <c r="EB229" s="93"/>
      <c r="EC229" s="93">
        <v>0.3323890462700661</v>
      </c>
      <c r="ED229" s="93"/>
      <c r="EE229" s="93"/>
      <c r="EF229" s="93"/>
      <c r="EG229" s="93"/>
      <c r="EH229" s="93"/>
      <c r="EI229" s="93"/>
      <c r="EJ229" s="93"/>
      <c r="EK229" s="93"/>
      <c r="EL229" s="93"/>
      <c r="EM229" s="93"/>
      <c r="EN229" s="93"/>
      <c r="EO229" s="93"/>
      <c r="EP229" s="93"/>
      <c r="EQ229" s="93"/>
      <c r="ER229" s="93"/>
      <c r="ES229" s="93"/>
      <c r="ET229" s="93"/>
      <c r="EU229" s="93"/>
      <c r="EV229" s="93"/>
      <c r="EW229" s="93"/>
      <c r="EX229" s="93"/>
      <c r="EY229" s="93"/>
      <c r="EZ229" s="93"/>
      <c r="FA229" s="93"/>
      <c r="FB229" s="93"/>
      <c r="FC229" s="93"/>
      <c r="FD229" s="93"/>
      <c r="FE229" s="93"/>
      <c r="FF229" s="93"/>
      <c r="FG229" s="93"/>
      <c r="FH229" s="93"/>
      <c r="FI229" s="93"/>
      <c r="FJ229" s="93"/>
      <c r="FK229" s="93"/>
      <c r="FL229" s="93"/>
      <c r="FM229" s="93"/>
      <c r="FN229" s="93"/>
      <c r="FO229" s="93"/>
      <c r="FP229" s="93"/>
      <c r="FQ229" s="93"/>
      <c r="FR229" s="93"/>
      <c r="FS229" s="93"/>
      <c r="FT229" s="93"/>
      <c r="FU229" s="93"/>
      <c r="FV229" s="93"/>
      <c r="FW229" s="93"/>
      <c r="FX229" s="93"/>
      <c r="FY229" s="93"/>
      <c r="FZ229" s="93"/>
      <c r="GA229" s="93"/>
      <c r="GB229" s="93"/>
      <c r="GC229" s="93"/>
      <c r="GD229" s="93"/>
      <c r="GE229" s="93"/>
      <c r="GF229" s="93"/>
      <c r="GG229" s="93"/>
      <c r="GH229" s="93"/>
      <c r="GI229" s="93"/>
      <c r="GJ229" s="93"/>
      <c r="GK229" s="93"/>
      <c r="GL229" s="93"/>
      <c r="GM229" s="93"/>
      <c r="GN229" s="93"/>
      <c r="GO229" s="93"/>
      <c r="GP229" s="93"/>
      <c r="GQ229" s="93"/>
      <c r="GR229" s="93"/>
      <c r="GS229" s="93"/>
      <c r="GT229" s="93"/>
      <c r="GU229" s="93"/>
      <c r="GV229" s="93"/>
      <c r="GW229" s="93"/>
      <c r="GX229" s="93"/>
      <c r="GY229" s="93"/>
      <c r="GZ229" s="93"/>
      <c r="HA229" s="93"/>
      <c r="HB229" s="93"/>
      <c r="HC229" s="93"/>
      <c r="HD229" s="93"/>
      <c r="HE229" s="93"/>
      <c r="HF229" s="93"/>
      <c r="HG229" s="93"/>
    </row>
    <row r="230" spans="14:215" x14ac:dyDescent="0.2">
      <c r="N230" s="93" t="s">
        <v>447</v>
      </c>
      <c r="O230" s="93"/>
      <c r="P230" s="93"/>
      <c r="Q230" s="93"/>
      <c r="R230" s="93"/>
      <c r="S230" s="93"/>
      <c r="T230" s="93"/>
      <c r="U230" s="93"/>
      <c r="V230" s="93"/>
      <c r="W230" s="93"/>
      <c r="X230" s="93"/>
      <c r="Y230" s="93"/>
      <c r="Z230" s="93"/>
      <c r="AA230" s="93"/>
      <c r="AB230" s="93"/>
      <c r="AC230" s="93"/>
      <c r="AD230" s="93"/>
      <c r="AE230" s="93"/>
      <c r="AF230" s="93"/>
      <c r="AG230" s="93"/>
      <c r="AH230" s="93"/>
      <c r="AI230" s="93"/>
      <c r="AJ230" s="93"/>
      <c r="AK230" s="93"/>
      <c r="AL230" s="93"/>
      <c r="AM230" s="93"/>
      <c r="AN230" s="93"/>
      <c r="AO230" s="93"/>
      <c r="AP230" s="93"/>
      <c r="AQ230" s="93"/>
      <c r="AR230" s="93"/>
      <c r="AS230" s="93"/>
      <c r="AT230" s="93"/>
      <c r="AU230" s="93"/>
      <c r="AV230" s="93"/>
      <c r="AW230" s="93"/>
      <c r="AX230" s="93"/>
      <c r="AY230" s="93"/>
      <c r="AZ230" s="93"/>
      <c r="BA230" s="93"/>
      <c r="BB230" s="93"/>
      <c r="BC230" s="93"/>
      <c r="BD230" s="93"/>
      <c r="BE230" s="93"/>
      <c r="BF230" s="93"/>
      <c r="BG230" s="93"/>
      <c r="BH230" s="93"/>
      <c r="BI230" s="93"/>
      <c r="BJ230" s="93"/>
      <c r="BK230" s="93"/>
      <c r="BL230" s="93"/>
      <c r="BM230" s="93"/>
      <c r="BN230" s="93"/>
      <c r="BO230" s="93"/>
      <c r="BP230" s="93"/>
      <c r="BQ230" s="93"/>
      <c r="BR230" s="93"/>
      <c r="BS230" s="93"/>
      <c r="BT230" s="93"/>
      <c r="BU230" s="93"/>
      <c r="BV230" s="93"/>
      <c r="BW230" s="93"/>
      <c r="BX230" s="93"/>
      <c r="BY230" s="93"/>
      <c r="BZ230" s="93"/>
      <c r="CA230" s="93"/>
      <c r="CB230" s="93"/>
      <c r="CC230" s="93"/>
      <c r="CD230" s="93"/>
      <c r="CE230" s="93"/>
      <c r="CF230" s="93"/>
      <c r="CG230" s="93"/>
      <c r="CH230" s="93"/>
      <c r="CI230" s="93"/>
      <c r="CJ230" s="93"/>
      <c r="CK230" s="93"/>
      <c r="CL230" s="93"/>
      <c r="CM230" s="93"/>
      <c r="CN230" s="93"/>
      <c r="CO230" s="93"/>
      <c r="CP230" s="93"/>
      <c r="CQ230" s="93"/>
      <c r="CR230" s="93"/>
      <c r="CS230" s="93"/>
      <c r="CT230" s="93"/>
      <c r="CU230" s="93"/>
      <c r="CV230" s="93"/>
      <c r="CW230" s="93"/>
      <c r="CX230" s="93"/>
      <c r="CY230" s="93"/>
      <c r="CZ230" s="93"/>
      <c r="DA230" s="93"/>
      <c r="DB230" s="93"/>
      <c r="DC230" s="93"/>
      <c r="DD230" s="93"/>
      <c r="DE230" s="93"/>
      <c r="DF230" s="93"/>
      <c r="DG230" s="93"/>
      <c r="DH230" s="93"/>
      <c r="DI230" s="93"/>
      <c r="DJ230" s="93"/>
      <c r="DK230" s="93"/>
      <c r="DL230" s="93"/>
      <c r="DM230" s="93"/>
      <c r="DN230" s="93"/>
      <c r="DO230" s="93"/>
      <c r="DP230" s="93"/>
      <c r="DQ230" s="93"/>
      <c r="DR230" s="93"/>
      <c r="DS230" s="93"/>
      <c r="DT230" s="93"/>
      <c r="DU230" s="93"/>
      <c r="DV230" s="93"/>
      <c r="DW230" s="93"/>
      <c r="DX230" s="93"/>
      <c r="DY230" s="93"/>
      <c r="DZ230" s="93"/>
      <c r="EA230" s="93"/>
      <c r="EB230" s="93"/>
      <c r="EC230" s="93"/>
      <c r="ED230" s="93">
        <v>0.33239700374531833</v>
      </c>
      <c r="EE230" s="93"/>
      <c r="EF230" s="93"/>
      <c r="EG230" s="93"/>
      <c r="EH230" s="93"/>
      <c r="EI230" s="93"/>
      <c r="EJ230" s="93"/>
      <c r="EK230" s="93"/>
      <c r="EL230" s="93"/>
      <c r="EM230" s="93"/>
      <c r="EN230" s="93"/>
      <c r="EO230" s="93"/>
      <c r="EP230" s="93"/>
      <c r="EQ230" s="93"/>
      <c r="ER230" s="93"/>
      <c r="ES230" s="93"/>
      <c r="ET230" s="93"/>
      <c r="EU230" s="93"/>
      <c r="EV230" s="93"/>
      <c r="EW230" s="93"/>
      <c r="EX230" s="93"/>
      <c r="EY230" s="93"/>
      <c r="EZ230" s="93"/>
      <c r="FA230" s="93"/>
      <c r="FB230" s="93"/>
      <c r="FC230" s="93"/>
      <c r="FD230" s="93"/>
      <c r="FE230" s="93"/>
      <c r="FF230" s="93"/>
      <c r="FG230" s="93"/>
      <c r="FH230" s="93"/>
      <c r="FI230" s="93"/>
      <c r="FJ230" s="93"/>
      <c r="FK230" s="93"/>
      <c r="FL230" s="93"/>
      <c r="FM230" s="93"/>
      <c r="FN230" s="93"/>
      <c r="FO230" s="93"/>
      <c r="FP230" s="93"/>
      <c r="FQ230" s="93"/>
      <c r="FR230" s="93"/>
      <c r="FS230" s="93"/>
      <c r="FT230" s="93"/>
      <c r="FU230" s="93"/>
      <c r="FV230" s="93"/>
      <c r="FW230" s="93"/>
      <c r="FX230" s="93"/>
      <c r="FY230" s="93"/>
      <c r="FZ230" s="93"/>
      <c r="GA230" s="93"/>
      <c r="GB230" s="93"/>
      <c r="GC230" s="93"/>
      <c r="GD230" s="93"/>
      <c r="GE230" s="93"/>
      <c r="GF230" s="93"/>
      <c r="GG230" s="93"/>
      <c r="GH230" s="93"/>
      <c r="GI230" s="93"/>
      <c r="GJ230" s="93"/>
      <c r="GK230" s="93"/>
      <c r="GL230" s="93"/>
      <c r="GM230" s="93"/>
      <c r="GN230" s="93"/>
      <c r="GO230" s="93"/>
      <c r="GP230" s="93"/>
      <c r="GQ230" s="93"/>
      <c r="GR230" s="93"/>
      <c r="GS230" s="93"/>
      <c r="GT230" s="93"/>
      <c r="GU230" s="93"/>
      <c r="GV230" s="93"/>
      <c r="GW230" s="93"/>
      <c r="GX230" s="93"/>
      <c r="GY230" s="93"/>
      <c r="GZ230" s="93"/>
      <c r="HA230" s="93"/>
      <c r="HB230" s="93"/>
      <c r="HC230" s="93"/>
      <c r="HD230" s="93"/>
      <c r="HE230" s="93"/>
      <c r="HF230" s="93"/>
      <c r="HG230" s="93"/>
    </row>
    <row r="231" spans="14:215" x14ac:dyDescent="0.2">
      <c r="N231" s="93" t="s">
        <v>448</v>
      </c>
      <c r="O231" s="93"/>
      <c r="P231" s="93"/>
      <c r="Q231" s="93"/>
      <c r="R231" s="93"/>
      <c r="S231" s="93"/>
      <c r="T231" s="93"/>
      <c r="U231" s="93"/>
      <c r="V231" s="93"/>
      <c r="W231" s="93"/>
      <c r="X231" s="93"/>
      <c r="Y231" s="93"/>
      <c r="Z231" s="93"/>
      <c r="AA231" s="93"/>
      <c r="AB231" s="93"/>
      <c r="AC231" s="93"/>
      <c r="AD231" s="93"/>
      <c r="AE231" s="93"/>
      <c r="AF231" s="93"/>
      <c r="AG231" s="93"/>
      <c r="AH231" s="93"/>
      <c r="AI231" s="93"/>
      <c r="AJ231" s="93"/>
      <c r="AK231" s="93"/>
      <c r="AL231" s="93"/>
      <c r="AM231" s="93"/>
      <c r="AN231" s="93"/>
      <c r="AO231" s="93"/>
      <c r="AP231" s="93"/>
      <c r="AQ231" s="93"/>
      <c r="AR231" s="93"/>
      <c r="AS231" s="93"/>
      <c r="AT231" s="93"/>
      <c r="AU231" s="93"/>
      <c r="AV231" s="93"/>
      <c r="AW231" s="93"/>
      <c r="AX231" s="93"/>
      <c r="AY231" s="93"/>
      <c r="AZ231" s="93"/>
      <c r="BA231" s="93"/>
      <c r="BB231" s="93"/>
      <c r="BC231" s="93"/>
      <c r="BD231" s="93"/>
      <c r="BE231" s="93"/>
      <c r="BF231" s="93"/>
      <c r="BG231" s="93"/>
      <c r="BH231" s="93"/>
      <c r="BI231" s="93"/>
      <c r="BJ231" s="93"/>
      <c r="BK231" s="93"/>
      <c r="BL231" s="93"/>
      <c r="BM231" s="93"/>
      <c r="BN231" s="93"/>
      <c r="BO231" s="93"/>
      <c r="BP231" s="93"/>
      <c r="BQ231" s="93"/>
      <c r="BR231" s="93"/>
      <c r="BS231" s="93"/>
      <c r="BT231" s="93"/>
      <c r="BU231" s="93"/>
      <c r="BV231" s="93"/>
      <c r="BW231" s="93"/>
      <c r="BX231" s="93"/>
      <c r="BY231" s="93"/>
      <c r="BZ231" s="93"/>
      <c r="CA231" s="93"/>
      <c r="CB231" s="93"/>
      <c r="CC231" s="93"/>
      <c r="CD231" s="93"/>
      <c r="CE231" s="93"/>
      <c r="CF231" s="93"/>
      <c r="CG231" s="93"/>
      <c r="CH231" s="93"/>
      <c r="CI231" s="93"/>
      <c r="CJ231" s="93"/>
      <c r="CK231" s="93"/>
      <c r="CL231" s="93"/>
      <c r="CM231" s="93"/>
      <c r="CN231" s="93"/>
      <c r="CO231" s="93"/>
      <c r="CP231" s="93"/>
      <c r="CQ231" s="93"/>
      <c r="CR231" s="93"/>
      <c r="CS231" s="93"/>
      <c r="CT231" s="93"/>
      <c r="CU231" s="93"/>
      <c r="CV231" s="93"/>
      <c r="CW231" s="93"/>
      <c r="CX231" s="93"/>
      <c r="CY231" s="93"/>
      <c r="CZ231" s="93"/>
      <c r="DA231" s="93"/>
      <c r="DB231" s="93"/>
      <c r="DC231" s="93"/>
      <c r="DD231" s="93"/>
      <c r="DE231" s="93"/>
      <c r="DF231" s="93"/>
      <c r="DG231" s="93"/>
      <c r="DH231" s="93"/>
      <c r="DI231" s="93"/>
      <c r="DJ231" s="93"/>
      <c r="DK231" s="93"/>
      <c r="DL231" s="93"/>
      <c r="DM231" s="93"/>
      <c r="DN231" s="93"/>
      <c r="DO231" s="93"/>
      <c r="DP231" s="93"/>
      <c r="DQ231" s="93"/>
      <c r="DR231" s="93"/>
      <c r="DS231" s="93"/>
      <c r="DT231" s="93"/>
      <c r="DU231" s="93"/>
      <c r="DV231" s="93"/>
      <c r="DW231" s="93"/>
      <c r="DX231" s="93"/>
      <c r="DY231" s="93"/>
      <c r="DZ231" s="93"/>
      <c r="EA231" s="93"/>
      <c r="EB231" s="93"/>
      <c r="EC231" s="93"/>
      <c r="ED231" s="93"/>
      <c r="EE231" s="93">
        <v>0.33240482822655526</v>
      </c>
      <c r="EF231" s="93"/>
      <c r="EG231" s="93"/>
      <c r="EH231" s="93"/>
      <c r="EI231" s="93"/>
      <c r="EJ231" s="93"/>
      <c r="EK231" s="93"/>
      <c r="EL231" s="93"/>
      <c r="EM231" s="93"/>
      <c r="EN231" s="93"/>
      <c r="EO231" s="93"/>
      <c r="EP231" s="93"/>
      <c r="EQ231" s="93"/>
      <c r="ER231" s="93"/>
      <c r="ES231" s="93"/>
      <c r="ET231" s="93"/>
      <c r="EU231" s="93"/>
      <c r="EV231" s="93"/>
      <c r="EW231" s="93"/>
      <c r="EX231" s="93"/>
      <c r="EY231" s="93"/>
      <c r="EZ231" s="93"/>
      <c r="FA231" s="93"/>
      <c r="FB231" s="93"/>
      <c r="FC231" s="93"/>
      <c r="FD231" s="93"/>
      <c r="FE231" s="93"/>
      <c r="FF231" s="93"/>
      <c r="FG231" s="93"/>
      <c r="FH231" s="93"/>
      <c r="FI231" s="93"/>
      <c r="FJ231" s="93"/>
      <c r="FK231" s="93"/>
      <c r="FL231" s="93"/>
      <c r="FM231" s="93"/>
      <c r="FN231" s="93"/>
      <c r="FO231" s="93"/>
      <c r="FP231" s="93"/>
      <c r="FQ231" s="93"/>
      <c r="FR231" s="93"/>
      <c r="FS231" s="93"/>
      <c r="FT231" s="93"/>
      <c r="FU231" s="93"/>
      <c r="FV231" s="93"/>
      <c r="FW231" s="93"/>
      <c r="FX231" s="93"/>
      <c r="FY231" s="93"/>
      <c r="FZ231" s="93"/>
      <c r="GA231" s="93"/>
      <c r="GB231" s="93"/>
      <c r="GC231" s="93"/>
      <c r="GD231" s="93"/>
      <c r="GE231" s="93"/>
      <c r="GF231" s="93"/>
      <c r="GG231" s="93"/>
      <c r="GH231" s="93"/>
      <c r="GI231" s="93"/>
      <c r="GJ231" s="93"/>
      <c r="GK231" s="93"/>
      <c r="GL231" s="93"/>
      <c r="GM231" s="93"/>
      <c r="GN231" s="93"/>
      <c r="GO231" s="93"/>
      <c r="GP231" s="93"/>
      <c r="GQ231" s="93"/>
      <c r="GR231" s="93"/>
      <c r="GS231" s="93"/>
      <c r="GT231" s="93"/>
      <c r="GU231" s="93"/>
      <c r="GV231" s="93"/>
      <c r="GW231" s="93"/>
      <c r="GX231" s="93"/>
      <c r="GY231" s="93"/>
      <c r="GZ231" s="93"/>
      <c r="HA231" s="93"/>
      <c r="HB231" s="93"/>
      <c r="HC231" s="93"/>
      <c r="HD231" s="93"/>
      <c r="HE231" s="93"/>
      <c r="HF231" s="93"/>
      <c r="HG231" s="93"/>
    </row>
    <row r="232" spans="14:215" x14ac:dyDescent="0.2">
      <c r="N232" s="93" t="s">
        <v>449</v>
      </c>
      <c r="O232" s="93"/>
      <c r="P232" s="93"/>
      <c r="Q232" s="93"/>
      <c r="R232" s="93"/>
      <c r="S232" s="93"/>
      <c r="T232" s="93"/>
      <c r="U232" s="93"/>
      <c r="V232" s="93"/>
      <c r="W232" s="93"/>
      <c r="X232" s="93"/>
      <c r="Y232" s="93"/>
      <c r="Z232" s="93"/>
      <c r="AA232" s="93"/>
      <c r="AB232" s="93"/>
      <c r="AC232" s="93"/>
      <c r="AD232" s="93"/>
      <c r="AE232" s="93"/>
      <c r="AF232" s="93"/>
      <c r="AG232" s="93"/>
      <c r="AH232" s="93"/>
      <c r="AI232" s="93"/>
      <c r="AJ232" s="93"/>
      <c r="AK232" s="93"/>
      <c r="AL232" s="93"/>
      <c r="AM232" s="93"/>
      <c r="AN232" s="93"/>
      <c r="AO232" s="93"/>
      <c r="AP232" s="93"/>
      <c r="AQ232" s="93"/>
      <c r="AR232" s="93"/>
      <c r="AS232" s="93"/>
      <c r="AT232" s="93"/>
      <c r="AU232" s="93"/>
      <c r="AV232" s="93"/>
      <c r="AW232" s="93"/>
      <c r="AX232" s="93"/>
      <c r="AY232" s="93"/>
      <c r="AZ232" s="93"/>
      <c r="BA232" s="93"/>
      <c r="BB232" s="93"/>
      <c r="BC232" s="93"/>
      <c r="BD232" s="93"/>
      <c r="BE232" s="93"/>
      <c r="BF232" s="93"/>
      <c r="BG232" s="93"/>
      <c r="BH232" s="93"/>
      <c r="BI232" s="93"/>
      <c r="BJ232" s="93"/>
      <c r="BK232" s="93"/>
      <c r="BL232" s="93"/>
      <c r="BM232" s="93"/>
      <c r="BN232" s="93"/>
      <c r="BO232" s="93"/>
      <c r="BP232" s="93"/>
      <c r="BQ232" s="93"/>
      <c r="BR232" s="93"/>
      <c r="BS232" s="93"/>
      <c r="BT232" s="93"/>
      <c r="BU232" s="93"/>
      <c r="BV232" s="93"/>
      <c r="BW232" s="93"/>
      <c r="BX232" s="93"/>
      <c r="BY232" s="93"/>
      <c r="BZ232" s="93"/>
      <c r="CA232" s="93"/>
      <c r="CB232" s="93"/>
      <c r="CC232" s="93"/>
      <c r="CD232" s="93"/>
      <c r="CE232" s="93"/>
      <c r="CF232" s="93"/>
      <c r="CG232" s="93"/>
      <c r="CH232" s="93"/>
      <c r="CI232" s="93"/>
      <c r="CJ232" s="93"/>
      <c r="CK232" s="93"/>
      <c r="CL232" s="93"/>
      <c r="CM232" s="93"/>
      <c r="CN232" s="93"/>
      <c r="CO232" s="93"/>
      <c r="CP232" s="93"/>
      <c r="CQ232" s="93"/>
      <c r="CR232" s="93"/>
      <c r="CS232" s="93"/>
      <c r="CT232" s="93"/>
      <c r="CU232" s="93"/>
      <c r="CV232" s="93"/>
      <c r="CW232" s="93"/>
      <c r="CX232" s="93"/>
      <c r="CY232" s="93"/>
      <c r="CZ232" s="93"/>
      <c r="DA232" s="93"/>
      <c r="DB232" s="93"/>
      <c r="DC232" s="93"/>
      <c r="DD232" s="93"/>
      <c r="DE232" s="93"/>
      <c r="DF232" s="93"/>
      <c r="DG232" s="93"/>
      <c r="DH232" s="93"/>
      <c r="DI232" s="93"/>
      <c r="DJ232" s="93"/>
      <c r="DK232" s="93"/>
      <c r="DL232" s="93"/>
      <c r="DM232" s="93"/>
      <c r="DN232" s="93"/>
      <c r="DO232" s="93"/>
      <c r="DP232" s="93"/>
      <c r="DQ232" s="93"/>
      <c r="DR232" s="93"/>
      <c r="DS232" s="93"/>
      <c r="DT232" s="93"/>
      <c r="DU232" s="93"/>
      <c r="DV232" s="93"/>
      <c r="DW232" s="93"/>
      <c r="DX232" s="93"/>
      <c r="DY232" s="93"/>
      <c r="DZ232" s="93"/>
      <c r="EA232" s="93"/>
      <c r="EB232" s="93"/>
      <c r="EC232" s="93"/>
      <c r="ED232" s="93"/>
      <c r="EE232" s="93"/>
      <c r="EF232" s="93">
        <v>0.33241252302025781</v>
      </c>
      <c r="EG232" s="93"/>
      <c r="EH232" s="93"/>
      <c r="EI232" s="93"/>
      <c r="EJ232" s="93"/>
      <c r="EK232" s="93"/>
      <c r="EL232" s="93"/>
      <c r="EM232" s="93"/>
      <c r="EN232" s="93"/>
      <c r="EO232" s="93"/>
      <c r="EP232" s="93"/>
      <c r="EQ232" s="93"/>
      <c r="ER232" s="93"/>
      <c r="ES232" s="93"/>
      <c r="ET232" s="93"/>
      <c r="EU232" s="93"/>
      <c r="EV232" s="93"/>
      <c r="EW232" s="93"/>
      <c r="EX232" s="93"/>
      <c r="EY232" s="93"/>
      <c r="EZ232" s="93"/>
      <c r="FA232" s="93"/>
      <c r="FB232" s="93"/>
      <c r="FC232" s="93"/>
      <c r="FD232" s="93"/>
      <c r="FE232" s="93"/>
      <c r="FF232" s="93"/>
      <c r="FG232" s="93"/>
      <c r="FH232" s="93"/>
      <c r="FI232" s="93"/>
      <c r="FJ232" s="93"/>
      <c r="FK232" s="93"/>
      <c r="FL232" s="93"/>
      <c r="FM232" s="93"/>
      <c r="FN232" s="93"/>
      <c r="FO232" s="93"/>
      <c r="FP232" s="93"/>
      <c r="FQ232" s="93"/>
      <c r="FR232" s="93"/>
      <c r="FS232" s="93"/>
      <c r="FT232" s="93"/>
      <c r="FU232" s="93"/>
      <c r="FV232" s="93"/>
      <c r="FW232" s="93"/>
      <c r="FX232" s="93"/>
      <c r="FY232" s="93"/>
      <c r="FZ232" s="93"/>
      <c r="GA232" s="93"/>
      <c r="GB232" s="93"/>
      <c r="GC232" s="93"/>
      <c r="GD232" s="93"/>
      <c r="GE232" s="93"/>
      <c r="GF232" s="93"/>
      <c r="GG232" s="93"/>
      <c r="GH232" s="93"/>
      <c r="GI232" s="93"/>
      <c r="GJ232" s="93"/>
      <c r="GK232" s="93"/>
      <c r="GL232" s="93"/>
      <c r="GM232" s="93"/>
      <c r="GN232" s="93"/>
      <c r="GO232" s="93"/>
      <c r="GP232" s="93"/>
      <c r="GQ232" s="93"/>
      <c r="GR232" s="93"/>
      <c r="GS232" s="93"/>
      <c r="GT232" s="93"/>
      <c r="GU232" s="93"/>
      <c r="GV232" s="93"/>
      <c r="GW232" s="93"/>
      <c r="GX232" s="93"/>
      <c r="GY232" s="93"/>
      <c r="GZ232" s="93"/>
      <c r="HA232" s="93"/>
      <c r="HB232" s="93"/>
      <c r="HC232" s="93"/>
      <c r="HD232" s="93"/>
      <c r="HE232" s="93"/>
      <c r="HF232" s="93"/>
      <c r="HG232" s="93"/>
    </row>
    <row r="233" spans="14:215" x14ac:dyDescent="0.2">
      <c r="N233" s="93" t="s">
        <v>450</v>
      </c>
      <c r="O233" s="93"/>
      <c r="P233" s="93"/>
      <c r="Q233" s="93"/>
      <c r="R233" s="93"/>
      <c r="S233" s="93"/>
      <c r="T233" s="93"/>
      <c r="U233" s="93"/>
      <c r="V233" s="93"/>
      <c r="W233" s="93"/>
      <c r="X233" s="93"/>
      <c r="Y233" s="93"/>
      <c r="Z233" s="93"/>
      <c r="AA233" s="93"/>
      <c r="AB233" s="93"/>
      <c r="AC233" s="93"/>
      <c r="AD233" s="93"/>
      <c r="AE233" s="93"/>
      <c r="AF233" s="93"/>
      <c r="AG233" s="93"/>
      <c r="AH233" s="93"/>
      <c r="AI233" s="93"/>
      <c r="AJ233" s="93"/>
      <c r="AK233" s="93"/>
      <c r="AL233" s="93"/>
      <c r="AM233" s="93"/>
      <c r="AN233" s="93"/>
      <c r="AO233" s="93"/>
      <c r="AP233" s="93"/>
      <c r="AQ233" s="93"/>
      <c r="AR233" s="93"/>
      <c r="AS233" s="93"/>
      <c r="AT233" s="93"/>
      <c r="AU233" s="93"/>
      <c r="AV233" s="93"/>
      <c r="AW233" s="93"/>
      <c r="AX233" s="93"/>
      <c r="AY233" s="93"/>
      <c r="AZ233" s="93"/>
      <c r="BA233" s="93"/>
      <c r="BB233" s="93"/>
      <c r="BC233" s="93"/>
      <c r="BD233" s="93"/>
      <c r="BE233" s="93"/>
      <c r="BF233" s="93"/>
      <c r="BG233" s="93"/>
      <c r="BH233" s="93"/>
      <c r="BI233" s="93"/>
      <c r="BJ233" s="93"/>
      <c r="BK233" s="93"/>
      <c r="BL233" s="93"/>
      <c r="BM233" s="93"/>
      <c r="BN233" s="93"/>
      <c r="BO233" s="93"/>
      <c r="BP233" s="93"/>
      <c r="BQ233" s="93"/>
      <c r="BR233" s="93"/>
      <c r="BS233" s="93"/>
      <c r="BT233" s="93"/>
      <c r="BU233" s="93"/>
      <c r="BV233" s="93"/>
      <c r="BW233" s="93"/>
      <c r="BX233" s="93"/>
      <c r="BY233" s="93"/>
      <c r="BZ233" s="93"/>
      <c r="CA233" s="93"/>
      <c r="CB233" s="93"/>
      <c r="CC233" s="93"/>
      <c r="CD233" s="93"/>
      <c r="CE233" s="93"/>
      <c r="CF233" s="93"/>
      <c r="CG233" s="93"/>
      <c r="CH233" s="93"/>
      <c r="CI233" s="93"/>
      <c r="CJ233" s="93"/>
      <c r="CK233" s="93"/>
      <c r="CL233" s="93"/>
      <c r="CM233" s="93"/>
      <c r="CN233" s="93"/>
      <c r="CO233" s="93"/>
      <c r="CP233" s="93"/>
      <c r="CQ233" s="93"/>
      <c r="CR233" s="93"/>
      <c r="CS233" s="93"/>
      <c r="CT233" s="93"/>
      <c r="CU233" s="93"/>
      <c r="CV233" s="93"/>
      <c r="CW233" s="93"/>
      <c r="CX233" s="93"/>
      <c r="CY233" s="93"/>
      <c r="CZ233" s="93"/>
      <c r="DA233" s="93"/>
      <c r="DB233" s="93"/>
      <c r="DC233" s="93"/>
      <c r="DD233" s="93"/>
      <c r="DE233" s="93"/>
      <c r="DF233" s="93"/>
      <c r="DG233" s="93"/>
      <c r="DH233" s="93"/>
      <c r="DI233" s="93"/>
      <c r="DJ233" s="93"/>
      <c r="DK233" s="93"/>
      <c r="DL233" s="93"/>
      <c r="DM233" s="93"/>
      <c r="DN233" s="93"/>
      <c r="DO233" s="93"/>
      <c r="DP233" s="93"/>
      <c r="DQ233" s="93"/>
      <c r="DR233" s="93"/>
      <c r="DS233" s="93"/>
      <c r="DT233" s="93"/>
      <c r="DU233" s="93"/>
      <c r="DV233" s="93"/>
      <c r="DW233" s="93"/>
      <c r="DX233" s="93"/>
      <c r="DY233" s="93"/>
      <c r="DZ233" s="93"/>
      <c r="EA233" s="93"/>
      <c r="EB233" s="93"/>
      <c r="EC233" s="93"/>
      <c r="ED233" s="93"/>
      <c r="EE233" s="93"/>
      <c r="EF233" s="93"/>
      <c r="EG233" s="93">
        <v>0.33242009132420092</v>
      </c>
      <c r="EH233" s="93"/>
      <c r="EI233" s="93"/>
      <c r="EJ233" s="93"/>
      <c r="EK233" s="93"/>
      <c r="EL233" s="93"/>
      <c r="EM233" s="93"/>
      <c r="EN233" s="93"/>
      <c r="EO233" s="93"/>
      <c r="EP233" s="93"/>
      <c r="EQ233" s="93"/>
      <c r="ER233" s="93"/>
      <c r="ES233" s="93"/>
      <c r="ET233" s="93"/>
      <c r="EU233" s="93"/>
      <c r="EV233" s="93"/>
      <c r="EW233" s="93"/>
      <c r="EX233" s="93"/>
      <c r="EY233" s="93"/>
      <c r="EZ233" s="93"/>
      <c r="FA233" s="93"/>
      <c r="FB233" s="93"/>
      <c r="FC233" s="93"/>
      <c r="FD233" s="93"/>
      <c r="FE233" s="93"/>
      <c r="FF233" s="93"/>
      <c r="FG233" s="93"/>
      <c r="FH233" s="93"/>
      <c r="FI233" s="93"/>
      <c r="FJ233" s="93"/>
      <c r="FK233" s="93"/>
      <c r="FL233" s="93"/>
      <c r="FM233" s="93"/>
      <c r="FN233" s="93"/>
      <c r="FO233" s="93"/>
      <c r="FP233" s="93"/>
      <c r="FQ233" s="93"/>
      <c r="FR233" s="93"/>
      <c r="FS233" s="93"/>
      <c r="FT233" s="93"/>
      <c r="FU233" s="93"/>
      <c r="FV233" s="93"/>
      <c r="FW233" s="93"/>
      <c r="FX233" s="93"/>
      <c r="FY233" s="93"/>
      <c r="FZ233" s="93"/>
      <c r="GA233" s="93"/>
      <c r="GB233" s="93"/>
      <c r="GC233" s="93"/>
      <c r="GD233" s="93"/>
      <c r="GE233" s="93"/>
      <c r="GF233" s="93"/>
      <c r="GG233" s="93"/>
      <c r="GH233" s="93"/>
      <c r="GI233" s="93"/>
      <c r="GJ233" s="93"/>
      <c r="GK233" s="93"/>
      <c r="GL233" s="93"/>
      <c r="GM233" s="93"/>
      <c r="GN233" s="93"/>
      <c r="GO233" s="93"/>
      <c r="GP233" s="93"/>
      <c r="GQ233" s="93"/>
      <c r="GR233" s="93"/>
      <c r="GS233" s="93"/>
      <c r="GT233" s="93"/>
      <c r="GU233" s="93"/>
      <c r="GV233" s="93"/>
      <c r="GW233" s="93"/>
      <c r="GX233" s="93"/>
      <c r="GY233" s="93"/>
      <c r="GZ233" s="93"/>
      <c r="HA233" s="93"/>
      <c r="HB233" s="93"/>
      <c r="HC233" s="93"/>
      <c r="HD233" s="93"/>
      <c r="HE233" s="93"/>
      <c r="HF233" s="93"/>
      <c r="HG233" s="93"/>
    </row>
    <row r="234" spans="14:215" x14ac:dyDescent="0.2">
      <c r="N234" s="93" t="s">
        <v>451</v>
      </c>
      <c r="O234" s="93"/>
      <c r="P234" s="93"/>
      <c r="Q234" s="93"/>
      <c r="R234" s="93"/>
      <c r="S234" s="93"/>
      <c r="T234" s="93"/>
      <c r="U234" s="93"/>
      <c r="V234" s="93"/>
      <c r="W234" s="93"/>
      <c r="X234" s="93"/>
      <c r="Y234" s="93"/>
      <c r="Z234" s="93"/>
      <c r="AA234" s="93"/>
      <c r="AB234" s="93"/>
      <c r="AC234" s="93"/>
      <c r="AD234" s="93"/>
      <c r="AE234" s="93"/>
      <c r="AF234" s="93"/>
      <c r="AG234" s="93"/>
      <c r="AH234" s="93"/>
      <c r="AI234" s="93"/>
      <c r="AJ234" s="93"/>
      <c r="AK234" s="93"/>
      <c r="AL234" s="93"/>
      <c r="AM234" s="93"/>
      <c r="AN234" s="93"/>
      <c r="AO234" s="93"/>
      <c r="AP234" s="93"/>
      <c r="AQ234" s="93"/>
      <c r="AR234" s="93"/>
      <c r="AS234" s="93"/>
      <c r="AT234" s="93"/>
      <c r="AU234" s="93"/>
      <c r="AV234" s="93"/>
      <c r="AW234" s="93"/>
      <c r="AX234" s="93"/>
      <c r="AY234" s="93"/>
      <c r="AZ234" s="93"/>
      <c r="BA234" s="93"/>
      <c r="BB234" s="93"/>
      <c r="BC234" s="93"/>
      <c r="BD234" s="93"/>
      <c r="BE234" s="93"/>
      <c r="BF234" s="93"/>
      <c r="BG234" s="93"/>
      <c r="BH234" s="93"/>
      <c r="BI234" s="93"/>
      <c r="BJ234" s="93"/>
      <c r="BK234" s="93"/>
      <c r="BL234" s="93"/>
      <c r="BM234" s="93"/>
      <c r="BN234" s="93"/>
      <c r="BO234" s="93"/>
      <c r="BP234" s="93"/>
      <c r="BQ234" s="93"/>
      <c r="BR234" s="93"/>
      <c r="BS234" s="93"/>
      <c r="BT234" s="93"/>
      <c r="BU234" s="93"/>
      <c r="BV234" s="93"/>
      <c r="BW234" s="93"/>
      <c r="BX234" s="93"/>
      <c r="BY234" s="93"/>
      <c r="BZ234" s="93"/>
      <c r="CA234" s="93"/>
      <c r="CB234" s="93"/>
      <c r="CC234" s="93"/>
      <c r="CD234" s="93"/>
      <c r="CE234" s="93"/>
      <c r="CF234" s="93"/>
      <c r="CG234" s="93"/>
      <c r="CH234" s="93"/>
      <c r="CI234" s="93"/>
      <c r="CJ234" s="93"/>
      <c r="CK234" s="93"/>
      <c r="CL234" s="93"/>
      <c r="CM234" s="93"/>
      <c r="CN234" s="93"/>
      <c r="CO234" s="93"/>
      <c r="CP234" s="93"/>
      <c r="CQ234" s="93"/>
      <c r="CR234" s="93"/>
      <c r="CS234" s="93"/>
      <c r="CT234" s="93"/>
      <c r="CU234" s="93"/>
      <c r="CV234" s="93"/>
      <c r="CW234" s="93"/>
      <c r="CX234" s="93"/>
      <c r="CY234" s="93"/>
      <c r="CZ234" s="93"/>
      <c r="DA234" s="93"/>
      <c r="DB234" s="93"/>
      <c r="DC234" s="93"/>
      <c r="DD234" s="93"/>
      <c r="DE234" s="93"/>
      <c r="DF234" s="93"/>
      <c r="DG234" s="93"/>
      <c r="DH234" s="93"/>
      <c r="DI234" s="93"/>
      <c r="DJ234" s="93"/>
      <c r="DK234" s="93"/>
      <c r="DL234" s="93"/>
      <c r="DM234" s="93"/>
      <c r="DN234" s="93"/>
      <c r="DO234" s="93"/>
      <c r="DP234" s="93"/>
      <c r="DQ234" s="93"/>
      <c r="DR234" s="93"/>
      <c r="DS234" s="93"/>
      <c r="DT234" s="93"/>
      <c r="DU234" s="93"/>
      <c r="DV234" s="93"/>
      <c r="DW234" s="93"/>
      <c r="DX234" s="93"/>
      <c r="DY234" s="93"/>
      <c r="DZ234" s="93"/>
      <c r="EA234" s="93"/>
      <c r="EB234" s="93"/>
      <c r="EC234" s="93"/>
      <c r="ED234" s="93"/>
      <c r="EE234" s="93"/>
      <c r="EF234" s="93"/>
      <c r="EG234" s="93"/>
      <c r="EH234" s="93">
        <v>0.33242753623188404</v>
      </c>
      <c r="EI234" s="93"/>
      <c r="EJ234" s="93"/>
      <c r="EK234" s="93"/>
      <c r="EL234" s="93"/>
      <c r="EM234" s="93"/>
      <c r="EN234" s="93"/>
      <c r="EO234" s="93"/>
      <c r="EP234" s="93"/>
      <c r="EQ234" s="93"/>
      <c r="ER234" s="93"/>
      <c r="ES234" s="93"/>
      <c r="ET234" s="93"/>
      <c r="EU234" s="93"/>
      <c r="EV234" s="93"/>
      <c r="EW234" s="93"/>
      <c r="EX234" s="93"/>
      <c r="EY234" s="93"/>
      <c r="EZ234" s="93"/>
      <c r="FA234" s="93"/>
      <c r="FB234" s="93"/>
      <c r="FC234" s="93"/>
      <c r="FD234" s="93"/>
      <c r="FE234" s="93"/>
      <c r="FF234" s="93"/>
      <c r="FG234" s="93"/>
      <c r="FH234" s="93"/>
      <c r="FI234" s="93"/>
      <c r="FJ234" s="93"/>
      <c r="FK234" s="93"/>
      <c r="FL234" s="93"/>
      <c r="FM234" s="93"/>
      <c r="FN234" s="93"/>
      <c r="FO234" s="93"/>
      <c r="FP234" s="93"/>
      <c r="FQ234" s="93"/>
      <c r="FR234" s="93"/>
      <c r="FS234" s="93"/>
      <c r="FT234" s="93"/>
      <c r="FU234" s="93"/>
      <c r="FV234" s="93"/>
      <c r="FW234" s="93"/>
      <c r="FX234" s="93"/>
      <c r="FY234" s="93"/>
      <c r="FZ234" s="93"/>
      <c r="GA234" s="93"/>
      <c r="GB234" s="93"/>
      <c r="GC234" s="93"/>
      <c r="GD234" s="93"/>
      <c r="GE234" s="93"/>
      <c r="GF234" s="93"/>
      <c r="GG234" s="93"/>
      <c r="GH234" s="93"/>
      <c r="GI234" s="93"/>
      <c r="GJ234" s="93"/>
      <c r="GK234" s="93"/>
      <c r="GL234" s="93"/>
      <c r="GM234" s="93"/>
      <c r="GN234" s="93"/>
      <c r="GO234" s="93"/>
      <c r="GP234" s="93"/>
      <c r="GQ234" s="93"/>
      <c r="GR234" s="93"/>
      <c r="GS234" s="93"/>
      <c r="GT234" s="93"/>
      <c r="GU234" s="93"/>
      <c r="GV234" s="93"/>
      <c r="GW234" s="93"/>
      <c r="GX234" s="93"/>
      <c r="GY234" s="93"/>
      <c r="GZ234" s="93"/>
      <c r="HA234" s="93"/>
      <c r="HB234" s="93"/>
      <c r="HC234" s="93"/>
      <c r="HD234" s="93"/>
      <c r="HE234" s="93"/>
      <c r="HF234" s="93"/>
      <c r="HG234" s="93"/>
    </row>
    <row r="235" spans="14:215" x14ac:dyDescent="0.2">
      <c r="N235" s="93" t="s">
        <v>452</v>
      </c>
      <c r="O235" s="93"/>
      <c r="P235" s="93"/>
      <c r="Q235" s="93"/>
      <c r="R235" s="93"/>
      <c r="S235" s="93"/>
      <c r="T235" s="93"/>
      <c r="U235" s="93"/>
      <c r="V235" s="93"/>
      <c r="W235" s="93"/>
      <c r="X235" s="93"/>
      <c r="Y235" s="93"/>
      <c r="Z235" s="93"/>
      <c r="AA235" s="93"/>
      <c r="AB235" s="93"/>
      <c r="AC235" s="93"/>
      <c r="AD235" s="93"/>
      <c r="AE235" s="93"/>
      <c r="AF235" s="93"/>
      <c r="AG235" s="93"/>
      <c r="AH235" s="93"/>
      <c r="AI235" s="93"/>
      <c r="AJ235" s="93"/>
      <c r="AK235" s="93"/>
      <c r="AL235" s="93"/>
      <c r="AM235" s="93"/>
      <c r="AN235" s="93"/>
      <c r="AO235" s="93"/>
      <c r="AP235" s="93"/>
      <c r="AQ235" s="93"/>
      <c r="AR235" s="93"/>
      <c r="AS235" s="93"/>
      <c r="AT235" s="93"/>
      <c r="AU235" s="93"/>
      <c r="AV235" s="93"/>
      <c r="AW235" s="93"/>
      <c r="AX235" s="93"/>
      <c r="AY235" s="93"/>
      <c r="AZ235" s="93"/>
      <c r="BA235" s="93"/>
      <c r="BB235" s="93"/>
      <c r="BC235" s="93"/>
      <c r="BD235" s="93"/>
      <c r="BE235" s="93"/>
      <c r="BF235" s="93"/>
      <c r="BG235" s="93"/>
      <c r="BH235" s="93"/>
      <c r="BI235" s="93"/>
      <c r="BJ235" s="93"/>
      <c r="BK235" s="93"/>
      <c r="BL235" s="93"/>
      <c r="BM235" s="93"/>
      <c r="BN235" s="93"/>
      <c r="BO235" s="93"/>
      <c r="BP235" s="93"/>
      <c r="BQ235" s="93"/>
      <c r="BR235" s="93"/>
      <c r="BS235" s="93"/>
      <c r="BT235" s="93"/>
      <c r="BU235" s="93"/>
      <c r="BV235" s="93"/>
      <c r="BW235" s="93"/>
      <c r="BX235" s="93"/>
      <c r="BY235" s="93"/>
      <c r="BZ235" s="93"/>
      <c r="CA235" s="93"/>
      <c r="CB235" s="93"/>
      <c r="CC235" s="93"/>
      <c r="CD235" s="93"/>
      <c r="CE235" s="93"/>
      <c r="CF235" s="93"/>
      <c r="CG235" s="93"/>
      <c r="CH235" s="93"/>
      <c r="CI235" s="93"/>
      <c r="CJ235" s="93"/>
      <c r="CK235" s="93"/>
      <c r="CL235" s="93"/>
      <c r="CM235" s="93"/>
      <c r="CN235" s="93"/>
      <c r="CO235" s="93"/>
      <c r="CP235" s="93"/>
      <c r="CQ235" s="93"/>
      <c r="CR235" s="93"/>
      <c r="CS235" s="93"/>
      <c r="CT235" s="93"/>
      <c r="CU235" s="93"/>
      <c r="CV235" s="93"/>
      <c r="CW235" s="93"/>
      <c r="CX235" s="93"/>
      <c r="CY235" s="93"/>
      <c r="CZ235" s="93"/>
      <c r="DA235" s="93"/>
      <c r="DB235" s="93"/>
      <c r="DC235" s="93"/>
      <c r="DD235" s="93"/>
      <c r="DE235" s="93"/>
      <c r="DF235" s="93"/>
      <c r="DG235" s="93"/>
      <c r="DH235" s="93"/>
      <c r="DI235" s="93"/>
      <c r="DJ235" s="93"/>
      <c r="DK235" s="93"/>
      <c r="DL235" s="93"/>
      <c r="DM235" s="93"/>
      <c r="DN235" s="93"/>
      <c r="DO235" s="93"/>
      <c r="DP235" s="93"/>
      <c r="DQ235" s="93"/>
      <c r="DR235" s="93"/>
      <c r="DS235" s="93"/>
      <c r="DT235" s="93"/>
      <c r="DU235" s="93"/>
      <c r="DV235" s="93"/>
      <c r="DW235" s="93"/>
      <c r="DX235" s="93"/>
      <c r="DY235" s="93"/>
      <c r="DZ235" s="93"/>
      <c r="EA235" s="93"/>
      <c r="EB235" s="93"/>
      <c r="EC235" s="93"/>
      <c r="ED235" s="93"/>
      <c r="EE235" s="93"/>
      <c r="EF235" s="93"/>
      <c r="EG235" s="93"/>
      <c r="EH235" s="93"/>
      <c r="EI235" s="93">
        <v>0.33243486073674755</v>
      </c>
      <c r="EJ235" s="93"/>
      <c r="EK235" s="93"/>
      <c r="EL235" s="93"/>
      <c r="EM235" s="93"/>
      <c r="EN235" s="93"/>
      <c r="EO235" s="93"/>
      <c r="EP235" s="93"/>
      <c r="EQ235" s="93"/>
      <c r="ER235" s="93"/>
      <c r="ES235" s="93"/>
      <c r="ET235" s="93"/>
      <c r="EU235" s="93"/>
      <c r="EV235" s="93"/>
      <c r="EW235" s="93"/>
      <c r="EX235" s="93"/>
      <c r="EY235" s="93"/>
      <c r="EZ235" s="93"/>
      <c r="FA235" s="93"/>
      <c r="FB235" s="93"/>
      <c r="FC235" s="93"/>
      <c r="FD235" s="93"/>
      <c r="FE235" s="93"/>
      <c r="FF235" s="93"/>
      <c r="FG235" s="93"/>
      <c r="FH235" s="93"/>
      <c r="FI235" s="93"/>
      <c r="FJ235" s="93"/>
      <c r="FK235" s="93"/>
      <c r="FL235" s="93"/>
      <c r="FM235" s="93"/>
      <c r="FN235" s="93"/>
      <c r="FO235" s="93"/>
      <c r="FP235" s="93"/>
      <c r="FQ235" s="93"/>
      <c r="FR235" s="93"/>
      <c r="FS235" s="93"/>
      <c r="FT235" s="93"/>
      <c r="FU235" s="93"/>
      <c r="FV235" s="93"/>
      <c r="FW235" s="93"/>
      <c r="FX235" s="93"/>
      <c r="FY235" s="93"/>
      <c r="FZ235" s="93"/>
      <c r="GA235" s="93"/>
      <c r="GB235" s="93"/>
      <c r="GC235" s="93"/>
      <c r="GD235" s="93"/>
      <c r="GE235" s="93"/>
      <c r="GF235" s="93"/>
      <c r="GG235" s="93"/>
      <c r="GH235" s="93"/>
      <c r="GI235" s="93"/>
      <c r="GJ235" s="93"/>
      <c r="GK235" s="93"/>
      <c r="GL235" s="93"/>
      <c r="GM235" s="93"/>
      <c r="GN235" s="93"/>
      <c r="GO235" s="93"/>
      <c r="GP235" s="93"/>
      <c r="GQ235" s="93"/>
      <c r="GR235" s="93"/>
      <c r="GS235" s="93"/>
      <c r="GT235" s="93"/>
      <c r="GU235" s="93"/>
      <c r="GV235" s="93"/>
      <c r="GW235" s="93"/>
      <c r="GX235" s="93"/>
      <c r="GY235" s="93"/>
      <c r="GZ235" s="93"/>
      <c r="HA235" s="93"/>
      <c r="HB235" s="93"/>
      <c r="HC235" s="93"/>
      <c r="HD235" s="93"/>
      <c r="HE235" s="93"/>
      <c r="HF235" s="93"/>
      <c r="HG235" s="93"/>
    </row>
    <row r="236" spans="14:215" x14ac:dyDescent="0.2">
      <c r="N236" s="93" t="s">
        <v>453</v>
      </c>
      <c r="O236" s="93"/>
      <c r="P236" s="93"/>
      <c r="Q236" s="93"/>
      <c r="R236" s="93"/>
      <c r="S236" s="93"/>
      <c r="T236" s="93"/>
      <c r="U236" s="93"/>
      <c r="V236" s="93"/>
      <c r="W236" s="93"/>
      <c r="X236" s="93"/>
      <c r="Y236" s="93"/>
      <c r="Z236" s="93"/>
      <c r="AA236" s="93"/>
      <c r="AB236" s="93"/>
      <c r="AC236" s="93"/>
      <c r="AD236" s="93"/>
      <c r="AE236" s="93"/>
      <c r="AF236" s="93"/>
      <c r="AG236" s="93"/>
      <c r="AH236" s="93"/>
      <c r="AI236" s="93"/>
      <c r="AJ236" s="93"/>
      <c r="AK236" s="93"/>
      <c r="AL236" s="93"/>
      <c r="AM236" s="93"/>
      <c r="AN236" s="93"/>
      <c r="AO236" s="93"/>
      <c r="AP236" s="93"/>
      <c r="AQ236" s="93"/>
      <c r="AR236" s="93"/>
      <c r="AS236" s="93"/>
      <c r="AT236" s="93"/>
      <c r="AU236" s="93"/>
      <c r="AV236" s="93"/>
      <c r="AW236" s="93"/>
      <c r="AX236" s="93"/>
      <c r="AY236" s="93"/>
      <c r="AZ236" s="93"/>
      <c r="BA236" s="93"/>
      <c r="BB236" s="93"/>
      <c r="BC236" s="93"/>
      <c r="BD236" s="93"/>
      <c r="BE236" s="93"/>
      <c r="BF236" s="93"/>
      <c r="BG236" s="93"/>
      <c r="BH236" s="93"/>
      <c r="BI236" s="93"/>
      <c r="BJ236" s="93"/>
      <c r="BK236" s="93"/>
      <c r="BL236" s="93"/>
      <c r="BM236" s="93"/>
      <c r="BN236" s="93"/>
      <c r="BO236" s="93"/>
      <c r="BP236" s="93"/>
      <c r="BQ236" s="93"/>
      <c r="BR236" s="93"/>
      <c r="BS236" s="93"/>
      <c r="BT236" s="93"/>
      <c r="BU236" s="93"/>
      <c r="BV236" s="93"/>
      <c r="BW236" s="93"/>
      <c r="BX236" s="93"/>
      <c r="BY236" s="93"/>
      <c r="BZ236" s="93"/>
      <c r="CA236" s="93"/>
      <c r="CB236" s="93"/>
      <c r="CC236" s="93"/>
      <c r="CD236" s="93"/>
      <c r="CE236" s="93"/>
      <c r="CF236" s="93"/>
      <c r="CG236" s="93"/>
      <c r="CH236" s="93"/>
      <c r="CI236" s="93"/>
      <c r="CJ236" s="93"/>
      <c r="CK236" s="93"/>
      <c r="CL236" s="93"/>
      <c r="CM236" s="93"/>
      <c r="CN236" s="93"/>
      <c r="CO236" s="93"/>
      <c r="CP236" s="93"/>
      <c r="CQ236" s="93"/>
      <c r="CR236" s="93"/>
      <c r="CS236" s="93"/>
      <c r="CT236" s="93"/>
      <c r="CU236" s="93"/>
      <c r="CV236" s="93"/>
      <c r="CW236" s="93"/>
      <c r="CX236" s="93"/>
      <c r="CY236" s="93"/>
      <c r="CZ236" s="93"/>
      <c r="DA236" s="93"/>
      <c r="DB236" s="93"/>
      <c r="DC236" s="93"/>
      <c r="DD236" s="93"/>
      <c r="DE236" s="93"/>
      <c r="DF236" s="93"/>
      <c r="DG236" s="93"/>
      <c r="DH236" s="93"/>
      <c r="DI236" s="93"/>
      <c r="DJ236" s="93"/>
      <c r="DK236" s="93"/>
      <c r="DL236" s="93"/>
      <c r="DM236" s="93"/>
      <c r="DN236" s="93"/>
      <c r="DO236" s="93"/>
      <c r="DP236" s="93"/>
      <c r="DQ236" s="93"/>
      <c r="DR236" s="93"/>
      <c r="DS236" s="93"/>
      <c r="DT236" s="93"/>
      <c r="DU236" s="93"/>
      <c r="DV236" s="93"/>
      <c r="DW236" s="93"/>
      <c r="DX236" s="93"/>
      <c r="DY236" s="93"/>
      <c r="DZ236" s="93"/>
      <c r="EA236" s="93"/>
      <c r="EB236" s="93"/>
      <c r="EC236" s="93"/>
      <c r="ED236" s="93"/>
      <c r="EE236" s="93"/>
      <c r="EF236" s="93"/>
      <c r="EG236" s="93"/>
      <c r="EH236" s="93"/>
      <c r="EI236" s="93"/>
      <c r="EJ236" s="93">
        <v>0.3324420677361854</v>
      </c>
      <c r="EK236" s="93"/>
      <c r="EL236" s="93"/>
      <c r="EM236" s="93"/>
      <c r="EN236" s="93"/>
      <c r="EO236" s="93"/>
      <c r="EP236" s="93"/>
      <c r="EQ236" s="93"/>
      <c r="ER236" s="93"/>
      <c r="ES236" s="93"/>
      <c r="ET236" s="93"/>
      <c r="EU236" s="93"/>
      <c r="EV236" s="93"/>
      <c r="EW236" s="93"/>
      <c r="EX236" s="93"/>
      <c r="EY236" s="93"/>
      <c r="EZ236" s="93"/>
      <c r="FA236" s="93"/>
      <c r="FB236" s="93"/>
      <c r="FC236" s="93"/>
      <c r="FD236" s="93"/>
      <c r="FE236" s="93"/>
      <c r="FF236" s="93"/>
      <c r="FG236" s="93"/>
      <c r="FH236" s="93"/>
      <c r="FI236" s="93"/>
      <c r="FJ236" s="93"/>
      <c r="FK236" s="93"/>
      <c r="FL236" s="93"/>
      <c r="FM236" s="93"/>
      <c r="FN236" s="93"/>
      <c r="FO236" s="93"/>
      <c r="FP236" s="93"/>
      <c r="FQ236" s="93"/>
      <c r="FR236" s="93"/>
      <c r="FS236" s="93"/>
      <c r="FT236" s="93"/>
      <c r="FU236" s="93"/>
      <c r="FV236" s="93"/>
      <c r="FW236" s="93"/>
      <c r="FX236" s="93"/>
      <c r="FY236" s="93"/>
      <c r="FZ236" s="93"/>
      <c r="GA236" s="93"/>
      <c r="GB236" s="93"/>
      <c r="GC236" s="93"/>
      <c r="GD236" s="93"/>
      <c r="GE236" s="93"/>
      <c r="GF236" s="93"/>
      <c r="GG236" s="93"/>
      <c r="GH236" s="93"/>
      <c r="GI236" s="93"/>
      <c r="GJ236" s="93"/>
      <c r="GK236" s="93"/>
      <c r="GL236" s="93"/>
      <c r="GM236" s="93"/>
      <c r="GN236" s="93"/>
      <c r="GO236" s="93"/>
      <c r="GP236" s="93"/>
      <c r="GQ236" s="93"/>
      <c r="GR236" s="93"/>
      <c r="GS236" s="93"/>
      <c r="GT236" s="93"/>
      <c r="GU236" s="93"/>
      <c r="GV236" s="93"/>
      <c r="GW236" s="93"/>
      <c r="GX236" s="93"/>
      <c r="GY236" s="93"/>
      <c r="GZ236" s="93"/>
      <c r="HA236" s="93"/>
      <c r="HB236" s="93"/>
      <c r="HC236" s="93"/>
      <c r="HD236" s="93"/>
      <c r="HE236" s="93"/>
      <c r="HF236" s="93"/>
      <c r="HG236" s="93"/>
    </row>
    <row r="237" spans="14:215" x14ac:dyDescent="0.2">
      <c r="N237" s="93" t="s">
        <v>454</v>
      </c>
      <c r="O237" s="93"/>
      <c r="P237" s="93"/>
      <c r="Q237" s="93"/>
      <c r="R237" s="93"/>
      <c r="S237" s="93"/>
      <c r="T237" s="93"/>
      <c r="U237" s="93"/>
      <c r="V237" s="93"/>
      <c r="W237" s="93"/>
      <c r="X237" s="93"/>
      <c r="Y237" s="93"/>
      <c r="Z237" s="93"/>
      <c r="AA237" s="93"/>
      <c r="AB237" s="93"/>
      <c r="AC237" s="93"/>
      <c r="AD237" s="93"/>
      <c r="AE237" s="93"/>
      <c r="AF237" s="93"/>
      <c r="AG237" s="93"/>
      <c r="AH237" s="93"/>
      <c r="AI237" s="93"/>
      <c r="AJ237" s="93"/>
      <c r="AK237" s="93"/>
      <c r="AL237" s="93"/>
      <c r="AM237" s="93"/>
      <c r="AN237" s="93"/>
      <c r="AO237" s="93"/>
      <c r="AP237" s="93"/>
      <c r="AQ237" s="93"/>
      <c r="AR237" s="93"/>
      <c r="AS237" s="93"/>
      <c r="AT237" s="93"/>
      <c r="AU237" s="93"/>
      <c r="AV237" s="93"/>
      <c r="AW237" s="93"/>
      <c r="AX237" s="93"/>
      <c r="AY237" s="93"/>
      <c r="AZ237" s="93"/>
      <c r="BA237" s="93"/>
      <c r="BB237" s="93"/>
      <c r="BC237" s="93"/>
      <c r="BD237" s="93"/>
      <c r="BE237" s="93"/>
      <c r="BF237" s="93"/>
      <c r="BG237" s="93"/>
      <c r="BH237" s="93"/>
      <c r="BI237" s="93"/>
      <c r="BJ237" s="93"/>
      <c r="BK237" s="93"/>
      <c r="BL237" s="93"/>
      <c r="BM237" s="93"/>
      <c r="BN237" s="93"/>
      <c r="BO237" s="93"/>
      <c r="BP237" s="93"/>
      <c r="BQ237" s="93"/>
      <c r="BR237" s="93"/>
      <c r="BS237" s="93"/>
      <c r="BT237" s="93"/>
      <c r="BU237" s="93"/>
      <c r="BV237" s="93"/>
      <c r="BW237" s="93"/>
      <c r="BX237" s="93"/>
      <c r="BY237" s="93"/>
      <c r="BZ237" s="93"/>
      <c r="CA237" s="93"/>
      <c r="CB237" s="93"/>
      <c r="CC237" s="93"/>
      <c r="CD237" s="93"/>
      <c r="CE237" s="93"/>
      <c r="CF237" s="93"/>
      <c r="CG237" s="93"/>
      <c r="CH237" s="93"/>
      <c r="CI237" s="93"/>
      <c r="CJ237" s="93"/>
      <c r="CK237" s="93"/>
      <c r="CL237" s="93"/>
      <c r="CM237" s="93"/>
      <c r="CN237" s="93"/>
      <c r="CO237" s="93"/>
      <c r="CP237" s="93"/>
      <c r="CQ237" s="93"/>
      <c r="CR237" s="93"/>
      <c r="CS237" s="93"/>
      <c r="CT237" s="93"/>
      <c r="CU237" s="93"/>
      <c r="CV237" s="93"/>
      <c r="CW237" s="93"/>
      <c r="CX237" s="93"/>
      <c r="CY237" s="93"/>
      <c r="CZ237" s="93"/>
      <c r="DA237" s="93"/>
      <c r="DB237" s="93"/>
      <c r="DC237" s="93"/>
      <c r="DD237" s="93"/>
      <c r="DE237" s="93"/>
      <c r="DF237" s="93"/>
      <c r="DG237" s="93"/>
      <c r="DH237" s="93"/>
      <c r="DI237" s="93"/>
      <c r="DJ237" s="93"/>
      <c r="DK237" s="93"/>
      <c r="DL237" s="93"/>
      <c r="DM237" s="93"/>
      <c r="DN237" s="93"/>
      <c r="DO237" s="93"/>
      <c r="DP237" s="93"/>
      <c r="DQ237" s="93"/>
      <c r="DR237" s="93"/>
      <c r="DS237" s="93"/>
      <c r="DT237" s="93"/>
      <c r="DU237" s="93"/>
      <c r="DV237" s="93"/>
      <c r="DW237" s="93"/>
      <c r="DX237" s="93"/>
      <c r="DY237" s="93"/>
      <c r="DZ237" s="93"/>
      <c r="EA237" s="93"/>
      <c r="EB237" s="93"/>
      <c r="EC237" s="93"/>
      <c r="ED237" s="93"/>
      <c r="EE237" s="93"/>
      <c r="EF237" s="93"/>
      <c r="EG237" s="93"/>
      <c r="EH237" s="93"/>
      <c r="EI237" s="93"/>
      <c r="EJ237" s="93"/>
      <c r="EK237" s="93">
        <v>0.33244916003536695</v>
      </c>
      <c r="EL237" s="93"/>
      <c r="EM237" s="93"/>
      <c r="EN237" s="93"/>
      <c r="EO237" s="93"/>
      <c r="EP237" s="93"/>
      <c r="EQ237" s="93"/>
      <c r="ER237" s="93"/>
      <c r="ES237" s="93"/>
      <c r="ET237" s="93"/>
      <c r="EU237" s="93"/>
      <c r="EV237" s="93"/>
      <c r="EW237" s="93"/>
      <c r="EX237" s="93"/>
      <c r="EY237" s="93"/>
      <c r="EZ237" s="93"/>
      <c r="FA237" s="93"/>
      <c r="FB237" s="93"/>
      <c r="FC237" s="93"/>
      <c r="FD237" s="93"/>
      <c r="FE237" s="93"/>
      <c r="FF237" s="93"/>
      <c r="FG237" s="93"/>
      <c r="FH237" s="93"/>
      <c r="FI237" s="93"/>
      <c r="FJ237" s="93"/>
      <c r="FK237" s="93"/>
      <c r="FL237" s="93"/>
      <c r="FM237" s="93"/>
      <c r="FN237" s="93"/>
      <c r="FO237" s="93"/>
      <c r="FP237" s="93"/>
      <c r="FQ237" s="93"/>
      <c r="FR237" s="93"/>
      <c r="FS237" s="93"/>
      <c r="FT237" s="93"/>
      <c r="FU237" s="93"/>
      <c r="FV237" s="93"/>
      <c r="FW237" s="93"/>
      <c r="FX237" s="93"/>
      <c r="FY237" s="93"/>
      <c r="FZ237" s="93"/>
      <c r="GA237" s="93"/>
      <c r="GB237" s="93"/>
      <c r="GC237" s="93"/>
      <c r="GD237" s="93"/>
      <c r="GE237" s="93"/>
      <c r="GF237" s="93"/>
      <c r="GG237" s="93"/>
      <c r="GH237" s="93"/>
      <c r="GI237" s="93"/>
      <c r="GJ237" s="93"/>
      <c r="GK237" s="93"/>
      <c r="GL237" s="93"/>
      <c r="GM237" s="93"/>
      <c r="GN237" s="93"/>
      <c r="GO237" s="93"/>
      <c r="GP237" s="93"/>
      <c r="GQ237" s="93"/>
      <c r="GR237" s="93"/>
      <c r="GS237" s="93"/>
      <c r="GT237" s="93"/>
      <c r="GU237" s="93"/>
      <c r="GV237" s="93"/>
      <c r="GW237" s="93"/>
      <c r="GX237" s="93"/>
      <c r="GY237" s="93"/>
      <c r="GZ237" s="93"/>
      <c r="HA237" s="93"/>
      <c r="HB237" s="93"/>
      <c r="HC237" s="93"/>
      <c r="HD237" s="93"/>
      <c r="HE237" s="93"/>
      <c r="HF237" s="93"/>
      <c r="HG237" s="93"/>
    </row>
    <row r="238" spans="14:215" x14ac:dyDescent="0.2">
      <c r="N238" s="93" t="s">
        <v>455</v>
      </c>
      <c r="O238" s="93"/>
      <c r="P238" s="93"/>
      <c r="Q238" s="93"/>
      <c r="R238" s="93"/>
      <c r="S238" s="93"/>
      <c r="T238" s="93"/>
      <c r="U238" s="93"/>
      <c r="V238" s="93"/>
      <c r="W238" s="93"/>
      <c r="X238" s="93"/>
      <c r="Y238" s="93"/>
      <c r="Z238" s="93"/>
      <c r="AA238" s="93"/>
      <c r="AB238" s="93"/>
      <c r="AC238" s="93"/>
      <c r="AD238" s="93"/>
      <c r="AE238" s="93"/>
      <c r="AF238" s="93"/>
      <c r="AG238" s="93"/>
      <c r="AH238" s="93"/>
      <c r="AI238" s="93"/>
      <c r="AJ238" s="93"/>
      <c r="AK238" s="93"/>
      <c r="AL238" s="93"/>
      <c r="AM238" s="93"/>
      <c r="AN238" s="93"/>
      <c r="AO238" s="93"/>
      <c r="AP238" s="93"/>
      <c r="AQ238" s="93"/>
      <c r="AR238" s="93"/>
      <c r="AS238" s="93"/>
      <c r="AT238" s="93"/>
      <c r="AU238" s="93"/>
      <c r="AV238" s="93"/>
      <c r="AW238" s="93"/>
      <c r="AX238" s="93"/>
      <c r="AY238" s="93"/>
      <c r="AZ238" s="93"/>
      <c r="BA238" s="93"/>
      <c r="BB238" s="93"/>
      <c r="BC238" s="93"/>
      <c r="BD238" s="93"/>
      <c r="BE238" s="93"/>
      <c r="BF238" s="93"/>
      <c r="BG238" s="93"/>
      <c r="BH238" s="93"/>
      <c r="BI238" s="93"/>
      <c r="BJ238" s="93"/>
      <c r="BK238" s="93"/>
      <c r="BL238" s="93"/>
      <c r="BM238" s="93"/>
      <c r="BN238" s="93"/>
      <c r="BO238" s="93"/>
      <c r="BP238" s="93"/>
      <c r="BQ238" s="93"/>
      <c r="BR238" s="93"/>
      <c r="BS238" s="93"/>
      <c r="BT238" s="93"/>
      <c r="BU238" s="93"/>
      <c r="BV238" s="93"/>
      <c r="BW238" s="93"/>
      <c r="BX238" s="93"/>
      <c r="BY238" s="93"/>
      <c r="BZ238" s="93"/>
      <c r="CA238" s="93"/>
      <c r="CB238" s="93"/>
      <c r="CC238" s="93"/>
      <c r="CD238" s="93"/>
      <c r="CE238" s="93"/>
      <c r="CF238" s="93"/>
      <c r="CG238" s="93"/>
      <c r="CH238" s="93"/>
      <c r="CI238" s="93"/>
      <c r="CJ238" s="93"/>
      <c r="CK238" s="93"/>
      <c r="CL238" s="93"/>
      <c r="CM238" s="93"/>
      <c r="CN238" s="93"/>
      <c r="CO238" s="93"/>
      <c r="CP238" s="93"/>
      <c r="CQ238" s="93"/>
      <c r="CR238" s="93"/>
      <c r="CS238" s="93"/>
      <c r="CT238" s="93"/>
      <c r="CU238" s="93"/>
      <c r="CV238" s="93"/>
      <c r="CW238" s="93"/>
      <c r="CX238" s="93"/>
      <c r="CY238" s="93"/>
      <c r="CZ238" s="93"/>
      <c r="DA238" s="93"/>
      <c r="DB238" s="93"/>
      <c r="DC238" s="93"/>
      <c r="DD238" s="93"/>
      <c r="DE238" s="93"/>
      <c r="DF238" s="93"/>
      <c r="DG238" s="93"/>
      <c r="DH238" s="93"/>
      <c r="DI238" s="93"/>
      <c r="DJ238" s="93"/>
      <c r="DK238" s="93"/>
      <c r="DL238" s="93"/>
      <c r="DM238" s="93"/>
      <c r="DN238" s="93"/>
      <c r="DO238" s="93"/>
      <c r="DP238" s="93"/>
      <c r="DQ238" s="93"/>
      <c r="DR238" s="93"/>
      <c r="DS238" s="93"/>
      <c r="DT238" s="93"/>
      <c r="DU238" s="93"/>
      <c r="DV238" s="93"/>
      <c r="DW238" s="93"/>
      <c r="DX238" s="93"/>
      <c r="DY238" s="93"/>
      <c r="DZ238" s="93"/>
      <c r="EA238" s="93"/>
      <c r="EB238" s="93"/>
      <c r="EC238" s="93"/>
      <c r="ED238" s="93"/>
      <c r="EE238" s="93"/>
      <c r="EF238" s="93"/>
      <c r="EG238" s="93"/>
      <c r="EH238" s="93"/>
      <c r="EI238" s="93"/>
      <c r="EJ238" s="93"/>
      <c r="EK238" s="93"/>
      <c r="EL238" s="93">
        <v>0.33245614035087717</v>
      </c>
      <c r="EM238" s="93"/>
      <c r="EN238" s="93"/>
      <c r="EO238" s="93"/>
      <c r="EP238" s="93"/>
      <c r="EQ238" s="93"/>
      <c r="ER238" s="93"/>
      <c r="ES238" s="93"/>
      <c r="ET238" s="93"/>
      <c r="EU238" s="93"/>
      <c r="EV238" s="93"/>
      <c r="EW238" s="93"/>
      <c r="EX238" s="93"/>
      <c r="EY238" s="93"/>
      <c r="EZ238" s="93"/>
      <c r="FA238" s="93"/>
      <c r="FB238" s="93"/>
      <c r="FC238" s="93"/>
      <c r="FD238" s="93"/>
      <c r="FE238" s="93"/>
      <c r="FF238" s="93"/>
      <c r="FG238" s="93"/>
      <c r="FH238" s="93"/>
      <c r="FI238" s="93"/>
      <c r="FJ238" s="93"/>
      <c r="FK238" s="93"/>
      <c r="FL238" s="93"/>
      <c r="FM238" s="93"/>
      <c r="FN238" s="93"/>
      <c r="FO238" s="93"/>
      <c r="FP238" s="93"/>
      <c r="FQ238" s="93"/>
      <c r="FR238" s="93"/>
      <c r="FS238" s="93"/>
      <c r="FT238" s="93"/>
      <c r="FU238" s="93"/>
      <c r="FV238" s="93"/>
      <c r="FW238" s="93"/>
      <c r="FX238" s="93"/>
      <c r="FY238" s="93"/>
      <c r="FZ238" s="93"/>
      <c r="GA238" s="93"/>
      <c r="GB238" s="93"/>
      <c r="GC238" s="93"/>
      <c r="GD238" s="93"/>
      <c r="GE238" s="93"/>
      <c r="GF238" s="93"/>
      <c r="GG238" s="93"/>
      <c r="GH238" s="93"/>
      <c r="GI238" s="93"/>
      <c r="GJ238" s="93"/>
      <c r="GK238" s="93"/>
      <c r="GL238" s="93"/>
      <c r="GM238" s="93"/>
      <c r="GN238" s="93"/>
      <c r="GO238" s="93"/>
      <c r="GP238" s="93"/>
      <c r="GQ238" s="93"/>
      <c r="GR238" s="93"/>
      <c r="GS238" s="93"/>
      <c r="GT238" s="93"/>
      <c r="GU238" s="93"/>
      <c r="GV238" s="93"/>
      <c r="GW238" s="93"/>
      <c r="GX238" s="93"/>
      <c r="GY238" s="93"/>
      <c r="GZ238" s="93"/>
      <c r="HA238" s="93"/>
      <c r="HB238" s="93"/>
      <c r="HC238" s="93"/>
      <c r="HD238" s="93"/>
      <c r="HE238" s="93"/>
      <c r="HF238" s="93"/>
      <c r="HG238" s="93"/>
    </row>
    <row r="239" spans="14:215" x14ac:dyDescent="0.2">
      <c r="N239" s="93" t="s">
        <v>456</v>
      </c>
      <c r="O239" s="93"/>
      <c r="P239" s="93"/>
      <c r="Q239" s="93"/>
      <c r="R239" s="93"/>
      <c r="S239" s="93"/>
      <c r="T239" s="93"/>
      <c r="U239" s="93"/>
      <c r="V239" s="93"/>
      <c r="W239" s="93"/>
      <c r="X239" s="93"/>
      <c r="Y239" s="93"/>
      <c r="Z239" s="93"/>
      <c r="AA239" s="93"/>
      <c r="AB239" s="93"/>
      <c r="AC239" s="93"/>
      <c r="AD239" s="93"/>
      <c r="AE239" s="93"/>
      <c r="AF239" s="93"/>
      <c r="AG239" s="93"/>
      <c r="AH239" s="93"/>
      <c r="AI239" s="93"/>
      <c r="AJ239" s="93"/>
      <c r="AK239" s="93"/>
      <c r="AL239" s="93"/>
      <c r="AM239" s="93"/>
      <c r="AN239" s="93"/>
      <c r="AO239" s="93"/>
      <c r="AP239" s="93"/>
      <c r="AQ239" s="93"/>
      <c r="AR239" s="93"/>
      <c r="AS239" s="93"/>
      <c r="AT239" s="93"/>
      <c r="AU239" s="93"/>
      <c r="AV239" s="93"/>
      <c r="AW239" s="93"/>
      <c r="AX239" s="93"/>
      <c r="AY239" s="93"/>
      <c r="AZ239" s="93"/>
      <c r="BA239" s="93"/>
      <c r="BB239" s="93"/>
      <c r="BC239" s="93"/>
      <c r="BD239" s="93"/>
      <c r="BE239" s="93"/>
      <c r="BF239" s="93"/>
      <c r="BG239" s="93"/>
      <c r="BH239" s="93"/>
      <c r="BI239" s="93"/>
      <c r="BJ239" s="93"/>
      <c r="BK239" s="93"/>
      <c r="BL239" s="93"/>
      <c r="BM239" s="93"/>
      <c r="BN239" s="93"/>
      <c r="BO239" s="93"/>
      <c r="BP239" s="93"/>
      <c r="BQ239" s="93"/>
      <c r="BR239" s="93"/>
      <c r="BS239" s="93"/>
      <c r="BT239" s="93"/>
      <c r="BU239" s="93"/>
      <c r="BV239" s="93"/>
      <c r="BW239" s="93"/>
      <c r="BX239" s="93"/>
      <c r="BY239" s="93"/>
      <c r="BZ239" s="93"/>
      <c r="CA239" s="93"/>
      <c r="CB239" s="93"/>
      <c r="CC239" s="93"/>
      <c r="CD239" s="93"/>
      <c r="CE239" s="93"/>
      <c r="CF239" s="93"/>
      <c r="CG239" s="93"/>
      <c r="CH239" s="93"/>
      <c r="CI239" s="93"/>
      <c r="CJ239" s="93"/>
      <c r="CK239" s="93"/>
      <c r="CL239" s="93"/>
      <c r="CM239" s="93"/>
      <c r="CN239" s="93"/>
      <c r="CO239" s="93"/>
      <c r="CP239" s="93"/>
      <c r="CQ239" s="93"/>
      <c r="CR239" s="93"/>
      <c r="CS239" s="93"/>
      <c r="CT239" s="93"/>
      <c r="CU239" s="93"/>
      <c r="CV239" s="93"/>
      <c r="CW239" s="93"/>
      <c r="CX239" s="93"/>
      <c r="CY239" s="93"/>
      <c r="CZ239" s="93"/>
      <c r="DA239" s="93"/>
      <c r="DB239" s="93"/>
      <c r="DC239" s="93"/>
      <c r="DD239" s="93"/>
      <c r="DE239" s="93"/>
      <c r="DF239" s="93"/>
      <c r="DG239" s="93"/>
      <c r="DH239" s="93"/>
      <c r="DI239" s="93"/>
      <c r="DJ239" s="93"/>
      <c r="DK239" s="93"/>
      <c r="DL239" s="93"/>
      <c r="DM239" s="93"/>
      <c r="DN239" s="93"/>
      <c r="DO239" s="93"/>
      <c r="DP239" s="93"/>
      <c r="DQ239" s="93"/>
      <c r="DR239" s="93"/>
      <c r="DS239" s="93"/>
      <c r="DT239" s="93"/>
      <c r="DU239" s="93"/>
      <c r="DV239" s="93"/>
      <c r="DW239" s="93"/>
      <c r="DX239" s="93"/>
      <c r="DY239" s="93"/>
      <c r="DZ239" s="93"/>
      <c r="EA239" s="93"/>
      <c r="EB239" s="93"/>
      <c r="EC239" s="93"/>
      <c r="ED239" s="93"/>
      <c r="EE239" s="93"/>
      <c r="EF239" s="93"/>
      <c r="EG239" s="93"/>
      <c r="EH239" s="93"/>
      <c r="EI239" s="93"/>
      <c r="EJ239" s="93"/>
      <c r="EK239" s="93"/>
      <c r="EL239" s="93"/>
      <c r="EM239" s="93">
        <v>0.33246301131418626</v>
      </c>
      <c r="EN239" s="93"/>
      <c r="EO239" s="93"/>
      <c r="EP239" s="93"/>
      <c r="EQ239" s="93"/>
      <c r="ER239" s="93"/>
      <c r="ES239" s="93"/>
      <c r="ET239" s="93"/>
      <c r="EU239" s="93"/>
      <c r="EV239" s="93"/>
      <c r="EW239" s="93"/>
      <c r="EX239" s="93"/>
      <c r="EY239" s="93"/>
      <c r="EZ239" s="93"/>
      <c r="FA239" s="93"/>
      <c r="FB239" s="93"/>
      <c r="FC239" s="93"/>
      <c r="FD239" s="93"/>
      <c r="FE239" s="93"/>
      <c r="FF239" s="93"/>
      <c r="FG239" s="93"/>
      <c r="FH239" s="93"/>
      <c r="FI239" s="93"/>
      <c r="FJ239" s="93"/>
      <c r="FK239" s="93"/>
      <c r="FL239" s="93"/>
      <c r="FM239" s="93"/>
      <c r="FN239" s="93"/>
      <c r="FO239" s="93"/>
      <c r="FP239" s="93"/>
      <c r="FQ239" s="93"/>
      <c r="FR239" s="93"/>
      <c r="FS239" s="93"/>
      <c r="FT239" s="93"/>
      <c r="FU239" s="93"/>
      <c r="FV239" s="93"/>
      <c r="FW239" s="93"/>
      <c r="FX239" s="93"/>
      <c r="FY239" s="93"/>
      <c r="FZ239" s="93"/>
      <c r="GA239" s="93"/>
      <c r="GB239" s="93"/>
      <c r="GC239" s="93"/>
      <c r="GD239" s="93"/>
      <c r="GE239" s="93"/>
      <c r="GF239" s="93"/>
      <c r="GG239" s="93"/>
      <c r="GH239" s="93"/>
      <c r="GI239" s="93"/>
      <c r="GJ239" s="93"/>
      <c r="GK239" s="93"/>
      <c r="GL239" s="93"/>
      <c r="GM239" s="93"/>
      <c r="GN239" s="93"/>
      <c r="GO239" s="93"/>
      <c r="GP239" s="93"/>
      <c r="GQ239" s="93"/>
      <c r="GR239" s="93"/>
      <c r="GS239" s="93"/>
      <c r="GT239" s="93"/>
      <c r="GU239" s="93"/>
      <c r="GV239" s="93"/>
      <c r="GW239" s="93"/>
      <c r="GX239" s="93"/>
      <c r="GY239" s="93"/>
      <c r="GZ239" s="93"/>
      <c r="HA239" s="93"/>
      <c r="HB239" s="93"/>
      <c r="HC239" s="93"/>
      <c r="HD239" s="93"/>
      <c r="HE239" s="93"/>
      <c r="HF239" s="93"/>
      <c r="HG239" s="93"/>
    </row>
    <row r="240" spans="14:215" x14ac:dyDescent="0.2">
      <c r="N240" s="93" t="s">
        <v>457</v>
      </c>
      <c r="O240" s="93"/>
      <c r="P240" s="93"/>
      <c r="Q240" s="93"/>
      <c r="R240" s="93"/>
      <c r="S240" s="93"/>
      <c r="T240" s="93"/>
      <c r="U240" s="93"/>
      <c r="V240" s="93"/>
      <c r="W240" s="93"/>
      <c r="X240" s="93"/>
      <c r="Y240" s="93"/>
      <c r="Z240" s="93"/>
      <c r="AA240" s="93"/>
      <c r="AB240" s="93"/>
      <c r="AC240" s="93"/>
      <c r="AD240" s="93"/>
      <c r="AE240" s="93"/>
      <c r="AF240" s="93"/>
      <c r="AG240" s="93"/>
      <c r="AH240" s="93"/>
      <c r="AI240" s="93"/>
      <c r="AJ240" s="93"/>
      <c r="AK240" s="93"/>
      <c r="AL240" s="93"/>
      <c r="AM240" s="93"/>
      <c r="AN240" s="93"/>
      <c r="AO240" s="93"/>
      <c r="AP240" s="93"/>
      <c r="AQ240" s="93"/>
      <c r="AR240" s="93"/>
      <c r="AS240" s="93"/>
      <c r="AT240" s="93"/>
      <c r="AU240" s="93"/>
      <c r="AV240" s="93"/>
      <c r="AW240" s="93"/>
      <c r="AX240" s="93"/>
      <c r="AY240" s="93"/>
      <c r="AZ240" s="93"/>
      <c r="BA240" s="93"/>
      <c r="BB240" s="93"/>
      <c r="BC240" s="93"/>
      <c r="BD240" s="93"/>
      <c r="BE240" s="93"/>
      <c r="BF240" s="93"/>
      <c r="BG240" s="93"/>
      <c r="BH240" s="93"/>
      <c r="BI240" s="93"/>
      <c r="BJ240" s="93"/>
      <c r="BK240" s="93"/>
      <c r="BL240" s="93"/>
      <c r="BM240" s="93"/>
      <c r="BN240" s="93"/>
      <c r="BO240" s="93"/>
      <c r="BP240" s="93"/>
      <c r="BQ240" s="93"/>
      <c r="BR240" s="93"/>
      <c r="BS240" s="93"/>
      <c r="BT240" s="93"/>
      <c r="BU240" s="93"/>
      <c r="BV240" s="93"/>
      <c r="BW240" s="93"/>
      <c r="BX240" s="93"/>
      <c r="BY240" s="93"/>
      <c r="BZ240" s="93"/>
      <c r="CA240" s="93"/>
      <c r="CB240" s="93"/>
      <c r="CC240" s="93"/>
      <c r="CD240" s="93"/>
      <c r="CE240" s="93"/>
      <c r="CF240" s="93"/>
      <c r="CG240" s="93"/>
      <c r="CH240" s="93"/>
      <c r="CI240" s="93"/>
      <c r="CJ240" s="93"/>
      <c r="CK240" s="93"/>
      <c r="CL240" s="93"/>
      <c r="CM240" s="93"/>
      <c r="CN240" s="93"/>
      <c r="CO240" s="93"/>
      <c r="CP240" s="93"/>
      <c r="CQ240" s="93"/>
      <c r="CR240" s="93"/>
      <c r="CS240" s="93"/>
      <c r="CT240" s="93"/>
      <c r="CU240" s="93"/>
      <c r="CV240" s="93"/>
      <c r="CW240" s="93"/>
      <c r="CX240" s="93"/>
      <c r="CY240" s="93"/>
      <c r="CZ240" s="93"/>
      <c r="DA240" s="93"/>
      <c r="DB240" s="93"/>
      <c r="DC240" s="93"/>
      <c r="DD240" s="93"/>
      <c r="DE240" s="93"/>
      <c r="DF240" s="93"/>
      <c r="DG240" s="93"/>
      <c r="DH240" s="93"/>
      <c r="DI240" s="93"/>
      <c r="DJ240" s="93"/>
      <c r="DK240" s="93"/>
      <c r="DL240" s="93"/>
      <c r="DM240" s="93"/>
      <c r="DN240" s="93"/>
      <c r="DO240" s="93"/>
      <c r="DP240" s="93"/>
      <c r="DQ240" s="93"/>
      <c r="DR240" s="93"/>
      <c r="DS240" s="93"/>
      <c r="DT240" s="93"/>
      <c r="DU240" s="93"/>
      <c r="DV240" s="93"/>
      <c r="DW240" s="93"/>
      <c r="DX240" s="93"/>
      <c r="DY240" s="93"/>
      <c r="DZ240" s="93"/>
      <c r="EA240" s="93"/>
      <c r="EB240" s="93"/>
      <c r="EC240" s="93"/>
      <c r="ED240" s="93"/>
      <c r="EE240" s="93"/>
      <c r="EF240" s="93"/>
      <c r="EG240" s="93"/>
      <c r="EH240" s="93"/>
      <c r="EI240" s="93"/>
      <c r="EJ240" s="93"/>
      <c r="EK240" s="93"/>
      <c r="EL240" s="93"/>
      <c r="EM240" s="93"/>
      <c r="EN240" s="93">
        <v>0.33246977547495682</v>
      </c>
      <c r="EO240" s="93"/>
      <c r="EP240" s="93"/>
      <c r="EQ240" s="93"/>
      <c r="ER240" s="93"/>
      <c r="ES240" s="93"/>
      <c r="ET240" s="93"/>
      <c r="EU240" s="93"/>
      <c r="EV240" s="93"/>
      <c r="EW240" s="93"/>
      <c r="EX240" s="93"/>
      <c r="EY240" s="93"/>
      <c r="EZ240" s="93"/>
      <c r="FA240" s="93"/>
      <c r="FB240" s="93"/>
      <c r="FC240" s="93"/>
      <c r="FD240" s="93"/>
      <c r="FE240" s="93"/>
      <c r="FF240" s="93"/>
      <c r="FG240" s="93"/>
      <c r="FH240" s="93"/>
      <c r="FI240" s="93"/>
      <c r="FJ240" s="93"/>
      <c r="FK240" s="93"/>
      <c r="FL240" s="93"/>
      <c r="FM240" s="93"/>
      <c r="FN240" s="93"/>
      <c r="FO240" s="93"/>
      <c r="FP240" s="93"/>
      <c r="FQ240" s="93"/>
      <c r="FR240" s="93"/>
      <c r="FS240" s="93"/>
      <c r="FT240" s="93"/>
      <c r="FU240" s="93"/>
      <c r="FV240" s="93"/>
      <c r="FW240" s="93"/>
      <c r="FX240" s="93"/>
      <c r="FY240" s="93"/>
      <c r="FZ240" s="93"/>
      <c r="GA240" s="93"/>
      <c r="GB240" s="93"/>
      <c r="GC240" s="93"/>
      <c r="GD240" s="93"/>
      <c r="GE240" s="93"/>
      <c r="GF240" s="93"/>
      <c r="GG240" s="93"/>
      <c r="GH240" s="93"/>
      <c r="GI240" s="93"/>
      <c r="GJ240" s="93"/>
      <c r="GK240" s="93"/>
      <c r="GL240" s="93"/>
      <c r="GM240" s="93"/>
      <c r="GN240" s="93"/>
      <c r="GO240" s="93"/>
      <c r="GP240" s="93"/>
      <c r="GQ240" s="93"/>
      <c r="GR240" s="93"/>
      <c r="GS240" s="93"/>
      <c r="GT240" s="93"/>
      <c r="GU240" s="93"/>
      <c r="GV240" s="93"/>
      <c r="GW240" s="93"/>
      <c r="GX240" s="93"/>
      <c r="GY240" s="93"/>
      <c r="GZ240" s="93"/>
      <c r="HA240" s="93"/>
      <c r="HB240" s="93"/>
      <c r="HC240" s="93"/>
      <c r="HD240" s="93"/>
      <c r="HE240" s="93"/>
      <c r="HF240" s="93"/>
      <c r="HG240" s="93"/>
    </row>
    <row r="241" spans="14:215" x14ac:dyDescent="0.2">
      <c r="N241" s="93" t="s">
        <v>458</v>
      </c>
      <c r="O241" s="93"/>
      <c r="P241" s="93"/>
      <c r="Q241" s="93"/>
      <c r="R241" s="93"/>
      <c r="S241" s="93"/>
      <c r="T241" s="93"/>
      <c r="U241" s="93"/>
      <c r="V241" s="93"/>
      <c r="W241" s="93"/>
      <c r="X241" s="93"/>
      <c r="Y241" s="93"/>
      <c r="Z241" s="93"/>
      <c r="AA241" s="93"/>
      <c r="AB241" s="93"/>
      <c r="AC241" s="93"/>
      <c r="AD241" s="93"/>
      <c r="AE241" s="93"/>
      <c r="AF241" s="93"/>
      <c r="AG241" s="93"/>
      <c r="AH241" s="93"/>
      <c r="AI241" s="93"/>
      <c r="AJ241" s="93"/>
      <c r="AK241" s="93"/>
      <c r="AL241" s="93"/>
      <c r="AM241" s="93"/>
      <c r="AN241" s="93"/>
      <c r="AO241" s="93"/>
      <c r="AP241" s="93"/>
      <c r="AQ241" s="93"/>
      <c r="AR241" s="93"/>
      <c r="AS241" s="93"/>
      <c r="AT241" s="93"/>
      <c r="AU241" s="93"/>
      <c r="AV241" s="93"/>
      <c r="AW241" s="93"/>
      <c r="AX241" s="93"/>
      <c r="AY241" s="93"/>
      <c r="AZ241" s="93"/>
      <c r="BA241" s="93"/>
      <c r="BB241" s="93"/>
      <c r="BC241" s="93"/>
      <c r="BD241" s="93"/>
      <c r="BE241" s="93"/>
      <c r="BF241" s="93"/>
      <c r="BG241" s="93"/>
      <c r="BH241" s="93"/>
      <c r="BI241" s="93"/>
      <c r="BJ241" s="93"/>
      <c r="BK241" s="93"/>
      <c r="BL241" s="93"/>
      <c r="BM241" s="93"/>
      <c r="BN241" s="93"/>
      <c r="BO241" s="93"/>
      <c r="BP241" s="93"/>
      <c r="BQ241" s="93"/>
      <c r="BR241" s="93"/>
      <c r="BS241" s="93"/>
      <c r="BT241" s="93"/>
      <c r="BU241" s="93"/>
      <c r="BV241" s="93"/>
      <c r="BW241" s="93"/>
      <c r="BX241" s="93"/>
      <c r="BY241" s="93"/>
      <c r="BZ241" s="93"/>
      <c r="CA241" s="93"/>
      <c r="CB241" s="93"/>
      <c r="CC241" s="93"/>
      <c r="CD241" s="93"/>
      <c r="CE241" s="93"/>
      <c r="CF241" s="93"/>
      <c r="CG241" s="93"/>
      <c r="CH241" s="93"/>
      <c r="CI241" s="93"/>
      <c r="CJ241" s="93"/>
      <c r="CK241" s="93"/>
      <c r="CL241" s="93"/>
      <c r="CM241" s="93"/>
      <c r="CN241" s="93"/>
      <c r="CO241" s="93"/>
      <c r="CP241" s="93"/>
      <c r="CQ241" s="93"/>
      <c r="CR241" s="93"/>
      <c r="CS241" s="93"/>
      <c r="CT241" s="93"/>
      <c r="CU241" s="93"/>
      <c r="CV241" s="93"/>
      <c r="CW241" s="93"/>
      <c r="CX241" s="93"/>
      <c r="CY241" s="93"/>
      <c r="CZ241" s="93"/>
      <c r="DA241" s="93"/>
      <c r="DB241" s="93"/>
      <c r="DC241" s="93"/>
      <c r="DD241" s="93"/>
      <c r="DE241" s="93"/>
      <c r="DF241" s="93"/>
      <c r="DG241" s="93"/>
      <c r="DH241" s="93"/>
      <c r="DI241" s="93"/>
      <c r="DJ241" s="93"/>
      <c r="DK241" s="93"/>
      <c r="DL241" s="93"/>
      <c r="DM241" s="93"/>
      <c r="DN241" s="93"/>
      <c r="DO241" s="93"/>
      <c r="DP241" s="93"/>
      <c r="DQ241" s="93"/>
      <c r="DR241" s="93"/>
      <c r="DS241" s="93"/>
      <c r="DT241" s="93"/>
      <c r="DU241" s="93"/>
      <c r="DV241" s="93"/>
      <c r="DW241" s="93"/>
      <c r="DX241" s="93"/>
      <c r="DY241" s="93"/>
      <c r="DZ241" s="93"/>
      <c r="EA241" s="93"/>
      <c r="EB241" s="93"/>
      <c r="EC241" s="93"/>
      <c r="ED241" s="93"/>
      <c r="EE241" s="93"/>
      <c r="EF241" s="93"/>
      <c r="EG241" s="93"/>
      <c r="EH241" s="93"/>
      <c r="EI241" s="93"/>
      <c r="EJ241" s="93"/>
      <c r="EK241" s="93"/>
      <c r="EL241" s="93"/>
      <c r="EM241" s="93"/>
      <c r="EN241" s="93"/>
      <c r="EO241" s="93">
        <v>0.33247643530419879</v>
      </c>
      <c r="EP241" s="93"/>
      <c r="EQ241" s="93"/>
      <c r="ER241" s="93"/>
      <c r="ES241" s="93"/>
      <c r="ET241" s="93"/>
      <c r="EU241" s="93"/>
      <c r="EV241" s="93"/>
      <c r="EW241" s="93"/>
      <c r="EX241" s="93"/>
      <c r="EY241" s="93"/>
      <c r="EZ241" s="93"/>
      <c r="FA241" s="93"/>
      <c r="FB241" s="93"/>
      <c r="FC241" s="93"/>
      <c r="FD241" s="93"/>
      <c r="FE241" s="93"/>
      <c r="FF241" s="93"/>
      <c r="FG241" s="93"/>
      <c r="FH241" s="93"/>
      <c r="FI241" s="93"/>
      <c r="FJ241" s="93"/>
      <c r="FK241" s="93"/>
      <c r="FL241" s="93"/>
      <c r="FM241" s="93"/>
      <c r="FN241" s="93"/>
      <c r="FO241" s="93"/>
      <c r="FP241" s="93"/>
      <c r="FQ241" s="93"/>
      <c r="FR241" s="93"/>
      <c r="FS241" s="93"/>
      <c r="FT241" s="93"/>
      <c r="FU241" s="93"/>
      <c r="FV241" s="93"/>
      <c r="FW241" s="93"/>
      <c r="FX241" s="93"/>
      <c r="FY241" s="93"/>
      <c r="FZ241" s="93"/>
      <c r="GA241" s="93"/>
      <c r="GB241" s="93"/>
      <c r="GC241" s="93"/>
      <c r="GD241" s="93"/>
      <c r="GE241" s="93"/>
      <c r="GF241" s="93"/>
      <c r="GG241" s="93"/>
      <c r="GH241" s="93"/>
      <c r="GI241" s="93"/>
      <c r="GJ241" s="93"/>
      <c r="GK241" s="93"/>
      <c r="GL241" s="93"/>
      <c r="GM241" s="93"/>
      <c r="GN241" s="93"/>
      <c r="GO241" s="93"/>
      <c r="GP241" s="93"/>
      <c r="GQ241" s="93"/>
      <c r="GR241" s="93"/>
      <c r="GS241" s="93"/>
      <c r="GT241" s="93"/>
      <c r="GU241" s="93"/>
      <c r="GV241" s="93"/>
      <c r="GW241" s="93"/>
      <c r="GX241" s="93"/>
      <c r="GY241" s="93"/>
      <c r="GZ241" s="93"/>
      <c r="HA241" s="93"/>
      <c r="HB241" s="93"/>
      <c r="HC241" s="93"/>
      <c r="HD241" s="93"/>
      <c r="HE241" s="93"/>
      <c r="HF241" s="93"/>
      <c r="HG241" s="93"/>
    </row>
    <row r="242" spans="14:215" x14ac:dyDescent="0.2">
      <c r="N242" s="93" t="s">
        <v>459</v>
      </c>
      <c r="O242" s="93"/>
      <c r="P242" s="93"/>
      <c r="Q242" s="93"/>
      <c r="R242" s="93"/>
      <c r="S242" s="93"/>
      <c r="T242" s="93"/>
      <c r="U242" s="93"/>
      <c r="V242" s="93"/>
      <c r="W242" s="93"/>
      <c r="X242" s="93"/>
      <c r="Y242" s="93"/>
      <c r="Z242" s="93"/>
      <c r="AA242" s="93"/>
      <c r="AB242" s="93"/>
      <c r="AC242" s="93"/>
      <c r="AD242" s="93"/>
      <c r="AE242" s="93"/>
      <c r="AF242" s="93"/>
      <c r="AG242" s="93"/>
      <c r="AH242" s="93"/>
      <c r="AI242" s="93"/>
      <c r="AJ242" s="93"/>
      <c r="AK242" s="93"/>
      <c r="AL242" s="93"/>
      <c r="AM242" s="93"/>
      <c r="AN242" s="93"/>
      <c r="AO242" s="93"/>
      <c r="AP242" s="93"/>
      <c r="AQ242" s="93"/>
      <c r="AR242" s="93"/>
      <c r="AS242" s="93"/>
      <c r="AT242" s="93"/>
      <c r="AU242" s="93"/>
      <c r="AV242" s="93"/>
      <c r="AW242" s="93"/>
      <c r="AX242" s="93"/>
      <c r="AY242" s="93"/>
      <c r="AZ242" s="93"/>
      <c r="BA242" s="93"/>
      <c r="BB242" s="93"/>
      <c r="BC242" s="93"/>
      <c r="BD242" s="93"/>
      <c r="BE242" s="93"/>
      <c r="BF242" s="93"/>
      <c r="BG242" s="93"/>
      <c r="BH242" s="93"/>
      <c r="BI242" s="93"/>
      <c r="BJ242" s="93"/>
      <c r="BK242" s="93"/>
      <c r="BL242" s="93"/>
      <c r="BM242" s="93"/>
      <c r="BN242" s="93"/>
      <c r="BO242" s="93"/>
      <c r="BP242" s="93"/>
      <c r="BQ242" s="93"/>
      <c r="BR242" s="93"/>
      <c r="BS242" s="93"/>
      <c r="BT242" s="93"/>
      <c r="BU242" s="93"/>
      <c r="BV242" s="93"/>
      <c r="BW242" s="93"/>
      <c r="BX242" s="93"/>
      <c r="BY242" s="93"/>
      <c r="BZ242" s="93"/>
      <c r="CA242" s="93"/>
      <c r="CB242" s="93"/>
      <c r="CC242" s="93"/>
      <c r="CD242" s="93"/>
      <c r="CE242" s="93"/>
      <c r="CF242" s="93"/>
      <c r="CG242" s="93"/>
      <c r="CH242" s="93"/>
      <c r="CI242" s="93"/>
      <c r="CJ242" s="93"/>
      <c r="CK242" s="93"/>
      <c r="CL242" s="93"/>
      <c r="CM242" s="93"/>
      <c r="CN242" s="93"/>
      <c r="CO242" s="93"/>
      <c r="CP242" s="93"/>
      <c r="CQ242" s="93"/>
      <c r="CR242" s="93"/>
      <c r="CS242" s="93"/>
      <c r="CT242" s="93"/>
      <c r="CU242" s="93"/>
      <c r="CV242" s="93"/>
      <c r="CW242" s="93"/>
      <c r="CX242" s="93"/>
      <c r="CY242" s="93"/>
      <c r="CZ242" s="93"/>
      <c r="DA242" s="93"/>
      <c r="DB242" s="93"/>
      <c r="DC242" s="93"/>
      <c r="DD242" s="93"/>
      <c r="DE242" s="93"/>
      <c r="DF242" s="93"/>
      <c r="DG242" s="93"/>
      <c r="DH242" s="93"/>
      <c r="DI242" s="93"/>
      <c r="DJ242" s="93"/>
      <c r="DK242" s="93"/>
      <c r="DL242" s="93"/>
      <c r="DM242" s="93"/>
      <c r="DN242" s="93"/>
      <c r="DO242" s="93"/>
      <c r="DP242" s="93"/>
      <c r="DQ242" s="93"/>
      <c r="DR242" s="93"/>
      <c r="DS242" s="93"/>
      <c r="DT242" s="93"/>
      <c r="DU242" s="93"/>
      <c r="DV242" s="93"/>
      <c r="DW242" s="93"/>
      <c r="DX242" s="93"/>
      <c r="DY242" s="93"/>
      <c r="DZ242" s="93"/>
      <c r="EA242" s="93"/>
      <c r="EB242" s="93"/>
      <c r="EC242" s="93"/>
      <c r="ED242" s="93"/>
      <c r="EE242" s="93"/>
      <c r="EF242" s="93"/>
      <c r="EG242" s="93"/>
      <c r="EH242" s="93"/>
      <c r="EI242" s="93"/>
      <c r="EJ242" s="93"/>
      <c r="EK242" s="93"/>
      <c r="EL242" s="93"/>
      <c r="EM242" s="93"/>
      <c r="EN242" s="93"/>
      <c r="EO242" s="93"/>
      <c r="EP242" s="93">
        <v>0.33248299319727892</v>
      </c>
      <c r="EQ242" s="93"/>
      <c r="ER242" s="93"/>
      <c r="ES242" s="93"/>
      <c r="ET242" s="93"/>
      <c r="EU242" s="93"/>
      <c r="EV242" s="93"/>
      <c r="EW242" s="93"/>
      <c r="EX242" s="93"/>
      <c r="EY242" s="93"/>
      <c r="EZ242" s="93"/>
      <c r="FA242" s="93"/>
      <c r="FB242" s="93"/>
      <c r="FC242" s="93"/>
      <c r="FD242" s="93"/>
      <c r="FE242" s="93"/>
      <c r="FF242" s="93"/>
      <c r="FG242" s="93"/>
      <c r="FH242" s="93"/>
      <c r="FI242" s="93"/>
      <c r="FJ242" s="93"/>
      <c r="FK242" s="93"/>
      <c r="FL242" s="93"/>
      <c r="FM242" s="93"/>
      <c r="FN242" s="93"/>
      <c r="FO242" s="93"/>
      <c r="FP242" s="93"/>
      <c r="FQ242" s="93"/>
      <c r="FR242" s="93"/>
      <c r="FS242" s="93"/>
      <c r="FT242" s="93"/>
      <c r="FU242" s="93"/>
      <c r="FV242" s="93"/>
      <c r="FW242" s="93"/>
      <c r="FX242" s="93"/>
      <c r="FY242" s="93"/>
      <c r="FZ242" s="93"/>
      <c r="GA242" s="93"/>
      <c r="GB242" s="93"/>
      <c r="GC242" s="93"/>
      <c r="GD242" s="93"/>
      <c r="GE242" s="93"/>
      <c r="GF242" s="93"/>
      <c r="GG242" s="93"/>
      <c r="GH242" s="93"/>
      <c r="GI242" s="93"/>
      <c r="GJ242" s="93"/>
      <c r="GK242" s="93"/>
      <c r="GL242" s="93"/>
      <c r="GM242" s="93"/>
      <c r="GN242" s="93"/>
      <c r="GO242" s="93"/>
      <c r="GP242" s="93"/>
      <c r="GQ242" s="93"/>
      <c r="GR242" s="93"/>
      <c r="GS242" s="93"/>
      <c r="GT242" s="93"/>
      <c r="GU242" s="93"/>
      <c r="GV242" s="93"/>
      <c r="GW242" s="93"/>
      <c r="GX242" s="93"/>
      <c r="GY242" s="93"/>
      <c r="GZ242" s="93"/>
      <c r="HA242" s="93"/>
      <c r="HB242" s="93"/>
      <c r="HC242" s="93"/>
      <c r="HD242" s="93"/>
      <c r="HE242" s="93"/>
      <c r="HF242" s="93"/>
      <c r="HG242" s="93"/>
    </row>
    <row r="243" spans="14:215" x14ac:dyDescent="0.2">
      <c r="N243" s="93" t="s">
        <v>460</v>
      </c>
      <c r="O243" s="93"/>
      <c r="P243" s="93"/>
      <c r="Q243" s="93"/>
      <c r="R243" s="93"/>
      <c r="S243" s="93"/>
      <c r="T243" s="93"/>
      <c r="U243" s="93"/>
      <c r="V243" s="93"/>
      <c r="W243" s="93"/>
      <c r="X243" s="93"/>
      <c r="Y243" s="93"/>
      <c r="Z243" s="93"/>
      <c r="AA243" s="93"/>
      <c r="AB243" s="93"/>
      <c r="AC243" s="93"/>
      <c r="AD243" s="93"/>
      <c r="AE243" s="93"/>
      <c r="AF243" s="93"/>
      <c r="AG243" s="93"/>
      <c r="AH243" s="93"/>
      <c r="AI243" s="93"/>
      <c r="AJ243" s="93"/>
      <c r="AK243" s="93"/>
      <c r="AL243" s="93"/>
      <c r="AM243" s="93"/>
      <c r="AN243" s="93"/>
      <c r="AO243" s="93"/>
      <c r="AP243" s="93"/>
      <c r="AQ243" s="93"/>
      <c r="AR243" s="93"/>
      <c r="AS243" s="93"/>
      <c r="AT243" s="93"/>
      <c r="AU243" s="93"/>
      <c r="AV243" s="93"/>
      <c r="AW243" s="93"/>
      <c r="AX243" s="93"/>
      <c r="AY243" s="93"/>
      <c r="AZ243" s="93"/>
      <c r="BA243" s="93"/>
      <c r="BB243" s="93"/>
      <c r="BC243" s="93"/>
      <c r="BD243" s="93"/>
      <c r="BE243" s="93"/>
      <c r="BF243" s="93"/>
      <c r="BG243" s="93"/>
      <c r="BH243" s="93"/>
      <c r="BI243" s="93"/>
      <c r="BJ243" s="93"/>
      <c r="BK243" s="93"/>
      <c r="BL243" s="93"/>
      <c r="BM243" s="93"/>
      <c r="BN243" s="93"/>
      <c r="BO243" s="93"/>
      <c r="BP243" s="93"/>
      <c r="BQ243" s="93"/>
      <c r="BR243" s="93"/>
      <c r="BS243" s="93"/>
      <c r="BT243" s="93"/>
      <c r="BU243" s="93"/>
      <c r="BV243" s="93"/>
      <c r="BW243" s="93"/>
      <c r="BX243" s="93"/>
      <c r="BY243" s="93"/>
      <c r="BZ243" s="93"/>
      <c r="CA243" s="93"/>
      <c r="CB243" s="93"/>
      <c r="CC243" s="93"/>
      <c r="CD243" s="93"/>
      <c r="CE243" s="93"/>
      <c r="CF243" s="93"/>
      <c r="CG243" s="93"/>
      <c r="CH243" s="93"/>
      <c r="CI243" s="93"/>
      <c r="CJ243" s="93"/>
      <c r="CK243" s="93"/>
      <c r="CL243" s="93"/>
      <c r="CM243" s="93"/>
      <c r="CN243" s="93"/>
      <c r="CO243" s="93"/>
      <c r="CP243" s="93"/>
      <c r="CQ243" s="93"/>
      <c r="CR243" s="93"/>
      <c r="CS243" s="93"/>
      <c r="CT243" s="93"/>
      <c r="CU243" s="93"/>
      <c r="CV243" s="93"/>
      <c r="CW243" s="93"/>
      <c r="CX243" s="93"/>
      <c r="CY243" s="93"/>
      <c r="CZ243" s="93"/>
      <c r="DA243" s="93"/>
      <c r="DB243" s="93"/>
      <c r="DC243" s="93"/>
      <c r="DD243" s="93"/>
      <c r="DE243" s="93"/>
      <c r="DF243" s="93"/>
      <c r="DG243" s="93"/>
      <c r="DH243" s="93"/>
      <c r="DI243" s="93"/>
      <c r="DJ243" s="93"/>
      <c r="DK243" s="93"/>
      <c r="DL243" s="93"/>
      <c r="DM243" s="93"/>
      <c r="DN243" s="93"/>
      <c r="DO243" s="93"/>
      <c r="DP243" s="93"/>
      <c r="DQ243" s="93"/>
      <c r="DR243" s="93"/>
      <c r="DS243" s="93"/>
      <c r="DT243" s="93"/>
      <c r="DU243" s="93"/>
      <c r="DV243" s="93"/>
      <c r="DW243" s="93"/>
      <c r="DX243" s="93"/>
      <c r="DY243" s="93"/>
      <c r="DZ243" s="93"/>
      <c r="EA243" s="93"/>
      <c r="EB243" s="93"/>
      <c r="EC243" s="93"/>
      <c r="ED243" s="93"/>
      <c r="EE243" s="93"/>
      <c r="EF243" s="93"/>
      <c r="EG243" s="93"/>
      <c r="EH243" s="93"/>
      <c r="EI243" s="93"/>
      <c r="EJ243" s="93"/>
      <c r="EK243" s="93"/>
      <c r="EL243" s="93"/>
      <c r="EM243" s="93"/>
      <c r="EN243" s="93"/>
      <c r="EO243" s="93"/>
      <c r="EP243" s="93"/>
      <c r="EQ243" s="93">
        <v>0.33248945147679326</v>
      </c>
      <c r="ER243" s="93"/>
      <c r="ES243" s="93"/>
      <c r="ET243" s="93"/>
      <c r="EU243" s="93"/>
      <c r="EV243" s="93"/>
      <c r="EW243" s="93"/>
      <c r="EX243" s="93"/>
      <c r="EY243" s="93"/>
      <c r="EZ243" s="93"/>
      <c r="FA243" s="93"/>
      <c r="FB243" s="93"/>
      <c r="FC243" s="93"/>
      <c r="FD243" s="93"/>
      <c r="FE243" s="93"/>
      <c r="FF243" s="93"/>
      <c r="FG243" s="93"/>
      <c r="FH243" s="93"/>
      <c r="FI243" s="93"/>
      <c r="FJ243" s="93"/>
      <c r="FK243" s="93"/>
      <c r="FL243" s="93"/>
      <c r="FM243" s="93"/>
      <c r="FN243" s="93"/>
      <c r="FO243" s="93"/>
      <c r="FP243" s="93"/>
      <c r="FQ243" s="93"/>
      <c r="FR243" s="93"/>
      <c r="FS243" s="93"/>
      <c r="FT243" s="93"/>
      <c r="FU243" s="93"/>
      <c r="FV243" s="93"/>
      <c r="FW243" s="93"/>
      <c r="FX243" s="93"/>
      <c r="FY243" s="93"/>
      <c r="FZ243" s="93"/>
      <c r="GA243" s="93"/>
      <c r="GB243" s="93"/>
      <c r="GC243" s="93"/>
      <c r="GD243" s="93"/>
      <c r="GE243" s="93"/>
      <c r="GF243" s="93"/>
      <c r="GG243" s="93"/>
      <c r="GH243" s="93"/>
      <c r="GI243" s="93"/>
      <c r="GJ243" s="93"/>
      <c r="GK243" s="93"/>
      <c r="GL243" s="93"/>
      <c r="GM243" s="93"/>
      <c r="GN243" s="93"/>
      <c r="GO243" s="93"/>
      <c r="GP243" s="93"/>
      <c r="GQ243" s="93"/>
      <c r="GR243" s="93"/>
      <c r="GS243" s="93"/>
      <c r="GT243" s="93"/>
      <c r="GU243" s="93"/>
      <c r="GV243" s="93"/>
      <c r="GW243" s="93"/>
      <c r="GX243" s="93"/>
      <c r="GY243" s="93"/>
      <c r="GZ243" s="93"/>
      <c r="HA243" s="93"/>
      <c r="HB243" s="93"/>
      <c r="HC243" s="93"/>
      <c r="HD243" s="93"/>
      <c r="HE243" s="93"/>
      <c r="HF243" s="93"/>
      <c r="HG243" s="93"/>
    </row>
    <row r="244" spans="14:215" x14ac:dyDescent="0.2">
      <c r="N244" s="93" t="s">
        <v>461</v>
      </c>
      <c r="O244" s="93"/>
      <c r="P244" s="93"/>
      <c r="Q244" s="93"/>
      <c r="R244" s="93"/>
      <c r="S244" s="93"/>
      <c r="T244" s="93"/>
      <c r="U244" s="93"/>
      <c r="V244" s="93"/>
      <c r="W244" s="93"/>
      <c r="X244" s="93"/>
      <c r="Y244" s="93"/>
      <c r="Z244" s="93"/>
      <c r="AA244" s="93"/>
      <c r="AB244" s="93"/>
      <c r="AC244" s="93"/>
      <c r="AD244" s="93"/>
      <c r="AE244" s="93"/>
      <c r="AF244" s="93"/>
      <c r="AG244" s="93"/>
      <c r="AH244" s="93"/>
      <c r="AI244" s="93"/>
      <c r="AJ244" s="93"/>
      <c r="AK244" s="93"/>
      <c r="AL244" s="93"/>
      <c r="AM244" s="93"/>
      <c r="AN244" s="93"/>
      <c r="AO244" s="93"/>
      <c r="AP244" s="93"/>
      <c r="AQ244" s="93"/>
      <c r="AR244" s="93"/>
      <c r="AS244" s="93"/>
      <c r="AT244" s="93"/>
      <c r="AU244" s="93"/>
      <c r="AV244" s="93"/>
      <c r="AW244" s="93"/>
      <c r="AX244" s="93"/>
      <c r="AY244" s="93"/>
      <c r="AZ244" s="93"/>
      <c r="BA244" s="93"/>
      <c r="BB244" s="93"/>
      <c r="BC244" s="93"/>
      <c r="BD244" s="93"/>
      <c r="BE244" s="93"/>
      <c r="BF244" s="93"/>
      <c r="BG244" s="93"/>
      <c r="BH244" s="93"/>
      <c r="BI244" s="93"/>
      <c r="BJ244" s="93"/>
      <c r="BK244" s="93"/>
      <c r="BL244" s="93"/>
      <c r="BM244" s="93"/>
      <c r="BN244" s="93"/>
      <c r="BO244" s="93"/>
      <c r="BP244" s="93"/>
      <c r="BQ244" s="93"/>
      <c r="BR244" s="93"/>
      <c r="BS244" s="93"/>
      <c r="BT244" s="93"/>
      <c r="BU244" s="93"/>
      <c r="BV244" s="93"/>
      <c r="BW244" s="93"/>
      <c r="BX244" s="93"/>
      <c r="BY244" s="93"/>
      <c r="BZ244" s="93"/>
      <c r="CA244" s="93"/>
      <c r="CB244" s="93"/>
      <c r="CC244" s="93"/>
      <c r="CD244" s="93"/>
      <c r="CE244" s="93"/>
      <c r="CF244" s="93"/>
      <c r="CG244" s="93"/>
      <c r="CH244" s="93"/>
      <c r="CI244" s="93"/>
      <c r="CJ244" s="93"/>
      <c r="CK244" s="93"/>
      <c r="CL244" s="93"/>
      <c r="CM244" s="93"/>
      <c r="CN244" s="93"/>
      <c r="CO244" s="93"/>
      <c r="CP244" s="93"/>
      <c r="CQ244" s="93"/>
      <c r="CR244" s="93"/>
      <c r="CS244" s="93"/>
      <c r="CT244" s="93"/>
      <c r="CU244" s="93"/>
      <c r="CV244" s="93"/>
      <c r="CW244" s="93"/>
      <c r="CX244" s="93"/>
      <c r="CY244" s="93"/>
      <c r="CZ244" s="93"/>
      <c r="DA244" s="93"/>
      <c r="DB244" s="93"/>
      <c r="DC244" s="93"/>
      <c r="DD244" s="93"/>
      <c r="DE244" s="93"/>
      <c r="DF244" s="93"/>
      <c r="DG244" s="93"/>
      <c r="DH244" s="93"/>
      <c r="DI244" s="93"/>
      <c r="DJ244" s="93"/>
      <c r="DK244" s="93"/>
      <c r="DL244" s="93"/>
      <c r="DM244" s="93"/>
      <c r="DN244" s="93"/>
      <c r="DO244" s="93"/>
      <c r="DP244" s="93"/>
      <c r="DQ244" s="93"/>
      <c r="DR244" s="93"/>
      <c r="DS244" s="93"/>
      <c r="DT244" s="93"/>
      <c r="DU244" s="93"/>
      <c r="DV244" s="93"/>
      <c r="DW244" s="93"/>
      <c r="DX244" s="93"/>
      <c r="DY244" s="93"/>
      <c r="DZ244" s="93"/>
      <c r="EA244" s="93"/>
      <c r="EB244" s="93"/>
      <c r="EC244" s="93"/>
      <c r="ED244" s="93"/>
      <c r="EE244" s="93"/>
      <c r="EF244" s="93"/>
      <c r="EG244" s="93"/>
      <c r="EH244" s="93"/>
      <c r="EI244" s="93"/>
      <c r="EJ244" s="93"/>
      <c r="EK244" s="93"/>
      <c r="EL244" s="93"/>
      <c r="EM244" s="93"/>
      <c r="EN244" s="93"/>
      <c r="EO244" s="93"/>
      <c r="EP244" s="93"/>
      <c r="EQ244" s="93"/>
      <c r="ER244" s="93">
        <v>0.3324958123953099</v>
      </c>
      <c r="ES244" s="93"/>
      <c r="ET244" s="93"/>
      <c r="EU244" s="93"/>
      <c r="EV244" s="93"/>
      <c r="EW244" s="93"/>
      <c r="EX244" s="93"/>
      <c r="EY244" s="93"/>
      <c r="EZ244" s="93"/>
      <c r="FA244" s="93"/>
      <c r="FB244" s="93"/>
      <c r="FC244" s="93"/>
      <c r="FD244" s="93"/>
      <c r="FE244" s="93"/>
      <c r="FF244" s="93"/>
      <c r="FG244" s="93"/>
      <c r="FH244" s="93"/>
      <c r="FI244" s="93"/>
      <c r="FJ244" s="93"/>
      <c r="FK244" s="93"/>
      <c r="FL244" s="93"/>
      <c r="FM244" s="93"/>
      <c r="FN244" s="93"/>
      <c r="FO244" s="93"/>
      <c r="FP244" s="93"/>
      <c r="FQ244" s="93"/>
      <c r="FR244" s="93"/>
      <c r="FS244" s="93"/>
      <c r="FT244" s="93"/>
      <c r="FU244" s="93"/>
      <c r="FV244" s="93"/>
      <c r="FW244" s="93"/>
      <c r="FX244" s="93"/>
      <c r="FY244" s="93"/>
      <c r="FZ244" s="93"/>
      <c r="GA244" s="93"/>
      <c r="GB244" s="93"/>
      <c r="GC244" s="93"/>
      <c r="GD244" s="93"/>
      <c r="GE244" s="93"/>
      <c r="GF244" s="93"/>
      <c r="GG244" s="93"/>
      <c r="GH244" s="93"/>
      <c r="GI244" s="93"/>
      <c r="GJ244" s="93"/>
      <c r="GK244" s="93"/>
      <c r="GL244" s="93"/>
      <c r="GM244" s="93"/>
      <c r="GN244" s="93"/>
      <c r="GO244" s="93"/>
      <c r="GP244" s="93"/>
      <c r="GQ244" s="93"/>
      <c r="GR244" s="93"/>
      <c r="GS244" s="93"/>
      <c r="GT244" s="93"/>
      <c r="GU244" s="93"/>
      <c r="GV244" s="93"/>
      <c r="GW244" s="93"/>
      <c r="GX244" s="93"/>
      <c r="GY244" s="93"/>
      <c r="GZ244" s="93"/>
      <c r="HA244" s="93"/>
      <c r="HB244" s="93"/>
      <c r="HC244" s="93"/>
      <c r="HD244" s="93"/>
      <c r="HE244" s="93"/>
      <c r="HF244" s="93"/>
      <c r="HG244" s="93"/>
    </row>
    <row r="245" spans="14:215" x14ac:dyDescent="0.2">
      <c r="N245" s="93" t="s">
        <v>462</v>
      </c>
      <c r="O245" s="93"/>
      <c r="P245" s="93"/>
      <c r="Q245" s="93"/>
      <c r="R245" s="93"/>
      <c r="S245" s="93"/>
      <c r="T245" s="93"/>
      <c r="U245" s="93"/>
      <c r="V245" s="93"/>
      <c r="W245" s="93"/>
      <c r="X245" s="93"/>
      <c r="Y245" s="93"/>
      <c r="Z245" s="93"/>
      <c r="AA245" s="93"/>
      <c r="AB245" s="93"/>
      <c r="AC245" s="93"/>
      <c r="AD245" s="93"/>
      <c r="AE245" s="93"/>
      <c r="AF245" s="93"/>
      <c r="AG245" s="93"/>
      <c r="AH245" s="93"/>
      <c r="AI245" s="93"/>
      <c r="AJ245" s="93"/>
      <c r="AK245" s="93"/>
      <c r="AL245" s="93"/>
      <c r="AM245" s="93"/>
      <c r="AN245" s="93"/>
      <c r="AO245" s="93"/>
      <c r="AP245" s="93"/>
      <c r="AQ245" s="93"/>
      <c r="AR245" s="93"/>
      <c r="AS245" s="93"/>
      <c r="AT245" s="93"/>
      <c r="AU245" s="93"/>
      <c r="AV245" s="93"/>
      <c r="AW245" s="93"/>
      <c r="AX245" s="93"/>
      <c r="AY245" s="93"/>
      <c r="AZ245" s="93"/>
      <c r="BA245" s="93"/>
      <c r="BB245" s="93"/>
      <c r="BC245" s="93"/>
      <c r="BD245" s="93"/>
      <c r="BE245" s="93"/>
      <c r="BF245" s="93"/>
      <c r="BG245" s="93"/>
      <c r="BH245" s="93"/>
      <c r="BI245" s="93"/>
      <c r="BJ245" s="93"/>
      <c r="BK245" s="93"/>
      <c r="BL245" s="93"/>
      <c r="BM245" s="93"/>
      <c r="BN245" s="93"/>
      <c r="BO245" s="93"/>
      <c r="BP245" s="93"/>
      <c r="BQ245" s="93"/>
      <c r="BR245" s="93"/>
      <c r="BS245" s="93"/>
      <c r="BT245" s="93"/>
      <c r="BU245" s="93"/>
      <c r="BV245" s="93"/>
      <c r="BW245" s="93"/>
      <c r="BX245" s="93"/>
      <c r="BY245" s="93"/>
      <c r="BZ245" s="93"/>
      <c r="CA245" s="93"/>
      <c r="CB245" s="93"/>
      <c r="CC245" s="93"/>
      <c r="CD245" s="93"/>
      <c r="CE245" s="93"/>
      <c r="CF245" s="93"/>
      <c r="CG245" s="93"/>
      <c r="CH245" s="93"/>
      <c r="CI245" s="93"/>
      <c r="CJ245" s="93"/>
      <c r="CK245" s="93"/>
      <c r="CL245" s="93"/>
      <c r="CM245" s="93"/>
      <c r="CN245" s="93"/>
      <c r="CO245" s="93"/>
      <c r="CP245" s="93"/>
      <c r="CQ245" s="93"/>
      <c r="CR245" s="93"/>
      <c r="CS245" s="93"/>
      <c r="CT245" s="93"/>
      <c r="CU245" s="93"/>
      <c r="CV245" s="93"/>
      <c r="CW245" s="93"/>
      <c r="CX245" s="93"/>
      <c r="CY245" s="93"/>
      <c r="CZ245" s="93"/>
      <c r="DA245" s="93"/>
      <c r="DB245" s="93"/>
      <c r="DC245" s="93"/>
      <c r="DD245" s="93"/>
      <c r="DE245" s="93"/>
      <c r="DF245" s="93"/>
      <c r="DG245" s="93"/>
      <c r="DH245" s="93"/>
      <c r="DI245" s="93"/>
      <c r="DJ245" s="93"/>
      <c r="DK245" s="93"/>
      <c r="DL245" s="93"/>
      <c r="DM245" s="93"/>
      <c r="DN245" s="93"/>
      <c r="DO245" s="93"/>
      <c r="DP245" s="93"/>
      <c r="DQ245" s="93"/>
      <c r="DR245" s="93"/>
      <c r="DS245" s="93"/>
      <c r="DT245" s="93"/>
      <c r="DU245" s="93"/>
      <c r="DV245" s="93"/>
      <c r="DW245" s="93"/>
      <c r="DX245" s="93"/>
      <c r="DY245" s="93"/>
      <c r="DZ245" s="93"/>
      <c r="EA245" s="93"/>
      <c r="EB245" s="93"/>
      <c r="EC245" s="93"/>
      <c r="ED245" s="93"/>
      <c r="EE245" s="93"/>
      <c r="EF245" s="93"/>
      <c r="EG245" s="93"/>
      <c r="EH245" s="93"/>
      <c r="EI245" s="93"/>
      <c r="EJ245" s="93"/>
      <c r="EK245" s="93"/>
      <c r="EL245" s="93"/>
      <c r="EM245" s="93"/>
      <c r="EN245" s="93"/>
      <c r="EO245" s="93"/>
      <c r="EP245" s="93"/>
      <c r="EQ245" s="93"/>
      <c r="ER245" s="93"/>
      <c r="ES245" s="93">
        <v>0.33250207813798838</v>
      </c>
      <c r="ET245" s="93"/>
      <c r="EU245" s="93"/>
      <c r="EV245" s="93"/>
      <c r="EW245" s="93"/>
      <c r="EX245" s="93"/>
      <c r="EY245" s="93"/>
      <c r="EZ245" s="93"/>
      <c r="FA245" s="93"/>
      <c r="FB245" s="93"/>
      <c r="FC245" s="93"/>
      <c r="FD245" s="93"/>
      <c r="FE245" s="93"/>
      <c r="FF245" s="93"/>
      <c r="FG245" s="93"/>
      <c r="FH245" s="93"/>
      <c r="FI245" s="93"/>
      <c r="FJ245" s="93"/>
      <c r="FK245" s="93"/>
      <c r="FL245" s="93"/>
      <c r="FM245" s="93"/>
      <c r="FN245" s="93"/>
      <c r="FO245" s="93"/>
      <c r="FP245" s="93"/>
      <c r="FQ245" s="93"/>
      <c r="FR245" s="93"/>
      <c r="FS245" s="93"/>
      <c r="FT245" s="93"/>
      <c r="FU245" s="93"/>
      <c r="FV245" s="93"/>
      <c r="FW245" s="93"/>
      <c r="FX245" s="93"/>
      <c r="FY245" s="93"/>
      <c r="FZ245" s="93"/>
      <c r="GA245" s="93"/>
      <c r="GB245" s="93"/>
      <c r="GC245" s="93"/>
      <c r="GD245" s="93"/>
      <c r="GE245" s="93"/>
      <c r="GF245" s="93"/>
      <c r="GG245" s="93"/>
      <c r="GH245" s="93"/>
      <c r="GI245" s="93"/>
      <c r="GJ245" s="93"/>
      <c r="GK245" s="93"/>
      <c r="GL245" s="93"/>
      <c r="GM245" s="93"/>
      <c r="GN245" s="93"/>
      <c r="GO245" s="93"/>
      <c r="GP245" s="93"/>
      <c r="GQ245" s="93"/>
      <c r="GR245" s="93"/>
      <c r="GS245" s="93"/>
      <c r="GT245" s="93"/>
      <c r="GU245" s="93"/>
      <c r="GV245" s="93"/>
      <c r="GW245" s="93"/>
      <c r="GX245" s="93"/>
      <c r="GY245" s="93"/>
      <c r="GZ245" s="93"/>
      <c r="HA245" s="93"/>
      <c r="HB245" s="93"/>
      <c r="HC245" s="93"/>
      <c r="HD245" s="93"/>
      <c r="HE245" s="93"/>
      <c r="HF245" s="93"/>
      <c r="HG245" s="93"/>
    </row>
    <row r="246" spans="14:215" x14ac:dyDescent="0.2">
      <c r="N246" s="93" t="s">
        <v>463</v>
      </c>
      <c r="O246" s="93"/>
      <c r="P246" s="93"/>
      <c r="Q246" s="93"/>
      <c r="R246" s="93"/>
      <c r="S246" s="93"/>
      <c r="T246" s="93"/>
      <c r="U246" s="93"/>
      <c r="V246" s="93"/>
      <c r="W246" s="93"/>
      <c r="X246" s="93"/>
      <c r="Y246" s="93"/>
      <c r="Z246" s="93"/>
      <c r="AA246" s="93"/>
      <c r="AB246" s="93"/>
      <c r="AC246" s="93"/>
      <c r="AD246" s="93"/>
      <c r="AE246" s="93"/>
      <c r="AF246" s="93"/>
      <c r="AG246" s="93"/>
      <c r="AH246" s="93"/>
      <c r="AI246" s="93"/>
      <c r="AJ246" s="93"/>
      <c r="AK246" s="93"/>
      <c r="AL246" s="93"/>
      <c r="AM246" s="93"/>
      <c r="AN246" s="93"/>
      <c r="AO246" s="93"/>
      <c r="AP246" s="93"/>
      <c r="AQ246" s="93"/>
      <c r="AR246" s="93"/>
      <c r="AS246" s="93"/>
      <c r="AT246" s="93"/>
      <c r="AU246" s="93"/>
      <c r="AV246" s="93"/>
      <c r="AW246" s="93"/>
      <c r="AX246" s="93"/>
      <c r="AY246" s="93"/>
      <c r="AZ246" s="93"/>
      <c r="BA246" s="93"/>
      <c r="BB246" s="93"/>
      <c r="BC246" s="93"/>
      <c r="BD246" s="93"/>
      <c r="BE246" s="93"/>
      <c r="BF246" s="93"/>
      <c r="BG246" s="93"/>
      <c r="BH246" s="93"/>
      <c r="BI246" s="93"/>
      <c r="BJ246" s="93"/>
      <c r="BK246" s="93"/>
      <c r="BL246" s="93"/>
      <c r="BM246" s="93"/>
      <c r="BN246" s="93"/>
      <c r="BO246" s="93"/>
      <c r="BP246" s="93"/>
      <c r="BQ246" s="93"/>
      <c r="BR246" s="93"/>
      <c r="BS246" s="93"/>
      <c r="BT246" s="93"/>
      <c r="BU246" s="93"/>
      <c r="BV246" s="93"/>
      <c r="BW246" s="93"/>
      <c r="BX246" s="93"/>
      <c r="BY246" s="93"/>
      <c r="BZ246" s="93"/>
      <c r="CA246" s="93"/>
      <c r="CB246" s="93"/>
      <c r="CC246" s="93"/>
      <c r="CD246" s="93"/>
      <c r="CE246" s="93"/>
      <c r="CF246" s="93"/>
      <c r="CG246" s="93"/>
      <c r="CH246" s="93"/>
      <c r="CI246" s="93"/>
      <c r="CJ246" s="93"/>
      <c r="CK246" s="93"/>
      <c r="CL246" s="93"/>
      <c r="CM246" s="93"/>
      <c r="CN246" s="93"/>
      <c r="CO246" s="93"/>
      <c r="CP246" s="93"/>
      <c r="CQ246" s="93"/>
      <c r="CR246" s="93"/>
      <c r="CS246" s="93"/>
      <c r="CT246" s="93"/>
      <c r="CU246" s="93"/>
      <c r="CV246" s="93"/>
      <c r="CW246" s="93"/>
      <c r="CX246" s="93"/>
      <c r="CY246" s="93"/>
      <c r="CZ246" s="93"/>
      <c r="DA246" s="93"/>
      <c r="DB246" s="93"/>
      <c r="DC246" s="93"/>
      <c r="DD246" s="93"/>
      <c r="DE246" s="93"/>
      <c r="DF246" s="93"/>
      <c r="DG246" s="93"/>
      <c r="DH246" s="93"/>
      <c r="DI246" s="93"/>
      <c r="DJ246" s="93"/>
      <c r="DK246" s="93"/>
      <c r="DL246" s="93"/>
      <c r="DM246" s="93"/>
      <c r="DN246" s="93"/>
      <c r="DO246" s="93"/>
      <c r="DP246" s="93"/>
      <c r="DQ246" s="93"/>
      <c r="DR246" s="93"/>
      <c r="DS246" s="93"/>
      <c r="DT246" s="93"/>
      <c r="DU246" s="93"/>
      <c r="DV246" s="93"/>
      <c r="DW246" s="93"/>
      <c r="DX246" s="93"/>
      <c r="DY246" s="93"/>
      <c r="DZ246" s="93"/>
      <c r="EA246" s="93"/>
      <c r="EB246" s="93"/>
      <c r="EC246" s="93"/>
      <c r="ED246" s="93"/>
      <c r="EE246" s="93"/>
      <c r="EF246" s="93"/>
      <c r="EG246" s="93"/>
      <c r="EH246" s="93"/>
      <c r="EI246" s="93"/>
      <c r="EJ246" s="93"/>
      <c r="EK246" s="93"/>
      <c r="EL246" s="93"/>
      <c r="EM246" s="93"/>
      <c r="EN246" s="93"/>
      <c r="EO246" s="93"/>
      <c r="EP246" s="93"/>
      <c r="EQ246" s="93"/>
      <c r="ER246" s="93"/>
      <c r="ES246" s="93"/>
      <c r="ET246" s="93">
        <v>0.33250825082508251</v>
      </c>
      <c r="EU246" s="93"/>
      <c r="EV246" s="93"/>
      <c r="EW246" s="93"/>
      <c r="EX246" s="93"/>
      <c r="EY246" s="93"/>
      <c r="EZ246" s="93"/>
      <c r="FA246" s="93"/>
      <c r="FB246" s="93"/>
      <c r="FC246" s="93"/>
      <c r="FD246" s="93"/>
      <c r="FE246" s="93"/>
      <c r="FF246" s="93"/>
      <c r="FG246" s="93"/>
      <c r="FH246" s="93"/>
      <c r="FI246" s="93"/>
      <c r="FJ246" s="93"/>
      <c r="FK246" s="93"/>
      <c r="FL246" s="93"/>
      <c r="FM246" s="93"/>
      <c r="FN246" s="93"/>
      <c r="FO246" s="93"/>
      <c r="FP246" s="93"/>
      <c r="FQ246" s="93"/>
      <c r="FR246" s="93"/>
      <c r="FS246" s="93"/>
      <c r="FT246" s="93"/>
      <c r="FU246" s="93"/>
      <c r="FV246" s="93"/>
      <c r="FW246" s="93"/>
      <c r="FX246" s="93"/>
      <c r="FY246" s="93"/>
      <c r="FZ246" s="93"/>
      <c r="GA246" s="93"/>
      <c r="GB246" s="93"/>
      <c r="GC246" s="93"/>
      <c r="GD246" s="93"/>
      <c r="GE246" s="93"/>
      <c r="GF246" s="93"/>
      <c r="GG246" s="93"/>
      <c r="GH246" s="93"/>
      <c r="GI246" s="93"/>
      <c r="GJ246" s="93"/>
      <c r="GK246" s="93"/>
      <c r="GL246" s="93"/>
      <c r="GM246" s="93"/>
      <c r="GN246" s="93"/>
      <c r="GO246" s="93"/>
      <c r="GP246" s="93"/>
      <c r="GQ246" s="93"/>
      <c r="GR246" s="93"/>
      <c r="GS246" s="93"/>
      <c r="GT246" s="93"/>
      <c r="GU246" s="93"/>
      <c r="GV246" s="93"/>
      <c r="GW246" s="93"/>
      <c r="GX246" s="93"/>
      <c r="GY246" s="93"/>
      <c r="GZ246" s="93"/>
      <c r="HA246" s="93"/>
      <c r="HB246" s="93"/>
      <c r="HC246" s="93"/>
      <c r="HD246" s="93"/>
      <c r="HE246" s="93"/>
      <c r="HF246" s="93"/>
      <c r="HG246" s="93"/>
    </row>
    <row r="247" spans="14:215" x14ac:dyDescent="0.2">
      <c r="N247" s="93" t="s">
        <v>464</v>
      </c>
      <c r="O247" s="93"/>
      <c r="P247" s="93"/>
      <c r="Q247" s="93"/>
      <c r="R247" s="93"/>
      <c r="S247" s="93"/>
      <c r="T247" s="93"/>
      <c r="U247" s="93"/>
      <c r="V247" s="93"/>
      <c r="W247" s="93"/>
      <c r="X247" s="93"/>
      <c r="Y247" s="93"/>
      <c r="Z247" s="93"/>
      <c r="AA247" s="93"/>
      <c r="AB247" s="93"/>
      <c r="AC247" s="93"/>
      <c r="AD247" s="93"/>
      <c r="AE247" s="93"/>
      <c r="AF247" s="93"/>
      <c r="AG247" s="93"/>
      <c r="AH247" s="93"/>
      <c r="AI247" s="93"/>
      <c r="AJ247" s="93"/>
      <c r="AK247" s="93"/>
      <c r="AL247" s="93"/>
      <c r="AM247" s="93"/>
      <c r="AN247" s="93"/>
      <c r="AO247" s="93"/>
      <c r="AP247" s="93"/>
      <c r="AQ247" s="93"/>
      <c r="AR247" s="93"/>
      <c r="AS247" s="93"/>
      <c r="AT247" s="93"/>
      <c r="AU247" s="93"/>
      <c r="AV247" s="93"/>
      <c r="AW247" s="93"/>
      <c r="AX247" s="93"/>
      <c r="AY247" s="93"/>
      <c r="AZ247" s="93"/>
      <c r="BA247" s="93"/>
      <c r="BB247" s="93"/>
      <c r="BC247" s="93"/>
      <c r="BD247" s="93"/>
      <c r="BE247" s="93"/>
      <c r="BF247" s="93"/>
      <c r="BG247" s="93"/>
      <c r="BH247" s="93"/>
      <c r="BI247" s="93"/>
      <c r="BJ247" s="93"/>
      <c r="BK247" s="93"/>
      <c r="BL247" s="93"/>
      <c r="BM247" s="93"/>
      <c r="BN247" s="93"/>
      <c r="BO247" s="93"/>
      <c r="BP247" s="93"/>
      <c r="BQ247" s="93"/>
      <c r="BR247" s="93"/>
      <c r="BS247" s="93"/>
      <c r="BT247" s="93"/>
      <c r="BU247" s="93"/>
      <c r="BV247" s="93"/>
      <c r="BW247" s="93"/>
      <c r="BX247" s="93"/>
      <c r="BY247" s="93"/>
      <c r="BZ247" s="93"/>
      <c r="CA247" s="93"/>
      <c r="CB247" s="93"/>
      <c r="CC247" s="93"/>
      <c r="CD247" s="93"/>
      <c r="CE247" s="93"/>
      <c r="CF247" s="93"/>
      <c r="CG247" s="93"/>
      <c r="CH247" s="93"/>
      <c r="CI247" s="93"/>
      <c r="CJ247" s="93"/>
      <c r="CK247" s="93"/>
      <c r="CL247" s="93"/>
      <c r="CM247" s="93"/>
      <c r="CN247" s="93"/>
      <c r="CO247" s="93"/>
      <c r="CP247" s="93"/>
      <c r="CQ247" s="93"/>
      <c r="CR247" s="93"/>
      <c r="CS247" s="93"/>
      <c r="CT247" s="93"/>
      <c r="CU247" s="93"/>
      <c r="CV247" s="93"/>
      <c r="CW247" s="93"/>
      <c r="CX247" s="93"/>
      <c r="CY247" s="93"/>
      <c r="CZ247" s="93"/>
      <c r="DA247" s="93"/>
      <c r="DB247" s="93"/>
      <c r="DC247" s="93"/>
      <c r="DD247" s="93"/>
      <c r="DE247" s="93"/>
      <c r="DF247" s="93"/>
      <c r="DG247" s="93"/>
      <c r="DH247" s="93"/>
      <c r="DI247" s="93"/>
      <c r="DJ247" s="93"/>
      <c r="DK247" s="93"/>
      <c r="DL247" s="93"/>
      <c r="DM247" s="93"/>
      <c r="DN247" s="93"/>
      <c r="DO247" s="93"/>
      <c r="DP247" s="93"/>
      <c r="DQ247" s="93"/>
      <c r="DR247" s="93"/>
      <c r="DS247" s="93"/>
      <c r="DT247" s="93"/>
      <c r="DU247" s="93"/>
      <c r="DV247" s="93"/>
      <c r="DW247" s="93"/>
      <c r="DX247" s="93"/>
      <c r="DY247" s="93"/>
      <c r="DZ247" s="93"/>
      <c r="EA247" s="93"/>
      <c r="EB247" s="93"/>
      <c r="EC247" s="93"/>
      <c r="ED247" s="93"/>
      <c r="EE247" s="93"/>
      <c r="EF247" s="93"/>
      <c r="EG247" s="93"/>
      <c r="EH247" s="93"/>
      <c r="EI247" s="93"/>
      <c r="EJ247" s="93"/>
      <c r="EK247" s="93"/>
      <c r="EL247" s="93"/>
      <c r="EM247" s="93"/>
      <c r="EN247" s="93"/>
      <c r="EO247" s="93"/>
      <c r="EP247" s="93"/>
      <c r="EQ247" s="93"/>
      <c r="ER247" s="93"/>
      <c r="ES247" s="93"/>
      <c r="ET247" s="93"/>
      <c r="EU247" s="93">
        <v>0.33251433251433249</v>
      </c>
      <c r="EV247" s="93"/>
      <c r="EW247" s="93"/>
      <c r="EX247" s="93"/>
      <c r="EY247" s="93"/>
      <c r="EZ247" s="93"/>
      <c r="FA247" s="93"/>
      <c r="FB247" s="93"/>
      <c r="FC247" s="93"/>
      <c r="FD247" s="93"/>
      <c r="FE247" s="93"/>
      <c r="FF247" s="93"/>
      <c r="FG247" s="93"/>
      <c r="FH247" s="93"/>
      <c r="FI247" s="93"/>
      <c r="FJ247" s="93"/>
      <c r="FK247" s="93"/>
      <c r="FL247" s="93"/>
      <c r="FM247" s="93"/>
      <c r="FN247" s="93"/>
      <c r="FO247" s="93"/>
      <c r="FP247" s="93"/>
      <c r="FQ247" s="93"/>
      <c r="FR247" s="93"/>
      <c r="FS247" s="93"/>
      <c r="FT247" s="93"/>
      <c r="FU247" s="93"/>
      <c r="FV247" s="93"/>
      <c r="FW247" s="93"/>
      <c r="FX247" s="93"/>
      <c r="FY247" s="93"/>
      <c r="FZ247" s="93"/>
      <c r="GA247" s="93"/>
      <c r="GB247" s="93"/>
      <c r="GC247" s="93"/>
      <c r="GD247" s="93"/>
      <c r="GE247" s="93"/>
      <c r="GF247" s="93"/>
      <c r="GG247" s="93"/>
      <c r="GH247" s="93"/>
      <c r="GI247" s="93"/>
      <c r="GJ247" s="93"/>
      <c r="GK247" s="93"/>
      <c r="GL247" s="93"/>
      <c r="GM247" s="93"/>
      <c r="GN247" s="93"/>
      <c r="GO247" s="93"/>
      <c r="GP247" s="93"/>
      <c r="GQ247" s="93"/>
      <c r="GR247" s="93"/>
      <c r="GS247" s="93"/>
      <c r="GT247" s="93"/>
      <c r="GU247" s="93"/>
      <c r="GV247" s="93"/>
      <c r="GW247" s="93"/>
      <c r="GX247" s="93"/>
      <c r="GY247" s="93"/>
      <c r="GZ247" s="93"/>
      <c r="HA247" s="93"/>
      <c r="HB247" s="93"/>
      <c r="HC247" s="93"/>
      <c r="HD247" s="93"/>
      <c r="HE247" s="93"/>
      <c r="HF247" s="93"/>
      <c r="HG247" s="93"/>
    </row>
    <row r="248" spans="14:215" x14ac:dyDescent="0.2">
      <c r="N248" s="93" t="s">
        <v>465</v>
      </c>
      <c r="O248" s="93"/>
      <c r="P248" s="93"/>
      <c r="Q248" s="93"/>
      <c r="R248" s="93"/>
      <c r="S248" s="93"/>
      <c r="T248" s="93"/>
      <c r="U248" s="93"/>
      <c r="V248" s="93"/>
      <c r="W248" s="93"/>
      <c r="X248" s="93"/>
      <c r="Y248" s="93"/>
      <c r="Z248" s="93"/>
      <c r="AA248" s="93"/>
      <c r="AB248" s="93"/>
      <c r="AC248" s="93"/>
      <c r="AD248" s="93"/>
      <c r="AE248" s="93"/>
      <c r="AF248" s="93"/>
      <c r="AG248" s="93"/>
      <c r="AH248" s="93"/>
      <c r="AI248" s="93"/>
      <c r="AJ248" s="93"/>
      <c r="AK248" s="93"/>
      <c r="AL248" s="93"/>
      <c r="AM248" s="93"/>
      <c r="AN248" s="93"/>
      <c r="AO248" s="93"/>
      <c r="AP248" s="93"/>
      <c r="AQ248" s="93"/>
      <c r="AR248" s="93"/>
      <c r="AS248" s="93"/>
      <c r="AT248" s="93"/>
      <c r="AU248" s="93"/>
      <c r="AV248" s="93"/>
      <c r="AW248" s="93"/>
      <c r="AX248" s="93"/>
      <c r="AY248" s="93"/>
      <c r="AZ248" s="93"/>
      <c r="BA248" s="93"/>
      <c r="BB248" s="93"/>
      <c r="BC248" s="93"/>
      <c r="BD248" s="93"/>
      <c r="BE248" s="93"/>
      <c r="BF248" s="93"/>
      <c r="BG248" s="93"/>
      <c r="BH248" s="93"/>
      <c r="BI248" s="93"/>
      <c r="BJ248" s="93"/>
      <c r="BK248" s="93"/>
      <c r="BL248" s="93"/>
      <c r="BM248" s="93"/>
      <c r="BN248" s="93"/>
      <c r="BO248" s="93"/>
      <c r="BP248" s="93"/>
      <c r="BQ248" s="93"/>
      <c r="BR248" s="93"/>
      <c r="BS248" s="93"/>
      <c r="BT248" s="93"/>
      <c r="BU248" s="93"/>
      <c r="BV248" s="93"/>
      <c r="BW248" s="93"/>
      <c r="BX248" s="93"/>
      <c r="BY248" s="93"/>
      <c r="BZ248" s="93"/>
      <c r="CA248" s="93"/>
      <c r="CB248" s="93"/>
      <c r="CC248" s="93"/>
      <c r="CD248" s="93"/>
      <c r="CE248" s="93"/>
      <c r="CF248" s="93"/>
      <c r="CG248" s="93"/>
      <c r="CH248" s="93"/>
      <c r="CI248" s="93"/>
      <c r="CJ248" s="93"/>
      <c r="CK248" s="93"/>
      <c r="CL248" s="93"/>
      <c r="CM248" s="93"/>
      <c r="CN248" s="93"/>
      <c r="CO248" s="93"/>
      <c r="CP248" s="93"/>
      <c r="CQ248" s="93"/>
      <c r="CR248" s="93"/>
      <c r="CS248" s="93"/>
      <c r="CT248" s="93"/>
      <c r="CU248" s="93"/>
      <c r="CV248" s="93"/>
      <c r="CW248" s="93"/>
      <c r="CX248" s="93"/>
      <c r="CY248" s="93"/>
      <c r="CZ248" s="93"/>
      <c r="DA248" s="93"/>
      <c r="DB248" s="93"/>
      <c r="DC248" s="93"/>
      <c r="DD248" s="93"/>
      <c r="DE248" s="93"/>
      <c r="DF248" s="93"/>
      <c r="DG248" s="93"/>
      <c r="DH248" s="93"/>
      <c r="DI248" s="93"/>
      <c r="DJ248" s="93"/>
      <c r="DK248" s="93"/>
      <c r="DL248" s="93"/>
      <c r="DM248" s="93"/>
      <c r="DN248" s="93"/>
      <c r="DO248" s="93"/>
      <c r="DP248" s="93"/>
      <c r="DQ248" s="93"/>
      <c r="DR248" s="93"/>
      <c r="DS248" s="93"/>
      <c r="DT248" s="93"/>
      <c r="DU248" s="93"/>
      <c r="DV248" s="93"/>
      <c r="DW248" s="93"/>
      <c r="DX248" s="93"/>
      <c r="DY248" s="93"/>
      <c r="DZ248" s="93"/>
      <c r="EA248" s="93"/>
      <c r="EB248" s="93"/>
      <c r="EC248" s="93"/>
      <c r="ED248" s="93"/>
      <c r="EE248" s="93"/>
      <c r="EF248" s="93"/>
      <c r="EG248" s="93"/>
      <c r="EH248" s="93"/>
      <c r="EI248" s="93"/>
      <c r="EJ248" s="93"/>
      <c r="EK248" s="93"/>
      <c r="EL248" s="93"/>
      <c r="EM248" s="93"/>
      <c r="EN248" s="93"/>
      <c r="EO248" s="93"/>
      <c r="EP248" s="93"/>
      <c r="EQ248" s="93"/>
      <c r="ER248" s="93"/>
      <c r="ES248" s="93"/>
      <c r="ET248" s="93"/>
      <c r="EU248" s="93"/>
      <c r="EV248" s="93">
        <v>0.33252032520325203</v>
      </c>
      <c r="EW248" s="93"/>
      <c r="EX248" s="93"/>
      <c r="EY248" s="93"/>
      <c r="EZ248" s="93"/>
      <c r="FA248" s="93"/>
      <c r="FB248" s="93"/>
      <c r="FC248" s="93"/>
      <c r="FD248" s="93"/>
      <c r="FE248" s="93"/>
      <c r="FF248" s="93"/>
      <c r="FG248" s="93"/>
      <c r="FH248" s="93"/>
      <c r="FI248" s="93"/>
      <c r="FJ248" s="93"/>
      <c r="FK248" s="93"/>
      <c r="FL248" s="93"/>
      <c r="FM248" s="93"/>
      <c r="FN248" s="93"/>
      <c r="FO248" s="93"/>
      <c r="FP248" s="93"/>
      <c r="FQ248" s="93"/>
      <c r="FR248" s="93"/>
      <c r="FS248" s="93"/>
      <c r="FT248" s="93"/>
      <c r="FU248" s="93"/>
      <c r="FV248" s="93"/>
      <c r="FW248" s="93"/>
      <c r="FX248" s="93"/>
      <c r="FY248" s="93"/>
      <c r="FZ248" s="93"/>
      <c r="GA248" s="93"/>
      <c r="GB248" s="93"/>
      <c r="GC248" s="93"/>
      <c r="GD248" s="93"/>
      <c r="GE248" s="93"/>
      <c r="GF248" s="93"/>
      <c r="GG248" s="93"/>
      <c r="GH248" s="93"/>
      <c r="GI248" s="93"/>
      <c r="GJ248" s="93"/>
      <c r="GK248" s="93"/>
      <c r="GL248" s="93"/>
      <c r="GM248" s="93"/>
      <c r="GN248" s="93"/>
      <c r="GO248" s="93"/>
      <c r="GP248" s="93"/>
      <c r="GQ248" s="93"/>
      <c r="GR248" s="93"/>
      <c r="GS248" s="93"/>
      <c r="GT248" s="93"/>
      <c r="GU248" s="93"/>
      <c r="GV248" s="93"/>
      <c r="GW248" s="93"/>
      <c r="GX248" s="93"/>
      <c r="GY248" s="93"/>
      <c r="GZ248" s="93"/>
      <c r="HA248" s="93"/>
      <c r="HB248" s="93"/>
      <c r="HC248" s="93"/>
      <c r="HD248" s="93"/>
      <c r="HE248" s="93"/>
      <c r="HF248" s="93"/>
      <c r="HG248" s="93"/>
    </row>
    <row r="249" spans="14:215" x14ac:dyDescent="0.2">
      <c r="N249" s="93" t="s">
        <v>466</v>
      </c>
      <c r="O249" s="93"/>
      <c r="P249" s="93"/>
      <c r="Q249" s="93"/>
      <c r="R249" s="93"/>
      <c r="S249" s="93"/>
      <c r="T249" s="93"/>
      <c r="U249" s="93"/>
      <c r="V249" s="93"/>
      <c r="W249" s="93"/>
      <c r="X249" s="93"/>
      <c r="Y249" s="93"/>
      <c r="Z249" s="93"/>
      <c r="AA249" s="93"/>
      <c r="AB249" s="93"/>
      <c r="AC249" s="93"/>
      <c r="AD249" s="93"/>
      <c r="AE249" s="93"/>
      <c r="AF249" s="93"/>
      <c r="AG249" s="93"/>
      <c r="AH249" s="93"/>
      <c r="AI249" s="93"/>
      <c r="AJ249" s="93"/>
      <c r="AK249" s="93"/>
      <c r="AL249" s="93"/>
      <c r="AM249" s="93"/>
      <c r="AN249" s="93"/>
      <c r="AO249" s="93"/>
      <c r="AP249" s="93"/>
      <c r="AQ249" s="93"/>
      <c r="AR249" s="93"/>
      <c r="AS249" s="93"/>
      <c r="AT249" s="93"/>
      <c r="AU249" s="93"/>
      <c r="AV249" s="93"/>
      <c r="AW249" s="93"/>
      <c r="AX249" s="93"/>
      <c r="AY249" s="93"/>
      <c r="AZ249" s="93"/>
      <c r="BA249" s="93"/>
      <c r="BB249" s="93"/>
      <c r="BC249" s="93"/>
      <c r="BD249" s="93"/>
      <c r="BE249" s="93"/>
      <c r="BF249" s="93"/>
      <c r="BG249" s="93"/>
      <c r="BH249" s="93"/>
      <c r="BI249" s="93"/>
      <c r="BJ249" s="93"/>
      <c r="BK249" s="93"/>
      <c r="BL249" s="93"/>
      <c r="BM249" s="93"/>
      <c r="BN249" s="93"/>
      <c r="BO249" s="93"/>
      <c r="BP249" s="93"/>
      <c r="BQ249" s="93"/>
      <c r="BR249" s="93"/>
      <c r="BS249" s="93"/>
      <c r="BT249" s="93"/>
      <c r="BU249" s="93"/>
      <c r="BV249" s="93"/>
      <c r="BW249" s="93"/>
      <c r="BX249" s="93"/>
      <c r="BY249" s="93"/>
      <c r="BZ249" s="93"/>
      <c r="CA249" s="93"/>
      <c r="CB249" s="93"/>
      <c r="CC249" s="93"/>
      <c r="CD249" s="93"/>
      <c r="CE249" s="93"/>
      <c r="CF249" s="93"/>
      <c r="CG249" s="93"/>
      <c r="CH249" s="93"/>
      <c r="CI249" s="93"/>
      <c r="CJ249" s="93"/>
      <c r="CK249" s="93"/>
      <c r="CL249" s="93"/>
      <c r="CM249" s="93"/>
      <c r="CN249" s="93"/>
      <c r="CO249" s="93"/>
      <c r="CP249" s="93"/>
      <c r="CQ249" s="93"/>
      <c r="CR249" s="93"/>
      <c r="CS249" s="93"/>
      <c r="CT249" s="93"/>
      <c r="CU249" s="93"/>
      <c r="CV249" s="93"/>
      <c r="CW249" s="93"/>
      <c r="CX249" s="93"/>
      <c r="CY249" s="93"/>
      <c r="CZ249" s="93"/>
      <c r="DA249" s="93"/>
      <c r="DB249" s="93"/>
      <c r="DC249" s="93"/>
      <c r="DD249" s="93"/>
      <c r="DE249" s="93"/>
      <c r="DF249" s="93"/>
      <c r="DG249" s="93"/>
      <c r="DH249" s="93"/>
      <c r="DI249" s="93"/>
      <c r="DJ249" s="93"/>
      <c r="DK249" s="93"/>
      <c r="DL249" s="93"/>
      <c r="DM249" s="93"/>
      <c r="DN249" s="93"/>
      <c r="DO249" s="93"/>
      <c r="DP249" s="93"/>
      <c r="DQ249" s="93"/>
      <c r="DR249" s="93"/>
      <c r="DS249" s="93"/>
      <c r="DT249" s="93"/>
      <c r="DU249" s="93"/>
      <c r="DV249" s="93"/>
      <c r="DW249" s="93"/>
      <c r="DX249" s="93"/>
      <c r="DY249" s="93"/>
      <c r="DZ249" s="93"/>
      <c r="EA249" s="93"/>
      <c r="EB249" s="93"/>
      <c r="EC249" s="93"/>
      <c r="ED249" s="93"/>
      <c r="EE249" s="93"/>
      <c r="EF249" s="93"/>
      <c r="EG249" s="93"/>
      <c r="EH249" s="93"/>
      <c r="EI249" s="93"/>
      <c r="EJ249" s="93"/>
      <c r="EK249" s="93"/>
      <c r="EL249" s="93"/>
      <c r="EM249" s="93"/>
      <c r="EN249" s="93"/>
      <c r="EO249" s="93"/>
      <c r="EP249" s="93"/>
      <c r="EQ249" s="93"/>
      <c r="ER249" s="93"/>
      <c r="ES249" s="93"/>
      <c r="ET249" s="93"/>
      <c r="EU249" s="93"/>
      <c r="EV249" s="93"/>
      <c r="EW249" s="93">
        <v>0.33252623083131555</v>
      </c>
      <c r="EX249" s="93"/>
      <c r="EY249" s="93"/>
      <c r="EZ249" s="93"/>
      <c r="FA249" s="93"/>
      <c r="FB249" s="93"/>
      <c r="FC249" s="93"/>
      <c r="FD249" s="93"/>
      <c r="FE249" s="93"/>
      <c r="FF249" s="93"/>
      <c r="FG249" s="93"/>
      <c r="FH249" s="93"/>
      <c r="FI249" s="93"/>
      <c r="FJ249" s="93"/>
      <c r="FK249" s="93"/>
      <c r="FL249" s="93"/>
      <c r="FM249" s="93"/>
      <c r="FN249" s="93"/>
      <c r="FO249" s="93"/>
      <c r="FP249" s="93"/>
      <c r="FQ249" s="93"/>
      <c r="FR249" s="93"/>
      <c r="FS249" s="93"/>
      <c r="FT249" s="93"/>
      <c r="FU249" s="93"/>
      <c r="FV249" s="93"/>
      <c r="FW249" s="93"/>
      <c r="FX249" s="93"/>
      <c r="FY249" s="93"/>
      <c r="FZ249" s="93"/>
      <c r="GA249" s="93"/>
      <c r="GB249" s="93"/>
      <c r="GC249" s="93"/>
      <c r="GD249" s="93"/>
      <c r="GE249" s="93"/>
      <c r="GF249" s="93"/>
      <c r="GG249" s="93"/>
      <c r="GH249" s="93"/>
      <c r="GI249" s="93"/>
      <c r="GJ249" s="93"/>
      <c r="GK249" s="93"/>
      <c r="GL249" s="93"/>
      <c r="GM249" s="93"/>
      <c r="GN249" s="93"/>
      <c r="GO249" s="93"/>
      <c r="GP249" s="93"/>
      <c r="GQ249" s="93"/>
      <c r="GR249" s="93"/>
      <c r="GS249" s="93"/>
      <c r="GT249" s="93"/>
      <c r="GU249" s="93"/>
      <c r="GV249" s="93"/>
      <c r="GW249" s="93"/>
      <c r="GX249" s="93"/>
      <c r="GY249" s="93"/>
      <c r="GZ249" s="93"/>
      <c r="HA249" s="93"/>
      <c r="HB249" s="93"/>
      <c r="HC249" s="93"/>
      <c r="HD249" s="93"/>
      <c r="HE249" s="93"/>
      <c r="HF249" s="93"/>
      <c r="HG249" s="93"/>
    </row>
    <row r="250" spans="14:215" x14ac:dyDescent="0.2">
      <c r="N250" s="93" t="s">
        <v>467</v>
      </c>
      <c r="O250" s="93"/>
      <c r="P250" s="93"/>
      <c r="Q250" s="93"/>
      <c r="R250" s="93"/>
      <c r="S250" s="93"/>
      <c r="T250" s="93"/>
      <c r="U250" s="93"/>
      <c r="V250" s="93"/>
      <c r="W250" s="93"/>
      <c r="X250" s="93"/>
      <c r="Y250" s="93"/>
      <c r="Z250" s="93"/>
      <c r="AA250" s="93"/>
      <c r="AB250" s="93"/>
      <c r="AC250" s="93"/>
      <c r="AD250" s="93"/>
      <c r="AE250" s="93"/>
      <c r="AF250" s="93"/>
      <c r="AG250" s="93"/>
      <c r="AH250" s="93"/>
      <c r="AI250" s="93"/>
      <c r="AJ250" s="93"/>
      <c r="AK250" s="93"/>
      <c r="AL250" s="93"/>
      <c r="AM250" s="93"/>
      <c r="AN250" s="93"/>
      <c r="AO250" s="93"/>
      <c r="AP250" s="93"/>
      <c r="AQ250" s="93"/>
      <c r="AR250" s="93"/>
      <c r="AS250" s="93"/>
      <c r="AT250" s="93"/>
      <c r="AU250" s="93"/>
      <c r="AV250" s="93"/>
      <c r="AW250" s="93"/>
      <c r="AX250" s="93"/>
      <c r="AY250" s="93"/>
      <c r="AZ250" s="93"/>
      <c r="BA250" s="93"/>
      <c r="BB250" s="93"/>
      <c r="BC250" s="93"/>
      <c r="BD250" s="93"/>
      <c r="BE250" s="93"/>
      <c r="BF250" s="93"/>
      <c r="BG250" s="93"/>
      <c r="BH250" s="93"/>
      <c r="BI250" s="93"/>
      <c r="BJ250" s="93"/>
      <c r="BK250" s="93"/>
      <c r="BL250" s="93"/>
      <c r="BM250" s="93"/>
      <c r="BN250" s="93"/>
      <c r="BO250" s="93"/>
      <c r="BP250" s="93"/>
      <c r="BQ250" s="93"/>
      <c r="BR250" s="93"/>
      <c r="BS250" s="93"/>
      <c r="BT250" s="93"/>
      <c r="BU250" s="93"/>
      <c r="BV250" s="93"/>
      <c r="BW250" s="93"/>
      <c r="BX250" s="93"/>
      <c r="BY250" s="93"/>
      <c r="BZ250" s="93"/>
      <c r="CA250" s="93"/>
      <c r="CB250" s="93"/>
      <c r="CC250" s="93"/>
      <c r="CD250" s="93"/>
      <c r="CE250" s="93"/>
      <c r="CF250" s="93"/>
      <c r="CG250" s="93"/>
      <c r="CH250" s="93"/>
      <c r="CI250" s="93"/>
      <c r="CJ250" s="93"/>
      <c r="CK250" s="93"/>
      <c r="CL250" s="93"/>
      <c r="CM250" s="93"/>
      <c r="CN250" s="93"/>
      <c r="CO250" s="93"/>
      <c r="CP250" s="93"/>
      <c r="CQ250" s="93"/>
      <c r="CR250" s="93"/>
      <c r="CS250" s="93"/>
      <c r="CT250" s="93"/>
      <c r="CU250" s="93"/>
      <c r="CV250" s="93"/>
      <c r="CW250" s="93"/>
      <c r="CX250" s="93"/>
      <c r="CY250" s="93"/>
      <c r="CZ250" s="93"/>
      <c r="DA250" s="93"/>
      <c r="DB250" s="93"/>
      <c r="DC250" s="93"/>
      <c r="DD250" s="93"/>
      <c r="DE250" s="93"/>
      <c r="DF250" s="93"/>
      <c r="DG250" s="93"/>
      <c r="DH250" s="93"/>
      <c r="DI250" s="93"/>
      <c r="DJ250" s="93"/>
      <c r="DK250" s="93"/>
      <c r="DL250" s="93"/>
      <c r="DM250" s="93"/>
      <c r="DN250" s="93"/>
      <c r="DO250" s="93"/>
      <c r="DP250" s="93"/>
      <c r="DQ250" s="93"/>
      <c r="DR250" s="93"/>
      <c r="DS250" s="93"/>
      <c r="DT250" s="93"/>
      <c r="DU250" s="93"/>
      <c r="DV250" s="93"/>
      <c r="DW250" s="93"/>
      <c r="DX250" s="93"/>
      <c r="DY250" s="93"/>
      <c r="DZ250" s="93"/>
      <c r="EA250" s="93"/>
      <c r="EB250" s="93"/>
      <c r="EC250" s="93"/>
      <c r="ED250" s="93"/>
      <c r="EE250" s="93"/>
      <c r="EF250" s="93"/>
      <c r="EG250" s="93"/>
      <c r="EH250" s="93"/>
      <c r="EI250" s="93"/>
      <c r="EJ250" s="93"/>
      <c r="EK250" s="93"/>
      <c r="EL250" s="93"/>
      <c r="EM250" s="93"/>
      <c r="EN250" s="93"/>
      <c r="EO250" s="93"/>
      <c r="EP250" s="93"/>
      <c r="EQ250" s="93"/>
      <c r="ER250" s="93"/>
      <c r="ES250" s="93"/>
      <c r="ET250" s="93"/>
      <c r="EU250" s="93"/>
      <c r="EV250" s="93"/>
      <c r="EW250" s="93"/>
      <c r="EX250" s="93">
        <v>0.33253205128205127</v>
      </c>
      <c r="EY250" s="93"/>
      <c r="EZ250" s="93"/>
      <c r="FA250" s="93"/>
      <c r="FB250" s="93"/>
      <c r="FC250" s="93"/>
      <c r="FD250" s="93"/>
      <c r="FE250" s="93"/>
      <c r="FF250" s="93"/>
      <c r="FG250" s="93"/>
      <c r="FH250" s="93"/>
      <c r="FI250" s="93"/>
      <c r="FJ250" s="93"/>
      <c r="FK250" s="93"/>
      <c r="FL250" s="93"/>
      <c r="FM250" s="93"/>
      <c r="FN250" s="93"/>
      <c r="FO250" s="93"/>
      <c r="FP250" s="93"/>
      <c r="FQ250" s="93"/>
      <c r="FR250" s="93"/>
      <c r="FS250" s="93"/>
      <c r="FT250" s="93"/>
      <c r="FU250" s="93"/>
      <c r="FV250" s="93"/>
      <c r="FW250" s="93"/>
      <c r="FX250" s="93"/>
      <c r="FY250" s="93"/>
      <c r="FZ250" s="93"/>
      <c r="GA250" s="93"/>
      <c r="GB250" s="93"/>
      <c r="GC250" s="93"/>
      <c r="GD250" s="93"/>
      <c r="GE250" s="93"/>
      <c r="GF250" s="93"/>
      <c r="GG250" s="93"/>
      <c r="GH250" s="93"/>
      <c r="GI250" s="93"/>
      <c r="GJ250" s="93"/>
      <c r="GK250" s="93"/>
      <c r="GL250" s="93"/>
      <c r="GM250" s="93"/>
      <c r="GN250" s="93"/>
      <c r="GO250" s="93"/>
      <c r="GP250" s="93"/>
      <c r="GQ250" s="93"/>
      <c r="GR250" s="93"/>
      <c r="GS250" s="93"/>
      <c r="GT250" s="93"/>
      <c r="GU250" s="93"/>
      <c r="GV250" s="93"/>
      <c r="GW250" s="93"/>
      <c r="GX250" s="93"/>
      <c r="GY250" s="93"/>
      <c r="GZ250" s="93"/>
      <c r="HA250" s="93"/>
      <c r="HB250" s="93"/>
      <c r="HC250" s="93"/>
      <c r="HD250" s="93"/>
      <c r="HE250" s="93"/>
      <c r="HF250" s="93"/>
      <c r="HG250" s="93"/>
    </row>
    <row r="251" spans="14:215" x14ac:dyDescent="0.2">
      <c r="N251" s="93" t="s">
        <v>468</v>
      </c>
      <c r="O251" s="93"/>
      <c r="P251" s="93"/>
      <c r="Q251" s="93"/>
      <c r="R251" s="93"/>
      <c r="S251" s="93"/>
      <c r="T251" s="93"/>
      <c r="U251" s="93"/>
      <c r="V251" s="93"/>
      <c r="W251" s="93"/>
      <c r="X251" s="93"/>
      <c r="Y251" s="93"/>
      <c r="Z251" s="93"/>
      <c r="AA251" s="93"/>
      <c r="AB251" s="93"/>
      <c r="AC251" s="93"/>
      <c r="AD251" s="93"/>
      <c r="AE251" s="93"/>
      <c r="AF251" s="93"/>
      <c r="AG251" s="93"/>
      <c r="AH251" s="93"/>
      <c r="AI251" s="93"/>
      <c r="AJ251" s="93"/>
      <c r="AK251" s="93"/>
      <c r="AL251" s="93"/>
      <c r="AM251" s="93"/>
      <c r="AN251" s="93"/>
      <c r="AO251" s="93"/>
      <c r="AP251" s="93"/>
      <c r="AQ251" s="93"/>
      <c r="AR251" s="93"/>
      <c r="AS251" s="93"/>
      <c r="AT251" s="93"/>
      <c r="AU251" s="93"/>
      <c r="AV251" s="93"/>
      <c r="AW251" s="93"/>
      <c r="AX251" s="93"/>
      <c r="AY251" s="93"/>
      <c r="AZ251" s="93"/>
      <c r="BA251" s="93"/>
      <c r="BB251" s="93"/>
      <c r="BC251" s="93"/>
      <c r="BD251" s="93"/>
      <c r="BE251" s="93"/>
      <c r="BF251" s="93"/>
      <c r="BG251" s="93"/>
      <c r="BH251" s="93"/>
      <c r="BI251" s="93"/>
      <c r="BJ251" s="93"/>
      <c r="BK251" s="93"/>
      <c r="BL251" s="93"/>
      <c r="BM251" s="93"/>
      <c r="BN251" s="93"/>
      <c r="BO251" s="93"/>
      <c r="BP251" s="93"/>
      <c r="BQ251" s="93"/>
      <c r="BR251" s="93"/>
      <c r="BS251" s="93"/>
      <c r="BT251" s="93"/>
      <c r="BU251" s="93"/>
      <c r="BV251" s="93"/>
      <c r="BW251" s="93"/>
      <c r="BX251" s="93"/>
      <c r="BY251" s="93"/>
      <c r="BZ251" s="93"/>
      <c r="CA251" s="93"/>
      <c r="CB251" s="93"/>
      <c r="CC251" s="93"/>
      <c r="CD251" s="93"/>
      <c r="CE251" s="93"/>
      <c r="CF251" s="93"/>
      <c r="CG251" s="93"/>
      <c r="CH251" s="93"/>
      <c r="CI251" s="93"/>
      <c r="CJ251" s="93"/>
      <c r="CK251" s="93"/>
      <c r="CL251" s="93"/>
      <c r="CM251" s="93"/>
      <c r="CN251" s="93"/>
      <c r="CO251" s="93"/>
      <c r="CP251" s="93"/>
      <c r="CQ251" s="93"/>
      <c r="CR251" s="93"/>
      <c r="CS251" s="93"/>
      <c r="CT251" s="93"/>
      <c r="CU251" s="93"/>
      <c r="CV251" s="93"/>
      <c r="CW251" s="93"/>
      <c r="CX251" s="93"/>
      <c r="CY251" s="93"/>
      <c r="CZ251" s="93"/>
      <c r="DA251" s="93"/>
      <c r="DB251" s="93"/>
      <c r="DC251" s="93"/>
      <c r="DD251" s="93"/>
      <c r="DE251" s="93"/>
      <c r="DF251" s="93"/>
      <c r="DG251" s="93"/>
      <c r="DH251" s="93"/>
      <c r="DI251" s="93"/>
      <c r="DJ251" s="93"/>
      <c r="DK251" s="93"/>
      <c r="DL251" s="93"/>
      <c r="DM251" s="93"/>
      <c r="DN251" s="93"/>
      <c r="DO251" s="93"/>
      <c r="DP251" s="93"/>
      <c r="DQ251" s="93"/>
      <c r="DR251" s="93"/>
      <c r="DS251" s="93"/>
      <c r="DT251" s="93"/>
      <c r="DU251" s="93"/>
      <c r="DV251" s="93"/>
      <c r="DW251" s="93"/>
      <c r="DX251" s="93"/>
      <c r="DY251" s="93"/>
      <c r="DZ251" s="93"/>
      <c r="EA251" s="93"/>
      <c r="EB251" s="93"/>
      <c r="EC251" s="93"/>
      <c r="ED251" s="93"/>
      <c r="EE251" s="93"/>
      <c r="EF251" s="93"/>
      <c r="EG251" s="93"/>
      <c r="EH251" s="93"/>
      <c r="EI251" s="93"/>
      <c r="EJ251" s="93"/>
      <c r="EK251" s="93"/>
      <c r="EL251" s="93"/>
      <c r="EM251" s="93"/>
      <c r="EN251" s="93"/>
      <c r="EO251" s="93"/>
      <c r="EP251" s="93"/>
      <c r="EQ251" s="93"/>
      <c r="ER251" s="93"/>
      <c r="ES251" s="93"/>
      <c r="ET251" s="93"/>
      <c r="EU251" s="93"/>
      <c r="EV251" s="93"/>
      <c r="EW251" s="93"/>
      <c r="EX251" s="93"/>
      <c r="EY251" s="93">
        <v>0.33253778838504378</v>
      </c>
      <c r="EZ251" s="93"/>
      <c r="FA251" s="93"/>
      <c r="FB251" s="93"/>
      <c r="FC251" s="93"/>
      <c r="FD251" s="93"/>
      <c r="FE251" s="93"/>
      <c r="FF251" s="93"/>
      <c r="FG251" s="93"/>
      <c r="FH251" s="93"/>
      <c r="FI251" s="93"/>
      <c r="FJ251" s="93"/>
      <c r="FK251" s="93"/>
      <c r="FL251" s="93"/>
      <c r="FM251" s="93"/>
      <c r="FN251" s="93"/>
      <c r="FO251" s="93"/>
      <c r="FP251" s="93"/>
      <c r="FQ251" s="93"/>
      <c r="FR251" s="93"/>
      <c r="FS251" s="93"/>
      <c r="FT251" s="93"/>
      <c r="FU251" s="93"/>
      <c r="FV251" s="93"/>
      <c r="FW251" s="93"/>
      <c r="FX251" s="93"/>
      <c r="FY251" s="93"/>
      <c r="FZ251" s="93"/>
      <c r="GA251" s="93"/>
      <c r="GB251" s="93"/>
      <c r="GC251" s="93"/>
      <c r="GD251" s="93"/>
      <c r="GE251" s="93"/>
      <c r="GF251" s="93"/>
      <c r="GG251" s="93"/>
      <c r="GH251" s="93"/>
      <c r="GI251" s="93"/>
      <c r="GJ251" s="93"/>
      <c r="GK251" s="93"/>
      <c r="GL251" s="93"/>
      <c r="GM251" s="93"/>
      <c r="GN251" s="93"/>
      <c r="GO251" s="93"/>
      <c r="GP251" s="93"/>
      <c r="GQ251" s="93"/>
      <c r="GR251" s="93"/>
      <c r="GS251" s="93"/>
      <c r="GT251" s="93"/>
      <c r="GU251" s="93"/>
      <c r="GV251" s="93"/>
      <c r="GW251" s="93"/>
      <c r="GX251" s="93"/>
      <c r="GY251" s="93"/>
      <c r="GZ251" s="93"/>
      <c r="HA251" s="93"/>
      <c r="HB251" s="93"/>
      <c r="HC251" s="93"/>
      <c r="HD251" s="93"/>
      <c r="HE251" s="93"/>
      <c r="HF251" s="93"/>
      <c r="HG251" s="93"/>
    </row>
    <row r="252" spans="14:215" x14ac:dyDescent="0.2">
      <c r="N252" s="93" t="s">
        <v>469</v>
      </c>
      <c r="O252" s="93"/>
      <c r="P252" s="93"/>
      <c r="Q252" s="93"/>
      <c r="R252" s="93"/>
      <c r="S252" s="93"/>
      <c r="T252" s="93"/>
      <c r="U252" s="93"/>
      <c r="V252" s="93"/>
      <c r="W252" s="93"/>
      <c r="X252" s="93"/>
      <c r="Y252" s="93"/>
      <c r="Z252" s="93"/>
      <c r="AA252" s="93"/>
      <c r="AB252" s="93"/>
      <c r="AC252" s="93"/>
      <c r="AD252" s="93"/>
      <c r="AE252" s="93"/>
      <c r="AF252" s="93"/>
      <c r="AG252" s="93"/>
      <c r="AH252" s="93"/>
      <c r="AI252" s="93"/>
      <c r="AJ252" s="93"/>
      <c r="AK252" s="93"/>
      <c r="AL252" s="93"/>
      <c r="AM252" s="93"/>
      <c r="AN252" s="93"/>
      <c r="AO252" s="93"/>
      <c r="AP252" s="93"/>
      <c r="AQ252" s="93"/>
      <c r="AR252" s="93"/>
      <c r="AS252" s="93"/>
      <c r="AT252" s="93"/>
      <c r="AU252" s="93"/>
      <c r="AV252" s="93"/>
      <c r="AW252" s="93"/>
      <c r="AX252" s="93"/>
      <c r="AY252" s="93"/>
      <c r="AZ252" s="93"/>
      <c r="BA252" s="93"/>
      <c r="BB252" s="93"/>
      <c r="BC252" s="93"/>
      <c r="BD252" s="93"/>
      <c r="BE252" s="93"/>
      <c r="BF252" s="93"/>
      <c r="BG252" s="93"/>
      <c r="BH252" s="93"/>
      <c r="BI252" s="93"/>
      <c r="BJ252" s="93"/>
      <c r="BK252" s="93"/>
      <c r="BL252" s="93"/>
      <c r="BM252" s="93"/>
      <c r="BN252" s="93"/>
      <c r="BO252" s="93"/>
      <c r="BP252" s="93"/>
      <c r="BQ252" s="93"/>
      <c r="BR252" s="93"/>
      <c r="BS252" s="93"/>
      <c r="BT252" s="93"/>
      <c r="BU252" s="93"/>
      <c r="BV252" s="93"/>
      <c r="BW252" s="93"/>
      <c r="BX252" s="93"/>
      <c r="BY252" s="93"/>
      <c r="BZ252" s="93"/>
      <c r="CA252" s="93"/>
      <c r="CB252" s="93"/>
      <c r="CC252" s="93"/>
      <c r="CD252" s="93"/>
      <c r="CE252" s="93"/>
      <c r="CF252" s="93"/>
      <c r="CG252" s="93"/>
      <c r="CH252" s="93"/>
      <c r="CI252" s="93"/>
      <c r="CJ252" s="93"/>
      <c r="CK252" s="93"/>
      <c r="CL252" s="93"/>
      <c r="CM252" s="93"/>
      <c r="CN252" s="93"/>
      <c r="CO252" s="93"/>
      <c r="CP252" s="93"/>
      <c r="CQ252" s="93"/>
      <c r="CR252" s="93"/>
      <c r="CS252" s="93"/>
      <c r="CT252" s="93"/>
      <c r="CU252" s="93"/>
      <c r="CV252" s="93"/>
      <c r="CW252" s="93"/>
      <c r="CX252" s="93"/>
      <c r="CY252" s="93"/>
      <c r="CZ252" s="93"/>
      <c r="DA252" s="93"/>
      <c r="DB252" s="93"/>
      <c r="DC252" s="93"/>
      <c r="DD252" s="93"/>
      <c r="DE252" s="93"/>
      <c r="DF252" s="93"/>
      <c r="DG252" s="93"/>
      <c r="DH252" s="93"/>
      <c r="DI252" s="93"/>
      <c r="DJ252" s="93"/>
      <c r="DK252" s="93"/>
      <c r="DL252" s="93"/>
      <c r="DM252" s="93"/>
      <c r="DN252" s="93"/>
      <c r="DO252" s="93"/>
      <c r="DP252" s="93"/>
      <c r="DQ252" s="93"/>
      <c r="DR252" s="93"/>
      <c r="DS252" s="93"/>
      <c r="DT252" s="93"/>
      <c r="DU252" s="93"/>
      <c r="DV252" s="93"/>
      <c r="DW252" s="93"/>
      <c r="DX252" s="93"/>
      <c r="DY252" s="93"/>
      <c r="DZ252" s="93"/>
      <c r="EA252" s="93"/>
      <c r="EB252" s="93"/>
      <c r="EC252" s="93"/>
      <c r="ED252" s="93"/>
      <c r="EE252" s="93"/>
      <c r="EF252" s="93"/>
      <c r="EG252" s="93"/>
      <c r="EH252" s="93"/>
      <c r="EI252" s="93"/>
      <c r="EJ252" s="93"/>
      <c r="EK252" s="93"/>
      <c r="EL252" s="93"/>
      <c r="EM252" s="93"/>
      <c r="EN252" s="93"/>
      <c r="EO252" s="93"/>
      <c r="EP252" s="93"/>
      <c r="EQ252" s="93"/>
      <c r="ER252" s="93"/>
      <c r="ES252" s="93"/>
      <c r="ET252" s="93"/>
      <c r="EU252" s="93"/>
      <c r="EV252" s="93"/>
      <c r="EW252" s="93"/>
      <c r="EX252" s="93"/>
      <c r="EY252" s="93"/>
      <c r="EZ252" s="93">
        <v>0.33254344391785151</v>
      </c>
      <c r="FA252" s="93"/>
      <c r="FB252" s="93"/>
      <c r="FC252" s="93"/>
      <c r="FD252" s="93"/>
      <c r="FE252" s="93"/>
      <c r="FF252" s="93"/>
      <c r="FG252" s="93"/>
      <c r="FH252" s="93"/>
      <c r="FI252" s="93"/>
      <c r="FJ252" s="93"/>
      <c r="FK252" s="93"/>
      <c r="FL252" s="93"/>
      <c r="FM252" s="93"/>
      <c r="FN252" s="93"/>
      <c r="FO252" s="93"/>
      <c r="FP252" s="93"/>
      <c r="FQ252" s="93"/>
      <c r="FR252" s="93"/>
      <c r="FS252" s="93"/>
      <c r="FT252" s="93"/>
      <c r="FU252" s="93"/>
      <c r="FV252" s="93"/>
      <c r="FW252" s="93"/>
      <c r="FX252" s="93"/>
      <c r="FY252" s="93"/>
      <c r="FZ252" s="93"/>
      <c r="GA252" s="93"/>
      <c r="GB252" s="93"/>
      <c r="GC252" s="93"/>
      <c r="GD252" s="93"/>
      <c r="GE252" s="93"/>
      <c r="GF252" s="93"/>
      <c r="GG252" s="93"/>
      <c r="GH252" s="93"/>
      <c r="GI252" s="93"/>
      <c r="GJ252" s="93"/>
      <c r="GK252" s="93"/>
      <c r="GL252" s="93"/>
      <c r="GM252" s="93"/>
      <c r="GN252" s="93"/>
      <c r="GO252" s="93"/>
      <c r="GP252" s="93"/>
      <c r="GQ252" s="93"/>
      <c r="GR252" s="93"/>
      <c r="GS252" s="93"/>
      <c r="GT252" s="93"/>
      <c r="GU252" s="93"/>
      <c r="GV252" s="93"/>
      <c r="GW252" s="93"/>
      <c r="GX252" s="93"/>
      <c r="GY252" s="93"/>
      <c r="GZ252" s="93"/>
      <c r="HA252" s="93"/>
      <c r="HB252" s="93"/>
      <c r="HC252" s="93"/>
      <c r="HD252" s="93"/>
      <c r="HE252" s="93"/>
      <c r="HF252" s="93"/>
      <c r="HG252" s="93"/>
    </row>
    <row r="253" spans="14:215" x14ac:dyDescent="0.2">
      <c r="N253" s="93" t="s">
        <v>470</v>
      </c>
      <c r="O253" s="93"/>
      <c r="P253" s="93"/>
      <c r="Q253" s="93"/>
      <c r="R253" s="93"/>
      <c r="S253" s="93"/>
      <c r="T253" s="93"/>
      <c r="U253" s="93"/>
      <c r="V253" s="93"/>
      <c r="W253" s="93"/>
      <c r="X253" s="93"/>
      <c r="Y253" s="93"/>
      <c r="Z253" s="93"/>
      <c r="AA253" s="93"/>
      <c r="AB253" s="93"/>
      <c r="AC253" s="93"/>
      <c r="AD253" s="93"/>
      <c r="AE253" s="93"/>
      <c r="AF253" s="93"/>
      <c r="AG253" s="93"/>
      <c r="AH253" s="93"/>
      <c r="AI253" s="93"/>
      <c r="AJ253" s="93"/>
      <c r="AK253" s="93"/>
      <c r="AL253" s="93"/>
      <c r="AM253" s="93"/>
      <c r="AN253" s="93"/>
      <c r="AO253" s="93"/>
      <c r="AP253" s="93"/>
      <c r="AQ253" s="93"/>
      <c r="AR253" s="93"/>
      <c r="AS253" s="93"/>
      <c r="AT253" s="93"/>
      <c r="AU253" s="93"/>
      <c r="AV253" s="93"/>
      <c r="AW253" s="93"/>
      <c r="AX253" s="93"/>
      <c r="AY253" s="93"/>
      <c r="AZ253" s="93"/>
      <c r="BA253" s="93"/>
      <c r="BB253" s="93"/>
      <c r="BC253" s="93"/>
      <c r="BD253" s="93"/>
      <c r="BE253" s="93"/>
      <c r="BF253" s="93"/>
      <c r="BG253" s="93"/>
      <c r="BH253" s="93"/>
      <c r="BI253" s="93"/>
      <c r="BJ253" s="93"/>
      <c r="BK253" s="93"/>
      <c r="BL253" s="93"/>
      <c r="BM253" s="93"/>
      <c r="BN253" s="93"/>
      <c r="BO253" s="93"/>
      <c r="BP253" s="93"/>
      <c r="BQ253" s="93"/>
      <c r="BR253" s="93"/>
      <c r="BS253" s="93"/>
      <c r="BT253" s="93"/>
      <c r="BU253" s="93"/>
      <c r="BV253" s="93"/>
      <c r="BW253" s="93"/>
      <c r="BX253" s="93"/>
      <c r="BY253" s="93"/>
      <c r="BZ253" s="93"/>
      <c r="CA253" s="93"/>
      <c r="CB253" s="93"/>
      <c r="CC253" s="93"/>
      <c r="CD253" s="93"/>
      <c r="CE253" s="93"/>
      <c r="CF253" s="93"/>
      <c r="CG253" s="93"/>
      <c r="CH253" s="93"/>
      <c r="CI253" s="93"/>
      <c r="CJ253" s="93"/>
      <c r="CK253" s="93"/>
      <c r="CL253" s="93"/>
      <c r="CM253" s="93"/>
      <c r="CN253" s="93"/>
      <c r="CO253" s="93"/>
      <c r="CP253" s="93"/>
      <c r="CQ253" s="93"/>
      <c r="CR253" s="93"/>
      <c r="CS253" s="93"/>
      <c r="CT253" s="93"/>
      <c r="CU253" s="93"/>
      <c r="CV253" s="93"/>
      <c r="CW253" s="93"/>
      <c r="CX253" s="93"/>
      <c r="CY253" s="93"/>
      <c r="CZ253" s="93"/>
      <c r="DA253" s="93"/>
      <c r="DB253" s="93"/>
      <c r="DC253" s="93"/>
      <c r="DD253" s="93"/>
      <c r="DE253" s="93"/>
      <c r="DF253" s="93"/>
      <c r="DG253" s="93"/>
      <c r="DH253" s="93"/>
      <c r="DI253" s="93"/>
      <c r="DJ253" s="93"/>
      <c r="DK253" s="93"/>
      <c r="DL253" s="93"/>
      <c r="DM253" s="93"/>
      <c r="DN253" s="93"/>
      <c r="DO253" s="93"/>
      <c r="DP253" s="93"/>
      <c r="DQ253" s="93"/>
      <c r="DR253" s="93"/>
      <c r="DS253" s="93"/>
      <c r="DT253" s="93"/>
      <c r="DU253" s="93"/>
      <c r="DV253" s="93"/>
      <c r="DW253" s="93"/>
      <c r="DX253" s="93"/>
      <c r="DY253" s="93"/>
      <c r="DZ253" s="93"/>
      <c r="EA253" s="93"/>
      <c r="EB253" s="93"/>
      <c r="EC253" s="93"/>
      <c r="ED253" s="93"/>
      <c r="EE253" s="93"/>
      <c r="EF253" s="93"/>
      <c r="EG253" s="93"/>
      <c r="EH253" s="93"/>
      <c r="EI253" s="93"/>
      <c r="EJ253" s="93"/>
      <c r="EK253" s="93"/>
      <c r="EL253" s="93"/>
      <c r="EM253" s="93"/>
      <c r="EN253" s="93"/>
      <c r="EO253" s="93"/>
      <c r="EP253" s="93"/>
      <c r="EQ253" s="93"/>
      <c r="ER253" s="93"/>
      <c r="ES253" s="93"/>
      <c r="ET253" s="93"/>
      <c r="EU253" s="93"/>
      <c r="EV253" s="93"/>
      <c r="EW253" s="93"/>
      <c r="EX253" s="93"/>
      <c r="EY253" s="93"/>
      <c r="EZ253" s="93"/>
      <c r="FA253" s="93">
        <v>0.33254901960784311</v>
      </c>
      <c r="FB253" s="93"/>
      <c r="FC253" s="93"/>
      <c r="FD253" s="93"/>
      <c r="FE253" s="93"/>
      <c r="FF253" s="93"/>
      <c r="FG253" s="93"/>
      <c r="FH253" s="93"/>
      <c r="FI253" s="93"/>
      <c r="FJ253" s="93"/>
      <c r="FK253" s="93"/>
      <c r="FL253" s="93"/>
      <c r="FM253" s="93"/>
      <c r="FN253" s="93"/>
      <c r="FO253" s="93"/>
      <c r="FP253" s="93"/>
      <c r="FQ253" s="93"/>
      <c r="FR253" s="93"/>
      <c r="FS253" s="93"/>
      <c r="FT253" s="93"/>
      <c r="FU253" s="93"/>
      <c r="FV253" s="93"/>
      <c r="FW253" s="93"/>
      <c r="FX253" s="93"/>
      <c r="FY253" s="93"/>
      <c r="FZ253" s="93"/>
      <c r="GA253" s="93"/>
      <c r="GB253" s="93"/>
      <c r="GC253" s="93"/>
      <c r="GD253" s="93"/>
      <c r="GE253" s="93"/>
      <c r="GF253" s="93"/>
      <c r="GG253" s="93"/>
      <c r="GH253" s="93"/>
      <c r="GI253" s="93"/>
      <c r="GJ253" s="93"/>
      <c r="GK253" s="93"/>
      <c r="GL253" s="93"/>
      <c r="GM253" s="93"/>
      <c r="GN253" s="93"/>
      <c r="GO253" s="93"/>
      <c r="GP253" s="93"/>
      <c r="GQ253" s="93"/>
      <c r="GR253" s="93"/>
      <c r="GS253" s="93"/>
      <c r="GT253" s="93"/>
      <c r="GU253" s="93"/>
      <c r="GV253" s="93"/>
      <c r="GW253" s="93"/>
      <c r="GX253" s="93"/>
      <c r="GY253" s="93"/>
      <c r="GZ253" s="93"/>
      <c r="HA253" s="93"/>
      <c r="HB253" s="93"/>
      <c r="HC253" s="93"/>
      <c r="HD253" s="93"/>
      <c r="HE253" s="93"/>
      <c r="HF253" s="93"/>
      <c r="HG253" s="93"/>
    </row>
    <row r="254" spans="14:215" x14ac:dyDescent="0.2">
      <c r="N254" s="93" t="s">
        <v>471</v>
      </c>
      <c r="O254" s="93"/>
      <c r="P254" s="93"/>
      <c r="Q254" s="93"/>
      <c r="R254" s="93"/>
      <c r="S254" s="93"/>
      <c r="T254" s="93"/>
      <c r="U254" s="93"/>
      <c r="V254" s="93"/>
      <c r="W254" s="93"/>
      <c r="X254" s="93"/>
      <c r="Y254" s="93"/>
      <c r="Z254" s="93"/>
      <c r="AA254" s="93"/>
      <c r="AB254" s="93"/>
      <c r="AC254" s="93"/>
      <c r="AD254" s="93"/>
      <c r="AE254" s="93"/>
      <c r="AF254" s="93"/>
      <c r="AG254" s="93"/>
      <c r="AH254" s="93"/>
      <c r="AI254" s="93"/>
      <c r="AJ254" s="93"/>
      <c r="AK254" s="93"/>
      <c r="AL254" s="93"/>
      <c r="AM254" s="93"/>
      <c r="AN254" s="93"/>
      <c r="AO254" s="93"/>
      <c r="AP254" s="93"/>
      <c r="AQ254" s="93"/>
      <c r="AR254" s="93"/>
      <c r="AS254" s="93"/>
      <c r="AT254" s="93"/>
      <c r="AU254" s="93"/>
      <c r="AV254" s="93"/>
      <c r="AW254" s="93"/>
      <c r="AX254" s="93"/>
      <c r="AY254" s="93"/>
      <c r="AZ254" s="93"/>
      <c r="BA254" s="93"/>
      <c r="BB254" s="93"/>
      <c r="BC254" s="93"/>
      <c r="BD254" s="93"/>
      <c r="BE254" s="93"/>
      <c r="BF254" s="93"/>
      <c r="BG254" s="93"/>
      <c r="BH254" s="93"/>
      <c r="BI254" s="93"/>
      <c r="BJ254" s="93"/>
      <c r="BK254" s="93"/>
      <c r="BL254" s="93"/>
      <c r="BM254" s="93"/>
      <c r="BN254" s="93"/>
      <c r="BO254" s="93"/>
      <c r="BP254" s="93"/>
      <c r="BQ254" s="93"/>
      <c r="BR254" s="93"/>
      <c r="BS254" s="93"/>
      <c r="BT254" s="93"/>
      <c r="BU254" s="93"/>
      <c r="BV254" s="93"/>
      <c r="BW254" s="93"/>
      <c r="BX254" s="93"/>
      <c r="BY254" s="93"/>
      <c r="BZ254" s="93"/>
      <c r="CA254" s="93"/>
      <c r="CB254" s="93"/>
      <c r="CC254" s="93"/>
      <c r="CD254" s="93"/>
      <c r="CE254" s="93"/>
      <c r="CF254" s="93"/>
      <c r="CG254" s="93"/>
      <c r="CH254" s="93"/>
      <c r="CI254" s="93"/>
      <c r="CJ254" s="93"/>
      <c r="CK254" s="93"/>
      <c r="CL254" s="93"/>
      <c r="CM254" s="93"/>
      <c r="CN254" s="93"/>
      <c r="CO254" s="93"/>
      <c r="CP254" s="93"/>
      <c r="CQ254" s="93"/>
      <c r="CR254" s="93"/>
      <c r="CS254" s="93"/>
      <c r="CT254" s="93"/>
      <c r="CU254" s="93"/>
      <c r="CV254" s="93"/>
      <c r="CW254" s="93"/>
      <c r="CX254" s="93"/>
      <c r="CY254" s="93"/>
      <c r="CZ254" s="93"/>
      <c r="DA254" s="93"/>
      <c r="DB254" s="93"/>
      <c r="DC254" s="93"/>
      <c r="DD254" s="93"/>
      <c r="DE254" s="93"/>
      <c r="DF254" s="93"/>
      <c r="DG254" s="93"/>
      <c r="DH254" s="93"/>
      <c r="DI254" s="93"/>
      <c r="DJ254" s="93"/>
      <c r="DK254" s="93"/>
      <c r="DL254" s="93"/>
      <c r="DM254" s="93"/>
      <c r="DN254" s="93"/>
      <c r="DO254" s="93"/>
      <c r="DP254" s="93"/>
      <c r="DQ254" s="93"/>
      <c r="DR254" s="93"/>
      <c r="DS254" s="93"/>
      <c r="DT254" s="93"/>
      <c r="DU254" s="93"/>
      <c r="DV254" s="93"/>
      <c r="DW254" s="93"/>
      <c r="DX254" s="93"/>
      <c r="DY254" s="93"/>
      <c r="DZ254" s="93"/>
      <c r="EA254" s="93"/>
      <c r="EB254" s="93"/>
      <c r="EC254" s="93"/>
      <c r="ED254" s="93"/>
      <c r="EE254" s="93"/>
      <c r="EF254" s="93"/>
      <c r="EG254" s="93"/>
      <c r="EH254" s="93"/>
      <c r="EI254" s="93"/>
      <c r="EJ254" s="93"/>
      <c r="EK254" s="93"/>
      <c r="EL254" s="93"/>
      <c r="EM254" s="93"/>
      <c r="EN254" s="93"/>
      <c r="EO254" s="93"/>
      <c r="EP254" s="93"/>
      <c r="EQ254" s="93"/>
      <c r="ER254" s="93"/>
      <c r="ES254" s="93"/>
      <c r="ET254" s="93"/>
      <c r="EU254" s="93"/>
      <c r="EV254" s="93"/>
      <c r="EW254" s="93"/>
      <c r="EX254" s="93"/>
      <c r="EY254" s="93"/>
      <c r="EZ254" s="93"/>
      <c r="FA254" s="93"/>
      <c r="FB254" s="93">
        <v>0.3325545171339564</v>
      </c>
      <c r="FC254" s="93"/>
      <c r="FD254" s="93"/>
      <c r="FE254" s="93"/>
      <c r="FF254" s="93"/>
      <c r="FG254" s="93"/>
      <c r="FH254" s="93"/>
      <c r="FI254" s="93"/>
      <c r="FJ254" s="93"/>
      <c r="FK254" s="93"/>
      <c r="FL254" s="93"/>
      <c r="FM254" s="93"/>
      <c r="FN254" s="93"/>
      <c r="FO254" s="93"/>
      <c r="FP254" s="93"/>
      <c r="FQ254" s="93"/>
      <c r="FR254" s="93"/>
      <c r="FS254" s="93"/>
      <c r="FT254" s="93"/>
      <c r="FU254" s="93"/>
      <c r="FV254" s="93"/>
      <c r="FW254" s="93"/>
      <c r="FX254" s="93"/>
      <c r="FY254" s="93"/>
      <c r="FZ254" s="93"/>
      <c r="GA254" s="93"/>
      <c r="GB254" s="93"/>
      <c r="GC254" s="93"/>
      <c r="GD254" s="93"/>
      <c r="GE254" s="93"/>
      <c r="GF254" s="93"/>
      <c r="GG254" s="93"/>
      <c r="GH254" s="93"/>
      <c r="GI254" s="93"/>
      <c r="GJ254" s="93"/>
      <c r="GK254" s="93"/>
      <c r="GL254" s="93"/>
      <c r="GM254" s="93"/>
      <c r="GN254" s="93"/>
      <c r="GO254" s="93"/>
      <c r="GP254" s="93"/>
      <c r="GQ254" s="93"/>
      <c r="GR254" s="93"/>
      <c r="GS254" s="93"/>
      <c r="GT254" s="93"/>
      <c r="GU254" s="93"/>
      <c r="GV254" s="93"/>
      <c r="GW254" s="93"/>
      <c r="GX254" s="93"/>
      <c r="GY254" s="93"/>
      <c r="GZ254" s="93"/>
      <c r="HA254" s="93"/>
      <c r="HB254" s="93"/>
      <c r="HC254" s="93"/>
      <c r="HD254" s="93"/>
      <c r="HE254" s="93"/>
      <c r="HF254" s="93"/>
      <c r="HG254" s="93"/>
    </row>
    <row r="255" spans="14:215" x14ac:dyDescent="0.2">
      <c r="N255" s="93" t="s">
        <v>472</v>
      </c>
      <c r="O255" s="93"/>
      <c r="P255" s="93"/>
      <c r="Q255" s="93"/>
      <c r="R255" s="93"/>
      <c r="S255" s="93"/>
      <c r="T255" s="93"/>
      <c r="U255" s="93"/>
      <c r="V255" s="93"/>
      <c r="W255" s="93"/>
      <c r="X255" s="93"/>
      <c r="Y255" s="93"/>
      <c r="Z255" s="93"/>
      <c r="AA255" s="93"/>
      <c r="AB255" s="93"/>
      <c r="AC255" s="93"/>
      <c r="AD255" s="93"/>
      <c r="AE255" s="93"/>
      <c r="AF255" s="93"/>
      <c r="AG255" s="93"/>
      <c r="AH255" s="93"/>
      <c r="AI255" s="93"/>
      <c r="AJ255" s="93"/>
      <c r="AK255" s="93"/>
      <c r="AL255" s="93"/>
      <c r="AM255" s="93"/>
      <c r="AN255" s="93"/>
      <c r="AO255" s="93"/>
      <c r="AP255" s="93"/>
      <c r="AQ255" s="93"/>
      <c r="AR255" s="93"/>
      <c r="AS255" s="93"/>
      <c r="AT255" s="93"/>
      <c r="AU255" s="93"/>
      <c r="AV255" s="93"/>
      <c r="AW255" s="93"/>
      <c r="AX255" s="93"/>
      <c r="AY255" s="93"/>
      <c r="AZ255" s="93"/>
      <c r="BA255" s="93"/>
      <c r="BB255" s="93"/>
      <c r="BC255" s="93"/>
      <c r="BD255" s="93"/>
      <c r="BE255" s="93"/>
      <c r="BF255" s="93"/>
      <c r="BG255" s="93"/>
      <c r="BH255" s="93"/>
      <c r="BI255" s="93"/>
      <c r="BJ255" s="93"/>
      <c r="BK255" s="93"/>
      <c r="BL255" s="93"/>
      <c r="BM255" s="93"/>
      <c r="BN255" s="93"/>
      <c r="BO255" s="93"/>
      <c r="BP255" s="93"/>
      <c r="BQ255" s="93"/>
      <c r="BR255" s="93"/>
      <c r="BS255" s="93"/>
      <c r="BT255" s="93"/>
      <c r="BU255" s="93"/>
      <c r="BV255" s="93"/>
      <c r="BW255" s="93"/>
      <c r="BX255" s="93"/>
      <c r="BY255" s="93"/>
      <c r="BZ255" s="93"/>
      <c r="CA255" s="93"/>
      <c r="CB255" s="93"/>
      <c r="CC255" s="93"/>
      <c r="CD255" s="93"/>
      <c r="CE255" s="93"/>
      <c r="CF255" s="93"/>
      <c r="CG255" s="93"/>
      <c r="CH255" s="93"/>
      <c r="CI255" s="93"/>
      <c r="CJ255" s="93"/>
      <c r="CK255" s="93"/>
      <c r="CL255" s="93"/>
      <c r="CM255" s="93"/>
      <c r="CN255" s="93"/>
      <c r="CO255" s="93"/>
      <c r="CP255" s="93"/>
      <c r="CQ255" s="93"/>
      <c r="CR255" s="93"/>
      <c r="CS255" s="93"/>
      <c r="CT255" s="93"/>
      <c r="CU255" s="93"/>
      <c r="CV255" s="93"/>
      <c r="CW255" s="93"/>
      <c r="CX255" s="93"/>
      <c r="CY255" s="93"/>
      <c r="CZ255" s="93"/>
      <c r="DA255" s="93"/>
      <c r="DB255" s="93"/>
      <c r="DC255" s="93"/>
      <c r="DD255" s="93"/>
      <c r="DE255" s="93"/>
      <c r="DF255" s="93"/>
      <c r="DG255" s="93"/>
      <c r="DH255" s="93"/>
      <c r="DI255" s="93"/>
      <c r="DJ255" s="93"/>
      <c r="DK255" s="93"/>
      <c r="DL255" s="93"/>
      <c r="DM255" s="93"/>
      <c r="DN255" s="93"/>
      <c r="DO255" s="93"/>
      <c r="DP255" s="93"/>
      <c r="DQ255" s="93"/>
      <c r="DR255" s="93"/>
      <c r="DS255" s="93"/>
      <c r="DT255" s="93"/>
      <c r="DU255" s="93"/>
      <c r="DV255" s="93"/>
      <c r="DW255" s="93"/>
      <c r="DX255" s="93"/>
      <c r="DY255" s="93"/>
      <c r="DZ255" s="93"/>
      <c r="EA255" s="93"/>
      <c r="EB255" s="93"/>
      <c r="EC255" s="93"/>
      <c r="ED255" s="93"/>
      <c r="EE255" s="93"/>
      <c r="EF255" s="93"/>
      <c r="EG255" s="93"/>
      <c r="EH255" s="93"/>
      <c r="EI255" s="93"/>
      <c r="EJ255" s="93"/>
      <c r="EK255" s="93"/>
      <c r="EL255" s="93"/>
      <c r="EM255" s="93"/>
      <c r="EN255" s="93"/>
      <c r="EO255" s="93"/>
      <c r="EP255" s="93"/>
      <c r="EQ255" s="93"/>
      <c r="ER255" s="93"/>
      <c r="ES255" s="93"/>
      <c r="ET255" s="93"/>
      <c r="EU255" s="93"/>
      <c r="EV255" s="93"/>
      <c r="EW255" s="93"/>
      <c r="EX255" s="93"/>
      <c r="EY255" s="93"/>
      <c r="EZ255" s="93"/>
      <c r="FA255" s="93"/>
      <c r="FB255" s="93"/>
      <c r="FC255" s="93">
        <v>0.33255993812838358</v>
      </c>
      <c r="FD255" s="93"/>
      <c r="FE255" s="93"/>
      <c r="FF255" s="93"/>
      <c r="FG255" s="93"/>
      <c r="FH255" s="93"/>
      <c r="FI255" s="93"/>
      <c r="FJ255" s="93"/>
      <c r="FK255" s="93"/>
      <c r="FL255" s="93"/>
      <c r="FM255" s="93"/>
      <c r="FN255" s="93"/>
      <c r="FO255" s="93"/>
      <c r="FP255" s="93"/>
      <c r="FQ255" s="93"/>
      <c r="FR255" s="93"/>
      <c r="FS255" s="93"/>
      <c r="FT255" s="93"/>
      <c r="FU255" s="93"/>
      <c r="FV255" s="93"/>
      <c r="FW255" s="93"/>
      <c r="FX255" s="93"/>
      <c r="FY255" s="93"/>
      <c r="FZ255" s="93"/>
      <c r="GA255" s="93"/>
      <c r="GB255" s="93"/>
      <c r="GC255" s="93"/>
      <c r="GD255" s="93"/>
      <c r="GE255" s="93"/>
      <c r="GF255" s="93"/>
      <c r="GG255" s="93"/>
      <c r="GH255" s="93"/>
      <c r="GI255" s="93"/>
      <c r="GJ255" s="93"/>
      <c r="GK255" s="93"/>
      <c r="GL255" s="93"/>
      <c r="GM255" s="93"/>
      <c r="GN255" s="93"/>
      <c r="GO255" s="93"/>
      <c r="GP255" s="93"/>
      <c r="GQ255" s="93"/>
      <c r="GR255" s="93"/>
      <c r="GS255" s="93"/>
      <c r="GT255" s="93"/>
      <c r="GU255" s="93"/>
      <c r="GV255" s="93"/>
      <c r="GW255" s="93"/>
      <c r="GX255" s="93"/>
      <c r="GY255" s="93"/>
      <c r="GZ255" s="93"/>
      <c r="HA255" s="93"/>
      <c r="HB255" s="93"/>
      <c r="HC255" s="93"/>
      <c r="HD255" s="93"/>
      <c r="HE255" s="93"/>
      <c r="HF255" s="93"/>
      <c r="HG255" s="93"/>
    </row>
    <row r="256" spans="14:215" x14ac:dyDescent="0.2">
      <c r="N256" s="93" t="s">
        <v>473</v>
      </c>
      <c r="O256" s="93"/>
      <c r="P256" s="93"/>
      <c r="Q256" s="93"/>
      <c r="R256" s="93"/>
      <c r="S256" s="93"/>
      <c r="T256" s="93"/>
      <c r="U256" s="93"/>
      <c r="V256" s="93"/>
      <c r="W256" s="93"/>
      <c r="X256" s="93"/>
      <c r="Y256" s="93"/>
      <c r="Z256" s="93"/>
      <c r="AA256" s="93"/>
      <c r="AB256" s="93"/>
      <c r="AC256" s="93"/>
      <c r="AD256" s="93"/>
      <c r="AE256" s="93"/>
      <c r="AF256" s="93"/>
      <c r="AG256" s="93"/>
      <c r="AH256" s="93"/>
      <c r="AI256" s="93"/>
      <c r="AJ256" s="93"/>
      <c r="AK256" s="93"/>
      <c r="AL256" s="93"/>
      <c r="AM256" s="93"/>
      <c r="AN256" s="93"/>
      <c r="AO256" s="93"/>
      <c r="AP256" s="93"/>
      <c r="AQ256" s="93"/>
      <c r="AR256" s="93"/>
      <c r="AS256" s="93"/>
      <c r="AT256" s="93"/>
      <c r="AU256" s="93"/>
      <c r="AV256" s="93"/>
      <c r="AW256" s="93"/>
      <c r="AX256" s="93"/>
      <c r="AY256" s="93"/>
      <c r="AZ256" s="93"/>
      <c r="BA256" s="93"/>
      <c r="BB256" s="93"/>
      <c r="BC256" s="93"/>
      <c r="BD256" s="93"/>
      <c r="BE256" s="93"/>
      <c r="BF256" s="93"/>
      <c r="BG256" s="93"/>
      <c r="BH256" s="93"/>
      <c r="BI256" s="93"/>
      <c r="BJ256" s="93"/>
      <c r="BK256" s="93"/>
      <c r="BL256" s="93"/>
      <c r="BM256" s="93"/>
      <c r="BN256" s="93"/>
      <c r="BO256" s="93"/>
      <c r="BP256" s="93"/>
      <c r="BQ256" s="93"/>
      <c r="BR256" s="93"/>
      <c r="BS256" s="93"/>
      <c r="BT256" s="93"/>
      <c r="BU256" s="93"/>
      <c r="BV256" s="93"/>
      <c r="BW256" s="93"/>
      <c r="BX256" s="93"/>
      <c r="BY256" s="93"/>
      <c r="BZ256" s="93"/>
      <c r="CA256" s="93"/>
      <c r="CB256" s="93"/>
      <c r="CC256" s="93"/>
      <c r="CD256" s="93"/>
      <c r="CE256" s="93"/>
      <c r="CF256" s="93"/>
      <c r="CG256" s="93"/>
      <c r="CH256" s="93"/>
      <c r="CI256" s="93"/>
      <c r="CJ256" s="93"/>
      <c r="CK256" s="93"/>
      <c r="CL256" s="93"/>
      <c r="CM256" s="93"/>
      <c r="CN256" s="93"/>
      <c r="CO256" s="93"/>
      <c r="CP256" s="93"/>
      <c r="CQ256" s="93"/>
      <c r="CR256" s="93"/>
      <c r="CS256" s="93"/>
      <c r="CT256" s="93"/>
      <c r="CU256" s="93"/>
      <c r="CV256" s="93"/>
      <c r="CW256" s="93"/>
      <c r="CX256" s="93"/>
      <c r="CY256" s="93"/>
      <c r="CZ256" s="93"/>
      <c r="DA256" s="93"/>
      <c r="DB256" s="93"/>
      <c r="DC256" s="93"/>
      <c r="DD256" s="93"/>
      <c r="DE256" s="93"/>
      <c r="DF256" s="93"/>
      <c r="DG256" s="93"/>
      <c r="DH256" s="93"/>
      <c r="DI256" s="93"/>
      <c r="DJ256" s="93"/>
      <c r="DK256" s="93"/>
      <c r="DL256" s="93"/>
      <c r="DM256" s="93"/>
      <c r="DN256" s="93"/>
      <c r="DO256" s="93"/>
      <c r="DP256" s="93"/>
      <c r="DQ256" s="93"/>
      <c r="DR256" s="93"/>
      <c r="DS256" s="93"/>
      <c r="DT256" s="93"/>
      <c r="DU256" s="93"/>
      <c r="DV256" s="93"/>
      <c r="DW256" s="93"/>
      <c r="DX256" s="93"/>
      <c r="DY256" s="93"/>
      <c r="DZ256" s="93"/>
      <c r="EA256" s="93"/>
      <c r="EB256" s="93"/>
      <c r="EC256" s="93"/>
      <c r="ED256" s="93"/>
      <c r="EE256" s="93"/>
      <c r="EF256" s="93"/>
      <c r="EG256" s="93"/>
      <c r="EH256" s="93"/>
      <c r="EI256" s="93"/>
      <c r="EJ256" s="93"/>
      <c r="EK256" s="93"/>
      <c r="EL256" s="93"/>
      <c r="EM256" s="93"/>
      <c r="EN256" s="93"/>
      <c r="EO256" s="93"/>
      <c r="EP256" s="93"/>
      <c r="EQ256" s="93"/>
      <c r="ER256" s="93"/>
      <c r="ES256" s="93"/>
      <c r="ET256" s="93"/>
      <c r="EU256" s="93"/>
      <c r="EV256" s="93"/>
      <c r="EW256" s="93"/>
      <c r="EX256" s="93"/>
      <c r="EY256" s="93"/>
      <c r="EZ256" s="93"/>
      <c r="FA256" s="93"/>
      <c r="FB256" s="93"/>
      <c r="FC256" s="93"/>
      <c r="FD256" s="93">
        <v>0.33256528417818743</v>
      </c>
      <c r="FE256" s="93"/>
      <c r="FF256" s="93"/>
      <c r="FG256" s="93"/>
      <c r="FH256" s="93"/>
      <c r="FI256" s="93"/>
      <c r="FJ256" s="93"/>
      <c r="FK256" s="93"/>
      <c r="FL256" s="93"/>
      <c r="FM256" s="93"/>
      <c r="FN256" s="93"/>
      <c r="FO256" s="93"/>
      <c r="FP256" s="93"/>
      <c r="FQ256" s="93"/>
      <c r="FR256" s="93"/>
      <c r="FS256" s="93"/>
      <c r="FT256" s="93"/>
      <c r="FU256" s="93"/>
      <c r="FV256" s="93"/>
      <c r="FW256" s="93"/>
      <c r="FX256" s="93"/>
      <c r="FY256" s="93"/>
      <c r="FZ256" s="93"/>
      <c r="GA256" s="93"/>
      <c r="GB256" s="93"/>
      <c r="GC256" s="93"/>
      <c r="GD256" s="93"/>
      <c r="GE256" s="93"/>
      <c r="GF256" s="93"/>
      <c r="GG256" s="93"/>
      <c r="GH256" s="93"/>
      <c r="GI256" s="93"/>
      <c r="GJ256" s="93"/>
      <c r="GK256" s="93"/>
      <c r="GL256" s="93"/>
      <c r="GM256" s="93"/>
      <c r="GN256" s="93"/>
      <c r="GO256" s="93"/>
      <c r="GP256" s="93"/>
      <c r="GQ256" s="93"/>
      <c r="GR256" s="93"/>
      <c r="GS256" s="93"/>
      <c r="GT256" s="93"/>
      <c r="GU256" s="93"/>
      <c r="GV256" s="93"/>
      <c r="GW256" s="93"/>
      <c r="GX256" s="93"/>
      <c r="GY256" s="93"/>
      <c r="GZ256" s="93"/>
      <c r="HA256" s="93"/>
      <c r="HB256" s="93"/>
      <c r="HC256" s="93"/>
      <c r="HD256" s="93"/>
      <c r="HE256" s="93"/>
      <c r="HF256" s="93"/>
      <c r="HG256" s="93"/>
    </row>
    <row r="257" spans="14:215" x14ac:dyDescent="0.2">
      <c r="N257" s="93" t="s">
        <v>474</v>
      </c>
      <c r="O257" s="93"/>
      <c r="P257" s="93"/>
      <c r="Q257" s="93"/>
      <c r="R257" s="93"/>
      <c r="S257" s="93"/>
      <c r="T257" s="93"/>
      <c r="U257" s="93"/>
      <c r="V257" s="93"/>
      <c r="W257" s="93"/>
      <c r="X257" s="93"/>
      <c r="Y257" s="93"/>
      <c r="Z257" s="93"/>
      <c r="AA257" s="93"/>
      <c r="AB257" s="93"/>
      <c r="AC257" s="93"/>
      <c r="AD257" s="93"/>
      <c r="AE257" s="93"/>
      <c r="AF257" s="93"/>
      <c r="AG257" s="93"/>
      <c r="AH257" s="93"/>
      <c r="AI257" s="93"/>
      <c r="AJ257" s="93"/>
      <c r="AK257" s="93"/>
      <c r="AL257" s="93"/>
      <c r="AM257" s="93"/>
      <c r="AN257" s="93"/>
      <c r="AO257" s="93"/>
      <c r="AP257" s="93"/>
      <c r="AQ257" s="93"/>
      <c r="AR257" s="93"/>
      <c r="AS257" s="93"/>
      <c r="AT257" s="93"/>
      <c r="AU257" s="93"/>
      <c r="AV257" s="93"/>
      <c r="AW257" s="93"/>
      <c r="AX257" s="93"/>
      <c r="AY257" s="93"/>
      <c r="AZ257" s="93"/>
      <c r="BA257" s="93"/>
      <c r="BB257" s="93"/>
      <c r="BC257" s="93"/>
      <c r="BD257" s="93"/>
      <c r="BE257" s="93"/>
      <c r="BF257" s="93"/>
      <c r="BG257" s="93"/>
      <c r="BH257" s="93"/>
      <c r="BI257" s="93"/>
      <c r="BJ257" s="93"/>
      <c r="BK257" s="93"/>
      <c r="BL257" s="93"/>
      <c r="BM257" s="93"/>
      <c r="BN257" s="93"/>
      <c r="BO257" s="93"/>
      <c r="BP257" s="93"/>
      <c r="BQ257" s="93"/>
      <c r="BR257" s="93"/>
      <c r="BS257" s="93"/>
      <c r="BT257" s="93"/>
      <c r="BU257" s="93"/>
      <c r="BV257" s="93"/>
      <c r="BW257" s="93"/>
      <c r="BX257" s="93"/>
      <c r="BY257" s="93"/>
      <c r="BZ257" s="93"/>
      <c r="CA257" s="93"/>
      <c r="CB257" s="93"/>
      <c r="CC257" s="93"/>
      <c r="CD257" s="93"/>
      <c r="CE257" s="93"/>
      <c r="CF257" s="93"/>
      <c r="CG257" s="93"/>
      <c r="CH257" s="93"/>
      <c r="CI257" s="93"/>
      <c r="CJ257" s="93"/>
      <c r="CK257" s="93"/>
      <c r="CL257" s="93"/>
      <c r="CM257" s="93"/>
      <c r="CN257" s="93"/>
      <c r="CO257" s="93"/>
      <c r="CP257" s="93"/>
      <c r="CQ257" s="93"/>
      <c r="CR257" s="93"/>
      <c r="CS257" s="93"/>
      <c r="CT257" s="93"/>
      <c r="CU257" s="93"/>
      <c r="CV257" s="93"/>
      <c r="CW257" s="93"/>
      <c r="CX257" s="93"/>
      <c r="CY257" s="93"/>
      <c r="CZ257" s="93"/>
      <c r="DA257" s="93"/>
      <c r="DB257" s="93"/>
      <c r="DC257" s="93"/>
      <c r="DD257" s="93"/>
      <c r="DE257" s="93"/>
      <c r="DF257" s="93"/>
      <c r="DG257" s="93"/>
      <c r="DH257" s="93"/>
      <c r="DI257" s="93"/>
      <c r="DJ257" s="93"/>
      <c r="DK257" s="93"/>
      <c r="DL257" s="93"/>
      <c r="DM257" s="93"/>
      <c r="DN257" s="93"/>
      <c r="DO257" s="93"/>
      <c r="DP257" s="93"/>
      <c r="DQ257" s="93"/>
      <c r="DR257" s="93"/>
      <c r="DS257" s="93"/>
      <c r="DT257" s="93"/>
      <c r="DU257" s="93"/>
      <c r="DV257" s="93"/>
      <c r="DW257" s="93"/>
      <c r="DX257" s="93"/>
      <c r="DY257" s="93"/>
      <c r="DZ257" s="93"/>
      <c r="EA257" s="93"/>
      <c r="EB257" s="93"/>
      <c r="EC257" s="93"/>
      <c r="ED257" s="93"/>
      <c r="EE257" s="93"/>
      <c r="EF257" s="93"/>
      <c r="EG257" s="93"/>
      <c r="EH257" s="93"/>
      <c r="EI257" s="93"/>
      <c r="EJ257" s="93"/>
      <c r="EK257" s="93"/>
      <c r="EL257" s="93"/>
      <c r="EM257" s="93"/>
      <c r="EN257" s="93"/>
      <c r="EO257" s="93"/>
      <c r="EP257" s="93"/>
      <c r="EQ257" s="93"/>
      <c r="ER257" s="93"/>
      <c r="ES257" s="93"/>
      <c r="ET257" s="93"/>
      <c r="EU257" s="93"/>
      <c r="EV257" s="93"/>
      <c r="EW257" s="93"/>
      <c r="EX257" s="93"/>
      <c r="EY257" s="93"/>
      <c r="EZ257" s="93"/>
      <c r="FA257" s="93"/>
      <c r="FB257" s="93"/>
      <c r="FC257" s="93"/>
      <c r="FD257" s="93"/>
      <c r="FE257" s="93">
        <v>0.33257055682684972</v>
      </c>
      <c r="FF257" s="93"/>
      <c r="FG257" s="93"/>
      <c r="FH257" s="93"/>
      <c r="FI257" s="93"/>
      <c r="FJ257" s="93"/>
      <c r="FK257" s="93"/>
      <c r="FL257" s="93"/>
      <c r="FM257" s="93"/>
      <c r="FN257" s="93"/>
      <c r="FO257" s="93"/>
      <c r="FP257" s="93"/>
      <c r="FQ257" s="93"/>
      <c r="FR257" s="93"/>
      <c r="FS257" s="93"/>
      <c r="FT257" s="93"/>
      <c r="FU257" s="93"/>
      <c r="FV257" s="93"/>
      <c r="FW257" s="93"/>
      <c r="FX257" s="93"/>
      <c r="FY257" s="93"/>
      <c r="FZ257" s="93"/>
      <c r="GA257" s="93"/>
      <c r="GB257" s="93"/>
      <c r="GC257" s="93"/>
      <c r="GD257" s="93"/>
      <c r="GE257" s="93"/>
      <c r="GF257" s="93"/>
      <c r="GG257" s="93"/>
      <c r="GH257" s="93"/>
      <c r="GI257" s="93"/>
      <c r="GJ257" s="93"/>
      <c r="GK257" s="93"/>
      <c r="GL257" s="93"/>
      <c r="GM257" s="93"/>
      <c r="GN257" s="93"/>
      <c r="GO257" s="93"/>
      <c r="GP257" s="93"/>
      <c r="GQ257" s="93"/>
      <c r="GR257" s="93"/>
      <c r="GS257" s="93"/>
      <c r="GT257" s="93"/>
      <c r="GU257" s="93"/>
      <c r="GV257" s="93"/>
      <c r="GW257" s="93"/>
      <c r="GX257" s="93"/>
      <c r="GY257" s="93"/>
      <c r="GZ257" s="93"/>
      <c r="HA257" s="93"/>
      <c r="HB257" s="93"/>
      <c r="HC257" s="93"/>
      <c r="HD257" s="93"/>
      <c r="HE257" s="93"/>
      <c r="HF257" s="93"/>
      <c r="HG257" s="93"/>
    </row>
    <row r="258" spans="14:215" x14ac:dyDescent="0.2">
      <c r="N258" s="93" t="s">
        <v>475</v>
      </c>
      <c r="O258" s="93"/>
      <c r="P258" s="93"/>
      <c r="Q258" s="93"/>
      <c r="R258" s="93"/>
      <c r="S258" s="93"/>
      <c r="T258" s="93"/>
      <c r="U258" s="93"/>
      <c r="V258" s="93"/>
      <c r="W258" s="93"/>
      <c r="X258" s="93"/>
      <c r="Y258" s="93"/>
      <c r="Z258" s="93"/>
      <c r="AA258" s="93"/>
      <c r="AB258" s="93"/>
      <c r="AC258" s="93"/>
      <c r="AD258" s="93"/>
      <c r="AE258" s="93"/>
      <c r="AF258" s="93"/>
      <c r="AG258" s="93"/>
      <c r="AH258" s="93"/>
      <c r="AI258" s="93"/>
      <c r="AJ258" s="93"/>
      <c r="AK258" s="93"/>
      <c r="AL258" s="93"/>
      <c r="AM258" s="93"/>
      <c r="AN258" s="93"/>
      <c r="AO258" s="93"/>
      <c r="AP258" s="93"/>
      <c r="AQ258" s="93"/>
      <c r="AR258" s="93"/>
      <c r="AS258" s="93"/>
      <c r="AT258" s="93"/>
      <c r="AU258" s="93"/>
      <c r="AV258" s="93"/>
      <c r="AW258" s="93"/>
      <c r="AX258" s="93"/>
      <c r="AY258" s="93"/>
      <c r="AZ258" s="93"/>
      <c r="BA258" s="93"/>
      <c r="BB258" s="93"/>
      <c r="BC258" s="93"/>
      <c r="BD258" s="93"/>
      <c r="BE258" s="93"/>
      <c r="BF258" s="93"/>
      <c r="BG258" s="93"/>
      <c r="BH258" s="93"/>
      <c r="BI258" s="93"/>
      <c r="BJ258" s="93"/>
      <c r="BK258" s="93"/>
      <c r="BL258" s="93"/>
      <c r="BM258" s="93"/>
      <c r="BN258" s="93"/>
      <c r="BO258" s="93"/>
      <c r="BP258" s="93"/>
      <c r="BQ258" s="93"/>
      <c r="BR258" s="93"/>
      <c r="BS258" s="93"/>
      <c r="BT258" s="93"/>
      <c r="BU258" s="93"/>
      <c r="BV258" s="93"/>
      <c r="BW258" s="93"/>
      <c r="BX258" s="93"/>
      <c r="BY258" s="93"/>
      <c r="BZ258" s="93"/>
      <c r="CA258" s="93"/>
      <c r="CB258" s="93"/>
      <c r="CC258" s="93"/>
      <c r="CD258" s="93"/>
      <c r="CE258" s="93"/>
      <c r="CF258" s="93"/>
      <c r="CG258" s="93"/>
      <c r="CH258" s="93"/>
      <c r="CI258" s="93"/>
      <c r="CJ258" s="93"/>
      <c r="CK258" s="93"/>
      <c r="CL258" s="93"/>
      <c r="CM258" s="93"/>
      <c r="CN258" s="93"/>
      <c r="CO258" s="93"/>
      <c r="CP258" s="93"/>
      <c r="CQ258" s="93"/>
      <c r="CR258" s="93"/>
      <c r="CS258" s="93"/>
      <c r="CT258" s="93"/>
      <c r="CU258" s="93"/>
      <c r="CV258" s="93"/>
      <c r="CW258" s="93"/>
      <c r="CX258" s="93"/>
      <c r="CY258" s="93"/>
      <c r="CZ258" s="93"/>
      <c r="DA258" s="93"/>
      <c r="DB258" s="93"/>
      <c r="DC258" s="93"/>
      <c r="DD258" s="93"/>
      <c r="DE258" s="93"/>
      <c r="DF258" s="93"/>
      <c r="DG258" s="93"/>
      <c r="DH258" s="93"/>
      <c r="DI258" s="93"/>
      <c r="DJ258" s="93"/>
      <c r="DK258" s="93"/>
      <c r="DL258" s="93"/>
      <c r="DM258" s="93"/>
      <c r="DN258" s="93"/>
      <c r="DO258" s="93"/>
      <c r="DP258" s="93"/>
      <c r="DQ258" s="93"/>
      <c r="DR258" s="93"/>
      <c r="DS258" s="93"/>
      <c r="DT258" s="93"/>
      <c r="DU258" s="93"/>
      <c r="DV258" s="93"/>
      <c r="DW258" s="93"/>
      <c r="DX258" s="93"/>
      <c r="DY258" s="93"/>
      <c r="DZ258" s="93"/>
      <c r="EA258" s="93"/>
      <c r="EB258" s="93"/>
      <c r="EC258" s="93"/>
      <c r="ED258" s="93"/>
      <c r="EE258" s="93"/>
      <c r="EF258" s="93"/>
      <c r="EG258" s="93"/>
      <c r="EH258" s="93"/>
      <c r="EI258" s="93"/>
      <c r="EJ258" s="93"/>
      <c r="EK258" s="93"/>
      <c r="EL258" s="93"/>
      <c r="EM258" s="93"/>
      <c r="EN258" s="93"/>
      <c r="EO258" s="93"/>
      <c r="EP258" s="93"/>
      <c r="EQ258" s="93"/>
      <c r="ER258" s="93"/>
      <c r="ES258" s="93"/>
      <c r="ET258" s="93"/>
      <c r="EU258" s="93"/>
      <c r="EV258" s="93"/>
      <c r="EW258" s="93"/>
      <c r="EX258" s="93"/>
      <c r="EY258" s="93"/>
      <c r="EZ258" s="93"/>
      <c r="FA258" s="93"/>
      <c r="FB258" s="93"/>
      <c r="FC258" s="93"/>
      <c r="FD258" s="93"/>
      <c r="FE258" s="93"/>
      <c r="FF258" s="93">
        <v>0.33257575757575758</v>
      </c>
      <c r="FG258" s="93"/>
      <c r="FH258" s="93"/>
      <c r="FI258" s="93"/>
      <c r="FJ258" s="93"/>
      <c r="FK258" s="93"/>
      <c r="FL258" s="93"/>
      <c r="FM258" s="93"/>
      <c r="FN258" s="93"/>
      <c r="FO258" s="93"/>
      <c r="FP258" s="93"/>
      <c r="FQ258" s="93"/>
      <c r="FR258" s="93"/>
      <c r="FS258" s="93"/>
      <c r="FT258" s="93"/>
      <c r="FU258" s="93"/>
      <c r="FV258" s="93"/>
      <c r="FW258" s="93"/>
      <c r="FX258" s="93"/>
      <c r="FY258" s="93"/>
      <c r="FZ258" s="93"/>
      <c r="GA258" s="93"/>
      <c r="GB258" s="93"/>
      <c r="GC258" s="93"/>
      <c r="GD258" s="93"/>
      <c r="GE258" s="93"/>
      <c r="GF258" s="93"/>
      <c r="GG258" s="93"/>
      <c r="GH258" s="93"/>
      <c r="GI258" s="93"/>
      <c r="GJ258" s="93"/>
      <c r="GK258" s="93"/>
      <c r="GL258" s="93"/>
      <c r="GM258" s="93"/>
      <c r="GN258" s="93"/>
      <c r="GO258" s="93"/>
      <c r="GP258" s="93"/>
      <c r="GQ258" s="93"/>
      <c r="GR258" s="93"/>
      <c r="GS258" s="93"/>
      <c r="GT258" s="93"/>
      <c r="GU258" s="93"/>
      <c r="GV258" s="93"/>
      <c r="GW258" s="93"/>
      <c r="GX258" s="93"/>
      <c r="GY258" s="93"/>
      <c r="GZ258" s="93"/>
      <c r="HA258" s="93"/>
      <c r="HB258" s="93"/>
      <c r="HC258" s="93"/>
      <c r="HD258" s="93"/>
      <c r="HE258" s="93"/>
      <c r="HF258" s="93"/>
      <c r="HG258" s="93"/>
    </row>
    <row r="259" spans="14:215" x14ac:dyDescent="0.2">
      <c r="N259" s="93" t="s">
        <v>476</v>
      </c>
      <c r="O259" s="93"/>
      <c r="P259" s="93"/>
      <c r="Q259" s="93"/>
      <c r="R259" s="93"/>
      <c r="S259" s="93"/>
      <c r="T259" s="93"/>
      <c r="U259" s="93"/>
      <c r="V259" s="93"/>
      <c r="W259" s="93"/>
      <c r="X259" s="93"/>
      <c r="Y259" s="93"/>
      <c r="Z259" s="93"/>
      <c r="AA259" s="93"/>
      <c r="AB259" s="93"/>
      <c r="AC259" s="93"/>
      <c r="AD259" s="93"/>
      <c r="AE259" s="93"/>
      <c r="AF259" s="93"/>
      <c r="AG259" s="93"/>
      <c r="AH259" s="93"/>
      <c r="AI259" s="93"/>
      <c r="AJ259" s="93"/>
      <c r="AK259" s="93"/>
      <c r="AL259" s="93"/>
      <c r="AM259" s="93"/>
      <c r="AN259" s="93"/>
      <c r="AO259" s="93"/>
      <c r="AP259" s="93"/>
      <c r="AQ259" s="93"/>
      <c r="AR259" s="93"/>
      <c r="AS259" s="93"/>
      <c r="AT259" s="93"/>
      <c r="AU259" s="93"/>
      <c r="AV259" s="93"/>
      <c r="AW259" s="93"/>
      <c r="AX259" s="93"/>
      <c r="AY259" s="93"/>
      <c r="AZ259" s="93"/>
      <c r="BA259" s="93"/>
      <c r="BB259" s="93"/>
      <c r="BC259" s="93"/>
      <c r="BD259" s="93"/>
      <c r="BE259" s="93"/>
      <c r="BF259" s="93"/>
      <c r="BG259" s="93"/>
      <c r="BH259" s="93"/>
      <c r="BI259" s="93"/>
      <c r="BJ259" s="93"/>
      <c r="BK259" s="93"/>
      <c r="BL259" s="93"/>
      <c r="BM259" s="93"/>
      <c r="BN259" s="93"/>
      <c r="BO259" s="93"/>
      <c r="BP259" s="93"/>
      <c r="BQ259" s="93"/>
      <c r="BR259" s="93"/>
      <c r="BS259" s="93"/>
      <c r="BT259" s="93"/>
      <c r="BU259" s="93"/>
      <c r="BV259" s="93"/>
      <c r="BW259" s="93"/>
      <c r="BX259" s="93"/>
      <c r="BY259" s="93"/>
      <c r="BZ259" s="93"/>
      <c r="CA259" s="93"/>
      <c r="CB259" s="93"/>
      <c r="CC259" s="93"/>
      <c r="CD259" s="93"/>
      <c r="CE259" s="93"/>
      <c r="CF259" s="93"/>
      <c r="CG259" s="93"/>
      <c r="CH259" s="93"/>
      <c r="CI259" s="93"/>
      <c r="CJ259" s="93"/>
      <c r="CK259" s="93"/>
      <c r="CL259" s="93"/>
      <c r="CM259" s="93"/>
      <c r="CN259" s="93"/>
      <c r="CO259" s="93"/>
      <c r="CP259" s="93"/>
      <c r="CQ259" s="93"/>
      <c r="CR259" s="93"/>
      <c r="CS259" s="93"/>
      <c r="CT259" s="93"/>
      <c r="CU259" s="93"/>
      <c r="CV259" s="93"/>
      <c r="CW259" s="93"/>
      <c r="CX259" s="93"/>
      <c r="CY259" s="93"/>
      <c r="CZ259" s="93"/>
      <c r="DA259" s="93"/>
      <c r="DB259" s="93"/>
      <c r="DC259" s="93"/>
      <c r="DD259" s="93"/>
      <c r="DE259" s="93"/>
      <c r="DF259" s="93"/>
      <c r="DG259" s="93"/>
      <c r="DH259" s="93"/>
      <c r="DI259" s="93"/>
      <c r="DJ259" s="93"/>
      <c r="DK259" s="93"/>
      <c r="DL259" s="93"/>
      <c r="DM259" s="93"/>
      <c r="DN259" s="93"/>
      <c r="DO259" s="93"/>
      <c r="DP259" s="93"/>
      <c r="DQ259" s="93"/>
      <c r="DR259" s="93"/>
      <c r="DS259" s="93"/>
      <c r="DT259" s="93"/>
      <c r="DU259" s="93"/>
      <c r="DV259" s="93"/>
      <c r="DW259" s="93"/>
      <c r="DX259" s="93"/>
      <c r="DY259" s="93"/>
      <c r="DZ259" s="93"/>
      <c r="EA259" s="93"/>
      <c r="EB259" s="93"/>
      <c r="EC259" s="93"/>
      <c r="ED259" s="93"/>
      <c r="EE259" s="93"/>
      <c r="EF259" s="93"/>
      <c r="EG259" s="93"/>
      <c r="EH259" s="93"/>
      <c r="EI259" s="93"/>
      <c r="EJ259" s="93"/>
      <c r="EK259" s="93"/>
      <c r="EL259" s="93"/>
      <c r="EM259" s="93"/>
      <c r="EN259" s="93"/>
      <c r="EO259" s="93"/>
      <c r="EP259" s="93"/>
      <c r="EQ259" s="93"/>
      <c r="ER259" s="93"/>
      <c r="ES259" s="93"/>
      <c r="ET259" s="93"/>
      <c r="EU259" s="93"/>
      <c r="EV259" s="93"/>
      <c r="EW259" s="93"/>
      <c r="EX259" s="93"/>
      <c r="EY259" s="93"/>
      <c r="EZ259" s="93"/>
      <c r="FA259" s="93"/>
      <c r="FB259" s="93"/>
      <c r="FC259" s="93"/>
      <c r="FD259" s="93"/>
      <c r="FE259" s="93"/>
      <c r="FF259" s="93"/>
      <c r="FG259" s="93">
        <v>0.33258088788562828</v>
      </c>
      <c r="FH259" s="93"/>
      <c r="FI259" s="93"/>
      <c r="FJ259" s="93"/>
      <c r="FK259" s="93"/>
      <c r="FL259" s="93"/>
      <c r="FM259" s="93"/>
      <c r="FN259" s="93"/>
      <c r="FO259" s="93"/>
      <c r="FP259" s="93"/>
      <c r="FQ259" s="93"/>
      <c r="FR259" s="93"/>
      <c r="FS259" s="93"/>
      <c r="FT259" s="93"/>
      <c r="FU259" s="93"/>
      <c r="FV259" s="93"/>
      <c r="FW259" s="93"/>
      <c r="FX259" s="93"/>
      <c r="FY259" s="93"/>
      <c r="FZ259" s="93"/>
      <c r="GA259" s="93"/>
      <c r="GB259" s="93"/>
      <c r="GC259" s="93"/>
      <c r="GD259" s="93"/>
      <c r="GE259" s="93"/>
      <c r="GF259" s="93"/>
      <c r="GG259" s="93"/>
      <c r="GH259" s="93"/>
      <c r="GI259" s="93"/>
      <c r="GJ259" s="93"/>
      <c r="GK259" s="93"/>
      <c r="GL259" s="93"/>
      <c r="GM259" s="93"/>
      <c r="GN259" s="93"/>
      <c r="GO259" s="93"/>
      <c r="GP259" s="93"/>
      <c r="GQ259" s="93"/>
      <c r="GR259" s="93"/>
      <c r="GS259" s="93"/>
      <c r="GT259" s="93"/>
      <c r="GU259" s="93"/>
      <c r="GV259" s="93"/>
      <c r="GW259" s="93"/>
      <c r="GX259" s="93"/>
      <c r="GY259" s="93"/>
      <c r="GZ259" s="93"/>
      <c r="HA259" s="93"/>
      <c r="HB259" s="93"/>
      <c r="HC259" s="93"/>
      <c r="HD259" s="93"/>
      <c r="HE259" s="93"/>
      <c r="HF259" s="93"/>
      <c r="HG259" s="93"/>
    </row>
    <row r="260" spans="14:215" x14ac:dyDescent="0.2">
      <c r="N260" s="93" t="s">
        <v>477</v>
      </c>
      <c r="O260" s="93"/>
      <c r="P260" s="93"/>
      <c r="Q260" s="93"/>
      <c r="R260" s="93"/>
      <c r="S260" s="93"/>
      <c r="T260" s="93"/>
      <c r="U260" s="93"/>
      <c r="V260" s="93"/>
      <c r="W260" s="93"/>
      <c r="X260" s="93"/>
      <c r="Y260" s="93"/>
      <c r="Z260" s="93"/>
      <c r="AA260" s="93"/>
      <c r="AB260" s="93"/>
      <c r="AC260" s="93"/>
      <c r="AD260" s="93"/>
      <c r="AE260" s="93"/>
      <c r="AF260" s="93"/>
      <c r="AG260" s="93"/>
      <c r="AH260" s="93"/>
      <c r="AI260" s="93"/>
      <c r="AJ260" s="93"/>
      <c r="AK260" s="93"/>
      <c r="AL260" s="93"/>
      <c r="AM260" s="93"/>
      <c r="AN260" s="93"/>
      <c r="AO260" s="93"/>
      <c r="AP260" s="93"/>
      <c r="AQ260" s="93"/>
      <c r="AR260" s="93"/>
      <c r="AS260" s="93"/>
      <c r="AT260" s="93"/>
      <c r="AU260" s="93"/>
      <c r="AV260" s="93"/>
      <c r="AW260" s="93"/>
      <c r="AX260" s="93"/>
      <c r="AY260" s="93"/>
      <c r="AZ260" s="93"/>
      <c r="BA260" s="93"/>
      <c r="BB260" s="93"/>
      <c r="BC260" s="93"/>
      <c r="BD260" s="93"/>
      <c r="BE260" s="93"/>
      <c r="BF260" s="93"/>
      <c r="BG260" s="93"/>
      <c r="BH260" s="93"/>
      <c r="BI260" s="93"/>
      <c r="BJ260" s="93"/>
      <c r="BK260" s="93"/>
      <c r="BL260" s="93"/>
      <c r="BM260" s="93"/>
      <c r="BN260" s="93"/>
      <c r="BO260" s="93"/>
      <c r="BP260" s="93"/>
      <c r="BQ260" s="93"/>
      <c r="BR260" s="93"/>
      <c r="BS260" s="93"/>
      <c r="BT260" s="93"/>
      <c r="BU260" s="93"/>
      <c r="BV260" s="93"/>
      <c r="BW260" s="93"/>
      <c r="BX260" s="93"/>
      <c r="BY260" s="93"/>
      <c r="BZ260" s="93"/>
      <c r="CA260" s="93"/>
      <c r="CB260" s="93"/>
      <c r="CC260" s="93"/>
      <c r="CD260" s="93"/>
      <c r="CE260" s="93"/>
      <c r="CF260" s="93"/>
      <c r="CG260" s="93"/>
      <c r="CH260" s="93"/>
      <c r="CI260" s="93"/>
      <c r="CJ260" s="93"/>
      <c r="CK260" s="93"/>
      <c r="CL260" s="93"/>
      <c r="CM260" s="93"/>
      <c r="CN260" s="93"/>
      <c r="CO260" s="93"/>
      <c r="CP260" s="93"/>
      <c r="CQ260" s="93"/>
      <c r="CR260" s="93"/>
      <c r="CS260" s="93"/>
      <c r="CT260" s="93"/>
      <c r="CU260" s="93"/>
      <c r="CV260" s="93"/>
      <c r="CW260" s="93"/>
      <c r="CX260" s="93"/>
      <c r="CY260" s="93"/>
      <c r="CZ260" s="93"/>
      <c r="DA260" s="93"/>
      <c r="DB260" s="93"/>
      <c r="DC260" s="93"/>
      <c r="DD260" s="93"/>
      <c r="DE260" s="93"/>
      <c r="DF260" s="93"/>
      <c r="DG260" s="93"/>
      <c r="DH260" s="93"/>
      <c r="DI260" s="93"/>
      <c r="DJ260" s="93"/>
      <c r="DK260" s="93"/>
      <c r="DL260" s="93"/>
      <c r="DM260" s="93"/>
      <c r="DN260" s="93"/>
      <c r="DO260" s="93"/>
      <c r="DP260" s="93"/>
      <c r="DQ260" s="93"/>
      <c r="DR260" s="93"/>
      <c r="DS260" s="93"/>
      <c r="DT260" s="93"/>
      <c r="DU260" s="93"/>
      <c r="DV260" s="93"/>
      <c r="DW260" s="93"/>
      <c r="DX260" s="93"/>
      <c r="DY260" s="93"/>
      <c r="DZ260" s="93"/>
      <c r="EA260" s="93"/>
      <c r="EB260" s="93"/>
      <c r="EC260" s="93"/>
      <c r="ED260" s="93"/>
      <c r="EE260" s="93"/>
      <c r="EF260" s="93"/>
      <c r="EG260" s="93"/>
      <c r="EH260" s="93"/>
      <c r="EI260" s="93"/>
      <c r="EJ260" s="93"/>
      <c r="EK260" s="93"/>
      <c r="EL260" s="93"/>
      <c r="EM260" s="93"/>
      <c r="EN260" s="93"/>
      <c r="EO260" s="93"/>
      <c r="EP260" s="93"/>
      <c r="EQ260" s="93"/>
      <c r="ER260" s="93"/>
      <c r="ES260" s="93"/>
      <c r="ET260" s="93"/>
      <c r="EU260" s="93"/>
      <c r="EV260" s="93"/>
      <c r="EW260" s="93"/>
      <c r="EX260" s="93"/>
      <c r="EY260" s="93"/>
      <c r="EZ260" s="93"/>
      <c r="FA260" s="93"/>
      <c r="FB260" s="93"/>
      <c r="FC260" s="93"/>
      <c r="FD260" s="93"/>
      <c r="FE260" s="93"/>
      <c r="FF260" s="93"/>
      <c r="FG260" s="93"/>
      <c r="FH260" s="93">
        <v>0.33258594917787743</v>
      </c>
      <c r="FI260" s="93"/>
      <c r="FJ260" s="93"/>
      <c r="FK260" s="93"/>
      <c r="FL260" s="93"/>
      <c r="FM260" s="93"/>
      <c r="FN260" s="93"/>
      <c r="FO260" s="93"/>
      <c r="FP260" s="93"/>
      <c r="FQ260" s="93"/>
      <c r="FR260" s="93"/>
      <c r="FS260" s="93"/>
      <c r="FT260" s="93"/>
      <c r="FU260" s="93"/>
      <c r="FV260" s="93"/>
      <c r="FW260" s="93"/>
      <c r="FX260" s="93"/>
      <c r="FY260" s="93"/>
      <c r="FZ260" s="93"/>
      <c r="GA260" s="93"/>
      <c r="GB260" s="93"/>
      <c r="GC260" s="93"/>
      <c r="GD260" s="93"/>
      <c r="GE260" s="93"/>
      <c r="GF260" s="93"/>
      <c r="GG260" s="93"/>
      <c r="GH260" s="93"/>
      <c r="GI260" s="93"/>
      <c r="GJ260" s="93"/>
      <c r="GK260" s="93"/>
      <c r="GL260" s="93"/>
      <c r="GM260" s="93"/>
      <c r="GN260" s="93"/>
      <c r="GO260" s="93"/>
      <c r="GP260" s="93"/>
      <c r="GQ260" s="93"/>
      <c r="GR260" s="93"/>
      <c r="GS260" s="93"/>
      <c r="GT260" s="93"/>
      <c r="GU260" s="93"/>
      <c r="GV260" s="93"/>
      <c r="GW260" s="93"/>
      <c r="GX260" s="93"/>
      <c r="GY260" s="93"/>
      <c r="GZ260" s="93"/>
      <c r="HA260" s="93"/>
      <c r="HB260" s="93"/>
      <c r="HC260" s="93"/>
      <c r="HD260" s="93"/>
      <c r="HE260" s="93"/>
      <c r="HF260" s="93"/>
      <c r="HG260" s="93"/>
    </row>
    <row r="261" spans="14:215" x14ac:dyDescent="0.2">
      <c r="N261" s="93" t="s">
        <v>478</v>
      </c>
      <c r="O261" s="93"/>
      <c r="P261" s="93"/>
      <c r="Q261" s="93"/>
      <c r="R261" s="93"/>
      <c r="S261" s="93"/>
      <c r="T261" s="93"/>
      <c r="U261" s="93"/>
      <c r="V261" s="93"/>
      <c r="W261" s="93"/>
      <c r="X261" s="93"/>
      <c r="Y261" s="93"/>
      <c r="Z261" s="93"/>
      <c r="AA261" s="93"/>
      <c r="AB261" s="93"/>
      <c r="AC261" s="93"/>
      <c r="AD261" s="93"/>
      <c r="AE261" s="93"/>
      <c r="AF261" s="93"/>
      <c r="AG261" s="93"/>
      <c r="AH261" s="93"/>
      <c r="AI261" s="93"/>
      <c r="AJ261" s="93"/>
      <c r="AK261" s="93"/>
      <c r="AL261" s="93"/>
      <c r="AM261" s="93"/>
      <c r="AN261" s="93"/>
      <c r="AO261" s="93"/>
      <c r="AP261" s="93"/>
      <c r="AQ261" s="93"/>
      <c r="AR261" s="93"/>
      <c r="AS261" s="93"/>
      <c r="AT261" s="93"/>
      <c r="AU261" s="93"/>
      <c r="AV261" s="93"/>
      <c r="AW261" s="93"/>
      <c r="AX261" s="93"/>
      <c r="AY261" s="93"/>
      <c r="AZ261" s="93"/>
      <c r="BA261" s="93"/>
      <c r="BB261" s="93"/>
      <c r="BC261" s="93"/>
      <c r="BD261" s="93"/>
      <c r="BE261" s="93"/>
      <c r="BF261" s="93"/>
      <c r="BG261" s="93"/>
      <c r="BH261" s="93"/>
      <c r="BI261" s="93"/>
      <c r="BJ261" s="93"/>
      <c r="BK261" s="93"/>
      <c r="BL261" s="93"/>
      <c r="BM261" s="93"/>
      <c r="BN261" s="93"/>
      <c r="BO261" s="93"/>
      <c r="BP261" s="93"/>
      <c r="BQ261" s="93"/>
      <c r="BR261" s="93"/>
      <c r="BS261" s="93"/>
      <c r="BT261" s="93"/>
      <c r="BU261" s="93"/>
      <c r="BV261" s="93"/>
      <c r="BW261" s="93"/>
      <c r="BX261" s="93"/>
      <c r="BY261" s="93"/>
      <c r="BZ261" s="93"/>
      <c r="CA261" s="93"/>
      <c r="CB261" s="93"/>
      <c r="CC261" s="93"/>
      <c r="CD261" s="93"/>
      <c r="CE261" s="93"/>
      <c r="CF261" s="93"/>
      <c r="CG261" s="93"/>
      <c r="CH261" s="93"/>
      <c r="CI261" s="93"/>
      <c r="CJ261" s="93"/>
      <c r="CK261" s="93"/>
      <c r="CL261" s="93"/>
      <c r="CM261" s="93"/>
      <c r="CN261" s="93"/>
      <c r="CO261" s="93"/>
      <c r="CP261" s="93"/>
      <c r="CQ261" s="93"/>
      <c r="CR261" s="93"/>
      <c r="CS261" s="93"/>
      <c r="CT261" s="93"/>
      <c r="CU261" s="93"/>
      <c r="CV261" s="93"/>
      <c r="CW261" s="93"/>
      <c r="CX261" s="93"/>
      <c r="CY261" s="93"/>
      <c r="CZ261" s="93"/>
      <c r="DA261" s="93"/>
      <c r="DB261" s="93"/>
      <c r="DC261" s="93"/>
      <c r="DD261" s="93"/>
      <c r="DE261" s="93"/>
      <c r="DF261" s="93"/>
      <c r="DG261" s="93"/>
      <c r="DH261" s="93"/>
      <c r="DI261" s="93"/>
      <c r="DJ261" s="93"/>
      <c r="DK261" s="93"/>
      <c r="DL261" s="93"/>
      <c r="DM261" s="93"/>
      <c r="DN261" s="93"/>
      <c r="DO261" s="93"/>
      <c r="DP261" s="93"/>
      <c r="DQ261" s="93"/>
      <c r="DR261" s="93"/>
      <c r="DS261" s="93"/>
      <c r="DT261" s="93"/>
      <c r="DU261" s="93"/>
      <c r="DV261" s="93"/>
      <c r="DW261" s="93"/>
      <c r="DX261" s="93"/>
      <c r="DY261" s="93"/>
      <c r="DZ261" s="93"/>
      <c r="EA261" s="93"/>
      <c r="EB261" s="93"/>
      <c r="EC261" s="93"/>
      <c r="ED261" s="93"/>
      <c r="EE261" s="93"/>
      <c r="EF261" s="93"/>
      <c r="EG261" s="93"/>
      <c r="EH261" s="93"/>
      <c r="EI261" s="93"/>
      <c r="EJ261" s="93"/>
      <c r="EK261" s="93"/>
      <c r="EL261" s="93"/>
      <c r="EM261" s="93"/>
      <c r="EN261" s="93"/>
      <c r="EO261" s="93"/>
      <c r="EP261" s="93"/>
      <c r="EQ261" s="93"/>
      <c r="ER261" s="93"/>
      <c r="ES261" s="93"/>
      <c r="ET261" s="93"/>
      <c r="EU261" s="93"/>
      <c r="EV261" s="93"/>
      <c r="EW261" s="93"/>
      <c r="EX261" s="93"/>
      <c r="EY261" s="93"/>
      <c r="EZ261" s="93"/>
      <c r="FA261" s="93"/>
      <c r="FB261" s="93"/>
      <c r="FC261" s="93"/>
      <c r="FD261" s="93"/>
      <c r="FE261" s="93"/>
      <c r="FF261" s="93"/>
      <c r="FG261" s="93"/>
      <c r="FH261" s="93"/>
      <c r="FI261" s="93">
        <v>0.33259094283593171</v>
      </c>
      <c r="FJ261" s="93"/>
      <c r="FK261" s="93"/>
      <c r="FL261" s="93"/>
      <c r="FM261" s="93"/>
      <c r="FN261" s="93"/>
      <c r="FO261" s="93"/>
      <c r="FP261" s="93"/>
      <c r="FQ261" s="93"/>
      <c r="FR261" s="93"/>
      <c r="FS261" s="93"/>
      <c r="FT261" s="93"/>
      <c r="FU261" s="93"/>
      <c r="FV261" s="93"/>
      <c r="FW261" s="93"/>
      <c r="FX261" s="93"/>
      <c r="FY261" s="93"/>
      <c r="FZ261" s="93"/>
      <c r="GA261" s="93"/>
      <c r="GB261" s="93"/>
      <c r="GC261" s="93"/>
      <c r="GD261" s="93"/>
      <c r="GE261" s="93"/>
      <c r="GF261" s="93"/>
      <c r="GG261" s="93"/>
      <c r="GH261" s="93"/>
      <c r="GI261" s="93"/>
      <c r="GJ261" s="93"/>
      <c r="GK261" s="93"/>
      <c r="GL261" s="93"/>
      <c r="GM261" s="93"/>
      <c r="GN261" s="93"/>
      <c r="GO261" s="93"/>
      <c r="GP261" s="93"/>
      <c r="GQ261" s="93"/>
      <c r="GR261" s="93"/>
      <c r="GS261" s="93"/>
      <c r="GT261" s="93"/>
      <c r="GU261" s="93"/>
      <c r="GV261" s="93"/>
      <c r="GW261" s="93"/>
      <c r="GX261" s="93"/>
      <c r="GY261" s="93"/>
      <c r="GZ261" s="93"/>
      <c r="HA261" s="93"/>
      <c r="HB261" s="93"/>
      <c r="HC261" s="93"/>
      <c r="HD261" s="93"/>
      <c r="HE261" s="93"/>
      <c r="HF261" s="93"/>
      <c r="HG261" s="93"/>
    </row>
    <row r="262" spans="14:215" x14ac:dyDescent="0.2">
      <c r="N262" s="93" t="s">
        <v>479</v>
      </c>
      <c r="O262" s="93"/>
      <c r="P262" s="93"/>
      <c r="Q262" s="93"/>
      <c r="R262" s="93"/>
      <c r="S262" s="93"/>
      <c r="T262" s="93"/>
      <c r="U262" s="93"/>
      <c r="V262" s="93"/>
      <c r="W262" s="93"/>
      <c r="X262" s="93"/>
      <c r="Y262" s="93"/>
      <c r="Z262" s="93"/>
      <c r="AA262" s="93"/>
      <c r="AB262" s="93"/>
      <c r="AC262" s="93"/>
      <c r="AD262" s="93"/>
      <c r="AE262" s="93"/>
      <c r="AF262" s="93"/>
      <c r="AG262" s="93"/>
      <c r="AH262" s="93"/>
      <c r="AI262" s="93"/>
      <c r="AJ262" s="93"/>
      <c r="AK262" s="93"/>
      <c r="AL262" s="93"/>
      <c r="AM262" s="93"/>
      <c r="AN262" s="93"/>
      <c r="AO262" s="93"/>
      <c r="AP262" s="93"/>
      <c r="AQ262" s="93"/>
      <c r="AR262" s="93"/>
      <c r="AS262" s="93"/>
      <c r="AT262" s="93"/>
      <c r="AU262" s="93"/>
      <c r="AV262" s="93"/>
      <c r="AW262" s="93"/>
      <c r="AX262" s="93"/>
      <c r="AY262" s="93"/>
      <c r="AZ262" s="93"/>
      <c r="BA262" s="93"/>
      <c r="BB262" s="93"/>
      <c r="BC262" s="93"/>
      <c r="BD262" s="93"/>
      <c r="BE262" s="93"/>
      <c r="BF262" s="93"/>
      <c r="BG262" s="93"/>
      <c r="BH262" s="93"/>
      <c r="BI262" s="93"/>
      <c r="BJ262" s="93"/>
      <c r="BK262" s="93"/>
      <c r="BL262" s="93"/>
      <c r="BM262" s="93"/>
      <c r="BN262" s="93"/>
      <c r="BO262" s="93"/>
      <c r="BP262" s="93"/>
      <c r="BQ262" s="93"/>
      <c r="BR262" s="93"/>
      <c r="BS262" s="93"/>
      <c r="BT262" s="93"/>
      <c r="BU262" s="93"/>
      <c r="BV262" s="93"/>
      <c r="BW262" s="93"/>
      <c r="BX262" s="93"/>
      <c r="BY262" s="93"/>
      <c r="BZ262" s="93"/>
      <c r="CA262" s="93"/>
      <c r="CB262" s="93"/>
      <c r="CC262" s="93"/>
      <c r="CD262" s="93"/>
      <c r="CE262" s="93"/>
      <c r="CF262" s="93"/>
      <c r="CG262" s="93"/>
      <c r="CH262" s="93"/>
      <c r="CI262" s="93"/>
      <c r="CJ262" s="93"/>
      <c r="CK262" s="93"/>
      <c r="CL262" s="93"/>
      <c r="CM262" s="93"/>
      <c r="CN262" s="93"/>
      <c r="CO262" s="93"/>
      <c r="CP262" s="93"/>
      <c r="CQ262" s="93"/>
      <c r="CR262" s="93"/>
      <c r="CS262" s="93"/>
      <c r="CT262" s="93"/>
      <c r="CU262" s="93"/>
      <c r="CV262" s="93"/>
      <c r="CW262" s="93"/>
      <c r="CX262" s="93"/>
      <c r="CY262" s="93"/>
      <c r="CZ262" s="93"/>
      <c r="DA262" s="93"/>
      <c r="DB262" s="93"/>
      <c r="DC262" s="93"/>
      <c r="DD262" s="93"/>
      <c r="DE262" s="93"/>
      <c r="DF262" s="93"/>
      <c r="DG262" s="93"/>
      <c r="DH262" s="93"/>
      <c r="DI262" s="93"/>
      <c r="DJ262" s="93"/>
      <c r="DK262" s="93"/>
      <c r="DL262" s="93"/>
      <c r="DM262" s="93"/>
      <c r="DN262" s="93"/>
      <c r="DO262" s="93"/>
      <c r="DP262" s="93"/>
      <c r="DQ262" s="93"/>
      <c r="DR262" s="93"/>
      <c r="DS262" s="93"/>
      <c r="DT262" s="93"/>
      <c r="DU262" s="93"/>
      <c r="DV262" s="93"/>
      <c r="DW262" s="93"/>
      <c r="DX262" s="93"/>
      <c r="DY262" s="93"/>
      <c r="DZ262" s="93"/>
      <c r="EA262" s="93"/>
      <c r="EB262" s="93"/>
      <c r="EC262" s="93"/>
      <c r="ED262" s="93"/>
      <c r="EE262" s="93"/>
      <c r="EF262" s="93"/>
      <c r="EG262" s="93"/>
      <c r="EH262" s="93"/>
      <c r="EI262" s="93"/>
      <c r="EJ262" s="93"/>
      <c r="EK262" s="93"/>
      <c r="EL262" s="93"/>
      <c r="EM262" s="93"/>
      <c r="EN262" s="93"/>
      <c r="EO262" s="93"/>
      <c r="EP262" s="93"/>
      <c r="EQ262" s="93"/>
      <c r="ER262" s="93"/>
      <c r="ES262" s="93"/>
      <c r="ET262" s="93"/>
      <c r="EU262" s="93"/>
      <c r="EV262" s="93"/>
      <c r="EW262" s="93"/>
      <c r="EX262" s="93"/>
      <c r="EY262" s="93"/>
      <c r="EZ262" s="93"/>
      <c r="FA262" s="93"/>
      <c r="FB262" s="93"/>
      <c r="FC262" s="93"/>
      <c r="FD262" s="93"/>
      <c r="FE262" s="93"/>
      <c r="FF262" s="93"/>
      <c r="FG262" s="93"/>
      <c r="FH262" s="93"/>
      <c r="FI262" s="93"/>
      <c r="FJ262" s="93">
        <v>0.33259587020648967</v>
      </c>
      <c r="FK262" s="93"/>
      <c r="FL262" s="93"/>
      <c r="FM262" s="93"/>
      <c r="FN262" s="93"/>
      <c r="FO262" s="93"/>
      <c r="FP262" s="93"/>
      <c r="FQ262" s="93"/>
      <c r="FR262" s="93"/>
      <c r="FS262" s="93"/>
      <c r="FT262" s="93"/>
      <c r="FU262" s="93"/>
      <c r="FV262" s="93"/>
      <c r="FW262" s="93"/>
      <c r="FX262" s="93"/>
      <c r="FY262" s="93"/>
      <c r="FZ262" s="93"/>
      <c r="GA262" s="93"/>
      <c r="GB262" s="93"/>
      <c r="GC262" s="93"/>
      <c r="GD262" s="93"/>
      <c r="GE262" s="93"/>
      <c r="GF262" s="93"/>
      <c r="GG262" s="93"/>
      <c r="GH262" s="93"/>
      <c r="GI262" s="93"/>
      <c r="GJ262" s="93"/>
      <c r="GK262" s="93"/>
      <c r="GL262" s="93"/>
      <c r="GM262" s="93"/>
      <c r="GN262" s="93"/>
      <c r="GO262" s="93"/>
      <c r="GP262" s="93"/>
      <c r="GQ262" s="93"/>
      <c r="GR262" s="93"/>
      <c r="GS262" s="93"/>
      <c r="GT262" s="93"/>
      <c r="GU262" s="93"/>
      <c r="GV262" s="93"/>
      <c r="GW262" s="93"/>
      <c r="GX262" s="93"/>
      <c r="GY262" s="93"/>
      <c r="GZ262" s="93"/>
      <c r="HA262" s="93"/>
      <c r="HB262" s="93"/>
      <c r="HC262" s="93"/>
      <c r="HD262" s="93"/>
      <c r="HE262" s="93"/>
      <c r="HF262" s="93"/>
      <c r="HG262" s="93"/>
    </row>
    <row r="263" spans="14:215" x14ac:dyDescent="0.2">
      <c r="N263" s="93" t="s">
        <v>480</v>
      </c>
      <c r="O263" s="93"/>
      <c r="P263" s="93"/>
      <c r="Q263" s="93"/>
      <c r="R263" s="93"/>
      <c r="S263" s="93"/>
      <c r="T263" s="93"/>
      <c r="U263" s="93"/>
      <c r="V263" s="93"/>
      <c r="W263" s="93"/>
      <c r="X263" s="93"/>
      <c r="Y263" s="93"/>
      <c r="Z263" s="93"/>
      <c r="AA263" s="93"/>
      <c r="AB263" s="93"/>
      <c r="AC263" s="93"/>
      <c r="AD263" s="93"/>
      <c r="AE263" s="93"/>
      <c r="AF263" s="93"/>
      <c r="AG263" s="93"/>
      <c r="AH263" s="93"/>
      <c r="AI263" s="93"/>
      <c r="AJ263" s="93"/>
      <c r="AK263" s="93"/>
      <c r="AL263" s="93"/>
      <c r="AM263" s="93"/>
      <c r="AN263" s="93"/>
      <c r="AO263" s="93"/>
      <c r="AP263" s="93"/>
      <c r="AQ263" s="93"/>
      <c r="AR263" s="93"/>
      <c r="AS263" s="93"/>
      <c r="AT263" s="93"/>
      <c r="AU263" s="93"/>
      <c r="AV263" s="93"/>
      <c r="AW263" s="93"/>
      <c r="AX263" s="93"/>
      <c r="AY263" s="93"/>
      <c r="AZ263" s="93"/>
      <c r="BA263" s="93"/>
      <c r="BB263" s="93"/>
      <c r="BC263" s="93"/>
      <c r="BD263" s="93"/>
      <c r="BE263" s="93"/>
      <c r="BF263" s="93"/>
      <c r="BG263" s="93"/>
      <c r="BH263" s="93"/>
      <c r="BI263" s="93"/>
      <c r="BJ263" s="93"/>
      <c r="BK263" s="93"/>
      <c r="BL263" s="93"/>
      <c r="BM263" s="93"/>
      <c r="BN263" s="93"/>
      <c r="BO263" s="93"/>
      <c r="BP263" s="93"/>
      <c r="BQ263" s="93"/>
      <c r="BR263" s="93"/>
      <c r="BS263" s="93"/>
      <c r="BT263" s="93"/>
      <c r="BU263" s="93"/>
      <c r="BV263" s="93"/>
      <c r="BW263" s="93"/>
      <c r="BX263" s="93"/>
      <c r="BY263" s="93"/>
      <c r="BZ263" s="93"/>
      <c r="CA263" s="93"/>
      <c r="CB263" s="93"/>
      <c r="CC263" s="93"/>
      <c r="CD263" s="93"/>
      <c r="CE263" s="93"/>
      <c r="CF263" s="93"/>
      <c r="CG263" s="93"/>
      <c r="CH263" s="93"/>
      <c r="CI263" s="93"/>
      <c r="CJ263" s="93"/>
      <c r="CK263" s="93"/>
      <c r="CL263" s="93"/>
      <c r="CM263" s="93"/>
      <c r="CN263" s="93"/>
      <c r="CO263" s="93"/>
      <c r="CP263" s="93"/>
      <c r="CQ263" s="93"/>
      <c r="CR263" s="93"/>
      <c r="CS263" s="93"/>
      <c r="CT263" s="93"/>
      <c r="CU263" s="93"/>
      <c r="CV263" s="93"/>
      <c r="CW263" s="93"/>
      <c r="CX263" s="93"/>
      <c r="CY263" s="93"/>
      <c r="CZ263" s="93"/>
      <c r="DA263" s="93"/>
      <c r="DB263" s="93"/>
      <c r="DC263" s="93"/>
      <c r="DD263" s="93"/>
      <c r="DE263" s="93"/>
      <c r="DF263" s="93"/>
      <c r="DG263" s="93"/>
      <c r="DH263" s="93"/>
      <c r="DI263" s="93"/>
      <c r="DJ263" s="93"/>
      <c r="DK263" s="93"/>
      <c r="DL263" s="93"/>
      <c r="DM263" s="93"/>
      <c r="DN263" s="93"/>
      <c r="DO263" s="93"/>
      <c r="DP263" s="93"/>
      <c r="DQ263" s="93"/>
      <c r="DR263" s="93"/>
      <c r="DS263" s="93"/>
      <c r="DT263" s="93"/>
      <c r="DU263" s="93"/>
      <c r="DV263" s="93"/>
      <c r="DW263" s="93"/>
      <c r="DX263" s="93"/>
      <c r="DY263" s="93"/>
      <c r="DZ263" s="93"/>
      <c r="EA263" s="93"/>
      <c r="EB263" s="93"/>
      <c r="EC263" s="93"/>
      <c r="ED263" s="93"/>
      <c r="EE263" s="93"/>
      <c r="EF263" s="93"/>
      <c r="EG263" s="93"/>
      <c r="EH263" s="93"/>
      <c r="EI263" s="93"/>
      <c r="EJ263" s="93"/>
      <c r="EK263" s="93"/>
      <c r="EL263" s="93"/>
      <c r="EM263" s="93"/>
      <c r="EN263" s="93"/>
      <c r="EO263" s="93"/>
      <c r="EP263" s="93"/>
      <c r="EQ263" s="93"/>
      <c r="ER263" s="93"/>
      <c r="ES263" s="93"/>
      <c r="ET263" s="93"/>
      <c r="EU263" s="93"/>
      <c r="EV263" s="93"/>
      <c r="EW263" s="93"/>
      <c r="EX263" s="93"/>
      <c r="EY263" s="93"/>
      <c r="EZ263" s="93"/>
      <c r="FA263" s="93"/>
      <c r="FB263" s="93"/>
      <c r="FC263" s="93"/>
      <c r="FD263" s="93"/>
      <c r="FE263" s="93"/>
      <c r="FF263" s="93"/>
      <c r="FG263" s="93"/>
      <c r="FH263" s="93"/>
      <c r="FI263" s="93"/>
      <c r="FJ263" s="93"/>
      <c r="FK263" s="93">
        <v>0.33260073260073258</v>
      </c>
      <c r="FL263" s="93"/>
      <c r="FM263" s="93"/>
      <c r="FN263" s="93"/>
      <c r="FO263" s="93"/>
      <c r="FP263" s="93"/>
      <c r="FQ263" s="93"/>
      <c r="FR263" s="93"/>
      <c r="FS263" s="93"/>
      <c r="FT263" s="93"/>
      <c r="FU263" s="93"/>
      <c r="FV263" s="93"/>
      <c r="FW263" s="93"/>
      <c r="FX263" s="93"/>
      <c r="FY263" s="93"/>
      <c r="FZ263" s="93"/>
      <c r="GA263" s="93"/>
      <c r="GB263" s="93"/>
      <c r="GC263" s="93"/>
      <c r="GD263" s="93"/>
      <c r="GE263" s="93"/>
      <c r="GF263" s="93"/>
      <c r="GG263" s="93"/>
      <c r="GH263" s="93"/>
      <c r="GI263" s="93"/>
      <c r="GJ263" s="93"/>
      <c r="GK263" s="93"/>
      <c r="GL263" s="93"/>
      <c r="GM263" s="93"/>
      <c r="GN263" s="93"/>
      <c r="GO263" s="93"/>
      <c r="GP263" s="93"/>
      <c r="GQ263" s="93"/>
      <c r="GR263" s="93"/>
      <c r="GS263" s="93"/>
      <c r="GT263" s="93"/>
      <c r="GU263" s="93"/>
      <c r="GV263" s="93"/>
      <c r="GW263" s="93"/>
      <c r="GX263" s="93"/>
      <c r="GY263" s="93"/>
      <c r="GZ263" s="93"/>
      <c r="HA263" s="93"/>
      <c r="HB263" s="93"/>
      <c r="HC263" s="93"/>
      <c r="HD263" s="93"/>
      <c r="HE263" s="93"/>
      <c r="HF263" s="93"/>
      <c r="HG263" s="93"/>
    </row>
    <row r="264" spans="14:215" x14ac:dyDescent="0.2">
      <c r="N264" s="93" t="s">
        <v>481</v>
      </c>
      <c r="O264" s="93"/>
      <c r="P264" s="93"/>
      <c r="Q264" s="93"/>
      <c r="R264" s="93"/>
      <c r="S264" s="93"/>
      <c r="T264" s="93"/>
      <c r="U264" s="93"/>
      <c r="V264" s="93"/>
      <c r="W264" s="93"/>
      <c r="X264" s="93"/>
      <c r="Y264" s="93"/>
      <c r="Z264" s="93"/>
      <c r="AA264" s="93"/>
      <c r="AB264" s="93"/>
      <c r="AC264" s="93"/>
      <c r="AD264" s="93"/>
      <c r="AE264" s="93"/>
      <c r="AF264" s="93"/>
      <c r="AG264" s="93"/>
      <c r="AH264" s="93"/>
      <c r="AI264" s="93"/>
      <c r="AJ264" s="93"/>
      <c r="AK264" s="93"/>
      <c r="AL264" s="93"/>
      <c r="AM264" s="93"/>
      <c r="AN264" s="93"/>
      <c r="AO264" s="93"/>
      <c r="AP264" s="93"/>
      <c r="AQ264" s="93"/>
      <c r="AR264" s="93"/>
      <c r="AS264" s="93"/>
      <c r="AT264" s="93"/>
      <c r="AU264" s="93"/>
      <c r="AV264" s="93"/>
      <c r="AW264" s="93"/>
      <c r="AX264" s="93"/>
      <c r="AY264" s="93"/>
      <c r="AZ264" s="93"/>
      <c r="BA264" s="93"/>
      <c r="BB264" s="93"/>
      <c r="BC264" s="93"/>
      <c r="BD264" s="93"/>
      <c r="BE264" s="93"/>
      <c r="BF264" s="93"/>
      <c r="BG264" s="93"/>
      <c r="BH264" s="93"/>
      <c r="BI264" s="93"/>
      <c r="BJ264" s="93"/>
      <c r="BK264" s="93"/>
      <c r="BL264" s="93"/>
      <c r="BM264" s="93"/>
      <c r="BN264" s="93"/>
      <c r="BO264" s="93"/>
      <c r="BP264" s="93"/>
      <c r="BQ264" s="93"/>
      <c r="BR264" s="93"/>
      <c r="BS264" s="93"/>
      <c r="BT264" s="93"/>
      <c r="BU264" s="93"/>
      <c r="BV264" s="93"/>
      <c r="BW264" s="93"/>
      <c r="BX264" s="93"/>
      <c r="BY264" s="93"/>
      <c r="BZ264" s="93"/>
      <c r="CA264" s="93"/>
      <c r="CB264" s="93"/>
      <c r="CC264" s="93"/>
      <c r="CD264" s="93"/>
      <c r="CE264" s="93"/>
      <c r="CF264" s="93"/>
      <c r="CG264" s="93"/>
      <c r="CH264" s="93"/>
      <c r="CI264" s="93"/>
      <c r="CJ264" s="93"/>
      <c r="CK264" s="93"/>
      <c r="CL264" s="93"/>
      <c r="CM264" s="93"/>
      <c r="CN264" s="93"/>
      <c r="CO264" s="93"/>
      <c r="CP264" s="93"/>
      <c r="CQ264" s="93"/>
      <c r="CR264" s="93"/>
      <c r="CS264" s="93"/>
      <c r="CT264" s="93"/>
      <c r="CU264" s="93"/>
      <c r="CV264" s="93"/>
      <c r="CW264" s="93"/>
      <c r="CX264" s="93"/>
      <c r="CY264" s="93"/>
      <c r="CZ264" s="93"/>
      <c r="DA264" s="93"/>
      <c r="DB264" s="93"/>
      <c r="DC264" s="93"/>
      <c r="DD264" s="93"/>
      <c r="DE264" s="93"/>
      <c r="DF264" s="93"/>
      <c r="DG264" s="93"/>
      <c r="DH264" s="93"/>
      <c r="DI264" s="93"/>
      <c r="DJ264" s="93"/>
      <c r="DK264" s="93"/>
      <c r="DL264" s="93"/>
      <c r="DM264" s="93"/>
      <c r="DN264" s="93"/>
      <c r="DO264" s="93"/>
      <c r="DP264" s="93"/>
      <c r="DQ264" s="93"/>
      <c r="DR264" s="93"/>
      <c r="DS264" s="93"/>
      <c r="DT264" s="93"/>
      <c r="DU264" s="93"/>
      <c r="DV264" s="93"/>
      <c r="DW264" s="93"/>
      <c r="DX264" s="93"/>
      <c r="DY264" s="93"/>
      <c r="DZ264" s="93"/>
      <c r="EA264" s="93"/>
      <c r="EB264" s="93"/>
      <c r="EC264" s="93"/>
      <c r="ED264" s="93"/>
      <c r="EE264" s="93"/>
      <c r="EF264" s="93"/>
      <c r="EG264" s="93"/>
      <c r="EH264" s="93"/>
      <c r="EI264" s="93"/>
      <c r="EJ264" s="93"/>
      <c r="EK264" s="93"/>
      <c r="EL264" s="93"/>
      <c r="EM264" s="93"/>
      <c r="EN264" s="93"/>
      <c r="EO264" s="93"/>
      <c r="EP264" s="93"/>
      <c r="EQ264" s="93"/>
      <c r="ER264" s="93"/>
      <c r="ES264" s="93"/>
      <c r="ET264" s="93"/>
      <c r="EU264" s="93"/>
      <c r="EV264" s="93"/>
      <c r="EW264" s="93"/>
      <c r="EX264" s="93"/>
      <c r="EY264" s="93"/>
      <c r="EZ264" s="93"/>
      <c r="FA264" s="93"/>
      <c r="FB264" s="93"/>
      <c r="FC264" s="93"/>
      <c r="FD264" s="93"/>
      <c r="FE264" s="93"/>
      <c r="FF264" s="93"/>
      <c r="FG264" s="93"/>
      <c r="FH264" s="93"/>
      <c r="FI264" s="93"/>
      <c r="FJ264" s="93"/>
      <c r="FK264" s="93"/>
      <c r="FL264" s="93">
        <v>0.33260553129548764</v>
      </c>
      <c r="FM264" s="93"/>
      <c r="FN264" s="93"/>
      <c r="FO264" s="93"/>
      <c r="FP264" s="93"/>
      <c r="FQ264" s="93"/>
      <c r="FR264" s="93"/>
      <c r="FS264" s="93"/>
      <c r="FT264" s="93"/>
      <c r="FU264" s="93"/>
      <c r="FV264" s="93"/>
      <c r="FW264" s="93"/>
      <c r="FX264" s="93"/>
      <c r="FY264" s="93"/>
      <c r="FZ264" s="93"/>
      <c r="GA264" s="93"/>
      <c r="GB264" s="93"/>
      <c r="GC264" s="93"/>
      <c r="GD264" s="93"/>
      <c r="GE264" s="93"/>
      <c r="GF264" s="93"/>
      <c r="GG264" s="93"/>
      <c r="GH264" s="93"/>
      <c r="GI264" s="93"/>
      <c r="GJ264" s="93"/>
      <c r="GK264" s="93"/>
      <c r="GL264" s="93"/>
      <c r="GM264" s="93"/>
      <c r="GN264" s="93"/>
      <c r="GO264" s="93"/>
      <c r="GP264" s="93"/>
      <c r="GQ264" s="93"/>
      <c r="GR264" s="93"/>
      <c r="GS264" s="93"/>
      <c r="GT264" s="93"/>
      <c r="GU264" s="93"/>
      <c r="GV264" s="93"/>
      <c r="GW264" s="93"/>
      <c r="GX264" s="93"/>
      <c r="GY264" s="93"/>
      <c r="GZ264" s="93"/>
      <c r="HA264" s="93"/>
      <c r="HB264" s="93"/>
      <c r="HC264" s="93"/>
      <c r="HD264" s="93"/>
      <c r="HE264" s="93"/>
      <c r="HF264" s="93"/>
      <c r="HG264" s="93"/>
    </row>
    <row r="265" spans="14:215" x14ac:dyDescent="0.2">
      <c r="N265" s="93" t="s">
        <v>482</v>
      </c>
      <c r="O265" s="93"/>
      <c r="P265" s="93"/>
      <c r="Q265" s="93"/>
      <c r="R265" s="93"/>
      <c r="S265" s="93"/>
      <c r="T265" s="93"/>
      <c r="U265" s="93"/>
      <c r="V265" s="93"/>
      <c r="W265" s="93"/>
      <c r="X265" s="93"/>
      <c r="Y265" s="93"/>
      <c r="Z265" s="93"/>
      <c r="AA265" s="93"/>
      <c r="AB265" s="93"/>
      <c r="AC265" s="93"/>
      <c r="AD265" s="93"/>
      <c r="AE265" s="93"/>
      <c r="AF265" s="93"/>
      <c r="AG265" s="93"/>
      <c r="AH265" s="93"/>
      <c r="AI265" s="93"/>
      <c r="AJ265" s="93"/>
      <c r="AK265" s="93"/>
      <c r="AL265" s="93"/>
      <c r="AM265" s="93"/>
      <c r="AN265" s="93"/>
      <c r="AO265" s="93"/>
      <c r="AP265" s="93"/>
      <c r="AQ265" s="93"/>
      <c r="AR265" s="93"/>
      <c r="AS265" s="93"/>
      <c r="AT265" s="93"/>
      <c r="AU265" s="93"/>
      <c r="AV265" s="93"/>
      <c r="AW265" s="93"/>
      <c r="AX265" s="93"/>
      <c r="AY265" s="93"/>
      <c r="AZ265" s="93"/>
      <c r="BA265" s="93"/>
      <c r="BB265" s="93"/>
      <c r="BC265" s="93"/>
      <c r="BD265" s="93"/>
      <c r="BE265" s="93"/>
      <c r="BF265" s="93"/>
      <c r="BG265" s="93"/>
      <c r="BH265" s="93"/>
      <c r="BI265" s="93"/>
      <c r="BJ265" s="93"/>
      <c r="BK265" s="93"/>
      <c r="BL265" s="93"/>
      <c r="BM265" s="93"/>
      <c r="BN265" s="93"/>
      <c r="BO265" s="93"/>
      <c r="BP265" s="93"/>
      <c r="BQ265" s="93"/>
      <c r="BR265" s="93"/>
      <c r="BS265" s="93"/>
      <c r="BT265" s="93"/>
      <c r="BU265" s="93"/>
      <c r="BV265" s="93"/>
      <c r="BW265" s="93"/>
      <c r="BX265" s="93"/>
      <c r="BY265" s="93"/>
      <c r="BZ265" s="93"/>
      <c r="CA265" s="93"/>
      <c r="CB265" s="93"/>
      <c r="CC265" s="93"/>
      <c r="CD265" s="93"/>
      <c r="CE265" s="93"/>
      <c r="CF265" s="93"/>
      <c r="CG265" s="93"/>
      <c r="CH265" s="93"/>
      <c r="CI265" s="93"/>
      <c r="CJ265" s="93"/>
      <c r="CK265" s="93"/>
      <c r="CL265" s="93"/>
      <c r="CM265" s="93"/>
      <c r="CN265" s="93"/>
      <c r="CO265" s="93"/>
      <c r="CP265" s="93"/>
      <c r="CQ265" s="93"/>
      <c r="CR265" s="93"/>
      <c r="CS265" s="93"/>
      <c r="CT265" s="93"/>
      <c r="CU265" s="93"/>
      <c r="CV265" s="93"/>
      <c r="CW265" s="93"/>
      <c r="CX265" s="93"/>
      <c r="CY265" s="93"/>
      <c r="CZ265" s="93"/>
      <c r="DA265" s="93"/>
      <c r="DB265" s="93"/>
      <c r="DC265" s="93"/>
      <c r="DD265" s="93"/>
      <c r="DE265" s="93"/>
      <c r="DF265" s="93"/>
      <c r="DG265" s="93"/>
      <c r="DH265" s="93"/>
      <c r="DI265" s="93"/>
      <c r="DJ265" s="93"/>
      <c r="DK265" s="93"/>
      <c r="DL265" s="93"/>
      <c r="DM265" s="93"/>
      <c r="DN265" s="93"/>
      <c r="DO265" s="93"/>
      <c r="DP265" s="93"/>
      <c r="DQ265" s="93"/>
      <c r="DR265" s="93"/>
      <c r="DS265" s="93"/>
      <c r="DT265" s="93"/>
      <c r="DU265" s="93"/>
      <c r="DV265" s="93"/>
      <c r="DW265" s="93"/>
      <c r="DX265" s="93"/>
      <c r="DY265" s="93"/>
      <c r="DZ265" s="93"/>
      <c r="EA265" s="93"/>
      <c r="EB265" s="93"/>
      <c r="EC265" s="93"/>
      <c r="ED265" s="93"/>
      <c r="EE265" s="93"/>
      <c r="EF265" s="93"/>
      <c r="EG265" s="93"/>
      <c r="EH265" s="93"/>
      <c r="EI265" s="93"/>
      <c r="EJ265" s="93"/>
      <c r="EK265" s="93"/>
      <c r="EL265" s="93"/>
      <c r="EM265" s="93"/>
      <c r="EN265" s="93"/>
      <c r="EO265" s="93"/>
      <c r="EP265" s="93"/>
      <c r="EQ265" s="93"/>
      <c r="ER265" s="93"/>
      <c r="ES265" s="93"/>
      <c r="ET265" s="93"/>
      <c r="EU265" s="93"/>
      <c r="EV265" s="93"/>
      <c r="EW265" s="93"/>
      <c r="EX265" s="93"/>
      <c r="EY265" s="93"/>
      <c r="EZ265" s="93"/>
      <c r="FA265" s="93"/>
      <c r="FB265" s="93"/>
      <c r="FC265" s="93"/>
      <c r="FD265" s="93"/>
      <c r="FE265" s="93"/>
      <c r="FF265" s="93"/>
      <c r="FG265" s="93"/>
      <c r="FH265" s="93"/>
      <c r="FI265" s="93"/>
      <c r="FJ265" s="93"/>
      <c r="FK265" s="93"/>
      <c r="FL265" s="93"/>
      <c r="FM265" s="93">
        <v>0.33261026753434564</v>
      </c>
      <c r="FN265" s="93"/>
      <c r="FO265" s="93"/>
      <c r="FP265" s="93"/>
      <c r="FQ265" s="93"/>
      <c r="FR265" s="93"/>
      <c r="FS265" s="93"/>
      <c r="FT265" s="93"/>
      <c r="FU265" s="93"/>
      <c r="FV265" s="93"/>
      <c r="FW265" s="93"/>
      <c r="FX265" s="93"/>
      <c r="FY265" s="93"/>
      <c r="FZ265" s="93"/>
      <c r="GA265" s="93"/>
      <c r="GB265" s="93"/>
      <c r="GC265" s="93"/>
      <c r="GD265" s="93"/>
      <c r="GE265" s="93"/>
      <c r="GF265" s="93"/>
      <c r="GG265" s="93"/>
      <c r="GH265" s="93"/>
      <c r="GI265" s="93"/>
      <c r="GJ265" s="93"/>
      <c r="GK265" s="93"/>
      <c r="GL265" s="93"/>
      <c r="GM265" s="93"/>
      <c r="GN265" s="93"/>
      <c r="GO265" s="93"/>
      <c r="GP265" s="93"/>
      <c r="GQ265" s="93"/>
      <c r="GR265" s="93"/>
      <c r="GS265" s="93"/>
      <c r="GT265" s="93"/>
      <c r="GU265" s="93"/>
      <c r="GV265" s="93"/>
      <c r="GW265" s="93"/>
      <c r="GX265" s="93"/>
      <c r="GY265" s="93"/>
      <c r="GZ265" s="93"/>
      <c r="HA265" s="93"/>
      <c r="HB265" s="93"/>
      <c r="HC265" s="93"/>
      <c r="HD265" s="93"/>
      <c r="HE265" s="93"/>
      <c r="HF265" s="93"/>
      <c r="HG265" s="93"/>
    </row>
    <row r="266" spans="14:215" x14ac:dyDescent="0.2">
      <c r="N266" s="93" t="s">
        <v>483</v>
      </c>
      <c r="O266" s="93"/>
      <c r="P266" s="93"/>
      <c r="Q266" s="93"/>
      <c r="R266" s="93"/>
      <c r="S266" s="93"/>
      <c r="T266" s="93"/>
      <c r="U266" s="93"/>
      <c r="V266" s="93"/>
      <c r="W266" s="93"/>
      <c r="X266" s="93"/>
      <c r="Y266" s="93"/>
      <c r="Z266" s="93"/>
      <c r="AA266" s="93"/>
      <c r="AB266" s="93"/>
      <c r="AC266" s="93"/>
      <c r="AD266" s="93"/>
      <c r="AE266" s="93"/>
      <c r="AF266" s="93"/>
      <c r="AG266" s="93"/>
      <c r="AH266" s="93"/>
      <c r="AI266" s="93"/>
      <c r="AJ266" s="93"/>
      <c r="AK266" s="93"/>
      <c r="AL266" s="93"/>
      <c r="AM266" s="93"/>
      <c r="AN266" s="93"/>
      <c r="AO266" s="93"/>
      <c r="AP266" s="93"/>
      <c r="AQ266" s="93"/>
      <c r="AR266" s="93"/>
      <c r="AS266" s="93"/>
      <c r="AT266" s="93"/>
      <c r="AU266" s="93"/>
      <c r="AV266" s="93"/>
      <c r="AW266" s="93"/>
      <c r="AX266" s="93"/>
      <c r="AY266" s="93"/>
      <c r="AZ266" s="93"/>
      <c r="BA266" s="93"/>
      <c r="BB266" s="93"/>
      <c r="BC266" s="93"/>
      <c r="BD266" s="93"/>
      <c r="BE266" s="93"/>
      <c r="BF266" s="93"/>
      <c r="BG266" s="93"/>
      <c r="BH266" s="93"/>
      <c r="BI266" s="93"/>
      <c r="BJ266" s="93"/>
      <c r="BK266" s="93"/>
      <c r="BL266" s="93"/>
      <c r="BM266" s="93"/>
      <c r="BN266" s="93"/>
      <c r="BO266" s="93"/>
      <c r="BP266" s="93"/>
      <c r="BQ266" s="93"/>
      <c r="BR266" s="93"/>
      <c r="BS266" s="93"/>
      <c r="BT266" s="93"/>
      <c r="BU266" s="93"/>
      <c r="BV266" s="93"/>
      <c r="BW266" s="93"/>
      <c r="BX266" s="93"/>
      <c r="BY266" s="93"/>
      <c r="BZ266" s="93"/>
      <c r="CA266" s="93"/>
      <c r="CB266" s="93"/>
      <c r="CC266" s="93"/>
      <c r="CD266" s="93"/>
      <c r="CE266" s="93"/>
      <c r="CF266" s="93"/>
      <c r="CG266" s="93"/>
      <c r="CH266" s="93"/>
      <c r="CI266" s="93"/>
      <c r="CJ266" s="93"/>
      <c r="CK266" s="93"/>
      <c r="CL266" s="93"/>
      <c r="CM266" s="93"/>
      <c r="CN266" s="93"/>
      <c r="CO266" s="93"/>
      <c r="CP266" s="93"/>
      <c r="CQ266" s="93"/>
      <c r="CR266" s="93"/>
      <c r="CS266" s="93"/>
      <c r="CT266" s="93"/>
      <c r="CU266" s="93"/>
      <c r="CV266" s="93"/>
      <c r="CW266" s="93"/>
      <c r="CX266" s="93"/>
      <c r="CY266" s="93"/>
      <c r="CZ266" s="93"/>
      <c r="DA266" s="93"/>
      <c r="DB266" s="93"/>
      <c r="DC266" s="93"/>
      <c r="DD266" s="93"/>
      <c r="DE266" s="93"/>
      <c r="DF266" s="93"/>
      <c r="DG266" s="93"/>
      <c r="DH266" s="93"/>
      <c r="DI266" s="93"/>
      <c r="DJ266" s="93"/>
      <c r="DK266" s="93"/>
      <c r="DL266" s="93"/>
      <c r="DM266" s="93"/>
      <c r="DN266" s="93"/>
      <c r="DO266" s="93"/>
      <c r="DP266" s="93"/>
      <c r="DQ266" s="93"/>
      <c r="DR266" s="93"/>
      <c r="DS266" s="93"/>
      <c r="DT266" s="93"/>
      <c r="DU266" s="93"/>
      <c r="DV266" s="93"/>
      <c r="DW266" s="93"/>
      <c r="DX266" s="93"/>
      <c r="DY266" s="93"/>
      <c r="DZ266" s="93"/>
      <c r="EA266" s="93"/>
      <c r="EB266" s="93"/>
      <c r="EC266" s="93"/>
      <c r="ED266" s="93"/>
      <c r="EE266" s="93"/>
      <c r="EF266" s="93"/>
      <c r="EG266" s="93"/>
      <c r="EH266" s="93"/>
      <c r="EI266" s="93"/>
      <c r="EJ266" s="93"/>
      <c r="EK266" s="93"/>
      <c r="EL266" s="93"/>
      <c r="EM266" s="93"/>
      <c r="EN266" s="93"/>
      <c r="EO266" s="93"/>
      <c r="EP266" s="93"/>
      <c r="EQ266" s="93"/>
      <c r="ER266" s="93"/>
      <c r="ES266" s="93"/>
      <c r="ET266" s="93"/>
      <c r="EU266" s="93"/>
      <c r="EV266" s="93"/>
      <c r="EW266" s="93"/>
      <c r="EX266" s="93"/>
      <c r="EY266" s="93"/>
      <c r="EZ266" s="93"/>
      <c r="FA266" s="93"/>
      <c r="FB266" s="93"/>
      <c r="FC266" s="93"/>
      <c r="FD266" s="93"/>
      <c r="FE266" s="93"/>
      <c r="FF266" s="93"/>
      <c r="FG266" s="93"/>
      <c r="FH266" s="93"/>
      <c r="FI266" s="93"/>
      <c r="FJ266" s="93"/>
      <c r="FK266" s="93"/>
      <c r="FL266" s="93"/>
      <c r="FM266" s="93"/>
      <c r="FN266" s="93">
        <v>0.33261494252873564</v>
      </c>
      <c r="FO266" s="93"/>
      <c r="FP266" s="93"/>
      <c r="FQ266" s="93"/>
      <c r="FR266" s="93"/>
      <c r="FS266" s="93"/>
      <c r="FT266" s="93"/>
      <c r="FU266" s="93"/>
      <c r="FV266" s="93"/>
      <c r="FW266" s="93"/>
      <c r="FX266" s="93"/>
      <c r="FY266" s="93"/>
      <c r="FZ266" s="93"/>
      <c r="GA266" s="93"/>
      <c r="GB266" s="93"/>
      <c r="GC266" s="93"/>
      <c r="GD266" s="93"/>
      <c r="GE266" s="93"/>
      <c r="GF266" s="93"/>
      <c r="GG266" s="93"/>
      <c r="GH266" s="93"/>
      <c r="GI266" s="93"/>
      <c r="GJ266" s="93"/>
      <c r="GK266" s="93"/>
      <c r="GL266" s="93"/>
      <c r="GM266" s="93"/>
      <c r="GN266" s="93"/>
      <c r="GO266" s="93"/>
      <c r="GP266" s="93"/>
      <c r="GQ266" s="93"/>
      <c r="GR266" s="93"/>
      <c r="GS266" s="93"/>
      <c r="GT266" s="93"/>
      <c r="GU266" s="93"/>
      <c r="GV266" s="93"/>
      <c r="GW266" s="93"/>
      <c r="GX266" s="93"/>
      <c r="GY266" s="93"/>
      <c r="GZ266" s="93"/>
      <c r="HA266" s="93"/>
      <c r="HB266" s="93"/>
      <c r="HC266" s="93"/>
      <c r="HD266" s="93"/>
      <c r="HE266" s="93"/>
      <c r="HF266" s="93"/>
      <c r="HG266" s="93"/>
    </row>
    <row r="267" spans="14:215" x14ac:dyDescent="0.2">
      <c r="N267" s="93" t="s">
        <v>484</v>
      </c>
      <c r="O267" s="93"/>
      <c r="P267" s="93"/>
      <c r="Q267" s="93"/>
      <c r="R267" s="93"/>
      <c r="S267" s="93"/>
      <c r="T267" s="93"/>
      <c r="U267" s="93"/>
      <c r="V267" s="93"/>
      <c r="W267" s="93"/>
      <c r="X267" s="93"/>
      <c r="Y267" s="93"/>
      <c r="Z267" s="93"/>
      <c r="AA267" s="93"/>
      <c r="AB267" s="93"/>
      <c r="AC267" s="93"/>
      <c r="AD267" s="93"/>
      <c r="AE267" s="93"/>
      <c r="AF267" s="93"/>
      <c r="AG267" s="93"/>
      <c r="AH267" s="93"/>
      <c r="AI267" s="93"/>
      <c r="AJ267" s="93"/>
      <c r="AK267" s="93"/>
      <c r="AL267" s="93"/>
      <c r="AM267" s="93"/>
      <c r="AN267" s="93"/>
      <c r="AO267" s="93"/>
      <c r="AP267" s="93"/>
      <c r="AQ267" s="93"/>
      <c r="AR267" s="93"/>
      <c r="AS267" s="93"/>
      <c r="AT267" s="93"/>
      <c r="AU267" s="93"/>
      <c r="AV267" s="93"/>
      <c r="AW267" s="93"/>
      <c r="AX267" s="93"/>
      <c r="AY267" s="93"/>
      <c r="AZ267" s="93"/>
      <c r="BA267" s="93"/>
      <c r="BB267" s="93"/>
      <c r="BC267" s="93"/>
      <c r="BD267" s="93"/>
      <c r="BE267" s="93"/>
      <c r="BF267" s="93"/>
      <c r="BG267" s="93"/>
      <c r="BH267" s="93"/>
      <c r="BI267" s="93"/>
      <c r="BJ267" s="93"/>
      <c r="BK267" s="93"/>
      <c r="BL267" s="93"/>
      <c r="BM267" s="93"/>
      <c r="BN267" s="93"/>
      <c r="BO267" s="93"/>
      <c r="BP267" s="93"/>
      <c r="BQ267" s="93"/>
      <c r="BR267" s="93"/>
      <c r="BS267" s="93"/>
      <c r="BT267" s="93"/>
      <c r="BU267" s="93"/>
      <c r="BV267" s="93"/>
      <c r="BW267" s="93"/>
      <c r="BX267" s="93"/>
      <c r="BY267" s="93"/>
      <c r="BZ267" s="93"/>
      <c r="CA267" s="93"/>
      <c r="CB267" s="93"/>
      <c r="CC267" s="93"/>
      <c r="CD267" s="93"/>
      <c r="CE267" s="93"/>
      <c r="CF267" s="93"/>
      <c r="CG267" s="93"/>
      <c r="CH267" s="93"/>
      <c r="CI267" s="93"/>
      <c r="CJ267" s="93"/>
      <c r="CK267" s="93"/>
      <c r="CL267" s="93"/>
      <c r="CM267" s="93"/>
      <c r="CN267" s="93"/>
      <c r="CO267" s="93"/>
      <c r="CP267" s="93"/>
      <c r="CQ267" s="93"/>
      <c r="CR267" s="93"/>
      <c r="CS267" s="93"/>
      <c r="CT267" s="93"/>
      <c r="CU267" s="93"/>
      <c r="CV267" s="93"/>
      <c r="CW267" s="93"/>
      <c r="CX267" s="93"/>
      <c r="CY267" s="93"/>
      <c r="CZ267" s="93"/>
      <c r="DA267" s="93"/>
      <c r="DB267" s="93"/>
      <c r="DC267" s="93"/>
      <c r="DD267" s="93"/>
      <c r="DE267" s="93"/>
      <c r="DF267" s="93"/>
      <c r="DG267" s="93"/>
      <c r="DH267" s="93"/>
      <c r="DI267" s="93"/>
      <c r="DJ267" s="93"/>
      <c r="DK267" s="93"/>
      <c r="DL267" s="93"/>
      <c r="DM267" s="93"/>
      <c r="DN267" s="93"/>
      <c r="DO267" s="93"/>
      <c r="DP267" s="93"/>
      <c r="DQ267" s="93"/>
      <c r="DR267" s="93"/>
      <c r="DS267" s="93"/>
      <c r="DT267" s="93"/>
      <c r="DU267" s="93"/>
      <c r="DV267" s="93"/>
      <c r="DW267" s="93"/>
      <c r="DX267" s="93"/>
      <c r="DY267" s="93"/>
      <c r="DZ267" s="93"/>
      <c r="EA267" s="93"/>
      <c r="EB267" s="93"/>
      <c r="EC267" s="93"/>
      <c r="ED267" s="93"/>
      <c r="EE267" s="93"/>
      <c r="EF267" s="93"/>
      <c r="EG267" s="93"/>
      <c r="EH267" s="93"/>
      <c r="EI267" s="93"/>
      <c r="EJ267" s="93"/>
      <c r="EK267" s="93"/>
      <c r="EL267" s="93"/>
      <c r="EM267" s="93"/>
      <c r="EN267" s="93"/>
      <c r="EO267" s="93"/>
      <c r="EP267" s="93"/>
      <c r="EQ267" s="93"/>
      <c r="ER267" s="93"/>
      <c r="ES267" s="93"/>
      <c r="ET267" s="93"/>
      <c r="EU267" s="93"/>
      <c r="EV267" s="93"/>
      <c r="EW267" s="93"/>
      <c r="EX267" s="93"/>
      <c r="EY267" s="93"/>
      <c r="EZ267" s="93"/>
      <c r="FA267" s="93"/>
      <c r="FB267" s="93"/>
      <c r="FC267" s="93"/>
      <c r="FD267" s="93"/>
      <c r="FE267" s="93"/>
      <c r="FF267" s="93"/>
      <c r="FG267" s="93"/>
      <c r="FH267" s="93"/>
      <c r="FI267" s="93"/>
      <c r="FJ267" s="93"/>
      <c r="FK267" s="93"/>
      <c r="FL267" s="93"/>
      <c r="FM267" s="93"/>
      <c r="FN267" s="93"/>
      <c r="FO267" s="93">
        <v>0.33261955745895788</v>
      </c>
      <c r="FP267" s="93"/>
      <c r="FQ267" s="93"/>
      <c r="FR267" s="93"/>
      <c r="FS267" s="93"/>
      <c r="FT267" s="93"/>
      <c r="FU267" s="93"/>
      <c r="FV267" s="93"/>
      <c r="FW267" s="93"/>
      <c r="FX267" s="93"/>
      <c r="FY267" s="93"/>
      <c r="FZ267" s="93"/>
      <c r="GA267" s="93"/>
      <c r="GB267" s="93"/>
      <c r="GC267" s="93"/>
      <c r="GD267" s="93"/>
      <c r="GE267" s="93"/>
      <c r="GF267" s="93"/>
      <c r="GG267" s="93"/>
      <c r="GH267" s="93"/>
      <c r="GI267" s="93"/>
      <c r="GJ267" s="93"/>
      <c r="GK267" s="93"/>
      <c r="GL267" s="93"/>
      <c r="GM267" s="93"/>
      <c r="GN267" s="93"/>
      <c r="GO267" s="93"/>
      <c r="GP267" s="93"/>
      <c r="GQ267" s="93"/>
      <c r="GR267" s="93"/>
      <c r="GS267" s="93"/>
      <c r="GT267" s="93"/>
      <c r="GU267" s="93"/>
      <c r="GV267" s="93"/>
      <c r="GW267" s="93"/>
      <c r="GX267" s="93"/>
      <c r="GY267" s="93"/>
      <c r="GZ267" s="93"/>
      <c r="HA267" s="93"/>
      <c r="HB267" s="93"/>
      <c r="HC267" s="93"/>
      <c r="HD267" s="93"/>
      <c r="HE267" s="93"/>
      <c r="HF267" s="93"/>
      <c r="HG267" s="93"/>
    </row>
    <row r="268" spans="14:215" x14ac:dyDescent="0.2">
      <c r="N268" s="93" t="s">
        <v>485</v>
      </c>
      <c r="O268" s="93"/>
      <c r="P268" s="93"/>
      <c r="Q268" s="93"/>
      <c r="R268" s="93"/>
      <c r="S268" s="93"/>
      <c r="T268" s="93"/>
      <c r="U268" s="93"/>
      <c r="V268" s="93"/>
      <c r="W268" s="93"/>
      <c r="X268" s="93"/>
      <c r="Y268" s="93"/>
      <c r="Z268" s="93"/>
      <c r="AA268" s="93"/>
      <c r="AB268" s="93"/>
      <c r="AC268" s="93"/>
      <c r="AD268" s="93"/>
      <c r="AE268" s="93"/>
      <c r="AF268" s="93"/>
      <c r="AG268" s="93"/>
      <c r="AH268" s="93"/>
      <c r="AI268" s="93"/>
      <c r="AJ268" s="93"/>
      <c r="AK268" s="93"/>
      <c r="AL268" s="93"/>
      <c r="AM268" s="93"/>
      <c r="AN268" s="93"/>
      <c r="AO268" s="93"/>
      <c r="AP268" s="93"/>
      <c r="AQ268" s="93"/>
      <c r="AR268" s="93"/>
      <c r="AS268" s="93"/>
      <c r="AT268" s="93"/>
      <c r="AU268" s="93"/>
      <c r="AV268" s="93"/>
      <c r="AW268" s="93"/>
      <c r="AX268" s="93"/>
      <c r="AY268" s="93"/>
      <c r="AZ268" s="93"/>
      <c r="BA268" s="93"/>
      <c r="BB268" s="93"/>
      <c r="BC268" s="93"/>
      <c r="BD268" s="93"/>
      <c r="BE268" s="93"/>
      <c r="BF268" s="93"/>
      <c r="BG268" s="93"/>
      <c r="BH268" s="93"/>
      <c r="BI268" s="93"/>
      <c r="BJ268" s="93"/>
      <c r="BK268" s="93"/>
      <c r="BL268" s="93"/>
      <c r="BM268" s="93"/>
      <c r="BN268" s="93"/>
      <c r="BO268" s="93"/>
      <c r="BP268" s="93"/>
      <c r="BQ268" s="93"/>
      <c r="BR268" s="93"/>
      <c r="BS268" s="93"/>
      <c r="BT268" s="93"/>
      <c r="BU268" s="93"/>
      <c r="BV268" s="93"/>
      <c r="BW268" s="93"/>
      <c r="BX268" s="93"/>
      <c r="BY268" s="93"/>
      <c r="BZ268" s="93"/>
      <c r="CA268" s="93"/>
      <c r="CB268" s="93"/>
      <c r="CC268" s="93"/>
      <c r="CD268" s="93"/>
      <c r="CE268" s="93"/>
      <c r="CF268" s="93"/>
      <c r="CG268" s="93"/>
      <c r="CH268" s="93"/>
      <c r="CI268" s="93"/>
      <c r="CJ268" s="93"/>
      <c r="CK268" s="93"/>
      <c r="CL268" s="93"/>
      <c r="CM268" s="93"/>
      <c r="CN268" s="93"/>
      <c r="CO268" s="93"/>
      <c r="CP268" s="93"/>
      <c r="CQ268" s="93"/>
      <c r="CR268" s="93"/>
      <c r="CS268" s="93"/>
      <c r="CT268" s="93"/>
      <c r="CU268" s="93"/>
      <c r="CV268" s="93"/>
      <c r="CW268" s="93"/>
      <c r="CX268" s="93"/>
      <c r="CY268" s="93"/>
      <c r="CZ268" s="93"/>
      <c r="DA268" s="93"/>
      <c r="DB268" s="93"/>
      <c r="DC268" s="93"/>
      <c r="DD268" s="93"/>
      <c r="DE268" s="93"/>
      <c r="DF268" s="93"/>
      <c r="DG268" s="93"/>
      <c r="DH268" s="93"/>
      <c r="DI268" s="93"/>
      <c r="DJ268" s="93"/>
      <c r="DK268" s="93"/>
      <c r="DL268" s="93"/>
      <c r="DM268" s="93"/>
      <c r="DN268" s="93"/>
      <c r="DO268" s="93"/>
      <c r="DP268" s="93"/>
      <c r="DQ268" s="93"/>
      <c r="DR268" s="93"/>
      <c r="DS268" s="93"/>
      <c r="DT268" s="93"/>
      <c r="DU268" s="93"/>
      <c r="DV268" s="93"/>
      <c r="DW268" s="93"/>
      <c r="DX268" s="93"/>
      <c r="DY268" s="93"/>
      <c r="DZ268" s="93"/>
      <c r="EA268" s="93"/>
      <c r="EB268" s="93"/>
      <c r="EC268" s="93"/>
      <c r="ED268" s="93"/>
      <c r="EE268" s="93"/>
      <c r="EF268" s="93"/>
      <c r="EG268" s="93"/>
      <c r="EH268" s="93"/>
      <c r="EI268" s="93"/>
      <c r="EJ268" s="93"/>
      <c r="EK268" s="93"/>
      <c r="EL268" s="93"/>
      <c r="EM268" s="93"/>
      <c r="EN268" s="93"/>
      <c r="EO268" s="93"/>
      <c r="EP268" s="93"/>
      <c r="EQ268" s="93"/>
      <c r="ER268" s="93"/>
      <c r="ES268" s="93"/>
      <c r="ET268" s="93"/>
      <c r="EU268" s="93"/>
      <c r="EV268" s="93"/>
      <c r="EW268" s="93"/>
      <c r="EX268" s="93"/>
      <c r="EY268" s="93"/>
      <c r="EZ268" s="93"/>
      <c r="FA268" s="93"/>
      <c r="FB268" s="93"/>
      <c r="FC268" s="93"/>
      <c r="FD268" s="93"/>
      <c r="FE268" s="93"/>
      <c r="FF268" s="93"/>
      <c r="FG268" s="93"/>
      <c r="FH268" s="93"/>
      <c r="FI268" s="93"/>
      <c r="FJ268" s="93"/>
      <c r="FK268" s="93"/>
      <c r="FL268" s="93"/>
      <c r="FM268" s="93"/>
      <c r="FN268" s="93"/>
      <c r="FO268" s="93"/>
      <c r="FP268" s="93">
        <v>0.33262411347517729</v>
      </c>
      <c r="FQ268" s="93"/>
      <c r="FR268" s="93"/>
      <c r="FS268" s="93"/>
      <c r="FT268" s="93"/>
      <c r="FU268" s="93"/>
      <c r="FV268" s="93"/>
      <c r="FW268" s="93"/>
      <c r="FX268" s="93"/>
      <c r="FY268" s="93"/>
      <c r="FZ268" s="93"/>
      <c r="GA268" s="93"/>
      <c r="GB268" s="93"/>
      <c r="GC268" s="93"/>
      <c r="GD268" s="93"/>
      <c r="GE268" s="93"/>
      <c r="GF268" s="93"/>
      <c r="GG268" s="93"/>
      <c r="GH268" s="93"/>
      <c r="GI268" s="93"/>
      <c r="GJ268" s="93"/>
      <c r="GK268" s="93"/>
      <c r="GL268" s="93"/>
      <c r="GM268" s="93"/>
      <c r="GN268" s="93"/>
      <c r="GO268" s="93"/>
      <c r="GP268" s="93"/>
      <c r="GQ268" s="93"/>
      <c r="GR268" s="93"/>
      <c r="GS268" s="93"/>
      <c r="GT268" s="93"/>
      <c r="GU268" s="93"/>
      <c r="GV268" s="93"/>
      <c r="GW268" s="93"/>
      <c r="GX268" s="93"/>
      <c r="GY268" s="93"/>
      <c r="GZ268" s="93"/>
      <c r="HA268" s="93"/>
      <c r="HB268" s="93"/>
      <c r="HC268" s="93"/>
      <c r="HD268" s="93"/>
      <c r="HE268" s="93"/>
      <c r="HF268" s="93"/>
      <c r="HG268" s="93"/>
    </row>
    <row r="269" spans="14:215" x14ac:dyDescent="0.2">
      <c r="N269" s="93" t="s">
        <v>486</v>
      </c>
      <c r="O269" s="93"/>
      <c r="P269" s="93"/>
      <c r="Q269" s="93"/>
      <c r="R269" s="93"/>
      <c r="S269" s="93"/>
      <c r="T269" s="93"/>
      <c r="U269" s="93"/>
      <c r="V269" s="93"/>
      <c r="W269" s="93"/>
      <c r="X269" s="93"/>
      <c r="Y269" s="93"/>
      <c r="Z269" s="93"/>
      <c r="AA269" s="93"/>
      <c r="AB269" s="93"/>
      <c r="AC269" s="93"/>
      <c r="AD269" s="93"/>
      <c r="AE269" s="93"/>
      <c r="AF269" s="93"/>
      <c r="AG269" s="93"/>
      <c r="AH269" s="93"/>
      <c r="AI269" s="93"/>
      <c r="AJ269" s="93"/>
      <c r="AK269" s="93"/>
      <c r="AL269" s="93"/>
      <c r="AM269" s="93"/>
      <c r="AN269" s="93"/>
      <c r="AO269" s="93"/>
      <c r="AP269" s="93"/>
      <c r="AQ269" s="93"/>
      <c r="AR269" s="93"/>
      <c r="AS269" s="93"/>
      <c r="AT269" s="93"/>
      <c r="AU269" s="93"/>
      <c r="AV269" s="93"/>
      <c r="AW269" s="93"/>
      <c r="AX269" s="93"/>
      <c r="AY269" s="93"/>
      <c r="AZ269" s="93"/>
      <c r="BA269" s="93"/>
      <c r="BB269" s="93"/>
      <c r="BC269" s="93"/>
      <c r="BD269" s="93"/>
      <c r="BE269" s="93"/>
      <c r="BF269" s="93"/>
      <c r="BG269" s="93"/>
      <c r="BH269" s="93"/>
      <c r="BI269" s="93"/>
      <c r="BJ269" s="93"/>
      <c r="BK269" s="93"/>
      <c r="BL269" s="93"/>
      <c r="BM269" s="93"/>
      <c r="BN269" s="93"/>
      <c r="BO269" s="93"/>
      <c r="BP269" s="93"/>
      <c r="BQ269" s="93"/>
      <c r="BR269" s="93"/>
      <c r="BS269" s="93"/>
      <c r="BT269" s="93"/>
      <c r="BU269" s="93"/>
      <c r="BV269" s="93"/>
      <c r="BW269" s="93"/>
      <c r="BX269" s="93"/>
      <c r="BY269" s="93"/>
      <c r="BZ269" s="93"/>
      <c r="CA269" s="93"/>
      <c r="CB269" s="93"/>
      <c r="CC269" s="93"/>
      <c r="CD269" s="93"/>
      <c r="CE269" s="93"/>
      <c r="CF269" s="93"/>
      <c r="CG269" s="93"/>
      <c r="CH269" s="93"/>
      <c r="CI269" s="93"/>
      <c r="CJ269" s="93"/>
      <c r="CK269" s="93"/>
      <c r="CL269" s="93"/>
      <c r="CM269" s="93"/>
      <c r="CN269" s="93"/>
      <c r="CO269" s="93"/>
      <c r="CP269" s="93"/>
      <c r="CQ269" s="93"/>
      <c r="CR269" s="93"/>
      <c r="CS269" s="93"/>
      <c r="CT269" s="93"/>
      <c r="CU269" s="93"/>
      <c r="CV269" s="93"/>
      <c r="CW269" s="93"/>
      <c r="CX269" s="93"/>
      <c r="CY269" s="93"/>
      <c r="CZ269" s="93"/>
      <c r="DA269" s="93"/>
      <c r="DB269" s="93"/>
      <c r="DC269" s="93"/>
      <c r="DD269" s="93"/>
      <c r="DE269" s="93"/>
      <c r="DF269" s="93"/>
      <c r="DG269" s="93"/>
      <c r="DH269" s="93"/>
      <c r="DI269" s="93"/>
      <c r="DJ269" s="93"/>
      <c r="DK269" s="93"/>
      <c r="DL269" s="93"/>
      <c r="DM269" s="93"/>
      <c r="DN269" s="93"/>
      <c r="DO269" s="93"/>
      <c r="DP269" s="93"/>
      <c r="DQ269" s="93"/>
      <c r="DR269" s="93"/>
      <c r="DS269" s="93"/>
      <c r="DT269" s="93"/>
      <c r="DU269" s="93"/>
      <c r="DV269" s="93"/>
      <c r="DW269" s="93"/>
      <c r="DX269" s="93"/>
      <c r="DY269" s="93"/>
      <c r="DZ269" s="93"/>
      <c r="EA269" s="93"/>
      <c r="EB269" s="93"/>
      <c r="EC269" s="93"/>
      <c r="ED269" s="93"/>
      <c r="EE269" s="93"/>
      <c r="EF269" s="93"/>
      <c r="EG269" s="93"/>
      <c r="EH269" s="93"/>
      <c r="EI269" s="93"/>
      <c r="EJ269" s="93"/>
      <c r="EK269" s="93"/>
      <c r="EL269" s="93"/>
      <c r="EM269" s="93"/>
      <c r="EN269" s="93"/>
      <c r="EO269" s="93"/>
      <c r="EP269" s="93"/>
      <c r="EQ269" s="93"/>
      <c r="ER269" s="93"/>
      <c r="ES269" s="93"/>
      <c r="ET269" s="93"/>
      <c r="EU269" s="93"/>
      <c r="EV269" s="93"/>
      <c r="EW269" s="93"/>
      <c r="EX269" s="93"/>
      <c r="EY269" s="93"/>
      <c r="EZ269" s="93"/>
      <c r="FA269" s="93"/>
      <c r="FB269" s="93"/>
      <c r="FC269" s="93"/>
      <c r="FD269" s="93"/>
      <c r="FE269" s="93"/>
      <c r="FF269" s="93"/>
      <c r="FG269" s="93"/>
      <c r="FH269" s="93"/>
      <c r="FI269" s="93"/>
      <c r="FJ269" s="93"/>
      <c r="FK269" s="93"/>
      <c r="FL269" s="93"/>
      <c r="FM269" s="93"/>
      <c r="FN269" s="93"/>
      <c r="FO269" s="93"/>
      <c r="FP269" s="93"/>
      <c r="FQ269" s="93">
        <v>0.33262861169837915</v>
      </c>
      <c r="FR269" s="93"/>
      <c r="FS269" s="93"/>
      <c r="FT269" s="93"/>
      <c r="FU269" s="93"/>
      <c r="FV269" s="93"/>
      <c r="FW269" s="93"/>
      <c r="FX269" s="93"/>
      <c r="FY269" s="93"/>
      <c r="FZ269" s="93"/>
      <c r="GA269" s="93"/>
      <c r="GB269" s="93"/>
      <c r="GC269" s="93"/>
      <c r="GD269" s="93"/>
      <c r="GE269" s="93"/>
      <c r="GF269" s="93"/>
      <c r="GG269" s="93"/>
      <c r="GH269" s="93"/>
      <c r="GI269" s="93"/>
      <c r="GJ269" s="93"/>
      <c r="GK269" s="93"/>
      <c r="GL269" s="93"/>
      <c r="GM269" s="93"/>
      <c r="GN269" s="93"/>
      <c r="GO269" s="93"/>
      <c r="GP269" s="93"/>
      <c r="GQ269" s="93"/>
      <c r="GR269" s="93"/>
      <c r="GS269" s="93"/>
      <c r="GT269" s="93"/>
      <c r="GU269" s="93"/>
      <c r="GV269" s="93"/>
      <c r="GW269" s="93"/>
      <c r="GX269" s="93"/>
      <c r="GY269" s="93"/>
      <c r="GZ269" s="93"/>
      <c r="HA269" s="93"/>
      <c r="HB269" s="93"/>
      <c r="HC269" s="93"/>
      <c r="HD269" s="93"/>
      <c r="HE269" s="93"/>
      <c r="HF269" s="93"/>
      <c r="HG269" s="93"/>
    </row>
    <row r="270" spans="14:215" x14ac:dyDescent="0.2">
      <c r="N270" s="93" t="s">
        <v>487</v>
      </c>
      <c r="O270" s="93"/>
      <c r="P270" s="93"/>
      <c r="Q270" s="93"/>
      <c r="R270" s="93"/>
      <c r="S270" s="93"/>
      <c r="T270" s="93"/>
      <c r="U270" s="93"/>
      <c r="V270" s="93"/>
      <c r="W270" s="93"/>
      <c r="X270" s="93"/>
      <c r="Y270" s="93"/>
      <c r="Z270" s="93"/>
      <c r="AA270" s="93"/>
      <c r="AB270" s="93"/>
      <c r="AC270" s="93"/>
      <c r="AD270" s="93"/>
      <c r="AE270" s="93"/>
      <c r="AF270" s="93"/>
      <c r="AG270" s="93"/>
      <c r="AH270" s="93"/>
      <c r="AI270" s="93"/>
      <c r="AJ270" s="93"/>
      <c r="AK270" s="93"/>
      <c r="AL270" s="93"/>
      <c r="AM270" s="93"/>
      <c r="AN270" s="93"/>
      <c r="AO270" s="93"/>
      <c r="AP270" s="93"/>
      <c r="AQ270" s="93"/>
      <c r="AR270" s="93"/>
      <c r="AS270" s="93"/>
      <c r="AT270" s="93"/>
      <c r="AU270" s="93"/>
      <c r="AV270" s="93"/>
      <c r="AW270" s="93"/>
      <c r="AX270" s="93"/>
      <c r="AY270" s="93"/>
      <c r="AZ270" s="93"/>
      <c r="BA270" s="93"/>
      <c r="BB270" s="93"/>
      <c r="BC270" s="93"/>
      <c r="BD270" s="93"/>
      <c r="BE270" s="93"/>
      <c r="BF270" s="93"/>
      <c r="BG270" s="93"/>
      <c r="BH270" s="93"/>
      <c r="BI270" s="93"/>
      <c r="BJ270" s="93"/>
      <c r="BK270" s="93"/>
      <c r="BL270" s="93"/>
      <c r="BM270" s="93"/>
      <c r="BN270" s="93"/>
      <c r="BO270" s="93"/>
      <c r="BP270" s="93"/>
      <c r="BQ270" s="93"/>
      <c r="BR270" s="93"/>
      <c r="BS270" s="93"/>
      <c r="BT270" s="93"/>
      <c r="BU270" s="93"/>
      <c r="BV270" s="93"/>
      <c r="BW270" s="93"/>
      <c r="BX270" s="93"/>
      <c r="BY270" s="93"/>
      <c r="BZ270" s="93"/>
      <c r="CA270" s="93"/>
      <c r="CB270" s="93"/>
      <c r="CC270" s="93"/>
      <c r="CD270" s="93"/>
      <c r="CE270" s="93"/>
      <c r="CF270" s="93"/>
      <c r="CG270" s="93"/>
      <c r="CH270" s="93"/>
      <c r="CI270" s="93"/>
      <c r="CJ270" s="93"/>
      <c r="CK270" s="93"/>
      <c r="CL270" s="93"/>
      <c r="CM270" s="93"/>
      <c r="CN270" s="93"/>
      <c r="CO270" s="93"/>
      <c r="CP270" s="93"/>
      <c r="CQ270" s="93"/>
      <c r="CR270" s="93"/>
      <c r="CS270" s="93"/>
      <c r="CT270" s="93"/>
      <c r="CU270" s="93"/>
      <c r="CV270" s="93"/>
      <c r="CW270" s="93"/>
      <c r="CX270" s="93"/>
      <c r="CY270" s="93"/>
      <c r="CZ270" s="93"/>
      <c r="DA270" s="93"/>
      <c r="DB270" s="93"/>
      <c r="DC270" s="93"/>
      <c r="DD270" s="93"/>
      <c r="DE270" s="93"/>
      <c r="DF270" s="93"/>
      <c r="DG270" s="93"/>
      <c r="DH270" s="93"/>
      <c r="DI270" s="93"/>
      <c r="DJ270" s="93"/>
      <c r="DK270" s="93"/>
      <c r="DL270" s="93"/>
      <c r="DM270" s="93"/>
      <c r="DN270" s="93"/>
      <c r="DO270" s="93"/>
      <c r="DP270" s="93"/>
      <c r="DQ270" s="93"/>
      <c r="DR270" s="93"/>
      <c r="DS270" s="93"/>
      <c r="DT270" s="93"/>
      <c r="DU270" s="93"/>
      <c r="DV270" s="93"/>
      <c r="DW270" s="93"/>
      <c r="DX270" s="93"/>
      <c r="DY270" s="93"/>
      <c r="DZ270" s="93"/>
      <c r="EA270" s="93"/>
      <c r="EB270" s="93"/>
      <c r="EC270" s="93"/>
      <c r="ED270" s="93"/>
      <c r="EE270" s="93"/>
      <c r="EF270" s="93"/>
      <c r="EG270" s="93"/>
      <c r="EH270" s="93"/>
      <c r="EI270" s="93"/>
      <c r="EJ270" s="93"/>
      <c r="EK270" s="93"/>
      <c r="EL270" s="93"/>
      <c r="EM270" s="93"/>
      <c r="EN270" s="93"/>
      <c r="EO270" s="93"/>
      <c r="EP270" s="93"/>
      <c r="EQ270" s="93"/>
      <c r="ER270" s="93"/>
      <c r="ES270" s="93"/>
      <c r="ET270" s="93"/>
      <c r="EU270" s="93"/>
      <c r="EV270" s="93"/>
      <c r="EW270" s="93"/>
      <c r="EX270" s="93"/>
      <c r="EY270" s="93"/>
      <c r="EZ270" s="93"/>
      <c r="FA270" s="93"/>
      <c r="FB270" s="93"/>
      <c r="FC270" s="93"/>
      <c r="FD270" s="93"/>
      <c r="FE270" s="93"/>
      <c r="FF270" s="93"/>
      <c r="FG270" s="93"/>
      <c r="FH270" s="93"/>
      <c r="FI270" s="93"/>
      <c r="FJ270" s="93"/>
      <c r="FK270" s="93"/>
      <c r="FL270" s="93"/>
      <c r="FM270" s="93"/>
      <c r="FN270" s="93"/>
      <c r="FO270" s="93"/>
      <c r="FP270" s="93"/>
      <c r="FQ270" s="93"/>
      <c r="FR270" s="93">
        <v>0.3326330532212885</v>
      </c>
      <c r="FS270" s="93"/>
      <c r="FT270" s="93"/>
      <c r="FU270" s="93"/>
      <c r="FV270" s="93"/>
      <c r="FW270" s="93"/>
      <c r="FX270" s="93"/>
      <c r="FY270" s="93"/>
      <c r="FZ270" s="93"/>
      <c r="GA270" s="93"/>
      <c r="GB270" s="93"/>
      <c r="GC270" s="93"/>
      <c r="GD270" s="93"/>
      <c r="GE270" s="93"/>
      <c r="GF270" s="93"/>
      <c r="GG270" s="93"/>
      <c r="GH270" s="93"/>
      <c r="GI270" s="93"/>
      <c r="GJ270" s="93"/>
      <c r="GK270" s="93"/>
      <c r="GL270" s="93"/>
      <c r="GM270" s="93"/>
      <c r="GN270" s="93"/>
      <c r="GO270" s="93"/>
      <c r="GP270" s="93"/>
      <c r="GQ270" s="93"/>
      <c r="GR270" s="93"/>
      <c r="GS270" s="93"/>
      <c r="GT270" s="93"/>
      <c r="GU270" s="93"/>
      <c r="GV270" s="93"/>
      <c r="GW270" s="93"/>
      <c r="GX270" s="93"/>
      <c r="GY270" s="93"/>
      <c r="GZ270" s="93"/>
      <c r="HA270" s="93"/>
      <c r="HB270" s="93"/>
      <c r="HC270" s="93"/>
      <c r="HD270" s="93"/>
      <c r="HE270" s="93"/>
      <c r="HF270" s="93"/>
      <c r="HG270" s="93"/>
    </row>
    <row r="271" spans="14:215" x14ac:dyDescent="0.2">
      <c r="N271" s="93" t="s">
        <v>488</v>
      </c>
      <c r="O271" s="93"/>
      <c r="P271" s="93"/>
      <c r="Q271" s="93"/>
      <c r="R271" s="93"/>
      <c r="S271" s="93"/>
      <c r="T271" s="93"/>
      <c r="U271" s="93"/>
      <c r="V271" s="93"/>
      <c r="W271" s="93"/>
      <c r="X271" s="93"/>
      <c r="Y271" s="93"/>
      <c r="Z271" s="93"/>
      <c r="AA271" s="93"/>
      <c r="AB271" s="93"/>
      <c r="AC271" s="93"/>
      <c r="AD271" s="93"/>
      <c r="AE271" s="93"/>
      <c r="AF271" s="93"/>
      <c r="AG271" s="93"/>
      <c r="AH271" s="93"/>
      <c r="AI271" s="93"/>
      <c r="AJ271" s="93"/>
      <c r="AK271" s="93"/>
      <c r="AL271" s="93"/>
      <c r="AM271" s="93"/>
      <c r="AN271" s="93"/>
      <c r="AO271" s="93"/>
      <c r="AP271" s="93"/>
      <c r="AQ271" s="93"/>
      <c r="AR271" s="93"/>
      <c r="AS271" s="93"/>
      <c r="AT271" s="93"/>
      <c r="AU271" s="93"/>
      <c r="AV271" s="93"/>
      <c r="AW271" s="93"/>
      <c r="AX271" s="93"/>
      <c r="AY271" s="93"/>
      <c r="AZ271" s="93"/>
      <c r="BA271" s="93"/>
      <c r="BB271" s="93"/>
      <c r="BC271" s="93"/>
      <c r="BD271" s="93"/>
      <c r="BE271" s="93"/>
      <c r="BF271" s="93"/>
      <c r="BG271" s="93"/>
      <c r="BH271" s="93"/>
      <c r="BI271" s="93"/>
      <c r="BJ271" s="93"/>
      <c r="BK271" s="93"/>
      <c r="BL271" s="93"/>
      <c r="BM271" s="93"/>
      <c r="BN271" s="93"/>
      <c r="BO271" s="93"/>
      <c r="BP271" s="93"/>
      <c r="BQ271" s="93"/>
      <c r="BR271" s="93"/>
      <c r="BS271" s="93"/>
      <c r="BT271" s="93"/>
      <c r="BU271" s="93"/>
      <c r="BV271" s="93"/>
      <c r="BW271" s="93"/>
      <c r="BX271" s="93"/>
      <c r="BY271" s="93"/>
      <c r="BZ271" s="93"/>
      <c r="CA271" s="93"/>
      <c r="CB271" s="93"/>
      <c r="CC271" s="93"/>
      <c r="CD271" s="93"/>
      <c r="CE271" s="93"/>
      <c r="CF271" s="93"/>
      <c r="CG271" s="93"/>
      <c r="CH271" s="93"/>
      <c r="CI271" s="93"/>
      <c r="CJ271" s="93"/>
      <c r="CK271" s="93"/>
      <c r="CL271" s="93"/>
      <c r="CM271" s="93"/>
      <c r="CN271" s="93"/>
      <c r="CO271" s="93"/>
      <c r="CP271" s="93"/>
      <c r="CQ271" s="93"/>
      <c r="CR271" s="93"/>
      <c r="CS271" s="93"/>
      <c r="CT271" s="93"/>
      <c r="CU271" s="93"/>
      <c r="CV271" s="93"/>
      <c r="CW271" s="93"/>
      <c r="CX271" s="93"/>
      <c r="CY271" s="93"/>
      <c r="CZ271" s="93"/>
      <c r="DA271" s="93"/>
      <c r="DB271" s="93"/>
      <c r="DC271" s="93"/>
      <c r="DD271" s="93"/>
      <c r="DE271" s="93"/>
      <c r="DF271" s="93"/>
      <c r="DG271" s="93"/>
      <c r="DH271" s="93"/>
      <c r="DI271" s="93"/>
      <c r="DJ271" s="93"/>
      <c r="DK271" s="93"/>
      <c r="DL271" s="93"/>
      <c r="DM271" s="93"/>
      <c r="DN271" s="93"/>
      <c r="DO271" s="93"/>
      <c r="DP271" s="93"/>
      <c r="DQ271" s="93"/>
      <c r="DR271" s="93"/>
      <c r="DS271" s="93"/>
      <c r="DT271" s="93"/>
      <c r="DU271" s="93"/>
      <c r="DV271" s="93"/>
      <c r="DW271" s="93"/>
      <c r="DX271" s="93"/>
      <c r="DY271" s="93"/>
      <c r="DZ271" s="93"/>
      <c r="EA271" s="93"/>
      <c r="EB271" s="93"/>
      <c r="EC271" s="93"/>
      <c r="ED271" s="93"/>
      <c r="EE271" s="93"/>
      <c r="EF271" s="93"/>
      <c r="EG271" s="93"/>
      <c r="EH271" s="93"/>
      <c r="EI271" s="93"/>
      <c r="EJ271" s="93"/>
      <c r="EK271" s="93"/>
      <c r="EL271" s="93"/>
      <c r="EM271" s="93"/>
      <c r="EN271" s="93"/>
      <c r="EO271" s="93"/>
      <c r="EP271" s="93"/>
      <c r="EQ271" s="93"/>
      <c r="ER271" s="93"/>
      <c r="ES271" s="93"/>
      <c r="ET271" s="93"/>
      <c r="EU271" s="93"/>
      <c r="EV271" s="93"/>
      <c r="EW271" s="93"/>
      <c r="EX271" s="93"/>
      <c r="EY271" s="93"/>
      <c r="EZ271" s="93"/>
      <c r="FA271" s="93"/>
      <c r="FB271" s="93"/>
      <c r="FC271" s="93"/>
      <c r="FD271" s="93"/>
      <c r="FE271" s="93"/>
      <c r="FF271" s="93"/>
      <c r="FG271" s="93"/>
      <c r="FH271" s="93"/>
      <c r="FI271" s="93"/>
      <c r="FJ271" s="93"/>
      <c r="FK271" s="93"/>
      <c r="FL271" s="93"/>
      <c r="FM271" s="93"/>
      <c r="FN271" s="93"/>
      <c r="FO271" s="93"/>
      <c r="FP271" s="93"/>
      <c r="FQ271" s="93"/>
      <c r="FR271" s="93"/>
      <c r="FS271" s="93">
        <v>0.33263743910925542</v>
      </c>
      <c r="FT271" s="93"/>
      <c r="FU271" s="93"/>
      <c r="FV271" s="93"/>
      <c r="FW271" s="93"/>
      <c r="FX271" s="93"/>
      <c r="FY271" s="93"/>
      <c r="FZ271" s="93"/>
      <c r="GA271" s="93"/>
      <c r="GB271" s="93"/>
      <c r="GC271" s="93"/>
      <c r="GD271" s="93"/>
      <c r="GE271" s="93"/>
      <c r="GF271" s="93"/>
      <c r="GG271" s="93"/>
      <c r="GH271" s="93"/>
      <c r="GI271" s="93"/>
      <c r="GJ271" s="93"/>
      <c r="GK271" s="93"/>
      <c r="GL271" s="93"/>
      <c r="GM271" s="93"/>
      <c r="GN271" s="93"/>
      <c r="GO271" s="93"/>
      <c r="GP271" s="93"/>
      <c r="GQ271" s="93"/>
      <c r="GR271" s="93"/>
      <c r="GS271" s="93"/>
      <c r="GT271" s="93"/>
      <c r="GU271" s="93"/>
      <c r="GV271" s="93"/>
      <c r="GW271" s="93"/>
      <c r="GX271" s="93"/>
      <c r="GY271" s="93"/>
      <c r="GZ271" s="93"/>
      <c r="HA271" s="93"/>
      <c r="HB271" s="93"/>
      <c r="HC271" s="93"/>
      <c r="HD271" s="93"/>
      <c r="HE271" s="93"/>
      <c r="HF271" s="93"/>
      <c r="HG271" s="93"/>
    </row>
    <row r="272" spans="14:215" x14ac:dyDescent="0.2">
      <c r="N272" s="93" t="s">
        <v>489</v>
      </c>
      <c r="O272" s="93"/>
      <c r="P272" s="93"/>
      <c r="Q272" s="93"/>
      <c r="R272" s="93"/>
      <c r="S272" s="93"/>
      <c r="T272" s="93"/>
      <c r="U272" s="93"/>
      <c r="V272" s="93"/>
      <c r="W272" s="93"/>
      <c r="X272" s="93"/>
      <c r="Y272" s="93"/>
      <c r="Z272" s="93"/>
      <c r="AA272" s="93"/>
      <c r="AB272" s="93"/>
      <c r="AC272" s="93"/>
      <c r="AD272" s="93"/>
      <c r="AE272" s="93"/>
      <c r="AF272" s="93"/>
      <c r="AG272" s="93"/>
      <c r="AH272" s="93"/>
      <c r="AI272" s="93"/>
      <c r="AJ272" s="93"/>
      <c r="AK272" s="93"/>
      <c r="AL272" s="93"/>
      <c r="AM272" s="93"/>
      <c r="AN272" s="93"/>
      <c r="AO272" s="93"/>
      <c r="AP272" s="93"/>
      <c r="AQ272" s="93"/>
      <c r="AR272" s="93"/>
      <c r="AS272" s="93"/>
      <c r="AT272" s="93"/>
      <c r="AU272" s="93"/>
      <c r="AV272" s="93"/>
      <c r="AW272" s="93"/>
      <c r="AX272" s="93"/>
      <c r="AY272" s="93"/>
      <c r="AZ272" s="93"/>
      <c r="BA272" s="93"/>
      <c r="BB272" s="93"/>
      <c r="BC272" s="93"/>
      <c r="BD272" s="93"/>
      <c r="BE272" s="93"/>
      <c r="BF272" s="93"/>
      <c r="BG272" s="93"/>
      <c r="BH272" s="93"/>
      <c r="BI272" s="93"/>
      <c r="BJ272" s="93"/>
      <c r="BK272" s="93"/>
      <c r="BL272" s="93"/>
      <c r="BM272" s="93"/>
      <c r="BN272" s="93"/>
      <c r="BO272" s="93"/>
      <c r="BP272" s="93"/>
      <c r="BQ272" s="93"/>
      <c r="BR272" s="93"/>
      <c r="BS272" s="93"/>
      <c r="BT272" s="93"/>
      <c r="BU272" s="93"/>
      <c r="BV272" s="93"/>
      <c r="BW272" s="93"/>
      <c r="BX272" s="93"/>
      <c r="BY272" s="93"/>
      <c r="BZ272" s="93"/>
      <c r="CA272" s="93"/>
      <c r="CB272" s="93"/>
      <c r="CC272" s="93"/>
      <c r="CD272" s="93"/>
      <c r="CE272" s="93"/>
      <c r="CF272" s="93"/>
      <c r="CG272" s="93"/>
      <c r="CH272" s="93"/>
      <c r="CI272" s="93"/>
      <c r="CJ272" s="93"/>
      <c r="CK272" s="93"/>
      <c r="CL272" s="93"/>
      <c r="CM272" s="93"/>
      <c r="CN272" s="93"/>
      <c r="CO272" s="93"/>
      <c r="CP272" s="93"/>
      <c r="CQ272" s="93"/>
      <c r="CR272" s="93"/>
      <c r="CS272" s="93"/>
      <c r="CT272" s="93"/>
      <c r="CU272" s="93"/>
      <c r="CV272" s="93"/>
      <c r="CW272" s="93"/>
      <c r="CX272" s="93"/>
      <c r="CY272" s="93"/>
      <c r="CZ272" s="93"/>
      <c r="DA272" s="93"/>
      <c r="DB272" s="93"/>
      <c r="DC272" s="93"/>
      <c r="DD272" s="93"/>
      <c r="DE272" s="93"/>
      <c r="DF272" s="93"/>
      <c r="DG272" s="93"/>
      <c r="DH272" s="93"/>
      <c r="DI272" s="93"/>
      <c r="DJ272" s="93"/>
      <c r="DK272" s="93"/>
      <c r="DL272" s="93"/>
      <c r="DM272" s="93"/>
      <c r="DN272" s="93"/>
      <c r="DO272" s="93"/>
      <c r="DP272" s="93"/>
      <c r="DQ272" s="93"/>
      <c r="DR272" s="93"/>
      <c r="DS272" s="93"/>
      <c r="DT272" s="93"/>
      <c r="DU272" s="93"/>
      <c r="DV272" s="93"/>
      <c r="DW272" s="93"/>
      <c r="DX272" s="93"/>
      <c r="DY272" s="93"/>
      <c r="DZ272" s="93"/>
      <c r="EA272" s="93"/>
      <c r="EB272" s="93"/>
      <c r="EC272" s="93"/>
      <c r="ED272" s="93"/>
      <c r="EE272" s="93"/>
      <c r="EF272" s="93"/>
      <c r="EG272" s="93"/>
      <c r="EH272" s="93"/>
      <c r="EI272" s="93"/>
      <c r="EJ272" s="93"/>
      <c r="EK272" s="93"/>
      <c r="EL272" s="93"/>
      <c r="EM272" s="93"/>
      <c r="EN272" s="93"/>
      <c r="EO272" s="93"/>
      <c r="EP272" s="93"/>
      <c r="EQ272" s="93"/>
      <c r="ER272" s="93"/>
      <c r="ES272" s="93"/>
      <c r="ET272" s="93"/>
      <c r="EU272" s="93"/>
      <c r="EV272" s="93"/>
      <c r="EW272" s="93"/>
      <c r="EX272" s="93"/>
      <c r="EY272" s="93"/>
      <c r="EZ272" s="93"/>
      <c r="FA272" s="93"/>
      <c r="FB272" s="93"/>
      <c r="FC272" s="93"/>
      <c r="FD272" s="93"/>
      <c r="FE272" s="93"/>
      <c r="FF272" s="93"/>
      <c r="FG272" s="93"/>
      <c r="FH272" s="93"/>
      <c r="FI272" s="93"/>
      <c r="FJ272" s="93"/>
      <c r="FK272" s="93"/>
      <c r="FL272" s="93"/>
      <c r="FM272" s="93"/>
      <c r="FN272" s="93"/>
      <c r="FO272" s="93"/>
      <c r="FP272" s="93"/>
      <c r="FQ272" s="93"/>
      <c r="FR272" s="93"/>
      <c r="FS272" s="93"/>
      <c r="FT272" s="93">
        <v>0.33264177040110648</v>
      </c>
      <c r="FU272" s="93"/>
      <c r="FV272" s="93"/>
      <c r="FW272" s="93"/>
      <c r="FX272" s="93"/>
      <c r="FY272" s="93"/>
      <c r="FZ272" s="93"/>
      <c r="GA272" s="93"/>
      <c r="GB272" s="93"/>
      <c r="GC272" s="93"/>
      <c r="GD272" s="93"/>
      <c r="GE272" s="93"/>
      <c r="GF272" s="93"/>
      <c r="GG272" s="93"/>
      <c r="GH272" s="93"/>
      <c r="GI272" s="93"/>
      <c r="GJ272" s="93"/>
      <c r="GK272" s="93"/>
      <c r="GL272" s="93"/>
      <c r="GM272" s="93"/>
      <c r="GN272" s="93"/>
      <c r="GO272" s="93"/>
      <c r="GP272" s="93"/>
      <c r="GQ272" s="93"/>
      <c r="GR272" s="93"/>
      <c r="GS272" s="93"/>
      <c r="GT272" s="93"/>
      <c r="GU272" s="93"/>
      <c r="GV272" s="93"/>
      <c r="GW272" s="93"/>
      <c r="GX272" s="93"/>
      <c r="GY272" s="93"/>
      <c r="GZ272" s="93"/>
      <c r="HA272" s="93"/>
      <c r="HB272" s="93"/>
      <c r="HC272" s="93"/>
      <c r="HD272" s="93"/>
      <c r="HE272" s="93"/>
      <c r="HF272" s="93"/>
      <c r="HG272" s="93"/>
    </row>
    <row r="273" spans="14:215" x14ac:dyDescent="0.2">
      <c r="N273" s="93" t="s">
        <v>490</v>
      </c>
      <c r="O273" s="93"/>
      <c r="P273" s="93"/>
      <c r="Q273" s="93"/>
      <c r="R273" s="93"/>
      <c r="S273" s="93"/>
      <c r="T273" s="93"/>
      <c r="U273" s="93"/>
      <c r="V273" s="93"/>
      <c r="W273" s="93"/>
      <c r="X273" s="93"/>
      <c r="Y273" s="93"/>
      <c r="Z273" s="93"/>
      <c r="AA273" s="93"/>
      <c r="AB273" s="93"/>
      <c r="AC273" s="93"/>
      <c r="AD273" s="93"/>
      <c r="AE273" s="93"/>
      <c r="AF273" s="93"/>
      <c r="AG273" s="93"/>
      <c r="AH273" s="93"/>
      <c r="AI273" s="93"/>
      <c r="AJ273" s="93"/>
      <c r="AK273" s="93"/>
      <c r="AL273" s="93"/>
      <c r="AM273" s="93"/>
      <c r="AN273" s="93"/>
      <c r="AO273" s="93"/>
      <c r="AP273" s="93"/>
      <c r="AQ273" s="93"/>
      <c r="AR273" s="93"/>
      <c r="AS273" s="93"/>
      <c r="AT273" s="93"/>
      <c r="AU273" s="93"/>
      <c r="AV273" s="93"/>
      <c r="AW273" s="93"/>
      <c r="AX273" s="93"/>
      <c r="AY273" s="93"/>
      <c r="AZ273" s="93"/>
      <c r="BA273" s="93"/>
      <c r="BB273" s="93"/>
      <c r="BC273" s="93"/>
      <c r="BD273" s="93"/>
      <c r="BE273" s="93"/>
      <c r="BF273" s="93"/>
      <c r="BG273" s="93"/>
      <c r="BH273" s="93"/>
      <c r="BI273" s="93"/>
      <c r="BJ273" s="93"/>
      <c r="BK273" s="93"/>
      <c r="BL273" s="93"/>
      <c r="BM273" s="93"/>
      <c r="BN273" s="93"/>
      <c r="BO273" s="93"/>
      <c r="BP273" s="93"/>
      <c r="BQ273" s="93"/>
      <c r="BR273" s="93"/>
      <c r="BS273" s="93"/>
      <c r="BT273" s="93"/>
      <c r="BU273" s="93"/>
      <c r="BV273" s="93"/>
      <c r="BW273" s="93"/>
      <c r="BX273" s="93"/>
      <c r="BY273" s="93"/>
      <c r="BZ273" s="93"/>
      <c r="CA273" s="93"/>
      <c r="CB273" s="93"/>
      <c r="CC273" s="93"/>
      <c r="CD273" s="93"/>
      <c r="CE273" s="93"/>
      <c r="CF273" s="93"/>
      <c r="CG273" s="93"/>
      <c r="CH273" s="93"/>
      <c r="CI273" s="93"/>
      <c r="CJ273" s="93"/>
      <c r="CK273" s="93"/>
      <c r="CL273" s="93"/>
      <c r="CM273" s="93"/>
      <c r="CN273" s="93"/>
      <c r="CO273" s="93"/>
      <c r="CP273" s="93"/>
      <c r="CQ273" s="93"/>
      <c r="CR273" s="93"/>
      <c r="CS273" s="93"/>
      <c r="CT273" s="93"/>
      <c r="CU273" s="93"/>
      <c r="CV273" s="93"/>
      <c r="CW273" s="93"/>
      <c r="CX273" s="93"/>
      <c r="CY273" s="93"/>
      <c r="CZ273" s="93"/>
      <c r="DA273" s="93"/>
      <c r="DB273" s="93"/>
      <c r="DC273" s="93"/>
      <c r="DD273" s="93"/>
      <c r="DE273" s="93"/>
      <c r="DF273" s="93"/>
      <c r="DG273" s="93"/>
      <c r="DH273" s="93"/>
      <c r="DI273" s="93"/>
      <c r="DJ273" s="93"/>
      <c r="DK273" s="93"/>
      <c r="DL273" s="93"/>
      <c r="DM273" s="93"/>
      <c r="DN273" s="93"/>
      <c r="DO273" s="93"/>
      <c r="DP273" s="93"/>
      <c r="DQ273" s="93"/>
      <c r="DR273" s="93"/>
      <c r="DS273" s="93"/>
      <c r="DT273" s="93"/>
      <c r="DU273" s="93"/>
      <c r="DV273" s="93"/>
      <c r="DW273" s="93"/>
      <c r="DX273" s="93"/>
      <c r="DY273" s="93"/>
      <c r="DZ273" s="93"/>
      <c r="EA273" s="93"/>
      <c r="EB273" s="93"/>
      <c r="EC273" s="93"/>
      <c r="ED273" s="93"/>
      <c r="EE273" s="93"/>
      <c r="EF273" s="93"/>
      <c r="EG273" s="93"/>
      <c r="EH273" s="93"/>
      <c r="EI273" s="93"/>
      <c r="EJ273" s="93"/>
      <c r="EK273" s="93"/>
      <c r="EL273" s="93"/>
      <c r="EM273" s="93"/>
      <c r="EN273" s="93"/>
      <c r="EO273" s="93"/>
      <c r="EP273" s="93"/>
      <c r="EQ273" s="93"/>
      <c r="ER273" s="93"/>
      <c r="ES273" s="93"/>
      <c r="ET273" s="93"/>
      <c r="EU273" s="93"/>
      <c r="EV273" s="93"/>
      <c r="EW273" s="93"/>
      <c r="EX273" s="93"/>
      <c r="EY273" s="93"/>
      <c r="EZ273" s="93"/>
      <c r="FA273" s="93"/>
      <c r="FB273" s="93"/>
      <c r="FC273" s="93"/>
      <c r="FD273" s="93"/>
      <c r="FE273" s="93"/>
      <c r="FF273" s="93"/>
      <c r="FG273" s="93"/>
      <c r="FH273" s="93"/>
      <c r="FI273" s="93"/>
      <c r="FJ273" s="93"/>
      <c r="FK273" s="93"/>
      <c r="FL273" s="93"/>
      <c r="FM273" s="93"/>
      <c r="FN273" s="93"/>
      <c r="FO273" s="93"/>
      <c r="FP273" s="93"/>
      <c r="FQ273" s="93"/>
      <c r="FR273" s="93"/>
      <c r="FS273" s="93"/>
      <c r="FT273" s="93"/>
      <c r="FU273" s="93">
        <v>0.33264604810996562</v>
      </c>
      <c r="FV273" s="93"/>
      <c r="FW273" s="93"/>
      <c r="FX273" s="93"/>
      <c r="FY273" s="93"/>
      <c r="FZ273" s="93"/>
      <c r="GA273" s="93"/>
      <c r="GB273" s="93"/>
      <c r="GC273" s="93"/>
      <c r="GD273" s="93"/>
      <c r="GE273" s="93"/>
      <c r="GF273" s="93"/>
      <c r="GG273" s="93"/>
      <c r="GH273" s="93"/>
      <c r="GI273" s="93"/>
      <c r="GJ273" s="93"/>
      <c r="GK273" s="93"/>
      <c r="GL273" s="93"/>
      <c r="GM273" s="93"/>
      <c r="GN273" s="93"/>
      <c r="GO273" s="93"/>
      <c r="GP273" s="93"/>
      <c r="GQ273" s="93"/>
      <c r="GR273" s="93"/>
      <c r="GS273" s="93"/>
      <c r="GT273" s="93"/>
      <c r="GU273" s="93"/>
      <c r="GV273" s="93"/>
      <c r="GW273" s="93"/>
      <c r="GX273" s="93"/>
      <c r="GY273" s="93"/>
      <c r="GZ273" s="93"/>
      <c r="HA273" s="93"/>
      <c r="HB273" s="93"/>
      <c r="HC273" s="93"/>
      <c r="HD273" s="93"/>
      <c r="HE273" s="93"/>
      <c r="HF273" s="93"/>
      <c r="HG273" s="93"/>
    </row>
    <row r="274" spans="14:215" x14ac:dyDescent="0.2">
      <c r="N274" s="93" t="s">
        <v>491</v>
      </c>
      <c r="O274" s="93"/>
      <c r="P274" s="93"/>
      <c r="Q274" s="93"/>
      <c r="R274" s="93"/>
      <c r="S274" s="93"/>
      <c r="T274" s="93"/>
      <c r="U274" s="93"/>
      <c r="V274" s="93"/>
      <c r="W274" s="93"/>
      <c r="X274" s="93"/>
      <c r="Y274" s="93"/>
      <c r="Z274" s="93"/>
      <c r="AA274" s="93"/>
      <c r="AB274" s="93"/>
      <c r="AC274" s="93"/>
      <c r="AD274" s="93"/>
      <c r="AE274" s="93"/>
      <c r="AF274" s="93"/>
      <c r="AG274" s="93"/>
      <c r="AH274" s="93"/>
      <c r="AI274" s="93"/>
      <c r="AJ274" s="93"/>
      <c r="AK274" s="93"/>
      <c r="AL274" s="93"/>
      <c r="AM274" s="93"/>
      <c r="AN274" s="93"/>
      <c r="AO274" s="93"/>
      <c r="AP274" s="93"/>
      <c r="AQ274" s="93"/>
      <c r="AR274" s="93"/>
      <c r="AS274" s="93"/>
      <c r="AT274" s="93"/>
      <c r="AU274" s="93"/>
      <c r="AV274" s="93"/>
      <c r="AW274" s="93"/>
      <c r="AX274" s="93"/>
      <c r="AY274" s="93"/>
      <c r="AZ274" s="93"/>
      <c r="BA274" s="93"/>
      <c r="BB274" s="93"/>
      <c r="BC274" s="93"/>
      <c r="BD274" s="93"/>
      <c r="BE274" s="93"/>
      <c r="BF274" s="93"/>
      <c r="BG274" s="93"/>
      <c r="BH274" s="93"/>
      <c r="BI274" s="93"/>
      <c r="BJ274" s="93"/>
      <c r="BK274" s="93"/>
      <c r="BL274" s="93"/>
      <c r="BM274" s="93"/>
      <c r="BN274" s="93"/>
      <c r="BO274" s="93"/>
      <c r="BP274" s="93"/>
      <c r="BQ274" s="93"/>
      <c r="BR274" s="93"/>
      <c r="BS274" s="93"/>
      <c r="BT274" s="93"/>
      <c r="BU274" s="93"/>
      <c r="BV274" s="93"/>
      <c r="BW274" s="93"/>
      <c r="BX274" s="93"/>
      <c r="BY274" s="93"/>
      <c r="BZ274" s="93"/>
      <c r="CA274" s="93"/>
      <c r="CB274" s="93"/>
      <c r="CC274" s="93"/>
      <c r="CD274" s="93"/>
      <c r="CE274" s="93"/>
      <c r="CF274" s="93"/>
      <c r="CG274" s="93"/>
      <c r="CH274" s="93"/>
      <c r="CI274" s="93"/>
      <c r="CJ274" s="93"/>
      <c r="CK274" s="93"/>
      <c r="CL274" s="93"/>
      <c r="CM274" s="93"/>
      <c r="CN274" s="93"/>
      <c r="CO274" s="93"/>
      <c r="CP274" s="93"/>
      <c r="CQ274" s="93"/>
      <c r="CR274" s="93"/>
      <c r="CS274" s="93"/>
      <c r="CT274" s="93"/>
      <c r="CU274" s="93"/>
      <c r="CV274" s="93"/>
      <c r="CW274" s="93"/>
      <c r="CX274" s="93"/>
      <c r="CY274" s="93"/>
      <c r="CZ274" s="93"/>
      <c r="DA274" s="93"/>
      <c r="DB274" s="93"/>
      <c r="DC274" s="93"/>
      <c r="DD274" s="93"/>
      <c r="DE274" s="93"/>
      <c r="DF274" s="93"/>
      <c r="DG274" s="93"/>
      <c r="DH274" s="93"/>
      <c r="DI274" s="93"/>
      <c r="DJ274" s="93"/>
      <c r="DK274" s="93"/>
      <c r="DL274" s="93"/>
      <c r="DM274" s="93"/>
      <c r="DN274" s="93"/>
      <c r="DO274" s="93"/>
      <c r="DP274" s="93"/>
      <c r="DQ274" s="93"/>
      <c r="DR274" s="93"/>
      <c r="DS274" s="93"/>
      <c r="DT274" s="93"/>
      <c r="DU274" s="93"/>
      <c r="DV274" s="93"/>
      <c r="DW274" s="93"/>
      <c r="DX274" s="93"/>
      <c r="DY274" s="93"/>
      <c r="DZ274" s="93"/>
      <c r="EA274" s="93"/>
      <c r="EB274" s="93"/>
      <c r="EC274" s="93"/>
      <c r="ED274" s="93"/>
      <c r="EE274" s="93"/>
      <c r="EF274" s="93"/>
      <c r="EG274" s="93"/>
      <c r="EH274" s="93"/>
      <c r="EI274" s="93"/>
      <c r="EJ274" s="93"/>
      <c r="EK274" s="93"/>
      <c r="EL274" s="93"/>
      <c r="EM274" s="93"/>
      <c r="EN274" s="93"/>
      <c r="EO274" s="93"/>
      <c r="EP274" s="93"/>
      <c r="EQ274" s="93"/>
      <c r="ER274" s="93"/>
      <c r="ES274" s="93"/>
      <c r="ET274" s="93"/>
      <c r="EU274" s="93"/>
      <c r="EV274" s="93"/>
      <c r="EW274" s="93"/>
      <c r="EX274" s="93"/>
      <c r="EY274" s="93"/>
      <c r="EZ274" s="93"/>
      <c r="FA274" s="93"/>
      <c r="FB274" s="93"/>
      <c r="FC274" s="93"/>
      <c r="FD274" s="93"/>
      <c r="FE274" s="93"/>
      <c r="FF274" s="93"/>
      <c r="FG274" s="93"/>
      <c r="FH274" s="93"/>
      <c r="FI274" s="93"/>
      <c r="FJ274" s="93"/>
      <c r="FK274" s="93"/>
      <c r="FL274" s="93"/>
      <c r="FM274" s="93"/>
      <c r="FN274" s="93"/>
      <c r="FO274" s="93"/>
      <c r="FP274" s="93"/>
      <c r="FQ274" s="93"/>
      <c r="FR274" s="93"/>
      <c r="FS274" s="93"/>
      <c r="FT274" s="93"/>
      <c r="FU274" s="93"/>
      <c r="FV274" s="93">
        <v>0.33265027322404372</v>
      </c>
      <c r="FW274" s="93"/>
      <c r="FX274" s="93"/>
      <c r="FY274" s="93"/>
      <c r="FZ274" s="93"/>
      <c r="GA274" s="93"/>
      <c r="GB274" s="93"/>
      <c r="GC274" s="93"/>
      <c r="GD274" s="93"/>
      <c r="GE274" s="93"/>
      <c r="GF274" s="93"/>
      <c r="GG274" s="93"/>
      <c r="GH274" s="93"/>
      <c r="GI274" s="93"/>
      <c r="GJ274" s="93"/>
      <c r="GK274" s="93"/>
      <c r="GL274" s="93"/>
      <c r="GM274" s="93"/>
      <c r="GN274" s="93"/>
      <c r="GO274" s="93"/>
      <c r="GP274" s="93"/>
      <c r="GQ274" s="93"/>
      <c r="GR274" s="93"/>
      <c r="GS274" s="93"/>
      <c r="GT274" s="93"/>
      <c r="GU274" s="93"/>
      <c r="GV274" s="93"/>
      <c r="GW274" s="93"/>
      <c r="GX274" s="93"/>
      <c r="GY274" s="93"/>
      <c r="GZ274" s="93"/>
      <c r="HA274" s="93"/>
      <c r="HB274" s="93"/>
      <c r="HC274" s="93"/>
      <c r="HD274" s="93"/>
      <c r="HE274" s="93"/>
      <c r="HF274" s="93"/>
      <c r="HG274" s="93"/>
    </row>
    <row r="275" spans="14:215" x14ac:dyDescent="0.2">
      <c r="N275" s="93" t="s">
        <v>492</v>
      </c>
      <c r="O275" s="93"/>
      <c r="P275" s="93"/>
      <c r="Q275" s="93"/>
      <c r="R275" s="93"/>
      <c r="S275" s="93"/>
      <c r="T275" s="93"/>
      <c r="U275" s="93"/>
      <c r="V275" s="93"/>
      <c r="W275" s="93"/>
      <c r="X275" s="93"/>
      <c r="Y275" s="93"/>
      <c r="Z275" s="93"/>
      <c r="AA275" s="93"/>
      <c r="AB275" s="93"/>
      <c r="AC275" s="93"/>
      <c r="AD275" s="93"/>
      <c r="AE275" s="93"/>
      <c r="AF275" s="93"/>
      <c r="AG275" s="93"/>
      <c r="AH275" s="93"/>
      <c r="AI275" s="93"/>
      <c r="AJ275" s="93"/>
      <c r="AK275" s="93"/>
      <c r="AL275" s="93"/>
      <c r="AM275" s="93"/>
      <c r="AN275" s="93"/>
      <c r="AO275" s="93"/>
      <c r="AP275" s="93"/>
      <c r="AQ275" s="93"/>
      <c r="AR275" s="93"/>
      <c r="AS275" s="93"/>
      <c r="AT275" s="93"/>
      <c r="AU275" s="93"/>
      <c r="AV275" s="93"/>
      <c r="AW275" s="93"/>
      <c r="AX275" s="93"/>
      <c r="AY275" s="93"/>
      <c r="AZ275" s="93"/>
      <c r="BA275" s="93"/>
      <c r="BB275" s="93"/>
      <c r="BC275" s="93"/>
      <c r="BD275" s="93"/>
      <c r="BE275" s="93"/>
      <c r="BF275" s="93"/>
      <c r="BG275" s="93"/>
      <c r="BH275" s="93"/>
      <c r="BI275" s="93"/>
      <c r="BJ275" s="93"/>
      <c r="BK275" s="93"/>
      <c r="BL275" s="93"/>
      <c r="BM275" s="93"/>
      <c r="BN275" s="93"/>
      <c r="BO275" s="93"/>
      <c r="BP275" s="93"/>
      <c r="BQ275" s="93"/>
      <c r="BR275" s="93"/>
      <c r="BS275" s="93"/>
      <c r="BT275" s="93"/>
      <c r="BU275" s="93"/>
      <c r="BV275" s="93"/>
      <c r="BW275" s="93"/>
      <c r="BX275" s="93"/>
      <c r="BY275" s="93"/>
      <c r="BZ275" s="93"/>
      <c r="CA275" s="93"/>
      <c r="CB275" s="93"/>
      <c r="CC275" s="93"/>
      <c r="CD275" s="93"/>
      <c r="CE275" s="93"/>
      <c r="CF275" s="93"/>
      <c r="CG275" s="93"/>
      <c r="CH275" s="93"/>
      <c r="CI275" s="93"/>
      <c r="CJ275" s="93"/>
      <c r="CK275" s="93"/>
      <c r="CL275" s="93"/>
      <c r="CM275" s="93"/>
      <c r="CN275" s="93"/>
      <c r="CO275" s="93"/>
      <c r="CP275" s="93"/>
      <c r="CQ275" s="93"/>
      <c r="CR275" s="93"/>
      <c r="CS275" s="93"/>
      <c r="CT275" s="93"/>
      <c r="CU275" s="93"/>
      <c r="CV275" s="93"/>
      <c r="CW275" s="93"/>
      <c r="CX275" s="93"/>
      <c r="CY275" s="93"/>
      <c r="CZ275" s="93"/>
      <c r="DA275" s="93"/>
      <c r="DB275" s="93"/>
      <c r="DC275" s="93"/>
      <c r="DD275" s="93"/>
      <c r="DE275" s="93"/>
      <c r="DF275" s="93"/>
      <c r="DG275" s="93"/>
      <c r="DH275" s="93"/>
      <c r="DI275" s="93"/>
      <c r="DJ275" s="93"/>
      <c r="DK275" s="93"/>
      <c r="DL275" s="93"/>
      <c r="DM275" s="93"/>
      <c r="DN275" s="93"/>
      <c r="DO275" s="93"/>
      <c r="DP275" s="93"/>
      <c r="DQ275" s="93"/>
      <c r="DR275" s="93"/>
      <c r="DS275" s="93"/>
      <c r="DT275" s="93"/>
      <c r="DU275" s="93"/>
      <c r="DV275" s="93"/>
      <c r="DW275" s="93"/>
      <c r="DX275" s="93"/>
      <c r="DY275" s="93"/>
      <c r="DZ275" s="93"/>
      <c r="EA275" s="93"/>
      <c r="EB275" s="93"/>
      <c r="EC275" s="93"/>
      <c r="ED275" s="93"/>
      <c r="EE275" s="93"/>
      <c r="EF275" s="93"/>
      <c r="EG275" s="93"/>
      <c r="EH275" s="93"/>
      <c r="EI275" s="93"/>
      <c r="EJ275" s="93"/>
      <c r="EK275" s="93"/>
      <c r="EL275" s="93"/>
      <c r="EM275" s="93"/>
      <c r="EN275" s="93"/>
      <c r="EO275" s="93"/>
      <c r="EP275" s="93"/>
      <c r="EQ275" s="93"/>
      <c r="ER275" s="93"/>
      <c r="ES275" s="93"/>
      <c r="ET275" s="93"/>
      <c r="EU275" s="93"/>
      <c r="EV275" s="93"/>
      <c r="EW275" s="93"/>
      <c r="EX275" s="93"/>
      <c r="EY275" s="93"/>
      <c r="EZ275" s="93"/>
      <c r="FA275" s="93"/>
      <c r="FB275" s="93"/>
      <c r="FC275" s="93"/>
      <c r="FD275" s="93"/>
      <c r="FE275" s="93"/>
      <c r="FF275" s="93"/>
      <c r="FG275" s="93"/>
      <c r="FH275" s="93"/>
      <c r="FI275" s="93"/>
      <c r="FJ275" s="93"/>
      <c r="FK275" s="93"/>
      <c r="FL275" s="93"/>
      <c r="FM275" s="93"/>
      <c r="FN275" s="93"/>
      <c r="FO275" s="93"/>
      <c r="FP275" s="93"/>
      <c r="FQ275" s="93"/>
      <c r="FR275" s="93"/>
      <c r="FS275" s="93"/>
      <c r="FT275" s="93"/>
      <c r="FU275" s="93"/>
      <c r="FV275" s="93"/>
      <c r="FW275" s="93">
        <v>0.33265444670739985</v>
      </c>
      <c r="FX275" s="93"/>
      <c r="FY275" s="93"/>
      <c r="FZ275" s="93"/>
      <c r="GA275" s="93"/>
      <c r="GB275" s="93"/>
      <c r="GC275" s="93"/>
      <c r="GD275" s="93"/>
      <c r="GE275" s="93"/>
      <c r="GF275" s="93"/>
      <c r="GG275" s="93"/>
      <c r="GH275" s="93"/>
      <c r="GI275" s="93"/>
      <c r="GJ275" s="93"/>
      <c r="GK275" s="93"/>
      <c r="GL275" s="93"/>
      <c r="GM275" s="93"/>
      <c r="GN275" s="93"/>
      <c r="GO275" s="93"/>
      <c r="GP275" s="93"/>
      <c r="GQ275" s="93"/>
      <c r="GR275" s="93"/>
      <c r="GS275" s="93"/>
      <c r="GT275" s="93"/>
      <c r="GU275" s="93"/>
      <c r="GV275" s="93"/>
      <c r="GW275" s="93"/>
      <c r="GX275" s="93"/>
      <c r="GY275" s="93"/>
      <c r="GZ275" s="93"/>
      <c r="HA275" s="93"/>
      <c r="HB275" s="93"/>
      <c r="HC275" s="93"/>
      <c r="HD275" s="93"/>
      <c r="HE275" s="93"/>
      <c r="HF275" s="93"/>
      <c r="HG275" s="93"/>
    </row>
    <row r="276" spans="14:215" x14ac:dyDescent="0.2">
      <c r="N276" s="93" t="s">
        <v>493</v>
      </c>
      <c r="O276" s="93"/>
      <c r="P276" s="93"/>
      <c r="Q276" s="93"/>
      <c r="R276" s="93"/>
      <c r="S276" s="93"/>
      <c r="T276" s="93"/>
      <c r="U276" s="93"/>
      <c r="V276" s="93"/>
      <c r="W276" s="93"/>
      <c r="X276" s="93"/>
      <c r="Y276" s="93"/>
      <c r="Z276" s="93"/>
      <c r="AA276" s="93"/>
      <c r="AB276" s="93"/>
      <c r="AC276" s="93"/>
      <c r="AD276" s="93"/>
      <c r="AE276" s="93"/>
      <c r="AF276" s="93"/>
      <c r="AG276" s="93"/>
      <c r="AH276" s="93"/>
      <c r="AI276" s="93"/>
      <c r="AJ276" s="93"/>
      <c r="AK276" s="93"/>
      <c r="AL276" s="93"/>
      <c r="AM276" s="93"/>
      <c r="AN276" s="93"/>
      <c r="AO276" s="93"/>
      <c r="AP276" s="93"/>
      <c r="AQ276" s="93"/>
      <c r="AR276" s="93"/>
      <c r="AS276" s="93"/>
      <c r="AT276" s="93"/>
      <c r="AU276" s="93"/>
      <c r="AV276" s="93"/>
      <c r="AW276" s="93"/>
      <c r="AX276" s="93"/>
      <c r="AY276" s="93"/>
      <c r="AZ276" s="93"/>
      <c r="BA276" s="93"/>
      <c r="BB276" s="93"/>
      <c r="BC276" s="93"/>
      <c r="BD276" s="93"/>
      <c r="BE276" s="93"/>
      <c r="BF276" s="93"/>
      <c r="BG276" s="93"/>
      <c r="BH276" s="93"/>
      <c r="BI276" s="93"/>
      <c r="BJ276" s="93"/>
      <c r="BK276" s="93"/>
      <c r="BL276" s="93"/>
      <c r="BM276" s="93"/>
      <c r="BN276" s="93"/>
      <c r="BO276" s="93"/>
      <c r="BP276" s="93"/>
      <c r="BQ276" s="93"/>
      <c r="BR276" s="93"/>
      <c r="BS276" s="93"/>
      <c r="BT276" s="93"/>
      <c r="BU276" s="93"/>
      <c r="BV276" s="93"/>
      <c r="BW276" s="93"/>
      <c r="BX276" s="93"/>
      <c r="BY276" s="93"/>
      <c r="BZ276" s="93"/>
      <c r="CA276" s="93"/>
      <c r="CB276" s="93"/>
      <c r="CC276" s="93"/>
      <c r="CD276" s="93"/>
      <c r="CE276" s="93"/>
      <c r="CF276" s="93"/>
      <c r="CG276" s="93"/>
      <c r="CH276" s="93"/>
      <c r="CI276" s="93"/>
      <c r="CJ276" s="93"/>
      <c r="CK276" s="93"/>
      <c r="CL276" s="93"/>
      <c r="CM276" s="93"/>
      <c r="CN276" s="93"/>
      <c r="CO276" s="93"/>
      <c r="CP276" s="93"/>
      <c r="CQ276" s="93"/>
      <c r="CR276" s="93"/>
      <c r="CS276" s="93"/>
      <c r="CT276" s="93"/>
      <c r="CU276" s="93"/>
      <c r="CV276" s="93"/>
      <c r="CW276" s="93"/>
      <c r="CX276" s="93"/>
      <c r="CY276" s="93"/>
      <c r="CZ276" s="93"/>
      <c r="DA276" s="93"/>
      <c r="DB276" s="93"/>
      <c r="DC276" s="93"/>
      <c r="DD276" s="93"/>
      <c r="DE276" s="93"/>
      <c r="DF276" s="93"/>
      <c r="DG276" s="93"/>
      <c r="DH276" s="93"/>
      <c r="DI276" s="93"/>
      <c r="DJ276" s="93"/>
      <c r="DK276" s="93"/>
      <c r="DL276" s="93"/>
      <c r="DM276" s="93"/>
      <c r="DN276" s="93"/>
      <c r="DO276" s="93"/>
      <c r="DP276" s="93"/>
      <c r="DQ276" s="93"/>
      <c r="DR276" s="93"/>
      <c r="DS276" s="93"/>
      <c r="DT276" s="93"/>
      <c r="DU276" s="93"/>
      <c r="DV276" s="93"/>
      <c r="DW276" s="93"/>
      <c r="DX276" s="93"/>
      <c r="DY276" s="93"/>
      <c r="DZ276" s="93"/>
      <c r="EA276" s="93"/>
      <c r="EB276" s="93"/>
      <c r="EC276" s="93"/>
      <c r="ED276" s="93"/>
      <c r="EE276" s="93"/>
      <c r="EF276" s="93"/>
      <c r="EG276" s="93"/>
      <c r="EH276" s="93"/>
      <c r="EI276" s="93"/>
      <c r="EJ276" s="93"/>
      <c r="EK276" s="93"/>
      <c r="EL276" s="93"/>
      <c r="EM276" s="93"/>
      <c r="EN276" s="93"/>
      <c r="EO276" s="93"/>
      <c r="EP276" s="93"/>
      <c r="EQ276" s="93"/>
      <c r="ER276" s="93"/>
      <c r="ES276" s="93"/>
      <c r="ET276" s="93"/>
      <c r="EU276" s="93"/>
      <c r="EV276" s="93"/>
      <c r="EW276" s="93"/>
      <c r="EX276" s="93"/>
      <c r="EY276" s="93"/>
      <c r="EZ276" s="93"/>
      <c r="FA276" s="93"/>
      <c r="FB276" s="93"/>
      <c r="FC276" s="93"/>
      <c r="FD276" s="93"/>
      <c r="FE276" s="93"/>
      <c r="FF276" s="93"/>
      <c r="FG276" s="93"/>
      <c r="FH276" s="93"/>
      <c r="FI276" s="93"/>
      <c r="FJ276" s="93"/>
      <c r="FK276" s="93"/>
      <c r="FL276" s="93"/>
      <c r="FM276" s="93"/>
      <c r="FN276" s="93"/>
      <c r="FO276" s="93"/>
      <c r="FP276" s="93"/>
      <c r="FQ276" s="93"/>
      <c r="FR276" s="93"/>
      <c r="FS276" s="93"/>
      <c r="FT276" s="93"/>
      <c r="FU276" s="93"/>
      <c r="FV276" s="93"/>
      <c r="FW276" s="93"/>
      <c r="FX276" s="93">
        <v>0.33265856950067474</v>
      </c>
      <c r="FY276" s="93"/>
      <c r="FZ276" s="93"/>
      <c r="GA276" s="93"/>
      <c r="GB276" s="93"/>
      <c r="GC276" s="93"/>
      <c r="GD276" s="93"/>
      <c r="GE276" s="93"/>
      <c r="GF276" s="93"/>
      <c r="GG276" s="93"/>
      <c r="GH276" s="93"/>
      <c r="GI276" s="93"/>
      <c r="GJ276" s="93"/>
      <c r="GK276" s="93"/>
      <c r="GL276" s="93"/>
      <c r="GM276" s="93"/>
      <c r="GN276" s="93"/>
      <c r="GO276" s="93"/>
      <c r="GP276" s="93"/>
      <c r="GQ276" s="93"/>
      <c r="GR276" s="93"/>
      <c r="GS276" s="93"/>
      <c r="GT276" s="93"/>
      <c r="GU276" s="93"/>
      <c r="GV276" s="93"/>
      <c r="GW276" s="93"/>
      <c r="GX276" s="93"/>
      <c r="GY276" s="93"/>
      <c r="GZ276" s="93"/>
      <c r="HA276" s="93"/>
      <c r="HB276" s="93"/>
      <c r="HC276" s="93"/>
      <c r="HD276" s="93"/>
      <c r="HE276" s="93"/>
      <c r="HF276" s="93"/>
      <c r="HG276" s="93"/>
    </row>
    <row r="277" spans="14:215" x14ac:dyDescent="0.2">
      <c r="N277" s="93" t="s">
        <v>494</v>
      </c>
      <c r="O277" s="93"/>
      <c r="P277" s="93"/>
      <c r="Q277" s="93"/>
      <c r="R277" s="93"/>
      <c r="S277" s="93"/>
      <c r="T277" s="93"/>
      <c r="U277" s="93"/>
      <c r="V277" s="93"/>
      <c r="W277" s="93"/>
      <c r="X277" s="93"/>
      <c r="Y277" s="93"/>
      <c r="Z277" s="93"/>
      <c r="AA277" s="93"/>
      <c r="AB277" s="93"/>
      <c r="AC277" s="93"/>
      <c r="AD277" s="93"/>
      <c r="AE277" s="93"/>
      <c r="AF277" s="93"/>
      <c r="AG277" s="93"/>
      <c r="AH277" s="93"/>
      <c r="AI277" s="93"/>
      <c r="AJ277" s="93"/>
      <c r="AK277" s="93"/>
      <c r="AL277" s="93"/>
      <c r="AM277" s="93"/>
      <c r="AN277" s="93"/>
      <c r="AO277" s="93"/>
      <c r="AP277" s="93"/>
      <c r="AQ277" s="93"/>
      <c r="AR277" s="93"/>
      <c r="AS277" s="93"/>
      <c r="AT277" s="93"/>
      <c r="AU277" s="93"/>
      <c r="AV277" s="93"/>
      <c r="AW277" s="93"/>
      <c r="AX277" s="93"/>
      <c r="AY277" s="93"/>
      <c r="AZ277" s="93"/>
      <c r="BA277" s="93"/>
      <c r="BB277" s="93"/>
      <c r="BC277" s="93"/>
      <c r="BD277" s="93"/>
      <c r="BE277" s="93"/>
      <c r="BF277" s="93"/>
      <c r="BG277" s="93"/>
      <c r="BH277" s="93"/>
      <c r="BI277" s="93"/>
      <c r="BJ277" s="93"/>
      <c r="BK277" s="93"/>
      <c r="BL277" s="93"/>
      <c r="BM277" s="93"/>
      <c r="BN277" s="93"/>
      <c r="BO277" s="93"/>
      <c r="BP277" s="93"/>
      <c r="BQ277" s="93"/>
      <c r="BR277" s="93"/>
      <c r="BS277" s="93"/>
      <c r="BT277" s="93"/>
      <c r="BU277" s="93"/>
      <c r="BV277" s="93"/>
      <c r="BW277" s="93"/>
      <c r="BX277" s="93"/>
      <c r="BY277" s="93"/>
      <c r="BZ277" s="93"/>
      <c r="CA277" s="93"/>
      <c r="CB277" s="93"/>
      <c r="CC277" s="93"/>
      <c r="CD277" s="93"/>
      <c r="CE277" s="93"/>
      <c r="CF277" s="93"/>
      <c r="CG277" s="93"/>
      <c r="CH277" s="93"/>
      <c r="CI277" s="93"/>
      <c r="CJ277" s="93"/>
      <c r="CK277" s="93"/>
      <c r="CL277" s="93"/>
      <c r="CM277" s="93"/>
      <c r="CN277" s="93"/>
      <c r="CO277" s="93"/>
      <c r="CP277" s="93"/>
      <c r="CQ277" s="93"/>
      <c r="CR277" s="93"/>
      <c r="CS277" s="93"/>
      <c r="CT277" s="93"/>
      <c r="CU277" s="93"/>
      <c r="CV277" s="93"/>
      <c r="CW277" s="93"/>
      <c r="CX277" s="93"/>
      <c r="CY277" s="93"/>
      <c r="CZ277" s="93"/>
      <c r="DA277" s="93"/>
      <c r="DB277" s="93"/>
      <c r="DC277" s="93"/>
      <c r="DD277" s="93"/>
      <c r="DE277" s="93"/>
      <c r="DF277" s="93"/>
      <c r="DG277" s="93"/>
      <c r="DH277" s="93"/>
      <c r="DI277" s="93"/>
      <c r="DJ277" s="93"/>
      <c r="DK277" s="93"/>
      <c r="DL277" s="93"/>
      <c r="DM277" s="93"/>
      <c r="DN277" s="93"/>
      <c r="DO277" s="93"/>
      <c r="DP277" s="93"/>
      <c r="DQ277" s="93"/>
      <c r="DR277" s="93"/>
      <c r="DS277" s="93"/>
      <c r="DT277" s="93"/>
      <c r="DU277" s="93"/>
      <c r="DV277" s="93"/>
      <c r="DW277" s="93"/>
      <c r="DX277" s="93"/>
      <c r="DY277" s="93"/>
      <c r="DZ277" s="93"/>
      <c r="EA277" s="93"/>
      <c r="EB277" s="93"/>
      <c r="EC277" s="93"/>
      <c r="ED277" s="93"/>
      <c r="EE277" s="93"/>
      <c r="EF277" s="93"/>
      <c r="EG277" s="93"/>
      <c r="EH277" s="93"/>
      <c r="EI277" s="93"/>
      <c r="EJ277" s="93"/>
      <c r="EK277" s="93"/>
      <c r="EL277" s="93"/>
      <c r="EM277" s="93"/>
      <c r="EN277" s="93"/>
      <c r="EO277" s="93"/>
      <c r="EP277" s="93"/>
      <c r="EQ277" s="93"/>
      <c r="ER277" s="93"/>
      <c r="ES277" s="93"/>
      <c r="ET277" s="93"/>
      <c r="EU277" s="93"/>
      <c r="EV277" s="93"/>
      <c r="EW277" s="93"/>
      <c r="EX277" s="93"/>
      <c r="EY277" s="93"/>
      <c r="EZ277" s="93"/>
      <c r="FA277" s="93"/>
      <c r="FB277" s="93"/>
      <c r="FC277" s="93"/>
      <c r="FD277" s="93"/>
      <c r="FE277" s="93"/>
      <c r="FF277" s="93"/>
      <c r="FG277" s="93"/>
      <c r="FH277" s="93"/>
      <c r="FI277" s="93"/>
      <c r="FJ277" s="93"/>
      <c r="FK277" s="93"/>
      <c r="FL277" s="93"/>
      <c r="FM277" s="93"/>
      <c r="FN277" s="93"/>
      <c r="FO277" s="93"/>
      <c r="FP277" s="93"/>
      <c r="FQ277" s="93"/>
      <c r="FR277" s="93"/>
      <c r="FS277" s="93"/>
      <c r="FT277" s="93"/>
      <c r="FU277" s="93"/>
      <c r="FV277" s="93"/>
      <c r="FW277" s="93"/>
      <c r="FX277" s="93"/>
      <c r="FY277" s="93">
        <v>0.33266264252179745</v>
      </c>
      <c r="FZ277" s="93"/>
      <c r="GA277" s="93"/>
      <c r="GB277" s="93"/>
      <c r="GC277" s="93"/>
      <c r="GD277" s="93"/>
      <c r="GE277" s="93"/>
      <c r="GF277" s="93"/>
      <c r="GG277" s="93"/>
      <c r="GH277" s="93"/>
      <c r="GI277" s="93"/>
      <c r="GJ277" s="93"/>
      <c r="GK277" s="93"/>
      <c r="GL277" s="93"/>
      <c r="GM277" s="93"/>
      <c r="GN277" s="93"/>
      <c r="GO277" s="93"/>
      <c r="GP277" s="93"/>
      <c r="GQ277" s="93"/>
      <c r="GR277" s="93"/>
      <c r="GS277" s="93"/>
      <c r="GT277" s="93"/>
      <c r="GU277" s="93"/>
      <c r="GV277" s="93"/>
      <c r="GW277" s="93"/>
      <c r="GX277" s="93"/>
      <c r="GY277" s="93"/>
      <c r="GZ277" s="93"/>
      <c r="HA277" s="93"/>
      <c r="HB277" s="93"/>
      <c r="HC277" s="93"/>
      <c r="HD277" s="93"/>
      <c r="HE277" s="93"/>
      <c r="HF277" s="93"/>
      <c r="HG277" s="93"/>
    </row>
    <row r="278" spans="14:215" x14ac:dyDescent="0.2">
      <c r="N278" s="93" t="s">
        <v>495</v>
      </c>
      <c r="O278" s="93"/>
      <c r="P278" s="93"/>
      <c r="Q278" s="93"/>
      <c r="R278" s="93"/>
      <c r="S278" s="93"/>
      <c r="T278" s="93"/>
      <c r="U278" s="93"/>
      <c r="V278" s="93"/>
      <c r="W278" s="93"/>
      <c r="X278" s="93"/>
      <c r="Y278" s="93"/>
      <c r="Z278" s="93"/>
      <c r="AA278" s="93"/>
      <c r="AB278" s="93"/>
      <c r="AC278" s="93"/>
      <c r="AD278" s="93"/>
      <c r="AE278" s="93"/>
      <c r="AF278" s="93"/>
      <c r="AG278" s="93"/>
      <c r="AH278" s="93"/>
      <c r="AI278" s="93"/>
      <c r="AJ278" s="93"/>
      <c r="AK278" s="93"/>
      <c r="AL278" s="93"/>
      <c r="AM278" s="93"/>
      <c r="AN278" s="93"/>
      <c r="AO278" s="93"/>
      <c r="AP278" s="93"/>
      <c r="AQ278" s="93"/>
      <c r="AR278" s="93"/>
      <c r="AS278" s="93"/>
      <c r="AT278" s="93"/>
      <c r="AU278" s="93"/>
      <c r="AV278" s="93"/>
      <c r="AW278" s="93"/>
      <c r="AX278" s="93"/>
      <c r="AY278" s="93"/>
      <c r="AZ278" s="93"/>
      <c r="BA278" s="93"/>
      <c r="BB278" s="93"/>
      <c r="BC278" s="93"/>
      <c r="BD278" s="93"/>
      <c r="BE278" s="93"/>
      <c r="BF278" s="93"/>
      <c r="BG278" s="93"/>
      <c r="BH278" s="93"/>
      <c r="BI278" s="93"/>
      <c r="BJ278" s="93"/>
      <c r="BK278" s="93"/>
      <c r="BL278" s="93"/>
      <c r="BM278" s="93"/>
      <c r="BN278" s="93"/>
      <c r="BO278" s="93"/>
      <c r="BP278" s="93"/>
      <c r="BQ278" s="93"/>
      <c r="BR278" s="93"/>
      <c r="BS278" s="93"/>
      <c r="BT278" s="93"/>
      <c r="BU278" s="93"/>
      <c r="BV278" s="93"/>
      <c r="BW278" s="93"/>
      <c r="BX278" s="93"/>
      <c r="BY278" s="93"/>
      <c r="BZ278" s="93"/>
      <c r="CA278" s="93"/>
      <c r="CB278" s="93"/>
      <c r="CC278" s="93"/>
      <c r="CD278" s="93"/>
      <c r="CE278" s="93"/>
      <c r="CF278" s="93"/>
      <c r="CG278" s="93"/>
      <c r="CH278" s="93"/>
      <c r="CI278" s="93"/>
      <c r="CJ278" s="93"/>
      <c r="CK278" s="93"/>
      <c r="CL278" s="93"/>
      <c r="CM278" s="93"/>
      <c r="CN278" s="93"/>
      <c r="CO278" s="93"/>
      <c r="CP278" s="93"/>
      <c r="CQ278" s="93"/>
      <c r="CR278" s="93"/>
      <c r="CS278" s="93"/>
      <c r="CT278" s="93"/>
      <c r="CU278" s="93"/>
      <c r="CV278" s="93"/>
      <c r="CW278" s="93"/>
      <c r="CX278" s="93"/>
      <c r="CY278" s="93"/>
      <c r="CZ278" s="93"/>
      <c r="DA278" s="93"/>
      <c r="DB278" s="93"/>
      <c r="DC278" s="93"/>
      <c r="DD278" s="93"/>
      <c r="DE278" s="93"/>
      <c r="DF278" s="93"/>
      <c r="DG278" s="93"/>
      <c r="DH278" s="93"/>
      <c r="DI278" s="93"/>
      <c r="DJ278" s="93"/>
      <c r="DK278" s="93"/>
      <c r="DL278" s="93"/>
      <c r="DM278" s="93"/>
      <c r="DN278" s="93"/>
      <c r="DO278" s="93"/>
      <c r="DP278" s="93"/>
      <c r="DQ278" s="93"/>
      <c r="DR278" s="93"/>
      <c r="DS278" s="93"/>
      <c r="DT278" s="93"/>
      <c r="DU278" s="93"/>
      <c r="DV278" s="93"/>
      <c r="DW278" s="93"/>
      <c r="DX278" s="93"/>
      <c r="DY278" s="93"/>
      <c r="DZ278" s="93"/>
      <c r="EA278" s="93"/>
      <c r="EB278" s="93"/>
      <c r="EC278" s="93"/>
      <c r="ED278" s="93"/>
      <c r="EE278" s="93"/>
      <c r="EF278" s="93"/>
      <c r="EG278" s="93"/>
      <c r="EH278" s="93"/>
      <c r="EI278" s="93"/>
      <c r="EJ278" s="93"/>
      <c r="EK278" s="93"/>
      <c r="EL278" s="93"/>
      <c r="EM278" s="93"/>
      <c r="EN278" s="93"/>
      <c r="EO278" s="93"/>
      <c r="EP278" s="93"/>
      <c r="EQ278" s="93"/>
      <c r="ER278" s="93"/>
      <c r="ES278" s="93"/>
      <c r="ET278" s="93"/>
      <c r="EU278" s="93"/>
      <c r="EV278" s="93"/>
      <c r="EW278" s="93"/>
      <c r="EX278" s="93"/>
      <c r="EY278" s="93"/>
      <c r="EZ278" s="93"/>
      <c r="FA278" s="93"/>
      <c r="FB278" s="93"/>
      <c r="FC278" s="93"/>
      <c r="FD278" s="93"/>
      <c r="FE278" s="93"/>
      <c r="FF278" s="93"/>
      <c r="FG278" s="93"/>
      <c r="FH278" s="93"/>
      <c r="FI278" s="93"/>
      <c r="FJ278" s="93"/>
      <c r="FK278" s="93"/>
      <c r="FL278" s="93"/>
      <c r="FM278" s="93"/>
      <c r="FN278" s="93"/>
      <c r="FO278" s="93"/>
      <c r="FP278" s="93"/>
      <c r="FQ278" s="93"/>
      <c r="FR278" s="93"/>
      <c r="FS278" s="93"/>
      <c r="FT278" s="93"/>
      <c r="FU278" s="93"/>
      <c r="FV278" s="93"/>
      <c r="FW278" s="93"/>
      <c r="FX278" s="93"/>
      <c r="FY278" s="93"/>
      <c r="FZ278" s="93">
        <v>0.33266666666666667</v>
      </c>
      <c r="GA278" s="93"/>
      <c r="GB278" s="93"/>
      <c r="GC278" s="93"/>
      <c r="GD278" s="93"/>
      <c r="GE278" s="93"/>
      <c r="GF278" s="93"/>
      <c r="GG278" s="93"/>
      <c r="GH278" s="93"/>
      <c r="GI278" s="93"/>
      <c r="GJ278" s="93"/>
      <c r="GK278" s="93"/>
      <c r="GL278" s="93"/>
      <c r="GM278" s="93"/>
      <c r="GN278" s="93"/>
      <c r="GO278" s="93"/>
      <c r="GP278" s="93"/>
      <c r="GQ278" s="93"/>
      <c r="GR278" s="93"/>
      <c r="GS278" s="93"/>
      <c r="GT278" s="93"/>
      <c r="GU278" s="93"/>
      <c r="GV278" s="93"/>
      <c r="GW278" s="93"/>
      <c r="GX278" s="93"/>
      <c r="GY278" s="93"/>
      <c r="GZ278" s="93"/>
      <c r="HA278" s="93"/>
      <c r="HB278" s="93"/>
      <c r="HC278" s="93"/>
      <c r="HD278" s="93"/>
      <c r="HE278" s="93"/>
      <c r="HF278" s="93"/>
      <c r="HG278" s="93"/>
    </row>
    <row r="279" spans="14:215" x14ac:dyDescent="0.2">
      <c r="N279" s="93" t="s">
        <v>496</v>
      </c>
      <c r="O279" s="93"/>
      <c r="P279" s="93"/>
      <c r="Q279" s="93"/>
      <c r="R279" s="93"/>
      <c r="S279" s="93"/>
      <c r="T279" s="93"/>
      <c r="U279" s="93"/>
      <c r="V279" s="93"/>
      <c r="W279" s="93"/>
      <c r="X279" s="93"/>
      <c r="Y279" s="93"/>
      <c r="Z279" s="93"/>
      <c r="AA279" s="93"/>
      <c r="AB279" s="93"/>
      <c r="AC279" s="93"/>
      <c r="AD279" s="93"/>
      <c r="AE279" s="93"/>
      <c r="AF279" s="93"/>
      <c r="AG279" s="93"/>
      <c r="AH279" s="93"/>
      <c r="AI279" s="93"/>
      <c r="AJ279" s="93"/>
      <c r="AK279" s="93"/>
      <c r="AL279" s="93"/>
      <c r="AM279" s="93"/>
      <c r="AN279" s="93"/>
      <c r="AO279" s="93"/>
      <c r="AP279" s="93"/>
      <c r="AQ279" s="93"/>
      <c r="AR279" s="93"/>
      <c r="AS279" s="93"/>
      <c r="AT279" s="93"/>
      <c r="AU279" s="93"/>
      <c r="AV279" s="93"/>
      <c r="AW279" s="93"/>
      <c r="AX279" s="93"/>
      <c r="AY279" s="93"/>
      <c r="AZ279" s="93"/>
      <c r="BA279" s="93"/>
      <c r="BB279" s="93"/>
      <c r="BC279" s="93"/>
      <c r="BD279" s="93"/>
      <c r="BE279" s="93"/>
      <c r="BF279" s="93"/>
      <c r="BG279" s="93"/>
      <c r="BH279" s="93"/>
      <c r="BI279" s="93"/>
      <c r="BJ279" s="93"/>
      <c r="BK279" s="93"/>
      <c r="BL279" s="93"/>
      <c r="BM279" s="93"/>
      <c r="BN279" s="93"/>
      <c r="BO279" s="93"/>
      <c r="BP279" s="93"/>
      <c r="BQ279" s="93"/>
      <c r="BR279" s="93"/>
      <c r="BS279" s="93"/>
      <c r="BT279" s="93"/>
      <c r="BU279" s="93"/>
      <c r="BV279" s="93"/>
      <c r="BW279" s="93"/>
      <c r="BX279" s="93"/>
      <c r="BY279" s="93"/>
      <c r="BZ279" s="93"/>
      <c r="CA279" s="93"/>
      <c r="CB279" s="93"/>
      <c r="CC279" s="93"/>
      <c r="CD279" s="93"/>
      <c r="CE279" s="93"/>
      <c r="CF279" s="93"/>
      <c r="CG279" s="93"/>
      <c r="CH279" s="93"/>
      <c r="CI279" s="93"/>
      <c r="CJ279" s="93"/>
      <c r="CK279" s="93"/>
      <c r="CL279" s="93"/>
      <c r="CM279" s="93"/>
      <c r="CN279" s="93"/>
      <c r="CO279" s="93"/>
      <c r="CP279" s="93"/>
      <c r="CQ279" s="93"/>
      <c r="CR279" s="93"/>
      <c r="CS279" s="93"/>
      <c r="CT279" s="93"/>
      <c r="CU279" s="93"/>
      <c r="CV279" s="93"/>
      <c r="CW279" s="93"/>
      <c r="CX279" s="93"/>
      <c r="CY279" s="93"/>
      <c r="CZ279" s="93"/>
      <c r="DA279" s="93"/>
      <c r="DB279" s="93"/>
      <c r="DC279" s="93"/>
      <c r="DD279" s="93"/>
      <c r="DE279" s="93"/>
      <c r="DF279" s="93"/>
      <c r="DG279" s="93"/>
      <c r="DH279" s="93"/>
      <c r="DI279" s="93"/>
      <c r="DJ279" s="93"/>
      <c r="DK279" s="93"/>
      <c r="DL279" s="93"/>
      <c r="DM279" s="93"/>
      <c r="DN279" s="93"/>
      <c r="DO279" s="93"/>
      <c r="DP279" s="93"/>
      <c r="DQ279" s="93"/>
      <c r="DR279" s="93"/>
      <c r="DS279" s="93"/>
      <c r="DT279" s="93"/>
      <c r="DU279" s="93"/>
      <c r="DV279" s="93"/>
      <c r="DW279" s="93"/>
      <c r="DX279" s="93"/>
      <c r="DY279" s="93"/>
      <c r="DZ279" s="93"/>
      <c r="EA279" s="93"/>
      <c r="EB279" s="93"/>
      <c r="EC279" s="93"/>
      <c r="ED279" s="93"/>
      <c r="EE279" s="93"/>
      <c r="EF279" s="93"/>
      <c r="EG279" s="93"/>
      <c r="EH279" s="93"/>
      <c r="EI279" s="93"/>
      <c r="EJ279" s="93"/>
      <c r="EK279" s="93"/>
      <c r="EL279" s="93"/>
      <c r="EM279" s="93"/>
      <c r="EN279" s="93"/>
      <c r="EO279" s="93"/>
      <c r="EP279" s="93"/>
      <c r="EQ279" s="93"/>
      <c r="ER279" s="93"/>
      <c r="ES279" s="93"/>
      <c r="ET279" s="93"/>
      <c r="EU279" s="93"/>
      <c r="EV279" s="93"/>
      <c r="EW279" s="93"/>
      <c r="EX279" s="93"/>
      <c r="EY279" s="93"/>
      <c r="EZ279" s="93"/>
      <c r="FA279" s="93"/>
      <c r="FB279" s="93"/>
      <c r="FC279" s="93"/>
      <c r="FD279" s="93"/>
      <c r="FE279" s="93"/>
      <c r="FF279" s="93"/>
      <c r="FG279" s="93"/>
      <c r="FH279" s="93"/>
      <c r="FI279" s="93"/>
      <c r="FJ279" s="93"/>
      <c r="FK279" s="93"/>
      <c r="FL279" s="93"/>
      <c r="FM279" s="93"/>
      <c r="FN279" s="93"/>
      <c r="FO279" s="93"/>
      <c r="FP279" s="93"/>
      <c r="FQ279" s="93"/>
      <c r="FR279" s="93"/>
      <c r="FS279" s="93"/>
      <c r="FT279" s="93"/>
      <c r="FU279" s="93"/>
      <c r="FV279" s="93"/>
      <c r="FW279" s="93"/>
      <c r="FX279" s="93"/>
      <c r="FY279" s="93"/>
      <c r="FZ279" s="93"/>
      <c r="GA279" s="93">
        <v>0.33267064280980779</v>
      </c>
      <c r="GB279" s="93"/>
      <c r="GC279" s="93"/>
      <c r="GD279" s="93"/>
      <c r="GE279" s="93"/>
      <c r="GF279" s="93"/>
      <c r="GG279" s="93"/>
      <c r="GH279" s="93"/>
      <c r="GI279" s="93"/>
      <c r="GJ279" s="93"/>
      <c r="GK279" s="93"/>
      <c r="GL279" s="93"/>
      <c r="GM279" s="93"/>
      <c r="GN279" s="93"/>
      <c r="GO279" s="93"/>
      <c r="GP279" s="93"/>
      <c r="GQ279" s="93"/>
      <c r="GR279" s="93"/>
      <c r="GS279" s="93"/>
      <c r="GT279" s="93"/>
      <c r="GU279" s="93"/>
      <c r="GV279" s="93"/>
      <c r="GW279" s="93"/>
      <c r="GX279" s="93"/>
      <c r="GY279" s="93"/>
      <c r="GZ279" s="93"/>
      <c r="HA279" s="93"/>
      <c r="HB279" s="93"/>
      <c r="HC279" s="93"/>
      <c r="HD279" s="93"/>
      <c r="HE279" s="93"/>
      <c r="HF279" s="93"/>
      <c r="HG279" s="93"/>
    </row>
    <row r="280" spans="14:215" x14ac:dyDescent="0.2">
      <c r="N280" s="93" t="s">
        <v>497</v>
      </c>
      <c r="O280" s="93"/>
      <c r="P280" s="93"/>
      <c r="Q280" s="93"/>
      <c r="R280" s="93"/>
      <c r="S280" s="93"/>
      <c r="T280" s="93"/>
      <c r="U280" s="93"/>
      <c r="V280" s="93"/>
      <c r="W280" s="93"/>
      <c r="X280" s="93"/>
      <c r="Y280" s="93"/>
      <c r="Z280" s="93"/>
      <c r="AA280" s="93"/>
      <c r="AB280" s="93"/>
      <c r="AC280" s="93"/>
      <c r="AD280" s="93"/>
      <c r="AE280" s="93"/>
      <c r="AF280" s="93"/>
      <c r="AG280" s="93"/>
      <c r="AH280" s="93"/>
      <c r="AI280" s="93"/>
      <c r="AJ280" s="93"/>
      <c r="AK280" s="93"/>
      <c r="AL280" s="93"/>
      <c r="AM280" s="93"/>
      <c r="AN280" s="93"/>
      <c r="AO280" s="93"/>
      <c r="AP280" s="93"/>
      <c r="AQ280" s="93"/>
      <c r="AR280" s="93"/>
      <c r="AS280" s="93"/>
      <c r="AT280" s="93"/>
      <c r="AU280" s="93"/>
      <c r="AV280" s="93"/>
      <c r="AW280" s="93"/>
      <c r="AX280" s="93"/>
      <c r="AY280" s="93"/>
      <c r="AZ280" s="93"/>
      <c r="BA280" s="93"/>
      <c r="BB280" s="93"/>
      <c r="BC280" s="93"/>
      <c r="BD280" s="93"/>
      <c r="BE280" s="93"/>
      <c r="BF280" s="93"/>
      <c r="BG280" s="93"/>
      <c r="BH280" s="93"/>
      <c r="BI280" s="93"/>
      <c r="BJ280" s="93"/>
      <c r="BK280" s="93"/>
      <c r="BL280" s="93"/>
      <c r="BM280" s="93"/>
      <c r="BN280" s="93"/>
      <c r="BO280" s="93"/>
      <c r="BP280" s="93"/>
      <c r="BQ280" s="93"/>
      <c r="BR280" s="93"/>
      <c r="BS280" s="93"/>
      <c r="BT280" s="93"/>
      <c r="BU280" s="93"/>
      <c r="BV280" s="93"/>
      <c r="BW280" s="93"/>
      <c r="BX280" s="93"/>
      <c r="BY280" s="93"/>
      <c r="BZ280" s="93"/>
      <c r="CA280" s="93"/>
      <c r="CB280" s="93"/>
      <c r="CC280" s="93"/>
      <c r="CD280" s="93"/>
      <c r="CE280" s="93"/>
      <c r="CF280" s="93"/>
      <c r="CG280" s="93"/>
      <c r="CH280" s="93"/>
      <c r="CI280" s="93"/>
      <c r="CJ280" s="93"/>
      <c r="CK280" s="93"/>
      <c r="CL280" s="93"/>
      <c r="CM280" s="93"/>
      <c r="CN280" s="93"/>
      <c r="CO280" s="93"/>
      <c r="CP280" s="93"/>
      <c r="CQ280" s="93"/>
      <c r="CR280" s="93"/>
      <c r="CS280" s="93"/>
      <c r="CT280" s="93"/>
      <c r="CU280" s="93"/>
      <c r="CV280" s="93"/>
      <c r="CW280" s="93"/>
      <c r="CX280" s="93"/>
      <c r="CY280" s="93"/>
      <c r="CZ280" s="93"/>
      <c r="DA280" s="93"/>
      <c r="DB280" s="93"/>
      <c r="DC280" s="93"/>
      <c r="DD280" s="93"/>
      <c r="DE280" s="93"/>
      <c r="DF280" s="93"/>
      <c r="DG280" s="93"/>
      <c r="DH280" s="93"/>
      <c r="DI280" s="93"/>
      <c r="DJ280" s="93"/>
      <c r="DK280" s="93"/>
      <c r="DL280" s="93"/>
      <c r="DM280" s="93"/>
      <c r="DN280" s="93"/>
      <c r="DO280" s="93"/>
      <c r="DP280" s="93"/>
      <c r="DQ280" s="93"/>
      <c r="DR280" s="93"/>
      <c r="DS280" s="93"/>
      <c r="DT280" s="93"/>
      <c r="DU280" s="93"/>
      <c r="DV280" s="93"/>
      <c r="DW280" s="93"/>
      <c r="DX280" s="93"/>
      <c r="DY280" s="93"/>
      <c r="DZ280" s="93"/>
      <c r="EA280" s="93"/>
      <c r="EB280" s="93"/>
      <c r="EC280" s="93"/>
      <c r="ED280" s="93"/>
      <c r="EE280" s="93"/>
      <c r="EF280" s="93"/>
      <c r="EG280" s="93"/>
      <c r="EH280" s="93"/>
      <c r="EI280" s="93"/>
      <c r="EJ280" s="93"/>
      <c r="EK280" s="93"/>
      <c r="EL280" s="93"/>
      <c r="EM280" s="93"/>
      <c r="EN280" s="93"/>
      <c r="EO280" s="93"/>
      <c r="EP280" s="93"/>
      <c r="EQ280" s="93"/>
      <c r="ER280" s="93"/>
      <c r="ES280" s="93"/>
      <c r="ET280" s="93"/>
      <c r="EU280" s="93"/>
      <c r="EV280" s="93"/>
      <c r="EW280" s="93"/>
      <c r="EX280" s="93"/>
      <c r="EY280" s="93"/>
      <c r="EZ280" s="93"/>
      <c r="FA280" s="93"/>
      <c r="FB280" s="93"/>
      <c r="FC280" s="93"/>
      <c r="FD280" s="93"/>
      <c r="FE280" s="93"/>
      <c r="FF280" s="93"/>
      <c r="FG280" s="93"/>
      <c r="FH280" s="93"/>
      <c r="FI280" s="93"/>
      <c r="FJ280" s="93"/>
      <c r="FK280" s="93"/>
      <c r="FL280" s="93"/>
      <c r="FM280" s="93"/>
      <c r="FN280" s="93"/>
      <c r="FO280" s="93"/>
      <c r="FP280" s="93"/>
      <c r="FQ280" s="93"/>
      <c r="FR280" s="93"/>
      <c r="FS280" s="93"/>
      <c r="FT280" s="93"/>
      <c r="FU280" s="93"/>
      <c r="FV280" s="93"/>
      <c r="FW280" s="93"/>
      <c r="FX280" s="93"/>
      <c r="FY280" s="93"/>
      <c r="FZ280" s="93"/>
      <c r="GA280" s="93"/>
      <c r="GB280" s="93">
        <v>0.33267457180500659</v>
      </c>
      <c r="GC280" s="93"/>
      <c r="GD280" s="93"/>
      <c r="GE280" s="93"/>
      <c r="GF280" s="93"/>
      <c r="GG280" s="93"/>
      <c r="GH280" s="93"/>
      <c r="GI280" s="93"/>
      <c r="GJ280" s="93"/>
      <c r="GK280" s="93"/>
      <c r="GL280" s="93"/>
      <c r="GM280" s="93"/>
      <c r="GN280" s="93"/>
      <c r="GO280" s="93"/>
      <c r="GP280" s="93"/>
      <c r="GQ280" s="93"/>
      <c r="GR280" s="93"/>
      <c r="GS280" s="93"/>
      <c r="GT280" s="93"/>
      <c r="GU280" s="93"/>
      <c r="GV280" s="93"/>
      <c r="GW280" s="93"/>
      <c r="GX280" s="93"/>
      <c r="GY280" s="93"/>
      <c r="GZ280" s="93"/>
      <c r="HA280" s="93"/>
      <c r="HB280" s="93"/>
      <c r="HC280" s="93"/>
      <c r="HD280" s="93"/>
      <c r="HE280" s="93"/>
      <c r="HF280" s="93"/>
      <c r="HG280" s="93"/>
    </row>
    <row r="281" spans="14:215" x14ac:dyDescent="0.2">
      <c r="N281" s="93" t="s">
        <v>498</v>
      </c>
      <c r="O281" s="93"/>
      <c r="P281" s="93"/>
      <c r="Q281" s="93"/>
      <c r="R281" s="93"/>
      <c r="S281" s="93"/>
      <c r="T281" s="93"/>
      <c r="U281" s="93"/>
      <c r="V281" s="93"/>
      <c r="W281" s="93"/>
      <c r="X281" s="93"/>
      <c r="Y281" s="93"/>
      <c r="Z281" s="93"/>
      <c r="AA281" s="93"/>
      <c r="AB281" s="93"/>
      <c r="AC281" s="93"/>
      <c r="AD281" s="93"/>
      <c r="AE281" s="93"/>
      <c r="AF281" s="93"/>
      <c r="AG281" s="93"/>
      <c r="AH281" s="93"/>
      <c r="AI281" s="93"/>
      <c r="AJ281" s="93"/>
      <c r="AK281" s="93"/>
      <c r="AL281" s="93"/>
      <c r="AM281" s="93"/>
      <c r="AN281" s="93"/>
      <c r="AO281" s="93"/>
      <c r="AP281" s="93"/>
      <c r="AQ281" s="93"/>
      <c r="AR281" s="93"/>
      <c r="AS281" s="93"/>
      <c r="AT281" s="93"/>
      <c r="AU281" s="93"/>
      <c r="AV281" s="93"/>
      <c r="AW281" s="93"/>
      <c r="AX281" s="93"/>
      <c r="AY281" s="93"/>
      <c r="AZ281" s="93"/>
      <c r="BA281" s="93"/>
      <c r="BB281" s="93"/>
      <c r="BC281" s="93"/>
      <c r="BD281" s="93"/>
      <c r="BE281" s="93"/>
      <c r="BF281" s="93"/>
      <c r="BG281" s="93"/>
      <c r="BH281" s="93"/>
      <c r="BI281" s="93"/>
      <c r="BJ281" s="93"/>
      <c r="BK281" s="93"/>
      <c r="BL281" s="93"/>
      <c r="BM281" s="93"/>
      <c r="BN281" s="93"/>
      <c r="BO281" s="93"/>
      <c r="BP281" s="93"/>
      <c r="BQ281" s="93"/>
      <c r="BR281" s="93"/>
      <c r="BS281" s="93"/>
      <c r="BT281" s="93"/>
      <c r="BU281" s="93"/>
      <c r="BV281" s="93"/>
      <c r="BW281" s="93"/>
      <c r="BX281" s="93"/>
      <c r="BY281" s="93"/>
      <c r="BZ281" s="93"/>
      <c r="CA281" s="93"/>
      <c r="CB281" s="93"/>
      <c r="CC281" s="93"/>
      <c r="CD281" s="93"/>
      <c r="CE281" s="93"/>
      <c r="CF281" s="93"/>
      <c r="CG281" s="93"/>
      <c r="CH281" s="93"/>
      <c r="CI281" s="93"/>
      <c r="CJ281" s="93"/>
      <c r="CK281" s="93"/>
      <c r="CL281" s="93"/>
      <c r="CM281" s="93"/>
      <c r="CN281" s="93"/>
      <c r="CO281" s="93"/>
      <c r="CP281" s="93"/>
      <c r="CQ281" s="93"/>
      <c r="CR281" s="93"/>
      <c r="CS281" s="93"/>
      <c r="CT281" s="93"/>
      <c r="CU281" s="93"/>
      <c r="CV281" s="93"/>
      <c r="CW281" s="93"/>
      <c r="CX281" s="93"/>
      <c r="CY281" s="93"/>
      <c r="CZ281" s="93"/>
      <c r="DA281" s="93"/>
      <c r="DB281" s="93"/>
      <c r="DC281" s="93"/>
      <c r="DD281" s="93"/>
      <c r="DE281" s="93"/>
      <c r="DF281" s="93"/>
      <c r="DG281" s="93"/>
      <c r="DH281" s="93"/>
      <c r="DI281" s="93"/>
      <c r="DJ281" s="93"/>
      <c r="DK281" s="93"/>
      <c r="DL281" s="93"/>
      <c r="DM281" s="93"/>
      <c r="DN281" s="93"/>
      <c r="DO281" s="93"/>
      <c r="DP281" s="93"/>
      <c r="DQ281" s="93"/>
      <c r="DR281" s="93"/>
      <c r="DS281" s="93"/>
      <c r="DT281" s="93"/>
      <c r="DU281" s="93"/>
      <c r="DV281" s="93"/>
      <c r="DW281" s="93"/>
      <c r="DX281" s="93"/>
      <c r="DY281" s="93"/>
      <c r="DZ281" s="93"/>
      <c r="EA281" s="93"/>
      <c r="EB281" s="93"/>
      <c r="EC281" s="93"/>
      <c r="ED281" s="93"/>
      <c r="EE281" s="93"/>
      <c r="EF281" s="93"/>
      <c r="EG281" s="93"/>
      <c r="EH281" s="93"/>
      <c r="EI281" s="93"/>
      <c r="EJ281" s="93"/>
      <c r="EK281" s="93"/>
      <c r="EL281" s="93"/>
      <c r="EM281" s="93"/>
      <c r="EN281" s="93"/>
      <c r="EO281" s="93"/>
      <c r="EP281" s="93"/>
      <c r="EQ281" s="93"/>
      <c r="ER281" s="93"/>
      <c r="ES281" s="93"/>
      <c r="ET281" s="93"/>
      <c r="EU281" s="93"/>
      <c r="EV281" s="93"/>
      <c r="EW281" s="93"/>
      <c r="EX281" s="93"/>
      <c r="EY281" s="93"/>
      <c r="EZ281" s="93"/>
      <c r="FA281" s="93"/>
      <c r="FB281" s="93"/>
      <c r="FC281" s="93"/>
      <c r="FD281" s="93"/>
      <c r="FE281" s="93"/>
      <c r="FF281" s="93"/>
      <c r="FG281" s="93"/>
      <c r="FH281" s="93"/>
      <c r="FI281" s="93"/>
      <c r="FJ281" s="93"/>
      <c r="FK281" s="93"/>
      <c r="FL281" s="93"/>
      <c r="FM281" s="93"/>
      <c r="FN281" s="93"/>
      <c r="FO281" s="93"/>
      <c r="FP281" s="93"/>
      <c r="FQ281" s="93"/>
      <c r="FR281" s="93"/>
      <c r="FS281" s="93"/>
      <c r="FT281" s="93"/>
      <c r="FU281" s="93"/>
      <c r="FV281" s="93"/>
      <c r="FW281" s="93"/>
      <c r="FX281" s="93"/>
      <c r="FY281" s="93"/>
      <c r="FZ281" s="93"/>
      <c r="GA281" s="93"/>
      <c r="GB281" s="93"/>
      <c r="GC281" s="93">
        <v>0.33267845448592009</v>
      </c>
      <c r="GD281" s="93"/>
      <c r="GE281" s="93"/>
      <c r="GF281" s="93"/>
      <c r="GG281" s="93"/>
      <c r="GH281" s="93"/>
      <c r="GI281" s="93"/>
      <c r="GJ281" s="93"/>
      <c r="GK281" s="93"/>
      <c r="GL281" s="93"/>
      <c r="GM281" s="93"/>
      <c r="GN281" s="93"/>
      <c r="GO281" s="93"/>
      <c r="GP281" s="93"/>
      <c r="GQ281" s="93"/>
      <c r="GR281" s="93"/>
      <c r="GS281" s="93"/>
      <c r="GT281" s="93"/>
      <c r="GU281" s="93"/>
      <c r="GV281" s="93"/>
      <c r="GW281" s="93"/>
      <c r="GX281" s="93"/>
      <c r="GY281" s="93"/>
      <c r="GZ281" s="93"/>
      <c r="HA281" s="93"/>
      <c r="HB281" s="93"/>
      <c r="HC281" s="93"/>
      <c r="HD281" s="93"/>
      <c r="HE281" s="93"/>
      <c r="HF281" s="93"/>
      <c r="HG281" s="93"/>
    </row>
    <row r="282" spans="14:215" x14ac:dyDescent="0.2">
      <c r="N282" s="93" t="s">
        <v>499</v>
      </c>
      <c r="O282" s="93"/>
      <c r="P282" s="93"/>
      <c r="Q282" s="93"/>
      <c r="R282" s="93"/>
      <c r="S282" s="93"/>
      <c r="T282" s="93"/>
      <c r="U282" s="93"/>
      <c r="V282" s="93"/>
      <c r="W282" s="93"/>
      <c r="X282" s="93"/>
      <c r="Y282" s="93"/>
      <c r="Z282" s="93"/>
      <c r="AA282" s="93"/>
      <c r="AB282" s="93"/>
      <c r="AC282" s="93"/>
      <c r="AD282" s="93"/>
      <c r="AE282" s="93"/>
      <c r="AF282" s="93"/>
      <c r="AG282" s="93"/>
      <c r="AH282" s="93"/>
      <c r="AI282" s="93"/>
      <c r="AJ282" s="93"/>
      <c r="AK282" s="93"/>
      <c r="AL282" s="93"/>
      <c r="AM282" s="93"/>
      <c r="AN282" s="93"/>
      <c r="AO282" s="93"/>
      <c r="AP282" s="93"/>
      <c r="AQ282" s="93"/>
      <c r="AR282" s="93"/>
      <c r="AS282" s="93"/>
      <c r="AT282" s="93"/>
      <c r="AU282" s="93"/>
      <c r="AV282" s="93"/>
      <c r="AW282" s="93"/>
      <c r="AX282" s="93"/>
      <c r="AY282" s="93"/>
      <c r="AZ282" s="93"/>
      <c r="BA282" s="93"/>
      <c r="BB282" s="93"/>
      <c r="BC282" s="93"/>
      <c r="BD282" s="93"/>
      <c r="BE282" s="93"/>
      <c r="BF282" s="93"/>
      <c r="BG282" s="93"/>
      <c r="BH282" s="93"/>
      <c r="BI282" s="93"/>
      <c r="BJ282" s="93"/>
      <c r="BK282" s="93"/>
      <c r="BL282" s="93"/>
      <c r="BM282" s="93"/>
      <c r="BN282" s="93"/>
      <c r="BO282" s="93"/>
      <c r="BP282" s="93"/>
      <c r="BQ282" s="93"/>
      <c r="BR282" s="93"/>
      <c r="BS282" s="93"/>
      <c r="BT282" s="93"/>
      <c r="BU282" s="93"/>
      <c r="BV282" s="93"/>
      <c r="BW282" s="93"/>
      <c r="BX282" s="93"/>
      <c r="BY282" s="93"/>
      <c r="BZ282" s="93"/>
      <c r="CA282" s="93"/>
      <c r="CB282" s="93"/>
      <c r="CC282" s="93"/>
      <c r="CD282" s="93"/>
      <c r="CE282" s="93"/>
      <c r="CF282" s="93"/>
      <c r="CG282" s="93"/>
      <c r="CH282" s="93"/>
      <c r="CI282" s="93"/>
      <c r="CJ282" s="93"/>
      <c r="CK282" s="93"/>
      <c r="CL282" s="93"/>
      <c r="CM282" s="93"/>
      <c r="CN282" s="93"/>
      <c r="CO282" s="93"/>
      <c r="CP282" s="93"/>
      <c r="CQ282" s="93"/>
      <c r="CR282" s="93"/>
      <c r="CS282" s="93"/>
      <c r="CT282" s="93"/>
      <c r="CU282" s="93"/>
      <c r="CV282" s="93"/>
      <c r="CW282" s="93"/>
      <c r="CX282" s="93"/>
      <c r="CY282" s="93"/>
      <c r="CZ282" s="93"/>
      <c r="DA282" s="93"/>
      <c r="DB282" s="93"/>
      <c r="DC282" s="93"/>
      <c r="DD282" s="93"/>
      <c r="DE282" s="93"/>
      <c r="DF282" s="93"/>
      <c r="DG282" s="93"/>
      <c r="DH282" s="93"/>
      <c r="DI282" s="93"/>
      <c r="DJ282" s="93"/>
      <c r="DK282" s="93"/>
      <c r="DL282" s="93"/>
      <c r="DM282" s="93"/>
      <c r="DN282" s="93"/>
      <c r="DO282" s="93"/>
      <c r="DP282" s="93"/>
      <c r="DQ282" s="93"/>
      <c r="DR282" s="93"/>
      <c r="DS282" s="93"/>
      <c r="DT282" s="93"/>
      <c r="DU282" s="93"/>
      <c r="DV282" s="93"/>
      <c r="DW282" s="93"/>
      <c r="DX282" s="93"/>
      <c r="DY282" s="93"/>
      <c r="DZ282" s="93"/>
      <c r="EA282" s="93"/>
      <c r="EB282" s="93"/>
      <c r="EC282" s="93"/>
      <c r="ED282" s="93"/>
      <c r="EE282" s="93"/>
      <c r="EF282" s="93"/>
      <c r="EG282" s="93"/>
      <c r="EH282" s="93"/>
      <c r="EI282" s="93"/>
      <c r="EJ282" s="93"/>
      <c r="EK282" s="93"/>
      <c r="EL282" s="93"/>
      <c r="EM282" s="93"/>
      <c r="EN282" s="93"/>
      <c r="EO282" s="93"/>
      <c r="EP282" s="93"/>
      <c r="EQ282" s="93"/>
      <c r="ER282" s="93"/>
      <c r="ES282" s="93"/>
      <c r="ET282" s="93"/>
      <c r="EU282" s="93"/>
      <c r="EV282" s="93"/>
      <c r="EW282" s="93"/>
      <c r="EX282" s="93"/>
      <c r="EY282" s="93"/>
      <c r="EZ282" s="93"/>
      <c r="FA282" s="93"/>
      <c r="FB282" s="93"/>
      <c r="FC282" s="93"/>
      <c r="FD282" s="93"/>
      <c r="FE282" s="93"/>
      <c r="FF282" s="93"/>
      <c r="FG282" s="93"/>
      <c r="FH282" s="93"/>
      <c r="FI282" s="93"/>
      <c r="FJ282" s="93"/>
      <c r="FK282" s="93"/>
      <c r="FL282" s="93"/>
      <c r="FM282" s="93"/>
      <c r="FN282" s="93"/>
      <c r="FO282" s="93"/>
      <c r="FP282" s="93"/>
      <c r="FQ282" s="93"/>
      <c r="FR282" s="93"/>
      <c r="FS282" s="93"/>
      <c r="FT282" s="93"/>
      <c r="FU282" s="93"/>
      <c r="FV282" s="93"/>
      <c r="FW282" s="93"/>
      <c r="FX282" s="93"/>
      <c r="FY282" s="93"/>
      <c r="FZ282" s="93"/>
      <c r="GA282" s="93"/>
      <c r="GB282" s="93"/>
      <c r="GC282" s="93"/>
      <c r="GD282" s="93">
        <v>0.33268229166666669</v>
      </c>
      <c r="GE282" s="93"/>
      <c r="GF282" s="93"/>
      <c r="GG282" s="93"/>
      <c r="GH282" s="93"/>
      <c r="GI282" s="93"/>
      <c r="GJ282" s="93"/>
      <c r="GK282" s="93"/>
      <c r="GL282" s="93"/>
      <c r="GM282" s="93"/>
      <c r="GN282" s="93"/>
      <c r="GO282" s="93"/>
      <c r="GP282" s="93"/>
      <c r="GQ282" s="93"/>
      <c r="GR282" s="93"/>
      <c r="GS282" s="93"/>
      <c r="GT282" s="93"/>
      <c r="GU282" s="93"/>
      <c r="GV282" s="93"/>
      <c r="GW282" s="93"/>
      <c r="GX282" s="93"/>
      <c r="GY282" s="93"/>
      <c r="GZ282" s="93"/>
      <c r="HA282" s="93"/>
      <c r="HB282" s="93"/>
      <c r="HC282" s="93"/>
      <c r="HD282" s="93"/>
      <c r="HE282" s="93"/>
      <c r="HF282" s="93"/>
      <c r="HG282" s="93"/>
    </row>
    <row r="283" spans="14:215" x14ac:dyDescent="0.2">
      <c r="N283" s="93" t="s">
        <v>500</v>
      </c>
      <c r="O283" s="93"/>
      <c r="P283" s="93"/>
      <c r="Q283" s="93"/>
      <c r="R283" s="93"/>
      <c r="S283" s="93"/>
      <c r="T283" s="93"/>
      <c r="U283" s="93"/>
      <c r="V283" s="93"/>
      <c r="W283" s="93"/>
      <c r="X283" s="93"/>
      <c r="Y283" s="93"/>
      <c r="Z283" s="93"/>
      <c r="AA283" s="93"/>
      <c r="AB283" s="93"/>
      <c r="AC283" s="93"/>
      <c r="AD283" s="93"/>
      <c r="AE283" s="93"/>
      <c r="AF283" s="93"/>
      <c r="AG283" s="93"/>
      <c r="AH283" s="93"/>
      <c r="AI283" s="93"/>
      <c r="AJ283" s="93"/>
      <c r="AK283" s="93"/>
      <c r="AL283" s="93"/>
      <c r="AM283" s="93"/>
      <c r="AN283" s="93"/>
      <c r="AO283" s="93"/>
      <c r="AP283" s="93"/>
      <c r="AQ283" s="93"/>
      <c r="AR283" s="93"/>
      <c r="AS283" s="93"/>
      <c r="AT283" s="93"/>
      <c r="AU283" s="93"/>
      <c r="AV283" s="93"/>
      <c r="AW283" s="93"/>
      <c r="AX283" s="93"/>
      <c r="AY283" s="93"/>
      <c r="AZ283" s="93"/>
      <c r="BA283" s="93"/>
      <c r="BB283" s="93"/>
      <c r="BC283" s="93"/>
      <c r="BD283" s="93"/>
      <c r="BE283" s="93"/>
      <c r="BF283" s="93"/>
      <c r="BG283" s="93"/>
      <c r="BH283" s="93"/>
      <c r="BI283" s="93"/>
      <c r="BJ283" s="93"/>
      <c r="BK283" s="93"/>
      <c r="BL283" s="93"/>
      <c r="BM283" s="93"/>
      <c r="BN283" s="93"/>
      <c r="BO283" s="93"/>
      <c r="BP283" s="93"/>
      <c r="BQ283" s="93"/>
      <c r="BR283" s="93"/>
      <c r="BS283" s="93"/>
      <c r="BT283" s="93"/>
      <c r="BU283" s="93"/>
      <c r="BV283" s="93"/>
      <c r="BW283" s="93"/>
      <c r="BX283" s="93"/>
      <c r="BY283" s="93"/>
      <c r="BZ283" s="93"/>
      <c r="CA283" s="93"/>
      <c r="CB283" s="93"/>
      <c r="CC283" s="93"/>
      <c r="CD283" s="93"/>
      <c r="CE283" s="93"/>
      <c r="CF283" s="93"/>
      <c r="CG283" s="93"/>
      <c r="CH283" s="93"/>
      <c r="CI283" s="93"/>
      <c r="CJ283" s="93"/>
      <c r="CK283" s="93"/>
      <c r="CL283" s="93"/>
      <c r="CM283" s="93"/>
      <c r="CN283" s="93"/>
      <c r="CO283" s="93"/>
      <c r="CP283" s="93"/>
      <c r="CQ283" s="93"/>
      <c r="CR283" s="93"/>
      <c r="CS283" s="93"/>
      <c r="CT283" s="93"/>
      <c r="CU283" s="93"/>
      <c r="CV283" s="93"/>
      <c r="CW283" s="93"/>
      <c r="CX283" s="93"/>
      <c r="CY283" s="93"/>
      <c r="CZ283" s="93"/>
      <c r="DA283" s="93"/>
      <c r="DB283" s="93"/>
      <c r="DC283" s="93"/>
      <c r="DD283" s="93"/>
      <c r="DE283" s="93"/>
      <c r="DF283" s="93"/>
      <c r="DG283" s="93"/>
      <c r="DH283" s="93"/>
      <c r="DI283" s="93"/>
      <c r="DJ283" s="93"/>
      <c r="DK283" s="93"/>
      <c r="DL283" s="93"/>
      <c r="DM283" s="93"/>
      <c r="DN283" s="93"/>
      <c r="DO283" s="93"/>
      <c r="DP283" s="93"/>
      <c r="DQ283" s="93"/>
      <c r="DR283" s="93"/>
      <c r="DS283" s="93"/>
      <c r="DT283" s="93"/>
      <c r="DU283" s="93"/>
      <c r="DV283" s="93"/>
      <c r="DW283" s="93"/>
      <c r="DX283" s="93"/>
      <c r="DY283" s="93"/>
      <c r="DZ283" s="93"/>
      <c r="EA283" s="93"/>
      <c r="EB283" s="93"/>
      <c r="EC283" s="93"/>
      <c r="ED283" s="93"/>
      <c r="EE283" s="93"/>
      <c r="EF283" s="93"/>
      <c r="EG283" s="93"/>
      <c r="EH283" s="93"/>
      <c r="EI283" s="93"/>
      <c r="EJ283" s="93"/>
      <c r="EK283" s="93"/>
      <c r="EL283" s="93"/>
      <c r="EM283" s="93"/>
      <c r="EN283" s="93"/>
      <c r="EO283" s="93"/>
      <c r="EP283" s="93"/>
      <c r="EQ283" s="93"/>
      <c r="ER283" s="93"/>
      <c r="ES283" s="93"/>
      <c r="ET283" s="93"/>
      <c r="EU283" s="93"/>
      <c r="EV283" s="93"/>
      <c r="EW283" s="93"/>
      <c r="EX283" s="93"/>
      <c r="EY283" s="93"/>
      <c r="EZ283" s="93"/>
      <c r="FA283" s="93"/>
      <c r="FB283" s="93"/>
      <c r="FC283" s="93"/>
      <c r="FD283" s="93"/>
      <c r="FE283" s="93"/>
      <c r="FF283" s="93"/>
      <c r="FG283" s="93"/>
      <c r="FH283" s="93"/>
      <c r="FI283" s="93"/>
      <c r="FJ283" s="93"/>
      <c r="FK283" s="93"/>
      <c r="FL283" s="93"/>
      <c r="FM283" s="93"/>
      <c r="FN283" s="93"/>
      <c r="FO283" s="93"/>
      <c r="FP283" s="93"/>
      <c r="FQ283" s="93"/>
      <c r="FR283" s="93"/>
      <c r="FS283" s="93"/>
      <c r="FT283" s="93"/>
      <c r="FU283" s="93"/>
      <c r="FV283" s="93"/>
      <c r="FW283" s="93"/>
      <c r="FX283" s="93"/>
      <c r="FY283" s="93"/>
      <c r="FZ283" s="93"/>
      <c r="GA283" s="93"/>
      <c r="GB283" s="93"/>
      <c r="GC283" s="93"/>
      <c r="GD283" s="93"/>
      <c r="GE283" s="93">
        <v>0.33268608414239481</v>
      </c>
      <c r="GF283" s="93"/>
      <c r="GG283" s="93"/>
      <c r="GH283" s="93"/>
      <c r="GI283" s="93"/>
      <c r="GJ283" s="93"/>
      <c r="GK283" s="93"/>
      <c r="GL283" s="93"/>
      <c r="GM283" s="93"/>
      <c r="GN283" s="93"/>
      <c r="GO283" s="93"/>
      <c r="GP283" s="93"/>
      <c r="GQ283" s="93"/>
      <c r="GR283" s="93"/>
      <c r="GS283" s="93"/>
      <c r="GT283" s="93"/>
      <c r="GU283" s="93"/>
      <c r="GV283" s="93"/>
      <c r="GW283" s="93"/>
      <c r="GX283" s="93"/>
      <c r="GY283" s="93"/>
      <c r="GZ283" s="93"/>
      <c r="HA283" s="93"/>
      <c r="HB283" s="93"/>
      <c r="HC283" s="93"/>
      <c r="HD283" s="93"/>
      <c r="HE283" s="93"/>
      <c r="HF283" s="93"/>
      <c r="HG283" s="93"/>
    </row>
    <row r="284" spans="14:215" x14ac:dyDescent="0.2">
      <c r="N284" s="93" t="s">
        <v>501</v>
      </c>
      <c r="O284" s="93"/>
      <c r="P284" s="93"/>
      <c r="Q284" s="93"/>
      <c r="R284" s="93"/>
      <c r="S284" s="93"/>
      <c r="T284" s="93"/>
      <c r="U284" s="93"/>
      <c r="V284" s="93"/>
      <c r="W284" s="93"/>
      <c r="X284" s="93"/>
      <c r="Y284" s="93"/>
      <c r="Z284" s="93"/>
      <c r="AA284" s="93"/>
      <c r="AB284" s="93"/>
      <c r="AC284" s="93"/>
      <c r="AD284" s="93"/>
      <c r="AE284" s="93"/>
      <c r="AF284" s="93"/>
      <c r="AG284" s="93"/>
      <c r="AH284" s="93"/>
      <c r="AI284" s="93"/>
      <c r="AJ284" s="93"/>
      <c r="AK284" s="93"/>
      <c r="AL284" s="93"/>
      <c r="AM284" s="93"/>
      <c r="AN284" s="93"/>
      <c r="AO284" s="93"/>
      <c r="AP284" s="93"/>
      <c r="AQ284" s="93"/>
      <c r="AR284" s="93"/>
      <c r="AS284" s="93"/>
      <c r="AT284" s="93"/>
      <c r="AU284" s="93"/>
      <c r="AV284" s="93"/>
      <c r="AW284" s="93"/>
      <c r="AX284" s="93"/>
      <c r="AY284" s="93"/>
      <c r="AZ284" s="93"/>
      <c r="BA284" s="93"/>
      <c r="BB284" s="93"/>
      <c r="BC284" s="93"/>
      <c r="BD284" s="93"/>
      <c r="BE284" s="93"/>
      <c r="BF284" s="93"/>
      <c r="BG284" s="93"/>
      <c r="BH284" s="93"/>
      <c r="BI284" s="93"/>
      <c r="BJ284" s="93"/>
      <c r="BK284" s="93"/>
      <c r="BL284" s="93"/>
      <c r="BM284" s="93"/>
      <c r="BN284" s="93"/>
      <c r="BO284" s="93"/>
      <c r="BP284" s="93"/>
      <c r="BQ284" s="93"/>
      <c r="BR284" s="93"/>
      <c r="BS284" s="93"/>
      <c r="BT284" s="93"/>
      <c r="BU284" s="93"/>
      <c r="BV284" s="93"/>
      <c r="BW284" s="93"/>
      <c r="BX284" s="93"/>
      <c r="BY284" s="93"/>
      <c r="BZ284" s="93"/>
      <c r="CA284" s="93"/>
      <c r="CB284" s="93"/>
      <c r="CC284" s="93"/>
      <c r="CD284" s="93"/>
      <c r="CE284" s="93"/>
      <c r="CF284" s="93"/>
      <c r="CG284" s="93"/>
      <c r="CH284" s="93"/>
      <c r="CI284" s="93"/>
      <c r="CJ284" s="93"/>
      <c r="CK284" s="93"/>
      <c r="CL284" s="93"/>
      <c r="CM284" s="93"/>
      <c r="CN284" s="93"/>
      <c r="CO284" s="93"/>
      <c r="CP284" s="93"/>
      <c r="CQ284" s="93"/>
      <c r="CR284" s="93"/>
      <c r="CS284" s="93"/>
      <c r="CT284" s="93"/>
      <c r="CU284" s="93"/>
      <c r="CV284" s="93"/>
      <c r="CW284" s="93"/>
      <c r="CX284" s="93"/>
      <c r="CY284" s="93"/>
      <c r="CZ284" s="93"/>
      <c r="DA284" s="93"/>
      <c r="DB284" s="93"/>
      <c r="DC284" s="93"/>
      <c r="DD284" s="93"/>
      <c r="DE284" s="93"/>
      <c r="DF284" s="93"/>
      <c r="DG284" s="93"/>
      <c r="DH284" s="93"/>
      <c r="DI284" s="93"/>
      <c r="DJ284" s="93"/>
      <c r="DK284" s="93"/>
      <c r="DL284" s="93"/>
      <c r="DM284" s="93"/>
      <c r="DN284" s="93"/>
      <c r="DO284" s="93"/>
      <c r="DP284" s="93"/>
      <c r="DQ284" s="93"/>
      <c r="DR284" s="93"/>
      <c r="DS284" s="93"/>
      <c r="DT284" s="93"/>
      <c r="DU284" s="93"/>
      <c r="DV284" s="93"/>
      <c r="DW284" s="93"/>
      <c r="DX284" s="93"/>
      <c r="DY284" s="93"/>
      <c r="DZ284" s="93"/>
      <c r="EA284" s="93"/>
      <c r="EB284" s="93"/>
      <c r="EC284" s="93"/>
      <c r="ED284" s="93"/>
      <c r="EE284" s="93"/>
      <c r="EF284" s="93"/>
      <c r="EG284" s="93"/>
      <c r="EH284" s="93"/>
      <c r="EI284" s="93"/>
      <c r="EJ284" s="93"/>
      <c r="EK284" s="93"/>
      <c r="EL284" s="93"/>
      <c r="EM284" s="93"/>
      <c r="EN284" s="93"/>
      <c r="EO284" s="93"/>
      <c r="EP284" s="93"/>
      <c r="EQ284" s="93"/>
      <c r="ER284" s="93"/>
      <c r="ES284" s="93"/>
      <c r="ET284" s="93"/>
      <c r="EU284" s="93"/>
      <c r="EV284" s="93"/>
      <c r="EW284" s="93"/>
      <c r="EX284" s="93"/>
      <c r="EY284" s="93"/>
      <c r="EZ284" s="93"/>
      <c r="FA284" s="93"/>
      <c r="FB284" s="93"/>
      <c r="FC284" s="93"/>
      <c r="FD284" s="93"/>
      <c r="FE284" s="93"/>
      <c r="FF284" s="93"/>
      <c r="FG284" s="93"/>
      <c r="FH284" s="93"/>
      <c r="FI284" s="93"/>
      <c r="FJ284" s="93"/>
      <c r="FK284" s="93"/>
      <c r="FL284" s="93"/>
      <c r="FM284" s="93"/>
      <c r="FN284" s="93"/>
      <c r="FO284" s="93"/>
      <c r="FP284" s="93"/>
      <c r="FQ284" s="93"/>
      <c r="FR284" s="93"/>
      <c r="FS284" s="93"/>
      <c r="FT284" s="93"/>
      <c r="FU284" s="93"/>
      <c r="FV284" s="93"/>
      <c r="FW284" s="93"/>
      <c r="FX284" s="93"/>
      <c r="FY284" s="93"/>
      <c r="FZ284" s="93"/>
      <c r="GA284" s="93"/>
      <c r="GB284" s="93"/>
      <c r="GC284" s="93"/>
      <c r="GD284" s="93"/>
      <c r="GE284" s="93"/>
      <c r="GF284" s="93">
        <v>0.33268983268983271</v>
      </c>
      <c r="GG284" s="93"/>
      <c r="GH284" s="93"/>
      <c r="GI284" s="93"/>
      <c r="GJ284" s="93"/>
      <c r="GK284" s="93"/>
      <c r="GL284" s="93"/>
      <c r="GM284" s="93"/>
      <c r="GN284" s="93"/>
      <c r="GO284" s="93"/>
      <c r="GP284" s="93"/>
      <c r="GQ284" s="93"/>
      <c r="GR284" s="93"/>
      <c r="GS284" s="93"/>
      <c r="GT284" s="93"/>
      <c r="GU284" s="93"/>
      <c r="GV284" s="93"/>
      <c r="GW284" s="93"/>
      <c r="GX284" s="93"/>
      <c r="GY284" s="93"/>
      <c r="GZ284" s="93"/>
      <c r="HA284" s="93"/>
      <c r="HB284" s="93"/>
      <c r="HC284" s="93"/>
      <c r="HD284" s="93"/>
      <c r="HE284" s="93"/>
      <c r="HF284" s="93"/>
      <c r="HG284" s="93"/>
    </row>
    <row r="285" spans="14:215" x14ac:dyDescent="0.2">
      <c r="N285" s="93" t="s">
        <v>502</v>
      </c>
      <c r="O285" s="93"/>
      <c r="P285" s="93"/>
      <c r="Q285" s="93"/>
      <c r="R285" s="93"/>
      <c r="S285" s="93"/>
      <c r="T285" s="93"/>
      <c r="U285" s="93"/>
      <c r="V285" s="93"/>
      <c r="W285" s="93"/>
      <c r="X285" s="93"/>
      <c r="Y285" s="93"/>
      <c r="Z285" s="93"/>
      <c r="AA285" s="93"/>
      <c r="AB285" s="93"/>
      <c r="AC285" s="93"/>
      <c r="AD285" s="93"/>
      <c r="AE285" s="93"/>
      <c r="AF285" s="93"/>
      <c r="AG285" s="93"/>
      <c r="AH285" s="93"/>
      <c r="AI285" s="93"/>
      <c r="AJ285" s="93"/>
      <c r="AK285" s="93"/>
      <c r="AL285" s="93"/>
      <c r="AM285" s="93"/>
      <c r="AN285" s="93"/>
      <c r="AO285" s="93"/>
      <c r="AP285" s="93"/>
      <c r="AQ285" s="93"/>
      <c r="AR285" s="93"/>
      <c r="AS285" s="93"/>
      <c r="AT285" s="93"/>
      <c r="AU285" s="93"/>
      <c r="AV285" s="93"/>
      <c r="AW285" s="93"/>
      <c r="AX285" s="93"/>
      <c r="AY285" s="93"/>
      <c r="AZ285" s="93"/>
      <c r="BA285" s="93"/>
      <c r="BB285" s="93"/>
      <c r="BC285" s="93"/>
      <c r="BD285" s="93"/>
      <c r="BE285" s="93"/>
      <c r="BF285" s="93"/>
      <c r="BG285" s="93"/>
      <c r="BH285" s="93"/>
      <c r="BI285" s="93"/>
      <c r="BJ285" s="93"/>
      <c r="BK285" s="93"/>
      <c r="BL285" s="93"/>
      <c r="BM285" s="93"/>
      <c r="BN285" s="93"/>
      <c r="BO285" s="93"/>
      <c r="BP285" s="93"/>
      <c r="BQ285" s="93"/>
      <c r="BR285" s="93"/>
      <c r="BS285" s="93"/>
      <c r="BT285" s="93"/>
      <c r="BU285" s="93"/>
      <c r="BV285" s="93"/>
      <c r="BW285" s="93"/>
      <c r="BX285" s="93"/>
      <c r="BY285" s="93"/>
      <c r="BZ285" s="93"/>
      <c r="CA285" s="93"/>
      <c r="CB285" s="93"/>
      <c r="CC285" s="93"/>
      <c r="CD285" s="93"/>
      <c r="CE285" s="93"/>
      <c r="CF285" s="93"/>
      <c r="CG285" s="93"/>
      <c r="CH285" s="93"/>
      <c r="CI285" s="93"/>
      <c r="CJ285" s="93"/>
      <c r="CK285" s="93"/>
      <c r="CL285" s="93"/>
      <c r="CM285" s="93"/>
      <c r="CN285" s="93"/>
      <c r="CO285" s="93"/>
      <c r="CP285" s="93"/>
      <c r="CQ285" s="93"/>
      <c r="CR285" s="93"/>
      <c r="CS285" s="93"/>
      <c r="CT285" s="93"/>
      <c r="CU285" s="93"/>
      <c r="CV285" s="93"/>
      <c r="CW285" s="93"/>
      <c r="CX285" s="93"/>
      <c r="CY285" s="93"/>
      <c r="CZ285" s="93"/>
      <c r="DA285" s="93"/>
      <c r="DB285" s="93"/>
      <c r="DC285" s="93"/>
      <c r="DD285" s="93"/>
      <c r="DE285" s="93"/>
      <c r="DF285" s="93"/>
      <c r="DG285" s="93"/>
      <c r="DH285" s="93"/>
      <c r="DI285" s="93"/>
      <c r="DJ285" s="93"/>
      <c r="DK285" s="93"/>
      <c r="DL285" s="93"/>
      <c r="DM285" s="93"/>
      <c r="DN285" s="93"/>
      <c r="DO285" s="93"/>
      <c r="DP285" s="93"/>
      <c r="DQ285" s="93"/>
      <c r="DR285" s="93"/>
      <c r="DS285" s="93"/>
      <c r="DT285" s="93"/>
      <c r="DU285" s="93"/>
      <c r="DV285" s="93"/>
      <c r="DW285" s="93"/>
      <c r="DX285" s="93"/>
      <c r="DY285" s="93"/>
      <c r="DZ285" s="93"/>
      <c r="EA285" s="93"/>
      <c r="EB285" s="93"/>
      <c r="EC285" s="93"/>
      <c r="ED285" s="93"/>
      <c r="EE285" s="93"/>
      <c r="EF285" s="93"/>
      <c r="EG285" s="93"/>
      <c r="EH285" s="93"/>
      <c r="EI285" s="93"/>
      <c r="EJ285" s="93"/>
      <c r="EK285" s="93"/>
      <c r="EL285" s="93"/>
      <c r="EM285" s="93"/>
      <c r="EN285" s="93"/>
      <c r="EO285" s="93"/>
      <c r="EP285" s="93"/>
      <c r="EQ285" s="93"/>
      <c r="ER285" s="93"/>
      <c r="ES285" s="93"/>
      <c r="ET285" s="93"/>
      <c r="EU285" s="93"/>
      <c r="EV285" s="93"/>
      <c r="EW285" s="93"/>
      <c r="EX285" s="93"/>
      <c r="EY285" s="93"/>
      <c r="EZ285" s="93"/>
      <c r="FA285" s="93"/>
      <c r="FB285" s="93"/>
      <c r="FC285" s="93"/>
      <c r="FD285" s="93"/>
      <c r="FE285" s="93"/>
      <c r="FF285" s="93"/>
      <c r="FG285" s="93"/>
      <c r="FH285" s="93"/>
      <c r="FI285" s="93"/>
      <c r="FJ285" s="93"/>
      <c r="FK285" s="93"/>
      <c r="FL285" s="93"/>
      <c r="FM285" s="93"/>
      <c r="FN285" s="93"/>
      <c r="FO285" s="93"/>
      <c r="FP285" s="93"/>
      <c r="FQ285" s="93"/>
      <c r="FR285" s="93"/>
      <c r="FS285" s="93"/>
      <c r="FT285" s="93"/>
      <c r="FU285" s="93"/>
      <c r="FV285" s="93"/>
      <c r="FW285" s="93"/>
      <c r="FX285" s="93"/>
      <c r="FY285" s="93"/>
      <c r="FZ285" s="93"/>
      <c r="GA285" s="93"/>
      <c r="GB285" s="93"/>
      <c r="GC285" s="93"/>
      <c r="GD285" s="93"/>
      <c r="GE285" s="93"/>
      <c r="GF285" s="93"/>
      <c r="GG285" s="93">
        <v>0.33269353806781832</v>
      </c>
      <c r="GH285" s="93"/>
      <c r="GI285" s="93"/>
      <c r="GJ285" s="93"/>
      <c r="GK285" s="93"/>
      <c r="GL285" s="93"/>
      <c r="GM285" s="93"/>
      <c r="GN285" s="93"/>
      <c r="GO285" s="93"/>
      <c r="GP285" s="93"/>
      <c r="GQ285" s="93"/>
      <c r="GR285" s="93"/>
      <c r="GS285" s="93"/>
      <c r="GT285" s="93"/>
      <c r="GU285" s="93"/>
      <c r="GV285" s="93"/>
      <c r="GW285" s="93"/>
      <c r="GX285" s="93"/>
      <c r="GY285" s="93"/>
      <c r="GZ285" s="93"/>
      <c r="HA285" s="93"/>
      <c r="HB285" s="93"/>
      <c r="HC285" s="93"/>
      <c r="HD285" s="93"/>
      <c r="HE285" s="93"/>
      <c r="HF285" s="93"/>
      <c r="HG285" s="93"/>
    </row>
    <row r="286" spans="14:215" x14ac:dyDescent="0.2">
      <c r="N286" s="93" t="s">
        <v>503</v>
      </c>
      <c r="O286" s="93"/>
      <c r="P286" s="93"/>
      <c r="Q286" s="93"/>
      <c r="R286" s="93"/>
      <c r="S286" s="93"/>
      <c r="T286" s="93"/>
      <c r="U286" s="93"/>
      <c r="V286" s="93"/>
      <c r="W286" s="93"/>
      <c r="X286" s="93"/>
      <c r="Y286" s="93"/>
      <c r="Z286" s="93"/>
      <c r="AA286" s="93"/>
      <c r="AB286" s="93"/>
      <c r="AC286" s="93"/>
      <c r="AD286" s="93"/>
      <c r="AE286" s="93"/>
      <c r="AF286" s="93"/>
      <c r="AG286" s="93"/>
      <c r="AH286" s="93"/>
      <c r="AI286" s="93"/>
      <c r="AJ286" s="93"/>
      <c r="AK286" s="93"/>
      <c r="AL286" s="93"/>
      <c r="AM286" s="93"/>
      <c r="AN286" s="93"/>
      <c r="AO286" s="93"/>
      <c r="AP286" s="93"/>
      <c r="AQ286" s="93"/>
      <c r="AR286" s="93"/>
      <c r="AS286" s="93"/>
      <c r="AT286" s="93"/>
      <c r="AU286" s="93"/>
      <c r="AV286" s="93"/>
      <c r="AW286" s="93"/>
      <c r="AX286" s="93"/>
      <c r="AY286" s="93"/>
      <c r="AZ286" s="93"/>
      <c r="BA286" s="93"/>
      <c r="BB286" s="93"/>
      <c r="BC286" s="93"/>
      <c r="BD286" s="93"/>
      <c r="BE286" s="93"/>
      <c r="BF286" s="93"/>
      <c r="BG286" s="93"/>
      <c r="BH286" s="93"/>
      <c r="BI286" s="93"/>
      <c r="BJ286" s="93"/>
      <c r="BK286" s="93"/>
      <c r="BL286" s="93"/>
      <c r="BM286" s="93"/>
      <c r="BN286" s="93"/>
      <c r="BO286" s="93"/>
      <c r="BP286" s="93"/>
      <c r="BQ286" s="93"/>
      <c r="BR286" s="93"/>
      <c r="BS286" s="93"/>
      <c r="BT286" s="93"/>
      <c r="BU286" s="93"/>
      <c r="BV286" s="93"/>
      <c r="BW286" s="93"/>
      <c r="BX286" s="93"/>
      <c r="BY286" s="93"/>
      <c r="BZ286" s="93"/>
      <c r="CA286" s="93"/>
      <c r="CB286" s="93"/>
      <c r="CC286" s="93"/>
      <c r="CD286" s="93"/>
      <c r="CE286" s="93"/>
      <c r="CF286" s="93"/>
      <c r="CG286" s="93"/>
      <c r="CH286" s="93"/>
      <c r="CI286" s="93"/>
      <c r="CJ286" s="93"/>
      <c r="CK286" s="93"/>
      <c r="CL286" s="93"/>
      <c r="CM286" s="93"/>
      <c r="CN286" s="93"/>
      <c r="CO286" s="93"/>
      <c r="CP286" s="93"/>
      <c r="CQ286" s="93"/>
      <c r="CR286" s="93"/>
      <c r="CS286" s="93"/>
      <c r="CT286" s="93"/>
      <c r="CU286" s="93"/>
      <c r="CV286" s="93"/>
      <c r="CW286" s="93"/>
      <c r="CX286" s="93"/>
      <c r="CY286" s="93"/>
      <c r="CZ286" s="93"/>
      <c r="DA286" s="93"/>
      <c r="DB286" s="93"/>
      <c r="DC286" s="93"/>
      <c r="DD286" s="93"/>
      <c r="DE286" s="93"/>
      <c r="DF286" s="93"/>
      <c r="DG286" s="93"/>
      <c r="DH286" s="93"/>
      <c r="DI286" s="93"/>
      <c r="DJ286" s="93"/>
      <c r="DK286" s="93"/>
      <c r="DL286" s="93"/>
      <c r="DM286" s="93"/>
      <c r="DN286" s="93"/>
      <c r="DO286" s="93"/>
      <c r="DP286" s="93"/>
      <c r="DQ286" s="93"/>
      <c r="DR286" s="93"/>
      <c r="DS286" s="93"/>
      <c r="DT286" s="93"/>
      <c r="DU286" s="93"/>
      <c r="DV286" s="93"/>
      <c r="DW286" s="93"/>
      <c r="DX286" s="93"/>
      <c r="DY286" s="93"/>
      <c r="DZ286" s="93"/>
      <c r="EA286" s="93"/>
      <c r="EB286" s="93"/>
      <c r="EC286" s="93"/>
      <c r="ED286" s="93"/>
      <c r="EE286" s="93"/>
      <c r="EF286" s="93"/>
      <c r="EG286" s="93"/>
      <c r="EH286" s="93"/>
      <c r="EI286" s="93"/>
      <c r="EJ286" s="93"/>
      <c r="EK286" s="93"/>
      <c r="EL286" s="93"/>
      <c r="EM286" s="93"/>
      <c r="EN286" s="93"/>
      <c r="EO286" s="93"/>
      <c r="EP286" s="93"/>
      <c r="EQ286" s="93"/>
      <c r="ER286" s="93"/>
      <c r="ES286" s="93"/>
      <c r="ET286" s="93"/>
      <c r="EU286" s="93"/>
      <c r="EV286" s="93"/>
      <c r="EW286" s="93"/>
      <c r="EX286" s="93"/>
      <c r="EY286" s="93"/>
      <c r="EZ286" s="93"/>
      <c r="FA286" s="93"/>
      <c r="FB286" s="93"/>
      <c r="FC286" s="93"/>
      <c r="FD286" s="93"/>
      <c r="FE286" s="93"/>
      <c r="FF286" s="93"/>
      <c r="FG286" s="93"/>
      <c r="FH286" s="93"/>
      <c r="FI286" s="93"/>
      <c r="FJ286" s="93"/>
      <c r="FK286" s="93"/>
      <c r="FL286" s="93"/>
      <c r="FM286" s="93"/>
      <c r="FN286" s="93"/>
      <c r="FO286" s="93"/>
      <c r="FP286" s="93"/>
      <c r="FQ286" s="93"/>
      <c r="FR286" s="93"/>
      <c r="FS286" s="93"/>
      <c r="FT286" s="93"/>
      <c r="FU286" s="93"/>
      <c r="FV286" s="93"/>
      <c r="FW286" s="93"/>
      <c r="FX286" s="93"/>
      <c r="FY286" s="93"/>
      <c r="FZ286" s="93"/>
      <c r="GA286" s="93"/>
      <c r="GB286" s="93"/>
      <c r="GC286" s="93"/>
      <c r="GD286" s="93"/>
      <c r="GE286" s="93"/>
      <c r="GF286" s="93"/>
      <c r="GG286" s="93"/>
      <c r="GH286" s="93">
        <v>0.33269720101781169</v>
      </c>
      <c r="GI286" s="93"/>
      <c r="GJ286" s="93"/>
      <c r="GK286" s="93"/>
      <c r="GL286" s="93"/>
      <c r="GM286" s="93"/>
      <c r="GN286" s="93"/>
      <c r="GO286" s="93"/>
      <c r="GP286" s="93"/>
      <c r="GQ286" s="93"/>
      <c r="GR286" s="93"/>
      <c r="GS286" s="93"/>
      <c r="GT286" s="93"/>
      <c r="GU286" s="93"/>
      <c r="GV286" s="93"/>
      <c r="GW286" s="93"/>
      <c r="GX286" s="93"/>
      <c r="GY286" s="93"/>
      <c r="GZ286" s="93"/>
      <c r="HA286" s="93"/>
      <c r="HB286" s="93"/>
      <c r="HC286" s="93"/>
      <c r="HD286" s="93"/>
      <c r="HE286" s="93"/>
      <c r="HF286" s="93"/>
      <c r="HG286" s="93"/>
    </row>
    <row r="287" spans="14:215" x14ac:dyDescent="0.2">
      <c r="N287" s="93" t="s">
        <v>504</v>
      </c>
      <c r="O287" s="93"/>
      <c r="P287" s="93"/>
      <c r="Q287" s="93"/>
      <c r="R287" s="93"/>
      <c r="S287" s="93"/>
      <c r="T287" s="93"/>
      <c r="U287" s="93"/>
      <c r="V287" s="93"/>
      <c r="W287" s="93"/>
      <c r="X287" s="93"/>
      <c r="Y287" s="93"/>
      <c r="Z287" s="93"/>
      <c r="AA287" s="93"/>
      <c r="AB287" s="93"/>
      <c r="AC287" s="93"/>
      <c r="AD287" s="93"/>
      <c r="AE287" s="93"/>
      <c r="AF287" s="93"/>
      <c r="AG287" s="93"/>
      <c r="AH287" s="93"/>
      <c r="AI287" s="93"/>
      <c r="AJ287" s="93"/>
      <c r="AK287" s="93"/>
      <c r="AL287" s="93"/>
      <c r="AM287" s="93"/>
      <c r="AN287" s="93"/>
      <c r="AO287" s="93"/>
      <c r="AP287" s="93"/>
      <c r="AQ287" s="93"/>
      <c r="AR287" s="93"/>
      <c r="AS287" s="93"/>
      <c r="AT287" s="93"/>
      <c r="AU287" s="93"/>
      <c r="AV287" s="93"/>
      <c r="AW287" s="93"/>
      <c r="AX287" s="93"/>
      <c r="AY287" s="93"/>
      <c r="AZ287" s="93"/>
      <c r="BA287" s="93"/>
      <c r="BB287" s="93"/>
      <c r="BC287" s="93"/>
      <c r="BD287" s="93"/>
      <c r="BE287" s="93"/>
      <c r="BF287" s="93"/>
      <c r="BG287" s="93"/>
      <c r="BH287" s="93"/>
      <c r="BI287" s="93"/>
      <c r="BJ287" s="93"/>
      <c r="BK287" s="93"/>
      <c r="BL287" s="93"/>
      <c r="BM287" s="93"/>
      <c r="BN287" s="93"/>
      <c r="BO287" s="93"/>
      <c r="BP287" s="93"/>
      <c r="BQ287" s="93"/>
      <c r="BR287" s="93"/>
      <c r="BS287" s="93"/>
      <c r="BT287" s="93"/>
      <c r="BU287" s="93"/>
      <c r="BV287" s="93"/>
      <c r="BW287" s="93"/>
      <c r="BX287" s="93"/>
      <c r="BY287" s="93"/>
      <c r="BZ287" s="93"/>
      <c r="CA287" s="93"/>
      <c r="CB287" s="93"/>
      <c r="CC287" s="93"/>
      <c r="CD287" s="93"/>
      <c r="CE287" s="93"/>
      <c r="CF287" s="93"/>
      <c r="CG287" s="93"/>
      <c r="CH287" s="93"/>
      <c r="CI287" s="93"/>
      <c r="CJ287" s="93"/>
      <c r="CK287" s="93"/>
      <c r="CL287" s="93"/>
      <c r="CM287" s="93"/>
      <c r="CN287" s="93"/>
      <c r="CO287" s="93"/>
      <c r="CP287" s="93"/>
      <c r="CQ287" s="93"/>
      <c r="CR287" s="93"/>
      <c r="CS287" s="93"/>
      <c r="CT287" s="93"/>
      <c r="CU287" s="93"/>
      <c r="CV287" s="93"/>
      <c r="CW287" s="93"/>
      <c r="CX287" s="93"/>
      <c r="CY287" s="93"/>
      <c r="CZ287" s="93"/>
      <c r="DA287" s="93"/>
      <c r="DB287" s="93"/>
      <c r="DC287" s="93"/>
      <c r="DD287" s="93"/>
      <c r="DE287" s="93"/>
      <c r="DF287" s="93"/>
      <c r="DG287" s="93"/>
      <c r="DH287" s="93"/>
      <c r="DI287" s="93"/>
      <c r="DJ287" s="93"/>
      <c r="DK287" s="93"/>
      <c r="DL287" s="93"/>
      <c r="DM287" s="93"/>
      <c r="DN287" s="93"/>
      <c r="DO287" s="93"/>
      <c r="DP287" s="93"/>
      <c r="DQ287" s="93"/>
      <c r="DR287" s="93"/>
      <c r="DS287" s="93"/>
      <c r="DT287" s="93"/>
      <c r="DU287" s="93"/>
      <c r="DV287" s="93"/>
      <c r="DW287" s="93"/>
      <c r="DX287" s="93"/>
      <c r="DY287" s="93"/>
      <c r="DZ287" s="93"/>
      <c r="EA287" s="93"/>
      <c r="EB287" s="93"/>
      <c r="EC287" s="93"/>
      <c r="ED287" s="93"/>
      <c r="EE287" s="93"/>
      <c r="EF287" s="93"/>
      <c r="EG287" s="93"/>
      <c r="EH287" s="93"/>
      <c r="EI287" s="93"/>
      <c r="EJ287" s="93"/>
      <c r="EK287" s="93"/>
      <c r="EL287" s="93"/>
      <c r="EM287" s="93"/>
      <c r="EN287" s="93"/>
      <c r="EO287" s="93"/>
      <c r="EP287" s="93"/>
      <c r="EQ287" s="93"/>
      <c r="ER287" s="93"/>
      <c r="ES287" s="93"/>
      <c r="ET287" s="93"/>
      <c r="EU287" s="93"/>
      <c r="EV287" s="93"/>
      <c r="EW287" s="93"/>
      <c r="EX287" s="93"/>
      <c r="EY287" s="93"/>
      <c r="EZ287" s="93"/>
      <c r="FA287" s="93"/>
      <c r="FB287" s="93"/>
      <c r="FC287" s="93"/>
      <c r="FD287" s="93"/>
      <c r="FE287" s="93"/>
      <c r="FF287" s="93"/>
      <c r="FG287" s="93"/>
      <c r="FH287" s="93"/>
      <c r="FI287" s="93"/>
      <c r="FJ287" s="93"/>
      <c r="FK287" s="93"/>
      <c r="FL287" s="93"/>
      <c r="FM287" s="93"/>
      <c r="FN287" s="93"/>
      <c r="FO287" s="93"/>
      <c r="FP287" s="93"/>
      <c r="FQ287" s="93"/>
      <c r="FR287" s="93"/>
      <c r="FS287" s="93"/>
      <c r="FT287" s="93"/>
      <c r="FU287" s="93"/>
      <c r="FV287" s="93"/>
      <c r="FW287" s="93"/>
      <c r="FX287" s="93"/>
      <c r="FY287" s="93"/>
      <c r="FZ287" s="93"/>
      <c r="GA287" s="93"/>
      <c r="GB287" s="93"/>
      <c r="GC287" s="93"/>
      <c r="GD287" s="93"/>
      <c r="GE287" s="93"/>
      <c r="GF287" s="93"/>
      <c r="GG287" s="93"/>
      <c r="GH287" s="93"/>
      <c r="GI287" s="93">
        <v>0.33270082226438963</v>
      </c>
      <c r="GJ287" s="93"/>
      <c r="GK287" s="93"/>
      <c r="GL287" s="93"/>
      <c r="GM287" s="93"/>
      <c r="GN287" s="93"/>
      <c r="GO287" s="93"/>
      <c r="GP287" s="93"/>
      <c r="GQ287" s="93"/>
      <c r="GR287" s="93"/>
      <c r="GS287" s="93"/>
      <c r="GT287" s="93"/>
      <c r="GU287" s="93"/>
      <c r="GV287" s="93"/>
      <c r="GW287" s="93"/>
      <c r="GX287" s="93"/>
      <c r="GY287" s="93"/>
      <c r="GZ287" s="93"/>
      <c r="HA287" s="93"/>
      <c r="HB287" s="93"/>
      <c r="HC287" s="93"/>
      <c r="HD287" s="93"/>
      <c r="HE287" s="93"/>
      <c r="HF287" s="93"/>
      <c r="HG287" s="93"/>
    </row>
    <row r="288" spans="14:215" x14ac:dyDescent="0.2">
      <c r="N288" s="93" t="s">
        <v>505</v>
      </c>
      <c r="O288" s="93"/>
      <c r="P288" s="93"/>
      <c r="Q288" s="93"/>
      <c r="R288" s="93"/>
      <c r="S288" s="93"/>
      <c r="T288" s="93"/>
      <c r="U288" s="93"/>
      <c r="V288" s="93"/>
      <c r="W288" s="93"/>
      <c r="X288" s="93"/>
      <c r="Y288" s="93"/>
      <c r="Z288" s="93"/>
      <c r="AA288" s="93"/>
      <c r="AB288" s="93"/>
      <c r="AC288" s="93"/>
      <c r="AD288" s="93"/>
      <c r="AE288" s="93"/>
      <c r="AF288" s="93"/>
      <c r="AG288" s="93"/>
      <c r="AH288" s="93"/>
      <c r="AI288" s="93"/>
      <c r="AJ288" s="93"/>
      <c r="AK288" s="93"/>
      <c r="AL288" s="93"/>
      <c r="AM288" s="93"/>
      <c r="AN288" s="93"/>
      <c r="AO288" s="93"/>
      <c r="AP288" s="93"/>
      <c r="AQ288" s="93"/>
      <c r="AR288" s="93"/>
      <c r="AS288" s="93"/>
      <c r="AT288" s="93"/>
      <c r="AU288" s="93"/>
      <c r="AV288" s="93"/>
      <c r="AW288" s="93"/>
      <c r="AX288" s="93"/>
      <c r="AY288" s="93"/>
      <c r="AZ288" s="93"/>
      <c r="BA288" s="93"/>
      <c r="BB288" s="93"/>
      <c r="BC288" s="93"/>
      <c r="BD288" s="93"/>
      <c r="BE288" s="93"/>
      <c r="BF288" s="93"/>
      <c r="BG288" s="93"/>
      <c r="BH288" s="93"/>
      <c r="BI288" s="93"/>
      <c r="BJ288" s="93"/>
      <c r="BK288" s="93"/>
      <c r="BL288" s="93"/>
      <c r="BM288" s="93"/>
      <c r="BN288" s="93"/>
      <c r="BO288" s="93"/>
      <c r="BP288" s="93"/>
      <c r="BQ288" s="93"/>
      <c r="BR288" s="93"/>
      <c r="BS288" s="93"/>
      <c r="BT288" s="93"/>
      <c r="BU288" s="93"/>
      <c r="BV288" s="93"/>
      <c r="BW288" s="93"/>
      <c r="BX288" s="93"/>
      <c r="BY288" s="93"/>
      <c r="BZ288" s="93"/>
      <c r="CA288" s="93"/>
      <c r="CB288" s="93"/>
      <c r="CC288" s="93"/>
      <c r="CD288" s="93"/>
      <c r="CE288" s="93"/>
      <c r="CF288" s="93"/>
      <c r="CG288" s="93"/>
      <c r="CH288" s="93"/>
      <c r="CI288" s="93"/>
      <c r="CJ288" s="93"/>
      <c r="CK288" s="93"/>
      <c r="CL288" s="93"/>
      <c r="CM288" s="93"/>
      <c r="CN288" s="93"/>
      <c r="CO288" s="93"/>
      <c r="CP288" s="93"/>
      <c r="CQ288" s="93"/>
      <c r="CR288" s="93"/>
      <c r="CS288" s="93"/>
      <c r="CT288" s="93"/>
      <c r="CU288" s="93"/>
      <c r="CV288" s="93"/>
      <c r="CW288" s="93"/>
      <c r="CX288" s="93"/>
      <c r="CY288" s="93"/>
      <c r="CZ288" s="93"/>
      <c r="DA288" s="93"/>
      <c r="DB288" s="93"/>
      <c r="DC288" s="93"/>
      <c r="DD288" s="93"/>
      <c r="DE288" s="93"/>
      <c r="DF288" s="93"/>
      <c r="DG288" s="93"/>
      <c r="DH288" s="93"/>
      <c r="DI288" s="93"/>
      <c r="DJ288" s="93"/>
      <c r="DK288" s="93"/>
      <c r="DL288" s="93"/>
      <c r="DM288" s="93"/>
      <c r="DN288" s="93"/>
      <c r="DO288" s="93"/>
      <c r="DP288" s="93"/>
      <c r="DQ288" s="93"/>
      <c r="DR288" s="93"/>
      <c r="DS288" s="93"/>
      <c r="DT288" s="93"/>
      <c r="DU288" s="93"/>
      <c r="DV288" s="93"/>
      <c r="DW288" s="93"/>
      <c r="DX288" s="93"/>
      <c r="DY288" s="93"/>
      <c r="DZ288" s="93"/>
      <c r="EA288" s="93"/>
      <c r="EB288" s="93"/>
      <c r="EC288" s="93"/>
      <c r="ED288" s="93"/>
      <c r="EE288" s="93"/>
      <c r="EF288" s="93"/>
      <c r="EG288" s="93"/>
      <c r="EH288" s="93"/>
      <c r="EI288" s="93"/>
      <c r="EJ288" s="93"/>
      <c r="EK288" s="93"/>
      <c r="EL288" s="93"/>
      <c r="EM288" s="93"/>
      <c r="EN288" s="93"/>
      <c r="EO288" s="93"/>
      <c r="EP288" s="93"/>
      <c r="EQ288" s="93"/>
      <c r="ER288" s="93"/>
      <c r="ES288" s="93"/>
      <c r="ET288" s="93"/>
      <c r="EU288" s="93"/>
      <c r="EV288" s="93"/>
      <c r="EW288" s="93"/>
      <c r="EX288" s="93"/>
      <c r="EY288" s="93"/>
      <c r="EZ288" s="93"/>
      <c r="FA288" s="93"/>
      <c r="FB288" s="93"/>
      <c r="FC288" s="93"/>
      <c r="FD288" s="93"/>
      <c r="FE288" s="93"/>
      <c r="FF288" s="93"/>
      <c r="FG288" s="93"/>
      <c r="FH288" s="93"/>
      <c r="FI288" s="93"/>
      <c r="FJ288" s="93"/>
      <c r="FK288" s="93"/>
      <c r="FL288" s="93"/>
      <c r="FM288" s="93"/>
      <c r="FN288" s="93"/>
      <c r="FO288" s="93"/>
      <c r="FP288" s="93"/>
      <c r="FQ288" s="93"/>
      <c r="FR288" s="93"/>
      <c r="FS288" s="93"/>
      <c r="FT288" s="93"/>
      <c r="FU288" s="93"/>
      <c r="FV288" s="93"/>
      <c r="FW288" s="93"/>
      <c r="FX288" s="93"/>
      <c r="FY288" s="93"/>
      <c r="FZ288" s="93"/>
      <c r="GA288" s="93"/>
      <c r="GB288" s="93"/>
      <c r="GC288" s="93"/>
      <c r="GD288" s="93"/>
      <c r="GE288" s="93"/>
      <c r="GF288" s="93"/>
      <c r="GG288" s="93"/>
      <c r="GH288" s="93"/>
      <c r="GI288" s="93"/>
      <c r="GJ288" s="93">
        <v>0.33270440251572325</v>
      </c>
      <c r="GK288" s="93"/>
      <c r="GL288" s="93"/>
      <c r="GM288" s="93"/>
      <c r="GN288" s="93"/>
      <c r="GO288" s="93"/>
      <c r="GP288" s="93"/>
      <c r="GQ288" s="93"/>
      <c r="GR288" s="93"/>
      <c r="GS288" s="93"/>
      <c r="GT288" s="93"/>
      <c r="GU288" s="93"/>
      <c r="GV288" s="93"/>
      <c r="GW288" s="93"/>
      <c r="GX288" s="93"/>
      <c r="GY288" s="93"/>
      <c r="GZ288" s="93"/>
      <c r="HA288" s="93"/>
      <c r="HB288" s="93"/>
      <c r="HC288" s="93"/>
      <c r="HD288" s="93"/>
      <c r="HE288" s="93"/>
      <c r="HF288" s="93"/>
      <c r="HG288" s="93"/>
    </row>
    <row r="289" spans="14:215" x14ac:dyDescent="0.2">
      <c r="N289" s="93" t="s">
        <v>506</v>
      </c>
      <c r="O289" s="93"/>
      <c r="P289" s="93"/>
      <c r="Q289" s="93"/>
      <c r="R289" s="93"/>
      <c r="S289" s="93"/>
      <c r="T289" s="93"/>
      <c r="U289" s="93"/>
      <c r="V289" s="93"/>
      <c r="W289" s="93"/>
      <c r="X289" s="93"/>
      <c r="Y289" s="93"/>
      <c r="Z289" s="93"/>
      <c r="AA289" s="93"/>
      <c r="AB289" s="93"/>
      <c r="AC289" s="93"/>
      <c r="AD289" s="93"/>
      <c r="AE289" s="93"/>
      <c r="AF289" s="93"/>
      <c r="AG289" s="93"/>
      <c r="AH289" s="93"/>
      <c r="AI289" s="93"/>
      <c r="AJ289" s="93"/>
      <c r="AK289" s="93"/>
      <c r="AL289" s="93"/>
      <c r="AM289" s="93"/>
      <c r="AN289" s="93"/>
      <c r="AO289" s="93"/>
      <c r="AP289" s="93"/>
      <c r="AQ289" s="93"/>
      <c r="AR289" s="93"/>
      <c r="AS289" s="93"/>
      <c r="AT289" s="93"/>
      <c r="AU289" s="93"/>
      <c r="AV289" s="93"/>
      <c r="AW289" s="93"/>
      <c r="AX289" s="93"/>
      <c r="AY289" s="93"/>
      <c r="AZ289" s="93"/>
      <c r="BA289" s="93"/>
      <c r="BB289" s="93"/>
      <c r="BC289" s="93"/>
      <c r="BD289" s="93"/>
      <c r="BE289" s="93"/>
      <c r="BF289" s="93"/>
      <c r="BG289" s="93"/>
      <c r="BH289" s="93"/>
      <c r="BI289" s="93"/>
      <c r="BJ289" s="93"/>
      <c r="BK289" s="93"/>
      <c r="BL289" s="93"/>
      <c r="BM289" s="93"/>
      <c r="BN289" s="93"/>
      <c r="BO289" s="93"/>
      <c r="BP289" s="93"/>
      <c r="BQ289" s="93"/>
      <c r="BR289" s="93"/>
      <c r="BS289" s="93"/>
      <c r="BT289" s="93"/>
      <c r="BU289" s="93"/>
      <c r="BV289" s="93"/>
      <c r="BW289" s="93"/>
      <c r="BX289" s="93"/>
      <c r="BY289" s="93"/>
      <c r="BZ289" s="93"/>
      <c r="CA289" s="93"/>
      <c r="CB289" s="93"/>
      <c r="CC289" s="93"/>
      <c r="CD289" s="93"/>
      <c r="CE289" s="93"/>
      <c r="CF289" s="93"/>
      <c r="CG289" s="93"/>
      <c r="CH289" s="93"/>
      <c r="CI289" s="93"/>
      <c r="CJ289" s="93"/>
      <c r="CK289" s="93"/>
      <c r="CL289" s="93"/>
      <c r="CM289" s="93"/>
      <c r="CN289" s="93"/>
      <c r="CO289" s="93"/>
      <c r="CP289" s="93"/>
      <c r="CQ289" s="93"/>
      <c r="CR289" s="93"/>
      <c r="CS289" s="93"/>
      <c r="CT289" s="93"/>
      <c r="CU289" s="93"/>
      <c r="CV289" s="93"/>
      <c r="CW289" s="93"/>
      <c r="CX289" s="93"/>
      <c r="CY289" s="93"/>
      <c r="CZ289" s="93"/>
      <c r="DA289" s="93"/>
      <c r="DB289" s="93"/>
      <c r="DC289" s="93"/>
      <c r="DD289" s="93"/>
      <c r="DE289" s="93"/>
      <c r="DF289" s="93"/>
      <c r="DG289" s="93"/>
      <c r="DH289" s="93"/>
      <c r="DI289" s="93"/>
      <c r="DJ289" s="93"/>
      <c r="DK289" s="93"/>
      <c r="DL289" s="93"/>
      <c r="DM289" s="93"/>
      <c r="DN289" s="93"/>
      <c r="DO289" s="93"/>
      <c r="DP289" s="93"/>
      <c r="DQ289" s="93"/>
      <c r="DR289" s="93"/>
      <c r="DS289" s="93"/>
      <c r="DT289" s="93"/>
      <c r="DU289" s="93"/>
      <c r="DV289" s="93"/>
      <c r="DW289" s="93"/>
      <c r="DX289" s="93"/>
      <c r="DY289" s="93"/>
      <c r="DZ289" s="93"/>
      <c r="EA289" s="93"/>
      <c r="EB289" s="93"/>
      <c r="EC289" s="93"/>
      <c r="ED289" s="93"/>
      <c r="EE289" s="93"/>
      <c r="EF289" s="93"/>
      <c r="EG289" s="93"/>
      <c r="EH289" s="93"/>
      <c r="EI289" s="93"/>
      <c r="EJ289" s="93"/>
      <c r="EK289" s="93"/>
      <c r="EL289" s="93"/>
      <c r="EM289" s="93"/>
      <c r="EN289" s="93"/>
      <c r="EO289" s="93"/>
      <c r="EP289" s="93"/>
      <c r="EQ289" s="93"/>
      <c r="ER289" s="93"/>
      <c r="ES289" s="93"/>
      <c r="ET289" s="93"/>
      <c r="EU289" s="93"/>
      <c r="EV289" s="93"/>
      <c r="EW289" s="93"/>
      <c r="EX289" s="93"/>
      <c r="EY289" s="93"/>
      <c r="EZ289" s="93"/>
      <c r="FA289" s="93"/>
      <c r="FB289" s="93"/>
      <c r="FC289" s="93"/>
      <c r="FD289" s="93"/>
      <c r="FE289" s="93"/>
      <c r="FF289" s="93"/>
      <c r="FG289" s="93"/>
      <c r="FH289" s="93"/>
      <c r="FI289" s="93"/>
      <c r="FJ289" s="93"/>
      <c r="FK289" s="93"/>
      <c r="FL289" s="93"/>
      <c r="FM289" s="93"/>
      <c r="FN289" s="93"/>
      <c r="FO289" s="93"/>
      <c r="FP289" s="93"/>
      <c r="FQ289" s="93"/>
      <c r="FR289" s="93"/>
      <c r="FS289" s="93"/>
      <c r="FT289" s="93"/>
      <c r="FU289" s="93"/>
      <c r="FV289" s="93"/>
      <c r="FW289" s="93"/>
      <c r="FX289" s="93"/>
      <c r="FY289" s="93"/>
      <c r="FZ289" s="93"/>
      <c r="GA289" s="93"/>
      <c r="GB289" s="93"/>
      <c r="GC289" s="93"/>
      <c r="GD289" s="93"/>
      <c r="GE289" s="93"/>
      <c r="GF289" s="93"/>
      <c r="GG289" s="93"/>
      <c r="GH289" s="93"/>
      <c r="GI289" s="93"/>
      <c r="GJ289" s="93"/>
      <c r="GK289" s="93">
        <v>0.33270794246404001</v>
      </c>
      <c r="GL289" s="93"/>
      <c r="GM289" s="93"/>
      <c r="GN289" s="93"/>
      <c r="GO289" s="93"/>
      <c r="GP289" s="93"/>
      <c r="GQ289" s="93"/>
      <c r="GR289" s="93"/>
      <c r="GS289" s="93"/>
      <c r="GT289" s="93"/>
      <c r="GU289" s="93"/>
      <c r="GV289" s="93"/>
      <c r="GW289" s="93"/>
      <c r="GX289" s="93"/>
      <c r="GY289" s="93"/>
      <c r="GZ289" s="93"/>
      <c r="HA289" s="93"/>
      <c r="HB289" s="93"/>
      <c r="HC289" s="93"/>
      <c r="HD289" s="93"/>
      <c r="HE289" s="93"/>
      <c r="HF289" s="93"/>
      <c r="HG289" s="93"/>
    </row>
    <row r="290" spans="14:215" x14ac:dyDescent="0.2">
      <c r="N290" s="93" t="s">
        <v>507</v>
      </c>
      <c r="O290" s="93"/>
      <c r="P290" s="93"/>
      <c r="Q290" s="93"/>
      <c r="R290" s="93"/>
      <c r="S290" s="93"/>
      <c r="T290" s="93"/>
      <c r="U290" s="93"/>
      <c r="V290" s="93"/>
      <c r="W290" s="93"/>
      <c r="X290" s="93"/>
      <c r="Y290" s="93"/>
      <c r="Z290" s="93"/>
      <c r="AA290" s="93"/>
      <c r="AB290" s="93"/>
      <c r="AC290" s="93"/>
      <c r="AD290" s="93"/>
      <c r="AE290" s="93"/>
      <c r="AF290" s="93"/>
      <c r="AG290" s="93"/>
      <c r="AH290" s="93"/>
      <c r="AI290" s="93"/>
      <c r="AJ290" s="93"/>
      <c r="AK290" s="93"/>
      <c r="AL290" s="93"/>
      <c r="AM290" s="93"/>
      <c r="AN290" s="93"/>
      <c r="AO290" s="93"/>
      <c r="AP290" s="93"/>
      <c r="AQ290" s="93"/>
      <c r="AR290" s="93"/>
      <c r="AS290" s="93"/>
      <c r="AT290" s="93"/>
      <c r="AU290" s="93"/>
      <c r="AV290" s="93"/>
      <c r="AW290" s="93"/>
      <c r="AX290" s="93"/>
      <c r="AY290" s="93"/>
      <c r="AZ290" s="93"/>
      <c r="BA290" s="93"/>
      <c r="BB290" s="93"/>
      <c r="BC290" s="93"/>
      <c r="BD290" s="93"/>
      <c r="BE290" s="93"/>
      <c r="BF290" s="93"/>
      <c r="BG290" s="93"/>
      <c r="BH290" s="93"/>
      <c r="BI290" s="93"/>
      <c r="BJ290" s="93"/>
      <c r="BK290" s="93"/>
      <c r="BL290" s="93"/>
      <c r="BM290" s="93"/>
      <c r="BN290" s="93"/>
      <c r="BO290" s="93"/>
      <c r="BP290" s="93"/>
      <c r="BQ290" s="93"/>
      <c r="BR290" s="93"/>
      <c r="BS290" s="93"/>
      <c r="BT290" s="93"/>
      <c r="BU290" s="93"/>
      <c r="BV290" s="93"/>
      <c r="BW290" s="93"/>
      <c r="BX290" s="93"/>
      <c r="BY290" s="93"/>
      <c r="BZ290" s="93"/>
      <c r="CA290" s="93"/>
      <c r="CB290" s="93"/>
      <c r="CC290" s="93"/>
      <c r="CD290" s="93"/>
      <c r="CE290" s="93"/>
      <c r="CF290" s="93"/>
      <c r="CG290" s="93"/>
      <c r="CH290" s="93"/>
      <c r="CI290" s="93"/>
      <c r="CJ290" s="93"/>
      <c r="CK290" s="93"/>
      <c r="CL290" s="93"/>
      <c r="CM290" s="93"/>
      <c r="CN290" s="93"/>
      <c r="CO290" s="93"/>
      <c r="CP290" s="93"/>
      <c r="CQ290" s="93"/>
      <c r="CR290" s="93"/>
      <c r="CS290" s="93"/>
      <c r="CT290" s="93"/>
      <c r="CU290" s="93"/>
      <c r="CV290" s="93"/>
      <c r="CW290" s="93"/>
      <c r="CX290" s="93"/>
      <c r="CY290" s="93"/>
      <c r="CZ290" s="93"/>
      <c r="DA290" s="93"/>
      <c r="DB290" s="93"/>
      <c r="DC290" s="93"/>
      <c r="DD290" s="93"/>
      <c r="DE290" s="93"/>
      <c r="DF290" s="93"/>
      <c r="DG290" s="93"/>
      <c r="DH290" s="93"/>
      <c r="DI290" s="93"/>
      <c r="DJ290" s="93"/>
      <c r="DK290" s="93"/>
      <c r="DL290" s="93"/>
      <c r="DM290" s="93"/>
      <c r="DN290" s="93"/>
      <c r="DO290" s="93"/>
      <c r="DP290" s="93"/>
      <c r="DQ290" s="93"/>
      <c r="DR290" s="93"/>
      <c r="DS290" s="93"/>
      <c r="DT290" s="93"/>
      <c r="DU290" s="93"/>
      <c r="DV290" s="93"/>
      <c r="DW290" s="93"/>
      <c r="DX290" s="93"/>
      <c r="DY290" s="93"/>
      <c r="DZ290" s="93"/>
      <c r="EA290" s="93"/>
      <c r="EB290" s="93"/>
      <c r="EC290" s="93"/>
      <c r="ED290" s="93"/>
      <c r="EE290" s="93"/>
      <c r="EF290" s="93"/>
      <c r="EG290" s="93"/>
      <c r="EH290" s="93"/>
      <c r="EI290" s="93"/>
      <c r="EJ290" s="93"/>
      <c r="EK290" s="93"/>
      <c r="EL290" s="93"/>
      <c r="EM290" s="93"/>
      <c r="EN290" s="93"/>
      <c r="EO290" s="93"/>
      <c r="EP290" s="93"/>
      <c r="EQ290" s="93"/>
      <c r="ER290" s="93"/>
      <c r="ES290" s="93"/>
      <c r="ET290" s="93"/>
      <c r="EU290" s="93"/>
      <c r="EV290" s="93"/>
      <c r="EW290" s="93"/>
      <c r="EX290" s="93"/>
      <c r="EY290" s="93"/>
      <c r="EZ290" s="93"/>
      <c r="FA290" s="93"/>
      <c r="FB290" s="93"/>
      <c r="FC290" s="93"/>
      <c r="FD290" s="93"/>
      <c r="FE290" s="93"/>
      <c r="FF290" s="93"/>
      <c r="FG290" s="93"/>
      <c r="FH290" s="93"/>
      <c r="FI290" s="93"/>
      <c r="FJ290" s="93"/>
      <c r="FK290" s="93"/>
      <c r="FL290" s="93"/>
      <c r="FM290" s="93"/>
      <c r="FN290" s="93"/>
      <c r="FO290" s="93"/>
      <c r="FP290" s="93"/>
      <c r="FQ290" s="93"/>
      <c r="FR290" s="93"/>
      <c r="FS290" s="93"/>
      <c r="FT290" s="93"/>
      <c r="FU290" s="93"/>
      <c r="FV290" s="93"/>
      <c r="FW290" s="93"/>
      <c r="FX290" s="93"/>
      <c r="FY290" s="93"/>
      <c r="FZ290" s="93"/>
      <c r="GA290" s="93"/>
      <c r="GB290" s="93"/>
      <c r="GC290" s="93"/>
      <c r="GD290" s="93"/>
      <c r="GE290" s="93"/>
      <c r="GF290" s="93"/>
      <c r="GG290" s="93"/>
      <c r="GH290" s="93"/>
      <c r="GI290" s="93"/>
      <c r="GJ290" s="93"/>
      <c r="GK290" s="93"/>
      <c r="GL290" s="93">
        <v>0.33271144278606968</v>
      </c>
      <c r="GM290" s="93"/>
      <c r="GN290" s="93"/>
      <c r="GO290" s="93"/>
      <c r="GP290" s="93"/>
      <c r="GQ290" s="93"/>
      <c r="GR290" s="93"/>
      <c r="GS290" s="93"/>
      <c r="GT290" s="93"/>
      <c r="GU290" s="93"/>
      <c r="GV290" s="93"/>
      <c r="GW290" s="93"/>
      <c r="GX290" s="93"/>
      <c r="GY290" s="93"/>
      <c r="GZ290" s="93"/>
      <c r="HA290" s="93"/>
      <c r="HB290" s="93"/>
      <c r="HC290" s="93"/>
      <c r="HD290" s="93"/>
      <c r="HE290" s="93"/>
      <c r="HF290" s="93"/>
      <c r="HG290" s="93"/>
    </row>
    <row r="291" spans="14:215" x14ac:dyDescent="0.2">
      <c r="N291" s="93" t="s">
        <v>508</v>
      </c>
      <c r="O291" s="93"/>
      <c r="P291" s="93"/>
      <c r="Q291" s="93"/>
      <c r="R291" s="93"/>
      <c r="S291" s="93"/>
      <c r="T291" s="93"/>
      <c r="U291" s="93"/>
      <c r="V291" s="93"/>
      <c r="W291" s="93"/>
      <c r="X291" s="93"/>
      <c r="Y291" s="93"/>
      <c r="Z291" s="93"/>
      <c r="AA291" s="93"/>
      <c r="AB291" s="93"/>
      <c r="AC291" s="93"/>
      <c r="AD291" s="93"/>
      <c r="AE291" s="93"/>
      <c r="AF291" s="93"/>
      <c r="AG291" s="93"/>
      <c r="AH291" s="93"/>
      <c r="AI291" s="93"/>
      <c r="AJ291" s="93"/>
      <c r="AK291" s="93"/>
      <c r="AL291" s="93"/>
      <c r="AM291" s="93"/>
      <c r="AN291" s="93"/>
      <c r="AO291" s="93"/>
      <c r="AP291" s="93"/>
      <c r="AQ291" s="93"/>
      <c r="AR291" s="93"/>
      <c r="AS291" s="93"/>
      <c r="AT291" s="93"/>
      <c r="AU291" s="93"/>
      <c r="AV291" s="93"/>
      <c r="AW291" s="93"/>
      <c r="AX291" s="93"/>
      <c r="AY291" s="93"/>
      <c r="AZ291" s="93"/>
      <c r="BA291" s="93"/>
      <c r="BB291" s="93"/>
      <c r="BC291" s="93"/>
      <c r="BD291" s="93"/>
      <c r="BE291" s="93"/>
      <c r="BF291" s="93"/>
      <c r="BG291" s="93"/>
      <c r="BH291" s="93"/>
      <c r="BI291" s="93"/>
      <c r="BJ291" s="93"/>
      <c r="BK291" s="93"/>
      <c r="BL291" s="93"/>
      <c r="BM291" s="93"/>
      <c r="BN291" s="93"/>
      <c r="BO291" s="93"/>
      <c r="BP291" s="93"/>
      <c r="BQ291" s="93"/>
      <c r="BR291" s="93"/>
      <c r="BS291" s="93"/>
      <c r="BT291" s="93"/>
      <c r="BU291" s="93"/>
      <c r="BV291" s="93"/>
      <c r="BW291" s="93"/>
      <c r="BX291" s="93"/>
      <c r="BY291" s="93"/>
      <c r="BZ291" s="93"/>
      <c r="CA291" s="93"/>
      <c r="CB291" s="93"/>
      <c r="CC291" s="93"/>
      <c r="CD291" s="93"/>
      <c r="CE291" s="93"/>
      <c r="CF291" s="93"/>
      <c r="CG291" s="93"/>
      <c r="CH291" s="93"/>
      <c r="CI291" s="93"/>
      <c r="CJ291" s="93"/>
      <c r="CK291" s="93"/>
      <c r="CL291" s="93"/>
      <c r="CM291" s="93"/>
      <c r="CN291" s="93"/>
      <c r="CO291" s="93"/>
      <c r="CP291" s="93"/>
      <c r="CQ291" s="93"/>
      <c r="CR291" s="93"/>
      <c r="CS291" s="93"/>
      <c r="CT291" s="93"/>
      <c r="CU291" s="93"/>
      <c r="CV291" s="93"/>
      <c r="CW291" s="93"/>
      <c r="CX291" s="93"/>
      <c r="CY291" s="93"/>
      <c r="CZ291" s="93"/>
      <c r="DA291" s="93"/>
      <c r="DB291" s="93"/>
      <c r="DC291" s="93"/>
      <c r="DD291" s="93"/>
      <c r="DE291" s="93"/>
      <c r="DF291" s="93"/>
      <c r="DG291" s="93"/>
      <c r="DH291" s="93"/>
      <c r="DI291" s="93"/>
      <c r="DJ291" s="93"/>
      <c r="DK291" s="93"/>
      <c r="DL291" s="93"/>
      <c r="DM291" s="93"/>
      <c r="DN291" s="93"/>
      <c r="DO291" s="93"/>
      <c r="DP291" s="93"/>
      <c r="DQ291" s="93"/>
      <c r="DR291" s="93"/>
      <c r="DS291" s="93"/>
      <c r="DT291" s="93"/>
      <c r="DU291" s="93"/>
      <c r="DV291" s="93"/>
      <c r="DW291" s="93"/>
      <c r="DX291" s="93"/>
      <c r="DY291" s="93"/>
      <c r="DZ291" s="93"/>
      <c r="EA291" s="93"/>
      <c r="EB291" s="93"/>
      <c r="EC291" s="93"/>
      <c r="ED291" s="93"/>
      <c r="EE291" s="93"/>
      <c r="EF291" s="93"/>
      <c r="EG291" s="93"/>
      <c r="EH291" s="93"/>
      <c r="EI291" s="93"/>
      <c r="EJ291" s="93"/>
      <c r="EK291" s="93"/>
      <c r="EL291" s="93"/>
      <c r="EM291" s="93"/>
      <c r="EN291" s="93"/>
      <c r="EO291" s="93"/>
      <c r="EP291" s="93"/>
      <c r="EQ291" s="93"/>
      <c r="ER291" s="93"/>
      <c r="ES291" s="93"/>
      <c r="ET291" s="93"/>
      <c r="EU291" s="93"/>
      <c r="EV291" s="93"/>
      <c r="EW291" s="93"/>
      <c r="EX291" s="93"/>
      <c r="EY291" s="93"/>
      <c r="EZ291" s="93"/>
      <c r="FA291" s="93"/>
      <c r="FB291" s="93"/>
      <c r="FC291" s="93"/>
      <c r="FD291" s="93"/>
      <c r="FE291" s="93"/>
      <c r="FF291" s="93"/>
      <c r="FG291" s="93"/>
      <c r="FH291" s="93"/>
      <c r="FI291" s="93"/>
      <c r="FJ291" s="93"/>
      <c r="FK291" s="93"/>
      <c r="FL291" s="93"/>
      <c r="FM291" s="93"/>
      <c r="FN291" s="93"/>
      <c r="FO291" s="93"/>
      <c r="FP291" s="93"/>
      <c r="FQ291" s="93"/>
      <c r="FR291" s="93"/>
      <c r="FS291" s="93"/>
      <c r="FT291" s="93"/>
      <c r="FU291" s="93"/>
      <c r="FV291" s="93"/>
      <c r="FW291" s="93"/>
      <c r="FX291" s="93"/>
      <c r="FY291" s="93"/>
      <c r="FZ291" s="93"/>
      <c r="GA291" s="93"/>
      <c r="GB291" s="93"/>
      <c r="GC291" s="93"/>
      <c r="GD291" s="93"/>
      <c r="GE291" s="93"/>
      <c r="GF291" s="93"/>
      <c r="GG291" s="93"/>
      <c r="GH291" s="93"/>
      <c r="GI291" s="93"/>
      <c r="GJ291" s="93"/>
      <c r="GK291" s="93"/>
      <c r="GL291" s="93"/>
      <c r="GM291" s="93">
        <v>0.3327149041434756</v>
      </c>
      <c r="GN291" s="93"/>
      <c r="GO291" s="93"/>
      <c r="GP291" s="93"/>
      <c r="GQ291" s="93"/>
      <c r="GR291" s="93"/>
      <c r="GS291" s="93"/>
      <c r="GT291" s="93"/>
      <c r="GU291" s="93"/>
      <c r="GV291" s="93"/>
      <c r="GW291" s="93"/>
      <c r="GX291" s="93"/>
      <c r="GY291" s="93"/>
      <c r="GZ291" s="93"/>
      <c r="HA291" s="93"/>
      <c r="HB291" s="93"/>
      <c r="HC291" s="93"/>
      <c r="HD291" s="93"/>
      <c r="HE291" s="93"/>
      <c r="HF291" s="93"/>
      <c r="HG291" s="93"/>
    </row>
    <row r="292" spans="14:215" x14ac:dyDescent="0.2">
      <c r="N292" s="93" t="s">
        <v>509</v>
      </c>
      <c r="O292" s="93"/>
      <c r="P292" s="93"/>
      <c r="Q292" s="93"/>
      <c r="R292" s="93"/>
      <c r="S292" s="93"/>
      <c r="T292" s="93"/>
      <c r="U292" s="93"/>
      <c r="V292" s="93"/>
      <c r="W292" s="93"/>
      <c r="X292" s="93"/>
      <c r="Y292" s="93"/>
      <c r="Z292" s="93"/>
      <c r="AA292" s="93"/>
      <c r="AB292" s="93"/>
      <c r="AC292" s="93"/>
      <c r="AD292" s="93"/>
      <c r="AE292" s="93"/>
      <c r="AF292" s="93"/>
      <c r="AG292" s="93"/>
      <c r="AH292" s="93"/>
      <c r="AI292" s="93"/>
      <c r="AJ292" s="93"/>
      <c r="AK292" s="93"/>
      <c r="AL292" s="93"/>
      <c r="AM292" s="93"/>
      <c r="AN292" s="93"/>
      <c r="AO292" s="93"/>
      <c r="AP292" s="93"/>
      <c r="AQ292" s="93"/>
      <c r="AR292" s="93"/>
      <c r="AS292" s="93"/>
      <c r="AT292" s="93"/>
      <c r="AU292" s="93"/>
      <c r="AV292" s="93"/>
      <c r="AW292" s="93"/>
      <c r="AX292" s="93"/>
      <c r="AY292" s="93"/>
      <c r="AZ292" s="93"/>
      <c r="BA292" s="93"/>
      <c r="BB292" s="93"/>
      <c r="BC292" s="93"/>
      <c r="BD292" s="93"/>
      <c r="BE292" s="93"/>
      <c r="BF292" s="93"/>
      <c r="BG292" s="93"/>
      <c r="BH292" s="93"/>
      <c r="BI292" s="93"/>
      <c r="BJ292" s="93"/>
      <c r="BK292" s="93"/>
      <c r="BL292" s="93"/>
      <c r="BM292" s="93"/>
      <c r="BN292" s="93"/>
      <c r="BO292" s="93"/>
      <c r="BP292" s="93"/>
      <c r="BQ292" s="93"/>
      <c r="BR292" s="93"/>
      <c r="BS292" s="93"/>
      <c r="BT292" s="93"/>
      <c r="BU292" s="93"/>
      <c r="BV292" s="93"/>
      <c r="BW292" s="93"/>
      <c r="BX292" s="93"/>
      <c r="BY292" s="93"/>
      <c r="BZ292" s="93"/>
      <c r="CA292" s="93"/>
      <c r="CB292" s="93"/>
      <c r="CC292" s="93"/>
      <c r="CD292" s="93"/>
      <c r="CE292" s="93"/>
      <c r="CF292" s="93"/>
      <c r="CG292" s="93"/>
      <c r="CH292" s="93"/>
      <c r="CI292" s="93"/>
      <c r="CJ292" s="93"/>
      <c r="CK292" s="93"/>
      <c r="CL292" s="93"/>
      <c r="CM292" s="93"/>
      <c r="CN292" s="93"/>
      <c r="CO292" s="93"/>
      <c r="CP292" s="93"/>
      <c r="CQ292" s="93"/>
      <c r="CR292" s="93"/>
      <c r="CS292" s="93"/>
      <c r="CT292" s="93"/>
      <c r="CU292" s="93"/>
      <c r="CV292" s="93"/>
      <c r="CW292" s="93"/>
      <c r="CX292" s="93"/>
      <c r="CY292" s="93"/>
      <c r="CZ292" s="93"/>
      <c r="DA292" s="93"/>
      <c r="DB292" s="93"/>
      <c r="DC292" s="93"/>
      <c r="DD292" s="93"/>
      <c r="DE292" s="93"/>
      <c r="DF292" s="93"/>
      <c r="DG292" s="93"/>
      <c r="DH292" s="93"/>
      <c r="DI292" s="93"/>
      <c r="DJ292" s="93"/>
      <c r="DK292" s="93"/>
      <c r="DL292" s="93"/>
      <c r="DM292" s="93"/>
      <c r="DN292" s="93"/>
      <c r="DO292" s="93"/>
      <c r="DP292" s="93"/>
      <c r="DQ292" s="93"/>
      <c r="DR292" s="93"/>
      <c r="DS292" s="93"/>
      <c r="DT292" s="93"/>
      <c r="DU292" s="93"/>
      <c r="DV292" s="93"/>
      <c r="DW292" s="93"/>
      <c r="DX292" s="93"/>
      <c r="DY292" s="93"/>
      <c r="DZ292" s="93"/>
      <c r="EA292" s="93"/>
      <c r="EB292" s="93"/>
      <c r="EC292" s="93"/>
      <c r="ED292" s="93"/>
      <c r="EE292" s="93"/>
      <c r="EF292" s="93"/>
      <c r="EG292" s="93"/>
      <c r="EH292" s="93"/>
      <c r="EI292" s="93"/>
      <c r="EJ292" s="93"/>
      <c r="EK292" s="93"/>
      <c r="EL292" s="93"/>
      <c r="EM292" s="93"/>
      <c r="EN292" s="93"/>
      <c r="EO292" s="93"/>
      <c r="EP292" s="93"/>
      <c r="EQ292" s="93"/>
      <c r="ER292" s="93"/>
      <c r="ES292" s="93"/>
      <c r="ET292" s="93"/>
      <c r="EU292" s="93"/>
      <c r="EV292" s="93"/>
      <c r="EW292" s="93"/>
      <c r="EX292" s="93"/>
      <c r="EY292" s="93"/>
      <c r="EZ292" s="93"/>
      <c r="FA292" s="93"/>
      <c r="FB292" s="93"/>
      <c r="FC292" s="93"/>
      <c r="FD292" s="93"/>
      <c r="FE292" s="93"/>
      <c r="FF292" s="93"/>
      <c r="FG292" s="93"/>
      <c r="FH292" s="93"/>
      <c r="FI292" s="93"/>
      <c r="FJ292" s="93"/>
      <c r="FK292" s="93"/>
      <c r="FL292" s="93"/>
      <c r="FM292" s="93"/>
      <c r="FN292" s="93"/>
      <c r="FO292" s="93"/>
      <c r="FP292" s="93"/>
      <c r="FQ292" s="93"/>
      <c r="FR292" s="93"/>
      <c r="FS292" s="93"/>
      <c r="FT292" s="93"/>
      <c r="FU292" s="93"/>
      <c r="FV292" s="93"/>
      <c r="FW292" s="93"/>
      <c r="FX292" s="93"/>
      <c r="FY292" s="93"/>
      <c r="FZ292" s="93"/>
      <c r="GA292" s="93"/>
      <c r="GB292" s="93"/>
      <c r="GC292" s="93"/>
      <c r="GD292" s="93"/>
      <c r="GE292" s="93"/>
      <c r="GF292" s="93"/>
      <c r="GG292" s="93"/>
      <c r="GH292" s="93"/>
      <c r="GI292" s="93"/>
      <c r="GJ292" s="93"/>
      <c r="GK292" s="93"/>
      <c r="GL292" s="93"/>
      <c r="GM292" s="93"/>
      <c r="GN292" s="93">
        <v>0.33271832718327182</v>
      </c>
      <c r="GO292" s="93"/>
      <c r="GP292" s="93"/>
      <c r="GQ292" s="93"/>
      <c r="GR292" s="93"/>
      <c r="GS292" s="93"/>
      <c r="GT292" s="93"/>
      <c r="GU292" s="93"/>
      <c r="GV292" s="93"/>
      <c r="GW292" s="93"/>
      <c r="GX292" s="93"/>
      <c r="GY292" s="93"/>
      <c r="GZ292" s="93"/>
      <c r="HA292" s="93"/>
      <c r="HB292" s="93"/>
      <c r="HC292" s="93"/>
      <c r="HD292" s="93"/>
      <c r="HE292" s="93"/>
      <c r="HF292" s="93"/>
      <c r="HG292" s="93"/>
    </row>
    <row r="293" spans="14:215" x14ac:dyDescent="0.2">
      <c r="N293" s="93" t="s">
        <v>510</v>
      </c>
      <c r="O293" s="93"/>
      <c r="P293" s="93"/>
      <c r="Q293" s="93"/>
      <c r="R293" s="93"/>
      <c r="S293" s="93"/>
      <c r="T293" s="93"/>
      <c r="U293" s="93"/>
      <c r="V293" s="93"/>
      <c r="W293" s="93"/>
      <c r="X293" s="93"/>
      <c r="Y293" s="93"/>
      <c r="Z293" s="93"/>
      <c r="AA293" s="93"/>
      <c r="AB293" s="93"/>
      <c r="AC293" s="93"/>
      <c r="AD293" s="93"/>
      <c r="AE293" s="93"/>
      <c r="AF293" s="93"/>
      <c r="AG293" s="93"/>
      <c r="AH293" s="93"/>
      <c r="AI293" s="93"/>
      <c r="AJ293" s="93"/>
      <c r="AK293" s="93"/>
      <c r="AL293" s="93"/>
      <c r="AM293" s="93"/>
      <c r="AN293" s="93"/>
      <c r="AO293" s="93"/>
      <c r="AP293" s="93"/>
      <c r="AQ293" s="93"/>
      <c r="AR293" s="93"/>
      <c r="AS293" s="93"/>
      <c r="AT293" s="93"/>
      <c r="AU293" s="93"/>
      <c r="AV293" s="93"/>
      <c r="AW293" s="93"/>
      <c r="AX293" s="93"/>
      <c r="AY293" s="93"/>
      <c r="AZ293" s="93"/>
      <c r="BA293" s="93"/>
      <c r="BB293" s="93"/>
      <c r="BC293" s="93"/>
      <c r="BD293" s="93"/>
      <c r="BE293" s="93"/>
      <c r="BF293" s="93"/>
      <c r="BG293" s="93"/>
      <c r="BH293" s="93"/>
      <c r="BI293" s="93"/>
      <c r="BJ293" s="93"/>
      <c r="BK293" s="93"/>
      <c r="BL293" s="93"/>
      <c r="BM293" s="93"/>
      <c r="BN293" s="93"/>
      <c r="BO293" s="93"/>
      <c r="BP293" s="93"/>
      <c r="BQ293" s="93"/>
      <c r="BR293" s="93"/>
      <c r="BS293" s="93"/>
      <c r="BT293" s="93"/>
      <c r="BU293" s="93"/>
      <c r="BV293" s="93"/>
      <c r="BW293" s="93"/>
      <c r="BX293" s="93"/>
      <c r="BY293" s="93"/>
      <c r="BZ293" s="93"/>
      <c r="CA293" s="93"/>
      <c r="CB293" s="93"/>
      <c r="CC293" s="93"/>
      <c r="CD293" s="93"/>
      <c r="CE293" s="93"/>
      <c r="CF293" s="93"/>
      <c r="CG293" s="93"/>
      <c r="CH293" s="93"/>
      <c r="CI293" s="93"/>
      <c r="CJ293" s="93"/>
      <c r="CK293" s="93"/>
      <c r="CL293" s="93"/>
      <c r="CM293" s="93"/>
      <c r="CN293" s="93"/>
      <c r="CO293" s="93"/>
      <c r="CP293" s="93"/>
      <c r="CQ293" s="93"/>
      <c r="CR293" s="93"/>
      <c r="CS293" s="93"/>
      <c r="CT293" s="93"/>
      <c r="CU293" s="93"/>
      <c r="CV293" s="93"/>
      <c r="CW293" s="93"/>
      <c r="CX293" s="93"/>
      <c r="CY293" s="93"/>
      <c r="CZ293" s="93"/>
      <c r="DA293" s="93"/>
      <c r="DB293" s="93"/>
      <c r="DC293" s="93"/>
      <c r="DD293" s="93"/>
      <c r="DE293" s="93"/>
      <c r="DF293" s="93"/>
      <c r="DG293" s="93"/>
      <c r="DH293" s="93"/>
      <c r="DI293" s="93"/>
      <c r="DJ293" s="93"/>
      <c r="DK293" s="93"/>
      <c r="DL293" s="93"/>
      <c r="DM293" s="93"/>
      <c r="DN293" s="93"/>
      <c r="DO293" s="93"/>
      <c r="DP293" s="93"/>
      <c r="DQ293" s="93"/>
      <c r="DR293" s="93"/>
      <c r="DS293" s="93"/>
      <c r="DT293" s="93"/>
      <c r="DU293" s="93"/>
      <c r="DV293" s="93"/>
      <c r="DW293" s="93"/>
      <c r="DX293" s="93"/>
      <c r="DY293" s="93"/>
      <c r="DZ293" s="93"/>
      <c r="EA293" s="93"/>
      <c r="EB293" s="93"/>
      <c r="EC293" s="93"/>
      <c r="ED293" s="93"/>
      <c r="EE293" s="93"/>
      <c r="EF293" s="93"/>
      <c r="EG293" s="93"/>
      <c r="EH293" s="93"/>
      <c r="EI293" s="93"/>
      <c r="EJ293" s="93"/>
      <c r="EK293" s="93"/>
      <c r="EL293" s="93"/>
      <c r="EM293" s="93"/>
      <c r="EN293" s="93"/>
      <c r="EO293" s="93"/>
      <c r="EP293" s="93"/>
      <c r="EQ293" s="93"/>
      <c r="ER293" s="93"/>
      <c r="ES293" s="93"/>
      <c r="ET293" s="93"/>
      <c r="EU293" s="93"/>
      <c r="EV293" s="93"/>
      <c r="EW293" s="93"/>
      <c r="EX293" s="93"/>
      <c r="EY293" s="93"/>
      <c r="EZ293" s="93"/>
      <c r="FA293" s="93"/>
      <c r="FB293" s="93"/>
      <c r="FC293" s="93"/>
      <c r="FD293" s="93"/>
      <c r="FE293" s="93"/>
      <c r="FF293" s="93"/>
      <c r="FG293" s="93"/>
      <c r="FH293" s="93"/>
      <c r="FI293" s="93"/>
      <c r="FJ293" s="93"/>
      <c r="FK293" s="93"/>
      <c r="FL293" s="93"/>
      <c r="FM293" s="93"/>
      <c r="FN293" s="93"/>
      <c r="FO293" s="93"/>
      <c r="FP293" s="93"/>
      <c r="FQ293" s="93"/>
      <c r="FR293" s="93"/>
      <c r="FS293" s="93"/>
      <c r="FT293" s="93"/>
      <c r="FU293" s="93"/>
      <c r="FV293" s="93"/>
      <c r="FW293" s="93"/>
      <c r="FX293" s="93"/>
      <c r="FY293" s="93"/>
      <c r="FZ293" s="93"/>
      <c r="GA293" s="93"/>
      <c r="GB293" s="93"/>
      <c r="GC293" s="93"/>
      <c r="GD293" s="93"/>
      <c r="GE293" s="93"/>
      <c r="GF293" s="93"/>
      <c r="GG293" s="93"/>
      <c r="GH293" s="93"/>
      <c r="GI293" s="93"/>
      <c r="GJ293" s="93"/>
      <c r="GK293" s="93"/>
      <c r="GL293" s="93"/>
      <c r="GM293" s="93"/>
      <c r="GN293" s="93"/>
      <c r="GO293" s="93">
        <v>0.3327217125382263</v>
      </c>
      <c r="GP293" s="93"/>
      <c r="GQ293" s="93"/>
      <c r="GR293" s="93"/>
      <c r="GS293" s="93"/>
      <c r="GT293" s="93"/>
      <c r="GU293" s="93"/>
      <c r="GV293" s="93"/>
      <c r="GW293" s="93"/>
      <c r="GX293" s="93"/>
      <c r="GY293" s="93"/>
      <c r="GZ293" s="93"/>
      <c r="HA293" s="93"/>
      <c r="HB293" s="93"/>
      <c r="HC293" s="93"/>
      <c r="HD293" s="93"/>
      <c r="HE293" s="93"/>
      <c r="HF293" s="93"/>
      <c r="HG293" s="93"/>
    </row>
    <row r="294" spans="14:215" x14ac:dyDescent="0.2">
      <c r="N294" s="93" t="s">
        <v>511</v>
      </c>
      <c r="O294" s="93"/>
      <c r="P294" s="93"/>
      <c r="Q294" s="93"/>
      <c r="R294" s="93"/>
      <c r="S294" s="93"/>
      <c r="T294" s="93"/>
      <c r="U294" s="93"/>
      <c r="V294" s="93"/>
      <c r="W294" s="93"/>
      <c r="X294" s="93"/>
      <c r="Y294" s="93"/>
      <c r="Z294" s="93"/>
      <c r="AA294" s="93"/>
      <c r="AB294" s="93"/>
      <c r="AC294" s="93"/>
      <c r="AD294" s="93"/>
      <c r="AE294" s="93"/>
      <c r="AF294" s="93"/>
      <c r="AG294" s="93"/>
      <c r="AH294" s="93"/>
      <c r="AI294" s="93"/>
      <c r="AJ294" s="93"/>
      <c r="AK294" s="93"/>
      <c r="AL294" s="93"/>
      <c r="AM294" s="93"/>
      <c r="AN294" s="93"/>
      <c r="AO294" s="93"/>
      <c r="AP294" s="93"/>
      <c r="AQ294" s="93"/>
      <c r="AR294" s="93"/>
      <c r="AS294" s="93"/>
      <c r="AT294" s="93"/>
      <c r="AU294" s="93"/>
      <c r="AV294" s="93"/>
      <c r="AW294" s="93"/>
      <c r="AX294" s="93"/>
      <c r="AY294" s="93"/>
      <c r="AZ294" s="93"/>
      <c r="BA294" s="93"/>
      <c r="BB294" s="93"/>
      <c r="BC294" s="93"/>
      <c r="BD294" s="93"/>
      <c r="BE294" s="93"/>
      <c r="BF294" s="93"/>
      <c r="BG294" s="93"/>
      <c r="BH294" s="93"/>
      <c r="BI294" s="93"/>
      <c r="BJ294" s="93"/>
      <c r="BK294" s="93"/>
      <c r="BL294" s="93"/>
      <c r="BM294" s="93"/>
      <c r="BN294" s="93"/>
      <c r="BO294" s="93"/>
      <c r="BP294" s="93"/>
      <c r="BQ294" s="93"/>
      <c r="BR294" s="93"/>
      <c r="BS294" s="93"/>
      <c r="BT294" s="93"/>
      <c r="BU294" s="93"/>
      <c r="BV294" s="93"/>
      <c r="BW294" s="93"/>
      <c r="BX294" s="93"/>
      <c r="BY294" s="93"/>
      <c r="BZ294" s="93"/>
      <c r="CA294" s="93"/>
      <c r="CB294" s="93"/>
      <c r="CC294" s="93"/>
      <c r="CD294" s="93"/>
      <c r="CE294" s="93"/>
      <c r="CF294" s="93"/>
      <c r="CG294" s="93"/>
      <c r="CH294" s="93"/>
      <c r="CI294" s="93"/>
      <c r="CJ294" s="93"/>
      <c r="CK294" s="93"/>
      <c r="CL294" s="93"/>
      <c r="CM294" s="93"/>
      <c r="CN294" s="93"/>
      <c r="CO294" s="93"/>
      <c r="CP294" s="93"/>
      <c r="CQ294" s="93"/>
      <c r="CR294" s="93"/>
      <c r="CS294" s="93"/>
      <c r="CT294" s="93"/>
      <c r="CU294" s="93"/>
      <c r="CV294" s="93"/>
      <c r="CW294" s="93"/>
      <c r="CX294" s="93"/>
      <c r="CY294" s="93"/>
      <c r="CZ294" s="93"/>
      <c r="DA294" s="93"/>
      <c r="DB294" s="93"/>
      <c r="DC294" s="93"/>
      <c r="DD294" s="93"/>
      <c r="DE294" s="93"/>
      <c r="DF294" s="93"/>
      <c r="DG294" s="93"/>
      <c r="DH294" s="93"/>
      <c r="DI294" s="93"/>
      <c r="DJ294" s="93"/>
      <c r="DK294" s="93"/>
      <c r="DL294" s="93"/>
      <c r="DM294" s="93"/>
      <c r="DN294" s="93"/>
      <c r="DO294" s="93"/>
      <c r="DP294" s="93"/>
      <c r="DQ294" s="93"/>
      <c r="DR294" s="93"/>
      <c r="DS294" s="93"/>
      <c r="DT294" s="93"/>
      <c r="DU294" s="93"/>
      <c r="DV294" s="93"/>
      <c r="DW294" s="93"/>
      <c r="DX294" s="93"/>
      <c r="DY294" s="93"/>
      <c r="DZ294" s="93"/>
      <c r="EA294" s="93"/>
      <c r="EB294" s="93"/>
      <c r="EC294" s="93"/>
      <c r="ED294" s="93"/>
      <c r="EE294" s="93"/>
      <c r="EF294" s="93"/>
      <c r="EG294" s="93"/>
      <c r="EH294" s="93"/>
      <c r="EI294" s="93"/>
      <c r="EJ294" s="93"/>
      <c r="EK294" s="93"/>
      <c r="EL294" s="93"/>
      <c r="EM294" s="93"/>
      <c r="EN294" s="93"/>
      <c r="EO294" s="93"/>
      <c r="EP294" s="93"/>
      <c r="EQ294" s="93"/>
      <c r="ER294" s="93"/>
      <c r="ES294" s="93"/>
      <c r="ET294" s="93"/>
      <c r="EU294" s="93"/>
      <c r="EV294" s="93"/>
      <c r="EW294" s="93"/>
      <c r="EX294" s="93"/>
      <c r="EY294" s="93"/>
      <c r="EZ294" s="93"/>
      <c r="FA294" s="93"/>
      <c r="FB294" s="93"/>
      <c r="FC294" s="93"/>
      <c r="FD294" s="93"/>
      <c r="FE294" s="93"/>
      <c r="FF294" s="93"/>
      <c r="FG294" s="93"/>
      <c r="FH294" s="93"/>
      <c r="FI294" s="93"/>
      <c r="FJ294" s="93"/>
      <c r="FK294" s="93"/>
      <c r="FL294" s="93"/>
      <c r="FM294" s="93"/>
      <c r="FN294" s="93"/>
      <c r="FO294" s="93"/>
      <c r="FP294" s="93"/>
      <c r="FQ294" s="93"/>
      <c r="FR294" s="93"/>
      <c r="FS294" s="93"/>
      <c r="FT294" s="93"/>
      <c r="FU294" s="93"/>
      <c r="FV294" s="93"/>
      <c r="FW294" s="93"/>
      <c r="FX294" s="93"/>
      <c r="FY294" s="93"/>
      <c r="FZ294" s="93"/>
      <c r="GA294" s="93"/>
      <c r="GB294" s="93"/>
      <c r="GC294" s="93"/>
      <c r="GD294" s="93"/>
      <c r="GE294" s="93"/>
      <c r="GF294" s="93"/>
      <c r="GG294" s="93"/>
      <c r="GH294" s="93"/>
      <c r="GI294" s="93"/>
      <c r="GJ294" s="93"/>
      <c r="GK294" s="93"/>
      <c r="GL294" s="93"/>
      <c r="GM294" s="93"/>
      <c r="GN294" s="93"/>
      <c r="GO294" s="93"/>
      <c r="GP294" s="93">
        <v>0.33272506082725062</v>
      </c>
      <c r="GQ294" s="93"/>
      <c r="GR294" s="93"/>
      <c r="GS294" s="93"/>
      <c r="GT294" s="93"/>
      <c r="GU294" s="93"/>
      <c r="GV294" s="93"/>
      <c r="GW294" s="93"/>
      <c r="GX294" s="93"/>
      <c r="GY294" s="93"/>
      <c r="GZ294" s="93"/>
      <c r="HA294" s="93"/>
      <c r="HB294" s="93"/>
      <c r="HC294" s="93"/>
      <c r="HD294" s="93"/>
      <c r="HE294" s="93"/>
      <c r="HF294" s="93"/>
      <c r="HG294" s="93"/>
    </row>
    <row r="295" spans="14:215" x14ac:dyDescent="0.2">
      <c r="N295" s="93" t="s">
        <v>512</v>
      </c>
      <c r="O295" s="93"/>
      <c r="P295" s="93"/>
      <c r="Q295" s="93"/>
      <c r="R295" s="93"/>
      <c r="S295" s="93"/>
      <c r="T295" s="93"/>
      <c r="U295" s="93"/>
      <c r="V295" s="93"/>
      <c r="W295" s="93"/>
      <c r="X295" s="93"/>
      <c r="Y295" s="93"/>
      <c r="Z295" s="93"/>
      <c r="AA295" s="93"/>
      <c r="AB295" s="93"/>
      <c r="AC295" s="93"/>
      <c r="AD295" s="93"/>
      <c r="AE295" s="93"/>
      <c r="AF295" s="93"/>
      <c r="AG295" s="93"/>
      <c r="AH295" s="93"/>
      <c r="AI295" s="93"/>
      <c r="AJ295" s="93"/>
      <c r="AK295" s="93"/>
      <c r="AL295" s="93"/>
      <c r="AM295" s="93"/>
      <c r="AN295" s="93"/>
      <c r="AO295" s="93"/>
      <c r="AP295" s="93"/>
      <c r="AQ295" s="93"/>
      <c r="AR295" s="93"/>
      <c r="AS295" s="93"/>
      <c r="AT295" s="93"/>
      <c r="AU295" s="93"/>
      <c r="AV295" s="93"/>
      <c r="AW295" s="93"/>
      <c r="AX295" s="93"/>
      <c r="AY295" s="93"/>
      <c r="AZ295" s="93"/>
      <c r="BA295" s="93"/>
      <c r="BB295" s="93"/>
      <c r="BC295" s="93"/>
      <c r="BD295" s="93"/>
      <c r="BE295" s="93"/>
      <c r="BF295" s="93"/>
      <c r="BG295" s="93"/>
      <c r="BH295" s="93"/>
      <c r="BI295" s="93"/>
      <c r="BJ295" s="93"/>
      <c r="BK295" s="93"/>
      <c r="BL295" s="93"/>
      <c r="BM295" s="93"/>
      <c r="BN295" s="93"/>
      <c r="BO295" s="93"/>
      <c r="BP295" s="93"/>
      <c r="BQ295" s="93"/>
      <c r="BR295" s="93"/>
      <c r="BS295" s="93"/>
      <c r="BT295" s="93"/>
      <c r="BU295" s="93"/>
      <c r="BV295" s="93"/>
      <c r="BW295" s="93"/>
      <c r="BX295" s="93"/>
      <c r="BY295" s="93"/>
      <c r="BZ295" s="93"/>
      <c r="CA295" s="93"/>
      <c r="CB295" s="93"/>
      <c r="CC295" s="93"/>
      <c r="CD295" s="93"/>
      <c r="CE295" s="93"/>
      <c r="CF295" s="93"/>
      <c r="CG295" s="93"/>
      <c r="CH295" s="93"/>
      <c r="CI295" s="93"/>
      <c r="CJ295" s="93"/>
      <c r="CK295" s="93"/>
      <c r="CL295" s="93"/>
      <c r="CM295" s="93"/>
      <c r="CN295" s="93"/>
      <c r="CO295" s="93"/>
      <c r="CP295" s="93"/>
      <c r="CQ295" s="93"/>
      <c r="CR295" s="93"/>
      <c r="CS295" s="93"/>
      <c r="CT295" s="93"/>
      <c r="CU295" s="93"/>
      <c r="CV295" s="93"/>
      <c r="CW295" s="93"/>
      <c r="CX295" s="93"/>
      <c r="CY295" s="93"/>
      <c r="CZ295" s="93"/>
      <c r="DA295" s="93"/>
      <c r="DB295" s="93"/>
      <c r="DC295" s="93"/>
      <c r="DD295" s="93"/>
      <c r="DE295" s="93"/>
      <c r="DF295" s="93"/>
      <c r="DG295" s="93"/>
      <c r="DH295" s="93"/>
      <c r="DI295" s="93"/>
      <c r="DJ295" s="93"/>
      <c r="DK295" s="93"/>
      <c r="DL295" s="93"/>
      <c r="DM295" s="93"/>
      <c r="DN295" s="93"/>
      <c r="DO295" s="93"/>
      <c r="DP295" s="93"/>
      <c r="DQ295" s="93"/>
      <c r="DR295" s="93"/>
      <c r="DS295" s="93"/>
      <c r="DT295" s="93"/>
      <c r="DU295" s="93"/>
      <c r="DV295" s="93"/>
      <c r="DW295" s="93"/>
      <c r="DX295" s="93"/>
      <c r="DY295" s="93"/>
      <c r="DZ295" s="93"/>
      <c r="EA295" s="93"/>
      <c r="EB295" s="93"/>
      <c r="EC295" s="93"/>
      <c r="ED295" s="93"/>
      <c r="EE295" s="93"/>
      <c r="EF295" s="93"/>
      <c r="EG295" s="93"/>
      <c r="EH295" s="93"/>
      <c r="EI295" s="93"/>
      <c r="EJ295" s="93"/>
      <c r="EK295" s="93"/>
      <c r="EL295" s="93"/>
      <c r="EM295" s="93"/>
      <c r="EN295" s="93"/>
      <c r="EO295" s="93"/>
      <c r="EP295" s="93"/>
      <c r="EQ295" s="93"/>
      <c r="ER295" s="93"/>
      <c r="ES295" s="93"/>
      <c r="ET295" s="93"/>
      <c r="EU295" s="93"/>
      <c r="EV295" s="93"/>
      <c r="EW295" s="93"/>
      <c r="EX295" s="93"/>
      <c r="EY295" s="93"/>
      <c r="EZ295" s="93"/>
      <c r="FA295" s="93"/>
      <c r="FB295" s="93"/>
      <c r="FC295" s="93"/>
      <c r="FD295" s="93"/>
      <c r="FE295" s="93"/>
      <c r="FF295" s="93"/>
      <c r="FG295" s="93"/>
      <c r="FH295" s="93"/>
      <c r="FI295" s="93"/>
      <c r="FJ295" s="93"/>
      <c r="FK295" s="93"/>
      <c r="FL295" s="93"/>
      <c r="FM295" s="93"/>
      <c r="FN295" s="93"/>
      <c r="FO295" s="93"/>
      <c r="FP295" s="93"/>
      <c r="FQ295" s="93"/>
      <c r="FR295" s="93"/>
      <c r="FS295" s="93"/>
      <c r="FT295" s="93"/>
      <c r="FU295" s="93"/>
      <c r="FV295" s="93"/>
      <c r="FW295" s="93"/>
      <c r="FX295" s="93"/>
      <c r="FY295" s="93"/>
      <c r="FZ295" s="93"/>
      <c r="GA295" s="93"/>
      <c r="GB295" s="93"/>
      <c r="GC295" s="93"/>
      <c r="GD295" s="93"/>
      <c r="GE295" s="93"/>
      <c r="GF295" s="93"/>
      <c r="GG295" s="93"/>
      <c r="GH295" s="93"/>
      <c r="GI295" s="93"/>
      <c r="GJ295" s="93"/>
      <c r="GK295" s="93"/>
      <c r="GL295" s="93"/>
      <c r="GM295" s="93"/>
      <c r="GN295" s="93"/>
      <c r="GO295" s="93"/>
      <c r="GP295" s="93"/>
      <c r="GQ295" s="93">
        <v>0.33272837265577737</v>
      </c>
      <c r="GR295" s="93"/>
      <c r="GS295" s="93"/>
      <c r="GT295" s="93"/>
      <c r="GU295" s="93"/>
      <c r="GV295" s="93"/>
      <c r="GW295" s="93"/>
      <c r="GX295" s="93"/>
      <c r="GY295" s="93"/>
      <c r="GZ295" s="93"/>
      <c r="HA295" s="93"/>
      <c r="HB295" s="93"/>
      <c r="HC295" s="93"/>
      <c r="HD295" s="93"/>
      <c r="HE295" s="93"/>
      <c r="HF295" s="93"/>
      <c r="HG295" s="93"/>
    </row>
    <row r="296" spans="14:215" x14ac:dyDescent="0.2">
      <c r="N296" s="93" t="s">
        <v>513</v>
      </c>
      <c r="O296" s="93"/>
      <c r="P296" s="93"/>
      <c r="Q296" s="93"/>
      <c r="R296" s="93"/>
      <c r="S296" s="93"/>
      <c r="T296" s="93"/>
      <c r="U296" s="93"/>
      <c r="V296" s="93"/>
      <c r="W296" s="93"/>
      <c r="X296" s="93"/>
      <c r="Y296" s="93"/>
      <c r="Z296" s="93"/>
      <c r="AA296" s="93"/>
      <c r="AB296" s="93"/>
      <c r="AC296" s="93"/>
      <c r="AD296" s="93"/>
      <c r="AE296" s="93"/>
      <c r="AF296" s="93"/>
      <c r="AG296" s="93"/>
      <c r="AH296" s="93"/>
      <c r="AI296" s="93"/>
      <c r="AJ296" s="93"/>
      <c r="AK296" s="93"/>
      <c r="AL296" s="93"/>
      <c r="AM296" s="93"/>
      <c r="AN296" s="93"/>
      <c r="AO296" s="93"/>
      <c r="AP296" s="93"/>
      <c r="AQ296" s="93"/>
      <c r="AR296" s="93"/>
      <c r="AS296" s="93"/>
      <c r="AT296" s="93"/>
      <c r="AU296" s="93"/>
      <c r="AV296" s="93"/>
      <c r="AW296" s="93"/>
      <c r="AX296" s="93"/>
      <c r="AY296" s="93"/>
      <c r="AZ296" s="93"/>
      <c r="BA296" s="93"/>
      <c r="BB296" s="93"/>
      <c r="BC296" s="93"/>
      <c r="BD296" s="93"/>
      <c r="BE296" s="93"/>
      <c r="BF296" s="93"/>
      <c r="BG296" s="93"/>
      <c r="BH296" s="93"/>
      <c r="BI296" s="93"/>
      <c r="BJ296" s="93"/>
      <c r="BK296" s="93"/>
      <c r="BL296" s="93"/>
      <c r="BM296" s="93"/>
      <c r="BN296" s="93"/>
      <c r="BO296" s="93"/>
      <c r="BP296" s="93"/>
      <c r="BQ296" s="93"/>
      <c r="BR296" s="93"/>
      <c r="BS296" s="93"/>
      <c r="BT296" s="93"/>
      <c r="BU296" s="93"/>
      <c r="BV296" s="93"/>
      <c r="BW296" s="93"/>
      <c r="BX296" s="93"/>
      <c r="BY296" s="93"/>
      <c r="BZ296" s="93"/>
      <c r="CA296" s="93"/>
      <c r="CB296" s="93"/>
      <c r="CC296" s="93"/>
      <c r="CD296" s="93"/>
      <c r="CE296" s="93"/>
      <c r="CF296" s="93"/>
      <c r="CG296" s="93"/>
      <c r="CH296" s="93"/>
      <c r="CI296" s="93"/>
      <c r="CJ296" s="93"/>
      <c r="CK296" s="93"/>
      <c r="CL296" s="93"/>
      <c r="CM296" s="93"/>
      <c r="CN296" s="93"/>
      <c r="CO296" s="93"/>
      <c r="CP296" s="93"/>
      <c r="CQ296" s="93"/>
      <c r="CR296" s="93"/>
      <c r="CS296" s="93"/>
      <c r="CT296" s="93"/>
      <c r="CU296" s="93"/>
      <c r="CV296" s="93"/>
      <c r="CW296" s="93"/>
      <c r="CX296" s="93"/>
      <c r="CY296" s="93"/>
      <c r="CZ296" s="93"/>
      <c r="DA296" s="93"/>
      <c r="DB296" s="93"/>
      <c r="DC296" s="93"/>
      <c r="DD296" s="93"/>
      <c r="DE296" s="93"/>
      <c r="DF296" s="93"/>
      <c r="DG296" s="93"/>
      <c r="DH296" s="93"/>
      <c r="DI296" s="93"/>
      <c r="DJ296" s="93"/>
      <c r="DK296" s="93"/>
      <c r="DL296" s="93"/>
      <c r="DM296" s="93"/>
      <c r="DN296" s="93"/>
      <c r="DO296" s="93"/>
      <c r="DP296" s="93"/>
      <c r="DQ296" s="93"/>
      <c r="DR296" s="93"/>
      <c r="DS296" s="93"/>
      <c r="DT296" s="93"/>
      <c r="DU296" s="93"/>
      <c r="DV296" s="93"/>
      <c r="DW296" s="93"/>
      <c r="DX296" s="93"/>
      <c r="DY296" s="93"/>
      <c r="DZ296" s="93"/>
      <c r="EA296" s="93"/>
      <c r="EB296" s="93"/>
      <c r="EC296" s="93"/>
      <c r="ED296" s="93"/>
      <c r="EE296" s="93"/>
      <c r="EF296" s="93"/>
      <c r="EG296" s="93"/>
      <c r="EH296" s="93"/>
      <c r="EI296" s="93"/>
      <c r="EJ296" s="93"/>
      <c r="EK296" s="93"/>
      <c r="EL296" s="93"/>
      <c r="EM296" s="93"/>
      <c r="EN296" s="93"/>
      <c r="EO296" s="93"/>
      <c r="EP296" s="93"/>
      <c r="EQ296" s="93"/>
      <c r="ER296" s="93"/>
      <c r="ES296" s="93"/>
      <c r="ET296" s="93"/>
      <c r="EU296" s="93"/>
      <c r="EV296" s="93"/>
      <c r="EW296" s="93"/>
      <c r="EX296" s="93"/>
      <c r="EY296" s="93"/>
      <c r="EZ296" s="93"/>
      <c r="FA296" s="93"/>
      <c r="FB296" s="93"/>
      <c r="FC296" s="93"/>
      <c r="FD296" s="93"/>
      <c r="FE296" s="93"/>
      <c r="FF296" s="93"/>
      <c r="FG296" s="93"/>
      <c r="FH296" s="93"/>
      <c r="FI296" s="93"/>
      <c r="FJ296" s="93"/>
      <c r="FK296" s="93"/>
      <c r="FL296" s="93"/>
      <c r="FM296" s="93"/>
      <c r="FN296" s="93"/>
      <c r="FO296" s="93"/>
      <c r="FP296" s="93"/>
      <c r="FQ296" s="93"/>
      <c r="FR296" s="93"/>
      <c r="FS296" s="93"/>
      <c r="FT296" s="93"/>
      <c r="FU296" s="93"/>
      <c r="FV296" s="93"/>
      <c r="FW296" s="93"/>
      <c r="FX296" s="93"/>
      <c r="FY296" s="93"/>
      <c r="FZ296" s="93"/>
      <c r="GA296" s="93"/>
      <c r="GB296" s="93"/>
      <c r="GC296" s="93"/>
      <c r="GD296" s="93"/>
      <c r="GE296" s="93"/>
      <c r="GF296" s="93"/>
      <c r="GG296" s="93"/>
      <c r="GH296" s="93"/>
      <c r="GI296" s="93"/>
      <c r="GJ296" s="93"/>
      <c r="GK296" s="93"/>
      <c r="GL296" s="93"/>
      <c r="GM296" s="93"/>
      <c r="GN296" s="93"/>
      <c r="GO296" s="93"/>
      <c r="GP296" s="93"/>
      <c r="GQ296" s="93"/>
      <c r="GR296" s="93">
        <v>0.33273164861612514</v>
      </c>
      <c r="GS296" s="93"/>
      <c r="GT296" s="93"/>
      <c r="GU296" s="93"/>
      <c r="GV296" s="93"/>
      <c r="GW296" s="93"/>
      <c r="GX296" s="93"/>
      <c r="GY296" s="93"/>
      <c r="GZ296" s="93"/>
      <c r="HA296" s="93"/>
      <c r="HB296" s="93"/>
      <c r="HC296" s="93"/>
      <c r="HD296" s="93"/>
      <c r="HE296" s="93"/>
      <c r="HF296" s="93"/>
      <c r="HG296" s="93"/>
    </row>
    <row r="297" spans="14:215" x14ac:dyDescent="0.2">
      <c r="N297" s="93" t="s">
        <v>514</v>
      </c>
      <c r="O297" s="93"/>
      <c r="P297" s="93"/>
      <c r="Q297" s="93"/>
      <c r="R297" s="93"/>
      <c r="S297" s="93"/>
      <c r="T297" s="93"/>
      <c r="U297" s="93"/>
      <c r="V297" s="93"/>
      <c r="W297" s="93"/>
      <c r="X297" s="93"/>
      <c r="Y297" s="93"/>
      <c r="Z297" s="93"/>
      <c r="AA297" s="93"/>
      <c r="AB297" s="93"/>
      <c r="AC297" s="93"/>
      <c r="AD297" s="93"/>
      <c r="AE297" s="93"/>
      <c r="AF297" s="93"/>
      <c r="AG297" s="93"/>
      <c r="AH297" s="93"/>
      <c r="AI297" s="93"/>
      <c r="AJ297" s="93"/>
      <c r="AK297" s="93"/>
      <c r="AL297" s="93"/>
      <c r="AM297" s="93"/>
      <c r="AN297" s="93"/>
      <c r="AO297" s="93"/>
      <c r="AP297" s="93"/>
      <c r="AQ297" s="93"/>
      <c r="AR297" s="93"/>
      <c r="AS297" s="93"/>
      <c r="AT297" s="93"/>
      <c r="AU297" s="93"/>
      <c r="AV297" s="93"/>
      <c r="AW297" s="93"/>
      <c r="AX297" s="93"/>
      <c r="AY297" s="93"/>
      <c r="AZ297" s="93"/>
      <c r="BA297" s="93"/>
      <c r="BB297" s="93"/>
      <c r="BC297" s="93"/>
      <c r="BD297" s="93"/>
      <c r="BE297" s="93"/>
      <c r="BF297" s="93"/>
      <c r="BG297" s="93"/>
      <c r="BH297" s="93"/>
      <c r="BI297" s="93"/>
      <c r="BJ297" s="93"/>
      <c r="BK297" s="93"/>
      <c r="BL297" s="93"/>
      <c r="BM297" s="93"/>
      <c r="BN297" s="93"/>
      <c r="BO297" s="93"/>
      <c r="BP297" s="93"/>
      <c r="BQ297" s="93"/>
      <c r="BR297" s="93"/>
      <c r="BS297" s="93"/>
      <c r="BT297" s="93"/>
      <c r="BU297" s="93"/>
      <c r="BV297" s="93"/>
      <c r="BW297" s="93"/>
      <c r="BX297" s="93"/>
      <c r="BY297" s="93"/>
      <c r="BZ297" s="93"/>
      <c r="CA297" s="93"/>
      <c r="CB297" s="93"/>
      <c r="CC297" s="93"/>
      <c r="CD297" s="93"/>
      <c r="CE297" s="93"/>
      <c r="CF297" s="93"/>
      <c r="CG297" s="93"/>
      <c r="CH297" s="93"/>
      <c r="CI297" s="93"/>
      <c r="CJ297" s="93"/>
      <c r="CK297" s="93"/>
      <c r="CL297" s="93"/>
      <c r="CM297" s="93"/>
      <c r="CN297" s="93"/>
      <c r="CO297" s="93"/>
      <c r="CP297" s="93"/>
      <c r="CQ297" s="93"/>
      <c r="CR297" s="93"/>
      <c r="CS297" s="93"/>
      <c r="CT297" s="93"/>
      <c r="CU297" s="93"/>
      <c r="CV297" s="93"/>
      <c r="CW297" s="93"/>
      <c r="CX297" s="93"/>
      <c r="CY297" s="93"/>
      <c r="CZ297" s="93"/>
      <c r="DA297" s="93"/>
      <c r="DB297" s="93"/>
      <c r="DC297" s="93"/>
      <c r="DD297" s="93"/>
      <c r="DE297" s="93"/>
      <c r="DF297" s="93"/>
      <c r="DG297" s="93"/>
      <c r="DH297" s="93"/>
      <c r="DI297" s="93"/>
      <c r="DJ297" s="93"/>
      <c r="DK297" s="93"/>
      <c r="DL297" s="93"/>
      <c r="DM297" s="93"/>
      <c r="DN297" s="93"/>
      <c r="DO297" s="93"/>
      <c r="DP297" s="93"/>
      <c r="DQ297" s="93"/>
      <c r="DR297" s="93"/>
      <c r="DS297" s="93"/>
      <c r="DT297" s="93"/>
      <c r="DU297" s="93"/>
      <c r="DV297" s="93"/>
      <c r="DW297" s="93"/>
      <c r="DX297" s="93"/>
      <c r="DY297" s="93"/>
      <c r="DZ297" s="93"/>
      <c r="EA297" s="93"/>
      <c r="EB297" s="93"/>
      <c r="EC297" s="93"/>
      <c r="ED297" s="93"/>
      <c r="EE297" s="93"/>
      <c r="EF297" s="93"/>
      <c r="EG297" s="93"/>
      <c r="EH297" s="93"/>
      <c r="EI297" s="93"/>
      <c r="EJ297" s="93"/>
      <c r="EK297" s="93"/>
      <c r="EL297" s="93"/>
      <c r="EM297" s="93"/>
      <c r="EN297" s="93"/>
      <c r="EO297" s="93"/>
      <c r="EP297" s="93"/>
      <c r="EQ297" s="93"/>
      <c r="ER297" s="93"/>
      <c r="ES297" s="93"/>
      <c r="ET297" s="93"/>
      <c r="EU297" s="93"/>
      <c r="EV297" s="93"/>
      <c r="EW297" s="93"/>
      <c r="EX297" s="93"/>
      <c r="EY297" s="93"/>
      <c r="EZ297" s="93"/>
      <c r="FA297" s="93"/>
      <c r="FB297" s="93"/>
      <c r="FC297" s="93"/>
      <c r="FD297" s="93"/>
      <c r="FE297" s="93"/>
      <c r="FF297" s="93"/>
      <c r="FG297" s="93"/>
      <c r="FH297" s="93"/>
      <c r="FI297" s="93"/>
      <c r="FJ297" s="93"/>
      <c r="FK297" s="93"/>
      <c r="FL297" s="93"/>
      <c r="FM297" s="93"/>
      <c r="FN297" s="93"/>
      <c r="FO297" s="93"/>
      <c r="FP297" s="93"/>
      <c r="FQ297" s="93"/>
      <c r="FR297" s="93"/>
      <c r="FS297" s="93"/>
      <c r="FT297" s="93"/>
      <c r="FU297" s="93"/>
      <c r="FV297" s="93"/>
      <c r="FW297" s="93"/>
      <c r="FX297" s="93"/>
      <c r="FY297" s="93"/>
      <c r="FZ297" s="93"/>
      <c r="GA297" s="93"/>
      <c r="GB297" s="93"/>
      <c r="GC297" s="93"/>
      <c r="GD297" s="93"/>
      <c r="GE297" s="93"/>
      <c r="GF297" s="93"/>
      <c r="GG297" s="93"/>
      <c r="GH297" s="93"/>
      <c r="GI297" s="93"/>
      <c r="GJ297" s="93"/>
      <c r="GK297" s="93"/>
      <c r="GL297" s="93"/>
      <c r="GM297" s="93"/>
      <c r="GN297" s="93"/>
      <c r="GO297" s="93"/>
      <c r="GP297" s="93"/>
      <c r="GQ297" s="93"/>
      <c r="GR297" s="93"/>
      <c r="GS297" s="93">
        <v>0.33273488928785161</v>
      </c>
      <c r="GT297" s="93"/>
      <c r="GU297" s="93"/>
      <c r="GV297" s="93"/>
      <c r="GW297" s="93"/>
      <c r="GX297" s="93"/>
      <c r="GY297" s="93"/>
      <c r="GZ297" s="93"/>
      <c r="HA297" s="93"/>
      <c r="HB297" s="93"/>
      <c r="HC297" s="93"/>
      <c r="HD297" s="93"/>
      <c r="HE297" s="93"/>
      <c r="HF297" s="93"/>
      <c r="HG297" s="93"/>
    </row>
    <row r="298" spans="14:215" x14ac:dyDescent="0.2">
      <c r="N298" s="93" t="s">
        <v>515</v>
      </c>
      <c r="O298" s="93"/>
      <c r="P298" s="93"/>
      <c r="Q298" s="93"/>
      <c r="R298" s="93"/>
      <c r="S298" s="93"/>
      <c r="T298" s="93"/>
      <c r="U298" s="93"/>
      <c r="V298" s="93"/>
      <c r="W298" s="93"/>
      <c r="X298" s="93"/>
      <c r="Y298" s="93"/>
      <c r="Z298" s="93"/>
      <c r="AA298" s="93"/>
      <c r="AB298" s="93"/>
      <c r="AC298" s="93"/>
      <c r="AD298" s="93"/>
      <c r="AE298" s="93"/>
      <c r="AF298" s="93"/>
      <c r="AG298" s="93"/>
      <c r="AH298" s="93"/>
      <c r="AI298" s="93"/>
      <c r="AJ298" s="93"/>
      <c r="AK298" s="93"/>
      <c r="AL298" s="93"/>
      <c r="AM298" s="93"/>
      <c r="AN298" s="93"/>
      <c r="AO298" s="93"/>
      <c r="AP298" s="93"/>
      <c r="AQ298" s="93"/>
      <c r="AR298" s="93"/>
      <c r="AS298" s="93"/>
      <c r="AT298" s="93"/>
      <c r="AU298" s="93"/>
      <c r="AV298" s="93"/>
      <c r="AW298" s="93"/>
      <c r="AX298" s="93"/>
      <c r="AY298" s="93"/>
      <c r="AZ298" s="93"/>
      <c r="BA298" s="93"/>
      <c r="BB298" s="93"/>
      <c r="BC298" s="93"/>
      <c r="BD298" s="93"/>
      <c r="BE298" s="93"/>
      <c r="BF298" s="93"/>
      <c r="BG298" s="93"/>
      <c r="BH298" s="93"/>
      <c r="BI298" s="93"/>
      <c r="BJ298" s="93"/>
      <c r="BK298" s="93"/>
      <c r="BL298" s="93"/>
      <c r="BM298" s="93"/>
      <c r="BN298" s="93"/>
      <c r="BO298" s="93"/>
      <c r="BP298" s="93"/>
      <c r="BQ298" s="93"/>
      <c r="BR298" s="93"/>
      <c r="BS298" s="93"/>
      <c r="BT298" s="93"/>
      <c r="BU298" s="93"/>
      <c r="BV298" s="93"/>
      <c r="BW298" s="93"/>
      <c r="BX298" s="93"/>
      <c r="BY298" s="93"/>
      <c r="BZ298" s="93"/>
      <c r="CA298" s="93"/>
      <c r="CB298" s="93"/>
      <c r="CC298" s="93"/>
      <c r="CD298" s="93"/>
      <c r="CE298" s="93"/>
      <c r="CF298" s="93"/>
      <c r="CG298" s="93"/>
      <c r="CH298" s="93"/>
      <c r="CI298" s="93"/>
      <c r="CJ298" s="93"/>
      <c r="CK298" s="93"/>
      <c r="CL298" s="93"/>
      <c r="CM298" s="93"/>
      <c r="CN298" s="93"/>
      <c r="CO298" s="93"/>
      <c r="CP298" s="93"/>
      <c r="CQ298" s="93"/>
      <c r="CR298" s="93"/>
      <c r="CS298" s="93"/>
      <c r="CT298" s="93"/>
      <c r="CU298" s="93"/>
      <c r="CV298" s="93"/>
      <c r="CW298" s="93"/>
      <c r="CX298" s="93"/>
      <c r="CY298" s="93"/>
      <c r="CZ298" s="93"/>
      <c r="DA298" s="93"/>
      <c r="DB298" s="93"/>
      <c r="DC298" s="93"/>
      <c r="DD298" s="93"/>
      <c r="DE298" s="93"/>
      <c r="DF298" s="93"/>
      <c r="DG298" s="93"/>
      <c r="DH298" s="93"/>
      <c r="DI298" s="93"/>
      <c r="DJ298" s="93"/>
      <c r="DK298" s="93"/>
      <c r="DL298" s="93"/>
      <c r="DM298" s="93"/>
      <c r="DN298" s="93"/>
      <c r="DO298" s="93"/>
      <c r="DP298" s="93"/>
      <c r="DQ298" s="93"/>
      <c r="DR298" s="93"/>
      <c r="DS298" s="93"/>
      <c r="DT298" s="93"/>
      <c r="DU298" s="93"/>
      <c r="DV298" s="93"/>
      <c r="DW298" s="93"/>
      <c r="DX298" s="93"/>
      <c r="DY298" s="93"/>
      <c r="DZ298" s="93"/>
      <c r="EA298" s="93"/>
      <c r="EB298" s="93"/>
      <c r="EC298" s="93"/>
      <c r="ED298" s="93"/>
      <c r="EE298" s="93"/>
      <c r="EF298" s="93"/>
      <c r="EG298" s="93"/>
      <c r="EH298" s="93"/>
      <c r="EI298" s="93"/>
      <c r="EJ298" s="93"/>
      <c r="EK298" s="93"/>
      <c r="EL298" s="93"/>
      <c r="EM298" s="93"/>
      <c r="EN298" s="93"/>
      <c r="EO298" s="93"/>
      <c r="EP298" s="93"/>
      <c r="EQ298" s="93"/>
      <c r="ER298" s="93"/>
      <c r="ES298" s="93"/>
      <c r="ET298" s="93"/>
      <c r="EU298" s="93"/>
      <c r="EV298" s="93"/>
      <c r="EW298" s="93"/>
      <c r="EX298" s="93"/>
      <c r="EY298" s="93"/>
      <c r="EZ298" s="93"/>
      <c r="FA298" s="93"/>
      <c r="FB298" s="93"/>
      <c r="FC298" s="93"/>
      <c r="FD298" s="93"/>
      <c r="FE298" s="93"/>
      <c r="FF298" s="93"/>
      <c r="FG298" s="93"/>
      <c r="FH298" s="93"/>
      <c r="FI298" s="93"/>
      <c r="FJ298" s="93"/>
      <c r="FK298" s="93"/>
      <c r="FL298" s="93"/>
      <c r="FM298" s="93"/>
      <c r="FN298" s="93"/>
      <c r="FO298" s="93"/>
      <c r="FP298" s="93"/>
      <c r="FQ298" s="93"/>
      <c r="FR298" s="93"/>
      <c r="FS298" s="93"/>
      <c r="FT298" s="93"/>
      <c r="FU298" s="93"/>
      <c r="FV298" s="93"/>
      <c r="FW298" s="93"/>
      <c r="FX298" s="93"/>
      <c r="FY298" s="93"/>
      <c r="FZ298" s="93"/>
      <c r="GA298" s="93"/>
      <c r="GB298" s="93"/>
      <c r="GC298" s="93"/>
      <c r="GD298" s="93"/>
      <c r="GE298" s="93"/>
      <c r="GF298" s="93"/>
      <c r="GG298" s="93"/>
      <c r="GH298" s="93"/>
      <c r="GI298" s="93"/>
      <c r="GJ298" s="93"/>
      <c r="GK298" s="93"/>
      <c r="GL298" s="93"/>
      <c r="GM298" s="93"/>
      <c r="GN298" s="93"/>
      <c r="GO298" s="93"/>
      <c r="GP298" s="93"/>
      <c r="GQ298" s="93"/>
      <c r="GR298" s="93"/>
      <c r="GS298" s="93"/>
      <c r="GT298" s="93">
        <v>0.33273809523809522</v>
      </c>
      <c r="GU298" s="93"/>
      <c r="GV298" s="93"/>
      <c r="GW298" s="93"/>
      <c r="GX298" s="93"/>
      <c r="GY298" s="93"/>
      <c r="GZ298" s="93"/>
      <c r="HA298" s="93"/>
      <c r="HB298" s="93"/>
      <c r="HC298" s="93"/>
      <c r="HD298" s="93"/>
      <c r="HE298" s="93"/>
      <c r="HF298" s="93"/>
      <c r="HG298" s="93"/>
    </row>
    <row r="299" spans="14:215" x14ac:dyDescent="0.2">
      <c r="N299" s="93" t="s">
        <v>516</v>
      </c>
      <c r="O299" s="93"/>
      <c r="P299" s="93"/>
      <c r="Q299" s="93"/>
      <c r="R299" s="93"/>
      <c r="S299" s="93"/>
      <c r="T299" s="93"/>
      <c r="U299" s="93"/>
      <c r="V299" s="93"/>
      <c r="W299" s="93"/>
      <c r="X299" s="93"/>
      <c r="Y299" s="93"/>
      <c r="Z299" s="93"/>
      <c r="AA299" s="93"/>
      <c r="AB299" s="93"/>
      <c r="AC299" s="93"/>
      <c r="AD299" s="93"/>
      <c r="AE299" s="93"/>
      <c r="AF299" s="93"/>
      <c r="AG299" s="93"/>
      <c r="AH299" s="93"/>
      <c r="AI299" s="93"/>
      <c r="AJ299" s="93"/>
      <c r="AK299" s="93"/>
      <c r="AL299" s="93"/>
      <c r="AM299" s="93"/>
      <c r="AN299" s="93"/>
      <c r="AO299" s="93"/>
      <c r="AP299" s="93"/>
      <c r="AQ299" s="93"/>
      <c r="AR299" s="93"/>
      <c r="AS299" s="93"/>
      <c r="AT299" s="93"/>
      <c r="AU299" s="93"/>
      <c r="AV299" s="93"/>
      <c r="AW299" s="93"/>
      <c r="AX299" s="93"/>
      <c r="AY299" s="93"/>
      <c r="AZ299" s="93"/>
      <c r="BA299" s="93"/>
      <c r="BB299" s="93"/>
      <c r="BC299" s="93"/>
      <c r="BD299" s="93"/>
      <c r="BE299" s="93"/>
      <c r="BF299" s="93"/>
      <c r="BG299" s="93"/>
      <c r="BH299" s="93"/>
      <c r="BI299" s="93"/>
      <c r="BJ299" s="93"/>
      <c r="BK299" s="93"/>
      <c r="BL299" s="93"/>
      <c r="BM299" s="93"/>
      <c r="BN299" s="93"/>
      <c r="BO299" s="93"/>
      <c r="BP299" s="93"/>
      <c r="BQ299" s="93"/>
      <c r="BR299" s="93"/>
      <c r="BS299" s="93"/>
      <c r="BT299" s="93"/>
      <c r="BU299" s="93"/>
      <c r="BV299" s="93"/>
      <c r="BW299" s="93"/>
      <c r="BX299" s="93"/>
      <c r="BY299" s="93"/>
      <c r="BZ299" s="93"/>
      <c r="CA299" s="93"/>
      <c r="CB299" s="93"/>
      <c r="CC299" s="93"/>
      <c r="CD299" s="93"/>
      <c r="CE299" s="93"/>
      <c r="CF299" s="93"/>
      <c r="CG299" s="93"/>
      <c r="CH299" s="93"/>
      <c r="CI299" s="93"/>
      <c r="CJ299" s="93"/>
      <c r="CK299" s="93"/>
      <c r="CL299" s="93"/>
      <c r="CM299" s="93"/>
      <c r="CN299" s="93"/>
      <c r="CO299" s="93"/>
      <c r="CP299" s="93"/>
      <c r="CQ299" s="93"/>
      <c r="CR299" s="93"/>
      <c r="CS299" s="93"/>
      <c r="CT299" s="93"/>
      <c r="CU299" s="93"/>
      <c r="CV299" s="93"/>
      <c r="CW299" s="93"/>
      <c r="CX299" s="93"/>
      <c r="CY299" s="93"/>
      <c r="CZ299" s="93"/>
      <c r="DA299" s="93"/>
      <c r="DB299" s="93"/>
      <c r="DC299" s="93"/>
      <c r="DD299" s="93"/>
      <c r="DE299" s="93"/>
      <c r="DF299" s="93"/>
      <c r="DG299" s="93"/>
      <c r="DH299" s="93"/>
      <c r="DI299" s="93"/>
      <c r="DJ299" s="93"/>
      <c r="DK299" s="93"/>
      <c r="DL299" s="93"/>
      <c r="DM299" s="93"/>
      <c r="DN299" s="93"/>
      <c r="DO299" s="93"/>
      <c r="DP299" s="93"/>
      <c r="DQ299" s="93"/>
      <c r="DR299" s="93"/>
      <c r="DS299" s="93"/>
      <c r="DT299" s="93"/>
      <c r="DU299" s="93"/>
      <c r="DV299" s="93"/>
      <c r="DW299" s="93"/>
      <c r="DX299" s="93"/>
      <c r="DY299" s="93"/>
      <c r="DZ299" s="93"/>
      <c r="EA299" s="93"/>
      <c r="EB299" s="93"/>
      <c r="EC299" s="93"/>
      <c r="ED299" s="93"/>
      <c r="EE299" s="93"/>
      <c r="EF299" s="93"/>
      <c r="EG299" s="93"/>
      <c r="EH299" s="93"/>
      <c r="EI299" s="93"/>
      <c r="EJ299" s="93"/>
      <c r="EK299" s="93"/>
      <c r="EL299" s="93"/>
      <c r="EM299" s="93"/>
      <c r="EN299" s="93"/>
      <c r="EO299" s="93"/>
      <c r="EP299" s="93"/>
      <c r="EQ299" s="93"/>
      <c r="ER299" s="93"/>
      <c r="ES299" s="93"/>
      <c r="ET299" s="93"/>
      <c r="EU299" s="93"/>
      <c r="EV299" s="93"/>
      <c r="EW299" s="93"/>
      <c r="EX299" s="93"/>
      <c r="EY299" s="93"/>
      <c r="EZ299" s="93"/>
      <c r="FA299" s="93"/>
      <c r="FB299" s="93"/>
      <c r="FC299" s="93"/>
      <c r="FD299" s="93"/>
      <c r="FE299" s="93"/>
      <c r="FF299" s="93"/>
      <c r="FG299" s="93"/>
      <c r="FH299" s="93"/>
      <c r="FI299" s="93"/>
      <c r="FJ299" s="93"/>
      <c r="FK299" s="93"/>
      <c r="FL299" s="93"/>
      <c r="FM299" s="93"/>
      <c r="FN299" s="93"/>
      <c r="FO299" s="93"/>
      <c r="FP299" s="93"/>
      <c r="FQ299" s="93"/>
      <c r="FR299" s="93"/>
      <c r="FS299" s="93"/>
      <c r="FT299" s="93"/>
      <c r="FU299" s="93"/>
      <c r="FV299" s="93"/>
      <c r="FW299" s="93"/>
      <c r="FX299" s="93"/>
      <c r="FY299" s="93"/>
      <c r="FZ299" s="93"/>
      <c r="GA299" s="93"/>
      <c r="GB299" s="93"/>
      <c r="GC299" s="93"/>
      <c r="GD299" s="93"/>
      <c r="GE299" s="93"/>
      <c r="GF299" s="93"/>
      <c r="GG299" s="93"/>
      <c r="GH299" s="93"/>
      <c r="GI299" s="93"/>
      <c r="GJ299" s="93"/>
      <c r="GK299" s="93"/>
      <c r="GL299" s="93"/>
      <c r="GM299" s="93"/>
      <c r="GN299" s="93"/>
      <c r="GO299" s="93"/>
      <c r="GP299" s="93"/>
      <c r="GQ299" s="93"/>
      <c r="GR299" s="93"/>
      <c r="GS299" s="93"/>
      <c r="GT299" s="93"/>
      <c r="GU299" s="93">
        <v>0.33274126702190643</v>
      </c>
      <c r="GV299" s="93"/>
      <c r="GW299" s="93"/>
      <c r="GX299" s="93"/>
      <c r="GY299" s="93"/>
      <c r="GZ299" s="93"/>
      <c r="HA299" s="93"/>
      <c r="HB299" s="93"/>
      <c r="HC299" s="93"/>
      <c r="HD299" s="93"/>
      <c r="HE299" s="93"/>
      <c r="HF299" s="93"/>
      <c r="HG299" s="93"/>
    </row>
    <row r="300" spans="14:215" x14ac:dyDescent="0.2">
      <c r="N300" s="93" t="s">
        <v>517</v>
      </c>
      <c r="O300" s="93"/>
      <c r="P300" s="93"/>
      <c r="Q300" s="93"/>
      <c r="R300" s="93"/>
      <c r="S300" s="93"/>
      <c r="T300" s="93"/>
      <c r="U300" s="93"/>
      <c r="V300" s="93"/>
      <c r="W300" s="93"/>
      <c r="X300" s="93"/>
      <c r="Y300" s="93"/>
      <c r="Z300" s="93"/>
      <c r="AA300" s="93"/>
      <c r="AB300" s="93"/>
      <c r="AC300" s="93"/>
      <c r="AD300" s="93"/>
      <c r="AE300" s="93"/>
      <c r="AF300" s="93"/>
      <c r="AG300" s="93"/>
      <c r="AH300" s="93"/>
      <c r="AI300" s="93"/>
      <c r="AJ300" s="93"/>
      <c r="AK300" s="93"/>
      <c r="AL300" s="93"/>
      <c r="AM300" s="93"/>
      <c r="AN300" s="93"/>
      <c r="AO300" s="93"/>
      <c r="AP300" s="93"/>
      <c r="AQ300" s="93"/>
      <c r="AR300" s="93"/>
      <c r="AS300" s="93"/>
      <c r="AT300" s="93"/>
      <c r="AU300" s="93"/>
      <c r="AV300" s="93"/>
      <c r="AW300" s="93"/>
      <c r="AX300" s="93"/>
      <c r="AY300" s="93"/>
      <c r="AZ300" s="93"/>
      <c r="BA300" s="93"/>
      <c r="BB300" s="93"/>
      <c r="BC300" s="93"/>
      <c r="BD300" s="93"/>
      <c r="BE300" s="93"/>
      <c r="BF300" s="93"/>
      <c r="BG300" s="93"/>
      <c r="BH300" s="93"/>
      <c r="BI300" s="93"/>
      <c r="BJ300" s="93"/>
      <c r="BK300" s="93"/>
      <c r="BL300" s="93"/>
      <c r="BM300" s="93"/>
      <c r="BN300" s="93"/>
      <c r="BO300" s="93"/>
      <c r="BP300" s="93"/>
      <c r="BQ300" s="93"/>
      <c r="BR300" s="93"/>
      <c r="BS300" s="93"/>
      <c r="BT300" s="93"/>
      <c r="BU300" s="93"/>
      <c r="BV300" s="93"/>
      <c r="BW300" s="93"/>
      <c r="BX300" s="93"/>
      <c r="BY300" s="93"/>
      <c r="BZ300" s="93"/>
      <c r="CA300" s="93"/>
      <c r="CB300" s="93"/>
      <c r="CC300" s="93"/>
      <c r="CD300" s="93"/>
      <c r="CE300" s="93"/>
      <c r="CF300" s="93"/>
      <c r="CG300" s="93"/>
      <c r="CH300" s="93"/>
      <c r="CI300" s="93"/>
      <c r="CJ300" s="93"/>
      <c r="CK300" s="93"/>
      <c r="CL300" s="93"/>
      <c r="CM300" s="93"/>
      <c r="CN300" s="93"/>
      <c r="CO300" s="93"/>
      <c r="CP300" s="93"/>
      <c r="CQ300" s="93"/>
      <c r="CR300" s="93"/>
      <c r="CS300" s="93"/>
      <c r="CT300" s="93"/>
      <c r="CU300" s="93"/>
      <c r="CV300" s="93"/>
      <c r="CW300" s="93"/>
      <c r="CX300" s="93"/>
      <c r="CY300" s="93"/>
      <c r="CZ300" s="93"/>
      <c r="DA300" s="93"/>
      <c r="DB300" s="93"/>
      <c r="DC300" s="93"/>
      <c r="DD300" s="93"/>
      <c r="DE300" s="93"/>
      <c r="DF300" s="93"/>
      <c r="DG300" s="93"/>
      <c r="DH300" s="93"/>
      <c r="DI300" s="93"/>
      <c r="DJ300" s="93"/>
      <c r="DK300" s="93"/>
      <c r="DL300" s="93"/>
      <c r="DM300" s="93"/>
      <c r="DN300" s="93"/>
      <c r="DO300" s="93"/>
      <c r="DP300" s="93"/>
      <c r="DQ300" s="93"/>
      <c r="DR300" s="93"/>
      <c r="DS300" s="93"/>
      <c r="DT300" s="93"/>
      <c r="DU300" s="93"/>
      <c r="DV300" s="93"/>
      <c r="DW300" s="93"/>
      <c r="DX300" s="93"/>
      <c r="DY300" s="93"/>
      <c r="DZ300" s="93"/>
      <c r="EA300" s="93"/>
      <c r="EB300" s="93"/>
      <c r="EC300" s="93"/>
      <c r="ED300" s="93"/>
      <c r="EE300" s="93"/>
      <c r="EF300" s="93"/>
      <c r="EG300" s="93"/>
      <c r="EH300" s="93"/>
      <c r="EI300" s="93"/>
      <c r="EJ300" s="93"/>
      <c r="EK300" s="93"/>
      <c r="EL300" s="93"/>
      <c r="EM300" s="93"/>
      <c r="EN300" s="93"/>
      <c r="EO300" s="93"/>
      <c r="EP300" s="93"/>
      <c r="EQ300" s="93"/>
      <c r="ER300" s="93"/>
      <c r="ES300" s="93"/>
      <c r="ET300" s="93"/>
      <c r="EU300" s="93"/>
      <c r="EV300" s="93"/>
      <c r="EW300" s="93"/>
      <c r="EX300" s="93"/>
      <c r="EY300" s="93"/>
      <c r="EZ300" s="93"/>
      <c r="FA300" s="93"/>
      <c r="FB300" s="93"/>
      <c r="FC300" s="93"/>
      <c r="FD300" s="93"/>
      <c r="FE300" s="93"/>
      <c r="FF300" s="93"/>
      <c r="FG300" s="93"/>
      <c r="FH300" s="93"/>
      <c r="FI300" s="93"/>
      <c r="FJ300" s="93"/>
      <c r="FK300" s="93"/>
      <c r="FL300" s="93"/>
      <c r="FM300" s="93"/>
      <c r="FN300" s="93"/>
      <c r="FO300" s="93"/>
      <c r="FP300" s="93"/>
      <c r="FQ300" s="93"/>
      <c r="FR300" s="93"/>
      <c r="FS300" s="93"/>
      <c r="FT300" s="93"/>
      <c r="FU300" s="93"/>
      <c r="FV300" s="93"/>
      <c r="FW300" s="93"/>
      <c r="FX300" s="93"/>
      <c r="FY300" s="93"/>
      <c r="FZ300" s="93"/>
      <c r="GA300" s="93"/>
      <c r="GB300" s="93"/>
      <c r="GC300" s="93"/>
      <c r="GD300" s="93"/>
      <c r="GE300" s="93"/>
      <c r="GF300" s="93"/>
      <c r="GG300" s="93"/>
      <c r="GH300" s="93"/>
      <c r="GI300" s="93"/>
      <c r="GJ300" s="93"/>
      <c r="GK300" s="93"/>
      <c r="GL300" s="93"/>
      <c r="GM300" s="93"/>
      <c r="GN300" s="93"/>
      <c r="GO300" s="93"/>
      <c r="GP300" s="93"/>
      <c r="GQ300" s="93"/>
      <c r="GR300" s="93"/>
      <c r="GS300" s="93"/>
      <c r="GT300" s="93"/>
      <c r="GU300" s="93"/>
      <c r="GV300" s="93">
        <v>0.3327444051825677</v>
      </c>
      <c r="GW300" s="93"/>
      <c r="GX300" s="93"/>
      <c r="GY300" s="93"/>
      <c r="GZ300" s="93"/>
      <c r="HA300" s="93"/>
      <c r="HB300" s="93"/>
      <c r="HC300" s="93"/>
      <c r="HD300" s="93"/>
      <c r="HE300" s="93"/>
      <c r="HF300" s="93"/>
      <c r="HG300" s="93"/>
    </row>
    <row r="301" spans="14:215" x14ac:dyDescent="0.2">
      <c r="N301" s="93" t="s">
        <v>518</v>
      </c>
      <c r="O301" s="93"/>
      <c r="P301" s="93"/>
      <c r="Q301" s="93"/>
      <c r="R301" s="93"/>
      <c r="S301" s="93"/>
      <c r="T301" s="93"/>
      <c r="U301" s="93"/>
      <c r="V301" s="93"/>
      <c r="W301" s="93"/>
      <c r="X301" s="93"/>
      <c r="Y301" s="93"/>
      <c r="Z301" s="93"/>
      <c r="AA301" s="93"/>
      <c r="AB301" s="93"/>
      <c r="AC301" s="93"/>
      <c r="AD301" s="93"/>
      <c r="AE301" s="93"/>
      <c r="AF301" s="93"/>
      <c r="AG301" s="93"/>
      <c r="AH301" s="93"/>
      <c r="AI301" s="93"/>
      <c r="AJ301" s="93"/>
      <c r="AK301" s="93"/>
      <c r="AL301" s="93"/>
      <c r="AM301" s="93"/>
      <c r="AN301" s="93"/>
      <c r="AO301" s="93"/>
      <c r="AP301" s="93"/>
      <c r="AQ301" s="93"/>
      <c r="AR301" s="93"/>
      <c r="AS301" s="93"/>
      <c r="AT301" s="93"/>
      <c r="AU301" s="93"/>
      <c r="AV301" s="93"/>
      <c r="AW301" s="93"/>
      <c r="AX301" s="93"/>
      <c r="AY301" s="93"/>
      <c r="AZ301" s="93"/>
      <c r="BA301" s="93"/>
      <c r="BB301" s="93"/>
      <c r="BC301" s="93"/>
      <c r="BD301" s="93"/>
      <c r="BE301" s="93"/>
      <c r="BF301" s="93"/>
      <c r="BG301" s="93"/>
      <c r="BH301" s="93"/>
      <c r="BI301" s="93"/>
      <c r="BJ301" s="93"/>
      <c r="BK301" s="93"/>
      <c r="BL301" s="93"/>
      <c r="BM301" s="93"/>
      <c r="BN301" s="93"/>
      <c r="BO301" s="93"/>
      <c r="BP301" s="93"/>
      <c r="BQ301" s="93"/>
      <c r="BR301" s="93"/>
      <c r="BS301" s="93"/>
      <c r="BT301" s="93"/>
      <c r="BU301" s="93"/>
      <c r="BV301" s="93"/>
      <c r="BW301" s="93"/>
      <c r="BX301" s="93"/>
      <c r="BY301" s="93"/>
      <c r="BZ301" s="93"/>
      <c r="CA301" s="93"/>
      <c r="CB301" s="93"/>
      <c r="CC301" s="93"/>
      <c r="CD301" s="93"/>
      <c r="CE301" s="93"/>
      <c r="CF301" s="93"/>
      <c r="CG301" s="93"/>
      <c r="CH301" s="93"/>
      <c r="CI301" s="93"/>
      <c r="CJ301" s="93"/>
      <c r="CK301" s="93"/>
      <c r="CL301" s="93"/>
      <c r="CM301" s="93"/>
      <c r="CN301" s="93"/>
      <c r="CO301" s="93"/>
      <c r="CP301" s="93"/>
      <c r="CQ301" s="93"/>
      <c r="CR301" s="93"/>
      <c r="CS301" s="93"/>
      <c r="CT301" s="93"/>
      <c r="CU301" s="93"/>
      <c r="CV301" s="93"/>
      <c r="CW301" s="93"/>
      <c r="CX301" s="93"/>
      <c r="CY301" s="93"/>
      <c r="CZ301" s="93"/>
      <c r="DA301" s="93"/>
      <c r="DB301" s="93"/>
      <c r="DC301" s="93"/>
      <c r="DD301" s="93"/>
      <c r="DE301" s="93"/>
      <c r="DF301" s="93"/>
      <c r="DG301" s="93"/>
      <c r="DH301" s="93"/>
      <c r="DI301" s="93"/>
      <c r="DJ301" s="93"/>
      <c r="DK301" s="93"/>
      <c r="DL301" s="93"/>
      <c r="DM301" s="93"/>
      <c r="DN301" s="93"/>
      <c r="DO301" s="93"/>
      <c r="DP301" s="93"/>
      <c r="DQ301" s="93"/>
      <c r="DR301" s="93"/>
      <c r="DS301" s="93"/>
      <c r="DT301" s="93"/>
      <c r="DU301" s="93"/>
      <c r="DV301" s="93"/>
      <c r="DW301" s="93"/>
      <c r="DX301" s="93"/>
      <c r="DY301" s="93"/>
      <c r="DZ301" s="93"/>
      <c r="EA301" s="93"/>
      <c r="EB301" s="93"/>
      <c r="EC301" s="93"/>
      <c r="ED301" s="93"/>
      <c r="EE301" s="93"/>
      <c r="EF301" s="93"/>
      <c r="EG301" s="93"/>
      <c r="EH301" s="93"/>
      <c r="EI301" s="93"/>
      <c r="EJ301" s="93"/>
      <c r="EK301" s="93"/>
      <c r="EL301" s="93"/>
      <c r="EM301" s="93"/>
      <c r="EN301" s="93"/>
      <c r="EO301" s="93"/>
      <c r="EP301" s="93"/>
      <c r="EQ301" s="93"/>
      <c r="ER301" s="93"/>
      <c r="ES301" s="93"/>
      <c r="ET301" s="93"/>
      <c r="EU301" s="93"/>
      <c r="EV301" s="93"/>
      <c r="EW301" s="93"/>
      <c r="EX301" s="93"/>
      <c r="EY301" s="93"/>
      <c r="EZ301" s="93"/>
      <c r="FA301" s="93"/>
      <c r="FB301" s="93"/>
      <c r="FC301" s="93"/>
      <c r="FD301" s="93"/>
      <c r="FE301" s="93"/>
      <c r="FF301" s="93"/>
      <c r="FG301" s="93"/>
      <c r="FH301" s="93"/>
      <c r="FI301" s="93"/>
      <c r="FJ301" s="93"/>
      <c r="FK301" s="93"/>
      <c r="FL301" s="93"/>
      <c r="FM301" s="93"/>
      <c r="FN301" s="93"/>
      <c r="FO301" s="93"/>
      <c r="FP301" s="93"/>
      <c r="FQ301" s="93"/>
      <c r="FR301" s="93"/>
      <c r="FS301" s="93"/>
      <c r="FT301" s="93"/>
      <c r="FU301" s="93"/>
      <c r="FV301" s="93"/>
      <c r="FW301" s="93"/>
      <c r="FX301" s="93"/>
      <c r="FY301" s="93"/>
      <c r="FZ301" s="93"/>
      <c r="GA301" s="93"/>
      <c r="GB301" s="93"/>
      <c r="GC301" s="93"/>
      <c r="GD301" s="93"/>
      <c r="GE301" s="93"/>
      <c r="GF301" s="93"/>
      <c r="GG301" s="93"/>
      <c r="GH301" s="93"/>
      <c r="GI301" s="93"/>
      <c r="GJ301" s="93"/>
      <c r="GK301" s="93"/>
      <c r="GL301" s="93"/>
      <c r="GM301" s="93"/>
      <c r="GN301" s="93"/>
      <c r="GO301" s="93"/>
      <c r="GP301" s="93"/>
      <c r="GQ301" s="93"/>
      <c r="GR301" s="93"/>
      <c r="GS301" s="93"/>
      <c r="GT301" s="93"/>
      <c r="GU301" s="93"/>
      <c r="GV301" s="93"/>
      <c r="GW301" s="93">
        <v>0.33274751025190391</v>
      </c>
      <c r="GX301" s="93"/>
      <c r="GY301" s="93"/>
      <c r="GZ301" s="93"/>
      <c r="HA301" s="93"/>
      <c r="HB301" s="93"/>
      <c r="HC301" s="93"/>
      <c r="HD301" s="93"/>
      <c r="HE301" s="93"/>
      <c r="HF301" s="93"/>
      <c r="HG301" s="93"/>
    </row>
    <row r="302" spans="14:215" x14ac:dyDescent="0.2">
      <c r="N302" s="93" t="s">
        <v>519</v>
      </c>
      <c r="O302" s="93"/>
      <c r="P302" s="93"/>
      <c r="Q302" s="93"/>
      <c r="R302" s="93"/>
      <c r="S302" s="93"/>
      <c r="T302" s="93"/>
      <c r="U302" s="93"/>
      <c r="V302" s="93"/>
      <c r="W302" s="93"/>
      <c r="X302" s="93"/>
      <c r="Y302" s="93"/>
      <c r="Z302" s="93"/>
      <c r="AA302" s="93"/>
      <c r="AB302" s="93"/>
      <c r="AC302" s="93"/>
      <c r="AD302" s="93"/>
      <c r="AE302" s="93"/>
      <c r="AF302" s="93"/>
      <c r="AG302" s="93"/>
      <c r="AH302" s="93"/>
      <c r="AI302" s="93"/>
      <c r="AJ302" s="93"/>
      <c r="AK302" s="93"/>
      <c r="AL302" s="93"/>
      <c r="AM302" s="93"/>
      <c r="AN302" s="93"/>
      <c r="AO302" s="93"/>
      <c r="AP302" s="93"/>
      <c r="AQ302" s="93"/>
      <c r="AR302" s="93"/>
      <c r="AS302" s="93"/>
      <c r="AT302" s="93"/>
      <c r="AU302" s="93"/>
      <c r="AV302" s="93"/>
      <c r="AW302" s="93"/>
      <c r="AX302" s="93"/>
      <c r="AY302" s="93"/>
      <c r="AZ302" s="93"/>
      <c r="BA302" s="93"/>
      <c r="BB302" s="93"/>
      <c r="BC302" s="93"/>
      <c r="BD302" s="93"/>
      <c r="BE302" s="93"/>
      <c r="BF302" s="93"/>
      <c r="BG302" s="93"/>
      <c r="BH302" s="93"/>
      <c r="BI302" s="93"/>
      <c r="BJ302" s="93"/>
      <c r="BK302" s="93"/>
      <c r="BL302" s="93"/>
      <c r="BM302" s="93"/>
      <c r="BN302" s="93"/>
      <c r="BO302" s="93"/>
      <c r="BP302" s="93"/>
      <c r="BQ302" s="93"/>
      <c r="BR302" s="93"/>
      <c r="BS302" s="93"/>
      <c r="BT302" s="93"/>
      <c r="BU302" s="93"/>
      <c r="BV302" s="93"/>
      <c r="BW302" s="93"/>
      <c r="BX302" s="93"/>
      <c r="BY302" s="93"/>
      <c r="BZ302" s="93"/>
      <c r="CA302" s="93"/>
      <c r="CB302" s="93"/>
      <c r="CC302" s="93"/>
      <c r="CD302" s="93"/>
      <c r="CE302" s="93"/>
      <c r="CF302" s="93"/>
      <c r="CG302" s="93"/>
      <c r="CH302" s="93"/>
      <c r="CI302" s="93"/>
      <c r="CJ302" s="93"/>
      <c r="CK302" s="93"/>
      <c r="CL302" s="93"/>
      <c r="CM302" s="93"/>
      <c r="CN302" s="93"/>
      <c r="CO302" s="93"/>
      <c r="CP302" s="93"/>
      <c r="CQ302" s="93"/>
      <c r="CR302" s="93"/>
      <c r="CS302" s="93"/>
      <c r="CT302" s="93"/>
      <c r="CU302" s="93"/>
      <c r="CV302" s="93"/>
      <c r="CW302" s="93"/>
      <c r="CX302" s="93"/>
      <c r="CY302" s="93"/>
      <c r="CZ302" s="93"/>
      <c r="DA302" s="93"/>
      <c r="DB302" s="93"/>
      <c r="DC302" s="93"/>
      <c r="DD302" s="93"/>
      <c r="DE302" s="93"/>
      <c r="DF302" s="93"/>
      <c r="DG302" s="93"/>
      <c r="DH302" s="93"/>
      <c r="DI302" s="93"/>
      <c r="DJ302" s="93"/>
      <c r="DK302" s="93"/>
      <c r="DL302" s="93"/>
      <c r="DM302" s="93"/>
      <c r="DN302" s="93"/>
      <c r="DO302" s="93"/>
      <c r="DP302" s="93"/>
      <c r="DQ302" s="93"/>
      <c r="DR302" s="93"/>
      <c r="DS302" s="93"/>
      <c r="DT302" s="93"/>
      <c r="DU302" s="93"/>
      <c r="DV302" s="93"/>
      <c r="DW302" s="93"/>
      <c r="DX302" s="93"/>
      <c r="DY302" s="93"/>
      <c r="DZ302" s="93"/>
      <c r="EA302" s="93"/>
      <c r="EB302" s="93"/>
      <c r="EC302" s="93"/>
      <c r="ED302" s="93"/>
      <c r="EE302" s="93"/>
      <c r="EF302" s="93"/>
      <c r="EG302" s="93"/>
      <c r="EH302" s="93"/>
      <c r="EI302" s="93"/>
      <c r="EJ302" s="93"/>
      <c r="EK302" s="93"/>
      <c r="EL302" s="93"/>
      <c r="EM302" s="93"/>
      <c r="EN302" s="93"/>
      <c r="EO302" s="93"/>
      <c r="EP302" s="93"/>
      <c r="EQ302" s="93"/>
      <c r="ER302" s="93"/>
      <c r="ES302" s="93"/>
      <c r="ET302" s="93"/>
      <c r="EU302" s="93"/>
      <c r="EV302" s="93"/>
      <c r="EW302" s="93"/>
      <c r="EX302" s="93"/>
      <c r="EY302" s="93"/>
      <c r="EZ302" s="93"/>
      <c r="FA302" s="93"/>
      <c r="FB302" s="93"/>
      <c r="FC302" s="93"/>
      <c r="FD302" s="93"/>
      <c r="FE302" s="93"/>
      <c r="FF302" s="93"/>
      <c r="FG302" s="93"/>
      <c r="FH302" s="93"/>
      <c r="FI302" s="93"/>
      <c r="FJ302" s="93"/>
      <c r="FK302" s="93"/>
      <c r="FL302" s="93"/>
      <c r="FM302" s="93"/>
      <c r="FN302" s="93"/>
      <c r="FO302" s="93"/>
      <c r="FP302" s="93"/>
      <c r="FQ302" s="93"/>
      <c r="FR302" s="93"/>
      <c r="FS302" s="93"/>
      <c r="FT302" s="93"/>
      <c r="FU302" s="93"/>
      <c r="FV302" s="93"/>
      <c r="FW302" s="93"/>
      <c r="FX302" s="93"/>
      <c r="FY302" s="93"/>
      <c r="FZ302" s="93"/>
      <c r="GA302" s="93"/>
      <c r="GB302" s="93"/>
      <c r="GC302" s="93"/>
      <c r="GD302" s="93"/>
      <c r="GE302" s="93"/>
      <c r="GF302" s="93"/>
      <c r="GG302" s="93"/>
      <c r="GH302" s="93"/>
      <c r="GI302" s="93"/>
      <c r="GJ302" s="93"/>
      <c r="GK302" s="93"/>
      <c r="GL302" s="93"/>
      <c r="GM302" s="93"/>
      <c r="GN302" s="93"/>
      <c r="GO302" s="93"/>
      <c r="GP302" s="93"/>
      <c r="GQ302" s="93"/>
      <c r="GR302" s="93"/>
      <c r="GS302" s="93"/>
      <c r="GT302" s="93"/>
      <c r="GU302" s="93"/>
      <c r="GV302" s="93"/>
      <c r="GW302" s="93"/>
      <c r="GX302" s="93">
        <v>0.33275058275058272</v>
      </c>
      <c r="GY302" s="93"/>
      <c r="GZ302" s="93"/>
      <c r="HA302" s="93"/>
      <c r="HB302" s="93"/>
      <c r="HC302" s="93"/>
      <c r="HD302" s="93"/>
      <c r="HE302" s="93"/>
      <c r="HF302" s="93"/>
      <c r="HG302" s="93"/>
    </row>
    <row r="303" spans="14:215" x14ac:dyDescent="0.2">
      <c r="N303" s="93" t="s">
        <v>520</v>
      </c>
      <c r="O303" s="93"/>
      <c r="P303" s="93"/>
      <c r="Q303" s="93"/>
      <c r="R303" s="93"/>
      <c r="S303" s="93"/>
      <c r="T303" s="93"/>
      <c r="U303" s="93"/>
      <c r="V303" s="93"/>
      <c r="W303" s="93"/>
      <c r="X303" s="93"/>
      <c r="Y303" s="93"/>
      <c r="Z303" s="93"/>
      <c r="AA303" s="93"/>
      <c r="AB303" s="93"/>
      <c r="AC303" s="93"/>
      <c r="AD303" s="93"/>
      <c r="AE303" s="93"/>
      <c r="AF303" s="93"/>
      <c r="AG303" s="93"/>
      <c r="AH303" s="93"/>
      <c r="AI303" s="93"/>
      <c r="AJ303" s="93"/>
      <c r="AK303" s="93"/>
      <c r="AL303" s="93"/>
      <c r="AM303" s="93"/>
      <c r="AN303" s="93"/>
      <c r="AO303" s="93"/>
      <c r="AP303" s="93"/>
      <c r="AQ303" s="93"/>
      <c r="AR303" s="93"/>
      <c r="AS303" s="93"/>
      <c r="AT303" s="93"/>
      <c r="AU303" s="93"/>
      <c r="AV303" s="93"/>
      <c r="AW303" s="93"/>
      <c r="AX303" s="93"/>
      <c r="AY303" s="93"/>
      <c r="AZ303" s="93"/>
      <c r="BA303" s="93"/>
      <c r="BB303" s="93"/>
      <c r="BC303" s="93"/>
      <c r="BD303" s="93"/>
      <c r="BE303" s="93"/>
      <c r="BF303" s="93"/>
      <c r="BG303" s="93"/>
      <c r="BH303" s="93"/>
      <c r="BI303" s="93"/>
      <c r="BJ303" s="93"/>
      <c r="BK303" s="93"/>
      <c r="BL303" s="93"/>
      <c r="BM303" s="93"/>
      <c r="BN303" s="93"/>
      <c r="BO303" s="93"/>
      <c r="BP303" s="93"/>
      <c r="BQ303" s="93"/>
      <c r="BR303" s="93"/>
      <c r="BS303" s="93"/>
      <c r="BT303" s="93"/>
      <c r="BU303" s="93"/>
      <c r="BV303" s="93"/>
      <c r="BW303" s="93"/>
      <c r="BX303" s="93"/>
      <c r="BY303" s="93"/>
      <c r="BZ303" s="93"/>
      <c r="CA303" s="93"/>
      <c r="CB303" s="93"/>
      <c r="CC303" s="93"/>
      <c r="CD303" s="93"/>
      <c r="CE303" s="93"/>
      <c r="CF303" s="93"/>
      <c r="CG303" s="93"/>
      <c r="CH303" s="93"/>
      <c r="CI303" s="93"/>
      <c r="CJ303" s="93"/>
      <c r="CK303" s="93"/>
      <c r="CL303" s="93"/>
      <c r="CM303" s="93"/>
      <c r="CN303" s="93"/>
      <c r="CO303" s="93"/>
      <c r="CP303" s="93"/>
      <c r="CQ303" s="93"/>
      <c r="CR303" s="93"/>
      <c r="CS303" s="93"/>
      <c r="CT303" s="93"/>
      <c r="CU303" s="93"/>
      <c r="CV303" s="93"/>
      <c r="CW303" s="93"/>
      <c r="CX303" s="93"/>
      <c r="CY303" s="93"/>
      <c r="CZ303" s="93"/>
      <c r="DA303" s="93"/>
      <c r="DB303" s="93"/>
      <c r="DC303" s="93"/>
      <c r="DD303" s="93"/>
      <c r="DE303" s="93"/>
      <c r="DF303" s="93"/>
      <c r="DG303" s="93"/>
      <c r="DH303" s="93"/>
      <c r="DI303" s="93"/>
      <c r="DJ303" s="93"/>
      <c r="DK303" s="93"/>
      <c r="DL303" s="93"/>
      <c r="DM303" s="93"/>
      <c r="DN303" s="93"/>
      <c r="DO303" s="93"/>
      <c r="DP303" s="93"/>
      <c r="DQ303" s="93"/>
      <c r="DR303" s="93"/>
      <c r="DS303" s="93"/>
      <c r="DT303" s="93"/>
      <c r="DU303" s="93"/>
      <c r="DV303" s="93"/>
      <c r="DW303" s="93"/>
      <c r="DX303" s="93"/>
      <c r="DY303" s="93"/>
      <c r="DZ303" s="93"/>
      <c r="EA303" s="93"/>
      <c r="EB303" s="93"/>
      <c r="EC303" s="93"/>
      <c r="ED303" s="93"/>
      <c r="EE303" s="93"/>
      <c r="EF303" s="93"/>
      <c r="EG303" s="93"/>
      <c r="EH303" s="93"/>
      <c r="EI303" s="93"/>
      <c r="EJ303" s="93"/>
      <c r="EK303" s="93"/>
      <c r="EL303" s="93"/>
      <c r="EM303" s="93"/>
      <c r="EN303" s="93"/>
      <c r="EO303" s="93"/>
      <c r="EP303" s="93"/>
      <c r="EQ303" s="93"/>
      <c r="ER303" s="93"/>
      <c r="ES303" s="93"/>
      <c r="ET303" s="93"/>
      <c r="EU303" s="93"/>
      <c r="EV303" s="93"/>
      <c r="EW303" s="93"/>
      <c r="EX303" s="93"/>
      <c r="EY303" s="93"/>
      <c r="EZ303" s="93"/>
      <c r="FA303" s="93"/>
      <c r="FB303" s="93"/>
      <c r="FC303" s="93"/>
      <c r="FD303" s="93"/>
      <c r="FE303" s="93"/>
      <c r="FF303" s="93"/>
      <c r="FG303" s="93"/>
      <c r="FH303" s="93"/>
      <c r="FI303" s="93"/>
      <c r="FJ303" s="93"/>
      <c r="FK303" s="93"/>
      <c r="FL303" s="93"/>
      <c r="FM303" s="93"/>
      <c r="FN303" s="93"/>
      <c r="FO303" s="93"/>
      <c r="FP303" s="93"/>
      <c r="FQ303" s="93"/>
      <c r="FR303" s="93"/>
      <c r="FS303" s="93"/>
      <c r="FT303" s="93"/>
      <c r="FU303" s="93"/>
      <c r="FV303" s="93"/>
      <c r="FW303" s="93"/>
      <c r="FX303" s="93"/>
      <c r="FY303" s="93"/>
      <c r="FZ303" s="93"/>
      <c r="GA303" s="93"/>
      <c r="GB303" s="93"/>
      <c r="GC303" s="93"/>
      <c r="GD303" s="93"/>
      <c r="GE303" s="93"/>
      <c r="GF303" s="93"/>
      <c r="GG303" s="93"/>
      <c r="GH303" s="93"/>
      <c r="GI303" s="93"/>
      <c r="GJ303" s="93"/>
      <c r="GK303" s="93"/>
      <c r="GL303" s="93"/>
      <c r="GM303" s="93"/>
      <c r="GN303" s="93"/>
      <c r="GO303" s="93"/>
      <c r="GP303" s="93"/>
      <c r="GQ303" s="93"/>
      <c r="GR303" s="93"/>
      <c r="GS303" s="93"/>
      <c r="GT303" s="93"/>
      <c r="GU303" s="93"/>
      <c r="GV303" s="93"/>
      <c r="GW303" s="93"/>
      <c r="GX303" s="93"/>
      <c r="GY303" s="93">
        <v>0.33275362318840579</v>
      </c>
      <c r="GZ303" s="93"/>
      <c r="HA303" s="93"/>
      <c r="HB303" s="93"/>
      <c r="HC303" s="93"/>
      <c r="HD303" s="93"/>
      <c r="HE303" s="93"/>
      <c r="HF303" s="93"/>
      <c r="HG303" s="93"/>
    </row>
    <row r="304" spans="14:215" x14ac:dyDescent="0.2">
      <c r="N304" s="93" t="s">
        <v>521</v>
      </c>
      <c r="O304" s="93"/>
      <c r="P304" s="93"/>
      <c r="Q304" s="93"/>
      <c r="R304" s="93"/>
      <c r="S304" s="93"/>
      <c r="T304" s="93"/>
      <c r="U304" s="93"/>
      <c r="V304" s="93"/>
      <c r="W304" s="93"/>
      <c r="X304" s="93"/>
      <c r="Y304" s="93"/>
      <c r="Z304" s="93"/>
      <c r="AA304" s="93"/>
      <c r="AB304" s="93"/>
      <c r="AC304" s="93"/>
      <c r="AD304" s="93"/>
      <c r="AE304" s="93"/>
      <c r="AF304" s="93"/>
      <c r="AG304" s="93"/>
      <c r="AH304" s="93"/>
      <c r="AI304" s="93"/>
      <c r="AJ304" s="93"/>
      <c r="AK304" s="93"/>
      <c r="AL304" s="93"/>
      <c r="AM304" s="93"/>
      <c r="AN304" s="93"/>
      <c r="AO304" s="93"/>
      <c r="AP304" s="93"/>
      <c r="AQ304" s="93"/>
      <c r="AR304" s="93"/>
      <c r="AS304" s="93"/>
      <c r="AT304" s="93"/>
      <c r="AU304" s="93"/>
      <c r="AV304" s="93"/>
      <c r="AW304" s="93"/>
      <c r="AX304" s="93"/>
      <c r="AY304" s="93"/>
      <c r="AZ304" s="93"/>
      <c r="BA304" s="93"/>
      <c r="BB304" s="93"/>
      <c r="BC304" s="93"/>
      <c r="BD304" s="93"/>
      <c r="BE304" s="93"/>
      <c r="BF304" s="93"/>
      <c r="BG304" s="93"/>
      <c r="BH304" s="93"/>
      <c r="BI304" s="93"/>
      <c r="BJ304" s="93"/>
      <c r="BK304" s="93"/>
      <c r="BL304" s="93"/>
      <c r="BM304" s="93"/>
      <c r="BN304" s="93"/>
      <c r="BO304" s="93"/>
      <c r="BP304" s="93"/>
      <c r="BQ304" s="93"/>
      <c r="BR304" s="93"/>
      <c r="BS304" s="93"/>
      <c r="BT304" s="93"/>
      <c r="BU304" s="93"/>
      <c r="BV304" s="93"/>
      <c r="BW304" s="93"/>
      <c r="BX304" s="93"/>
      <c r="BY304" s="93"/>
      <c r="BZ304" s="93"/>
      <c r="CA304" s="93"/>
      <c r="CB304" s="93"/>
      <c r="CC304" s="93"/>
      <c r="CD304" s="93"/>
      <c r="CE304" s="93"/>
      <c r="CF304" s="93"/>
      <c r="CG304" s="93"/>
      <c r="CH304" s="93"/>
      <c r="CI304" s="93"/>
      <c r="CJ304" s="93"/>
      <c r="CK304" s="93"/>
      <c r="CL304" s="93"/>
      <c r="CM304" s="93"/>
      <c r="CN304" s="93"/>
      <c r="CO304" s="93"/>
      <c r="CP304" s="93"/>
      <c r="CQ304" s="93"/>
      <c r="CR304" s="93"/>
      <c r="CS304" s="93"/>
      <c r="CT304" s="93"/>
      <c r="CU304" s="93"/>
      <c r="CV304" s="93"/>
      <c r="CW304" s="93"/>
      <c r="CX304" s="93"/>
      <c r="CY304" s="93"/>
      <c r="CZ304" s="93"/>
      <c r="DA304" s="93"/>
      <c r="DB304" s="93"/>
      <c r="DC304" s="93"/>
      <c r="DD304" s="93"/>
      <c r="DE304" s="93"/>
      <c r="DF304" s="93"/>
      <c r="DG304" s="93"/>
      <c r="DH304" s="93"/>
      <c r="DI304" s="93"/>
      <c r="DJ304" s="93"/>
      <c r="DK304" s="93"/>
      <c r="DL304" s="93"/>
      <c r="DM304" s="93"/>
      <c r="DN304" s="93"/>
      <c r="DO304" s="93"/>
      <c r="DP304" s="93"/>
      <c r="DQ304" s="93"/>
      <c r="DR304" s="93"/>
      <c r="DS304" s="93"/>
      <c r="DT304" s="93"/>
      <c r="DU304" s="93"/>
      <c r="DV304" s="93"/>
      <c r="DW304" s="93"/>
      <c r="DX304" s="93"/>
      <c r="DY304" s="93"/>
      <c r="DZ304" s="93"/>
      <c r="EA304" s="93"/>
      <c r="EB304" s="93"/>
      <c r="EC304" s="93"/>
      <c r="ED304" s="93"/>
      <c r="EE304" s="93"/>
      <c r="EF304" s="93"/>
      <c r="EG304" s="93"/>
      <c r="EH304" s="93"/>
      <c r="EI304" s="93"/>
      <c r="EJ304" s="93"/>
      <c r="EK304" s="93"/>
      <c r="EL304" s="93"/>
      <c r="EM304" s="93"/>
      <c r="EN304" s="93"/>
      <c r="EO304" s="93"/>
      <c r="EP304" s="93"/>
      <c r="EQ304" s="93"/>
      <c r="ER304" s="93"/>
      <c r="ES304" s="93"/>
      <c r="ET304" s="93"/>
      <c r="EU304" s="93"/>
      <c r="EV304" s="93"/>
      <c r="EW304" s="93"/>
      <c r="EX304" s="93"/>
      <c r="EY304" s="93"/>
      <c r="EZ304" s="93"/>
      <c r="FA304" s="93"/>
      <c r="FB304" s="93"/>
      <c r="FC304" s="93"/>
      <c r="FD304" s="93"/>
      <c r="FE304" s="93"/>
      <c r="FF304" s="93"/>
      <c r="FG304" s="93"/>
      <c r="FH304" s="93"/>
      <c r="FI304" s="93"/>
      <c r="FJ304" s="93"/>
      <c r="FK304" s="93"/>
      <c r="FL304" s="93"/>
      <c r="FM304" s="93"/>
      <c r="FN304" s="93"/>
      <c r="FO304" s="93"/>
      <c r="FP304" s="93"/>
      <c r="FQ304" s="93"/>
      <c r="FR304" s="93"/>
      <c r="FS304" s="93"/>
      <c r="FT304" s="93"/>
      <c r="FU304" s="93"/>
      <c r="FV304" s="93"/>
      <c r="FW304" s="93"/>
      <c r="FX304" s="93"/>
      <c r="FY304" s="93"/>
      <c r="FZ304" s="93"/>
      <c r="GA304" s="93"/>
      <c r="GB304" s="93"/>
      <c r="GC304" s="93"/>
      <c r="GD304" s="93"/>
      <c r="GE304" s="93"/>
      <c r="GF304" s="93"/>
      <c r="GG304" s="93"/>
      <c r="GH304" s="93"/>
      <c r="GI304" s="93"/>
      <c r="GJ304" s="93"/>
      <c r="GK304" s="93"/>
      <c r="GL304" s="93"/>
      <c r="GM304" s="93"/>
      <c r="GN304" s="93"/>
      <c r="GO304" s="93"/>
      <c r="GP304" s="93"/>
      <c r="GQ304" s="93"/>
      <c r="GR304" s="93"/>
      <c r="GS304" s="93"/>
      <c r="GT304" s="93"/>
      <c r="GU304" s="93"/>
      <c r="GV304" s="93"/>
      <c r="GW304" s="93"/>
      <c r="GX304" s="93"/>
      <c r="GY304" s="93"/>
      <c r="GZ304" s="93">
        <v>0.33275663206459055</v>
      </c>
      <c r="HA304" s="93"/>
      <c r="HB304" s="93"/>
      <c r="HC304" s="93"/>
      <c r="HD304" s="93"/>
      <c r="HE304" s="93"/>
      <c r="HF304" s="93"/>
      <c r="HG304" s="93"/>
    </row>
    <row r="305" spans="14:215" x14ac:dyDescent="0.2">
      <c r="N305" s="93" t="s">
        <v>522</v>
      </c>
      <c r="O305" s="93"/>
      <c r="P305" s="93"/>
      <c r="Q305" s="93"/>
      <c r="R305" s="93"/>
      <c r="S305" s="93"/>
      <c r="T305" s="93"/>
      <c r="U305" s="93"/>
      <c r="V305" s="93"/>
      <c r="W305" s="93"/>
      <c r="X305" s="93"/>
      <c r="Y305" s="93"/>
      <c r="Z305" s="93"/>
      <c r="AA305" s="93"/>
      <c r="AB305" s="93"/>
      <c r="AC305" s="93"/>
      <c r="AD305" s="93"/>
      <c r="AE305" s="93"/>
      <c r="AF305" s="93"/>
      <c r="AG305" s="93"/>
      <c r="AH305" s="93"/>
      <c r="AI305" s="93"/>
      <c r="AJ305" s="93"/>
      <c r="AK305" s="93"/>
      <c r="AL305" s="93"/>
      <c r="AM305" s="93"/>
      <c r="AN305" s="93"/>
      <c r="AO305" s="93"/>
      <c r="AP305" s="93"/>
      <c r="AQ305" s="93"/>
      <c r="AR305" s="93"/>
      <c r="AS305" s="93"/>
      <c r="AT305" s="93"/>
      <c r="AU305" s="93"/>
      <c r="AV305" s="93"/>
      <c r="AW305" s="93"/>
      <c r="AX305" s="93"/>
      <c r="AY305" s="93"/>
      <c r="AZ305" s="93"/>
      <c r="BA305" s="93"/>
      <c r="BB305" s="93"/>
      <c r="BC305" s="93"/>
      <c r="BD305" s="93"/>
      <c r="BE305" s="93"/>
      <c r="BF305" s="93"/>
      <c r="BG305" s="93"/>
      <c r="BH305" s="93"/>
      <c r="BI305" s="93"/>
      <c r="BJ305" s="93"/>
      <c r="BK305" s="93"/>
      <c r="BL305" s="93"/>
      <c r="BM305" s="93"/>
      <c r="BN305" s="93"/>
      <c r="BO305" s="93"/>
      <c r="BP305" s="93"/>
      <c r="BQ305" s="93"/>
      <c r="BR305" s="93"/>
      <c r="BS305" s="93"/>
      <c r="BT305" s="93"/>
      <c r="BU305" s="93"/>
      <c r="BV305" s="93"/>
      <c r="BW305" s="93"/>
      <c r="BX305" s="93"/>
      <c r="BY305" s="93"/>
      <c r="BZ305" s="93"/>
      <c r="CA305" s="93"/>
      <c r="CB305" s="93"/>
      <c r="CC305" s="93"/>
      <c r="CD305" s="93"/>
      <c r="CE305" s="93"/>
      <c r="CF305" s="93"/>
      <c r="CG305" s="93"/>
      <c r="CH305" s="93"/>
      <c r="CI305" s="93"/>
      <c r="CJ305" s="93"/>
      <c r="CK305" s="93"/>
      <c r="CL305" s="93"/>
      <c r="CM305" s="93"/>
      <c r="CN305" s="93"/>
      <c r="CO305" s="93"/>
      <c r="CP305" s="93"/>
      <c r="CQ305" s="93"/>
      <c r="CR305" s="93"/>
      <c r="CS305" s="93"/>
      <c r="CT305" s="93"/>
      <c r="CU305" s="93"/>
      <c r="CV305" s="93"/>
      <c r="CW305" s="93"/>
      <c r="CX305" s="93"/>
      <c r="CY305" s="93"/>
      <c r="CZ305" s="93"/>
      <c r="DA305" s="93"/>
      <c r="DB305" s="93"/>
      <c r="DC305" s="93"/>
      <c r="DD305" s="93"/>
      <c r="DE305" s="93"/>
      <c r="DF305" s="93"/>
      <c r="DG305" s="93"/>
      <c r="DH305" s="93"/>
      <c r="DI305" s="93"/>
      <c r="DJ305" s="93"/>
      <c r="DK305" s="93"/>
      <c r="DL305" s="93"/>
      <c r="DM305" s="93"/>
      <c r="DN305" s="93"/>
      <c r="DO305" s="93"/>
      <c r="DP305" s="93"/>
      <c r="DQ305" s="93"/>
      <c r="DR305" s="93"/>
      <c r="DS305" s="93"/>
      <c r="DT305" s="93"/>
      <c r="DU305" s="93"/>
      <c r="DV305" s="93"/>
      <c r="DW305" s="93"/>
      <c r="DX305" s="93"/>
      <c r="DY305" s="93"/>
      <c r="DZ305" s="93"/>
      <c r="EA305" s="93"/>
      <c r="EB305" s="93"/>
      <c r="EC305" s="93"/>
      <c r="ED305" s="93"/>
      <c r="EE305" s="93"/>
      <c r="EF305" s="93"/>
      <c r="EG305" s="93"/>
      <c r="EH305" s="93"/>
      <c r="EI305" s="93"/>
      <c r="EJ305" s="93"/>
      <c r="EK305" s="93"/>
      <c r="EL305" s="93"/>
      <c r="EM305" s="93"/>
      <c r="EN305" s="93"/>
      <c r="EO305" s="93"/>
      <c r="EP305" s="93"/>
      <c r="EQ305" s="93"/>
      <c r="ER305" s="93"/>
      <c r="ES305" s="93"/>
      <c r="ET305" s="93"/>
      <c r="EU305" s="93"/>
      <c r="EV305" s="93"/>
      <c r="EW305" s="93"/>
      <c r="EX305" s="93"/>
      <c r="EY305" s="93"/>
      <c r="EZ305" s="93"/>
      <c r="FA305" s="93"/>
      <c r="FB305" s="93"/>
      <c r="FC305" s="93"/>
      <c r="FD305" s="93"/>
      <c r="FE305" s="93"/>
      <c r="FF305" s="93"/>
      <c r="FG305" s="93"/>
      <c r="FH305" s="93"/>
      <c r="FI305" s="93"/>
      <c r="FJ305" s="93"/>
      <c r="FK305" s="93"/>
      <c r="FL305" s="93"/>
      <c r="FM305" s="93"/>
      <c r="FN305" s="93"/>
      <c r="FO305" s="93"/>
      <c r="FP305" s="93"/>
      <c r="FQ305" s="93"/>
      <c r="FR305" s="93"/>
      <c r="FS305" s="93"/>
      <c r="FT305" s="93"/>
      <c r="FU305" s="93"/>
      <c r="FV305" s="93"/>
      <c r="FW305" s="93"/>
      <c r="FX305" s="93"/>
      <c r="FY305" s="93"/>
      <c r="FZ305" s="93"/>
      <c r="GA305" s="93"/>
      <c r="GB305" s="93"/>
      <c r="GC305" s="93"/>
      <c r="GD305" s="93"/>
      <c r="GE305" s="93"/>
      <c r="GF305" s="93"/>
      <c r="GG305" s="93"/>
      <c r="GH305" s="93"/>
      <c r="GI305" s="93"/>
      <c r="GJ305" s="93"/>
      <c r="GK305" s="93"/>
      <c r="GL305" s="93"/>
      <c r="GM305" s="93"/>
      <c r="GN305" s="93"/>
      <c r="GO305" s="93"/>
      <c r="GP305" s="93"/>
      <c r="GQ305" s="93"/>
      <c r="GR305" s="93"/>
      <c r="GS305" s="93"/>
      <c r="GT305" s="93"/>
      <c r="GU305" s="93"/>
      <c r="GV305" s="93"/>
      <c r="GW305" s="93"/>
      <c r="GX305" s="93"/>
      <c r="GY305" s="93"/>
      <c r="GZ305" s="93"/>
      <c r="HA305" s="93">
        <v>0.33275960986804359</v>
      </c>
      <c r="HB305" s="93"/>
      <c r="HC305" s="93"/>
      <c r="HD305" s="93"/>
      <c r="HE305" s="93"/>
      <c r="HF305" s="93"/>
      <c r="HG305" s="93"/>
    </row>
    <row r="306" spans="14:215" x14ac:dyDescent="0.2">
      <c r="N306" s="93" t="s">
        <v>523</v>
      </c>
      <c r="O306" s="93"/>
      <c r="P306" s="93"/>
      <c r="Q306" s="93"/>
      <c r="R306" s="93"/>
      <c r="S306" s="93"/>
      <c r="T306" s="93"/>
      <c r="U306" s="93"/>
      <c r="V306" s="93"/>
      <c r="W306" s="93"/>
      <c r="X306" s="93"/>
      <c r="Y306" s="93"/>
      <c r="Z306" s="93"/>
      <c r="AA306" s="93"/>
      <c r="AB306" s="93"/>
      <c r="AC306" s="93"/>
      <c r="AD306" s="93"/>
      <c r="AE306" s="93"/>
      <c r="AF306" s="93"/>
      <c r="AG306" s="93"/>
      <c r="AH306" s="93"/>
      <c r="AI306" s="93"/>
      <c r="AJ306" s="93"/>
      <c r="AK306" s="93"/>
      <c r="AL306" s="93"/>
      <c r="AM306" s="93"/>
      <c r="AN306" s="93"/>
      <c r="AO306" s="93"/>
      <c r="AP306" s="93"/>
      <c r="AQ306" s="93"/>
      <c r="AR306" s="93"/>
      <c r="AS306" s="93"/>
      <c r="AT306" s="93"/>
      <c r="AU306" s="93"/>
      <c r="AV306" s="93"/>
      <c r="AW306" s="93"/>
      <c r="AX306" s="93"/>
      <c r="AY306" s="93"/>
      <c r="AZ306" s="93"/>
      <c r="BA306" s="93"/>
      <c r="BB306" s="93"/>
      <c r="BC306" s="93"/>
      <c r="BD306" s="93"/>
      <c r="BE306" s="93"/>
      <c r="BF306" s="93"/>
      <c r="BG306" s="93"/>
      <c r="BH306" s="93"/>
      <c r="BI306" s="93"/>
      <c r="BJ306" s="93"/>
      <c r="BK306" s="93"/>
      <c r="BL306" s="93"/>
      <c r="BM306" s="93"/>
      <c r="BN306" s="93"/>
      <c r="BO306" s="93"/>
      <c r="BP306" s="93"/>
      <c r="BQ306" s="93"/>
      <c r="BR306" s="93"/>
      <c r="BS306" s="93"/>
      <c r="BT306" s="93"/>
      <c r="BU306" s="93"/>
      <c r="BV306" s="93"/>
      <c r="BW306" s="93"/>
      <c r="BX306" s="93"/>
      <c r="BY306" s="93"/>
      <c r="BZ306" s="93"/>
      <c r="CA306" s="93"/>
      <c r="CB306" s="93"/>
      <c r="CC306" s="93"/>
      <c r="CD306" s="93"/>
      <c r="CE306" s="93"/>
      <c r="CF306" s="93"/>
      <c r="CG306" s="93"/>
      <c r="CH306" s="93"/>
      <c r="CI306" s="93"/>
      <c r="CJ306" s="93"/>
      <c r="CK306" s="93"/>
      <c r="CL306" s="93"/>
      <c r="CM306" s="93"/>
      <c r="CN306" s="93"/>
      <c r="CO306" s="93"/>
      <c r="CP306" s="93"/>
      <c r="CQ306" s="93"/>
      <c r="CR306" s="93"/>
      <c r="CS306" s="93"/>
      <c r="CT306" s="93"/>
      <c r="CU306" s="93"/>
      <c r="CV306" s="93"/>
      <c r="CW306" s="93"/>
      <c r="CX306" s="93"/>
      <c r="CY306" s="93"/>
      <c r="CZ306" s="93"/>
      <c r="DA306" s="93"/>
      <c r="DB306" s="93"/>
      <c r="DC306" s="93"/>
      <c r="DD306" s="93"/>
      <c r="DE306" s="93"/>
      <c r="DF306" s="93"/>
      <c r="DG306" s="93"/>
      <c r="DH306" s="93"/>
      <c r="DI306" s="93"/>
      <c r="DJ306" s="93"/>
      <c r="DK306" s="93"/>
      <c r="DL306" s="93"/>
      <c r="DM306" s="93"/>
      <c r="DN306" s="93"/>
      <c r="DO306" s="93"/>
      <c r="DP306" s="93"/>
      <c r="DQ306" s="93"/>
      <c r="DR306" s="93"/>
      <c r="DS306" s="93"/>
      <c r="DT306" s="93"/>
      <c r="DU306" s="93"/>
      <c r="DV306" s="93"/>
      <c r="DW306" s="93"/>
      <c r="DX306" s="93"/>
      <c r="DY306" s="93"/>
      <c r="DZ306" s="93"/>
      <c r="EA306" s="93"/>
      <c r="EB306" s="93"/>
      <c r="EC306" s="93"/>
      <c r="ED306" s="93"/>
      <c r="EE306" s="93"/>
      <c r="EF306" s="93"/>
      <c r="EG306" s="93"/>
      <c r="EH306" s="93"/>
      <c r="EI306" s="93"/>
      <c r="EJ306" s="93"/>
      <c r="EK306" s="93"/>
      <c r="EL306" s="93"/>
      <c r="EM306" s="93"/>
      <c r="EN306" s="93"/>
      <c r="EO306" s="93"/>
      <c r="EP306" s="93"/>
      <c r="EQ306" s="93"/>
      <c r="ER306" s="93"/>
      <c r="ES306" s="93"/>
      <c r="ET306" s="93"/>
      <c r="EU306" s="93"/>
      <c r="EV306" s="93"/>
      <c r="EW306" s="93"/>
      <c r="EX306" s="93"/>
      <c r="EY306" s="93"/>
      <c r="EZ306" s="93"/>
      <c r="FA306" s="93"/>
      <c r="FB306" s="93"/>
      <c r="FC306" s="93"/>
      <c r="FD306" s="93"/>
      <c r="FE306" s="93"/>
      <c r="FF306" s="93"/>
      <c r="FG306" s="93"/>
      <c r="FH306" s="93"/>
      <c r="FI306" s="93"/>
      <c r="FJ306" s="93"/>
      <c r="FK306" s="93"/>
      <c r="FL306" s="93"/>
      <c r="FM306" s="93"/>
      <c r="FN306" s="93"/>
      <c r="FO306" s="93"/>
      <c r="FP306" s="93"/>
      <c r="FQ306" s="93"/>
      <c r="FR306" s="93"/>
      <c r="FS306" s="93"/>
      <c r="FT306" s="93"/>
      <c r="FU306" s="93"/>
      <c r="FV306" s="93"/>
      <c r="FW306" s="93"/>
      <c r="FX306" s="93"/>
      <c r="FY306" s="93"/>
      <c r="FZ306" s="93"/>
      <c r="GA306" s="93"/>
      <c r="GB306" s="93"/>
      <c r="GC306" s="93"/>
      <c r="GD306" s="93"/>
      <c r="GE306" s="93"/>
      <c r="GF306" s="93"/>
      <c r="GG306" s="93"/>
      <c r="GH306" s="93"/>
      <c r="GI306" s="93"/>
      <c r="GJ306" s="93"/>
      <c r="GK306" s="93"/>
      <c r="GL306" s="93"/>
      <c r="GM306" s="93"/>
      <c r="GN306" s="93"/>
      <c r="GO306" s="93"/>
      <c r="GP306" s="93"/>
      <c r="GQ306" s="93"/>
      <c r="GR306" s="93"/>
      <c r="GS306" s="93"/>
      <c r="GT306" s="93"/>
      <c r="GU306" s="93"/>
      <c r="GV306" s="93"/>
      <c r="GW306" s="93"/>
      <c r="GX306" s="93"/>
      <c r="GY306" s="93"/>
      <c r="GZ306" s="93"/>
      <c r="HA306" s="93"/>
      <c r="HB306" s="93">
        <v>0.33276255707762559</v>
      </c>
      <c r="HC306" s="93"/>
      <c r="HD306" s="93"/>
      <c r="HE306" s="93"/>
      <c r="HF306" s="93"/>
      <c r="HG306" s="93"/>
    </row>
    <row r="307" spans="14:215" x14ac:dyDescent="0.2">
      <c r="N307" s="93" t="s">
        <v>524</v>
      </c>
      <c r="O307" s="93"/>
      <c r="P307" s="93"/>
      <c r="Q307" s="93"/>
      <c r="R307" s="93"/>
      <c r="S307" s="93"/>
      <c r="T307" s="93"/>
      <c r="U307" s="93"/>
      <c r="V307" s="93"/>
      <c r="W307" s="93"/>
      <c r="X307" s="93"/>
      <c r="Y307" s="93"/>
      <c r="Z307" s="93"/>
      <c r="AA307" s="93"/>
      <c r="AB307" s="93"/>
      <c r="AC307" s="93"/>
      <c r="AD307" s="93"/>
      <c r="AE307" s="93"/>
      <c r="AF307" s="93"/>
      <c r="AG307" s="93"/>
      <c r="AH307" s="93"/>
      <c r="AI307" s="93"/>
      <c r="AJ307" s="93"/>
      <c r="AK307" s="93"/>
      <c r="AL307" s="93"/>
      <c r="AM307" s="93"/>
      <c r="AN307" s="93"/>
      <c r="AO307" s="93"/>
      <c r="AP307" s="93"/>
      <c r="AQ307" s="93"/>
      <c r="AR307" s="93"/>
      <c r="AS307" s="93"/>
      <c r="AT307" s="93"/>
      <c r="AU307" s="93"/>
      <c r="AV307" s="93"/>
      <c r="AW307" s="93"/>
      <c r="AX307" s="93"/>
      <c r="AY307" s="93"/>
      <c r="AZ307" s="93"/>
      <c r="BA307" s="93"/>
      <c r="BB307" s="93"/>
      <c r="BC307" s="93"/>
      <c r="BD307" s="93"/>
      <c r="BE307" s="93"/>
      <c r="BF307" s="93"/>
      <c r="BG307" s="93"/>
      <c r="BH307" s="93"/>
      <c r="BI307" s="93"/>
      <c r="BJ307" s="93"/>
      <c r="BK307" s="93"/>
      <c r="BL307" s="93"/>
      <c r="BM307" s="93"/>
      <c r="BN307" s="93"/>
      <c r="BO307" s="93"/>
      <c r="BP307" s="93"/>
      <c r="BQ307" s="93"/>
      <c r="BR307" s="93"/>
      <c r="BS307" s="93"/>
      <c r="BT307" s="93"/>
      <c r="BU307" s="93"/>
      <c r="BV307" s="93"/>
      <c r="BW307" s="93"/>
      <c r="BX307" s="93"/>
      <c r="BY307" s="93"/>
      <c r="BZ307" s="93"/>
      <c r="CA307" s="93"/>
      <c r="CB307" s="93"/>
      <c r="CC307" s="93"/>
      <c r="CD307" s="93"/>
      <c r="CE307" s="93"/>
      <c r="CF307" s="93"/>
      <c r="CG307" s="93"/>
      <c r="CH307" s="93"/>
      <c r="CI307" s="93"/>
      <c r="CJ307" s="93"/>
      <c r="CK307" s="93"/>
      <c r="CL307" s="93"/>
      <c r="CM307" s="93"/>
      <c r="CN307" s="93"/>
      <c r="CO307" s="93"/>
      <c r="CP307" s="93"/>
      <c r="CQ307" s="93"/>
      <c r="CR307" s="93"/>
      <c r="CS307" s="93"/>
      <c r="CT307" s="93"/>
      <c r="CU307" s="93"/>
      <c r="CV307" s="93"/>
      <c r="CW307" s="93"/>
      <c r="CX307" s="93"/>
      <c r="CY307" s="93"/>
      <c r="CZ307" s="93"/>
      <c r="DA307" s="93"/>
      <c r="DB307" s="93"/>
      <c r="DC307" s="93"/>
      <c r="DD307" s="93"/>
      <c r="DE307" s="93"/>
      <c r="DF307" s="93"/>
      <c r="DG307" s="93"/>
      <c r="DH307" s="93"/>
      <c r="DI307" s="93"/>
      <c r="DJ307" s="93"/>
      <c r="DK307" s="93"/>
      <c r="DL307" s="93"/>
      <c r="DM307" s="93"/>
      <c r="DN307" s="93"/>
      <c r="DO307" s="93"/>
      <c r="DP307" s="93"/>
      <c r="DQ307" s="93"/>
      <c r="DR307" s="93"/>
      <c r="DS307" s="93"/>
      <c r="DT307" s="93"/>
      <c r="DU307" s="93"/>
      <c r="DV307" s="93"/>
      <c r="DW307" s="93"/>
      <c r="DX307" s="93"/>
      <c r="DY307" s="93"/>
      <c r="DZ307" s="93"/>
      <c r="EA307" s="93"/>
      <c r="EB307" s="93"/>
      <c r="EC307" s="93"/>
      <c r="ED307" s="93"/>
      <c r="EE307" s="93"/>
      <c r="EF307" s="93"/>
      <c r="EG307" s="93"/>
      <c r="EH307" s="93"/>
      <c r="EI307" s="93"/>
      <c r="EJ307" s="93"/>
      <c r="EK307" s="93"/>
      <c r="EL307" s="93"/>
      <c r="EM307" s="93"/>
      <c r="EN307" s="93"/>
      <c r="EO307" s="93"/>
      <c r="EP307" s="93"/>
      <c r="EQ307" s="93"/>
      <c r="ER307" s="93"/>
      <c r="ES307" s="93"/>
      <c r="ET307" s="93"/>
      <c r="EU307" s="93"/>
      <c r="EV307" s="93"/>
      <c r="EW307" s="93"/>
      <c r="EX307" s="93"/>
      <c r="EY307" s="93"/>
      <c r="EZ307" s="93"/>
      <c r="FA307" s="93"/>
      <c r="FB307" s="93"/>
      <c r="FC307" s="93"/>
      <c r="FD307" s="93"/>
      <c r="FE307" s="93"/>
      <c r="FF307" s="93"/>
      <c r="FG307" s="93"/>
      <c r="FH307" s="93"/>
      <c r="FI307" s="93"/>
      <c r="FJ307" s="93"/>
      <c r="FK307" s="93"/>
      <c r="FL307" s="93"/>
      <c r="FM307" s="93"/>
      <c r="FN307" s="93"/>
      <c r="FO307" s="93"/>
      <c r="FP307" s="93"/>
      <c r="FQ307" s="93"/>
      <c r="FR307" s="93"/>
      <c r="FS307" s="93"/>
      <c r="FT307" s="93"/>
      <c r="FU307" s="93"/>
      <c r="FV307" s="93"/>
      <c r="FW307" s="93"/>
      <c r="FX307" s="93"/>
      <c r="FY307" s="93"/>
      <c r="FZ307" s="93"/>
      <c r="GA307" s="93"/>
      <c r="GB307" s="93"/>
      <c r="GC307" s="93"/>
      <c r="GD307" s="93"/>
      <c r="GE307" s="93"/>
      <c r="GF307" s="93"/>
      <c r="GG307" s="93"/>
      <c r="GH307" s="93"/>
      <c r="GI307" s="93"/>
      <c r="GJ307" s="93"/>
      <c r="GK307" s="93"/>
      <c r="GL307" s="93"/>
      <c r="GM307" s="93"/>
      <c r="GN307" s="93"/>
      <c r="GO307" s="93"/>
      <c r="GP307" s="93"/>
      <c r="GQ307" s="93"/>
      <c r="GR307" s="93"/>
      <c r="GS307" s="93"/>
      <c r="GT307" s="93"/>
      <c r="GU307" s="93"/>
      <c r="GV307" s="93"/>
      <c r="GW307" s="93"/>
      <c r="GX307" s="93"/>
      <c r="GY307" s="93"/>
      <c r="GZ307" s="93"/>
      <c r="HA307" s="93"/>
      <c r="HB307" s="93"/>
      <c r="HC307" s="93">
        <v>0.3327654741624077</v>
      </c>
      <c r="HD307" s="93"/>
      <c r="HE307" s="93"/>
      <c r="HF307" s="93"/>
      <c r="HG307" s="93"/>
    </row>
    <row r="308" spans="14:215" x14ac:dyDescent="0.2">
      <c r="N308" s="93" t="s">
        <v>525</v>
      </c>
      <c r="O308" s="93"/>
      <c r="P308" s="93"/>
      <c r="Q308" s="93"/>
      <c r="R308" s="93"/>
      <c r="S308" s="93"/>
      <c r="T308" s="93"/>
      <c r="U308" s="93"/>
      <c r="V308" s="93"/>
      <c r="W308" s="93"/>
      <c r="X308" s="93"/>
      <c r="Y308" s="93"/>
      <c r="Z308" s="93"/>
      <c r="AA308" s="93"/>
      <c r="AB308" s="93"/>
      <c r="AC308" s="93"/>
      <c r="AD308" s="93"/>
      <c r="AE308" s="93"/>
      <c r="AF308" s="93"/>
      <c r="AG308" s="93"/>
      <c r="AH308" s="93"/>
      <c r="AI308" s="93"/>
      <c r="AJ308" s="93"/>
      <c r="AK308" s="93"/>
      <c r="AL308" s="93"/>
      <c r="AM308" s="93"/>
      <c r="AN308" s="93"/>
      <c r="AO308" s="93"/>
      <c r="AP308" s="93"/>
      <c r="AQ308" s="93"/>
      <c r="AR308" s="93"/>
      <c r="AS308" s="93"/>
      <c r="AT308" s="93"/>
      <c r="AU308" s="93"/>
      <c r="AV308" s="93"/>
      <c r="AW308" s="93"/>
      <c r="AX308" s="93"/>
      <c r="AY308" s="93"/>
      <c r="AZ308" s="93"/>
      <c r="BA308" s="93"/>
      <c r="BB308" s="93"/>
      <c r="BC308" s="93"/>
      <c r="BD308" s="93"/>
      <c r="BE308" s="93"/>
      <c r="BF308" s="93"/>
      <c r="BG308" s="93"/>
      <c r="BH308" s="93"/>
      <c r="BI308" s="93"/>
      <c r="BJ308" s="93"/>
      <c r="BK308" s="93"/>
      <c r="BL308" s="93"/>
      <c r="BM308" s="93"/>
      <c r="BN308" s="93"/>
      <c r="BO308" s="93"/>
      <c r="BP308" s="93"/>
      <c r="BQ308" s="93"/>
      <c r="BR308" s="93"/>
      <c r="BS308" s="93"/>
      <c r="BT308" s="93"/>
      <c r="BU308" s="93"/>
      <c r="BV308" s="93"/>
      <c r="BW308" s="93"/>
      <c r="BX308" s="93"/>
      <c r="BY308" s="93"/>
      <c r="BZ308" s="93"/>
      <c r="CA308" s="93"/>
      <c r="CB308" s="93"/>
      <c r="CC308" s="93"/>
      <c r="CD308" s="93"/>
      <c r="CE308" s="93"/>
      <c r="CF308" s="93"/>
      <c r="CG308" s="93"/>
      <c r="CH308" s="93"/>
      <c r="CI308" s="93"/>
      <c r="CJ308" s="93"/>
      <c r="CK308" s="93"/>
      <c r="CL308" s="93"/>
      <c r="CM308" s="93"/>
      <c r="CN308" s="93"/>
      <c r="CO308" s="93"/>
      <c r="CP308" s="93"/>
      <c r="CQ308" s="93"/>
      <c r="CR308" s="93"/>
      <c r="CS308" s="93"/>
      <c r="CT308" s="93"/>
      <c r="CU308" s="93"/>
      <c r="CV308" s="93"/>
      <c r="CW308" s="93"/>
      <c r="CX308" s="93"/>
      <c r="CY308" s="93"/>
      <c r="CZ308" s="93"/>
      <c r="DA308" s="93"/>
      <c r="DB308" s="93"/>
      <c r="DC308" s="93"/>
      <c r="DD308" s="93"/>
      <c r="DE308" s="93"/>
      <c r="DF308" s="93"/>
      <c r="DG308" s="93"/>
      <c r="DH308" s="93"/>
      <c r="DI308" s="93"/>
      <c r="DJ308" s="93"/>
      <c r="DK308" s="93"/>
      <c r="DL308" s="93"/>
      <c r="DM308" s="93"/>
      <c r="DN308" s="93"/>
      <c r="DO308" s="93"/>
      <c r="DP308" s="93"/>
      <c r="DQ308" s="93"/>
      <c r="DR308" s="93"/>
      <c r="DS308" s="93"/>
      <c r="DT308" s="93"/>
      <c r="DU308" s="93"/>
      <c r="DV308" s="93"/>
      <c r="DW308" s="93"/>
      <c r="DX308" s="93"/>
      <c r="DY308" s="93"/>
      <c r="DZ308" s="93"/>
      <c r="EA308" s="93"/>
      <c r="EB308" s="93"/>
      <c r="EC308" s="93"/>
      <c r="ED308" s="93"/>
      <c r="EE308" s="93"/>
      <c r="EF308" s="93"/>
      <c r="EG308" s="93"/>
      <c r="EH308" s="93"/>
      <c r="EI308" s="93"/>
      <c r="EJ308" s="93"/>
      <c r="EK308" s="93"/>
      <c r="EL308" s="93"/>
      <c r="EM308" s="93"/>
      <c r="EN308" s="93"/>
      <c r="EO308" s="93"/>
      <c r="EP308" s="93"/>
      <c r="EQ308" s="93"/>
      <c r="ER308" s="93"/>
      <c r="ES308" s="93"/>
      <c r="ET308" s="93"/>
      <c r="EU308" s="93"/>
      <c r="EV308" s="93"/>
      <c r="EW308" s="93"/>
      <c r="EX308" s="93"/>
      <c r="EY308" s="93"/>
      <c r="EZ308" s="93"/>
      <c r="FA308" s="93"/>
      <c r="FB308" s="93"/>
      <c r="FC308" s="93"/>
      <c r="FD308" s="93"/>
      <c r="FE308" s="93"/>
      <c r="FF308" s="93"/>
      <c r="FG308" s="93"/>
      <c r="FH308" s="93"/>
      <c r="FI308" s="93"/>
      <c r="FJ308" s="93"/>
      <c r="FK308" s="93"/>
      <c r="FL308" s="93"/>
      <c r="FM308" s="93"/>
      <c r="FN308" s="93"/>
      <c r="FO308" s="93"/>
      <c r="FP308" s="93"/>
      <c r="FQ308" s="93"/>
      <c r="FR308" s="93"/>
      <c r="FS308" s="93"/>
      <c r="FT308" s="93"/>
      <c r="FU308" s="93"/>
      <c r="FV308" s="93"/>
      <c r="FW308" s="93"/>
      <c r="FX308" s="93"/>
      <c r="FY308" s="93"/>
      <c r="FZ308" s="93"/>
      <c r="GA308" s="93"/>
      <c r="GB308" s="93"/>
      <c r="GC308" s="93"/>
      <c r="GD308" s="93"/>
      <c r="GE308" s="93"/>
      <c r="GF308" s="93"/>
      <c r="GG308" s="93"/>
      <c r="GH308" s="93"/>
      <c r="GI308" s="93"/>
      <c r="GJ308" s="93"/>
      <c r="GK308" s="93"/>
      <c r="GL308" s="93"/>
      <c r="GM308" s="93"/>
      <c r="GN308" s="93"/>
      <c r="GO308" s="93"/>
      <c r="GP308" s="93"/>
      <c r="GQ308" s="93"/>
      <c r="GR308" s="93"/>
      <c r="GS308" s="93"/>
      <c r="GT308" s="93"/>
      <c r="GU308" s="93"/>
      <c r="GV308" s="93"/>
      <c r="GW308" s="93"/>
      <c r="GX308" s="93"/>
      <c r="GY308" s="93"/>
      <c r="GZ308" s="93"/>
      <c r="HA308" s="93"/>
      <c r="HB308" s="93"/>
      <c r="HC308" s="93"/>
      <c r="HD308" s="93">
        <v>0.33276836158192091</v>
      </c>
      <c r="HE308" s="93"/>
      <c r="HF308" s="93"/>
      <c r="HG308" s="93"/>
    </row>
    <row r="309" spans="14:215" x14ac:dyDescent="0.2">
      <c r="N309" s="93" t="s">
        <v>526</v>
      </c>
      <c r="O309" s="93"/>
      <c r="P309" s="93"/>
      <c r="Q309" s="93"/>
      <c r="R309" s="93"/>
      <c r="S309" s="93"/>
      <c r="T309" s="93"/>
      <c r="U309" s="93"/>
      <c r="V309" s="93"/>
      <c r="W309" s="93"/>
      <c r="X309" s="93"/>
      <c r="Y309" s="93"/>
      <c r="Z309" s="93"/>
      <c r="AA309" s="93"/>
      <c r="AB309" s="93"/>
      <c r="AC309" s="93"/>
      <c r="AD309" s="93"/>
      <c r="AE309" s="93"/>
      <c r="AF309" s="93"/>
      <c r="AG309" s="93"/>
      <c r="AH309" s="93"/>
      <c r="AI309" s="93"/>
      <c r="AJ309" s="93"/>
      <c r="AK309" s="93"/>
      <c r="AL309" s="93"/>
      <c r="AM309" s="93"/>
      <c r="AN309" s="93"/>
      <c r="AO309" s="93"/>
      <c r="AP309" s="93"/>
      <c r="AQ309" s="93"/>
      <c r="AR309" s="93"/>
      <c r="AS309" s="93"/>
      <c r="AT309" s="93"/>
      <c r="AU309" s="93"/>
      <c r="AV309" s="93"/>
      <c r="AW309" s="93"/>
      <c r="AX309" s="93"/>
      <c r="AY309" s="93"/>
      <c r="AZ309" s="93"/>
      <c r="BA309" s="93"/>
      <c r="BB309" s="93"/>
      <c r="BC309" s="93"/>
      <c r="BD309" s="93"/>
      <c r="BE309" s="93"/>
      <c r="BF309" s="93"/>
      <c r="BG309" s="93"/>
      <c r="BH309" s="93"/>
      <c r="BI309" s="93"/>
      <c r="BJ309" s="93"/>
      <c r="BK309" s="93"/>
      <c r="BL309" s="93"/>
      <c r="BM309" s="93"/>
      <c r="BN309" s="93"/>
      <c r="BO309" s="93"/>
      <c r="BP309" s="93"/>
      <c r="BQ309" s="93"/>
      <c r="BR309" s="93"/>
      <c r="BS309" s="93"/>
      <c r="BT309" s="93"/>
      <c r="BU309" s="93"/>
      <c r="BV309" s="93"/>
      <c r="BW309" s="93"/>
      <c r="BX309" s="93"/>
      <c r="BY309" s="93"/>
      <c r="BZ309" s="93"/>
      <c r="CA309" s="93"/>
      <c r="CB309" s="93"/>
      <c r="CC309" s="93"/>
      <c r="CD309" s="93"/>
      <c r="CE309" s="93"/>
      <c r="CF309" s="93"/>
      <c r="CG309" s="93"/>
      <c r="CH309" s="93"/>
      <c r="CI309" s="93"/>
      <c r="CJ309" s="93"/>
      <c r="CK309" s="93"/>
      <c r="CL309" s="93"/>
      <c r="CM309" s="93"/>
      <c r="CN309" s="93"/>
      <c r="CO309" s="93"/>
      <c r="CP309" s="93"/>
      <c r="CQ309" s="93"/>
      <c r="CR309" s="93"/>
      <c r="CS309" s="93"/>
      <c r="CT309" s="93"/>
      <c r="CU309" s="93"/>
      <c r="CV309" s="93"/>
      <c r="CW309" s="93"/>
      <c r="CX309" s="93"/>
      <c r="CY309" s="93"/>
      <c r="CZ309" s="93"/>
      <c r="DA309" s="93"/>
      <c r="DB309" s="93"/>
      <c r="DC309" s="93"/>
      <c r="DD309" s="93"/>
      <c r="DE309" s="93"/>
      <c r="DF309" s="93"/>
      <c r="DG309" s="93"/>
      <c r="DH309" s="93"/>
      <c r="DI309" s="93"/>
      <c r="DJ309" s="93"/>
      <c r="DK309" s="93"/>
      <c r="DL309" s="93"/>
      <c r="DM309" s="93"/>
      <c r="DN309" s="93"/>
      <c r="DO309" s="93"/>
      <c r="DP309" s="93"/>
      <c r="DQ309" s="93"/>
      <c r="DR309" s="93"/>
      <c r="DS309" s="93"/>
      <c r="DT309" s="93"/>
      <c r="DU309" s="93"/>
      <c r="DV309" s="93"/>
      <c r="DW309" s="93"/>
      <c r="DX309" s="93"/>
      <c r="DY309" s="93"/>
      <c r="DZ309" s="93"/>
      <c r="EA309" s="93"/>
      <c r="EB309" s="93"/>
      <c r="EC309" s="93"/>
      <c r="ED309" s="93"/>
      <c r="EE309" s="93"/>
      <c r="EF309" s="93"/>
      <c r="EG309" s="93"/>
      <c r="EH309" s="93"/>
      <c r="EI309" s="93"/>
      <c r="EJ309" s="93"/>
      <c r="EK309" s="93"/>
      <c r="EL309" s="93"/>
      <c r="EM309" s="93"/>
      <c r="EN309" s="93"/>
      <c r="EO309" s="93"/>
      <c r="EP309" s="93"/>
      <c r="EQ309" s="93"/>
      <c r="ER309" s="93"/>
      <c r="ES309" s="93"/>
      <c r="ET309" s="93"/>
      <c r="EU309" s="93"/>
      <c r="EV309" s="93"/>
      <c r="EW309" s="93"/>
      <c r="EX309" s="93"/>
      <c r="EY309" s="93"/>
      <c r="EZ309" s="93"/>
      <c r="FA309" s="93"/>
      <c r="FB309" s="93"/>
      <c r="FC309" s="93"/>
      <c r="FD309" s="93"/>
      <c r="FE309" s="93"/>
      <c r="FF309" s="93"/>
      <c r="FG309" s="93"/>
      <c r="FH309" s="93"/>
      <c r="FI309" s="93"/>
      <c r="FJ309" s="93"/>
      <c r="FK309" s="93"/>
      <c r="FL309" s="93"/>
      <c r="FM309" s="93"/>
      <c r="FN309" s="93"/>
      <c r="FO309" s="93"/>
      <c r="FP309" s="93"/>
      <c r="FQ309" s="93"/>
      <c r="FR309" s="93"/>
      <c r="FS309" s="93"/>
      <c r="FT309" s="93"/>
      <c r="FU309" s="93"/>
      <c r="FV309" s="93"/>
      <c r="FW309" s="93"/>
      <c r="FX309" s="93"/>
      <c r="FY309" s="93"/>
      <c r="FZ309" s="93"/>
      <c r="GA309" s="93"/>
      <c r="GB309" s="93"/>
      <c r="GC309" s="93"/>
      <c r="GD309" s="93"/>
      <c r="GE309" s="93"/>
      <c r="GF309" s="93"/>
      <c r="GG309" s="93"/>
      <c r="GH309" s="93"/>
      <c r="GI309" s="93"/>
      <c r="GJ309" s="93"/>
      <c r="GK309" s="93"/>
      <c r="GL309" s="93"/>
      <c r="GM309" s="93"/>
      <c r="GN309" s="93"/>
      <c r="GO309" s="93"/>
      <c r="GP309" s="93"/>
      <c r="GQ309" s="93"/>
      <c r="GR309" s="93"/>
      <c r="GS309" s="93"/>
      <c r="GT309" s="93"/>
      <c r="GU309" s="93"/>
      <c r="GV309" s="93"/>
      <c r="GW309" s="93"/>
      <c r="GX309" s="93"/>
      <c r="GY309" s="93"/>
      <c r="GZ309" s="93"/>
      <c r="HA309" s="93"/>
      <c r="HB309" s="93"/>
      <c r="HC309" s="93"/>
      <c r="HD309" s="93"/>
      <c r="HE309" s="93">
        <v>0.33277121978639684</v>
      </c>
      <c r="HF309" s="93"/>
      <c r="HG309" s="93"/>
    </row>
    <row r="310" spans="14:215" x14ac:dyDescent="0.2">
      <c r="N310" s="93" t="s">
        <v>527</v>
      </c>
      <c r="O310" s="93"/>
      <c r="P310" s="93"/>
      <c r="Q310" s="93"/>
      <c r="R310" s="93"/>
      <c r="S310" s="93"/>
      <c r="T310" s="93"/>
      <c r="U310" s="93"/>
      <c r="V310" s="93"/>
      <c r="W310" s="93"/>
      <c r="X310" s="93"/>
      <c r="Y310" s="93"/>
      <c r="Z310" s="93"/>
      <c r="AA310" s="93"/>
      <c r="AB310" s="93"/>
      <c r="AC310" s="93"/>
      <c r="AD310" s="93"/>
      <c r="AE310" s="93"/>
      <c r="AF310" s="93"/>
      <c r="AG310" s="93"/>
      <c r="AH310" s="93"/>
      <c r="AI310" s="93"/>
      <c r="AJ310" s="93"/>
      <c r="AK310" s="93"/>
      <c r="AL310" s="93"/>
      <c r="AM310" s="93"/>
      <c r="AN310" s="93"/>
      <c r="AO310" s="93"/>
      <c r="AP310" s="93"/>
      <c r="AQ310" s="93"/>
      <c r="AR310" s="93"/>
      <c r="AS310" s="93"/>
      <c r="AT310" s="93"/>
      <c r="AU310" s="93"/>
      <c r="AV310" s="93"/>
      <c r="AW310" s="93"/>
      <c r="AX310" s="93"/>
      <c r="AY310" s="93"/>
      <c r="AZ310" s="93"/>
      <c r="BA310" s="93"/>
      <c r="BB310" s="93"/>
      <c r="BC310" s="93"/>
      <c r="BD310" s="93"/>
      <c r="BE310" s="93"/>
      <c r="BF310" s="93"/>
      <c r="BG310" s="93"/>
      <c r="BH310" s="93"/>
      <c r="BI310" s="93"/>
      <c r="BJ310" s="93"/>
      <c r="BK310" s="93"/>
      <c r="BL310" s="93"/>
      <c r="BM310" s="93"/>
      <c r="BN310" s="93"/>
      <c r="BO310" s="93"/>
      <c r="BP310" s="93"/>
      <c r="BQ310" s="93"/>
      <c r="BR310" s="93"/>
      <c r="BS310" s="93"/>
      <c r="BT310" s="93"/>
      <c r="BU310" s="93"/>
      <c r="BV310" s="93"/>
      <c r="BW310" s="93"/>
      <c r="BX310" s="93"/>
      <c r="BY310" s="93"/>
      <c r="BZ310" s="93"/>
      <c r="CA310" s="93"/>
      <c r="CB310" s="93"/>
      <c r="CC310" s="93"/>
      <c r="CD310" s="93"/>
      <c r="CE310" s="93"/>
      <c r="CF310" s="93"/>
      <c r="CG310" s="93"/>
      <c r="CH310" s="93"/>
      <c r="CI310" s="93"/>
      <c r="CJ310" s="93"/>
      <c r="CK310" s="93"/>
      <c r="CL310" s="93"/>
      <c r="CM310" s="93"/>
      <c r="CN310" s="93"/>
      <c r="CO310" s="93"/>
      <c r="CP310" s="93"/>
      <c r="CQ310" s="93"/>
      <c r="CR310" s="93"/>
      <c r="CS310" s="93"/>
      <c r="CT310" s="93"/>
      <c r="CU310" s="93"/>
      <c r="CV310" s="93"/>
      <c r="CW310" s="93"/>
      <c r="CX310" s="93"/>
      <c r="CY310" s="93"/>
      <c r="CZ310" s="93"/>
      <c r="DA310" s="93"/>
      <c r="DB310" s="93"/>
      <c r="DC310" s="93"/>
      <c r="DD310" s="93"/>
      <c r="DE310" s="93"/>
      <c r="DF310" s="93"/>
      <c r="DG310" s="93"/>
      <c r="DH310" s="93"/>
      <c r="DI310" s="93"/>
      <c r="DJ310" s="93"/>
      <c r="DK310" s="93"/>
      <c r="DL310" s="93"/>
      <c r="DM310" s="93"/>
      <c r="DN310" s="93"/>
      <c r="DO310" s="93"/>
      <c r="DP310" s="93"/>
      <c r="DQ310" s="93"/>
      <c r="DR310" s="93"/>
      <c r="DS310" s="93"/>
      <c r="DT310" s="93"/>
      <c r="DU310" s="93"/>
      <c r="DV310" s="93"/>
      <c r="DW310" s="93"/>
      <c r="DX310" s="93"/>
      <c r="DY310" s="93"/>
      <c r="DZ310" s="93"/>
      <c r="EA310" s="93"/>
      <c r="EB310" s="93"/>
      <c r="EC310" s="93"/>
      <c r="ED310" s="93"/>
      <c r="EE310" s="93"/>
      <c r="EF310" s="93"/>
      <c r="EG310" s="93"/>
      <c r="EH310" s="93"/>
      <c r="EI310" s="93"/>
      <c r="EJ310" s="93"/>
      <c r="EK310" s="93"/>
      <c r="EL310" s="93"/>
      <c r="EM310" s="93"/>
      <c r="EN310" s="93"/>
      <c r="EO310" s="93"/>
      <c r="EP310" s="93"/>
      <c r="EQ310" s="93"/>
      <c r="ER310" s="93"/>
      <c r="ES310" s="93"/>
      <c r="ET310" s="93"/>
      <c r="EU310" s="93"/>
      <c r="EV310" s="93"/>
      <c r="EW310" s="93"/>
      <c r="EX310" s="93"/>
      <c r="EY310" s="93"/>
      <c r="EZ310" s="93"/>
      <c r="FA310" s="93"/>
      <c r="FB310" s="93"/>
      <c r="FC310" s="93"/>
      <c r="FD310" s="93"/>
      <c r="FE310" s="93"/>
      <c r="FF310" s="93"/>
      <c r="FG310" s="93"/>
      <c r="FH310" s="93"/>
      <c r="FI310" s="93"/>
      <c r="FJ310" s="93"/>
      <c r="FK310" s="93"/>
      <c r="FL310" s="93"/>
      <c r="FM310" s="93"/>
      <c r="FN310" s="93"/>
      <c r="FO310" s="93"/>
      <c r="FP310" s="93"/>
      <c r="FQ310" s="93"/>
      <c r="FR310" s="93"/>
      <c r="FS310" s="93"/>
      <c r="FT310" s="93"/>
      <c r="FU310" s="93"/>
      <c r="FV310" s="93"/>
      <c r="FW310" s="93"/>
      <c r="FX310" s="93"/>
      <c r="FY310" s="93"/>
      <c r="FZ310" s="93"/>
      <c r="GA310" s="93"/>
      <c r="GB310" s="93"/>
      <c r="GC310" s="93"/>
      <c r="GD310" s="93"/>
      <c r="GE310" s="93"/>
      <c r="GF310" s="93"/>
      <c r="GG310" s="93"/>
      <c r="GH310" s="93"/>
      <c r="GI310" s="93"/>
      <c r="GJ310" s="93"/>
      <c r="GK310" s="93"/>
      <c r="GL310" s="93"/>
      <c r="GM310" s="93"/>
      <c r="GN310" s="93"/>
      <c r="GO310" s="93"/>
      <c r="GP310" s="93"/>
      <c r="GQ310" s="93"/>
      <c r="GR310" s="93"/>
      <c r="GS310" s="93"/>
      <c r="GT310" s="93"/>
      <c r="GU310" s="93"/>
      <c r="GV310" s="93"/>
      <c r="GW310" s="93"/>
      <c r="GX310" s="93"/>
      <c r="GY310" s="93"/>
      <c r="GZ310" s="93"/>
      <c r="HA310" s="93"/>
      <c r="HB310" s="93"/>
      <c r="HC310" s="93"/>
      <c r="HD310" s="93"/>
      <c r="HE310" s="93"/>
      <c r="HF310" s="93">
        <v>0.33277404921700221</v>
      </c>
      <c r="HG310" s="93"/>
    </row>
    <row r="311" spans="14:215" x14ac:dyDescent="0.2">
      <c r="N311" s="93" t="s">
        <v>528</v>
      </c>
      <c r="O311" s="93"/>
      <c r="P311" s="93"/>
      <c r="Q311" s="93"/>
      <c r="R311" s="93"/>
      <c r="S311" s="93"/>
      <c r="T311" s="93"/>
      <c r="U311" s="93"/>
      <c r="V311" s="93"/>
      <c r="W311" s="93"/>
      <c r="X311" s="93"/>
      <c r="Y311" s="93"/>
      <c r="Z311" s="93"/>
      <c r="AA311" s="93"/>
      <c r="AB311" s="93"/>
      <c r="AC311" s="93"/>
      <c r="AD311" s="93"/>
      <c r="AE311" s="93"/>
      <c r="AF311" s="93"/>
      <c r="AG311" s="93"/>
      <c r="AH311" s="93"/>
      <c r="AI311" s="93"/>
      <c r="AJ311" s="93"/>
      <c r="AK311" s="93"/>
      <c r="AL311" s="93"/>
      <c r="AM311" s="93"/>
      <c r="AN311" s="93"/>
      <c r="AO311" s="93"/>
      <c r="AP311" s="93"/>
      <c r="AQ311" s="93"/>
      <c r="AR311" s="93"/>
      <c r="AS311" s="93"/>
      <c r="AT311" s="93"/>
      <c r="AU311" s="93"/>
      <c r="AV311" s="93"/>
      <c r="AW311" s="93"/>
      <c r="AX311" s="93"/>
      <c r="AY311" s="93"/>
      <c r="AZ311" s="93"/>
      <c r="BA311" s="93"/>
      <c r="BB311" s="93"/>
      <c r="BC311" s="93"/>
      <c r="BD311" s="93"/>
      <c r="BE311" s="93"/>
      <c r="BF311" s="93"/>
      <c r="BG311" s="93"/>
      <c r="BH311" s="93"/>
      <c r="BI311" s="93"/>
      <c r="BJ311" s="93"/>
      <c r="BK311" s="93"/>
      <c r="BL311" s="93"/>
      <c r="BM311" s="93"/>
      <c r="BN311" s="93"/>
      <c r="BO311" s="93"/>
      <c r="BP311" s="93"/>
      <c r="BQ311" s="93"/>
      <c r="BR311" s="93"/>
      <c r="BS311" s="93"/>
      <c r="BT311" s="93"/>
      <c r="BU311" s="93"/>
      <c r="BV311" s="93"/>
      <c r="BW311" s="93"/>
      <c r="BX311" s="93"/>
      <c r="BY311" s="93"/>
      <c r="BZ311" s="93"/>
      <c r="CA311" s="93"/>
      <c r="CB311" s="93"/>
      <c r="CC311" s="93"/>
      <c r="CD311" s="93"/>
      <c r="CE311" s="93"/>
      <c r="CF311" s="93"/>
      <c r="CG311" s="93"/>
      <c r="CH311" s="93"/>
      <c r="CI311" s="93"/>
      <c r="CJ311" s="93"/>
      <c r="CK311" s="93"/>
      <c r="CL311" s="93"/>
      <c r="CM311" s="93"/>
      <c r="CN311" s="93"/>
      <c r="CO311" s="93"/>
      <c r="CP311" s="93"/>
      <c r="CQ311" s="93"/>
      <c r="CR311" s="93"/>
      <c r="CS311" s="93"/>
      <c r="CT311" s="93"/>
      <c r="CU311" s="93"/>
      <c r="CV311" s="93"/>
      <c r="CW311" s="93"/>
      <c r="CX311" s="93"/>
      <c r="CY311" s="93"/>
      <c r="CZ311" s="93"/>
      <c r="DA311" s="93"/>
      <c r="DB311" s="93"/>
      <c r="DC311" s="93"/>
      <c r="DD311" s="93"/>
      <c r="DE311" s="93"/>
      <c r="DF311" s="93"/>
      <c r="DG311" s="93"/>
      <c r="DH311" s="93"/>
      <c r="DI311" s="93"/>
      <c r="DJ311" s="93"/>
      <c r="DK311" s="93"/>
      <c r="DL311" s="93"/>
      <c r="DM311" s="93"/>
      <c r="DN311" s="93"/>
      <c r="DO311" s="93"/>
      <c r="DP311" s="93"/>
      <c r="DQ311" s="93"/>
      <c r="DR311" s="93"/>
      <c r="DS311" s="93"/>
      <c r="DT311" s="93"/>
      <c r="DU311" s="93"/>
      <c r="DV311" s="93"/>
      <c r="DW311" s="93"/>
      <c r="DX311" s="93"/>
      <c r="DY311" s="93"/>
      <c r="DZ311" s="93"/>
      <c r="EA311" s="93"/>
      <c r="EB311" s="93"/>
      <c r="EC311" s="93"/>
      <c r="ED311" s="93"/>
      <c r="EE311" s="93"/>
      <c r="EF311" s="93"/>
      <c r="EG311" s="93"/>
      <c r="EH311" s="93"/>
      <c r="EI311" s="93"/>
      <c r="EJ311" s="93"/>
      <c r="EK311" s="93"/>
      <c r="EL311" s="93"/>
      <c r="EM311" s="93"/>
      <c r="EN311" s="93"/>
      <c r="EO311" s="93"/>
      <c r="EP311" s="93"/>
      <c r="EQ311" s="93"/>
      <c r="ER311" s="93"/>
      <c r="ES311" s="93"/>
      <c r="ET311" s="93"/>
      <c r="EU311" s="93"/>
      <c r="EV311" s="93"/>
      <c r="EW311" s="93"/>
      <c r="EX311" s="93"/>
      <c r="EY311" s="93"/>
      <c r="EZ311" s="93"/>
      <c r="FA311" s="93"/>
      <c r="FB311" s="93"/>
      <c r="FC311" s="93"/>
      <c r="FD311" s="93"/>
      <c r="FE311" s="93"/>
      <c r="FF311" s="93"/>
      <c r="FG311" s="93"/>
      <c r="FH311" s="93"/>
      <c r="FI311" s="93"/>
      <c r="FJ311" s="93"/>
      <c r="FK311" s="93"/>
      <c r="FL311" s="93"/>
      <c r="FM311" s="93"/>
      <c r="FN311" s="93"/>
      <c r="FO311" s="93"/>
      <c r="FP311" s="93"/>
      <c r="FQ311" s="93"/>
      <c r="FR311" s="93"/>
      <c r="FS311" s="93"/>
      <c r="FT311" s="93"/>
      <c r="FU311" s="93"/>
      <c r="FV311" s="93"/>
      <c r="FW311" s="93"/>
      <c r="FX311" s="93"/>
      <c r="FY311" s="93"/>
      <c r="FZ311" s="93"/>
      <c r="GA311" s="93"/>
      <c r="GB311" s="93"/>
      <c r="GC311" s="93"/>
      <c r="GD311" s="93"/>
      <c r="GE311" s="93"/>
      <c r="GF311" s="93"/>
      <c r="GG311" s="93"/>
      <c r="GH311" s="93"/>
      <c r="GI311" s="93"/>
      <c r="GJ311" s="93"/>
      <c r="GK311" s="93"/>
      <c r="GL311" s="93"/>
      <c r="GM311" s="93"/>
      <c r="GN311" s="93"/>
      <c r="GO311" s="93"/>
      <c r="GP311" s="93"/>
      <c r="GQ311" s="93"/>
      <c r="GR311" s="93"/>
      <c r="GS311" s="93"/>
      <c r="GT311" s="93"/>
      <c r="GU311" s="93"/>
      <c r="GV311" s="93"/>
      <c r="GW311" s="93"/>
      <c r="GX311" s="93"/>
      <c r="GY311" s="93"/>
      <c r="GZ311" s="93"/>
      <c r="HA311" s="93"/>
      <c r="HB311" s="93"/>
      <c r="HC311" s="93"/>
      <c r="HD311" s="93"/>
      <c r="HE311" s="93"/>
      <c r="HF311" s="93"/>
      <c r="HG311" s="93">
        <v>0.33277685030606569</v>
      </c>
    </row>
  </sheetData>
  <mergeCells count="6">
    <mergeCell ref="A4:GS4"/>
    <mergeCell ref="A24:GS24"/>
    <mergeCell ref="A14:GS14"/>
    <mergeCell ref="A28:C28"/>
    <mergeCell ref="B1:C1"/>
    <mergeCell ref="E1:F1"/>
  </mergeCells>
  <phoneticPr fontId="2" type="noConversion"/>
  <conditionalFormatting sqref="B20:GS20">
    <cfRule type="cellIs" dxfId="23" priority="37" stopIfTrue="1" operator="greaterThanOrEqual">
      <formula>5</formula>
    </cfRule>
    <cfRule type="cellIs" dxfId="22" priority="38" stopIfTrue="1" operator="between">
      <formula>2</formula>
      <formula>5</formula>
    </cfRule>
    <cfRule type="cellIs" dxfId="21" priority="39" stopIfTrue="1" operator="lessThan">
      <formula>2</formula>
    </cfRule>
  </conditionalFormatting>
  <conditionalFormatting sqref="B21:GS21">
    <cfRule type="cellIs" dxfId="20" priority="40" stopIfTrue="1" operator="lessThanOrEqual">
      <formula>0.25</formula>
    </cfRule>
    <cfRule type="cellIs" dxfId="19" priority="41" stopIfTrue="1" operator="between">
      <formula>0.25</formula>
      <formula>1</formula>
    </cfRule>
    <cfRule type="cellIs" dxfId="18" priority="42" stopIfTrue="1" operator="greaterThan">
      <formula>1</formula>
    </cfRule>
  </conditionalFormatting>
  <conditionalFormatting sqref="B22:GS22">
    <cfRule type="cellIs" dxfId="17" priority="43" stopIfTrue="1" operator="lessThanOrEqual">
      <formula>2</formula>
    </cfRule>
    <cfRule type="cellIs" dxfId="16" priority="44" stopIfTrue="1" operator="between">
      <formula>2</formula>
      <formula>10</formula>
    </cfRule>
    <cfRule type="cellIs" dxfId="15" priority="45" stopIfTrue="1" operator="greaterThan">
      <formula>10</formula>
    </cfRule>
  </conditionalFormatting>
  <conditionalFormatting sqref="B23:GS23">
    <cfRule type="cellIs" dxfId="14" priority="46" stopIfTrue="1" operator="greaterThanOrEqual">
      <formula>5</formula>
    </cfRule>
    <cfRule type="cellIs" dxfId="13" priority="47" stopIfTrue="1" operator="between">
      <formula>1</formula>
      <formula>5</formula>
    </cfRule>
    <cfRule type="cellIs" dxfId="12" priority="48" stopIfTrue="1" operator="lessThan">
      <formula>1</formula>
    </cfRule>
  </conditionalFormatting>
  <conditionalFormatting sqref="GL49">
    <cfRule type="cellIs" dxfId="11" priority="1" stopIfTrue="1" operator="greaterThanOrEqual">
      <formula>5</formula>
    </cfRule>
    <cfRule type="cellIs" dxfId="10" priority="2" stopIfTrue="1" operator="between">
      <formula>2</formula>
      <formula>5</formula>
    </cfRule>
    <cfRule type="cellIs" dxfId="9" priority="3" stopIfTrue="1" operator="lessThan">
      <formula>2</formula>
    </cfRule>
  </conditionalFormatting>
  <conditionalFormatting sqref="GL50">
    <cfRule type="cellIs" dxfId="8" priority="4" stopIfTrue="1" operator="lessThanOrEqual">
      <formula>0.25</formula>
    </cfRule>
    <cfRule type="cellIs" dxfId="7" priority="5" stopIfTrue="1" operator="between">
      <formula>0.25</formula>
      <formula>1</formula>
    </cfRule>
    <cfRule type="cellIs" dxfId="6" priority="6" stopIfTrue="1" operator="greaterThan">
      <formula>1</formula>
    </cfRule>
  </conditionalFormatting>
  <conditionalFormatting sqref="GL51">
    <cfRule type="cellIs" dxfId="5" priority="7" stopIfTrue="1" operator="lessThanOrEqual">
      <formula>2</formula>
    </cfRule>
    <cfRule type="cellIs" dxfId="4" priority="8" stopIfTrue="1" operator="between">
      <formula>2</formula>
      <formula>10</formula>
    </cfRule>
    <cfRule type="cellIs" dxfId="3" priority="9" stopIfTrue="1" operator="greaterThan">
      <formula>10</formula>
    </cfRule>
  </conditionalFormatting>
  <conditionalFormatting sqref="GL52">
    <cfRule type="cellIs" dxfId="2" priority="10" stopIfTrue="1" operator="greaterThanOrEqual">
      <formula>5</formula>
    </cfRule>
    <cfRule type="cellIs" dxfId="1" priority="11" stopIfTrue="1" operator="between">
      <formula>1</formula>
      <formula>5</formula>
    </cfRule>
    <cfRule type="cellIs" dxfId="0" priority="12" stopIfTrue="1" operator="lessThan">
      <formula>1</formula>
    </cfRule>
  </conditionalFormatting>
  <dataValidations disablePrompts="1" count="1">
    <dataValidation type="list" allowBlank="1" showInputMessage="1" showErrorMessage="1" sqref="M6:M7" xr:uid="{00000000-0002-0000-0400-000000000000}">
      <formula1>$B$56:$G$56</formula1>
    </dataValidation>
  </dataValidations>
  <printOptions horizontalCentered="1"/>
  <pageMargins left="0.59" right="0.43" top="0.98" bottom="0.98" header="0.51" footer="0.51"/>
  <pageSetup scale="36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103" r:id="rId4" name="TextBox5">
          <controlPr defaultSize="0" autoFill="0" autoLine="0" linkedCell="B29" r:id="rId5">
            <anchor moveWithCells="1">
              <from>
                <xdr:col>0</xdr:col>
                <xdr:colOff>152400</xdr:colOff>
                <xdr:row>28</xdr:row>
                <xdr:rowOff>0</xdr:rowOff>
              </from>
              <to>
                <xdr:col>1</xdr:col>
                <xdr:colOff>333375</xdr:colOff>
                <xdr:row>29</xdr:row>
                <xdr:rowOff>47625</xdr:rowOff>
              </to>
            </anchor>
          </controlPr>
        </control>
      </mc:Choice>
      <mc:Fallback>
        <control shapeId="4103" r:id="rId4" name="TextBox5"/>
      </mc:Fallback>
    </mc:AlternateContent>
    <mc:AlternateContent xmlns:mc="http://schemas.openxmlformats.org/markup-compatibility/2006">
      <mc:Choice Requires="x14">
        <control shapeId="4102" r:id="rId6" name="SpinButton7">
          <controlPr defaultSize="0" autoLine="0" linkedCell="B83" r:id="rId7">
            <anchor moveWithCells="1">
              <from>
                <xdr:col>2</xdr:col>
                <xdr:colOff>200025</xdr:colOff>
                <xdr:row>28</xdr:row>
                <xdr:rowOff>0</xdr:rowOff>
              </from>
              <to>
                <xdr:col>2</xdr:col>
                <xdr:colOff>323850</xdr:colOff>
                <xdr:row>29</xdr:row>
                <xdr:rowOff>57150</xdr:rowOff>
              </to>
            </anchor>
          </controlPr>
        </control>
      </mc:Choice>
      <mc:Fallback>
        <control shapeId="4102" r:id="rId6" name="SpinButton7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E20"/>
  <sheetViews>
    <sheetView windowProtection="1" workbookViewId="0">
      <selection activeCell="C11" sqref="C11"/>
    </sheetView>
  </sheetViews>
  <sheetFormatPr defaultRowHeight="15" x14ac:dyDescent="0.3"/>
  <cols>
    <col min="1" max="1" width="5.75" bestFit="1" customWidth="1"/>
    <col min="2" max="2" width="17.875" customWidth="1"/>
  </cols>
  <sheetData>
    <row r="1" spans="1:1" x14ac:dyDescent="0.3">
      <c r="A1" t="s">
        <v>64</v>
      </c>
    </row>
    <row r="2" spans="1:1" x14ac:dyDescent="0.3">
      <c r="A2" t="s">
        <v>65</v>
      </c>
    </row>
    <row r="20" spans="5:5" x14ac:dyDescent="0.3">
      <c r="E20" s="3"/>
    </row>
  </sheetData>
  <phoneticPr fontId="2" type="noConversion"/>
  <pageMargins left="0.78740157499999996" right="0.78740157499999996" top="0.984251969" bottom="0.984251969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2</vt:i4>
      </vt:variant>
    </vt:vector>
  </HeadingPairs>
  <TitlesOfParts>
    <vt:vector size="7" baseType="lpstr">
      <vt:lpstr>DIAG</vt:lpstr>
      <vt:lpstr>Resumo</vt:lpstr>
      <vt:lpstr>Entrada_de_Dados_2</vt:lpstr>
      <vt:lpstr>Diagrama</vt:lpstr>
      <vt:lpstr>Espelho</vt:lpstr>
      <vt:lpstr>Diagrama!Area_de_impressao</vt:lpstr>
      <vt:lpstr>Resumo!Titulos_de_impressao</vt:lpstr>
    </vt:vector>
  </TitlesOfParts>
  <Company>Nortel Networks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Ferramenta de Análise Emergética</dc:title>
  <dc:subject>Análise e Simulação</dc:subject>
  <dc:creator>Flavio Barrella</dc:creator>
  <cp:lastModifiedBy>Henrique</cp:lastModifiedBy>
  <cp:lastPrinted>2023-04-18T23:44:02Z</cp:lastPrinted>
  <dcterms:created xsi:type="dcterms:W3CDTF">2003-07-04T14:12:44Z</dcterms:created>
  <dcterms:modified xsi:type="dcterms:W3CDTF">2023-05-07T03:15:47Z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Proprietário">
    <vt:lpwstr>Flávio Augusto Barrella</vt:lpwstr>
  </property>
</Properties>
</file>