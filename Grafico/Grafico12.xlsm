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persons/person.xml" ContentType="application/vnd.ms-excel.person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Henrique\Desktop\Faculdade\Trabalho Faculdade\André\Grafico\"/>
    </mc:Choice>
  </mc:AlternateContent>
  <xr:revisionPtr revIDLastSave="0" documentId="13_ncr:1_{1B0B0005-0B60-400B-9F53-1AF99F8FB72B}" xr6:coauthVersionLast="47" xr6:coauthVersionMax="47" xr10:uidLastSave="{00000000-0000-0000-0000-000000000000}"/>
  <workbookProtection lockWindows="1"/>
  <bookViews>
    <workbookView showHorizontalScroll="0" showVerticalScroll="0" showSheetTabs="0" xWindow="-120" yWindow="-120" windowWidth="20730" windowHeight="11160" xr2:uid="{00000000-000D-0000-FFFF-FFFF00000000}"/>
  </bookViews>
  <sheets>
    <sheet name="DIAG" sheetId="1" r:id="rId1"/>
    <sheet name="Resumo" sheetId="4" r:id="rId2"/>
    <sheet name="Entrada_de_Dados_2" sheetId="8" r:id="rId3"/>
    <sheet name="Diagrama" sheetId="6" r:id="rId4"/>
    <sheet name="Espelho" sheetId="7" state="hidden" r:id="rId5"/>
  </sheets>
  <definedNames>
    <definedName name="_xlnm.Print_Area" localSheetId="3">Diagrama!$A$4:$AD$30</definedName>
    <definedName name="_xlnm.Print_Titles" localSheetId="1">Resumo!$1:$1</definedName>
  </definedNames>
  <calcPr calcId="191029" iterate="1"/>
</workbook>
</file>

<file path=xl/calcChain.xml><?xml version="1.0" encoding="utf-8"?>
<calcChain xmlns="http://schemas.openxmlformats.org/spreadsheetml/2006/main">
  <c r="G67" i="4" l="1"/>
  <c r="G66" i="4"/>
  <c r="G65" i="4"/>
  <c r="G60" i="4"/>
  <c r="G59" i="4"/>
  <c r="G58" i="4"/>
  <c r="G53" i="4"/>
  <c r="G52" i="4"/>
  <c r="G51" i="4"/>
  <c r="G46" i="4"/>
  <c r="G45" i="4"/>
  <c r="G44" i="4"/>
  <c r="G39" i="4"/>
  <c r="G38" i="4"/>
  <c r="G37" i="4"/>
  <c r="G32" i="4"/>
  <c r="G31" i="4"/>
  <c r="G30" i="4"/>
  <c r="G25" i="4"/>
  <c r="G24" i="4"/>
  <c r="G23" i="4"/>
  <c r="G18" i="4"/>
  <c r="G17" i="4"/>
  <c r="G16" i="4"/>
  <c r="G11" i="4"/>
  <c r="G10" i="4"/>
  <c r="G9" i="4"/>
  <c r="G4" i="4"/>
  <c r="G3" i="4"/>
  <c r="G2" i="4"/>
  <c r="E67" i="4" l="1"/>
  <c r="E66" i="4"/>
  <c r="E65" i="4"/>
  <c r="E60" i="4"/>
  <c r="E59" i="4"/>
  <c r="E58" i="4"/>
  <c r="E53" i="4"/>
  <c r="E52" i="4"/>
  <c r="E51" i="4"/>
  <c r="E46" i="4"/>
  <c r="E45" i="4"/>
  <c r="E44" i="4"/>
  <c r="E39" i="4"/>
  <c r="E38" i="4"/>
  <c r="E37" i="4"/>
  <c r="E32" i="4"/>
  <c r="E31" i="4"/>
  <c r="E30" i="4"/>
  <c r="E25" i="4"/>
  <c r="E24" i="4"/>
  <c r="E23" i="4"/>
  <c r="E18" i="4"/>
  <c r="E17" i="4"/>
  <c r="E16" i="4"/>
  <c r="E11" i="4"/>
  <c r="E10" i="4"/>
  <c r="E9" i="4"/>
  <c r="E4" i="4"/>
  <c r="E3" i="4"/>
  <c r="E2" i="4"/>
  <c r="I19" i="4" l="1"/>
  <c r="I21" i="4"/>
  <c r="I20" i="4"/>
  <c r="I12" i="4"/>
  <c r="I14" i="4"/>
  <c r="I13" i="4"/>
  <c r="I40" i="4"/>
  <c r="I42" i="4"/>
  <c r="I41" i="4"/>
  <c r="I68" i="4"/>
  <c r="I70" i="4"/>
  <c r="I69" i="4"/>
  <c r="I49" i="4"/>
  <c r="I47" i="4"/>
  <c r="I48" i="4"/>
  <c r="I7" i="4"/>
  <c r="I6" i="4"/>
  <c r="I5" i="4"/>
  <c r="I34" i="4"/>
  <c r="I35" i="4"/>
  <c r="I33" i="4"/>
  <c r="I62" i="4"/>
  <c r="I61" i="4"/>
  <c r="I63" i="4"/>
  <c r="I28" i="4"/>
  <c r="I27" i="4"/>
  <c r="I26" i="4"/>
  <c r="I56" i="4"/>
  <c r="I55" i="4"/>
  <c r="I54" i="4"/>
  <c r="B65" i="4"/>
  <c r="K5" i="6" s="1"/>
  <c r="B58" i="4"/>
  <c r="B51" i="4"/>
  <c r="B44" i="4"/>
  <c r="H5" i="6" s="1"/>
  <c r="B37" i="4"/>
  <c r="B30" i="4"/>
  <c r="B23" i="4"/>
  <c r="B16" i="4"/>
  <c r="B9" i="4"/>
  <c r="AA1" i="1"/>
  <c r="W21" i="1"/>
  <c r="X21" i="1"/>
  <c r="Y21" i="1"/>
  <c r="Z21" i="1"/>
  <c r="AA21" i="1"/>
  <c r="AB21" i="1"/>
  <c r="AC21" i="1"/>
  <c r="AD21" i="1"/>
  <c r="AE21" i="1"/>
  <c r="AF21" i="1"/>
  <c r="W31" i="1"/>
  <c r="X31" i="1"/>
  <c r="Y31" i="1"/>
  <c r="Z31" i="1"/>
  <c r="AA31" i="1"/>
  <c r="AB31" i="1"/>
  <c r="AC31" i="1"/>
  <c r="AD31" i="1"/>
  <c r="AE31" i="1"/>
  <c r="AF31" i="1"/>
  <c r="W72" i="1"/>
  <c r="P4" i="6"/>
  <c r="T15" i="6"/>
  <c r="U15" i="6"/>
  <c r="V15" i="6"/>
  <c r="W15" i="6"/>
  <c r="X15" i="6"/>
  <c r="T16" i="6"/>
  <c r="U16" i="6"/>
  <c r="V16" i="6"/>
  <c r="W16" i="6"/>
  <c r="X16" i="6"/>
  <c r="L25" i="6"/>
  <c r="E35" i="6"/>
  <c r="G35" i="6"/>
  <c r="O35" i="6"/>
  <c r="Q39" i="6" s="1"/>
  <c r="P35" i="6"/>
  <c r="Q35" i="6"/>
  <c r="R35" i="6"/>
  <c r="R78" i="6" s="1"/>
  <c r="S35" i="6"/>
  <c r="S78" i="6" s="1"/>
  <c r="T35" i="6"/>
  <c r="U35" i="6"/>
  <c r="U37" i="6" s="1"/>
  <c r="V35" i="6"/>
  <c r="V37" i="6" s="1"/>
  <c r="W35" i="6"/>
  <c r="X35" i="6"/>
  <c r="Y35" i="6"/>
  <c r="Z35" i="6"/>
  <c r="AA35" i="6"/>
  <c r="AA37" i="6" s="1"/>
  <c r="AB35" i="6"/>
  <c r="AC35" i="6"/>
  <c r="AC37" i="6" s="1"/>
  <c r="AD35" i="6"/>
  <c r="AD37" i="6" s="1"/>
  <c r="AE35" i="6"/>
  <c r="AE37" i="6" s="1"/>
  <c r="AF35" i="6"/>
  <c r="AG35" i="6"/>
  <c r="AH35" i="6"/>
  <c r="AH78" i="6" s="1"/>
  <c r="AI35" i="6"/>
  <c r="O37" i="6"/>
  <c r="Q37" i="6"/>
  <c r="S37" i="6"/>
  <c r="Y37" i="6"/>
  <c r="Z37" i="6"/>
  <c r="AG37" i="6"/>
  <c r="AH37" i="6"/>
  <c r="P39" i="6"/>
  <c r="T42" i="6"/>
  <c r="S43" i="6"/>
  <c r="T43" i="6"/>
  <c r="Z43" i="6"/>
  <c r="AA43" i="6"/>
  <c r="I44" i="6"/>
  <c r="L45" i="6"/>
  <c r="N45" i="6" s="1"/>
  <c r="L46" i="6"/>
  <c r="AI46" i="6" s="1"/>
  <c r="L47" i="6"/>
  <c r="O47" i="6" s="1"/>
  <c r="O64" i="6"/>
  <c r="M65" i="6" s="1"/>
  <c r="AG66" i="6" s="1"/>
  <c r="AM65" i="6"/>
  <c r="O66" i="6"/>
  <c r="AM66" i="6"/>
  <c r="AO66" i="6"/>
  <c r="O68" i="6"/>
  <c r="M69" i="6" s="1"/>
  <c r="AG70" i="6" s="1"/>
  <c r="AM69" i="6"/>
  <c r="O70" i="6"/>
  <c r="AM70" i="6"/>
  <c r="AO70" i="6"/>
  <c r="O72" i="6"/>
  <c r="M73" i="6" s="1"/>
  <c r="AG74" i="6" s="1"/>
  <c r="BG73" i="6"/>
  <c r="O74" i="6"/>
  <c r="AO77" i="6"/>
  <c r="AT77" i="6"/>
  <c r="AU77" i="6"/>
  <c r="O78" i="6"/>
  <c r="Q78" i="6"/>
  <c r="V78" i="6"/>
  <c r="Y78" i="6"/>
  <c r="Z78" i="6"/>
  <c r="AA78" i="6"/>
  <c r="AD78" i="6"/>
  <c r="AE78" i="6"/>
  <c r="AG78" i="6"/>
  <c r="AO78" i="6"/>
  <c r="AV78" i="6"/>
  <c r="AW78" i="6"/>
  <c r="AO79" i="6"/>
  <c r="AP79" i="6"/>
  <c r="AQ79" i="6"/>
  <c r="A80" i="6"/>
  <c r="AO80" i="6"/>
  <c r="AR80" i="6"/>
  <c r="AS80" i="6"/>
  <c r="A81" i="6"/>
  <c r="A83" i="6"/>
  <c r="E94" i="6"/>
  <c r="N94" i="6"/>
  <c r="R95" i="6"/>
  <c r="B2" i="4"/>
  <c r="B6" i="6"/>
  <c r="G76" i="4"/>
  <c r="I76" i="4"/>
  <c r="B77" i="4"/>
  <c r="G82" i="4"/>
  <c r="G83" i="4"/>
  <c r="I83" i="4"/>
  <c r="G89" i="4"/>
  <c r="G90" i="4"/>
  <c r="I90" i="4"/>
  <c r="G97" i="4"/>
  <c r="I97" i="4"/>
  <c r="G104" i="4"/>
  <c r="I104" i="4"/>
  <c r="AC78" i="6" l="1"/>
  <c r="R37" i="6"/>
  <c r="U78" i="6"/>
  <c r="I8" i="4"/>
  <c r="J7" i="6"/>
  <c r="AE62" i="1" s="1"/>
  <c r="I29" i="4"/>
  <c r="G26" i="4" s="1"/>
  <c r="I57" i="4"/>
  <c r="G54" i="4" s="1"/>
  <c r="I15" i="4"/>
  <c r="G13" i="4" s="1"/>
  <c r="I43" i="4"/>
  <c r="I71" i="4"/>
  <c r="G70" i="4" s="1"/>
  <c r="B67" i="4"/>
  <c r="G5" i="6"/>
  <c r="N56" i="6" s="1"/>
  <c r="F5" i="6"/>
  <c r="F25" i="6" s="1"/>
  <c r="B5" i="6"/>
  <c r="B25" i="6" s="1"/>
  <c r="B39" i="4"/>
  <c r="B4" i="4"/>
  <c r="B52" i="4"/>
  <c r="B53" i="4"/>
  <c r="AG45" i="6"/>
  <c r="AC45" i="6"/>
  <c r="BG66" i="6"/>
  <c r="BG67" i="6" s="1"/>
  <c r="Y45" i="6"/>
  <c r="X45" i="6"/>
  <c r="BG70" i="6"/>
  <c r="BG71" i="6" s="1"/>
  <c r="BE70" i="6" s="1"/>
  <c r="BE69" i="6" s="1"/>
  <c r="AF45" i="6"/>
  <c r="U45" i="6"/>
  <c r="AC47" i="6"/>
  <c r="Q45" i="6"/>
  <c r="U47" i="6"/>
  <c r="P45" i="6"/>
  <c r="AD47" i="6"/>
  <c r="V47" i="6"/>
  <c r="N47" i="6"/>
  <c r="AB45" i="6"/>
  <c r="T45" i="6"/>
  <c r="AH47" i="6"/>
  <c r="Z47" i="6"/>
  <c r="R47" i="6"/>
  <c r="AG47" i="6"/>
  <c r="Y47" i="6"/>
  <c r="Q47" i="6"/>
  <c r="AI45" i="6"/>
  <c r="AE45" i="6"/>
  <c r="AA45" i="6"/>
  <c r="W45" i="6"/>
  <c r="S45" i="6"/>
  <c r="O45" i="6"/>
  <c r="AH45" i="6"/>
  <c r="AD45" i="6"/>
  <c r="Z45" i="6"/>
  <c r="V45" i="6"/>
  <c r="R45" i="6"/>
  <c r="AG73" i="6"/>
  <c r="AF47" i="6"/>
  <c r="AB47" i="6"/>
  <c r="X47" i="6"/>
  <c r="T47" i="6"/>
  <c r="P47" i="6"/>
  <c r="AI47" i="6"/>
  <c r="AE47" i="6"/>
  <c r="AA47" i="6"/>
  <c r="W47" i="6"/>
  <c r="S47" i="6"/>
  <c r="O73" i="6"/>
  <c r="M74" i="6"/>
  <c r="M70" i="6"/>
  <c r="M66" i="6"/>
  <c r="K8" i="6"/>
  <c r="AF63" i="1" s="1"/>
  <c r="E6" i="6"/>
  <c r="B66" i="4"/>
  <c r="I5" i="6"/>
  <c r="N58" i="6" s="1"/>
  <c r="E5" i="6"/>
  <c r="N54" i="6" s="1"/>
  <c r="B25" i="4"/>
  <c r="B38" i="4"/>
  <c r="I6" i="6"/>
  <c r="AD61" i="1" s="1"/>
  <c r="G6" i="6"/>
  <c r="K6" i="6"/>
  <c r="AF61" i="1" s="1"/>
  <c r="J5" i="6"/>
  <c r="N59" i="6" s="1"/>
  <c r="D7" i="6"/>
  <c r="AG69" i="6"/>
  <c r="AG71" i="6"/>
  <c r="S70" i="6" s="1"/>
  <c r="S69" i="6" s="1"/>
  <c r="I7" i="6"/>
  <c r="D5" i="6"/>
  <c r="N53" i="6" s="1"/>
  <c r="AO69" i="6"/>
  <c r="AG65" i="6"/>
  <c r="AG67" i="6"/>
  <c r="AE66" i="6" s="1"/>
  <c r="AE65" i="6" s="1"/>
  <c r="T46" i="6"/>
  <c r="J6" i="6"/>
  <c r="G8" i="6"/>
  <c r="B24" i="4"/>
  <c r="AI37" i="6"/>
  <c r="AI78" i="6"/>
  <c r="W37" i="6"/>
  <c r="W78" i="6"/>
  <c r="C8" i="6"/>
  <c r="C6" i="6"/>
  <c r="B10" i="4"/>
  <c r="AG75" i="6"/>
  <c r="AD74" i="6" s="1"/>
  <c r="AD73" i="6" s="1"/>
  <c r="O69" i="6"/>
  <c r="B59" i="4"/>
  <c r="K25" i="6"/>
  <c r="N60" i="6"/>
  <c r="B60" i="4"/>
  <c r="H25" i="6"/>
  <c r="N57" i="6"/>
  <c r="N46" i="6"/>
  <c r="R46" i="6"/>
  <c r="V46" i="6"/>
  <c r="Z46" i="6"/>
  <c r="AD46" i="6"/>
  <c r="AH46" i="6"/>
  <c r="P46" i="6"/>
  <c r="U46" i="6"/>
  <c r="AA46" i="6"/>
  <c r="AF46" i="6"/>
  <c r="Q46" i="6"/>
  <c r="W46" i="6"/>
  <c r="AB46" i="6"/>
  <c r="AG46" i="6"/>
  <c r="O46" i="6"/>
  <c r="Y46" i="6"/>
  <c r="S46" i="6"/>
  <c r="AC46" i="6"/>
  <c r="B45" i="4"/>
  <c r="B31" i="4"/>
  <c r="B17" i="4"/>
  <c r="AE46" i="6"/>
  <c r="AF37" i="6"/>
  <c r="AF78" i="6"/>
  <c r="AB37" i="6"/>
  <c r="AB78" i="6"/>
  <c r="X37" i="6"/>
  <c r="X78" i="6"/>
  <c r="T37" i="6"/>
  <c r="T78" i="6"/>
  <c r="P37" i="6"/>
  <c r="P78" i="6"/>
  <c r="B46" i="4"/>
  <c r="B32" i="4"/>
  <c r="B18" i="4"/>
  <c r="C5" i="6"/>
  <c r="B11" i="4"/>
  <c r="AO65" i="6"/>
  <c r="X46" i="6"/>
  <c r="B3" i="4"/>
  <c r="O65" i="6"/>
  <c r="I64" i="4" l="1"/>
  <c r="G63" i="4" s="1"/>
  <c r="I25" i="6"/>
  <c r="AF66" i="6"/>
  <c r="AF65" i="6" s="1"/>
  <c r="X66" i="6"/>
  <c r="X65" i="6" s="1"/>
  <c r="U66" i="6"/>
  <c r="U65" i="6" s="1"/>
  <c r="AA66" i="6"/>
  <c r="AA65" i="6" s="1"/>
  <c r="Y66" i="6"/>
  <c r="Y65" i="6" s="1"/>
  <c r="W66" i="6"/>
  <c r="W65" i="6" s="1"/>
  <c r="R66" i="6"/>
  <c r="R65" i="6" s="1"/>
  <c r="AD66" i="6"/>
  <c r="AD65" i="6" s="1"/>
  <c r="T66" i="6"/>
  <c r="T65" i="6" s="1"/>
  <c r="AF74" i="6"/>
  <c r="AF73" i="6" s="1"/>
  <c r="Z66" i="6"/>
  <c r="Z65" i="6" s="1"/>
  <c r="V66" i="6"/>
  <c r="V65" i="6" s="1"/>
  <c r="P66" i="6"/>
  <c r="P65" i="6" s="1"/>
  <c r="P74" i="6"/>
  <c r="P73" i="6" s="1"/>
  <c r="AD70" i="6"/>
  <c r="AD69" i="6" s="1"/>
  <c r="S66" i="6"/>
  <c r="S65" i="6" s="1"/>
  <c r="S74" i="6"/>
  <c r="S73" i="6" s="1"/>
  <c r="X70" i="6"/>
  <c r="X69" i="6" s="1"/>
  <c r="AC66" i="6"/>
  <c r="AC65" i="6" s="1"/>
  <c r="Q66" i="6"/>
  <c r="Q65" i="6" s="1"/>
  <c r="AB66" i="6"/>
  <c r="AB65" i="6" s="1"/>
  <c r="AE70" i="6"/>
  <c r="AE69" i="6" s="1"/>
  <c r="U70" i="6"/>
  <c r="U69" i="6" s="1"/>
  <c r="AC70" i="6"/>
  <c r="AC69" i="6" s="1"/>
  <c r="AF70" i="6"/>
  <c r="AF69" i="6" s="1"/>
  <c r="P70" i="6"/>
  <c r="P69" i="6" s="1"/>
  <c r="AA70" i="6"/>
  <c r="AA69" i="6" s="1"/>
  <c r="W70" i="6"/>
  <c r="W69" i="6" s="1"/>
  <c r="Y70" i="6"/>
  <c r="Y69" i="6" s="1"/>
  <c r="AB70" i="6"/>
  <c r="AB69" i="6" s="1"/>
  <c r="Z70" i="6"/>
  <c r="Z69" i="6" s="1"/>
  <c r="R70" i="6"/>
  <c r="R69" i="6" s="1"/>
  <c r="V70" i="6"/>
  <c r="V69" i="6" s="1"/>
  <c r="Q70" i="6"/>
  <c r="Q69" i="6" s="1"/>
  <c r="T70" i="6"/>
  <c r="T69" i="6" s="1"/>
  <c r="BG65" i="6"/>
  <c r="I36" i="4"/>
  <c r="G33" i="4" s="1"/>
  <c r="K7" i="6"/>
  <c r="AF62" i="1" s="1"/>
  <c r="I8" i="6"/>
  <c r="AD63" i="1" s="1"/>
  <c r="E8" i="6"/>
  <c r="Z63" i="1" s="1"/>
  <c r="G27" i="4"/>
  <c r="I22" i="4"/>
  <c r="G20" i="4" s="1"/>
  <c r="G7" i="4"/>
  <c r="G42" i="4"/>
  <c r="G40" i="4"/>
  <c r="G41" i="4"/>
  <c r="I50" i="4"/>
  <c r="H9" i="6" s="1"/>
  <c r="G28" i="4"/>
  <c r="G55" i="4"/>
  <c r="G56" i="4"/>
  <c r="G5" i="4"/>
  <c r="G6" i="4"/>
  <c r="G14" i="4"/>
  <c r="G12" i="4"/>
  <c r="G68" i="4"/>
  <c r="G69" i="4"/>
  <c r="G25" i="6"/>
  <c r="D25" i="6"/>
  <c r="B8" i="6"/>
  <c r="E25" i="6"/>
  <c r="N51" i="6"/>
  <c r="B7" i="6"/>
  <c r="N55" i="6"/>
  <c r="J25" i="6"/>
  <c r="AW70" i="6"/>
  <c r="AW69" i="6" s="1"/>
  <c r="BG69" i="6"/>
  <c r="AU70" i="6"/>
  <c r="AU69" i="6" s="1"/>
  <c r="BA70" i="6"/>
  <c r="BA69" i="6" s="1"/>
  <c r="AY70" i="6"/>
  <c r="AY69" i="6" s="1"/>
  <c r="AS70" i="6"/>
  <c r="AS69" i="6" s="1"/>
  <c r="BC70" i="6"/>
  <c r="BC69" i="6" s="1"/>
  <c r="AQ70" i="6"/>
  <c r="AQ69" i="6" s="1"/>
  <c r="AT70" i="6"/>
  <c r="AT69" i="6" s="1"/>
  <c r="BB70" i="6"/>
  <c r="BB69" i="6" s="1"/>
  <c r="AV70" i="6"/>
  <c r="AV69" i="6" s="1"/>
  <c r="BD70" i="6"/>
  <c r="BD69" i="6" s="1"/>
  <c r="AP70" i="6"/>
  <c r="AP69" i="6" s="1"/>
  <c r="AX70" i="6"/>
  <c r="AX69" i="6" s="1"/>
  <c r="BF70" i="6"/>
  <c r="BF69" i="6" s="1"/>
  <c r="AR70" i="6"/>
  <c r="AR69" i="6" s="1"/>
  <c r="AZ70" i="6"/>
  <c r="AZ69" i="6" s="1"/>
  <c r="AP66" i="6"/>
  <c r="AP65" i="6" s="1"/>
  <c r="AT66" i="6"/>
  <c r="AT65" i="6" s="1"/>
  <c r="AX66" i="6"/>
  <c r="AX65" i="6" s="1"/>
  <c r="BB66" i="6"/>
  <c r="BB65" i="6" s="1"/>
  <c r="BF66" i="6"/>
  <c r="BF65" i="6" s="1"/>
  <c r="AQ66" i="6"/>
  <c r="AQ65" i="6" s="1"/>
  <c r="AU66" i="6"/>
  <c r="AU65" i="6" s="1"/>
  <c r="AY66" i="6"/>
  <c r="AY65" i="6" s="1"/>
  <c r="BC66" i="6"/>
  <c r="BC65" i="6" s="1"/>
  <c r="AR66" i="6"/>
  <c r="AR65" i="6" s="1"/>
  <c r="AV66" i="6"/>
  <c r="AV65" i="6" s="1"/>
  <c r="AZ66" i="6"/>
  <c r="AZ65" i="6" s="1"/>
  <c r="BD66" i="6"/>
  <c r="BD65" i="6" s="1"/>
  <c r="AS66" i="6"/>
  <c r="AS65" i="6" s="1"/>
  <c r="AW66" i="6"/>
  <c r="AW65" i="6" s="1"/>
  <c r="BA66" i="6"/>
  <c r="BA65" i="6" s="1"/>
  <c r="BE66" i="6"/>
  <c r="BE65" i="6" s="1"/>
  <c r="G9" i="6"/>
  <c r="G15" i="6" s="1"/>
  <c r="G27" i="6" s="1"/>
  <c r="K9" i="6"/>
  <c r="AA5" i="6" s="1"/>
  <c r="I9" i="6"/>
  <c r="R74" i="6"/>
  <c r="R73" i="6" s="1"/>
  <c r="Z74" i="6"/>
  <c r="Z73" i="6" s="1"/>
  <c r="V74" i="6"/>
  <c r="V73" i="6" s="1"/>
  <c r="AB74" i="6"/>
  <c r="AB73" i="6" s="1"/>
  <c r="AE74" i="6"/>
  <c r="AE73" i="6" s="1"/>
  <c r="Y74" i="6"/>
  <c r="Y73" i="6" s="1"/>
  <c r="AC74" i="6"/>
  <c r="AC73" i="6" s="1"/>
  <c r="X74" i="6"/>
  <c r="X73" i="6" s="1"/>
  <c r="AA74" i="6"/>
  <c r="AA73" i="6" s="1"/>
  <c r="Q74" i="6"/>
  <c r="Q73" i="6" s="1"/>
  <c r="U74" i="6"/>
  <c r="U73" i="6" s="1"/>
  <c r="T74" i="6"/>
  <c r="T73" i="6" s="1"/>
  <c r="W74" i="6"/>
  <c r="W73" i="6" s="1"/>
  <c r="AB61" i="1"/>
  <c r="E7" i="6"/>
  <c r="F7" i="6"/>
  <c r="C7" i="6"/>
  <c r="J8" i="6"/>
  <c r="H7" i="6"/>
  <c r="AE61" i="1"/>
  <c r="C25" i="6"/>
  <c r="N52" i="6"/>
  <c r="Z61" i="1"/>
  <c r="D8" i="6"/>
  <c r="H8" i="6"/>
  <c r="X63" i="1"/>
  <c r="AB63" i="1"/>
  <c r="AD62" i="1"/>
  <c r="G7" i="6"/>
  <c r="F8" i="6"/>
  <c r="H6" i="6"/>
  <c r="D6" i="6"/>
  <c r="F6" i="6"/>
  <c r="Y62" i="1"/>
  <c r="X61" i="1"/>
  <c r="B29" i="6" l="1"/>
  <c r="G61" i="4"/>
  <c r="G64" i="4" s="1"/>
  <c r="G62" i="4"/>
  <c r="L8" i="6"/>
  <c r="U56" i="6"/>
  <c r="AY42" i="6"/>
  <c r="L7" i="6"/>
  <c r="G29" i="4"/>
  <c r="G34" i="4"/>
  <c r="F9" i="6"/>
  <c r="F16" i="6" s="1"/>
  <c r="G35" i="4"/>
  <c r="G43" i="4"/>
  <c r="G57" i="4"/>
  <c r="G71" i="4"/>
  <c r="I13" i="6"/>
  <c r="G19" i="4"/>
  <c r="G21" i="4"/>
  <c r="G47" i="4"/>
  <c r="G48" i="4"/>
  <c r="G49" i="4"/>
  <c r="G15" i="4"/>
  <c r="G8" i="4"/>
  <c r="K17" i="6"/>
  <c r="K20" i="6" s="1"/>
  <c r="K12" i="6"/>
  <c r="W5" i="6"/>
  <c r="B9" i="6"/>
  <c r="W64" i="1" s="1"/>
  <c r="G17" i="6"/>
  <c r="G21" i="6" s="1"/>
  <c r="AB66" i="1" s="1"/>
  <c r="I92" i="4" s="1"/>
  <c r="G11" i="6"/>
  <c r="AB64" i="1"/>
  <c r="AB69" i="1" s="1"/>
  <c r="I95" i="4" s="1"/>
  <c r="G13" i="6"/>
  <c r="I15" i="6"/>
  <c r="I27" i="6" s="1"/>
  <c r="AD64" i="1"/>
  <c r="AD69" i="1" s="1"/>
  <c r="I102" i="4" s="1"/>
  <c r="K13" i="6"/>
  <c r="I16" i="6"/>
  <c r="K15" i="6"/>
  <c r="K27" i="6" s="1"/>
  <c r="AF64" i="1"/>
  <c r="AF69" i="1" s="1"/>
  <c r="I109" i="4" s="1"/>
  <c r="Y5" i="6"/>
  <c r="I12" i="6"/>
  <c r="K11" i="6"/>
  <c r="I17" i="6"/>
  <c r="I21" i="6" s="1"/>
  <c r="AD66" i="1" s="1"/>
  <c r="I99" i="4" s="1"/>
  <c r="K16" i="6"/>
  <c r="I11" i="6"/>
  <c r="Y61" i="1"/>
  <c r="Z62" i="1"/>
  <c r="AA61" i="1"/>
  <c r="J9" i="6"/>
  <c r="J17" i="6" s="1"/>
  <c r="AC64" i="1"/>
  <c r="X5" i="6"/>
  <c r="AC63" i="1"/>
  <c r="H17" i="6"/>
  <c r="H13" i="6"/>
  <c r="Y63" i="1"/>
  <c r="AE63" i="1"/>
  <c r="G22" i="6"/>
  <c r="AB67" i="1" s="1"/>
  <c r="I93" i="4" s="1"/>
  <c r="AA63" i="1"/>
  <c r="AB62" i="1"/>
  <c r="G12" i="6"/>
  <c r="G16" i="6"/>
  <c r="AA62" i="1"/>
  <c r="C9" i="6"/>
  <c r="C12" i="6" s="1"/>
  <c r="W62" i="1"/>
  <c r="E9" i="6"/>
  <c r="E16" i="6" s="1"/>
  <c r="D9" i="6"/>
  <c r="D15" i="6" s="1"/>
  <c r="W63" i="1"/>
  <c r="W61" i="1"/>
  <c r="L6" i="6"/>
  <c r="AC61" i="1"/>
  <c r="H11" i="6"/>
  <c r="H15" i="6"/>
  <c r="H27" i="6" s="1"/>
  <c r="H12" i="6"/>
  <c r="AC62" i="1"/>
  <c r="H16" i="6"/>
  <c r="X62" i="1"/>
  <c r="F17" i="6" l="1"/>
  <c r="F21" i="6" s="1"/>
  <c r="AA66" i="1" s="1"/>
  <c r="G92" i="4" s="1"/>
  <c r="F13" i="6"/>
  <c r="F12" i="6"/>
  <c r="F11" i="6"/>
  <c r="AA64" i="1"/>
  <c r="V5" i="6"/>
  <c r="F15" i="6"/>
  <c r="F27" i="6" s="1"/>
  <c r="T55" i="6" s="1"/>
  <c r="W58" i="6"/>
  <c r="AY48" i="6"/>
  <c r="V57" i="6"/>
  <c r="AY45" i="6"/>
  <c r="Y60" i="6"/>
  <c r="AY54" i="6"/>
  <c r="L9" i="6"/>
  <c r="AG64" i="1" s="1"/>
  <c r="G22" i="4"/>
  <c r="G36" i="4"/>
  <c r="G50" i="4"/>
  <c r="K21" i="6"/>
  <c r="AF66" i="1" s="1"/>
  <c r="I106" i="4" s="1"/>
  <c r="B13" i="6"/>
  <c r="K26" i="6"/>
  <c r="G19" i="6"/>
  <c r="G20" i="6"/>
  <c r="B15" i="6"/>
  <c r="B27" i="6" s="1"/>
  <c r="AY27" i="6" s="1"/>
  <c r="B11" i="6"/>
  <c r="B17" i="6"/>
  <c r="B20" i="6" s="1"/>
  <c r="R5" i="6"/>
  <c r="B12" i="6"/>
  <c r="B16" i="6"/>
  <c r="I18" i="6"/>
  <c r="I26" i="6"/>
  <c r="G26" i="6"/>
  <c r="I22" i="6"/>
  <c r="AD67" i="1" s="1"/>
  <c r="I100" i="4" s="1"/>
  <c r="K18" i="6"/>
  <c r="I19" i="6"/>
  <c r="W69" i="1"/>
  <c r="G81" i="4" s="1"/>
  <c r="I20" i="6"/>
  <c r="K19" i="6"/>
  <c r="AC69" i="1"/>
  <c r="G102" i="4" s="1"/>
  <c r="K22" i="6"/>
  <c r="AF67" i="1" s="1"/>
  <c r="I107" i="4" s="1"/>
  <c r="G18" i="6"/>
  <c r="C16" i="6"/>
  <c r="D27" i="6"/>
  <c r="D22" i="6"/>
  <c r="Y67" i="1" s="1"/>
  <c r="G86" i="4" s="1"/>
  <c r="H19" i="6"/>
  <c r="H18" i="6"/>
  <c r="H22" i="6"/>
  <c r="AC67" i="1" s="1"/>
  <c r="G100" i="4" s="1"/>
  <c r="AF65" i="1"/>
  <c r="I105" i="4" s="1"/>
  <c r="J21" i="6"/>
  <c r="AE66" i="1" s="1"/>
  <c r="G106" i="4" s="1"/>
  <c r="J20" i="6"/>
  <c r="Z5" i="6"/>
  <c r="AE64" i="1"/>
  <c r="AE69" i="1" s="1"/>
  <c r="G109" i="4" s="1"/>
  <c r="J16" i="6"/>
  <c r="J12" i="6"/>
  <c r="J11" i="6"/>
  <c r="J15" i="6"/>
  <c r="AG63" i="1"/>
  <c r="D13" i="6"/>
  <c r="H20" i="6"/>
  <c r="H21" i="6"/>
  <c r="AC66" i="1" s="1"/>
  <c r="G99" i="4" s="1"/>
  <c r="H26" i="6"/>
  <c r="AA69" i="1"/>
  <c r="G95" i="4" s="1"/>
  <c r="AG62" i="1"/>
  <c r="S5" i="6"/>
  <c r="X64" i="1"/>
  <c r="X69" i="1" s="1"/>
  <c r="I81" i="4" s="1"/>
  <c r="C13" i="6"/>
  <c r="C11" i="6"/>
  <c r="C15" i="6"/>
  <c r="C27" i="6" s="1"/>
  <c r="AY30" i="6" s="1"/>
  <c r="C17" i="6"/>
  <c r="J13" i="6"/>
  <c r="D17" i="6"/>
  <c r="F22" i="6"/>
  <c r="AA67" i="1" s="1"/>
  <c r="G93" i="4" s="1"/>
  <c r="AG61" i="1"/>
  <c r="Y64" i="1"/>
  <c r="Y69" i="1" s="1"/>
  <c r="G88" i="4" s="1"/>
  <c r="T5" i="6"/>
  <c r="D12" i="6"/>
  <c r="D16" i="6"/>
  <c r="U5" i="6"/>
  <c r="Z64" i="1"/>
  <c r="Z69" i="1" s="1"/>
  <c r="I88" i="4" s="1"/>
  <c r="E15" i="6"/>
  <c r="E27" i="6" s="1"/>
  <c r="E17" i="6"/>
  <c r="E13" i="6"/>
  <c r="E11" i="6"/>
  <c r="E12" i="6"/>
  <c r="D11" i="6"/>
  <c r="F20" i="6" l="1"/>
  <c r="F10" i="6" s="1"/>
  <c r="F19" i="6"/>
  <c r="F26" i="6"/>
  <c r="T50" i="6" s="1"/>
  <c r="F18" i="6"/>
  <c r="H10" i="6"/>
  <c r="AY39" i="6"/>
  <c r="V50" i="6"/>
  <c r="AY44" i="6"/>
  <c r="AD65" i="1"/>
  <c r="I98" i="4" s="1"/>
  <c r="I10" i="6"/>
  <c r="Y50" i="6"/>
  <c r="AY53" i="6"/>
  <c r="J26" i="6"/>
  <c r="J27" i="6"/>
  <c r="U50" i="6"/>
  <c r="AY41" i="6"/>
  <c r="S54" i="6"/>
  <c r="AY36" i="6"/>
  <c r="W50" i="6"/>
  <c r="AY47" i="6"/>
  <c r="P6" i="6"/>
  <c r="Y6" i="6" s="1"/>
  <c r="G23" i="6"/>
  <c r="AB68" i="1" s="1"/>
  <c r="I94" i="4" s="1"/>
  <c r="G10" i="6"/>
  <c r="AY38" i="6"/>
  <c r="K10" i="6"/>
  <c r="R53" i="6"/>
  <c r="AY33" i="6"/>
  <c r="B22" i="6"/>
  <c r="W67" i="1" s="1"/>
  <c r="G79" i="4" s="1"/>
  <c r="AB65" i="1"/>
  <c r="I91" i="4" s="1"/>
  <c r="P5" i="6"/>
  <c r="B26" i="6"/>
  <c r="B18" i="6"/>
  <c r="D19" i="6"/>
  <c r="K23" i="6"/>
  <c r="AF68" i="1" s="1"/>
  <c r="I108" i="4" s="1"/>
  <c r="B21" i="6"/>
  <c r="W66" i="1" s="1"/>
  <c r="G78" i="4" s="1"/>
  <c r="B19" i="6"/>
  <c r="I23" i="6"/>
  <c r="AD68" i="1" s="1"/>
  <c r="I101" i="4" s="1"/>
  <c r="L15" i="6"/>
  <c r="L11" i="6"/>
  <c r="L12" i="6"/>
  <c r="E20" i="6"/>
  <c r="E26" i="6"/>
  <c r="E21" i="6"/>
  <c r="Z66" i="1" s="1"/>
  <c r="I85" i="4" s="1"/>
  <c r="C18" i="6"/>
  <c r="C22" i="6"/>
  <c r="X67" i="1" s="1"/>
  <c r="I79" i="4" s="1"/>
  <c r="C19" i="6"/>
  <c r="Q52" i="6"/>
  <c r="L17" i="6"/>
  <c r="J18" i="6"/>
  <c r="J19" i="6"/>
  <c r="J22" i="6"/>
  <c r="AE67" i="1" s="1"/>
  <c r="G107" i="4" s="1"/>
  <c r="AE65" i="1"/>
  <c r="G105" i="4" s="1"/>
  <c r="W65" i="1"/>
  <c r="G77" i="4" s="1"/>
  <c r="D18" i="6"/>
  <c r="P51" i="6"/>
  <c r="B79" i="6"/>
  <c r="H79" i="6"/>
  <c r="F79" i="6"/>
  <c r="E18" i="6"/>
  <c r="E19" i="6"/>
  <c r="E22" i="6"/>
  <c r="Z67" i="1" s="1"/>
  <c r="I86" i="4" s="1"/>
  <c r="AA65" i="1"/>
  <c r="G91" i="4" s="1"/>
  <c r="F23" i="6"/>
  <c r="AA68" i="1" s="1"/>
  <c r="G94" i="4" s="1"/>
  <c r="AG69" i="1"/>
  <c r="D20" i="6"/>
  <c r="D10" i="6" s="1"/>
  <c r="D21" i="6"/>
  <c r="Y66" i="1" s="1"/>
  <c r="G85" i="4" s="1"/>
  <c r="D26" i="6"/>
  <c r="L16" i="6"/>
  <c r="H23" i="6"/>
  <c r="AC68" i="1" s="1"/>
  <c r="G101" i="4" s="1"/>
  <c r="AC65" i="1"/>
  <c r="G98" i="4" s="1"/>
  <c r="L13" i="6"/>
  <c r="C20" i="6"/>
  <c r="C21" i="6"/>
  <c r="X66" i="1" s="1"/>
  <c r="I78" i="4" s="1"/>
  <c r="C26" i="6"/>
  <c r="C10" i="6" l="1"/>
  <c r="P8" i="6"/>
  <c r="Y8" i="6" s="1"/>
  <c r="Y10" i="6" s="1"/>
  <c r="W6" i="6"/>
  <c r="V6" i="6"/>
  <c r="T6" i="6"/>
  <c r="S6" i="6"/>
  <c r="U6" i="6"/>
  <c r="AA6" i="6"/>
  <c r="G79" i="6"/>
  <c r="D81" i="6" s="1"/>
  <c r="AY26" i="6"/>
  <c r="J10" i="6"/>
  <c r="X59" i="6"/>
  <c r="AY51" i="6"/>
  <c r="S50" i="6"/>
  <c r="AY35" i="6"/>
  <c r="X50" i="6"/>
  <c r="AY50" i="6"/>
  <c r="E10" i="6"/>
  <c r="Z6" i="6"/>
  <c r="R6" i="6"/>
  <c r="R50" i="6"/>
  <c r="AY32" i="6"/>
  <c r="Q50" i="6"/>
  <c r="AY29" i="6"/>
  <c r="X6" i="6"/>
  <c r="B10" i="6"/>
  <c r="L22" i="6"/>
  <c r="AG67" i="1" s="1"/>
  <c r="L27" i="6"/>
  <c r="E79" i="6"/>
  <c r="C80" i="6" s="1"/>
  <c r="B23" i="6"/>
  <c r="W68" i="1" s="1"/>
  <c r="G80" i="4" s="1"/>
  <c r="A79" i="6"/>
  <c r="D82" i="6" s="1"/>
  <c r="P50" i="6"/>
  <c r="L18" i="6"/>
  <c r="J23" i="6"/>
  <c r="AE68" i="1" s="1"/>
  <c r="G108" i="4" s="1"/>
  <c r="L19" i="6"/>
  <c r="D23" i="6"/>
  <c r="Y68" i="1" s="1"/>
  <c r="G87" i="4" s="1"/>
  <c r="Y65" i="1"/>
  <c r="G84" i="4" s="1"/>
  <c r="L20" i="6"/>
  <c r="L21" i="6"/>
  <c r="AG66" i="1" s="1"/>
  <c r="L26" i="6"/>
  <c r="Z65" i="1"/>
  <c r="I84" i="4" s="1"/>
  <c r="E23" i="6"/>
  <c r="Z68" i="1" s="1"/>
  <c r="I87" i="4" s="1"/>
  <c r="X65" i="1"/>
  <c r="I77" i="4" s="1"/>
  <c r="C23" i="6"/>
  <c r="X68" i="1" s="1"/>
  <c r="I80" i="4" s="1"/>
  <c r="C81" i="6" l="1"/>
  <c r="R81" i="6" s="1"/>
  <c r="L10" i="6"/>
  <c r="S8" i="6"/>
  <c r="S10" i="6" s="1"/>
  <c r="Z8" i="6"/>
  <c r="Z10" i="6" s="1"/>
  <c r="U8" i="6"/>
  <c r="U10" i="6" s="1"/>
  <c r="W8" i="6"/>
  <c r="W10" i="6" s="1"/>
  <c r="X8" i="6"/>
  <c r="X10" i="6" s="1"/>
  <c r="T8" i="6"/>
  <c r="T10" i="6" s="1"/>
  <c r="R8" i="6"/>
  <c r="R10" i="6" s="1"/>
  <c r="AA8" i="6"/>
  <c r="AA10" i="6" s="1"/>
  <c r="V8" i="6"/>
  <c r="V10" i="6" s="1"/>
  <c r="AP35" i="6"/>
  <c r="AQ35" i="6" s="1"/>
  <c r="AR35" i="6" s="1"/>
  <c r="AS35" i="6" s="1"/>
  <c r="AT35" i="6" s="1"/>
  <c r="AU35" i="6" s="1"/>
  <c r="AV35" i="6" s="1"/>
  <c r="AW35" i="6" s="1"/>
  <c r="AX35" i="6" s="1"/>
  <c r="AP47" i="6"/>
  <c r="AQ47" i="6" s="1"/>
  <c r="AR47" i="6" s="1"/>
  <c r="AS47" i="6" s="1"/>
  <c r="AT47" i="6" s="1"/>
  <c r="AU47" i="6" s="1"/>
  <c r="AV47" i="6" s="1"/>
  <c r="AW47" i="6" s="1"/>
  <c r="AX47" i="6" s="1"/>
  <c r="AP50" i="6"/>
  <c r="AQ50" i="6" s="1"/>
  <c r="AR50" i="6" s="1"/>
  <c r="AS50" i="6" s="1"/>
  <c r="AT50" i="6" s="1"/>
  <c r="AU50" i="6" s="1"/>
  <c r="AV50" i="6" s="1"/>
  <c r="AW50" i="6" s="1"/>
  <c r="AX50" i="6" s="1"/>
  <c r="AP53" i="6"/>
  <c r="AQ53" i="6" s="1"/>
  <c r="AR53" i="6" s="1"/>
  <c r="AS53" i="6" s="1"/>
  <c r="AT53" i="6" s="1"/>
  <c r="AU53" i="6" s="1"/>
  <c r="AV53" i="6" s="1"/>
  <c r="AW53" i="6" s="1"/>
  <c r="AX53" i="6" s="1"/>
  <c r="AP26" i="6"/>
  <c r="AQ26" i="6" s="1"/>
  <c r="AR26" i="6" s="1"/>
  <c r="AS26" i="6" s="1"/>
  <c r="AT26" i="6" s="1"/>
  <c r="AU26" i="6" s="1"/>
  <c r="AV26" i="6" s="1"/>
  <c r="AW26" i="6" s="1"/>
  <c r="AX26" i="6" s="1"/>
  <c r="AP29" i="6"/>
  <c r="AQ29" i="6" s="1"/>
  <c r="AR29" i="6" s="1"/>
  <c r="AS29" i="6" s="1"/>
  <c r="AT29" i="6" s="1"/>
  <c r="AU29" i="6" s="1"/>
  <c r="AV29" i="6" s="1"/>
  <c r="AW29" i="6" s="1"/>
  <c r="AX29" i="6" s="1"/>
  <c r="AP32" i="6"/>
  <c r="AQ32" i="6" s="1"/>
  <c r="AR32" i="6" s="1"/>
  <c r="AS32" i="6" s="1"/>
  <c r="AT32" i="6" s="1"/>
  <c r="AU32" i="6" s="1"/>
  <c r="AV32" i="6" s="1"/>
  <c r="AW32" i="6" s="1"/>
  <c r="AX32" i="6" s="1"/>
  <c r="AP44" i="6"/>
  <c r="AQ44" i="6" s="1"/>
  <c r="AR44" i="6" s="1"/>
  <c r="AS44" i="6" s="1"/>
  <c r="AT44" i="6" s="1"/>
  <c r="AU44" i="6" s="1"/>
  <c r="AV44" i="6" s="1"/>
  <c r="AW44" i="6" s="1"/>
  <c r="AX44" i="6" s="1"/>
  <c r="AP41" i="6"/>
  <c r="AQ41" i="6" s="1"/>
  <c r="AR41" i="6" s="1"/>
  <c r="AS41" i="6" s="1"/>
  <c r="AT41" i="6" s="1"/>
  <c r="AU41" i="6" s="1"/>
  <c r="AV41" i="6" s="1"/>
  <c r="AW41" i="6" s="1"/>
  <c r="AX41" i="6" s="1"/>
  <c r="AP38" i="6"/>
  <c r="AQ38" i="6" s="1"/>
  <c r="AR38" i="6" s="1"/>
  <c r="AS38" i="6" s="1"/>
  <c r="AT38" i="6" s="1"/>
  <c r="AU38" i="6" s="1"/>
  <c r="AV38" i="6" s="1"/>
  <c r="AW38" i="6" s="1"/>
  <c r="AX38" i="6" s="1"/>
  <c r="AP45" i="6"/>
  <c r="AQ45" i="6" s="1"/>
  <c r="AR45" i="6" s="1"/>
  <c r="AS45" i="6" s="1"/>
  <c r="AT45" i="6" s="1"/>
  <c r="AU45" i="6" s="1"/>
  <c r="AV45" i="6" s="1"/>
  <c r="AW45" i="6" s="1"/>
  <c r="AX45" i="6" s="1"/>
  <c r="AP39" i="6"/>
  <c r="AQ39" i="6" s="1"/>
  <c r="AR39" i="6" s="1"/>
  <c r="AS39" i="6" s="1"/>
  <c r="AT39" i="6" s="1"/>
  <c r="AU39" i="6" s="1"/>
  <c r="AV39" i="6" s="1"/>
  <c r="AW39" i="6" s="1"/>
  <c r="AX39" i="6" s="1"/>
  <c r="AP27" i="6"/>
  <c r="AQ27" i="6" s="1"/>
  <c r="AR27" i="6" s="1"/>
  <c r="AS27" i="6" s="1"/>
  <c r="AT27" i="6" s="1"/>
  <c r="AU27" i="6" s="1"/>
  <c r="AV27" i="6" s="1"/>
  <c r="AW27" i="6" s="1"/>
  <c r="AX27" i="6" s="1"/>
  <c r="AP33" i="6"/>
  <c r="AQ33" i="6" s="1"/>
  <c r="AR33" i="6" s="1"/>
  <c r="AS33" i="6" s="1"/>
  <c r="AT33" i="6" s="1"/>
  <c r="AU33" i="6" s="1"/>
  <c r="AV33" i="6" s="1"/>
  <c r="AW33" i="6" s="1"/>
  <c r="AX33" i="6" s="1"/>
  <c r="AP36" i="6"/>
  <c r="AQ36" i="6" s="1"/>
  <c r="AR36" i="6" s="1"/>
  <c r="AS36" i="6" s="1"/>
  <c r="AT36" i="6" s="1"/>
  <c r="AU36" i="6" s="1"/>
  <c r="AV36" i="6" s="1"/>
  <c r="AW36" i="6" s="1"/>
  <c r="AX36" i="6" s="1"/>
  <c r="AP42" i="6"/>
  <c r="AQ42" i="6" s="1"/>
  <c r="AR42" i="6" s="1"/>
  <c r="AS42" i="6" s="1"/>
  <c r="AT42" i="6" s="1"/>
  <c r="AU42" i="6" s="1"/>
  <c r="AV42" i="6" s="1"/>
  <c r="AW42" i="6" s="1"/>
  <c r="AX42" i="6" s="1"/>
  <c r="AP48" i="6"/>
  <c r="AQ48" i="6" s="1"/>
  <c r="AR48" i="6" s="1"/>
  <c r="AS48" i="6" s="1"/>
  <c r="AT48" i="6" s="1"/>
  <c r="AU48" i="6" s="1"/>
  <c r="AV48" i="6" s="1"/>
  <c r="AW48" i="6" s="1"/>
  <c r="AX48" i="6" s="1"/>
  <c r="AP51" i="6"/>
  <c r="AQ51" i="6" s="1"/>
  <c r="AR51" i="6" s="1"/>
  <c r="AS51" i="6" s="1"/>
  <c r="AT51" i="6" s="1"/>
  <c r="AU51" i="6" s="1"/>
  <c r="AV51" i="6" s="1"/>
  <c r="AW51" i="6" s="1"/>
  <c r="AX51" i="6" s="1"/>
  <c r="AP54" i="6"/>
  <c r="AQ54" i="6" s="1"/>
  <c r="AR54" i="6" s="1"/>
  <c r="AS54" i="6" s="1"/>
  <c r="AT54" i="6" s="1"/>
  <c r="AU54" i="6" s="1"/>
  <c r="AV54" i="6" s="1"/>
  <c r="AW54" i="6" s="1"/>
  <c r="AX54" i="6" s="1"/>
  <c r="AP30" i="6"/>
  <c r="AQ30" i="6" s="1"/>
  <c r="AR30" i="6" s="1"/>
  <c r="AS30" i="6" s="1"/>
  <c r="AT30" i="6" s="1"/>
  <c r="AU30" i="6" s="1"/>
  <c r="AV30" i="6" s="1"/>
  <c r="AW30" i="6" s="1"/>
  <c r="AX30" i="6" s="1"/>
  <c r="D80" i="6"/>
  <c r="O80" i="6" s="1"/>
  <c r="C82" i="6"/>
  <c r="Q82" i="6" s="1"/>
  <c r="L23" i="6"/>
  <c r="AG68" i="1" s="1"/>
  <c r="AG65" i="1"/>
  <c r="AI81" i="6" l="1"/>
  <c r="AF81" i="6"/>
  <c r="W81" i="6"/>
  <c r="Y81" i="6"/>
  <c r="Z81" i="6"/>
  <c r="S81" i="6"/>
  <c r="AB81" i="6"/>
  <c r="AC81" i="6"/>
  <c r="P81" i="6"/>
  <c r="AD81" i="6"/>
  <c r="U81" i="6"/>
  <c r="X81" i="6"/>
  <c r="AE81" i="6"/>
  <c r="O81" i="6"/>
  <c r="V81" i="6"/>
  <c r="AG81" i="6"/>
  <c r="Q81" i="6"/>
  <c r="T81" i="6"/>
  <c r="AA81" i="6"/>
  <c r="AH81" i="6"/>
  <c r="Y80" i="6"/>
  <c r="T80" i="6"/>
  <c r="W80" i="6"/>
  <c r="Z80" i="6"/>
  <c r="AA82" i="6"/>
  <c r="Z82" i="6"/>
  <c r="Q80" i="6"/>
  <c r="P80" i="6"/>
  <c r="S80" i="6"/>
  <c r="AG80" i="6"/>
  <c r="AI80" i="6"/>
  <c r="V80" i="6"/>
  <c r="AF80" i="6"/>
  <c r="AD80" i="6"/>
  <c r="AC80" i="6"/>
  <c r="AB80" i="6"/>
  <c r="AA80" i="6"/>
  <c r="Y82" i="6"/>
  <c r="X82" i="6"/>
  <c r="AH80" i="6"/>
  <c r="R80" i="6"/>
  <c r="U80" i="6"/>
  <c r="X80" i="6"/>
  <c r="AE80" i="6"/>
  <c r="T82" i="6"/>
  <c r="S82" i="6"/>
  <c r="V82" i="6"/>
  <c r="U82" i="6"/>
  <c r="AI82" i="6"/>
  <c r="O82" i="6"/>
  <c r="R82" i="6"/>
  <c r="AB82" i="6"/>
  <c r="AE82" i="6"/>
  <c r="AH82" i="6"/>
  <c r="AC82" i="6"/>
  <c r="AF82" i="6"/>
  <c r="P82" i="6"/>
  <c r="W82" i="6"/>
  <c r="AD82" i="6"/>
  <c r="AG82" i="6"/>
  <c r="R94" i="6"/>
  <c r="R98" i="6" s="1"/>
  <c r="D29" i="6"/>
  <c r="E29" i="6"/>
  <c r="F29" i="6"/>
  <c r="D30" i="6"/>
  <c r="E30" i="6"/>
  <c r="F30" i="6"/>
  <c r="D87" i="6"/>
  <c r="E87" i="6"/>
  <c r="M87" i="6"/>
  <c r="N87" i="6"/>
  <c r="R87" i="6"/>
  <c r="S87" i="6"/>
  <c r="D88" i="6"/>
  <c r="E88" i="6"/>
  <c r="M88" i="6"/>
  <c r="N88" i="6"/>
  <c r="R88" i="6"/>
  <c r="S88" i="6"/>
  <c r="D90" i="6"/>
  <c r="M90" i="6"/>
  <c r="R90" i="6"/>
  <c r="E91" i="6"/>
  <c r="N91" i="6"/>
  <c r="S91" i="6"/>
  <c r="D92" i="6"/>
  <c r="M92" i="6"/>
  <c r="R92" i="6"/>
  <c r="D94" i="6"/>
  <c r="M94" i="6"/>
  <c r="D95" i="6"/>
  <c r="M95" i="6"/>
  <c r="D97" i="6"/>
  <c r="M97" i="6"/>
  <c r="D98" i="6"/>
  <c r="M98" i="6"/>
  <c r="W98" i="6"/>
  <c r="D100" i="6"/>
  <c r="M100" i="6"/>
  <c r="R100" i="6"/>
  <c r="D102" i="6"/>
  <c r="E102" i="6"/>
  <c r="M102" i="6"/>
  <c r="N102" i="6"/>
  <c r="D103" i="6"/>
  <c r="E103" i="6"/>
  <c r="M103" i="6"/>
  <c r="N103" i="6"/>
  <c r="D105" i="6"/>
  <c r="M105" i="6"/>
  <c r="D108" i="6"/>
  <c r="M108" i="6"/>
  <c r="D109" i="6"/>
  <c r="M109" i="6"/>
  <c r="D110" i="6"/>
  <c r="M110" i="6"/>
</calcChain>
</file>

<file path=xl/sharedStrings.xml><?xml version="1.0" encoding="utf-8"?>
<sst xmlns="http://schemas.openxmlformats.org/spreadsheetml/2006/main" count="416" uniqueCount="130">
  <si>
    <t>Pontos</t>
  </si>
  <si>
    <t>Simergia</t>
  </si>
  <si>
    <t>Ponderação</t>
  </si>
  <si>
    <t>Linhas</t>
  </si>
  <si>
    <t>Sustentabilidade</t>
  </si>
  <si>
    <t>R</t>
  </si>
  <si>
    <t>N</t>
  </si>
  <si>
    <t>F</t>
  </si>
  <si>
    <t>SI=1</t>
  </si>
  <si>
    <t>SI=5</t>
  </si>
  <si>
    <t>Item</t>
  </si>
  <si>
    <t>Unidade</t>
  </si>
  <si>
    <t>Valor</t>
  </si>
  <si>
    <t>Emergia</t>
  </si>
  <si>
    <t>%R</t>
  </si>
  <si>
    <t>%N</t>
  </si>
  <si>
    <t>%F</t>
  </si>
  <si>
    <t>%Y</t>
  </si>
  <si>
    <t>Y</t>
  </si>
  <si>
    <t>k</t>
  </si>
  <si>
    <t>Entrada de Dados</t>
  </si>
  <si>
    <t>Nome</t>
  </si>
  <si>
    <t>SI</t>
  </si>
  <si>
    <t>Resultados</t>
  </si>
  <si>
    <t>ρ</t>
  </si>
  <si>
    <t>η</t>
  </si>
  <si>
    <t>φ</t>
  </si>
  <si>
    <t>I =&gt;</t>
  </si>
  <si>
    <t>Limites</t>
  </si>
  <si>
    <t>Y =&gt;</t>
  </si>
  <si>
    <t>[&lt;=B!]</t>
  </si>
  <si>
    <t>[R?=&gt;]</t>
  </si>
  <si>
    <t>EYR</t>
  </si>
  <si>
    <t>EIR</t>
  </si>
  <si>
    <t>ELR</t>
  </si>
  <si>
    <t>Pontos em Coordenadas Cartesianas</t>
  </si>
  <si>
    <t>Ponto</t>
  </si>
  <si>
    <t>Ponto 1</t>
  </si>
  <si>
    <t>SI&gt;5</t>
  </si>
  <si>
    <t>5&gt;SI&gt;1</t>
  </si>
  <si>
    <t>SI&lt;1</t>
  </si>
  <si>
    <t>Sensibilidade de R</t>
  </si>
  <si>
    <t>Ponto 2</t>
  </si>
  <si>
    <t>Sensibilidade de F</t>
  </si>
  <si>
    <t>Ponto 3</t>
  </si>
  <si>
    <t>Contorno do Diagrama Triangular</t>
  </si>
  <si>
    <t>Variavel X</t>
  </si>
  <si>
    <t>X</t>
  </si>
  <si>
    <t>Ponto 4</t>
  </si>
  <si>
    <t>Base do Triangulo</t>
  </si>
  <si>
    <t>Os outros dois lados</t>
  </si>
  <si>
    <t>Ponto 5</t>
  </si>
  <si>
    <t>Títulos dos Eixos</t>
  </si>
  <si>
    <t>Ponto 6</t>
  </si>
  <si>
    <t>Retas limites de %R, %N e %F</t>
  </si>
  <si>
    <t>x</t>
  </si>
  <si>
    <t>y</t>
  </si>
  <si>
    <t>Sensibilidade em Relação à R, N e F</t>
  </si>
  <si>
    <t>a</t>
  </si>
  <si>
    <t>b</t>
  </si>
  <si>
    <t>XX1</t>
  </si>
  <si>
    <t>XX2</t>
  </si>
  <si>
    <t>Distancia</t>
  </si>
  <si>
    <t>YY1</t>
  </si>
  <si>
    <t>R entre SI1 e SI5</t>
  </si>
  <si>
    <t>F entre SI1 e SI5</t>
  </si>
  <si>
    <t>N entre SI1 e SI5</t>
  </si>
  <si>
    <t>Aplicação do gráfico (mostrar aonde ele pode ser aplicado)</t>
  </si>
  <si>
    <t>Oque ele pode trazer a mais</t>
  </si>
  <si>
    <t>Ativo</t>
  </si>
  <si>
    <t>Novo-Atual-Velho</t>
  </si>
  <si>
    <t>Fonte Valor</t>
  </si>
  <si>
    <t>Fonte Ativa</t>
  </si>
  <si>
    <t>Sensib</t>
  </si>
  <si>
    <t>Ponderação?</t>
  </si>
  <si>
    <t>Informação</t>
  </si>
  <si>
    <t>Fc</t>
  </si>
  <si>
    <t>%Rc</t>
  </si>
  <si>
    <t>Ponto 7</t>
  </si>
  <si>
    <t>Ponto 8</t>
  </si>
  <si>
    <t>Ponto 9</t>
  </si>
  <si>
    <t>Ponto 10</t>
  </si>
  <si>
    <t>Os Dez pontos de Entrada</t>
  </si>
  <si>
    <t>SI=k1</t>
  </si>
  <si>
    <t>SI=k5</t>
  </si>
  <si>
    <t>SI=k2</t>
  </si>
  <si>
    <t>Legenda</t>
  </si>
  <si>
    <t>Máximo</t>
  </si>
  <si>
    <t>Mínimo</t>
  </si>
  <si>
    <t>NumPontos</t>
  </si>
  <si>
    <t>LOG</t>
  </si>
  <si>
    <t>Proporcional à Y</t>
  </si>
  <si>
    <t>SIMERGIA</t>
  </si>
  <si>
    <t>Ponto Nome</t>
  </si>
  <si>
    <t>Ponto Número</t>
  </si>
  <si>
    <t>Simetria</t>
  </si>
  <si>
    <t>Simetria Horizontal</t>
  </si>
  <si>
    <t>Simetria Vertical</t>
  </si>
  <si>
    <t>ZOOM</t>
  </si>
  <si>
    <t>x4</t>
  </si>
  <si>
    <t>x1</t>
  </si>
  <si>
    <t>y1</t>
  </si>
  <si>
    <t>y4</t>
  </si>
  <si>
    <t>x16</t>
  </si>
  <si>
    <t>y16</t>
  </si>
  <si>
    <t>INICIAL</t>
  </si>
  <si>
    <t>Zoomx1</t>
  </si>
  <si>
    <t>Zoomx4</t>
  </si>
  <si>
    <t>Zoomx16</t>
  </si>
  <si>
    <t>Zomx4</t>
  </si>
  <si>
    <t>Regiões</t>
  </si>
  <si>
    <t>REGIÕES</t>
  </si>
  <si>
    <t>Henrique</t>
  </si>
  <si>
    <t>Thayna</t>
  </si>
  <si>
    <r>
      <t>X</t>
    </r>
    <r>
      <rPr>
        <vertAlign val="subscript"/>
        <sz val="10"/>
        <rFont val="Arial"/>
        <family val="2"/>
      </rPr>
      <t>A</t>
    </r>
  </si>
  <si>
    <r>
      <t>Y</t>
    </r>
    <r>
      <rPr>
        <vertAlign val="subscript"/>
        <sz val="10"/>
        <rFont val="Arial"/>
        <family val="2"/>
      </rPr>
      <t>A</t>
    </r>
  </si>
  <si>
    <r>
      <t>S</t>
    </r>
    <r>
      <rPr>
        <vertAlign val="subscript"/>
        <sz val="10"/>
        <rFont val="Arial"/>
        <family val="2"/>
      </rPr>
      <t>N</t>
    </r>
  </si>
  <si>
    <r>
      <t>S</t>
    </r>
    <r>
      <rPr>
        <vertAlign val="subscript"/>
        <sz val="10"/>
        <rFont val="Arial"/>
        <family val="2"/>
      </rPr>
      <t>F</t>
    </r>
  </si>
  <si>
    <r>
      <t>S</t>
    </r>
    <r>
      <rPr>
        <vertAlign val="subscript"/>
        <sz val="10"/>
        <rFont val="Arial"/>
        <family val="2"/>
      </rPr>
      <t>R</t>
    </r>
  </si>
  <si>
    <t>C:\Users\Henrique\Desktop\Trabalho Faculdade\André\OPA.eMe</t>
  </si>
  <si>
    <t>Name</t>
  </si>
  <si>
    <t>Origin of input source</t>
  </si>
  <si>
    <t>Emergy in sej/Unit</t>
  </si>
  <si>
    <t>Renewable</t>
  </si>
  <si>
    <t>Non-renewable</t>
  </si>
  <si>
    <t>Purchased</t>
  </si>
  <si>
    <t>Jaqueline</t>
  </si>
  <si>
    <t>Manuel</t>
  </si>
  <si>
    <t>André</t>
  </si>
  <si>
    <t>Luiz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</si>
</sst>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"/>
    <numFmt numFmtId="165" formatCode="0.0%"/>
    <numFmt numFmtId="166" formatCode="0.0E+00"/>
    <numFmt numFmtId="167" formatCode="#,##0.0"/>
    <numFmt numFmtId="168" formatCode="0.000"/>
  </numFmts>
  <fonts count="21" x14ac:knownFonts="1">
    <font>
      <sz val="10"/>
      <name val="Comic Sans MS"/>
    </font>
    <font>
      <sz val="10"/>
      <name val="Comic Sans MS"/>
      <family val="4"/>
    </font>
    <font>
      <sz val="8"/>
      <name val="Comic Sans MS"/>
      <family val="4"/>
    </font>
    <font>
      <u/>
      <sz val="10"/>
      <color indexed="12"/>
      <name val="Comic Sans MS"/>
      <family val="4"/>
    </font>
    <font>
      <b/>
      <sz val="8"/>
      <name val="Comic Sans MS"/>
      <family val="4"/>
    </font>
    <font>
      <sz val="8"/>
      <name val="Comic Sans MS"/>
      <family val="4"/>
    </font>
    <font>
      <b/>
      <sz val="10"/>
      <name val="Comic Sans MS"/>
      <family val="4"/>
    </font>
    <font>
      <sz val="10"/>
      <name val="Arial"/>
      <family val="2"/>
    </font>
    <font>
      <sz val="8"/>
      <name val="Arial"/>
      <family val="2"/>
    </font>
    <font>
      <b/>
      <sz val="8"/>
      <name val="Arial"/>
      <family val="2"/>
    </font>
    <font>
      <b/>
      <sz val="10"/>
      <name val="Arial"/>
      <family val="2"/>
    </font>
    <font>
      <u/>
      <sz val="10"/>
      <color indexed="12"/>
      <name val="Arial"/>
      <family val="2"/>
    </font>
    <font>
      <b/>
      <sz val="10"/>
      <color indexed="17"/>
      <name val="Arial"/>
      <family val="2"/>
    </font>
    <font>
      <sz val="10"/>
      <color indexed="12"/>
      <name val="Arial"/>
      <family val="2"/>
    </font>
    <font>
      <b/>
      <sz val="10"/>
      <color theme="8" tint="-0.499984740745262"/>
      <name val="Arial"/>
      <family val="2"/>
    </font>
    <font>
      <sz val="10"/>
      <color indexed="21"/>
      <name val="Arial"/>
      <family val="2"/>
    </font>
    <font>
      <sz val="10"/>
      <color indexed="16"/>
      <name val="Arial"/>
      <family val="2"/>
    </font>
    <font>
      <vertAlign val="subscript"/>
      <sz val="10"/>
      <name val="Arial"/>
      <family val="2"/>
    </font>
    <font>
      <b/>
      <sz val="10"/>
      <color indexed="12"/>
      <name val="Arial"/>
      <family val="2"/>
    </font>
    <font>
      <sz val="10"/>
      <color theme="0"/>
      <name val="Arial"/>
      <family val="2"/>
    </font>
    <font>
      <sz val="8"/>
      <color theme="0"/>
      <name val="Arial"/>
      <family val="2"/>
    </font>
  </fonts>
  <fills count="14">
    <fill>
      <patternFill patternType="none"/>
    </fill>
    <fill>
      <patternFill patternType="gray125"/>
    </fill>
    <fill>
      <patternFill patternType="solid">
        <fgColor indexed="46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8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8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3" fillId="0" borderId="0" applyNumberFormat="0" applyFill="0" applyBorder="0" applyAlignment="0" applyProtection="0">
      <alignment vertical="top"/>
      <protection locked="0"/>
    </xf>
    <xf numFmtId="9" fontId="1" fillId="0" borderId="0" applyFont="0" applyFill="0" applyBorder="0" applyAlignment="0" applyProtection="0"/>
  </cellStyleXfs>
  <cellXfs count="264">
    <xf numFmtId="0" fontId="0" fillId="0" borderId="0" xfId="0"/>
    <xf numFmtId="0" fontId="2" fillId="0" borderId="0" xfId="0" applyFont="1" applyAlignment="1">
      <alignment horizontal="center"/>
    </xf>
    <xf numFmtId="0" fontId="2" fillId="0" borderId="0" xfId="0" applyFont="1"/>
    <xf numFmtId="0" fontId="4" fillId="2" borderId="1" xfId="0" applyFont="1" applyFill="1" applyBorder="1" applyAlignment="1">
      <alignment horizontal="center"/>
    </xf>
    <xf numFmtId="0" fontId="4" fillId="3" borderId="2" xfId="0" applyFont="1" applyFill="1" applyBorder="1"/>
    <xf numFmtId="0" fontId="4" fillId="4" borderId="2" xfId="0" applyFont="1" applyFill="1" applyBorder="1" applyAlignment="1">
      <alignment horizontal="center"/>
    </xf>
    <xf numFmtId="0" fontId="4" fillId="5" borderId="2" xfId="0" applyFont="1" applyFill="1" applyBorder="1" applyAlignment="1">
      <alignment horizontal="center"/>
    </xf>
    <xf numFmtId="0" fontId="4" fillId="6" borderId="2" xfId="0" applyFont="1" applyFill="1" applyBorder="1" applyAlignment="1">
      <alignment horizontal="center"/>
    </xf>
    <xf numFmtId="0" fontId="2" fillId="2" borderId="1" xfId="0" applyFont="1" applyFill="1" applyBorder="1" applyAlignment="1">
      <alignment horizontal="center"/>
    </xf>
    <xf numFmtId="0" fontId="2" fillId="3" borderId="2" xfId="0" applyFont="1" applyFill="1" applyBorder="1"/>
    <xf numFmtId="0" fontId="2" fillId="4" borderId="2" xfId="0" applyFont="1" applyFill="1" applyBorder="1" applyAlignment="1">
      <alignment horizontal="center"/>
    </xf>
    <xf numFmtId="0" fontId="2" fillId="5" borderId="2" xfId="0" applyFont="1" applyFill="1" applyBorder="1" applyAlignment="1">
      <alignment horizontal="center"/>
    </xf>
    <xf numFmtId="11" fontId="2" fillId="6" borderId="2" xfId="0" applyNumberFormat="1" applyFont="1" applyFill="1" applyBorder="1"/>
    <xf numFmtId="0" fontId="2" fillId="3" borderId="6" xfId="0" applyFont="1" applyFill="1" applyBorder="1"/>
    <xf numFmtId="0" fontId="4" fillId="10" borderId="17" xfId="0" applyFont="1" applyFill="1" applyBorder="1"/>
    <xf numFmtId="0" fontId="4" fillId="10" borderId="15" xfId="0" applyFont="1" applyFill="1" applyBorder="1" applyAlignment="1">
      <alignment horizontal="center"/>
    </xf>
    <xf numFmtId="0" fontId="5" fillId="0" borderId="0" xfId="0" applyFont="1"/>
    <xf numFmtId="0" fontId="5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0" fontId="4" fillId="0" borderId="0" xfId="0" applyFont="1"/>
    <xf numFmtId="0" fontId="6" fillId="0" borderId="0" xfId="0" applyFont="1" applyAlignment="1">
      <alignment horizontal="center"/>
    </xf>
    <xf numFmtId="2" fontId="5" fillId="0" borderId="0" xfId="0" applyNumberFormat="1" applyFont="1"/>
    <xf numFmtId="165" fontId="5" fillId="0" borderId="0" xfId="2" applyNumberFormat="1" applyFont="1" applyFill="1" applyBorder="1"/>
    <xf numFmtId="0" fontId="5" fillId="0" borderId="4" xfId="0" applyFont="1" applyBorder="1"/>
    <xf numFmtId="0" fontId="6" fillId="0" borderId="4" xfId="0" applyFont="1" applyBorder="1" applyAlignment="1">
      <alignment horizontal="center"/>
    </xf>
    <xf numFmtId="0" fontId="5" fillId="0" borderId="0" xfId="0" applyFont="1" applyAlignment="1">
      <alignment wrapText="1"/>
    </xf>
    <xf numFmtId="0" fontId="0" fillId="0" borderId="0" xfId="0" applyAlignment="1">
      <alignment wrapText="1"/>
    </xf>
    <xf numFmtId="11" fontId="2" fillId="0" borderId="0" xfId="0" applyNumberFormat="1" applyFont="1"/>
    <xf numFmtId="0" fontId="2" fillId="2" borderId="18" xfId="0" applyFont="1" applyFill="1" applyBorder="1" applyAlignment="1">
      <alignment horizontal="center"/>
    </xf>
    <xf numFmtId="0" fontId="2" fillId="4" borderId="6" xfId="0" applyFont="1" applyFill="1" applyBorder="1" applyAlignment="1">
      <alignment horizontal="center"/>
    </xf>
    <xf numFmtId="0" fontId="2" fillId="5" borderId="6" xfId="0" applyFont="1" applyFill="1" applyBorder="1" applyAlignment="1">
      <alignment horizontal="center"/>
    </xf>
    <xf numFmtId="11" fontId="2" fillId="6" borderId="6" xfId="0" applyNumberFormat="1" applyFont="1" applyFill="1" applyBorder="1"/>
    <xf numFmtId="0" fontId="7" fillId="5" borderId="6" xfId="0" applyFont="1" applyFill="1" applyBorder="1" applyAlignment="1">
      <alignment horizontal="center"/>
    </xf>
    <xf numFmtId="0" fontId="7" fillId="5" borderId="3" xfId="0" applyFont="1" applyFill="1" applyBorder="1"/>
    <xf numFmtId="0" fontId="7" fillId="5" borderId="4" xfId="0" applyFont="1" applyFill="1" applyBorder="1"/>
    <xf numFmtId="0" fontId="9" fillId="0" borderId="4" xfId="0" applyFont="1" applyBorder="1" applyAlignment="1">
      <alignment horizontal="center"/>
    </xf>
    <xf numFmtId="0" fontId="9" fillId="0" borderId="4" xfId="0" applyFont="1" applyBorder="1"/>
    <xf numFmtId="0" fontId="9" fillId="0" borderId="0" xfId="0" applyFont="1" applyAlignment="1">
      <alignment horizontal="center"/>
    </xf>
    <xf numFmtId="0" fontId="9" fillId="0" borderId="0" xfId="0" applyFont="1"/>
    <xf numFmtId="0" fontId="8" fillId="0" borderId="0" xfId="0" applyFont="1" applyAlignment="1">
      <alignment horizontal="center"/>
    </xf>
    <xf numFmtId="11" fontId="8" fillId="0" borderId="0" xfId="0" applyNumberFormat="1" applyFont="1"/>
    <xf numFmtId="0" fontId="8" fillId="0" borderId="0" xfId="0" applyFont="1"/>
    <xf numFmtId="0" fontId="9" fillId="0" borderId="0" xfId="0" applyFont="1" applyAlignment="1">
      <alignment horizontal="right"/>
    </xf>
    <xf numFmtId="165" fontId="9" fillId="0" borderId="0" xfId="2" applyNumberFormat="1" applyFont="1" applyFill="1" applyBorder="1" applyAlignment="1">
      <alignment horizontal="center"/>
    </xf>
    <xf numFmtId="11" fontId="9" fillId="0" borderId="0" xfId="0" applyNumberFormat="1" applyFont="1"/>
    <xf numFmtId="0" fontId="8" fillId="0" borderId="4" xfId="0" applyFont="1" applyBorder="1" applyAlignment="1">
      <alignment horizontal="center"/>
    </xf>
    <xf numFmtId="0" fontId="8" fillId="0" borderId="4" xfId="0" applyFont="1" applyBorder="1"/>
    <xf numFmtId="0" fontId="9" fillId="0" borderId="4" xfId="0" applyFont="1" applyBorder="1" applyAlignment="1">
      <alignment horizontal="right"/>
    </xf>
    <xf numFmtId="165" fontId="9" fillId="0" borderId="4" xfId="2" applyNumberFormat="1" applyFont="1" applyFill="1" applyBorder="1" applyAlignment="1">
      <alignment horizontal="center"/>
    </xf>
    <xf numFmtId="11" fontId="9" fillId="0" borderId="4" xfId="0" applyNumberFormat="1" applyFont="1" applyBorder="1"/>
    <xf numFmtId="0" fontId="10" fillId="3" borderId="8" xfId="0" applyFont="1" applyFill="1" applyBorder="1" applyAlignment="1">
      <alignment horizontal="center"/>
    </xf>
    <xf numFmtId="0" fontId="10" fillId="3" borderId="7" xfId="0" applyFont="1" applyFill="1" applyBorder="1" applyAlignment="1">
      <alignment horizontal="center"/>
    </xf>
    <xf numFmtId="0" fontId="7" fillId="0" borderId="0" xfId="0" applyFont="1"/>
    <xf numFmtId="0" fontId="7" fillId="0" borderId="0" xfId="0" applyFont="1" applyAlignment="1">
      <alignment horizontal="center"/>
    </xf>
    <xf numFmtId="0" fontId="7" fillId="0" borderId="0" xfId="0" applyFont="1" applyAlignment="1">
      <alignment horizontal="right"/>
    </xf>
    <xf numFmtId="0" fontId="7" fillId="8" borderId="5" xfId="0" applyFont="1" applyFill="1" applyBorder="1"/>
    <xf numFmtId="0" fontId="12" fillId="4" borderId="2" xfId="0" applyFont="1" applyFill="1" applyBorder="1" applyAlignment="1">
      <alignment horizontal="center"/>
    </xf>
    <xf numFmtId="11" fontId="7" fillId="0" borderId="0" xfId="0" applyNumberFormat="1" applyFont="1"/>
    <xf numFmtId="0" fontId="7" fillId="8" borderId="5" xfId="0" applyFont="1" applyFill="1" applyBorder="1" applyAlignment="1">
      <alignment horizontal="center"/>
    </xf>
    <xf numFmtId="11" fontId="13" fillId="5" borderId="9" xfId="0" applyNumberFormat="1" applyFont="1" applyFill="1" applyBorder="1" applyAlignment="1">
      <alignment horizontal="center"/>
    </xf>
    <xf numFmtId="166" fontId="7" fillId="0" borderId="0" xfId="0" applyNumberFormat="1" applyFont="1"/>
    <xf numFmtId="0" fontId="7" fillId="5" borderId="2" xfId="0" applyFont="1" applyFill="1" applyBorder="1" applyAlignment="1">
      <alignment horizontal="center"/>
    </xf>
    <xf numFmtId="0" fontId="7" fillId="8" borderId="1" xfId="0" applyFont="1" applyFill="1" applyBorder="1" applyAlignment="1">
      <alignment horizontal="center"/>
    </xf>
    <xf numFmtId="11" fontId="13" fillId="5" borderId="2" xfId="0" applyNumberFormat="1" applyFont="1" applyFill="1" applyBorder="1" applyAlignment="1">
      <alignment horizontal="center"/>
    </xf>
    <xf numFmtId="11" fontId="7" fillId="8" borderId="2" xfId="0" applyNumberFormat="1" applyFont="1" applyFill="1" applyBorder="1" applyAlignment="1">
      <alignment horizontal="center"/>
    </xf>
    <xf numFmtId="11" fontId="7" fillId="8" borderId="18" xfId="0" applyNumberFormat="1" applyFont="1" applyFill="1" applyBorder="1" applyAlignment="1">
      <alignment horizontal="center"/>
    </xf>
    <xf numFmtId="11" fontId="7" fillId="8" borderId="6" xfId="0" applyNumberFormat="1" applyFont="1" applyFill="1" applyBorder="1" applyAlignment="1">
      <alignment horizontal="center"/>
    </xf>
    <xf numFmtId="0" fontId="7" fillId="8" borderId="7" xfId="0" applyFont="1" applyFill="1" applyBorder="1" applyAlignment="1">
      <alignment horizontal="center"/>
    </xf>
    <xf numFmtId="2" fontId="14" fillId="5" borderId="1" xfId="0" applyNumberFormat="1" applyFont="1" applyFill="1" applyBorder="1" applyAlignment="1">
      <alignment horizontal="center"/>
    </xf>
    <xf numFmtId="2" fontId="14" fillId="5" borderId="2" xfId="0" applyNumberFormat="1" applyFont="1" applyFill="1" applyBorder="1" applyAlignment="1">
      <alignment horizontal="center"/>
    </xf>
    <xf numFmtId="9" fontId="14" fillId="5" borderId="1" xfId="2" applyFont="1" applyFill="1" applyBorder="1" applyAlignment="1">
      <alignment horizontal="center"/>
    </xf>
    <xf numFmtId="2" fontId="10" fillId="3" borderId="5" xfId="0" applyNumberFormat="1" applyFont="1" applyFill="1" applyBorder="1" applyAlignment="1">
      <alignment horizontal="center"/>
    </xf>
    <xf numFmtId="2" fontId="10" fillId="3" borderId="9" xfId="0" applyNumberFormat="1" applyFont="1" applyFill="1" applyBorder="1" applyAlignment="1">
      <alignment horizontal="center"/>
    </xf>
    <xf numFmtId="2" fontId="7" fillId="0" borderId="0" xfId="0" applyNumberFormat="1" applyFont="1" applyAlignment="1">
      <alignment horizontal="center"/>
    </xf>
    <xf numFmtId="0" fontId="7" fillId="0" borderId="18" xfId="0" applyFont="1" applyBorder="1" applyAlignment="1">
      <alignment horizontal="center"/>
    </xf>
    <xf numFmtId="2" fontId="10" fillId="3" borderId="1" xfId="0" applyNumberFormat="1" applyFont="1" applyFill="1" applyBorder="1" applyAlignment="1">
      <alignment horizontal="center"/>
    </xf>
    <xf numFmtId="2" fontId="10" fillId="3" borderId="2" xfId="0" applyNumberFormat="1" applyFont="1" applyFill="1" applyBorder="1" applyAlignment="1">
      <alignment horizontal="center"/>
    </xf>
    <xf numFmtId="0" fontId="7" fillId="0" borderId="4" xfId="0" applyFont="1" applyBorder="1"/>
    <xf numFmtId="2" fontId="7" fillId="0" borderId="0" xfId="0" applyNumberFormat="1" applyFont="1"/>
    <xf numFmtId="0" fontId="7" fillId="3" borderId="8" xfId="0" applyFont="1" applyFill="1" applyBorder="1" applyAlignment="1">
      <alignment horizontal="center"/>
    </xf>
    <xf numFmtId="2" fontId="7" fillId="3" borderId="5" xfId="0" applyNumberFormat="1" applyFont="1" applyFill="1" applyBorder="1" applyAlignment="1">
      <alignment horizontal="center"/>
    </xf>
    <xf numFmtId="2" fontId="7" fillId="3" borderId="9" xfId="0" applyNumberFormat="1" applyFont="1" applyFill="1" applyBorder="1" applyAlignment="1">
      <alignment horizontal="center"/>
    </xf>
    <xf numFmtId="2" fontId="7" fillId="6" borderId="10" xfId="0" applyNumberFormat="1" applyFont="1" applyFill="1" applyBorder="1"/>
    <xf numFmtId="2" fontId="7" fillId="6" borderId="11" xfId="0" applyNumberFormat="1" applyFont="1" applyFill="1" applyBorder="1"/>
    <xf numFmtId="2" fontId="7" fillId="6" borderId="9" xfId="0" applyNumberFormat="1" applyFont="1" applyFill="1" applyBorder="1" applyAlignment="1">
      <alignment horizontal="center"/>
    </xf>
    <xf numFmtId="0" fontId="13" fillId="3" borderId="10" xfId="0" applyFont="1" applyFill="1" applyBorder="1" applyAlignment="1">
      <alignment horizontal="center"/>
    </xf>
    <xf numFmtId="2" fontId="13" fillId="5" borderId="12" xfId="0" applyNumberFormat="1" applyFont="1" applyFill="1" applyBorder="1" applyAlignment="1">
      <alignment horizontal="center"/>
    </xf>
    <xf numFmtId="2" fontId="13" fillId="5" borderId="13" xfId="0" applyNumberFormat="1" applyFont="1" applyFill="1" applyBorder="1" applyAlignment="1">
      <alignment horizontal="center"/>
    </xf>
    <xf numFmtId="2" fontId="15" fillId="5" borderId="13" xfId="0" applyNumberFormat="1" applyFont="1" applyFill="1" applyBorder="1" applyAlignment="1">
      <alignment horizontal="center"/>
    </xf>
    <xf numFmtId="2" fontId="16" fillId="5" borderId="13" xfId="0" applyNumberFormat="1" applyFont="1" applyFill="1" applyBorder="1" applyAlignment="1">
      <alignment horizontal="center"/>
    </xf>
    <xf numFmtId="0" fontId="13" fillId="3" borderId="8" xfId="0" applyFont="1" applyFill="1" applyBorder="1" applyAlignment="1">
      <alignment horizontal="center"/>
    </xf>
    <xf numFmtId="2" fontId="13" fillId="5" borderId="5" xfId="0" applyNumberFormat="1" applyFont="1" applyFill="1" applyBorder="1" applyAlignment="1">
      <alignment horizontal="center"/>
    </xf>
    <xf numFmtId="2" fontId="13" fillId="5" borderId="9" xfId="0" applyNumberFormat="1" applyFont="1" applyFill="1" applyBorder="1" applyAlignment="1">
      <alignment horizontal="center"/>
    </xf>
    <xf numFmtId="2" fontId="15" fillId="5" borderId="9" xfId="0" applyNumberFormat="1" applyFont="1" applyFill="1" applyBorder="1" applyAlignment="1">
      <alignment horizontal="center"/>
    </xf>
    <xf numFmtId="2" fontId="16" fillId="5" borderId="9" xfId="0" applyNumberFormat="1" applyFont="1" applyFill="1" applyBorder="1" applyAlignment="1">
      <alignment horizontal="center"/>
    </xf>
    <xf numFmtId="0" fontId="13" fillId="3" borderId="7" xfId="0" applyFont="1" applyFill="1" applyBorder="1" applyAlignment="1">
      <alignment horizontal="center"/>
    </xf>
    <xf numFmtId="2" fontId="13" fillId="5" borderId="2" xfId="0" applyNumberFormat="1" applyFont="1" applyFill="1" applyBorder="1" applyAlignment="1">
      <alignment horizontal="center"/>
    </xf>
    <xf numFmtId="2" fontId="15" fillId="5" borderId="2" xfId="0" applyNumberFormat="1" applyFont="1" applyFill="1" applyBorder="1" applyAlignment="1">
      <alignment horizontal="center"/>
    </xf>
    <xf numFmtId="2" fontId="16" fillId="5" borderId="2" xfId="0" applyNumberFormat="1" applyFont="1" applyFill="1" applyBorder="1" applyAlignment="1">
      <alignment horizontal="center"/>
    </xf>
    <xf numFmtId="0" fontId="10" fillId="3" borderId="0" xfId="0" applyFont="1" applyFill="1" applyAlignment="1">
      <alignment horizontal="center"/>
    </xf>
    <xf numFmtId="0" fontId="12" fillId="4" borderId="1" xfId="0" applyFont="1" applyFill="1" applyBorder="1" applyAlignment="1">
      <alignment horizontal="center"/>
    </xf>
    <xf numFmtId="0" fontId="7" fillId="11" borderId="10" xfId="0" applyFont="1" applyFill="1" applyBorder="1" applyAlignment="1">
      <alignment horizontal="center"/>
    </xf>
    <xf numFmtId="2" fontId="7" fillId="11" borderId="12" xfId="0" applyNumberFormat="1" applyFont="1" applyFill="1" applyBorder="1" applyAlignment="1">
      <alignment horizontal="center"/>
    </xf>
    <xf numFmtId="2" fontId="7" fillId="11" borderId="9" xfId="0" applyNumberFormat="1" applyFont="1" applyFill="1" applyBorder="1" applyAlignment="1">
      <alignment horizontal="center"/>
    </xf>
    <xf numFmtId="2" fontId="7" fillId="0" borderId="10" xfId="0" applyNumberFormat="1" applyFont="1" applyBorder="1"/>
    <xf numFmtId="2" fontId="7" fillId="7" borderId="3" xfId="0" applyNumberFormat="1" applyFont="1" applyFill="1" applyBorder="1"/>
    <xf numFmtId="2" fontId="7" fillId="0" borderId="13" xfId="0" applyNumberFormat="1" applyFont="1" applyBorder="1"/>
    <xf numFmtId="0" fontId="7" fillId="11" borderId="8" xfId="0" applyFont="1" applyFill="1" applyBorder="1" applyAlignment="1">
      <alignment horizontal="center"/>
    </xf>
    <xf numFmtId="2" fontId="7" fillId="11" borderId="1" xfId="0" applyNumberFormat="1" applyFont="1" applyFill="1" applyBorder="1" applyAlignment="1">
      <alignment horizontal="center"/>
    </xf>
    <xf numFmtId="2" fontId="7" fillId="11" borderId="2" xfId="0" applyNumberFormat="1" applyFont="1" applyFill="1" applyBorder="1" applyAlignment="1">
      <alignment horizontal="center"/>
    </xf>
    <xf numFmtId="2" fontId="7" fillId="0" borderId="7" xfId="0" applyNumberFormat="1" applyFont="1" applyBorder="1"/>
    <xf numFmtId="2" fontId="7" fillId="7" borderId="4" xfId="0" applyNumberFormat="1" applyFont="1" applyFill="1" applyBorder="1"/>
    <xf numFmtId="2" fontId="7" fillId="0" borderId="2" xfId="0" applyNumberFormat="1" applyFont="1" applyBorder="1"/>
    <xf numFmtId="2" fontId="7" fillId="3" borderId="14" xfId="0" applyNumberFormat="1" applyFont="1" applyFill="1" applyBorder="1"/>
    <xf numFmtId="0" fontId="7" fillId="3" borderId="14" xfId="0" applyFont="1" applyFill="1" applyBorder="1"/>
    <xf numFmtId="0" fontId="7" fillId="3" borderId="6" xfId="0" applyFont="1" applyFill="1" applyBorder="1"/>
    <xf numFmtId="0" fontId="7" fillId="3" borderId="8" xfId="0" applyFont="1" applyFill="1" applyBorder="1"/>
    <xf numFmtId="0" fontId="12" fillId="3" borderId="0" xfId="0" applyFont="1" applyFill="1" applyAlignment="1">
      <alignment horizontal="center"/>
    </xf>
    <xf numFmtId="0" fontId="7" fillId="3" borderId="9" xfId="0" applyFont="1" applyFill="1" applyBorder="1"/>
    <xf numFmtId="165" fontId="18" fillId="5" borderId="2" xfId="2" applyNumberFormat="1" applyFont="1" applyFill="1" applyBorder="1" applyAlignment="1">
      <alignment horizontal="center"/>
    </xf>
    <xf numFmtId="0" fontId="13" fillId="5" borderId="15" xfId="0" applyFont="1" applyFill="1" applyBorder="1"/>
    <xf numFmtId="0" fontId="13" fillId="5" borderId="14" xfId="0" applyFont="1" applyFill="1" applyBorder="1"/>
    <xf numFmtId="0" fontId="13" fillId="5" borderId="16" xfId="0" applyFont="1" applyFill="1" applyBorder="1"/>
    <xf numFmtId="0" fontId="10" fillId="3" borderId="7" xfId="0" applyFont="1" applyFill="1" applyBorder="1" applyAlignment="1">
      <alignment horizontal="left"/>
    </xf>
    <xf numFmtId="0" fontId="12" fillId="3" borderId="4" xfId="0" applyFont="1" applyFill="1" applyBorder="1" applyAlignment="1">
      <alignment horizontal="center"/>
    </xf>
    <xf numFmtId="0" fontId="7" fillId="3" borderId="2" xfId="0" applyFont="1" applyFill="1" applyBorder="1"/>
    <xf numFmtId="0" fontId="10" fillId="0" borderId="8" xfId="0" applyFont="1" applyBorder="1" applyAlignment="1">
      <alignment horizontal="left"/>
    </xf>
    <xf numFmtId="0" fontId="12" fillId="0" borderId="0" xfId="0" applyFont="1" applyAlignment="1">
      <alignment horizontal="center"/>
    </xf>
    <xf numFmtId="165" fontId="18" fillId="0" borderId="0" xfId="2" applyNumberFormat="1" applyFont="1" applyBorder="1" applyAlignment="1">
      <alignment horizontal="center"/>
    </xf>
    <xf numFmtId="0" fontId="13" fillId="0" borderId="0" xfId="0" applyFont="1"/>
    <xf numFmtId="0" fontId="10" fillId="11" borderId="10" xfId="0" applyFont="1" applyFill="1" applyBorder="1" applyAlignment="1">
      <alignment horizontal="left"/>
    </xf>
    <xf numFmtId="0" fontId="10" fillId="11" borderId="3" xfId="0" applyFont="1" applyFill="1" applyBorder="1" applyAlignment="1">
      <alignment horizontal="left"/>
    </xf>
    <xf numFmtId="0" fontId="7" fillId="11" borderId="3" xfId="0" applyFont="1" applyFill="1" applyBorder="1"/>
    <xf numFmtId="0" fontId="7" fillId="11" borderId="3" xfId="0" applyFont="1" applyFill="1" applyBorder="1" applyAlignment="1">
      <alignment horizontal="center"/>
    </xf>
    <xf numFmtId="0" fontId="7" fillId="0" borderId="3" xfId="0" applyFont="1" applyBorder="1"/>
    <xf numFmtId="0" fontId="7" fillId="0" borderId="13" xfId="0" applyFont="1" applyBorder="1"/>
    <xf numFmtId="0" fontId="7" fillId="11" borderId="8" xfId="0" applyFont="1" applyFill="1" applyBorder="1"/>
    <xf numFmtId="0" fontId="7" fillId="11" borderId="0" xfId="0" applyFont="1" applyFill="1"/>
    <xf numFmtId="2" fontId="7" fillId="11" borderId="0" xfId="0" applyNumberFormat="1" applyFont="1" applyFill="1"/>
    <xf numFmtId="2" fontId="7" fillId="11" borderId="0" xfId="0" applyNumberFormat="1" applyFont="1" applyFill="1" applyAlignment="1">
      <alignment horizontal="center"/>
    </xf>
    <xf numFmtId="2" fontId="7" fillId="5" borderId="0" xfId="0" applyNumberFormat="1" applyFont="1" applyFill="1"/>
    <xf numFmtId="2" fontId="7" fillId="0" borderId="9" xfId="0" applyNumberFormat="1" applyFont="1" applyBorder="1"/>
    <xf numFmtId="0" fontId="7" fillId="11" borderId="7" xfId="0" applyFont="1" applyFill="1" applyBorder="1"/>
    <xf numFmtId="0" fontId="7" fillId="11" borderId="4" xfId="0" applyFont="1" applyFill="1" applyBorder="1"/>
    <xf numFmtId="2" fontId="7" fillId="11" borderId="4" xfId="0" applyNumberFormat="1" applyFont="1" applyFill="1" applyBorder="1"/>
    <xf numFmtId="2" fontId="7" fillId="11" borderId="4" xfId="0" applyNumberFormat="1" applyFont="1" applyFill="1" applyBorder="1" applyAlignment="1">
      <alignment horizontal="center"/>
    </xf>
    <xf numFmtId="0" fontId="7" fillId="0" borderId="2" xfId="0" applyFont="1" applyBorder="1"/>
    <xf numFmtId="0" fontId="10" fillId="0" borderId="10" xfId="0" applyFont="1" applyBorder="1" applyAlignment="1">
      <alignment horizontal="left"/>
    </xf>
    <xf numFmtId="0" fontId="10" fillId="0" borderId="3" xfId="0" applyFont="1" applyBorder="1" applyAlignment="1">
      <alignment horizontal="left"/>
    </xf>
    <xf numFmtId="165" fontId="18" fillId="0" borderId="3" xfId="2" applyNumberFormat="1" applyFont="1" applyBorder="1" applyAlignment="1">
      <alignment horizontal="center"/>
    </xf>
    <xf numFmtId="0" fontId="13" fillId="0" borderId="3" xfId="0" applyFont="1" applyBorder="1"/>
    <xf numFmtId="2" fontId="7" fillId="11" borderId="3" xfId="0" applyNumberFormat="1" applyFont="1" applyFill="1" applyBorder="1" applyAlignment="1">
      <alignment horizontal="center"/>
    </xf>
    <xf numFmtId="2" fontId="7" fillId="11" borderId="13" xfId="0" applyNumberFormat="1" applyFont="1" applyFill="1" applyBorder="1" applyAlignment="1">
      <alignment horizontal="center"/>
    </xf>
    <xf numFmtId="0" fontId="7" fillId="0" borderId="8" xfId="0" applyFont="1" applyBorder="1"/>
    <xf numFmtId="0" fontId="7" fillId="11" borderId="0" xfId="0" applyFont="1" applyFill="1" applyAlignment="1">
      <alignment horizontal="center"/>
    </xf>
    <xf numFmtId="0" fontId="7" fillId="11" borderId="9" xfId="0" applyFont="1" applyFill="1" applyBorder="1" applyAlignment="1">
      <alignment horizontal="center"/>
    </xf>
    <xf numFmtId="0" fontId="7" fillId="0" borderId="7" xfId="0" applyFont="1" applyBorder="1"/>
    <xf numFmtId="0" fontId="7" fillId="0" borderId="4" xfId="0" applyFont="1" applyBorder="1" applyAlignment="1">
      <alignment horizontal="center"/>
    </xf>
    <xf numFmtId="0" fontId="7" fillId="11" borderId="4" xfId="0" applyFont="1" applyFill="1" applyBorder="1" applyAlignment="1">
      <alignment horizontal="center"/>
    </xf>
    <xf numFmtId="0" fontId="7" fillId="11" borderId="2" xfId="0" applyFont="1" applyFill="1" applyBorder="1" applyAlignment="1">
      <alignment horizontal="center"/>
    </xf>
    <xf numFmtId="168" fontId="7" fillId="0" borderId="0" xfId="0" applyNumberFormat="1" applyFont="1"/>
    <xf numFmtId="0" fontId="10" fillId="0" borderId="10" xfId="0" applyFont="1" applyBorder="1"/>
    <xf numFmtId="0" fontId="10" fillId="0" borderId="3" xfId="0" applyFont="1" applyBorder="1"/>
    <xf numFmtId="0" fontId="7" fillId="0" borderId="3" xfId="0" applyFont="1" applyBorder="1" applyAlignment="1">
      <alignment horizontal="center"/>
    </xf>
    <xf numFmtId="9" fontId="7" fillId="11" borderId="3" xfId="0" applyNumberFormat="1" applyFont="1" applyFill="1" applyBorder="1"/>
    <xf numFmtId="0" fontId="7" fillId="11" borderId="13" xfId="0" applyFont="1" applyFill="1" applyBorder="1"/>
    <xf numFmtId="9" fontId="7" fillId="11" borderId="0" xfId="0" applyNumberFormat="1" applyFont="1" applyFill="1"/>
    <xf numFmtId="0" fontId="7" fillId="11" borderId="9" xfId="0" applyFont="1" applyFill="1" applyBorder="1"/>
    <xf numFmtId="9" fontId="7" fillId="11" borderId="4" xfId="0" applyNumberFormat="1" applyFont="1" applyFill="1" applyBorder="1"/>
    <xf numFmtId="0" fontId="7" fillId="11" borderId="2" xfId="0" applyFont="1" applyFill="1" applyBorder="1"/>
    <xf numFmtId="2" fontId="7" fillId="11" borderId="3" xfId="0" applyNumberFormat="1" applyFont="1" applyFill="1" applyBorder="1"/>
    <xf numFmtId="2" fontId="7" fillId="11" borderId="13" xfId="0" applyNumberFormat="1" applyFont="1" applyFill="1" applyBorder="1"/>
    <xf numFmtId="2" fontId="7" fillId="11" borderId="2" xfId="0" applyNumberFormat="1" applyFont="1" applyFill="1" applyBorder="1"/>
    <xf numFmtId="0" fontId="7" fillId="11" borderId="13" xfId="0" applyFont="1" applyFill="1" applyBorder="1" applyAlignment="1">
      <alignment horizontal="center"/>
    </xf>
    <xf numFmtId="0" fontId="7" fillId="9" borderId="9" xfId="0" applyFont="1" applyFill="1" applyBorder="1" applyAlignment="1">
      <alignment horizontal="center"/>
    </xf>
    <xf numFmtId="2" fontId="7" fillId="9" borderId="9" xfId="0" applyNumberFormat="1" applyFont="1" applyFill="1" applyBorder="1" applyAlignment="1">
      <alignment horizontal="center"/>
    </xf>
    <xf numFmtId="164" fontId="7" fillId="11" borderId="2" xfId="0" applyNumberFormat="1" applyFont="1" applyFill="1" applyBorder="1"/>
    <xf numFmtId="0" fontId="10" fillId="0" borderId="7" xfId="0" applyFont="1" applyBorder="1" applyAlignment="1">
      <alignment horizontal="left"/>
    </xf>
    <xf numFmtId="0" fontId="12" fillId="0" borderId="4" xfId="0" applyFont="1" applyBorder="1" applyAlignment="1">
      <alignment horizontal="center"/>
    </xf>
    <xf numFmtId="165" fontId="18" fillId="0" borderId="4" xfId="2" applyNumberFormat="1" applyFont="1" applyBorder="1" applyAlignment="1">
      <alignment horizontal="center"/>
    </xf>
    <xf numFmtId="0" fontId="18" fillId="0" borderId="0" xfId="0" applyFont="1"/>
    <xf numFmtId="168" fontId="7" fillId="5" borderId="0" xfId="0" applyNumberFormat="1" applyFont="1" applyFill="1"/>
    <xf numFmtId="2" fontId="7" fillId="0" borderId="3" xfId="0" applyNumberFormat="1" applyFont="1" applyBorder="1"/>
    <xf numFmtId="0" fontId="7" fillId="3" borderId="9" xfId="0" applyFont="1" applyFill="1" applyBorder="1" applyAlignment="1">
      <alignment horizontal="center"/>
    </xf>
    <xf numFmtId="2" fontId="7" fillId="0" borderId="9" xfId="0" applyNumberFormat="1" applyFont="1" applyBorder="1" applyAlignment="1">
      <alignment horizontal="center"/>
    </xf>
    <xf numFmtId="2" fontId="7" fillId="3" borderId="7" xfId="0" applyNumberFormat="1" applyFont="1" applyFill="1" applyBorder="1" applyAlignment="1">
      <alignment horizontal="center"/>
    </xf>
    <xf numFmtId="2" fontId="7" fillId="3" borderId="2" xfId="0" applyNumberFormat="1" applyFont="1" applyFill="1" applyBorder="1" applyAlignment="1">
      <alignment horizontal="center"/>
    </xf>
    <xf numFmtId="0" fontId="7" fillId="0" borderId="9" xfId="0" applyFont="1" applyBorder="1"/>
    <xf numFmtId="2" fontId="7" fillId="9" borderId="8" xfId="0" applyNumberFormat="1" applyFont="1" applyFill="1" applyBorder="1" applyAlignment="1">
      <alignment horizontal="center"/>
    </xf>
    <xf numFmtId="2" fontId="7" fillId="9" borderId="7" xfId="0" applyNumberFormat="1" applyFont="1" applyFill="1" applyBorder="1" applyAlignment="1">
      <alignment horizontal="center"/>
    </xf>
    <xf numFmtId="2" fontId="7" fillId="9" borderId="2" xfId="0" applyNumberFormat="1" applyFont="1" applyFill="1" applyBorder="1" applyAlignment="1">
      <alignment horizontal="center"/>
    </xf>
    <xf numFmtId="0" fontId="7" fillId="0" borderId="8" xfId="0" applyFont="1" applyBorder="1" applyAlignment="1">
      <alignment horizontal="center"/>
    </xf>
    <xf numFmtId="0" fontId="7" fillId="6" borderId="10" xfId="0" applyFont="1" applyFill="1" applyBorder="1"/>
    <xf numFmtId="0" fontId="7" fillId="6" borderId="3" xfId="0" applyFont="1" applyFill="1" applyBorder="1"/>
    <xf numFmtId="2" fontId="7" fillId="6" borderId="3" xfId="0" applyNumberFormat="1" applyFont="1" applyFill="1" applyBorder="1"/>
    <xf numFmtId="2" fontId="7" fillId="6" borderId="13" xfId="0" applyNumberFormat="1" applyFont="1" applyFill="1" applyBorder="1"/>
    <xf numFmtId="0" fontId="7" fillId="0" borderId="10" xfId="0" applyFont="1" applyBorder="1"/>
    <xf numFmtId="0" fontId="7" fillId="6" borderId="8" xfId="0" applyFont="1" applyFill="1" applyBorder="1"/>
    <xf numFmtId="0" fontId="7" fillId="6" borderId="0" xfId="0" applyFont="1" applyFill="1"/>
    <xf numFmtId="2" fontId="7" fillId="6" borderId="0" xfId="0" applyNumberFormat="1" applyFont="1" applyFill="1"/>
    <xf numFmtId="2" fontId="7" fillId="6" borderId="9" xfId="0" applyNumberFormat="1" applyFont="1" applyFill="1" applyBorder="1"/>
    <xf numFmtId="0" fontId="7" fillId="6" borderId="7" xfId="0" applyFont="1" applyFill="1" applyBorder="1"/>
    <xf numFmtId="0" fontId="7" fillId="6" borderId="4" xfId="0" applyFont="1" applyFill="1" applyBorder="1"/>
    <xf numFmtId="2" fontId="7" fillId="6" borderId="4" xfId="0" applyNumberFormat="1" applyFont="1" applyFill="1" applyBorder="1"/>
    <xf numFmtId="2" fontId="7" fillId="6" borderId="2" xfId="0" applyNumberFormat="1" applyFont="1" applyFill="1" applyBorder="1"/>
    <xf numFmtId="2" fontId="7" fillId="0" borderId="4" xfId="0" applyNumberFormat="1" applyFont="1" applyBorder="1"/>
    <xf numFmtId="9" fontId="7" fillId="6" borderId="3" xfId="2" applyFont="1" applyFill="1" applyBorder="1"/>
    <xf numFmtId="0" fontId="7" fillId="6" borderId="13" xfId="0" applyFont="1" applyFill="1" applyBorder="1"/>
    <xf numFmtId="9" fontId="7" fillId="0" borderId="0" xfId="2" applyFont="1"/>
    <xf numFmtId="0" fontId="7" fillId="6" borderId="0" xfId="0" applyFont="1" applyFill="1" applyAlignment="1">
      <alignment horizontal="center"/>
    </xf>
    <xf numFmtId="0" fontId="7" fillId="6" borderId="9" xfId="0" applyFont="1" applyFill="1" applyBorder="1" applyAlignment="1">
      <alignment horizontal="center"/>
    </xf>
    <xf numFmtId="0" fontId="7" fillId="6" borderId="8" xfId="0" applyFont="1" applyFill="1" applyBorder="1" applyAlignment="1">
      <alignment horizontal="center"/>
    </xf>
    <xf numFmtId="0" fontId="7" fillId="6" borderId="9" xfId="0" applyFont="1" applyFill="1" applyBorder="1"/>
    <xf numFmtId="9" fontId="7" fillId="6" borderId="4" xfId="2" applyFont="1" applyFill="1" applyBorder="1"/>
    <xf numFmtId="9" fontId="7" fillId="6" borderId="2" xfId="2" applyFont="1" applyFill="1" applyBorder="1"/>
    <xf numFmtId="0" fontId="7" fillId="6" borderId="7" xfId="0" applyFont="1" applyFill="1" applyBorder="1" applyAlignment="1">
      <alignment horizontal="center"/>
    </xf>
    <xf numFmtId="0" fontId="7" fillId="6" borderId="4" xfId="0" applyFont="1" applyFill="1" applyBorder="1" applyAlignment="1">
      <alignment horizontal="center"/>
    </xf>
    <xf numFmtId="9" fontId="7" fillId="0" borderId="0" xfId="2" applyFont="1" applyBorder="1"/>
    <xf numFmtId="9" fontId="7" fillId="0" borderId="0" xfId="0" applyNumberFormat="1" applyFont="1"/>
    <xf numFmtId="168" fontId="7" fillId="0" borderId="4" xfId="0" applyNumberFormat="1" applyFont="1" applyBorder="1"/>
    <xf numFmtId="0" fontId="7" fillId="12" borderId="0" xfId="0" applyFont="1" applyFill="1"/>
    <xf numFmtId="0" fontId="19" fillId="12" borderId="0" xfId="0" applyFont="1" applyFill="1"/>
    <xf numFmtId="0" fontId="19" fillId="12" borderId="0" xfId="0" applyFont="1" applyFill="1" applyAlignment="1">
      <alignment horizontal="center"/>
    </xf>
    <xf numFmtId="0" fontId="20" fillId="12" borderId="0" xfId="0" applyFont="1" applyFill="1"/>
    <xf numFmtId="0" fontId="19" fillId="12" borderId="4" xfId="0" applyFont="1" applyFill="1" applyBorder="1"/>
    <xf numFmtId="0" fontId="19" fillId="12" borderId="3" xfId="0" applyFont="1" applyFill="1" applyBorder="1"/>
    <xf numFmtId="0" fontId="19" fillId="12" borderId="13" xfId="0" applyFont="1" applyFill="1" applyBorder="1"/>
    <xf numFmtId="0" fontId="19" fillId="12" borderId="2" xfId="0" applyFont="1" applyFill="1" applyBorder="1"/>
    <xf numFmtId="11" fontId="20" fillId="12" borderId="0" xfId="0" applyNumberFormat="1" applyFont="1" applyFill="1"/>
    <xf numFmtId="2" fontId="20" fillId="12" borderId="0" xfId="0" applyNumberFormat="1" applyFont="1" applyFill="1"/>
    <xf numFmtId="164" fontId="20" fillId="12" borderId="0" xfId="0" applyNumberFormat="1" applyFont="1" applyFill="1"/>
    <xf numFmtId="168" fontId="20" fillId="12" borderId="0" xfId="2" applyNumberFormat="1" applyFont="1" applyFill="1" applyAlignment="1">
      <alignment horizontal="center"/>
    </xf>
    <xf numFmtId="0" fontId="7" fillId="12" borderId="0" xfId="0" applyFont="1" applyFill="1" applyAlignment="1">
      <alignment horizontal="center"/>
    </xf>
    <xf numFmtId="0" fontId="7" fillId="13" borderId="0" xfId="0" applyFont="1" applyFill="1"/>
    <xf numFmtId="0" fontId="19" fillId="13" borderId="0" xfId="0" applyFont="1" applyFill="1"/>
    <xf numFmtId="164" fontId="7" fillId="13" borderId="0" xfId="0" applyNumberFormat="1" applyFont="1" applyFill="1"/>
    <xf numFmtId="11" fontId="7" fillId="13" borderId="0" xfId="0" applyNumberFormat="1" applyFont="1" applyFill="1"/>
    <xf numFmtId="2" fontId="7" fillId="13" borderId="0" xfId="0" applyNumberFormat="1" applyFont="1" applyFill="1"/>
    <xf numFmtId="167" fontId="7" fillId="13" borderId="0" xfId="2" applyNumberFormat="1" applyFont="1" applyFill="1"/>
    <xf numFmtId="11" fontId="20" fillId="12" borderId="0" xfId="0" applyNumberFormat="1" applyFont="1" applyFill="1" applyAlignment="1">
      <alignment horizontal="center"/>
    </xf>
    <xf numFmtId="2" fontId="20" fillId="12" borderId="0" xfId="0" applyNumberFormat="1" applyFont="1" applyFill="1" applyAlignment="1">
      <alignment horizontal="center"/>
    </xf>
    <xf numFmtId="0" fontId="20" fillId="12" borderId="0" xfId="0" applyFont="1" applyFill="1" applyAlignment="1">
      <alignment horizontal="center"/>
    </xf>
    <xf numFmtId="164" fontId="20" fillId="12" borderId="0" xfId="0" applyNumberFormat="1" applyFont="1" applyFill="1" applyAlignment="1">
      <alignment horizontal="center"/>
    </xf>
    <xf numFmtId="0" fontId="5" fillId="0" borderId="10" xfId="0" applyFont="1" applyBorder="1" applyAlignment="1">
      <alignment horizontal="left" vertical="top" wrapText="1"/>
    </xf>
    <xf numFmtId="0" fontId="5" fillId="0" borderId="3" xfId="0" applyFont="1" applyBorder="1" applyAlignment="1">
      <alignment horizontal="left" vertical="top" wrapText="1"/>
    </xf>
    <xf numFmtId="0" fontId="5" fillId="0" borderId="13" xfId="0" applyFont="1" applyBorder="1" applyAlignment="1">
      <alignment horizontal="left" vertical="top" wrapText="1"/>
    </xf>
    <xf numFmtId="0" fontId="5" fillId="0" borderId="8" xfId="0" applyFont="1" applyBorder="1" applyAlignment="1">
      <alignment horizontal="left" vertical="top" wrapText="1"/>
    </xf>
    <xf numFmtId="0" fontId="5" fillId="0" borderId="0" xfId="0" applyFont="1" applyAlignment="1">
      <alignment horizontal="left" vertical="top" wrapText="1"/>
    </xf>
    <xf numFmtId="0" fontId="5" fillId="0" borderId="9" xfId="0" applyFont="1" applyBorder="1" applyAlignment="1">
      <alignment horizontal="left" vertical="top" wrapText="1"/>
    </xf>
    <xf numFmtId="0" fontId="5" fillId="0" borderId="7" xfId="0" applyFont="1" applyBorder="1" applyAlignment="1">
      <alignment horizontal="left" vertical="top" wrapText="1"/>
    </xf>
    <xf numFmtId="0" fontId="5" fillId="0" borderId="4" xfId="0" applyFont="1" applyBorder="1" applyAlignment="1">
      <alignment horizontal="left" vertical="top" wrapText="1"/>
    </xf>
    <xf numFmtId="0" fontId="5" fillId="0" borderId="2" xfId="0" applyFont="1" applyBorder="1" applyAlignment="1">
      <alignment horizontal="left" vertical="top" wrapText="1"/>
    </xf>
    <xf numFmtId="0" fontId="10" fillId="3" borderId="10" xfId="0" applyFont="1" applyFill="1" applyBorder="1" applyAlignment="1">
      <alignment horizontal="center"/>
    </xf>
    <xf numFmtId="0" fontId="10" fillId="3" borderId="3" xfId="0" applyFont="1" applyFill="1" applyBorder="1" applyAlignment="1">
      <alignment horizontal="center"/>
    </xf>
    <xf numFmtId="0" fontId="10" fillId="3" borderId="11" xfId="0" applyFont="1" applyFill="1" applyBorder="1" applyAlignment="1">
      <alignment horizontal="center"/>
    </xf>
    <xf numFmtId="0" fontId="10" fillId="3" borderId="15" xfId="0" applyFont="1" applyFill="1" applyBorder="1" applyAlignment="1">
      <alignment horizontal="center"/>
    </xf>
    <xf numFmtId="0" fontId="10" fillId="3" borderId="14" xfId="0" applyFont="1" applyFill="1" applyBorder="1" applyAlignment="1">
      <alignment horizontal="center"/>
    </xf>
    <xf numFmtId="0" fontId="10" fillId="3" borderId="16" xfId="0" applyFont="1" applyFill="1" applyBorder="1" applyAlignment="1">
      <alignment horizontal="center"/>
    </xf>
    <xf numFmtId="0" fontId="11" fillId="0" borderId="0" xfId="1" applyFont="1" applyBorder="1" applyAlignment="1" applyProtection="1">
      <alignment horizontal="center"/>
    </xf>
    <xf numFmtId="0" fontId="10" fillId="9" borderId="17" xfId="0" applyFont="1" applyFill="1" applyBorder="1" applyAlignment="1">
      <alignment horizontal="center"/>
    </xf>
    <xf numFmtId="0" fontId="10" fillId="9" borderId="16" xfId="0" applyFont="1" applyFill="1" applyBorder="1" applyAlignment="1">
      <alignment horizontal="center"/>
    </xf>
    <xf numFmtId="0" fontId="10" fillId="8" borderId="15" xfId="0" applyFont="1" applyFill="1" applyBorder="1" applyAlignment="1">
      <alignment horizontal="center"/>
    </xf>
    <xf numFmtId="0" fontId="10" fillId="8" borderId="14" xfId="0" applyFont="1" applyFill="1" applyBorder="1" applyAlignment="1">
      <alignment horizontal="center"/>
    </xf>
    <xf numFmtId="0" fontId="10" fillId="8" borderId="16" xfId="0" applyFont="1" applyFill="1" applyBorder="1" applyAlignment="1">
      <alignment horizontal="center"/>
    </xf>
  </cellXfs>
  <cellStyles count="3">
    <cellStyle name="Hiperlink" xfId="1" builtinId="8"/>
    <cellStyle name="Normal" xfId="0" builtinId="0"/>
    <cellStyle name="Porcentagem" xfId="2" builtinId="5"/>
  </cellStyles>
  <dxfs count="12"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</dxfs>
  <tableStyles count="0" defaultTableStyle="TableStyleMedium2" defaultPivotStyle="PivotStyleLight16"/>
  <colors>
    <mruColors>
      <color rgb="FF0000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79176FB0-B7F2-11CE-97EF-00AA006D2776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4369286356249939E-2"/>
          <c:y val="3.4883786949996498E-2"/>
          <c:w val="0.84329458636104848"/>
          <c:h val="0.95736615296101502"/>
        </c:manualLayout>
      </c:layout>
      <c:scatterChart>
        <c:scatterStyle val="lineMarker"/>
        <c:varyColors val="0"/>
        <c:ser>
          <c:idx val="0"/>
          <c:order val="0"/>
          <c:tx>
            <c:strRef>
              <c:f>Diagrama!$D$36</c:f>
              <c:strCache>
                <c:ptCount val="1"/>
              </c:strCache>
            </c:strRef>
          </c:tx>
          <c:spPr>
            <a:ln w="381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Diagrama!$E$35:$G$35</c:f>
              <c:numCache>
                <c:formatCode>0.00</c:formatCode>
                <c:ptCount val="3"/>
                <c:pt idx="0">
                  <c:v>-0.57735026918962584</c:v>
                </c:pt>
                <c:pt idx="1">
                  <c:v>0</c:v>
                </c:pt>
                <c:pt idx="2">
                  <c:v>0.57735026918962584</c:v>
                </c:pt>
              </c:numCache>
            </c:numRef>
          </c:xVal>
          <c:yVal>
            <c:numRef>
              <c:f>Diagrama!$E$36:$G$36</c:f>
              <c:numCache>
                <c:formatCode>0.00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2D3-4858-A1D5-82A125310125}"/>
            </c:ext>
          </c:extLst>
        </c:ser>
        <c:ser>
          <c:idx val="1"/>
          <c:order val="1"/>
          <c:tx>
            <c:strRef>
              <c:f>Diagrama!$D$37</c:f>
              <c:strCache>
                <c:ptCount val="1"/>
              </c:strCache>
            </c:strRef>
          </c:tx>
          <c:spPr>
            <a:ln w="381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Diagrama!$E$35:$G$35</c:f>
              <c:numCache>
                <c:formatCode>0.00</c:formatCode>
                <c:ptCount val="3"/>
                <c:pt idx="0">
                  <c:v>-0.57735026918962584</c:v>
                </c:pt>
                <c:pt idx="1">
                  <c:v>0</c:v>
                </c:pt>
                <c:pt idx="2">
                  <c:v>0.57735026918962584</c:v>
                </c:pt>
              </c:numCache>
            </c:numRef>
          </c:xVal>
          <c:yVal>
            <c:numRef>
              <c:f>Diagrama!$E$37:$G$37</c:f>
              <c:numCache>
                <c:formatCode>0.00</c:formatCode>
                <c:ptCount val="3"/>
                <c:pt idx="0">
                  <c:v>0</c:v>
                </c:pt>
                <c:pt idx="1">
                  <c:v>1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2D3-4858-A1D5-82A125310125}"/>
            </c:ext>
          </c:extLst>
        </c:ser>
        <c:ser>
          <c:idx val="2"/>
          <c:order val="2"/>
          <c:tx>
            <c:strRef>
              <c:f>Diagrama!$N$51</c:f>
              <c:strCache>
                <c:ptCount val="1"/>
                <c:pt idx="0">
                  <c:v> 1-Henrique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0000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pPr>
                      <a:defRPr sz="1600" b="0" i="0" u="none" strike="noStrike" baseline="0">
                        <a:solidFill>
                          <a:srgbClr val="000000"/>
                        </a:solidFill>
                        <a:latin typeface="Comic Sans MS"/>
                        <a:ea typeface="Comic Sans MS"/>
                        <a:cs typeface="Comic Sans MS"/>
                      </a:defRPr>
                    </a:pPr>
                    <a:r>
                      <a:rPr lang="en-US"/>
                      <a:t>1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2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Diagrama!$P$50</c:f>
              <c:numCache>
                <c:formatCode>0.00</c:formatCode>
                <c:ptCount val="1"/>
                <c:pt idx="0">
                  <c:v>0.26243194054073904</c:v>
                </c:pt>
              </c:numCache>
            </c:numRef>
          </c:xVal>
          <c:yVal>
            <c:numRef>
              <c:f>Diagrama!$P$51</c:f>
              <c:numCache>
                <c:formatCode>0.00</c:formatCode>
                <c:ptCount val="1"/>
                <c:pt idx="0">
                  <c:v>0.18181818181818182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2D3-4858-A1D5-82A125310125}"/>
            </c:ext>
          </c:extLst>
        </c:ser>
        <c:ser>
          <c:idx val="3"/>
          <c:order val="3"/>
          <c:tx>
            <c:strRef>
              <c:f>Diagrama!$N$40</c:f>
              <c:strCache>
                <c:ptCount val="1"/>
                <c:pt idx="0">
                  <c:v>R</c:v>
                </c:pt>
              </c:strCache>
            </c:strRef>
          </c:tx>
          <c:spPr>
            <a:ln w="12700">
              <a:solidFill>
                <a:srgbClr val="00FFFF"/>
              </a:solidFill>
              <a:prstDash val="solid"/>
            </a:ln>
          </c:spPr>
          <c:marker>
            <c:symbol val="circle"/>
            <c:size val="34"/>
            <c:spPr>
              <a:noFill/>
              <a:ln w="6350">
                <a:noFill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pPr>
                      <a:defRPr sz="1800" b="0" i="0" u="none" strike="noStrike" baseline="0">
                        <a:solidFill>
                          <a:srgbClr val="000000"/>
                        </a:solidFill>
                        <a:latin typeface="Comic Sans MS"/>
                        <a:ea typeface="Comic Sans MS"/>
                        <a:cs typeface="Comic Sans MS"/>
                      </a:defRPr>
                    </a:pPr>
                    <a:r>
                      <a:rPr lang="en-US"/>
                      <a:t>R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4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Diagrama!$O$39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Diagrama!$O$40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62D3-4858-A1D5-82A125310125}"/>
            </c:ext>
          </c:extLst>
        </c:ser>
        <c:ser>
          <c:idx val="4"/>
          <c:order val="4"/>
          <c:tx>
            <c:strRef>
              <c:f>Diagrama!$N$41</c:f>
              <c:strCache>
                <c:ptCount val="1"/>
                <c:pt idx="0">
                  <c:v>F</c:v>
                </c:pt>
              </c:strCache>
            </c:strRef>
          </c:tx>
          <c:spPr>
            <a:ln w="12700">
              <a:solidFill>
                <a:srgbClr val="800080"/>
              </a:solidFill>
              <a:prstDash val="solid"/>
            </a:ln>
          </c:spPr>
          <c:marker>
            <c:symbol val="circle"/>
            <c:size val="3"/>
            <c:spPr>
              <a:noFill/>
              <a:ln w="6350">
                <a:noFill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pPr>
                      <a:defRPr sz="1800" b="0" i="0" u="none" strike="noStrike" baseline="0">
                        <a:solidFill>
                          <a:srgbClr val="000000"/>
                        </a:solidFill>
                        <a:latin typeface="Comic Sans MS"/>
                        <a:ea typeface="Comic Sans MS"/>
                        <a:cs typeface="Comic Sans MS"/>
                      </a:defRPr>
                    </a:pPr>
                    <a:r>
                      <a:rPr lang="en-US"/>
                      <a:t>F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6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Diagrama!$P$39</c:f>
              <c:numCache>
                <c:formatCode>0.00</c:formatCode>
                <c:ptCount val="1"/>
                <c:pt idx="0">
                  <c:v>0.57735026918962584</c:v>
                </c:pt>
              </c:numCache>
            </c:numRef>
          </c:xVal>
          <c:yVal>
            <c:numRef>
              <c:f>Diagrama!$P$41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62D3-4858-A1D5-82A125310125}"/>
            </c:ext>
          </c:extLst>
        </c:ser>
        <c:ser>
          <c:idx val="5"/>
          <c:order val="5"/>
          <c:tx>
            <c:strRef>
              <c:f>Diagrama!$N$42</c:f>
              <c:strCache>
                <c:ptCount val="1"/>
                <c:pt idx="0">
                  <c:v>N</c:v>
                </c:pt>
              </c:strCache>
            </c:strRef>
          </c:tx>
          <c:spPr>
            <a:ln w="12700">
              <a:solidFill>
                <a:srgbClr val="800000"/>
              </a:solidFill>
              <a:prstDash val="solid"/>
            </a:ln>
          </c:spPr>
          <c:marker>
            <c:symbol val="circle"/>
            <c:size val="3"/>
            <c:spPr>
              <a:noFill/>
              <a:ln w="6350">
                <a:noFill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pPr>
                      <a:defRPr sz="1800" b="0" i="0" u="none" strike="noStrike" baseline="0">
                        <a:solidFill>
                          <a:srgbClr val="000000"/>
                        </a:solidFill>
                        <a:latin typeface="Comic Sans MS"/>
                        <a:ea typeface="Comic Sans MS"/>
                        <a:cs typeface="Comic Sans MS"/>
                      </a:defRPr>
                    </a:pPr>
                    <a:r>
                      <a:rPr lang="en-US"/>
                      <a:t>N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8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Diagrama!$Q$39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Diagrama!$Q$42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62D3-4858-A1D5-82A125310125}"/>
            </c:ext>
          </c:extLst>
        </c:ser>
        <c:ser>
          <c:idx val="6"/>
          <c:order val="6"/>
          <c:tx>
            <c:strRef>
              <c:f>Diagrama!$M$66</c:f>
              <c:strCache>
                <c:ptCount val="1"/>
                <c:pt idx="0">
                  <c:v>SI=1</c:v>
                </c:pt>
              </c:strCache>
            </c:strRef>
          </c:tx>
          <c:spPr>
            <a:ln w="3175">
              <a:solidFill>
                <a:srgbClr val="FFCC00"/>
              </a:solidFill>
              <a:prstDash val="solid"/>
            </a:ln>
            <a:effectLst/>
          </c:spPr>
          <c:marker>
            <c:symbol val="none"/>
          </c:marker>
          <c:dLbls>
            <c:dLbl>
              <c:idx val="18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400" b="1" i="1" u="none" strike="noStrike" baseline="0">
                      <a:solidFill>
                        <a:srgbClr val="000000"/>
                      </a:solidFill>
                      <a:latin typeface="Eras Medium ITC"/>
                      <a:ea typeface="Eras Medium ITC"/>
                      <a:cs typeface="Eras Medium ITC"/>
                    </a:defRPr>
                  </a:pPr>
                  <a:endParaRPr lang="pt-BR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400" baseline="0"/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Diagrama!$O$65:$AG$65</c:f>
              <c:numCache>
                <c:formatCode>General</c:formatCode>
                <c:ptCount val="19"/>
                <c:pt idx="0">
                  <c:v>-1.7320508075688774</c:v>
                </c:pt>
                <c:pt idx="1">
                  <c:v>-1.7320508075688774</c:v>
                </c:pt>
                <c:pt idx="2">
                  <c:v>-1.7320508075688774</c:v>
                </c:pt>
                <c:pt idx="3">
                  <c:v>-1.7320508075688774</c:v>
                </c:pt>
                <c:pt idx="4">
                  <c:v>-1.7320508075688774</c:v>
                </c:pt>
                <c:pt idx="5">
                  <c:v>-1.7320508075688774</c:v>
                </c:pt>
                <c:pt idx="6">
                  <c:v>-1.7320508075688774</c:v>
                </c:pt>
                <c:pt idx="7">
                  <c:v>-1.7320508075688774</c:v>
                </c:pt>
                <c:pt idx="8">
                  <c:v>-1.7320508075688774</c:v>
                </c:pt>
                <c:pt idx="9">
                  <c:v>-1.7320508075688774</c:v>
                </c:pt>
                <c:pt idx="10">
                  <c:v>-1.7320508075688774</c:v>
                </c:pt>
                <c:pt idx="11">
                  <c:v>-1.7320508075688774</c:v>
                </c:pt>
                <c:pt idx="12">
                  <c:v>-1.7320508075688774</c:v>
                </c:pt>
                <c:pt idx="13">
                  <c:v>-1.7320508075688774</c:v>
                </c:pt>
                <c:pt idx="14">
                  <c:v>-1.7320508075688774</c:v>
                </c:pt>
                <c:pt idx="15">
                  <c:v>-1.7320508075688774</c:v>
                </c:pt>
                <c:pt idx="16">
                  <c:v>-1.7320508075688774</c:v>
                </c:pt>
                <c:pt idx="17">
                  <c:v>-1.7320508075688774</c:v>
                </c:pt>
                <c:pt idx="18">
                  <c:v>-1.7320508075688774</c:v>
                </c:pt>
              </c:numCache>
            </c:numRef>
          </c:xVal>
          <c:yVal>
            <c:numRef>
              <c:f>Diagrama!$O$66:$AG$66</c:f>
              <c:numCache>
                <c:formatCode>General</c:formatCode>
                <c:ptCount val="19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62D3-4858-A1D5-82A125310125}"/>
            </c:ext>
          </c:extLst>
        </c:ser>
        <c:ser>
          <c:idx val="7"/>
          <c:order val="7"/>
          <c:tx>
            <c:strRef>
              <c:f>Diagrama!$M$70</c:f>
              <c:strCache>
                <c:ptCount val="1"/>
                <c:pt idx="0">
                  <c:v>SI=5</c:v>
                </c:pt>
              </c:strCache>
            </c:strRef>
          </c:tx>
          <c:spPr>
            <a:ln w="3175">
              <a:solidFill>
                <a:srgbClr val="FFCC00"/>
              </a:solidFill>
              <a:prstDash val="solid"/>
            </a:ln>
            <a:effectLst/>
          </c:spPr>
          <c:marker>
            <c:symbol val="none"/>
          </c:marker>
          <c:dLbls>
            <c:dLbl>
              <c:idx val="18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400" b="1" i="1" u="none" strike="noStrike" baseline="0">
                      <a:solidFill>
                        <a:srgbClr val="000000"/>
                      </a:solidFill>
                      <a:latin typeface="Eras Medium ITC"/>
                      <a:ea typeface="Eras Medium ITC"/>
                      <a:cs typeface="Eras Medium ITC"/>
                    </a:defRPr>
                  </a:pPr>
                  <a:endParaRPr lang="pt-BR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400" baseline="0"/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Diagrama!$O$69:$AG$69</c:f>
              <c:numCache>
                <c:formatCode>General</c:formatCode>
                <c:ptCount val="19"/>
                <c:pt idx="0">
                  <c:v>-1.2701705922171769</c:v>
                </c:pt>
                <c:pt idx="1">
                  <c:v>-1.2701705922171769</c:v>
                </c:pt>
                <c:pt idx="2">
                  <c:v>-1.2701705922171769</c:v>
                </c:pt>
                <c:pt idx="3">
                  <c:v>-1.2701705922171769</c:v>
                </c:pt>
                <c:pt idx="4">
                  <c:v>-1.2701705922171769</c:v>
                </c:pt>
                <c:pt idx="5">
                  <c:v>-1.2701705922171769</c:v>
                </c:pt>
                <c:pt idx="6">
                  <c:v>-1.2701705922171769</c:v>
                </c:pt>
                <c:pt idx="7">
                  <c:v>-1.2701705922171769</c:v>
                </c:pt>
                <c:pt idx="8">
                  <c:v>-1.2701705922171769</c:v>
                </c:pt>
                <c:pt idx="9">
                  <c:v>-1.2701705922171769</c:v>
                </c:pt>
                <c:pt idx="10">
                  <c:v>-1.2701705922171769</c:v>
                </c:pt>
                <c:pt idx="11">
                  <c:v>-1.2701705922171769</c:v>
                </c:pt>
                <c:pt idx="12">
                  <c:v>-1.2701705922171769</c:v>
                </c:pt>
                <c:pt idx="13">
                  <c:v>-1.2701705922171769</c:v>
                </c:pt>
                <c:pt idx="14">
                  <c:v>-1.2701705922171769</c:v>
                </c:pt>
                <c:pt idx="15">
                  <c:v>-1.2701705922171769</c:v>
                </c:pt>
                <c:pt idx="16">
                  <c:v>-1.2701705922171769</c:v>
                </c:pt>
                <c:pt idx="17">
                  <c:v>-1.2701705922171769</c:v>
                </c:pt>
                <c:pt idx="18">
                  <c:v>-1.2701705922171769</c:v>
                </c:pt>
              </c:numCache>
            </c:numRef>
          </c:xVal>
          <c:yVal>
            <c:numRef>
              <c:f>Diagrama!$O$70:$AG$70</c:f>
              <c:numCache>
                <c:formatCode>General</c:formatCode>
                <c:ptCount val="19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62D3-4858-A1D5-82A125310125}"/>
            </c:ext>
          </c:extLst>
        </c:ser>
        <c:ser>
          <c:idx val="8"/>
          <c:order val="8"/>
          <c:tx>
            <c:strRef>
              <c:f>Diagrama!$M$74</c:f>
              <c:strCache>
                <c:ptCount val="1"/>
                <c:pt idx="0">
                  <c:v>SI=2</c:v>
                </c:pt>
              </c:strCache>
            </c:strRef>
          </c:tx>
          <c:spPr>
            <a:ln w="3175">
              <a:solidFill>
                <a:srgbClr val="FFCC00"/>
              </a:solidFill>
              <a:prstDash val="solid"/>
            </a:ln>
            <a:effectLst/>
          </c:spPr>
          <c:marker>
            <c:symbol val="none"/>
          </c:marker>
          <c:dLbls>
            <c:dLbl>
              <c:idx val="18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400" b="1" i="1" u="none" strike="noStrike" baseline="0">
                      <a:solidFill>
                        <a:srgbClr val="000000"/>
                      </a:solidFill>
                      <a:latin typeface="Eras Medium ITC"/>
                      <a:ea typeface="Eras Medium ITC"/>
                      <a:cs typeface="Eras Medium ITC"/>
                    </a:defRPr>
                  </a:pPr>
                  <a:endParaRPr lang="pt-BR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400" baseline="0"/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Diagrama!$O$73:$AG$73</c:f>
              <c:numCache>
                <c:formatCode>General</c:formatCode>
                <c:ptCount val="19"/>
                <c:pt idx="0">
                  <c:v>-1.4433756729740645</c:v>
                </c:pt>
                <c:pt idx="1">
                  <c:v>-1.4433756729740645</c:v>
                </c:pt>
                <c:pt idx="2">
                  <c:v>-1.4433756729740645</c:v>
                </c:pt>
                <c:pt idx="3">
                  <c:v>-1.4433756729740645</c:v>
                </c:pt>
                <c:pt idx="4">
                  <c:v>-1.4433756729740645</c:v>
                </c:pt>
                <c:pt idx="5">
                  <c:v>-1.4433756729740645</c:v>
                </c:pt>
                <c:pt idx="6">
                  <c:v>-1.4433756729740645</c:v>
                </c:pt>
                <c:pt idx="7">
                  <c:v>-1.4433756729740645</c:v>
                </c:pt>
                <c:pt idx="8">
                  <c:v>-1.4433756729740645</c:v>
                </c:pt>
                <c:pt idx="9">
                  <c:v>-1.4433756729740645</c:v>
                </c:pt>
                <c:pt idx="10">
                  <c:v>-1.4433756729740645</c:v>
                </c:pt>
                <c:pt idx="11">
                  <c:v>-1.4433756729740645</c:v>
                </c:pt>
                <c:pt idx="12">
                  <c:v>-1.4433756729740645</c:v>
                </c:pt>
                <c:pt idx="13">
                  <c:v>-1.4433756729740645</c:v>
                </c:pt>
                <c:pt idx="14">
                  <c:v>-1.4433756729740645</c:v>
                </c:pt>
                <c:pt idx="15">
                  <c:v>-1.4433756729740645</c:v>
                </c:pt>
                <c:pt idx="16">
                  <c:v>-1.4433756729740645</c:v>
                </c:pt>
                <c:pt idx="17">
                  <c:v>-1.4433756729740645</c:v>
                </c:pt>
                <c:pt idx="18">
                  <c:v>-1.4433756729740645</c:v>
                </c:pt>
              </c:numCache>
            </c:numRef>
          </c:xVal>
          <c:yVal>
            <c:numRef>
              <c:f>Diagrama!$O$74:$AG$74</c:f>
              <c:numCache>
                <c:formatCode>General</c:formatCode>
                <c:ptCount val="19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62D3-4858-A1D5-82A125310125}"/>
            </c:ext>
          </c:extLst>
        </c:ser>
        <c:ser>
          <c:idx val="9"/>
          <c:order val="9"/>
          <c:tx>
            <c:strRef>
              <c:f>Diagrama!$N$45</c:f>
              <c:strCache>
                <c:ptCount val="1"/>
              </c:strCache>
            </c:strRef>
          </c:tx>
          <c:spPr>
            <a:ln w="12700">
              <a:solidFill>
                <a:srgbClr val="FF0000"/>
              </a:solidFill>
              <a:prstDash val="solid"/>
            </a:ln>
            <a:effectLst/>
          </c:spPr>
          <c:marker>
            <c:symbol val="none"/>
          </c:marker>
          <c:dLbls>
            <c:dLbl>
              <c:idx val="0"/>
              <c:layout>
                <c:manualLayout>
                  <c:x val="3.0831576519389128E-2"/>
                  <c:y val="0.8634708733283639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 algn="l">
                    <a:defRPr sz="1400" b="0" i="0" u="none" strike="noStrike" baseline="0">
                      <a:solidFill>
                        <a:srgbClr val="000000"/>
                      </a:solidFill>
                      <a:latin typeface="Comic Sans MS"/>
                      <a:ea typeface="Comic Sans MS"/>
                      <a:cs typeface="Comic Sans MS"/>
                    </a:defRPr>
                  </a:pPr>
                  <a:endParaRPr lang="pt-BR"/>
                </a:p>
              </c:txPr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400" baseline="0"/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Diagrama!$O$35:$AI$35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-0.28867513459481292</c:v>
                </c:pt>
                <c:pt idx="6">
                  <c:v>-0.23094010767585038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Diagrama!$O$45:$AI$45</c:f>
              <c:numCache>
                <c:formatCode>General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62D3-4858-A1D5-82A125310125}"/>
            </c:ext>
          </c:extLst>
        </c:ser>
        <c:ser>
          <c:idx val="10"/>
          <c:order val="10"/>
          <c:tx>
            <c:strRef>
              <c:f>Diagrama!$N$46</c:f>
              <c:strCache>
                <c:ptCount val="1"/>
              </c:strCache>
            </c:strRef>
          </c:tx>
          <c:spPr>
            <a:ln w="12700">
              <a:solidFill>
                <a:srgbClr val="FF0000"/>
              </a:solidFill>
              <a:prstDash val="solid"/>
            </a:ln>
            <a:effectLst/>
          </c:spPr>
          <c:marker>
            <c:symbol val="none"/>
          </c:marker>
          <c:dLbls>
            <c:dLbl>
              <c:idx val="20"/>
              <c:layout>
                <c:manualLayout>
                  <c:x val="-8.2877579599674647E-3"/>
                  <c:y val="1.7409761853162835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 algn="l">
                    <a:defRPr sz="1400" b="0" i="0" u="none" strike="noStrike" baseline="0">
                      <a:solidFill>
                        <a:srgbClr val="000000"/>
                      </a:solidFill>
                      <a:latin typeface="Comic Sans MS"/>
                      <a:ea typeface="Comic Sans MS"/>
                      <a:cs typeface="Comic Sans MS"/>
                    </a:defRPr>
                  </a:pPr>
                  <a:endParaRPr lang="pt-BR"/>
                </a:p>
              </c:txPr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400" baseline="0"/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Diagrama!$O$35:$AI$35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-0.28867513459481292</c:v>
                </c:pt>
                <c:pt idx="6">
                  <c:v>-0.23094010767585038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Diagrama!$O$46:$AI$46</c:f>
              <c:numCache>
                <c:formatCode>General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62D3-4858-A1D5-82A125310125}"/>
            </c:ext>
          </c:extLst>
        </c:ser>
        <c:ser>
          <c:idx val="11"/>
          <c:order val="11"/>
          <c:tx>
            <c:strRef>
              <c:f>Diagrama!$N$47</c:f>
              <c:strCache>
                <c:ptCount val="1"/>
              </c:strCache>
            </c:strRef>
          </c:tx>
          <c:spPr>
            <a:ln w="12700">
              <a:solidFill>
                <a:srgbClr val="FF0000"/>
              </a:solidFill>
              <a:prstDash val="solid"/>
            </a:ln>
            <a:effectLst/>
          </c:spPr>
          <c:marker>
            <c:symbol val="none"/>
          </c:marker>
          <c:dLbls>
            <c:dLbl>
              <c:idx val="20"/>
              <c:layout>
                <c:manualLayout>
                  <c:x val="-0.90334177946954186"/>
                  <c:y val="-6.7288827748089211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 algn="l">
                    <a:defRPr sz="1400" b="0" i="0" u="none" strike="noStrike" baseline="0">
                      <a:solidFill>
                        <a:srgbClr val="000000"/>
                      </a:solidFill>
                      <a:latin typeface="Comic Sans MS"/>
                      <a:ea typeface="Comic Sans MS"/>
                      <a:cs typeface="Comic Sans MS"/>
                    </a:defRPr>
                  </a:pPr>
                  <a:endParaRPr lang="pt-BR"/>
                </a:p>
              </c:txPr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400" baseline="0"/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Diagrama!$O$35:$AI$35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-0.28867513459481292</c:v>
                </c:pt>
                <c:pt idx="6">
                  <c:v>-0.23094010767585038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Diagrama!$O$47:$AI$47</c:f>
              <c:numCache>
                <c:formatCode>General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62D3-4858-A1D5-82A125310125}"/>
            </c:ext>
          </c:extLst>
        </c:ser>
        <c:ser>
          <c:idx val="12"/>
          <c:order val="12"/>
          <c:tx>
            <c:strRef>
              <c:f>Diagrama!$N$52</c:f>
              <c:strCache>
                <c:ptCount val="1"/>
                <c:pt idx="0">
                  <c:v> 2-Thayna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0000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17-62D3-4858-A1D5-82A125310125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600" b="0" i="0" u="none" strike="noStrike" baseline="0">
                        <a:solidFill>
                          <a:srgbClr val="000000"/>
                        </a:solidFill>
                        <a:latin typeface="Comic Sans MS"/>
                        <a:ea typeface="Comic Sans MS"/>
                        <a:cs typeface="Comic Sans MS"/>
                      </a:defRPr>
                    </a:pPr>
                    <a:r>
                      <a:rPr lang="en-US"/>
                      <a:t>2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7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Diagrama!$Q$50</c:f>
              <c:numCache>
                <c:formatCode>0.00</c:formatCode>
                <c:ptCount val="1"/>
                <c:pt idx="0">
                  <c:v>-4.9771574930139936E-3</c:v>
                </c:pt>
              </c:numCache>
            </c:numRef>
          </c:xVal>
          <c:yVal>
            <c:numRef>
              <c:f>Diagrama!$Q$52</c:f>
              <c:numCache>
                <c:formatCode>0.00</c:formatCode>
                <c:ptCount val="1"/>
                <c:pt idx="0">
                  <c:v>0.33620689655172414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62D3-4858-A1D5-82A125310125}"/>
            </c:ext>
          </c:extLst>
        </c:ser>
        <c:ser>
          <c:idx val="13"/>
          <c:order val="13"/>
          <c:tx>
            <c:strRef>
              <c:f>Diagrama!$N$53</c:f>
              <c:strCache>
                <c:ptCount val="1"/>
                <c:pt idx="0">
                  <c:v> 3-Jaqueline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1A-62D3-4858-A1D5-82A125310125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600" b="0" i="0" u="none" strike="noStrike" baseline="0">
                        <a:solidFill>
                          <a:srgbClr val="000000"/>
                        </a:solidFill>
                        <a:latin typeface="Comic Sans MS"/>
                        <a:ea typeface="Comic Sans MS"/>
                        <a:cs typeface="Comic Sans MS"/>
                      </a:defRPr>
                    </a:pPr>
                    <a:r>
                      <a:rPr lang="en-US"/>
                      <a:t>3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A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Diagrama!$R$50</c:f>
              <c:numCache>
                <c:formatCode>0.00</c:formatCode>
                <c:ptCount val="1"/>
                <c:pt idx="0">
                  <c:v>-0.212966458807968</c:v>
                </c:pt>
              </c:numCache>
            </c:numRef>
          </c:xVal>
          <c:yVal>
            <c:numRef>
              <c:f>Diagrama!$R$53</c:f>
              <c:numCache>
                <c:formatCode>0.00</c:formatCode>
                <c:ptCount val="1"/>
                <c:pt idx="0">
                  <c:v>0.52622625460731498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62D3-4858-A1D5-82A125310125}"/>
            </c:ext>
          </c:extLst>
        </c:ser>
        <c:ser>
          <c:idx val="14"/>
          <c:order val="14"/>
          <c:tx>
            <c:strRef>
              <c:f>Diagrama!$N$54</c:f>
              <c:strCache>
                <c:ptCount val="1"/>
                <c:pt idx="0">
                  <c:v> 4-Manuel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8080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4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5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Diagrama!$S$50</c:f>
              <c:numCache>
                <c:formatCode>0.00</c:formatCode>
                <c:ptCount val="1"/>
                <c:pt idx="0">
                  <c:v>0.45271930702138552</c:v>
                </c:pt>
              </c:numCache>
            </c:numRef>
          </c:xVal>
          <c:yVal>
            <c:numRef>
              <c:f>Diagrama!$S$54</c:f>
              <c:numCache>
                <c:formatCode>0.00</c:formatCode>
                <c:ptCount val="1"/>
                <c:pt idx="0">
                  <c:v>7.1955719557195569E-2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62D3-4858-A1D5-82A125310125}"/>
            </c:ext>
          </c:extLst>
        </c:ser>
        <c:ser>
          <c:idx val="15"/>
          <c:order val="15"/>
          <c:tx>
            <c:strRef>
              <c:f>Diagrama!$N$55</c:f>
              <c:strCache>
                <c:ptCount val="1"/>
                <c:pt idx="0">
                  <c:v> 5-André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0080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5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6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Diagrama!$T$50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Diagrama!$T$55</c:f>
              <c:numCache>
                <c:formatCode>0.00</c:formatCode>
                <c:ptCount val="1"/>
                <c:pt idx="0">
                  <c:v>0.77595364558184454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D-62D3-4858-A1D5-82A125310125}"/>
            </c:ext>
          </c:extLst>
        </c:ser>
        <c:ser>
          <c:idx val="16"/>
          <c:order val="16"/>
          <c:tx>
            <c:strRef>
              <c:f>Diagrama!$N$56</c:f>
              <c:strCache>
                <c:ptCount val="1"/>
                <c:pt idx="0">
                  <c:v> 6-Luiz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33CCCC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6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7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Diagrama!$U$50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Diagrama!$U$56</c:f>
              <c:numCache>
                <c:formatCode>0.00</c:formatCode>
                <c:ptCount val="1"/>
                <c:pt idx="0">
                  <c:v>1.0404624277456647E-2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E-62D3-4858-A1D5-82A125310125}"/>
            </c:ext>
          </c:extLst>
        </c:ser>
        <c:ser>
          <c:idx val="17"/>
          <c:order val="17"/>
          <c:tx>
            <c:strRef>
              <c:f>Diagrama!$N$80</c:f>
              <c:strCache>
                <c:ptCount val="1"/>
                <c:pt idx="0">
                  <c:v>SN</c:v>
                </c:pt>
              </c:strCache>
            </c:strRef>
          </c:tx>
          <c:spPr>
            <a:ln w="3175">
              <a:solidFill>
                <a:srgbClr val="0000FF"/>
              </a:solidFill>
              <a:prstDash val="solid"/>
            </a:ln>
            <a:effectLst/>
          </c:spPr>
          <c:marker>
            <c:symbol val="none"/>
          </c:marker>
          <c:dLbls>
            <c:dLbl>
              <c:idx val="1"/>
              <c:tx>
                <c:rich>
                  <a:bodyPr/>
                  <a:lstStyle/>
                  <a:p>
                    <a:pPr>
                      <a:defRPr sz="1550" b="0" i="0" u="none" strike="noStrike" baseline="0">
                        <a:solidFill>
                          <a:srgbClr val="000000"/>
                        </a:solidFill>
                        <a:latin typeface="Comic Sans MS"/>
                        <a:ea typeface="Comic Sans MS"/>
                        <a:cs typeface="Comic Sans MS"/>
                      </a:defRPr>
                    </a:pPr>
                    <a:r>
                      <a:rPr lang="en-US" sz="1550" b="0" i="0" u="none" strike="noStrike" baseline="0">
                        <a:solidFill>
                          <a:srgbClr val="000000"/>
                        </a:solidFill>
                        <a:latin typeface="Comic Sans MS"/>
                      </a:rPr>
                      <a:t>S</a:t>
                    </a:r>
                    <a:r>
                      <a:rPr lang="en-US" sz="1000" b="1" i="0" u="none" strike="noStrike" baseline="0">
                        <a:solidFill>
                          <a:srgbClr val="800000"/>
                        </a:solidFill>
                        <a:latin typeface="Eras Medium ITC"/>
                      </a:rPr>
                      <a:t>N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1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Diagrama!$O$78:$AI$78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-0.28867513459481292</c:v>
                </c:pt>
                <c:pt idx="6">
                  <c:v>-0.23094010767585038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Diagrama!$O$80:$AI$80</c:f>
              <c:numCache>
                <c:formatCode>0.00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2-62D3-4858-A1D5-82A125310125}"/>
            </c:ext>
          </c:extLst>
        </c:ser>
        <c:ser>
          <c:idx val="18"/>
          <c:order val="18"/>
          <c:tx>
            <c:strRef>
              <c:f>Diagrama!$N$81</c:f>
              <c:strCache>
                <c:ptCount val="1"/>
                <c:pt idx="0">
                  <c:v>SF</c:v>
                </c:pt>
              </c:strCache>
            </c:strRef>
          </c:tx>
          <c:spPr>
            <a:ln w="3175">
              <a:solidFill>
                <a:srgbClr val="0000FF"/>
              </a:solidFill>
              <a:prstDash val="solid"/>
            </a:ln>
            <a:effectLst/>
          </c:spPr>
          <c:marker>
            <c:symbol val="none"/>
          </c:marker>
          <c:dLbls>
            <c:dLbl>
              <c:idx val="19"/>
              <c:layout>
                <c:manualLayout>
                  <c:x val="-4.8177854460817238E-2"/>
                  <c:y val="1.854002408740707E-2"/>
                </c:manualLayout>
              </c:layout>
              <c:tx>
                <c:rich>
                  <a:bodyPr/>
                  <a:lstStyle/>
                  <a:p>
                    <a:pPr>
                      <a:defRPr sz="1550" b="0" i="0" u="none" strike="noStrike" baseline="0">
                        <a:solidFill>
                          <a:srgbClr val="000000"/>
                        </a:solidFill>
                        <a:latin typeface="Comic Sans MS"/>
                        <a:ea typeface="Comic Sans MS"/>
                        <a:cs typeface="Comic Sans MS"/>
                      </a:defRPr>
                    </a:pPr>
                    <a:r>
                      <a:rPr lang="en-US" sz="1550" b="0" i="0" u="none" strike="noStrike" baseline="0">
                        <a:solidFill>
                          <a:srgbClr val="000000"/>
                        </a:solidFill>
                        <a:latin typeface="Comic Sans MS"/>
                      </a:rPr>
                      <a:t>S</a:t>
                    </a:r>
                    <a:r>
                      <a:rPr lang="en-US" sz="1000" b="1" i="0" u="none" strike="noStrike" baseline="0">
                        <a:solidFill>
                          <a:srgbClr val="800000"/>
                        </a:solidFill>
                        <a:latin typeface="Eras Medium ITC"/>
                      </a:rPr>
                      <a:t>F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4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Diagrama!$O$78:$AI$78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-0.28867513459481292</c:v>
                </c:pt>
                <c:pt idx="6">
                  <c:v>-0.23094010767585038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Diagrama!$O$81:$AI$81</c:f>
              <c:numCache>
                <c:formatCode>0.00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5-62D3-4858-A1D5-82A125310125}"/>
            </c:ext>
          </c:extLst>
        </c:ser>
        <c:ser>
          <c:idx val="19"/>
          <c:order val="19"/>
          <c:tx>
            <c:strRef>
              <c:f>Diagrama!$N$82</c:f>
              <c:strCache>
                <c:ptCount val="1"/>
                <c:pt idx="0">
                  <c:v>SR</c:v>
                </c:pt>
              </c:strCache>
            </c:strRef>
          </c:tx>
          <c:spPr>
            <a:ln w="3175">
              <a:solidFill>
                <a:srgbClr val="0000FF"/>
              </a:solidFill>
              <a:prstDash val="solid"/>
            </a:ln>
            <a:effectLst/>
          </c:spPr>
          <c:marker>
            <c:symbol val="none"/>
          </c:marker>
          <c:dLbls>
            <c:dLbl>
              <c:idx val="10"/>
              <c:layout>
                <c:manualLayout>
                  <c:x val="-2.7667256146187591E-2"/>
                  <c:y val="1.854002408740707E-2"/>
                </c:manualLayout>
              </c:layout>
              <c:tx>
                <c:rich>
                  <a:bodyPr/>
                  <a:lstStyle/>
                  <a:p>
                    <a:pPr>
                      <a:defRPr sz="1550" b="0" i="0" u="none" strike="noStrike" baseline="0">
                        <a:solidFill>
                          <a:srgbClr val="000000"/>
                        </a:solidFill>
                        <a:latin typeface="Comic Sans MS"/>
                        <a:ea typeface="Comic Sans MS"/>
                        <a:cs typeface="Comic Sans MS"/>
                      </a:defRPr>
                    </a:pPr>
                    <a:r>
                      <a:rPr lang="en-US" sz="1550" b="0" i="0" u="none" strike="noStrike" baseline="0">
                        <a:solidFill>
                          <a:srgbClr val="000000"/>
                        </a:solidFill>
                        <a:latin typeface="Comic Sans MS"/>
                      </a:rPr>
                      <a:t>S</a:t>
                    </a:r>
                    <a:r>
                      <a:rPr lang="en-US" sz="1000" b="1" i="0" u="none" strike="noStrike" baseline="0">
                        <a:solidFill>
                          <a:srgbClr val="800000"/>
                        </a:solidFill>
                        <a:latin typeface="Eras Medium ITC"/>
                      </a:rPr>
                      <a:t>R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8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Diagrama!$O$78:$AI$78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-0.28867513459481292</c:v>
                </c:pt>
                <c:pt idx="6">
                  <c:v>-0.23094010767585038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Diagrama!$O$82:$AI$82</c:f>
              <c:numCache>
                <c:formatCode>0.00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9-62D3-4858-A1D5-82A125310125}"/>
            </c:ext>
          </c:extLst>
        </c:ser>
        <c:ser>
          <c:idx val="20"/>
          <c:order val="20"/>
          <c:tx>
            <c:strRef>
              <c:f>Diagrama!$L$5</c:f>
              <c:strCache>
                <c:ptCount val="1"/>
                <c:pt idx="0">
                  <c:v>Simergia</c:v>
                </c:pt>
              </c:strCache>
            </c:strRef>
          </c:tx>
          <c:spPr>
            <a:ln w="19050">
              <a:noFill/>
            </a:ln>
          </c:spPr>
          <c:marker>
            <c:symbol val="x"/>
            <c:size val="7"/>
            <c:spPr>
              <a:solidFill>
                <a:srgbClr val="C0C0C0"/>
              </a:solidFill>
              <a:ln>
                <a:solidFill>
                  <a:srgbClr val="FF0000"/>
                </a:solidFill>
                <a:prstDash val="solid"/>
              </a:ln>
              <a:effectLst>
                <a:outerShdw dist="35921" dir="2700000" algn="br">
                  <a:srgbClr val="000000"/>
                </a:outerShdw>
              </a:effectLst>
            </c:spPr>
          </c:marker>
          <c:dPt>
            <c:idx val="0"/>
            <c:marker>
              <c:symbol val="x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2B-62D3-4858-A1D5-82A125310125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Simergy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B-62D3-4858-A1D5-82A125310125}"/>
                </c:ext>
              </c:extLst>
            </c:dLbl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Comic Sans MS"/>
                    <a:ea typeface="Comic Sans MS"/>
                    <a:cs typeface="Comic Sans MS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Diagrama!$L$26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Diagrama!$L$27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C-62D3-4858-A1D5-82A125310125}"/>
            </c:ext>
          </c:extLst>
        </c:ser>
        <c:ser>
          <c:idx val="22"/>
          <c:order val="21"/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(Diagrama!$AP$26,Diagrama!$AY$26)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(Diagrama!$AP$27,Diagrama!$AY$27)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D-62D3-4858-A1D5-82A125310125}"/>
            </c:ext>
          </c:extLst>
        </c:ser>
        <c:ser>
          <c:idx val="23"/>
          <c:order val="22"/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(Diagrama!$AP$29,Diagrama!$AY$29)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(Diagrama!$AP$30,Diagrama!$AY$30)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E-62D3-4858-A1D5-82A125310125}"/>
            </c:ext>
          </c:extLst>
        </c:ser>
        <c:ser>
          <c:idx val="24"/>
          <c:order val="23"/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(Diagrama!$AP$32,Diagrama!$AY$32)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(Diagrama!$AP$33,Diagrama!$AY$33)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F-62D3-4858-A1D5-82A125310125}"/>
            </c:ext>
          </c:extLst>
        </c:ser>
        <c:ser>
          <c:idx val="25"/>
          <c:order val="24"/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(Diagrama!$AP$35,Diagrama!$AY$35)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(Diagrama!$AP$36,Diagrama!$AY$36)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0-62D3-4858-A1D5-82A125310125}"/>
            </c:ext>
          </c:extLst>
        </c:ser>
        <c:ser>
          <c:idx val="26"/>
          <c:order val="25"/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(Diagrama!$AP$38,Diagrama!$AY$38)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(Diagrama!$AP$39,Diagrama!$AY$39)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1-62D3-4858-A1D5-82A125310125}"/>
            </c:ext>
          </c:extLst>
        </c:ser>
        <c:ser>
          <c:idx val="27"/>
          <c:order val="26"/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(Diagrama!$AP$41,Diagrama!$AY$41)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(Diagrama!$AP$42,Diagrama!$AY$42)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2-62D3-4858-A1D5-82A125310125}"/>
            </c:ext>
          </c:extLst>
        </c:ser>
        <c:ser>
          <c:idx val="21"/>
          <c:order val="27"/>
          <c:tx>
            <c:strRef>
              <c:f>Diagrama!$N$57</c:f>
              <c:strCache>
                <c:ptCount val="1"/>
                <c:pt idx="0">
                  <c:v> 7-0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FF00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7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8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Diagrama!$V$50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Diagrama!$V$57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3-62D3-4858-A1D5-82A125310125}"/>
            </c:ext>
          </c:extLst>
        </c:ser>
        <c:ser>
          <c:idx val="28"/>
          <c:order val="28"/>
          <c:tx>
            <c:strRef>
              <c:f>Diagrama!$N$58</c:f>
              <c:strCache>
                <c:ptCount val="1"/>
                <c:pt idx="0">
                  <c:v> 8-0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0000FF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8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9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Diagrama!$W$50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Diagrama!$W$58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4-62D3-4858-A1D5-82A125310125}"/>
            </c:ext>
          </c:extLst>
        </c:ser>
        <c:ser>
          <c:idx val="29"/>
          <c:order val="29"/>
          <c:tx>
            <c:strRef>
              <c:f>Diagrama!$N$59</c:f>
              <c:strCache>
                <c:ptCount val="1"/>
                <c:pt idx="0">
                  <c:v> 9-0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FFFF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9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A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Diagrama!$X$50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Diagrama!$X$59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5-62D3-4858-A1D5-82A125310125}"/>
            </c:ext>
          </c:extLst>
        </c:ser>
        <c:ser>
          <c:idx val="30"/>
          <c:order val="30"/>
          <c:tx>
            <c:strRef>
              <c:f>Diagrama!$N$60</c:f>
              <c:strCache>
                <c:ptCount val="1"/>
                <c:pt idx="0">
                  <c:v>10-0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00FF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10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B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Diagrama!$Y$50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Diagrama!$Y$60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6-62D3-4858-A1D5-82A125310125}"/>
            </c:ext>
          </c:extLst>
        </c:ser>
        <c:ser>
          <c:idx val="31"/>
          <c:order val="31"/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(Diagrama!$AP$44,Diagrama!$AY$44)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(Diagrama!$AP$45,Diagrama!$AY$45)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7-62D3-4858-A1D5-82A125310125}"/>
            </c:ext>
          </c:extLst>
        </c:ser>
        <c:ser>
          <c:idx val="32"/>
          <c:order val="32"/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(Diagrama!$AP$47,Diagrama!$AY$47)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(Diagrama!$AP$48,Diagrama!$AY$48)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8-62D3-4858-A1D5-82A125310125}"/>
            </c:ext>
          </c:extLst>
        </c:ser>
        <c:ser>
          <c:idx val="33"/>
          <c:order val="33"/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(Diagrama!$AP$50,Diagrama!$AY$50)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(Diagrama!$AP$51,Diagrama!$AY$51)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9-62D3-4858-A1D5-82A125310125}"/>
            </c:ext>
          </c:extLst>
        </c:ser>
        <c:ser>
          <c:idx val="34"/>
          <c:order val="34"/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(Diagrama!$AP$53,Diagrama!$AY$53)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(Diagrama!$AP$54,Diagrama!$AY$54)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A-62D3-4858-A1D5-82A125310125}"/>
            </c:ext>
          </c:extLst>
        </c:ser>
        <c:ser>
          <c:idx val="35"/>
          <c:order val="35"/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dPt>
            <c:idx val="1"/>
            <c:bubble3D val="0"/>
            <c:spPr>
              <a:ln w="25400">
                <a:solidFill>
                  <a:srgbClr val="000000"/>
                </a:solidFill>
                <a:prstDash val="lgDashDot"/>
              </a:ln>
            </c:spPr>
            <c:extLst>
              <c:ext xmlns:c16="http://schemas.microsoft.com/office/drawing/2014/chart" uri="{C3380CC4-5D6E-409C-BE32-E72D297353CC}">
                <c16:uniqueId val="{0000003C-62D3-4858-A1D5-82A125310125}"/>
              </c:ext>
            </c:extLst>
          </c:dPt>
          <c:xVal>
            <c:numRef>
              <c:f>Diagrama!$S$42:$U$42</c:f>
              <c:numCache>
                <c:formatCode>0.000</c:formatCode>
                <c:ptCount val="3"/>
                <c:pt idx="0">
                  <c:v>-0.35799999999999998</c:v>
                </c:pt>
                <c:pt idx="1">
                  <c:v>0.35799999999999998</c:v>
                </c:pt>
              </c:numCache>
            </c:numRef>
          </c:xVal>
          <c:yVal>
            <c:numRef>
              <c:f>Diagrama!$S$43:$T$43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D-62D3-4858-A1D5-82A125310125}"/>
            </c:ext>
          </c:extLst>
        </c:ser>
        <c:ser>
          <c:idx val="36"/>
          <c:order val="36"/>
          <c:spPr>
            <a:ln w="25400">
              <a:solidFill>
                <a:srgbClr val="000000"/>
              </a:solidFill>
              <a:prstDash val="lgDashDot"/>
            </a:ln>
          </c:spPr>
          <c:marker>
            <c:symbol val="none"/>
          </c:marker>
          <c:xVal>
            <c:numRef>
              <c:f>Diagrama!$Z$42:$AA$42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Diagrama!$Z$43:$AA$43</c:f>
              <c:numCache>
                <c:formatCode>0,000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E-62D3-4858-A1D5-82A125310125}"/>
            </c:ext>
          </c:extLst>
        </c:ser>
        <c:ser>
          <c:idx val="37"/>
          <c:order val="37"/>
          <c:spPr>
            <a:ln w="12700">
              <a:solidFill>
                <a:srgbClr val="FFFFFF"/>
              </a:solidFill>
              <a:prstDash val="lgDash"/>
            </a:ln>
          </c:spPr>
          <c:marker>
            <c:symbol val="none"/>
          </c:marker>
          <c:xVal>
            <c:numRef>
              <c:f>Diagrama!$T$15:$X$15</c:f>
              <c:numCache>
                <c:formatCode>0.00</c:formatCode>
                <c:ptCount val="5"/>
                <c:pt idx="0">
                  <c:v>-0.57999999999999996</c:v>
                </c:pt>
                <c:pt idx="1">
                  <c:v>0.57999999999999996</c:v>
                </c:pt>
                <c:pt idx="2">
                  <c:v>0.57999999999999996</c:v>
                </c:pt>
                <c:pt idx="3">
                  <c:v>-0.57999999999999996</c:v>
                </c:pt>
                <c:pt idx="4">
                  <c:v>-0.57999999999999996</c:v>
                </c:pt>
              </c:numCache>
            </c:numRef>
          </c:xVal>
          <c:yVal>
            <c:numRef>
              <c:f>Diagrama!$T$16:$X$16</c:f>
              <c:numCache>
                <c:formatCode>0.00</c:formatCode>
                <c:ptCount val="5"/>
                <c:pt idx="0">
                  <c:v>-0.1</c:v>
                </c:pt>
                <c:pt idx="1">
                  <c:v>-0.1</c:v>
                </c:pt>
                <c:pt idx="2">
                  <c:v>1.1000000000000001</c:v>
                </c:pt>
                <c:pt idx="3">
                  <c:v>1.1000000000000001</c:v>
                </c:pt>
                <c:pt idx="4">
                  <c:v>-0.1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F-62D3-4858-A1D5-82A125310125}"/>
            </c:ext>
          </c:extLst>
        </c:ser>
        <c:ser>
          <c:idx val="38"/>
          <c:order val="38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Diagrama!$AO$65:$BG$65</c:f>
              <c:numCache>
                <c:formatCode>General</c:formatCode>
                <c:ptCount val="19"/>
                <c:pt idx="0">
                  <c:v>-1.7320508075688774</c:v>
                </c:pt>
                <c:pt idx="1">
                  <c:v>-1.7320508075688774</c:v>
                </c:pt>
                <c:pt idx="2">
                  <c:v>-1.7320508075688774</c:v>
                </c:pt>
                <c:pt idx="3">
                  <c:v>-1.7320508075688774</c:v>
                </c:pt>
                <c:pt idx="4">
                  <c:v>-1.7320508075688774</c:v>
                </c:pt>
                <c:pt idx="5">
                  <c:v>-1.7320508075688774</c:v>
                </c:pt>
                <c:pt idx="6">
                  <c:v>-1.7320508075688774</c:v>
                </c:pt>
                <c:pt idx="7">
                  <c:v>-1.7320508075688774</c:v>
                </c:pt>
                <c:pt idx="8">
                  <c:v>-1.7320508075688774</c:v>
                </c:pt>
                <c:pt idx="9">
                  <c:v>-1.7320508075688774</c:v>
                </c:pt>
                <c:pt idx="10">
                  <c:v>-1.7320508075688774</c:v>
                </c:pt>
                <c:pt idx="11">
                  <c:v>-1.7320508075688774</c:v>
                </c:pt>
                <c:pt idx="12">
                  <c:v>-1.7320508075688774</c:v>
                </c:pt>
                <c:pt idx="13">
                  <c:v>-1.7320508075688774</c:v>
                </c:pt>
                <c:pt idx="14">
                  <c:v>-1.7320508075688774</c:v>
                </c:pt>
                <c:pt idx="15">
                  <c:v>-1.7320508075688774</c:v>
                </c:pt>
                <c:pt idx="16">
                  <c:v>-1.7320508075688774</c:v>
                </c:pt>
                <c:pt idx="17">
                  <c:v>-1.7320508075688774</c:v>
                </c:pt>
                <c:pt idx="18">
                  <c:v>-1.7320508075688774</c:v>
                </c:pt>
              </c:numCache>
            </c:numRef>
          </c:xVal>
          <c:yVal>
            <c:numRef>
              <c:f>Diagrama!$AO$66:$BG$66</c:f>
              <c:numCache>
                <c:formatCode>0.00</c:formatCode>
                <c:ptCount val="19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0-62D3-4858-A1D5-82A125310125}"/>
            </c:ext>
          </c:extLst>
        </c:ser>
        <c:ser>
          <c:idx val="39"/>
          <c:order val="39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Diagrama!$AO$69:$BG$69</c:f>
              <c:numCache>
                <c:formatCode>General</c:formatCode>
                <c:ptCount val="19"/>
                <c:pt idx="0">
                  <c:v>-1.2701705922171769</c:v>
                </c:pt>
                <c:pt idx="1">
                  <c:v>-1.2701705922171769</c:v>
                </c:pt>
                <c:pt idx="2">
                  <c:v>-1.2701705922171769</c:v>
                </c:pt>
                <c:pt idx="3">
                  <c:v>-1.2701705922171769</c:v>
                </c:pt>
                <c:pt idx="4">
                  <c:v>-1.2701705922171769</c:v>
                </c:pt>
                <c:pt idx="5">
                  <c:v>-1.2701705922171769</c:v>
                </c:pt>
                <c:pt idx="6">
                  <c:v>-1.2701705922171769</c:v>
                </c:pt>
                <c:pt idx="7">
                  <c:v>-1.2701705922171769</c:v>
                </c:pt>
                <c:pt idx="8">
                  <c:v>-1.2701705922171769</c:v>
                </c:pt>
                <c:pt idx="9">
                  <c:v>-1.2701705922171769</c:v>
                </c:pt>
                <c:pt idx="10">
                  <c:v>-1.2701705922171769</c:v>
                </c:pt>
                <c:pt idx="11">
                  <c:v>-1.2701705922171769</c:v>
                </c:pt>
                <c:pt idx="12">
                  <c:v>-1.2701705922171769</c:v>
                </c:pt>
                <c:pt idx="13">
                  <c:v>-1.2701705922171769</c:v>
                </c:pt>
                <c:pt idx="14">
                  <c:v>-1.2701705922171769</c:v>
                </c:pt>
                <c:pt idx="15">
                  <c:v>-1.2701705922171769</c:v>
                </c:pt>
                <c:pt idx="16">
                  <c:v>-1.2701705922171769</c:v>
                </c:pt>
                <c:pt idx="17">
                  <c:v>-1.2701705922171769</c:v>
                </c:pt>
                <c:pt idx="18">
                  <c:v>-1.2701705922171769</c:v>
                </c:pt>
              </c:numCache>
            </c:numRef>
          </c:xVal>
          <c:yVal>
            <c:numRef>
              <c:f>Diagrama!$AO$70:$BG$70</c:f>
              <c:numCache>
                <c:formatCode>0.00</c:formatCode>
                <c:ptCount val="19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1-62D3-4858-A1D5-82A125310125}"/>
            </c:ext>
          </c:extLst>
        </c:ser>
        <c:ser>
          <c:idx val="40"/>
          <c:order val="40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Diagrama!$AP$76:$AQ$76</c:f>
              <c:numCache>
                <c:formatCode>0.000</c:formatCode>
                <c:ptCount val="2"/>
                <c:pt idx="0">
                  <c:v>-0.52500000000000002</c:v>
                </c:pt>
                <c:pt idx="1">
                  <c:v>0.52500000000000002</c:v>
                </c:pt>
              </c:numCache>
            </c:numRef>
          </c:xVal>
          <c:yVal>
            <c:numRef>
              <c:f>Diagrama!$AP$79:$AQ$79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2-62D3-4858-A1D5-82A125310125}"/>
            </c:ext>
          </c:extLst>
        </c:ser>
        <c:ser>
          <c:idx val="41"/>
          <c:order val="41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Diagrama!$AR$76:$AS$76</c:f>
              <c:numCache>
                <c:formatCode>0.00</c:formatCode>
                <c:ptCount val="2"/>
                <c:pt idx="0">
                  <c:v>-0.38700000000000001</c:v>
                </c:pt>
                <c:pt idx="1">
                  <c:v>0.38700000000000001</c:v>
                </c:pt>
              </c:numCache>
            </c:numRef>
          </c:xVal>
          <c:yVal>
            <c:numRef>
              <c:f>Diagrama!$AR$80:$AS$80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3-62D3-4858-A1D5-82A125310125}"/>
            </c:ext>
          </c:extLst>
        </c:ser>
        <c:ser>
          <c:idx val="42"/>
          <c:order val="42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Diagrama!$AT$76:$AU$76</c:f>
              <c:numCache>
                <c:formatCode>0.00</c:formatCode>
                <c:ptCount val="2"/>
                <c:pt idx="0">
                  <c:v>0</c:v>
                </c:pt>
                <c:pt idx="1">
                  <c:v>0.28999999999999998</c:v>
                </c:pt>
              </c:numCache>
            </c:numRef>
          </c:xVal>
          <c:yVal>
            <c:numRef>
              <c:f>Diagrama!$AT$77:$AU$77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4-62D3-4858-A1D5-82A125310125}"/>
            </c:ext>
          </c:extLst>
        </c:ser>
        <c:ser>
          <c:idx val="43"/>
          <c:order val="43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Diagrama!$AV$76:$AW$76</c:f>
              <c:numCache>
                <c:formatCode>0.00</c:formatCode>
                <c:ptCount val="2"/>
                <c:pt idx="0">
                  <c:v>-0.34639999999999999</c:v>
                </c:pt>
                <c:pt idx="1">
                  <c:v>0.11700000000000001</c:v>
                </c:pt>
              </c:numCache>
            </c:numRef>
          </c:xVal>
          <c:yVal>
            <c:numRef>
              <c:f>Diagrama!$AV$78:$AW$78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5-62D3-4858-A1D5-82A1253101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42111791"/>
        <c:axId val="1"/>
      </c:scatterChart>
      <c:valAx>
        <c:axId val="2042111791"/>
        <c:scaling>
          <c:orientation val="minMax"/>
          <c:max val="0.57999999999999996"/>
          <c:min val="-0.57999999999999996"/>
        </c:scaling>
        <c:delete val="0"/>
        <c:axPos val="b"/>
        <c:numFmt formatCode="0.00" sourceLinked="1"/>
        <c:majorTickMark val="none"/>
        <c:minorTickMark val="none"/>
        <c:tickLblPos val="none"/>
        <c:spPr>
          <a:ln w="6350">
            <a:noFill/>
          </a:ln>
        </c:spPr>
        <c:crossAx val="1"/>
        <c:crosses val="autoZero"/>
        <c:crossBetween val="midCat"/>
        <c:majorUnit val="0.1"/>
      </c:valAx>
      <c:valAx>
        <c:axId val="1"/>
        <c:scaling>
          <c:orientation val="minMax"/>
          <c:max val="1.1000000000000001"/>
          <c:min val="-0.1"/>
        </c:scaling>
        <c:delete val="0"/>
        <c:axPos val="l"/>
        <c:numFmt formatCode="0.00" sourceLinked="1"/>
        <c:majorTickMark val="out"/>
        <c:minorTickMark val="none"/>
        <c:tickLblPos val="none"/>
        <c:spPr>
          <a:ln w="6350">
            <a:noFill/>
          </a:ln>
        </c:spPr>
        <c:crossAx val="2042111791"/>
        <c:crosses val="autoZero"/>
        <c:crossBetween val="midCat"/>
        <c:majorUnit val="0.1"/>
      </c:valAx>
      <c:spPr>
        <a:solidFill>
          <a:srgbClr val="FFFFFF"/>
        </a:solidFill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8100">
      <a:solidFill>
        <a:srgbClr val="C0C0C0"/>
      </a:solidFill>
      <a:prstDash val="solid"/>
    </a:ln>
    <a:effectLst>
      <a:outerShdw dist="35921" dir="2700000" algn="br">
        <a:srgbClr val="000000"/>
      </a:outerShdw>
    </a:effectLst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Comic Sans MS"/>
          <a:ea typeface="Comic Sans MS"/>
          <a:cs typeface="Comic Sans MS"/>
        </a:defRPr>
      </a:pPr>
      <a:endParaRPr lang="pt-BR"/>
    </a:p>
  </c:txPr>
  <c:printSettings>
    <c:headerFooter alignWithMargins="0">
      <c:oddHeader>Preparado por Flavio Barrella &amp;D&amp;RPágina &amp;P</c:oddHeader>
      <c:oddFooter>&amp;L&amp;8Arquivo:&amp;F&amp;C&amp;8Diagrama&amp;R&amp;8Emissão: &amp;D - &amp;T hs
(c)  LaProMA</c:oddFooter>
    </c:headerFooter>
    <c:pageMargins b="0.86614173228346458" l="0.98425196850393704" r="1.0236220472440944" t="0.9055118110236221" header="0.51181102362204722" footer="0.35433070866141736"/>
    <c:pageSetup orientation="landscape"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257176</xdr:colOff>
      <xdr:row>3</xdr:row>
      <xdr:rowOff>133349</xdr:rowOff>
    </xdr:from>
    <xdr:to>
      <xdr:col>12</xdr:col>
      <xdr:colOff>419100</xdr:colOff>
      <xdr:row>35</xdr:row>
      <xdr:rowOff>47624</xdr:rowOff>
    </xdr:to>
    <xdr:graphicFrame macro="">
      <xdr:nvGraphicFramePr>
        <xdr:cNvPr id="1371" name="Gráfico 16">
          <a:extLst>
            <a:ext uri="{FF2B5EF4-FFF2-40B4-BE49-F238E27FC236}">
              <a16:creationId xmlns:a16="http://schemas.microsoft.com/office/drawing/2014/main" id="{00000000-0008-0000-0000-00005B05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393700</xdr:colOff>
      <xdr:row>0</xdr:row>
      <xdr:rowOff>176306</xdr:rowOff>
    </xdr:from>
    <xdr:to>
      <xdr:col>2</xdr:col>
      <xdr:colOff>368300</xdr:colOff>
      <xdr:row>2</xdr:row>
      <xdr:rowOff>89641</xdr:rowOff>
    </xdr:to>
    <xdr:sp macro="[0]!Sheet1.EntradadeDados_Click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393700" y="176306"/>
          <a:ext cx="1333500" cy="421335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Data Input</a:t>
          </a:r>
        </a:p>
      </xdr:txBody>
    </xdr:sp>
    <xdr:clientData/>
  </xdr:twoCellAnchor>
  <xdr:twoCellAnchor>
    <xdr:from>
      <xdr:col>2</xdr:col>
      <xdr:colOff>448236</xdr:colOff>
      <xdr:row>0</xdr:row>
      <xdr:rowOff>168096</xdr:rowOff>
    </xdr:from>
    <xdr:to>
      <xdr:col>4</xdr:col>
      <xdr:colOff>410136</xdr:colOff>
      <xdr:row>2</xdr:row>
      <xdr:rowOff>102349</xdr:rowOff>
    </xdr:to>
    <xdr:sp macro="[0]!Sheet1.Pontos_Click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1818670" y="168096"/>
          <a:ext cx="1342053" cy="439661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Points</a:t>
          </a:r>
        </a:p>
      </xdr:txBody>
    </xdr:sp>
    <xdr:clientData/>
  </xdr:twoCellAnchor>
  <xdr:twoCellAnchor>
    <xdr:from>
      <xdr:col>4</xdr:col>
      <xdr:colOff>480359</xdr:colOff>
      <xdr:row>0</xdr:row>
      <xdr:rowOff>164353</xdr:rowOff>
    </xdr:from>
    <xdr:to>
      <xdr:col>6</xdr:col>
      <xdr:colOff>442259</xdr:colOff>
      <xdr:row>2</xdr:row>
      <xdr:rowOff>90388</xdr:rowOff>
    </xdr:to>
    <xdr:sp macro="[0]!Sheet1.Linhas_Click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3210859" y="164353"/>
          <a:ext cx="1333500" cy="434035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Lines</a:t>
          </a:r>
        </a:p>
      </xdr:txBody>
    </xdr:sp>
    <xdr:clientData/>
  </xdr:twoCellAnchor>
  <xdr:twoCellAnchor>
    <xdr:from>
      <xdr:col>6</xdr:col>
      <xdr:colOff>510996</xdr:colOff>
      <xdr:row>0</xdr:row>
      <xdr:rowOff>160617</xdr:rowOff>
    </xdr:from>
    <xdr:to>
      <xdr:col>8</xdr:col>
      <xdr:colOff>472896</xdr:colOff>
      <xdr:row>2</xdr:row>
      <xdr:rowOff>94870</xdr:rowOff>
    </xdr:to>
    <xdr:sp macro="[0]!AutoForma36_Clique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4641736" y="160617"/>
          <a:ext cx="1342053" cy="439661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Information</a:t>
          </a:r>
        </a:p>
      </xdr:txBody>
    </xdr:sp>
    <xdr:clientData/>
  </xdr:twoCellAnchor>
  <xdr:twoCellAnchor>
    <xdr:from>
      <xdr:col>8</xdr:col>
      <xdr:colOff>543112</xdr:colOff>
      <xdr:row>0</xdr:row>
      <xdr:rowOff>156882</xdr:rowOff>
    </xdr:from>
    <xdr:to>
      <xdr:col>10</xdr:col>
      <xdr:colOff>289112</xdr:colOff>
      <xdr:row>2</xdr:row>
      <xdr:rowOff>82917</xdr:rowOff>
    </xdr:to>
    <xdr:sp macro="[0]!Sheet1.Aparencia_Click" textlink="">
      <xdr:nvSpPr>
        <xdr:cNvPr id="6" name="Retângulo: Cantos Arredondados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6054005" y="156882"/>
          <a:ext cx="1339979" cy="431443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Appearance</a:t>
          </a:r>
        </a:p>
      </xdr:txBody>
    </xdr:sp>
    <xdr:clientData/>
  </xdr:twoCellAnchor>
  <xdr:twoCellAnchor>
    <xdr:from>
      <xdr:col>10</xdr:col>
      <xdr:colOff>353366</xdr:colOff>
      <xdr:row>0</xdr:row>
      <xdr:rowOff>155367</xdr:rowOff>
    </xdr:from>
    <xdr:to>
      <xdr:col>12</xdr:col>
      <xdr:colOff>150166</xdr:colOff>
      <xdr:row>2</xdr:row>
      <xdr:rowOff>81402</xdr:rowOff>
    </xdr:to>
    <xdr:sp macro="[0]!Sheet1.ImpressaoExportacao_Click" textlink="">
      <xdr:nvSpPr>
        <xdr:cNvPr id="7" name="Retângulo: Cantos Arredondados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7458238" y="155367"/>
          <a:ext cx="1332464" cy="431443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Print and Export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28</xdr:row>
          <xdr:rowOff>0</xdr:rowOff>
        </xdr:from>
        <xdr:to>
          <xdr:col>2</xdr:col>
          <xdr:colOff>323850</xdr:colOff>
          <xdr:row>29</xdr:row>
          <xdr:rowOff>57150</xdr:rowOff>
        </xdr:to>
        <xdr:sp macro="" textlink="">
          <xdr:nvSpPr>
            <xdr:cNvPr id="4102" name="SpinButton7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3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152400</xdr:colOff>
          <xdr:row>28</xdr:row>
          <xdr:rowOff>0</xdr:rowOff>
        </xdr:from>
        <xdr:to>
          <xdr:col>1</xdr:col>
          <xdr:colOff>333375</xdr:colOff>
          <xdr:row>29</xdr:row>
          <xdr:rowOff>47625</xdr:rowOff>
        </xdr:to>
        <xdr:sp macro="" textlink="">
          <xdr:nvSpPr>
            <xdr:cNvPr id="4103" name="TextBox5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3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indexed="21"/>
  </sheetPr>
  <dimension ref="A1:AT75"/>
  <sheetViews>
    <sheetView windowProtection="1" showGridLines="0" showRowColHeaders="0" showZeros="0" tabSelected="1" zoomScale="75" zoomScaleNormal="75" workbookViewId="0">
      <selection activeCell="N6" sqref="N6"/>
    </sheetView>
  </sheetViews>
  <sheetFormatPr defaultRowHeight="12.75" x14ac:dyDescent="0.2"/>
  <cols>
    <col min="1" max="1" width="8.875" style="220" customWidth="1"/>
    <col min="2" max="9" width="9" style="220"/>
    <col min="10" max="10" width="11.875" style="220" customWidth="1"/>
    <col min="11" max="11" width="9" style="220"/>
    <col min="12" max="12" width="11.125" style="220" bestFit="1" customWidth="1"/>
    <col min="13" max="14" width="12.5" style="220" customWidth="1"/>
    <col min="15" max="15" width="9" style="220"/>
    <col min="16" max="16" width="15.375" style="220" customWidth="1"/>
    <col min="17" max="17" width="7" style="220" customWidth="1"/>
    <col min="18" max="18" width="15.25" style="220" bestFit="1" customWidth="1"/>
    <col min="19" max="19" width="3.625" style="232" customWidth="1"/>
    <col min="20" max="22" width="13.25" style="232" customWidth="1"/>
    <col min="23" max="23" width="9.5" style="220" customWidth="1"/>
    <col min="24" max="25" width="10.25" style="220" customWidth="1"/>
    <col min="26" max="26" width="10.75" style="220" customWidth="1"/>
    <col min="27" max="27" width="11.25" style="220" customWidth="1"/>
    <col min="28" max="28" width="10.75" style="220" customWidth="1"/>
    <col min="29" max="29" width="9.75" style="220" customWidth="1"/>
    <col min="30" max="30" width="10.25" style="220" customWidth="1"/>
    <col min="31" max="31" width="11.375" style="220" customWidth="1"/>
    <col min="32" max="32" width="11.25" style="220" customWidth="1"/>
    <col min="33" max="33" width="7.375" style="220" customWidth="1"/>
    <col min="34" max="34" width="6.125" style="220" customWidth="1"/>
    <col min="35" max="45" width="2.75" style="220" customWidth="1"/>
    <col min="46" max="16384" width="9" style="220"/>
  </cols>
  <sheetData>
    <row r="1" spans="1:46" ht="27" customHeight="1" x14ac:dyDescent="0.2">
      <c r="A1" s="233"/>
      <c r="B1" s="233"/>
      <c r="C1" s="233"/>
      <c r="D1" s="233"/>
      <c r="E1" s="233"/>
      <c r="F1" s="233"/>
      <c r="G1" s="233"/>
      <c r="H1" s="233"/>
      <c r="I1" s="233"/>
      <c r="J1" s="233"/>
      <c r="K1" s="233"/>
      <c r="L1" s="233"/>
      <c r="M1" s="233"/>
      <c r="N1" s="233"/>
      <c r="O1" s="234"/>
      <c r="P1" s="221" t="s">
        <v>70</v>
      </c>
      <c r="Q1" s="221" t="s">
        <v>0</v>
      </c>
      <c r="R1" s="221" t="s">
        <v>21</v>
      </c>
      <c r="S1" s="222">
        <v>1</v>
      </c>
      <c r="T1" s="222" t="s">
        <v>112</v>
      </c>
      <c r="U1" s="222" t="s">
        <v>112</v>
      </c>
      <c r="V1" s="222" t="s">
        <v>112</v>
      </c>
      <c r="W1" s="221">
        <v>6</v>
      </c>
      <c r="X1" s="223" t="b">
        <v>0</v>
      </c>
      <c r="Y1" s="223" t="b">
        <v>1</v>
      </c>
      <c r="Z1" s="221"/>
      <c r="AA1" s="221">
        <f>X1+Y1</f>
        <v>1</v>
      </c>
      <c r="AB1" s="221"/>
      <c r="AC1" s="221"/>
      <c r="AD1" s="221" t="s">
        <v>119</v>
      </c>
      <c r="AE1" s="221"/>
      <c r="AF1" s="221"/>
      <c r="AG1" s="221"/>
      <c r="AH1" s="221"/>
      <c r="AI1" s="221"/>
      <c r="AJ1" s="221"/>
      <c r="AK1" s="221"/>
      <c r="AL1" s="221"/>
      <c r="AM1" s="221"/>
      <c r="AN1" s="221"/>
      <c r="AO1" s="221"/>
      <c r="AP1" s="221"/>
      <c r="AQ1" s="221"/>
      <c r="AR1" s="221"/>
      <c r="AS1" s="221"/>
      <c r="AT1" s="221" t="s">
        <v>5</v>
      </c>
    </row>
    <row r="2" spans="1:46" x14ac:dyDescent="0.2">
      <c r="A2" s="233"/>
      <c r="B2" s="233"/>
      <c r="C2" s="233"/>
      <c r="D2" s="233"/>
      <c r="E2" s="233"/>
      <c r="F2" s="233"/>
      <c r="G2" s="233"/>
      <c r="H2" s="233"/>
      <c r="I2" s="233"/>
      <c r="J2" s="233"/>
      <c r="K2" s="233"/>
      <c r="L2" s="233"/>
      <c r="M2" s="233"/>
      <c r="N2" s="233"/>
      <c r="O2" s="234"/>
      <c r="P2" s="221"/>
      <c r="Q2" s="221"/>
      <c r="R2" s="221"/>
      <c r="S2" s="222">
        <v>2</v>
      </c>
      <c r="T2" s="222" t="s">
        <v>113</v>
      </c>
      <c r="U2" s="222" t="s">
        <v>113</v>
      </c>
      <c r="V2" s="222" t="s">
        <v>113</v>
      </c>
      <c r="W2" s="221"/>
      <c r="X2" s="221"/>
      <c r="Y2" s="221"/>
      <c r="Z2" s="221"/>
      <c r="AA2" s="221"/>
      <c r="AB2" s="221"/>
      <c r="AC2" s="221"/>
      <c r="AD2" s="221"/>
      <c r="AE2" s="221"/>
      <c r="AF2" s="221"/>
      <c r="AG2" s="221"/>
      <c r="AH2" s="221"/>
      <c r="AI2" s="221"/>
      <c r="AJ2" s="221"/>
      <c r="AK2" s="221"/>
      <c r="AL2" s="221"/>
      <c r="AM2" s="221"/>
      <c r="AN2" s="221"/>
      <c r="AO2" s="221"/>
      <c r="AP2" s="221"/>
      <c r="AQ2" s="221"/>
      <c r="AR2" s="221"/>
      <c r="AS2" s="221"/>
      <c r="AT2" s="221" t="s">
        <v>7</v>
      </c>
    </row>
    <row r="3" spans="1:46" x14ac:dyDescent="0.2">
      <c r="A3" s="233"/>
      <c r="B3" s="233"/>
      <c r="C3" s="233"/>
      <c r="D3" s="233"/>
      <c r="E3" s="233"/>
      <c r="F3" s="233"/>
      <c r="G3" s="233"/>
      <c r="H3" s="233"/>
      <c r="I3" s="233"/>
      <c r="J3" s="233"/>
      <c r="K3" s="233"/>
      <c r="L3" s="233"/>
      <c r="M3" s="233"/>
      <c r="N3" s="233"/>
      <c r="O3" s="234"/>
      <c r="P3" s="221"/>
      <c r="Q3" s="221"/>
      <c r="R3" s="221" t="s">
        <v>86</v>
      </c>
      <c r="S3" s="222">
        <v>3</v>
      </c>
      <c r="T3" s="222" t="s">
        <v>126</v>
      </c>
      <c r="U3" s="222" t="s">
        <v>126</v>
      </c>
      <c r="V3" s="222" t="s">
        <v>126</v>
      </c>
      <c r="W3" s="221"/>
      <c r="X3" s="221"/>
      <c r="Y3" s="221"/>
      <c r="Z3" s="221"/>
      <c r="AA3" s="221"/>
      <c r="AB3" s="221"/>
      <c r="AC3" s="221"/>
      <c r="AD3" s="221"/>
      <c r="AE3" s="221"/>
      <c r="AF3" s="221"/>
      <c r="AG3" s="221"/>
      <c r="AH3" s="221"/>
      <c r="AI3" s="221"/>
      <c r="AJ3" s="221"/>
      <c r="AK3" s="221"/>
      <c r="AL3" s="221"/>
      <c r="AM3" s="221"/>
      <c r="AN3" s="221"/>
      <c r="AO3" s="221"/>
      <c r="AP3" s="221"/>
      <c r="AQ3" s="221"/>
      <c r="AR3" s="221"/>
      <c r="AS3" s="221"/>
      <c r="AT3" s="221" t="s">
        <v>6</v>
      </c>
    </row>
    <row r="4" spans="1:46" x14ac:dyDescent="0.2">
      <c r="A4" s="233"/>
      <c r="B4" s="233"/>
      <c r="C4" s="233"/>
      <c r="D4" s="233"/>
      <c r="E4" s="233"/>
      <c r="F4" s="233"/>
      <c r="G4" s="233"/>
      <c r="H4" s="233"/>
      <c r="I4" s="233"/>
      <c r="J4" s="233"/>
      <c r="K4" s="233"/>
      <c r="L4" s="233"/>
      <c r="M4" s="233"/>
      <c r="N4" s="233"/>
      <c r="O4" s="234"/>
      <c r="P4" s="221"/>
      <c r="Q4" s="221"/>
      <c r="R4" s="221"/>
      <c r="S4" s="222">
        <v>4</v>
      </c>
      <c r="T4" s="222" t="s">
        <v>127</v>
      </c>
      <c r="U4" s="222" t="s">
        <v>127</v>
      </c>
      <c r="V4" s="222" t="s">
        <v>127</v>
      </c>
      <c r="W4" s="221"/>
      <c r="X4" s="221" t="s">
        <v>98</v>
      </c>
      <c r="Y4" s="221"/>
      <c r="Z4" s="221"/>
      <c r="AA4" s="221"/>
      <c r="AB4" s="221"/>
      <c r="AC4" s="221"/>
      <c r="AD4" s="221"/>
      <c r="AE4" s="221"/>
      <c r="AF4" s="221"/>
      <c r="AG4" s="221"/>
      <c r="AH4" s="221"/>
      <c r="AI4" s="221"/>
      <c r="AJ4" s="221"/>
      <c r="AK4" s="221"/>
      <c r="AL4" s="221"/>
      <c r="AM4" s="221"/>
      <c r="AN4" s="221"/>
      <c r="AO4" s="221"/>
      <c r="AP4" s="221"/>
      <c r="AQ4" s="221"/>
      <c r="AR4" s="221"/>
      <c r="AS4" s="221"/>
      <c r="AT4" s="221" t="s">
        <v>92</v>
      </c>
    </row>
    <row r="5" spans="1:46" x14ac:dyDescent="0.2">
      <c r="A5" s="233"/>
      <c r="B5" s="233"/>
      <c r="C5" s="233"/>
      <c r="D5" s="233"/>
      <c r="E5" s="233"/>
      <c r="F5" s="233"/>
      <c r="G5" s="233"/>
      <c r="H5" s="233"/>
      <c r="I5" s="233"/>
      <c r="J5" s="233"/>
      <c r="K5" s="233"/>
      <c r="L5" s="233"/>
      <c r="M5" s="233"/>
      <c r="N5" s="233"/>
      <c r="O5" s="234"/>
      <c r="P5" s="221"/>
      <c r="Q5" s="221"/>
      <c r="R5" s="221"/>
      <c r="S5" s="222">
        <v>5</v>
      </c>
      <c r="T5" s="222" t="s">
        <v>128</v>
      </c>
      <c r="U5" s="222" t="s">
        <v>128</v>
      </c>
      <c r="V5" s="222" t="s">
        <v>128</v>
      </c>
      <c r="W5" s="221"/>
      <c r="X5" s="221" t="s">
        <v>106</v>
      </c>
      <c r="Y5" s="221" t="s">
        <v>109</v>
      </c>
      <c r="Z5" s="221" t="s">
        <v>108</v>
      </c>
      <c r="AA5" s="221"/>
      <c r="AB5" s="221"/>
      <c r="AC5" s="221"/>
      <c r="AD5" s="221"/>
      <c r="AE5" s="221"/>
      <c r="AF5" s="221"/>
      <c r="AG5" s="221"/>
      <c r="AH5" s="221"/>
      <c r="AI5" s="221"/>
      <c r="AJ5" s="221"/>
      <c r="AK5" s="221"/>
      <c r="AL5" s="221"/>
      <c r="AM5" s="221"/>
      <c r="AN5" s="221"/>
      <c r="AO5" s="221"/>
      <c r="AP5" s="221"/>
      <c r="AQ5" s="221"/>
      <c r="AR5" s="221"/>
      <c r="AS5" s="221"/>
      <c r="AT5" s="221"/>
    </row>
    <row r="6" spans="1:46" x14ac:dyDescent="0.2">
      <c r="A6" s="233"/>
      <c r="B6" s="233"/>
      <c r="C6" s="233"/>
      <c r="D6" s="233"/>
      <c r="E6" s="233"/>
      <c r="F6" s="233"/>
      <c r="G6" s="233"/>
      <c r="H6" s="233"/>
      <c r="I6" s="233"/>
      <c r="J6" s="233"/>
      <c r="K6" s="233"/>
      <c r="L6" s="233"/>
      <c r="M6" s="233"/>
      <c r="N6" s="233"/>
      <c r="O6" s="234"/>
      <c r="P6" s="221"/>
      <c r="Q6" s="221"/>
      <c r="R6" s="221"/>
      <c r="S6" s="222">
        <v>6</v>
      </c>
      <c r="T6" s="222" t="s">
        <v>129</v>
      </c>
      <c r="U6" s="222" t="s">
        <v>129</v>
      </c>
      <c r="V6" s="222" t="s">
        <v>129</v>
      </c>
      <c r="W6" s="221"/>
      <c r="X6" s="221" t="b">
        <v>0</v>
      </c>
      <c r="Y6" s="221" t="b">
        <v>0</v>
      </c>
      <c r="Z6" s="221" t="b">
        <v>0</v>
      </c>
      <c r="AA6" s="221"/>
      <c r="AB6" s="221"/>
      <c r="AC6" s="221"/>
      <c r="AD6" s="221"/>
      <c r="AE6" s="221"/>
      <c r="AF6" s="221"/>
      <c r="AG6" s="221"/>
      <c r="AH6" s="221"/>
      <c r="AI6" s="221"/>
      <c r="AJ6" s="221"/>
      <c r="AK6" s="221"/>
      <c r="AL6" s="221"/>
      <c r="AM6" s="221"/>
      <c r="AN6" s="221"/>
      <c r="AO6" s="221"/>
      <c r="AP6" s="221"/>
      <c r="AQ6" s="221"/>
      <c r="AR6" s="221"/>
      <c r="AS6" s="221"/>
      <c r="AT6" s="221"/>
    </row>
    <row r="7" spans="1:46" x14ac:dyDescent="0.2">
      <c r="A7" s="233"/>
      <c r="B7" s="233"/>
      <c r="C7" s="233"/>
      <c r="D7" s="233"/>
      <c r="E7" s="233"/>
      <c r="F7" s="233"/>
      <c r="G7" s="233"/>
      <c r="H7" s="233"/>
      <c r="I7" s="233"/>
      <c r="J7" s="233"/>
      <c r="K7" s="233"/>
      <c r="L7" s="233"/>
      <c r="M7" s="233"/>
      <c r="N7" s="233"/>
      <c r="O7" s="234"/>
      <c r="P7" s="221"/>
      <c r="Q7" s="221"/>
      <c r="R7" s="221"/>
      <c r="S7" s="222">
        <v>7</v>
      </c>
      <c r="T7" s="222">
        <v>0</v>
      </c>
      <c r="U7" s="222">
        <v>0</v>
      </c>
      <c r="V7" s="222">
        <v>0</v>
      </c>
      <c r="W7" s="221"/>
      <c r="X7" s="221"/>
      <c r="Y7" s="221"/>
      <c r="Z7" s="221"/>
      <c r="AA7" s="221"/>
      <c r="AB7" s="221"/>
      <c r="AC7" s="221"/>
      <c r="AD7" s="221"/>
      <c r="AE7" s="221"/>
      <c r="AF7" s="221"/>
      <c r="AG7" s="221"/>
      <c r="AH7" s="221"/>
      <c r="AI7" s="221"/>
      <c r="AJ7" s="221"/>
      <c r="AK7" s="221"/>
      <c r="AL7" s="221"/>
      <c r="AM7" s="221"/>
      <c r="AN7" s="221"/>
      <c r="AO7" s="221"/>
      <c r="AP7" s="221"/>
      <c r="AQ7" s="221"/>
      <c r="AR7" s="221"/>
      <c r="AS7" s="221"/>
      <c r="AT7" s="221"/>
    </row>
    <row r="8" spans="1:46" x14ac:dyDescent="0.2">
      <c r="A8" s="233"/>
      <c r="B8" s="233"/>
      <c r="C8" s="233"/>
      <c r="D8" s="233"/>
      <c r="E8" s="233"/>
      <c r="F8" s="233"/>
      <c r="G8" s="233"/>
      <c r="H8" s="233"/>
      <c r="I8" s="233"/>
      <c r="J8" s="233"/>
      <c r="K8" s="233"/>
      <c r="L8" s="233"/>
      <c r="M8" s="233"/>
      <c r="N8" s="233"/>
      <c r="O8" s="234"/>
      <c r="P8" s="221"/>
      <c r="Q8" s="221"/>
      <c r="R8" s="221"/>
      <c r="S8" s="222">
        <v>8</v>
      </c>
      <c r="T8" s="222">
        <v>0</v>
      </c>
      <c r="U8" s="222">
        <v>0</v>
      </c>
      <c r="V8" s="222">
        <v>0</v>
      </c>
      <c r="W8" s="221"/>
      <c r="X8" s="221"/>
      <c r="Y8" s="221"/>
      <c r="Z8" s="221"/>
      <c r="AA8" s="221"/>
      <c r="AB8" s="221"/>
      <c r="AC8" s="221"/>
      <c r="AD8" s="221"/>
      <c r="AE8" s="221"/>
      <c r="AF8" s="221"/>
      <c r="AG8" s="221"/>
      <c r="AH8" s="221"/>
      <c r="AI8" s="221"/>
      <c r="AJ8" s="221"/>
      <c r="AK8" s="221"/>
      <c r="AL8" s="221"/>
      <c r="AM8" s="221"/>
      <c r="AN8" s="221"/>
      <c r="AO8" s="221"/>
      <c r="AP8" s="221"/>
      <c r="AQ8" s="221"/>
      <c r="AR8" s="221"/>
      <c r="AS8" s="221"/>
      <c r="AT8" s="221"/>
    </row>
    <row r="9" spans="1:46" x14ac:dyDescent="0.2">
      <c r="A9" s="233"/>
      <c r="B9" s="233"/>
      <c r="C9" s="233"/>
      <c r="D9" s="233"/>
      <c r="E9" s="233"/>
      <c r="F9" s="233"/>
      <c r="G9" s="233"/>
      <c r="H9" s="233"/>
      <c r="I9" s="233"/>
      <c r="J9" s="233"/>
      <c r="K9" s="233"/>
      <c r="L9" s="233"/>
      <c r="M9" s="233"/>
      <c r="N9" s="233"/>
      <c r="O9" s="234"/>
      <c r="P9" s="221"/>
      <c r="Q9" s="221"/>
      <c r="R9" s="221"/>
      <c r="S9" s="222">
        <v>9</v>
      </c>
      <c r="T9" s="222">
        <v>0</v>
      </c>
      <c r="U9" s="222">
        <v>0</v>
      </c>
      <c r="V9" s="222">
        <v>0</v>
      </c>
      <c r="W9" s="221"/>
      <c r="X9" s="221"/>
      <c r="Y9" s="221"/>
      <c r="Z9" s="221"/>
      <c r="AA9" s="221"/>
      <c r="AB9" s="221"/>
      <c r="AC9" s="221"/>
      <c r="AD9" s="221"/>
      <c r="AE9" s="221"/>
      <c r="AF9" s="221"/>
      <c r="AG9" s="221"/>
      <c r="AH9" s="221"/>
      <c r="AI9" s="221"/>
      <c r="AJ9" s="221"/>
      <c r="AK9" s="221"/>
      <c r="AL9" s="221"/>
      <c r="AM9" s="221"/>
      <c r="AN9" s="221"/>
      <c r="AO9" s="221"/>
      <c r="AP9" s="221"/>
      <c r="AQ9" s="221"/>
      <c r="AR9" s="221"/>
      <c r="AS9" s="221"/>
      <c r="AT9" s="221"/>
    </row>
    <row r="10" spans="1:46" x14ac:dyDescent="0.2">
      <c r="A10" s="233"/>
      <c r="B10" s="233"/>
      <c r="C10" s="233"/>
      <c r="D10" s="233"/>
      <c r="E10" s="233"/>
      <c r="F10" s="233"/>
      <c r="G10" s="233"/>
      <c r="H10" s="233"/>
      <c r="I10" s="233"/>
      <c r="J10" s="233"/>
      <c r="K10" s="233"/>
      <c r="L10" s="233"/>
      <c r="M10" s="233"/>
      <c r="N10" s="233"/>
      <c r="O10" s="234"/>
      <c r="P10" s="221"/>
      <c r="Q10" s="221"/>
      <c r="R10" s="221"/>
      <c r="S10" s="222">
        <v>10</v>
      </c>
      <c r="T10" s="222">
        <v>0</v>
      </c>
      <c r="U10" s="222">
        <v>0</v>
      </c>
      <c r="V10" s="222">
        <v>0</v>
      </c>
      <c r="W10" s="221"/>
      <c r="X10" s="221"/>
      <c r="Y10" s="221"/>
      <c r="Z10" s="221"/>
      <c r="AA10" s="221"/>
      <c r="AB10" s="221"/>
      <c r="AC10" s="221"/>
      <c r="AD10" s="221"/>
      <c r="AE10" s="221"/>
      <c r="AF10" s="221"/>
      <c r="AG10" s="221"/>
      <c r="AH10" s="221"/>
      <c r="AI10" s="221"/>
      <c r="AJ10" s="221"/>
      <c r="AK10" s="221"/>
      <c r="AL10" s="221"/>
      <c r="AM10" s="221"/>
      <c r="AN10" s="221"/>
      <c r="AO10" s="221"/>
      <c r="AP10" s="221"/>
      <c r="AQ10" s="221"/>
      <c r="AR10" s="221"/>
      <c r="AS10" s="221"/>
      <c r="AT10" s="221"/>
    </row>
    <row r="11" spans="1:46" x14ac:dyDescent="0.2">
      <c r="A11" s="233"/>
      <c r="B11" s="233"/>
      <c r="C11" s="233"/>
      <c r="D11" s="233"/>
      <c r="E11" s="233"/>
      <c r="F11" s="233"/>
      <c r="G11" s="233"/>
      <c r="H11" s="233"/>
      <c r="I11" s="233"/>
      <c r="J11" s="233"/>
      <c r="K11" s="233"/>
      <c r="L11" s="233"/>
      <c r="M11" s="233"/>
      <c r="N11" s="233"/>
      <c r="O11" s="234"/>
      <c r="P11" s="221"/>
      <c r="Q11" s="221"/>
      <c r="R11" s="221" t="s">
        <v>69</v>
      </c>
      <c r="S11" s="222">
        <v>1</v>
      </c>
      <c r="T11" s="222" t="b">
        <v>1</v>
      </c>
      <c r="U11" s="222" t="b">
        <v>1</v>
      </c>
      <c r="V11" s="222" t="b">
        <v>1</v>
      </c>
      <c r="W11" s="221"/>
      <c r="X11" s="221"/>
      <c r="Y11" s="221"/>
      <c r="Z11" s="221"/>
      <c r="AA11" s="221"/>
      <c r="AB11" s="221"/>
      <c r="AC11" s="221"/>
      <c r="AD11" s="221"/>
      <c r="AE11" s="221"/>
      <c r="AF11" s="221"/>
      <c r="AG11" s="221"/>
      <c r="AH11" s="221"/>
      <c r="AI11" s="221"/>
      <c r="AJ11" s="221"/>
      <c r="AK11" s="221"/>
      <c r="AL11" s="221"/>
      <c r="AM11" s="221"/>
      <c r="AN11" s="221"/>
      <c r="AO11" s="221"/>
      <c r="AP11" s="221"/>
      <c r="AQ11" s="221"/>
      <c r="AR11" s="221"/>
      <c r="AS11" s="221"/>
      <c r="AT11" s="221"/>
    </row>
    <row r="12" spans="1:46" x14ac:dyDescent="0.2">
      <c r="A12" s="233"/>
      <c r="B12" s="233"/>
      <c r="C12" s="233"/>
      <c r="D12" s="233"/>
      <c r="E12" s="233"/>
      <c r="F12" s="233"/>
      <c r="G12" s="233"/>
      <c r="H12" s="233"/>
      <c r="I12" s="233"/>
      <c r="J12" s="233"/>
      <c r="K12" s="233"/>
      <c r="L12" s="233"/>
      <c r="M12" s="233"/>
      <c r="N12" s="233"/>
      <c r="O12" s="234"/>
      <c r="P12" s="221"/>
      <c r="Q12" s="221"/>
      <c r="R12" s="221"/>
      <c r="S12" s="222">
        <v>2</v>
      </c>
      <c r="T12" s="222" t="b">
        <v>1</v>
      </c>
      <c r="U12" s="222" t="b">
        <v>1</v>
      </c>
      <c r="V12" s="222" t="b">
        <v>1</v>
      </c>
      <c r="W12" s="221"/>
      <c r="X12" s="221"/>
      <c r="Y12" s="221"/>
      <c r="Z12" s="221"/>
      <c r="AA12" s="221"/>
      <c r="AB12" s="221"/>
      <c r="AC12" s="221"/>
      <c r="AD12" s="221"/>
      <c r="AE12" s="221"/>
      <c r="AF12" s="221"/>
      <c r="AG12" s="221"/>
      <c r="AH12" s="221"/>
      <c r="AI12" s="221"/>
      <c r="AJ12" s="221"/>
      <c r="AK12" s="221"/>
      <c r="AL12" s="221"/>
      <c r="AM12" s="221"/>
      <c r="AN12" s="221"/>
      <c r="AO12" s="221"/>
      <c r="AP12" s="221"/>
      <c r="AQ12" s="221"/>
      <c r="AR12" s="221"/>
      <c r="AS12" s="221"/>
      <c r="AT12" s="221"/>
    </row>
    <row r="13" spans="1:46" x14ac:dyDescent="0.2">
      <c r="A13" s="233"/>
      <c r="B13" s="233"/>
      <c r="C13" s="233"/>
      <c r="D13" s="233"/>
      <c r="E13" s="233"/>
      <c r="F13" s="233"/>
      <c r="G13" s="233"/>
      <c r="H13" s="235"/>
      <c r="I13" s="235"/>
      <c r="J13" s="233"/>
      <c r="K13" s="233"/>
      <c r="L13" s="233"/>
      <c r="M13" s="233"/>
      <c r="N13" s="233"/>
      <c r="O13" s="234"/>
      <c r="P13" s="221"/>
      <c r="Q13" s="221"/>
      <c r="R13" s="221"/>
      <c r="S13" s="222">
        <v>3</v>
      </c>
      <c r="T13" s="222" t="b">
        <v>1</v>
      </c>
      <c r="U13" s="222" t="b">
        <v>1</v>
      </c>
      <c r="V13" s="222" t="b">
        <v>1</v>
      </c>
      <c r="W13" s="221"/>
      <c r="X13" s="221"/>
      <c r="Y13" s="221"/>
      <c r="Z13" s="221"/>
      <c r="AA13" s="221"/>
      <c r="AB13" s="221"/>
      <c r="AC13" s="221"/>
      <c r="AD13" s="221"/>
      <c r="AE13" s="221"/>
      <c r="AF13" s="221"/>
      <c r="AG13" s="221"/>
      <c r="AH13" s="221"/>
      <c r="AI13" s="221"/>
      <c r="AJ13" s="221"/>
      <c r="AK13" s="221"/>
      <c r="AL13" s="221"/>
      <c r="AM13" s="221"/>
      <c r="AN13" s="221"/>
      <c r="AO13" s="221"/>
      <c r="AP13" s="221"/>
      <c r="AQ13" s="221"/>
      <c r="AR13" s="221"/>
      <c r="AS13" s="221"/>
      <c r="AT13" s="221"/>
    </row>
    <row r="14" spans="1:46" x14ac:dyDescent="0.2">
      <c r="A14" s="233"/>
      <c r="B14" s="233"/>
      <c r="C14" s="233"/>
      <c r="D14" s="233"/>
      <c r="E14" s="233"/>
      <c r="F14" s="233"/>
      <c r="G14" s="233"/>
      <c r="H14" s="233"/>
      <c r="I14" s="233"/>
      <c r="J14" s="233"/>
      <c r="K14" s="233"/>
      <c r="L14" s="233"/>
      <c r="M14" s="233"/>
      <c r="N14" s="233"/>
      <c r="O14" s="234"/>
      <c r="P14" s="221"/>
      <c r="Q14" s="221"/>
      <c r="R14" s="221"/>
      <c r="S14" s="222">
        <v>4</v>
      </c>
      <c r="T14" s="222" t="b">
        <v>1</v>
      </c>
      <c r="U14" s="222" t="b">
        <v>1</v>
      </c>
      <c r="V14" s="222" t="b">
        <v>1</v>
      </c>
      <c r="W14" s="221"/>
      <c r="X14" s="221"/>
      <c r="Y14" s="221"/>
      <c r="Z14" s="221"/>
      <c r="AA14" s="221"/>
      <c r="AB14" s="221"/>
      <c r="AC14" s="221"/>
      <c r="AD14" s="221"/>
      <c r="AE14" s="221"/>
      <c r="AF14" s="221"/>
      <c r="AG14" s="221"/>
      <c r="AH14" s="221"/>
      <c r="AI14" s="221"/>
      <c r="AJ14" s="221"/>
      <c r="AK14" s="221"/>
      <c r="AL14" s="221"/>
      <c r="AM14" s="221"/>
      <c r="AN14" s="221"/>
      <c r="AO14" s="221"/>
      <c r="AP14" s="221"/>
      <c r="AQ14" s="221"/>
      <c r="AR14" s="221"/>
      <c r="AS14" s="221"/>
      <c r="AT14" s="221"/>
    </row>
    <row r="15" spans="1:46" x14ac:dyDescent="0.2">
      <c r="A15" s="233"/>
      <c r="B15" s="233"/>
      <c r="C15" s="233"/>
      <c r="D15" s="233"/>
      <c r="E15" s="233"/>
      <c r="F15" s="233"/>
      <c r="G15" s="233"/>
      <c r="H15" s="233"/>
      <c r="I15" s="233"/>
      <c r="J15" s="233"/>
      <c r="K15" s="233"/>
      <c r="L15" s="233"/>
      <c r="M15" s="233"/>
      <c r="N15" s="233"/>
      <c r="O15" s="234"/>
      <c r="P15" s="221"/>
      <c r="Q15" s="221"/>
      <c r="R15" s="221"/>
      <c r="S15" s="222">
        <v>5</v>
      </c>
      <c r="T15" s="222" t="b">
        <v>1</v>
      </c>
      <c r="U15" s="222" t="b">
        <v>1</v>
      </c>
      <c r="V15" s="222" t="b">
        <v>1</v>
      </c>
      <c r="W15" s="221"/>
      <c r="X15" s="221"/>
      <c r="Y15" s="221"/>
      <c r="Z15" s="221"/>
      <c r="AA15" s="221"/>
      <c r="AB15" s="221"/>
      <c r="AC15" s="221"/>
      <c r="AD15" s="221"/>
      <c r="AE15" s="221"/>
      <c r="AF15" s="221"/>
      <c r="AG15" s="221"/>
      <c r="AH15" s="221"/>
      <c r="AI15" s="221"/>
      <c r="AJ15" s="221"/>
      <c r="AK15" s="221"/>
      <c r="AL15" s="221"/>
      <c r="AM15" s="221"/>
      <c r="AN15" s="221"/>
      <c r="AO15" s="221"/>
      <c r="AP15" s="221"/>
      <c r="AQ15" s="221"/>
      <c r="AR15" s="221"/>
      <c r="AS15" s="221"/>
      <c r="AT15" s="221"/>
    </row>
    <row r="16" spans="1:46" x14ac:dyDescent="0.2">
      <c r="A16" s="233"/>
      <c r="B16" s="233"/>
      <c r="C16" s="233"/>
      <c r="D16" s="233"/>
      <c r="E16" s="233"/>
      <c r="F16" s="233"/>
      <c r="G16" s="233"/>
      <c r="H16" s="233"/>
      <c r="I16" s="233"/>
      <c r="J16" s="233"/>
      <c r="K16" s="233"/>
      <c r="L16" s="233"/>
      <c r="M16" s="233"/>
      <c r="N16" s="233"/>
      <c r="O16" s="234"/>
      <c r="P16" s="221"/>
      <c r="Q16" s="221"/>
      <c r="R16" s="221"/>
      <c r="S16" s="222">
        <v>6</v>
      </c>
      <c r="T16" s="222" t="b">
        <v>1</v>
      </c>
      <c r="U16" s="222" t="b">
        <v>1</v>
      </c>
      <c r="V16" s="222" t="b">
        <v>1</v>
      </c>
      <c r="W16" s="221"/>
      <c r="X16" s="221"/>
      <c r="Y16" s="221"/>
      <c r="Z16" s="221"/>
      <c r="AA16" s="221"/>
      <c r="AB16" s="221"/>
      <c r="AC16" s="221"/>
      <c r="AD16" s="221"/>
      <c r="AE16" s="221"/>
      <c r="AF16" s="221"/>
      <c r="AG16" s="221"/>
      <c r="AH16" s="221"/>
      <c r="AI16" s="221"/>
      <c r="AJ16" s="221"/>
      <c r="AK16" s="221"/>
      <c r="AL16" s="221"/>
      <c r="AM16" s="221"/>
      <c r="AN16" s="221"/>
      <c r="AO16" s="221"/>
      <c r="AP16" s="221"/>
      <c r="AQ16" s="221"/>
      <c r="AR16" s="221"/>
      <c r="AS16" s="221"/>
      <c r="AT16" s="221"/>
    </row>
    <row r="17" spans="1:46" x14ac:dyDescent="0.2">
      <c r="A17" s="233"/>
      <c r="B17" s="233"/>
      <c r="C17" s="233"/>
      <c r="D17" s="233"/>
      <c r="E17" s="233"/>
      <c r="F17" s="233"/>
      <c r="G17" s="233"/>
      <c r="H17" s="233"/>
      <c r="I17" s="233"/>
      <c r="J17" s="233"/>
      <c r="K17" s="233"/>
      <c r="L17" s="233"/>
      <c r="M17" s="233"/>
      <c r="N17" s="233"/>
      <c r="O17" s="234"/>
      <c r="P17" s="221"/>
      <c r="Q17" s="221"/>
      <c r="R17" s="221"/>
      <c r="S17" s="222">
        <v>7</v>
      </c>
      <c r="T17" s="222" t="b">
        <v>0</v>
      </c>
      <c r="U17" s="222" t="b">
        <v>0</v>
      </c>
      <c r="V17" s="222" t="b">
        <v>0</v>
      </c>
      <c r="W17" s="221"/>
      <c r="X17" s="221"/>
      <c r="Y17" s="221"/>
      <c r="Z17" s="221"/>
      <c r="AA17" s="221"/>
      <c r="AB17" s="221"/>
      <c r="AC17" s="221"/>
      <c r="AD17" s="221"/>
      <c r="AE17" s="221"/>
      <c r="AF17" s="221"/>
      <c r="AG17" s="221"/>
      <c r="AH17" s="221"/>
      <c r="AI17" s="221"/>
      <c r="AJ17" s="221"/>
      <c r="AK17" s="221"/>
      <c r="AL17" s="221"/>
      <c r="AM17" s="221"/>
      <c r="AN17" s="221"/>
      <c r="AO17" s="221"/>
      <c r="AP17" s="221"/>
      <c r="AQ17" s="221"/>
      <c r="AR17" s="221"/>
      <c r="AS17" s="221"/>
      <c r="AT17" s="221"/>
    </row>
    <row r="18" spans="1:46" x14ac:dyDescent="0.2">
      <c r="A18" s="233"/>
      <c r="B18" s="233"/>
      <c r="C18" s="233"/>
      <c r="D18" s="233"/>
      <c r="E18" s="233"/>
      <c r="F18" s="233"/>
      <c r="G18" s="233"/>
      <c r="H18" s="233"/>
      <c r="I18" s="233"/>
      <c r="J18" s="233"/>
      <c r="K18" s="233"/>
      <c r="L18" s="233"/>
      <c r="M18" s="233"/>
      <c r="N18" s="233"/>
      <c r="O18" s="234"/>
      <c r="P18" s="221"/>
      <c r="Q18" s="221"/>
      <c r="R18" s="221"/>
      <c r="S18" s="222">
        <v>8</v>
      </c>
      <c r="T18" s="222" t="b">
        <v>0</v>
      </c>
      <c r="U18" s="222" t="b">
        <v>0</v>
      </c>
      <c r="V18" s="222" t="b">
        <v>0</v>
      </c>
      <c r="W18" s="221"/>
      <c r="X18" s="221"/>
      <c r="Y18" s="221"/>
      <c r="Z18" s="221"/>
      <c r="AA18" s="221"/>
      <c r="AB18" s="221"/>
      <c r="AC18" s="221"/>
      <c r="AD18" s="221"/>
      <c r="AE18" s="221"/>
      <c r="AF18" s="221"/>
      <c r="AG18" s="221"/>
      <c r="AH18" s="221"/>
      <c r="AI18" s="221"/>
      <c r="AJ18" s="221"/>
      <c r="AK18" s="221"/>
      <c r="AL18" s="221"/>
      <c r="AM18" s="221"/>
      <c r="AN18" s="221"/>
      <c r="AO18" s="221"/>
      <c r="AP18" s="221"/>
      <c r="AQ18" s="221"/>
      <c r="AR18" s="221"/>
      <c r="AS18" s="221"/>
      <c r="AT18" s="221"/>
    </row>
    <row r="19" spans="1:46" x14ac:dyDescent="0.2">
      <c r="A19" s="233"/>
      <c r="B19" s="233"/>
      <c r="C19" s="233"/>
      <c r="D19" s="233"/>
      <c r="E19" s="233"/>
      <c r="F19" s="233"/>
      <c r="G19" s="233"/>
      <c r="H19" s="233"/>
      <c r="I19" s="233"/>
      <c r="J19" s="233"/>
      <c r="K19" s="233"/>
      <c r="L19" s="233"/>
      <c r="M19" s="233"/>
      <c r="N19" s="233"/>
      <c r="O19" s="234"/>
      <c r="P19" s="221"/>
      <c r="Q19" s="221"/>
      <c r="R19" s="221"/>
      <c r="S19" s="222">
        <v>9</v>
      </c>
      <c r="T19" s="222" t="b">
        <v>0</v>
      </c>
      <c r="U19" s="222" t="b">
        <v>0</v>
      </c>
      <c r="V19" s="222" t="b">
        <v>0</v>
      </c>
      <c r="W19" s="221"/>
      <c r="X19" s="221"/>
      <c r="Y19" s="221"/>
      <c r="Z19" s="221"/>
      <c r="AA19" s="221"/>
      <c r="AB19" s="221"/>
      <c r="AC19" s="221"/>
      <c r="AD19" s="221"/>
      <c r="AE19" s="221"/>
      <c r="AF19" s="221"/>
      <c r="AG19" s="221"/>
      <c r="AH19" s="221"/>
      <c r="AI19" s="221"/>
      <c r="AJ19" s="221"/>
      <c r="AK19" s="221"/>
      <c r="AL19" s="221"/>
      <c r="AM19" s="221"/>
      <c r="AN19" s="221"/>
      <c r="AO19" s="221"/>
      <c r="AP19" s="221"/>
      <c r="AQ19" s="221"/>
      <c r="AR19" s="221"/>
      <c r="AS19" s="221"/>
      <c r="AT19" s="221"/>
    </row>
    <row r="20" spans="1:46" x14ac:dyDescent="0.2">
      <c r="A20" s="233"/>
      <c r="B20" s="233"/>
      <c r="C20" s="233"/>
      <c r="D20" s="233"/>
      <c r="E20" s="233"/>
      <c r="F20" s="233"/>
      <c r="G20" s="233"/>
      <c r="H20" s="233"/>
      <c r="I20" s="233"/>
      <c r="J20" s="233"/>
      <c r="K20" s="233"/>
      <c r="L20" s="233"/>
      <c r="M20" s="233"/>
      <c r="N20" s="233"/>
      <c r="O20" s="234"/>
      <c r="P20" s="221"/>
      <c r="Q20" s="221"/>
      <c r="R20" s="221"/>
      <c r="S20" s="222">
        <v>10</v>
      </c>
      <c r="T20" s="222" t="b">
        <v>0</v>
      </c>
      <c r="U20" s="222" t="b">
        <v>0</v>
      </c>
      <c r="V20" s="222" t="b">
        <v>0</v>
      </c>
      <c r="W20" s="221"/>
      <c r="X20" s="221"/>
      <c r="Y20" s="221"/>
      <c r="Z20" s="221"/>
      <c r="AA20" s="221"/>
      <c r="AB20" s="221"/>
      <c r="AC20" s="221"/>
      <c r="AD20" s="221"/>
      <c r="AE20" s="221"/>
      <c r="AF20" s="221"/>
      <c r="AG20" s="221"/>
      <c r="AH20" s="221"/>
      <c r="AI20" s="221"/>
      <c r="AJ20" s="221"/>
      <c r="AK20" s="221"/>
      <c r="AL20" s="221"/>
      <c r="AM20" s="221"/>
      <c r="AN20" s="221"/>
      <c r="AO20" s="221"/>
      <c r="AP20" s="221"/>
      <c r="AQ20" s="221"/>
      <c r="AR20" s="221"/>
      <c r="AS20" s="221"/>
      <c r="AT20" s="221"/>
    </row>
    <row r="21" spans="1:46" x14ac:dyDescent="0.2">
      <c r="A21" s="233"/>
      <c r="B21" s="233"/>
      <c r="C21" s="233"/>
      <c r="D21" s="233"/>
      <c r="E21" s="233"/>
      <c r="F21" s="233"/>
      <c r="G21" s="233"/>
      <c r="H21" s="233"/>
      <c r="I21" s="233"/>
      <c r="J21" s="233"/>
      <c r="K21" s="233"/>
      <c r="L21" s="233"/>
      <c r="M21" s="233"/>
      <c r="N21" s="233"/>
      <c r="O21" s="234"/>
      <c r="P21" s="221"/>
      <c r="Q21" s="221"/>
      <c r="R21" s="221" t="s">
        <v>1</v>
      </c>
      <c r="S21" s="222">
        <v>1</v>
      </c>
      <c r="T21" s="222" t="b">
        <v>0</v>
      </c>
      <c r="U21" s="222" t="b">
        <v>0</v>
      </c>
      <c r="V21" s="222" t="b">
        <v>0</v>
      </c>
      <c r="W21" s="221">
        <f>IF(T21,1,0)</f>
        <v>0</v>
      </c>
      <c r="X21" s="221">
        <f>IF(T22,1,0)</f>
        <v>0</v>
      </c>
      <c r="Y21" s="221">
        <f>IF(T23,1,0)</f>
        <v>0</v>
      </c>
      <c r="Z21" s="221">
        <f>IF(T24,1,0)</f>
        <v>0</v>
      </c>
      <c r="AA21" s="221">
        <f>IF(T25,1,0)</f>
        <v>0</v>
      </c>
      <c r="AB21" s="221">
        <f>IF(T26,1,0)</f>
        <v>0</v>
      </c>
      <c r="AC21" s="221">
        <f>IF(T27,1,0)</f>
        <v>0</v>
      </c>
      <c r="AD21" s="221">
        <f>IF(T28,1,0)</f>
        <v>0</v>
      </c>
      <c r="AE21" s="221">
        <f>IF(T29,1,0)</f>
        <v>0</v>
      </c>
      <c r="AF21" s="221">
        <f>IF(T30,1,0)</f>
        <v>0</v>
      </c>
      <c r="AG21" s="221"/>
      <c r="AH21" s="221"/>
      <c r="AI21" s="221"/>
      <c r="AJ21" s="221"/>
      <c r="AK21" s="221"/>
      <c r="AL21" s="221"/>
      <c r="AM21" s="221"/>
      <c r="AN21" s="221"/>
      <c r="AO21" s="221"/>
      <c r="AP21" s="221"/>
      <c r="AQ21" s="221"/>
      <c r="AR21" s="221"/>
      <c r="AS21" s="221"/>
      <c r="AT21" s="221"/>
    </row>
    <row r="22" spans="1:46" x14ac:dyDescent="0.2">
      <c r="A22" s="233"/>
      <c r="B22" s="236"/>
      <c r="C22" s="233"/>
      <c r="D22" s="233"/>
      <c r="E22" s="233"/>
      <c r="F22" s="233"/>
      <c r="G22" s="233"/>
      <c r="H22" s="233"/>
      <c r="I22" s="233"/>
      <c r="J22" s="233"/>
      <c r="K22" s="233"/>
      <c r="L22" s="233"/>
      <c r="M22" s="233"/>
      <c r="N22" s="233"/>
      <c r="O22" s="234"/>
      <c r="P22" s="221"/>
      <c r="Q22" s="221"/>
      <c r="R22" s="221"/>
      <c r="S22" s="222">
        <v>2</v>
      </c>
      <c r="T22" s="222" t="b">
        <v>0</v>
      </c>
      <c r="U22" s="222" t="b">
        <v>0</v>
      </c>
      <c r="V22" s="222" t="b">
        <v>0</v>
      </c>
      <c r="W22" s="221"/>
      <c r="X22" s="221"/>
      <c r="Y22" s="221"/>
      <c r="Z22" s="221"/>
      <c r="AA22" s="221"/>
      <c r="AB22" s="221"/>
      <c r="AC22" s="221"/>
      <c r="AD22" s="221"/>
      <c r="AE22" s="221"/>
      <c r="AF22" s="221"/>
      <c r="AG22" s="221"/>
      <c r="AH22" s="221"/>
      <c r="AI22" s="221"/>
      <c r="AJ22" s="221"/>
      <c r="AK22" s="221"/>
      <c r="AL22" s="221"/>
      <c r="AM22" s="221"/>
      <c r="AN22" s="221"/>
      <c r="AO22" s="221"/>
      <c r="AP22" s="221"/>
      <c r="AQ22" s="221"/>
      <c r="AR22" s="221"/>
      <c r="AS22" s="221"/>
      <c r="AT22" s="221"/>
    </row>
    <row r="23" spans="1:46" x14ac:dyDescent="0.2">
      <c r="A23" s="233"/>
      <c r="B23" s="236"/>
      <c r="C23" s="233"/>
      <c r="D23" s="233"/>
      <c r="E23" s="233"/>
      <c r="F23" s="233"/>
      <c r="G23" s="233"/>
      <c r="H23" s="233"/>
      <c r="I23" s="233"/>
      <c r="J23" s="233"/>
      <c r="K23" s="233"/>
      <c r="L23" s="233"/>
      <c r="M23" s="233"/>
      <c r="N23" s="233"/>
      <c r="O23" s="234"/>
      <c r="P23" s="221"/>
      <c r="Q23" s="221"/>
      <c r="R23" s="221"/>
      <c r="S23" s="222">
        <v>3</v>
      </c>
      <c r="T23" s="222" t="b">
        <v>0</v>
      </c>
      <c r="U23" s="222" t="b">
        <v>0</v>
      </c>
      <c r="V23" s="222" t="b">
        <v>0</v>
      </c>
      <c r="W23" s="221"/>
      <c r="X23" s="221"/>
      <c r="Y23" s="221"/>
      <c r="Z23" s="221"/>
      <c r="AA23" s="221"/>
      <c r="AB23" s="221"/>
      <c r="AC23" s="221"/>
      <c r="AD23" s="221"/>
      <c r="AE23" s="221"/>
      <c r="AF23" s="221"/>
      <c r="AG23" s="221"/>
      <c r="AH23" s="221"/>
      <c r="AI23" s="221"/>
      <c r="AJ23" s="221"/>
      <c r="AK23" s="221"/>
      <c r="AL23" s="221"/>
      <c r="AM23" s="221"/>
      <c r="AN23" s="221"/>
      <c r="AO23" s="221"/>
      <c r="AP23" s="221"/>
      <c r="AQ23" s="221"/>
      <c r="AR23" s="221"/>
      <c r="AS23" s="221"/>
      <c r="AT23" s="221"/>
    </row>
    <row r="24" spans="1:46" x14ac:dyDescent="0.2">
      <c r="A24" s="233"/>
      <c r="B24" s="236"/>
      <c r="C24" s="233"/>
      <c r="D24" s="233"/>
      <c r="E24" s="233"/>
      <c r="F24" s="233"/>
      <c r="G24" s="233"/>
      <c r="H24" s="233"/>
      <c r="I24" s="233"/>
      <c r="J24" s="233"/>
      <c r="K24" s="233"/>
      <c r="L24" s="233"/>
      <c r="M24" s="233"/>
      <c r="N24" s="233"/>
      <c r="O24" s="234"/>
      <c r="P24" s="221"/>
      <c r="Q24" s="221"/>
      <c r="R24" s="221"/>
      <c r="S24" s="222">
        <v>4</v>
      </c>
      <c r="T24" s="222" t="b">
        <v>0</v>
      </c>
      <c r="U24" s="222" t="b">
        <v>0</v>
      </c>
      <c r="V24" s="222" t="b">
        <v>0</v>
      </c>
      <c r="W24" s="221"/>
      <c r="X24" s="221"/>
      <c r="Y24" s="221"/>
      <c r="Z24" s="221"/>
      <c r="AA24" s="221"/>
      <c r="AB24" s="221"/>
      <c r="AC24" s="221"/>
      <c r="AD24" s="221"/>
      <c r="AE24" s="221"/>
      <c r="AF24" s="221"/>
      <c r="AG24" s="221"/>
      <c r="AH24" s="221"/>
      <c r="AI24" s="221"/>
      <c r="AJ24" s="221"/>
      <c r="AK24" s="221"/>
      <c r="AL24" s="221"/>
      <c r="AM24" s="221"/>
      <c r="AN24" s="221"/>
      <c r="AO24" s="221"/>
      <c r="AP24" s="221"/>
      <c r="AQ24" s="221"/>
      <c r="AR24" s="221"/>
      <c r="AS24" s="221"/>
      <c r="AT24" s="221"/>
    </row>
    <row r="25" spans="1:46" x14ac:dyDescent="0.2">
      <c r="A25" s="236"/>
      <c r="B25" s="236"/>
      <c r="C25" s="233"/>
      <c r="D25" s="233"/>
      <c r="E25" s="233"/>
      <c r="F25" s="233"/>
      <c r="G25" s="233"/>
      <c r="H25" s="233"/>
      <c r="I25" s="233"/>
      <c r="J25" s="233"/>
      <c r="K25" s="233"/>
      <c r="L25" s="233"/>
      <c r="M25" s="233"/>
      <c r="N25" s="233"/>
      <c r="O25" s="234"/>
      <c r="P25" s="221"/>
      <c r="Q25" s="221"/>
      <c r="R25" s="221"/>
      <c r="S25" s="222">
        <v>5</v>
      </c>
      <c r="T25" s="222" t="b">
        <v>0</v>
      </c>
      <c r="U25" s="222" t="b">
        <v>0</v>
      </c>
      <c r="V25" s="222" t="b">
        <v>0</v>
      </c>
      <c r="W25" s="221"/>
      <c r="X25" s="221"/>
      <c r="Y25" s="221"/>
      <c r="Z25" s="221"/>
      <c r="AA25" s="221"/>
      <c r="AB25" s="221"/>
      <c r="AC25" s="221"/>
      <c r="AD25" s="221"/>
      <c r="AE25" s="221"/>
      <c r="AF25" s="221"/>
      <c r="AG25" s="221"/>
      <c r="AH25" s="221"/>
      <c r="AI25" s="221"/>
      <c r="AJ25" s="221"/>
      <c r="AK25" s="221"/>
      <c r="AL25" s="221"/>
      <c r="AM25" s="221"/>
      <c r="AN25" s="221"/>
      <c r="AO25" s="221"/>
      <c r="AP25" s="221"/>
      <c r="AQ25" s="221"/>
      <c r="AR25" s="221"/>
      <c r="AS25" s="221"/>
      <c r="AT25" s="221"/>
    </row>
    <row r="26" spans="1:46" x14ac:dyDescent="0.2">
      <c r="A26" s="237"/>
      <c r="B26" s="237"/>
      <c r="C26" s="237"/>
      <c r="D26" s="237"/>
      <c r="E26" s="237"/>
      <c r="F26" s="233"/>
      <c r="G26" s="233"/>
      <c r="H26" s="233"/>
      <c r="I26" s="233"/>
      <c r="J26" s="233"/>
      <c r="K26" s="233"/>
      <c r="L26" s="233"/>
      <c r="M26" s="233"/>
      <c r="N26" s="233"/>
      <c r="O26" s="234"/>
      <c r="P26" s="221"/>
      <c r="Q26" s="221"/>
      <c r="R26" s="221"/>
      <c r="S26" s="222">
        <v>6</v>
      </c>
      <c r="T26" s="222" t="b">
        <v>0</v>
      </c>
      <c r="U26" s="222" t="b">
        <v>0</v>
      </c>
      <c r="V26" s="222" t="b">
        <v>0</v>
      </c>
      <c r="W26" s="221"/>
      <c r="X26" s="221"/>
      <c r="Y26" s="221"/>
      <c r="Z26" s="221"/>
      <c r="AA26" s="221"/>
      <c r="AB26" s="221"/>
      <c r="AC26" s="221"/>
      <c r="AD26" s="221"/>
      <c r="AE26" s="221"/>
      <c r="AF26" s="221"/>
      <c r="AG26" s="221"/>
      <c r="AH26" s="221"/>
      <c r="AI26" s="221"/>
      <c r="AJ26" s="221"/>
      <c r="AK26" s="221"/>
      <c r="AL26" s="221"/>
      <c r="AM26" s="221"/>
      <c r="AN26" s="221"/>
      <c r="AO26" s="221"/>
      <c r="AP26" s="221"/>
      <c r="AQ26" s="221"/>
      <c r="AR26" s="221"/>
      <c r="AS26" s="221"/>
      <c r="AT26" s="221"/>
    </row>
    <row r="27" spans="1:46" x14ac:dyDescent="0.2">
      <c r="A27" s="237"/>
      <c r="B27" s="237"/>
      <c r="C27" s="237"/>
      <c r="D27" s="237"/>
      <c r="E27" s="237"/>
      <c r="F27" s="233"/>
      <c r="G27" s="233"/>
      <c r="H27" s="233"/>
      <c r="I27" s="233"/>
      <c r="J27" s="233"/>
      <c r="K27" s="233"/>
      <c r="L27" s="233"/>
      <c r="M27" s="233"/>
      <c r="N27" s="233"/>
      <c r="O27" s="234"/>
      <c r="P27" s="221"/>
      <c r="Q27" s="221"/>
      <c r="R27" s="221"/>
      <c r="S27" s="222">
        <v>7</v>
      </c>
      <c r="T27" s="222" t="b">
        <v>0</v>
      </c>
      <c r="U27" s="222" t="b">
        <v>0</v>
      </c>
      <c r="V27" s="222" t="b">
        <v>0</v>
      </c>
      <c r="W27" s="221"/>
      <c r="X27" s="221"/>
      <c r="Y27" s="221"/>
      <c r="Z27" s="221"/>
      <c r="AA27" s="221"/>
      <c r="AB27" s="221"/>
      <c r="AC27" s="221"/>
      <c r="AD27" s="221"/>
      <c r="AE27" s="221"/>
      <c r="AF27" s="221"/>
      <c r="AG27" s="221"/>
      <c r="AH27" s="221"/>
      <c r="AI27" s="221"/>
      <c r="AJ27" s="221"/>
      <c r="AK27" s="221"/>
      <c r="AL27" s="221"/>
      <c r="AM27" s="221"/>
      <c r="AN27" s="221"/>
      <c r="AO27" s="221"/>
      <c r="AP27" s="221"/>
      <c r="AQ27" s="221"/>
      <c r="AR27" s="221"/>
      <c r="AS27" s="221"/>
      <c r="AT27" s="221"/>
    </row>
    <row r="28" spans="1:46" x14ac:dyDescent="0.2">
      <c r="A28" s="237"/>
      <c r="B28" s="237"/>
      <c r="C28" s="237"/>
      <c r="D28" s="237"/>
      <c r="E28" s="237"/>
      <c r="F28" s="233"/>
      <c r="G28" s="233"/>
      <c r="H28" s="233"/>
      <c r="I28" s="233"/>
      <c r="J28" s="233"/>
      <c r="K28" s="233"/>
      <c r="L28" s="233"/>
      <c r="M28" s="233"/>
      <c r="N28" s="233"/>
      <c r="O28" s="234"/>
      <c r="P28" s="221"/>
      <c r="Q28" s="221"/>
      <c r="R28" s="221"/>
      <c r="S28" s="222">
        <v>8</v>
      </c>
      <c r="T28" s="222" t="b">
        <v>0</v>
      </c>
      <c r="U28" s="222" t="b">
        <v>0</v>
      </c>
      <c r="V28" s="222" t="b">
        <v>0</v>
      </c>
      <c r="W28" s="221"/>
      <c r="X28" s="221"/>
      <c r="Y28" s="221"/>
      <c r="Z28" s="221"/>
      <c r="AA28" s="221"/>
      <c r="AB28" s="221"/>
      <c r="AC28" s="221"/>
      <c r="AD28" s="221"/>
      <c r="AE28" s="221"/>
      <c r="AF28" s="221"/>
      <c r="AG28" s="221"/>
      <c r="AH28" s="221"/>
      <c r="AI28" s="221"/>
      <c r="AJ28" s="221"/>
      <c r="AK28" s="221"/>
      <c r="AL28" s="221"/>
      <c r="AM28" s="221"/>
      <c r="AN28" s="221"/>
      <c r="AO28" s="221"/>
      <c r="AP28" s="221"/>
      <c r="AQ28" s="221"/>
      <c r="AR28" s="221"/>
      <c r="AS28" s="221"/>
      <c r="AT28" s="221"/>
    </row>
    <row r="29" spans="1:46" x14ac:dyDescent="0.2">
      <c r="A29" s="237"/>
      <c r="B29" s="237"/>
      <c r="C29" s="237"/>
      <c r="D29" s="237"/>
      <c r="E29" s="237"/>
      <c r="F29" s="233"/>
      <c r="G29" s="233"/>
      <c r="H29" s="233"/>
      <c r="I29" s="233"/>
      <c r="J29" s="233"/>
      <c r="K29" s="233"/>
      <c r="L29" s="233"/>
      <c r="M29" s="233"/>
      <c r="N29" s="233"/>
      <c r="O29" s="234"/>
      <c r="P29" s="221"/>
      <c r="Q29" s="221"/>
      <c r="R29" s="221"/>
      <c r="S29" s="222">
        <v>9</v>
      </c>
      <c r="T29" s="222" t="b">
        <v>0</v>
      </c>
      <c r="U29" s="222" t="b">
        <v>0</v>
      </c>
      <c r="V29" s="222" t="b">
        <v>0</v>
      </c>
      <c r="W29" s="221"/>
      <c r="X29" s="221"/>
      <c r="Y29" s="221"/>
      <c r="Z29" s="221"/>
      <c r="AA29" s="221"/>
      <c r="AB29" s="221"/>
      <c r="AC29" s="221"/>
      <c r="AD29" s="221"/>
      <c r="AE29" s="221"/>
      <c r="AF29" s="221"/>
      <c r="AG29" s="221"/>
      <c r="AH29" s="221"/>
      <c r="AI29" s="221"/>
      <c r="AJ29" s="221"/>
      <c r="AK29" s="221"/>
      <c r="AL29" s="221"/>
      <c r="AM29" s="221"/>
      <c r="AN29" s="221"/>
      <c r="AO29" s="221"/>
      <c r="AP29" s="221"/>
      <c r="AQ29" s="221"/>
      <c r="AR29" s="221"/>
      <c r="AS29" s="221"/>
      <c r="AT29" s="221"/>
    </row>
    <row r="30" spans="1:46" x14ac:dyDescent="0.2">
      <c r="A30" s="238"/>
      <c r="B30" s="238"/>
      <c r="C30" s="238"/>
      <c r="D30" s="233"/>
      <c r="E30" s="233"/>
      <c r="F30" s="233"/>
      <c r="G30" s="233"/>
      <c r="H30" s="233"/>
      <c r="I30" s="233"/>
      <c r="J30" s="233"/>
      <c r="K30" s="233"/>
      <c r="L30" s="233"/>
      <c r="M30" s="233"/>
      <c r="N30" s="233"/>
      <c r="O30" s="234"/>
      <c r="P30" s="221"/>
      <c r="Q30" s="221"/>
      <c r="R30" s="221"/>
      <c r="S30" s="222">
        <v>10</v>
      </c>
      <c r="T30" s="222" t="b">
        <v>0</v>
      </c>
      <c r="U30" s="222" t="b">
        <v>0</v>
      </c>
      <c r="V30" s="222" t="b">
        <v>0</v>
      </c>
      <c r="W30" s="221"/>
      <c r="X30" s="221"/>
      <c r="Y30" s="221"/>
      <c r="Z30" s="221"/>
      <c r="AA30" s="221"/>
      <c r="AB30" s="221"/>
      <c r="AC30" s="221"/>
      <c r="AD30" s="221"/>
      <c r="AE30" s="221"/>
      <c r="AF30" s="221"/>
      <c r="AG30" s="221"/>
      <c r="AH30" s="221"/>
      <c r="AI30" s="221"/>
      <c r="AJ30" s="221"/>
      <c r="AK30" s="221"/>
      <c r="AL30" s="221"/>
      <c r="AM30" s="221"/>
      <c r="AN30" s="221"/>
      <c r="AO30" s="221"/>
      <c r="AP30" s="221"/>
      <c r="AQ30" s="221"/>
      <c r="AR30" s="221"/>
      <c r="AS30" s="221"/>
      <c r="AT30" s="221"/>
    </row>
    <row r="31" spans="1:46" x14ac:dyDescent="0.2">
      <c r="A31" s="233"/>
      <c r="B31" s="233"/>
      <c r="C31" s="233"/>
      <c r="D31" s="233"/>
      <c r="E31" s="233"/>
      <c r="F31" s="233"/>
      <c r="G31" s="233"/>
      <c r="H31" s="233"/>
      <c r="I31" s="233"/>
      <c r="J31" s="233"/>
      <c r="K31" s="233"/>
      <c r="L31" s="233"/>
      <c r="M31" s="233"/>
      <c r="N31" s="233"/>
      <c r="O31" s="234"/>
      <c r="P31" s="221"/>
      <c r="Q31" s="221"/>
      <c r="R31" s="221" t="s">
        <v>2</v>
      </c>
      <c r="S31" s="222">
        <v>1</v>
      </c>
      <c r="T31" s="222">
        <v>1</v>
      </c>
      <c r="U31" s="222">
        <v>1</v>
      </c>
      <c r="V31" s="222">
        <v>1</v>
      </c>
      <c r="W31" s="221">
        <f>IF($T$41,T31,1)</f>
        <v>1</v>
      </c>
      <c r="X31" s="221">
        <f>IF($T$41,T32,1)</f>
        <v>1</v>
      </c>
      <c r="Y31" s="221">
        <f>IF($T$41,T33,1)</f>
        <v>1</v>
      </c>
      <c r="Z31" s="221">
        <f>IF($T$41,T34,1)</f>
        <v>1</v>
      </c>
      <c r="AA31" s="221">
        <f>IF($T$41,T35,1)</f>
        <v>1</v>
      </c>
      <c r="AB31" s="221">
        <f>IF($T$41,T36,1)</f>
        <v>1</v>
      </c>
      <c r="AC31" s="221">
        <f>IF($T$41,T37,1)</f>
        <v>1</v>
      </c>
      <c r="AD31" s="221">
        <f>IF($T$41,T38,1)</f>
        <v>1</v>
      </c>
      <c r="AE31" s="221">
        <f>IF($T$41,T39,1)</f>
        <v>1</v>
      </c>
      <c r="AF31" s="221">
        <f>IF($T$41,T40,1)</f>
        <v>1</v>
      </c>
      <c r="AG31" s="221"/>
      <c r="AH31" s="221"/>
      <c r="AI31" s="221"/>
      <c r="AJ31" s="221"/>
      <c r="AK31" s="221"/>
      <c r="AL31" s="221"/>
      <c r="AM31" s="221"/>
      <c r="AN31" s="221"/>
      <c r="AO31" s="221"/>
      <c r="AP31" s="221"/>
      <c r="AQ31" s="221"/>
      <c r="AR31" s="221"/>
      <c r="AS31" s="221"/>
      <c r="AT31" s="221"/>
    </row>
    <row r="32" spans="1:46" x14ac:dyDescent="0.2">
      <c r="A32" s="233"/>
      <c r="B32" s="233"/>
      <c r="C32" s="233"/>
      <c r="D32" s="233"/>
      <c r="E32" s="233"/>
      <c r="F32" s="233"/>
      <c r="G32" s="233"/>
      <c r="H32" s="233"/>
      <c r="I32" s="233"/>
      <c r="J32" s="233"/>
      <c r="K32" s="233"/>
      <c r="L32" s="233"/>
      <c r="M32" s="233"/>
      <c r="N32" s="233"/>
      <c r="O32" s="234"/>
      <c r="P32" s="221"/>
      <c r="Q32" s="221"/>
      <c r="R32" s="221"/>
      <c r="S32" s="222">
        <v>2</v>
      </c>
      <c r="T32" s="222">
        <v>1</v>
      </c>
      <c r="U32" s="222">
        <v>1</v>
      </c>
      <c r="V32" s="222">
        <v>1</v>
      </c>
      <c r="W32" s="221"/>
      <c r="X32" s="221"/>
      <c r="Y32" s="221"/>
      <c r="Z32" s="221"/>
      <c r="AA32" s="221"/>
      <c r="AB32" s="221"/>
      <c r="AC32" s="221"/>
      <c r="AD32" s="221"/>
      <c r="AE32" s="221"/>
      <c r="AF32" s="221"/>
      <c r="AG32" s="221"/>
      <c r="AH32" s="221"/>
      <c r="AI32" s="221"/>
      <c r="AJ32" s="221"/>
      <c r="AK32" s="221"/>
      <c r="AL32" s="221"/>
      <c r="AM32" s="221"/>
      <c r="AN32" s="221"/>
      <c r="AO32" s="221"/>
      <c r="AP32" s="221"/>
      <c r="AQ32" s="221"/>
      <c r="AR32" s="221"/>
      <c r="AS32" s="221"/>
      <c r="AT32" s="221"/>
    </row>
    <row r="33" spans="1:46" x14ac:dyDescent="0.2">
      <c r="A33" s="233"/>
      <c r="B33" s="233"/>
      <c r="C33" s="233"/>
      <c r="D33" s="233"/>
      <c r="E33" s="233"/>
      <c r="F33" s="233"/>
      <c r="G33" s="233"/>
      <c r="H33" s="233"/>
      <c r="I33" s="233"/>
      <c r="J33" s="233"/>
      <c r="K33" s="233"/>
      <c r="L33" s="233"/>
      <c r="M33" s="233"/>
      <c r="N33" s="233"/>
      <c r="O33" s="234"/>
      <c r="P33" s="221"/>
      <c r="Q33" s="221"/>
      <c r="R33" s="221"/>
      <c r="S33" s="222">
        <v>3</v>
      </c>
      <c r="T33" s="222">
        <v>1</v>
      </c>
      <c r="U33" s="222">
        <v>1</v>
      </c>
      <c r="V33" s="222">
        <v>1</v>
      </c>
      <c r="W33" s="221"/>
      <c r="X33" s="221"/>
      <c r="Y33" s="221"/>
      <c r="Z33" s="221"/>
      <c r="AA33" s="221"/>
      <c r="AB33" s="221"/>
      <c r="AC33" s="221"/>
      <c r="AD33" s="221"/>
      <c r="AE33" s="221"/>
      <c r="AF33" s="221"/>
      <c r="AG33" s="221"/>
      <c r="AH33" s="221"/>
      <c r="AI33" s="221"/>
      <c r="AJ33" s="221"/>
      <c r="AK33" s="221"/>
      <c r="AL33" s="221"/>
      <c r="AM33" s="221"/>
      <c r="AN33" s="221"/>
      <c r="AO33" s="221"/>
      <c r="AP33" s="221"/>
      <c r="AQ33" s="221"/>
      <c r="AR33" s="221"/>
      <c r="AS33" s="221"/>
      <c r="AT33" s="221"/>
    </row>
    <row r="34" spans="1:46" x14ac:dyDescent="0.2">
      <c r="A34" s="233"/>
      <c r="B34" s="233"/>
      <c r="C34" s="233"/>
      <c r="D34" s="233"/>
      <c r="E34" s="233"/>
      <c r="F34" s="233"/>
      <c r="G34" s="233"/>
      <c r="H34" s="233"/>
      <c r="I34" s="233"/>
      <c r="J34" s="233"/>
      <c r="K34" s="233"/>
      <c r="L34" s="233"/>
      <c r="M34" s="233"/>
      <c r="N34" s="233"/>
      <c r="O34" s="234"/>
      <c r="P34" s="221"/>
      <c r="Q34" s="221"/>
      <c r="R34" s="221"/>
      <c r="S34" s="222">
        <v>4</v>
      </c>
      <c r="T34" s="222">
        <v>1</v>
      </c>
      <c r="U34" s="222">
        <v>1</v>
      </c>
      <c r="V34" s="222">
        <v>1</v>
      </c>
      <c r="W34" s="221"/>
      <c r="X34" s="221"/>
      <c r="Y34" s="221"/>
      <c r="Z34" s="221"/>
      <c r="AA34" s="221"/>
      <c r="AB34" s="221"/>
      <c r="AC34" s="221"/>
      <c r="AD34" s="221"/>
      <c r="AE34" s="221"/>
      <c r="AF34" s="221"/>
      <c r="AG34" s="221"/>
      <c r="AH34" s="221"/>
      <c r="AI34" s="221"/>
      <c r="AJ34" s="221"/>
      <c r="AK34" s="221"/>
      <c r="AL34" s="221"/>
      <c r="AM34" s="221"/>
      <c r="AN34" s="221"/>
      <c r="AO34" s="221"/>
      <c r="AP34" s="221"/>
      <c r="AQ34" s="221"/>
      <c r="AR34" s="221"/>
      <c r="AS34" s="221"/>
      <c r="AT34" s="221"/>
    </row>
    <row r="35" spans="1:46" x14ac:dyDescent="0.2">
      <c r="A35" s="233"/>
      <c r="B35" s="233"/>
      <c r="C35" s="233"/>
      <c r="D35" s="233"/>
      <c r="E35" s="233"/>
      <c r="F35" s="233"/>
      <c r="G35" s="233"/>
      <c r="H35" s="233"/>
      <c r="I35" s="233"/>
      <c r="J35" s="233"/>
      <c r="K35" s="233"/>
      <c r="L35" s="233"/>
      <c r="M35" s="233"/>
      <c r="N35" s="233"/>
      <c r="O35" s="234"/>
      <c r="P35" s="221"/>
      <c r="Q35" s="221"/>
      <c r="R35" s="221"/>
      <c r="S35" s="222">
        <v>5</v>
      </c>
      <c r="T35" s="222">
        <v>1</v>
      </c>
      <c r="U35" s="222">
        <v>1</v>
      </c>
      <c r="V35" s="222">
        <v>1</v>
      </c>
      <c r="W35" s="221"/>
      <c r="X35" s="221"/>
      <c r="Y35" s="221"/>
      <c r="Z35" s="221"/>
      <c r="AA35" s="221"/>
      <c r="AB35" s="221"/>
      <c r="AC35" s="221"/>
      <c r="AD35" s="221"/>
      <c r="AE35" s="221"/>
      <c r="AF35" s="221"/>
      <c r="AG35" s="221"/>
      <c r="AH35" s="221"/>
      <c r="AI35" s="221"/>
      <c r="AJ35" s="221"/>
      <c r="AK35" s="221"/>
      <c r="AL35" s="221"/>
      <c r="AM35" s="221"/>
      <c r="AN35" s="221"/>
      <c r="AO35" s="221"/>
      <c r="AP35" s="221"/>
      <c r="AQ35" s="221"/>
      <c r="AR35" s="221"/>
      <c r="AS35" s="221"/>
      <c r="AT35" s="221"/>
    </row>
    <row r="36" spans="1:46" x14ac:dyDescent="0.2">
      <c r="A36" s="233"/>
      <c r="B36" s="233"/>
      <c r="C36" s="233"/>
      <c r="D36" s="233"/>
      <c r="E36" s="233"/>
      <c r="F36" s="233"/>
      <c r="G36" s="233"/>
      <c r="H36" s="233"/>
      <c r="I36" s="233"/>
      <c r="J36" s="233"/>
      <c r="K36" s="233"/>
      <c r="L36" s="233"/>
      <c r="M36" s="233"/>
      <c r="N36" s="233"/>
      <c r="O36" s="234"/>
      <c r="P36" s="221"/>
      <c r="Q36" s="221"/>
      <c r="R36" s="221"/>
      <c r="S36" s="222">
        <v>6</v>
      </c>
      <c r="T36" s="222">
        <v>1</v>
      </c>
      <c r="U36" s="222">
        <v>1</v>
      </c>
      <c r="V36" s="222">
        <v>1</v>
      </c>
      <c r="W36" s="221"/>
      <c r="X36" s="221"/>
      <c r="Y36" s="221"/>
      <c r="Z36" s="221"/>
      <c r="AA36" s="221"/>
      <c r="AB36" s="221"/>
      <c r="AC36" s="221"/>
      <c r="AD36" s="221"/>
      <c r="AE36" s="221"/>
      <c r="AF36" s="221"/>
      <c r="AG36" s="221"/>
      <c r="AH36" s="221"/>
      <c r="AI36" s="221"/>
      <c r="AJ36" s="221"/>
      <c r="AK36" s="221"/>
      <c r="AL36" s="221"/>
      <c r="AM36" s="221"/>
      <c r="AN36" s="221"/>
      <c r="AO36" s="221"/>
      <c r="AP36" s="221"/>
      <c r="AQ36" s="221"/>
      <c r="AR36" s="221"/>
      <c r="AS36" s="221"/>
      <c r="AT36" s="221"/>
    </row>
    <row r="37" spans="1:46" x14ac:dyDescent="0.2">
      <c r="A37" s="233"/>
      <c r="B37" s="233"/>
      <c r="C37" s="233"/>
      <c r="D37" s="233"/>
      <c r="E37" s="233"/>
      <c r="F37" s="233"/>
      <c r="G37" s="233"/>
      <c r="H37" s="233"/>
      <c r="I37" s="233"/>
      <c r="J37" s="233"/>
      <c r="K37" s="233"/>
      <c r="L37" s="233"/>
      <c r="M37" s="233"/>
      <c r="N37" s="233"/>
      <c r="O37" s="234"/>
      <c r="P37" s="221"/>
      <c r="Q37" s="221"/>
      <c r="R37" s="221"/>
      <c r="S37" s="222">
        <v>7</v>
      </c>
      <c r="T37" s="222">
        <v>1</v>
      </c>
      <c r="U37" s="222">
        <v>1</v>
      </c>
      <c r="V37" s="222">
        <v>1</v>
      </c>
      <c r="W37" s="221"/>
      <c r="X37" s="221"/>
      <c r="Y37" s="221"/>
      <c r="Z37" s="221"/>
      <c r="AA37" s="221"/>
      <c r="AB37" s="221"/>
      <c r="AC37" s="221"/>
      <c r="AD37" s="221"/>
      <c r="AE37" s="221"/>
      <c r="AF37" s="221"/>
      <c r="AG37" s="221"/>
      <c r="AH37" s="221"/>
      <c r="AI37" s="221"/>
      <c r="AJ37" s="221"/>
      <c r="AK37" s="221"/>
      <c r="AL37" s="221"/>
      <c r="AM37" s="221"/>
      <c r="AN37" s="221"/>
      <c r="AO37" s="221"/>
      <c r="AP37" s="221"/>
      <c r="AQ37" s="221"/>
      <c r="AR37" s="221"/>
      <c r="AS37" s="221"/>
      <c r="AT37" s="221"/>
    </row>
    <row r="38" spans="1:46" x14ac:dyDescent="0.2">
      <c r="A38" s="233"/>
      <c r="B38" s="233"/>
      <c r="C38" s="233"/>
      <c r="D38" s="233"/>
      <c r="E38" s="233"/>
      <c r="F38" s="233"/>
      <c r="G38" s="233"/>
      <c r="H38" s="233"/>
      <c r="I38" s="233"/>
      <c r="J38" s="233"/>
      <c r="K38" s="233"/>
      <c r="L38" s="233"/>
      <c r="M38" s="233"/>
      <c r="N38" s="233"/>
      <c r="O38" s="234"/>
      <c r="P38" s="221"/>
      <c r="Q38" s="221"/>
      <c r="R38" s="221"/>
      <c r="S38" s="222">
        <v>8</v>
      </c>
      <c r="T38" s="222">
        <v>1</v>
      </c>
      <c r="U38" s="222">
        <v>1</v>
      </c>
      <c r="V38" s="222">
        <v>1</v>
      </c>
      <c r="W38" s="221"/>
      <c r="X38" s="221"/>
      <c r="Y38" s="221"/>
      <c r="Z38" s="221"/>
      <c r="AA38" s="221"/>
      <c r="AB38" s="221"/>
      <c r="AC38" s="221"/>
      <c r="AD38" s="221"/>
      <c r="AE38" s="221"/>
      <c r="AF38" s="221"/>
      <c r="AG38" s="221"/>
      <c r="AH38" s="221"/>
      <c r="AI38" s="221"/>
      <c r="AJ38" s="221"/>
      <c r="AK38" s="221"/>
      <c r="AL38" s="221"/>
      <c r="AM38" s="221"/>
      <c r="AN38" s="221"/>
      <c r="AO38" s="221"/>
      <c r="AP38" s="221"/>
      <c r="AQ38" s="221"/>
      <c r="AR38" s="221"/>
      <c r="AS38" s="221"/>
      <c r="AT38" s="221"/>
    </row>
    <row r="39" spans="1:46" x14ac:dyDescent="0.2">
      <c r="A39" s="233"/>
      <c r="B39" s="233"/>
      <c r="C39" s="233"/>
      <c r="D39" s="233"/>
      <c r="E39" s="233"/>
      <c r="F39" s="233"/>
      <c r="G39" s="233"/>
      <c r="H39" s="233"/>
      <c r="I39" s="233"/>
      <c r="J39" s="233"/>
      <c r="K39" s="233"/>
      <c r="L39" s="233"/>
      <c r="M39" s="233"/>
      <c r="N39" s="233"/>
      <c r="O39" s="234"/>
      <c r="P39" s="221"/>
      <c r="Q39" s="221"/>
      <c r="R39" s="221"/>
      <c r="S39" s="222">
        <v>9</v>
      </c>
      <c r="T39" s="222">
        <v>1</v>
      </c>
      <c r="U39" s="222">
        <v>1</v>
      </c>
      <c r="V39" s="222">
        <v>1</v>
      </c>
      <c r="W39" s="221"/>
      <c r="X39" s="221"/>
      <c r="Y39" s="221"/>
      <c r="Z39" s="221"/>
      <c r="AA39" s="221"/>
      <c r="AB39" s="221"/>
      <c r="AC39" s="221"/>
      <c r="AD39" s="221"/>
      <c r="AE39" s="221"/>
      <c r="AF39" s="221"/>
      <c r="AG39" s="221"/>
      <c r="AH39" s="221"/>
      <c r="AI39" s="221"/>
      <c r="AJ39" s="221"/>
      <c r="AK39" s="221"/>
      <c r="AL39" s="221"/>
      <c r="AM39" s="221"/>
      <c r="AN39" s="221"/>
      <c r="AO39" s="221"/>
      <c r="AP39" s="221"/>
      <c r="AQ39" s="221"/>
      <c r="AR39" s="221"/>
      <c r="AS39" s="221"/>
      <c r="AT39" s="221"/>
    </row>
    <row r="40" spans="1:46" x14ac:dyDescent="0.2">
      <c r="A40" s="233"/>
      <c r="B40" s="233"/>
      <c r="C40" s="233"/>
      <c r="D40" s="233"/>
      <c r="E40" s="233"/>
      <c r="F40" s="233"/>
      <c r="G40" s="233"/>
      <c r="H40" s="233"/>
      <c r="I40" s="233"/>
      <c r="J40" s="233"/>
      <c r="K40" s="233"/>
      <c r="L40" s="233"/>
      <c r="M40" s="233"/>
      <c r="N40" s="233"/>
      <c r="O40" s="234"/>
      <c r="P40" s="221"/>
      <c r="Q40" s="221"/>
      <c r="R40" s="221"/>
      <c r="S40" s="222">
        <v>10</v>
      </c>
      <c r="T40" s="222">
        <v>1</v>
      </c>
      <c r="U40" s="222">
        <v>1</v>
      </c>
      <c r="V40" s="222">
        <v>1</v>
      </c>
      <c r="W40" s="221"/>
      <c r="X40" s="221"/>
      <c r="Y40" s="221"/>
      <c r="Z40" s="221"/>
      <c r="AA40" s="221"/>
      <c r="AB40" s="221"/>
      <c r="AC40" s="221"/>
      <c r="AD40" s="221"/>
      <c r="AE40" s="221"/>
      <c r="AF40" s="221"/>
      <c r="AG40" s="221"/>
      <c r="AH40" s="221"/>
      <c r="AI40" s="221"/>
      <c r="AJ40" s="221"/>
      <c r="AK40" s="221"/>
      <c r="AL40" s="221"/>
      <c r="AM40" s="221"/>
      <c r="AN40" s="221"/>
      <c r="AO40" s="221"/>
      <c r="AP40" s="221"/>
      <c r="AQ40" s="221"/>
      <c r="AR40" s="221"/>
      <c r="AS40" s="221"/>
      <c r="AT40" s="221"/>
    </row>
    <row r="41" spans="1:46" x14ac:dyDescent="0.2">
      <c r="A41" s="233"/>
      <c r="B41" s="233"/>
      <c r="C41" s="233"/>
      <c r="D41" s="233"/>
      <c r="E41" s="233"/>
      <c r="F41" s="233"/>
      <c r="G41" s="233"/>
      <c r="H41" s="233"/>
      <c r="I41" s="233"/>
      <c r="J41" s="233"/>
      <c r="K41" s="233"/>
      <c r="L41" s="233"/>
      <c r="M41" s="233"/>
      <c r="N41" s="233"/>
      <c r="O41" s="234"/>
      <c r="P41" s="221"/>
      <c r="Q41" s="221"/>
      <c r="R41" s="221" t="s">
        <v>74</v>
      </c>
      <c r="S41" s="222">
        <v>0</v>
      </c>
      <c r="T41" s="222" t="b">
        <v>0</v>
      </c>
      <c r="U41" s="222" t="b">
        <v>0</v>
      </c>
      <c r="V41" s="222" t="b">
        <v>0</v>
      </c>
      <c r="W41" s="221"/>
      <c r="X41" s="222" t="s">
        <v>95</v>
      </c>
      <c r="Y41" s="221"/>
      <c r="Z41" s="221"/>
      <c r="AA41" s="221"/>
      <c r="AB41" s="221"/>
      <c r="AC41" s="221"/>
      <c r="AD41" s="221"/>
      <c r="AE41" s="221"/>
      <c r="AF41" s="221"/>
      <c r="AG41" s="221"/>
      <c r="AH41" s="221"/>
      <c r="AI41" s="221"/>
      <c r="AJ41" s="221"/>
      <c r="AK41" s="221"/>
      <c r="AL41" s="221"/>
      <c r="AM41" s="221"/>
      <c r="AN41" s="221"/>
      <c r="AO41" s="221"/>
      <c r="AP41" s="221"/>
      <c r="AQ41" s="221"/>
      <c r="AR41" s="221"/>
      <c r="AS41" s="221"/>
      <c r="AT41" s="221"/>
    </row>
    <row r="42" spans="1:46" x14ac:dyDescent="0.2">
      <c r="O42" s="221"/>
      <c r="P42" s="221"/>
      <c r="Q42" s="221" t="s">
        <v>3</v>
      </c>
      <c r="R42" s="221" t="s">
        <v>72</v>
      </c>
      <c r="S42" s="222" t="s">
        <v>5</v>
      </c>
      <c r="T42" s="222" t="b">
        <v>0</v>
      </c>
      <c r="U42" s="222" t="b">
        <v>0</v>
      </c>
      <c r="V42" s="222" t="b">
        <v>0</v>
      </c>
      <c r="W42" s="221"/>
      <c r="X42" s="223" t="b">
        <v>0</v>
      </c>
      <c r="Y42" s="221"/>
      <c r="Z42" s="221"/>
      <c r="AA42" s="221"/>
      <c r="AB42" s="221"/>
      <c r="AC42" s="221"/>
      <c r="AD42" s="221"/>
      <c r="AE42" s="221"/>
      <c r="AF42" s="221"/>
      <c r="AG42" s="221"/>
      <c r="AH42" s="221"/>
      <c r="AI42" s="221"/>
      <c r="AJ42" s="221"/>
      <c r="AK42" s="221"/>
      <c r="AL42" s="221"/>
      <c r="AM42" s="221"/>
      <c r="AN42" s="221"/>
      <c r="AO42" s="221"/>
      <c r="AP42" s="221"/>
      <c r="AQ42" s="221"/>
      <c r="AR42" s="221"/>
      <c r="AS42" s="221"/>
      <c r="AT42" s="221"/>
    </row>
    <row r="43" spans="1:46" x14ac:dyDescent="0.2">
      <c r="O43" s="221"/>
      <c r="P43" s="221"/>
      <c r="Q43" s="221"/>
      <c r="R43" s="221"/>
      <c r="S43" s="222" t="s">
        <v>6</v>
      </c>
      <c r="T43" s="222" t="b">
        <v>0</v>
      </c>
      <c r="U43" s="222" t="b">
        <v>0</v>
      </c>
      <c r="V43" s="222" t="b">
        <v>0</v>
      </c>
      <c r="W43" s="221"/>
      <c r="X43" s="222" t="s">
        <v>110</v>
      </c>
      <c r="Y43" s="221"/>
      <c r="Z43" s="221"/>
      <c r="AA43" s="221"/>
      <c r="AB43" s="221"/>
      <c r="AC43" s="221"/>
      <c r="AD43" s="221"/>
      <c r="AE43" s="221"/>
      <c r="AF43" s="221"/>
      <c r="AG43" s="221"/>
      <c r="AH43" s="221"/>
      <c r="AI43" s="221"/>
      <c r="AJ43" s="221"/>
      <c r="AK43" s="221"/>
      <c r="AL43" s="221"/>
      <c r="AM43" s="221"/>
      <c r="AN43" s="221"/>
      <c r="AO43" s="221"/>
      <c r="AP43" s="221"/>
      <c r="AQ43" s="221"/>
      <c r="AR43" s="221"/>
      <c r="AS43" s="221"/>
      <c r="AT43" s="221"/>
    </row>
    <row r="44" spans="1:46" x14ac:dyDescent="0.2">
      <c r="O44" s="221"/>
      <c r="P44" s="221"/>
      <c r="Q44" s="221"/>
      <c r="R44" s="221"/>
      <c r="S44" s="222" t="s">
        <v>7</v>
      </c>
      <c r="T44" s="222" t="b">
        <v>0</v>
      </c>
      <c r="U44" s="222" t="b">
        <v>0</v>
      </c>
      <c r="V44" s="222" t="b">
        <v>0</v>
      </c>
      <c r="W44" s="221"/>
      <c r="X44" s="223" t="b">
        <v>0</v>
      </c>
      <c r="Y44" s="221"/>
      <c r="Z44" s="221"/>
      <c r="AA44" s="221"/>
      <c r="AB44" s="221"/>
      <c r="AC44" s="221"/>
      <c r="AD44" s="221"/>
      <c r="AE44" s="221"/>
      <c r="AF44" s="221"/>
      <c r="AG44" s="221"/>
      <c r="AH44" s="221"/>
      <c r="AI44" s="221"/>
      <c r="AJ44" s="221"/>
      <c r="AK44" s="221"/>
      <c r="AL44" s="221"/>
      <c r="AM44" s="221"/>
      <c r="AN44" s="221"/>
      <c r="AO44" s="221"/>
      <c r="AP44" s="221"/>
      <c r="AQ44" s="221"/>
      <c r="AR44" s="221"/>
      <c r="AS44" s="221"/>
      <c r="AT44" s="221"/>
    </row>
    <row r="45" spans="1:46" x14ac:dyDescent="0.2">
      <c r="O45" s="221"/>
      <c r="P45" s="221"/>
      <c r="Q45" s="221"/>
      <c r="R45" s="221" t="s">
        <v>71</v>
      </c>
      <c r="S45" s="222" t="s">
        <v>5</v>
      </c>
      <c r="T45" s="222">
        <v>10</v>
      </c>
      <c r="U45" s="222">
        <v>10</v>
      </c>
      <c r="V45" s="222">
        <v>10</v>
      </c>
      <c r="W45" s="221"/>
      <c r="X45" s="221"/>
      <c r="Y45" s="221"/>
      <c r="Z45" s="221"/>
      <c r="AA45" s="221"/>
      <c r="AB45" s="221"/>
      <c r="AC45" s="221"/>
      <c r="AD45" s="221"/>
      <c r="AE45" s="221"/>
      <c r="AF45" s="221"/>
      <c r="AG45" s="221"/>
      <c r="AH45" s="221"/>
      <c r="AI45" s="221"/>
      <c r="AJ45" s="221"/>
      <c r="AK45" s="221"/>
      <c r="AL45" s="221"/>
      <c r="AM45" s="221"/>
      <c r="AN45" s="221"/>
      <c r="AO45" s="221"/>
      <c r="AP45" s="221"/>
      <c r="AQ45" s="221"/>
      <c r="AR45" s="221"/>
      <c r="AS45" s="221"/>
      <c r="AT45" s="221"/>
    </row>
    <row r="46" spans="1:46" x14ac:dyDescent="0.2">
      <c r="O46" s="221"/>
      <c r="P46" s="221"/>
      <c r="Q46" s="221"/>
      <c r="R46" s="221"/>
      <c r="S46" s="222" t="s">
        <v>6</v>
      </c>
      <c r="T46" s="222">
        <v>10</v>
      </c>
      <c r="U46" s="222">
        <v>10</v>
      </c>
      <c r="V46" s="222">
        <v>10</v>
      </c>
      <c r="W46" s="221"/>
      <c r="X46" s="221"/>
      <c r="Y46" s="221"/>
      <c r="Z46" s="221"/>
      <c r="AA46" s="221"/>
      <c r="AB46" s="221"/>
      <c r="AC46" s="221"/>
      <c r="AD46" s="221"/>
      <c r="AE46" s="221"/>
      <c r="AF46" s="221"/>
      <c r="AG46" s="221"/>
      <c r="AH46" s="221"/>
      <c r="AI46" s="221"/>
      <c r="AJ46" s="221"/>
      <c r="AK46" s="221"/>
      <c r="AL46" s="221"/>
      <c r="AM46" s="221"/>
      <c r="AN46" s="221"/>
      <c r="AO46" s="221"/>
      <c r="AP46" s="221"/>
      <c r="AQ46" s="221"/>
      <c r="AR46" s="221"/>
      <c r="AS46" s="221"/>
      <c r="AT46" s="221"/>
    </row>
    <row r="47" spans="1:46" x14ac:dyDescent="0.2">
      <c r="O47" s="221"/>
      <c r="P47" s="221"/>
      <c r="Q47" s="221"/>
      <c r="R47" s="221"/>
      <c r="S47" s="222" t="s">
        <v>7</v>
      </c>
      <c r="T47" s="222">
        <v>10</v>
      </c>
      <c r="U47" s="222">
        <v>10</v>
      </c>
      <c r="V47" s="222">
        <v>10</v>
      </c>
      <c r="W47" s="221"/>
      <c r="X47" s="221"/>
      <c r="Y47" s="221"/>
      <c r="Z47" s="221"/>
      <c r="AA47" s="221"/>
      <c r="AB47" s="221"/>
      <c r="AC47" s="221"/>
      <c r="AD47" s="221"/>
      <c r="AE47" s="221"/>
      <c r="AF47" s="221"/>
      <c r="AG47" s="221"/>
      <c r="AH47" s="221"/>
      <c r="AI47" s="221"/>
      <c r="AJ47" s="221"/>
      <c r="AK47" s="221"/>
      <c r="AL47" s="221"/>
      <c r="AM47" s="221"/>
      <c r="AN47" s="221"/>
      <c r="AO47" s="221"/>
      <c r="AP47" s="221"/>
      <c r="AQ47" s="221"/>
      <c r="AR47" s="221"/>
      <c r="AS47" s="221"/>
      <c r="AT47" s="221"/>
    </row>
    <row r="48" spans="1:46" x14ac:dyDescent="0.2">
      <c r="O48" s="221"/>
      <c r="P48" s="221"/>
      <c r="Q48" s="221" t="s">
        <v>22</v>
      </c>
      <c r="R48" s="221" t="s">
        <v>69</v>
      </c>
      <c r="S48" s="222">
        <v>1</v>
      </c>
      <c r="T48" s="222" t="b">
        <v>0</v>
      </c>
      <c r="U48" s="222" t="b">
        <v>0</v>
      </c>
      <c r="V48" s="222" t="b">
        <v>0</v>
      </c>
      <c r="W48" s="221"/>
      <c r="X48" s="221"/>
      <c r="Y48" s="221"/>
      <c r="Z48" s="221"/>
      <c r="AA48" s="221"/>
      <c r="AB48" s="221"/>
      <c r="AC48" s="221"/>
      <c r="AD48" s="221"/>
      <c r="AE48" s="221"/>
      <c r="AF48" s="221"/>
      <c r="AG48" s="221"/>
      <c r="AH48" s="221"/>
      <c r="AI48" s="221"/>
      <c r="AJ48" s="221"/>
      <c r="AK48" s="221"/>
      <c r="AL48" s="221"/>
      <c r="AM48" s="221"/>
      <c r="AN48" s="221"/>
      <c r="AO48" s="221"/>
      <c r="AP48" s="221"/>
      <c r="AQ48" s="221"/>
      <c r="AR48" s="221"/>
      <c r="AS48" s="221"/>
      <c r="AT48" s="221"/>
    </row>
    <row r="49" spans="15:46" x14ac:dyDescent="0.2">
      <c r="O49" s="221"/>
      <c r="P49" s="221"/>
      <c r="Q49" s="221"/>
      <c r="R49" s="221"/>
      <c r="S49" s="222">
        <v>5</v>
      </c>
      <c r="T49" s="222" t="b">
        <v>0</v>
      </c>
      <c r="U49" s="222" t="b">
        <v>0</v>
      </c>
      <c r="V49" s="222" t="b">
        <v>0</v>
      </c>
      <c r="W49" s="221"/>
      <c r="X49" s="221"/>
      <c r="Y49" s="221"/>
      <c r="Z49" s="221"/>
      <c r="AA49" s="221"/>
      <c r="AB49" s="221"/>
      <c r="AC49" s="221"/>
      <c r="AD49" s="221"/>
      <c r="AE49" s="221"/>
      <c r="AF49" s="221"/>
      <c r="AG49" s="221"/>
      <c r="AH49" s="221"/>
      <c r="AI49" s="221"/>
      <c r="AJ49" s="221"/>
      <c r="AK49" s="221"/>
      <c r="AL49" s="221"/>
      <c r="AM49" s="221"/>
      <c r="AN49" s="221"/>
      <c r="AO49" s="221"/>
      <c r="AP49" s="221"/>
      <c r="AQ49" s="221"/>
      <c r="AR49" s="221"/>
      <c r="AS49" s="221"/>
      <c r="AT49" s="221"/>
    </row>
    <row r="50" spans="15:46" x14ac:dyDescent="0.2">
      <c r="O50" s="221"/>
      <c r="P50" s="221"/>
      <c r="Q50" s="221"/>
      <c r="R50" s="221"/>
      <c r="S50" s="222" t="s">
        <v>19</v>
      </c>
      <c r="T50" s="222" t="b">
        <v>0</v>
      </c>
      <c r="U50" s="222" t="b">
        <v>0</v>
      </c>
      <c r="V50" s="222" t="b">
        <v>0</v>
      </c>
      <c r="W50" s="221"/>
      <c r="X50" s="221"/>
      <c r="Y50" s="221"/>
      <c r="Z50" s="221"/>
      <c r="AA50" s="221"/>
      <c r="AB50" s="221"/>
      <c r="AC50" s="221"/>
      <c r="AD50" s="221"/>
      <c r="AE50" s="221"/>
      <c r="AF50" s="221"/>
      <c r="AG50" s="221"/>
      <c r="AH50" s="221"/>
      <c r="AI50" s="221"/>
      <c r="AJ50" s="221"/>
      <c r="AK50" s="221"/>
      <c r="AL50" s="221"/>
      <c r="AM50" s="221"/>
      <c r="AN50" s="221"/>
      <c r="AO50" s="221"/>
      <c r="AP50" s="221"/>
      <c r="AQ50" s="221"/>
      <c r="AR50" s="221"/>
      <c r="AS50" s="221"/>
      <c r="AT50" s="221"/>
    </row>
    <row r="51" spans="15:46" x14ac:dyDescent="0.2">
      <c r="O51" s="221"/>
      <c r="P51" s="221"/>
      <c r="Q51" s="221"/>
      <c r="R51" s="221" t="s">
        <v>12</v>
      </c>
      <c r="S51" s="222">
        <v>1</v>
      </c>
      <c r="T51" s="222">
        <v>1</v>
      </c>
      <c r="U51" s="222">
        <v>1</v>
      </c>
      <c r="V51" s="222">
        <v>1</v>
      </c>
      <c r="W51" s="221"/>
      <c r="X51" s="221"/>
      <c r="Y51" s="221"/>
      <c r="Z51" s="221"/>
      <c r="AA51" s="221"/>
      <c r="AB51" s="221"/>
      <c r="AC51" s="221"/>
      <c r="AD51" s="221"/>
      <c r="AE51" s="221"/>
      <c r="AF51" s="221"/>
      <c r="AG51" s="221"/>
      <c r="AH51" s="221"/>
      <c r="AI51" s="221"/>
      <c r="AJ51" s="221"/>
      <c r="AK51" s="221"/>
      <c r="AL51" s="221"/>
      <c r="AM51" s="221"/>
      <c r="AN51" s="221"/>
      <c r="AO51" s="221"/>
      <c r="AP51" s="221"/>
      <c r="AQ51" s="221"/>
      <c r="AR51" s="221"/>
      <c r="AS51" s="221"/>
      <c r="AT51" s="221"/>
    </row>
    <row r="52" spans="15:46" x14ac:dyDescent="0.2">
      <c r="O52" s="221"/>
      <c r="P52" s="221"/>
      <c r="Q52" s="221"/>
      <c r="R52" s="221"/>
      <c r="S52" s="222">
        <v>5</v>
      </c>
      <c r="T52" s="222">
        <v>5</v>
      </c>
      <c r="U52" s="222">
        <v>5</v>
      </c>
      <c r="V52" s="222">
        <v>5</v>
      </c>
      <c r="W52" s="221"/>
      <c r="X52" s="221"/>
      <c r="Y52" s="221"/>
      <c r="Z52" s="221"/>
      <c r="AA52" s="221"/>
      <c r="AB52" s="221"/>
      <c r="AC52" s="221"/>
      <c r="AD52" s="221"/>
      <c r="AE52" s="221"/>
      <c r="AF52" s="221"/>
      <c r="AG52" s="221"/>
      <c r="AH52" s="221"/>
      <c r="AI52" s="221"/>
      <c r="AJ52" s="221"/>
      <c r="AK52" s="221"/>
      <c r="AL52" s="221"/>
      <c r="AM52" s="221"/>
      <c r="AN52" s="221"/>
      <c r="AO52" s="221"/>
      <c r="AP52" s="221"/>
      <c r="AQ52" s="221"/>
      <c r="AR52" s="221"/>
      <c r="AS52" s="221"/>
      <c r="AT52" s="221"/>
    </row>
    <row r="53" spans="15:46" x14ac:dyDescent="0.2">
      <c r="O53" s="221"/>
      <c r="P53" s="221"/>
      <c r="Q53" s="221"/>
      <c r="R53" s="221"/>
      <c r="S53" s="222" t="s">
        <v>19</v>
      </c>
      <c r="T53" s="222">
        <v>2</v>
      </c>
      <c r="U53" s="222">
        <v>2</v>
      </c>
      <c r="V53" s="222">
        <v>2</v>
      </c>
      <c r="W53" s="221"/>
      <c r="X53" s="221"/>
      <c r="Y53" s="221"/>
      <c r="Z53" s="221"/>
      <c r="AA53" s="221"/>
      <c r="AB53" s="221"/>
      <c r="AC53" s="221"/>
      <c r="AD53" s="221"/>
      <c r="AE53" s="221"/>
      <c r="AF53" s="221"/>
      <c r="AG53" s="221"/>
      <c r="AH53" s="221"/>
      <c r="AI53" s="221"/>
      <c r="AJ53" s="221"/>
      <c r="AK53" s="221"/>
      <c r="AL53" s="221"/>
      <c r="AM53" s="221"/>
      <c r="AN53" s="221"/>
      <c r="AO53" s="221"/>
      <c r="AP53" s="221"/>
      <c r="AQ53" s="221"/>
      <c r="AR53" s="221"/>
      <c r="AS53" s="221"/>
      <c r="AT53" s="221"/>
    </row>
    <row r="54" spans="15:46" x14ac:dyDescent="0.2">
      <c r="O54" s="221"/>
      <c r="P54" s="221"/>
      <c r="Q54" s="221" t="s">
        <v>73</v>
      </c>
      <c r="R54" s="221" t="s">
        <v>69</v>
      </c>
      <c r="S54" s="222" t="s">
        <v>5</v>
      </c>
      <c r="T54" s="222" t="b">
        <v>0</v>
      </c>
      <c r="U54" s="222" t="b">
        <v>0</v>
      </c>
      <c r="V54" s="222" t="b">
        <v>0</v>
      </c>
      <c r="W54" s="221"/>
      <c r="X54" s="221"/>
      <c r="Y54" s="221"/>
      <c r="Z54" s="221"/>
      <c r="AA54" s="221"/>
      <c r="AB54" s="221"/>
      <c r="AC54" s="221"/>
      <c r="AD54" s="221"/>
      <c r="AE54" s="221"/>
      <c r="AF54" s="221"/>
      <c r="AG54" s="221"/>
      <c r="AH54" s="221"/>
      <c r="AI54" s="221"/>
      <c r="AJ54" s="221"/>
      <c r="AK54" s="221"/>
      <c r="AL54" s="221"/>
      <c r="AM54" s="221"/>
      <c r="AN54" s="221"/>
      <c r="AO54" s="221"/>
      <c r="AP54" s="221"/>
      <c r="AQ54" s="221"/>
      <c r="AR54" s="221"/>
      <c r="AS54" s="221"/>
      <c r="AT54" s="221"/>
    </row>
    <row r="55" spans="15:46" x14ac:dyDescent="0.2">
      <c r="O55" s="221"/>
      <c r="P55" s="221"/>
      <c r="Q55" s="221"/>
      <c r="R55" s="221"/>
      <c r="S55" s="222" t="s">
        <v>6</v>
      </c>
      <c r="T55" s="222" t="b">
        <v>0</v>
      </c>
      <c r="U55" s="222" t="b">
        <v>0</v>
      </c>
      <c r="V55" s="222" t="b">
        <v>0</v>
      </c>
      <c r="W55" s="225" t="s">
        <v>112</v>
      </c>
      <c r="X55" s="225" t="s">
        <v>112</v>
      </c>
      <c r="Y55" s="226" t="s">
        <v>112</v>
      </c>
      <c r="Z55" s="221"/>
      <c r="AA55" s="221" t="s">
        <v>6</v>
      </c>
      <c r="AB55" s="221"/>
      <c r="AC55" s="221"/>
      <c r="AD55" s="221"/>
      <c r="AE55" s="221"/>
      <c r="AF55" s="221"/>
      <c r="AG55" s="221"/>
      <c r="AH55" s="221"/>
      <c r="AI55" s="221"/>
      <c r="AJ55" s="221"/>
      <c r="AK55" s="221"/>
      <c r="AL55" s="221"/>
      <c r="AM55" s="221"/>
      <c r="AN55" s="221"/>
      <c r="AO55" s="221"/>
      <c r="AP55" s="221"/>
      <c r="AQ55" s="221"/>
      <c r="AR55" s="221"/>
      <c r="AS55" s="221"/>
      <c r="AT55" s="221"/>
    </row>
    <row r="56" spans="15:46" x14ac:dyDescent="0.2">
      <c r="O56" s="221"/>
      <c r="P56" s="221"/>
      <c r="Q56" s="221"/>
      <c r="R56" s="221"/>
      <c r="S56" s="222" t="s">
        <v>7</v>
      </c>
      <c r="T56" s="222" t="b">
        <v>0</v>
      </c>
      <c r="U56" s="222" t="b">
        <v>0</v>
      </c>
      <c r="V56" s="222" t="b">
        <v>0</v>
      </c>
      <c r="W56" s="224">
        <v>1</v>
      </c>
      <c r="X56" s="224">
        <v>1</v>
      </c>
      <c r="Y56" s="227">
        <v>1</v>
      </c>
      <c r="Z56" s="221"/>
      <c r="AA56" s="221"/>
      <c r="AB56" s="221"/>
      <c r="AC56" s="221"/>
      <c r="AD56" s="221"/>
      <c r="AE56" s="221"/>
      <c r="AF56" s="221"/>
      <c r="AG56" s="221"/>
      <c r="AH56" s="221"/>
      <c r="AI56" s="221"/>
      <c r="AJ56" s="221"/>
      <c r="AK56" s="221"/>
      <c r="AL56" s="221"/>
      <c r="AM56" s="221"/>
      <c r="AN56" s="221"/>
      <c r="AO56" s="221"/>
      <c r="AP56" s="221"/>
      <c r="AQ56" s="221"/>
      <c r="AR56" s="221"/>
      <c r="AS56" s="221"/>
      <c r="AT56" s="221"/>
    </row>
    <row r="57" spans="15:46" x14ac:dyDescent="0.2">
      <c r="O57" s="221"/>
      <c r="P57" s="221"/>
      <c r="Q57" s="221"/>
      <c r="R57" s="221" t="s">
        <v>93</v>
      </c>
      <c r="S57" s="222">
        <v>0</v>
      </c>
      <c r="T57" s="222" t="s">
        <v>112</v>
      </c>
      <c r="U57" s="222" t="s">
        <v>112</v>
      </c>
      <c r="V57" s="222" t="s">
        <v>112</v>
      </c>
      <c r="W57" s="225" t="s">
        <v>112</v>
      </c>
      <c r="X57" s="225" t="s">
        <v>112</v>
      </c>
      <c r="Y57" s="226" t="s">
        <v>112</v>
      </c>
      <c r="Z57" s="221" t="s">
        <v>5</v>
      </c>
      <c r="AA57" s="221" t="s">
        <v>7</v>
      </c>
      <c r="AB57" s="221"/>
      <c r="AC57" s="221"/>
      <c r="AD57" s="221"/>
      <c r="AE57" s="221"/>
      <c r="AF57" s="221"/>
      <c r="AG57" s="221"/>
      <c r="AH57" s="221"/>
      <c r="AI57" s="221"/>
      <c r="AJ57" s="221"/>
      <c r="AK57" s="221"/>
      <c r="AL57" s="221"/>
      <c r="AM57" s="221"/>
      <c r="AN57" s="221"/>
      <c r="AO57" s="221"/>
      <c r="AP57" s="221"/>
      <c r="AQ57" s="221"/>
      <c r="AR57" s="221"/>
      <c r="AS57" s="221"/>
      <c r="AT57" s="221"/>
    </row>
    <row r="58" spans="15:46" x14ac:dyDescent="0.2">
      <c r="O58" s="221"/>
      <c r="P58" s="221"/>
      <c r="Q58" s="221"/>
      <c r="R58" s="221" t="s">
        <v>94</v>
      </c>
      <c r="S58" s="222">
        <v>0</v>
      </c>
      <c r="T58" s="222">
        <v>1</v>
      </c>
      <c r="U58" s="222">
        <v>1</v>
      </c>
      <c r="V58" s="222">
        <v>1</v>
      </c>
      <c r="W58" s="224">
        <v>1</v>
      </c>
      <c r="X58" s="224">
        <v>1</v>
      </c>
      <c r="Y58" s="227">
        <v>1</v>
      </c>
      <c r="Z58" s="221"/>
      <c r="AA58" s="221"/>
      <c r="AB58" s="221"/>
      <c r="AC58" s="221"/>
      <c r="AD58" s="221"/>
      <c r="AE58" s="221"/>
      <c r="AF58" s="221"/>
      <c r="AG58" s="221"/>
      <c r="AH58" s="221"/>
      <c r="AI58" s="221"/>
      <c r="AJ58" s="221"/>
      <c r="AK58" s="221"/>
      <c r="AL58" s="221"/>
      <c r="AM58" s="221"/>
      <c r="AN58" s="221"/>
      <c r="AO58" s="221"/>
      <c r="AP58" s="221"/>
      <c r="AQ58" s="221"/>
      <c r="AR58" s="221"/>
      <c r="AS58" s="221"/>
      <c r="AT58" s="221"/>
    </row>
    <row r="59" spans="15:46" x14ac:dyDescent="0.2">
      <c r="O59" s="221"/>
      <c r="P59" s="221"/>
      <c r="Q59" s="221"/>
      <c r="R59" s="221" t="s">
        <v>75</v>
      </c>
      <c r="S59" s="222">
        <v>0</v>
      </c>
      <c r="T59" s="222" t="s">
        <v>112</v>
      </c>
      <c r="U59" s="222" t="s">
        <v>112</v>
      </c>
      <c r="V59" s="222" t="s">
        <v>112</v>
      </c>
      <c r="W59" s="221"/>
      <c r="X59" s="221"/>
      <c r="Y59" s="221"/>
      <c r="Z59" s="221"/>
      <c r="AA59" s="221"/>
      <c r="AB59" s="221"/>
      <c r="AC59" s="221"/>
      <c r="AD59" s="221"/>
      <c r="AE59" s="221"/>
      <c r="AF59" s="221"/>
      <c r="AG59" s="221" t="s">
        <v>1</v>
      </c>
      <c r="AH59" s="221"/>
      <c r="AI59" s="221"/>
      <c r="AJ59" s="221"/>
      <c r="AK59" s="221"/>
      <c r="AL59" s="221"/>
      <c r="AM59" s="221"/>
      <c r="AN59" s="221"/>
      <c r="AO59" s="221"/>
      <c r="AP59" s="221"/>
      <c r="AQ59" s="221"/>
      <c r="AR59" s="221"/>
      <c r="AS59" s="221"/>
      <c r="AT59" s="221"/>
    </row>
    <row r="60" spans="15:46" x14ac:dyDescent="0.2">
      <c r="O60" s="221"/>
      <c r="P60" s="221"/>
      <c r="Q60" s="221"/>
      <c r="R60" s="221"/>
      <c r="S60" s="222">
        <v>0</v>
      </c>
      <c r="T60" s="222">
        <v>1</v>
      </c>
      <c r="U60" s="222">
        <v>1</v>
      </c>
      <c r="V60" s="222">
        <v>1</v>
      </c>
      <c r="W60" s="221"/>
      <c r="X60" s="221"/>
      <c r="Y60" s="221"/>
      <c r="Z60" s="221"/>
      <c r="AA60" s="221"/>
      <c r="AB60" s="221"/>
      <c r="AC60" s="221"/>
      <c r="AD60" s="221"/>
      <c r="AE60" s="221"/>
      <c r="AF60" s="221"/>
      <c r="AG60" s="221"/>
      <c r="AH60" s="221"/>
      <c r="AI60" s="221"/>
      <c r="AJ60" s="221"/>
      <c r="AK60" s="221"/>
      <c r="AL60" s="221"/>
      <c r="AM60" s="221"/>
      <c r="AN60" s="221"/>
      <c r="AO60" s="221"/>
      <c r="AP60" s="221"/>
      <c r="AQ60" s="221"/>
      <c r="AR60" s="221"/>
      <c r="AS60" s="221"/>
      <c r="AT60" s="221"/>
    </row>
    <row r="61" spans="15:46" x14ac:dyDescent="0.2">
      <c r="O61" s="221"/>
      <c r="P61" s="221"/>
      <c r="Q61" s="221"/>
      <c r="R61" s="221"/>
      <c r="S61" s="222" t="s">
        <v>5</v>
      </c>
      <c r="T61" s="239">
        <v>156</v>
      </c>
      <c r="U61" s="239">
        <v>156</v>
      </c>
      <c r="V61" s="239">
        <v>156</v>
      </c>
      <c r="W61" s="228">
        <f>Diagrama!B6</f>
        <v>156</v>
      </c>
      <c r="X61" s="228">
        <f>Diagrama!C6</f>
        <v>156</v>
      </c>
      <c r="Y61" s="228">
        <f>Diagrama!D6</f>
        <v>1856</v>
      </c>
      <c r="Z61" s="228">
        <f>Diagrama!E6</f>
        <v>156</v>
      </c>
      <c r="AA61" s="228">
        <f>Diagrama!F6</f>
        <v>12856</v>
      </c>
      <c r="AB61" s="228">
        <f>Diagrama!G6</f>
        <v>18</v>
      </c>
      <c r="AC61" s="228">
        <f>Diagrama!H6</f>
        <v>0</v>
      </c>
      <c r="AD61" s="228">
        <f>Diagrama!I6</f>
        <v>0</v>
      </c>
      <c r="AE61" s="228">
        <f>Diagrama!J6</f>
        <v>0</v>
      </c>
      <c r="AF61" s="228">
        <f>Diagrama!K6</f>
        <v>0</v>
      </c>
      <c r="AG61" s="228">
        <f>Diagrama!L6</f>
        <v>0</v>
      </c>
      <c r="AH61" s="223">
        <v>0.25</v>
      </c>
      <c r="AI61" s="221"/>
      <c r="AJ61" s="221"/>
      <c r="AK61" s="221"/>
      <c r="AL61" s="221"/>
      <c r="AM61" s="221"/>
      <c r="AN61" s="221"/>
      <c r="AO61" s="221"/>
      <c r="AP61" s="221"/>
      <c r="AQ61" s="221"/>
      <c r="AR61" s="221"/>
      <c r="AS61" s="221"/>
      <c r="AT61" s="221"/>
    </row>
    <row r="62" spans="15:46" x14ac:dyDescent="0.2">
      <c r="O62" s="221"/>
      <c r="P62" s="221"/>
      <c r="Q62" s="221"/>
      <c r="R62" s="221"/>
      <c r="S62" s="222" t="s">
        <v>6</v>
      </c>
      <c r="T62" s="239">
        <v>156</v>
      </c>
      <c r="U62" s="239">
        <v>156</v>
      </c>
      <c r="V62" s="239">
        <v>156</v>
      </c>
      <c r="W62" s="228">
        <f>Diagrama!B7</f>
        <v>156</v>
      </c>
      <c r="X62" s="228">
        <f>Diagrama!C7</f>
        <v>156</v>
      </c>
      <c r="Y62" s="228">
        <f>Diagrama!D7</f>
        <v>1486</v>
      </c>
      <c r="Z62" s="228">
        <f>Diagrama!E7</f>
        <v>156</v>
      </c>
      <c r="AA62" s="228">
        <f>Diagrama!F7</f>
        <v>1856</v>
      </c>
      <c r="AB62" s="228">
        <f>Diagrama!G7</f>
        <v>856</v>
      </c>
      <c r="AC62" s="228">
        <f>Diagrama!H7</f>
        <v>0</v>
      </c>
      <c r="AD62" s="228">
        <f>Diagrama!I7</f>
        <v>0</v>
      </c>
      <c r="AE62" s="228">
        <f>Diagrama!J7</f>
        <v>0</v>
      </c>
      <c r="AF62" s="228">
        <f>Diagrama!K7</f>
        <v>0</v>
      </c>
      <c r="AG62" s="228">
        <f>Diagrama!L7</f>
        <v>0</v>
      </c>
      <c r="AH62" s="223">
        <v>0</v>
      </c>
      <c r="AI62" s="221"/>
      <c r="AJ62" s="221"/>
      <c r="AK62" s="221"/>
      <c r="AL62" s="221"/>
      <c r="AM62" s="221"/>
      <c r="AN62" s="221"/>
      <c r="AO62" s="221"/>
      <c r="AP62" s="221"/>
      <c r="AQ62" s="221"/>
      <c r="AR62" s="221"/>
      <c r="AS62" s="221"/>
      <c r="AT62" s="221"/>
    </row>
    <row r="63" spans="15:46" x14ac:dyDescent="0.2">
      <c r="O63" s="221"/>
      <c r="P63" s="221"/>
      <c r="Q63" s="221"/>
      <c r="R63" s="221"/>
      <c r="S63" s="222" t="s">
        <v>7</v>
      </c>
      <c r="T63" s="239">
        <v>1856</v>
      </c>
      <c r="U63" s="239">
        <v>1856</v>
      </c>
      <c r="V63" s="239">
        <v>1856</v>
      </c>
      <c r="W63" s="228">
        <f>Diagrama!B8</f>
        <v>546</v>
      </c>
      <c r="X63" s="228">
        <f>Diagrama!C8</f>
        <v>152</v>
      </c>
      <c r="Y63" s="228">
        <f>Diagrama!D8</f>
        <v>185</v>
      </c>
      <c r="Z63" s="228">
        <f>Diagrama!E8</f>
        <v>1856</v>
      </c>
      <c r="AA63" s="228">
        <f>Diagrama!F8</f>
        <v>1856</v>
      </c>
      <c r="AB63" s="228">
        <f>Diagrama!G8</f>
        <v>856</v>
      </c>
      <c r="AC63" s="228">
        <f>Diagrama!H8</f>
        <v>0</v>
      </c>
      <c r="AD63" s="228">
        <f>Diagrama!I8</f>
        <v>0</v>
      </c>
      <c r="AE63" s="228">
        <f>Diagrama!J8</f>
        <v>0</v>
      </c>
      <c r="AF63" s="228">
        <f>Diagrama!K8</f>
        <v>0</v>
      </c>
      <c r="AG63" s="228">
        <f>Diagrama!L8</f>
        <v>0</v>
      </c>
      <c r="AH63" s="223">
        <v>0.75</v>
      </c>
      <c r="AI63" s="221"/>
      <c r="AJ63" s="221"/>
      <c r="AK63" s="221"/>
      <c r="AL63" s="221"/>
      <c r="AM63" s="221"/>
      <c r="AN63" s="221"/>
      <c r="AO63" s="221"/>
      <c r="AP63" s="221"/>
      <c r="AQ63" s="221"/>
      <c r="AR63" s="221"/>
      <c r="AS63" s="221"/>
      <c r="AT63" s="221"/>
    </row>
    <row r="64" spans="15:46" x14ac:dyDescent="0.2">
      <c r="O64" s="221"/>
      <c r="P64" s="221"/>
      <c r="Q64" s="221"/>
      <c r="R64" s="221"/>
      <c r="S64" s="222" t="s">
        <v>18</v>
      </c>
      <c r="T64" s="239">
        <v>2168</v>
      </c>
      <c r="U64" s="239">
        <v>2168</v>
      </c>
      <c r="V64" s="239">
        <v>2168</v>
      </c>
      <c r="W64" s="228">
        <f>Diagrama!B9</f>
        <v>858</v>
      </c>
      <c r="X64" s="228">
        <f>Diagrama!C9</f>
        <v>464</v>
      </c>
      <c r="Y64" s="228">
        <f>Diagrama!D9</f>
        <v>3527</v>
      </c>
      <c r="Z64" s="228">
        <f>Diagrama!E9</f>
        <v>2168</v>
      </c>
      <c r="AA64" s="228">
        <f>Diagrama!F9</f>
        <v>16568</v>
      </c>
      <c r="AB64" s="228">
        <f>Diagrama!G9</f>
        <v>1730</v>
      </c>
      <c r="AC64" s="228">
        <f>Diagrama!H9</f>
        <v>0</v>
      </c>
      <c r="AD64" s="228">
        <f>Diagrama!I9</f>
        <v>0</v>
      </c>
      <c r="AE64" s="228">
        <f>Diagrama!J9</f>
        <v>0</v>
      </c>
      <c r="AF64" s="228">
        <f>Diagrama!K9</f>
        <v>0</v>
      </c>
      <c r="AG64" s="228">
        <f>Diagrama!L9</f>
        <v>0</v>
      </c>
      <c r="AH64" s="221"/>
      <c r="AI64" s="221"/>
      <c r="AJ64" s="221"/>
      <c r="AK64" s="221"/>
      <c r="AL64" s="221"/>
      <c r="AM64" s="221"/>
      <c r="AN64" s="221"/>
      <c r="AO64" s="221"/>
      <c r="AP64" s="221"/>
      <c r="AQ64" s="221"/>
      <c r="AR64" s="221"/>
      <c r="AS64" s="221"/>
      <c r="AT64" s="221"/>
    </row>
    <row r="65" spans="15:46" x14ac:dyDescent="0.2">
      <c r="O65" s="221"/>
      <c r="P65" s="221"/>
      <c r="Q65" s="221"/>
      <c r="R65" s="221"/>
      <c r="S65" s="222" t="s">
        <v>32</v>
      </c>
      <c r="T65" s="240">
        <v>1.1681034482758621</v>
      </c>
      <c r="U65" s="241">
        <v>1.1681034482758621</v>
      </c>
      <c r="V65" s="240">
        <v>1.1681034482758621</v>
      </c>
      <c r="W65" s="229">
        <f>Diagrama!B20</f>
        <v>1.5714285714285714</v>
      </c>
      <c r="X65" s="229">
        <f>Diagrama!C20</f>
        <v>3.0526315789473686</v>
      </c>
      <c r="Y65" s="229">
        <f>Diagrama!D20</f>
        <v>19.064864864864866</v>
      </c>
      <c r="Z65" s="229">
        <f>Diagrama!E20</f>
        <v>1.1681034482758621</v>
      </c>
      <c r="AA65" s="229">
        <f>Diagrama!F20</f>
        <v>8.9267241379310338</v>
      </c>
      <c r="AB65" s="229">
        <f>Diagrama!G20</f>
        <v>2.0210280373831777</v>
      </c>
      <c r="AC65" s="229" t="e">
        <f>Diagrama!H20</f>
        <v>#DIV/0!</v>
      </c>
      <c r="AD65" s="229" t="e">
        <f>Diagrama!I20</f>
        <v>#DIV/0!</v>
      </c>
      <c r="AE65" s="229" t="e">
        <f>Diagrama!J20</f>
        <v>#DIV/0!</v>
      </c>
      <c r="AF65" s="229" t="e">
        <f>Diagrama!K20</f>
        <v>#DIV/0!</v>
      </c>
      <c r="AG65" s="229" t="e">
        <f>Diagrama!L20</f>
        <v>#DIV/0!</v>
      </c>
      <c r="AH65" s="221"/>
      <c r="AI65" s="221"/>
      <c r="AJ65" s="221"/>
      <c r="AK65" s="221"/>
      <c r="AL65" s="221"/>
      <c r="AM65" s="221"/>
      <c r="AN65" s="221"/>
      <c r="AO65" s="221"/>
      <c r="AP65" s="221"/>
      <c r="AQ65" s="221"/>
      <c r="AR65" s="221"/>
      <c r="AS65" s="221"/>
      <c r="AT65" s="221"/>
    </row>
    <row r="66" spans="15:46" x14ac:dyDescent="0.2">
      <c r="O66" s="221"/>
      <c r="P66" s="221"/>
      <c r="Q66" s="221"/>
      <c r="R66" s="221"/>
      <c r="S66" s="222" t="s">
        <v>33</v>
      </c>
      <c r="T66" s="240">
        <v>5.9487179487179462</v>
      </c>
      <c r="U66" s="241">
        <v>5.9487179487179462</v>
      </c>
      <c r="V66" s="240">
        <v>5.9487179487179462</v>
      </c>
      <c r="W66" s="229">
        <f>Diagrama!B21</f>
        <v>1.75</v>
      </c>
      <c r="X66" s="229">
        <f>Diagrama!C21</f>
        <v>0.48717948717948717</v>
      </c>
      <c r="Y66" s="229">
        <f>Diagrama!D21</f>
        <v>5.5356074207061637E-2</v>
      </c>
      <c r="Z66" s="229">
        <f>Diagrama!E21</f>
        <v>5.9487179487179462</v>
      </c>
      <c r="AA66" s="229">
        <f>Diagrama!F21</f>
        <v>0.12615551930396954</v>
      </c>
      <c r="AB66" s="229">
        <f>Diagrama!G21</f>
        <v>0.97940503432494275</v>
      </c>
      <c r="AC66" s="229" t="e">
        <f>Diagrama!H21</f>
        <v>#DIV/0!</v>
      </c>
      <c r="AD66" s="229" t="e">
        <f>Diagrama!I21</f>
        <v>#DIV/0!</v>
      </c>
      <c r="AE66" s="229" t="e">
        <f>Diagrama!J21</f>
        <v>#DIV/0!</v>
      </c>
      <c r="AF66" s="229" t="e">
        <f>Diagrama!K21</f>
        <v>#DIV/0!</v>
      </c>
      <c r="AG66" s="229" t="e">
        <f>Diagrama!L21</f>
        <v>#DIV/0!</v>
      </c>
      <c r="AH66" s="221"/>
      <c r="AI66" s="221"/>
      <c r="AJ66" s="221"/>
      <c r="AK66" s="221"/>
      <c r="AL66" s="221"/>
      <c r="AM66" s="221"/>
      <c r="AN66" s="221"/>
      <c r="AO66" s="221"/>
      <c r="AP66" s="221"/>
      <c r="AQ66" s="221"/>
      <c r="AR66" s="221"/>
      <c r="AS66" s="221"/>
      <c r="AT66" s="221"/>
    </row>
    <row r="67" spans="15:46" x14ac:dyDescent="0.2">
      <c r="O67" s="221"/>
      <c r="P67" s="221"/>
      <c r="Q67" s="221"/>
      <c r="R67" s="221"/>
      <c r="S67" s="222" t="s">
        <v>34</v>
      </c>
      <c r="T67" s="240">
        <v>12.897435897435898</v>
      </c>
      <c r="U67" s="241">
        <v>12.897435897435898</v>
      </c>
      <c r="V67" s="240">
        <v>12.897435897435898</v>
      </c>
      <c r="W67" s="229">
        <f>Diagrama!B22</f>
        <v>4.4999999999999991</v>
      </c>
      <c r="X67" s="229">
        <f>Diagrama!C22</f>
        <v>1.9743589743589742</v>
      </c>
      <c r="Y67" s="229">
        <f>Diagrama!D22</f>
        <v>0.90032327586206906</v>
      </c>
      <c r="Z67" s="229">
        <f>Diagrama!E22</f>
        <v>12.897435897435898</v>
      </c>
      <c r="AA67" s="229">
        <f>Diagrama!F22</f>
        <v>0.28873677660236463</v>
      </c>
      <c r="AB67" s="229">
        <f>Diagrama!G22</f>
        <v>95.1111111111111</v>
      </c>
      <c r="AC67" s="229" t="e">
        <f>Diagrama!H22</f>
        <v>#DIV/0!</v>
      </c>
      <c r="AD67" s="229" t="e">
        <f>Diagrama!I22</f>
        <v>#DIV/0!</v>
      </c>
      <c r="AE67" s="229" t="e">
        <f>Diagrama!J22</f>
        <v>#DIV/0!</v>
      </c>
      <c r="AF67" s="229" t="e">
        <f>Diagrama!K22</f>
        <v>#DIV/0!</v>
      </c>
      <c r="AG67" s="229" t="e">
        <f>Diagrama!L22</f>
        <v>#DIV/0!</v>
      </c>
      <c r="AH67" s="221"/>
      <c r="AI67" s="221"/>
      <c r="AJ67" s="221"/>
      <c r="AK67" s="221"/>
      <c r="AL67" s="221"/>
      <c r="AM67" s="221"/>
      <c r="AN67" s="221"/>
      <c r="AO67" s="221"/>
      <c r="AP67" s="221"/>
      <c r="AQ67" s="221"/>
      <c r="AR67" s="221"/>
      <c r="AS67" s="221"/>
      <c r="AT67" s="221"/>
    </row>
    <row r="68" spans="15:46" x14ac:dyDescent="0.2">
      <c r="O68" s="221"/>
      <c r="P68" s="221"/>
      <c r="Q68" s="221"/>
      <c r="R68" s="221"/>
      <c r="S68" s="222" t="s">
        <v>22</v>
      </c>
      <c r="T68" s="240">
        <v>9.0568657023376978E-2</v>
      </c>
      <c r="U68" s="241">
        <v>9.0568657023376978E-2</v>
      </c>
      <c r="V68" s="240">
        <v>9.0568657023376978E-2</v>
      </c>
      <c r="W68" s="229">
        <f>Diagrama!B23</f>
        <v>0.34920634920634924</v>
      </c>
      <c r="X68" s="229">
        <f>Diagrama!C23</f>
        <v>1.546138072453862</v>
      </c>
      <c r="Y68" s="229">
        <f>Diagrama!D23</f>
        <v>21.175577013278986</v>
      </c>
      <c r="Z68" s="229">
        <f>Diagrama!E23</f>
        <v>9.0568657023376978E-2</v>
      </c>
      <c r="AA68" s="229">
        <f>Diagrama!F23</f>
        <v>30.91647777942925</v>
      </c>
      <c r="AB68" s="229">
        <f>Diagrama!G23</f>
        <v>2.1249126561271731E-2</v>
      </c>
      <c r="AC68" s="229" t="e">
        <f>Diagrama!H23</f>
        <v>#DIV/0!</v>
      </c>
      <c r="AD68" s="229" t="e">
        <f>Diagrama!I23</f>
        <v>#DIV/0!</v>
      </c>
      <c r="AE68" s="229" t="e">
        <f>Diagrama!J23</f>
        <v>#DIV/0!</v>
      </c>
      <c r="AF68" s="229" t="e">
        <f>Diagrama!K23</f>
        <v>#DIV/0!</v>
      </c>
      <c r="AG68" s="229" t="e">
        <f>Diagrama!L23</f>
        <v>#DIV/0!</v>
      </c>
      <c r="AH68" s="221"/>
      <c r="AI68" s="221"/>
      <c r="AJ68" s="221"/>
      <c r="AK68" s="221"/>
      <c r="AL68" s="221"/>
      <c r="AM68" s="221"/>
      <c r="AN68" s="221"/>
      <c r="AO68" s="221"/>
      <c r="AP68" s="221"/>
      <c r="AQ68" s="221"/>
      <c r="AR68" s="221"/>
      <c r="AS68" s="221"/>
      <c r="AT68" s="221"/>
    </row>
    <row r="69" spans="15:46" x14ac:dyDescent="0.2">
      <c r="O69" s="221"/>
      <c r="P69" s="221"/>
      <c r="Q69" s="221"/>
      <c r="R69" s="221"/>
      <c r="S69" s="222" t="s">
        <v>14</v>
      </c>
      <c r="T69" s="242">
        <v>7.195571955719557</v>
      </c>
      <c r="U69" s="241">
        <v>7.195571955719557</v>
      </c>
      <c r="V69" s="242">
        <v>7.195571955719557</v>
      </c>
      <c r="W69" s="230">
        <f t="shared" ref="W69:AB69" si="0">100*W61/W64</f>
        <v>18.181818181818183</v>
      </c>
      <c r="X69" s="230">
        <f t="shared" si="0"/>
        <v>33.620689655172413</v>
      </c>
      <c r="Y69" s="230">
        <f t="shared" si="0"/>
        <v>52.622625460731498</v>
      </c>
      <c r="Z69" s="230">
        <f t="shared" si="0"/>
        <v>7.195571955719557</v>
      </c>
      <c r="AA69" s="230">
        <f t="shared" si="0"/>
        <v>77.595364558184457</v>
      </c>
      <c r="AB69" s="230">
        <f t="shared" si="0"/>
        <v>1.0404624277456647</v>
      </c>
      <c r="AC69" s="230" t="e">
        <f>100*AC61/AC64</f>
        <v>#DIV/0!</v>
      </c>
      <c r="AD69" s="230" t="e">
        <f>100*AD61/AD64</f>
        <v>#DIV/0!</v>
      </c>
      <c r="AE69" s="230" t="e">
        <f>100*AE61/AE64</f>
        <v>#DIV/0!</v>
      </c>
      <c r="AF69" s="230" t="e">
        <f>100*AF61/AF64</f>
        <v>#DIV/0!</v>
      </c>
      <c r="AG69" s="230" t="e">
        <f>100*AG61/AG64</f>
        <v>#DIV/0!</v>
      </c>
      <c r="AH69" s="221"/>
      <c r="AI69" s="221"/>
      <c r="AJ69" s="221"/>
      <c r="AK69" s="221"/>
      <c r="AL69" s="221"/>
      <c r="AM69" s="221"/>
      <c r="AN69" s="221"/>
      <c r="AO69" s="221"/>
      <c r="AP69" s="221"/>
      <c r="AQ69" s="221"/>
      <c r="AR69" s="221"/>
      <c r="AS69" s="221"/>
      <c r="AT69" s="221"/>
    </row>
    <row r="70" spans="15:46" x14ac:dyDescent="0.2">
      <c r="O70" s="221"/>
      <c r="P70" s="221"/>
      <c r="Q70" s="221"/>
      <c r="R70" s="221"/>
      <c r="S70" s="222" t="s">
        <v>76</v>
      </c>
      <c r="T70" s="239">
        <v>0</v>
      </c>
      <c r="U70" s="239">
        <v>0</v>
      </c>
      <c r="V70" s="239">
        <v>0</v>
      </c>
      <c r="W70" s="221"/>
      <c r="X70" s="221"/>
      <c r="Y70" s="221"/>
      <c r="Z70" s="221"/>
      <c r="AA70" s="221"/>
      <c r="AB70" s="221"/>
      <c r="AC70" s="221"/>
      <c r="AD70" s="221"/>
      <c r="AE70" s="221"/>
      <c r="AF70" s="221"/>
      <c r="AG70" s="221"/>
      <c r="AH70" s="221"/>
      <c r="AI70" s="221"/>
      <c r="AJ70" s="221"/>
      <c r="AK70" s="221"/>
      <c r="AL70" s="221"/>
      <c r="AM70" s="221"/>
      <c r="AN70" s="221"/>
      <c r="AO70" s="221"/>
      <c r="AP70" s="221"/>
      <c r="AQ70" s="221"/>
      <c r="AR70" s="221"/>
      <c r="AS70" s="221"/>
      <c r="AT70" s="221"/>
    </row>
    <row r="71" spans="15:46" x14ac:dyDescent="0.2">
      <c r="O71" s="221"/>
      <c r="P71" s="221"/>
      <c r="Q71" s="221"/>
      <c r="R71" s="221"/>
      <c r="S71" s="222" t="s">
        <v>77</v>
      </c>
      <c r="T71" s="222"/>
      <c r="U71" s="222"/>
      <c r="V71" s="222"/>
      <c r="W71" s="221"/>
      <c r="X71" s="221"/>
      <c r="Y71" s="221"/>
      <c r="Z71" s="221"/>
      <c r="AA71" s="221"/>
      <c r="AB71" s="221"/>
      <c r="AC71" s="221"/>
      <c r="AD71" s="221"/>
      <c r="AE71" s="221"/>
      <c r="AF71" s="221"/>
      <c r="AG71" s="221"/>
      <c r="AH71" s="221"/>
      <c r="AI71" s="221"/>
      <c r="AJ71" s="221"/>
      <c r="AK71" s="221"/>
      <c r="AL71" s="221"/>
      <c r="AM71" s="221"/>
      <c r="AN71" s="221"/>
      <c r="AO71" s="221"/>
      <c r="AP71" s="221"/>
      <c r="AQ71" s="221"/>
      <c r="AR71" s="221"/>
      <c r="AS71" s="221"/>
      <c r="AT71" s="221"/>
    </row>
    <row r="72" spans="15:46" x14ac:dyDescent="0.2">
      <c r="O72" s="221"/>
      <c r="P72" s="221"/>
      <c r="Q72" s="221"/>
      <c r="R72" s="221" t="s">
        <v>91</v>
      </c>
      <c r="S72" s="222">
        <v>0</v>
      </c>
      <c r="T72" s="222" t="b">
        <v>0</v>
      </c>
      <c r="U72" s="222" t="b">
        <v>0</v>
      </c>
      <c r="V72" s="222" t="b">
        <v>0</v>
      </c>
      <c r="W72" s="222">
        <f>IF(T72,1,0)</f>
        <v>0</v>
      </c>
      <c r="X72" s="223"/>
      <c r="Y72" s="223"/>
      <c r="Z72" s="221"/>
      <c r="AA72" s="221"/>
      <c r="AB72" s="221"/>
      <c r="AC72" s="221"/>
      <c r="AD72" s="221"/>
      <c r="AE72" s="221"/>
      <c r="AF72" s="221"/>
      <c r="AG72" s="221"/>
      <c r="AH72" s="221"/>
      <c r="AI72" s="221"/>
      <c r="AJ72" s="221"/>
      <c r="AK72" s="221"/>
      <c r="AL72" s="221"/>
      <c r="AM72" s="221"/>
      <c r="AN72" s="221"/>
      <c r="AO72" s="221"/>
      <c r="AP72" s="221"/>
      <c r="AQ72" s="221"/>
      <c r="AR72" s="221"/>
      <c r="AS72" s="221"/>
      <c r="AT72" s="221"/>
    </row>
    <row r="73" spans="15:46" x14ac:dyDescent="0.2">
      <c r="O73" s="221"/>
      <c r="P73" s="221"/>
      <c r="Q73" s="221"/>
      <c r="R73" s="221"/>
      <c r="S73" s="222"/>
      <c r="T73" s="231"/>
      <c r="U73" s="222"/>
      <c r="V73" s="222"/>
      <c r="W73" s="221"/>
      <c r="X73" s="221"/>
      <c r="Y73" s="221"/>
      <c r="Z73" s="221"/>
      <c r="AA73" s="221"/>
      <c r="AB73" s="221"/>
      <c r="AC73" s="221"/>
      <c r="AD73" s="221"/>
      <c r="AE73" s="221"/>
      <c r="AF73" s="221"/>
      <c r="AG73" s="221"/>
      <c r="AH73" s="221"/>
      <c r="AI73" s="221"/>
      <c r="AJ73" s="221"/>
      <c r="AK73" s="221"/>
      <c r="AL73" s="221"/>
      <c r="AM73" s="221"/>
      <c r="AN73" s="221"/>
      <c r="AO73" s="221"/>
      <c r="AP73" s="221"/>
      <c r="AQ73" s="221"/>
      <c r="AR73" s="221"/>
      <c r="AS73" s="221"/>
      <c r="AT73" s="221"/>
    </row>
    <row r="74" spans="15:46" x14ac:dyDescent="0.2">
      <c r="O74" s="221"/>
      <c r="P74" s="221"/>
      <c r="Q74" s="221"/>
      <c r="R74" s="221"/>
      <c r="S74" s="222"/>
      <c r="T74" s="231"/>
      <c r="U74" s="222"/>
      <c r="V74" s="222"/>
      <c r="W74" s="221"/>
      <c r="X74" s="221"/>
      <c r="Y74" s="221"/>
      <c r="Z74" s="221"/>
      <c r="AA74" s="221"/>
      <c r="AB74" s="221"/>
      <c r="AC74" s="221"/>
      <c r="AD74" s="221"/>
      <c r="AE74" s="221"/>
      <c r="AF74" s="221"/>
      <c r="AG74" s="221"/>
      <c r="AH74" s="221"/>
      <c r="AI74" s="221"/>
      <c r="AJ74" s="221"/>
      <c r="AK74" s="221"/>
      <c r="AL74" s="221"/>
      <c r="AM74" s="221"/>
      <c r="AN74" s="221"/>
      <c r="AO74" s="221"/>
      <c r="AP74" s="221"/>
      <c r="AQ74" s="221"/>
      <c r="AR74" s="221"/>
      <c r="AS74" s="221"/>
      <c r="AT74" s="221"/>
    </row>
    <row r="75" spans="15:46" x14ac:dyDescent="0.2">
      <c r="O75" s="221"/>
      <c r="P75" s="221"/>
      <c r="Q75" s="221"/>
      <c r="R75" s="221"/>
      <c r="S75" s="222"/>
      <c r="T75" s="231"/>
      <c r="U75" s="222"/>
      <c r="V75" s="222"/>
      <c r="W75" s="221"/>
      <c r="X75" s="221"/>
      <c r="Y75" s="221"/>
      <c r="Z75" s="221"/>
      <c r="AA75" s="221"/>
      <c r="AB75" s="221"/>
      <c r="AC75" s="221"/>
      <c r="AD75" s="221"/>
      <c r="AE75" s="221"/>
      <c r="AF75" s="221"/>
      <c r="AG75" s="221"/>
      <c r="AH75" s="221"/>
      <c r="AI75" s="221"/>
      <c r="AJ75" s="221"/>
      <c r="AK75" s="221"/>
      <c r="AL75" s="221"/>
      <c r="AM75" s="221"/>
      <c r="AN75" s="221"/>
      <c r="AO75" s="221"/>
      <c r="AP75" s="221"/>
      <c r="AQ75" s="221"/>
      <c r="AR75" s="221"/>
      <c r="AS75" s="221"/>
      <c r="AT75" s="221"/>
    </row>
  </sheetData>
  <sheetProtection formatCells="0" formatColumns="0" formatRows="0"/>
  <phoneticPr fontId="2" type="noConversion"/>
  <pageMargins left="0.78740157499999996" right="0.78740157499999996" top="0.984251969" bottom="0.984251969" header="0.5" footer="0.5"/>
  <pageSetup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>
    <tabColor indexed="53"/>
    <pageSetUpPr fitToPage="1"/>
  </sheetPr>
  <dimension ref="A1:K109"/>
  <sheetViews>
    <sheetView windowProtection="1" showZeros="0" topLeftCell="A16" zoomScaleNormal="100" workbookViewId="0">
      <selection activeCell="H10" sqref="H10"/>
    </sheetView>
  </sheetViews>
  <sheetFormatPr defaultRowHeight="12.75" x14ac:dyDescent="0.25"/>
  <cols>
    <col min="1" max="1" width="4.5" style="17" bestFit="1" customWidth="1"/>
    <col min="2" max="2" width="9" style="16"/>
    <col min="3" max="3" width="3.875" style="17" customWidth="1"/>
    <col min="4" max="4" width="37.375" style="16" customWidth="1"/>
    <col min="5" max="5" width="13.125" style="16" customWidth="1"/>
    <col min="6" max="6" width="4.875" style="16" customWidth="1"/>
    <col min="7" max="9" width="9.375" style="16" customWidth="1"/>
    <col min="10" max="10" width="9" style="16"/>
    <col min="11" max="11" width="3" style="16" customWidth="1"/>
    <col min="12" max="16384" width="9" style="16"/>
  </cols>
  <sheetData>
    <row r="1" spans="1:11" x14ac:dyDescent="0.25">
      <c r="A1" s="35" t="s">
        <v>36</v>
      </c>
      <c r="B1" s="36" t="s">
        <v>21</v>
      </c>
      <c r="C1" s="35" t="s">
        <v>10</v>
      </c>
      <c r="D1" s="36"/>
      <c r="E1" s="35" t="s">
        <v>11</v>
      </c>
      <c r="F1" s="35"/>
      <c r="G1" s="35" t="s">
        <v>13</v>
      </c>
      <c r="H1" s="35"/>
      <c r="I1" s="35"/>
    </row>
    <row r="2" spans="1:11" x14ac:dyDescent="0.25">
      <c r="A2" s="37">
        <v>1</v>
      </c>
      <c r="B2" s="38" t="str">
        <f>Entrada_de_Dados_2!B2</f>
        <v>Henrique</v>
      </c>
      <c r="C2" s="39">
        <v>1</v>
      </c>
      <c r="D2" s="38"/>
      <c r="E2" s="38" t="str">
        <f>Entrada_de_Dados_2!C2</f>
        <v>Renewable</v>
      </c>
      <c r="F2" s="39"/>
      <c r="G2" s="40">
        <f>Entrada_de_Dados_2!D2</f>
        <v>156</v>
      </c>
      <c r="H2" s="40"/>
      <c r="I2" s="40"/>
    </row>
    <row r="3" spans="1:11" x14ac:dyDescent="0.25">
      <c r="A3" s="37">
        <v>1</v>
      </c>
      <c r="B3" s="38" t="str">
        <f>$B$2</f>
        <v>Henrique</v>
      </c>
      <c r="C3" s="39">
        <v>2</v>
      </c>
      <c r="D3" s="38"/>
      <c r="E3" s="38" t="str">
        <f>Entrada_de_Dados_2!C3</f>
        <v>Non-renewable</v>
      </c>
      <c r="F3" s="39"/>
      <c r="G3" s="40">
        <f>Entrada_de_Dados_2!D3</f>
        <v>156</v>
      </c>
      <c r="H3" s="40"/>
      <c r="I3" s="40"/>
    </row>
    <row r="4" spans="1:11" x14ac:dyDescent="0.25">
      <c r="A4" s="37">
        <v>1</v>
      </c>
      <c r="B4" s="38" t="str">
        <f t="shared" ref="B4" si="0">$B$2</f>
        <v>Henrique</v>
      </c>
      <c r="C4" s="39">
        <v>3</v>
      </c>
      <c r="D4" s="38"/>
      <c r="E4" s="38" t="str">
        <f>Entrada_de_Dados_2!C4</f>
        <v>Purchased</v>
      </c>
      <c r="F4" s="39"/>
      <c r="G4" s="40">
        <f>Entrada_de_Dados_2!D4</f>
        <v>546</v>
      </c>
      <c r="H4" s="40"/>
      <c r="I4" s="40"/>
    </row>
    <row r="5" spans="1:11" x14ac:dyDescent="0.25">
      <c r="A5" s="37"/>
      <c r="B5" s="38"/>
      <c r="C5" s="39"/>
      <c r="D5" s="41"/>
      <c r="E5" s="41"/>
      <c r="F5" s="42" t="s">
        <v>14</v>
      </c>
      <c r="G5" s="43">
        <f>I5/I8</f>
        <v>0.18181818181818182</v>
      </c>
      <c r="H5" s="42" t="s">
        <v>5</v>
      </c>
      <c r="I5" s="44">
        <f>IF(E2="Renewable",G2,IF(E3="Renewable",G3,IF(E4="Renewable",G4,)))</f>
        <v>156</v>
      </c>
    </row>
    <row r="6" spans="1:11" x14ac:dyDescent="0.25">
      <c r="A6" s="37"/>
      <c r="B6" s="38"/>
      <c r="C6" s="39"/>
      <c r="D6" s="41"/>
      <c r="E6" s="41"/>
      <c r="F6" s="42" t="s">
        <v>15</v>
      </c>
      <c r="G6" s="43">
        <f>I6/I8</f>
        <v>0.18181818181818182</v>
      </c>
      <c r="H6" s="42" t="s">
        <v>6</v>
      </c>
      <c r="I6" s="44">
        <f>IF(E2="Non-renewable",G2,IF(E3="Non-renewable",G3,IF(E4="Non-renewable",G4,)))</f>
        <v>156</v>
      </c>
    </row>
    <row r="7" spans="1:11" x14ac:dyDescent="0.25">
      <c r="A7" s="37"/>
      <c r="B7" s="38"/>
      <c r="C7" s="39"/>
      <c r="D7" s="41"/>
      <c r="E7" s="41"/>
      <c r="F7" s="42" t="s">
        <v>16</v>
      </c>
      <c r="G7" s="43">
        <f>I7/I8</f>
        <v>0.63636363636363635</v>
      </c>
      <c r="H7" s="42" t="s">
        <v>7</v>
      </c>
      <c r="I7" s="44">
        <f>IF(E2="Purchased",G2,IF(E3="Purchased",G3,IF(E4="Purchased",G4,)))</f>
        <v>546</v>
      </c>
    </row>
    <row r="8" spans="1:11" x14ac:dyDescent="0.25">
      <c r="A8" s="35"/>
      <c r="B8" s="36"/>
      <c r="C8" s="45"/>
      <c r="D8" s="46"/>
      <c r="E8" s="46"/>
      <c r="F8" s="47" t="s">
        <v>17</v>
      </c>
      <c r="G8" s="48">
        <f>SUM(G5:G7)</f>
        <v>1</v>
      </c>
      <c r="H8" s="47" t="s">
        <v>18</v>
      </c>
      <c r="I8" s="49">
        <f>SUM(I5:I7)</f>
        <v>858</v>
      </c>
    </row>
    <row r="9" spans="1:11" x14ac:dyDescent="0.25">
      <c r="A9" s="37">
        <v>2</v>
      </c>
      <c r="B9" s="38" t="str">
        <f>Entrada_de_Dados_2!B5</f>
        <v>Thayna</v>
      </c>
      <c r="C9" s="39">
        <v>1</v>
      </c>
      <c r="D9" s="38"/>
      <c r="E9" s="38" t="str">
        <f>Entrada_de_Dados_2!C5</f>
        <v>Renewable</v>
      </c>
      <c r="F9" s="39"/>
      <c r="G9" s="40">
        <f>Entrada_de_Dados_2!D5</f>
        <v>156</v>
      </c>
      <c r="H9" s="40"/>
      <c r="I9" s="40"/>
      <c r="K9" s="17"/>
    </row>
    <row r="10" spans="1:11" x14ac:dyDescent="0.25">
      <c r="A10" s="37">
        <v>2</v>
      </c>
      <c r="B10" s="38" t="str">
        <f>$B$9</f>
        <v>Thayna</v>
      </c>
      <c r="C10" s="39">
        <v>2</v>
      </c>
      <c r="D10" s="38"/>
      <c r="E10" s="38" t="str">
        <f>Entrada_de_Dados_2!C6</f>
        <v>Non-renewable</v>
      </c>
      <c r="F10" s="39"/>
      <c r="G10" s="40">
        <f>Entrada_de_Dados_2!D6</f>
        <v>156</v>
      </c>
      <c r="H10" s="40"/>
      <c r="I10" s="40"/>
      <c r="K10" s="17"/>
    </row>
    <row r="11" spans="1:11" x14ac:dyDescent="0.25">
      <c r="A11" s="37">
        <v>2</v>
      </c>
      <c r="B11" s="38" t="str">
        <f>$B$9</f>
        <v>Thayna</v>
      </c>
      <c r="C11" s="39">
        <v>3</v>
      </c>
      <c r="D11" s="38"/>
      <c r="E11" s="38" t="str">
        <f>Entrada_de_Dados_2!C7</f>
        <v>Purchased</v>
      </c>
      <c r="F11" s="39"/>
      <c r="G11" s="40">
        <f>Entrada_de_Dados_2!D7</f>
        <v>152</v>
      </c>
      <c r="H11" s="40"/>
      <c r="I11" s="40"/>
    </row>
    <row r="12" spans="1:11" x14ac:dyDescent="0.25">
      <c r="A12" s="37"/>
      <c r="B12" s="38"/>
      <c r="C12" s="39"/>
      <c r="D12" s="41"/>
      <c r="E12" s="41"/>
      <c r="F12" s="42" t="s">
        <v>14</v>
      </c>
      <c r="G12" s="43">
        <f>I12/I15</f>
        <v>0.33620689655172414</v>
      </c>
      <c r="H12" s="42" t="s">
        <v>5</v>
      </c>
      <c r="I12" s="44">
        <f>IF(E9="Renewable",G9,IF(E10="Renewable",G10,IF(E11="Renewable",G11,)))</f>
        <v>156</v>
      </c>
    </row>
    <row r="13" spans="1:11" x14ac:dyDescent="0.25">
      <c r="A13" s="37"/>
      <c r="B13" s="38"/>
      <c r="C13" s="39"/>
      <c r="D13" s="41"/>
      <c r="E13" s="41"/>
      <c r="F13" s="42" t="s">
        <v>15</v>
      </c>
      <c r="G13" s="43">
        <f>I13/I15</f>
        <v>0.33620689655172414</v>
      </c>
      <c r="H13" s="42" t="s">
        <v>6</v>
      </c>
      <c r="I13" s="44">
        <f>IF(E9="Non-renewable",G9,IF(E10="Non-renewable",G10,IF(E11="Non-renewable",G11,)))</f>
        <v>156</v>
      </c>
    </row>
    <row r="14" spans="1:11" x14ac:dyDescent="0.25">
      <c r="A14" s="37"/>
      <c r="B14" s="38"/>
      <c r="C14" s="39"/>
      <c r="D14" s="41"/>
      <c r="E14" s="41"/>
      <c r="F14" s="42" t="s">
        <v>16</v>
      </c>
      <c r="G14" s="43">
        <f>I14/I15</f>
        <v>0.32758620689655171</v>
      </c>
      <c r="H14" s="42" t="s">
        <v>7</v>
      </c>
      <c r="I14" s="44">
        <f>IF(E9="Purchased",G9,IF(E10="Purchased",G10,IF(E11="Purchased",G11,)))</f>
        <v>152</v>
      </c>
    </row>
    <row r="15" spans="1:11" x14ac:dyDescent="0.25">
      <c r="A15" s="35"/>
      <c r="B15" s="36"/>
      <c r="C15" s="45"/>
      <c r="D15" s="46"/>
      <c r="E15" s="46"/>
      <c r="F15" s="47" t="s">
        <v>17</v>
      </c>
      <c r="G15" s="48">
        <f>SUM(G12:G14)</f>
        <v>1</v>
      </c>
      <c r="H15" s="47" t="s">
        <v>18</v>
      </c>
      <c r="I15" s="49">
        <f>SUM(I12:I14)</f>
        <v>464</v>
      </c>
    </row>
    <row r="16" spans="1:11" x14ac:dyDescent="0.25">
      <c r="A16" s="37">
        <v>3</v>
      </c>
      <c r="B16" s="38" t="str">
        <f>Entrada_de_Dados_2!B8</f>
        <v>Jaqueline</v>
      </c>
      <c r="C16" s="39">
        <v>1</v>
      </c>
      <c r="D16" s="38"/>
      <c r="E16" s="38" t="str">
        <f>Entrada_de_Dados_2!C8</f>
        <v>Renewable</v>
      </c>
      <c r="F16" s="39"/>
      <c r="G16" s="40">
        <f>Entrada_de_Dados_2!D8</f>
        <v>1856</v>
      </c>
      <c r="H16" s="40"/>
      <c r="I16" s="40"/>
      <c r="K16" s="17"/>
    </row>
    <row r="17" spans="1:11" x14ac:dyDescent="0.25">
      <c r="A17" s="37">
        <v>3</v>
      </c>
      <c r="B17" s="38" t="str">
        <f>$B$16</f>
        <v>Jaqueline</v>
      </c>
      <c r="C17" s="39">
        <v>2</v>
      </c>
      <c r="D17" s="38"/>
      <c r="E17" s="38" t="str">
        <f>Entrada_de_Dados_2!C9</f>
        <v>Non-renewable</v>
      </c>
      <c r="F17" s="39"/>
      <c r="G17" s="40">
        <f>Entrada_de_Dados_2!D9</f>
        <v>1486</v>
      </c>
      <c r="H17" s="40"/>
      <c r="I17" s="40"/>
      <c r="K17" s="17"/>
    </row>
    <row r="18" spans="1:11" x14ac:dyDescent="0.25">
      <c r="A18" s="37">
        <v>3</v>
      </c>
      <c r="B18" s="38" t="str">
        <f>$B$16</f>
        <v>Jaqueline</v>
      </c>
      <c r="C18" s="39">
        <v>3</v>
      </c>
      <c r="D18" s="38"/>
      <c r="E18" s="38" t="str">
        <f>Entrada_de_Dados_2!C10</f>
        <v>Purchased</v>
      </c>
      <c r="F18" s="39"/>
      <c r="G18" s="40">
        <f>Entrada_de_Dados_2!D10</f>
        <v>185</v>
      </c>
      <c r="H18" s="40"/>
      <c r="I18" s="40"/>
    </row>
    <row r="19" spans="1:11" x14ac:dyDescent="0.25">
      <c r="A19" s="37"/>
      <c r="B19" s="38"/>
      <c r="C19" s="39"/>
      <c r="D19" s="41"/>
      <c r="E19" s="41"/>
      <c r="F19" s="42" t="s">
        <v>14</v>
      </c>
      <c r="G19" s="43">
        <f>I19/I22</f>
        <v>0.52622625460731498</v>
      </c>
      <c r="H19" s="42" t="s">
        <v>5</v>
      </c>
      <c r="I19" s="44">
        <f>IF(E16="Renewable",G16,IF(E17="Renewable",G17,IF(E18="Renewable",G18,)))</f>
        <v>1856</v>
      </c>
    </row>
    <row r="20" spans="1:11" x14ac:dyDescent="0.25">
      <c r="A20" s="37"/>
      <c r="B20" s="38"/>
      <c r="C20" s="39"/>
      <c r="D20" s="41"/>
      <c r="E20" s="41"/>
      <c r="F20" s="42" t="s">
        <v>15</v>
      </c>
      <c r="G20" s="43">
        <f>I20/I22</f>
        <v>0.421321236178055</v>
      </c>
      <c r="H20" s="42" t="s">
        <v>6</v>
      </c>
      <c r="I20" s="44">
        <f>IF(E16="Non-renewable",G16,IF(E17="Non-renewable",G17,IF(E18="Non-renewable",G18,)))</f>
        <v>1486</v>
      </c>
    </row>
    <row r="21" spans="1:11" x14ac:dyDescent="0.25">
      <c r="A21" s="37"/>
      <c r="B21" s="38"/>
      <c r="C21" s="39"/>
      <c r="D21" s="41"/>
      <c r="E21" s="41"/>
      <c r="F21" s="42" t="s">
        <v>16</v>
      </c>
      <c r="G21" s="43">
        <f>I21/I22</f>
        <v>5.2452509214629996E-2</v>
      </c>
      <c r="H21" s="42" t="s">
        <v>7</v>
      </c>
      <c r="I21" s="44">
        <f>IF(E16="Purchased",G16,IF(E17="Purchased",G17,IF(E18="Purchased",G18,)))</f>
        <v>185</v>
      </c>
    </row>
    <row r="22" spans="1:11" x14ac:dyDescent="0.25">
      <c r="A22" s="35"/>
      <c r="B22" s="36"/>
      <c r="C22" s="45"/>
      <c r="D22" s="46"/>
      <c r="E22" s="46"/>
      <c r="F22" s="47" t="s">
        <v>17</v>
      </c>
      <c r="G22" s="48">
        <f>SUM(G19:G21)</f>
        <v>1</v>
      </c>
      <c r="H22" s="47" t="s">
        <v>18</v>
      </c>
      <c r="I22" s="49">
        <f>SUM(I19:I21)</f>
        <v>3527</v>
      </c>
    </row>
    <row r="23" spans="1:11" x14ac:dyDescent="0.25">
      <c r="A23" s="37">
        <v>4</v>
      </c>
      <c r="B23" s="38" t="str">
        <f>Entrada_de_Dados_2!B11</f>
        <v>Manuel</v>
      </c>
      <c r="C23" s="39">
        <v>1</v>
      </c>
      <c r="D23" s="38"/>
      <c r="E23" s="38" t="str">
        <f>Entrada_de_Dados_2!C11</f>
        <v>Renewable</v>
      </c>
      <c r="F23" s="39"/>
      <c r="G23" s="40">
        <f>Entrada_de_Dados_2!D11</f>
        <v>156</v>
      </c>
      <c r="H23" s="40"/>
      <c r="I23" s="40"/>
      <c r="K23" s="17"/>
    </row>
    <row r="24" spans="1:11" x14ac:dyDescent="0.25">
      <c r="A24" s="37">
        <v>4</v>
      </c>
      <c r="B24" s="38" t="str">
        <f>$B$23</f>
        <v>Manuel</v>
      </c>
      <c r="C24" s="39">
        <v>2</v>
      </c>
      <c r="D24" s="38"/>
      <c r="E24" s="38" t="str">
        <f>Entrada_de_Dados_2!C12</f>
        <v>Non-renewable</v>
      </c>
      <c r="F24" s="39"/>
      <c r="G24" s="40">
        <f>Entrada_de_Dados_2!D12</f>
        <v>156</v>
      </c>
      <c r="H24" s="40"/>
      <c r="I24" s="40"/>
      <c r="K24" s="17"/>
    </row>
    <row r="25" spans="1:11" x14ac:dyDescent="0.25">
      <c r="A25" s="37">
        <v>4</v>
      </c>
      <c r="B25" s="38" t="str">
        <f>$B$23</f>
        <v>Manuel</v>
      </c>
      <c r="C25" s="39">
        <v>3</v>
      </c>
      <c r="D25" s="38"/>
      <c r="E25" s="38" t="str">
        <f>Entrada_de_Dados_2!C13</f>
        <v>Purchased</v>
      </c>
      <c r="F25" s="39"/>
      <c r="G25" s="40">
        <f>Entrada_de_Dados_2!D13</f>
        <v>1856</v>
      </c>
      <c r="H25" s="40"/>
      <c r="I25" s="40"/>
    </row>
    <row r="26" spans="1:11" x14ac:dyDescent="0.25">
      <c r="A26" s="37"/>
      <c r="B26" s="38"/>
      <c r="C26" s="39"/>
      <c r="D26" s="41"/>
      <c r="E26" s="41"/>
      <c r="F26" s="42" t="s">
        <v>14</v>
      </c>
      <c r="G26" s="43">
        <f>I26/I29</f>
        <v>7.1955719557195569E-2</v>
      </c>
      <c r="H26" s="42" t="s">
        <v>5</v>
      </c>
      <c r="I26" s="44">
        <f>IF(E23="Renewable",G23,IF(E24="Renewable",G24,IF(E25="Renewable",G25,)))</f>
        <v>156</v>
      </c>
    </row>
    <row r="27" spans="1:11" x14ac:dyDescent="0.25">
      <c r="A27" s="37"/>
      <c r="B27" s="38"/>
      <c r="C27" s="39"/>
      <c r="D27" s="41"/>
      <c r="E27" s="41"/>
      <c r="F27" s="42" t="s">
        <v>15</v>
      </c>
      <c r="G27" s="43">
        <f>I27/I29</f>
        <v>7.1955719557195569E-2</v>
      </c>
      <c r="H27" s="42" t="s">
        <v>6</v>
      </c>
      <c r="I27" s="44">
        <f>IF(E23="Non-renewable",G23,IF(E24="Non-renewable",G24,IF(E25="Non-renewable",G25,)))</f>
        <v>156</v>
      </c>
    </row>
    <row r="28" spans="1:11" x14ac:dyDescent="0.25">
      <c r="A28" s="37"/>
      <c r="B28" s="38"/>
      <c r="C28" s="39"/>
      <c r="D28" s="41"/>
      <c r="E28" s="41"/>
      <c r="F28" s="42" t="s">
        <v>16</v>
      </c>
      <c r="G28" s="43">
        <f>I28/I29</f>
        <v>0.85608856088560881</v>
      </c>
      <c r="H28" s="42" t="s">
        <v>7</v>
      </c>
      <c r="I28" s="44">
        <f>IF(E23="Purchased",G23,IF(E24="Purchased",G24,IF(E25="Purchased",G25,)))</f>
        <v>1856</v>
      </c>
    </row>
    <row r="29" spans="1:11" x14ac:dyDescent="0.25">
      <c r="A29" s="35"/>
      <c r="B29" s="36"/>
      <c r="C29" s="45"/>
      <c r="D29" s="46"/>
      <c r="E29" s="46"/>
      <c r="F29" s="47" t="s">
        <v>17</v>
      </c>
      <c r="G29" s="48">
        <f>SUM(G26:G28)</f>
        <v>1</v>
      </c>
      <c r="H29" s="47" t="s">
        <v>18</v>
      </c>
      <c r="I29" s="49">
        <f>SUM(I26:I28)</f>
        <v>2168</v>
      </c>
    </row>
    <row r="30" spans="1:11" x14ac:dyDescent="0.25">
      <c r="A30" s="37">
        <v>5</v>
      </c>
      <c r="B30" s="38" t="str">
        <f>Entrada_de_Dados_2!B14</f>
        <v>André</v>
      </c>
      <c r="C30" s="39">
        <v>1</v>
      </c>
      <c r="D30" s="38"/>
      <c r="E30" s="38" t="str">
        <f>Entrada_de_Dados_2!C14</f>
        <v>Renewable</v>
      </c>
      <c r="F30" s="39"/>
      <c r="G30" s="40">
        <f>Entrada_de_Dados_2!D14</f>
        <v>12856</v>
      </c>
      <c r="H30" s="40"/>
      <c r="I30" s="40"/>
      <c r="K30" s="17"/>
    </row>
    <row r="31" spans="1:11" x14ac:dyDescent="0.25">
      <c r="A31" s="37">
        <v>5</v>
      </c>
      <c r="B31" s="38" t="str">
        <f>$B$30</f>
        <v>André</v>
      </c>
      <c r="C31" s="39">
        <v>2</v>
      </c>
      <c r="D31" s="38"/>
      <c r="E31" s="38" t="str">
        <f>Entrada_de_Dados_2!C15</f>
        <v>Non-renewable</v>
      </c>
      <c r="F31" s="39"/>
      <c r="G31" s="40">
        <f>Entrada_de_Dados_2!D15</f>
        <v>1856</v>
      </c>
      <c r="H31" s="40"/>
      <c r="I31" s="40"/>
      <c r="K31" s="17"/>
    </row>
    <row r="32" spans="1:11" x14ac:dyDescent="0.25">
      <c r="A32" s="37">
        <v>5</v>
      </c>
      <c r="B32" s="38" t="str">
        <f>$B$30</f>
        <v>André</v>
      </c>
      <c r="C32" s="39">
        <v>3</v>
      </c>
      <c r="D32" s="38"/>
      <c r="E32" s="38" t="str">
        <f>Entrada_de_Dados_2!C16</f>
        <v>Purchased</v>
      </c>
      <c r="F32" s="39"/>
      <c r="G32" s="40">
        <f>Entrada_de_Dados_2!D16</f>
        <v>1856</v>
      </c>
      <c r="H32" s="40"/>
      <c r="I32" s="40"/>
    </row>
    <row r="33" spans="1:11" x14ac:dyDescent="0.25">
      <c r="A33" s="37"/>
      <c r="B33" s="38"/>
      <c r="C33" s="39"/>
      <c r="D33" s="41"/>
      <c r="E33" s="41"/>
      <c r="F33" s="42" t="s">
        <v>14</v>
      </c>
      <c r="G33" s="43">
        <f>I33/I36</f>
        <v>0.77595364558184454</v>
      </c>
      <c r="H33" s="42" t="s">
        <v>5</v>
      </c>
      <c r="I33" s="44">
        <f>IF(E30="Renewable",G30,IF(E31="Renewable",G31,IF(E32="Renewable",G32,)))</f>
        <v>12856</v>
      </c>
    </row>
    <row r="34" spans="1:11" x14ac:dyDescent="0.25">
      <c r="A34" s="37"/>
      <c r="B34" s="38"/>
      <c r="C34" s="39"/>
      <c r="D34" s="41"/>
      <c r="E34" s="41"/>
      <c r="F34" s="42" t="s">
        <v>15</v>
      </c>
      <c r="G34" s="43">
        <f>I34/I36</f>
        <v>0.11202317720907774</v>
      </c>
      <c r="H34" s="42" t="s">
        <v>6</v>
      </c>
      <c r="I34" s="44">
        <f>IF(E30="Non-renewable",G30,IF(E31="Non-renewable",G31,IF(E32="Non-renewable",G32,)))</f>
        <v>1856</v>
      </c>
    </row>
    <row r="35" spans="1:11" x14ac:dyDescent="0.25">
      <c r="A35" s="37"/>
      <c r="B35" s="38"/>
      <c r="C35" s="39"/>
      <c r="D35" s="41"/>
      <c r="E35" s="41"/>
      <c r="F35" s="42" t="s">
        <v>16</v>
      </c>
      <c r="G35" s="43">
        <f>I35/I36</f>
        <v>0.11202317720907774</v>
      </c>
      <c r="H35" s="42" t="s">
        <v>7</v>
      </c>
      <c r="I35" s="44">
        <f>IF(E30="Purchased",G30,IF(E31="Purchased",G31,IF(E32="Purchased",G32,)))</f>
        <v>1856</v>
      </c>
    </row>
    <row r="36" spans="1:11" x14ac:dyDescent="0.25">
      <c r="A36" s="35"/>
      <c r="B36" s="36"/>
      <c r="C36" s="45"/>
      <c r="D36" s="46"/>
      <c r="E36" s="46"/>
      <c r="F36" s="47" t="s">
        <v>17</v>
      </c>
      <c r="G36" s="48">
        <f>SUM(G33:G35)</f>
        <v>1</v>
      </c>
      <c r="H36" s="47" t="s">
        <v>18</v>
      </c>
      <c r="I36" s="49">
        <f>SUM(I33:I35)</f>
        <v>16568</v>
      </c>
    </row>
    <row r="37" spans="1:11" x14ac:dyDescent="0.25">
      <c r="A37" s="37">
        <v>6</v>
      </c>
      <c r="B37" s="38" t="str">
        <f>Entrada_de_Dados_2!B17</f>
        <v>Luiz</v>
      </c>
      <c r="C37" s="39">
        <v>1</v>
      </c>
      <c r="D37" s="38"/>
      <c r="E37" s="38" t="str">
        <f>Entrada_de_Dados_2!C17</f>
        <v>Renewable</v>
      </c>
      <c r="F37" s="39"/>
      <c r="G37" s="40">
        <f>Entrada_de_Dados_2!D17</f>
        <v>18</v>
      </c>
      <c r="H37" s="40"/>
      <c r="I37" s="40"/>
      <c r="K37" s="17"/>
    </row>
    <row r="38" spans="1:11" x14ac:dyDescent="0.25">
      <c r="A38" s="37">
        <v>6</v>
      </c>
      <c r="B38" s="38" t="str">
        <f>$B$37</f>
        <v>Luiz</v>
      </c>
      <c r="C38" s="39">
        <v>2</v>
      </c>
      <c r="D38" s="38"/>
      <c r="E38" s="38" t="str">
        <f>Entrada_de_Dados_2!C18</f>
        <v>Non-renewable</v>
      </c>
      <c r="F38" s="39"/>
      <c r="G38" s="40">
        <f>Entrada_de_Dados_2!D18</f>
        <v>856</v>
      </c>
      <c r="H38" s="40"/>
      <c r="I38" s="40"/>
      <c r="K38" s="17"/>
    </row>
    <row r="39" spans="1:11" x14ac:dyDescent="0.25">
      <c r="A39" s="37">
        <v>6</v>
      </c>
      <c r="B39" s="38" t="str">
        <f>$B$37</f>
        <v>Luiz</v>
      </c>
      <c r="C39" s="39">
        <v>3</v>
      </c>
      <c r="D39" s="38"/>
      <c r="E39" s="38" t="str">
        <f>Entrada_de_Dados_2!C19</f>
        <v>Purchased</v>
      </c>
      <c r="F39" s="39"/>
      <c r="G39" s="40">
        <f>Entrada_de_Dados_2!D19</f>
        <v>856</v>
      </c>
      <c r="H39" s="40"/>
      <c r="I39" s="40"/>
    </row>
    <row r="40" spans="1:11" x14ac:dyDescent="0.25">
      <c r="A40" s="37"/>
      <c r="B40" s="38"/>
      <c r="C40" s="39"/>
      <c r="D40" s="41"/>
      <c r="E40" s="41"/>
      <c r="F40" s="42" t="s">
        <v>14</v>
      </c>
      <c r="G40" s="43">
        <f>I40/I43</f>
        <v>1.0404624277456647E-2</v>
      </c>
      <c r="H40" s="42" t="s">
        <v>5</v>
      </c>
      <c r="I40" s="44">
        <f>IF(E37="Renewable",G37,IF(E38="Renewable",G38,IF(E39="Renewable",G39,)))</f>
        <v>18</v>
      </c>
    </row>
    <row r="41" spans="1:11" x14ac:dyDescent="0.25">
      <c r="A41" s="37"/>
      <c r="B41" s="38"/>
      <c r="C41" s="39"/>
      <c r="D41" s="41"/>
      <c r="E41" s="41"/>
      <c r="F41" s="42" t="s">
        <v>15</v>
      </c>
      <c r="G41" s="43">
        <f>I41/I43</f>
        <v>0.49479768786127165</v>
      </c>
      <c r="H41" s="42" t="s">
        <v>6</v>
      </c>
      <c r="I41" s="44">
        <f>IF(E37="Non-renewable",G37,IF(E38="Non-renewable",G38,IF(E39="Non-renewable",G39,)))</f>
        <v>856</v>
      </c>
    </row>
    <row r="42" spans="1:11" x14ac:dyDescent="0.25">
      <c r="A42" s="37"/>
      <c r="B42" s="38"/>
      <c r="C42" s="39"/>
      <c r="D42" s="41"/>
      <c r="E42" s="41"/>
      <c r="F42" s="42" t="s">
        <v>16</v>
      </c>
      <c r="G42" s="43">
        <f>I42/I43</f>
        <v>0.49479768786127165</v>
      </c>
      <c r="H42" s="42" t="s">
        <v>7</v>
      </c>
      <c r="I42" s="44">
        <f>IF(E37="Purchased",G37,IF(E38="Purchased",G38,IF(E39="Purchased",G39,)))</f>
        <v>856</v>
      </c>
    </row>
    <row r="43" spans="1:11" x14ac:dyDescent="0.25">
      <c r="A43" s="35"/>
      <c r="B43" s="36"/>
      <c r="C43" s="45"/>
      <c r="D43" s="46"/>
      <c r="E43" s="46"/>
      <c r="F43" s="47" t="s">
        <v>17</v>
      </c>
      <c r="G43" s="48">
        <f>SUM(G40:G42)</f>
        <v>1</v>
      </c>
      <c r="H43" s="47" t="s">
        <v>18</v>
      </c>
      <c r="I43" s="49">
        <f>SUM(I40:I42)</f>
        <v>1730</v>
      </c>
    </row>
    <row r="44" spans="1:11" x14ac:dyDescent="0.25">
      <c r="A44" s="37">
        <v>7</v>
      </c>
      <c r="B44" s="38">
        <f>Entrada_de_Dados_2!B20</f>
        <v>0</v>
      </c>
      <c r="C44" s="39">
        <v>1</v>
      </c>
      <c r="D44" s="38"/>
      <c r="E44" s="38" t="str">
        <f>Entrada_de_Dados_2!C20</f>
        <v>Renewable</v>
      </c>
      <c r="F44" s="39"/>
      <c r="G44" s="40">
        <f>Entrada_de_Dados_2!D20</f>
        <v>0</v>
      </c>
      <c r="H44" s="40"/>
      <c r="I44" s="40"/>
    </row>
    <row r="45" spans="1:11" x14ac:dyDescent="0.25">
      <c r="A45" s="37">
        <v>7</v>
      </c>
      <c r="B45" s="38">
        <f>$B$44</f>
        <v>0</v>
      </c>
      <c r="C45" s="39">
        <v>2</v>
      </c>
      <c r="D45" s="38"/>
      <c r="E45" s="38" t="str">
        <f>Entrada_de_Dados_2!C21</f>
        <v>Non-renewable</v>
      </c>
      <c r="F45" s="39"/>
      <c r="G45" s="40">
        <f>Entrada_de_Dados_2!D21</f>
        <v>0</v>
      </c>
      <c r="H45" s="40"/>
      <c r="I45" s="40"/>
    </row>
    <row r="46" spans="1:11" x14ac:dyDescent="0.25">
      <c r="A46" s="37">
        <v>7</v>
      </c>
      <c r="B46" s="38">
        <f>$B$44</f>
        <v>0</v>
      </c>
      <c r="C46" s="39">
        <v>3</v>
      </c>
      <c r="D46" s="38"/>
      <c r="E46" s="38" t="str">
        <f>Entrada_de_Dados_2!C22</f>
        <v>Purchased</v>
      </c>
      <c r="F46" s="39"/>
      <c r="G46" s="40">
        <f>Entrada_de_Dados_2!D22</f>
        <v>0</v>
      </c>
      <c r="H46" s="40"/>
      <c r="I46" s="40"/>
    </row>
    <row r="47" spans="1:11" x14ac:dyDescent="0.25">
      <c r="A47" s="37"/>
      <c r="B47" s="38"/>
      <c r="C47" s="39"/>
      <c r="D47" s="41"/>
      <c r="E47" s="41"/>
      <c r="F47" s="42" t="s">
        <v>14</v>
      </c>
      <c r="G47" s="43" t="e">
        <f>I47/I50</f>
        <v>#DIV/0!</v>
      </c>
      <c r="H47" s="42" t="s">
        <v>5</v>
      </c>
      <c r="I47" s="44">
        <f>IF(E44="Renewable",G44,IF(E45="Renewable",G45,IF(E46="Renewable",G46,)))</f>
        <v>0</v>
      </c>
    </row>
    <row r="48" spans="1:11" x14ac:dyDescent="0.25">
      <c r="A48" s="37"/>
      <c r="B48" s="38"/>
      <c r="C48" s="39"/>
      <c r="D48" s="41"/>
      <c r="E48" s="41"/>
      <c r="F48" s="42" t="s">
        <v>15</v>
      </c>
      <c r="G48" s="43" t="e">
        <f>I48/I50</f>
        <v>#DIV/0!</v>
      </c>
      <c r="H48" s="42" t="s">
        <v>6</v>
      </c>
      <c r="I48" s="44">
        <f>IF(E44="Non-renewable",G44,IF(E45="Non-renewable",G45,IF(E46="Non-renewable",G46,)))</f>
        <v>0</v>
      </c>
    </row>
    <row r="49" spans="1:9" x14ac:dyDescent="0.25">
      <c r="A49" s="37"/>
      <c r="B49" s="38"/>
      <c r="C49" s="39"/>
      <c r="D49" s="41"/>
      <c r="E49" s="41"/>
      <c r="F49" s="42" t="s">
        <v>16</v>
      </c>
      <c r="G49" s="43" t="e">
        <f>I49/I50</f>
        <v>#DIV/0!</v>
      </c>
      <c r="H49" s="42" t="s">
        <v>7</v>
      </c>
      <c r="I49" s="44">
        <f>IF(E44="Purchased",G44,IF(E45="Purchased",G45,IF(E46="Purchased",G46,)))</f>
        <v>0</v>
      </c>
    </row>
    <row r="50" spans="1:9" x14ac:dyDescent="0.25">
      <c r="A50" s="35"/>
      <c r="B50" s="36"/>
      <c r="C50" s="45"/>
      <c r="D50" s="46"/>
      <c r="E50" s="46"/>
      <c r="F50" s="47" t="s">
        <v>17</v>
      </c>
      <c r="G50" s="48" t="e">
        <f>SUM(G47:G49)</f>
        <v>#DIV/0!</v>
      </c>
      <c r="H50" s="47" t="s">
        <v>18</v>
      </c>
      <c r="I50" s="49">
        <f>SUM(I47:I49)</f>
        <v>0</v>
      </c>
    </row>
    <row r="51" spans="1:9" x14ac:dyDescent="0.25">
      <c r="A51" s="37">
        <v>8</v>
      </c>
      <c r="B51" s="38">
        <f>Entrada_de_Dados_2!B23</f>
        <v>0</v>
      </c>
      <c r="C51" s="39">
        <v>1</v>
      </c>
      <c r="D51" s="38"/>
      <c r="E51" s="38" t="str">
        <f>Entrada_de_Dados_2!C23</f>
        <v>Renewable</v>
      </c>
      <c r="F51" s="39"/>
      <c r="G51" s="40">
        <f>Entrada_de_Dados_2!D23</f>
        <v>0</v>
      </c>
      <c r="H51" s="40"/>
      <c r="I51" s="40"/>
    </row>
    <row r="52" spans="1:9" x14ac:dyDescent="0.25">
      <c r="A52" s="37">
        <v>8</v>
      </c>
      <c r="B52" s="38">
        <f>$B$51</f>
        <v>0</v>
      </c>
      <c r="C52" s="39">
        <v>2</v>
      </c>
      <c r="D52" s="38"/>
      <c r="E52" s="38" t="str">
        <f>Entrada_de_Dados_2!C24</f>
        <v>Non-renewable</v>
      </c>
      <c r="F52" s="39"/>
      <c r="G52" s="40">
        <f>Entrada_de_Dados_2!D24</f>
        <v>0</v>
      </c>
      <c r="H52" s="40"/>
      <c r="I52" s="40"/>
    </row>
    <row r="53" spans="1:9" x14ac:dyDescent="0.25">
      <c r="A53" s="37">
        <v>8</v>
      </c>
      <c r="B53" s="38">
        <f>$B$51</f>
        <v>0</v>
      </c>
      <c r="C53" s="39">
        <v>3</v>
      </c>
      <c r="D53" s="38"/>
      <c r="E53" s="38" t="str">
        <f>Entrada_de_Dados_2!C25</f>
        <v>Purchased</v>
      </c>
      <c r="F53" s="39"/>
      <c r="G53" s="40">
        <f>Entrada_de_Dados_2!D25</f>
        <v>0</v>
      </c>
      <c r="H53" s="40"/>
      <c r="I53" s="40"/>
    </row>
    <row r="54" spans="1:9" x14ac:dyDescent="0.25">
      <c r="A54" s="37"/>
      <c r="B54" s="38"/>
      <c r="C54" s="39"/>
      <c r="D54" s="41"/>
      <c r="E54" s="41"/>
      <c r="F54" s="42" t="s">
        <v>14</v>
      </c>
      <c r="G54" s="43" t="e">
        <f>I54/I57</f>
        <v>#DIV/0!</v>
      </c>
      <c r="H54" s="42" t="s">
        <v>5</v>
      </c>
      <c r="I54" s="44">
        <f>IF(E51="Renewable",G51,IF(E52="Renewable",G52,IF(E53="Renewable",G53,)))</f>
        <v>0</v>
      </c>
    </row>
    <row r="55" spans="1:9" x14ac:dyDescent="0.25">
      <c r="A55" s="37"/>
      <c r="B55" s="38"/>
      <c r="C55" s="39"/>
      <c r="D55" s="41"/>
      <c r="E55" s="41"/>
      <c r="F55" s="42" t="s">
        <v>15</v>
      </c>
      <c r="G55" s="43" t="e">
        <f>I55/I57</f>
        <v>#DIV/0!</v>
      </c>
      <c r="H55" s="42" t="s">
        <v>6</v>
      </c>
      <c r="I55" s="44">
        <f>IF(E51="Non-renewable",G51,IF(E52="Non-renewable",G52,IF(E53="Non-renewable",G53,)))</f>
        <v>0</v>
      </c>
    </row>
    <row r="56" spans="1:9" x14ac:dyDescent="0.25">
      <c r="A56" s="37"/>
      <c r="B56" s="38"/>
      <c r="C56" s="39"/>
      <c r="D56" s="41"/>
      <c r="E56" s="41"/>
      <c r="F56" s="42" t="s">
        <v>16</v>
      </c>
      <c r="G56" s="43" t="e">
        <f>I56/I57</f>
        <v>#DIV/0!</v>
      </c>
      <c r="H56" s="42" t="s">
        <v>7</v>
      </c>
      <c r="I56" s="44">
        <f>IF(E51="Purchased",G51,IF(E52="Purchased",G52,IF(E53="Purchased",G53,)))</f>
        <v>0</v>
      </c>
    </row>
    <row r="57" spans="1:9" x14ac:dyDescent="0.25">
      <c r="A57" s="35"/>
      <c r="B57" s="36"/>
      <c r="C57" s="45"/>
      <c r="D57" s="46"/>
      <c r="E57" s="46"/>
      <c r="F57" s="47" t="s">
        <v>17</v>
      </c>
      <c r="G57" s="48" t="e">
        <f>SUM(G54:G56)</f>
        <v>#DIV/0!</v>
      </c>
      <c r="H57" s="47" t="s">
        <v>18</v>
      </c>
      <c r="I57" s="49">
        <f>SUM(I54:I56)</f>
        <v>0</v>
      </c>
    </row>
    <row r="58" spans="1:9" x14ac:dyDescent="0.25">
      <c r="A58" s="37">
        <v>9</v>
      </c>
      <c r="B58" s="38">
        <f>Entrada_de_Dados_2!B26</f>
        <v>0</v>
      </c>
      <c r="C58" s="39">
        <v>1</v>
      </c>
      <c r="D58" s="38"/>
      <c r="E58" s="38" t="str">
        <f>Entrada_de_Dados_2!C26</f>
        <v>Renewable</v>
      </c>
      <c r="F58" s="39"/>
      <c r="G58" s="40">
        <f>Entrada_de_Dados_2!D26</f>
        <v>0</v>
      </c>
      <c r="H58" s="40"/>
      <c r="I58" s="40"/>
    </row>
    <row r="59" spans="1:9" x14ac:dyDescent="0.25">
      <c r="A59" s="37">
        <v>9</v>
      </c>
      <c r="B59" s="38">
        <f>$B$58</f>
        <v>0</v>
      </c>
      <c r="C59" s="39">
        <v>2</v>
      </c>
      <c r="D59" s="38"/>
      <c r="E59" s="38" t="str">
        <f>Entrada_de_Dados_2!C27</f>
        <v>Non-renewable</v>
      </c>
      <c r="F59" s="39"/>
      <c r="G59" s="40">
        <f>Entrada_de_Dados_2!D27</f>
        <v>0</v>
      </c>
      <c r="H59" s="40"/>
      <c r="I59" s="40"/>
    </row>
    <row r="60" spans="1:9" x14ac:dyDescent="0.25">
      <c r="A60" s="37">
        <v>9</v>
      </c>
      <c r="B60" s="38">
        <f>$B$58</f>
        <v>0</v>
      </c>
      <c r="C60" s="39">
        <v>3</v>
      </c>
      <c r="D60" s="38"/>
      <c r="E60" s="38" t="str">
        <f>Entrada_de_Dados_2!C28</f>
        <v>Purchased</v>
      </c>
      <c r="F60" s="39"/>
      <c r="G60" s="40">
        <f>Entrada_de_Dados_2!D28</f>
        <v>0</v>
      </c>
      <c r="H60" s="40"/>
      <c r="I60" s="40"/>
    </row>
    <row r="61" spans="1:9" x14ac:dyDescent="0.25">
      <c r="A61" s="37"/>
      <c r="B61" s="38"/>
      <c r="C61" s="39"/>
      <c r="D61" s="41"/>
      <c r="E61" s="41"/>
      <c r="F61" s="42" t="s">
        <v>14</v>
      </c>
      <c r="G61" s="43" t="e">
        <f>I61/I64</f>
        <v>#DIV/0!</v>
      </c>
      <c r="H61" s="42" t="s">
        <v>5</v>
      </c>
      <c r="I61" s="44">
        <f>IF(E58="Renewable",G58,IF(E59="Renewable",G59,IF(E60="Renewable",G60,)))</f>
        <v>0</v>
      </c>
    </row>
    <row r="62" spans="1:9" x14ac:dyDescent="0.25">
      <c r="A62" s="37"/>
      <c r="B62" s="38"/>
      <c r="C62" s="39"/>
      <c r="D62" s="41"/>
      <c r="E62" s="41"/>
      <c r="F62" s="42" t="s">
        <v>15</v>
      </c>
      <c r="G62" s="43" t="e">
        <f>I62/I64</f>
        <v>#DIV/0!</v>
      </c>
      <c r="H62" s="42" t="s">
        <v>6</v>
      </c>
      <c r="I62" s="44">
        <f>IF(E58="Non-renewable",G58,IF(E59="Non-renewable",G59,IF(E60="Non-renewable",G60,)))</f>
        <v>0</v>
      </c>
    </row>
    <row r="63" spans="1:9" x14ac:dyDescent="0.25">
      <c r="A63" s="37"/>
      <c r="B63" s="38"/>
      <c r="C63" s="39"/>
      <c r="D63" s="41"/>
      <c r="E63" s="41"/>
      <c r="F63" s="42" t="s">
        <v>16</v>
      </c>
      <c r="G63" s="43" t="e">
        <f>I63/I64</f>
        <v>#DIV/0!</v>
      </c>
      <c r="H63" s="42" t="s">
        <v>7</v>
      </c>
      <c r="I63" s="44">
        <f>IF(E58="Purchased",G58,IF(E59="Purchased",G59,IF(E60="Purchased",G60,)))</f>
        <v>0</v>
      </c>
    </row>
    <row r="64" spans="1:9" x14ac:dyDescent="0.25">
      <c r="A64" s="35"/>
      <c r="B64" s="36"/>
      <c r="C64" s="45"/>
      <c r="D64" s="46"/>
      <c r="E64" s="46"/>
      <c r="F64" s="47" t="s">
        <v>17</v>
      </c>
      <c r="G64" s="48" t="e">
        <f>SUM(G61:G63)</f>
        <v>#DIV/0!</v>
      </c>
      <c r="H64" s="47" t="s">
        <v>18</v>
      </c>
      <c r="I64" s="49">
        <f>SUM(I61:I63)</f>
        <v>0</v>
      </c>
    </row>
    <row r="65" spans="1:9" x14ac:dyDescent="0.25">
      <c r="A65" s="37">
        <v>10</v>
      </c>
      <c r="B65" s="38">
        <f>Entrada_de_Dados_2!B29</f>
        <v>0</v>
      </c>
      <c r="C65" s="39">
        <v>1</v>
      </c>
      <c r="D65" s="38"/>
      <c r="E65" s="38" t="str">
        <f>Entrada_de_Dados_2!C29</f>
        <v>Renewable</v>
      </c>
      <c r="F65" s="39"/>
      <c r="G65" s="40">
        <f>Entrada_de_Dados_2!D29</f>
        <v>0</v>
      </c>
      <c r="H65" s="40"/>
      <c r="I65" s="40"/>
    </row>
    <row r="66" spans="1:9" x14ac:dyDescent="0.25">
      <c r="A66" s="37">
        <v>10</v>
      </c>
      <c r="B66" s="38">
        <f>$B$65</f>
        <v>0</v>
      </c>
      <c r="C66" s="39">
        <v>2</v>
      </c>
      <c r="D66" s="38"/>
      <c r="E66" s="38" t="str">
        <f>Entrada_de_Dados_2!C30</f>
        <v>Non-renewable</v>
      </c>
      <c r="F66" s="39"/>
      <c r="G66" s="40">
        <f>Entrada_de_Dados_2!D30</f>
        <v>0</v>
      </c>
      <c r="H66" s="40"/>
      <c r="I66" s="40"/>
    </row>
    <row r="67" spans="1:9" x14ac:dyDescent="0.25">
      <c r="A67" s="37">
        <v>10</v>
      </c>
      <c r="B67" s="38">
        <f>$B$65</f>
        <v>0</v>
      </c>
      <c r="C67" s="39">
        <v>3</v>
      </c>
      <c r="D67" s="38"/>
      <c r="E67" s="38" t="str">
        <f>Entrada_de_Dados_2!C31</f>
        <v>Purchased</v>
      </c>
      <c r="F67" s="39"/>
      <c r="G67" s="40">
        <f>Entrada_de_Dados_2!D31</f>
        <v>0</v>
      </c>
      <c r="H67" s="40"/>
      <c r="I67" s="40"/>
    </row>
    <row r="68" spans="1:9" x14ac:dyDescent="0.25">
      <c r="A68" s="37"/>
      <c r="B68" s="38"/>
      <c r="C68" s="39"/>
      <c r="D68" s="41"/>
      <c r="E68" s="41"/>
      <c r="F68" s="42" t="s">
        <v>14</v>
      </c>
      <c r="G68" s="43" t="e">
        <f>I68/I71</f>
        <v>#DIV/0!</v>
      </c>
      <c r="H68" s="42" t="s">
        <v>5</v>
      </c>
      <c r="I68" s="44">
        <f>IF(E65="Renewable",G65,IF(E66="Renewable",G66,IF(E67="Renewable",G67,)))</f>
        <v>0</v>
      </c>
    </row>
    <row r="69" spans="1:9" x14ac:dyDescent="0.25">
      <c r="A69" s="37"/>
      <c r="B69" s="38"/>
      <c r="C69" s="39"/>
      <c r="D69" s="41"/>
      <c r="E69" s="41"/>
      <c r="F69" s="42" t="s">
        <v>15</v>
      </c>
      <c r="G69" s="43" t="e">
        <f>I69/I71</f>
        <v>#DIV/0!</v>
      </c>
      <c r="H69" s="42" t="s">
        <v>6</v>
      </c>
      <c r="I69" s="44">
        <f>IF(E65="Non-renewable",G65,IF(E66="Non-renewable",G66,IF(E67="Non-renewable",G67,)))</f>
        <v>0</v>
      </c>
    </row>
    <row r="70" spans="1:9" x14ac:dyDescent="0.25">
      <c r="A70" s="37"/>
      <c r="B70" s="38"/>
      <c r="C70" s="39"/>
      <c r="D70" s="41"/>
      <c r="E70" s="41"/>
      <c r="F70" s="42" t="s">
        <v>16</v>
      </c>
      <c r="G70" s="43" t="e">
        <f>I70/I71</f>
        <v>#DIV/0!</v>
      </c>
      <c r="H70" s="42" t="s">
        <v>7</v>
      </c>
      <c r="I70" s="44">
        <f>IF(E65="Purchased",G65,IF(E66="Purchased",G66,IF(E67="Purchased",G67,)))</f>
        <v>0</v>
      </c>
    </row>
    <row r="71" spans="1:9" x14ac:dyDescent="0.25">
      <c r="A71" s="35"/>
      <c r="B71" s="36"/>
      <c r="C71" s="45"/>
      <c r="D71" s="46"/>
      <c r="E71" s="46"/>
      <c r="F71" s="47" t="s">
        <v>17</v>
      </c>
      <c r="G71" s="48" t="e">
        <f>SUM(G68:G70)</f>
        <v>#DIV/0!</v>
      </c>
      <c r="H71" s="47" t="s">
        <v>18</v>
      </c>
      <c r="I71" s="49">
        <f>SUM(I68:I70)</f>
        <v>0</v>
      </c>
    </row>
    <row r="76" spans="1:9" ht="16.5" x14ac:dyDescent="0.35">
      <c r="F76" s="23"/>
      <c r="G76" s="24" t="str">
        <f>DIAG!T1</f>
        <v>Henrique</v>
      </c>
      <c r="H76" s="23"/>
      <c r="I76" s="24" t="str">
        <f>DIAG!T2</f>
        <v>Thayna</v>
      </c>
    </row>
    <row r="77" spans="1:9" ht="16.5" customHeight="1" x14ac:dyDescent="0.35">
      <c r="B77" s="243" t="str">
        <f>CONCATENATE("Dados Carregados a partir do Arquivo de Dados: ",DIAG!AD1)</f>
        <v>Dados Carregados a partir do Arquivo de Dados: C:\Users\Henrique\Desktop\Trabalho Faculdade\André\OPA.eMe</v>
      </c>
      <c r="C77" s="244"/>
      <c r="D77" s="245"/>
      <c r="E77" s="20" t="s">
        <v>32</v>
      </c>
      <c r="G77" s="21">
        <f>DIAG!W65</f>
        <v>1.5714285714285714</v>
      </c>
      <c r="H77" s="21"/>
      <c r="I77" s="21">
        <f>DIAG!X65</f>
        <v>3.0526315789473686</v>
      </c>
    </row>
    <row r="78" spans="1:9" ht="16.5" x14ac:dyDescent="0.35">
      <c r="A78" s="25"/>
      <c r="B78" s="246"/>
      <c r="C78" s="247"/>
      <c r="D78" s="248"/>
      <c r="E78" s="20" t="s">
        <v>33</v>
      </c>
      <c r="G78" s="21">
        <f>DIAG!W66</f>
        <v>1.75</v>
      </c>
      <c r="I78" s="21">
        <f>DIAG!X66</f>
        <v>0.48717948717948717</v>
      </c>
    </row>
    <row r="79" spans="1:9" ht="16.5" x14ac:dyDescent="0.35">
      <c r="A79" s="25"/>
      <c r="B79" s="246"/>
      <c r="C79" s="247"/>
      <c r="D79" s="248"/>
      <c r="E79" s="20" t="s">
        <v>34</v>
      </c>
      <c r="G79" s="21">
        <f>DIAG!W67</f>
        <v>4.4999999999999991</v>
      </c>
      <c r="I79" s="21">
        <f>DIAG!X67</f>
        <v>1.9743589743589742</v>
      </c>
    </row>
    <row r="80" spans="1:9" ht="16.5" x14ac:dyDescent="0.35">
      <c r="A80" s="25"/>
      <c r="B80" s="246"/>
      <c r="C80" s="247"/>
      <c r="D80" s="248"/>
      <c r="E80" s="20" t="s">
        <v>22</v>
      </c>
      <c r="G80" s="21">
        <f>DIAG!W68</f>
        <v>0.34920634920634924</v>
      </c>
      <c r="I80" s="21">
        <f>DIAG!X68</f>
        <v>1.546138072453862</v>
      </c>
    </row>
    <row r="81" spans="1:9" ht="16.5" x14ac:dyDescent="0.35">
      <c r="A81" s="25"/>
      <c r="B81" s="249"/>
      <c r="C81" s="250"/>
      <c r="D81" s="251"/>
      <c r="E81" s="20" t="s">
        <v>14</v>
      </c>
      <c r="G81" s="22">
        <f>DIAG!W69/100</f>
        <v>0.18181818181818182</v>
      </c>
      <c r="I81" s="21">
        <f>DIAG!X69</f>
        <v>33.620689655172413</v>
      </c>
    </row>
    <row r="82" spans="1:9" x14ac:dyDescent="0.25">
      <c r="G82" s="16">
        <f>DIAG!W70</f>
        <v>0</v>
      </c>
    </row>
    <row r="83" spans="1:9" ht="16.5" x14ac:dyDescent="0.35">
      <c r="F83" s="23"/>
      <c r="G83" s="24" t="str">
        <f>DIAG!T3</f>
        <v>Jaqueline</v>
      </c>
      <c r="H83" s="23"/>
      <c r="I83" s="24" t="str">
        <f>DIAG!T4</f>
        <v>Manuel</v>
      </c>
    </row>
    <row r="84" spans="1:9" ht="16.5" x14ac:dyDescent="0.35">
      <c r="E84" s="20" t="s">
        <v>32</v>
      </c>
      <c r="G84" s="21">
        <f>DIAG!Y65</f>
        <v>19.064864864864866</v>
      </c>
      <c r="H84" s="21"/>
      <c r="I84" s="21">
        <f>DIAG!Z65</f>
        <v>1.1681034482758621</v>
      </c>
    </row>
    <row r="85" spans="1:9" ht="16.5" x14ac:dyDescent="0.35">
      <c r="E85" s="20" t="s">
        <v>33</v>
      </c>
      <c r="G85" s="21">
        <f>DIAG!Y66</f>
        <v>5.5356074207061637E-2</v>
      </c>
      <c r="H85" s="21"/>
      <c r="I85" s="21">
        <f>DIAG!Z66</f>
        <v>5.9487179487179462</v>
      </c>
    </row>
    <row r="86" spans="1:9" ht="16.5" x14ac:dyDescent="0.35">
      <c r="E86" s="20" t="s">
        <v>34</v>
      </c>
      <c r="G86" s="21">
        <f>DIAG!Y67</f>
        <v>0.90032327586206906</v>
      </c>
      <c r="H86" s="21"/>
      <c r="I86" s="21">
        <f>DIAG!Z67</f>
        <v>12.897435897435898</v>
      </c>
    </row>
    <row r="87" spans="1:9" ht="16.5" x14ac:dyDescent="0.35">
      <c r="E87" s="20" t="s">
        <v>22</v>
      </c>
      <c r="G87" s="21">
        <f>DIAG!Y68</f>
        <v>21.175577013278986</v>
      </c>
      <c r="H87" s="21"/>
      <c r="I87" s="21">
        <f>DIAG!Z68</f>
        <v>9.0568657023376978E-2</v>
      </c>
    </row>
    <row r="88" spans="1:9" ht="16.5" x14ac:dyDescent="0.35">
      <c r="E88" s="20" t="s">
        <v>14</v>
      </c>
      <c r="G88" s="22">
        <f>DIAG!Y69/100</f>
        <v>0.52622625460731498</v>
      </c>
      <c r="H88" s="22"/>
      <c r="I88" s="22">
        <f>DIAG!Z69/100</f>
        <v>7.1955719557195569E-2</v>
      </c>
    </row>
    <row r="89" spans="1:9" x14ac:dyDescent="0.25">
      <c r="G89" s="21">
        <f>DIAG!Y70</f>
        <v>0</v>
      </c>
    </row>
    <row r="90" spans="1:9" ht="16.5" x14ac:dyDescent="0.35">
      <c r="F90" s="23"/>
      <c r="G90" s="24" t="str">
        <f>DIAG!T5</f>
        <v>André</v>
      </c>
      <c r="H90" s="23"/>
      <c r="I90" s="24" t="str">
        <f>DIAG!T6</f>
        <v>Luiz</v>
      </c>
    </row>
    <row r="91" spans="1:9" ht="16.5" x14ac:dyDescent="0.35">
      <c r="E91" s="20" t="s">
        <v>32</v>
      </c>
      <c r="G91" s="21">
        <f>DIAG!AA65</f>
        <v>8.9267241379310338</v>
      </c>
      <c r="I91" s="21">
        <f>DIAG!AB65</f>
        <v>2.0210280373831777</v>
      </c>
    </row>
    <row r="92" spans="1:9" ht="16.5" x14ac:dyDescent="0.35">
      <c r="E92" s="20" t="s">
        <v>33</v>
      </c>
      <c r="G92" s="21">
        <f>DIAG!AA66</f>
        <v>0.12615551930396954</v>
      </c>
      <c r="I92" s="21">
        <f>DIAG!AB66</f>
        <v>0.97940503432494275</v>
      </c>
    </row>
    <row r="93" spans="1:9" ht="16.5" x14ac:dyDescent="0.35">
      <c r="E93" s="20" t="s">
        <v>34</v>
      </c>
      <c r="G93" s="21">
        <f>DIAG!AA67</f>
        <v>0.28873677660236463</v>
      </c>
      <c r="I93" s="21">
        <f>DIAG!AB67</f>
        <v>95.1111111111111</v>
      </c>
    </row>
    <row r="94" spans="1:9" ht="16.5" x14ac:dyDescent="0.35">
      <c r="E94" s="20" t="s">
        <v>22</v>
      </c>
      <c r="G94" s="21">
        <f>DIAG!AA68</f>
        <v>30.91647777942925</v>
      </c>
      <c r="I94" s="21">
        <f>DIAG!AB68</f>
        <v>2.1249126561271731E-2</v>
      </c>
    </row>
    <row r="95" spans="1:9" ht="16.5" x14ac:dyDescent="0.35">
      <c r="E95" s="20" t="s">
        <v>14</v>
      </c>
      <c r="G95" s="22">
        <f>DIAG!AA69/100</f>
        <v>0.77595364558184454</v>
      </c>
      <c r="I95" s="22">
        <f>DIAG!AB69/100</f>
        <v>1.0404624277456647E-2</v>
      </c>
    </row>
    <row r="97" spans="5:9" ht="16.5" x14ac:dyDescent="0.35">
      <c r="F97" s="23"/>
      <c r="G97" s="24">
        <f>DIAG!T7</f>
        <v>0</v>
      </c>
      <c r="H97" s="23"/>
      <c r="I97" s="24">
        <f>DIAG!T8</f>
        <v>0</v>
      </c>
    </row>
    <row r="98" spans="5:9" ht="16.5" x14ac:dyDescent="0.35">
      <c r="E98" s="20" t="s">
        <v>32</v>
      </c>
      <c r="G98" s="21" t="e">
        <f>DIAG!AC65</f>
        <v>#DIV/0!</v>
      </c>
      <c r="I98" s="21" t="e">
        <f>DIAG!AD65</f>
        <v>#DIV/0!</v>
      </c>
    </row>
    <row r="99" spans="5:9" ht="16.5" x14ac:dyDescent="0.35">
      <c r="E99" s="20" t="s">
        <v>33</v>
      </c>
      <c r="G99" s="21" t="e">
        <f>DIAG!AC66</f>
        <v>#DIV/0!</v>
      </c>
      <c r="I99" s="21" t="e">
        <f>DIAG!AD66</f>
        <v>#DIV/0!</v>
      </c>
    </row>
    <row r="100" spans="5:9" ht="16.5" x14ac:dyDescent="0.35">
      <c r="E100" s="20" t="s">
        <v>34</v>
      </c>
      <c r="G100" s="21" t="e">
        <f>DIAG!AC67</f>
        <v>#DIV/0!</v>
      </c>
      <c r="I100" s="21" t="e">
        <f>DIAG!AD67</f>
        <v>#DIV/0!</v>
      </c>
    </row>
    <row r="101" spans="5:9" ht="16.5" x14ac:dyDescent="0.35">
      <c r="E101" s="20" t="s">
        <v>22</v>
      </c>
      <c r="G101" s="21" t="e">
        <f>DIAG!AC68</f>
        <v>#DIV/0!</v>
      </c>
      <c r="I101" s="21" t="e">
        <f>DIAG!AD68</f>
        <v>#DIV/0!</v>
      </c>
    </row>
    <row r="102" spans="5:9" ht="16.5" x14ac:dyDescent="0.35">
      <c r="E102" s="20" t="s">
        <v>14</v>
      </c>
      <c r="G102" s="22" t="e">
        <f>DIAG!AC69/100</f>
        <v>#DIV/0!</v>
      </c>
      <c r="I102" s="22" t="e">
        <f>DIAG!AD69/100</f>
        <v>#DIV/0!</v>
      </c>
    </row>
    <row r="104" spans="5:9" ht="16.5" x14ac:dyDescent="0.35">
      <c r="F104" s="23"/>
      <c r="G104" s="24">
        <f>DIAG!T9</f>
        <v>0</v>
      </c>
      <c r="H104" s="23"/>
      <c r="I104" s="24">
        <f>DIAG!T10</f>
        <v>0</v>
      </c>
    </row>
    <row r="105" spans="5:9" ht="16.5" x14ac:dyDescent="0.35">
      <c r="E105" s="20" t="s">
        <v>32</v>
      </c>
      <c r="G105" s="21" t="e">
        <f>DIAG!AE65</f>
        <v>#DIV/0!</v>
      </c>
      <c r="I105" s="21" t="e">
        <f>DIAG!AF65</f>
        <v>#DIV/0!</v>
      </c>
    </row>
    <row r="106" spans="5:9" ht="16.5" x14ac:dyDescent="0.35">
      <c r="E106" s="20" t="s">
        <v>33</v>
      </c>
      <c r="G106" s="21" t="e">
        <f>DIAG!AE66</f>
        <v>#DIV/0!</v>
      </c>
      <c r="I106" s="21" t="e">
        <f>DIAG!AF66</f>
        <v>#DIV/0!</v>
      </c>
    </row>
    <row r="107" spans="5:9" ht="16.5" x14ac:dyDescent="0.35">
      <c r="E107" s="20" t="s">
        <v>34</v>
      </c>
      <c r="G107" s="21" t="e">
        <f>DIAG!AE67</f>
        <v>#DIV/0!</v>
      </c>
      <c r="I107" s="21" t="e">
        <f>DIAG!AF67</f>
        <v>#DIV/0!</v>
      </c>
    </row>
    <row r="108" spans="5:9" ht="16.5" x14ac:dyDescent="0.35">
      <c r="E108" s="20" t="s">
        <v>22</v>
      </c>
      <c r="G108" s="21" t="e">
        <f>DIAG!AE68</f>
        <v>#DIV/0!</v>
      </c>
      <c r="I108" s="21" t="e">
        <f>DIAG!AF68</f>
        <v>#DIV/0!</v>
      </c>
    </row>
    <row r="109" spans="5:9" ht="16.5" x14ac:dyDescent="0.35">
      <c r="E109" s="20" t="s">
        <v>14</v>
      </c>
      <c r="G109" s="22" t="e">
        <f>DIAG!AE69/100</f>
        <v>#DIV/0!</v>
      </c>
      <c r="I109" s="22" t="e">
        <f>DIAG!AF69/100</f>
        <v>#DIV/0!</v>
      </c>
    </row>
  </sheetData>
  <sheetProtection selectLockedCells="1" selectUnlockedCells="1"/>
  <mergeCells count="1">
    <mergeCell ref="B77:D81"/>
  </mergeCells>
  <phoneticPr fontId="2" type="noConversion"/>
  <pageMargins left="1.1200000000000001" right="0.98" top="0.85" bottom="0.86" header="0.5" footer="0.38"/>
  <pageSetup scale="79" fitToHeight="0" orientation="portrait" verticalDpi="300" r:id="rId1"/>
  <headerFooter alignWithMargins="0">
    <oddHeader xml:space="preserve">&amp;L&amp;"Comic Sans MS,Bold"&amp;14FERRAMENTA GRÁFICA DE ANÁLISE DE EMERGIA&amp;R
</oddHeader>
    <oddFooter>&amp;L&amp;8Arquivo: &amp;F&amp;C&amp;8Página &amp;P de &amp;N&amp;R&amp;8Emissão: &amp;D - &amp;T hs
(c) Flávio A. Barrella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7">
    <tabColor indexed="53"/>
  </sheetPr>
  <dimension ref="A1:I501"/>
  <sheetViews>
    <sheetView windowProtection="1" workbookViewId="0">
      <selection activeCell="D12" sqref="D12"/>
    </sheetView>
  </sheetViews>
  <sheetFormatPr defaultRowHeight="12.75" x14ac:dyDescent="0.25"/>
  <cols>
    <col min="1" max="1" width="4.5" style="1" bestFit="1" customWidth="1"/>
    <col min="2" max="2" width="9" style="2"/>
    <col min="3" max="3" width="17.75" style="1" customWidth="1"/>
    <col min="4" max="4" width="37.375" style="2" customWidth="1"/>
    <col min="5" max="5" width="11.875" style="2" customWidth="1"/>
    <col min="6" max="6" width="10.25" style="2" customWidth="1"/>
    <col min="7" max="9" width="9.375" style="2" customWidth="1"/>
    <col min="10" max="10" width="9" style="2"/>
    <col min="11" max="11" width="3" style="2" customWidth="1"/>
    <col min="12" max="16384" width="9" style="2"/>
  </cols>
  <sheetData>
    <row r="1" spans="1:7" ht="18" customHeight="1" x14ac:dyDescent="0.3">
      <c r="A1" s="15" t="s">
        <v>10</v>
      </c>
      <c r="B1" s="14" t="s">
        <v>120</v>
      </c>
      <c r="C1" s="3" t="s">
        <v>121</v>
      </c>
      <c r="D1" s="4" t="s">
        <v>122</v>
      </c>
      <c r="E1" s="5"/>
      <c r="F1" s="6"/>
      <c r="G1" s="7"/>
    </row>
    <row r="2" spans="1:7" ht="14.25" x14ac:dyDescent="0.3">
      <c r="A2" s="15">
        <v>1</v>
      </c>
      <c r="B2" s="14" t="s">
        <v>112</v>
      </c>
      <c r="C2" s="8" t="s">
        <v>123</v>
      </c>
      <c r="D2" s="9">
        <v>156</v>
      </c>
      <c r="E2" s="10"/>
      <c r="F2" s="11"/>
      <c r="G2" s="12"/>
    </row>
    <row r="3" spans="1:7" ht="14.25" x14ac:dyDescent="0.3">
      <c r="A3" s="15">
        <v>1</v>
      </c>
      <c r="B3" s="14" t="s">
        <v>112</v>
      </c>
      <c r="C3" s="8" t="s">
        <v>124</v>
      </c>
      <c r="D3" s="9">
        <v>156</v>
      </c>
      <c r="E3" s="10"/>
      <c r="F3" s="11"/>
      <c r="G3" s="12"/>
    </row>
    <row r="4" spans="1:7" ht="14.25" x14ac:dyDescent="0.3">
      <c r="A4" s="15">
        <v>1</v>
      </c>
      <c r="B4" s="14" t="s">
        <v>112</v>
      </c>
      <c r="C4" s="8" t="s">
        <v>125</v>
      </c>
      <c r="D4" s="9">
        <v>546</v>
      </c>
      <c r="E4" s="10"/>
      <c r="F4" s="11"/>
      <c r="G4" s="12"/>
    </row>
    <row r="5" spans="1:7" ht="14.25" x14ac:dyDescent="0.3">
      <c r="A5" s="15">
        <v>2</v>
      </c>
      <c r="B5" s="14" t="s">
        <v>113</v>
      </c>
      <c r="C5" s="8" t="s">
        <v>123</v>
      </c>
      <c r="D5" s="9">
        <v>156</v>
      </c>
      <c r="E5" s="10"/>
      <c r="F5" s="11"/>
      <c r="G5" s="12"/>
    </row>
    <row r="6" spans="1:7" ht="14.25" x14ac:dyDescent="0.3">
      <c r="A6" s="15">
        <v>2</v>
      </c>
      <c r="B6" s="14" t="s">
        <v>113</v>
      </c>
      <c r="C6" s="8" t="s">
        <v>124</v>
      </c>
      <c r="D6" s="9">
        <v>156</v>
      </c>
      <c r="E6" s="10"/>
      <c r="F6" s="11"/>
      <c r="G6" s="12"/>
    </row>
    <row r="7" spans="1:7" ht="14.25" x14ac:dyDescent="0.3">
      <c r="A7" s="15">
        <v>2</v>
      </c>
      <c r="B7" s="14" t="s">
        <v>113</v>
      </c>
      <c r="C7" s="8" t="s">
        <v>125</v>
      </c>
      <c r="D7" s="9">
        <v>152</v>
      </c>
      <c r="E7" s="10"/>
      <c r="F7" s="11"/>
      <c r="G7" s="12"/>
    </row>
    <row r="8" spans="1:7" ht="14.25" x14ac:dyDescent="0.3">
      <c r="A8" s="15">
        <v>3</v>
      </c>
      <c r="B8" s="14" t="s">
        <v>126</v>
      </c>
      <c r="C8" s="8" t="s">
        <v>123</v>
      </c>
      <c r="D8" s="9">
        <v>1856</v>
      </c>
      <c r="E8" s="10"/>
      <c r="F8" s="11"/>
      <c r="G8" s="12"/>
    </row>
    <row r="9" spans="1:7" ht="14.25" x14ac:dyDescent="0.3">
      <c r="A9" s="15">
        <v>3</v>
      </c>
      <c r="B9" s="14" t="s">
        <v>126</v>
      </c>
      <c r="C9" s="8" t="s">
        <v>124</v>
      </c>
      <c r="D9" s="9">
        <v>1486</v>
      </c>
      <c r="E9" s="10"/>
      <c r="F9" s="11"/>
      <c r="G9" s="12"/>
    </row>
    <row r="10" spans="1:7" ht="14.25" x14ac:dyDescent="0.3">
      <c r="A10" s="15">
        <v>3</v>
      </c>
      <c r="B10" s="14" t="s">
        <v>126</v>
      </c>
      <c r="C10" s="8" t="s">
        <v>125</v>
      </c>
      <c r="D10" s="9">
        <v>185</v>
      </c>
      <c r="E10" s="10"/>
      <c r="F10" s="11"/>
      <c r="G10" s="12"/>
    </row>
    <row r="11" spans="1:7" ht="14.25" x14ac:dyDescent="0.3">
      <c r="A11" s="15">
        <v>4</v>
      </c>
      <c r="B11" s="14" t="s">
        <v>127</v>
      </c>
      <c r="C11" s="8" t="s">
        <v>123</v>
      </c>
      <c r="D11" s="9">
        <v>156</v>
      </c>
      <c r="E11" s="10"/>
      <c r="F11" s="11"/>
      <c r="G11" s="12"/>
    </row>
    <row r="12" spans="1:7" ht="14.25" x14ac:dyDescent="0.3">
      <c r="A12" s="15">
        <v>4</v>
      </c>
      <c r="B12" s="14" t="s">
        <v>127</v>
      </c>
      <c r="C12" s="8" t="s">
        <v>124</v>
      </c>
      <c r="D12" s="9">
        <v>156</v>
      </c>
      <c r="E12" s="10"/>
      <c r="F12" s="11"/>
      <c r="G12" s="12"/>
    </row>
    <row r="13" spans="1:7" ht="14.25" x14ac:dyDescent="0.3">
      <c r="A13" s="15">
        <v>4</v>
      </c>
      <c r="B13" s="14" t="s">
        <v>127</v>
      </c>
      <c r="C13" s="8" t="s">
        <v>125</v>
      </c>
      <c r="D13" s="9">
        <v>1856</v>
      </c>
      <c r="E13" s="10"/>
      <c r="F13" s="11"/>
      <c r="G13" s="12"/>
    </row>
    <row r="14" spans="1:7" ht="14.25" x14ac:dyDescent="0.3">
      <c r="A14" s="15">
        <v>5</v>
      </c>
      <c r="B14" s="14" t="s">
        <v>128</v>
      </c>
      <c r="C14" s="8" t="s">
        <v>123</v>
      </c>
      <c r="D14" s="9">
        <v>12856</v>
      </c>
      <c r="E14" s="10"/>
      <c r="F14" s="11"/>
      <c r="G14" s="12"/>
    </row>
    <row r="15" spans="1:7" ht="14.25" x14ac:dyDescent="0.3">
      <c r="A15" s="15">
        <v>5</v>
      </c>
      <c r="B15" s="14" t="s">
        <v>128</v>
      </c>
      <c r="C15" s="8" t="s">
        <v>124</v>
      </c>
      <c r="D15" s="9">
        <v>1856</v>
      </c>
      <c r="E15" s="10"/>
      <c r="F15" s="11"/>
      <c r="G15" s="12"/>
    </row>
    <row r="16" spans="1:7" ht="14.25" x14ac:dyDescent="0.3">
      <c r="A16" s="15">
        <v>5</v>
      </c>
      <c r="B16" s="14" t="s">
        <v>128</v>
      </c>
      <c r="C16" s="8" t="s">
        <v>125</v>
      </c>
      <c r="D16" s="9">
        <v>1856</v>
      </c>
      <c r="E16" s="10"/>
      <c r="F16" s="11"/>
      <c r="G16" s="12"/>
    </row>
    <row r="17" spans="1:9" ht="14.25" x14ac:dyDescent="0.3">
      <c r="A17" s="15">
        <v>6</v>
      </c>
      <c r="B17" s="14" t="s">
        <v>129</v>
      </c>
      <c r="C17" s="8" t="s">
        <v>123</v>
      </c>
      <c r="D17" s="9">
        <v>18</v>
      </c>
      <c r="E17" s="10"/>
      <c r="F17" s="11"/>
      <c r="G17" s="12"/>
    </row>
    <row r="18" spans="1:9" ht="14.25" x14ac:dyDescent="0.3">
      <c r="A18" s="15">
        <v>6</v>
      </c>
      <c r="B18" s="14" t="s">
        <v>129</v>
      </c>
      <c r="C18" s="8" t="s">
        <v>124</v>
      </c>
      <c r="D18" s="9">
        <v>856</v>
      </c>
      <c r="E18" s="10"/>
      <c r="F18" s="11"/>
      <c r="G18" s="12"/>
    </row>
    <row r="19" spans="1:9" ht="14.25" x14ac:dyDescent="0.3">
      <c r="A19" s="15">
        <v>6</v>
      </c>
      <c r="B19" s="14" t="s">
        <v>129</v>
      </c>
      <c r="C19" s="8" t="s">
        <v>125</v>
      </c>
      <c r="D19" s="9">
        <v>856</v>
      </c>
      <c r="E19" s="10"/>
      <c r="F19" s="11"/>
      <c r="G19" s="12"/>
    </row>
    <row r="20" spans="1:9" ht="14.25" x14ac:dyDescent="0.3">
      <c r="A20" s="15">
        <v>7</v>
      </c>
      <c r="B20" s="14"/>
      <c r="C20" s="8" t="s">
        <v>123</v>
      </c>
      <c r="D20" s="9"/>
      <c r="E20" s="10"/>
      <c r="F20" s="11"/>
      <c r="G20" s="12"/>
    </row>
    <row r="21" spans="1:9" ht="14.25" x14ac:dyDescent="0.3">
      <c r="A21" s="15">
        <v>7</v>
      </c>
      <c r="B21" s="14">
        <v>0</v>
      </c>
      <c r="C21" s="8" t="s">
        <v>124</v>
      </c>
      <c r="D21" s="9"/>
      <c r="E21" s="10"/>
      <c r="F21" s="11"/>
      <c r="G21" s="12"/>
    </row>
    <row r="22" spans="1:9" ht="14.25" x14ac:dyDescent="0.3">
      <c r="A22" s="15">
        <v>7</v>
      </c>
      <c r="B22" s="14">
        <v>0</v>
      </c>
      <c r="C22" s="8" t="s">
        <v>125</v>
      </c>
      <c r="D22" s="9"/>
      <c r="E22" s="10"/>
      <c r="F22" s="11"/>
      <c r="G22" s="12"/>
    </row>
    <row r="23" spans="1:9" ht="14.25" x14ac:dyDescent="0.3">
      <c r="A23" s="15">
        <v>8</v>
      </c>
      <c r="B23" s="14"/>
      <c r="C23" s="8" t="s">
        <v>123</v>
      </c>
      <c r="D23" s="9"/>
      <c r="E23" s="10"/>
      <c r="F23" s="11"/>
      <c r="G23" s="12"/>
    </row>
    <row r="24" spans="1:9" ht="14.25" x14ac:dyDescent="0.3">
      <c r="A24" s="15">
        <v>8</v>
      </c>
      <c r="B24" s="14">
        <v>0</v>
      </c>
      <c r="C24" s="8" t="s">
        <v>124</v>
      </c>
      <c r="D24" s="9"/>
      <c r="E24" s="10"/>
      <c r="F24" s="11"/>
      <c r="G24" s="12"/>
    </row>
    <row r="25" spans="1:9" ht="14.25" x14ac:dyDescent="0.3">
      <c r="A25" s="15">
        <v>8</v>
      </c>
      <c r="B25" s="14">
        <v>0</v>
      </c>
      <c r="C25" s="8" t="s">
        <v>125</v>
      </c>
      <c r="D25" s="9"/>
      <c r="E25" s="10"/>
      <c r="F25" s="11"/>
      <c r="G25" s="12"/>
    </row>
    <row r="26" spans="1:9" ht="14.25" x14ac:dyDescent="0.3">
      <c r="A26" s="15">
        <v>9</v>
      </c>
      <c r="B26" s="14"/>
      <c r="C26" s="8" t="s">
        <v>123</v>
      </c>
      <c r="D26" s="9"/>
      <c r="E26" s="10"/>
      <c r="F26" s="11"/>
      <c r="G26" s="12"/>
    </row>
    <row r="27" spans="1:9" ht="14.25" x14ac:dyDescent="0.3">
      <c r="A27" s="15">
        <v>9</v>
      </c>
      <c r="B27" s="14">
        <v>0</v>
      </c>
      <c r="C27" s="8" t="s">
        <v>124</v>
      </c>
      <c r="D27" s="9"/>
      <c r="E27" s="10"/>
      <c r="F27" s="11"/>
      <c r="G27" s="12"/>
    </row>
    <row r="28" spans="1:9" ht="14.25" x14ac:dyDescent="0.3">
      <c r="A28" s="15">
        <v>9</v>
      </c>
      <c r="B28" s="14">
        <v>0</v>
      </c>
      <c r="C28" s="8" t="s">
        <v>125</v>
      </c>
      <c r="D28" s="9"/>
      <c r="E28" s="10"/>
      <c r="F28" s="11"/>
      <c r="G28" s="12"/>
    </row>
    <row r="29" spans="1:9" ht="14.25" x14ac:dyDescent="0.3">
      <c r="A29" s="15">
        <v>10</v>
      </c>
      <c r="B29" s="14"/>
      <c r="C29" s="8" t="s">
        <v>123</v>
      </c>
      <c r="D29" s="9"/>
      <c r="E29" s="10"/>
      <c r="F29" s="11"/>
      <c r="G29" s="12"/>
    </row>
    <row r="30" spans="1:9" ht="14.25" x14ac:dyDescent="0.3">
      <c r="A30" s="15">
        <v>10</v>
      </c>
      <c r="B30" s="14">
        <v>0</v>
      </c>
      <c r="C30" s="8" t="s">
        <v>124</v>
      </c>
      <c r="D30" s="9"/>
      <c r="E30" s="10"/>
      <c r="F30" s="11"/>
      <c r="G30" s="12"/>
    </row>
    <row r="31" spans="1:9" ht="14.25" x14ac:dyDescent="0.3">
      <c r="A31" s="15">
        <v>10</v>
      </c>
      <c r="B31" s="14">
        <v>0</v>
      </c>
      <c r="C31" s="28" t="s">
        <v>125</v>
      </c>
      <c r="D31" s="13"/>
      <c r="E31" s="29"/>
      <c r="F31" s="30"/>
      <c r="G31" s="31"/>
    </row>
    <row r="32" spans="1:9" ht="14.25" x14ac:dyDescent="0.3">
      <c r="A32" s="18"/>
      <c r="B32" s="19"/>
      <c r="E32" s="1"/>
      <c r="F32" s="1"/>
      <c r="G32" s="27"/>
      <c r="I32" s="1"/>
    </row>
    <row r="33" spans="1:9" ht="14.25" x14ac:dyDescent="0.3">
      <c r="A33" s="18"/>
      <c r="B33" s="19"/>
      <c r="E33" s="1"/>
      <c r="F33" s="1"/>
      <c r="G33" s="27"/>
      <c r="I33" s="1"/>
    </row>
    <row r="34" spans="1:9" ht="14.25" x14ac:dyDescent="0.3">
      <c r="A34" s="18"/>
      <c r="B34" s="19"/>
      <c r="E34" s="1"/>
      <c r="F34" s="1"/>
      <c r="G34" s="27"/>
    </row>
    <row r="35" spans="1:9" ht="14.25" x14ac:dyDescent="0.3">
      <c r="A35" s="18"/>
      <c r="B35" s="19"/>
      <c r="E35" s="1"/>
      <c r="F35" s="1"/>
      <c r="G35" s="27"/>
    </row>
    <row r="36" spans="1:9" ht="14.25" x14ac:dyDescent="0.3">
      <c r="A36" s="18"/>
      <c r="B36" s="19"/>
      <c r="E36" s="1"/>
      <c r="F36" s="1"/>
      <c r="G36" s="27"/>
    </row>
    <row r="37" spans="1:9" ht="14.25" x14ac:dyDescent="0.3">
      <c r="A37" s="18"/>
      <c r="B37" s="19"/>
      <c r="E37" s="1"/>
      <c r="F37" s="1"/>
      <c r="G37" s="27"/>
    </row>
    <row r="38" spans="1:9" ht="14.25" x14ac:dyDescent="0.3">
      <c r="A38" s="18"/>
      <c r="B38" s="19"/>
      <c r="E38" s="1"/>
      <c r="F38" s="1"/>
      <c r="G38" s="27"/>
    </row>
    <row r="39" spans="1:9" ht="14.25" x14ac:dyDescent="0.3">
      <c r="A39" s="18"/>
      <c r="B39" s="19"/>
      <c r="E39" s="1"/>
      <c r="F39" s="1"/>
      <c r="G39" s="27"/>
    </row>
    <row r="40" spans="1:9" x14ac:dyDescent="0.25">
      <c r="A40" s="2"/>
      <c r="C40" s="2"/>
    </row>
    <row r="41" spans="1:9" x14ac:dyDescent="0.25">
      <c r="A41" s="2"/>
      <c r="C41" s="2"/>
    </row>
    <row r="42" spans="1:9" x14ac:dyDescent="0.25">
      <c r="A42" s="2"/>
      <c r="C42" s="2"/>
    </row>
    <row r="43" spans="1:9" x14ac:dyDescent="0.25">
      <c r="A43" s="2"/>
      <c r="C43" s="2"/>
    </row>
    <row r="44" spans="1:9" x14ac:dyDescent="0.25">
      <c r="A44" s="2"/>
      <c r="C44" s="2"/>
    </row>
    <row r="45" spans="1:9" x14ac:dyDescent="0.25">
      <c r="A45" s="2"/>
      <c r="C45" s="2"/>
    </row>
    <row r="46" spans="1:9" x14ac:dyDescent="0.25">
      <c r="A46" s="2"/>
      <c r="C46" s="2"/>
    </row>
    <row r="47" spans="1:9" x14ac:dyDescent="0.25">
      <c r="A47" s="2"/>
      <c r="C47" s="2"/>
    </row>
    <row r="48" spans="1:9" x14ac:dyDescent="0.25">
      <c r="A48" s="2"/>
      <c r="C48" s="2"/>
    </row>
    <row r="49" spans="1:3" s="2" customFormat="1" x14ac:dyDescent="0.25"/>
    <row r="50" spans="1:3" s="2" customFormat="1" x14ac:dyDescent="0.25"/>
    <row r="51" spans="1:3" s="2" customFormat="1" x14ac:dyDescent="0.25"/>
    <row r="52" spans="1:3" s="2" customFormat="1" x14ac:dyDescent="0.25"/>
    <row r="53" spans="1:3" s="2" customFormat="1" x14ac:dyDescent="0.25"/>
    <row r="54" spans="1:3" s="2" customFormat="1" x14ac:dyDescent="0.25"/>
    <row r="55" spans="1:3" s="2" customFormat="1" x14ac:dyDescent="0.25"/>
    <row r="56" spans="1:3" s="2" customFormat="1" x14ac:dyDescent="0.25"/>
    <row r="57" spans="1:3" s="2" customFormat="1" x14ac:dyDescent="0.25"/>
    <row r="58" spans="1:3" s="2" customFormat="1" x14ac:dyDescent="0.25"/>
    <row r="59" spans="1:3" s="2" customFormat="1" x14ac:dyDescent="0.25"/>
    <row r="60" spans="1:3" s="2" customFormat="1" x14ac:dyDescent="0.25"/>
    <row r="61" spans="1:3" s="2" customFormat="1" x14ac:dyDescent="0.25"/>
    <row r="62" spans="1:3" x14ac:dyDescent="0.25">
      <c r="A62" s="2"/>
      <c r="B62" s="1"/>
      <c r="C62" s="2"/>
    </row>
    <row r="63" spans="1:3" x14ac:dyDescent="0.25">
      <c r="A63" s="2"/>
      <c r="B63" s="1"/>
      <c r="C63" s="2"/>
    </row>
    <row r="64" spans="1:3" s="2" customFormat="1" x14ac:dyDescent="0.25"/>
    <row r="65" s="2" customFormat="1" x14ac:dyDescent="0.25"/>
    <row r="66" s="2" customFormat="1" x14ac:dyDescent="0.25"/>
    <row r="67" s="2" customFormat="1" x14ac:dyDescent="0.25"/>
    <row r="68" s="2" customFormat="1" x14ac:dyDescent="0.25"/>
    <row r="69" s="2" customFormat="1" x14ac:dyDescent="0.25"/>
    <row r="70" s="2" customFormat="1" x14ac:dyDescent="0.25"/>
    <row r="71" s="2" customFormat="1" x14ac:dyDescent="0.25"/>
    <row r="72" s="2" customFormat="1" x14ac:dyDescent="0.25"/>
    <row r="73" s="2" customFormat="1" x14ac:dyDescent="0.25"/>
    <row r="74" s="2" customFormat="1" x14ac:dyDescent="0.25"/>
    <row r="75" s="2" customFormat="1" x14ac:dyDescent="0.25"/>
    <row r="76" s="2" customFormat="1" x14ac:dyDescent="0.25"/>
    <row r="77" s="2" customFormat="1" x14ac:dyDescent="0.25"/>
    <row r="78" s="2" customFormat="1" x14ac:dyDescent="0.25"/>
    <row r="79" s="2" customFormat="1" x14ac:dyDescent="0.25"/>
    <row r="80" s="2" customFormat="1" x14ac:dyDescent="0.25"/>
    <row r="81" spans="1:3" s="2" customFormat="1" x14ac:dyDescent="0.25"/>
    <row r="82" spans="1:3" s="2" customFormat="1" x14ac:dyDescent="0.25"/>
    <row r="83" spans="1:3" s="2" customFormat="1" x14ac:dyDescent="0.25"/>
    <row r="84" spans="1:3" s="2" customFormat="1" x14ac:dyDescent="0.25"/>
    <row r="85" spans="1:3" s="2" customFormat="1" x14ac:dyDescent="0.25"/>
    <row r="86" spans="1:3" s="2" customFormat="1" x14ac:dyDescent="0.25"/>
    <row r="87" spans="1:3" s="2" customFormat="1" x14ac:dyDescent="0.25"/>
    <row r="88" spans="1:3" s="2" customFormat="1" x14ac:dyDescent="0.25"/>
    <row r="89" spans="1:3" s="2" customFormat="1" x14ac:dyDescent="0.25"/>
    <row r="90" spans="1:3" s="2" customFormat="1" x14ac:dyDescent="0.25"/>
    <row r="91" spans="1:3" s="2" customFormat="1" x14ac:dyDescent="0.25"/>
    <row r="92" spans="1:3" x14ac:dyDescent="0.25">
      <c r="A92" s="2"/>
      <c r="B92" s="1"/>
      <c r="C92" s="2"/>
    </row>
    <row r="93" spans="1:3" x14ac:dyDescent="0.25">
      <c r="A93" s="2"/>
      <c r="B93" s="1"/>
      <c r="C93" s="2"/>
    </row>
    <row r="94" spans="1:3" s="2" customFormat="1" x14ac:dyDescent="0.25"/>
    <row r="95" spans="1:3" s="2" customFormat="1" x14ac:dyDescent="0.25"/>
    <row r="96" spans="1:3" s="2" customFormat="1" x14ac:dyDescent="0.25"/>
    <row r="97" s="2" customFormat="1" x14ac:dyDescent="0.25"/>
    <row r="98" s="2" customFormat="1" x14ac:dyDescent="0.25"/>
    <row r="99" s="2" customFormat="1" x14ac:dyDescent="0.25"/>
    <row r="100" s="2" customFormat="1" x14ac:dyDescent="0.25"/>
    <row r="101" s="2" customFormat="1" x14ac:dyDescent="0.25"/>
    <row r="102" s="2" customFormat="1" x14ac:dyDescent="0.25"/>
    <row r="103" s="2" customFormat="1" x14ac:dyDescent="0.25"/>
    <row r="104" s="2" customFormat="1" x14ac:dyDescent="0.25"/>
    <row r="105" s="2" customFormat="1" x14ac:dyDescent="0.25"/>
    <row r="106" s="2" customFormat="1" x14ac:dyDescent="0.25"/>
    <row r="107" s="2" customFormat="1" x14ac:dyDescent="0.25"/>
    <row r="108" s="2" customFormat="1" x14ac:dyDescent="0.25"/>
    <row r="109" s="2" customFormat="1" x14ac:dyDescent="0.25"/>
    <row r="110" s="2" customFormat="1" x14ac:dyDescent="0.25"/>
    <row r="111" s="2" customFormat="1" x14ac:dyDescent="0.25"/>
    <row r="112" s="2" customFormat="1" x14ac:dyDescent="0.25"/>
    <row r="113" spans="1:3" s="2" customFormat="1" x14ac:dyDescent="0.25"/>
    <row r="114" spans="1:3" s="2" customFormat="1" x14ac:dyDescent="0.25"/>
    <row r="115" spans="1:3" s="2" customFormat="1" x14ac:dyDescent="0.25"/>
    <row r="116" spans="1:3" s="2" customFormat="1" x14ac:dyDescent="0.25"/>
    <row r="117" spans="1:3" s="2" customFormat="1" x14ac:dyDescent="0.25"/>
    <row r="118" spans="1:3" s="2" customFormat="1" x14ac:dyDescent="0.25"/>
    <row r="119" spans="1:3" s="2" customFormat="1" x14ac:dyDescent="0.25"/>
    <row r="120" spans="1:3" s="2" customFormat="1" x14ac:dyDescent="0.25"/>
    <row r="121" spans="1:3" s="2" customFormat="1" x14ac:dyDescent="0.25"/>
    <row r="122" spans="1:3" x14ac:dyDescent="0.25">
      <c r="A122" s="2"/>
      <c r="B122" s="1"/>
      <c r="C122" s="2"/>
    </row>
    <row r="123" spans="1:3" x14ac:dyDescent="0.25">
      <c r="A123" s="2"/>
      <c r="B123" s="1"/>
      <c r="C123" s="2"/>
    </row>
    <row r="124" spans="1:3" s="2" customFormat="1" x14ac:dyDescent="0.25"/>
    <row r="125" spans="1:3" s="2" customFormat="1" x14ac:dyDescent="0.25"/>
    <row r="126" spans="1:3" s="2" customFormat="1" x14ac:dyDescent="0.25"/>
    <row r="127" spans="1:3" s="2" customFormat="1" x14ac:dyDescent="0.25"/>
    <row r="128" spans="1:3" s="2" customFormat="1" x14ac:dyDescent="0.25"/>
    <row r="129" s="2" customFormat="1" x14ac:dyDescent="0.25"/>
    <row r="130" s="2" customFormat="1" x14ac:dyDescent="0.25"/>
    <row r="131" s="2" customFormat="1" x14ac:dyDescent="0.25"/>
    <row r="132" s="2" customFormat="1" x14ac:dyDescent="0.25"/>
    <row r="133" s="2" customFormat="1" x14ac:dyDescent="0.25"/>
    <row r="134" s="2" customFormat="1" x14ac:dyDescent="0.25"/>
    <row r="135" s="2" customFormat="1" x14ac:dyDescent="0.25"/>
    <row r="136" s="2" customFormat="1" x14ac:dyDescent="0.25"/>
    <row r="137" s="2" customFormat="1" x14ac:dyDescent="0.25"/>
    <row r="138" s="2" customFormat="1" x14ac:dyDescent="0.25"/>
    <row r="139" s="2" customFormat="1" x14ac:dyDescent="0.25"/>
    <row r="140" s="2" customFormat="1" x14ac:dyDescent="0.25"/>
    <row r="141" s="2" customFormat="1" x14ac:dyDescent="0.25"/>
    <row r="142" s="2" customFormat="1" x14ac:dyDescent="0.25"/>
    <row r="143" s="2" customFormat="1" x14ac:dyDescent="0.25"/>
    <row r="144" s="2" customFormat="1" x14ac:dyDescent="0.25"/>
    <row r="145" spans="1:3" s="2" customFormat="1" x14ac:dyDescent="0.25"/>
    <row r="146" spans="1:3" s="2" customFormat="1" x14ac:dyDescent="0.25"/>
    <row r="147" spans="1:3" s="2" customFormat="1" x14ac:dyDescent="0.25"/>
    <row r="148" spans="1:3" s="2" customFormat="1" x14ac:dyDescent="0.25"/>
    <row r="149" spans="1:3" s="2" customFormat="1" x14ac:dyDescent="0.25"/>
    <row r="150" spans="1:3" s="2" customFormat="1" x14ac:dyDescent="0.25"/>
    <row r="151" spans="1:3" s="2" customFormat="1" x14ac:dyDescent="0.25"/>
    <row r="152" spans="1:3" x14ac:dyDescent="0.25">
      <c r="A152" s="2"/>
      <c r="B152" s="1"/>
      <c r="C152" s="2"/>
    </row>
    <row r="153" spans="1:3" x14ac:dyDescent="0.25">
      <c r="A153" s="2"/>
      <c r="B153" s="1"/>
      <c r="C153" s="2"/>
    </row>
    <row r="154" spans="1:3" s="2" customFormat="1" x14ac:dyDescent="0.25"/>
    <row r="155" spans="1:3" s="2" customFormat="1" x14ac:dyDescent="0.25"/>
    <row r="156" spans="1:3" s="2" customFormat="1" x14ac:dyDescent="0.25"/>
    <row r="157" spans="1:3" s="2" customFormat="1" x14ac:dyDescent="0.25"/>
    <row r="158" spans="1:3" s="2" customFormat="1" x14ac:dyDescent="0.25"/>
    <row r="159" spans="1:3" s="2" customFormat="1" x14ac:dyDescent="0.25"/>
    <row r="160" spans="1:3" s="2" customFormat="1" x14ac:dyDescent="0.25"/>
    <row r="161" s="2" customFormat="1" x14ac:dyDescent="0.25"/>
    <row r="162" s="2" customFormat="1" x14ac:dyDescent="0.25"/>
    <row r="163" s="2" customFormat="1" x14ac:dyDescent="0.25"/>
    <row r="164" s="2" customFormat="1" x14ac:dyDescent="0.25"/>
    <row r="165" s="2" customFormat="1" x14ac:dyDescent="0.25"/>
    <row r="166" s="2" customFormat="1" x14ac:dyDescent="0.25"/>
    <row r="167" s="2" customFormat="1" x14ac:dyDescent="0.25"/>
    <row r="168" s="2" customFormat="1" x14ac:dyDescent="0.25"/>
    <row r="169" s="2" customFormat="1" x14ac:dyDescent="0.25"/>
    <row r="170" s="2" customFormat="1" x14ac:dyDescent="0.25"/>
    <row r="171" s="2" customFormat="1" x14ac:dyDescent="0.25"/>
    <row r="172" s="2" customFormat="1" x14ac:dyDescent="0.25"/>
    <row r="173" s="2" customFormat="1" x14ac:dyDescent="0.25"/>
    <row r="174" s="2" customFormat="1" x14ac:dyDescent="0.25"/>
    <row r="175" s="2" customFormat="1" x14ac:dyDescent="0.25"/>
    <row r="176" s="2" customFormat="1" x14ac:dyDescent="0.25"/>
    <row r="177" s="2" customFormat="1" x14ac:dyDescent="0.25"/>
    <row r="178" s="2" customFormat="1" x14ac:dyDescent="0.25"/>
    <row r="179" s="2" customFormat="1" x14ac:dyDescent="0.25"/>
    <row r="180" s="2" customFormat="1" x14ac:dyDescent="0.25"/>
    <row r="181" s="2" customFormat="1" x14ac:dyDescent="0.25"/>
    <row r="182" s="2" customFormat="1" x14ac:dyDescent="0.25"/>
    <row r="183" s="2" customFormat="1" x14ac:dyDescent="0.25"/>
    <row r="184" s="2" customFormat="1" x14ac:dyDescent="0.25"/>
    <row r="185" s="2" customFormat="1" x14ac:dyDescent="0.25"/>
    <row r="186" s="2" customFormat="1" x14ac:dyDescent="0.25"/>
    <row r="187" s="2" customFormat="1" x14ac:dyDescent="0.25"/>
    <row r="188" s="2" customFormat="1" x14ac:dyDescent="0.25"/>
    <row r="189" s="2" customFormat="1" x14ac:dyDescent="0.25"/>
    <row r="190" s="2" customFormat="1" x14ac:dyDescent="0.25"/>
    <row r="191" s="2" customFormat="1" x14ac:dyDescent="0.25"/>
    <row r="192" s="2" customFormat="1" x14ac:dyDescent="0.25"/>
    <row r="193" s="2" customFormat="1" x14ac:dyDescent="0.25"/>
    <row r="194" s="2" customFormat="1" x14ac:dyDescent="0.25"/>
    <row r="195" s="2" customFormat="1" x14ac:dyDescent="0.25"/>
    <row r="196" s="2" customFormat="1" x14ac:dyDescent="0.25"/>
    <row r="197" s="2" customFormat="1" x14ac:dyDescent="0.25"/>
    <row r="198" s="2" customFormat="1" x14ac:dyDescent="0.25"/>
    <row r="199" s="2" customFormat="1" x14ac:dyDescent="0.25"/>
    <row r="200" s="2" customFormat="1" x14ac:dyDescent="0.25"/>
    <row r="201" s="2" customFormat="1" x14ac:dyDescent="0.25"/>
    <row r="202" s="2" customFormat="1" x14ac:dyDescent="0.25"/>
    <row r="203" s="2" customFormat="1" x14ac:dyDescent="0.25"/>
    <row r="204" s="2" customFormat="1" x14ac:dyDescent="0.25"/>
    <row r="205" s="2" customFormat="1" x14ac:dyDescent="0.25"/>
    <row r="206" s="2" customFormat="1" x14ac:dyDescent="0.25"/>
    <row r="207" s="2" customFormat="1" x14ac:dyDescent="0.25"/>
    <row r="208" s="2" customFormat="1" x14ac:dyDescent="0.25"/>
    <row r="209" s="2" customFormat="1" x14ac:dyDescent="0.25"/>
    <row r="210" s="2" customFormat="1" x14ac:dyDescent="0.25"/>
    <row r="211" s="2" customFormat="1" x14ac:dyDescent="0.25"/>
    <row r="212" s="2" customFormat="1" x14ac:dyDescent="0.25"/>
    <row r="213" s="2" customFormat="1" x14ac:dyDescent="0.25"/>
    <row r="214" s="2" customFormat="1" x14ac:dyDescent="0.25"/>
    <row r="215" s="2" customFormat="1" x14ac:dyDescent="0.25"/>
    <row r="216" s="2" customFormat="1" x14ac:dyDescent="0.25"/>
    <row r="217" s="2" customFormat="1" x14ac:dyDescent="0.25"/>
    <row r="218" s="2" customFormat="1" x14ac:dyDescent="0.25"/>
    <row r="219" s="2" customFormat="1" x14ac:dyDescent="0.25"/>
    <row r="220" s="2" customFormat="1" x14ac:dyDescent="0.25"/>
    <row r="221" s="2" customFormat="1" x14ac:dyDescent="0.25"/>
    <row r="222" s="2" customFormat="1" x14ac:dyDescent="0.25"/>
    <row r="223" s="2" customFormat="1" x14ac:dyDescent="0.25"/>
    <row r="224" s="2" customFormat="1" x14ac:dyDescent="0.25"/>
    <row r="225" s="2" customFormat="1" x14ac:dyDescent="0.25"/>
    <row r="226" s="2" customFormat="1" x14ac:dyDescent="0.25"/>
    <row r="227" s="2" customFormat="1" x14ac:dyDescent="0.25"/>
    <row r="228" s="2" customFormat="1" x14ac:dyDescent="0.25"/>
    <row r="229" s="2" customFormat="1" x14ac:dyDescent="0.25"/>
    <row r="230" s="2" customFormat="1" x14ac:dyDescent="0.25"/>
    <row r="231" s="2" customFormat="1" x14ac:dyDescent="0.25"/>
    <row r="232" s="2" customFormat="1" x14ac:dyDescent="0.25"/>
    <row r="233" s="2" customFormat="1" x14ac:dyDescent="0.25"/>
    <row r="234" s="2" customFormat="1" x14ac:dyDescent="0.25"/>
    <row r="235" s="2" customFormat="1" x14ac:dyDescent="0.25"/>
    <row r="236" s="2" customFormat="1" x14ac:dyDescent="0.25"/>
    <row r="237" s="2" customFormat="1" x14ac:dyDescent="0.25"/>
    <row r="238" s="2" customFormat="1" x14ac:dyDescent="0.25"/>
    <row r="239" s="2" customFormat="1" x14ac:dyDescent="0.25"/>
    <row r="240" s="2" customFormat="1" x14ac:dyDescent="0.25"/>
    <row r="241" s="2" customFormat="1" x14ac:dyDescent="0.25"/>
    <row r="242" s="2" customFormat="1" x14ac:dyDescent="0.25"/>
    <row r="243" s="2" customFormat="1" x14ac:dyDescent="0.25"/>
    <row r="244" s="2" customFormat="1" x14ac:dyDescent="0.25"/>
    <row r="245" s="2" customFormat="1" x14ac:dyDescent="0.25"/>
    <row r="246" s="2" customFormat="1" x14ac:dyDescent="0.25"/>
    <row r="247" s="2" customFormat="1" x14ac:dyDescent="0.25"/>
    <row r="248" s="2" customFormat="1" x14ac:dyDescent="0.25"/>
    <row r="249" s="2" customFormat="1" x14ac:dyDescent="0.25"/>
    <row r="250" s="2" customFormat="1" x14ac:dyDescent="0.25"/>
    <row r="251" s="2" customFormat="1" x14ac:dyDescent="0.25"/>
    <row r="252" s="2" customFormat="1" x14ac:dyDescent="0.25"/>
    <row r="253" s="2" customFormat="1" x14ac:dyDescent="0.25"/>
    <row r="254" s="2" customFormat="1" x14ac:dyDescent="0.25"/>
    <row r="255" s="2" customFormat="1" x14ac:dyDescent="0.25"/>
    <row r="256" s="2" customFormat="1" x14ac:dyDescent="0.25"/>
    <row r="257" s="2" customFormat="1" x14ac:dyDescent="0.25"/>
    <row r="258" s="2" customFormat="1" x14ac:dyDescent="0.25"/>
    <row r="259" s="2" customFormat="1" x14ac:dyDescent="0.25"/>
    <row r="260" s="2" customFormat="1" x14ac:dyDescent="0.25"/>
    <row r="261" s="2" customFormat="1" x14ac:dyDescent="0.25"/>
    <row r="262" s="2" customFormat="1" x14ac:dyDescent="0.25"/>
    <row r="263" s="2" customFormat="1" x14ac:dyDescent="0.25"/>
    <row r="264" s="2" customFormat="1" x14ac:dyDescent="0.25"/>
    <row r="265" s="2" customFormat="1" x14ac:dyDescent="0.25"/>
    <row r="266" s="2" customFormat="1" x14ac:dyDescent="0.25"/>
    <row r="267" s="2" customFormat="1" x14ac:dyDescent="0.25"/>
    <row r="268" s="2" customFormat="1" x14ac:dyDescent="0.25"/>
    <row r="269" s="2" customFormat="1" x14ac:dyDescent="0.25"/>
    <row r="270" s="2" customFormat="1" x14ac:dyDescent="0.25"/>
    <row r="271" s="2" customFormat="1" x14ac:dyDescent="0.25"/>
    <row r="272" s="2" customFormat="1" x14ac:dyDescent="0.25"/>
    <row r="273" s="2" customFormat="1" x14ac:dyDescent="0.25"/>
    <row r="274" s="2" customFormat="1" x14ac:dyDescent="0.25"/>
    <row r="275" s="2" customFormat="1" x14ac:dyDescent="0.25"/>
    <row r="276" s="2" customFormat="1" x14ac:dyDescent="0.25"/>
    <row r="277" s="2" customFormat="1" x14ac:dyDescent="0.25"/>
    <row r="278" s="2" customFormat="1" x14ac:dyDescent="0.25"/>
    <row r="279" s="2" customFormat="1" x14ac:dyDescent="0.25"/>
    <row r="280" s="2" customFormat="1" x14ac:dyDescent="0.25"/>
    <row r="281" s="2" customFormat="1" x14ac:dyDescent="0.25"/>
    <row r="282" s="2" customFormat="1" x14ac:dyDescent="0.25"/>
    <row r="283" s="2" customFormat="1" x14ac:dyDescent="0.25"/>
    <row r="284" s="2" customFormat="1" x14ac:dyDescent="0.25"/>
    <row r="285" s="2" customFormat="1" x14ac:dyDescent="0.25"/>
    <row r="286" s="2" customFormat="1" x14ac:dyDescent="0.25"/>
    <row r="287" s="2" customFormat="1" x14ac:dyDescent="0.25"/>
    <row r="288" s="2" customFormat="1" x14ac:dyDescent="0.25"/>
    <row r="289" s="2" customFormat="1" x14ac:dyDescent="0.25"/>
    <row r="290" s="2" customFormat="1" x14ac:dyDescent="0.25"/>
    <row r="291" s="2" customFormat="1" x14ac:dyDescent="0.25"/>
    <row r="292" s="2" customFormat="1" x14ac:dyDescent="0.25"/>
    <row r="293" s="2" customFormat="1" x14ac:dyDescent="0.25"/>
    <row r="294" s="2" customFormat="1" x14ac:dyDescent="0.25"/>
    <row r="295" s="2" customFormat="1" x14ac:dyDescent="0.25"/>
    <row r="296" s="2" customFormat="1" x14ac:dyDescent="0.25"/>
    <row r="297" s="2" customFormat="1" x14ac:dyDescent="0.25"/>
    <row r="298" s="2" customFormat="1" x14ac:dyDescent="0.25"/>
    <row r="299" s="2" customFormat="1" x14ac:dyDescent="0.25"/>
    <row r="300" s="2" customFormat="1" x14ac:dyDescent="0.25"/>
    <row r="301" s="2" customFormat="1" x14ac:dyDescent="0.25"/>
    <row r="302" s="2" customFormat="1" x14ac:dyDescent="0.25"/>
    <row r="303" s="2" customFormat="1" x14ac:dyDescent="0.25"/>
    <row r="304" s="2" customFormat="1" x14ac:dyDescent="0.25"/>
    <row r="305" s="2" customFormat="1" x14ac:dyDescent="0.25"/>
    <row r="306" s="2" customFormat="1" x14ac:dyDescent="0.25"/>
    <row r="307" s="2" customFormat="1" x14ac:dyDescent="0.25"/>
    <row r="308" s="2" customFormat="1" x14ac:dyDescent="0.25"/>
    <row r="309" s="2" customFormat="1" x14ac:dyDescent="0.25"/>
    <row r="310" s="2" customFormat="1" x14ac:dyDescent="0.25"/>
    <row r="311" s="2" customFormat="1" x14ac:dyDescent="0.25"/>
    <row r="312" s="2" customFormat="1" x14ac:dyDescent="0.25"/>
    <row r="313" s="2" customFormat="1" x14ac:dyDescent="0.25"/>
    <row r="314" s="2" customFormat="1" x14ac:dyDescent="0.25"/>
    <row r="315" s="2" customFormat="1" x14ac:dyDescent="0.25"/>
    <row r="316" s="2" customFormat="1" x14ac:dyDescent="0.25"/>
    <row r="317" s="2" customFormat="1" x14ac:dyDescent="0.25"/>
    <row r="318" s="2" customFormat="1" x14ac:dyDescent="0.25"/>
    <row r="319" s="2" customFormat="1" x14ac:dyDescent="0.25"/>
    <row r="320" s="2" customFormat="1" x14ac:dyDescent="0.25"/>
    <row r="321" s="2" customFormat="1" x14ac:dyDescent="0.25"/>
    <row r="322" s="2" customFormat="1" x14ac:dyDescent="0.25"/>
    <row r="323" s="2" customFormat="1" x14ac:dyDescent="0.25"/>
    <row r="324" s="2" customFormat="1" x14ac:dyDescent="0.25"/>
    <row r="325" s="2" customFormat="1" x14ac:dyDescent="0.25"/>
    <row r="326" s="2" customFormat="1" x14ac:dyDescent="0.25"/>
    <row r="327" s="2" customFormat="1" x14ac:dyDescent="0.25"/>
    <row r="328" s="2" customFormat="1" x14ac:dyDescent="0.25"/>
    <row r="329" s="2" customFormat="1" x14ac:dyDescent="0.25"/>
    <row r="330" s="2" customFormat="1" x14ac:dyDescent="0.25"/>
    <row r="331" s="2" customFormat="1" x14ac:dyDescent="0.25"/>
    <row r="332" s="2" customFormat="1" x14ac:dyDescent="0.25"/>
    <row r="333" s="2" customFormat="1" x14ac:dyDescent="0.25"/>
    <row r="334" s="2" customFormat="1" x14ac:dyDescent="0.25"/>
    <row r="335" s="2" customFormat="1" x14ac:dyDescent="0.25"/>
    <row r="336" s="2" customFormat="1" x14ac:dyDescent="0.25"/>
    <row r="337" s="2" customFormat="1" x14ac:dyDescent="0.25"/>
    <row r="338" s="2" customFormat="1" x14ac:dyDescent="0.25"/>
    <row r="339" s="2" customFormat="1" x14ac:dyDescent="0.25"/>
    <row r="340" s="2" customFormat="1" x14ac:dyDescent="0.25"/>
    <row r="341" s="2" customFormat="1" x14ac:dyDescent="0.25"/>
    <row r="342" s="2" customFormat="1" x14ac:dyDescent="0.25"/>
    <row r="343" s="2" customFormat="1" x14ac:dyDescent="0.25"/>
    <row r="344" s="2" customFormat="1" x14ac:dyDescent="0.25"/>
    <row r="345" s="2" customFormat="1" x14ac:dyDescent="0.25"/>
    <row r="346" s="2" customFormat="1" x14ac:dyDescent="0.25"/>
    <row r="347" s="2" customFormat="1" x14ac:dyDescent="0.25"/>
    <row r="348" s="2" customFormat="1" x14ac:dyDescent="0.25"/>
    <row r="349" s="2" customFormat="1" x14ac:dyDescent="0.25"/>
    <row r="350" s="2" customFormat="1" x14ac:dyDescent="0.25"/>
    <row r="351" s="2" customFormat="1" x14ac:dyDescent="0.25"/>
    <row r="352" s="2" customFormat="1" x14ac:dyDescent="0.25"/>
    <row r="353" s="2" customFormat="1" x14ac:dyDescent="0.25"/>
    <row r="354" s="2" customFormat="1" x14ac:dyDescent="0.25"/>
    <row r="355" s="2" customFormat="1" x14ac:dyDescent="0.25"/>
    <row r="356" s="2" customFormat="1" x14ac:dyDescent="0.25"/>
    <row r="357" s="2" customFormat="1" x14ac:dyDescent="0.25"/>
    <row r="358" s="2" customFormat="1" x14ac:dyDescent="0.25"/>
    <row r="359" s="2" customFormat="1" x14ac:dyDescent="0.25"/>
    <row r="360" s="2" customFormat="1" x14ac:dyDescent="0.25"/>
    <row r="361" s="2" customFormat="1" x14ac:dyDescent="0.25"/>
    <row r="362" s="2" customFormat="1" x14ac:dyDescent="0.25"/>
    <row r="363" s="2" customFormat="1" x14ac:dyDescent="0.25"/>
    <row r="364" s="2" customFormat="1" x14ac:dyDescent="0.25"/>
    <row r="365" s="2" customFormat="1" x14ac:dyDescent="0.25"/>
    <row r="366" s="2" customFormat="1" x14ac:dyDescent="0.25"/>
    <row r="367" s="2" customFormat="1" x14ac:dyDescent="0.25"/>
    <row r="368" s="2" customFormat="1" x14ac:dyDescent="0.25"/>
    <row r="369" s="2" customFormat="1" x14ac:dyDescent="0.25"/>
    <row r="370" s="2" customFormat="1" x14ac:dyDescent="0.25"/>
    <row r="371" s="2" customFormat="1" x14ac:dyDescent="0.25"/>
    <row r="372" s="2" customFormat="1" x14ac:dyDescent="0.25"/>
    <row r="373" s="2" customFormat="1" x14ac:dyDescent="0.25"/>
    <row r="374" s="2" customFormat="1" x14ac:dyDescent="0.25"/>
    <row r="375" s="2" customFormat="1" x14ac:dyDescent="0.25"/>
    <row r="376" s="2" customFormat="1" x14ac:dyDescent="0.25"/>
    <row r="377" s="2" customFormat="1" x14ac:dyDescent="0.25"/>
    <row r="378" s="2" customFormat="1" x14ac:dyDescent="0.25"/>
    <row r="379" s="2" customFormat="1" x14ac:dyDescent="0.25"/>
    <row r="380" s="2" customFormat="1" x14ac:dyDescent="0.25"/>
    <row r="381" s="2" customFormat="1" x14ac:dyDescent="0.25"/>
    <row r="382" s="2" customFormat="1" x14ac:dyDescent="0.25"/>
    <row r="383" s="2" customFormat="1" x14ac:dyDescent="0.25"/>
    <row r="384" s="2" customFormat="1" x14ac:dyDescent="0.25"/>
    <row r="385" s="2" customFormat="1" x14ac:dyDescent="0.25"/>
    <row r="386" s="2" customFormat="1" x14ac:dyDescent="0.25"/>
    <row r="387" s="2" customFormat="1" x14ac:dyDescent="0.25"/>
    <row r="388" s="2" customFormat="1" x14ac:dyDescent="0.25"/>
    <row r="389" s="2" customFormat="1" x14ac:dyDescent="0.25"/>
    <row r="390" s="2" customFormat="1" x14ac:dyDescent="0.25"/>
    <row r="391" s="2" customFormat="1" x14ac:dyDescent="0.25"/>
    <row r="392" s="2" customFormat="1" x14ac:dyDescent="0.25"/>
    <row r="393" s="2" customFormat="1" x14ac:dyDescent="0.25"/>
    <row r="394" s="2" customFormat="1" x14ac:dyDescent="0.25"/>
    <row r="395" s="2" customFormat="1" x14ac:dyDescent="0.25"/>
    <row r="396" s="2" customFormat="1" x14ac:dyDescent="0.25"/>
    <row r="397" s="2" customFormat="1" x14ac:dyDescent="0.25"/>
    <row r="398" s="2" customFormat="1" x14ac:dyDescent="0.25"/>
    <row r="399" s="2" customFormat="1" x14ac:dyDescent="0.25"/>
    <row r="400" s="2" customFormat="1" x14ac:dyDescent="0.25"/>
    <row r="401" s="2" customFormat="1" x14ac:dyDescent="0.25"/>
    <row r="402" s="2" customFormat="1" x14ac:dyDescent="0.25"/>
    <row r="403" s="2" customFormat="1" x14ac:dyDescent="0.25"/>
    <row r="404" s="2" customFormat="1" x14ac:dyDescent="0.25"/>
    <row r="405" s="2" customFormat="1" x14ac:dyDescent="0.25"/>
    <row r="406" s="2" customFormat="1" x14ac:dyDescent="0.25"/>
    <row r="407" s="2" customFormat="1" x14ac:dyDescent="0.25"/>
    <row r="408" s="2" customFormat="1" x14ac:dyDescent="0.25"/>
    <row r="409" s="2" customFormat="1" x14ac:dyDescent="0.25"/>
    <row r="410" s="2" customFormat="1" x14ac:dyDescent="0.25"/>
    <row r="411" s="2" customFormat="1" x14ac:dyDescent="0.25"/>
    <row r="412" s="2" customFormat="1" x14ac:dyDescent="0.25"/>
    <row r="413" s="2" customFormat="1" x14ac:dyDescent="0.25"/>
    <row r="414" s="2" customFormat="1" x14ac:dyDescent="0.25"/>
    <row r="415" s="2" customFormat="1" x14ac:dyDescent="0.25"/>
    <row r="416" s="2" customFormat="1" x14ac:dyDescent="0.25"/>
    <row r="417" s="2" customFormat="1" x14ac:dyDescent="0.25"/>
    <row r="418" s="2" customFormat="1" x14ac:dyDescent="0.25"/>
    <row r="419" s="2" customFormat="1" x14ac:dyDescent="0.25"/>
    <row r="420" s="2" customFormat="1" x14ac:dyDescent="0.25"/>
    <row r="421" s="2" customFormat="1" x14ac:dyDescent="0.25"/>
    <row r="422" s="2" customFormat="1" x14ac:dyDescent="0.25"/>
    <row r="423" s="2" customFormat="1" x14ac:dyDescent="0.25"/>
    <row r="424" s="2" customFormat="1" x14ac:dyDescent="0.25"/>
    <row r="425" s="2" customFormat="1" x14ac:dyDescent="0.25"/>
    <row r="426" s="2" customFormat="1" x14ac:dyDescent="0.25"/>
    <row r="427" s="2" customFormat="1" x14ac:dyDescent="0.25"/>
    <row r="428" s="2" customFormat="1" x14ac:dyDescent="0.25"/>
    <row r="429" s="2" customFormat="1" x14ac:dyDescent="0.25"/>
    <row r="430" s="2" customFormat="1" x14ac:dyDescent="0.25"/>
    <row r="431" s="2" customFormat="1" x14ac:dyDescent="0.25"/>
    <row r="432" s="2" customFormat="1" x14ac:dyDescent="0.25"/>
    <row r="433" s="2" customFormat="1" x14ac:dyDescent="0.25"/>
    <row r="434" s="2" customFormat="1" x14ac:dyDescent="0.25"/>
    <row r="435" s="2" customFormat="1" x14ac:dyDescent="0.25"/>
    <row r="436" s="2" customFormat="1" x14ac:dyDescent="0.25"/>
    <row r="437" s="2" customFormat="1" x14ac:dyDescent="0.25"/>
    <row r="438" s="2" customFormat="1" x14ac:dyDescent="0.25"/>
    <row r="439" s="2" customFormat="1" x14ac:dyDescent="0.25"/>
    <row r="440" s="2" customFormat="1" x14ac:dyDescent="0.25"/>
    <row r="441" s="2" customFormat="1" x14ac:dyDescent="0.25"/>
    <row r="442" s="2" customFormat="1" x14ac:dyDescent="0.25"/>
    <row r="443" s="2" customFormat="1" x14ac:dyDescent="0.25"/>
    <row r="444" s="2" customFormat="1" x14ac:dyDescent="0.25"/>
    <row r="445" s="2" customFormat="1" x14ac:dyDescent="0.25"/>
    <row r="446" s="2" customFormat="1" x14ac:dyDescent="0.25"/>
    <row r="447" s="2" customFormat="1" x14ac:dyDescent="0.25"/>
    <row r="448" s="2" customFormat="1" x14ac:dyDescent="0.25"/>
    <row r="449" s="2" customFormat="1" x14ac:dyDescent="0.25"/>
    <row r="450" s="2" customFormat="1" x14ac:dyDescent="0.25"/>
    <row r="451" s="2" customFormat="1" x14ac:dyDescent="0.25"/>
    <row r="452" s="2" customFormat="1" x14ac:dyDescent="0.25"/>
    <row r="453" s="2" customFormat="1" x14ac:dyDescent="0.25"/>
    <row r="454" s="2" customFormat="1" x14ac:dyDescent="0.25"/>
    <row r="455" s="2" customFormat="1" x14ac:dyDescent="0.25"/>
    <row r="456" s="2" customFormat="1" x14ac:dyDescent="0.25"/>
    <row r="457" s="2" customFormat="1" x14ac:dyDescent="0.25"/>
    <row r="458" s="2" customFormat="1" x14ac:dyDescent="0.25"/>
    <row r="459" s="2" customFormat="1" x14ac:dyDescent="0.25"/>
    <row r="460" s="2" customFormat="1" x14ac:dyDescent="0.25"/>
    <row r="461" s="2" customFormat="1" x14ac:dyDescent="0.25"/>
    <row r="462" s="2" customFormat="1" x14ac:dyDescent="0.25"/>
    <row r="463" s="2" customFormat="1" x14ac:dyDescent="0.25"/>
    <row r="464" s="2" customFormat="1" x14ac:dyDescent="0.25"/>
    <row r="465" s="2" customFormat="1" x14ac:dyDescent="0.25"/>
    <row r="466" s="2" customFormat="1" x14ac:dyDescent="0.25"/>
    <row r="467" s="2" customFormat="1" x14ac:dyDescent="0.25"/>
    <row r="468" s="2" customFormat="1" x14ac:dyDescent="0.25"/>
    <row r="469" s="2" customFormat="1" x14ac:dyDescent="0.25"/>
    <row r="470" s="2" customFormat="1" x14ac:dyDescent="0.25"/>
    <row r="471" s="2" customFormat="1" x14ac:dyDescent="0.25"/>
    <row r="472" s="2" customFormat="1" x14ac:dyDescent="0.25"/>
    <row r="473" s="2" customFormat="1" x14ac:dyDescent="0.25"/>
    <row r="474" s="2" customFormat="1" x14ac:dyDescent="0.25"/>
    <row r="475" s="2" customFormat="1" x14ac:dyDescent="0.25"/>
    <row r="476" s="2" customFormat="1" x14ac:dyDescent="0.25"/>
    <row r="477" s="2" customFormat="1" x14ac:dyDescent="0.25"/>
    <row r="478" s="2" customFormat="1" x14ac:dyDescent="0.25"/>
    <row r="479" s="2" customFormat="1" x14ac:dyDescent="0.25"/>
    <row r="480" s="2" customFormat="1" x14ac:dyDescent="0.25"/>
    <row r="481" s="2" customFormat="1" x14ac:dyDescent="0.25"/>
    <row r="482" s="2" customFormat="1" x14ac:dyDescent="0.25"/>
    <row r="483" s="2" customFormat="1" x14ac:dyDescent="0.25"/>
    <row r="484" s="2" customFormat="1" x14ac:dyDescent="0.25"/>
    <row r="485" s="2" customFormat="1" x14ac:dyDescent="0.25"/>
    <row r="486" s="2" customFormat="1" x14ac:dyDescent="0.25"/>
    <row r="487" s="2" customFormat="1" x14ac:dyDescent="0.25"/>
    <row r="488" s="2" customFormat="1" x14ac:dyDescent="0.25"/>
    <row r="489" s="2" customFormat="1" x14ac:dyDescent="0.25"/>
    <row r="490" s="2" customFormat="1" x14ac:dyDescent="0.25"/>
    <row r="491" s="2" customFormat="1" x14ac:dyDescent="0.25"/>
    <row r="492" s="2" customFormat="1" x14ac:dyDescent="0.25"/>
    <row r="493" s="2" customFormat="1" x14ac:dyDescent="0.25"/>
    <row r="494" s="2" customFormat="1" x14ac:dyDescent="0.25"/>
    <row r="495" s="2" customFormat="1" x14ac:dyDescent="0.25"/>
    <row r="496" s="2" customFormat="1" x14ac:dyDescent="0.25"/>
    <row r="497" s="2" customFormat="1" x14ac:dyDescent="0.25"/>
    <row r="498" s="2" customFormat="1" x14ac:dyDescent="0.25"/>
    <row r="499" s="2" customFormat="1" x14ac:dyDescent="0.25"/>
    <row r="500" s="2" customFormat="1" x14ac:dyDescent="0.25"/>
    <row r="501" s="2" customFormat="1" x14ac:dyDescent="0.25"/>
  </sheetData>
  <phoneticPr fontId="2" type="noConversion"/>
  <dataValidations count="2">
    <dataValidation type="list" allowBlank="1" showInputMessage="1" showErrorMessage="1" sqref="F2:F39" xr:uid="{00000000-0002-0000-0300-000000000000}">
      <formula1>#REF!</formula1>
    </dataValidation>
    <dataValidation type="list" allowBlank="1" showInputMessage="1" showErrorMessage="1" sqref="E2:E39" xr:uid="{00000000-0002-0000-0300-000001000000}">
      <formula1>#REF!</formula1>
    </dataValidation>
  </dataValidations>
  <pageMargins left="0.78740157499999996" right="0.78740157499999996" top="0.984251969" bottom="0.984251969" header="0.5" footer="0.5"/>
  <pageSetup orientation="portrait" verticalDpi="300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0">
    <tabColor indexed="17"/>
    <pageSetUpPr fitToPage="1"/>
  </sheetPr>
  <dimension ref="A1:BU110"/>
  <sheetViews>
    <sheetView windowProtection="1" showGridLines="0" topLeftCell="A13" workbookViewId="0">
      <selection activeCell="O29" sqref="O29"/>
    </sheetView>
  </sheetViews>
  <sheetFormatPr defaultRowHeight="12.75" x14ac:dyDescent="0.2"/>
  <cols>
    <col min="1" max="1" width="7.875" style="52" customWidth="1"/>
    <col min="2" max="2" width="13.375" style="52" bestFit="1" customWidth="1"/>
    <col min="3" max="3" width="7.875" style="52" bestFit="1" customWidth="1"/>
    <col min="4" max="4" width="10" style="52" bestFit="1" customWidth="1"/>
    <col min="5" max="5" width="8.625" style="52" bestFit="1" customWidth="1"/>
    <col min="6" max="6" width="9" style="52" bestFit="1" customWidth="1"/>
    <col min="7" max="7" width="14.5" style="53" bestFit="1" customWidth="1"/>
    <col min="8" max="8" width="8.25" style="53" bestFit="1" customWidth="1"/>
    <col min="9" max="9" width="11.125" style="53" bestFit="1" customWidth="1"/>
    <col min="10" max="10" width="8" style="53" bestFit="1" customWidth="1"/>
    <col min="11" max="11" width="8.75" style="53" bestFit="1" customWidth="1"/>
    <col min="12" max="12" width="8.125" style="52" bestFit="1" customWidth="1"/>
    <col min="13" max="13" width="6.125" style="52" bestFit="1" customWidth="1"/>
    <col min="14" max="14" width="9.125" style="52" customWidth="1"/>
    <col min="15" max="15" width="11" style="52" bestFit="1" customWidth="1"/>
    <col min="16" max="16" width="13.375" style="52" bestFit="1" customWidth="1"/>
    <col min="17" max="18" width="11" style="52" bestFit="1" customWidth="1"/>
    <col min="19" max="19" width="14.75" style="52" bestFit="1" customWidth="1"/>
    <col min="20" max="24" width="11" style="52" bestFit="1" customWidth="1"/>
    <col min="25" max="25" width="11.5" style="52" bestFit="1" customWidth="1"/>
    <col min="26" max="26" width="13" style="52" bestFit="1" customWidth="1"/>
    <col min="27" max="33" width="11" style="52" bestFit="1" customWidth="1"/>
    <col min="34" max="35" width="4.5" style="52" bestFit="1" customWidth="1"/>
    <col min="36" max="36" width="4.25" style="52" customWidth="1"/>
    <col min="37" max="38" width="4.125" style="52" customWidth="1"/>
    <col min="39" max="39" width="8.25" style="52" bestFit="1" customWidth="1"/>
    <col min="40" max="40" width="7.375" style="52" bestFit="1" customWidth="1"/>
    <col min="41" max="59" width="11" style="52" bestFit="1" customWidth="1"/>
    <col min="60" max="61" width="5.375" style="52" customWidth="1"/>
    <col min="62" max="72" width="7" style="52" customWidth="1"/>
    <col min="73" max="16384" width="9" style="52"/>
  </cols>
  <sheetData>
    <row r="1" spans="1:28" x14ac:dyDescent="0.2">
      <c r="B1" s="258"/>
      <c r="C1" s="258"/>
      <c r="D1" s="53"/>
      <c r="E1" s="258"/>
      <c r="F1" s="258"/>
    </row>
    <row r="2" spans="1:28" x14ac:dyDescent="0.2">
      <c r="R2" s="53">
        <v>1</v>
      </c>
      <c r="S2" s="53">
        <v>2</v>
      </c>
      <c r="T2" s="53">
        <v>3</v>
      </c>
      <c r="U2" s="53">
        <v>4</v>
      </c>
      <c r="V2" s="53">
        <v>5</v>
      </c>
      <c r="W2" s="53">
        <v>6</v>
      </c>
      <c r="X2" s="53">
        <v>7</v>
      </c>
      <c r="Y2" s="53">
        <v>8</v>
      </c>
      <c r="Z2" s="53">
        <v>9</v>
      </c>
      <c r="AA2" s="53">
        <v>10</v>
      </c>
    </row>
    <row r="4" spans="1:28" x14ac:dyDescent="0.2">
      <c r="A4" s="261" t="s">
        <v>20</v>
      </c>
      <c r="B4" s="262"/>
      <c r="C4" s="262"/>
      <c r="D4" s="262"/>
      <c r="E4" s="262"/>
      <c r="F4" s="262"/>
      <c r="G4" s="262"/>
      <c r="H4" s="262"/>
      <c r="I4" s="262"/>
      <c r="J4" s="262"/>
      <c r="K4" s="263"/>
      <c r="L4" s="259"/>
      <c r="M4" s="260"/>
      <c r="O4" s="54" t="s">
        <v>89</v>
      </c>
      <c r="P4" s="52">
        <f>DIAG!W1</f>
        <v>6</v>
      </c>
    </row>
    <row r="5" spans="1:28" x14ac:dyDescent="0.2">
      <c r="A5" s="55" t="s">
        <v>21</v>
      </c>
      <c r="B5" s="56" t="str">
        <f>CONCATENATE(" 1-",Resumo!B2)</f>
        <v xml:space="preserve"> 1-Henrique</v>
      </c>
      <c r="C5" s="56" t="str">
        <f>CONCATENATE(" 2-",Resumo!B9)</f>
        <v xml:space="preserve"> 2-Thayna</v>
      </c>
      <c r="D5" s="56" t="str">
        <f>CONCATENATE(" 3-",Resumo!B16)</f>
        <v xml:space="preserve"> 3-Jaqueline</v>
      </c>
      <c r="E5" s="56" t="str">
        <f>CONCATENATE(" 4-",Resumo!B23)</f>
        <v xml:space="preserve"> 4-Manuel</v>
      </c>
      <c r="F5" s="56" t="str">
        <f>CONCATENATE(" 5-",Resumo!B30)</f>
        <v xml:space="preserve"> 5-André</v>
      </c>
      <c r="G5" s="56" t="str">
        <f>CONCATENATE(" 6-",Resumo!B37)</f>
        <v xml:space="preserve"> 6-Luiz</v>
      </c>
      <c r="H5" s="56" t="str">
        <f>CONCATENATE(" 7-",Resumo!B44)</f>
        <v xml:space="preserve"> 7-0</v>
      </c>
      <c r="I5" s="56" t="str">
        <f>CONCATENATE(" 8-",Resumo!B51)</f>
        <v xml:space="preserve"> 8-0</v>
      </c>
      <c r="J5" s="56" t="str">
        <f>CONCATENATE(" 9-",Resumo!B58)</f>
        <v xml:space="preserve"> 9-0</v>
      </c>
      <c r="K5" s="56" t="str">
        <f>CONCATENATE("10-",Resumo!B65)</f>
        <v>10-0</v>
      </c>
      <c r="L5" s="56" t="s">
        <v>1</v>
      </c>
      <c r="O5" s="54" t="s">
        <v>87</v>
      </c>
      <c r="P5" s="57">
        <f ca="1">IF(P4=0,0,MAX(OFFSET(Q4,1,1,1,P4)))</f>
        <v>16568</v>
      </c>
      <c r="R5" s="57">
        <f t="shared" ref="R5:AA5" si="0">B9</f>
        <v>858</v>
      </c>
      <c r="S5" s="57">
        <f t="shared" si="0"/>
        <v>464</v>
      </c>
      <c r="T5" s="57">
        <f t="shared" si="0"/>
        <v>3527</v>
      </c>
      <c r="U5" s="57">
        <f t="shared" si="0"/>
        <v>2168</v>
      </c>
      <c r="V5" s="57">
        <f t="shared" si="0"/>
        <v>16568</v>
      </c>
      <c r="W5" s="57">
        <f t="shared" si="0"/>
        <v>1730</v>
      </c>
      <c r="X5" s="57">
        <f t="shared" si="0"/>
        <v>0</v>
      </c>
      <c r="Y5" s="57">
        <f t="shared" si="0"/>
        <v>0</v>
      </c>
      <c r="Z5" s="57">
        <f t="shared" si="0"/>
        <v>0</v>
      </c>
      <c r="AA5" s="57">
        <f t="shared" si="0"/>
        <v>0</v>
      </c>
    </row>
    <row r="6" spans="1:28" x14ac:dyDescent="0.2">
      <c r="A6" s="58" t="s">
        <v>5</v>
      </c>
      <c r="B6" s="59">
        <f>Resumo!I5</f>
        <v>156</v>
      </c>
      <c r="C6" s="59">
        <f>Resumo!I12</f>
        <v>156</v>
      </c>
      <c r="D6" s="59">
        <f>Resumo!I19</f>
        <v>1856</v>
      </c>
      <c r="E6" s="59">
        <f>Resumo!I26</f>
        <v>156</v>
      </c>
      <c r="F6" s="59">
        <f>Resumo!I33</f>
        <v>12856</v>
      </c>
      <c r="G6" s="59">
        <f>Resumo!I40</f>
        <v>18</v>
      </c>
      <c r="H6" s="59">
        <f>Resumo!I47</f>
        <v>0</v>
      </c>
      <c r="I6" s="59">
        <f>Resumo!I54</f>
        <v>0</v>
      </c>
      <c r="J6" s="59">
        <f>Resumo!I61</f>
        <v>0</v>
      </c>
      <c r="K6" s="59">
        <f>Resumo!I68</f>
        <v>0</v>
      </c>
      <c r="L6" s="59">
        <f>SUMPRODUCT(B6:K6,DIAG!$W$21:$AF$21,DIAG!$W$31:$AF$31)</f>
        <v>0</v>
      </c>
      <c r="M6" s="32"/>
      <c r="N6" s="60"/>
      <c r="O6" s="54" t="s">
        <v>88</v>
      </c>
      <c r="P6" s="57">
        <f ca="1">IF(P4=0,0,MIN(OFFSET(Q4,1,1,1,P4)))</f>
        <v>464</v>
      </c>
      <c r="R6" s="52">
        <f ca="1">IF(R5=0,0,LOG(R5/$P$6,10))</f>
        <v>0.26696930729382451</v>
      </c>
      <c r="S6" s="52">
        <f t="shared" ref="S6:AA6" ca="1" si="1">IF(S5=0,0,LOG(S5/$P$6,10))</f>
        <v>0</v>
      </c>
      <c r="T6" s="52">
        <f t="shared" ca="1" si="1"/>
        <v>0.88088747911260878</v>
      </c>
      <c r="U6" s="52">
        <f t="shared" ca="1" si="1"/>
        <v>0.66954129731146839</v>
      </c>
      <c r="V6" s="52">
        <f t="shared" ca="1" si="1"/>
        <v>1.5527521053305151</v>
      </c>
      <c r="W6" s="52">
        <f t="shared" ca="1" si="1"/>
        <v>0.5715281225739145</v>
      </c>
      <c r="X6" s="52">
        <f t="shared" si="1"/>
        <v>0</v>
      </c>
      <c r="Y6" s="52">
        <f t="shared" si="1"/>
        <v>0</v>
      </c>
      <c r="Z6" s="52">
        <f t="shared" si="1"/>
        <v>0</v>
      </c>
      <c r="AA6" s="52">
        <f t="shared" si="1"/>
        <v>0</v>
      </c>
    </row>
    <row r="7" spans="1:28" x14ac:dyDescent="0.2">
      <c r="A7" s="58" t="s">
        <v>6</v>
      </c>
      <c r="B7" s="59">
        <f>Resumo!I6</f>
        <v>156</v>
      </c>
      <c r="C7" s="59">
        <f>Resumo!I13</f>
        <v>156</v>
      </c>
      <c r="D7" s="59">
        <f>Resumo!I20</f>
        <v>1486</v>
      </c>
      <c r="E7" s="59">
        <f>Resumo!I27</f>
        <v>156</v>
      </c>
      <c r="F7" s="59">
        <f>Resumo!I34</f>
        <v>1856</v>
      </c>
      <c r="G7" s="59">
        <f>Resumo!I41</f>
        <v>856</v>
      </c>
      <c r="H7" s="59">
        <f>Resumo!I48</f>
        <v>0</v>
      </c>
      <c r="I7" s="59">
        <f>Resumo!I55</f>
        <v>0</v>
      </c>
      <c r="J7" s="59">
        <f>Resumo!I62</f>
        <v>0</v>
      </c>
      <c r="K7" s="59">
        <f>Resumo!I69</f>
        <v>0</v>
      </c>
      <c r="L7" s="59">
        <f>SUMPRODUCT(B7:K7,DIAG!$W$21:$AF$21,DIAG!$W$31:$AF$31)</f>
        <v>0</v>
      </c>
      <c r="M7" s="61"/>
      <c r="N7" s="60"/>
      <c r="P7" s="60"/>
    </row>
    <row r="8" spans="1:28" x14ac:dyDescent="0.2">
      <c r="A8" s="62" t="s">
        <v>7</v>
      </c>
      <c r="B8" s="63">
        <f>Resumo!I7</f>
        <v>546</v>
      </c>
      <c r="C8" s="63">
        <f>Resumo!I14</f>
        <v>152</v>
      </c>
      <c r="D8" s="63">
        <f>Resumo!I21</f>
        <v>185</v>
      </c>
      <c r="E8" s="63">
        <f>Resumo!I28</f>
        <v>1856</v>
      </c>
      <c r="F8" s="63">
        <f>Resumo!I35</f>
        <v>1856</v>
      </c>
      <c r="G8" s="63">
        <f>Resumo!I42</f>
        <v>856</v>
      </c>
      <c r="H8" s="59">
        <f>Resumo!I49</f>
        <v>0</v>
      </c>
      <c r="I8" s="59">
        <f>Resumo!I56</f>
        <v>0</v>
      </c>
      <c r="J8" s="59">
        <f>Resumo!I63</f>
        <v>0</v>
      </c>
      <c r="K8" s="59">
        <f>Resumo!I70</f>
        <v>0</v>
      </c>
      <c r="L8" s="59">
        <f>SUMPRODUCT(B8:K8,DIAG!$W$21:$AF$21,DIAG!$W$31:$AF$31)</f>
        <v>0</v>
      </c>
      <c r="M8" s="61"/>
      <c r="N8" s="60"/>
      <c r="O8" s="52" t="s">
        <v>90</v>
      </c>
      <c r="P8" s="57">
        <f ca="1">IF(OR(P4=0,P5=P6),1,LOG(P5/P6,10))</f>
        <v>1.5527521053305151</v>
      </c>
      <c r="R8" s="57">
        <f ca="1">R6/$P$8</f>
        <v>0.17193298684144953</v>
      </c>
      <c r="S8" s="52">
        <f t="shared" ref="S8:AA8" ca="1" si="2">S6/$P$8</f>
        <v>0</v>
      </c>
      <c r="T8" s="52">
        <f t="shared" ca="1" si="2"/>
        <v>0.56730721928411432</v>
      </c>
      <c r="U8" s="52">
        <f t="shared" ca="1" si="2"/>
        <v>0.43119651553713489</v>
      </c>
      <c r="V8" s="52">
        <f t="shared" ca="1" si="2"/>
        <v>1</v>
      </c>
      <c r="W8" s="52">
        <f t="shared" ca="1" si="2"/>
        <v>0.36807428604468734</v>
      </c>
      <c r="X8" s="52">
        <f t="shared" ca="1" si="2"/>
        <v>0</v>
      </c>
      <c r="Y8" s="52">
        <f t="shared" ca="1" si="2"/>
        <v>0</v>
      </c>
      <c r="Z8" s="52">
        <f t="shared" ca="1" si="2"/>
        <v>0</v>
      </c>
      <c r="AA8" s="52">
        <f t="shared" ca="1" si="2"/>
        <v>0</v>
      </c>
    </row>
    <row r="9" spans="1:28" x14ac:dyDescent="0.2">
      <c r="A9" s="62" t="s">
        <v>18</v>
      </c>
      <c r="B9" s="64">
        <f>Resumo!I8</f>
        <v>858</v>
      </c>
      <c r="C9" s="64">
        <f>Resumo!I15</f>
        <v>464</v>
      </c>
      <c r="D9" s="64">
        <f>Resumo!I22</f>
        <v>3527</v>
      </c>
      <c r="E9" s="64">
        <f>Resumo!I29</f>
        <v>2168</v>
      </c>
      <c r="F9" s="64">
        <f>Resumo!I36</f>
        <v>16568</v>
      </c>
      <c r="G9" s="64">
        <f>Resumo!I43</f>
        <v>1730</v>
      </c>
      <c r="H9" s="65">
        <f>Resumo!I50</f>
        <v>0</v>
      </c>
      <c r="I9" s="66">
        <f>Resumo!I57</f>
        <v>0</v>
      </c>
      <c r="J9" s="66">
        <f>Resumo!I64</f>
        <v>0</v>
      </c>
      <c r="K9" s="66">
        <f>Resumo!I71</f>
        <v>0</v>
      </c>
      <c r="L9" s="66">
        <f>SUM(L6:L8)</f>
        <v>0</v>
      </c>
      <c r="M9" s="61"/>
      <c r="N9" s="60"/>
    </row>
    <row r="10" spans="1:28" x14ac:dyDescent="0.2">
      <c r="A10" s="67" t="s">
        <v>22</v>
      </c>
      <c r="B10" s="68">
        <f t="shared" ref="B10:L10" si="3">B20/B22</f>
        <v>0.34920634920634924</v>
      </c>
      <c r="C10" s="69">
        <f t="shared" si="3"/>
        <v>1.546138072453862</v>
      </c>
      <c r="D10" s="69">
        <f t="shared" si="3"/>
        <v>21.175577013278986</v>
      </c>
      <c r="E10" s="69">
        <f t="shared" si="3"/>
        <v>9.0568657023376978E-2</v>
      </c>
      <c r="F10" s="69">
        <f t="shared" si="3"/>
        <v>30.91647777942925</v>
      </c>
      <c r="G10" s="69">
        <f t="shared" si="3"/>
        <v>2.1249126561271731E-2</v>
      </c>
      <c r="H10" s="69" t="e">
        <f t="shared" si="3"/>
        <v>#DIV/0!</v>
      </c>
      <c r="I10" s="69" t="e">
        <f t="shared" si="3"/>
        <v>#DIV/0!</v>
      </c>
      <c r="J10" s="69" t="e">
        <f t="shared" si="3"/>
        <v>#DIV/0!</v>
      </c>
      <c r="K10" s="69" t="e">
        <f t="shared" si="3"/>
        <v>#DIV/0!</v>
      </c>
      <c r="L10" s="69" t="e">
        <f t="shared" si="3"/>
        <v>#DIV/0!</v>
      </c>
      <c r="N10" s="60"/>
      <c r="O10" s="52" t="s">
        <v>12</v>
      </c>
      <c r="R10" s="52">
        <f ca="1">ROUND(10*R8,0)</f>
        <v>2</v>
      </c>
      <c r="S10" s="52">
        <f t="shared" ref="S10:AA10" ca="1" si="4">ROUND(10*S8,0)</f>
        <v>0</v>
      </c>
      <c r="T10" s="52">
        <f t="shared" ca="1" si="4"/>
        <v>6</v>
      </c>
      <c r="U10" s="52">
        <f t="shared" ca="1" si="4"/>
        <v>4</v>
      </c>
      <c r="V10" s="52">
        <f t="shared" ca="1" si="4"/>
        <v>10</v>
      </c>
      <c r="W10" s="52">
        <f t="shared" ca="1" si="4"/>
        <v>4</v>
      </c>
      <c r="X10" s="52">
        <f t="shared" ca="1" si="4"/>
        <v>0</v>
      </c>
      <c r="Y10" s="52">
        <f t="shared" ca="1" si="4"/>
        <v>0</v>
      </c>
      <c r="Z10" s="52">
        <f t="shared" ca="1" si="4"/>
        <v>0</v>
      </c>
      <c r="AA10" s="52">
        <f t="shared" ca="1" si="4"/>
        <v>0</v>
      </c>
      <c r="AB10" s="60"/>
    </row>
    <row r="11" spans="1:28" x14ac:dyDescent="0.2">
      <c r="A11" s="67" t="s">
        <v>14</v>
      </c>
      <c r="B11" s="70">
        <f>B6/B$9</f>
        <v>0.18181818181818182</v>
      </c>
      <c r="C11" s="70">
        <f t="shared" ref="C11:L11" si="5">C6/C$9</f>
        <v>0.33620689655172414</v>
      </c>
      <c r="D11" s="70">
        <f t="shared" si="5"/>
        <v>0.52622625460731498</v>
      </c>
      <c r="E11" s="70">
        <f t="shared" si="5"/>
        <v>7.1955719557195569E-2</v>
      </c>
      <c r="F11" s="70">
        <f t="shared" si="5"/>
        <v>0.77595364558184454</v>
      </c>
      <c r="G11" s="70">
        <f t="shared" si="5"/>
        <v>1.0404624277456647E-2</v>
      </c>
      <c r="H11" s="70" t="e">
        <f t="shared" ref="H11:K13" si="6">H6/H$9</f>
        <v>#DIV/0!</v>
      </c>
      <c r="I11" s="70" t="e">
        <f t="shared" si="6"/>
        <v>#DIV/0!</v>
      </c>
      <c r="J11" s="70" t="e">
        <f t="shared" si="6"/>
        <v>#DIV/0!</v>
      </c>
      <c r="K11" s="70" t="e">
        <f t="shared" si="6"/>
        <v>#DIV/0!</v>
      </c>
      <c r="L11" s="70" t="e">
        <f t="shared" si="5"/>
        <v>#DIV/0!</v>
      </c>
      <c r="N11" s="60"/>
    </row>
    <row r="12" spans="1:28" x14ac:dyDescent="0.2">
      <c r="A12" s="67" t="s">
        <v>16</v>
      </c>
      <c r="B12" s="70">
        <f t="shared" ref="B12:L13" si="7">B7/B$9</f>
        <v>0.18181818181818182</v>
      </c>
      <c r="C12" s="70">
        <f t="shared" si="7"/>
        <v>0.33620689655172414</v>
      </c>
      <c r="D12" s="70">
        <f t="shared" si="7"/>
        <v>0.421321236178055</v>
      </c>
      <c r="E12" s="70">
        <f t="shared" si="7"/>
        <v>7.1955719557195569E-2</v>
      </c>
      <c r="F12" s="70">
        <f t="shared" si="7"/>
        <v>0.11202317720907774</v>
      </c>
      <c r="G12" s="70">
        <f t="shared" si="7"/>
        <v>0.49479768786127165</v>
      </c>
      <c r="H12" s="70" t="e">
        <f t="shared" si="6"/>
        <v>#DIV/0!</v>
      </c>
      <c r="I12" s="70" t="e">
        <f t="shared" si="6"/>
        <v>#DIV/0!</v>
      </c>
      <c r="J12" s="70" t="e">
        <f t="shared" si="6"/>
        <v>#DIV/0!</v>
      </c>
      <c r="K12" s="70" t="e">
        <f t="shared" si="6"/>
        <v>#DIV/0!</v>
      </c>
      <c r="L12" s="70" t="e">
        <f t="shared" si="7"/>
        <v>#DIV/0!</v>
      </c>
    </row>
    <row r="13" spans="1:28" x14ac:dyDescent="0.2">
      <c r="A13" s="67" t="s">
        <v>15</v>
      </c>
      <c r="B13" s="70">
        <f t="shared" si="7"/>
        <v>0.63636363636363635</v>
      </c>
      <c r="C13" s="70">
        <f t="shared" si="7"/>
        <v>0.32758620689655171</v>
      </c>
      <c r="D13" s="70">
        <f t="shared" si="7"/>
        <v>5.2452509214629996E-2</v>
      </c>
      <c r="E13" s="70">
        <f t="shared" si="7"/>
        <v>0.85608856088560881</v>
      </c>
      <c r="F13" s="70">
        <f t="shared" si="7"/>
        <v>0.11202317720907774</v>
      </c>
      <c r="G13" s="70">
        <f t="shared" si="7"/>
        <v>0.49479768786127165</v>
      </c>
      <c r="H13" s="70" t="e">
        <f t="shared" si="6"/>
        <v>#DIV/0!</v>
      </c>
      <c r="I13" s="70" t="e">
        <f t="shared" si="6"/>
        <v>#DIV/0!</v>
      </c>
      <c r="J13" s="70" t="e">
        <f t="shared" si="6"/>
        <v>#DIV/0!</v>
      </c>
      <c r="K13" s="70" t="e">
        <f t="shared" si="6"/>
        <v>#DIV/0!</v>
      </c>
      <c r="L13" s="70" t="e">
        <f t="shared" si="7"/>
        <v>#DIV/0!</v>
      </c>
    </row>
    <row r="14" spans="1:28" x14ac:dyDescent="0.2">
      <c r="A14" s="255" t="s">
        <v>23</v>
      </c>
      <c r="B14" s="256"/>
      <c r="C14" s="256"/>
      <c r="D14" s="256"/>
      <c r="E14" s="256"/>
      <c r="F14" s="256"/>
      <c r="G14" s="256"/>
      <c r="H14" s="256"/>
      <c r="I14" s="256"/>
      <c r="J14" s="256"/>
      <c r="K14" s="256"/>
      <c r="L14" s="257"/>
      <c r="V14" s="52" t="s">
        <v>98</v>
      </c>
      <c r="Y14" s="53" t="s">
        <v>106</v>
      </c>
      <c r="Z14" s="53" t="s">
        <v>107</v>
      </c>
      <c r="AA14" s="53" t="s">
        <v>108</v>
      </c>
    </row>
    <row r="15" spans="1:28" x14ac:dyDescent="0.2">
      <c r="A15" s="50" t="s">
        <v>24</v>
      </c>
      <c r="B15" s="71">
        <f t="shared" ref="B15:L15" si="8">B6/B9</f>
        <v>0.18181818181818182</v>
      </c>
      <c r="C15" s="72">
        <f t="shared" si="8"/>
        <v>0.33620689655172414</v>
      </c>
      <c r="D15" s="72">
        <f t="shared" si="8"/>
        <v>0.52622625460731498</v>
      </c>
      <c r="E15" s="72">
        <f t="shared" si="8"/>
        <v>7.1955719557195569E-2</v>
      </c>
      <c r="F15" s="72">
        <f t="shared" si="8"/>
        <v>0.77595364558184454</v>
      </c>
      <c r="G15" s="72">
        <f t="shared" si="8"/>
        <v>1.0404624277456647E-2</v>
      </c>
      <c r="H15" s="72" t="e">
        <f>H6/H9</f>
        <v>#DIV/0!</v>
      </c>
      <c r="I15" s="72" t="e">
        <f>I6/I9</f>
        <v>#DIV/0!</v>
      </c>
      <c r="J15" s="72" t="e">
        <f>J6/J9</f>
        <v>#DIV/0!</v>
      </c>
      <c r="K15" s="72" t="e">
        <f>K6/K9</f>
        <v>#DIV/0!</v>
      </c>
      <c r="L15" s="72" t="e">
        <f t="shared" si="8"/>
        <v>#DIV/0!</v>
      </c>
      <c r="S15" s="52" t="s">
        <v>47</v>
      </c>
      <c r="T15" s="73">
        <f t="shared" ref="T15:X16" si="9">T18*$Y$15+T20*$Z$15+T22*$AA$15</f>
        <v>-0.57999999999999996</v>
      </c>
      <c r="U15" s="73">
        <f t="shared" si="9"/>
        <v>0.57999999999999996</v>
      </c>
      <c r="V15" s="73">
        <f t="shared" si="9"/>
        <v>0.57999999999999996</v>
      </c>
      <c r="W15" s="73">
        <f t="shared" si="9"/>
        <v>-0.57999999999999996</v>
      </c>
      <c r="X15" s="73">
        <f t="shared" si="9"/>
        <v>-0.57999999999999996</v>
      </c>
      <c r="Y15" s="74" t="b">
        <v>1</v>
      </c>
      <c r="Z15" s="74" t="b">
        <v>0</v>
      </c>
      <c r="AA15" s="74" t="b">
        <v>0</v>
      </c>
    </row>
    <row r="16" spans="1:28" x14ac:dyDescent="0.2">
      <c r="A16" s="50" t="s">
        <v>25</v>
      </c>
      <c r="B16" s="71">
        <f t="shared" ref="B16:L16" si="10">B7/B9</f>
        <v>0.18181818181818182</v>
      </c>
      <c r="C16" s="72">
        <f t="shared" si="10"/>
        <v>0.33620689655172414</v>
      </c>
      <c r="D16" s="72">
        <f t="shared" si="10"/>
        <v>0.421321236178055</v>
      </c>
      <c r="E16" s="72">
        <f t="shared" si="10"/>
        <v>7.1955719557195569E-2</v>
      </c>
      <c r="F16" s="72">
        <f t="shared" si="10"/>
        <v>0.11202317720907774</v>
      </c>
      <c r="G16" s="72">
        <f t="shared" si="10"/>
        <v>0.49479768786127165</v>
      </c>
      <c r="H16" s="72" t="e">
        <f>H7/H9</f>
        <v>#DIV/0!</v>
      </c>
      <c r="I16" s="72" t="e">
        <f>I7/I9</f>
        <v>#DIV/0!</v>
      </c>
      <c r="J16" s="72" t="e">
        <f>J7/J9</f>
        <v>#DIV/0!</v>
      </c>
      <c r="K16" s="72" t="e">
        <f>K7/K9</f>
        <v>#DIV/0!</v>
      </c>
      <c r="L16" s="72" t="e">
        <f t="shared" si="10"/>
        <v>#DIV/0!</v>
      </c>
      <c r="S16" s="52" t="s">
        <v>56</v>
      </c>
      <c r="T16" s="73">
        <f t="shared" si="9"/>
        <v>-0.1</v>
      </c>
      <c r="U16" s="73">
        <f t="shared" si="9"/>
        <v>-0.1</v>
      </c>
      <c r="V16" s="73">
        <f t="shared" si="9"/>
        <v>1.1000000000000001</v>
      </c>
      <c r="W16" s="73">
        <f t="shared" si="9"/>
        <v>1.1000000000000001</v>
      </c>
      <c r="X16" s="73">
        <f t="shared" si="9"/>
        <v>-0.1</v>
      </c>
    </row>
    <row r="17" spans="1:51" x14ac:dyDescent="0.2">
      <c r="A17" s="51" t="s">
        <v>26</v>
      </c>
      <c r="B17" s="75">
        <f t="shared" ref="B17:L17" si="11">B8/B9</f>
        <v>0.63636363636363635</v>
      </c>
      <c r="C17" s="76">
        <f t="shared" si="11"/>
        <v>0.32758620689655171</v>
      </c>
      <c r="D17" s="76">
        <f t="shared" si="11"/>
        <v>5.2452509214629996E-2</v>
      </c>
      <c r="E17" s="76">
        <f t="shared" si="11"/>
        <v>0.85608856088560881</v>
      </c>
      <c r="F17" s="76">
        <f t="shared" si="11"/>
        <v>0.11202317720907774</v>
      </c>
      <c r="G17" s="76">
        <f t="shared" si="11"/>
        <v>0.49479768786127165</v>
      </c>
      <c r="H17" s="76" t="e">
        <f>H8/H9</f>
        <v>#DIV/0!</v>
      </c>
      <c r="I17" s="76" t="e">
        <f>I8/I9</f>
        <v>#DIV/0!</v>
      </c>
      <c r="J17" s="76" t="e">
        <f>J8/J9</f>
        <v>#DIV/0!</v>
      </c>
      <c r="K17" s="76" t="e">
        <f>K8/K9</f>
        <v>#DIV/0!</v>
      </c>
      <c r="L17" s="76" t="e">
        <f t="shared" si="11"/>
        <v>#DIV/0!</v>
      </c>
      <c r="Y17" s="77"/>
      <c r="Z17" s="77" t="s">
        <v>105</v>
      </c>
      <c r="AA17" s="77"/>
      <c r="AB17" s="77"/>
      <c r="AC17" s="77"/>
      <c r="AP17" s="78"/>
      <c r="AQ17" s="78"/>
      <c r="AR17" s="78"/>
      <c r="AS17" s="78"/>
      <c r="AT17" s="78"/>
      <c r="AU17" s="78"/>
    </row>
    <row r="18" spans="1:51" x14ac:dyDescent="0.2">
      <c r="A18" s="79" t="s">
        <v>27</v>
      </c>
      <c r="B18" s="80">
        <f t="shared" ref="B18:L18" si="12">B15+B16</f>
        <v>0.36363636363636365</v>
      </c>
      <c r="C18" s="81">
        <f t="shared" si="12"/>
        <v>0.67241379310344829</v>
      </c>
      <c r="D18" s="81">
        <f t="shared" si="12"/>
        <v>0.94754749078537004</v>
      </c>
      <c r="E18" s="81">
        <f t="shared" si="12"/>
        <v>0.14391143911439114</v>
      </c>
      <c r="F18" s="81">
        <f t="shared" si="12"/>
        <v>0.88797682279092227</v>
      </c>
      <c r="G18" s="81">
        <f t="shared" si="12"/>
        <v>0.50520231213872835</v>
      </c>
      <c r="H18" s="81" t="e">
        <f>H15+H16</f>
        <v>#DIV/0!</v>
      </c>
      <c r="I18" s="81" t="e">
        <f>I15+I16</f>
        <v>#DIV/0!</v>
      </c>
      <c r="J18" s="81" t="e">
        <f>J15+J16</f>
        <v>#DIV/0!</v>
      </c>
      <c r="K18" s="81" t="e">
        <f>K15+K16</f>
        <v>#DIV/0!</v>
      </c>
      <c r="L18" s="81" t="e">
        <f t="shared" si="12"/>
        <v>#DIV/0!</v>
      </c>
      <c r="M18" s="82" t="s">
        <v>28</v>
      </c>
      <c r="N18" s="83"/>
      <c r="S18" s="52" t="s">
        <v>100</v>
      </c>
      <c r="T18" s="73">
        <v>-0.57999999999999996</v>
      </c>
      <c r="U18" s="73">
        <v>0.57999999999999996</v>
      </c>
      <c r="V18" s="73">
        <v>0.57999999999999996</v>
      </c>
      <c r="W18" s="73">
        <v>-0.57999999999999996</v>
      </c>
      <c r="X18" s="73">
        <v>-0.57999999999999996</v>
      </c>
      <c r="Y18" s="73">
        <v>-0.57999999999999996</v>
      </c>
      <c r="Z18" s="73">
        <v>0.57999999999999996</v>
      </c>
      <c r="AA18" s="73">
        <v>0.57999999999999996</v>
      </c>
      <c r="AB18" s="73">
        <v>-0.57999999999999996</v>
      </c>
      <c r="AC18" s="73">
        <v>-0.57999999999999996</v>
      </c>
      <c r="AO18" s="78"/>
      <c r="AP18" s="78"/>
      <c r="AQ18" s="78"/>
      <c r="AR18" s="78"/>
      <c r="AS18" s="78"/>
      <c r="AT18" s="78"/>
      <c r="AU18" s="78"/>
    </row>
    <row r="19" spans="1:51" x14ac:dyDescent="0.2">
      <c r="A19" s="79" t="s">
        <v>29</v>
      </c>
      <c r="B19" s="80">
        <f t="shared" ref="B19:L19" si="13">B15+B16+B17</f>
        <v>1</v>
      </c>
      <c r="C19" s="81">
        <f t="shared" si="13"/>
        <v>1</v>
      </c>
      <c r="D19" s="81">
        <f t="shared" si="13"/>
        <v>1</v>
      </c>
      <c r="E19" s="81">
        <f t="shared" si="13"/>
        <v>1</v>
      </c>
      <c r="F19" s="81">
        <f t="shared" si="13"/>
        <v>1</v>
      </c>
      <c r="G19" s="81">
        <f t="shared" si="13"/>
        <v>1</v>
      </c>
      <c r="H19" s="81" t="e">
        <f>H15+H16+H17</f>
        <v>#DIV/0!</v>
      </c>
      <c r="I19" s="81" t="e">
        <f>I15+I16+I17</f>
        <v>#DIV/0!</v>
      </c>
      <c r="J19" s="81" t="e">
        <f>J15+J16+J17</f>
        <v>#DIV/0!</v>
      </c>
      <c r="K19" s="81" t="e">
        <f>K15+K16+K17</f>
        <v>#DIV/0!</v>
      </c>
      <c r="L19" s="81" t="e">
        <f t="shared" si="13"/>
        <v>#DIV/0!</v>
      </c>
      <c r="M19" s="84" t="s">
        <v>30</v>
      </c>
      <c r="N19" s="84" t="s">
        <v>31</v>
      </c>
      <c r="S19" s="52" t="s">
        <v>101</v>
      </c>
      <c r="T19" s="73">
        <v>-0.1</v>
      </c>
      <c r="U19" s="73">
        <v>-0.1</v>
      </c>
      <c r="V19" s="73">
        <v>1.1000000000000001</v>
      </c>
      <c r="W19" s="73">
        <v>1.1000000000000001</v>
      </c>
      <c r="X19" s="73">
        <v>-0.1</v>
      </c>
      <c r="Y19" s="73">
        <v>-0.1</v>
      </c>
      <c r="Z19" s="73">
        <v>-0.1</v>
      </c>
      <c r="AA19" s="73">
        <v>1.1000000000000001</v>
      </c>
      <c r="AB19" s="73">
        <v>1.1000000000000001</v>
      </c>
      <c r="AC19" s="73">
        <v>-0.1</v>
      </c>
      <c r="AO19" s="78"/>
      <c r="AQ19" s="78"/>
      <c r="AR19" s="78"/>
      <c r="AS19" s="78"/>
      <c r="AT19" s="78"/>
      <c r="AU19" s="78"/>
    </row>
    <row r="20" spans="1:51" x14ac:dyDescent="0.2">
      <c r="A20" s="85" t="s">
        <v>32</v>
      </c>
      <c r="B20" s="86">
        <f t="shared" ref="B20:L20" si="14">1/B17</f>
        <v>1.5714285714285714</v>
      </c>
      <c r="C20" s="87">
        <f t="shared" si="14"/>
        <v>3.0526315789473686</v>
      </c>
      <c r="D20" s="87">
        <f t="shared" si="14"/>
        <v>19.064864864864866</v>
      </c>
      <c r="E20" s="87">
        <f t="shared" si="14"/>
        <v>1.1681034482758621</v>
      </c>
      <c r="F20" s="87">
        <f t="shared" si="14"/>
        <v>8.9267241379310338</v>
      </c>
      <c r="G20" s="87">
        <f t="shared" si="14"/>
        <v>2.0210280373831777</v>
      </c>
      <c r="H20" s="87" t="e">
        <f>1/H17</f>
        <v>#DIV/0!</v>
      </c>
      <c r="I20" s="87" t="e">
        <f>1/I17</f>
        <v>#DIV/0!</v>
      </c>
      <c r="J20" s="87" t="e">
        <f>1/J17</f>
        <v>#DIV/0!</v>
      </c>
      <c r="K20" s="87" t="e">
        <f>1/K17</f>
        <v>#DIV/0!</v>
      </c>
      <c r="L20" s="87" t="e">
        <f t="shared" si="14"/>
        <v>#DIV/0!</v>
      </c>
      <c r="M20" s="88">
        <v>5</v>
      </c>
      <c r="N20" s="89">
        <v>2</v>
      </c>
      <c r="S20" s="52" t="s">
        <v>99</v>
      </c>
      <c r="T20" s="73">
        <v>-0.57999999999999996</v>
      </c>
      <c r="U20" s="73">
        <v>0</v>
      </c>
      <c r="V20" s="73">
        <v>0</v>
      </c>
      <c r="W20" s="73">
        <v>-0.57999999999999996</v>
      </c>
      <c r="X20" s="73">
        <v>-0.57999999999999996</v>
      </c>
      <c r="Y20" s="73">
        <v>-0.57999999999999996</v>
      </c>
      <c r="Z20" s="73">
        <v>0</v>
      </c>
      <c r="AA20" s="73">
        <v>0</v>
      </c>
      <c r="AB20" s="73">
        <v>-0.57999999999999996</v>
      </c>
      <c r="AC20" s="73">
        <v>-0.57999999999999996</v>
      </c>
      <c r="AO20" s="78"/>
      <c r="AR20" s="78"/>
      <c r="AS20" s="78"/>
      <c r="AT20" s="78"/>
      <c r="AU20" s="78"/>
    </row>
    <row r="21" spans="1:51" x14ac:dyDescent="0.2">
      <c r="A21" s="90" t="s">
        <v>33</v>
      </c>
      <c r="B21" s="91">
        <f t="shared" ref="B21:L21" si="15">B17/(1-B17)</f>
        <v>1.75</v>
      </c>
      <c r="C21" s="92">
        <f t="shared" si="15"/>
        <v>0.48717948717948717</v>
      </c>
      <c r="D21" s="92">
        <f t="shared" si="15"/>
        <v>5.5356074207061637E-2</v>
      </c>
      <c r="E21" s="92">
        <f t="shared" si="15"/>
        <v>5.9487179487179462</v>
      </c>
      <c r="F21" s="92">
        <f t="shared" si="15"/>
        <v>0.12615551930396954</v>
      </c>
      <c r="G21" s="92">
        <f t="shared" si="15"/>
        <v>0.97940503432494275</v>
      </c>
      <c r="H21" s="92" t="e">
        <f>H17/(1-H17)</f>
        <v>#DIV/0!</v>
      </c>
      <c r="I21" s="92" t="e">
        <f>I17/(1-I17)</f>
        <v>#DIV/0!</v>
      </c>
      <c r="J21" s="92" t="e">
        <f>J17/(1-J17)</f>
        <v>#DIV/0!</v>
      </c>
      <c r="K21" s="92" t="e">
        <f>K17/(1-K17)</f>
        <v>#DIV/0!</v>
      </c>
      <c r="L21" s="92" t="e">
        <f t="shared" si="15"/>
        <v>#DIV/0!</v>
      </c>
      <c r="M21" s="93">
        <v>0.25</v>
      </c>
      <c r="N21" s="94">
        <v>1</v>
      </c>
      <c r="S21" s="52" t="s">
        <v>102</v>
      </c>
      <c r="T21" s="73">
        <v>0</v>
      </c>
      <c r="U21" s="73">
        <v>0</v>
      </c>
      <c r="V21" s="73">
        <v>0.5</v>
      </c>
      <c r="W21" s="73">
        <v>0.5</v>
      </c>
      <c r="X21" s="73">
        <v>0</v>
      </c>
      <c r="Y21" s="73">
        <v>0</v>
      </c>
      <c r="Z21" s="73">
        <v>0</v>
      </c>
      <c r="AA21" s="73">
        <v>0.5</v>
      </c>
      <c r="AB21" s="73">
        <v>0.5</v>
      </c>
      <c r="AC21" s="73">
        <v>0</v>
      </c>
      <c r="AO21" s="78"/>
      <c r="AS21" s="78"/>
      <c r="AT21" s="78"/>
      <c r="AU21" s="78"/>
    </row>
    <row r="22" spans="1:51" x14ac:dyDescent="0.2">
      <c r="A22" s="90" t="s">
        <v>34</v>
      </c>
      <c r="B22" s="92">
        <f t="shared" ref="B22:L22" si="16">(1-B15)/B15</f>
        <v>4.4999999999999991</v>
      </c>
      <c r="C22" s="92">
        <f t="shared" si="16"/>
        <v>1.9743589743589742</v>
      </c>
      <c r="D22" s="92">
        <f t="shared" si="16"/>
        <v>0.90032327586206906</v>
      </c>
      <c r="E22" s="92">
        <f t="shared" si="16"/>
        <v>12.897435897435898</v>
      </c>
      <c r="F22" s="92">
        <f t="shared" si="16"/>
        <v>0.28873677660236463</v>
      </c>
      <c r="G22" s="92">
        <f t="shared" si="16"/>
        <v>95.1111111111111</v>
      </c>
      <c r="H22" s="92" t="e">
        <f>(1-H15)/H15</f>
        <v>#DIV/0!</v>
      </c>
      <c r="I22" s="92" t="e">
        <f>(1-I15)/I15</f>
        <v>#DIV/0!</v>
      </c>
      <c r="J22" s="92" t="e">
        <f>(1-J15)/J15</f>
        <v>#DIV/0!</v>
      </c>
      <c r="K22" s="92" t="e">
        <f>(1-K15)/K15</f>
        <v>#DIV/0!</v>
      </c>
      <c r="L22" s="92" t="e">
        <f t="shared" si="16"/>
        <v>#DIV/0!</v>
      </c>
      <c r="M22" s="93">
        <v>2</v>
      </c>
      <c r="N22" s="94">
        <v>10</v>
      </c>
      <c r="S22" s="52" t="s">
        <v>103</v>
      </c>
      <c r="T22" s="73">
        <v>-0.57999999999999996</v>
      </c>
      <c r="U22" s="73">
        <v>-0.28999999999999998</v>
      </c>
      <c r="V22" s="73">
        <v>-0.28999999999999998</v>
      </c>
      <c r="W22" s="73">
        <v>-0.57999999999999996</v>
      </c>
      <c r="X22" s="73">
        <v>-0.57999999999999996</v>
      </c>
      <c r="Y22" s="73">
        <v>-0.57999999999999996</v>
      </c>
      <c r="Z22" s="73">
        <v>-0.28999999999999998</v>
      </c>
      <c r="AA22" s="73">
        <v>-0.28999999999999998</v>
      </c>
      <c r="AB22" s="73">
        <v>-0.57999999999999996</v>
      </c>
      <c r="AC22" s="73">
        <v>-0.57999999999999996</v>
      </c>
      <c r="AO22" s="78"/>
      <c r="AT22" s="78"/>
      <c r="AU22" s="78"/>
    </row>
    <row r="23" spans="1:51" x14ac:dyDescent="0.2">
      <c r="A23" s="95" t="s">
        <v>22</v>
      </c>
      <c r="B23" s="96">
        <f t="shared" ref="B23:L23" si="17">B20/B22</f>
        <v>0.34920634920634924</v>
      </c>
      <c r="C23" s="96">
        <f t="shared" si="17"/>
        <v>1.546138072453862</v>
      </c>
      <c r="D23" s="96">
        <f t="shared" si="17"/>
        <v>21.175577013278986</v>
      </c>
      <c r="E23" s="96">
        <f t="shared" si="17"/>
        <v>9.0568657023376978E-2</v>
      </c>
      <c r="F23" s="96">
        <f t="shared" si="17"/>
        <v>30.91647777942925</v>
      </c>
      <c r="G23" s="96">
        <f t="shared" si="17"/>
        <v>2.1249126561271731E-2</v>
      </c>
      <c r="H23" s="96" t="e">
        <f>H20/H22</f>
        <v>#DIV/0!</v>
      </c>
      <c r="I23" s="96" t="e">
        <f>I20/I22</f>
        <v>#DIV/0!</v>
      </c>
      <c r="J23" s="96" t="e">
        <f>J20/J22</f>
        <v>#DIV/0!</v>
      </c>
      <c r="K23" s="96" t="e">
        <f>K20/K22</f>
        <v>#DIV/0!</v>
      </c>
      <c r="L23" s="96" t="e">
        <f t="shared" si="17"/>
        <v>#DIV/0!</v>
      </c>
      <c r="M23" s="97">
        <v>5</v>
      </c>
      <c r="N23" s="98">
        <v>1</v>
      </c>
      <c r="S23" s="52" t="s">
        <v>104</v>
      </c>
      <c r="T23" s="73">
        <v>0</v>
      </c>
      <c r="U23" s="73">
        <v>0</v>
      </c>
      <c r="V23" s="73">
        <v>0.25</v>
      </c>
      <c r="W23" s="73">
        <v>0.25</v>
      </c>
      <c r="X23" s="73">
        <v>0</v>
      </c>
      <c r="Y23" s="73">
        <v>0</v>
      </c>
      <c r="Z23" s="73">
        <v>0</v>
      </c>
      <c r="AA23" s="73">
        <v>0.25</v>
      </c>
      <c r="AB23" s="73">
        <v>0.25</v>
      </c>
      <c r="AC23" s="73">
        <v>0</v>
      </c>
      <c r="AO23" s="78"/>
      <c r="AU23" s="78"/>
    </row>
    <row r="24" spans="1:51" x14ac:dyDescent="0.2">
      <c r="A24" s="255" t="s">
        <v>35</v>
      </c>
      <c r="B24" s="256"/>
      <c r="C24" s="256"/>
      <c r="D24" s="256"/>
      <c r="E24" s="256"/>
      <c r="F24" s="256"/>
      <c r="G24" s="256"/>
      <c r="H24" s="256"/>
      <c r="I24" s="256"/>
      <c r="J24" s="256"/>
      <c r="K24" s="256"/>
      <c r="L24" s="257"/>
    </row>
    <row r="25" spans="1:51" x14ac:dyDescent="0.2">
      <c r="A25" s="99" t="s">
        <v>36</v>
      </c>
      <c r="B25" s="100" t="str">
        <f t="shared" ref="B25:L25" si="18">B5</f>
        <v xml:space="preserve"> 1-Henrique</v>
      </c>
      <c r="C25" s="56" t="str">
        <f t="shared" si="18"/>
        <v xml:space="preserve"> 2-Thayna</v>
      </c>
      <c r="D25" s="56" t="str">
        <f t="shared" si="18"/>
        <v xml:space="preserve"> 3-Jaqueline</v>
      </c>
      <c r="E25" s="56" t="str">
        <f t="shared" si="18"/>
        <v xml:space="preserve"> 4-Manuel</v>
      </c>
      <c r="F25" s="56" t="str">
        <f t="shared" si="18"/>
        <v xml:space="preserve"> 5-André</v>
      </c>
      <c r="G25" s="56" t="str">
        <f t="shared" si="18"/>
        <v xml:space="preserve"> 6-Luiz</v>
      </c>
      <c r="H25" s="56" t="str">
        <f>H5</f>
        <v xml:space="preserve"> 7-0</v>
      </c>
      <c r="I25" s="56" t="str">
        <f>I5</f>
        <v xml:space="preserve"> 8-0</v>
      </c>
      <c r="J25" s="56" t="str">
        <f>J5</f>
        <v xml:space="preserve"> 9-0</v>
      </c>
      <c r="K25" s="56" t="str">
        <f>K5</f>
        <v>10-0</v>
      </c>
      <c r="L25" s="56" t="str">
        <f t="shared" si="18"/>
        <v>Simergia</v>
      </c>
    </row>
    <row r="26" spans="1:51" ht="15.75" x14ac:dyDescent="0.3">
      <c r="A26" s="101" t="s">
        <v>114</v>
      </c>
      <c r="B26" s="102">
        <f t="shared" ref="B26:L26" si="19">(2*B17+B15-1)/SQRT(3)</f>
        <v>0.26243194054073904</v>
      </c>
      <c r="C26" s="103">
        <f t="shared" si="19"/>
        <v>-4.9771574930139936E-3</v>
      </c>
      <c r="D26" s="103">
        <f t="shared" si="19"/>
        <v>-0.212966458807968</v>
      </c>
      <c r="E26" s="103">
        <f t="shared" si="19"/>
        <v>0.45271930702138552</v>
      </c>
      <c r="F26" s="103">
        <f t="shared" si="19"/>
        <v>0</v>
      </c>
      <c r="G26" s="103">
        <f t="shared" si="19"/>
        <v>0</v>
      </c>
      <c r="H26" s="103" t="e">
        <f>(2*H17+H15-1)/SQRT(3)</f>
        <v>#DIV/0!</v>
      </c>
      <c r="I26" s="103" t="e">
        <f>(2*I17+I15-1)/SQRT(3)</f>
        <v>#DIV/0!</v>
      </c>
      <c r="J26" s="103" t="e">
        <f>(2*J17+J15-1)/SQRT(3)</f>
        <v>#DIV/0!</v>
      </c>
      <c r="K26" s="103" t="e">
        <f>(2*K17+K15-1)/SQRT(3)</f>
        <v>#DIV/0!</v>
      </c>
      <c r="L26" s="81" t="e">
        <f t="shared" si="19"/>
        <v>#DIV/0!</v>
      </c>
      <c r="AN26" s="52" t="s">
        <v>37</v>
      </c>
      <c r="AP26" s="104">
        <f>IF(DIAG!T21,$L$26,-1)</f>
        <v>-1</v>
      </c>
      <c r="AQ26" s="105">
        <f>AP26+(AY26-AP26)/9</f>
        <v>-1</v>
      </c>
      <c r="AR26" s="105">
        <f>AQ26+(AY26-AQ26)/8</f>
        <v>-1</v>
      </c>
      <c r="AS26" s="105">
        <f>AR26+(AY26-AR26)/7</f>
        <v>-1</v>
      </c>
      <c r="AT26" s="105">
        <f>AS26+(AY26-AS26)/6</f>
        <v>-1</v>
      </c>
      <c r="AU26" s="105">
        <f>AT26+(AY26-AT26)/5</f>
        <v>-1</v>
      </c>
      <c r="AV26" s="105">
        <f>AU26+(AY26-AU26)/4</f>
        <v>-1</v>
      </c>
      <c r="AW26" s="105">
        <f>AV26+(AY26-AV26)/3</f>
        <v>-1</v>
      </c>
      <c r="AX26" s="105">
        <f>AW26+(AY26-AW26)/2</f>
        <v>-1</v>
      </c>
      <c r="AY26" s="106">
        <f>IF(DIAG!T21,$B$26,-1)</f>
        <v>-1</v>
      </c>
    </row>
    <row r="27" spans="1:51" ht="15.75" x14ac:dyDescent="0.3">
      <c r="A27" s="107" t="s">
        <v>115</v>
      </c>
      <c r="B27" s="108">
        <f>IF(DIAG!T11,B15,-1)</f>
        <v>0.18181818181818182</v>
      </c>
      <c r="C27" s="109">
        <f>IF(DIAG!T12,C15,-1)</f>
        <v>0.33620689655172414</v>
      </c>
      <c r="D27" s="109">
        <f>IF(DIAG!T13,D15,-1)</f>
        <v>0.52622625460731498</v>
      </c>
      <c r="E27" s="109">
        <f>IF(DIAG!T14,E15,-1)</f>
        <v>7.1955719557195569E-2</v>
      </c>
      <c r="F27" s="109">
        <f>IF(DIAG!T15,F15,-1)</f>
        <v>0.77595364558184454</v>
      </c>
      <c r="G27" s="103">
        <f>IF(DIAG!T16,G15,-1)</f>
        <v>1.0404624277456647E-2</v>
      </c>
      <c r="H27" s="103">
        <f>IF(DIAG!T17,H15,-1)</f>
        <v>-1</v>
      </c>
      <c r="I27" s="103">
        <f>IF(DIAG!T18,I15,-1)</f>
        <v>-1</v>
      </c>
      <c r="J27" s="103">
        <f>IF(DIAG!T19,J15,-1)</f>
        <v>-1</v>
      </c>
      <c r="K27" s="103">
        <f>IF(DIAG!T20,K15,-1)</f>
        <v>-1</v>
      </c>
      <c r="L27" s="81">
        <f>IF(OR(DIAG!T21,DIAG!T22,DIAG!T23,DIAG!T24,DIAG!T25,DIAG!T26,DIAG!T27,DIAG!T28,DIAG!T29,DIAG!T30),L15,-1)</f>
        <v>-1</v>
      </c>
      <c r="AP27" s="110">
        <f>IF(DIAG!T21,$L$27,-1)</f>
        <v>-1</v>
      </c>
      <c r="AQ27" s="111">
        <f>AP27+(AY27-AP27)/9</f>
        <v>-1</v>
      </c>
      <c r="AR27" s="111">
        <f>AQ27+(AY27-AQ27)/8</f>
        <v>-1</v>
      </c>
      <c r="AS27" s="111">
        <f>AR27+(AY27-AR27)/7</f>
        <v>-1</v>
      </c>
      <c r="AT27" s="111">
        <f>AS27+(AY27-AS27)/6</f>
        <v>-1</v>
      </c>
      <c r="AU27" s="111">
        <f>AT27+(AY27-AT27)/5</f>
        <v>-1</v>
      </c>
      <c r="AV27" s="111">
        <f>AU27+(AY27-AU27)/4</f>
        <v>-1</v>
      </c>
      <c r="AW27" s="111">
        <f>AV27+(AY27-AV27)/3</f>
        <v>-1</v>
      </c>
      <c r="AX27" s="111">
        <f>AW27+(AY27-AW27)/2</f>
        <v>-1</v>
      </c>
      <c r="AY27" s="112">
        <f>IF(DIAG!T21,$B$27,-1)</f>
        <v>-1</v>
      </c>
    </row>
    <row r="28" spans="1:51" x14ac:dyDescent="0.2">
      <c r="A28" s="252" t="s">
        <v>36</v>
      </c>
      <c r="B28" s="253"/>
      <c r="C28" s="254"/>
      <c r="D28" s="56" t="s">
        <v>38</v>
      </c>
      <c r="E28" s="56" t="s">
        <v>39</v>
      </c>
      <c r="F28" s="56" t="s">
        <v>40</v>
      </c>
      <c r="G28" s="113"/>
      <c r="H28" s="113"/>
      <c r="I28" s="113"/>
      <c r="J28" s="113"/>
      <c r="K28" s="113"/>
      <c r="L28" s="114"/>
      <c r="M28" s="115"/>
      <c r="AO28" s="78"/>
      <c r="AP28" s="78"/>
      <c r="AQ28" s="78"/>
      <c r="AR28" s="78"/>
      <c r="AS28" s="78"/>
      <c r="AT28" s="78"/>
      <c r="AU28" s="78"/>
    </row>
    <row r="29" spans="1:51" x14ac:dyDescent="0.2">
      <c r="A29" s="116"/>
      <c r="B29" s="117" t="str">
        <f>VLOOKUP(A28,A25:G25,A83,0)</f>
        <v xml:space="preserve"> 1-Henrique</v>
      </c>
      <c r="C29" s="118"/>
      <c r="D29" s="119" t="e">
        <f ca="1">D103</f>
        <v>#DIV/0!</v>
      </c>
      <c r="E29" s="119" t="e">
        <f ca="1">D100</f>
        <v>#DIV/0!</v>
      </c>
      <c r="F29" s="119" t="e">
        <f ca="1">E103</f>
        <v>#DIV/0!</v>
      </c>
      <c r="G29" s="120" t="s">
        <v>41</v>
      </c>
      <c r="H29" s="121"/>
      <c r="I29" s="121"/>
      <c r="J29" s="121"/>
      <c r="K29" s="121"/>
      <c r="L29" s="121"/>
      <c r="M29" s="122"/>
      <c r="AN29" s="52" t="s">
        <v>42</v>
      </c>
      <c r="AO29" s="78"/>
      <c r="AP29" s="104">
        <f>IF(DIAG!$T$22,$L$26,-1)</f>
        <v>-1</v>
      </c>
      <c r="AQ29" s="105">
        <f>AP29+(AY29-AP29)/9</f>
        <v>-1</v>
      </c>
      <c r="AR29" s="105">
        <f>AQ29+(AY29-AQ29)/8</f>
        <v>-1</v>
      </c>
      <c r="AS29" s="105">
        <f>AR29+(AY29-AR29)/7</f>
        <v>-1</v>
      </c>
      <c r="AT29" s="105">
        <f>AS29+(AY29-AS29)/6</f>
        <v>-1</v>
      </c>
      <c r="AU29" s="105">
        <f>AT29+(AY29-AT29)/5</f>
        <v>-1</v>
      </c>
      <c r="AV29" s="105">
        <f>AU29+(AY29-AU29)/4</f>
        <v>-1</v>
      </c>
      <c r="AW29" s="105">
        <f>AV29+(AY29-AV29)/3</f>
        <v>-1</v>
      </c>
      <c r="AX29" s="105">
        <f>AW29+(AY29-AW29)/2</f>
        <v>-1</v>
      </c>
      <c r="AY29" s="106">
        <f>IF(DIAG!$T$22,$C$26,-1)</f>
        <v>-1</v>
      </c>
    </row>
    <row r="30" spans="1:51" x14ac:dyDescent="0.2">
      <c r="A30" s="123"/>
      <c r="B30" s="124"/>
      <c r="C30" s="125"/>
      <c r="D30" s="119" t="e">
        <f ca="1">N103</f>
        <v>#DIV/0!</v>
      </c>
      <c r="E30" s="119" t="e">
        <f ca="1">M100</f>
        <v>#DIV/0!</v>
      </c>
      <c r="F30" s="119" t="e">
        <f ca="1">M103</f>
        <v>#DIV/0!</v>
      </c>
      <c r="G30" s="120" t="s">
        <v>43</v>
      </c>
      <c r="H30" s="121"/>
      <c r="I30" s="121"/>
      <c r="J30" s="121"/>
      <c r="K30" s="121"/>
      <c r="L30" s="121"/>
      <c r="M30" s="122"/>
      <c r="AO30" s="78"/>
      <c r="AP30" s="110">
        <f>IF(DIAG!$T$22,$L$27,-1)</f>
        <v>-1</v>
      </c>
      <c r="AQ30" s="111">
        <f>AP30+(AY30-AP30)/9</f>
        <v>-1</v>
      </c>
      <c r="AR30" s="111">
        <f>AQ30+(AY30-AQ30)/8</f>
        <v>-1</v>
      </c>
      <c r="AS30" s="111">
        <f>AR30+(AY30-AR30)/7</f>
        <v>-1</v>
      </c>
      <c r="AT30" s="111">
        <f>AS30+(AY30-AS30)/6</f>
        <v>-1</v>
      </c>
      <c r="AU30" s="111">
        <f>AT30+(AY30-AT30)/5</f>
        <v>-1</v>
      </c>
      <c r="AV30" s="111">
        <f>AU30+(AY30-AU30)/4</f>
        <v>-1</v>
      </c>
      <c r="AW30" s="111">
        <f>AV30+(AY30-AV30)/3</f>
        <v>-1</v>
      </c>
      <c r="AX30" s="111">
        <f>AW30+(AY30-AW30)/2</f>
        <v>-1</v>
      </c>
      <c r="AY30" s="112">
        <f>IF(DIAG!$T$22,$C$27,-1)</f>
        <v>-1</v>
      </c>
    </row>
    <row r="31" spans="1:51" x14ac:dyDescent="0.2">
      <c r="A31" s="126"/>
      <c r="B31" s="127"/>
      <c r="D31" s="128"/>
      <c r="E31" s="128"/>
      <c r="F31" s="128"/>
      <c r="G31" s="129"/>
      <c r="H31" s="129"/>
      <c r="I31" s="129"/>
      <c r="J31" s="129"/>
      <c r="K31" s="129"/>
      <c r="S31" s="78"/>
      <c r="T31" s="78"/>
      <c r="U31" s="78"/>
      <c r="V31" s="78"/>
      <c r="W31" s="78"/>
      <c r="X31" s="78"/>
      <c r="Y31" s="78"/>
      <c r="Z31" s="78"/>
      <c r="AA31" s="78"/>
      <c r="AB31" s="78"/>
      <c r="AO31" s="78"/>
      <c r="AS31" s="78"/>
      <c r="AT31" s="78"/>
      <c r="AU31" s="78"/>
    </row>
    <row r="32" spans="1:51" x14ac:dyDescent="0.2">
      <c r="A32" s="126"/>
      <c r="B32" s="127"/>
      <c r="D32" s="128"/>
      <c r="E32" s="128"/>
      <c r="F32" s="128"/>
      <c r="G32" s="129"/>
      <c r="H32" s="129"/>
      <c r="I32" s="129"/>
      <c r="J32" s="129"/>
      <c r="K32" s="129"/>
      <c r="S32" s="78"/>
      <c r="T32" s="78"/>
      <c r="U32" s="78"/>
      <c r="V32" s="78"/>
      <c r="W32" s="78"/>
      <c r="X32" s="78"/>
      <c r="Y32" s="78"/>
      <c r="Z32" s="78"/>
      <c r="AA32" s="78"/>
      <c r="AB32" s="78"/>
      <c r="AN32" s="52" t="s">
        <v>44</v>
      </c>
      <c r="AO32" s="78"/>
      <c r="AP32" s="104">
        <f>IF(DIAG!$T$23,$L$26,-1)</f>
        <v>-1</v>
      </c>
      <c r="AQ32" s="105">
        <f>AP32+(AY32-AP32)/9</f>
        <v>-1</v>
      </c>
      <c r="AR32" s="105">
        <f>AQ32+(AY32-AQ32)/8</f>
        <v>-1</v>
      </c>
      <c r="AS32" s="105">
        <f>AR32+(AY32-AR32)/7</f>
        <v>-1</v>
      </c>
      <c r="AT32" s="105">
        <f>AS32+(AY32-AS32)/6</f>
        <v>-1</v>
      </c>
      <c r="AU32" s="105">
        <f>AT32+(AY32-AT32)/5</f>
        <v>-1</v>
      </c>
      <c r="AV32" s="105">
        <f>AU32+(AY32-AU32)/4</f>
        <v>-1</v>
      </c>
      <c r="AW32" s="105">
        <f>AV32+(AY32-AV32)/3</f>
        <v>-1</v>
      </c>
      <c r="AX32" s="105">
        <f>AW32+(AY32-AW32)/2</f>
        <v>-1</v>
      </c>
      <c r="AY32" s="106">
        <f>IF(DIAG!$T$23,$D$26,-1)</f>
        <v>-1</v>
      </c>
    </row>
    <row r="33" spans="1:73" x14ac:dyDescent="0.2">
      <c r="B33" s="127"/>
      <c r="D33" s="128"/>
      <c r="E33" s="128"/>
      <c r="F33" s="128"/>
      <c r="G33" s="129"/>
      <c r="H33" s="129"/>
      <c r="I33" s="129"/>
      <c r="J33" s="129"/>
      <c r="K33" s="129"/>
      <c r="S33" s="78"/>
      <c r="T33" s="78"/>
      <c r="U33" s="78"/>
      <c r="V33" s="78"/>
      <c r="W33" s="78"/>
      <c r="X33" s="78"/>
      <c r="Y33" s="78"/>
      <c r="Z33" s="78"/>
      <c r="AA33" s="78"/>
      <c r="AB33" s="78"/>
      <c r="AO33" s="78"/>
      <c r="AP33" s="110">
        <f>IF(DIAG!$T$23,$L$27,-1)</f>
        <v>-1</v>
      </c>
      <c r="AQ33" s="111">
        <f>AP33+(AY33-AP33)/9</f>
        <v>-1</v>
      </c>
      <c r="AR33" s="111">
        <f>AQ33+(AY33-AQ33)/8</f>
        <v>-1</v>
      </c>
      <c r="AS33" s="111">
        <f>AR33+(AY33-AR33)/7</f>
        <v>-1</v>
      </c>
      <c r="AT33" s="111">
        <f>AS33+(AY33-AS33)/6</f>
        <v>-1</v>
      </c>
      <c r="AU33" s="111">
        <f>AT33+(AY33-AT33)/5</f>
        <v>-1</v>
      </c>
      <c r="AV33" s="111">
        <f>AU33+(AY33-AU33)/4</f>
        <v>-1</v>
      </c>
      <c r="AW33" s="111">
        <f>AV33+(AY33-AV33)/3</f>
        <v>-1</v>
      </c>
      <c r="AX33" s="111">
        <f>AW33+(AY33-AW33)/2</f>
        <v>-1</v>
      </c>
      <c r="AY33" s="112">
        <f>IF(DIAG!$T$23,$D$27,-1)</f>
        <v>-1</v>
      </c>
    </row>
    <row r="34" spans="1:73" x14ac:dyDescent="0.2">
      <c r="A34" s="130" t="s">
        <v>45</v>
      </c>
      <c r="B34" s="131"/>
      <c r="C34" s="131"/>
      <c r="D34" s="131"/>
      <c r="E34" s="131"/>
      <c r="F34" s="132"/>
      <c r="G34" s="133"/>
      <c r="H34" s="133"/>
      <c r="I34" s="133"/>
      <c r="J34" s="133"/>
      <c r="K34" s="133"/>
      <c r="L34" s="134"/>
      <c r="M34" s="134"/>
      <c r="N34" s="134"/>
      <c r="O34" s="134">
        <v>0</v>
      </c>
      <c r="P34" s="33">
        <v>1</v>
      </c>
      <c r="Q34" s="33">
        <v>2</v>
      </c>
      <c r="R34" s="33">
        <v>3</v>
      </c>
      <c r="S34" s="33">
        <v>4</v>
      </c>
      <c r="T34" s="33">
        <v>5</v>
      </c>
      <c r="U34" s="33">
        <v>6</v>
      </c>
      <c r="V34" s="33">
        <v>7</v>
      </c>
      <c r="W34" s="33">
        <v>8</v>
      </c>
      <c r="X34" s="33">
        <v>9</v>
      </c>
      <c r="Y34" s="134">
        <v>10</v>
      </c>
      <c r="Z34" s="33">
        <v>9</v>
      </c>
      <c r="AA34" s="33">
        <v>8</v>
      </c>
      <c r="AB34" s="33">
        <v>7</v>
      </c>
      <c r="AC34" s="33">
        <v>6</v>
      </c>
      <c r="AD34" s="33">
        <v>5</v>
      </c>
      <c r="AE34" s="33">
        <v>4</v>
      </c>
      <c r="AF34" s="33">
        <v>3</v>
      </c>
      <c r="AG34" s="33">
        <v>2</v>
      </c>
      <c r="AH34" s="33">
        <v>1</v>
      </c>
      <c r="AI34" s="135">
        <v>0</v>
      </c>
    </row>
    <row r="35" spans="1:73" x14ac:dyDescent="0.2">
      <c r="A35" s="136" t="s">
        <v>46</v>
      </c>
      <c r="B35" s="137"/>
      <c r="C35" s="137"/>
      <c r="D35" s="137" t="s">
        <v>47</v>
      </c>
      <c r="E35" s="138">
        <f>-1/SQRT(3)</f>
        <v>-0.57735026918962584</v>
      </c>
      <c r="F35" s="138">
        <v>0</v>
      </c>
      <c r="G35" s="139">
        <f>1/SQRT(3)</f>
        <v>0.57735026918962584</v>
      </c>
      <c r="H35" s="139"/>
      <c r="I35" s="139"/>
      <c r="J35" s="139"/>
      <c r="K35" s="139"/>
      <c r="O35" s="78">
        <f>-1/SQRT(3)</f>
        <v>-0.57735026918962584</v>
      </c>
      <c r="P35" s="140">
        <f t="shared" ref="P35:X35" si="20">-1/SQRT(3)+P34*(1/SQRT(3)/10)</f>
        <v>-0.51961524227066325</v>
      </c>
      <c r="Q35" s="140">
        <f t="shared" si="20"/>
        <v>-0.46188021535170065</v>
      </c>
      <c r="R35" s="140">
        <f t="shared" si="20"/>
        <v>-0.40414518843273811</v>
      </c>
      <c r="S35" s="140">
        <f t="shared" si="20"/>
        <v>-0.34641016151377552</v>
      </c>
      <c r="T35" s="140">
        <f t="shared" si="20"/>
        <v>-0.28867513459481292</v>
      </c>
      <c r="U35" s="140">
        <f t="shared" si="20"/>
        <v>-0.23094010767585038</v>
      </c>
      <c r="V35" s="140">
        <f t="shared" si="20"/>
        <v>-0.17320508075688779</v>
      </c>
      <c r="W35" s="140">
        <f t="shared" si="20"/>
        <v>-0.11547005383792519</v>
      </c>
      <c r="X35" s="140">
        <f t="shared" si="20"/>
        <v>-5.7735026918962595E-2</v>
      </c>
      <c r="Y35" s="78">
        <f>-1/SQRT(3)+Y34*(1/SQRT(3)/10)</f>
        <v>0</v>
      </c>
      <c r="Z35" s="140">
        <f t="shared" ref="Z35:AH35" si="21">1/SQRT(3)-Z34*1/SQRT(3)/10</f>
        <v>5.7735026918962595E-2</v>
      </c>
      <c r="AA35" s="140">
        <f t="shared" si="21"/>
        <v>0.11547005383792519</v>
      </c>
      <c r="AB35" s="140">
        <f t="shared" si="21"/>
        <v>0.17320508075688779</v>
      </c>
      <c r="AC35" s="140">
        <f t="shared" si="21"/>
        <v>0.23094010767585038</v>
      </c>
      <c r="AD35" s="140">
        <f t="shared" si="21"/>
        <v>0.28867513459481292</v>
      </c>
      <c r="AE35" s="140">
        <f t="shared" si="21"/>
        <v>0.34641016151377552</v>
      </c>
      <c r="AF35" s="140">
        <f t="shared" si="21"/>
        <v>0.40414518843273811</v>
      </c>
      <c r="AG35" s="140">
        <f t="shared" si="21"/>
        <v>0.46188021535170065</v>
      </c>
      <c r="AH35" s="140">
        <f t="shared" si="21"/>
        <v>0.51961524227066325</v>
      </c>
      <c r="AI35" s="141">
        <f>1/SQRT(3)</f>
        <v>0.57735026918962584</v>
      </c>
      <c r="AN35" s="52" t="s">
        <v>48</v>
      </c>
      <c r="AP35" s="104">
        <f>IF(DIAG!$T$24,$L$26,-1)</f>
        <v>-1</v>
      </c>
      <c r="AQ35" s="105">
        <f>AP35+(AY35-AP35)/9</f>
        <v>-1</v>
      </c>
      <c r="AR35" s="105">
        <f>AQ35+(AY35-AQ35)/8</f>
        <v>-1</v>
      </c>
      <c r="AS35" s="105">
        <f>AR35+(AY35-AR35)/7</f>
        <v>-1</v>
      </c>
      <c r="AT35" s="105">
        <f>AS35+(AY35-AS35)/6</f>
        <v>-1</v>
      </c>
      <c r="AU35" s="105">
        <f>AT35+(AY35-AT35)/5</f>
        <v>-1</v>
      </c>
      <c r="AV35" s="105">
        <f>AU35+(AY35-AU35)/4</f>
        <v>-1</v>
      </c>
      <c r="AW35" s="105">
        <f>AV35+(AY35-AV35)/3</f>
        <v>-1</v>
      </c>
      <c r="AX35" s="105">
        <f>AW35+(AY35-AW35)/2</f>
        <v>-1</v>
      </c>
      <c r="AY35" s="106">
        <f>IF(DIAG!$T$24,$E$26,-1)</f>
        <v>-1</v>
      </c>
    </row>
    <row r="36" spans="1:73" x14ac:dyDescent="0.2">
      <c r="A36" s="136" t="s">
        <v>49</v>
      </c>
      <c r="B36" s="137"/>
      <c r="C36" s="137"/>
      <c r="D36" s="137"/>
      <c r="E36" s="138">
        <v>0</v>
      </c>
      <c r="F36" s="138">
        <v>0</v>
      </c>
      <c r="G36" s="139">
        <v>0</v>
      </c>
      <c r="H36" s="139"/>
      <c r="I36" s="139"/>
      <c r="J36" s="139"/>
      <c r="K36" s="139"/>
      <c r="O36" s="78">
        <v>0</v>
      </c>
      <c r="P36" s="140">
        <v>0</v>
      </c>
      <c r="Q36" s="140">
        <v>0</v>
      </c>
      <c r="R36" s="140">
        <v>0</v>
      </c>
      <c r="S36" s="140">
        <v>0</v>
      </c>
      <c r="T36" s="140">
        <v>0</v>
      </c>
      <c r="U36" s="140">
        <v>0</v>
      </c>
      <c r="V36" s="140">
        <v>0</v>
      </c>
      <c r="W36" s="140">
        <v>0</v>
      </c>
      <c r="X36" s="140">
        <v>0</v>
      </c>
      <c r="Y36" s="78">
        <v>0</v>
      </c>
      <c r="Z36" s="140">
        <v>0</v>
      </c>
      <c r="AA36" s="140">
        <v>0</v>
      </c>
      <c r="AB36" s="140">
        <v>0</v>
      </c>
      <c r="AC36" s="140">
        <v>0</v>
      </c>
      <c r="AD36" s="140">
        <v>0</v>
      </c>
      <c r="AE36" s="140">
        <v>0</v>
      </c>
      <c r="AF36" s="140">
        <v>0</v>
      </c>
      <c r="AG36" s="140">
        <v>0</v>
      </c>
      <c r="AH36" s="140">
        <v>0</v>
      </c>
      <c r="AI36" s="141">
        <v>0</v>
      </c>
      <c r="AJ36" s="78"/>
      <c r="AK36" s="53"/>
      <c r="AL36" s="53"/>
      <c r="AM36" s="53"/>
      <c r="AP36" s="110">
        <f>IF(DIAG!$T$24,$L$27,-1)</f>
        <v>-1</v>
      </c>
      <c r="AQ36" s="111">
        <f>AP36+(AY36-AP36)/9</f>
        <v>-1</v>
      </c>
      <c r="AR36" s="111">
        <f>AQ36+(AY36-AQ36)/8</f>
        <v>-1</v>
      </c>
      <c r="AS36" s="111">
        <f>AR36+(AY36-AR36)/7</f>
        <v>-1</v>
      </c>
      <c r="AT36" s="111">
        <f>AS36+(AY36-AS36)/6</f>
        <v>-1</v>
      </c>
      <c r="AU36" s="111">
        <f>AT36+(AY36-AT36)/5</f>
        <v>-1</v>
      </c>
      <c r="AV36" s="111">
        <f>AU36+(AY36-AU36)/4</f>
        <v>-1</v>
      </c>
      <c r="AW36" s="111">
        <f>AV36+(AY36-AV36)/3</f>
        <v>-1</v>
      </c>
      <c r="AX36" s="111">
        <f>AW36+(AY36-AW36)/2</f>
        <v>-1</v>
      </c>
      <c r="AY36" s="112">
        <f>IF(DIAG!$T$24,$E$27,-1)</f>
        <v>-1</v>
      </c>
    </row>
    <row r="37" spans="1:73" x14ac:dyDescent="0.2">
      <c r="A37" s="142" t="s">
        <v>50</v>
      </c>
      <c r="B37" s="143"/>
      <c r="C37" s="143"/>
      <c r="D37" s="143"/>
      <c r="E37" s="144">
        <v>0</v>
      </c>
      <c r="F37" s="144">
        <v>1</v>
      </c>
      <c r="G37" s="145">
        <v>0</v>
      </c>
      <c r="H37" s="145"/>
      <c r="I37" s="145"/>
      <c r="J37" s="145"/>
      <c r="K37" s="145"/>
      <c r="L37" s="77"/>
      <c r="M37" s="77"/>
      <c r="N37" s="77"/>
      <c r="O37" s="77">
        <f>SQRT(3)*O35+1</f>
        <v>0</v>
      </c>
      <c r="P37" s="34">
        <f t="shared" ref="P37:X37" si="22">SQRT(3)*P35+1</f>
        <v>9.9999999999999978E-2</v>
      </c>
      <c r="Q37" s="34">
        <f t="shared" si="22"/>
        <v>0.19999999999999996</v>
      </c>
      <c r="R37" s="34">
        <f t="shared" si="22"/>
        <v>0.29999999999999993</v>
      </c>
      <c r="S37" s="34">
        <f t="shared" si="22"/>
        <v>0.39999999999999991</v>
      </c>
      <c r="T37" s="34">
        <f t="shared" si="22"/>
        <v>0.5</v>
      </c>
      <c r="U37" s="34">
        <f t="shared" si="22"/>
        <v>0.59999999999999987</v>
      </c>
      <c r="V37" s="34">
        <f t="shared" si="22"/>
        <v>0.7</v>
      </c>
      <c r="W37" s="34">
        <f t="shared" si="22"/>
        <v>0.79999999999999993</v>
      </c>
      <c r="X37" s="34">
        <f t="shared" si="22"/>
        <v>0.89999999999999991</v>
      </c>
      <c r="Y37" s="77">
        <f>SQRT(3)*Y35+1</f>
        <v>1</v>
      </c>
      <c r="Z37" s="34">
        <f t="shared" ref="Z37:AH37" si="23">1-SQRT(3)*Z35</f>
        <v>0.89999999999999991</v>
      </c>
      <c r="AA37" s="34">
        <f t="shared" si="23"/>
        <v>0.79999999999999993</v>
      </c>
      <c r="AB37" s="34">
        <f t="shared" si="23"/>
        <v>0.7</v>
      </c>
      <c r="AC37" s="34">
        <f t="shared" si="23"/>
        <v>0.59999999999999987</v>
      </c>
      <c r="AD37" s="34">
        <f t="shared" si="23"/>
        <v>0.5</v>
      </c>
      <c r="AE37" s="34">
        <f t="shared" si="23"/>
        <v>0.39999999999999991</v>
      </c>
      <c r="AF37" s="34">
        <f t="shared" si="23"/>
        <v>0.29999999999999993</v>
      </c>
      <c r="AG37" s="34">
        <f t="shared" si="23"/>
        <v>0.19999999999999996</v>
      </c>
      <c r="AH37" s="34">
        <f t="shared" si="23"/>
        <v>9.9999999999999978E-2</v>
      </c>
      <c r="AI37" s="146">
        <f>1-SQRT(3)*AI35</f>
        <v>0</v>
      </c>
      <c r="AK37" s="53"/>
      <c r="AL37" s="53"/>
      <c r="AM37" s="53"/>
    </row>
    <row r="38" spans="1:73" x14ac:dyDescent="0.2">
      <c r="A38" s="126"/>
      <c r="B38" s="127"/>
      <c r="D38" s="128"/>
      <c r="E38" s="128"/>
      <c r="F38" s="128"/>
      <c r="G38" s="129"/>
      <c r="H38" s="129"/>
      <c r="I38" s="129"/>
      <c r="J38" s="129"/>
      <c r="K38" s="129"/>
      <c r="S38" s="78"/>
      <c r="T38" s="78"/>
      <c r="U38" s="78"/>
      <c r="V38" s="78"/>
      <c r="W38" s="78"/>
      <c r="X38" s="78"/>
      <c r="Y38" s="78"/>
      <c r="Z38" s="78"/>
      <c r="AA38" s="78"/>
      <c r="AB38" s="78"/>
      <c r="AK38" s="53"/>
      <c r="AL38" s="53"/>
      <c r="AM38" s="53"/>
      <c r="AN38" s="52" t="s">
        <v>51</v>
      </c>
      <c r="AP38" s="104">
        <f>IF(DIAG!$T$25,$L$26,-1)</f>
        <v>-1</v>
      </c>
      <c r="AQ38" s="105">
        <f>AP38+(AY38-AP38)/9</f>
        <v>-1</v>
      </c>
      <c r="AR38" s="105">
        <f>AQ38+(AY38-AQ38)/8</f>
        <v>-1</v>
      </c>
      <c r="AS38" s="105">
        <f>AR38+(AY38-AR38)/7</f>
        <v>-1</v>
      </c>
      <c r="AT38" s="105">
        <f>AS38+(AY38-AS38)/6</f>
        <v>-1</v>
      </c>
      <c r="AU38" s="105">
        <f>AT38+(AY38-AT38)/5</f>
        <v>-1</v>
      </c>
      <c r="AV38" s="105">
        <f>AU38+(AY38-AU38)/4</f>
        <v>-1</v>
      </c>
      <c r="AW38" s="105">
        <f>AV38+(AY38-AV38)/3</f>
        <v>-1</v>
      </c>
      <c r="AX38" s="105">
        <f>AW38+(AY38-AW38)/2</f>
        <v>-1</v>
      </c>
      <c r="AY38" s="106">
        <f>IF(DIAG!$T$25,$F$26,-1)</f>
        <v>-1</v>
      </c>
    </row>
    <row r="39" spans="1:73" x14ac:dyDescent="0.2">
      <c r="A39" s="147" t="s">
        <v>52</v>
      </c>
      <c r="B39" s="148"/>
      <c r="C39" s="148"/>
      <c r="D39" s="149"/>
      <c r="E39" s="149"/>
      <c r="F39" s="149"/>
      <c r="G39" s="150"/>
      <c r="H39" s="150"/>
      <c r="I39" s="150"/>
      <c r="J39" s="150"/>
      <c r="K39" s="150"/>
      <c r="L39" s="134"/>
      <c r="M39" s="134"/>
      <c r="N39" s="132" t="s">
        <v>47</v>
      </c>
      <c r="O39" s="133">
        <v>0</v>
      </c>
      <c r="P39" s="151">
        <f>AI35</f>
        <v>0.57735026918962584</v>
      </c>
      <c r="Q39" s="152">
        <f>O35</f>
        <v>-0.57735026918962584</v>
      </c>
      <c r="S39" s="78"/>
      <c r="T39" s="78"/>
      <c r="U39" s="78"/>
      <c r="V39" s="78"/>
      <c r="W39" s="78"/>
      <c r="X39" s="78"/>
      <c r="Y39" s="78"/>
      <c r="Z39" s="78"/>
      <c r="AA39" s="78"/>
      <c r="AB39" s="78"/>
      <c r="AK39" s="53"/>
      <c r="AL39" s="53"/>
      <c r="AM39" s="53"/>
      <c r="AP39" s="110">
        <f>IF(DIAG!$T$25,$L$27,-1)</f>
        <v>-1</v>
      </c>
      <c r="AQ39" s="111">
        <f>AP39+(AY39-AP39)/9</f>
        <v>-1</v>
      </c>
      <c r="AR39" s="111">
        <f>AQ39+(AY39-AQ39)/8</f>
        <v>-1</v>
      </c>
      <c r="AS39" s="111">
        <f>AR39+(AY39-AR39)/7</f>
        <v>-1</v>
      </c>
      <c r="AT39" s="111">
        <f>AS39+(AY39-AS39)/6</f>
        <v>-1</v>
      </c>
      <c r="AU39" s="111">
        <f>AT39+(AY39-AT39)/5</f>
        <v>-1</v>
      </c>
      <c r="AV39" s="111">
        <f>AU39+(AY39-AU39)/4</f>
        <v>-1</v>
      </c>
      <c r="AW39" s="111">
        <f>AV39+(AY39-AV39)/3</f>
        <v>-1</v>
      </c>
      <c r="AX39" s="111">
        <f>AW39+(AY39-AW39)/2</f>
        <v>-1</v>
      </c>
      <c r="AY39" s="112">
        <f>IF(DIAG!$T$25,$F$27,-1)</f>
        <v>-1</v>
      </c>
    </row>
    <row r="40" spans="1:73" x14ac:dyDescent="0.2">
      <c r="A40" s="153"/>
      <c r="N40" s="137" t="s">
        <v>5</v>
      </c>
      <c r="O40" s="154">
        <v>1</v>
      </c>
      <c r="P40" s="154"/>
      <c r="Q40" s="155"/>
    </row>
    <row r="41" spans="1:73" x14ac:dyDescent="0.2">
      <c r="A41" s="153"/>
      <c r="N41" s="137" t="s">
        <v>7</v>
      </c>
      <c r="O41" s="154"/>
      <c r="P41" s="154">
        <v>0</v>
      </c>
      <c r="Q41" s="155"/>
      <c r="S41" s="52" t="s">
        <v>96</v>
      </c>
      <c r="Z41" s="52" t="s">
        <v>97</v>
      </c>
      <c r="AN41" s="52" t="s">
        <v>53</v>
      </c>
      <c r="AP41" s="104">
        <f>IF(DIAG!$T$26,$L$26,-1)</f>
        <v>-1</v>
      </c>
      <c r="AQ41" s="105">
        <f>AP41+(AY41-AP41)/9</f>
        <v>-1</v>
      </c>
      <c r="AR41" s="105">
        <f>AQ41+(AY41-AQ41)/8</f>
        <v>-1</v>
      </c>
      <c r="AS41" s="105">
        <f>AR41+(AY41-AR41)/7</f>
        <v>-1</v>
      </c>
      <c r="AT41" s="105">
        <f>AS41+(AY41-AS41)/6</f>
        <v>-1</v>
      </c>
      <c r="AU41" s="105">
        <f>AT41+(AY41-AT41)/5</f>
        <v>-1</v>
      </c>
      <c r="AV41" s="105">
        <f>AU41+(AY41-AU41)/4</f>
        <v>-1</v>
      </c>
      <c r="AW41" s="105">
        <f>AV41+(AY41-AV41)/3</f>
        <v>-1</v>
      </c>
      <c r="AX41" s="105">
        <f>AW41+(AY41-AW41)/2</f>
        <v>-1</v>
      </c>
      <c r="AY41" s="106">
        <f>IF(DIAG!$T$26,$G$26,-1)</f>
        <v>-1</v>
      </c>
    </row>
    <row r="42" spans="1:73" x14ac:dyDescent="0.2">
      <c r="A42" s="156"/>
      <c r="B42" s="77"/>
      <c r="C42" s="77"/>
      <c r="D42" s="77"/>
      <c r="E42" s="77"/>
      <c r="F42" s="77"/>
      <c r="G42" s="157"/>
      <c r="H42" s="157"/>
      <c r="I42" s="157"/>
      <c r="J42" s="157"/>
      <c r="K42" s="157"/>
      <c r="L42" s="77"/>
      <c r="M42" s="77"/>
      <c r="N42" s="143" t="s">
        <v>6</v>
      </c>
      <c r="O42" s="158"/>
      <c r="P42" s="158"/>
      <c r="Q42" s="159">
        <v>0</v>
      </c>
      <c r="S42" s="160">
        <v>-0.35799999999999998</v>
      </c>
      <c r="T42" s="160">
        <f>-S42</f>
        <v>0.35799999999999998</v>
      </c>
      <c r="Z42" s="52">
        <v>0</v>
      </c>
      <c r="AA42" s="52">
        <v>0</v>
      </c>
      <c r="AP42" s="110">
        <f>IF(DIAG!$T$26,$L$27,-1)</f>
        <v>-1</v>
      </c>
      <c r="AQ42" s="111">
        <f>AP42+(AY42-AP42)/9</f>
        <v>-1</v>
      </c>
      <c r="AR42" s="111">
        <f>AQ42+(AY42-AQ42)/8</f>
        <v>-1</v>
      </c>
      <c r="AS42" s="111">
        <f>AR42+(AY42-AR42)/7</f>
        <v>-1</v>
      </c>
      <c r="AT42" s="111">
        <f>AS42+(AY42-AS42)/6</f>
        <v>-1</v>
      </c>
      <c r="AU42" s="111">
        <f>AT42+(AY42-AT42)/5</f>
        <v>-1</v>
      </c>
      <c r="AV42" s="111">
        <f>AU42+(AY42-AU42)/4</f>
        <v>-1</v>
      </c>
      <c r="AW42" s="111">
        <f>AV42+(AY42-AV42)/3</f>
        <v>-1</v>
      </c>
      <c r="AX42" s="111">
        <f>AW42+(AY42-AW42)/2</f>
        <v>-1</v>
      </c>
      <c r="AY42" s="112">
        <f>IF(DIAG!$T$26,$G$27,-1)</f>
        <v>-1</v>
      </c>
      <c r="BI42" s="53"/>
      <c r="BU42" s="53"/>
    </row>
    <row r="43" spans="1:73" x14ac:dyDescent="0.2">
      <c r="A43" s="126"/>
      <c r="B43" s="127"/>
      <c r="D43" s="128"/>
      <c r="E43" s="128"/>
      <c r="F43" s="128"/>
      <c r="G43" s="129"/>
      <c r="H43" s="129"/>
      <c r="I43" s="129"/>
      <c r="J43" s="129"/>
      <c r="K43" s="129"/>
      <c r="S43" s="78">
        <f>IF(DIAG!$X$42,0.5,-1)</f>
        <v>-1</v>
      </c>
      <c r="T43" s="78">
        <f>IF(DIAG!$X$42,0.5,-1)</f>
        <v>-1</v>
      </c>
      <c r="U43" s="78"/>
      <c r="V43" s="78"/>
      <c r="W43" s="78"/>
      <c r="X43" s="78"/>
      <c r="Y43" s="78"/>
      <c r="Z43" s="160">
        <f>IF(DIAG!$X$42,-0.027,-1)</f>
        <v>-1</v>
      </c>
      <c r="AA43" s="160">
        <f>IF(DIAG!$X$42,1.02,-1)</f>
        <v>-1</v>
      </c>
      <c r="AB43" s="78"/>
      <c r="AC43" s="78"/>
      <c r="AD43" s="78"/>
      <c r="AE43" s="78"/>
    </row>
    <row r="44" spans="1:73" x14ac:dyDescent="0.2">
      <c r="A44" s="126"/>
      <c r="B44" s="127"/>
      <c r="D44" s="128"/>
      <c r="E44" s="128"/>
      <c r="F44" s="128"/>
      <c r="G44" s="129"/>
      <c r="H44" s="129"/>
      <c r="I44" s="129" t="str">
        <f>CONCATENATE("texto1",CHAR(10),"texto2")</f>
        <v>texto1
texto2</v>
      </c>
      <c r="J44" s="129"/>
      <c r="K44" s="129"/>
      <c r="N44" s="77"/>
      <c r="S44" s="78"/>
      <c r="T44" s="78"/>
      <c r="U44" s="78"/>
      <c r="V44" s="78"/>
      <c r="W44" s="78"/>
      <c r="X44" s="78"/>
      <c r="Y44" s="78"/>
      <c r="Z44" s="78"/>
      <c r="AA44" s="78"/>
      <c r="AB44" s="78"/>
      <c r="AN44" s="52" t="s">
        <v>78</v>
      </c>
      <c r="AP44" s="104">
        <f>IF(DIAG!$T$27,$L$26,-1)</f>
        <v>-1</v>
      </c>
      <c r="AQ44" s="105">
        <f>AP44+(AY44-AP44)/9</f>
        <v>-1</v>
      </c>
      <c r="AR44" s="105">
        <f>AQ44+(AY44-AQ44)/8</f>
        <v>-1</v>
      </c>
      <c r="AS44" s="105">
        <f>AR44+(AY44-AR44)/7</f>
        <v>-1</v>
      </c>
      <c r="AT44" s="105">
        <f>AS44+(AY44-AS44)/6</f>
        <v>-1</v>
      </c>
      <c r="AU44" s="105">
        <f>AT44+(AY44-AT44)/5</f>
        <v>-1</v>
      </c>
      <c r="AV44" s="105">
        <f>AU44+(AY44-AU44)/4</f>
        <v>-1</v>
      </c>
      <c r="AW44" s="105">
        <f>AV44+(AY44-AV44)/3</f>
        <v>-1</v>
      </c>
      <c r="AX44" s="105">
        <f>AW44+(AY44-AW44)/2</f>
        <v>-1</v>
      </c>
      <c r="AY44" s="106">
        <f>IF(DIAG!$T$27,$H$26,-1)</f>
        <v>-1</v>
      </c>
    </row>
    <row r="45" spans="1:73" x14ac:dyDescent="0.2">
      <c r="A45" s="161" t="s">
        <v>54</v>
      </c>
      <c r="B45" s="162"/>
      <c r="C45" s="162"/>
      <c r="D45" s="162"/>
      <c r="E45" s="162"/>
      <c r="F45" s="134" t="s">
        <v>6</v>
      </c>
      <c r="G45" s="163"/>
      <c r="H45" s="163"/>
      <c r="I45" s="163"/>
      <c r="J45" s="163"/>
      <c r="K45" s="163"/>
      <c r="L45" s="164">
        <f>DIAG!$T$46*2/100</f>
        <v>0.2</v>
      </c>
      <c r="M45" s="132"/>
      <c r="N45" s="137" t="str">
        <f>IF(DIAG!$T$43,CONCATENATE("N=",TRUNC(L45/2,2)),"")</f>
        <v/>
      </c>
      <c r="O45" s="132">
        <f>IF(DIAG!$T$43,IF(1-$L$45-SQRT(3)*(O35)&gt;1,1,1-$L$45-SQRT(3)*(O35)),-1)</f>
        <v>-1</v>
      </c>
      <c r="P45" s="132">
        <f>IF(DIAG!$T$43,IF(1-$L$45-SQRT(3)*(P35)&gt;1,1,1-$L$45-SQRT(3)*(P35)),-1)</f>
        <v>-1</v>
      </c>
      <c r="Q45" s="132">
        <f>IF(DIAG!$T$43,IF(1-$L$45-SQRT(3)*(Q35)&gt;1,1,1-$L$45-SQRT(3)*(Q35)),-1)</f>
        <v>-1</v>
      </c>
      <c r="R45" s="132">
        <f>IF(DIAG!$T$43,IF(1-$L$45-SQRT(3)*(R35)&gt;1,1,1-$L$45-SQRT(3)*(R35)),-1)</f>
        <v>-1</v>
      </c>
      <c r="S45" s="132">
        <f>IF(DIAG!$T$43,IF(1-$L$45-SQRT(3)*(S35)&gt;1,1,1-$L$45-SQRT(3)*(S35)),-1)</f>
        <v>-1</v>
      </c>
      <c r="T45" s="132">
        <f>IF(DIAG!$T$43,IF(1-$L$45-SQRT(3)*(T35)&gt;1,1,1-$L$45-SQRT(3)*(T35)),-1)</f>
        <v>-1</v>
      </c>
      <c r="U45" s="132">
        <f>IF(DIAG!$T$43,IF(1-$L$45-SQRT(3)*(U35)&gt;1,1,1-$L$45-SQRT(3)*(U35)),-1)</f>
        <v>-1</v>
      </c>
      <c r="V45" s="132">
        <f>IF(DIAG!$T$43,IF(1-$L$45-SQRT(3)*(V35)&gt;1,1,1-$L$45-SQRT(3)*(V35)),-1)</f>
        <v>-1</v>
      </c>
      <c r="W45" s="132">
        <f>IF(DIAG!$T$43,IF(1-$L$45-SQRT(3)*(W35)&gt;1,1,1-$L$45-SQRT(3)*(W35)),-1)</f>
        <v>-1</v>
      </c>
      <c r="X45" s="132">
        <f>IF(DIAG!$T$43,IF(1-$L$45-SQRT(3)*(X35)&gt;1,1,1-$L$45-SQRT(3)*(X35)),-1)</f>
        <v>-1</v>
      </c>
      <c r="Y45" s="132">
        <f>IF(DIAG!$T$43,IF(1-$L$45-SQRT(3)*(Y35)&gt;1,1,1-$L$45-SQRT(3)*(Y35)),-1)</f>
        <v>-1</v>
      </c>
      <c r="Z45" s="132">
        <f>IF(DIAG!$T$43,IF(1-$L$45-SQRT(3)*(Z35)&gt;1,1,1-$L$45-SQRT(3)*(Z35)),-1)</f>
        <v>-1</v>
      </c>
      <c r="AA45" s="132">
        <f>IF(DIAG!$T$43,IF(1-$L$45-SQRT(3)*(AA35)&gt;1,1,1-$L$45-SQRT(3)*(AA35)),-1)</f>
        <v>-1</v>
      </c>
      <c r="AB45" s="132">
        <f>IF(DIAG!$T$43,IF(1-$L$45-SQRT(3)*(AB35)&gt;1,1,1-$L$45-SQRT(3)*(AB35)),-1)</f>
        <v>-1</v>
      </c>
      <c r="AC45" s="132">
        <f>IF(DIAG!$T$43,IF(1-$L$45-SQRT(3)*(AC35)&gt;1,1,1-$L$45-SQRT(3)*(AC35)),-1)</f>
        <v>-1</v>
      </c>
      <c r="AD45" s="132">
        <f>IF(DIAG!$T$43,IF(1-$L$45-SQRT(3)*(AD35)&gt;1,1,1-$L$45-SQRT(3)*(AD35)),-1)</f>
        <v>-1</v>
      </c>
      <c r="AE45" s="132">
        <f>IF(DIAG!$T$43,IF(1-$L$45-SQRT(3)*(AE35)&gt;1,1,1-$L$45-SQRT(3)*(AE35)),-1)</f>
        <v>-1</v>
      </c>
      <c r="AF45" s="132">
        <f>IF(DIAG!$T$43,IF(1-$L$45-SQRT(3)*(AF35)&gt;1,1,1-$L$45-SQRT(3)*(AF35)),-1)</f>
        <v>-1</v>
      </c>
      <c r="AG45" s="132">
        <f>IF(DIAG!$T$43,IF(1-$L$45-SQRT(3)*(AG35)&gt;1,1,1-$L$45-SQRT(3)*(AG35)),-1)</f>
        <v>-1</v>
      </c>
      <c r="AH45" s="132">
        <f>IF(DIAG!$T$43,IF(1-$L$45-SQRT(3)*(AH35)&gt;1,1,1-$L$45-SQRT(3)*(AH35)),-1)</f>
        <v>-1</v>
      </c>
      <c r="AI45" s="165">
        <f>IF(DIAG!$T$43,IF(1-$L$45-SQRT(3)*(AI35)&gt;1,1,1-$L$45-SQRT(3)*(AI35)),-1)</f>
        <v>-1</v>
      </c>
      <c r="AP45" s="110">
        <f>IF(DIAG!$T$27,$L$27,-1)</f>
        <v>-1</v>
      </c>
      <c r="AQ45" s="111">
        <f>AP45+(AY45-AP45)/9</f>
        <v>-1</v>
      </c>
      <c r="AR45" s="111">
        <f>AQ45+(AY45-AQ45)/8</f>
        <v>-1</v>
      </c>
      <c r="AS45" s="111">
        <f>AR45+(AY45-AR45)/7</f>
        <v>-1</v>
      </c>
      <c r="AT45" s="111">
        <f>AS45+(AY45-AS45)/6</f>
        <v>-1</v>
      </c>
      <c r="AU45" s="111">
        <f>AT45+(AY45-AT45)/5</f>
        <v>-1</v>
      </c>
      <c r="AV45" s="111">
        <f>AU45+(AY45-AU45)/4</f>
        <v>-1</v>
      </c>
      <c r="AW45" s="111">
        <f>AV45+(AY45-AV45)/3</f>
        <v>-1</v>
      </c>
      <c r="AX45" s="111">
        <f>AW45+(AY45-AW45)/2</f>
        <v>-1</v>
      </c>
      <c r="AY45" s="112">
        <f>IF(DIAG!$T$27,$H$27,-1)</f>
        <v>-1</v>
      </c>
    </row>
    <row r="46" spans="1:73" x14ac:dyDescent="0.2">
      <c r="A46" s="153"/>
      <c r="F46" s="52" t="s">
        <v>7</v>
      </c>
      <c r="L46" s="166">
        <f>DIAG!$T$47*2/100</f>
        <v>0.2</v>
      </c>
      <c r="M46" s="137"/>
      <c r="N46" s="137" t="str">
        <f>IF(DIAG!$T$44,CONCATENATE("F=",TRUNC(L46/2,2),CHAR(10),"EYR=",TRUNC(2/L46,2),CHAR(10),"EIR= ",TRUNC(L46/(2*(1-L46/2)),2)),"")</f>
        <v/>
      </c>
      <c r="O46" s="137">
        <f>IF(DIAG!$T$44,IF(1-$L$46+SQRT(3)*(O35)&gt;1,1,1-$L$46+SQRT(3)*(O35)),-1)</f>
        <v>-1</v>
      </c>
      <c r="P46" s="137">
        <f>IF(DIAG!$T$44,IF(1-$L$46+SQRT(3)*(P35)&gt;1,1,1-$L$46+SQRT(3)*(P35)),-1)</f>
        <v>-1</v>
      </c>
      <c r="Q46" s="137">
        <f>IF(DIAG!$T$44,IF(1-$L$46+SQRT(3)*(Q35)&gt;1,1,1-$L$46+SQRT(3)*(Q35)),-1)</f>
        <v>-1</v>
      </c>
      <c r="R46" s="137">
        <f>IF(DIAG!$T$44,IF(1-$L$46+SQRT(3)*(R35)&gt;1,1,1-$L$46+SQRT(3)*(R35)),-1)</f>
        <v>-1</v>
      </c>
      <c r="S46" s="137">
        <f>IF(DIAG!$T$44,IF(1-$L$46+SQRT(3)*(S35)&gt;1,1,1-$L$46+SQRT(3)*(S35)),-1)</f>
        <v>-1</v>
      </c>
      <c r="T46" s="137">
        <f>IF(DIAG!$T$44,IF(1-$L$46+SQRT(3)*(T35)&gt;1,1,1-$L$46+SQRT(3)*(T35)),-1)</f>
        <v>-1</v>
      </c>
      <c r="U46" s="137">
        <f>IF(DIAG!$T$44,IF(1-$L$46+SQRT(3)*(U35)&gt;1,1,1-$L$46+SQRT(3)*(U35)),-1)</f>
        <v>-1</v>
      </c>
      <c r="V46" s="137">
        <f>IF(DIAG!$T$44,IF(1-$L$46+SQRT(3)*(V35)&gt;1,1,1-$L$46+SQRT(3)*(V35)),-1)</f>
        <v>-1</v>
      </c>
      <c r="W46" s="137">
        <f>IF(DIAG!$T$44,IF(1-$L$46+SQRT(3)*(W35)&gt;1,1,1-$L$46+SQRT(3)*(W35)),-1)</f>
        <v>-1</v>
      </c>
      <c r="X46" s="137">
        <f>IF(DIAG!$T$44,IF(1-$L$46+SQRT(3)*(X35)&gt;1,1,1-$L$46+SQRT(3)*(X35)),-1)</f>
        <v>-1</v>
      </c>
      <c r="Y46" s="137">
        <f>IF(DIAG!$T$44,IF(1-$L$46+SQRT(3)*(Y35)&gt;1,1,1-$L$46+SQRT(3)*(Y35)),-1)</f>
        <v>-1</v>
      </c>
      <c r="Z46" s="137">
        <f>IF(DIAG!$T$44,IF(1-$L$46+SQRT(3)*(Z35)&gt;1,1,1-$L$46+SQRT(3)*(Z35)),-1)</f>
        <v>-1</v>
      </c>
      <c r="AA46" s="137">
        <f>IF(DIAG!$T$44,IF(1-$L$46+SQRT(3)*(AA35)&gt;1,1,1-$L$46+SQRT(3)*(AA35)),-1)</f>
        <v>-1</v>
      </c>
      <c r="AB46" s="137">
        <f>IF(DIAG!$T$44,IF(1-$L$46+SQRT(3)*(AB35)&gt;1,1,1-$L$46+SQRT(3)*(AB35)),-1)</f>
        <v>-1</v>
      </c>
      <c r="AC46" s="137">
        <f>IF(DIAG!$T$44,IF(1-$L$46+SQRT(3)*(AC35)&gt;1,1,1-$L$46+SQRT(3)*(AC35)),-1)</f>
        <v>-1</v>
      </c>
      <c r="AD46" s="137">
        <f>IF(DIAG!$T$44,IF(1-$L$46+SQRT(3)*(AD35)&gt;1,1,1-$L$46+SQRT(3)*(AD35)),-1)</f>
        <v>-1</v>
      </c>
      <c r="AE46" s="137">
        <f>IF(DIAG!$T$44,IF(1-$L$46+SQRT(3)*(AE35)&gt;1,1,1-$L$46+SQRT(3)*(AE35)),-1)</f>
        <v>-1</v>
      </c>
      <c r="AF46" s="137">
        <f>IF(DIAG!$T$44,IF(1-$L$46+SQRT(3)*(AF35)&gt;1,1,1-$L$46+SQRT(3)*(AF35)),-1)</f>
        <v>-1</v>
      </c>
      <c r="AG46" s="137">
        <f>IF(DIAG!$T$44,IF(1-$L$46+SQRT(3)*(AG35)&gt;1,1,1-$L$46+SQRT(3)*(AG35)),-1)</f>
        <v>-1</v>
      </c>
      <c r="AH46" s="137">
        <f>IF(DIAG!$T$44,IF(1-$L$46+SQRT(3)*(AH35)&gt;1,1,1-$L$46+SQRT(3)*(AH35)),-1)</f>
        <v>-1</v>
      </c>
      <c r="AI46" s="167">
        <f>IF(DIAG!$T$44,IF(1-$L$46+SQRT(3)*(AI35)&gt;1,1,1-$L$46+SQRT(3)*(AI35)),-1)</f>
        <v>-1</v>
      </c>
    </row>
    <row r="47" spans="1:73" x14ac:dyDescent="0.2">
      <c r="A47" s="156"/>
      <c r="B47" s="77"/>
      <c r="C47" s="77"/>
      <c r="D47" s="77"/>
      <c r="E47" s="77"/>
      <c r="F47" s="77" t="s">
        <v>5</v>
      </c>
      <c r="G47" s="157"/>
      <c r="H47" s="157"/>
      <c r="I47" s="157"/>
      <c r="J47" s="157"/>
      <c r="K47" s="157"/>
      <c r="L47" s="168">
        <f>DIAG!$T$45/100</f>
        <v>0.1</v>
      </c>
      <c r="M47" s="143"/>
      <c r="N47" s="143" t="str">
        <f>IF(DIAG!$T$42,CONCATENATE("R = ",L47,CHAR(10),"ELR=",TRUNC((1-L47)/(L47),2)),"")</f>
        <v/>
      </c>
      <c r="O47" s="143">
        <f>IF(DIAG!$T$42,$L$47,-1)</f>
        <v>-1</v>
      </c>
      <c r="P47" s="143">
        <f>IF(DIAG!$T$42,$L$47,-1)</f>
        <v>-1</v>
      </c>
      <c r="Q47" s="143">
        <f>IF(DIAG!$T$42,$L$47,-1)</f>
        <v>-1</v>
      </c>
      <c r="R47" s="143">
        <f>IF(DIAG!$T$42,$L$47,-1)</f>
        <v>-1</v>
      </c>
      <c r="S47" s="143">
        <f>IF(DIAG!$T$42,$L$47,-1)</f>
        <v>-1</v>
      </c>
      <c r="T47" s="143">
        <f>IF(DIAG!$T$42,$L$47,-1)</f>
        <v>-1</v>
      </c>
      <c r="U47" s="143">
        <f>IF(DIAG!$T$42,$L$47,-1)</f>
        <v>-1</v>
      </c>
      <c r="V47" s="143">
        <f>IF(DIAG!$T$42,$L$47,-1)</f>
        <v>-1</v>
      </c>
      <c r="W47" s="143">
        <f>IF(DIAG!$T$42,$L$47,-1)</f>
        <v>-1</v>
      </c>
      <c r="X47" s="143">
        <f>IF(DIAG!$T$42,$L$47,-1)</f>
        <v>-1</v>
      </c>
      <c r="Y47" s="143">
        <f>IF(DIAG!$T$42,$L$47,-1)</f>
        <v>-1</v>
      </c>
      <c r="Z47" s="143">
        <f>IF(DIAG!$T$42,$L$47,-1)</f>
        <v>-1</v>
      </c>
      <c r="AA47" s="143">
        <f>IF(DIAG!$T$42,$L$47,-1)</f>
        <v>-1</v>
      </c>
      <c r="AB47" s="143">
        <f>IF(DIAG!$T$42,$L$47,-1)</f>
        <v>-1</v>
      </c>
      <c r="AC47" s="143">
        <f>IF(DIAG!$T$42,$L$47,-1)</f>
        <v>-1</v>
      </c>
      <c r="AD47" s="143">
        <f>IF(DIAG!$T$42,$L$47,-1)</f>
        <v>-1</v>
      </c>
      <c r="AE47" s="143">
        <f>IF(DIAG!$T$42,$L$47,-1)</f>
        <v>-1</v>
      </c>
      <c r="AF47" s="143">
        <f>IF(DIAG!$T$42,$L$47,-1)</f>
        <v>-1</v>
      </c>
      <c r="AG47" s="143">
        <f>IF(DIAG!$T$42,$L$47,-1)</f>
        <v>-1</v>
      </c>
      <c r="AH47" s="143">
        <f>IF(DIAG!$T$42,$L$47,-1)</f>
        <v>-1</v>
      </c>
      <c r="AI47" s="169">
        <f>IF(DIAG!$T$42,$L$47,-1)</f>
        <v>-1</v>
      </c>
      <c r="AN47" s="52" t="s">
        <v>79</v>
      </c>
      <c r="AP47" s="104">
        <f>IF(DIAG!$T$28,$L$26,-1)</f>
        <v>-1</v>
      </c>
      <c r="AQ47" s="105">
        <f>AP47+(AY47-AP47)/9</f>
        <v>-1</v>
      </c>
      <c r="AR47" s="105">
        <f>AQ47+(AY47-AQ47)/8</f>
        <v>-1</v>
      </c>
      <c r="AS47" s="105">
        <f>AR47+(AY47-AR47)/7</f>
        <v>-1</v>
      </c>
      <c r="AT47" s="105">
        <f>AS47+(AY47-AS47)/6</f>
        <v>-1</v>
      </c>
      <c r="AU47" s="105">
        <f>AT47+(AY47-AT47)/5</f>
        <v>-1</v>
      </c>
      <c r="AV47" s="105">
        <f>AU47+(AY47-AU47)/4</f>
        <v>-1</v>
      </c>
      <c r="AW47" s="105">
        <f>AV47+(AY47-AV47)/3</f>
        <v>-1</v>
      </c>
      <c r="AX47" s="105">
        <f>AW47+(AY47-AW47)/2</f>
        <v>-1</v>
      </c>
      <c r="AY47" s="106">
        <f>IF(DIAG!$T$28,$I$26,-1)</f>
        <v>-1</v>
      </c>
    </row>
    <row r="48" spans="1:73" x14ac:dyDescent="0.2">
      <c r="A48" s="126"/>
      <c r="B48" s="127"/>
      <c r="D48" s="128"/>
      <c r="E48" s="128"/>
      <c r="F48" s="128"/>
      <c r="G48" s="129"/>
      <c r="H48" s="129"/>
      <c r="I48" s="129"/>
      <c r="J48" s="129"/>
      <c r="K48" s="129"/>
      <c r="S48" s="78"/>
      <c r="T48" s="78"/>
      <c r="U48" s="78"/>
      <c r="V48" s="78"/>
      <c r="W48" s="78"/>
      <c r="X48" s="78"/>
      <c r="Y48" s="78"/>
      <c r="Z48" s="78"/>
      <c r="AA48" s="78"/>
      <c r="AB48" s="78"/>
      <c r="AP48" s="110">
        <f>IF(DIAG!$T$28,$L$27,-1)</f>
        <v>-1</v>
      </c>
      <c r="AQ48" s="111">
        <f>AP48+(AY48-AP48)/9</f>
        <v>-1</v>
      </c>
      <c r="AR48" s="111">
        <f>AQ48+(AY48-AQ48)/8</f>
        <v>-1</v>
      </c>
      <c r="AS48" s="111">
        <f>AR48+(AY48-AR48)/7</f>
        <v>-1</v>
      </c>
      <c r="AT48" s="111">
        <f>AS48+(AY48-AS48)/6</f>
        <v>-1</v>
      </c>
      <c r="AU48" s="111">
        <f>AT48+(AY48-AT48)/5</f>
        <v>-1</v>
      </c>
      <c r="AV48" s="111">
        <f>AU48+(AY48-AU48)/4</f>
        <v>-1</v>
      </c>
      <c r="AW48" s="111">
        <f>AV48+(AY48-AV48)/3</f>
        <v>-1</v>
      </c>
      <c r="AX48" s="111">
        <f>AW48+(AY48-AW48)/2</f>
        <v>-1</v>
      </c>
      <c r="AY48" s="112">
        <f>IF(DIAG!$T$28,$I$27,-1)</f>
        <v>-1</v>
      </c>
    </row>
    <row r="49" spans="1:59" x14ac:dyDescent="0.2">
      <c r="A49" s="126"/>
      <c r="B49" s="127"/>
      <c r="D49" s="128"/>
      <c r="E49" s="128"/>
      <c r="F49" s="128"/>
      <c r="G49" s="129"/>
      <c r="H49" s="129"/>
      <c r="I49" s="129"/>
      <c r="J49" s="129"/>
      <c r="K49" s="129"/>
      <c r="S49" s="78"/>
      <c r="T49" s="78"/>
      <c r="U49" s="78"/>
      <c r="V49" s="78"/>
      <c r="W49" s="78"/>
      <c r="X49" s="78"/>
      <c r="Y49" s="78"/>
      <c r="Z49" s="78"/>
      <c r="AA49" s="78"/>
      <c r="AB49" s="78"/>
    </row>
    <row r="50" spans="1:59" x14ac:dyDescent="0.2">
      <c r="A50" s="147" t="s">
        <v>82</v>
      </c>
      <c r="B50" s="148"/>
      <c r="C50" s="148"/>
      <c r="D50" s="148"/>
      <c r="E50" s="149"/>
      <c r="F50" s="149"/>
      <c r="G50" s="150"/>
      <c r="H50" s="150"/>
      <c r="I50" s="150"/>
      <c r="J50" s="150"/>
      <c r="K50" s="150"/>
      <c r="L50" s="134"/>
      <c r="M50" s="134"/>
      <c r="N50" s="132"/>
      <c r="O50" s="132"/>
      <c r="P50" s="170">
        <f t="shared" ref="P50:U50" si="24">B26</f>
        <v>0.26243194054073904</v>
      </c>
      <c r="Q50" s="170">
        <f t="shared" si="24"/>
        <v>-4.9771574930139936E-3</v>
      </c>
      <c r="R50" s="170">
        <f t="shared" si="24"/>
        <v>-0.212966458807968</v>
      </c>
      <c r="S50" s="170">
        <f t="shared" si="24"/>
        <v>0.45271930702138552</v>
      </c>
      <c r="T50" s="170">
        <f t="shared" si="24"/>
        <v>0</v>
      </c>
      <c r="U50" s="170">
        <f t="shared" si="24"/>
        <v>0</v>
      </c>
      <c r="V50" s="170" t="e">
        <f>H26</f>
        <v>#DIV/0!</v>
      </c>
      <c r="W50" s="170" t="e">
        <f>I26</f>
        <v>#DIV/0!</v>
      </c>
      <c r="X50" s="170" t="e">
        <f>J26</f>
        <v>#DIV/0!</v>
      </c>
      <c r="Y50" s="171" t="e">
        <f>K26</f>
        <v>#DIV/0!</v>
      </c>
      <c r="Z50" s="78"/>
      <c r="AA50" s="78"/>
      <c r="AB50" s="78"/>
      <c r="AN50" s="52" t="s">
        <v>80</v>
      </c>
      <c r="AP50" s="104">
        <f>IF(DIAG!$T$29,$L$26,-1)</f>
        <v>-1</v>
      </c>
      <c r="AQ50" s="105">
        <f>AP50+(AY50-AP50)/9</f>
        <v>-1</v>
      </c>
      <c r="AR50" s="105">
        <f>AQ50+(AY50-AQ50)/8</f>
        <v>-1</v>
      </c>
      <c r="AS50" s="105">
        <f>AR50+(AY50-AR50)/7</f>
        <v>-1</v>
      </c>
      <c r="AT50" s="105">
        <f>AS50+(AY50-AS50)/6</f>
        <v>-1</v>
      </c>
      <c r="AU50" s="105">
        <f>AT50+(AY50-AT50)/5</f>
        <v>-1</v>
      </c>
      <c r="AV50" s="105">
        <f>AU50+(AY50-AU50)/4</f>
        <v>-1</v>
      </c>
      <c r="AW50" s="105">
        <f>AV50+(AY50-AV50)/3</f>
        <v>-1</v>
      </c>
      <c r="AX50" s="105">
        <f>AW50+(AY50-AW50)/2</f>
        <v>-1</v>
      </c>
      <c r="AY50" s="106">
        <f>IF(DIAG!$T$29,$J$26,-1)</f>
        <v>-1</v>
      </c>
    </row>
    <row r="51" spans="1:59" x14ac:dyDescent="0.2">
      <c r="A51" s="153"/>
      <c r="N51" s="137" t="str">
        <f>B5</f>
        <v xml:space="preserve"> 1-Henrique</v>
      </c>
      <c r="O51" s="137"/>
      <c r="P51" s="138">
        <f>B27</f>
        <v>0.18181818181818182</v>
      </c>
      <c r="Q51" s="137"/>
      <c r="R51" s="137"/>
      <c r="S51" s="137"/>
      <c r="T51" s="137"/>
      <c r="U51" s="137"/>
      <c r="V51" s="137"/>
      <c r="W51" s="137"/>
      <c r="X51" s="137"/>
      <c r="Y51" s="167"/>
      <c r="AP51" s="110">
        <f>IF(DIAG!$T$29,$L$27,-1)</f>
        <v>-1</v>
      </c>
      <c r="AQ51" s="111">
        <f>AP51+(AY51-AP51)/9</f>
        <v>-1</v>
      </c>
      <c r="AR51" s="111">
        <f>AQ51+(AY51-AQ51)/8</f>
        <v>-1</v>
      </c>
      <c r="AS51" s="111">
        <f>AR51+(AY51-AR51)/7</f>
        <v>-1</v>
      </c>
      <c r="AT51" s="111">
        <f>AS51+(AY51-AS51)/6</f>
        <v>-1</v>
      </c>
      <c r="AU51" s="111">
        <f>AT51+(AY51-AT51)/5</f>
        <v>-1</v>
      </c>
      <c r="AV51" s="111">
        <f>AU51+(AY51-AU51)/4</f>
        <v>-1</v>
      </c>
      <c r="AW51" s="111">
        <f>AV51+(AY51-AV51)/3</f>
        <v>-1</v>
      </c>
      <c r="AX51" s="111">
        <f>AW51+(AY51-AW51)/2</f>
        <v>-1</v>
      </c>
      <c r="AY51" s="112">
        <f>IF(DIAG!$T$29,$J$27,-1)</f>
        <v>-1</v>
      </c>
    </row>
    <row r="52" spans="1:59" x14ac:dyDescent="0.2">
      <c r="A52" s="153"/>
      <c r="N52" s="137" t="str">
        <f>C5</f>
        <v xml:space="preserve"> 2-Thayna</v>
      </c>
      <c r="O52" s="137"/>
      <c r="P52" s="137"/>
      <c r="Q52" s="138">
        <f>C27</f>
        <v>0.33620689655172414</v>
      </c>
      <c r="R52" s="137"/>
      <c r="S52" s="137"/>
      <c r="T52" s="137"/>
      <c r="U52" s="137"/>
      <c r="V52" s="137"/>
      <c r="W52" s="137"/>
      <c r="X52" s="137"/>
      <c r="Y52" s="167"/>
    </row>
    <row r="53" spans="1:59" x14ac:dyDescent="0.2">
      <c r="A53" s="153"/>
      <c r="N53" s="137" t="str">
        <f>D5</f>
        <v xml:space="preserve"> 3-Jaqueline</v>
      </c>
      <c r="O53" s="137"/>
      <c r="P53" s="137"/>
      <c r="Q53" s="137"/>
      <c r="R53" s="138">
        <f>D27</f>
        <v>0.52622625460731498</v>
      </c>
      <c r="S53" s="137"/>
      <c r="T53" s="137"/>
      <c r="U53" s="137"/>
      <c r="V53" s="137"/>
      <c r="W53" s="137"/>
      <c r="X53" s="137"/>
      <c r="Y53" s="167"/>
      <c r="AN53" s="52" t="s">
        <v>81</v>
      </c>
      <c r="AP53" s="104">
        <f>IF(DIAG!$T$30,$L$26,-1)</f>
        <v>-1</v>
      </c>
      <c r="AQ53" s="105">
        <f>AP53+(AY53-AP53)/9</f>
        <v>-1</v>
      </c>
      <c r="AR53" s="105">
        <f>AQ53+(AY53-AQ53)/8</f>
        <v>-1</v>
      </c>
      <c r="AS53" s="105">
        <f>AR53+(AY53-AR53)/7</f>
        <v>-1</v>
      </c>
      <c r="AT53" s="105">
        <f>AS53+(AY53-AS53)/6</f>
        <v>-1</v>
      </c>
      <c r="AU53" s="105">
        <f>AT53+(AY53-AT53)/5</f>
        <v>-1</v>
      </c>
      <c r="AV53" s="105">
        <f>AU53+(AY53-AU53)/4</f>
        <v>-1</v>
      </c>
      <c r="AW53" s="105">
        <f>AV53+(AY53-AV53)/3</f>
        <v>-1</v>
      </c>
      <c r="AX53" s="105">
        <f>AW53+(AY53-AW53)/2</f>
        <v>-1</v>
      </c>
      <c r="AY53" s="106">
        <f>IF(DIAG!$T$30,$K$26,-1)</f>
        <v>-1</v>
      </c>
    </row>
    <row r="54" spans="1:59" x14ac:dyDescent="0.2">
      <c r="A54" s="153"/>
      <c r="N54" s="137" t="str">
        <f>E5</f>
        <v xml:space="preserve"> 4-Manuel</v>
      </c>
      <c r="O54" s="137"/>
      <c r="P54" s="137"/>
      <c r="Q54" s="137"/>
      <c r="R54" s="137"/>
      <c r="S54" s="138">
        <f>E27</f>
        <v>7.1955719557195569E-2</v>
      </c>
      <c r="T54" s="137"/>
      <c r="U54" s="137"/>
      <c r="V54" s="137"/>
      <c r="W54" s="137"/>
      <c r="X54" s="137"/>
      <c r="Y54" s="167"/>
      <c r="AP54" s="110">
        <f>IF(DIAG!$T$30,$L$27,-1)</f>
        <v>-1</v>
      </c>
      <c r="AQ54" s="111">
        <f>AP54+(AY54-AP54)/9</f>
        <v>-1</v>
      </c>
      <c r="AR54" s="111">
        <f>AQ54+(AY54-AQ54)/8</f>
        <v>-1</v>
      </c>
      <c r="AS54" s="111">
        <f>AR54+(AY54-AR54)/7</f>
        <v>-1</v>
      </c>
      <c r="AT54" s="111">
        <f>AS54+(AY54-AS54)/6</f>
        <v>-1</v>
      </c>
      <c r="AU54" s="111">
        <f>AT54+(AY54-AT54)/5</f>
        <v>-1</v>
      </c>
      <c r="AV54" s="111">
        <f>AU54+(AY54-AU54)/4</f>
        <v>-1</v>
      </c>
      <c r="AW54" s="111">
        <f>AV54+(AY54-AV54)/3</f>
        <v>-1</v>
      </c>
      <c r="AX54" s="111">
        <f>AW54+(AY54-AW54)/2</f>
        <v>-1</v>
      </c>
      <c r="AY54" s="112">
        <f>IF(DIAG!$T$30,$K$27,-1)</f>
        <v>-1</v>
      </c>
    </row>
    <row r="55" spans="1:59" x14ac:dyDescent="0.2">
      <c r="A55" s="153"/>
      <c r="N55" s="137" t="str">
        <f>F5</f>
        <v xml:space="preserve"> 5-André</v>
      </c>
      <c r="O55" s="137"/>
      <c r="P55" s="137"/>
      <c r="Q55" s="137"/>
      <c r="R55" s="137"/>
      <c r="S55" s="137"/>
      <c r="T55" s="138">
        <f>F27</f>
        <v>0.77595364558184454</v>
      </c>
      <c r="U55" s="137"/>
      <c r="V55" s="137"/>
      <c r="W55" s="137"/>
      <c r="X55" s="137"/>
      <c r="Y55" s="167"/>
    </row>
    <row r="56" spans="1:59" x14ac:dyDescent="0.2">
      <c r="A56" s="153"/>
      <c r="B56" s="53">
        <v>1</v>
      </c>
      <c r="C56" s="53">
        <v>2</v>
      </c>
      <c r="D56" s="53">
        <v>3</v>
      </c>
      <c r="E56" s="53">
        <v>4</v>
      </c>
      <c r="F56" s="53">
        <v>5</v>
      </c>
      <c r="G56" s="53">
        <v>6</v>
      </c>
      <c r="N56" s="137" t="str">
        <f>G5</f>
        <v xml:space="preserve"> 6-Luiz</v>
      </c>
      <c r="O56" s="137"/>
      <c r="P56" s="137"/>
      <c r="Q56" s="137"/>
      <c r="R56" s="137"/>
      <c r="S56" s="137"/>
      <c r="T56" s="137"/>
      <c r="U56" s="138">
        <f>G27</f>
        <v>1.0404624277456647E-2</v>
      </c>
      <c r="V56" s="137"/>
      <c r="W56" s="137"/>
      <c r="X56" s="137"/>
      <c r="Y56" s="167"/>
    </row>
    <row r="57" spans="1:59" x14ac:dyDescent="0.2">
      <c r="A57" s="153"/>
      <c r="B57" s="53"/>
      <c r="C57" s="53"/>
      <c r="D57" s="53"/>
      <c r="E57" s="53"/>
      <c r="F57" s="53"/>
      <c r="N57" s="137" t="str">
        <f>H5</f>
        <v xml:space="preserve"> 7-0</v>
      </c>
      <c r="O57" s="137"/>
      <c r="P57" s="137"/>
      <c r="Q57" s="137"/>
      <c r="R57" s="137"/>
      <c r="S57" s="137"/>
      <c r="T57" s="137"/>
      <c r="U57" s="138"/>
      <c r="V57" s="138">
        <f>H27</f>
        <v>-1</v>
      </c>
      <c r="W57" s="137"/>
      <c r="X57" s="137"/>
      <c r="Y57" s="167"/>
    </row>
    <row r="58" spans="1:59" x14ac:dyDescent="0.2">
      <c r="A58" s="153"/>
      <c r="B58" s="53"/>
      <c r="C58" s="53"/>
      <c r="D58" s="53"/>
      <c r="E58" s="53"/>
      <c r="F58" s="53"/>
      <c r="N58" s="137" t="str">
        <f>I5</f>
        <v xml:space="preserve"> 8-0</v>
      </c>
      <c r="O58" s="137"/>
      <c r="P58" s="137"/>
      <c r="Q58" s="137"/>
      <c r="R58" s="137"/>
      <c r="S58" s="137"/>
      <c r="T58" s="137"/>
      <c r="U58" s="138"/>
      <c r="V58" s="137"/>
      <c r="W58" s="138">
        <f>I27</f>
        <v>-1</v>
      </c>
      <c r="X58" s="137"/>
      <c r="Y58" s="167"/>
    </row>
    <row r="59" spans="1:59" x14ac:dyDescent="0.2">
      <c r="A59" s="153"/>
      <c r="B59" s="53"/>
      <c r="C59" s="53"/>
      <c r="D59" s="53"/>
      <c r="E59" s="53"/>
      <c r="F59" s="53"/>
      <c r="N59" s="137" t="str">
        <f>J5</f>
        <v xml:space="preserve"> 9-0</v>
      </c>
      <c r="O59" s="137"/>
      <c r="P59" s="137"/>
      <c r="Q59" s="137"/>
      <c r="R59" s="137"/>
      <c r="S59" s="137"/>
      <c r="T59" s="137"/>
      <c r="U59" s="138"/>
      <c r="V59" s="137"/>
      <c r="W59" s="137"/>
      <c r="X59" s="138">
        <f>J27</f>
        <v>-1</v>
      </c>
      <c r="Y59" s="167"/>
    </row>
    <row r="60" spans="1:59" x14ac:dyDescent="0.2">
      <c r="A60" s="156"/>
      <c r="B60" s="157"/>
      <c r="C60" s="157"/>
      <c r="D60" s="157"/>
      <c r="E60" s="157"/>
      <c r="F60" s="157"/>
      <c r="G60" s="157"/>
      <c r="H60" s="157"/>
      <c r="I60" s="157"/>
      <c r="J60" s="157"/>
      <c r="K60" s="157"/>
      <c r="L60" s="77"/>
      <c r="M60" s="77"/>
      <c r="N60" s="143" t="str">
        <f>K5</f>
        <v>10-0</v>
      </c>
      <c r="O60" s="143"/>
      <c r="P60" s="143"/>
      <c r="Q60" s="143"/>
      <c r="R60" s="143"/>
      <c r="S60" s="143"/>
      <c r="T60" s="143"/>
      <c r="U60" s="144"/>
      <c r="V60" s="143"/>
      <c r="W60" s="143"/>
      <c r="X60" s="143"/>
      <c r="Y60" s="172">
        <f>K27</f>
        <v>-1</v>
      </c>
    </row>
    <row r="61" spans="1:59" x14ac:dyDescent="0.2">
      <c r="A61" s="126"/>
      <c r="B61" s="127"/>
      <c r="D61" s="128"/>
      <c r="E61" s="128"/>
      <c r="F61" s="128"/>
      <c r="G61" s="129"/>
      <c r="H61" s="129"/>
      <c r="I61" s="129"/>
      <c r="J61" s="129"/>
      <c r="K61" s="129"/>
      <c r="S61" s="78"/>
      <c r="T61" s="78"/>
      <c r="U61" s="78"/>
      <c r="V61" s="78"/>
      <c r="W61" s="78"/>
      <c r="X61" s="78"/>
      <c r="Y61" s="78"/>
      <c r="Z61" s="78"/>
      <c r="AA61" s="78"/>
      <c r="AB61" s="78"/>
      <c r="AM61" s="52" t="s">
        <v>111</v>
      </c>
    </row>
    <row r="62" spans="1:59" x14ac:dyDescent="0.2">
      <c r="A62" s="126"/>
      <c r="B62" s="127"/>
      <c r="D62" s="128"/>
      <c r="E62" s="128"/>
      <c r="F62" s="128"/>
      <c r="G62" s="129"/>
      <c r="H62" s="129"/>
      <c r="I62" s="129"/>
      <c r="J62" s="129"/>
      <c r="K62" s="129"/>
      <c r="S62" s="78"/>
      <c r="T62" s="78"/>
      <c r="U62" s="78"/>
      <c r="V62" s="78"/>
      <c r="W62" s="78"/>
      <c r="X62" s="78"/>
      <c r="Y62" s="78"/>
      <c r="Z62" s="78"/>
      <c r="AA62" s="78"/>
      <c r="AB62" s="78"/>
    </row>
    <row r="63" spans="1:59" x14ac:dyDescent="0.2">
      <c r="A63" s="126"/>
      <c r="B63" s="127"/>
      <c r="D63" s="128"/>
      <c r="E63" s="128"/>
      <c r="F63" s="128"/>
      <c r="G63" s="129"/>
      <c r="H63" s="129"/>
      <c r="I63" s="129"/>
      <c r="J63" s="129"/>
      <c r="K63" s="129"/>
      <c r="O63" s="53"/>
      <c r="P63" s="53"/>
      <c r="Q63" s="53"/>
      <c r="R63" s="53"/>
      <c r="S63" s="53"/>
      <c r="T63" s="53"/>
      <c r="U63" s="53"/>
      <c r="V63" s="53"/>
      <c r="W63" s="53"/>
      <c r="X63" s="53"/>
      <c r="Y63" s="53"/>
      <c r="Z63" s="53"/>
      <c r="AA63" s="53"/>
      <c r="AB63" s="53"/>
      <c r="AC63" s="53"/>
      <c r="AD63" s="53"/>
      <c r="AE63" s="53"/>
      <c r="AF63" s="53"/>
      <c r="AG63" s="53"/>
    </row>
    <row r="64" spans="1:59" x14ac:dyDescent="0.2">
      <c r="A64" s="147" t="s">
        <v>4</v>
      </c>
      <c r="B64" s="148"/>
      <c r="C64" s="148"/>
      <c r="D64" s="149"/>
      <c r="E64" s="149"/>
      <c r="F64" s="128"/>
      <c r="G64" s="129"/>
      <c r="H64" s="129"/>
      <c r="I64" s="129"/>
      <c r="J64" s="129"/>
      <c r="K64" s="129"/>
      <c r="M64" s="137"/>
      <c r="N64" s="137" t="s">
        <v>83</v>
      </c>
      <c r="O64" s="154">
        <f>DIAG!$T$51</f>
        <v>1</v>
      </c>
      <c r="P64" s="137"/>
      <c r="Q64" s="137"/>
      <c r="R64" s="137"/>
      <c r="S64" s="137"/>
      <c r="T64" s="137"/>
      <c r="U64" s="137"/>
      <c r="V64" s="137"/>
      <c r="W64" s="137"/>
      <c r="X64" s="137"/>
      <c r="Y64" s="137"/>
      <c r="Z64" s="138"/>
      <c r="AA64" s="138"/>
      <c r="AB64" s="138"/>
      <c r="AC64" s="137"/>
      <c r="AD64" s="137"/>
      <c r="AE64" s="137"/>
      <c r="AF64" s="137"/>
      <c r="AG64" s="137"/>
      <c r="AM64" s="137"/>
      <c r="AN64" s="137" t="s">
        <v>83</v>
      </c>
      <c r="AO64" s="154">
        <v>1</v>
      </c>
      <c r="AP64" s="137"/>
      <c r="AQ64" s="137"/>
      <c r="AR64" s="137"/>
      <c r="AS64" s="137"/>
      <c r="AT64" s="137"/>
      <c r="AU64" s="137"/>
      <c r="AV64" s="137"/>
      <c r="AW64" s="137"/>
      <c r="AX64" s="137"/>
      <c r="AY64" s="137"/>
      <c r="AZ64" s="138"/>
      <c r="BA64" s="138"/>
      <c r="BB64" s="138"/>
      <c r="BC64" s="137"/>
      <c r="BD64" s="137"/>
      <c r="BE64" s="137"/>
      <c r="BF64" s="137"/>
      <c r="BG64" s="137"/>
    </row>
    <row r="65" spans="1:59" x14ac:dyDescent="0.2">
      <c r="A65" s="126"/>
      <c r="B65" s="127"/>
      <c r="D65" s="128"/>
      <c r="E65" s="128"/>
      <c r="F65" s="128"/>
      <c r="G65" s="129"/>
      <c r="H65" s="129"/>
      <c r="I65" s="129"/>
      <c r="J65" s="129"/>
      <c r="K65" s="129"/>
      <c r="M65" s="101">
        <f>O64</f>
        <v>1</v>
      </c>
      <c r="N65" s="132" t="s">
        <v>55</v>
      </c>
      <c r="O65" s="133">
        <f t="shared" ref="O65:AG65" si="25">(2*O66*($M65+1)-$M65-$M65*O66^2)/(SQRT(3)*$M65*(1-O66))</f>
        <v>-1.7320508075688774</v>
      </c>
      <c r="P65" s="133">
        <f t="shared" si="25"/>
        <v>-1.7320508075688774</v>
      </c>
      <c r="Q65" s="133">
        <f t="shared" si="25"/>
        <v>-1.7320508075688774</v>
      </c>
      <c r="R65" s="133">
        <f t="shared" si="25"/>
        <v>-1.7320508075688774</v>
      </c>
      <c r="S65" s="133">
        <f t="shared" si="25"/>
        <v>-1.7320508075688774</v>
      </c>
      <c r="T65" s="133">
        <f t="shared" si="25"/>
        <v>-1.7320508075688774</v>
      </c>
      <c r="U65" s="133">
        <f t="shared" si="25"/>
        <v>-1.7320508075688774</v>
      </c>
      <c r="V65" s="133">
        <f t="shared" si="25"/>
        <v>-1.7320508075688774</v>
      </c>
      <c r="W65" s="133">
        <f t="shared" si="25"/>
        <v>-1.7320508075688774</v>
      </c>
      <c r="X65" s="133">
        <f t="shared" si="25"/>
        <v>-1.7320508075688774</v>
      </c>
      <c r="Y65" s="133">
        <f t="shared" si="25"/>
        <v>-1.7320508075688774</v>
      </c>
      <c r="Z65" s="133">
        <f t="shared" si="25"/>
        <v>-1.7320508075688774</v>
      </c>
      <c r="AA65" s="133">
        <f t="shared" si="25"/>
        <v>-1.7320508075688774</v>
      </c>
      <c r="AB65" s="133">
        <f t="shared" si="25"/>
        <v>-1.7320508075688774</v>
      </c>
      <c r="AC65" s="133">
        <f t="shared" si="25"/>
        <v>-1.7320508075688774</v>
      </c>
      <c r="AD65" s="133">
        <f t="shared" si="25"/>
        <v>-1.7320508075688774</v>
      </c>
      <c r="AE65" s="133">
        <f t="shared" si="25"/>
        <v>-1.7320508075688774</v>
      </c>
      <c r="AF65" s="133">
        <f t="shared" si="25"/>
        <v>-1.7320508075688774</v>
      </c>
      <c r="AG65" s="173">
        <f t="shared" si="25"/>
        <v>-1.7320508075688774</v>
      </c>
      <c r="AM65" s="101">
        <f>AO64</f>
        <v>1</v>
      </c>
      <c r="AN65" s="132" t="s">
        <v>55</v>
      </c>
      <c r="AO65" s="133">
        <f t="shared" ref="AO65:BG65" si="26">(2*AO66*($M65+1)-$M65-$M65*AO66^2)/(SQRT(3)*$M65*(1-AO66))</f>
        <v>-1.7320508075688774</v>
      </c>
      <c r="AP65" s="133">
        <f t="shared" si="26"/>
        <v>-1.7320508075688774</v>
      </c>
      <c r="AQ65" s="133">
        <f t="shared" si="26"/>
        <v>-1.7320508075688774</v>
      </c>
      <c r="AR65" s="133">
        <f t="shared" si="26"/>
        <v>-1.7320508075688774</v>
      </c>
      <c r="AS65" s="133">
        <f t="shared" si="26"/>
        <v>-1.7320508075688774</v>
      </c>
      <c r="AT65" s="133">
        <f t="shared" si="26"/>
        <v>-1.7320508075688774</v>
      </c>
      <c r="AU65" s="133">
        <f t="shared" si="26"/>
        <v>-1.7320508075688774</v>
      </c>
      <c r="AV65" s="133">
        <f t="shared" si="26"/>
        <v>-1.7320508075688774</v>
      </c>
      <c r="AW65" s="133">
        <f t="shared" si="26"/>
        <v>-1.7320508075688774</v>
      </c>
      <c r="AX65" s="133">
        <f t="shared" si="26"/>
        <v>-1.7320508075688774</v>
      </c>
      <c r="AY65" s="133">
        <f t="shared" si="26"/>
        <v>-1.7320508075688774</v>
      </c>
      <c r="AZ65" s="133">
        <f t="shared" si="26"/>
        <v>-1.7320508075688774</v>
      </c>
      <c r="BA65" s="133">
        <f t="shared" si="26"/>
        <v>-1.7320508075688774</v>
      </c>
      <c r="BB65" s="133">
        <f t="shared" si="26"/>
        <v>-1.7320508075688774</v>
      </c>
      <c r="BC65" s="133">
        <f t="shared" si="26"/>
        <v>-1.7320508075688774</v>
      </c>
      <c r="BD65" s="133">
        <f t="shared" si="26"/>
        <v>-1.7320508075688774</v>
      </c>
      <c r="BE65" s="133">
        <f t="shared" si="26"/>
        <v>-1.7320508075688774</v>
      </c>
      <c r="BF65" s="133">
        <f t="shared" si="26"/>
        <v>-1.7320508075688774</v>
      </c>
      <c r="BG65" s="173">
        <f t="shared" si="26"/>
        <v>-1.7320508075688774</v>
      </c>
    </row>
    <row r="66" spans="1:59" x14ac:dyDescent="0.2">
      <c r="A66" s="126"/>
      <c r="B66" s="127"/>
      <c r="D66" s="128"/>
      <c r="E66" s="128"/>
      <c r="F66" s="128"/>
      <c r="G66" s="129"/>
      <c r="H66" s="129"/>
      <c r="I66" s="129"/>
      <c r="J66" s="129"/>
      <c r="K66" s="129"/>
      <c r="M66" s="142" t="str">
        <f>CONCATENATE("SI=",O64)</f>
        <v>SI=1</v>
      </c>
      <c r="N66" s="143" t="s">
        <v>56</v>
      </c>
      <c r="O66" s="158">
        <f>IF(DIAG!T48,0,-1)</f>
        <v>-1</v>
      </c>
      <c r="P66" s="158">
        <f>IF(DIAG!$T$48,$AG$67*P75,-1)</f>
        <v>-1</v>
      </c>
      <c r="Q66" s="158">
        <f>IF(DIAG!$T$48,$AG$67*Q75,-1)</f>
        <v>-1</v>
      </c>
      <c r="R66" s="158">
        <f>IF(DIAG!$T$48,$AG$67*R75,-1)</f>
        <v>-1</v>
      </c>
      <c r="S66" s="158">
        <f>IF(DIAG!$T$48,$AG$67*S75,-1)</f>
        <v>-1</v>
      </c>
      <c r="T66" s="158">
        <f>IF(DIAG!$T$48,$AG$67*T75,-1)</f>
        <v>-1</v>
      </c>
      <c r="U66" s="158">
        <f>IF(DIAG!$T$48,$AG$67*U75,-1)</f>
        <v>-1</v>
      </c>
      <c r="V66" s="158">
        <f>IF(DIAG!$T$48,$AG$67*V75,-1)</f>
        <v>-1</v>
      </c>
      <c r="W66" s="158">
        <f>IF(DIAG!$T$48,$AG$67*W75,-1)</f>
        <v>-1</v>
      </c>
      <c r="X66" s="158">
        <f>IF(DIAG!$T$48,$AG$67*X75,-1)</f>
        <v>-1</v>
      </c>
      <c r="Y66" s="158">
        <f>IF(DIAG!$T$48,$AG$67*Y75,-1)</f>
        <v>-1</v>
      </c>
      <c r="Z66" s="158">
        <f>IF(DIAG!$T$48,$AG$67*Z75,-1)</f>
        <v>-1</v>
      </c>
      <c r="AA66" s="158">
        <f>IF(DIAG!$T$48,$AG$67*AA75,-1)</f>
        <v>-1</v>
      </c>
      <c r="AB66" s="158">
        <f>IF(DIAG!$T$48,$AG$67*AB75,-1)</f>
        <v>-1</v>
      </c>
      <c r="AC66" s="158">
        <f>IF(DIAG!$T$48,$AG$67*AC75,-1)</f>
        <v>-1</v>
      </c>
      <c r="AD66" s="158">
        <f>IF(DIAG!$T$48,$AG$67*AD75,-1)</f>
        <v>-1</v>
      </c>
      <c r="AE66" s="158">
        <f>IF(DIAG!$T$48,$AG$67*AE75,-1)</f>
        <v>-1</v>
      </c>
      <c r="AF66" s="158">
        <f>IF(DIAG!$T$48,$AG$67*AF75,-1)</f>
        <v>-1</v>
      </c>
      <c r="AG66" s="174">
        <f>IF(DIAG!T48,((2*$M$65+1-SQRT(4*$M$65+1))/($M$65*2))*DIAG!$T$48,-1)</f>
        <v>-1</v>
      </c>
      <c r="AM66" s="142" t="str">
        <f>CONCATENATE("SI=",AO64)</f>
        <v>SI=1</v>
      </c>
      <c r="AN66" s="143" t="s">
        <v>56</v>
      </c>
      <c r="AO66" s="145">
        <f>IF(DIAG!X44,0,-1)</f>
        <v>-1</v>
      </c>
      <c r="AP66" s="145">
        <f>IF(DIAG!$X44,$BG$67*AP73,-1)</f>
        <v>-1</v>
      </c>
      <c r="AQ66" s="145">
        <f>IF(DIAG!$X44,$BG$67*AQ73,-1)</f>
        <v>-1</v>
      </c>
      <c r="AR66" s="145">
        <f>IF(DIAG!$X44,$BG$67*AR73,-1)</f>
        <v>-1</v>
      </c>
      <c r="AS66" s="145">
        <f>IF(DIAG!$X44,$BG$67*AS73,-1)</f>
        <v>-1</v>
      </c>
      <c r="AT66" s="145">
        <f>IF(DIAG!$X44,$BG$67*AT73,-1)</f>
        <v>-1</v>
      </c>
      <c r="AU66" s="145">
        <f>IF(DIAG!$X44,$BG$67*AU73,-1)</f>
        <v>-1</v>
      </c>
      <c r="AV66" s="145">
        <f>IF(DIAG!$X44,$BG$67*AV73,-1)</f>
        <v>-1</v>
      </c>
      <c r="AW66" s="145">
        <f>IF(DIAG!$X44,$BG$67*AW73,-1)</f>
        <v>-1</v>
      </c>
      <c r="AX66" s="145">
        <f>IF(DIAG!$X44,$BG$67*AX73,-1)</f>
        <v>-1</v>
      </c>
      <c r="AY66" s="145">
        <f>IF(DIAG!$X44,$BG$67*AY73,-1)</f>
        <v>-1</v>
      </c>
      <c r="AZ66" s="145">
        <f>IF(DIAG!$X44,$BG$67*AZ73,-1)</f>
        <v>-1</v>
      </c>
      <c r="BA66" s="145">
        <f>IF(DIAG!$X44,$BG$67*BA73,-1)</f>
        <v>-1</v>
      </c>
      <c r="BB66" s="145">
        <f>IF(DIAG!$X44,$BG$67*BB73,-1)</f>
        <v>-1</v>
      </c>
      <c r="BC66" s="145">
        <f>IF(DIAG!$X44,$BG$67*BC73,-1)</f>
        <v>-1</v>
      </c>
      <c r="BD66" s="145">
        <f>IF(DIAG!$X44,$BG$67*BD73,-1)</f>
        <v>-1</v>
      </c>
      <c r="BE66" s="145">
        <f>IF(DIAG!$X44,$BG$67*BE73,-1)</f>
        <v>-1</v>
      </c>
      <c r="BF66" s="145">
        <f>IF(DIAG!$X44,$BG$67*BF73,-1)</f>
        <v>-1</v>
      </c>
      <c r="BG66" s="175">
        <f>IF(DIAG!X44,((2*$M$65+1-SQRT(4*$M$65+1))/($M$65*2))*DIAG!$X44,-1)</f>
        <v>-1</v>
      </c>
    </row>
    <row r="67" spans="1:59" x14ac:dyDescent="0.2">
      <c r="A67" s="126"/>
      <c r="B67" s="127"/>
      <c r="D67" s="128"/>
      <c r="E67" s="128"/>
      <c r="F67" s="128"/>
      <c r="G67" s="129"/>
      <c r="H67" s="129"/>
      <c r="I67" s="129"/>
      <c r="J67" s="129"/>
      <c r="K67" s="129"/>
      <c r="O67" s="53"/>
      <c r="P67" s="53"/>
      <c r="Q67" s="53"/>
      <c r="R67" s="53"/>
      <c r="S67" s="53"/>
      <c r="T67" s="53"/>
      <c r="U67" s="53"/>
      <c r="V67" s="53"/>
      <c r="W67" s="53"/>
      <c r="X67" s="53"/>
      <c r="Y67" s="53"/>
      <c r="Z67" s="53"/>
      <c r="AA67" s="53"/>
      <c r="AB67" s="53"/>
      <c r="AC67" s="53"/>
      <c r="AD67" s="53"/>
      <c r="AE67" s="53"/>
      <c r="AF67" s="53"/>
      <c r="AG67" s="176">
        <f>(AG66-O66)/18</f>
        <v>0</v>
      </c>
      <c r="AO67" s="53"/>
      <c r="AP67" s="53"/>
      <c r="AQ67" s="53"/>
      <c r="AR67" s="53"/>
      <c r="AS67" s="53"/>
      <c r="AT67" s="53"/>
      <c r="AU67" s="53"/>
      <c r="AV67" s="53"/>
      <c r="AW67" s="53"/>
      <c r="AX67" s="53"/>
      <c r="AY67" s="53"/>
      <c r="AZ67" s="53"/>
      <c r="BA67" s="53"/>
      <c r="BB67" s="53"/>
      <c r="BC67" s="53"/>
      <c r="BD67" s="53"/>
      <c r="BE67" s="53"/>
      <c r="BF67" s="53"/>
      <c r="BG67" s="176">
        <f>(BG66-AO66)/18</f>
        <v>0</v>
      </c>
    </row>
    <row r="68" spans="1:59" x14ac:dyDescent="0.2">
      <c r="A68" s="126"/>
      <c r="B68" s="127"/>
      <c r="D68" s="128"/>
      <c r="E68" s="128"/>
      <c r="F68" s="128"/>
      <c r="G68" s="129"/>
      <c r="H68" s="129"/>
      <c r="I68" s="129"/>
      <c r="J68" s="129"/>
      <c r="K68" s="129"/>
      <c r="M68" s="137"/>
      <c r="N68" s="137" t="s">
        <v>84</v>
      </c>
      <c r="O68" s="154">
        <f>DIAG!$T$52</f>
        <v>5</v>
      </c>
      <c r="P68" s="137"/>
      <c r="Q68" s="137"/>
      <c r="R68" s="137"/>
      <c r="S68" s="137"/>
      <c r="T68" s="137"/>
      <c r="U68" s="137"/>
      <c r="V68" s="137"/>
      <c r="W68" s="137"/>
      <c r="X68" s="137"/>
      <c r="Y68" s="137"/>
      <c r="Z68" s="138"/>
      <c r="AA68" s="138"/>
      <c r="AB68" s="138"/>
      <c r="AC68" s="137"/>
      <c r="AD68" s="137"/>
      <c r="AE68" s="137"/>
      <c r="AF68" s="137"/>
      <c r="AG68" s="137"/>
      <c r="AM68" s="137"/>
      <c r="AN68" s="137" t="s">
        <v>84</v>
      </c>
      <c r="AO68" s="154">
        <v>5</v>
      </c>
      <c r="AP68" s="137"/>
      <c r="AQ68" s="137"/>
      <c r="AR68" s="137"/>
      <c r="AS68" s="137"/>
      <c r="AT68" s="137"/>
      <c r="AU68" s="137"/>
      <c r="AV68" s="137"/>
      <c r="AW68" s="137"/>
      <c r="AX68" s="137"/>
      <c r="AY68" s="137"/>
      <c r="AZ68" s="138"/>
      <c r="BA68" s="138"/>
      <c r="BB68" s="138"/>
      <c r="BC68" s="137"/>
      <c r="BD68" s="137"/>
      <c r="BE68" s="137"/>
      <c r="BF68" s="137"/>
      <c r="BG68" s="137"/>
    </row>
    <row r="69" spans="1:59" x14ac:dyDescent="0.2">
      <c r="A69" s="126"/>
      <c r="B69" s="127"/>
      <c r="D69" s="128"/>
      <c r="E69" s="128"/>
      <c r="F69" s="128"/>
      <c r="G69" s="129"/>
      <c r="H69" s="129"/>
      <c r="I69" s="129"/>
      <c r="J69" s="129"/>
      <c r="K69" s="129"/>
      <c r="M69" s="101">
        <f>O68</f>
        <v>5</v>
      </c>
      <c r="N69" s="132" t="s">
        <v>55</v>
      </c>
      <c r="O69" s="133">
        <f t="shared" ref="O69:AG69" si="27">(2*O70*($M69+1)-$M69-$M69*O70^2)/(SQRT(3)*$M69*(1-O70))</f>
        <v>-1.2701705922171769</v>
      </c>
      <c r="P69" s="133">
        <f t="shared" si="27"/>
        <v>-1.2701705922171769</v>
      </c>
      <c r="Q69" s="133">
        <f t="shared" si="27"/>
        <v>-1.2701705922171769</v>
      </c>
      <c r="R69" s="133">
        <f t="shared" si="27"/>
        <v>-1.2701705922171769</v>
      </c>
      <c r="S69" s="133">
        <f t="shared" si="27"/>
        <v>-1.2701705922171769</v>
      </c>
      <c r="T69" s="133">
        <f t="shared" si="27"/>
        <v>-1.2701705922171769</v>
      </c>
      <c r="U69" s="133">
        <f t="shared" si="27"/>
        <v>-1.2701705922171769</v>
      </c>
      <c r="V69" s="133">
        <f t="shared" si="27"/>
        <v>-1.2701705922171769</v>
      </c>
      <c r="W69" s="133">
        <f t="shared" si="27"/>
        <v>-1.2701705922171769</v>
      </c>
      <c r="X69" s="133">
        <f t="shared" si="27"/>
        <v>-1.2701705922171769</v>
      </c>
      <c r="Y69" s="133">
        <f t="shared" si="27"/>
        <v>-1.2701705922171769</v>
      </c>
      <c r="Z69" s="133">
        <f t="shared" si="27"/>
        <v>-1.2701705922171769</v>
      </c>
      <c r="AA69" s="133">
        <f t="shared" si="27"/>
        <v>-1.2701705922171769</v>
      </c>
      <c r="AB69" s="133">
        <f t="shared" si="27"/>
        <v>-1.2701705922171769</v>
      </c>
      <c r="AC69" s="133">
        <f t="shared" si="27"/>
        <v>-1.2701705922171769</v>
      </c>
      <c r="AD69" s="133">
        <f t="shared" si="27"/>
        <v>-1.2701705922171769</v>
      </c>
      <c r="AE69" s="133">
        <f t="shared" si="27"/>
        <v>-1.2701705922171769</v>
      </c>
      <c r="AF69" s="133">
        <f t="shared" si="27"/>
        <v>-1.2701705922171769</v>
      </c>
      <c r="AG69" s="173">
        <f t="shared" si="27"/>
        <v>-1.2701705922171769</v>
      </c>
      <c r="AM69" s="101">
        <f>AO68</f>
        <v>5</v>
      </c>
      <c r="AN69" s="132" t="s">
        <v>55</v>
      </c>
      <c r="AO69" s="133">
        <f t="shared" ref="AO69:BG69" si="28">(2*AO70*($M69+1)-$M69-$M69*AO70^2)/(SQRT(3)*$M69*(1-AO70))</f>
        <v>-1.2701705922171769</v>
      </c>
      <c r="AP69" s="133">
        <f t="shared" si="28"/>
        <v>-1.2701705922171769</v>
      </c>
      <c r="AQ69" s="133">
        <f t="shared" si="28"/>
        <v>-1.2701705922171769</v>
      </c>
      <c r="AR69" s="133">
        <f t="shared" si="28"/>
        <v>-1.2701705922171769</v>
      </c>
      <c r="AS69" s="133">
        <f t="shared" si="28"/>
        <v>-1.2701705922171769</v>
      </c>
      <c r="AT69" s="133">
        <f t="shared" si="28"/>
        <v>-1.2701705922171769</v>
      </c>
      <c r="AU69" s="133">
        <f t="shared" si="28"/>
        <v>-1.2701705922171769</v>
      </c>
      <c r="AV69" s="133">
        <f t="shared" si="28"/>
        <v>-1.2701705922171769</v>
      </c>
      <c r="AW69" s="133">
        <f t="shared" si="28"/>
        <v>-1.2701705922171769</v>
      </c>
      <c r="AX69" s="133">
        <f t="shared" si="28"/>
        <v>-1.2701705922171769</v>
      </c>
      <c r="AY69" s="133">
        <f t="shared" si="28"/>
        <v>-1.2701705922171769</v>
      </c>
      <c r="AZ69" s="133">
        <f t="shared" si="28"/>
        <v>-1.2701705922171769</v>
      </c>
      <c r="BA69" s="133">
        <f t="shared" si="28"/>
        <v>-1.2701705922171769</v>
      </c>
      <c r="BB69" s="133">
        <f t="shared" si="28"/>
        <v>-1.2701705922171769</v>
      </c>
      <c r="BC69" s="133">
        <f t="shared" si="28"/>
        <v>-1.2701705922171769</v>
      </c>
      <c r="BD69" s="133">
        <f t="shared" si="28"/>
        <v>-1.2701705922171769</v>
      </c>
      <c r="BE69" s="133">
        <f t="shared" si="28"/>
        <v>-1.2701705922171769</v>
      </c>
      <c r="BF69" s="133">
        <f t="shared" si="28"/>
        <v>-1.2701705922171769</v>
      </c>
      <c r="BG69" s="173">
        <f t="shared" si="28"/>
        <v>-1.2701705922171769</v>
      </c>
    </row>
    <row r="70" spans="1:59" x14ac:dyDescent="0.2">
      <c r="A70" s="126"/>
      <c r="B70" s="127"/>
      <c r="D70" s="128"/>
      <c r="E70" s="128"/>
      <c r="F70" s="128"/>
      <c r="G70" s="129"/>
      <c r="H70" s="129"/>
      <c r="I70" s="129"/>
      <c r="J70" s="129"/>
      <c r="K70" s="129"/>
      <c r="M70" s="142" t="str">
        <f>CONCATENATE("SI=",O68)</f>
        <v>SI=5</v>
      </c>
      <c r="N70" s="143" t="s">
        <v>56</v>
      </c>
      <c r="O70" s="158">
        <f>IF(DIAG!T49,0,-1)</f>
        <v>-1</v>
      </c>
      <c r="P70" s="158">
        <f>IF(DIAG!$T$49,$AG$71*P75,-1)</f>
        <v>-1</v>
      </c>
      <c r="Q70" s="158">
        <f>IF(DIAG!$T$49,$AG$71*Q75,-1)</f>
        <v>-1</v>
      </c>
      <c r="R70" s="158">
        <f>IF(DIAG!$T$49,$AG$71*R75,-1)</f>
        <v>-1</v>
      </c>
      <c r="S70" s="158">
        <f>IF(DIAG!$T$49,$AG$71*S75,-1)</f>
        <v>-1</v>
      </c>
      <c r="T70" s="158">
        <f>IF(DIAG!$T$49,$AG$71*T75,-1)</f>
        <v>-1</v>
      </c>
      <c r="U70" s="158">
        <f>IF(DIAG!$T$49,$AG$71*U75,-1)</f>
        <v>-1</v>
      </c>
      <c r="V70" s="158">
        <f>IF(DIAG!$T$49,$AG$71*V75,-1)</f>
        <v>-1</v>
      </c>
      <c r="W70" s="158">
        <f>IF(DIAG!$T$49,$AG$71*W75,-1)</f>
        <v>-1</v>
      </c>
      <c r="X70" s="158">
        <f>IF(DIAG!$T$49,$AG$71*X75,-1)</f>
        <v>-1</v>
      </c>
      <c r="Y70" s="158">
        <f>IF(DIAG!$T$49,$AG$71*Y75,-1)</f>
        <v>-1</v>
      </c>
      <c r="Z70" s="158">
        <f>IF(DIAG!$T$49,$AG$71*Z75,-1)</f>
        <v>-1</v>
      </c>
      <c r="AA70" s="158">
        <f>IF(DIAG!$T$49,$AG$71*AA75,-1)</f>
        <v>-1</v>
      </c>
      <c r="AB70" s="158">
        <f>IF(DIAG!$T$49,$AG$71*AB75,-1)</f>
        <v>-1</v>
      </c>
      <c r="AC70" s="158">
        <f>IF(DIAG!$T$49,$AG$71*AC75,-1)</f>
        <v>-1</v>
      </c>
      <c r="AD70" s="158">
        <f>IF(DIAG!$T$49,$AG$71*AD75,-1)</f>
        <v>-1</v>
      </c>
      <c r="AE70" s="158">
        <f>IF(DIAG!$T$49,$AG$71*AE75,-1)</f>
        <v>-1</v>
      </c>
      <c r="AF70" s="158">
        <f>IF(DIAG!$T$49,$AG$71*AF75,-1)</f>
        <v>-1</v>
      </c>
      <c r="AG70" s="174">
        <f>IF(DIAG!T49,((2*$M$69+1-SQRT(4*$M$69+1))/($M$69*2))*DIAG!$T$49,-1)</f>
        <v>-1</v>
      </c>
      <c r="AM70" s="142" t="str">
        <f>CONCATENATE("SI=",AO68)</f>
        <v>SI=5</v>
      </c>
      <c r="AN70" s="143" t="s">
        <v>56</v>
      </c>
      <c r="AO70" s="145">
        <f>IF(DIAG!X44,0,-1)</f>
        <v>-1</v>
      </c>
      <c r="AP70" s="145">
        <f>IF(DIAG!$X44,$BG$71*AP73,-1)</f>
        <v>-1</v>
      </c>
      <c r="AQ70" s="145">
        <f>IF(DIAG!$X44,$BG$71*AQ73,-1)</f>
        <v>-1</v>
      </c>
      <c r="AR70" s="145">
        <f>IF(DIAG!$X44,$BG$71*AR73,-1)</f>
        <v>-1</v>
      </c>
      <c r="AS70" s="145">
        <f>IF(DIAG!$X44,$BG$71*AS73,-1)</f>
        <v>-1</v>
      </c>
      <c r="AT70" s="145">
        <f>IF(DIAG!$X44,$BG$71*AT73,-1)</f>
        <v>-1</v>
      </c>
      <c r="AU70" s="145">
        <f>IF(DIAG!$X44,$BG$71*AU73,-1)</f>
        <v>-1</v>
      </c>
      <c r="AV70" s="145">
        <f>IF(DIAG!$X44,$BG$71*AV73,-1)</f>
        <v>-1</v>
      </c>
      <c r="AW70" s="145">
        <f>IF(DIAG!$X44,$BG$71*AW73,-1)</f>
        <v>-1</v>
      </c>
      <c r="AX70" s="145">
        <f>IF(DIAG!$X44,$BG$71*AX73,-1)</f>
        <v>-1</v>
      </c>
      <c r="AY70" s="145">
        <f>IF(DIAG!$X44,$BG$71*AY73,-1)</f>
        <v>-1</v>
      </c>
      <c r="AZ70" s="145">
        <f>IF(DIAG!$X44,$BG$71*AZ73,-1)</f>
        <v>-1</v>
      </c>
      <c r="BA70" s="145">
        <f>IF(DIAG!$X44,$BG$71*BA73,-1)</f>
        <v>-1</v>
      </c>
      <c r="BB70" s="145">
        <f>IF(DIAG!$X44,$BG$71*BB73,-1)</f>
        <v>-1</v>
      </c>
      <c r="BC70" s="145">
        <f>IF(DIAG!$X44,$BG$71*BC73,-1)</f>
        <v>-1</v>
      </c>
      <c r="BD70" s="145">
        <f>IF(DIAG!$X44,$BG$71*BD73,-1)</f>
        <v>-1</v>
      </c>
      <c r="BE70" s="145">
        <f>IF(DIAG!$X44,$BG$71*BE73,-1)</f>
        <v>-1</v>
      </c>
      <c r="BF70" s="145">
        <f>IF(DIAG!$X44,$BG$71*BF73,-1)</f>
        <v>-1</v>
      </c>
      <c r="BG70" s="175">
        <f>IF(DIAG!X44,((2*$M$69+1-SQRT(4*$M$69+1))/($M$69*2))*DIAG!$X44,-1)</f>
        <v>-1</v>
      </c>
    </row>
    <row r="71" spans="1:59" x14ac:dyDescent="0.2">
      <c r="A71" s="126"/>
      <c r="B71" s="127"/>
      <c r="D71" s="128"/>
      <c r="E71" s="128"/>
      <c r="F71" s="128"/>
      <c r="G71" s="129"/>
      <c r="H71" s="129"/>
      <c r="I71" s="129"/>
      <c r="J71" s="129"/>
      <c r="K71" s="129"/>
      <c r="O71" s="53"/>
      <c r="P71" s="53"/>
      <c r="Q71" s="53"/>
      <c r="R71" s="53"/>
      <c r="S71" s="53"/>
      <c r="T71" s="53"/>
      <c r="U71" s="53"/>
      <c r="V71" s="53"/>
      <c r="W71" s="53"/>
      <c r="X71" s="53"/>
      <c r="Y71" s="53"/>
      <c r="Z71" s="53"/>
      <c r="AA71" s="53"/>
      <c r="AB71" s="53"/>
      <c r="AC71" s="53"/>
      <c r="AD71" s="53"/>
      <c r="AE71" s="53"/>
      <c r="AF71" s="53"/>
      <c r="AG71" s="176">
        <f>(AG70-O70)/18</f>
        <v>0</v>
      </c>
      <c r="AO71" s="53"/>
      <c r="AP71" s="53"/>
      <c r="AQ71" s="53"/>
      <c r="AR71" s="53"/>
      <c r="AS71" s="53"/>
      <c r="AT71" s="53"/>
      <c r="AU71" s="53"/>
      <c r="AV71" s="53"/>
      <c r="AW71" s="53"/>
      <c r="AX71" s="53"/>
      <c r="AY71" s="53"/>
      <c r="AZ71" s="53"/>
      <c r="BA71" s="53"/>
      <c r="BB71" s="53"/>
      <c r="BC71" s="53"/>
      <c r="BD71" s="53"/>
      <c r="BE71" s="53"/>
      <c r="BF71" s="53"/>
      <c r="BG71" s="176">
        <f>(BG70-AO70)/18</f>
        <v>0</v>
      </c>
    </row>
    <row r="72" spans="1:59" x14ac:dyDescent="0.2">
      <c r="A72" s="126"/>
      <c r="B72" s="127"/>
      <c r="D72" s="128"/>
      <c r="E72" s="128"/>
      <c r="F72" s="128"/>
      <c r="G72" s="129"/>
      <c r="H72" s="129"/>
      <c r="I72" s="129"/>
      <c r="J72" s="129"/>
      <c r="K72" s="129"/>
      <c r="M72" s="137"/>
      <c r="N72" s="154" t="s">
        <v>85</v>
      </c>
      <c r="O72" s="154">
        <f>DIAG!$T$53</f>
        <v>2</v>
      </c>
      <c r="P72" s="137"/>
      <c r="Q72" s="137"/>
      <c r="R72" s="137"/>
      <c r="S72" s="137"/>
      <c r="T72" s="137"/>
      <c r="U72" s="137"/>
      <c r="V72" s="137"/>
      <c r="W72" s="137"/>
      <c r="X72" s="137"/>
      <c r="Y72" s="137"/>
      <c r="Z72" s="138"/>
      <c r="AA72" s="138"/>
      <c r="AB72" s="138"/>
      <c r="AC72" s="137"/>
      <c r="AD72" s="137"/>
      <c r="AE72" s="137"/>
      <c r="AF72" s="137"/>
      <c r="AG72" s="137"/>
    </row>
    <row r="73" spans="1:59" x14ac:dyDescent="0.2">
      <c r="A73" s="126"/>
      <c r="B73" s="127"/>
      <c r="D73" s="128"/>
      <c r="E73" s="128"/>
      <c r="F73" s="128"/>
      <c r="G73" s="129"/>
      <c r="H73" s="129"/>
      <c r="I73" s="129"/>
      <c r="J73" s="129"/>
      <c r="K73" s="129"/>
      <c r="M73" s="101">
        <f>O72</f>
        <v>2</v>
      </c>
      <c r="N73" s="132" t="s">
        <v>55</v>
      </c>
      <c r="O73" s="133">
        <f>(2*O74*($M73+1)-$M73-$M73*O74^2)/(SQRT(3)*$M73*(1-O74))</f>
        <v>-1.4433756729740645</v>
      </c>
      <c r="P73" s="133">
        <f t="shared" ref="P73:AG73" si="29">(2*P74*($M73+1)-$M73-$M73*P74^2)/(SQRT(3)*$M73*(1-P74))</f>
        <v>-1.4433756729740645</v>
      </c>
      <c r="Q73" s="133">
        <f t="shared" si="29"/>
        <v>-1.4433756729740645</v>
      </c>
      <c r="R73" s="133">
        <f t="shared" si="29"/>
        <v>-1.4433756729740645</v>
      </c>
      <c r="S73" s="133">
        <f t="shared" si="29"/>
        <v>-1.4433756729740645</v>
      </c>
      <c r="T73" s="133">
        <f t="shared" si="29"/>
        <v>-1.4433756729740645</v>
      </c>
      <c r="U73" s="133">
        <f t="shared" si="29"/>
        <v>-1.4433756729740645</v>
      </c>
      <c r="V73" s="133">
        <f>(2*V74*($M73+1)-$M73-$M73*V74^2)/(SQRT(3)*$M73*(1-V74))</f>
        <v>-1.4433756729740645</v>
      </c>
      <c r="W73" s="133">
        <f>(2*W74*($M73+1)-$M73-$M73*W74^2)/(SQRT(3)*$M73*(1-W74))</f>
        <v>-1.4433756729740645</v>
      </c>
      <c r="X73" s="133">
        <f>(2*X74*($M73+1)-$M73-$M73*X74^2)/(SQRT(3)*$M73*(1-X74))</f>
        <v>-1.4433756729740645</v>
      </c>
      <c r="Y73" s="133">
        <f>(2*Y74*($M73+1)-$M73-$M73*Y74^2)/(SQRT(3)*$M73*(1-Y74))</f>
        <v>-1.4433756729740645</v>
      </c>
      <c r="Z73" s="133">
        <f t="shared" si="29"/>
        <v>-1.4433756729740645</v>
      </c>
      <c r="AA73" s="133">
        <f>(2*AA74*($M73+1)-$M73-$M73*AA74^2)/(SQRT(3)*$M73*(1-AA74))</f>
        <v>-1.4433756729740645</v>
      </c>
      <c r="AB73" s="133">
        <f>(2*AB74*($M73+1)-$M73-$M73*AB74^2)/(SQRT(3)*$M73*(1-AB74))</f>
        <v>-1.4433756729740645</v>
      </c>
      <c r="AC73" s="133">
        <f>(2*AC74*($M73+1)-$M73-$M73*AC74^2)/(SQRT(3)*$M73*(1-AC74))</f>
        <v>-1.4433756729740645</v>
      </c>
      <c r="AD73" s="133">
        <f>(2*AD74*($M73+1)-$M73-$M73*AD74^2)/(SQRT(3)*$M73*(1-AD74))</f>
        <v>-1.4433756729740645</v>
      </c>
      <c r="AE73" s="133">
        <f t="shared" si="29"/>
        <v>-1.4433756729740645</v>
      </c>
      <c r="AF73" s="133">
        <f t="shared" si="29"/>
        <v>-1.4433756729740645</v>
      </c>
      <c r="AG73" s="173">
        <f t="shared" si="29"/>
        <v>-1.4433756729740645</v>
      </c>
      <c r="AH73" s="78"/>
      <c r="AI73" s="78"/>
      <c r="AJ73" s="78"/>
      <c r="AP73" s="158">
        <v>1</v>
      </c>
      <c r="AQ73" s="158">
        <v>2</v>
      </c>
      <c r="AR73" s="158">
        <v>3</v>
      </c>
      <c r="AS73" s="158">
        <v>4</v>
      </c>
      <c r="AT73" s="158">
        <v>5</v>
      </c>
      <c r="AU73" s="158">
        <v>6</v>
      </c>
      <c r="AV73" s="158">
        <v>7</v>
      </c>
      <c r="AW73" s="158">
        <v>8</v>
      </c>
      <c r="AX73" s="158">
        <v>9</v>
      </c>
      <c r="AY73" s="158">
        <v>10</v>
      </c>
      <c r="AZ73" s="158">
        <v>11</v>
      </c>
      <c r="BA73" s="158">
        <v>12</v>
      </c>
      <c r="BB73" s="158">
        <v>13</v>
      </c>
      <c r="BC73" s="158">
        <v>14</v>
      </c>
      <c r="BD73" s="158">
        <v>15</v>
      </c>
      <c r="BE73" s="158">
        <v>16</v>
      </c>
      <c r="BF73" s="158">
        <v>17</v>
      </c>
      <c r="BG73" s="176">
        <f>(BG74-AO74)/18</f>
        <v>0</v>
      </c>
    </row>
    <row r="74" spans="1:59" x14ac:dyDescent="0.2">
      <c r="A74" s="177"/>
      <c r="B74" s="178"/>
      <c r="C74" s="77"/>
      <c r="D74" s="179"/>
      <c r="E74" s="179"/>
      <c r="F74" s="128"/>
      <c r="G74" s="129"/>
      <c r="H74" s="129"/>
      <c r="I74" s="129"/>
      <c r="J74" s="129"/>
      <c r="K74" s="129"/>
      <c r="M74" s="142" t="str">
        <f>CONCATENATE("SI=",O72)</f>
        <v>SI=2</v>
      </c>
      <c r="N74" s="137" t="s">
        <v>56</v>
      </c>
      <c r="O74" s="154">
        <f>IF(DIAG!T50,0,-1)</f>
        <v>-1</v>
      </c>
      <c r="P74" s="154">
        <f>IF(DIAG!$T$50,$AG$75*P75,-1)</f>
        <v>-1</v>
      </c>
      <c r="Q74" s="154">
        <f>IF(DIAG!$T$50,$AG$75*Q75,-1)</f>
        <v>-1</v>
      </c>
      <c r="R74" s="154">
        <f>IF(DIAG!$T$50,$AG$75*R75,-1)</f>
        <v>-1</v>
      </c>
      <c r="S74" s="154">
        <f>IF(DIAG!$T$50,$AG$75*S75,-1)</f>
        <v>-1</v>
      </c>
      <c r="T74" s="154">
        <f>IF(DIAG!$T$50,$AG$75*T75,-1)</f>
        <v>-1</v>
      </c>
      <c r="U74" s="154">
        <f>IF(DIAG!$T$50,$AG$75*U75,-1)</f>
        <v>-1</v>
      </c>
      <c r="V74" s="154">
        <f>IF(DIAG!$T$50,$AG$75*V75,-1)</f>
        <v>-1</v>
      </c>
      <c r="W74" s="154">
        <f>IF(DIAG!$T$50,$AG$75*W75,-1)</f>
        <v>-1</v>
      </c>
      <c r="X74" s="154">
        <f>IF(DIAG!$T$50,$AG$75*X75,-1)</f>
        <v>-1</v>
      </c>
      <c r="Y74" s="154">
        <f>IF(DIAG!$T$50,$AG$75*Y75,-1)</f>
        <v>-1</v>
      </c>
      <c r="Z74" s="154">
        <f>IF(DIAG!$T$50,$AG$75*Z75,-1)</f>
        <v>-1</v>
      </c>
      <c r="AA74" s="154">
        <f>IF(DIAG!$T$50,$AG$75*AA75,-1)</f>
        <v>-1</v>
      </c>
      <c r="AB74" s="154">
        <f>IF(DIAG!$T$50,$AG$75*AB75,-1)</f>
        <v>-1</v>
      </c>
      <c r="AC74" s="154">
        <f>IF(DIAG!$T$50,$AG$75*AC75,-1)</f>
        <v>-1</v>
      </c>
      <c r="AD74" s="154">
        <f>IF(DIAG!$T$50,$AG$75*AD75,-1)</f>
        <v>-1</v>
      </c>
      <c r="AE74" s="154">
        <f>IF(DIAG!$T$50,$AG$75*AE75,-1)</f>
        <v>-1</v>
      </c>
      <c r="AF74" s="154">
        <f>IF(DIAG!$T$50,$AG$75*AF75,-1)</f>
        <v>-1</v>
      </c>
      <c r="AG74" s="174">
        <f>IF(DIAG!T50,((2*$M$73+1-SQRT(4*$M$73+1))/($M$73*2))*DIAG!$T$50,-1)</f>
        <v>-1</v>
      </c>
      <c r="AH74" s="78"/>
      <c r="AI74" s="78"/>
      <c r="AJ74" s="78"/>
    </row>
    <row r="75" spans="1:59" x14ac:dyDescent="0.2">
      <c r="A75" s="126"/>
      <c r="B75" s="127"/>
      <c r="D75" s="128"/>
      <c r="E75" s="128"/>
      <c r="F75" s="128"/>
      <c r="G75" s="129"/>
      <c r="H75" s="129"/>
      <c r="I75" s="129"/>
      <c r="J75" s="129"/>
      <c r="K75" s="129"/>
      <c r="M75" s="142"/>
      <c r="N75" s="143"/>
      <c r="O75" s="158"/>
      <c r="P75" s="158">
        <v>1</v>
      </c>
      <c r="Q75" s="158">
        <v>2</v>
      </c>
      <c r="R75" s="158">
        <v>3</v>
      </c>
      <c r="S75" s="158">
        <v>4</v>
      </c>
      <c r="T75" s="158">
        <v>5</v>
      </c>
      <c r="U75" s="158">
        <v>6</v>
      </c>
      <c r="V75" s="158">
        <v>7</v>
      </c>
      <c r="W75" s="158">
        <v>8</v>
      </c>
      <c r="X75" s="158">
        <v>9</v>
      </c>
      <c r="Y75" s="158">
        <v>10</v>
      </c>
      <c r="Z75" s="158">
        <v>11</v>
      </c>
      <c r="AA75" s="158">
        <v>12</v>
      </c>
      <c r="AB75" s="158">
        <v>13</v>
      </c>
      <c r="AC75" s="158">
        <v>14</v>
      </c>
      <c r="AD75" s="158">
        <v>15</v>
      </c>
      <c r="AE75" s="158">
        <v>16</v>
      </c>
      <c r="AF75" s="158">
        <v>17</v>
      </c>
      <c r="AG75" s="176">
        <f>(AG74-O74)/18</f>
        <v>0</v>
      </c>
    </row>
    <row r="76" spans="1:59" x14ac:dyDescent="0.2">
      <c r="A76" s="126" t="s">
        <v>6</v>
      </c>
      <c r="B76" s="127"/>
      <c r="D76" s="128"/>
      <c r="E76" s="128"/>
      <c r="F76" s="128" t="s">
        <v>5</v>
      </c>
      <c r="G76" s="129"/>
      <c r="H76" s="180" t="s">
        <v>7</v>
      </c>
      <c r="I76" s="129"/>
      <c r="J76" s="129"/>
      <c r="K76" s="129"/>
      <c r="Z76" s="78"/>
      <c r="AA76" s="78"/>
      <c r="AB76" s="78"/>
      <c r="AO76" s="52" t="s">
        <v>47</v>
      </c>
      <c r="AP76" s="181">
        <v>-0.52500000000000002</v>
      </c>
      <c r="AQ76" s="181">
        <v>0.52500000000000002</v>
      </c>
      <c r="AR76" s="140">
        <v>-0.38700000000000001</v>
      </c>
      <c r="AS76" s="140">
        <v>0.38700000000000001</v>
      </c>
      <c r="AT76" s="140">
        <v>0</v>
      </c>
      <c r="AU76" s="140">
        <v>0.28999999999999998</v>
      </c>
      <c r="AV76" s="140">
        <v>-0.34639999999999999</v>
      </c>
      <c r="AW76" s="140">
        <v>0.11700000000000001</v>
      </c>
    </row>
    <row r="77" spans="1:59" x14ac:dyDescent="0.2">
      <c r="A77" s="147" t="s">
        <v>57</v>
      </c>
      <c r="B77" s="148"/>
      <c r="C77" s="148"/>
      <c r="D77" s="148"/>
      <c r="E77" s="148"/>
      <c r="F77" s="149"/>
      <c r="G77" s="150"/>
      <c r="H77" s="150"/>
      <c r="I77" s="150"/>
      <c r="J77" s="150"/>
      <c r="K77" s="150"/>
      <c r="L77" s="134"/>
      <c r="M77" s="134"/>
      <c r="N77" s="134"/>
      <c r="O77" s="134"/>
      <c r="P77" s="134"/>
      <c r="Q77" s="134"/>
      <c r="R77" s="134"/>
      <c r="S77" s="182"/>
      <c r="T77" s="182"/>
      <c r="U77" s="182"/>
      <c r="V77" s="182"/>
      <c r="W77" s="182"/>
      <c r="X77" s="182"/>
      <c r="Y77" s="182"/>
      <c r="Z77" s="182"/>
      <c r="AA77" s="182"/>
      <c r="AB77" s="182"/>
      <c r="AC77" s="134"/>
      <c r="AD77" s="134"/>
      <c r="AE77" s="134"/>
      <c r="AF77" s="134"/>
      <c r="AG77" s="134"/>
      <c r="AH77" s="134"/>
      <c r="AI77" s="135"/>
      <c r="AM77" s="166">
        <v>1</v>
      </c>
      <c r="AN77" s="137"/>
      <c r="AO77" s="137" t="str">
        <f>IF(DIAG!X44,CONCATENATE("F=",TRUNC(AM77/2,2)),"")</f>
        <v/>
      </c>
      <c r="AP77" s="137"/>
      <c r="AQ77" s="137"/>
      <c r="AR77" s="137"/>
      <c r="AS77" s="137"/>
      <c r="AT77" s="137">
        <f>IF(DIAG!X44,IF(1-$AM$77+SQRT(3)*(AT76)&gt;1,1,1-$AM$77+SQRT(3)*(AT76)),-1)</f>
        <v>-1</v>
      </c>
      <c r="AU77" s="137">
        <f>IF(DIAG!X44,IF(1-$AM$77+SQRT(3)*(AU76)&gt;1,1,1-$AM$77+SQRT(3)*(AU76)),-1)</f>
        <v>-1</v>
      </c>
      <c r="AV77" s="137"/>
      <c r="AW77" s="137"/>
    </row>
    <row r="78" spans="1:59" ht="15.75" x14ac:dyDescent="0.3">
      <c r="A78" s="79" t="s">
        <v>114</v>
      </c>
      <c r="B78" s="183" t="s">
        <v>115</v>
      </c>
      <c r="C78" s="53" t="s">
        <v>58</v>
      </c>
      <c r="D78" s="53" t="s">
        <v>59</v>
      </c>
      <c r="E78" s="79" t="s">
        <v>114</v>
      </c>
      <c r="F78" s="183" t="s">
        <v>115</v>
      </c>
      <c r="G78" s="79" t="s">
        <v>114</v>
      </c>
      <c r="H78" s="183" t="s">
        <v>115</v>
      </c>
      <c r="N78" s="53" t="s">
        <v>47</v>
      </c>
      <c r="O78" s="73">
        <f>O35</f>
        <v>-0.57735026918962584</v>
      </c>
      <c r="P78" s="73">
        <f t="shared" ref="P78:AH78" si="30">P35</f>
        <v>-0.51961524227066325</v>
      </c>
      <c r="Q78" s="73">
        <f t="shared" si="30"/>
        <v>-0.46188021535170065</v>
      </c>
      <c r="R78" s="73">
        <f t="shared" si="30"/>
        <v>-0.40414518843273811</v>
      </c>
      <c r="S78" s="73">
        <f t="shared" si="30"/>
        <v>-0.34641016151377552</v>
      </c>
      <c r="T78" s="73">
        <f t="shared" si="30"/>
        <v>-0.28867513459481292</v>
      </c>
      <c r="U78" s="73">
        <f t="shared" si="30"/>
        <v>-0.23094010767585038</v>
      </c>
      <c r="V78" s="73">
        <f t="shared" si="30"/>
        <v>-0.17320508075688779</v>
      </c>
      <c r="W78" s="73">
        <f t="shared" si="30"/>
        <v>-0.11547005383792519</v>
      </c>
      <c r="X78" s="73">
        <f t="shared" si="30"/>
        <v>-5.7735026918962595E-2</v>
      </c>
      <c r="Y78" s="73">
        <f>Y35</f>
        <v>0</v>
      </c>
      <c r="Z78" s="73">
        <f t="shared" si="30"/>
        <v>5.7735026918962595E-2</v>
      </c>
      <c r="AA78" s="73">
        <f t="shared" si="30"/>
        <v>0.11547005383792519</v>
      </c>
      <c r="AB78" s="73">
        <f t="shared" si="30"/>
        <v>0.17320508075688779</v>
      </c>
      <c r="AC78" s="73">
        <f t="shared" si="30"/>
        <v>0.23094010767585038</v>
      </c>
      <c r="AD78" s="73">
        <f t="shared" si="30"/>
        <v>0.28867513459481292</v>
      </c>
      <c r="AE78" s="73">
        <f t="shared" si="30"/>
        <v>0.34641016151377552</v>
      </c>
      <c r="AF78" s="73">
        <f t="shared" si="30"/>
        <v>0.40414518843273811</v>
      </c>
      <c r="AG78" s="73">
        <f t="shared" si="30"/>
        <v>0.46188021535170065</v>
      </c>
      <c r="AH78" s="73">
        <f t="shared" si="30"/>
        <v>0.51961524227066325</v>
      </c>
      <c r="AI78" s="184">
        <f>AI35</f>
        <v>0.57735026918962584</v>
      </c>
      <c r="AM78" s="166">
        <v>0.4</v>
      </c>
      <c r="AN78" s="137"/>
      <c r="AO78" s="137" t="str">
        <f>IF(DIAG!X44,CONCATENATE("F=",TRUNC(AM78/2,2)),"")</f>
        <v/>
      </c>
      <c r="AP78" s="137"/>
      <c r="AQ78" s="137"/>
      <c r="AR78" s="137"/>
      <c r="AS78" s="137"/>
      <c r="AT78" s="137"/>
      <c r="AU78" s="137"/>
      <c r="AV78" s="137">
        <f>IF(DIAG!X44,IF(1-$AM$78+SQRT(3)*(AV76)&gt;1,1,1-$AM$78+SQRT(3)*(AV76)),-1)</f>
        <v>-1</v>
      </c>
      <c r="AW78" s="137">
        <f>IF(DIAG!X44,IF(1-$AM$78+SQRT(3)*(AW67)&gt;1,1,1-$AM$78+SQRT(3)*(AW76)),-1)</f>
        <v>-1</v>
      </c>
    </row>
    <row r="79" spans="1:59" x14ac:dyDescent="0.2">
      <c r="A79" s="185">
        <f>VLOOKUP(A78,A26:K26,DIAG!$T$58+1,0)</f>
        <v>0.26243194054073904</v>
      </c>
      <c r="B79" s="186">
        <f>VLOOKUP(B78,A27:K27,DIAG!$T$58+1,0)</f>
        <v>0.18181818181818182</v>
      </c>
      <c r="E79" s="185">
        <f>VLOOKUP(E78,A26:K26,DIAG!$W$56+1,0)</f>
        <v>0.26243194054073904</v>
      </c>
      <c r="F79" s="186">
        <f>VLOOKUP(F78,A27:K27,DIAG!$W$56+1,0)</f>
        <v>0.18181818181818182</v>
      </c>
      <c r="G79" s="185">
        <f>VLOOKUP(G78,A26:K26,DIAG!$W$58+1,0)</f>
        <v>0.26243194054073904</v>
      </c>
      <c r="H79" s="186">
        <f>VLOOKUP(H78,A27:K27,DIAG!$W$58+1,0)</f>
        <v>0.18181818181818182</v>
      </c>
      <c r="AI79" s="187"/>
      <c r="AM79" s="168">
        <v>9.0909000000000004E-2</v>
      </c>
      <c r="AN79" s="143"/>
      <c r="AO79" s="143" t="str">
        <f>IF(DIAG!X44,CONCATENATE("R = ",TRUNC(AM79,2)),"")</f>
        <v/>
      </c>
      <c r="AP79" s="143">
        <f>IF(DIAG!X44,$AM$79,-1)</f>
        <v>-1</v>
      </c>
      <c r="AQ79" s="143">
        <f>IF(DIAG!X44,$AM$79,-1)</f>
        <v>-1</v>
      </c>
      <c r="AR79" s="143"/>
      <c r="AS79" s="143"/>
      <c r="AT79" s="143"/>
      <c r="AU79" s="143"/>
      <c r="AV79" s="143"/>
      <c r="AW79" s="143"/>
    </row>
    <row r="80" spans="1:59" ht="15.75" x14ac:dyDescent="0.3">
      <c r="A80" s="188">
        <f>-1/SQRT(3)</f>
        <v>-0.57735026918962584</v>
      </c>
      <c r="B80" s="175">
        <v>0</v>
      </c>
      <c r="C80" s="73">
        <f>(B80-$F$79)/(A80-$E$79)</f>
        <v>0.21650635094610962</v>
      </c>
      <c r="D80" s="73">
        <f>(B80*(A80-$E$79)-A80*(B80-$F$79))/(A80-$E$79)</f>
        <v>0.125</v>
      </c>
      <c r="E80" s="73" t="s">
        <v>5</v>
      </c>
      <c r="F80" s="73"/>
      <c r="N80" s="53" t="s">
        <v>116</v>
      </c>
      <c r="O80" s="73">
        <f>IF(DIAG!$T$55,($C$80*O35+$D$80),-1)</f>
        <v>-1</v>
      </c>
      <c r="P80" s="73">
        <f>IF(DIAG!$T$55,($C$80*P35+$D$80),-1)</f>
        <v>-1</v>
      </c>
      <c r="Q80" s="73">
        <f>IF(DIAG!$T$55,($C$80*Q35+$D$80),-1)</f>
        <v>-1</v>
      </c>
      <c r="R80" s="73">
        <f>IF(DIAG!$T$55,($C$80*R35+$D$80),-1)</f>
        <v>-1</v>
      </c>
      <c r="S80" s="73">
        <f>IF(DIAG!$T$55,($C$80*S35+$D$80),-1)</f>
        <v>-1</v>
      </c>
      <c r="T80" s="73">
        <f>IF(DIAG!$T$55,($C$80*T35+$D$80),-1)</f>
        <v>-1</v>
      </c>
      <c r="U80" s="73">
        <f>IF(DIAG!$T$55,($C$80*U35+$D$80),-1)</f>
        <v>-1</v>
      </c>
      <c r="V80" s="73">
        <f>IF(DIAG!$T$55,($C$80*V35+$D$80),-1)</f>
        <v>-1</v>
      </c>
      <c r="W80" s="73">
        <f>IF(DIAG!$T$55,($C$80*W35+$D$80),-1)</f>
        <v>-1</v>
      </c>
      <c r="X80" s="73">
        <f>IF(DIAG!$T$55,($C$80*X35+$D$80),-1)</f>
        <v>-1</v>
      </c>
      <c r="Y80" s="73">
        <f>IF(DIAG!$T$55,($C$80*Y35+$D$80),-1)</f>
        <v>-1</v>
      </c>
      <c r="Z80" s="73">
        <f>IF(DIAG!$T$55,($C$80*Z35+$D$80),-1)</f>
        <v>-1</v>
      </c>
      <c r="AA80" s="73">
        <f>IF(DIAG!$T$55,($C$80*AA35+$D$80),-1)</f>
        <v>-1</v>
      </c>
      <c r="AB80" s="73">
        <f>IF(DIAG!$T$55,($C$80*AB35+$D$80),-1)</f>
        <v>-1</v>
      </c>
      <c r="AC80" s="73">
        <f>IF(DIAG!$T$55,($C$80*AC35+$D$80),-1)</f>
        <v>-1</v>
      </c>
      <c r="AD80" s="73">
        <f>IF(DIAG!$T$55,($C$80*AD35+$D$80),-1)</f>
        <v>-1</v>
      </c>
      <c r="AE80" s="73">
        <f>IF(DIAG!$T$55,($C$80*AE35+$D$80),-1)</f>
        <v>-1</v>
      </c>
      <c r="AF80" s="73">
        <f>IF(DIAG!$T$55,($C$80*AF35+$D$80),-1)</f>
        <v>-1</v>
      </c>
      <c r="AG80" s="73">
        <f>IF(DIAG!$T$55,($C$80*AG35+$D$80),-1)</f>
        <v>-1</v>
      </c>
      <c r="AH80" s="73">
        <f>IF(DIAG!$T$55,($C$80*AH35+$D$80),-1)</f>
        <v>-1</v>
      </c>
      <c r="AI80" s="184">
        <f>IF(DIAG!$T$55,($C$80*AI35+$D$80),-1)</f>
        <v>-1</v>
      </c>
      <c r="AM80" s="168">
        <v>0.33333000000000002</v>
      </c>
      <c r="AN80" s="143"/>
      <c r="AO80" s="143" t="str">
        <f>IF(DIAG!X44,CONCATENATE("R = ",TRUNC(AM80,2)),"")</f>
        <v/>
      </c>
      <c r="AP80" s="143"/>
      <c r="AQ80" s="143"/>
      <c r="AR80" s="143">
        <f>IF(DIAG!X44,$AM$80,-1)</f>
        <v>-1</v>
      </c>
      <c r="AS80" s="143">
        <f>IF(DIAG!X44,$AM$80,-1)</f>
        <v>-1</v>
      </c>
      <c r="AT80" s="143"/>
      <c r="AU80" s="143"/>
      <c r="AV80" s="143"/>
      <c r="AW80" s="143"/>
    </row>
    <row r="81" spans="1:35" ht="15.75" x14ac:dyDescent="0.3">
      <c r="A81" s="188">
        <f>1/SQRT(3)</f>
        <v>0.57735026918962584</v>
      </c>
      <c r="B81" s="175">
        <v>0</v>
      </c>
      <c r="C81" s="73">
        <f>(B81-$H$79)/(A81-$G$79)</f>
        <v>-0.57735026918962573</v>
      </c>
      <c r="D81" s="73">
        <f>(B81*(A81-$G$79)-A81*(B81-$H$79))/(A81-$G$79)</f>
        <v>0.33333333333333337</v>
      </c>
      <c r="E81" s="73" t="s">
        <v>7</v>
      </c>
      <c r="N81" s="53" t="s">
        <v>117</v>
      </c>
      <c r="O81" s="73">
        <f>IF(DIAG!$T$56,($C$81*O35+$D$81),-1)</f>
        <v>-1</v>
      </c>
      <c r="P81" s="73">
        <f>IF(DIAG!$T$56,($C$81*P35+$D$81),-1)</f>
        <v>-1</v>
      </c>
      <c r="Q81" s="73">
        <f>IF(DIAG!$T$56,($C$81*Q35+$D$81),-1)</f>
        <v>-1</v>
      </c>
      <c r="R81" s="73">
        <f>IF(DIAG!$T$56,($C$81*R35+$D$81),-1)</f>
        <v>-1</v>
      </c>
      <c r="S81" s="73">
        <f>IF(DIAG!$T$56,($C$81*S35+$D$81),-1)</f>
        <v>-1</v>
      </c>
      <c r="T81" s="73">
        <f>IF(DIAG!$T$56,($C$81*T35+$D$81),-1)</f>
        <v>-1</v>
      </c>
      <c r="U81" s="73">
        <f>IF(DIAG!$T$56,($C$81*U35+$D$81),-1)</f>
        <v>-1</v>
      </c>
      <c r="V81" s="73">
        <f>IF(DIAG!$T$56,($C$81*V35+$D$81),-1)</f>
        <v>-1</v>
      </c>
      <c r="W81" s="73">
        <f>IF(DIAG!$T$56,($C$81*W35+$D$81),-1)</f>
        <v>-1</v>
      </c>
      <c r="X81" s="73">
        <f>IF(DIAG!$T$56,($C$81*X35+$D$81),-1)</f>
        <v>-1</v>
      </c>
      <c r="Y81" s="73">
        <f>IF(DIAG!$T$56,($C$81*Y35+$D$81),-1)</f>
        <v>-1</v>
      </c>
      <c r="Z81" s="73">
        <f>IF(DIAG!$T$56,($C$81*Z35+$D$81),-1)</f>
        <v>-1</v>
      </c>
      <c r="AA81" s="73">
        <f>IF(DIAG!$T$56,($C$81*AA35+$D$81),-1)</f>
        <v>-1</v>
      </c>
      <c r="AB81" s="73">
        <f>IF(DIAG!$T$56,($C$81*AB35+$D$81),-1)</f>
        <v>-1</v>
      </c>
      <c r="AC81" s="73">
        <f>IF(DIAG!$T$56,($C$81*AC35+$D$81),-1)</f>
        <v>-1</v>
      </c>
      <c r="AD81" s="73">
        <f>IF(DIAG!$T$56,($C$81*AD35+$D$81),-1)</f>
        <v>-1</v>
      </c>
      <c r="AE81" s="73">
        <f>IF(DIAG!$T$56,($C$81*AE35+$D$81),-1)</f>
        <v>-1</v>
      </c>
      <c r="AF81" s="73">
        <f>IF(DIAG!$T$56,($C$81*AF35+$D$81),-1)</f>
        <v>-1</v>
      </c>
      <c r="AG81" s="73">
        <f>IF(DIAG!$T$56,($C$81*AG35+$D$81),-1)</f>
        <v>-1</v>
      </c>
      <c r="AH81" s="73">
        <f>IF(DIAG!$T$56,($C$81*AH35+$D$81),-1)</f>
        <v>-1</v>
      </c>
      <c r="AI81" s="184">
        <f>IF(DIAG!$T$56,($C$81*AI35+$D$81),-1)</f>
        <v>-1</v>
      </c>
    </row>
    <row r="82" spans="1:35" ht="15.75" x14ac:dyDescent="0.3">
      <c r="A82" s="189">
        <v>0</v>
      </c>
      <c r="B82" s="190">
        <v>1</v>
      </c>
      <c r="C82" s="73">
        <f>(B82-$B$79)/(A82-$A$79)</f>
        <v>-3.1176914536239781</v>
      </c>
      <c r="D82" s="73">
        <f>(B82*(A82-$A$79)-A82*(B82-$B$79))/(A82-$A$79)</f>
        <v>1</v>
      </c>
      <c r="E82" s="73" t="s">
        <v>6</v>
      </c>
      <c r="N82" s="53" t="s">
        <v>118</v>
      </c>
      <c r="O82" s="73">
        <f>IF(DIAG!$T$54,($C$82*O35+$D$82),-1)</f>
        <v>-1</v>
      </c>
      <c r="P82" s="73">
        <f>IF(DIAG!$T$54,($C$82*P35+$D$82),-1)</f>
        <v>-1</v>
      </c>
      <c r="Q82" s="73">
        <f>IF(DIAG!$T$54,($C$82*Q35+$D$82),-1)</f>
        <v>-1</v>
      </c>
      <c r="R82" s="73">
        <f>IF(DIAG!$T$54,($C$82*R35+$D$82),-1)</f>
        <v>-1</v>
      </c>
      <c r="S82" s="73">
        <f>IF(DIAG!$T$54,($C$82*S35+$D$82),-1)</f>
        <v>-1</v>
      </c>
      <c r="T82" s="73">
        <f>IF(DIAG!$T$54,($C$82*T35+$D$82),-1)</f>
        <v>-1</v>
      </c>
      <c r="U82" s="73">
        <f>IF(DIAG!$T$54,($C$82*U35+$D$82),-1)</f>
        <v>-1</v>
      </c>
      <c r="V82" s="73">
        <f>IF(DIAG!$T$54,($C$82*V35+$D$82),-1)</f>
        <v>-1</v>
      </c>
      <c r="W82" s="73">
        <f>IF(DIAG!$T$54,($C$82*W35+$D$82),-1)</f>
        <v>-1</v>
      </c>
      <c r="X82" s="73">
        <f>IF(DIAG!$T$54,($C$82*X35+$D$82),-1)</f>
        <v>-1</v>
      </c>
      <c r="Y82" s="73">
        <f>IF(DIAG!$T$54,($C$82*Y35+$D$82),-1)</f>
        <v>-1</v>
      </c>
      <c r="Z82" s="73">
        <f>IF(DIAG!$T$54,($C$82*Z35+$D$82),-1)</f>
        <v>-1</v>
      </c>
      <c r="AA82" s="73">
        <f>IF(DIAG!$T$54,($C$82*AA35+$D$82),-1)</f>
        <v>-1</v>
      </c>
      <c r="AB82" s="73">
        <f>IF(DIAG!$T$54,($C$82*AB35+$D$82),-1)</f>
        <v>-1</v>
      </c>
      <c r="AC82" s="73">
        <f>IF(DIAG!$T$54,($C$82*AC35+$D$82),-1)</f>
        <v>-1</v>
      </c>
      <c r="AD82" s="73">
        <f>IF(DIAG!$T$54,($C$82*AD35+$D$82),-1)</f>
        <v>-1</v>
      </c>
      <c r="AE82" s="73">
        <f>IF(DIAG!$T$54,($C$82*AE35+$D$82),-1)</f>
        <v>-1</v>
      </c>
      <c r="AF82" s="73">
        <f>IF(DIAG!$T$54,($C$82*AF35+$D$82),-1)</f>
        <v>-1</v>
      </c>
      <c r="AG82" s="73">
        <f>IF(DIAG!$T$54,($C$82*AG35+$D$82),-1)</f>
        <v>-1</v>
      </c>
      <c r="AH82" s="73">
        <f>IF(DIAG!$T$54,($C$82*AH35+$D$82),-1)</f>
        <v>-1</v>
      </c>
      <c r="AI82" s="184">
        <f>IF(DIAG!$T$54,($C$82*AI35+$D$82),-1)</f>
        <v>-1</v>
      </c>
    </row>
    <row r="83" spans="1:35" x14ac:dyDescent="0.2">
      <c r="A83" s="191">
        <f>B83+1</f>
        <v>2</v>
      </c>
      <c r="B83" s="53">
        <v>1</v>
      </c>
      <c r="E83" s="73"/>
      <c r="AI83" s="187"/>
    </row>
    <row r="84" spans="1:35" x14ac:dyDescent="0.2">
      <c r="A84" s="153"/>
      <c r="B84" s="53">
        <v>2</v>
      </c>
      <c r="C84" s="53">
        <v>3</v>
      </c>
      <c r="D84" s="53">
        <v>4</v>
      </c>
      <c r="E84" s="53">
        <v>5</v>
      </c>
      <c r="F84" s="53">
        <v>6</v>
      </c>
      <c r="G84" s="53">
        <v>7</v>
      </c>
      <c r="L84" s="53">
        <v>8</v>
      </c>
      <c r="AI84" s="187"/>
    </row>
    <row r="85" spans="1:35" x14ac:dyDescent="0.2">
      <c r="A85" s="153"/>
      <c r="AI85" s="187"/>
    </row>
    <row r="86" spans="1:35" x14ac:dyDescent="0.2">
      <c r="A86" s="153"/>
      <c r="D86" s="52">
        <v>1</v>
      </c>
      <c r="E86" s="52">
        <v>2</v>
      </c>
      <c r="AI86" s="187"/>
    </row>
    <row r="87" spans="1:35" x14ac:dyDescent="0.2">
      <c r="A87" s="153"/>
      <c r="B87" s="192" t="s">
        <v>5</v>
      </c>
      <c r="C87" s="193" t="s">
        <v>55</v>
      </c>
      <c r="D87" s="194" t="e">
        <f ca="1">D90</f>
        <v>#DIV/0!</v>
      </c>
      <c r="E87" s="195" t="e">
        <f ca="1">E91</f>
        <v>#DIV/0!</v>
      </c>
      <c r="G87" s="192" t="s">
        <v>7</v>
      </c>
      <c r="H87" s="193"/>
      <c r="I87" s="193"/>
      <c r="J87" s="193"/>
      <c r="K87" s="193"/>
      <c r="L87" s="193" t="s">
        <v>55</v>
      </c>
      <c r="M87" s="194" t="e">
        <f ca="1">M90</f>
        <v>#DIV/0!</v>
      </c>
      <c r="N87" s="195" t="e">
        <f ca="1">N91</f>
        <v>#DIV/0!</v>
      </c>
      <c r="P87" s="196" t="s">
        <v>6</v>
      </c>
      <c r="Q87" s="134" t="s">
        <v>55</v>
      </c>
      <c r="R87" s="182" t="e">
        <f ca="1">R90</f>
        <v>#DIV/0!</v>
      </c>
      <c r="S87" s="106" t="e">
        <f ca="1">S91</f>
        <v>#DIV/0!</v>
      </c>
      <c r="AI87" s="187"/>
    </row>
    <row r="88" spans="1:35" x14ac:dyDescent="0.2">
      <c r="A88" s="153"/>
      <c r="B88" s="197"/>
      <c r="C88" s="198" t="s">
        <v>56</v>
      </c>
      <c r="D88" s="199" t="e">
        <f ca="1">C80*D87+D80</f>
        <v>#DIV/0!</v>
      </c>
      <c r="E88" s="200" t="e">
        <f ca="1">C80*E87+D80</f>
        <v>#DIV/0!</v>
      </c>
      <c r="G88" s="197"/>
      <c r="H88" s="198"/>
      <c r="I88" s="198"/>
      <c r="J88" s="198"/>
      <c r="K88" s="198"/>
      <c r="L88" s="198" t="s">
        <v>56</v>
      </c>
      <c r="M88" s="199" t="e">
        <f ca="1">C81*M87+D81</f>
        <v>#DIV/0!</v>
      </c>
      <c r="N88" s="200" t="e">
        <f ca="1">C81*N87+D81</f>
        <v>#DIV/0!</v>
      </c>
      <c r="P88" s="153"/>
      <c r="Q88" s="52" t="s">
        <v>56</v>
      </c>
      <c r="R88" s="78" t="e">
        <f ca="1">C82*R87+D82</f>
        <v>#DIV/0!</v>
      </c>
      <c r="S88" s="141" t="e">
        <f ca="1">C82*S87+D82</f>
        <v>#DIV/0!</v>
      </c>
      <c r="AI88" s="187"/>
    </row>
    <row r="89" spans="1:35" x14ac:dyDescent="0.2">
      <c r="A89" s="153"/>
      <c r="B89" s="197"/>
      <c r="C89" s="198"/>
      <c r="D89" s="199"/>
      <c r="E89" s="200"/>
      <c r="G89" s="197"/>
      <c r="H89" s="198"/>
      <c r="I89" s="198"/>
      <c r="J89" s="198"/>
      <c r="K89" s="198"/>
      <c r="L89" s="198"/>
      <c r="M89" s="199"/>
      <c r="N89" s="200"/>
      <c r="P89" s="153"/>
      <c r="S89" s="187"/>
      <c r="AI89" s="187"/>
    </row>
    <row r="90" spans="1:35" x14ac:dyDescent="0.2">
      <c r="A90" s="153"/>
      <c r="B90" s="197" t="s">
        <v>8</v>
      </c>
      <c r="C90" s="198" t="s">
        <v>60</v>
      </c>
      <c r="D90" s="199" t="e">
        <f ca="1">(SQRT(D88^2-2*D88+5)-2)/SQRT(3)</f>
        <v>#DIV/0!</v>
      </c>
      <c r="E90" s="200"/>
      <c r="G90" s="197" t="s">
        <v>8</v>
      </c>
      <c r="H90" s="198"/>
      <c r="I90" s="198"/>
      <c r="J90" s="198"/>
      <c r="K90" s="198"/>
      <c r="L90" s="198" t="s">
        <v>60</v>
      </c>
      <c r="M90" s="199" t="e">
        <f ca="1">(SQRT(M88^2-2*M88+5)-2)/SQRT(3)</f>
        <v>#DIV/0!</v>
      </c>
      <c r="N90" s="200"/>
      <c r="P90" s="153" t="s">
        <v>8</v>
      </c>
      <c r="Q90" s="52" t="s">
        <v>60</v>
      </c>
      <c r="R90" s="78" t="e">
        <f ca="1">(SQRT(R88^2-2*R88+5)-2)/SQRT(3)</f>
        <v>#DIV/0!</v>
      </c>
      <c r="S90" s="141"/>
      <c r="AI90" s="187"/>
    </row>
    <row r="91" spans="1:35" x14ac:dyDescent="0.2">
      <c r="A91" s="153"/>
      <c r="B91" s="197" t="s">
        <v>9</v>
      </c>
      <c r="C91" s="198" t="s">
        <v>61</v>
      </c>
      <c r="D91" s="199"/>
      <c r="E91" s="200" t="e">
        <f ca="1">(SQRT(25*E88^2-10*E88+21)-6)/(5*SQRT(3))</f>
        <v>#DIV/0!</v>
      </c>
      <c r="G91" s="197" t="s">
        <v>9</v>
      </c>
      <c r="H91" s="198"/>
      <c r="I91" s="198"/>
      <c r="J91" s="198"/>
      <c r="K91" s="198"/>
      <c r="L91" s="198" t="s">
        <v>61</v>
      </c>
      <c r="M91" s="199"/>
      <c r="N91" s="200" t="e">
        <f ca="1">(SQRT(25*N88*N88-10*N88+21)-6)/(5*SQRT(3))</f>
        <v>#DIV/0!</v>
      </c>
      <c r="P91" s="153" t="s">
        <v>9</v>
      </c>
      <c r="Q91" s="52" t="s">
        <v>61</v>
      </c>
      <c r="R91" s="78"/>
      <c r="S91" s="141" t="e">
        <f ca="1">(SQRT(25*S88*S88-10*S88+21)-6)/(5*SQRT(3))</f>
        <v>#DIV/0!</v>
      </c>
      <c r="AI91" s="187"/>
    </row>
    <row r="92" spans="1:35" x14ac:dyDescent="0.2">
      <c r="A92" s="153"/>
      <c r="B92" s="201" t="s">
        <v>62</v>
      </c>
      <c r="C92" s="202"/>
      <c r="D92" s="203" t="e">
        <f ca="1">SQRT((D87-E87)^2+(D88-E88)^2)</f>
        <v>#DIV/0!</v>
      </c>
      <c r="E92" s="204"/>
      <c r="G92" s="201" t="s">
        <v>62</v>
      </c>
      <c r="H92" s="202"/>
      <c r="I92" s="202"/>
      <c r="J92" s="202"/>
      <c r="K92" s="202"/>
      <c r="L92" s="202"/>
      <c r="M92" s="203" t="e">
        <f ca="1">SQRT((M87-N87)^2+(M88-N88)^2)</f>
        <v>#DIV/0!</v>
      </c>
      <c r="N92" s="204"/>
      <c r="P92" s="156" t="s">
        <v>62</v>
      </c>
      <c r="Q92" s="77"/>
      <c r="R92" s="205" t="e">
        <f ca="1">SQRT((R87-S87)^2+(R88-S88)^2)</f>
        <v>#DIV/0!</v>
      </c>
      <c r="S92" s="112"/>
      <c r="AI92" s="187"/>
    </row>
    <row r="93" spans="1:35" x14ac:dyDescent="0.2">
      <c r="A93" s="153"/>
      <c r="D93" s="52">
        <v>3</v>
      </c>
      <c r="E93" s="52">
        <v>0</v>
      </c>
      <c r="AI93" s="187"/>
    </row>
    <row r="94" spans="1:35" x14ac:dyDescent="0.2">
      <c r="A94" s="153"/>
      <c r="B94" s="192" t="s">
        <v>5</v>
      </c>
      <c r="C94" s="193" t="s">
        <v>55</v>
      </c>
      <c r="D94" s="194" t="e">
        <f ca="1">D97</f>
        <v>#DIV/0!</v>
      </c>
      <c r="E94" s="195">
        <f>-1/SQRT(3)</f>
        <v>-0.57735026918962584</v>
      </c>
      <c r="G94" s="192" t="s">
        <v>7</v>
      </c>
      <c r="H94" s="193"/>
      <c r="I94" s="193"/>
      <c r="J94" s="193"/>
      <c r="K94" s="193"/>
      <c r="L94" s="193" t="s">
        <v>55</v>
      </c>
      <c r="M94" s="194" t="e">
        <f ca="1">M97</f>
        <v>#DIV/0!</v>
      </c>
      <c r="N94" s="195">
        <f>1/SQRT(3)</f>
        <v>0.57735026918962584</v>
      </c>
      <c r="P94" s="196" t="s">
        <v>6</v>
      </c>
      <c r="Q94" s="134" t="s">
        <v>55</v>
      </c>
      <c r="R94" s="182">
        <f>(R95-D82)/C82</f>
        <v>0.3207501495497922</v>
      </c>
      <c r="S94" s="106">
        <v>0</v>
      </c>
      <c r="AI94" s="187"/>
    </row>
    <row r="95" spans="1:35" x14ac:dyDescent="0.2">
      <c r="A95" s="153"/>
      <c r="B95" s="197"/>
      <c r="C95" s="198" t="s">
        <v>56</v>
      </c>
      <c r="D95" s="199" t="e">
        <f ca="1">C80*D94+D80</f>
        <v>#DIV/0!</v>
      </c>
      <c r="E95" s="200">
        <v>0</v>
      </c>
      <c r="G95" s="197"/>
      <c r="H95" s="198"/>
      <c r="I95" s="198"/>
      <c r="J95" s="198"/>
      <c r="K95" s="198"/>
      <c r="L95" s="198" t="s">
        <v>56</v>
      </c>
      <c r="M95" s="199" t="e">
        <f ca="1">C81*M94+D81</f>
        <v>#DIV/0!</v>
      </c>
      <c r="N95" s="200">
        <v>0</v>
      </c>
      <c r="P95" s="153"/>
      <c r="Q95" s="52" t="s">
        <v>56</v>
      </c>
      <c r="R95" s="78">
        <f>R97</f>
        <v>0</v>
      </c>
      <c r="S95" s="141">
        <v>1</v>
      </c>
      <c r="AI95" s="187"/>
    </row>
    <row r="96" spans="1:35" x14ac:dyDescent="0.2">
      <c r="A96" s="153"/>
      <c r="B96" s="197"/>
      <c r="C96" s="198"/>
      <c r="D96" s="199"/>
      <c r="E96" s="200"/>
      <c r="G96" s="197"/>
      <c r="H96" s="198"/>
      <c r="I96" s="198"/>
      <c r="J96" s="198"/>
      <c r="K96" s="198"/>
      <c r="L96" s="198"/>
      <c r="M96" s="199"/>
      <c r="N96" s="200"/>
      <c r="P96" s="153"/>
      <c r="R96" s="78"/>
      <c r="S96" s="141"/>
      <c r="AI96" s="187"/>
    </row>
    <row r="97" spans="1:35" x14ac:dyDescent="0.2">
      <c r="A97" s="153"/>
      <c r="B97" s="197" t="s">
        <v>5</v>
      </c>
      <c r="C97" s="198" t="s">
        <v>60</v>
      </c>
      <c r="D97" s="199" t="e">
        <f ca="1">(1-D95)/SQRT(3)</f>
        <v>#DIV/0!</v>
      </c>
      <c r="E97" s="200"/>
      <c r="G97" s="197" t="s">
        <v>7</v>
      </c>
      <c r="H97" s="198"/>
      <c r="I97" s="198"/>
      <c r="J97" s="198"/>
      <c r="K97" s="198"/>
      <c r="L97" s="198" t="s">
        <v>60</v>
      </c>
      <c r="M97" s="199" t="e">
        <f ca="1">-(1-M95)/SQRT(3)</f>
        <v>#DIV/0!</v>
      </c>
      <c r="N97" s="200"/>
      <c r="P97" s="153" t="s">
        <v>6</v>
      </c>
      <c r="Q97" s="52" t="s">
        <v>63</v>
      </c>
      <c r="R97" s="78">
        <v>0</v>
      </c>
      <c r="S97" s="141"/>
      <c r="AI97" s="187"/>
    </row>
    <row r="98" spans="1:35" x14ac:dyDescent="0.2">
      <c r="A98" s="153"/>
      <c r="B98" s="201" t="s">
        <v>62</v>
      </c>
      <c r="C98" s="202"/>
      <c r="D98" s="203" t="e">
        <f ca="1">SQRT((D94-E94)^2+(D95-E95)^2)</f>
        <v>#DIV/0!</v>
      </c>
      <c r="E98" s="204"/>
      <c r="G98" s="201" t="s">
        <v>62</v>
      </c>
      <c r="H98" s="202"/>
      <c r="I98" s="202"/>
      <c r="J98" s="202"/>
      <c r="K98" s="202"/>
      <c r="L98" s="202"/>
      <c r="M98" s="203" t="e">
        <f ca="1">SQRT((M94-N94)^2+(M95-N95)^2)</f>
        <v>#DIV/0!</v>
      </c>
      <c r="N98" s="204"/>
      <c r="P98" s="156" t="s">
        <v>62</v>
      </c>
      <c r="Q98" s="77"/>
      <c r="R98" s="205">
        <f>SQRT((R94-S94)^2+(R95-S95)^2)</f>
        <v>1.0501812502783574</v>
      </c>
      <c r="S98" s="112"/>
      <c r="W98" s="52" t="e">
        <f ca="1">(SQRT(25*E88^2-10*E88+21)-6)/(5*SQRT(3))</f>
        <v>#DIV/0!</v>
      </c>
      <c r="AI98" s="187"/>
    </row>
    <row r="99" spans="1:35" x14ac:dyDescent="0.2">
      <c r="A99" s="153"/>
      <c r="G99" s="52"/>
      <c r="H99" s="52"/>
      <c r="I99" s="52"/>
      <c r="J99" s="52"/>
      <c r="K99" s="52"/>
      <c r="AI99" s="187"/>
    </row>
    <row r="100" spans="1:35" x14ac:dyDescent="0.2">
      <c r="A100" s="153"/>
      <c r="B100" s="192" t="s">
        <v>64</v>
      </c>
      <c r="C100" s="193"/>
      <c r="D100" s="206" t="e">
        <f ca="1">D92/D98</f>
        <v>#DIV/0!</v>
      </c>
      <c r="E100" s="207"/>
      <c r="G100" s="192" t="s">
        <v>65</v>
      </c>
      <c r="H100" s="193"/>
      <c r="I100" s="193"/>
      <c r="J100" s="193"/>
      <c r="K100" s="193"/>
      <c r="L100" s="193"/>
      <c r="M100" s="206" t="e">
        <f ca="1">M92/M98</f>
        <v>#DIV/0!</v>
      </c>
      <c r="N100" s="207"/>
      <c r="P100" s="52" t="s">
        <v>66</v>
      </c>
      <c r="R100" s="208" t="e">
        <f ca="1">R92/R98</f>
        <v>#DIV/0!</v>
      </c>
      <c r="AI100" s="187"/>
    </row>
    <row r="101" spans="1:35" x14ac:dyDescent="0.2">
      <c r="A101" s="153"/>
      <c r="B101" s="197"/>
      <c r="C101" s="198"/>
      <c r="D101" s="209" t="s">
        <v>38</v>
      </c>
      <c r="E101" s="210" t="s">
        <v>40</v>
      </c>
      <c r="G101" s="211"/>
      <c r="H101" s="209"/>
      <c r="I101" s="209"/>
      <c r="J101" s="209"/>
      <c r="K101" s="209"/>
      <c r="L101" s="198"/>
      <c r="M101" s="209" t="s">
        <v>40</v>
      </c>
      <c r="N101" s="210" t="s">
        <v>38</v>
      </c>
      <c r="R101" s="53"/>
      <c r="S101" s="53"/>
      <c r="AI101" s="187"/>
    </row>
    <row r="102" spans="1:35" x14ac:dyDescent="0.2">
      <c r="A102" s="153"/>
      <c r="B102" s="197"/>
      <c r="C102" s="198"/>
      <c r="D102" s="198" t="e">
        <f ca="1">SQRT((E87-E94)^2+(E88-E95)^2)</f>
        <v>#DIV/0!</v>
      </c>
      <c r="E102" s="212" t="e">
        <f ca="1">SQRT((D87-D94)^2+(D88-D95)^2)</f>
        <v>#DIV/0!</v>
      </c>
      <c r="G102" s="211"/>
      <c r="H102" s="209"/>
      <c r="I102" s="209"/>
      <c r="J102" s="209"/>
      <c r="K102" s="209"/>
      <c r="L102" s="198"/>
      <c r="M102" s="198" t="e">
        <f ca="1">SQRT((M87-N94)^2+(M88-N95)^2)</f>
        <v>#DIV/0!</v>
      </c>
      <c r="N102" s="212" t="e">
        <f ca="1">SQRT((N87-M94)^2+(N88-M95)^2)</f>
        <v>#DIV/0!</v>
      </c>
      <c r="AI102" s="187"/>
    </row>
    <row r="103" spans="1:35" x14ac:dyDescent="0.2">
      <c r="A103" s="153"/>
      <c r="B103" s="201"/>
      <c r="C103" s="202"/>
      <c r="D103" s="213" t="e">
        <f ca="1">D102/D98</f>
        <v>#DIV/0!</v>
      </c>
      <c r="E103" s="214" t="e">
        <f ca="1">E102/D98</f>
        <v>#DIV/0!</v>
      </c>
      <c r="G103" s="215"/>
      <c r="H103" s="216"/>
      <c r="I103" s="216"/>
      <c r="J103" s="216"/>
      <c r="K103" s="216"/>
      <c r="L103" s="202"/>
      <c r="M103" s="213" t="e">
        <f ca="1">M102/M98</f>
        <v>#DIV/0!</v>
      </c>
      <c r="N103" s="214" t="e">
        <f ca="1">N102/M98</f>
        <v>#DIV/0!</v>
      </c>
      <c r="R103" s="217"/>
      <c r="S103" s="217"/>
      <c r="AI103" s="187"/>
    </row>
    <row r="104" spans="1:35" x14ac:dyDescent="0.2">
      <c r="A104" s="153"/>
      <c r="AI104" s="187"/>
    </row>
    <row r="105" spans="1:35" x14ac:dyDescent="0.2">
      <c r="A105" s="153"/>
      <c r="D105" s="218" t="e">
        <f ca="1">D100+D103+E103</f>
        <v>#DIV/0!</v>
      </c>
      <c r="M105" s="218" t="e">
        <f ca="1">M100+M103+N103</f>
        <v>#DIV/0!</v>
      </c>
      <c r="R105" s="218"/>
      <c r="AI105" s="187"/>
    </row>
    <row r="106" spans="1:35" x14ac:dyDescent="0.2">
      <c r="A106" s="153"/>
      <c r="AI106" s="187"/>
    </row>
    <row r="107" spans="1:35" x14ac:dyDescent="0.2">
      <c r="A107" s="153"/>
      <c r="AI107" s="187"/>
    </row>
    <row r="108" spans="1:35" x14ac:dyDescent="0.2">
      <c r="A108" s="153"/>
      <c r="D108" s="160" t="e">
        <f ca="1">LOG(100*E103)</f>
        <v>#DIV/0!</v>
      </c>
      <c r="M108" s="160" t="e">
        <f ca="1">LOG(100*N103)</f>
        <v>#DIV/0!</v>
      </c>
      <c r="AI108" s="187"/>
    </row>
    <row r="109" spans="1:35" x14ac:dyDescent="0.2">
      <c r="A109" s="153"/>
      <c r="D109" s="160" t="e">
        <f ca="1">LOG(100*D100)</f>
        <v>#DIV/0!</v>
      </c>
      <c r="M109" s="160" t="e">
        <f ca="1">LOG(100*M100)</f>
        <v>#DIV/0!</v>
      </c>
      <c r="AI109" s="187"/>
    </row>
    <row r="110" spans="1:35" x14ac:dyDescent="0.2">
      <c r="A110" s="156"/>
      <c r="B110" s="77"/>
      <c r="C110" s="77"/>
      <c r="D110" s="219" t="e">
        <f ca="1">LOG(100*D103)</f>
        <v>#DIV/0!</v>
      </c>
      <c r="E110" s="77"/>
      <c r="F110" s="77"/>
      <c r="G110" s="157"/>
      <c r="H110" s="157"/>
      <c r="I110" s="157"/>
      <c r="J110" s="157"/>
      <c r="K110" s="157"/>
      <c r="L110" s="77"/>
      <c r="M110" s="219" t="e">
        <f ca="1">LOG(100*M103)</f>
        <v>#DIV/0!</v>
      </c>
      <c r="N110" s="77"/>
      <c r="O110" s="77"/>
      <c r="P110" s="77"/>
      <c r="Q110" s="77"/>
      <c r="R110" s="77"/>
      <c r="S110" s="77"/>
      <c r="T110" s="77"/>
      <c r="U110" s="77"/>
      <c r="V110" s="77"/>
      <c r="W110" s="77"/>
      <c r="X110" s="77"/>
      <c r="Y110" s="77"/>
      <c r="Z110" s="77"/>
      <c r="AA110" s="77"/>
      <c r="AB110" s="77"/>
      <c r="AC110" s="77"/>
      <c r="AD110" s="77"/>
      <c r="AE110" s="77"/>
      <c r="AF110" s="77"/>
      <c r="AG110" s="77"/>
      <c r="AH110" s="77"/>
      <c r="AI110" s="146"/>
    </row>
  </sheetData>
  <mergeCells count="7">
    <mergeCell ref="A28:C28"/>
    <mergeCell ref="A14:L14"/>
    <mergeCell ref="A24:L24"/>
    <mergeCell ref="B1:C1"/>
    <mergeCell ref="E1:F1"/>
    <mergeCell ref="L4:M4"/>
    <mergeCell ref="A4:K4"/>
  </mergeCells>
  <phoneticPr fontId="2" type="noConversion"/>
  <conditionalFormatting sqref="B20:L20">
    <cfRule type="cellIs" dxfId="11" priority="1" stopIfTrue="1" operator="greaterThanOrEqual">
      <formula>5</formula>
    </cfRule>
    <cfRule type="cellIs" dxfId="10" priority="2" stopIfTrue="1" operator="between">
      <formula>2</formula>
      <formula>5</formula>
    </cfRule>
    <cfRule type="cellIs" dxfId="9" priority="3" stopIfTrue="1" operator="lessThan">
      <formula>2</formula>
    </cfRule>
  </conditionalFormatting>
  <conditionalFormatting sqref="B21:L21">
    <cfRule type="cellIs" dxfId="8" priority="4" stopIfTrue="1" operator="lessThanOrEqual">
      <formula>0.25</formula>
    </cfRule>
    <cfRule type="cellIs" dxfId="7" priority="5" stopIfTrue="1" operator="between">
      <formula>0.25</formula>
      <formula>1</formula>
    </cfRule>
    <cfRule type="cellIs" dxfId="6" priority="6" stopIfTrue="1" operator="greaterThan">
      <formula>1</formula>
    </cfRule>
  </conditionalFormatting>
  <conditionalFormatting sqref="B22:L22">
    <cfRule type="cellIs" dxfId="5" priority="7" stopIfTrue="1" operator="lessThanOrEqual">
      <formula>2</formula>
    </cfRule>
    <cfRule type="cellIs" dxfId="4" priority="8" stopIfTrue="1" operator="between">
      <formula>2</formula>
      <formula>10</formula>
    </cfRule>
    <cfRule type="cellIs" dxfId="3" priority="9" stopIfTrue="1" operator="greaterThan">
      <formula>10</formula>
    </cfRule>
  </conditionalFormatting>
  <conditionalFormatting sqref="B23:L23">
    <cfRule type="cellIs" dxfId="2" priority="10" stopIfTrue="1" operator="greaterThanOrEqual">
      <formula>5</formula>
    </cfRule>
    <cfRule type="cellIs" dxfId="1" priority="11" stopIfTrue="1" operator="between">
      <formula>1</formula>
      <formula>5</formula>
    </cfRule>
    <cfRule type="cellIs" dxfId="0" priority="12" stopIfTrue="1" operator="lessThan">
      <formula>1</formula>
    </cfRule>
  </conditionalFormatting>
  <dataValidations disablePrompts="1" count="1">
    <dataValidation type="list" allowBlank="1" showInputMessage="1" showErrorMessage="1" sqref="M6:M7" xr:uid="{00000000-0002-0000-0400-000000000000}">
      <formula1>$B$56:$G$56</formula1>
    </dataValidation>
  </dataValidations>
  <printOptions horizontalCentered="1"/>
  <pageMargins left="0.59" right="0.43" top="0.98" bottom="0.98" header="0.51" footer="0.51"/>
  <pageSetup scale="73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4103" r:id="rId4" name="TextBox5">
          <controlPr defaultSize="0" autoFill="0" autoLine="0" linkedCell="B29" r:id="rId5">
            <anchor moveWithCells="1">
              <from>
                <xdr:col>0</xdr:col>
                <xdr:colOff>152400</xdr:colOff>
                <xdr:row>28</xdr:row>
                <xdr:rowOff>0</xdr:rowOff>
              </from>
              <to>
                <xdr:col>1</xdr:col>
                <xdr:colOff>333375</xdr:colOff>
                <xdr:row>29</xdr:row>
                <xdr:rowOff>47625</xdr:rowOff>
              </to>
            </anchor>
          </controlPr>
        </control>
      </mc:Choice>
      <mc:Fallback>
        <control shapeId="4103" r:id="rId4" name="TextBox5"/>
      </mc:Fallback>
    </mc:AlternateContent>
    <mc:AlternateContent xmlns:mc="http://schemas.openxmlformats.org/markup-compatibility/2006">
      <mc:Choice Requires="x14">
        <control shapeId="4102" r:id="rId6" name="SpinButton7">
          <controlPr defaultSize="0" autoLine="0" linkedCell="B83" r:id="rId7">
            <anchor moveWithCells="1">
              <from>
                <xdr:col>2</xdr:col>
                <xdr:colOff>200025</xdr:colOff>
                <xdr:row>28</xdr:row>
                <xdr:rowOff>0</xdr:rowOff>
              </from>
              <to>
                <xdr:col>2</xdr:col>
                <xdr:colOff>323850</xdr:colOff>
                <xdr:row>29</xdr:row>
                <xdr:rowOff>57150</xdr:rowOff>
              </to>
            </anchor>
          </controlPr>
        </control>
      </mc:Choice>
      <mc:Fallback>
        <control shapeId="4102" r:id="rId6" name="SpinButton7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E20"/>
  <sheetViews>
    <sheetView windowProtection="1" workbookViewId="0">
      <selection activeCell="C11" sqref="C11"/>
    </sheetView>
  </sheetViews>
  <sheetFormatPr defaultRowHeight="15" x14ac:dyDescent="0.3"/>
  <cols>
    <col min="1" max="1" width="5.75" bestFit="1" customWidth="1"/>
    <col min="2" max="2" width="17.875" customWidth="1"/>
  </cols>
  <sheetData>
    <row r="1" spans="1:1" x14ac:dyDescent="0.3">
      <c r="A1" t="s">
        <v>67</v>
      </c>
    </row>
    <row r="2" spans="1:1" x14ac:dyDescent="0.3">
      <c r="A2" t="s">
        <v>68</v>
      </c>
    </row>
    <row r="20" spans="5:5" x14ac:dyDescent="0.3">
      <c r="E20" s="26"/>
    </row>
  </sheetData>
  <phoneticPr fontId="2" type="noConversion"/>
  <pageMargins left="0.78740157499999996" right="0.78740157499999996" top="0.984251969" bottom="0.984251969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5</vt:i4>
      </vt:variant>
      <vt:variant>
        <vt:lpstr>Intervalos Nomeados</vt:lpstr>
      </vt:variant>
      <vt:variant>
        <vt:i4>2</vt:i4>
      </vt:variant>
    </vt:vector>
  </HeadingPairs>
  <TitlesOfParts>
    <vt:vector size="7" baseType="lpstr">
      <vt:lpstr>DIAG</vt:lpstr>
      <vt:lpstr>Resumo</vt:lpstr>
      <vt:lpstr>Entrada_de_Dados_2</vt:lpstr>
      <vt:lpstr>Diagrama</vt:lpstr>
      <vt:lpstr>Espelho</vt:lpstr>
      <vt:lpstr>Diagrama!Area_de_impressao</vt:lpstr>
      <vt:lpstr>Resumo!Titulos_de_impressao</vt:lpstr>
    </vt:vector>
  </TitlesOfParts>
  <Company>Nortel Networks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Ferramenta de Análise Emergética</dc:title>
  <dc:subject>Análise e Simulação</dc:subject>
  <dc:creator>Flavio Barrella</dc:creator>
  <cp:lastModifiedBy>Henrique</cp:lastModifiedBy>
  <cp:lastPrinted>2023-03-15T16:31:00Z</cp:lastPrinted>
  <dcterms:created xsi:type="dcterms:W3CDTF">2003-07-04T14:12:44Z</dcterms:created>
  <dcterms:modified xsi:type="dcterms:W3CDTF">2023-04-07T01:14:13Z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Proprietário">
    <vt:lpwstr>Flávio Augusto Barrella</vt:lpwstr>
  </property>
</Properties>
</file>