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C48A9F44-91BB-4F93-A5FE-0F5CAB965D7A}" xr6:coauthVersionLast="47" xr6:coauthVersionMax="47" xr10:uidLastSave="{00000000-0000-0000-0000-000000000000}"/>
  <workbookProtection lockWindows="1"/>
  <bookViews>
    <workbookView xWindow="20370" yWindow="-2595" windowWidth="19440" windowHeight="1500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30" i="6" s="1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E230" i="6" l="1"/>
  <c r="AC230" i="6"/>
  <c r="AA230" i="6"/>
  <c r="Y230" i="6"/>
  <c r="W230" i="6"/>
  <c r="U230" i="6"/>
  <c r="S230" i="6"/>
  <c r="K230" i="6"/>
  <c r="Q230" i="6"/>
  <c r="O230" i="6"/>
  <c r="M230" i="6"/>
  <c r="G230" i="6"/>
  <c r="E230" i="6"/>
  <c r="C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218" i="6"/>
  <c r="AA218" i="6"/>
  <c r="AA223" i="6" s="1"/>
  <c r="Y218" i="6"/>
  <c r="AT63" i="1" s="1"/>
  <c r="W218" i="6"/>
  <c r="U218" i="6"/>
  <c r="Q218" i="6"/>
  <c r="AL63" i="1" s="1"/>
  <c r="O218" i="6"/>
  <c r="AJ63" i="1" s="1"/>
  <c r="F218" i="6"/>
  <c r="D218" i="6"/>
  <c r="D223" i="6" s="1"/>
  <c r="M218" i="6"/>
  <c r="AH63" i="1" s="1"/>
  <c r="K218" i="6"/>
  <c r="K223" i="6" s="1"/>
  <c r="C218" i="6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E218" i="6"/>
  <c r="W76" i="1"/>
  <c r="AB218" i="6"/>
  <c r="AB227" i="6" s="1"/>
  <c r="AD231" i="6"/>
  <c r="Z231" i="6"/>
  <c r="V231" i="6"/>
  <c r="R231" i="6"/>
  <c r="N231" i="6"/>
  <c r="J231" i="6"/>
  <c r="F231" i="6"/>
  <c r="I221" i="6"/>
  <c r="I225" i="6"/>
  <c r="Q221" i="6"/>
  <c r="Q225" i="6"/>
  <c r="Y221" i="6"/>
  <c r="Y225" i="6"/>
  <c r="AY64" i="1"/>
  <c r="AS62" i="1"/>
  <c r="X232" i="6"/>
  <c r="X222" i="6"/>
  <c r="X226" i="6"/>
  <c r="AO62" i="1"/>
  <c r="T232" i="6"/>
  <c r="T222" i="6"/>
  <c r="T226" i="6"/>
  <c r="S227" i="6"/>
  <c r="AM64" i="1"/>
  <c r="AK62" i="1"/>
  <c r="P232" i="6"/>
  <c r="P226" i="6"/>
  <c r="P222" i="6"/>
  <c r="AE64" i="1"/>
  <c r="AC62" i="1"/>
  <c r="H232" i="6"/>
  <c r="H226" i="6"/>
  <c r="H222" i="6"/>
  <c r="AB63" i="1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R64" i="1"/>
  <c r="S231" i="6"/>
  <c r="P227" i="6"/>
  <c r="AH62" i="1"/>
  <c r="M226" i="6"/>
  <c r="M222" i="6"/>
  <c r="M232" i="6"/>
  <c r="AD62" i="1"/>
  <c r="I226" i="6"/>
  <c r="I222" i="6"/>
  <c r="I232" i="6"/>
  <c r="G231" i="6"/>
  <c r="E226" i="6"/>
  <c r="E222" i="6"/>
  <c r="E232" i="6"/>
  <c r="W64" i="1"/>
  <c r="C231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B231" i="6"/>
  <c r="AW64" i="1"/>
  <c r="AU62" i="1"/>
  <c r="Z232" i="6"/>
  <c r="Z226" i="6"/>
  <c r="Z222" i="6"/>
  <c r="X231" i="6"/>
  <c r="AS64" i="1"/>
  <c r="AQ62" i="1"/>
  <c r="V232" i="6"/>
  <c r="V226" i="6"/>
  <c r="V222" i="6"/>
  <c r="AP63" i="1"/>
  <c r="U227" i="6"/>
  <c r="U223" i="6"/>
  <c r="T231" i="6"/>
  <c r="AO64" i="1"/>
  <c r="AM62" i="1"/>
  <c r="R232" i="6"/>
  <c r="R226" i="6"/>
  <c r="R222" i="6"/>
  <c r="Q223" i="6"/>
  <c r="P231" i="6"/>
  <c r="AK64" i="1"/>
  <c r="AI62" i="1"/>
  <c r="N232" i="6"/>
  <c r="N226" i="6"/>
  <c r="N222" i="6"/>
  <c r="L231" i="6"/>
  <c r="AG64" i="1"/>
  <c r="AE62" i="1"/>
  <c r="J232" i="6"/>
  <c r="J226" i="6"/>
  <c r="J222" i="6"/>
  <c r="I223" i="6"/>
  <c r="H231" i="6"/>
  <c r="AC64" i="1"/>
  <c r="F232" i="6"/>
  <c r="F226" i="6"/>
  <c r="F222" i="6"/>
  <c r="D231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U64" i="1"/>
  <c r="AR63" i="1"/>
  <c r="AQ64" i="1"/>
  <c r="AI64" i="1"/>
  <c r="AG62" i="1"/>
  <c r="L232" i="6"/>
  <c r="L226" i="6"/>
  <c r="L222" i="6"/>
  <c r="C227" i="6"/>
  <c r="C223" i="6"/>
  <c r="J225" i="6"/>
  <c r="J221" i="6"/>
  <c r="R225" i="6"/>
  <c r="R221" i="6"/>
  <c r="Z225" i="6"/>
  <c r="Z221" i="6"/>
  <c r="AE231" i="6"/>
  <c r="AZ64" i="1"/>
  <c r="AX62" i="1"/>
  <c r="AC226" i="6"/>
  <c r="AC222" i="6"/>
  <c r="AC232" i="6"/>
  <c r="AV64" i="1"/>
  <c r="W231" i="6"/>
  <c r="AP62" i="1"/>
  <c r="U226" i="6"/>
  <c r="U222" i="6"/>
  <c r="U232" i="6"/>
  <c r="AN64" i="1"/>
  <c r="AL62" i="1"/>
  <c r="Q226" i="6"/>
  <c r="Q222" i="6"/>
  <c r="Q232" i="6"/>
  <c r="O231" i="6"/>
  <c r="AJ64" i="1"/>
  <c r="K231" i="6"/>
  <c r="AF64" i="1"/>
  <c r="AC63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C231" i="6"/>
  <c r="AX64" i="1"/>
  <c r="AV62" i="1"/>
  <c r="AA226" i="6"/>
  <c r="AA222" i="6"/>
  <c r="AA232" i="6"/>
  <c r="Y231" i="6"/>
  <c r="AT64" i="1"/>
  <c r="AR62" i="1"/>
  <c r="W226" i="6"/>
  <c r="W222" i="6"/>
  <c r="W232" i="6"/>
  <c r="AQ63" i="1"/>
  <c r="U231" i="6"/>
  <c r="AP64" i="1"/>
  <c r="AN62" i="1"/>
  <c r="S226" i="6"/>
  <c r="S222" i="6"/>
  <c r="S232" i="6"/>
  <c r="Q231" i="6"/>
  <c r="AL64" i="1"/>
  <c r="AJ62" i="1"/>
  <c r="O226" i="6"/>
  <c r="O222" i="6"/>
  <c r="O232" i="6"/>
  <c r="M231" i="6"/>
  <c r="AH64" i="1"/>
  <c r="AF62" i="1"/>
  <c r="K226" i="6"/>
  <c r="K222" i="6"/>
  <c r="K232" i="6"/>
  <c r="AE63" i="1"/>
  <c r="I231" i="6"/>
  <c r="AD64" i="1"/>
  <c r="AB62" i="1"/>
  <c r="G226" i="6"/>
  <c r="G222" i="6"/>
  <c r="G232" i="6"/>
  <c r="F227" i="6"/>
  <c r="F223" i="6"/>
  <c r="E231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M223" i="6" l="1"/>
  <c r="Q227" i="6"/>
  <c r="O223" i="6"/>
  <c r="AZ63" i="1"/>
  <c r="AN69" i="1"/>
  <c r="Y223" i="6"/>
  <c r="O227" i="6"/>
  <c r="O236" i="6" s="1"/>
  <c r="Y227" i="6"/>
  <c r="Y236" i="6" s="1"/>
  <c r="L223" i="6"/>
  <c r="D227" i="6"/>
  <c r="D236" i="6" s="1"/>
  <c r="G223" i="6"/>
  <c r="AW63" i="1"/>
  <c r="AC227" i="6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R223" i="6"/>
  <c r="AU63" i="1"/>
  <c r="K227" i="6"/>
  <c r="K236" i="6" s="1"/>
  <c r="Z233" i="6"/>
  <c r="L233" i="6"/>
  <c r="M227" i="6"/>
  <c r="M236" i="6" s="1"/>
  <c r="T220" i="6"/>
  <c r="B231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V233" i="6"/>
  <c r="E227" i="6"/>
  <c r="E236" i="6" s="1"/>
  <c r="H220" i="6"/>
  <c r="I227" i="6"/>
  <c r="I229" i="6" s="1"/>
  <c r="AN63" i="1"/>
  <c r="AD69" i="1"/>
  <c r="I220" i="6"/>
  <c r="AY63" i="1"/>
  <c r="B227" i="6"/>
  <c r="E233" i="6"/>
  <c r="AC233" i="6"/>
  <c r="AB233" i="6"/>
  <c r="AC223" i="6"/>
  <c r="J223" i="6"/>
  <c r="AB223" i="6"/>
  <c r="J233" i="6"/>
  <c r="E220" i="6"/>
  <c r="V236" i="6"/>
  <c r="F220" i="6"/>
  <c r="M228" i="6"/>
  <c r="AT69" i="1"/>
  <c r="K233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X69" i="1"/>
  <c r="H229" i="6"/>
  <c r="AY69" i="1"/>
  <c r="AG69" i="1"/>
  <c r="J236" i="6"/>
  <c r="W233" i="6"/>
  <c r="Z236" i="6"/>
  <c r="AZ69" i="1"/>
  <c r="AW69" i="1"/>
  <c r="U229" i="6"/>
  <c r="C233" i="6"/>
  <c r="H236" i="6"/>
  <c r="S220" i="6"/>
  <c r="L228" i="6"/>
  <c r="W229" i="6"/>
  <c r="AB228" i="6"/>
  <c r="S236" i="6"/>
  <c r="C236" i="6"/>
  <c r="P236" i="6"/>
  <c r="G229" i="6"/>
  <c r="G236" i="6"/>
  <c r="AE229" i="6"/>
  <c r="AE236" i="6"/>
  <c r="Q228" i="6"/>
  <c r="AC236" i="6"/>
  <c r="L236" i="6"/>
  <c r="T228" i="6"/>
  <c r="AC228" i="6"/>
  <c r="U236" i="6"/>
  <c r="AA228" i="6"/>
  <c r="S228" i="6"/>
  <c r="K228" i="6"/>
  <c r="D228" i="6"/>
  <c r="Z228" i="6"/>
  <c r="Z229" i="6"/>
  <c r="N233" i="6"/>
  <c r="T233" i="6"/>
  <c r="C220" i="6"/>
  <c r="AD228" i="6"/>
  <c r="N228" i="6"/>
  <c r="N229" i="6"/>
  <c r="R233" i="6"/>
  <c r="R220" i="6"/>
  <c r="B221" i="6"/>
  <c r="B225" i="6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L229" i="6"/>
  <c r="D229" i="6"/>
  <c r="G220" i="6"/>
  <c r="O220" i="6"/>
  <c r="AC229" i="6"/>
  <c r="R228" i="6"/>
  <c r="R229" i="6"/>
  <c r="C229" i="6"/>
  <c r="AA229" i="6"/>
  <c r="U228" i="6"/>
  <c r="E228" i="6"/>
  <c r="P233" i="6"/>
  <c r="P220" i="6"/>
  <c r="X233" i="6"/>
  <c r="AE228" i="6"/>
  <c r="W228" i="6"/>
  <c r="O228" i="6"/>
  <c r="G228" i="6"/>
  <c r="V228" i="6"/>
  <c r="V229" i="6"/>
  <c r="F228" i="6"/>
  <c r="F229" i="6"/>
  <c r="F233" i="6"/>
  <c r="Y228" i="6"/>
  <c r="I228" i="6"/>
  <c r="J228" i="6"/>
  <c r="J229" i="6"/>
  <c r="L220" i="6"/>
  <c r="H228" i="6"/>
  <c r="AH69" i="1"/>
  <c r="AO69" i="1"/>
  <c r="AU69" i="1"/>
  <c r="AE69" i="1"/>
  <c r="M220" i="6"/>
  <c r="M233" i="6"/>
  <c r="S233" i="6"/>
  <c r="U220" i="6"/>
  <c r="U233" i="6"/>
  <c r="K220" i="6"/>
  <c r="Q229" i="6"/>
  <c r="AA220" i="6"/>
  <c r="Z220" i="6"/>
  <c r="D233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O229" i="6" l="1"/>
  <c r="Y229" i="6"/>
  <c r="J220" i="6"/>
  <c r="B236" i="6"/>
  <c r="X236" i="6"/>
  <c r="V220" i="6"/>
  <c r="AD229" i="6"/>
  <c r="E229" i="6"/>
  <c r="M229" i="6"/>
  <c r="AE233" i="6"/>
  <c r="K229" i="6"/>
  <c r="H233" i="6"/>
  <c r="I233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61" i="6" l="1"/>
  <c r="B260" i="6"/>
  <c r="U47" i="6"/>
  <c r="N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62" i="6" l="1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<sst xmlns="http://schemas.openxmlformats.org/spreadsheetml/2006/main" count="651" uniqueCount="170">
  <si>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</si>
  <si>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</si>
  <si>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</si>
  <si>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</si>
  <si>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</si>
  <si>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</si>
  <si>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</si>
  <si>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</si>
  <si>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</si>
  <si>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</si>
  <si>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</si>
  <si>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</si>
  <si>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</si>
  <si>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</si>
  <si>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</si>
  <si>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</si>
  <si>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</si>
  <si>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</si>
  <si>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</si>
  <si>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</si>
  <si>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</si>
  <si>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</si>
  <si>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</si>
  <si>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</si>
  <si>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</si>
  <si>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</si>
  <si>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</si>
  <si>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</si>
  <si>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</si>
  <si>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</si>
  <si>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</si>
  <si>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</si>
  <si>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</si>
  <si>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</si>
  <si>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</si>
  <si>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</si>
  <si>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</si>
  <si>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</si>
  <si>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</si>
  <si>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</si>
  <si>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</si>
  <si>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</si>
  <si>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</si>
  <si>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</si>
  <si>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</si>
  <si>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</si>
  <si>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</si>
  <si>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</si>
  <si>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</si>
  <si>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</si>
  <si>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</si>
  <si>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</si>
  <si>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</si>
  <si>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</si>
  <si>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</si>
  <si>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</si>
  <si>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</si>
  <si>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</si>
  <si>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</si>
  <si>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</si>
  <si>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</si>
  <si>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</si>
  <si>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</si>
  <si>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</si>
  <si>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</si>
  <si>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</si>
  <si>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</si>
  <si>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</si>
  <si>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</si>
  <si>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</si>
  <si>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</si>
  <si>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</si>
  <si>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</si>
  <si>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</si>
  <si>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</si>
  <si>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</si>
  <si>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</si>
  <si>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</si>
  <si>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</si>
  <si>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</si>
  <si>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</si>
  <si>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</si>
  <si>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</si>
  <si>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</si>
  <si>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</si>
  <si>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</si>
  <si>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</si>
  <si>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</si>
  <si>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</si>
  <si>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</si>
  <si>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</si>
  <si>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</si>
  <si>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</si>
  <si>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</si>
  <si>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</si>
  <si>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</si>
  <si>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</si>
  <si>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</si>
  <si>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</si>
  <si>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</si>
  <si>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</si>
  <si>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</si>
  <si>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</si>
  <si>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</si>
  <si>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</si>
  <si>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</si>
  <si>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</si>
  <si>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</si>
  <si>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</si>
  <si>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</si>
  <si>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</si>
  <si>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</si>
  <si>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</si>
  <si>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</si>
  <si>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</si>
  <si>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</si>
  <si>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</si>
  <si>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</si>
  <si>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</si>
  <si>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</si>
  <si>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</si>
  <si>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</si>
  <si>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</si>
  <si>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</si>
  <si>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</si>
  <si>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</si>
  <si>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</si>
  <si>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</si>
  <si>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</si>
  <si>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</si>
  <si>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</si>
  <si>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</si>
  <si>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</si>
  <si>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</si>
  <si>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</si>
  <si>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</si>
  <si>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</si>
  <si>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</si>
  <si>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</si>
  <si>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</si>
  <si>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</si>
  <si>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</si>
  <si>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</si>
  <si>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</si>
  <si>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</si>
  <si>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</si>
  <si>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</si>
  <si>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</si>
  <si>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</si>
  <si>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</si>
  <si>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</si>
  <si>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</si>
  <si>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</si>
  <si>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</si>
  <si>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</si>
  <si>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</si>
  <si>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</si>
  <si>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</si>
  <si>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</si>
  <si>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</si>
  <si>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</si>
  <si>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</t>
  </si>
  <si>
    <t>K:\André\testes\Novo\Dados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</si>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</sst>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zoomScale="70" zoomScaleNormal="70" workbookViewId="0">
      <selection activeCell="P19" sqref="P19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6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1</v>
      </c>
      <c r="H37" s="223" t="b">
        <v>1</v>
      </c>
      <c r="I37" s="223" t="b">
        <v>1</v>
      </c>
      <c r="K37" s="231">
        <v>1</v>
      </c>
      <c r="L37" s="231" t="s">
        <v>163</v>
      </c>
      <c r="M37" s="231" t="s">
        <v>163</v>
      </c>
      <c r="N37" s="231" t="s">
        <v>163</v>
      </c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1</v>
      </c>
      <c r="H38" s="223" t="b">
        <v>1</v>
      </c>
      <c r="I38" s="223" t="b">
        <v>1</v>
      </c>
      <c r="K38" s="231">
        <v>2</v>
      </c>
      <c r="L38" s="231" t="s">
        <v>164</v>
      </c>
      <c r="M38" s="231" t="s">
        <v>164</v>
      </c>
      <c r="N38" s="231" t="s">
        <v>164</v>
      </c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1</v>
      </c>
      <c r="H39" s="223" t="b">
        <v>1</v>
      </c>
      <c r="I39" s="223" t="b">
        <v>1</v>
      </c>
      <c r="K39" s="231">
        <v>3</v>
      </c>
      <c r="L39" s="231" t="s">
        <v>165</v>
      </c>
      <c r="M39" s="231" t="s">
        <v>165</v>
      </c>
      <c r="N39" s="231" t="s">
        <v>165</v>
      </c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1</v>
      </c>
      <c r="H40" s="223" t="b">
        <v>1</v>
      </c>
      <c r="I40" s="223" t="b">
        <v>1</v>
      </c>
      <c r="K40" s="231">
        <v>4</v>
      </c>
      <c r="L40" s="231" t="s">
        <v>166</v>
      </c>
      <c r="M40" s="231" t="s">
        <v>166</v>
      </c>
      <c r="N40" s="231" t="s">
        <v>166</v>
      </c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1</v>
      </c>
      <c r="H41" s="223" t="b">
        <v>1</v>
      </c>
      <c r="I41" s="223" t="b">
        <v>1</v>
      </c>
      <c r="K41" s="231">
        <v>5</v>
      </c>
      <c r="L41" s="231" t="s">
        <v>167</v>
      </c>
      <c r="M41" s="231" t="s">
        <v>167</v>
      </c>
      <c r="N41" s="231" t="s">
        <v>167</v>
      </c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1</v>
      </c>
      <c r="H42" s="223" t="b">
        <v>1</v>
      </c>
      <c r="I42" s="223" t="b">
        <v>1</v>
      </c>
      <c r="K42" s="231">
        <v>6</v>
      </c>
      <c r="L42" s="231" t="s">
        <v>168</v>
      </c>
      <c r="M42" s="231" t="s">
        <v>168</v>
      </c>
      <c r="N42" s="231" t="s">
        <v>168</v>
      </c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162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2</v>
      </c>
      <c r="U53" s="223">
        <v>2</v>
      </c>
      <c r="V53" s="223">
        <v>2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W55" s="222" t="s">
        <v>54</v>
      </c>
      <c r="X55" s="222" t="s">
        <v>54</v>
      </c>
      <c r="Y55" s="222" t="s">
        <v>54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2</v>
      </c>
      <c r="X56" s="222">
        <v>2</v>
      </c>
      <c r="Y56" s="222">
        <v>2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T57" s="223" t="s">
        <v>163</v>
      </c>
      <c r="U57" s="223" t="s">
        <v>163</v>
      </c>
      <c r="V57" s="223" t="s">
        <v>163</v>
      </c>
      <c r="W57" s="222" t="s">
        <v>161</v>
      </c>
      <c r="X57" s="222" t="s">
        <v>161</v>
      </c>
      <c r="Y57" s="222" t="s">
        <v>161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3</v>
      </c>
      <c r="X58" s="222">
        <v>3</v>
      </c>
      <c r="Y58" s="222">
        <v>3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T59" s="223" t="s">
        <v>163</v>
      </c>
      <c r="U59" s="223" t="s">
        <v>163</v>
      </c>
      <c r="V59" s="223" t="s">
        <v>163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17.329999999999998</v>
      </c>
      <c r="U61" s="232">
        <v>17.329999999999998</v>
      </c>
      <c r="V61" s="232">
        <v>17.329999999999998</v>
      </c>
      <c r="W61" s="233">
        <f>Diagrama!B212</f>
        <v>17.329999999999998</v>
      </c>
      <c r="X61" s="233">
        <f>Diagrama!C212</f>
        <v>17.329999999999998</v>
      </c>
      <c r="Y61" s="233">
        <f>Diagrama!D212</f>
        <v>17.329999999999998</v>
      </c>
      <c r="Z61" s="233">
        <f>Diagrama!E212</f>
        <v>17.329999999999998</v>
      </c>
      <c r="AA61" s="233">
        <f>Diagrama!F212</f>
        <v>17.329999999999998</v>
      </c>
      <c r="AB61" s="233">
        <f>Diagrama!G212</f>
        <v>17.329999999999998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0.73</v>
      </c>
      <c r="U62" s="232">
        <v>0.73</v>
      </c>
      <c r="V62" s="232">
        <v>0.73</v>
      </c>
      <c r="W62" s="233">
        <f>Diagrama!B213</f>
        <v>0.73</v>
      </c>
      <c r="X62" s="233">
        <f>Diagrama!C213</f>
        <v>1.93</v>
      </c>
      <c r="Y62" s="233">
        <f>Diagrama!D213</f>
        <v>1.7</v>
      </c>
      <c r="Z62" s="233">
        <f>Diagrama!E213</f>
        <v>1.1399999999999999</v>
      </c>
      <c r="AA62" s="233">
        <f>Diagrama!F213</f>
        <v>8.02</v>
      </c>
      <c r="AB62" s="233">
        <f>Diagrama!G213</f>
        <v>3.23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12.14</v>
      </c>
      <c r="U63" s="232">
        <v>12.14</v>
      </c>
      <c r="V63" s="232">
        <v>12.14</v>
      </c>
      <c r="W63" s="233">
        <f>Diagrama!B218</f>
        <v>12.14</v>
      </c>
      <c r="X63" s="233">
        <f>Diagrama!C218</f>
        <v>32.230000000000004</v>
      </c>
      <c r="Y63" s="233">
        <f>Diagrama!D218</f>
        <v>51.61</v>
      </c>
      <c r="Z63" s="233">
        <f>Diagrama!E218</f>
        <v>49.290000000000006</v>
      </c>
      <c r="AA63" s="233">
        <f>Diagrama!F218</f>
        <v>19.159999999999997</v>
      </c>
      <c r="AB63" s="233">
        <f>Diagrama!G218</f>
        <v>26.849999999999998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53.709999999999994</v>
      </c>
      <c r="U64" s="232">
        <v>53.709999999999994</v>
      </c>
      <c r="V64" s="232">
        <v>53.709999999999994</v>
      </c>
      <c r="W64" s="233">
        <f>Diagrama!B219</f>
        <v>53.709999999999994</v>
      </c>
      <c r="X64" s="233">
        <f>Diagrama!C219</f>
        <v>59.370000000000005</v>
      </c>
      <c r="Y64" s="233">
        <f>Diagrama!D219</f>
        <v>80.28</v>
      </c>
      <c r="Z64" s="233">
        <f>Diagrama!E219</f>
        <v>84.25</v>
      </c>
      <c r="AA64" s="233">
        <f>Diagrama!F219</f>
        <v>54.019999999999996</v>
      </c>
      <c r="AB64" s="233">
        <f>Diagrama!G219</f>
        <v>118.28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1.5065918653576436</v>
      </c>
      <c r="U65" s="235">
        <v>1.5065918653576436</v>
      </c>
      <c r="V65" s="234">
        <v>1.5065918653576436</v>
      </c>
      <c r="W65" s="236">
        <f>Diagrama!B230</f>
        <v>1.5065918653576436</v>
      </c>
      <c r="X65" s="236">
        <f>Diagrama!C230</f>
        <v>1.4801795063575169</v>
      </c>
      <c r="Y65" s="236">
        <f>Diagrama!D230</f>
        <v>1.3106938775510204</v>
      </c>
      <c r="Z65" s="236">
        <f>Diagrama!E230</f>
        <v>1.280784432958346</v>
      </c>
      <c r="AA65" s="236">
        <f>Diagrama!F230</f>
        <v>1.8841995116846875</v>
      </c>
      <c r="AB65" s="236">
        <f>Diagrama!G230</f>
        <v>1.2103970528039298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1.9739756367663346</v>
      </c>
      <c r="U66" s="235">
        <v>1.9739756367663346</v>
      </c>
      <c r="V66" s="234">
        <v>1.9739756367663346</v>
      </c>
      <c r="W66" s="236">
        <f>Diagrama!B231</f>
        <v>1.9739756367663346</v>
      </c>
      <c r="X66" s="236">
        <f>Diagrama!C231</f>
        <v>1.187546057479735</v>
      </c>
      <c r="Y66" s="236">
        <f>Diagrama!D231</f>
        <v>1.8001395186606211</v>
      </c>
      <c r="Z66" s="236">
        <f>Diagrama!E231</f>
        <v>1.4098970251716252</v>
      </c>
      <c r="AA66" s="236">
        <f>Diagrama!F231</f>
        <v>0.54962707974756153</v>
      </c>
      <c r="AB66" s="236">
        <f>Diagrama!G231</f>
        <v>0.29366728644864926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0.31513222331047996</v>
      </c>
      <c r="U67" s="235">
        <v>0.31513222331047996</v>
      </c>
      <c r="V67" s="234">
        <v>0.31513222331047996</v>
      </c>
      <c r="W67" s="236">
        <f>Diagrama!B232</f>
        <v>0.31513222331047996</v>
      </c>
      <c r="X67" s="236">
        <f>Diagrama!C232</f>
        <v>1.3550178500595005</v>
      </c>
      <c r="Y67" s="236">
        <f>Diagrama!D232</f>
        <v>1.9766407119021137</v>
      </c>
      <c r="Z67" s="236">
        <f>Diagrama!E232</f>
        <v>1.4911295091661743</v>
      </c>
      <c r="AA67" s="236">
        <f>Diagrama!F232</f>
        <v>1.0126676602086437</v>
      </c>
      <c r="AB67" s="236">
        <f>Diagrama!G232</f>
        <v>0.34104308390022681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4.7808245362242543</v>
      </c>
      <c r="U68" s="235">
        <v>4.7808245362242543</v>
      </c>
      <c r="V68" s="234">
        <v>4.7808245362242543</v>
      </c>
      <c r="W68" s="236">
        <f>Diagrama!B233</f>
        <v>4.7808245362242543</v>
      </c>
      <c r="X68" s="236">
        <f>Diagrama!C233</f>
        <v>1.092369009229303</v>
      </c>
      <c r="Y68" s="236">
        <f>Diagrama!D233</f>
        <v>0.66309161278467488</v>
      </c>
      <c r="Z68" s="236">
        <f>Diagrama!E233</f>
        <v>0.85893574306268594</v>
      </c>
      <c r="AA68" s="236">
        <f>Diagrama!F233</f>
        <v>1.8606296870352104</v>
      </c>
      <c r="AB68" s="236">
        <f>Diagrama!G233</f>
        <v>3.5491030604157778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76.037981753863335</v>
      </c>
      <c r="U69" s="235">
        <v>76.037981753863335</v>
      </c>
      <c r="V69" s="237">
        <v>76.037981753863335</v>
      </c>
      <c r="W69" s="238">
        <f>100*(W61+W76+W78)/W64</f>
        <v>76.037981753863335</v>
      </c>
      <c r="X69" s="238">
        <f t="shared" ref="X69:AZ69" si="0">100*(X61+X76+X78)/X64</f>
        <v>42.462523159845027</v>
      </c>
      <c r="Y69" s="238">
        <f t="shared" si="0"/>
        <v>33.594917787742901</v>
      </c>
      <c r="Z69" s="238">
        <f t="shared" si="0"/>
        <v>40.142433234421354</v>
      </c>
      <c r="AA69" s="238">
        <f t="shared" si="0"/>
        <v>49.685301740096264</v>
      </c>
      <c r="AB69" s="238">
        <f t="shared" si="0"/>
        <v>74.568819749746353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5.1100000000000003</v>
      </c>
      <c r="W76" s="240">
        <f>Diagrama!B214</f>
        <v>5.1100000000000003</v>
      </c>
      <c r="X76" s="240">
        <f>Diagrama!C214</f>
        <v>0.38</v>
      </c>
      <c r="Y76" s="240">
        <f>Diagrama!D214</f>
        <v>0.14000000000000001</v>
      </c>
      <c r="Z76" s="240">
        <f>Diagrama!E214</f>
        <v>1.24</v>
      </c>
      <c r="AA76" s="240">
        <f>Diagrama!F214</f>
        <v>0.21</v>
      </c>
      <c r="AB76" s="240">
        <f>Diagrama!G214</f>
        <v>12.29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4.8499999999999996</v>
      </c>
      <c r="W77" s="240">
        <f>Diagrama!B215</f>
        <v>4.8499999999999996</v>
      </c>
      <c r="X77" s="240">
        <f>Diagrama!C215</f>
        <v>15.06</v>
      </c>
      <c r="Y77" s="240">
        <f>Diagrama!D215</f>
        <v>26.09</v>
      </c>
      <c r="Z77" s="240">
        <f>Diagrama!E215</f>
        <v>21.17</v>
      </c>
      <c r="AA77" s="240">
        <f>Diagrama!F215</f>
        <v>8.1199999999999992</v>
      </c>
      <c r="AB77" s="240">
        <f>Diagrama!G215</f>
        <v>8.36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18.399999999999999</v>
      </c>
      <c r="W78" s="240">
        <f>Diagrama!B216</f>
        <v>18.399999999999999</v>
      </c>
      <c r="X78" s="240">
        <f>Diagrama!C216</f>
        <v>7.5</v>
      </c>
      <c r="Y78" s="240">
        <f>Diagrama!D216</f>
        <v>9.5</v>
      </c>
      <c r="Z78" s="240">
        <f>Diagrama!E216</f>
        <v>15.25</v>
      </c>
      <c r="AA78" s="240">
        <f>Diagrama!F216</f>
        <v>9.3000000000000007</v>
      </c>
      <c r="AB78" s="240">
        <f>Diagrama!G216</f>
        <v>58.58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7.29</v>
      </c>
      <c r="W79" s="240">
        <f>Diagrama!B217</f>
        <v>7.29</v>
      </c>
      <c r="X79" s="240">
        <f>Diagrama!C217</f>
        <v>17.170000000000002</v>
      </c>
      <c r="Y79" s="240">
        <f>Diagrama!D217</f>
        <v>25.52</v>
      </c>
      <c r="Z79" s="240">
        <f>Diagrama!E217</f>
        <v>28.12</v>
      </c>
      <c r="AA79" s="240">
        <f>Diagrama!F217</f>
        <v>11.04</v>
      </c>
      <c r="AB79" s="240">
        <f>Diagrama!G217</f>
        <v>18.489999999999998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tabSelected="1" zoomScaleNormal="100" workbookViewId="0">
      <selection activeCell="J4" sqref="J4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A2" s="202">
        <v>1</v>
      </c>
      <c r="B2" s="203" t="s">
        <v>163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1.5428571428571429</v>
      </c>
      <c r="K2" s="205"/>
    </row>
    <row r="3" spans="1:12" x14ac:dyDescent="0.2">
      <c r="A3" s="202">
        <v>1</v>
      </c>
      <c r="B3" s="203" t="s">
        <v>163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1.9444444444444444</v>
      </c>
      <c r="K3" s="205"/>
    </row>
    <row r="4" spans="1:12" x14ac:dyDescent="0.2">
      <c r="A4" s="202">
        <v>1</v>
      </c>
      <c r="B4" s="203" t="s">
        <v>163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0.32500000000000001</v>
      </c>
      <c r="K4" s="205"/>
    </row>
    <row r="5" spans="1:12" x14ac:dyDescent="0.2">
      <c r="A5" s="202">
        <v>1</v>
      </c>
      <c r="B5" s="196" t="s">
        <v>163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4.7472527472527473</v>
      </c>
      <c r="K5" s="205"/>
    </row>
    <row r="6" spans="1:12" x14ac:dyDescent="0.2">
      <c r="A6" s="202">
        <v>1</v>
      </c>
      <c r="B6" s="196" t="s">
        <v>163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74.074074074074076</v>
      </c>
      <c r="K6" s="205"/>
    </row>
    <row r="7" spans="1:12" x14ac:dyDescent="0.2">
      <c r="A7" s="202">
        <v>1</v>
      </c>
      <c r="B7" s="203" t="s">
        <v>163</v>
      </c>
      <c r="E7" s="205" t="s">
        <v>149</v>
      </c>
      <c r="G7" s="204">
        <v>7.29</v>
      </c>
      <c r="H7" s="220">
        <v>0.13572891454105382</v>
      </c>
    </row>
    <row r="8" spans="1:12" x14ac:dyDescent="0.2">
      <c r="A8" s="202">
        <v>1</v>
      </c>
      <c r="B8" s="203" t="s">
        <v>163</v>
      </c>
      <c r="E8" s="205" t="s">
        <v>6</v>
      </c>
      <c r="G8" s="204">
        <v>35</v>
      </c>
      <c r="H8" s="220">
        <v>0.65164773785142438</v>
      </c>
    </row>
    <row r="9" spans="1:12" x14ac:dyDescent="0.2">
      <c r="A9" s="202">
        <v>1</v>
      </c>
      <c r="B9" s="203" t="s">
        <v>163</v>
      </c>
      <c r="E9" s="205" t="s">
        <v>169</v>
      </c>
      <c r="G9" s="204">
        <v>53.709999999999994</v>
      </c>
      <c r="H9" s="220">
        <v>1</v>
      </c>
    </row>
    <row r="12" spans="1:12" x14ac:dyDescent="0.2">
      <c r="A12" s="202">
        <v>2</v>
      </c>
      <c r="B12" s="203" t="s">
        <v>164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1.4750000000000001</v>
      </c>
      <c r="K12" s="205"/>
    </row>
    <row r="13" spans="1:12" x14ac:dyDescent="0.2">
      <c r="A13" s="202">
        <v>2</v>
      </c>
      <c r="B13" s="203" t="s">
        <v>164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2.1052631578947367</v>
      </c>
      <c r="K13" s="205"/>
    </row>
    <row r="14" spans="1:12" x14ac:dyDescent="0.2">
      <c r="A14" s="202">
        <v>2</v>
      </c>
      <c r="B14" s="203" t="s">
        <v>164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1.36</v>
      </c>
      <c r="K14" s="205"/>
    </row>
    <row r="15" spans="1:12" x14ac:dyDescent="0.2">
      <c r="A15" s="202">
        <v>2</v>
      </c>
      <c r="B15" s="196" t="s">
        <v>164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1.0845588235294117</v>
      </c>
      <c r="K15" s="205"/>
    </row>
    <row r="16" spans="1:12" x14ac:dyDescent="0.2">
      <c r="A16" s="202">
        <v>2</v>
      </c>
      <c r="B16" s="196" t="s">
        <v>164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42.372881355932201</v>
      </c>
    </row>
    <row r="17" spans="1:11" x14ac:dyDescent="0.2">
      <c r="A17" s="202">
        <v>2</v>
      </c>
      <c r="B17" s="203" t="s">
        <v>164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">
      <c r="A18" s="202">
        <v>2</v>
      </c>
      <c r="B18" s="203" t="s">
        <v>164</v>
      </c>
      <c r="E18" s="205" t="s">
        <v>6</v>
      </c>
      <c r="G18" s="204">
        <v>40</v>
      </c>
      <c r="H18" s="220">
        <v>0.6737409466060299</v>
      </c>
    </row>
    <row r="19" spans="1:11" x14ac:dyDescent="0.2">
      <c r="A19" s="202">
        <v>2</v>
      </c>
      <c r="B19" s="203" t="s">
        <v>164</v>
      </c>
      <c r="E19" s="205" t="s">
        <v>169</v>
      </c>
      <c r="G19" s="204">
        <v>59.370000000000005</v>
      </c>
      <c r="H19" s="220">
        <v>1</v>
      </c>
    </row>
    <row r="22" spans="1:11" x14ac:dyDescent="0.2">
      <c r="A22" s="202">
        <v>3</v>
      </c>
      <c r="B22" s="203" t="s">
        <v>165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1.2903225806451613</v>
      </c>
      <c r="K22" s="205"/>
    </row>
    <row r="23" spans="1:11" x14ac:dyDescent="0.2">
      <c r="A23" s="202">
        <v>3</v>
      </c>
      <c r="B23" s="203" t="s">
        <v>165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3.263157894736842</v>
      </c>
      <c r="K23" s="205"/>
    </row>
    <row r="24" spans="1:11" x14ac:dyDescent="0.2">
      <c r="A24" s="202">
        <v>3</v>
      </c>
      <c r="B24" s="203" t="s">
        <v>165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2</v>
      </c>
      <c r="K24" s="205"/>
    </row>
    <row r="25" spans="1:11" x14ac:dyDescent="0.2">
      <c r="A25" s="202">
        <v>3</v>
      </c>
      <c r="B25" s="196" t="s">
        <v>165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0.64516129032258063</v>
      </c>
      <c r="K25" s="205"/>
    </row>
    <row r="26" spans="1:11" x14ac:dyDescent="0.2">
      <c r="A26" s="202">
        <v>3</v>
      </c>
      <c r="B26" s="196" t="s">
        <v>165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33.75</v>
      </c>
    </row>
    <row r="27" spans="1:11" x14ac:dyDescent="0.2">
      <c r="A27" s="202">
        <v>3</v>
      </c>
      <c r="B27" s="203" t="s">
        <v>165</v>
      </c>
      <c r="E27" s="205" t="s">
        <v>149</v>
      </c>
      <c r="G27" s="204">
        <v>25.52</v>
      </c>
      <c r="H27" s="220">
        <v>0.31788739412057798</v>
      </c>
    </row>
    <row r="28" spans="1:11" x14ac:dyDescent="0.2">
      <c r="A28" s="202">
        <v>3</v>
      </c>
      <c r="B28" s="203" t="s">
        <v>165</v>
      </c>
      <c r="E28" s="205" t="s">
        <v>6</v>
      </c>
      <c r="G28" s="204">
        <v>62</v>
      </c>
      <c r="H28" s="220">
        <v>0.77229696063776776</v>
      </c>
    </row>
    <row r="29" spans="1:11" x14ac:dyDescent="0.2">
      <c r="A29" s="202">
        <v>3</v>
      </c>
      <c r="B29" s="203" t="s">
        <v>165</v>
      </c>
      <c r="E29" s="205" t="s">
        <v>169</v>
      </c>
      <c r="G29" s="204">
        <v>80.28</v>
      </c>
      <c r="H29" s="220">
        <v>1</v>
      </c>
    </row>
    <row r="32" spans="1:11" x14ac:dyDescent="0.2">
      <c r="A32" s="202">
        <v>4</v>
      </c>
      <c r="B32" s="203" t="s">
        <v>166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1.2923076923076924</v>
      </c>
      <c r="K32" s="205"/>
    </row>
    <row r="33" spans="1:11" x14ac:dyDescent="0.2">
      <c r="A33" s="202">
        <v>4</v>
      </c>
      <c r="B33" s="203" t="s">
        <v>166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3.6111111111111112</v>
      </c>
      <c r="K33" s="205"/>
    </row>
    <row r="34" spans="1:11" x14ac:dyDescent="0.2">
      <c r="A34" s="202">
        <v>4</v>
      </c>
      <c r="B34" s="203" t="s">
        <v>166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1.5151515151515151</v>
      </c>
      <c r="K34" s="205"/>
    </row>
    <row r="35" spans="1:11" x14ac:dyDescent="0.2">
      <c r="A35" s="202">
        <v>4</v>
      </c>
      <c r="B35" s="196" t="s">
        <v>166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0.85292307692307701</v>
      </c>
      <c r="K35" s="205"/>
    </row>
    <row r="36" spans="1:11" x14ac:dyDescent="0.2">
      <c r="A36" s="202">
        <v>4</v>
      </c>
      <c r="B36" s="196" t="s">
        <v>166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39.285714285714285</v>
      </c>
    </row>
    <row r="37" spans="1:11" x14ac:dyDescent="0.2">
      <c r="A37" s="202">
        <v>4</v>
      </c>
      <c r="B37" s="203" t="s">
        <v>166</v>
      </c>
      <c r="E37" s="205" t="s">
        <v>149</v>
      </c>
      <c r="G37" s="204">
        <v>28.12</v>
      </c>
      <c r="H37" s="220">
        <v>0.3337685459940653</v>
      </c>
    </row>
    <row r="38" spans="1:11" x14ac:dyDescent="0.2">
      <c r="A38" s="202">
        <v>4</v>
      </c>
      <c r="B38" s="203" t="s">
        <v>166</v>
      </c>
      <c r="E38" s="205" t="s">
        <v>6</v>
      </c>
      <c r="G38" s="204">
        <v>65</v>
      </c>
      <c r="H38" s="220">
        <v>0.771513353115727</v>
      </c>
    </row>
    <row r="39" spans="1:11" x14ac:dyDescent="0.2">
      <c r="A39" s="202">
        <v>4</v>
      </c>
      <c r="B39" s="203" t="s">
        <v>166</v>
      </c>
      <c r="E39" s="205" t="s">
        <v>169</v>
      </c>
      <c r="G39" s="204">
        <v>84.25</v>
      </c>
      <c r="H39" s="220">
        <v>1</v>
      </c>
    </row>
    <row r="42" spans="1:11" x14ac:dyDescent="0.2">
      <c r="A42" s="202">
        <v>5</v>
      </c>
      <c r="B42" s="203" t="s">
        <v>167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1.9285714285714286</v>
      </c>
      <c r="K42" s="205"/>
    </row>
    <row r="43" spans="1:11" x14ac:dyDescent="0.2">
      <c r="A43" s="202">
        <v>5</v>
      </c>
      <c r="B43" s="203" t="s">
        <v>167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1.1200000000000001</v>
      </c>
      <c r="K43" s="205"/>
    </row>
    <row r="44" spans="1:11" x14ac:dyDescent="0.2">
      <c r="A44" s="202">
        <v>5</v>
      </c>
      <c r="B44" s="203" t="s">
        <v>167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1.0384615384615385</v>
      </c>
      <c r="K44" s="205"/>
    </row>
    <row r="45" spans="1:11" x14ac:dyDescent="0.2">
      <c r="A45" s="202">
        <v>5</v>
      </c>
      <c r="B45" s="196" t="s">
        <v>167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1.857142857142857</v>
      </c>
      <c r="K45" s="205"/>
    </row>
    <row r="46" spans="1:11" x14ac:dyDescent="0.2">
      <c r="A46" s="202">
        <v>5</v>
      </c>
      <c r="B46" s="196" t="s">
        <v>167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48.148148148148145</v>
      </c>
    </row>
    <row r="47" spans="1:11" x14ac:dyDescent="0.2">
      <c r="A47" s="202">
        <v>5</v>
      </c>
      <c r="B47" s="203" t="s">
        <v>167</v>
      </c>
      <c r="E47" s="205" t="s">
        <v>149</v>
      </c>
      <c r="G47" s="204">
        <v>11.04</v>
      </c>
      <c r="H47" s="220">
        <v>0.20436875231395779</v>
      </c>
    </row>
    <row r="48" spans="1:11" x14ac:dyDescent="0.2">
      <c r="A48" s="202">
        <v>5</v>
      </c>
      <c r="B48" s="203" t="s">
        <v>167</v>
      </c>
      <c r="E48" s="205" t="s">
        <v>6</v>
      </c>
      <c r="G48" s="204">
        <v>28</v>
      </c>
      <c r="H48" s="220">
        <v>0.51832654572380599</v>
      </c>
    </row>
    <row r="49" spans="1:11" x14ac:dyDescent="0.2">
      <c r="A49" s="202">
        <v>5</v>
      </c>
      <c r="B49" s="203" t="s">
        <v>167</v>
      </c>
      <c r="E49" s="205" t="s">
        <v>169</v>
      </c>
      <c r="G49" s="204">
        <v>54.019999999999996</v>
      </c>
      <c r="H49" s="220">
        <v>1</v>
      </c>
    </row>
    <row r="52" spans="1:11" x14ac:dyDescent="0.2">
      <c r="A52" s="202">
        <v>6</v>
      </c>
      <c r="B52" s="203" t="s">
        <v>168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1.2164948453608246</v>
      </c>
      <c r="K52" s="205"/>
    </row>
    <row r="53" spans="1:11" x14ac:dyDescent="0.2">
      <c r="A53" s="202">
        <v>6</v>
      </c>
      <c r="B53" s="203" t="s">
        <v>168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4.8499999999999996</v>
      </c>
      <c r="K53" s="205"/>
    </row>
    <row r="54" spans="1:11" x14ac:dyDescent="0.2">
      <c r="A54" s="202">
        <v>6</v>
      </c>
      <c r="B54" s="203" t="s">
        <v>168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0.32954545454545453</v>
      </c>
      <c r="K54" s="205"/>
    </row>
    <row r="55" spans="1:11" x14ac:dyDescent="0.2">
      <c r="A55" s="202">
        <v>6</v>
      </c>
      <c r="B55" s="196" t="s">
        <v>168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3.6914326341983648</v>
      </c>
      <c r="K55" s="205"/>
    </row>
    <row r="56" spans="1:11" x14ac:dyDescent="0.2">
      <c r="A56" s="202">
        <v>6</v>
      </c>
      <c r="B56" s="196" t="s">
        <v>168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74.576271186440678</v>
      </c>
    </row>
    <row r="57" spans="1:11" x14ac:dyDescent="0.2">
      <c r="A57" s="202">
        <v>6</v>
      </c>
      <c r="B57" s="203" t="s">
        <v>168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">
      <c r="A58" s="202">
        <v>6</v>
      </c>
      <c r="B58" s="203" t="s">
        <v>168</v>
      </c>
      <c r="E58" s="205" t="s">
        <v>6</v>
      </c>
      <c r="G58" s="204">
        <v>97</v>
      </c>
      <c r="H58" s="220">
        <v>0.82008792695299293</v>
      </c>
    </row>
    <row r="59" spans="1:11" x14ac:dyDescent="0.2">
      <c r="A59" s="202">
        <v>6</v>
      </c>
      <c r="B59" s="203" t="s">
        <v>168</v>
      </c>
      <c r="E59" s="205" t="s">
        <v>169</v>
      </c>
      <c r="G59" s="204">
        <v>118.28</v>
      </c>
      <c r="H59" s="220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D2" sqref="D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163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164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165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166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167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168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33" zoomScale="90" zoomScaleNormal="90" workbookViewId="0">
      <selection activeCell="N47" sqref="N4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0.44483803439935721</v>
      </c>
      <c r="E29" s="62">
        <f ca="1">IFERROR(D100,0)</f>
        <v>0.26913408060884103</v>
      </c>
      <c r="F29" s="62">
        <f ca="1">IFERROR(E103,0)</f>
        <v>0.28602788499180182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0.91429330016647259</v>
      </c>
      <c r="E30" s="62">
        <f ca="1">IFERROR(M100,0)</f>
        <v>4.532870719879685E-2</v>
      </c>
      <c r="F30" s="62">
        <f ca="1">IFERROR(M103,0)</f>
        <v>0.93528424637095764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",TRUNC(L46/2,2),CHAR(10),"EYR = ",TRUNC(2/L46,2),CHAR(10),))),CONCATENATE("Mn+Sn = 0",CHAR(10),"EYR = 0",CHAR(10)))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0.29465577154195161</v>
      </c>
      <c r="F79" s="122">
        <f>VLOOKUP(F78,A237:AE237,DIAG!$W$56+1,0)</f>
        <v>0.42462523159845034</v>
      </c>
      <c r="G79" s="121">
        <f>VLOOKUP(G78,A236:AE236,DIAG!$W$58+1,0)</f>
        <v>0.35893811578542878</v>
      </c>
      <c r="H79" s="122">
        <f>VLOOKUP(H78,A237:AE237,DIAG!$W$58+1,0)</f>
        <v>0.33594917787742901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0.48695216748981129</v>
      </c>
      <c r="D80" s="22">
        <f>IFERROR((B80*(A80-$E$79)-A80*(B80-$F$79))/(A80-$E$79),0)</f>
        <v>0.28114196498271432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-1.5381432426780575</v>
      </c>
      <c r="D81" s="22">
        <f>(B81*(A81-$G$79)-A81*(B81-$H$79))/(A81-$G$79)</f>
        <v>0.88804741521238051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6.6156858140219266E-2</v>
      </c>
      <c r="E87" s="131">
        <f ca="1">IFERROR(E91,0)</f>
        <v>-0.17641521917006281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1.9033194430543572E-3</v>
      </c>
      <c r="N87" s="131">
        <f ca="1">IFERROR(N91,0)</f>
        <v>-2.6626110105159362E-2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0.31335719044841004</v>
      </c>
      <c r="E88" s="136">
        <f ca="1">IFERROR((C80*E87+D80),0)</f>
        <v>0.19523619162966213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0.88511983727238863</v>
      </c>
      <c r="N88" s="136">
        <f ca="1">IFERROR((C81*N87+D81),0)</f>
        <v>0.92900218654943334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6.6156858140219266E-2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1.9033194430543572E-3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-0.17641521917006281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-2.6626110105159258E-2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0.26980323024857228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5.2341082606486428E-2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0.32395541740915118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0.438892757660167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0.32395541740915118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1.0024863058525233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-0.17641521917006281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0.26913408060884103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4.5328707198797058E-2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0.4459440378077093</v>
      </c>
      <c r="E102" s="147">
        <f ca="1">IFERROR(SQRT((D87-D94)^2+(D88-D95)^2),0)</f>
        <v>0.28673903779624177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1.0799732228221777</v>
      </c>
      <c r="N102" s="147">
        <f ca="1">IFERROR(SQRT((M87-M94)^2+(M88-M95)^2),0)</f>
        <v>1.0557349659387687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0.44483803439935721</v>
      </c>
      <c r="E103" s="149">
        <f ca="1">IFERROR(E102/D98,0)</f>
        <v>0.28602788499180182</v>
      </c>
      <c r="G103" s="150"/>
      <c r="H103" s="151"/>
      <c r="I103" s="151"/>
      <c r="J103" s="151"/>
      <c r="K103" s="151"/>
      <c r="L103" s="138"/>
      <c r="M103" s="148">
        <f ca="1">IFERROR(M102/M98,0)</f>
        <v>0.93528424637095786</v>
      </c>
      <c r="N103" s="149">
        <f ca="1">IFERROR(N102/M98,0)</f>
        <v>0.91429330016647259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1.8949062537362276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1.4564083747644589</v>
      </c>
      <c r="M108" s="103">
        <f ca="1">IFERROR(LOG(100*N103),0)</f>
        <v>1.9610855373207874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1.429968696214847</v>
      </c>
      <c r="M109" s="103">
        <f ca="1">IFERROR(LOG(100*M100),0)</f>
        <v>0.65637333290304933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1.6482019130694581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1.9709436192895249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5-",Resumo!B41)</f>
        <v xml:space="preserve"> 5-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4.7808245362242543</v>
      </c>
      <c r="C220" s="18">
        <f t="shared" ref="C220:AE220" si="19">IFERROR(C230/C232,0)</f>
        <v>1.092369009229303</v>
      </c>
      <c r="D220" s="18">
        <f t="shared" si="19"/>
        <v>0.66309161278467488</v>
      </c>
      <c r="E220" s="18">
        <f t="shared" si="19"/>
        <v>0.85893574306268594</v>
      </c>
      <c r="F220" s="18">
        <f t="shared" si="19"/>
        <v>1.8606296870352104</v>
      </c>
      <c r="G220" s="18">
        <f t="shared" si="19"/>
        <v>3.5491030604157778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IFERROR(B219/(B214+B215+B216+B217),0)</f>
        <v>1.5065918653576436</v>
      </c>
      <c r="C230" s="34">
        <f t="shared" ref="C230:AE230" si="28">IFERROR(C219/(C214+C215+C216+C217),0)</f>
        <v>1.4801795063575169</v>
      </c>
      <c r="D230" s="34">
        <f t="shared" si="28"/>
        <v>1.3106938775510204</v>
      </c>
      <c r="E230" s="34">
        <f t="shared" si="28"/>
        <v>1.280784432958346</v>
      </c>
      <c r="F230" s="34">
        <f t="shared" si="28"/>
        <v>1.8841995116846875</v>
      </c>
      <c r="G230" s="34">
        <f t="shared" si="28"/>
        <v>1.2103970528039298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IFERROR((C215+C217)/(C212+C214+C216+C213),0)</f>
        <v>1.187546057479735</v>
      </c>
      <c r="D231" s="38">
        <f t="shared" si="29"/>
        <v>1.8001395186606211</v>
      </c>
      <c r="E231" s="38">
        <f t="shared" si="29"/>
        <v>1.4098970251716252</v>
      </c>
      <c r="F231" s="38">
        <f t="shared" si="29"/>
        <v>0.54962707974756153</v>
      </c>
      <c r="G231" s="38">
        <f t="shared" si="29"/>
        <v>0.29366728644864926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IFERROR((B213+B215+B217)/(B212+B214+B216),0)</f>
        <v>0.31513222331047996</v>
      </c>
      <c r="C232" s="38">
        <f t="shared" ref="C232:AE232" si="30">IFERROR((C213+C215+C217)/(C212+C214+C216),0)</f>
        <v>1.3550178500595005</v>
      </c>
      <c r="D232" s="38">
        <f t="shared" si="30"/>
        <v>1.9766407119021137</v>
      </c>
      <c r="E232" s="38">
        <f t="shared" si="30"/>
        <v>1.4911295091661743</v>
      </c>
      <c r="F232" s="38">
        <f t="shared" si="30"/>
        <v>1.0126676602086437</v>
      </c>
      <c r="G232" s="38">
        <f t="shared" si="30"/>
        <v>0.34104308390022681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4.7808245362242543</v>
      </c>
      <c r="C233" s="160">
        <f t="shared" ref="C233:AE233" si="31">IFERROR(C230/C232,0)</f>
        <v>1.092369009229303</v>
      </c>
      <c r="D233" s="160">
        <f t="shared" si="31"/>
        <v>0.66309161278467488</v>
      </c>
      <c r="E233" s="160">
        <f t="shared" si="31"/>
        <v>0.85893574306268594</v>
      </c>
      <c r="F233" s="160">
        <f t="shared" si="31"/>
        <v>1.8606296870352104</v>
      </c>
      <c r="G233" s="160">
        <f t="shared" si="31"/>
        <v>3.5491030604157778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31:AE231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32:AE232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33:AE233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2023-08-29T17:00:03Z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