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André\Grafico\"/>
    </mc:Choice>
  </mc:AlternateContent>
  <xr:revisionPtr revIDLastSave="0" documentId="13_ncr:1_{AB68FD54-D5A3-4744-AF0D-779037E8A145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H82" i="6" l="1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7" i="8"/>
  <c r="A26" i="8"/>
  <c r="A28" i="8" s="1"/>
  <c r="B25" i="8"/>
  <c r="B24" i="8"/>
  <c r="A23" i="8"/>
  <c r="A24" i="8" s="1"/>
  <c r="B22" i="8"/>
  <c r="A22" i="8"/>
  <c r="B21" i="8"/>
  <c r="A21" i="8"/>
  <c r="A20" i="8"/>
  <c r="B19" i="8"/>
  <c r="B18" i="8"/>
  <c r="A17" i="8"/>
  <c r="A19" i="8" s="1"/>
  <c r="B16" i="8"/>
  <c r="A16" i="8"/>
  <c r="B15" i="8"/>
  <c r="A15" i="8"/>
  <c r="A14" i="8"/>
  <c r="B13" i="8"/>
  <c r="B12" i="8"/>
  <c r="A11" i="8"/>
  <c r="A12" i="8" s="1"/>
  <c r="B10" i="8"/>
  <c r="A10" i="8"/>
  <c r="B9" i="8"/>
  <c r="A9" i="8"/>
  <c r="A8" i="8"/>
  <c r="B7" i="8"/>
  <c r="B6" i="8"/>
  <c r="A5" i="8"/>
  <c r="A7" i="8" s="1"/>
  <c r="B4" i="8"/>
  <c r="A4" i="8"/>
  <c r="B3" i="8"/>
  <c r="A3" i="8"/>
  <c r="AD229" i="6" l="1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O69" i="1" l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46" i="6" l="1"/>
  <c r="B251" i="6"/>
  <c r="B254" i="6" s="1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<sst xmlns="http://schemas.openxmlformats.org/spreadsheetml/2006/main" count="393" uniqueCount="160">
  <si>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</si>
  <si>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</si>
  <si>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</si>
  <si>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</si>
  <si>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</si>
  <si>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</si>
  <si>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</si>
  <si>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</si>
  <si>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</si>
  <si>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</si>
  <si>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</si>
  <si>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</si>
  <si>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</si>
  <si>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</si>
  <si>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</si>
  <si>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</si>
  <si>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</si>
  <si>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</si>
  <si>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</si>
  <si>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</si>
  <si>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</si>
  <si>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</si>
  <si>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</si>
  <si>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</si>
  <si>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</si>
  <si>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</si>
  <si>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</si>
  <si>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</si>
  <si>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</si>
  <si>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</si>
  <si>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</si>
  <si>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</si>
  <si>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</si>
  <si>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</si>
  <si>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</si>
  <si>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</si>
  <si>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</si>
  <si>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</si>
  <si>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</si>
  <si>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</si>
  <si>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</si>
  <si>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</si>
  <si>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</si>
  <si>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</si>
  <si>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</si>
  <si>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</si>
  <si>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</si>
  <si>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</si>
  <si>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</si>
  <si>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</si>
  <si>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</si>
  <si>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</si>
  <si>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</si>
  <si>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</si>
  <si>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</si>
  <si>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</si>
  <si>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</si>
  <si>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</si>
  <si>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</si>
  <si>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</si>
  <si>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</si>
  <si>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</si>
  <si>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</si>
  <si>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</si>
  <si>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</si>
  <si>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</si>
  <si>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</si>
  <si>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</si>
  <si>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</si>
  <si>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</si>
  <si>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</si>
  <si>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</si>
  <si>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</si>
  <si>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</si>
  <si>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</si>
  <si>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</si>
  <si>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</si>
  <si>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</si>
  <si>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</si>
  <si>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</si>
  <si>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</si>
  <si>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</si>
  <si>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</si>
  <si>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</si>
  <si>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</si>
  <si>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</si>
  <si>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</si>
  <si>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</si>
  <si>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</si>
  <si>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</si>
  <si>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</si>
  <si>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</si>
  <si>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</si>
  <si>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</si>
  <si>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</si>
  <si>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</si>
  <si>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</si>
  <si>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</si>
  <si>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</si>
  <si>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</si>
  <si>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</si>
  <si>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</si>
  <si>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</si>
  <si>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</si>
  <si>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</si>
  <si>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</si>
  <si>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</si>
  <si>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</si>
  <si>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</si>
  <si>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</si>
  <si>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</si>
  <si>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</si>
  <si>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</si>
  <si>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</si>
  <si>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</si>
  <si>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</si>
  <si>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</si>
  <si>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</si>
  <si>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</si>
  <si>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</si>
  <si>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</si>
  <si>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</si>
  <si>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</si>
  <si>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</si>
  <si>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</si>
  <si>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</si>
  <si>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</si>
  <si>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</si>
  <si>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</si>
  <si>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</si>
  <si>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</si>
  <si>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</si>
  <si>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</si>
  <si>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</si>
  <si>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</si>
  <si>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</si>
  <si>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</si>
  <si>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</si>
  <si>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</si>
  <si>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</si>
  <si>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</si>
  <si>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</si>
  <si>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</si>
  <si>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</si>
  <si>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</si>
  <si>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</si>
  <si>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</si>
  <si>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</si>
  <si>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</si>
  <si>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</si>
  <si>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</si>
  <si>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</si>
  <si>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</si>
  <si>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</si>
  <si>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</si>
  <si>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Renewable</t>
  </si>
  <si>
    <t>Non-renewable</t>
  </si>
  <si>
    <t>Purchased</t>
  </si>
  <si>
    <t>D:\André\testes\RNF\30 pontos.eMe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</si>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</sst>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64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4</v>
      </c>
    </row>
    <row r="2" spans="8:46" x14ac:dyDescent="0.2">
      <c r="AM2" s="224">
        <v>2</v>
      </c>
      <c r="AT2" s="224" t="s">
        <v>6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89</v>
      </c>
      <c r="AM4" s="224">
        <v>4</v>
      </c>
      <c r="AT4" s="224" t="s">
        <v>83</v>
      </c>
    </row>
    <row r="5" spans="8:46" x14ac:dyDescent="0.2">
      <c r="N5" s="224" t="b">
        <v>0</v>
      </c>
      <c r="O5" s="224" t="b">
        <v>1</v>
      </c>
      <c r="P5" s="224" t="b">
        <v>0</v>
      </c>
      <c r="X5" s="224" t="s">
        <v>97</v>
      </c>
      <c r="Y5" s="224" t="s">
        <v>100</v>
      </c>
      <c r="Z5" s="224" t="s">
        <v>99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63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16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68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86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66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101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65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158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17</v>
      </c>
      <c r="R48" s="224" t="s">
        <v>63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14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9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14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67</v>
      </c>
      <c r="R54" s="224" t="s">
        <v>63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W55" s="224" t="s">
        <v>159</v>
      </c>
      <c r="X55" s="224" t="s">
        <v>159</v>
      </c>
      <c r="Y55" s="224" t="s">
        <v>159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6</v>
      </c>
      <c r="X56" s="224">
        <v>6</v>
      </c>
      <c r="Y56" s="224">
        <v>6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84</v>
      </c>
      <c r="S57" s="225">
        <v>0</v>
      </c>
      <c r="W57" s="224" t="s">
        <v>159</v>
      </c>
      <c r="X57" s="224" t="s">
        <v>159</v>
      </c>
      <c r="Y57" s="224" t="s">
        <v>159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85</v>
      </c>
      <c r="S58" s="225">
        <v>0</v>
      </c>
      <c r="T58" s="225">
        <v>1</v>
      </c>
      <c r="U58" s="225">
        <v>1</v>
      </c>
      <c r="V58" s="225">
        <v>1</v>
      </c>
      <c r="W58" s="224">
        <v>6</v>
      </c>
      <c r="X58" s="224">
        <v>6</v>
      </c>
      <c r="Y58" s="224">
        <v>6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69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3</v>
      </c>
      <c r="U61" s="234">
        <v>3</v>
      </c>
      <c r="V61" s="234">
        <v>3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54</v>
      </c>
      <c r="U62" s="234">
        <v>54</v>
      </c>
      <c r="V62" s="234">
        <v>54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3254</v>
      </c>
      <c r="U63" s="234">
        <v>3254</v>
      </c>
      <c r="V63" s="234">
        <v>3254</v>
      </c>
      <c r="W63" s="235">
        <f>Diagrama!B214</f>
        <v>0</v>
      </c>
      <c r="X63" s="235">
        <f>Diagrama!C214</f>
        <v>0</v>
      </c>
      <c r="Y63" s="235">
        <f>Diagrama!D214</f>
        <v>0</v>
      </c>
      <c r="Z63" s="235">
        <f>Diagrama!E214</f>
        <v>0</v>
      </c>
      <c r="AA63" s="235">
        <f>Diagrama!F214</f>
        <v>0</v>
      </c>
      <c r="AB63" s="235">
        <f>Diagrama!G214</f>
        <v>0</v>
      </c>
      <c r="AC63" s="235">
        <f>Diagrama!H214</f>
        <v>0</v>
      </c>
      <c r="AD63" s="235">
        <f>Diagrama!I214</f>
        <v>0</v>
      </c>
      <c r="AE63" s="235">
        <f>Diagrama!J214</f>
        <v>0</v>
      </c>
      <c r="AF63" s="235">
        <f>Diagrama!K214</f>
        <v>0</v>
      </c>
      <c r="AG63" s="235">
        <f>Diagrama!L214</f>
        <v>0</v>
      </c>
      <c r="AH63" s="235">
        <f>Diagrama!M214</f>
        <v>0</v>
      </c>
      <c r="AI63" s="235">
        <f>Diagrama!N214</f>
        <v>0</v>
      </c>
      <c r="AJ63" s="235">
        <f>Diagrama!O214</f>
        <v>0</v>
      </c>
      <c r="AK63" s="235">
        <f>Diagrama!P214</f>
        <v>0</v>
      </c>
      <c r="AL63" s="235">
        <f>Diagrama!Q214</f>
        <v>0</v>
      </c>
      <c r="AM63" s="235">
        <f>Diagrama!R214</f>
        <v>0</v>
      </c>
      <c r="AN63" s="235">
        <f>Diagrama!S214</f>
        <v>0</v>
      </c>
      <c r="AO63" s="235">
        <f>Diagrama!T214</f>
        <v>0</v>
      </c>
      <c r="AP63" s="235">
        <f>Diagrama!U214</f>
        <v>0</v>
      </c>
      <c r="AQ63" s="235">
        <f>Diagrama!V214</f>
        <v>0</v>
      </c>
      <c r="AR63" s="235">
        <f>Diagrama!W214</f>
        <v>0</v>
      </c>
      <c r="AS63" s="235">
        <f>Diagrama!X214</f>
        <v>0</v>
      </c>
      <c r="AT63" s="235">
        <f>Diagrama!Y214</f>
        <v>0</v>
      </c>
      <c r="AU63" s="235">
        <f>Diagrama!Z214</f>
        <v>0</v>
      </c>
      <c r="AV63" s="235">
        <f>Diagrama!AA214</f>
        <v>0</v>
      </c>
      <c r="AW63" s="235">
        <f>Diagrama!AB214</f>
        <v>0</v>
      </c>
      <c r="AX63" s="235">
        <f>Diagrama!AC214</f>
        <v>0</v>
      </c>
      <c r="AY63" s="235">
        <f>Diagrama!AD214</f>
        <v>0</v>
      </c>
      <c r="AZ63" s="235">
        <f>Diagrama!AE214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13</v>
      </c>
      <c r="T64" s="234">
        <v>3311</v>
      </c>
      <c r="U64" s="234">
        <v>3311</v>
      </c>
      <c r="V64" s="234">
        <v>3311</v>
      </c>
      <c r="W64" s="235">
        <f>Diagrama!B215</f>
        <v>0</v>
      </c>
      <c r="X64" s="235">
        <f>Diagrama!C215</f>
        <v>0</v>
      </c>
      <c r="Y64" s="235">
        <f>Diagrama!D215</f>
        <v>0</v>
      </c>
      <c r="Z64" s="235">
        <f>Diagrama!E215</f>
        <v>0</v>
      </c>
      <c r="AA64" s="235">
        <f>Diagrama!F215</f>
        <v>0</v>
      </c>
      <c r="AB64" s="235">
        <f>Diagrama!G215</f>
        <v>0</v>
      </c>
      <c r="AC64" s="235">
        <f>Diagrama!H215</f>
        <v>0</v>
      </c>
      <c r="AD64" s="235">
        <f>Diagrama!I215</f>
        <v>0</v>
      </c>
      <c r="AE64" s="235">
        <f>Diagrama!J215</f>
        <v>0</v>
      </c>
      <c r="AF64" s="235">
        <f>Diagrama!K215</f>
        <v>0</v>
      </c>
      <c r="AG64" s="235">
        <f>Diagrama!L215</f>
        <v>0</v>
      </c>
      <c r="AH64" s="235">
        <f>Diagrama!M215</f>
        <v>0</v>
      </c>
      <c r="AI64" s="235">
        <f>Diagrama!N215</f>
        <v>0</v>
      </c>
      <c r="AJ64" s="235">
        <f>Diagrama!O215</f>
        <v>0</v>
      </c>
      <c r="AK64" s="235">
        <f>Diagrama!P215</f>
        <v>0</v>
      </c>
      <c r="AL64" s="235">
        <f>Diagrama!Q215</f>
        <v>0</v>
      </c>
      <c r="AM64" s="235">
        <f>Diagrama!R215</f>
        <v>0</v>
      </c>
      <c r="AN64" s="235">
        <f>Diagrama!S215</f>
        <v>0</v>
      </c>
      <c r="AO64" s="235">
        <f>Diagrama!T215</f>
        <v>0</v>
      </c>
      <c r="AP64" s="235">
        <f>Diagrama!U215</f>
        <v>0</v>
      </c>
      <c r="AQ64" s="235">
        <f>Diagrama!V215</f>
        <v>0</v>
      </c>
      <c r="AR64" s="235">
        <f>Diagrama!W215</f>
        <v>0</v>
      </c>
      <c r="AS64" s="235">
        <f>Diagrama!X215</f>
        <v>0</v>
      </c>
      <c r="AT64" s="235">
        <f>Diagrama!Y215</f>
        <v>0</v>
      </c>
      <c r="AU64" s="235">
        <f>Diagrama!Z215</f>
        <v>0</v>
      </c>
      <c r="AV64" s="235">
        <f>Diagrama!AA215</f>
        <v>0</v>
      </c>
      <c r="AW64" s="235">
        <f>Diagrama!AB215</f>
        <v>0</v>
      </c>
      <c r="AX64" s="235">
        <f>Diagrama!AC215</f>
        <v>0</v>
      </c>
      <c r="AY64" s="235">
        <f>Diagrama!AD215</f>
        <v>0</v>
      </c>
      <c r="AZ64" s="235">
        <f>Diagrama!AE215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27</v>
      </c>
      <c r="T65" s="236">
        <v>1.0175169022741242</v>
      </c>
      <c r="U65" s="237">
        <v>1.0175169022741242</v>
      </c>
      <c r="V65" s="236">
        <v>1.0175169022741242</v>
      </c>
      <c r="W65" s="238">
        <f>Diagrama!B226</f>
        <v>0</v>
      </c>
      <c r="X65" s="238">
        <f>Diagrama!C226</f>
        <v>0</v>
      </c>
      <c r="Y65" s="238">
        <f>Diagrama!D226</f>
        <v>0</v>
      </c>
      <c r="Z65" s="238">
        <f>Diagrama!E226</f>
        <v>0</v>
      </c>
      <c r="AA65" s="238">
        <f>Diagrama!F226</f>
        <v>0</v>
      </c>
      <c r="AB65" s="238">
        <f>Diagrama!G226</f>
        <v>0</v>
      </c>
      <c r="AC65" s="238">
        <f>Diagrama!H226</f>
        <v>0</v>
      </c>
      <c r="AD65" s="238">
        <f>Diagrama!I226</f>
        <v>0</v>
      </c>
      <c r="AE65" s="238">
        <f>Diagrama!J226</f>
        <v>0</v>
      </c>
      <c r="AF65" s="238">
        <f>Diagrama!K226</f>
        <v>0</v>
      </c>
      <c r="AG65" s="238">
        <f>Diagrama!L226</f>
        <v>0</v>
      </c>
      <c r="AH65" s="238">
        <f>Diagrama!M226</f>
        <v>0</v>
      </c>
      <c r="AI65" s="238">
        <f>Diagrama!N226</f>
        <v>0</v>
      </c>
      <c r="AJ65" s="238">
        <f>Diagrama!O226</f>
        <v>0</v>
      </c>
      <c r="AK65" s="238">
        <f>Diagrama!P226</f>
        <v>0</v>
      </c>
      <c r="AL65" s="238">
        <f>Diagrama!Q226</f>
        <v>0</v>
      </c>
      <c r="AM65" s="238">
        <f>Diagrama!R226</f>
        <v>0</v>
      </c>
      <c r="AN65" s="238">
        <f>Diagrama!S226</f>
        <v>0</v>
      </c>
      <c r="AO65" s="238">
        <f>Diagrama!T226</f>
        <v>0</v>
      </c>
      <c r="AP65" s="238">
        <f>Diagrama!U226</f>
        <v>0</v>
      </c>
      <c r="AQ65" s="238">
        <f>Diagrama!V226</f>
        <v>0</v>
      </c>
      <c r="AR65" s="238">
        <f>Diagrama!W226</f>
        <v>0</v>
      </c>
      <c r="AS65" s="238">
        <f>Diagrama!X226</f>
        <v>0</v>
      </c>
      <c r="AT65" s="238">
        <f>Diagrama!Y226</f>
        <v>0</v>
      </c>
      <c r="AU65" s="238">
        <f>Diagrama!Z226</f>
        <v>0</v>
      </c>
      <c r="AV65" s="238">
        <f>Diagrama!AA226</f>
        <v>0</v>
      </c>
      <c r="AW65" s="238">
        <f>Diagrama!AB226</f>
        <v>0</v>
      </c>
      <c r="AX65" s="238">
        <f>Diagrama!AC226</f>
        <v>0</v>
      </c>
      <c r="AY65" s="238">
        <f>Diagrama!AD226</f>
        <v>0</v>
      </c>
      <c r="AZ65" s="238">
        <f>Diagrama!AE226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28</v>
      </c>
      <c r="T66" s="236">
        <v>57.087719298245617</v>
      </c>
      <c r="U66" s="237">
        <v>57.087719298245617</v>
      </c>
      <c r="V66" s="236">
        <v>57.087719298245617</v>
      </c>
      <c r="W66" s="238">
        <f>Diagrama!B227</f>
        <v>0</v>
      </c>
      <c r="X66" s="238">
        <f>Diagrama!C227</f>
        <v>0</v>
      </c>
      <c r="Y66" s="238">
        <f>Diagrama!D227</f>
        <v>0</v>
      </c>
      <c r="Z66" s="238">
        <f>Diagrama!E227</f>
        <v>0</v>
      </c>
      <c r="AA66" s="238">
        <f>Diagrama!F227</f>
        <v>0</v>
      </c>
      <c r="AB66" s="238">
        <f>Diagrama!G227</f>
        <v>0</v>
      </c>
      <c r="AC66" s="238">
        <f>Diagrama!H227</f>
        <v>0</v>
      </c>
      <c r="AD66" s="238">
        <f>Diagrama!I227</f>
        <v>0</v>
      </c>
      <c r="AE66" s="238">
        <f>Diagrama!J227</f>
        <v>0</v>
      </c>
      <c r="AF66" s="238">
        <f>Diagrama!K227</f>
        <v>0</v>
      </c>
      <c r="AG66" s="238">
        <f>Diagrama!L227</f>
        <v>0</v>
      </c>
      <c r="AH66" s="238">
        <f>Diagrama!M227</f>
        <v>0</v>
      </c>
      <c r="AI66" s="238">
        <f>Diagrama!N227</f>
        <v>0</v>
      </c>
      <c r="AJ66" s="238">
        <f>Diagrama!O227</f>
        <v>0</v>
      </c>
      <c r="AK66" s="238">
        <f>Diagrama!P227</f>
        <v>0</v>
      </c>
      <c r="AL66" s="238">
        <f>Diagrama!Q227</f>
        <v>0</v>
      </c>
      <c r="AM66" s="238">
        <f>Diagrama!R227</f>
        <v>0</v>
      </c>
      <c r="AN66" s="238">
        <f>Diagrama!S227</f>
        <v>0</v>
      </c>
      <c r="AO66" s="238">
        <f>Diagrama!T227</f>
        <v>0</v>
      </c>
      <c r="AP66" s="238">
        <f>Diagrama!U227</f>
        <v>0</v>
      </c>
      <c r="AQ66" s="238">
        <f>Diagrama!V227</f>
        <v>0</v>
      </c>
      <c r="AR66" s="238">
        <f>Diagrama!W227</f>
        <v>0</v>
      </c>
      <c r="AS66" s="238">
        <f>Diagrama!X227</f>
        <v>0</v>
      </c>
      <c r="AT66" s="238">
        <f>Diagrama!Y227</f>
        <v>0</v>
      </c>
      <c r="AU66" s="238">
        <f>Diagrama!Z227</f>
        <v>0</v>
      </c>
      <c r="AV66" s="238">
        <f>Diagrama!AA227</f>
        <v>0</v>
      </c>
      <c r="AW66" s="238">
        <f>Diagrama!AB227</f>
        <v>0</v>
      </c>
      <c r="AX66" s="238">
        <f>Diagrama!AC227</f>
        <v>0</v>
      </c>
      <c r="AY66" s="238">
        <f>Diagrama!AD227</f>
        <v>0</v>
      </c>
      <c r="AZ66" s="238">
        <f>Diagrama!AE227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29</v>
      </c>
      <c r="T67" s="236">
        <v>1102.6666666666667</v>
      </c>
      <c r="U67" s="237">
        <v>1102.6666666666667</v>
      </c>
      <c r="V67" s="236">
        <v>1102.6666666666667</v>
      </c>
      <c r="W67" s="238">
        <f>Diagrama!B228</f>
        <v>0</v>
      </c>
      <c r="X67" s="238">
        <f>Diagrama!C228</f>
        <v>0</v>
      </c>
      <c r="Y67" s="238">
        <f>Diagrama!D228</f>
        <v>0</v>
      </c>
      <c r="Z67" s="238">
        <f>Diagrama!E228</f>
        <v>0</v>
      </c>
      <c r="AA67" s="238">
        <f>Diagrama!F228</f>
        <v>0</v>
      </c>
      <c r="AB67" s="238">
        <f>Diagrama!G228</f>
        <v>0</v>
      </c>
      <c r="AC67" s="238">
        <f>Diagrama!H228</f>
        <v>0</v>
      </c>
      <c r="AD67" s="238">
        <f>Diagrama!I228</f>
        <v>0</v>
      </c>
      <c r="AE67" s="238">
        <f>Diagrama!J228</f>
        <v>0</v>
      </c>
      <c r="AF67" s="238">
        <f>Diagrama!K228</f>
        <v>0</v>
      </c>
      <c r="AG67" s="238">
        <f>Diagrama!L228</f>
        <v>0</v>
      </c>
      <c r="AH67" s="238">
        <f>Diagrama!M228</f>
        <v>0</v>
      </c>
      <c r="AI67" s="238">
        <f>Diagrama!N228</f>
        <v>0</v>
      </c>
      <c r="AJ67" s="238">
        <f>Diagrama!O228</f>
        <v>0</v>
      </c>
      <c r="AK67" s="238">
        <f>Diagrama!P228</f>
        <v>0</v>
      </c>
      <c r="AL67" s="238">
        <f>Diagrama!Q228</f>
        <v>0</v>
      </c>
      <c r="AM67" s="238">
        <f>Diagrama!R228</f>
        <v>0</v>
      </c>
      <c r="AN67" s="238">
        <f>Diagrama!S228</f>
        <v>0</v>
      </c>
      <c r="AO67" s="238">
        <f>Diagrama!T228</f>
        <v>0</v>
      </c>
      <c r="AP67" s="238">
        <f>Diagrama!U228</f>
        <v>0</v>
      </c>
      <c r="AQ67" s="238">
        <f>Diagrama!V228</f>
        <v>0</v>
      </c>
      <c r="AR67" s="238">
        <f>Diagrama!W228</f>
        <v>0</v>
      </c>
      <c r="AS67" s="238">
        <f>Diagrama!X228</f>
        <v>0</v>
      </c>
      <c r="AT67" s="238">
        <f>Diagrama!Y228</f>
        <v>0</v>
      </c>
      <c r="AU67" s="238">
        <f>Diagrama!Z228</f>
        <v>0</v>
      </c>
      <c r="AV67" s="238">
        <f>Diagrama!AA228</f>
        <v>0</v>
      </c>
      <c r="AW67" s="238">
        <f>Diagrama!AB228</f>
        <v>0</v>
      </c>
      <c r="AX67" s="238">
        <f>Diagrama!AC228</f>
        <v>0</v>
      </c>
      <c r="AY67" s="238">
        <f>Diagrama!AD228</f>
        <v>0</v>
      </c>
      <c r="AZ67" s="238">
        <f>Diagrama!AE228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17</v>
      </c>
      <c r="T68" s="236">
        <v>9.2277832733445356E-4</v>
      </c>
      <c r="U68" s="237">
        <v>9.2277832733445356E-4</v>
      </c>
      <c r="V68" s="236">
        <v>9.2277832733445356E-4</v>
      </c>
      <c r="W68" s="238">
        <f>Diagrama!B229</f>
        <v>0</v>
      </c>
      <c r="X68" s="238">
        <f>Diagrama!C229</f>
        <v>0</v>
      </c>
      <c r="Y68" s="238">
        <f>Diagrama!D229</f>
        <v>0</v>
      </c>
      <c r="Z68" s="238">
        <f>Diagrama!E229</f>
        <v>0</v>
      </c>
      <c r="AA68" s="238">
        <f>Diagrama!F229</f>
        <v>0</v>
      </c>
      <c r="AB68" s="238">
        <f>Diagrama!G229</f>
        <v>0</v>
      </c>
      <c r="AC68" s="238">
        <f>Diagrama!H229</f>
        <v>0</v>
      </c>
      <c r="AD68" s="238">
        <f>Diagrama!I229</f>
        <v>0</v>
      </c>
      <c r="AE68" s="238">
        <f>Diagrama!J229</f>
        <v>0</v>
      </c>
      <c r="AF68" s="238">
        <f>Diagrama!K229</f>
        <v>0</v>
      </c>
      <c r="AG68" s="238">
        <f>Diagrama!L229</f>
        <v>0</v>
      </c>
      <c r="AH68" s="238">
        <f>Diagrama!M229</f>
        <v>0</v>
      </c>
      <c r="AI68" s="238">
        <f>Diagrama!N229</f>
        <v>0</v>
      </c>
      <c r="AJ68" s="238">
        <f>Diagrama!O229</f>
        <v>0</v>
      </c>
      <c r="AK68" s="238">
        <f>Diagrama!P229</f>
        <v>0</v>
      </c>
      <c r="AL68" s="238">
        <f>Diagrama!Q229</f>
        <v>0</v>
      </c>
      <c r="AM68" s="238">
        <f>Diagrama!R229</f>
        <v>0</v>
      </c>
      <c r="AN68" s="238">
        <f>Diagrama!S229</f>
        <v>0</v>
      </c>
      <c r="AO68" s="238">
        <f>Diagrama!T229</f>
        <v>0</v>
      </c>
      <c r="AP68" s="238">
        <f>Diagrama!U229</f>
        <v>0</v>
      </c>
      <c r="AQ68" s="238">
        <f>Diagrama!V229</f>
        <v>0</v>
      </c>
      <c r="AR68" s="238">
        <f>Diagrama!W229</f>
        <v>0</v>
      </c>
      <c r="AS68" s="238">
        <f>Diagrama!X229</f>
        <v>0</v>
      </c>
      <c r="AT68" s="238">
        <f>Diagrama!Y229</f>
        <v>0</v>
      </c>
      <c r="AU68" s="238">
        <f>Diagrama!Z229</f>
        <v>0</v>
      </c>
      <c r="AV68" s="238">
        <f>Diagrama!AA229</f>
        <v>0</v>
      </c>
      <c r="AW68" s="238">
        <f>Diagrama!AB229</f>
        <v>0</v>
      </c>
      <c r="AX68" s="238">
        <f>Diagrama!AC229</f>
        <v>0</v>
      </c>
      <c r="AY68" s="238">
        <f>Diagrama!AD229</f>
        <v>0</v>
      </c>
      <c r="AZ68" s="238">
        <f>Diagrama!AE229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10</v>
      </c>
      <c r="T69" s="239">
        <v>9.0607067351253401E-2</v>
      </c>
      <c r="U69" s="237">
        <v>9.0607067351253401E-2</v>
      </c>
      <c r="V69" s="239">
        <v>9.0607067351253401E-2</v>
      </c>
      <c r="W69" s="240" t="e">
        <f>100*W61/W64</f>
        <v>#DIV/0!</v>
      </c>
      <c r="X69" s="240" t="e">
        <f t="shared" ref="X69:AZ69" si="0">100*X61/X64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70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71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82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W76" s="242"/>
      <c r="X76" s="242"/>
      <c r="Y76" s="242"/>
      <c r="Z76" s="242"/>
      <c r="AA76" s="242"/>
      <c r="AB76" s="242"/>
      <c r="AC76" s="242"/>
      <c r="AD76" s="242"/>
      <c r="AE76" s="242"/>
      <c r="AF76" s="242"/>
      <c r="AG76" s="242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W77" s="242"/>
      <c r="X77" s="242"/>
      <c r="Y77" s="242"/>
      <c r="Z77" s="242"/>
      <c r="AA77" s="242"/>
      <c r="AB77" s="242"/>
      <c r="AC77" s="242"/>
      <c r="AD77" s="242"/>
      <c r="AE77" s="242"/>
      <c r="AF77" s="242"/>
      <c r="AG77" s="242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W78" s="242"/>
      <c r="X78" s="242"/>
      <c r="Y78" s="242"/>
      <c r="Z78" s="242"/>
      <c r="AA78" s="242"/>
      <c r="AB78" s="242"/>
      <c r="AC78" s="242"/>
      <c r="AD78" s="242"/>
      <c r="AE78" s="242"/>
      <c r="AF78" s="242"/>
      <c r="AG78" s="242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W79" s="242"/>
      <c r="X79" s="242"/>
      <c r="Y79" s="242"/>
      <c r="Z79" s="242"/>
      <c r="AA79" s="242"/>
      <c r="AB79" s="242"/>
      <c r="AC79" s="242"/>
      <c r="AD79" s="242"/>
      <c r="AE79" s="242"/>
      <c r="AF79" s="242"/>
      <c r="AG79" s="242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112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113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115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113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M12" sqref="M12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7.375" style="203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153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02" t="s">
        <v>151</v>
      </c>
      <c r="I1" s="185"/>
      <c r="J1" s="204" t="s">
        <v>154</v>
      </c>
      <c r="L1" s="180"/>
    </row>
    <row r="2" spans="1:12" x14ac:dyDescent="0.2">
      <c r="B2" s="187"/>
      <c r="E2" s="189"/>
      <c r="I2" s="189"/>
      <c r="K2" s="189"/>
    </row>
    <row r="3" spans="1:12" x14ac:dyDescent="0.2">
      <c r="B3" s="187"/>
      <c r="E3" s="189"/>
      <c r="I3" s="189"/>
      <c r="K3" s="189"/>
    </row>
    <row r="4" spans="1:12" x14ac:dyDescent="0.2">
      <c r="B4" s="187"/>
      <c r="E4" s="189"/>
      <c r="I4" s="189"/>
      <c r="K4" s="189"/>
    </row>
    <row r="5" spans="1:12" x14ac:dyDescent="0.2">
      <c r="E5" s="189"/>
      <c r="I5" s="189"/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  <c r="I7" s="189"/>
    </row>
    <row r="8" spans="1:12" x14ac:dyDescent="0.2">
      <c r="B8" s="187"/>
      <c r="E8" s="189"/>
      <c r="I8" s="189"/>
    </row>
    <row r="9" spans="1:12" x14ac:dyDescent="0.2">
      <c r="B9" s="187"/>
      <c r="E9" s="189"/>
      <c r="I9" s="189"/>
    </row>
    <row r="10" spans="1:12" x14ac:dyDescent="0.2">
      <c r="E10" s="189"/>
      <c r="I10" s="189"/>
    </row>
    <row r="11" spans="1:12" x14ac:dyDescent="0.2">
      <c r="E11" s="189"/>
      <c r="I11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  <c r="I17" s="189"/>
    </row>
    <row r="18" spans="2:11" x14ac:dyDescent="0.2">
      <c r="B18" s="187"/>
      <c r="E18" s="189"/>
      <c r="G18" s="205"/>
      <c r="I18" s="189"/>
    </row>
    <row r="19" spans="2:11" x14ac:dyDescent="0.2">
      <c r="B19" s="187"/>
      <c r="E19" s="189"/>
    </row>
    <row r="20" spans="2:11" x14ac:dyDescent="0.2">
      <c r="E20" s="189"/>
      <c r="I20" s="189"/>
    </row>
    <row r="21" spans="2:11" x14ac:dyDescent="0.2">
      <c r="E21" s="189"/>
      <c r="I21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  <c r="I27" s="189"/>
    </row>
    <row r="28" spans="2:11" x14ac:dyDescent="0.2">
      <c r="B28" s="187"/>
      <c r="E28" s="189"/>
      <c r="G28" s="205"/>
      <c r="I28" s="189"/>
    </row>
    <row r="29" spans="2:11" x14ac:dyDescent="0.2">
      <c r="B29" s="187"/>
      <c r="E29" s="189"/>
      <c r="G29" s="205"/>
      <c r="I29" s="189"/>
    </row>
    <row r="30" spans="2:11" x14ac:dyDescent="0.2">
      <c r="I30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G38" s="205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G41" s="205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G48" s="205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G58" s="205"/>
      <c r="I58" s="189"/>
    </row>
    <row r="59" spans="2:11" x14ac:dyDescent="0.2">
      <c r="B59" s="187"/>
      <c r="E59" s="189"/>
      <c r="G59" s="205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153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10">
        <v>1</v>
      </c>
      <c r="B2" s="214"/>
      <c r="C2" s="215" t="s">
        <v>155</v>
      </c>
      <c r="D2" s="216"/>
    </row>
    <row r="3" spans="1:4" ht="12" x14ac:dyDescent="0.2">
      <c r="A3" s="210">
        <f>$A$2+0</f>
        <v>1</v>
      </c>
      <c r="B3" s="211">
        <f t="shared" ref="B3:B4" si="0">$B$2</f>
        <v>0</v>
      </c>
      <c r="C3" s="208" t="s">
        <v>156</v>
      </c>
      <c r="D3" s="209"/>
    </row>
    <row r="4" spans="1:4" ht="12" x14ac:dyDescent="0.2">
      <c r="A4" s="210">
        <f>$A$2+0</f>
        <v>1</v>
      </c>
      <c r="B4" s="211">
        <f t="shared" si="0"/>
        <v>0</v>
      </c>
      <c r="C4" s="208" t="s">
        <v>157</v>
      </c>
      <c r="D4" s="209"/>
    </row>
    <row r="5" spans="1:4" ht="12" x14ac:dyDescent="0.2">
      <c r="A5" s="206">
        <f>2</f>
        <v>2</v>
      </c>
      <c r="B5" s="207"/>
      <c r="C5" s="208" t="s">
        <v>155</v>
      </c>
      <c r="D5" s="209"/>
    </row>
    <row r="6" spans="1:4" ht="12" x14ac:dyDescent="0.2">
      <c r="A6" s="210">
        <f>$A$5</f>
        <v>2</v>
      </c>
      <c r="B6" s="211">
        <f t="shared" ref="B6:B7" si="1">$B$5</f>
        <v>0</v>
      </c>
      <c r="C6" s="208" t="s">
        <v>156</v>
      </c>
      <c r="D6" s="209"/>
    </row>
    <row r="7" spans="1:4" ht="12" x14ac:dyDescent="0.2">
      <c r="A7" s="210">
        <f>$A$5</f>
        <v>2</v>
      </c>
      <c r="B7" s="211">
        <f t="shared" si="1"/>
        <v>0</v>
      </c>
      <c r="C7" s="208" t="s">
        <v>157</v>
      </c>
      <c r="D7" s="209"/>
    </row>
    <row r="8" spans="1:4" ht="12" x14ac:dyDescent="0.2">
      <c r="A8" s="206">
        <f>3</f>
        <v>3</v>
      </c>
      <c r="B8" s="207"/>
      <c r="C8" s="208" t="s">
        <v>155</v>
      </c>
      <c r="D8" s="209"/>
    </row>
    <row r="9" spans="1:4" ht="12" x14ac:dyDescent="0.2">
      <c r="A9" s="210">
        <f>$A$8</f>
        <v>3</v>
      </c>
      <c r="B9" s="211">
        <f t="shared" ref="B9:B10" si="2">$B$8</f>
        <v>0</v>
      </c>
      <c r="C9" s="208" t="s">
        <v>156</v>
      </c>
      <c r="D9" s="209"/>
    </row>
    <row r="10" spans="1:4" ht="12" x14ac:dyDescent="0.2">
      <c r="A10" s="210">
        <f>$A$8</f>
        <v>3</v>
      </c>
      <c r="B10" s="211">
        <f t="shared" si="2"/>
        <v>0</v>
      </c>
      <c r="C10" s="208" t="s">
        <v>157</v>
      </c>
      <c r="D10" s="209"/>
    </row>
    <row r="11" spans="1:4" ht="12" x14ac:dyDescent="0.2">
      <c r="A11" s="206">
        <f>4</f>
        <v>4</v>
      </c>
      <c r="B11" s="207"/>
      <c r="C11" s="208" t="s">
        <v>155</v>
      </c>
      <c r="D11" s="209"/>
    </row>
    <row r="12" spans="1:4" ht="12" x14ac:dyDescent="0.2">
      <c r="A12" s="210">
        <f>$A$11</f>
        <v>4</v>
      </c>
      <c r="B12" s="211">
        <f t="shared" ref="B12:B13" si="3">$B$11</f>
        <v>0</v>
      </c>
      <c r="C12" s="208" t="s">
        <v>156</v>
      </c>
      <c r="D12" s="209"/>
    </row>
    <row r="13" spans="1:4" ht="12" x14ac:dyDescent="0.2">
      <c r="A13" s="210">
        <f>$A$11</f>
        <v>4</v>
      </c>
      <c r="B13" s="211">
        <f t="shared" si="3"/>
        <v>0</v>
      </c>
      <c r="C13" s="208" t="s">
        <v>157</v>
      </c>
      <c r="D13" s="209"/>
    </row>
    <row r="14" spans="1:4" ht="12" x14ac:dyDescent="0.2">
      <c r="A14" s="206">
        <f>5</f>
        <v>5</v>
      </c>
      <c r="B14" s="207"/>
      <c r="C14" s="208" t="s">
        <v>155</v>
      </c>
      <c r="D14" s="209"/>
    </row>
    <row r="15" spans="1:4" ht="12" x14ac:dyDescent="0.2">
      <c r="A15" s="210">
        <f>$A$14</f>
        <v>5</v>
      </c>
      <c r="B15" s="211">
        <f t="shared" ref="B15:B16" si="4">$B$14</f>
        <v>0</v>
      </c>
      <c r="C15" s="208" t="s">
        <v>156</v>
      </c>
      <c r="D15" s="209"/>
    </row>
    <row r="16" spans="1:4" ht="12" x14ac:dyDescent="0.2">
      <c r="A16" s="210">
        <f>$A$14</f>
        <v>5</v>
      </c>
      <c r="B16" s="211">
        <f t="shared" si="4"/>
        <v>0</v>
      </c>
      <c r="C16" s="208" t="s">
        <v>157</v>
      </c>
      <c r="D16" s="209"/>
    </row>
    <row r="17" spans="1:4" ht="12" x14ac:dyDescent="0.2">
      <c r="A17" s="206">
        <f>6</f>
        <v>6</v>
      </c>
      <c r="B17" s="207"/>
      <c r="C17" s="208" t="s">
        <v>155</v>
      </c>
      <c r="D17" s="209"/>
    </row>
    <row r="18" spans="1:4" ht="12" x14ac:dyDescent="0.2">
      <c r="A18" s="210">
        <f>$A$17</f>
        <v>6</v>
      </c>
      <c r="B18" s="211">
        <f t="shared" ref="B18:B19" si="5">$B$17</f>
        <v>0</v>
      </c>
      <c r="C18" s="208" t="s">
        <v>156</v>
      </c>
      <c r="D18" s="209"/>
    </row>
    <row r="19" spans="1:4" ht="12" x14ac:dyDescent="0.2">
      <c r="A19" s="210">
        <f>$A$17</f>
        <v>6</v>
      </c>
      <c r="B19" s="211">
        <f t="shared" si="5"/>
        <v>0</v>
      </c>
      <c r="C19" s="208" t="s">
        <v>157</v>
      </c>
      <c r="D19" s="209"/>
    </row>
    <row r="20" spans="1:4" ht="12" x14ac:dyDescent="0.2">
      <c r="A20" s="206">
        <f>7</f>
        <v>7</v>
      </c>
      <c r="B20" s="207"/>
      <c r="C20" s="208" t="s">
        <v>155</v>
      </c>
      <c r="D20" s="209"/>
    </row>
    <row r="21" spans="1:4" ht="12" x14ac:dyDescent="0.2">
      <c r="A21" s="210">
        <f>$A$20</f>
        <v>7</v>
      </c>
      <c r="B21" s="211">
        <f t="shared" ref="B21:B22" si="6">$B$20</f>
        <v>0</v>
      </c>
      <c r="C21" s="208" t="s">
        <v>156</v>
      </c>
      <c r="D21" s="209"/>
    </row>
    <row r="22" spans="1:4" ht="12" x14ac:dyDescent="0.2">
      <c r="A22" s="210">
        <f>$A$20</f>
        <v>7</v>
      </c>
      <c r="B22" s="211">
        <f t="shared" si="6"/>
        <v>0</v>
      </c>
      <c r="C22" s="208" t="s">
        <v>157</v>
      </c>
      <c r="D22" s="209"/>
    </row>
    <row r="23" spans="1:4" ht="12" x14ac:dyDescent="0.2">
      <c r="A23" s="206">
        <f>8</f>
        <v>8</v>
      </c>
      <c r="B23" s="207"/>
      <c r="C23" s="208" t="s">
        <v>155</v>
      </c>
      <c r="D23" s="209"/>
    </row>
    <row r="24" spans="1:4" ht="12" x14ac:dyDescent="0.2">
      <c r="A24" s="210">
        <f>$A$23</f>
        <v>8</v>
      </c>
      <c r="B24" s="211">
        <f t="shared" ref="B24:B25" si="7">$B$23</f>
        <v>0</v>
      </c>
      <c r="C24" s="208" t="s">
        <v>156</v>
      </c>
      <c r="D24" s="209"/>
    </row>
    <row r="25" spans="1:4" ht="12" x14ac:dyDescent="0.2">
      <c r="A25" s="210">
        <f>$A$23</f>
        <v>8</v>
      </c>
      <c r="B25" s="211">
        <f t="shared" si="7"/>
        <v>0</v>
      </c>
      <c r="C25" s="208" t="s">
        <v>157</v>
      </c>
      <c r="D25" s="209"/>
    </row>
    <row r="26" spans="1:4" ht="12" x14ac:dyDescent="0.2">
      <c r="A26" s="206">
        <f>9</f>
        <v>9</v>
      </c>
      <c r="B26" s="207"/>
      <c r="C26" s="208" t="s">
        <v>155</v>
      </c>
      <c r="D26" s="209"/>
    </row>
    <row r="27" spans="1:4" ht="12" x14ac:dyDescent="0.2">
      <c r="A27" s="210">
        <f>$A$26</f>
        <v>9</v>
      </c>
      <c r="B27" s="211">
        <f t="shared" ref="B27:B28" si="8">$B$26</f>
        <v>0</v>
      </c>
      <c r="C27" s="208" t="s">
        <v>156</v>
      </c>
      <c r="D27" s="209"/>
    </row>
    <row r="28" spans="1:4" ht="12" x14ac:dyDescent="0.2">
      <c r="A28" s="210">
        <f>$A$26</f>
        <v>9</v>
      </c>
      <c r="B28" s="211">
        <f t="shared" si="8"/>
        <v>0</v>
      </c>
      <c r="C28" s="208" t="s">
        <v>157</v>
      </c>
      <c r="D28" s="209"/>
    </row>
    <row r="29" spans="1:4" ht="12" x14ac:dyDescent="0.2">
      <c r="A29" s="212">
        <v>10</v>
      </c>
      <c r="B29" s="207"/>
      <c r="C29" s="208" t="s">
        <v>155</v>
      </c>
      <c r="D29" s="209"/>
    </row>
    <row r="30" spans="1:4" ht="12" x14ac:dyDescent="0.2">
      <c r="A30" s="210">
        <f>$A$29</f>
        <v>10</v>
      </c>
      <c r="B30" s="211">
        <f t="shared" ref="B30:B31" si="9">$B$29</f>
        <v>0</v>
      </c>
      <c r="C30" s="208" t="s">
        <v>156</v>
      </c>
      <c r="D30" s="209"/>
    </row>
    <row r="31" spans="1:4" ht="12" x14ac:dyDescent="0.2">
      <c r="A31" s="210">
        <f>$A$29</f>
        <v>10</v>
      </c>
      <c r="B31" s="211">
        <f t="shared" si="9"/>
        <v>0</v>
      </c>
      <c r="C31" s="208" t="s">
        <v>157</v>
      </c>
      <c r="D31" s="209"/>
    </row>
    <row r="32" spans="1:4" ht="13.5" x14ac:dyDescent="0.25">
      <c r="A32" s="213">
        <v>11</v>
      </c>
      <c r="B32" s="207"/>
      <c r="C32" s="208" t="s">
        <v>155</v>
      </c>
      <c r="D32" s="209"/>
    </row>
    <row r="33" spans="1:7" ht="13.5" x14ac:dyDescent="0.25">
      <c r="A33" s="213">
        <v>11</v>
      </c>
      <c r="B33" s="211">
        <f t="shared" ref="B33:B34" si="10">$B$32</f>
        <v>0</v>
      </c>
      <c r="C33" s="208" t="s">
        <v>156</v>
      </c>
      <c r="D33" s="209"/>
    </row>
    <row r="34" spans="1:7" ht="13.5" x14ac:dyDescent="0.25">
      <c r="A34" s="213">
        <v>11</v>
      </c>
      <c r="B34" s="211">
        <f t="shared" si="10"/>
        <v>0</v>
      </c>
      <c r="C34" s="208" t="s">
        <v>157</v>
      </c>
      <c r="D34" s="209"/>
    </row>
    <row r="35" spans="1:7" ht="13.5" x14ac:dyDescent="0.25">
      <c r="A35" s="213">
        <v>12</v>
      </c>
      <c r="B35" s="207"/>
      <c r="C35" s="208" t="s">
        <v>155</v>
      </c>
      <c r="D35" s="209"/>
    </row>
    <row r="36" spans="1:7" ht="13.5" x14ac:dyDescent="0.25">
      <c r="A36" s="213">
        <v>12</v>
      </c>
      <c r="B36" s="211">
        <f t="shared" ref="B36:B37" si="11">$B$35</f>
        <v>0</v>
      </c>
      <c r="C36" s="208" t="s">
        <v>156</v>
      </c>
      <c r="D36" s="209"/>
      <c r="G36" s="175"/>
    </row>
    <row r="37" spans="1:7" ht="13.5" x14ac:dyDescent="0.25">
      <c r="A37" s="213">
        <v>12</v>
      </c>
      <c r="B37" s="211">
        <f t="shared" si="11"/>
        <v>0</v>
      </c>
      <c r="C37" s="208" t="s">
        <v>157</v>
      </c>
      <c r="D37" s="209"/>
      <c r="G37" s="175"/>
    </row>
    <row r="38" spans="1:7" ht="13.5" x14ac:dyDescent="0.25">
      <c r="A38" s="213">
        <v>13</v>
      </c>
      <c r="B38" s="207"/>
      <c r="C38" s="208" t="s">
        <v>155</v>
      </c>
      <c r="D38" s="209"/>
    </row>
    <row r="39" spans="1:7" ht="13.5" x14ac:dyDescent="0.25">
      <c r="A39" s="213">
        <v>13</v>
      </c>
      <c r="B39" s="211">
        <f t="shared" ref="B39:B40" si="12">$B$38</f>
        <v>0</v>
      </c>
      <c r="C39" s="208" t="s">
        <v>156</v>
      </c>
      <c r="D39" s="209"/>
    </row>
    <row r="40" spans="1:7" ht="13.5" x14ac:dyDescent="0.25">
      <c r="A40" s="213">
        <v>13</v>
      </c>
      <c r="B40" s="211">
        <f t="shared" si="12"/>
        <v>0</v>
      </c>
      <c r="C40" s="208" t="s">
        <v>157</v>
      </c>
      <c r="D40" s="209"/>
    </row>
    <row r="41" spans="1:7" ht="13.5" x14ac:dyDescent="0.25">
      <c r="A41" s="213">
        <v>14</v>
      </c>
      <c r="B41" s="207"/>
      <c r="C41" s="208" t="s">
        <v>155</v>
      </c>
      <c r="D41" s="209"/>
    </row>
    <row r="42" spans="1:7" ht="13.5" x14ac:dyDescent="0.25">
      <c r="A42" s="213">
        <v>14</v>
      </c>
      <c r="B42" s="211">
        <f t="shared" ref="B42:B43" si="13">$B$41</f>
        <v>0</v>
      </c>
      <c r="C42" s="208" t="s">
        <v>156</v>
      </c>
      <c r="D42" s="209"/>
    </row>
    <row r="43" spans="1:7" ht="13.5" x14ac:dyDescent="0.25">
      <c r="A43" s="213">
        <v>14</v>
      </c>
      <c r="B43" s="211">
        <f t="shared" si="13"/>
        <v>0</v>
      </c>
      <c r="C43" s="208" t="s">
        <v>157</v>
      </c>
      <c r="D43" s="209"/>
    </row>
    <row r="44" spans="1:7" ht="13.5" x14ac:dyDescent="0.25">
      <c r="A44" s="213">
        <v>15</v>
      </c>
      <c r="B44" s="207"/>
      <c r="C44" s="208" t="s">
        <v>155</v>
      </c>
      <c r="D44" s="209"/>
    </row>
    <row r="45" spans="1:7" ht="13.5" x14ac:dyDescent="0.25">
      <c r="A45" s="213">
        <v>15</v>
      </c>
      <c r="B45" s="211">
        <f t="shared" ref="B45:B46" si="14">$B$44</f>
        <v>0</v>
      </c>
      <c r="C45" s="208" t="s">
        <v>156</v>
      </c>
      <c r="D45" s="209"/>
    </row>
    <row r="46" spans="1:7" ht="13.5" x14ac:dyDescent="0.25">
      <c r="A46" s="213">
        <v>15</v>
      </c>
      <c r="B46" s="211">
        <f t="shared" si="14"/>
        <v>0</v>
      </c>
      <c r="C46" s="208" t="s">
        <v>157</v>
      </c>
      <c r="D46" s="209"/>
    </row>
    <row r="47" spans="1:7" ht="13.5" x14ac:dyDescent="0.25">
      <c r="A47" s="213">
        <v>16</v>
      </c>
      <c r="B47" s="207"/>
      <c r="C47" s="208" t="s">
        <v>155</v>
      </c>
      <c r="D47" s="209"/>
    </row>
    <row r="48" spans="1:7" ht="13.5" x14ac:dyDescent="0.25">
      <c r="A48" s="213">
        <v>16</v>
      </c>
      <c r="B48" s="211">
        <f t="shared" ref="B48:B49" si="15">$B$47</f>
        <v>0</v>
      </c>
      <c r="C48" s="208" t="s">
        <v>156</v>
      </c>
      <c r="D48" s="209"/>
    </row>
    <row r="49" spans="1:9" ht="13.5" x14ac:dyDescent="0.25">
      <c r="A49" s="213">
        <v>16</v>
      </c>
      <c r="B49" s="211">
        <f t="shared" si="15"/>
        <v>0</v>
      </c>
      <c r="C49" s="208" t="s">
        <v>157</v>
      </c>
      <c r="D49" s="209"/>
    </row>
    <row r="50" spans="1:9" ht="13.5" x14ac:dyDescent="0.25">
      <c r="A50" s="213">
        <v>17</v>
      </c>
      <c r="B50" s="207"/>
      <c r="C50" s="208" t="s">
        <v>155</v>
      </c>
      <c r="D50" s="209"/>
    </row>
    <row r="51" spans="1:9" ht="13.5" x14ac:dyDescent="0.25">
      <c r="A51" s="213">
        <v>17</v>
      </c>
      <c r="B51" s="211">
        <f t="shared" ref="B51:B52" si="16">$B$50</f>
        <v>0</v>
      </c>
      <c r="C51" s="208" t="s">
        <v>156</v>
      </c>
      <c r="D51" s="209"/>
    </row>
    <row r="52" spans="1:9" ht="13.5" x14ac:dyDescent="0.25">
      <c r="A52" s="213">
        <v>17</v>
      </c>
      <c r="B52" s="211">
        <f t="shared" si="16"/>
        <v>0</v>
      </c>
      <c r="C52" s="208" t="s">
        <v>157</v>
      </c>
      <c r="D52" s="209"/>
    </row>
    <row r="53" spans="1:9" ht="13.5" x14ac:dyDescent="0.25">
      <c r="A53" s="213">
        <v>18</v>
      </c>
      <c r="B53" s="207"/>
      <c r="C53" s="208" t="s">
        <v>155</v>
      </c>
      <c r="D53" s="209"/>
    </row>
    <row r="54" spans="1:9" ht="13.5" x14ac:dyDescent="0.25">
      <c r="A54" s="213">
        <v>18</v>
      </c>
      <c r="B54" s="211">
        <f t="shared" ref="B54:B55" si="17">$B$53</f>
        <v>0</v>
      </c>
      <c r="C54" s="208" t="s">
        <v>156</v>
      </c>
      <c r="D54" s="209"/>
    </row>
    <row r="55" spans="1:9" ht="13.5" x14ac:dyDescent="0.25">
      <c r="A55" s="213">
        <v>18</v>
      </c>
      <c r="B55" s="211">
        <f t="shared" si="17"/>
        <v>0</v>
      </c>
      <c r="C55" s="208" t="s">
        <v>157</v>
      </c>
      <c r="D55" s="209"/>
    </row>
    <row r="56" spans="1:9" ht="13.5" x14ac:dyDescent="0.25">
      <c r="A56" s="213">
        <v>19</v>
      </c>
      <c r="B56" s="207"/>
      <c r="C56" s="208" t="s">
        <v>155</v>
      </c>
      <c r="D56" s="209"/>
    </row>
    <row r="57" spans="1:9" ht="13.5" x14ac:dyDescent="0.25">
      <c r="A57" s="213">
        <v>19</v>
      </c>
      <c r="B57" s="211">
        <f t="shared" ref="B57:B58" si="18">$B$56</f>
        <v>0</v>
      </c>
      <c r="C57" s="208" t="s">
        <v>156</v>
      </c>
      <c r="D57" s="209"/>
    </row>
    <row r="58" spans="1:9" ht="13.5" x14ac:dyDescent="0.25">
      <c r="A58" s="213">
        <v>19</v>
      </c>
      <c r="B58" s="211">
        <f t="shared" si="18"/>
        <v>0</v>
      </c>
      <c r="C58" s="208" t="s">
        <v>157</v>
      </c>
      <c r="D58" s="209"/>
    </row>
    <row r="59" spans="1:9" ht="13.5" x14ac:dyDescent="0.25">
      <c r="A59" s="213">
        <v>20</v>
      </c>
      <c r="B59" s="207"/>
      <c r="C59" s="208" t="s">
        <v>155</v>
      </c>
      <c r="D59" s="209"/>
    </row>
    <row r="60" spans="1:9" ht="13.5" x14ac:dyDescent="0.25">
      <c r="A60" s="213">
        <v>20</v>
      </c>
      <c r="B60" s="211">
        <f t="shared" ref="B60:B61" si="19">$B$59</f>
        <v>0</v>
      </c>
      <c r="C60" s="208" t="s">
        <v>156</v>
      </c>
      <c r="D60" s="209"/>
    </row>
    <row r="61" spans="1:9" ht="13.5" x14ac:dyDescent="0.25">
      <c r="A61" s="213">
        <v>20</v>
      </c>
      <c r="B61" s="211">
        <f t="shared" si="19"/>
        <v>0</v>
      </c>
      <c r="C61" s="208" t="s">
        <v>157</v>
      </c>
      <c r="D61" s="209"/>
    </row>
    <row r="62" spans="1:9" ht="13.5" x14ac:dyDescent="0.25">
      <c r="A62" s="213">
        <v>21</v>
      </c>
      <c r="B62" s="207"/>
      <c r="C62" s="208" t="s">
        <v>155</v>
      </c>
      <c r="D62" s="209"/>
      <c r="E62" s="176"/>
      <c r="F62" s="176"/>
      <c r="G62" s="177"/>
      <c r="I62" s="176"/>
    </row>
    <row r="63" spans="1:9" ht="13.5" x14ac:dyDescent="0.25">
      <c r="A63" s="213">
        <v>21</v>
      </c>
      <c r="B63" s="211">
        <f t="shared" ref="B63:B64" si="20">$B$62</f>
        <v>0</v>
      </c>
      <c r="C63" s="208" t="s">
        <v>156</v>
      </c>
      <c r="D63" s="209"/>
      <c r="E63" s="176"/>
      <c r="F63" s="176"/>
      <c r="G63" s="177"/>
      <c r="I63" s="176"/>
    </row>
    <row r="64" spans="1:9" ht="13.5" x14ac:dyDescent="0.25">
      <c r="A64" s="213">
        <v>21</v>
      </c>
      <c r="B64" s="211">
        <f t="shared" si="20"/>
        <v>0</v>
      </c>
      <c r="C64" s="208" t="s">
        <v>157</v>
      </c>
      <c r="D64" s="209"/>
      <c r="E64" s="176"/>
      <c r="F64" s="176"/>
      <c r="G64" s="177"/>
      <c r="I64" s="176"/>
    </row>
    <row r="65" spans="1:9" ht="13.5" x14ac:dyDescent="0.25">
      <c r="A65" s="213">
        <v>22</v>
      </c>
      <c r="B65" s="207"/>
      <c r="C65" s="208" t="s">
        <v>155</v>
      </c>
      <c r="D65" s="209"/>
      <c r="E65" s="176"/>
      <c r="F65" s="176"/>
      <c r="G65" s="177"/>
      <c r="I65" s="176"/>
    </row>
    <row r="66" spans="1:9" ht="13.5" x14ac:dyDescent="0.25">
      <c r="A66" s="213">
        <v>22</v>
      </c>
      <c r="B66" s="211">
        <f t="shared" ref="B66:B67" si="21">$B$65</f>
        <v>0</v>
      </c>
      <c r="C66" s="208" t="s">
        <v>156</v>
      </c>
      <c r="D66" s="209"/>
      <c r="E66" s="176"/>
      <c r="F66" s="176"/>
      <c r="G66" s="177"/>
      <c r="I66" s="176"/>
    </row>
    <row r="67" spans="1:9" ht="13.5" x14ac:dyDescent="0.25">
      <c r="A67" s="213">
        <v>22</v>
      </c>
      <c r="B67" s="211">
        <f t="shared" si="21"/>
        <v>0</v>
      </c>
      <c r="C67" s="208" t="s">
        <v>157</v>
      </c>
      <c r="D67" s="209"/>
      <c r="E67" s="176"/>
      <c r="F67" s="176"/>
      <c r="G67" s="177"/>
    </row>
    <row r="68" spans="1:9" ht="13.5" x14ac:dyDescent="0.25">
      <c r="A68" s="213">
        <v>23</v>
      </c>
      <c r="B68" s="207"/>
      <c r="C68" s="208" t="s">
        <v>155</v>
      </c>
      <c r="D68" s="209"/>
      <c r="E68" s="176"/>
      <c r="F68" s="176"/>
      <c r="G68" s="177"/>
    </row>
    <row r="69" spans="1:9" ht="13.5" x14ac:dyDescent="0.25">
      <c r="A69" s="213">
        <v>23</v>
      </c>
      <c r="B69" s="211">
        <f t="shared" ref="B69:B70" si="22">$B$68</f>
        <v>0</v>
      </c>
      <c r="C69" s="208" t="s">
        <v>156</v>
      </c>
      <c r="D69" s="209"/>
      <c r="E69" s="176"/>
      <c r="F69" s="176"/>
      <c r="G69" s="177"/>
    </row>
    <row r="70" spans="1:9" ht="13.5" x14ac:dyDescent="0.25">
      <c r="A70" s="213">
        <v>23</v>
      </c>
      <c r="B70" s="211">
        <f t="shared" si="22"/>
        <v>0</v>
      </c>
      <c r="C70" s="208" t="s">
        <v>157</v>
      </c>
      <c r="D70" s="209"/>
      <c r="E70" s="176"/>
      <c r="F70" s="176"/>
      <c r="G70" s="177"/>
    </row>
    <row r="71" spans="1:9" ht="13.5" x14ac:dyDescent="0.25">
      <c r="A71" s="213">
        <v>24</v>
      </c>
      <c r="B71" s="207"/>
      <c r="C71" s="208" t="s">
        <v>155</v>
      </c>
      <c r="D71" s="209"/>
      <c r="E71" s="176"/>
      <c r="F71" s="176"/>
      <c r="G71" s="177"/>
    </row>
    <row r="72" spans="1:9" ht="13.5" x14ac:dyDescent="0.25">
      <c r="A72" s="213">
        <v>24</v>
      </c>
      <c r="B72" s="211">
        <f t="shared" ref="B72:B73" si="23">$B$71</f>
        <v>0</v>
      </c>
      <c r="C72" s="208" t="s">
        <v>156</v>
      </c>
      <c r="D72" s="209"/>
      <c r="E72" s="176"/>
      <c r="F72" s="176"/>
      <c r="G72" s="177"/>
    </row>
    <row r="73" spans="1:9" ht="13.5" x14ac:dyDescent="0.25">
      <c r="A73" s="213">
        <v>24</v>
      </c>
      <c r="B73" s="211">
        <f t="shared" si="23"/>
        <v>0</v>
      </c>
      <c r="C73" s="208" t="s">
        <v>157</v>
      </c>
      <c r="D73" s="209"/>
      <c r="E73" s="176"/>
      <c r="F73" s="176"/>
      <c r="G73" s="177"/>
    </row>
    <row r="74" spans="1:9" ht="13.5" x14ac:dyDescent="0.25">
      <c r="A74" s="213">
        <v>25</v>
      </c>
      <c r="B74" s="207"/>
      <c r="C74" s="208" t="s">
        <v>155</v>
      </c>
      <c r="D74" s="209"/>
      <c r="E74" s="176"/>
      <c r="F74" s="176"/>
      <c r="G74" s="177"/>
    </row>
    <row r="75" spans="1:9" ht="13.5" x14ac:dyDescent="0.25">
      <c r="A75" s="213">
        <v>25</v>
      </c>
      <c r="B75" s="211">
        <f t="shared" ref="B75:B76" si="24">$B$74</f>
        <v>0</v>
      </c>
      <c r="C75" s="208" t="s">
        <v>156</v>
      </c>
      <c r="D75" s="209"/>
      <c r="E75" s="176"/>
      <c r="F75" s="176"/>
      <c r="G75" s="177"/>
    </row>
    <row r="76" spans="1:9" ht="13.5" x14ac:dyDescent="0.25">
      <c r="A76" s="213">
        <v>25</v>
      </c>
      <c r="B76" s="211">
        <f t="shared" si="24"/>
        <v>0</v>
      </c>
      <c r="C76" s="208" t="s">
        <v>157</v>
      </c>
      <c r="D76" s="209"/>
      <c r="E76" s="176"/>
      <c r="F76" s="176"/>
      <c r="G76" s="177"/>
    </row>
    <row r="77" spans="1:9" ht="13.5" x14ac:dyDescent="0.25">
      <c r="A77" s="213">
        <v>26</v>
      </c>
      <c r="B77" s="207"/>
      <c r="C77" s="208" t="s">
        <v>155</v>
      </c>
      <c r="D77" s="209"/>
      <c r="E77" s="176"/>
      <c r="F77" s="176"/>
      <c r="G77" s="177"/>
    </row>
    <row r="78" spans="1:9" ht="13.5" x14ac:dyDescent="0.25">
      <c r="A78" s="213">
        <v>26</v>
      </c>
      <c r="B78" s="211">
        <f t="shared" ref="B78:B79" si="25">$B$77</f>
        <v>0</v>
      </c>
      <c r="C78" s="208" t="s">
        <v>156</v>
      </c>
      <c r="D78" s="209"/>
      <c r="E78" s="176"/>
      <c r="F78" s="176"/>
      <c r="G78" s="177"/>
    </row>
    <row r="79" spans="1:9" ht="13.5" x14ac:dyDescent="0.25">
      <c r="A79" s="213">
        <v>26</v>
      </c>
      <c r="B79" s="211">
        <f t="shared" si="25"/>
        <v>0</v>
      </c>
      <c r="C79" s="208" t="s">
        <v>157</v>
      </c>
      <c r="D79" s="209"/>
    </row>
    <row r="80" spans="1:9" ht="13.5" x14ac:dyDescent="0.25">
      <c r="A80" s="213">
        <v>27</v>
      </c>
      <c r="B80" s="207"/>
      <c r="C80" s="208" t="s">
        <v>155</v>
      </c>
      <c r="D80" s="209"/>
    </row>
    <row r="81" spans="1:4" ht="13.5" x14ac:dyDescent="0.25">
      <c r="A81" s="213">
        <v>27</v>
      </c>
      <c r="B81" s="211">
        <f t="shared" ref="B81:B82" si="26">$B$80</f>
        <v>0</v>
      </c>
      <c r="C81" s="208" t="s">
        <v>156</v>
      </c>
      <c r="D81" s="209"/>
    </row>
    <row r="82" spans="1:4" ht="13.5" x14ac:dyDescent="0.25">
      <c r="A82" s="213">
        <v>27</v>
      </c>
      <c r="B82" s="211">
        <f t="shared" si="26"/>
        <v>0</v>
      </c>
      <c r="C82" s="208" t="s">
        <v>157</v>
      </c>
      <c r="D82" s="209"/>
    </row>
    <row r="83" spans="1:4" ht="13.5" x14ac:dyDescent="0.25">
      <c r="A83" s="213">
        <v>28</v>
      </c>
      <c r="B83" s="207"/>
      <c r="C83" s="208" t="s">
        <v>155</v>
      </c>
      <c r="D83" s="209"/>
    </row>
    <row r="84" spans="1:4" ht="13.5" x14ac:dyDescent="0.25">
      <c r="A84" s="213">
        <v>28</v>
      </c>
      <c r="B84" s="211">
        <f t="shared" ref="B84:B85" si="27">$B$83</f>
        <v>0</v>
      </c>
      <c r="C84" s="208" t="s">
        <v>156</v>
      </c>
      <c r="D84" s="209"/>
    </row>
    <row r="85" spans="1:4" ht="13.5" x14ac:dyDescent="0.25">
      <c r="A85" s="213">
        <v>28</v>
      </c>
      <c r="B85" s="211">
        <f t="shared" si="27"/>
        <v>0</v>
      </c>
      <c r="C85" s="208" t="s">
        <v>157</v>
      </c>
      <c r="D85" s="209"/>
    </row>
    <row r="86" spans="1:4" ht="13.5" x14ac:dyDescent="0.25">
      <c r="A86" s="213">
        <v>29</v>
      </c>
      <c r="B86" s="207"/>
      <c r="C86" s="208" t="s">
        <v>155</v>
      </c>
      <c r="D86" s="209"/>
    </row>
    <row r="87" spans="1:4" ht="13.5" x14ac:dyDescent="0.25">
      <c r="A87" s="213">
        <v>29</v>
      </c>
      <c r="B87" s="211">
        <f t="shared" ref="B87:B88" si="28">$B$86</f>
        <v>0</v>
      </c>
      <c r="C87" s="208" t="s">
        <v>156</v>
      </c>
      <c r="D87" s="209"/>
    </row>
    <row r="88" spans="1:4" ht="13.5" x14ac:dyDescent="0.25">
      <c r="A88" s="213">
        <v>29</v>
      </c>
      <c r="B88" s="211">
        <f t="shared" si="28"/>
        <v>0</v>
      </c>
      <c r="C88" s="208" t="s">
        <v>157</v>
      </c>
      <c r="D88" s="209"/>
    </row>
    <row r="89" spans="1:4" ht="13.5" x14ac:dyDescent="0.25">
      <c r="A89" s="213">
        <v>30</v>
      </c>
      <c r="B89" s="207"/>
      <c r="C89" s="208" t="s">
        <v>155</v>
      </c>
      <c r="D89" s="209"/>
    </row>
    <row r="90" spans="1:4" ht="13.5" x14ac:dyDescent="0.25">
      <c r="A90" s="213">
        <v>30</v>
      </c>
      <c r="B90" s="211">
        <f t="shared" ref="B90:B91" si="29">$B$89</f>
        <v>0</v>
      </c>
      <c r="C90" s="208" t="s">
        <v>156</v>
      </c>
      <c r="D90" s="209"/>
    </row>
    <row r="91" spans="1:4" ht="13.5" x14ac:dyDescent="0.25">
      <c r="A91" s="213">
        <v>30</v>
      </c>
      <c r="B91" s="211">
        <f t="shared" si="29"/>
        <v>0</v>
      </c>
      <c r="C91" s="208" t="s">
        <v>157</v>
      </c>
      <c r="D91" s="209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U62" zoomScale="90" zoomScaleNormal="90" workbookViewId="0">
      <selection activeCell="AI82" sqref="AI82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20"/>
      <c r="C1" s="220"/>
      <c r="D1" s="7"/>
      <c r="E1" s="220"/>
      <c r="F1" s="220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17" t="s">
        <v>31</v>
      </c>
      <c r="B28" s="218"/>
      <c r="C28" s="219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0.40446370633684653</v>
      </c>
      <c r="E30" s="62">
        <f ca="1">IFERROR(M100,0)</f>
        <v>0.28936288420165462</v>
      </c>
      <c r="F30" s="62">
        <f ca="1">IFERROR(M103,0)</f>
        <v>0.65759267873630323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9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00" t="s">
        <v>111</v>
      </c>
      <c r="O79" s="196">
        <f t="shared" ref="O79:AI79" si="16">IF(O83=0,IF($A79&lt;&gt;0,O35,0))</f>
        <v>-0.57735026918962584</v>
      </c>
      <c r="P79" s="196">
        <f t="shared" si="16"/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6" t="b">
        <f t="shared" si="16"/>
        <v>0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00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00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00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1" t="s">
        <v>152</v>
      </c>
      <c r="O83" s="198">
        <f t="shared" ref="O83:AI83" si="17">IF(($C$82*O35+$D$82)&gt;1,1,0)</f>
        <v>0</v>
      </c>
      <c r="P83" s="198">
        <f t="shared" si="17"/>
        <v>0</v>
      </c>
      <c r="Q83" s="198">
        <f t="shared" si="17"/>
        <v>0</v>
      </c>
      <c r="R83" s="198">
        <f t="shared" si="17"/>
        <v>0</v>
      </c>
      <c r="S83" s="198">
        <f t="shared" si="17"/>
        <v>0</v>
      </c>
      <c r="T83" s="198">
        <f t="shared" si="17"/>
        <v>0</v>
      </c>
      <c r="U83" s="198">
        <f t="shared" si="17"/>
        <v>0</v>
      </c>
      <c r="V83" s="198">
        <f t="shared" si="17"/>
        <v>0</v>
      </c>
      <c r="W83" s="198">
        <f t="shared" si="17"/>
        <v>0</v>
      </c>
      <c r="X83" s="198">
        <f t="shared" si="17"/>
        <v>0</v>
      </c>
      <c r="Y83" s="198">
        <f t="shared" si="17"/>
        <v>0</v>
      </c>
      <c r="Z83" s="198">
        <f t="shared" si="17"/>
        <v>1</v>
      </c>
      <c r="AA83" s="198">
        <f t="shared" si="17"/>
        <v>1</v>
      </c>
      <c r="AB83" s="198">
        <f t="shared" si="17"/>
        <v>1</v>
      </c>
      <c r="AC83" s="198">
        <f t="shared" si="17"/>
        <v>1</v>
      </c>
      <c r="AD83" s="198">
        <f t="shared" si="17"/>
        <v>1</v>
      </c>
      <c r="AE83" s="198">
        <f t="shared" si="17"/>
        <v>1</v>
      </c>
      <c r="AF83" s="198">
        <f t="shared" si="17"/>
        <v>1</v>
      </c>
      <c r="AG83" s="198">
        <f t="shared" si="17"/>
        <v>1</v>
      </c>
      <c r="AH83" s="198">
        <f t="shared" si="17"/>
        <v>1</v>
      </c>
      <c r="AI83" s="198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0.22430540249420414</v>
      </c>
      <c r="N87" s="131">
        <f ca="1">IFERROR(N91,0)</f>
        <v>-2.8271229917970014E-2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-0.15396007892731417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-0.30574582323392585</v>
      </c>
      <c r="N88" s="136">
        <f ca="1">IFERROR((C81*N87+D81),0)</f>
        <v>-0.52448360330519272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0.46666664192115492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0.22430540249420283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-2.8271229918026112E-2</v>
      </c>
      <c r="P91" s="96" t="s">
        <v>8</v>
      </c>
      <c r="Q91" s="6" t="s">
        <v>56</v>
      </c>
      <c r="R91" s="135"/>
      <c r="S91" s="136">
        <f ca="1">IFERROR((SQRT(25*S88^2-10*S88+21)-6)/(5*SQRT(3)),0)</f>
        <v>-0.15396007586585092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0.33412747817439448</v>
      </c>
      <c r="N92" s="140"/>
      <c r="P92" s="99" t="s">
        <v>57</v>
      </c>
      <c r="Q92" s="25"/>
      <c r="R92" s="141">
        <f ca="1">IFERROR(SQRT((R87-S87)^2+(R88-S88)^2),0)</f>
        <v>0.55511095894691387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2.7320484157893197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-3.7320484157893197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2.7320494266743061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4.9880161421085987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0.28936288420145617</v>
      </c>
      <c r="N100" s="143"/>
      <c r="P100" s="6" t="s">
        <v>60</v>
      </c>
      <c r="R100" s="142">
        <f ca="1">IFERROR(R92/R98,0)</f>
        <v>0.11128892592401479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0.75932262017108598</v>
      </c>
      <c r="N102" s="147">
        <f ca="1">IFERROR(SQRT((M87-M94)^2+(M88-M95)^2),0)</f>
        <v>0.46703445946201771</v>
      </c>
      <c r="R102" s="134">
        <f ca="1">IFERROR((SQRT((S87-S94)^2+(S88-S95)^2)),0)</f>
        <v>0.63010872704028142</v>
      </c>
      <c r="S102" s="147">
        <f ca="1">IFERROR(SQRT((R87-R94)^2+(R88-R95)^2),0)</f>
        <v>5.4640983479061891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0.65759267873632254</v>
      </c>
      <c r="N103" s="149">
        <f ca="1">IFERROR(N102/M98,0)</f>
        <v>0.40446370633684087</v>
      </c>
      <c r="R103" s="148">
        <f ca="1">IFERROR(R102/R98,0)</f>
        <v>0.1263245164186485</v>
      </c>
      <c r="S103" s="149">
        <f ca="1">IFERROR(S102/R98,0)</f>
        <v>1.0954452015057703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1.3514192692746196</v>
      </c>
      <c r="R105" s="152">
        <f ca="1">IFERROR((R100+R103+S103),0)</f>
        <v>1.3330586438484335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1.6068795572343051</v>
      </c>
      <c r="R108" s="103">
        <f ca="1">IFERROR(LOG(100*S103),0)</f>
        <v>2.0395906573153435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1.4614428245707272</v>
      </c>
      <c r="R109" s="103">
        <f ca="1">IFERROR(LOG(100*R100),0)</f>
        <v>1.0464519509531212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1.8179569693706261</v>
      </c>
      <c r="N110" s="25"/>
      <c r="O110" s="25"/>
      <c r="P110" s="25"/>
      <c r="Q110" s="25"/>
      <c r="R110" s="153">
        <f ca="1">IFERROR(LOG(100*R103),0)</f>
        <v>1.1014876443960033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Resumo!G8</f>
        <v>0</v>
      </c>
      <c r="D212" s="13">
        <f>Resumo!G14</f>
        <v>0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Resumo!G9</f>
        <v>0</v>
      </c>
      <c r="D213" s="13">
        <f>Resumo!G15</f>
        <v>0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0</v>
      </c>
      <c r="C214" s="13">
        <f>Resumo!G10</f>
        <v>0</v>
      </c>
      <c r="D214" s="13">
        <f>Resumo!G16</f>
        <v>0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0</v>
      </c>
      <c r="C215" s="166">
        <f>Resumo!G11</f>
        <v>0</v>
      </c>
      <c r="D215" s="166">
        <f>Resumo!G17</f>
        <v>0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</v>
      </c>
      <c r="C217" s="20">
        <f t="shared" ref="C217:AE217" si="19">IFERROR(C212/C215,0)</f>
        <v>0</v>
      </c>
      <c r="D217" s="20">
        <f t="shared" si="19"/>
        <v>0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</v>
      </c>
      <c r="C218" s="20">
        <f t="shared" si="20"/>
        <v>0</v>
      </c>
      <c r="D218" s="20">
        <f t="shared" si="20"/>
        <v>0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</v>
      </c>
      <c r="C219" s="20">
        <f t="shared" si="21"/>
        <v>0</v>
      </c>
      <c r="D219" s="20">
        <f t="shared" si="21"/>
        <v>0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</v>
      </c>
      <c r="C221" s="21">
        <f t="shared" ref="C221:AE221" si="22">IFERROR((C212/C215),0)</f>
        <v>0</v>
      </c>
      <c r="D221" s="21">
        <f t="shared" si="22"/>
        <v>0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</v>
      </c>
      <c r="C222" s="21">
        <f t="shared" si="23"/>
        <v>0</v>
      </c>
      <c r="D222" s="21">
        <f t="shared" si="23"/>
        <v>0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</v>
      </c>
      <c r="C223" s="24">
        <f t="shared" si="24"/>
        <v>0</v>
      </c>
      <c r="D223" s="24">
        <f t="shared" si="24"/>
        <v>0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5">IFERROR(C221+C222,0)</f>
        <v>0</v>
      </c>
      <c r="D224" s="28">
        <f t="shared" si="25"/>
        <v>0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6">IFERROR(C221+C222+C223,0)</f>
        <v>0</v>
      </c>
      <c r="D225" s="28">
        <f t="shared" si="26"/>
        <v>0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0</v>
      </c>
      <c r="C226" s="34">
        <f t="shared" ref="C226:AE226" si="27">IFERROR(C215/C214,0)</f>
        <v>0</v>
      </c>
      <c r="D226" s="34">
        <f t="shared" si="27"/>
        <v>0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0</v>
      </c>
      <c r="C227" s="38">
        <f t="shared" ref="C227:AE227" si="28">IFERROR(C214/(C212+C213),0)</f>
        <v>0</v>
      </c>
      <c r="D227" s="38">
        <f t="shared" si="28"/>
        <v>0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0</v>
      </c>
      <c r="C228" s="38">
        <f t="shared" ref="C228:AE228" si="29">IFERROR((C213+C214)/C212,0)</f>
        <v>0</v>
      </c>
      <c r="D228" s="38">
        <f t="shared" si="29"/>
        <v>0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</v>
      </c>
      <c r="C229" s="160">
        <f t="shared" ref="C229:AE229" si="30">IFERROR(C226/C228,0)</f>
        <v>0</v>
      </c>
      <c r="D229" s="160">
        <f t="shared" si="30"/>
        <v>0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21" t="s">
        <v>30</v>
      </c>
      <c r="B230" s="222"/>
      <c r="C230" s="222"/>
      <c r="D230" s="222"/>
      <c r="E230" s="222"/>
      <c r="F230" s="222"/>
      <c r="G230" s="222"/>
      <c r="H230" s="222"/>
      <c r="I230" s="222"/>
      <c r="J230" s="222"/>
      <c r="K230" s="222"/>
      <c r="L230" s="222"/>
      <c r="M230" s="222"/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3"/>
    </row>
    <row r="231" spans="1:31" x14ac:dyDescent="0.2">
      <c r="A231" s="44" t="s">
        <v>31</v>
      </c>
      <c r="B231" s="45" t="str">
        <f t="shared" ref="B231:AE231" si="31">B211</f>
        <v xml:space="preserve"> 1-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32">IFERROR(((2*C223+C221-1)/SQRT(3)),0)</f>
        <v>-0.57735026918962584</v>
      </c>
      <c r="D232" s="47">
        <f t="shared" si="32"/>
        <v>-0.57735026918962584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 SI</cp:lastModifiedBy>
  <cp:lastPrinted>2023-08-21T18:25:32Z</cp:lastPrinted>
  <dcterms:created xsi:type="dcterms:W3CDTF">2003-07-04T14:12:44Z</dcterms:created>
  <dcterms:modified xsi:type="dcterms:W3CDTF">2023-09-27T19:46:31Z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