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113F065D-1240-4C42-8A1A-23240D89DD15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W58" i="6" l="1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M74" i="6"/>
  <c r="M73" i="6"/>
  <c r="M70" i="6"/>
  <c r="M69" i="6"/>
  <c r="AT69" i="6" s="1"/>
  <c r="M66" i="6"/>
  <c r="M65" i="6"/>
  <c r="U57" i="6"/>
  <c r="T57" i="6"/>
  <c r="T50" i="6"/>
  <c r="U50" i="6"/>
  <c r="V50" i="6"/>
  <c r="T37" i="6"/>
  <c r="U37" i="6"/>
  <c r="T35" i="6"/>
  <c r="U35" i="6"/>
  <c r="AY57" i="6"/>
  <c r="AX57" i="6" s="1"/>
  <c r="AY56" i="6"/>
  <c r="AX56" i="6" s="1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P57" i="6"/>
  <c r="AP56" i="6"/>
  <c r="AP54" i="6"/>
  <c r="AQ54" i="6" s="1"/>
  <c r="AR54" i="6" s="1"/>
  <c r="AS54" i="6" s="1"/>
  <c r="AT54" i="6" s="1"/>
  <c r="AU54" i="6" s="1"/>
  <c r="AV54" i="6" s="1"/>
  <c r="AW54" i="6" s="1"/>
  <c r="AX54" i="6" s="1"/>
  <c r="AP53" i="6"/>
  <c r="AQ53" i="6" s="1"/>
  <c r="AR53" i="6" s="1"/>
  <c r="AS53" i="6" s="1"/>
  <c r="AT53" i="6" s="1"/>
  <c r="AU53" i="6" s="1"/>
  <c r="AV53" i="6" s="1"/>
  <c r="AW53" i="6" s="1"/>
  <c r="AX53" i="6" s="1"/>
  <c r="AP51" i="6"/>
  <c r="AQ51" i="6" s="1"/>
  <c r="AR51" i="6" s="1"/>
  <c r="AS51" i="6" s="1"/>
  <c r="AT51" i="6" s="1"/>
  <c r="AU51" i="6" s="1"/>
  <c r="AV51" i="6" s="1"/>
  <c r="AW51" i="6" s="1"/>
  <c r="AX51" i="6" s="1"/>
  <c r="AP50" i="6"/>
  <c r="AQ50" i="6" s="1"/>
  <c r="AR50" i="6" s="1"/>
  <c r="AS50" i="6" s="1"/>
  <c r="AT50" i="6" s="1"/>
  <c r="AU50" i="6" s="1"/>
  <c r="AV50" i="6" s="1"/>
  <c r="AW50" i="6" s="1"/>
  <c r="AX50" i="6" s="1"/>
  <c r="AP48" i="6"/>
  <c r="AP47" i="6"/>
  <c r="AQ47" i="6" s="1"/>
  <c r="AR47" i="6" s="1"/>
  <c r="AS47" i="6" s="1"/>
  <c r="AT47" i="6" s="1"/>
  <c r="AU47" i="6" s="1"/>
  <c r="AV47" i="6" s="1"/>
  <c r="AW47" i="6" s="1"/>
  <c r="AX47" i="6" s="1"/>
  <c r="AP45" i="6"/>
  <c r="AP44" i="6"/>
  <c r="AP42" i="6"/>
  <c r="AP41" i="6"/>
  <c r="AQ41" i="6" s="1"/>
  <c r="AR41" i="6" s="1"/>
  <c r="AS41" i="6" s="1"/>
  <c r="AT41" i="6" s="1"/>
  <c r="AU41" i="6" s="1"/>
  <c r="AV41" i="6" s="1"/>
  <c r="AW41" i="6" s="1"/>
  <c r="AX41" i="6" s="1"/>
  <c r="AP39" i="6"/>
  <c r="AQ39" i="6" s="1"/>
  <c r="AR39" i="6" s="1"/>
  <c r="AS39" i="6" s="1"/>
  <c r="AT39" i="6" s="1"/>
  <c r="AU39" i="6" s="1"/>
  <c r="AV39" i="6" s="1"/>
  <c r="AW39" i="6" s="1"/>
  <c r="AX39" i="6" s="1"/>
  <c r="AP38" i="6"/>
  <c r="AQ38" i="6" s="1"/>
  <c r="AR38" i="6" s="1"/>
  <c r="AS38" i="6" s="1"/>
  <c r="AT38" i="6" s="1"/>
  <c r="AU38" i="6" s="1"/>
  <c r="AV38" i="6" s="1"/>
  <c r="AW38" i="6" s="1"/>
  <c r="AX38" i="6" s="1"/>
  <c r="AP36" i="6"/>
  <c r="AP35" i="6"/>
  <c r="AQ35" i="6" s="1"/>
  <c r="AR35" i="6" s="1"/>
  <c r="AS35" i="6" s="1"/>
  <c r="AT35" i="6" s="1"/>
  <c r="AU35" i="6" s="1"/>
  <c r="AV35" i="6" s="1"/>
  <c r="AW35" i="6" s="1"/>
  <c r="AX35" i="6" s="1"/>
  <c r="AY33" i="6"/>
  <c r="AY32" i="6"/>
  <c r="AP33" i="6"/>
  <c r="AP32" i="6"/>
  <c r="AY30" i="6"/>
  <c r="AY29" i="6"/>
  <c r="AP30" i="6"/>
  <c r="AP29" i="6"/>
  <c r="AW78" i="6"/>
  <c r="AV78" i="6"/>
  <c r="AU77" i="6"/>
  <c r="AT77" i="6"/>
  <c r="AS80" i="6"/>
  <c r="AR80" i="6"/>
  <c r="AQ79" i="6"/>
  <c r="AP79" i="6"/>
  <c r="AS70" i="6"/>
  <c r="AS69" i="6" s="1"/>
  <c r="AT70" i="6"/>
  <c r="AU70" i="6"/>
  <c r="AV70" i="6"/>
  <c r="AW70" i="6"/>
  <c r="AW69" i="6" s="1"/>
  <c r="AX70" i="6"/>
  <c r="AY70" i="6"/>
  <c r="AZ70" i="6"/>
  <c r="AZ69" i="6" s="1"/>
  <c r="BA70" i="6"/>
  <c r="BA69" i="6" s="1"/>
  <c r="BB70" i="6"/>
  <c r="BC70" i="6"/>
  <c r="BD70" i="6"/>
  <c r="BE70" i="6"/>
  <c r="BF70" i="6"/>
  <c r="BF69" i="6" s="1"/>
  <c r="AR70" i="6"/>
  <c r="AQ70" i="6"/>
  <c r="AP70" i="6"/>
  <c r="AP69" i="6" s="1"/>
  <c r="AO70" i="6"/>
  <c r="BG70" i="6"/>
  <c r="BG69" i="6" s="1"/>
  <c r="BG66" i="6"/>
  <c r="BG65" i="6" s="1"/>
  <c r="AS66" i="6"/>
  <c r="AT66" i="6"/>
  <c r="AT65" i="6" s="1"/>
  <c r="AU66" i="6"/>
  <c r="AU65" i="6" s="1"/>
  <c r="AV66" i="6"/>
  <c r="AV65" i="6" s="1"/>
  <c r="AW66" i="6"/>
  <c r="AW65" i="6" s="1"/>
  <c r="AX66" i="6"/>
  <c r="AY66" i="6"/>
  <c r="AY65" i="6" s="1"/>
  <c r="AZ66" i="6"/>
  <c r="AZ65" i="6" s="1"/>
  <c r="BA66" i="6"/>
  <c r="BB66" i="6"/>
  <c r="BB65" i="6" s="1"/>
  <c r="BC66" i="6"/>
  <c r="BC65" i="6" s="1"/>
  <c r="BD66" i="6"/>
  <c r="BD65" i="6" s="1"/>
  <c r="BE66" i="6"/>
  <c r="BE65" i="6" s="1"/>
  <c r="BF66" i="6"/>
  <c r="AR66" i="6"/>
  <c r="AR65" i="6" s="1"/>
  <c r="AQ66" i="6"/>
  <c r="AQ65" i="6" s="1"/>
  <c r="AP66" i="6"/>
  <c r="AP65" i="6" s="1"/>
  <c r="AO66" i="6"/>
  <c r="AO80" i="6"/>
  <c r="AO79" i="6"/>
  <c r="AO78" i="6"/>
  <c r="AO77" i="6"/>
  <c r="BG73" i="6"/>
  <c r="BE69" i="6"/>
  <c r="AM70" i="6"/>
  <c r="AU69" i="6"/>
  <c r="AM69" i="6"/>
  <c r="BF65" i="6"/>
  <c r="AX65" i="6"/>
  <c r="AM66" i="6"/>
  <c r="BA65" i="6"/>
  <c r="AS65" i="6"/>
  <c r="AO65" i="6"/>
  <c r="AM65" i="6"/>
  <c r="AG74" i="6"/>
  <c r="O74" i="6"/>
  <c r="AG70" i="6"/>
  <c r="O70" i="6"/>
  <c r="AG66" i="6"/>
  <c r="O66" i="6"/>
  <c r="O72" i="6"/>
  <c r="O68" i="6"/>
  <c r="O64" i="6"/>
  <c r="AQ45" i="6" l="1"/>
  <c r="AR45" i="6" s="1"/>
  <c r="AS45" i="6" s="1"/>
  <c r="AT45" i="6" s="1"/>
  <c r="AU45" i="6" s="1"/>
  <c r="AV45" i="6" s="1"/>
  <c r="AW45" i="6" s="1"/>
  <c r="AX45" i="6" s="1"/>
  <c r="AQ48" i="6"/>
  <c r="AR48" i="6" s="1"/>
  <c r="AS48" i="6" s="1"/>
  <c r="AT48" i="6" s="1"/>
  <c r="AU48" i="6" s="1"/>
  <c r="AV48" i="6" s="1"/>
  <c r="AW48" i="6" s="1"/>
  <c r="AX48" i="6" s="1"/>
  <c r="AQ36" i="6"/>
  <c r="AR36" i="6" s="1"/>
  <c r="AS36" i="6" s="1"/>
  <c r="AT36" i="6" s="1"/>
  <c r="AU36" i="6" s="1"/>
  <c r="AV36" i="6" s="1"/>
  <c r="AW36" i="6" s="1"/>
  <c r="AX36" i="6" s="1"/>
  <c r="AQ44" i="6"/>
  <c r="AR44" i="6" s="1"/>
  <c r="AS44" i="6" s="1"/>
  <c r="AT44" i="6" s="1"/>
  <c r="AU44" i="6" s="1"/>
  <c r="AV44" i="6" s="1"/>
  <c r="AW44" i="6" s="1"/>
  <c r="AX44" i="6" s="1"/>
  <c r="AQ32" i="6"/>
  <c r="AR32" i="6" s="1"/>
  <c r="AS32" i="6" s="1"/>
  <c r="AT32" i="6" s="1"/>
  <c r="AU32" i="6" s="1"/>
  <c r="AV32" i="6" s="1"/>
  <c r="AW32" i="6" s="1"/>
  <c r="AX32" i="6" s="1"/>
  <c r="AQ33" i="6"/>
  <c r="AR33" i="6" s="1"/>
  <c r="AS33" i="6" s="1"/>
  <c r="AT33" i="6" s="1"/>
  <c r="AU33" i="6" s="1"/>
  <c r="AV33" i="6" s="1"/>
  <c r="AW33" i="6" s="1"/>
  <c r="AX33" i="6" s="1"/>
  <c r="AQ69" i="6"/>
  <c r="BD69" i="6"/>
  <c r="AV69" i="6"/>
  <c r="BB69" i="6"/>
  <c r="AR69" i="6"/>
  <c r="BC69" i="6"/>
  <c r="AY69" i="6"/>
  <c r="AX69" i="6"/>
  <c r="AO69" i="6"/>
  <c r="AQ57" i="6"/>
  <c r="AR57" i="6" s="1"/>
  <c r="AQ56" i="6"/>
  <c r="AR56" i="6" s="1"/>
  <c r="AQ42" i="6"/>
  <c r="AR42" i="6" s="1"/>
  <c r="AS42" i="6" s="1"/>
  <c r="AT42" i="6" s="1"/>
  <c r="AU42" i="6" s="1"/>
  <c r="AV42" i="6" s="1"/>
  <c r="AW42" i="6" s="1"/>
  <c r="AX42" i="6" s="1"/>
  <c r="AQ30" i="6"/>
  <c r="AR30" i="6" s="1"/>
  <c r="AS30" i="6" s="1"/>
  <c r="AT30" i="6" s="1"/>
  <c r="AU30" i="6" s="1"/>
  <c r="AV30" i="6" s="1"/>
  <c r="AW30" i="6" s="1"/>
  <c r="AX30" i="6" s="1"/>
  <c r="AQ29" i="6"/>
  <c r="AR29" i="6" s="1"/>
  <c r="AS29" i="6" s="1"/>
  <c r="AT29" i="6" s="1"/>
  <c r="AU29" i="6" s="1"/>
  <c r="AV29" i="6" s="1"/>
  <c r="AW29" i="6" s="1"/>
  <c r="AX29" i="6" s="1"/>
  <c r="BG71" i="6"/>
  <c r="BG67" i="6"/>
  <c r="AG71" i="6"/>
  <c r="AG73" i="6"/>
  <c r="AG75" i="6"/>
  <c r="AG67" i="6"/>
  <c r="AG65" i="6"/>
  <c r="Z66" i="6"/>
  <c r="Z65" i="6" s="1"/>
  <c r="O65" i="6"/>
  <c r="O73" i="6"/>
  <c r="U70" i="6" l="1"/>
  <c r="U69" i="6" s="1"/>
  <c r="V70" i="6"/>
  <c r="T70" i="6"/>
  <c r="T69" i="6" s="1"/>
  <c r="V66" i="6"/>
  <c r="V65" i="6" s="1"/>
  <c r="T66" i="6"/>
  <c r="T65" i="6" s="1"/>
  <c r="U66" i="6"/>
  <c r="U65" i="6" s="1"/>
  <c r="S74" i="6"/>
  <c r="S73" i="6" s="1"/>
  <c r="T74" i="6"/>
  <c r="T73" i="6" s="1"/>
  <c r="U74" i="6"/>
  <c r="U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V69" i="6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V37" i="6" l="1"/>
  <c r="CW46" i="6" l="1"/>
  <c r="CW40" i="6"/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CW36" i="6" l="1"/>
  <c r="CW38" i="6"/>
  <c r="CW43" i="6" s="1"/>
  <c r="CW37" i="6"/>
  <c r="CW42" i="6" s="1"/>
  <c r="P39" i="6"/>
  <c r="Q37" i="6"/>
  <c r="S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CW45" i="6" l="1"/>
  <c r="CW39" i="6"/>
  <c r="CW41" i="6"/>
  <c r="AF62" i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AA68" i="1" l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R81" i="6" l="1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<sst xmlns="http://schemas.openxmlformats.org/spreadsheetml/2006/main" count="2572" uniqueCount="325">
  <si>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</si>
  <si>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</si>
  <si>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</si>
  <si>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</si>
  <si>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</si>
  <si>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</si>
  <si>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</si>
  <si>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</si>
  <si>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</si>
  <si>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</si>
  <si>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</si>
  <si>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</si>
  <si>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</si>
  <si>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</si>
  <si>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</si>
  <si>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</si>
  <si>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</si>
  <si>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</si>
  <si>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</si>
  <si>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</si>
  <si>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</si>
  <si>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</si>
  <si>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</si>
  <si>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</si>
  <si>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</si>
  <si>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</si>
  <si>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</si>
  <si>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</si>
  <si>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</si>
  <si>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</si>
  <si>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</si>
  <si>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</si>
  <si>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</si>
  <si>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</si>
  <si>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</si>
  <si>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</si>
  <si>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</si>
  <si>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</si>
  <si>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</si>
  <si>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</si>
  <si>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</si>
  <si>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</si>
  <si>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</si>
  <si>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</si>
  <si>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</si>
  <si>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</si>
  <si>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</si>
  <si>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</si>
  <si>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</si>
  <si>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</si>
  <si>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</si>
  <si>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</si>
  <si>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</si>
  <si>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</si>
  <si>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</si>
  <si>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</si>
  <si>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</si>
  <si>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</si>
  <si>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</si>
  <si>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</si>
  <si>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</si>
  <si>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</si>
  <si>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</si>
  <si>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</si>
  <si>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</si>
  <si>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</si>
  <si>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</si>
  <si>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</si>
  <si>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</si>
  <si>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</si>
  <si>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</si>
  <si>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</si>
  <si>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</si>
  <si>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</si>
  <si>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</si>
  <si>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</si>
  <si>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</si>
  <si>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</si>
  <si>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</si>
  <si>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</si>
  <si>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</si>
  <si>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</si>
  <si>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</si>
  <si>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</si>
  <si>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</si>
  <si>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</si>
  <si>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</si>
  <si>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</si>
  <si>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</si>
  <si>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</si>
  <si>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</si>
  <si>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</si>
  <si>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</si>
  <si>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</si>
  <si>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</si>
  <si>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</si>
  <si>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</si>
  <si>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</si>
  <si>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</si>
  <si>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</si>
  <si>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</si>
  <si>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</si>
  <si>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</si>
  <si>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</si>
  <si>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</si>
  <si>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</si>
  <si>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</si>
  <si>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</si>
  <si>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</si>
  <si>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</si>
  <si>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</si>
  <si>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</si>
  <si>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</si>
  <si>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</si>
  <si>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</si>
  <si>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</si>
  <si>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</si>
  <si>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</si>
  <si>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</si>
  <si>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</si>
  <si>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</si>
  <si>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</si>
  <si>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</si>
  <si>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Ponto14</t>
  </si>
  <si>
    <t>Ponto2</t>
  </si>
  <si>
    <t>Ponto3</t>
  </si>
  <si>
    <t>13-Ponto13</t>
  </si>
  <si>
    <t>14-Ponto14</t>
  </si>
  <si>
    <t>Ponto15</t>
  </si>
  <si>
    <t>15-Ponto15</t>
  </si>
  <si>
    <t>Ponto16</t>
  </si>
  <si>
    <t>Ponto17</t>
  </si>
  <si>
    <t>16-Ponto16</t>
  </si>
  <si>
    <t>Ponto18</t>
  </si>
  <si>
    <t>17-Ponto17</t>
  </si>
  <si>
    <t>18-Ponto18</t>
  </si>
  <si>
    <t>Ponto19</t>
  </si>
  <si>
    <t>Ponto20</t>
  </si>
  <si>
    <t>Ponto21</t>
  </si>
  <si>
    <t>21-Ponto21</t>
  </si>
  <si>
    <t>Ponto22</t>
  </si>
  <si>
    <t>22-Ponto22</t>
  </si>
  <si>
    <t>Ponto23</t>
  </si>
  <si>
    <t>23-Ponto23</t>
  </si>
  <si>
    <t>Ponto24</t>
  </si>
  <si>
    <t>24-Ponto24</t>
  </si>
  <si>
    <t>Ponto25</t>
  </si>
  <si>
    <t>25-Ponto25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</si>
  <si>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</si>
  <si>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</si>
  <si>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</si>
  <si>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</si>
  <si>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</si>
  <si>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</si>
  <si>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</si>
  <si>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</si>
  <si>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</si>
  <si>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</si>
  <si>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</si>
  <si>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</si>
  <si>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</si>
  <si>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</si>
  <si>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</si>
  <si>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</si>
  <si>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</si>
  <si>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</si>
  <si>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</si>
  <si>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</si>
  <si>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</si>
  <si>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</si>
  <si>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</si>
  <si>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</si>
  <si>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</si>
  <si>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</si>
  <si>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</si>
  <si>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</si>
  <si>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</si>
  <si>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</si>
  <si>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</si>
  <si>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</si>
  <si>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</si>
  <si>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</si>
  <si>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</si>
  <si>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</si>
  <si>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</si>
  <si>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</si>
  <si>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</si>
  <si>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</si>
  <si>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</si>
  <si>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</si>
  <si>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</si>
  <si>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</si>
  <si>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</si>
  <si>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</si>
  <si>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</si>
  <si>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</si>
  <si>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</si>
  <si>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</si>
  <si>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</si>
  <si>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</si>
  <si>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</si>
  <si>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</si>
  <si>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</si>
  <si>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</si>
  <si>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</si>
  <si>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</si>
  <si>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</si>
  <si>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</si>
  <si>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</si>
  <si>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</si>
  <si>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</si>
  <si>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</si>
  <si>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</si>
  <si>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</si>
  <si>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</si>
  <si>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</si>
  <si>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</si>
  <si>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</si>
  <si>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</si>
  <si>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</si>
  <si>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</si>
  <si>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</si>
  <si>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</si>
  <si>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</si>
  <si>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</si>
  <si>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</si>
  <si>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</si>
  <si>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</si>
  <si>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</si>
  <si>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</si>
  <si>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</si>
  <si>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</si>
  <si>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</si>
  <si>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</si>
  <si>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</si>
  <si>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</si>
  <si>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</si>
  <si>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</si>
  <si>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</si>
  <si>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</si>
  <si>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</si>
  <si>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</si>
  <si>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</si>
  <si>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</si>
  <si>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</si>
  <si>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</si>
  <si>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</si>
  <si>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</si>
  <si>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</si>
  <si>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</si>
  <si>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</si>
  <si>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</si>
  <si>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</si>
  <si>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</si>
  <si>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</si>
  <si>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</si>
  <si>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</si>
  <si>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</si>
  <si>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</si>
  <si>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</si>
  <si>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</si>
  <si>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</si>
  <si>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</si>
  <si>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</si>
  <si>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</si>
  <si>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</si>
  <si>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</si>
  <si>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</si>
  <si>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</si>
  <si>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</si>
  <si>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</si>
  <si>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</si>
  <si>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</si>
  <si>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</si>
  <si>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</si>
  <si>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</si>
  <si>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</si>
  <si>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</si>
  <si>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</si>
  <si>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</si>
  <si>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</si>
  <si>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</si>
  <si>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</si>
  <si>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</si>
  <si>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</si>
  <si>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</si>
  <si>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</si>
  <si>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</si>
  <si>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</si>
  <si>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</si>
  <si>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</si>
  <si>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</si>
  <si>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</si>
  <si>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</si>
  <si>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</si>
  <si>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</si>
  <si>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</si>
  <si>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</si>
  <si>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K:\André\testes\NOVO\teste 100 pontos.eMe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</si>
  <si>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</si>
  <si>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</si>
  <si>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</si>
  <si>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</si>
  <si>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</si>
  <si>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</si>
  <si>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</si>
  <si>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</si>
  <si>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Ponto11</t>
  </si>
  <si>
    <t>Ponto12</t>
  </si>
  <si>
    <t>Ponto13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</si>
  <si>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</si>
  <si>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</si>
  <si>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</si>
  <si>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</si>
  <si>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</si>
  <si>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</si>
  <si>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</si>
  <si>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</si>
  <si>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</si>
  <si>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</si>
  <si>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</si>
  <si>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</si>
  <si>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;</t>
  </si>
  <si>
    <t>Simergy</t>
  </si>
  <si>
    <t>Weighting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</si>
</sst>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Diagrama!$Y$5</c:f>
              <c:strCache>
                <c:ptCount val="1"/>
                <c:pt idx="0">
                  <c:v>24-Ponto24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6.0140653040586444E-3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Generate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438"/>
  <sheetViews>
    <sheetView windowProtection="1" showGridLines="0" showZeros="0" topLeftCell="A10" zoomScale="73" zoomScaleNormal="73" workbookViewId="0">
      <selection activeCell="P47" sqref="P47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299</v>
      </c>
      <c r="U1" s="175" t="s">
        <v>299</v>
      </c>
      <c r="V1" s="175" t="s">
        <v>299</v>
      </c>
      <c r="W1" s="174">
        <v>100</v>
      </c>
      <c r="X1" s="176"/>
      <c r="Y1" s="176"/>
      <c r="AA1" s="174">
        <f>X1+Y1+Z1</f>
        <v>0</v>
      </c>
      <c r="AM1" s="174">
        <v>1</v>
      </c>
      <c r="AT1" s="174" t="s">
        <v>5</v>
      </c>
    </row>
    <row r="2" spans="8:46" x14ac:dyDescent="0.2">
      <c r="T2" s="175" t="s">
        <v>124</v>
      </c>
      <c r="U2" s="175" t="s">
        <v>124</v>
      </c>
      <c r="V2" s="175" t="s">
        <v>124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125</v>
      </c>
      <c r="U3" s="175" t="s">
        <v>125</v>
      </c>
      <c r="V3" s="175" t="s">
        <v>125</v>
      </c>
      <c r="AM3" s="174">
        <v>3</v>
      </c>
      <c r="AT3" s="174" t="s">
        <v>6</v>
      </c>
    </row>
    <row r="4" spans="8:46" x14ac:dyDescent="0.2">
      <c r="T4" s="175" t="s">
        <v>300</v>
      </c>
      <c r="U4" s="175" t="s">
        <v>300</v>
      </c>
      <c r="V4" s="175" t="s">
        <v>300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301</v>
      </c>
      <c r="U5" s="175" t="s">
        <v>301</v>
      </c>
      <c r="V5" s="175" t="s">
        <v>301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302</v>
      </c>
      <c r="U6" s="175" t="s">
        <v>302</v>
      </c>
      <c r="V6" s="175" t="s">
        <v>302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303</v>
      </c>
      <c r="U7" s="175" t="s">
        <v>303</v>
      </c>
      <c r="V7" s="175" t="s">
        <v>303</v>
      </c>
      <c r="AM7" s="174">
        <v>7</v>
      </c>
    </row>
    <row r="8" spans="8:46" x14ac:dyDescent="0.2">
      <c r="T8" s="175" t="s">
        <v>304</v>
      </c>
      <c r="U8" s="175" t="s">
        <v>304</v>
      </c>
      <c r="V8" s="175" t="s">
        <v>304</v>
      </c>
      <c r="AM8" s="174">
        <v>8</v>
      </c>
    </row>
    <row r="9" spans="8:46" x14ac:dyDescent="0.2">
      <c r="T9" s="175" t="s">
        <v>305</v>
      </c>
      <c r="U9" s="175" t="s">
        <v>305</v>
      </c>
      <c r="V9" s="175" t="s">
        <v>305</v>
      </c>
      <c r="AM9" s="174">
        <v>9</v>
      </c>
    </row>
    <row r="10" spans="8:46" x14ac:dyDescent="0.2">
      <c r="M10" s="174" t="s">
        <v>298</v>
      </c>
      <c r="T10" s="175" t="s">
        <v>306</v>
      </c>
      <c r="U10" s="175" t="s">
        <v>306</v>
      </c>
      <c r="V10" s="175" t="s">
        <v>306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1</v>
      </c>
      <c r="U31" s="175">
        <v>1</v>
      </c>
      <c r="V31" s="175">
        <v>1</v>
      </c>
      <c r="W31" s="174">
        <f>IF($T$41,T31,1)</f>
        <v>1</v>
      </c>
      <c r="X31" s="174">
        <f>IF($T$41,T32,1)</f>
        <v>1</v>
      </c>
      <c r="Y31" s="174">
        <f>IF($T$41,T33,1)</f>
        <v>1</v>
      </c>
      <c r="Z31" s="174">
        <f>IF($T$41,T34,1)</f>
        <v>1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1</v>
      </c>
      <c r="U32" s="175">
        <v>1</v>
      </c>
      <c r="V32" s="175">
        <v>1</v>
      </c>
    </row>
    <row r="33" spans="5:24" x14ac:dyDescent="0.2">
      <c r="S33" s="175">
        <v>3</v>
      </c>
      <c r="T33" s="175">
        <v>1</v>
      </c>
      <c r="U33" s="175">
        <v>1</v>
      </c>
      <c r="V33" s="175">
        <v>1</v>
      </c>
    </row>
    <row r="34" spans="5:24" x14ac:dyDescent="0.2">
      <c r="S34" s="175">
        <v>4</v>
      </c>
      <c r="T34" s="175">
        <v>1</v>
      </c>
      <c r="U34" s="175">
        <v>1</v>
      </c>
      <c r="V34" s="175">
        <v>1</v>
      </c>
    </row>
    <row r="35" spans="5:24" x14ac:dyDescent="0.2">
      <c r="S35" s="175">
        <v>5</v>
      </c>
      <c r="T35" s="175">
        <v>1</v>
      </c>
      <c r="U35" s="175">
        <v>1</v>
      </c>
      <c r="V35" s="175">
        <v>1</v>
      </c>
    </row>
    <row r="36" spans="5:24" x14ac:dyDescent="0.2">
      <c r="S36" s="175">
        <v>6</v>
      </c>
      <c r="T36" s="175">
        <v>1</v>
      </c>
      <c r="U36" s="175">
        <v>1</v>
      </c>
      <c r="V36" s="175">
        <v>1</v>
      </c>
    </row>
    <row r="37" spans="5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J37" s="175" t="s">
        <v>19</v>
      </c>
      <c r="K37" s="207">
        <v>1</v>
      </c>
      <c r="L37" s="207" t="s">
        <v>299</v>
      </c>
      <c r="M37" s="207" t="s">
        <v>299</v>
      </c>
      <c r="N37" s="207" t="s">
        <v>299</v>
      </c>
      <c r="S37" s="175">
        <v>7</v>
      </c>
      <c r="T37" s="175">
        <v>1</v>
      </c>
      <c r="U37" s="175">
        <v>1</v>
      </c>
      <c r="V37" s="175">
        <v>1</v>
      </c>
    </row>
    <row r="38" spans="5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124</v>
      </c>
      <c r="M38" s="207" t="s">
        <v>124</v>
      </c>
      <c r="N38" s="207" t="s">
        <v>124</v>
      </c>
      <c r="S38" s="175">
        <v>8</v>
      </c>
      <c r="T38" s="175">
        <v>1</v>
      </c>
      <c r="U38" s="175">
        <v>1</v>
      </c>
      <c r="V38" s="175">
        <v>1</v>
      </c>
    </row>
    <row r="39" spans="5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125</v>
      </c>
      <c r="M39" s="207" t="s">
        <v>125</v>
      </c>
      <c r="N39" s="207" t="s">
        <v>125</v>
      </c>
      <c r="S39" s="175">
        <v>9</v>
      </c>
      <c r="T39" s="175">
        <v>1</v>
      </c>
      <c r="U39" s="175">
        <v>1</v>
      </c>
      <c r="V39" s="175">
        <v>1</v>
      </c>
    </row>
    <row r="40" spans="5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300</v>
      </c>
      <c r="M40" s="207" t="s">
        <v>300</v>
      </c>
      <c r="N40" s="207" t="s">
        <v>300</v>
      </c>
      <c r="S40" s="175">
        <v>10</v>
      </c>
      <c r="T40" s="175">
        <v>1</v>
      </c>
      <c r="U40" s="175">
        <v>1</v>
      </c>
      <c r="V40" s="175">
        <v>1</v>
      </c>
    </row>
    <row r="41" spans="5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301</v>
      </c>
      <c r="M41" s="207" t="s">
        <v>301</v>
      </c>
      <c r="N41" s="207" t="s">
        <v>301</v>
      </c>
      <c r="R41" s="174" t="s">
        <v>71</v>
      </c>
      <c r="S41" s="175">
        <v>0</v>
      </c>
      <c r="T41" s="175" t="b">
        <v>0</v>
      </c>
      <c r="U41" s="175" t="b">
        <v>0</v>
      </c>
      <c r="V41" s="175" t="b">
        <v>0</v>
      </c>
      <c r="X41" s="175" t="s">
        <v>92</v>
      </c>
    </row>
    <row r="42" spans="5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302</v>
      </c>
      <c r="M42" s="207" t="s">
        <v>302</v>
      </c>
      <c r="N42" s="207" t="s">
        <v>302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5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303</v>
      </c>
      <c r="M43" s="207" t="s">
        <v>303</v>
      </c>
      <c r="N43" s="207" t="s">
        <v>303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5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304</v>
      </c>
      <c r="M44" s="207" t="s">
        <v>304</v>
      </c>
      <c r="N44" s="207" t="s">
        <v>304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5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305</v>
      </c>
      <c r="M45" s="207" t="s">
        <v>305</v>
      </c>
      <c r="N45" s="207" t="s">
        <v>305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5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306</v>
      </c>
      <c r="M46" s="207" t="s">
        <v>306</v>
      </c>
      <c r="N46" s="207" t="s">
        <v>306</v>
      </c>
      <c r="S46" s="175" t="s">
        <v>6</v>
      </c>
      <c r="T46" s="175">
        <v>10</v>
      </c>
      <c r="U46" s="175">
        <v>10</v>
      </c>
      <c r="V46" s="175">
        <v>10</v>
      </c>
    </row>
    <row r="47" spans="5:24" x14ac:dyDescent="0.2"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307</v>
      </c>
      <c r="M47" s="207" t="s">
        <v>307</v>
      </c>
      <c r="N47" s="207" t="s">
        <v>307</v>
      </c>
      <c r="S47" s="175" t="s">
        <v>7</v>
      </c>
      <c r="T47" s="175">
        <v>10</v>
      </c>
      <c r="U47" s="175">
        <v>10</v>
      </c>
      <c r="V47" s="175">
        <v>10</v>
      </c>
    </row>
    <row r="48" spans="5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308</v>
      </c>
      <c r="M48" s="207" t="s">
        <v>308</v>
      </c>
      <c r="N48" s="207" t="s">
        <v>308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1</v>
      </c>
      <c r="H49" s="174" t="b">
        <v>1</v>
      </c>
      <c r="I49" s="174" t="b">
        <v>1</v>
      </c>
      <c r="K49" s="207">
        <v>13</v>
      </c>
      <c r="L49" s="207" t="s">
        <v>309</v>
      </c>
      <c r="M49" s="207" t="s">
        <v>309</v>
      </c>
      <c r="N49" s="207" t="s">
        <v>309</v>
      </c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1</v>
      </c>
      <c r="H50" s="174" t="b">
        <v>1</v>
      </c>
      <c r="I50" s="174" t="b">
        <v>1</v>
      </c>
      <c r="K50" s="207">
        <v>14</v>
      </c>
      <c r="L50" s="207" t="s">
        <v>123</v>
      </c>
      <c r="M50" s="207" t="s">
        <v>123</v>
      </c>
      <c r="N50" s="207" t="s">
        <v>123</v>
      </c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1</v>
      </c>
      <c r="H51" s="174" t="b">
        <v>1</v>
      </c>
      <c r="I51" s="174" t="b">
        <v>1</v>
      </c>
      <c r="K51" s="207">
        <v>15</v>
      </c>
      <c r="L51" s="207" t="s">
        <v>128</v>
      </c>
      <c r="M51" s="207" t="s">
        <v>128</v>
      </c>
      <c r="N51" s="207" t="s">
        <v>128</v>
      </c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1</v>
      </c>
      <c r="H52" s="174" t="b">
        <v>1</v>
      </c>
      <c r="I52" s="174" t="b">
        <v>1</v>
      </c>
      <c r="K52" s="207">
        <v>16</v>
      </c>
      <c r="L52" s="207" t="s">
        <v>130</v>
      </c>
      <c r="M52" s="207" t="s">
        <v>130</v>
      </c>
      <c r="N52" s="207" t="s">
        <v>130</v>
      </c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1</v>
      </c>
      <c r="H53" s="174" t="b">
        <v>1</v>
      </c>
      <c r="I53" s="174" t="b">
        <v>1</v>
      </c>
      <c r="K53" s="207">
        <v>17</v>
      </c>
      <c r="L53" s="207" t="s">
        <v>131</v>
      </c>
      <c r="M53" s="207" t="s">
        <v>131</v>
      </c>
      <c r="N53" s="207" t="s">
        <v>131</v>
      </c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1</v>
      </c>
      <c r="H54" s="174" t="b">
        <v>1</v>
      </c>
      <c r="I54" s="174" t="b">
        <v>1</v>
      </c>
      <c r="K54" s="207">
        <v>18</v>
      </c>
      <c r="L54" s="207" t="s">
        <v>133</v>
      </c>
      <c r="M54" s="207" t="s">
        <v>133</v>
      </c>
      <c r="N54" s="207" t="s">
        <v>133</v>
      </c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1</v>
      </c>
      <c r="H55" s="174" t="b">
        <v>1</v>
      </c>
      <c r="I55" s="174" t="b">
        <v>1</v>
      </c>
      <c r="K55" s="207">
        <v>19</v>
      </c>
      <c r="L55" s="207" t="s">
        <v>136</v>
      </c>
      <c r="M55" s="207" t="s">
        <v>136</v>
      </c>
      <c r="N55" s="207" t="s">
        <v>136</v>
      </c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299</v>
      </c>
      <c r="X55" s="174" t="s">
        <v>299</v>
      </c>
      <c r="Y55" s="174" t="s">
        <v>299</v>
      </c>
      <c r="AA55" s="174" t="s">
        <v>6</v>
      </c>
    </row>
    <row r="56" spans="6:33" x14ac:dyDescent="0.2">
      <c r="F56" s="175">
        <v>20</v>
      </c>
      <c r="G56" s="174" t="b">
        <v>1</v>
      </c>
      <c r="H56" s="174" t="b">
        <v>1</v>
      </c>
      <c r="I56" s="174" t="b">
        <v>1</v>
      </c>
      <c r="K56" s="207">
        <v>20</v>
      </c>
      <c r="L56" s="207" t="s">
        <v>137</v>
      </c>
      <c r="M56" s="207" t="s">
        <v>137</v>
      </c>
      <c r="N56" s="207" t="s">
        <v>137</v>
      </c>
      <c r="S56" s="175" t="s">
        <v>7</v>
      </c>
      <c r="T56" s="175" t="b">
        <v>1</v>
      </c>
      <c r="U56" s="175" t="b">
        <v>1</v>
      </c>
      <c r="V56" s="175" t="b">
        <v>1</v>
      </c>
      <c r="W56" s="174">
        <v>1</v>
      </c>
      <c r="X56" s="174">
        <v>1</v>
      </c>
      <c r="Y56" s="174">
        <v>1</v>
      </c>
    </row>
    <row r="57" spans="6:33" x14ac:dyDescent="0.2">
      <c r="F57" s="175">
        <v>21</v>
      </c>
      <c r="G57" s="174" t="b">
        <v>1</v>
      </c>
      <c r="H57" s="174" t="b">
        <v>1</v>
      </c>
      <c r="I57" s="174" t="b">
        <v>1</v>
      </c>
      <c r="K57" s="207">
        <v>21</v>
      </c>
      <c r="L57" s="207" t="s">
        <v>138</v>
      </c>
      <c r="M57" s="207" t="s">
        <v>138</v>
      </c>
      <c r="N57" s="207" t="s">
        <v>138</v>
      </c>
      <c r="R57" s="174" t="s">
        <v>90</v>
      </c>
      <c r="S57" s="175">
        <v>0</v>
      </c>
      <c r="T57" s="175" t="s">
        <v>299</v>
      </c>
      <c r="U57" s="175" t="s">
        <v>299</v>
      </c>
      <c r="V57" s="175" t="s">
        <v>299</v>
      </c>
      <c r="W57" s="174" t="s">
        <v>299</v>
      </c>
      <c r="X57" s="174" t="s">
        <v>299</v>
      </c>
      <c r="Y57" s="174" t="s">
        <v>299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1</v>
      </c>
      <c r="H58" s="174" t="b">
        <v>1</v>
      </c>
      <c r="I58" s="174" t="b">
        <v>1</v>
      </c>
      <c r="K58" s="207">
        <v>22</v>
      </c>
      <c r="L58" s="207" t="s">
        <v>140</v>
      </c>
      <c r="M58" s="207" t="s">
        <v>140</v>
      </c>
      <c r="N58" s="207" t="s">
        <v>140</v>
      </c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1</v>
      </c>
      <c r="X58" s="174">
        <v>1</v>
      </c>
      <c r="Y58" s="174">
        <v>1</v>
      </c>
    </row>
    <row r="59" spans="6:33" x14ac:dyDescent="0.2">
      <c r="F59" s="175">
        <v>23</v>
      </c>
      <c r="G59" s="174" t="b">
        <v>1</v>
      </c>
      <c r="H59" s="174" t="b">
        <v>1</v>
      </c>
      <c r="I59" s="174" t="b">
        <v>1</v>
      </c>
      <c r="K59" s="207">
        <v>23</v>
      </c>
      <c r="L59" s="207" t="s">
        <v>142</v>
      </c>
      <c r="M59" s="207" t="s">
        <v>142</v>
      </c>
      <c r="N59" s="207" t="s">
        <v>142</v>
      </c>
      <c r="R59" s="174" t="s">
        <v>72</v>
      </c>
      <c r="S59" s="175">
        <v>0</v>
      </c>
      <c r="T59" s="175" t="s">
        <v>299</v>
      </c>
      <c r="U59" s="175" t="s">
        <v>299</v>
      </c>
      <c r="V59" s="175" t="s">
        <v>299</v>
      </c>
      <c r="AG59" s="174" t="s">
        <v>1</v>
      </c>
    </row>
    <row r="60" spans="6:33" x14ac:dyDescent="0.2">
      <c r="F60" s="175">
        <v>24</v>
      </c>
      <c r="G60" s="174" t="b">
        <v>1</v>
      </c>
      <c r="H60" s="174" t="b">
        <v>1</v>
      </c>
      <c r="I60" s="174" t="b">
        <v>1</v>
      </c>
      <c r="K60" s="207">
        <v>24</v>
      </c>
      <c r="L60" s="207" t="s">
        <v>144</v>
      </c>
      <c r="M60" s="207" t="s">
        <v>144</v>
      </c>
      <c r="N60" s="207" t="s">
        <v>144</v>
      </c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1</v>
      </c>
      <c r="H61" s="174" t="b">
        <v>1</v>
      </c>
      <c r="I61" s="174" t="b">
        <v>1</v>
      </c>
      <c r="K61" s="207">
        <v>25</v>
      </c>
      <c r="L61" s="207" t="s">
        <v>146</v>
      </c>
      <c r="M61" s="207" t="s">
        <v>146</v>
      </c>
      <c r="N61" s="207" t="s">
        <v>146</v>
      </c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</v>
      </c>
      <c r="X61" s="178">
        <f>Diagrama!C6</f>
        <v>4</v>
      </c>
      <c r="Y61" s="178">
        <f>Diagrama!D6</f>
        <v>7</v>
      </c>
      <c r="Z61" s="178">
        <f>Diagrama!E6</f>
        <v>10</v>
      </c>
      <c r="AA61" s="178">
        <f>Diagrama!F6</f>
        <v>13</v>
      </c>
      <c r="AB61" s="178">
        <f>Diagrama!G6</f>
        <v>16</v>
      </c>
      <c r="AC61" s="178">
        <f>Diagrama!H6</f>
        <v>19</v>
      </c>
      <c r="AD61" s="178">
        <f>Diagrama!I6</f>
        <v>22</v>
      </c>
      <c r="AE61" s="178">
        <f>Diagrama!J6</f>
        <v>25</v>
      </c>
      <c r="AF61" s="178">
        <f>Diagrama!K6</f>
        <v>28</v>
      </c>
      <c r="AG61" s="178">
        <f>Diagrama!L6</f>
        <v>31</v>
      </c>
    </row>
    <row r="62" spans="6:33" x14ac:dyDescent="0.2">
      <c r="F62" s="175">
        <v>26</v>
      </c>
      <c r="G62" s="174" t="b">
        <v>1</v>
      </c>
      <c r="H62" s="174" t="b">
        <v>1</v>
      </c>
      <c r="I62" s="174" t="b">
        <v>1</v>
      </c>
      <c r="K62" s="207">
        <v>26</v>
      </c>
      <c r="L62" s="207" t="s">
        <v>148</v>
      </c>
      <c r="M62" s="207" t="s">
        <v>148</v>
      </c>
      <c r="N62" s="207" t="s">
        <v>148</v>
      </c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2</v>
      </c>
      <c r="X62" s="178">
        <f>Diagrama!C7</f>
        <v>5</v>
      </c>
      <c r="Y62" s="178">
        <f>Diagrama!D7</f>
        <v>8</v>
      </c>
      <c r="Z62" s="178">
        <f>Diagrama!E7</f>
        <v>11</v>
      </c>
      <c r="AA62" s="178">
        <f>Diagrama!F7</f>
        <v>14</v>
      </c>
      <c r="AB62" s="178">
        <f>Diagrama!G7</f>
        <v>17</v>
      </c>
      <c r="AC62" s="178">
        <f>Diagrama!H7</f>
        <v>20</v>
      </c>
      <c r="AD62" s="178">
        <f>Diagrama!I7</f>
        <v>23</v>
      </c>
      <c r="AE62" s="178">
        <f>Diagrama!J7</f>
        <v>26</v>
      </c>
      <c r="AF62" s="178">
        <f>Diagrama!K7</f>
        <v>29</v>
      </c>
      <c r="AG62" s="178">
        <f>Diagrama!L7</f>
        <v>32</v>
      </c>
    </row>
    <row r="63" spans="6:33" x14ac:dyDescent="0.2">
      <c r="F63" s="175">
        <v>27</v>
      </c>
      <c r="G63" s="174" t="b">
        <v>1</v>
      </c>
      <c r="H63" s="174" t="b">
        <v>1</v>
      </c>
      <c r="I63" s="174" t="b">
        <v>1</v>
      </c>
      <c r="K63" s="207">
        <v>27</v>
      </c>
      <c r="L63" s="207" t="s">
        <v>149</v>
      </c>
      <c r="M63" s="207" t="s">
        <v>149</v>
      </c>
      <c r="N63" s="207" t="s">
        <v>149</v>
      </c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3</v>
      </c>
      <c r="X63" s="178">
        <f>Diagrama!C8</f>
        <v>6</v>
      </c>
      <c r="Y63" s="178">
        <f>Diagrama!D8</f>
        <v>9</v>
      </c>
      <c r="Z63" s="178">
        <f>Diagrama!E8</f>
        <v>12</v>
      </c>
      <c r="AA63" s="178">
        <f>Diagrama!F8</f>
        <v>15</v>
      </c>
      <c r="AB63" s="178">
        <f>Diagrama!G8</f>
        <v>18</v>
      </c>
      <c r="AC63" s="178">
        <f>Diagrama!H8</f>
        <v>21</v>
      </c>
      <c r="AD63" s="178">
        <f>Diagrama!I8</f>
        <v>24</v>
      </c>
      <c r="AE63" s="178">
        <f>Diagrama!J8</f>
        <v>27</v>
      </c>
      <c r="AF63" s="178">
        <f>Diagrama!K8</f>
        <v>30</v>
      </c>
      <c r="AG63" s="178">
        <f>Diagrama!L8</f>
        <v>33</v>
      </c>
    </row>
    <row r="64" spans="6:33" x14ac:dyDescent="0.2">
      <c r="F64" s="175">
        <v>28</v>
      </c>
      <c r="G64" s="174" t="b">
        <v>1</v>
      </c>
      <c r="H64" s="174" t="b">
        <v>1</v>
      </c>
      <c r="I64" s="174" t="b">
        <v>1</v>
      </c>
      <c r="K64" s="207">
        <v>28</v>
      </c>
      <c r="L64" s="207" t="s">
        <v>150</v>
      </c>
      <c r="M64" s="207" t="s">
        <v>150</v>
      </c>
      <c r="N64" s="207" t="s">
        <v>150</v>
      </c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6</v>
      </c>
      <c r="X64" s="178">
        <f>Diagrama!C9</f>
        <v>15</v>
      </c>
      <c r="Y64" s="178">
        <f>Diagrama!D9</f>
        <v>24</v>
      </c>
      <c r="Z64" s="178">
        <f>Diagrama!E9</f>
        <v>33</v>
      </c>
      <c r="AA64" s="178">
        <f>Diagrama!F9</f>
        <v>42</v>
      </c>
      <c r="AB64" s="178">
        <f>Diagrama!G9</f>
        <v>51</v>
      </c>
      <c r="AC64" s="178">
        <f>Diagrama!H9</f>
        <v>60</v>
      </c>
      <c r="AD64" s="178">
        <f>Diagrama!I9</f>
        <v>69</v>
      </c>
      <c r="AE64" s="178">
        <f>Diagrama!J9</f>
        <v>78</v>
      </c>
      <c r="AF64" s="178">
        <f>Diagrama!K9</f>
        <v>87</v>
      </c>
      <c r="AG64" s="178">
        <f>Diagrama!L9</f>
        <v>96</v>
      </c>
    </row>
    <row r="65" spans="6:33" x14ac:dyDescent="0.2">
      <c r="F65" s="175">
        <v>29</v>
      </c>
      <c r="G65" s="174" t="b">
        <v>1</v>
      </c>
      <c r="H65" s="174" t="b">
        <v>1</v>
      </c>
      <c r="I65" s="174" t="b">
        <v>1</v>
      </c>
      <c r="K65" s="207">
        <v>29</v>
      </c>
      <c r="L65" s="207" t="s">
        <v>151</v>
      </c>
      <c r="M65" s="207" t="s">
        <v>151</v>
      </c>
      <c r="N65" s="207" t="s">
        <v>151</v>
      </c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2</v>
      </c>
      <c r="X65" s="181">
        <f>Diagrama!C20</f>
        <v>2.5</v>
      </c>
      <c r="Y65" s="181">
        <f>Diagrama!D20</f>
        <v>2.6666666666666665</v>
      </c>
      <c r="Z65" s="181">
        <f>Diagrama!E20</f>
        <v>2.75</v>
      </c>
      <c r="AA65" s="181">
        <f>Diagrama!F20</f>
        <v>2.8</v>
      </c>
      <c r="AB65" s="181">
        <f>Diagrama!G20</f>
        <v>2.833333333333333</v>
      </c>
      <c r="AC65" s="181">
        <f>Diagrama!H20</f>
        <v>2.8571428571428572</v>
      </c>
      <c r="AD65" s="181">
        <f>Diagrama!I20</f>
        <v>2.875</v>
      </c>
      <c r="AE65" s="181">
        <f>Diagrama!J20</f>
        <v>2.8888888888888888</v>
      </c>
      <c r="AF65" s="181">
        <f>Diagrama!K20</f>
        <v>2.9</v>
      </c>
      <c r="AG65" s="181">
        <f>Diagrama!L20</f>
        <v>2.9090909090909092</v>
      </c>
    </row>
    <row r="66" spans="6:33" x14ac:dyDescent="0.2">
      <c r="F66" s="175">
        <v>30</v>
      </c>
      <c r="G66" s="174" t="b">
        <v>1</v>
      </c>
      <c r="H66" s="174" t="b">
        <v>1</v>
      </c>
      <c r="I66" s="174" t="b">
        <v>1</v>
      </c>
      <c r="K66" s="207">
        <v>30</v>
      </c>
      <c r="L66" s="207" t="s">
        <v>152</v>
      </c>
      <c r="M66" s="207" t="s">
        <v>152</v>
      </c>
      <c r="N66" s="207" t="s">
        <v>152</v>
      </c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</v>
      </c>
      <c r="X66" s="181">
        <f>Diagrama!C21</f>
        <v>0.66666666666666674</v>
      </c>
      <c r="Y66" s="181">
        <f>Diagrama!D21</f>
        <v>0.6</v>
      </c>
      <c r="Z66" s="181">
        <f>Diagrama!E21</f>
        <v>0.57142857142857151</v>
      </c>
      <c r="AA66" s="181">
        <f>Diagrama!F21</f>
        <v>0.55555555555555558</v>
      </c>
      <c r="AB66" s="181">
        <f>Diagrama!G21</f>
        <v>0.54545454545454553</v>
      </c>
      <c r="AC66" s="181">
        <f>Diagrama!H21</f>
        <v>0.53846153846153844</v>
      </c>
      <c r="AD66" s="181">
        <f>Diagrama!I21</f>
        <v>0.53333333333333333</v>
      </c>
      <c r="AE66" s="181">
        <f>Diagrama!J21</f>
        <v>0.52941176470588236</v>
      </c>
      <c r="AF66" s="181">
        <f>Diagrama!K21</f>
        <v>0.52631578947368429</v>
      </c>
      <c r="AG66" s="181">
        <f>Diagrama!L21</f>
        <v>0.52380952380952384</v>
      </c>
    </row>
    <row r="67" spans="6:33" x14ac:dyDescent="0.2">
      <c r="F67" s="175">
        <v>31</v>
      </c>
      <c r="G67" s="174" t="b">
        <v>1</v>
      </c>
      <c r="H67" s="174" t="b">
        <v>1</v>
      </c>
      <c r="I67" s="174" t="b">
        <v>1</v>
      </c>
      <c r="K67" s="207">
        <v>31</v>
      </c>
      <c r="L67" s="207" t="s">
        <v>153</v>
      </c>
      <c r="M67" s="207" t="s">
        <v>153</v>
      </c>
      <c r="N67" s="207" t="s">
        <v>153</v>
      </c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5.0000000000000009</v>
      </c>
      <c r="X67" s="181">
        <f>Diagrama!C22</f>
        <v>2.7500000000000004</v>
      </c>
      <c r="Y67" s="181">
        <f>Diagrama!D22</f>
        <v>2.4285714285714284</v>
      </c>
      <c r="Z67" s="181">
        <f>Diagrama!E22</f>
        <v>2.3000000000000003</v>
      </c>
      <c r="AA67" s="181">
        <f>Diagrama!F22</f>
        <v>2.2307692307692308</v>
      </c>
      <c r="AB67" s="181">
        <f>Diagrama!G22</f>
        <v>2.1875</v>
      </c>
      <c r="AC67" s="181">
        <f>Diagrama!H22</f>
        <v>2.1578947368421053</v>
      </c>
      <c r="AD67" s="181">
        <f>Diagrama!I22</f>
        <v>2.1363636363636367</v>
      </c>
      <c r="AE67" s="181">
        <f>Diagrama!J22</f>
        <v>2.12</v>
      </c>
      <c r="AF67" s="181">
        <f>Diagrama!K22</f>
        <v>2.1071428571428572</v>
      </c>
      <c r="AG67" s="181">
        <f>Diagrama!L22</f>
        <v>2.0967741935483866</v>
      </c>
    </row>
    <row r="68" spans="6:33" x14ac:dyDescent="0.2">
      <c r="F68" s="175">
        <v>32</v>
      </c>
      <c r="G68" s="174" t="b">
        <v>1</v>
      </c>
      <c r="H68" s="174" t="b">
        <v>1</v>
      </c>
      <c r="I68" s="174" t="b">
        <v>1</v>
      </c>
      <c r="K68" s="207">
        <v>32</v>
      </c>
      <c r="L68" s="207" t="s">
        <v>154</v>
      </c>
      <c r="M68" s="207" t="s">
        <v>154</v>
      </c>
      <c r="N68" s="207" t="s">
        <v>154</v>
      </c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0.39999999999999991</v>
      </c>
      <c r="X68" s="181">
        <f>Diagrama!C23</f>
        <v>0.90909090909090895</v>
      </c>
      <c r="Y68" s="181">
        <f>Diagrama!D23</f>
        <v>1.0980392156862746</v>
      </c>
      <c r="Z68" s="181">
        <f>Diagrama!E23</f>
        <v>1.1956521739130432</v>
      </c>
      <c r="AA68" s="181">
        <f>Diagrama!F23</f>
        <v>1.2551724137931033</v>
      </c>
      <c r="AB68" s="181">
        <f>Diagrama!G23</f>
        <v>1.2952380952380951</v>
      </c>
      <c r="AC68" s="181">
        <f>Diagrama!H23</f>
        <v>1.3240418118466899</v>
      </c>
      <c r="AD68" s="181">
        <f>Diagrama!I23</f>
        <v>1.3457446808510636</v>
      </c>
      <c r="AE68" s="181">
        <f>Diagrama!J23</f>
        <v>1.3626834381551363</v>
      </c>
      <c r="AF68" s="181">
        <f>Diagrama!K23</f>
        <v>1.3762711864406778</v>
      </c>
      <c r="AG68" s="181">
        <f>Diagrama!L23</f>
        <v>1.3874125874125878</v>
      </c>
    </row>
    <row r="69" spans="6:33" x14ac:dyDescent="0.2">
      <c r="F69" s="175">
        <v>33</v>
      </c>
      <c r="G69" s="174" t="b">
        <v>1</v>
      </c>
      <c r="H69" s="174" t="b">
        <v>1</v>
      </c>
      <c r="I69" s="174" t="b">
        <v>1</v>
      </c>
      <c r="K69" s="207">
        <v>33</v>
      </c>
      <c r="L69" s="207" t="s">
        <v>155</v>
      </c>
      <c r="M69" s="207" t="s">
        <v>155</v>
      </c>
      <c r="N69" s="207" t="s">
        <v>155</v>
      </c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16.666666666666668</v>
      </c>
      <c r="X69" s="183">
        <f t="shared" si="0"/>
        <v>26.666666666666668</v>
      </c>
      <c r="Y69" s="183">
        <f t="shared" si="0"/>
        <v>29.166666666666668</v>
      </c>
      <c r="Z69" s="183">
        <f t="shared" si="0"/>
        <v>30.303030303030305</v>
      </c>
      <c r="AA69" s="183">
        <f t="shared" si="0"/>
        <v>30.952380952380953</v>
      </c>
      <c r="AB69" s="183">
        <f t="shared" si="0"/>
        <v>31.372549019607842</v>
      </c>
      <c r="AC69" s="183">
        <f>100*AC61/AC64</f>
        <v>31.666666666666668</v>
      </c>
      <c r="AD69" s="183">
        <f>100*AD61/AD64</f>
        <v>31.884057971014492</v>
      </c>
      <c r="AE69" s="183">
        <f>100*AE61/AE64</f>
        <v>32.051282051282051</v>
      </c>
      <c r="AF69" s="183">
        <f>100*AF61/AF64</f>
        <v>32.183908045977013</v>
      </c>
      <c r="AG69" s="183">
        <f>100*AG61/AG64</f>
        <v>32.291666666666664</v>
      </c>
    </row>
    <row r="70" spans="6:33" x14ac:dyDescent="0.2">
      <c r="F70" s="175">
        <v>34</v>
      </c>
      <c r="G70" s="174" t="b">
        <v>1</v>
      </c>
      <c r="H70" s="174" t="b">
        <v>1</v>
      </c>
      <c r="I70" s="174" t="b">
        <v>1</v>
      </c>
      <c r="K70" s="207">
        <v>34</v>
      </c>
      <c r="L70" s="207" t="s">
        <v>156</v>
      </c>
      <c r="M70" s="207" t="s">
        <v>156</v>
      </c>
      <c r="N70" s="207" t="s">
        <v>156</v>
      </c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1</v>
      </c>
      <c r="H71" s="174" t="b">
        <v>1</v>
      </c>
      <c r="I71" s="174" t="b">
        <v>1</v>
      </c>
      <c r="K71" s="207">
        <v>35</v>
      </c>
      <c r="L71" s="207" t="s">
        <v>157</v>
      </c>
      <c r="M71" s="207" t="s">
        <v>157</v>
      </c>
      <c r="N71" s="207" t="s">
        <v>157</v>
      </c>
      <c r="S71" s="175" t="s">
        <v>74</v>
      </c>
    </row>
    <row r="72" spans="6:33" x14ac:dyDescent="0.2">
      <c r="F72" s="175">
        <v>36</v>
      </c>
      <c r="G72" s="174" t="b">
        <v>1</v>
      </c>
      <c r="H72" s="174" t="b">
        <v>1</v>
      </c>
      <c r="I72" s="174" t="b">
        <v>1</v>
      </c>
      <c r="K72" s="207">
        <v>36</v>
      </c>
      <c r="L72" s="207" t="s">
        <v>158</v>
      </c>
      <c r="M72" s="207" t="s">
        <v>158</v>
      </c>
      <c r="N72" s="207" t="s">
        <v>158</v>
      </c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1</v>
      </c>
      <c r="H73" s="174" t="b">
        <v>1</v>
      </c>
      <c r="I73" s="174" t="b">
        <v>1</v>
      </c>
      <c r="K73" s="207">
        <v>37</v>
      </c>
      <c r="L73" s="207" t="s">
        <v>159</v>
      </c>
      <c r="M73" s="207" t="s">
        <v>159</v>
      </c>
      <c r="N73" s="207" t="s">
        <v>159</v>
      </c>
      <c r="T73" s="184"/>
      <c r="W73" s="176">
        <v>0</v>
      </c>
    </row>
    <row r="74" spans="6:33" x14ac:dyDescent="0.2">
      <c r="F74" s="175">
        <v>38</v>
      </c>
      <c r="G74" s="174" t="b">
        <v>1</v>
      </c>
      <c r="H74" s="174" t="b">
        <v>1</v>
      </c>
      <c r="I74" s="174" t="b">
        <v>1</v>
      </c>
      <c r="K74" s="207">
        <v>38</v>
      </c>
      <c r="L74" s="207" t="s">
        <v>160</v>
      </c>
      <c r="M74" s="207" t="s">
        <v>160</v>
      </c>
      <c r="N74" s="207" t="s">
        <v>160</v>
      </c>
      <c r="T74" s="184"/>
      <c r="W74" s="176">
        <v>0.75</v>
      </c>
    </row>
    <row r="75" spans="6:33" x14ac:dyDescent="0.2">
      <c r="F75" s="175">
        <v>39</v>
      </c>
      <c r="G75" s="174" t="b">
        <v>1</v>
      </c>
      <c r="H75" s="174" t="b">
        <v>1</v>
      </c>
      <c r="I75" s="174" t="b">
        <v>1</v>
      </c>
      <c r="K75" s="207">
        <v>39</v>
      </c>
      <c r="L75" s="207" t="s">
        <v>161</v>
      </c>
      <c r="M75" s="207" t="s">
        <v>161</v>
      </c>
      <c r="N75" s="207" t="s">
        <v>161</v>
      </c>
      <c r="T75" s="184"/>
    </row>
    <row r="76" spans="6:33" x14ac:dyDescent="0.2">
      <c r="F76" s="175">
        <v>40</v>
      </c>
      <c r="G76" s="174" t="b">
        <v>1</v>
      </c>
      <c r="H76" s="174" t="b">
        <v>1</v>
      </c>
      <c r="I76" s="174" t="b">
        <v>1</v>
      </c>
      <c r="K76" s="207">
        <v>40</v>
      </c>
      <c r="L76" s="207" t="s">
        <v>162</v>
      </c>
      <c r="M76" s="207" t="s">
        <v>162</v>
      </c>
      <c r="N76" s="207" t="s">
        <v>162</v>
      </c>
    </row>
    <row r="77" spans="6:33" x14ac:dyDescent="0.2">
      <c r="F77" s="175">
        <v>41</v>
      </c>
      <c r="G77" s="174" t="b">
        <v>1</v>
      </c>
      <c r="H77" s="174" t="b">
        <v>1</v>
      </c>
      <c r="I77" s="174" t="b">
        <v>1</v>
      </c>
      <c r="K77" s="207">
        <v>41</v>
      </c>
      <c r="L77" s="207" t="s">
        <v>163</v>
      </c>
      <c r="M77" s="207" t="s">
        <v>163</v>
      </c>
      <c r="N77" s="207" t="s">
        <v>163</v>
      </c>
    </row>
    <row r="78" spans="6:33" x14ac:dyDescent="0.2">
      <c r="F78" s="175">
        <v>42</v>
      </c>
      <c r="G78" s="174" t="b">
        <v>1</v>
      </c>
      <c r="H78" s="174" t="b">
        <v>1</v>
      </c>
      <c r="I78" s="174" t="b">
        <v>1</v>
      </c>
      <c r="K78" s="207">
        <v>42</v>
      </c>
      <c r="L78" s="207" t="s">
        <v>164</v>
      </c>
      <c r="M78" s="207" t="s">
        <v>164</v>
      </c>
      <c r="N78" s="207" t="s">
        <v>164</v>
      </c>
    </row>
    <row r="79" spans="6:33" x14ac:dyDescent="0.2">
      <c r="F79" s="175">
        <v>43</v>
      </c>
      <c r="G79" s="174" t="b">
        <v>1</v>
      </c>
      <c r="H79" s="174" t="b">
        <v>1</v>
      </c>
      <c r="I79" s="174" t="b">
        <v>1</v>
      </c>
      <c r="K79" s="207">
        <v>43</v>
      </c>
      <c r="L79" s="207" t="s">
        <v>165</v>
      </c>
      <c r="M79" s="207" t="s">
        <v>165</v>
      </c>
      <c r="N79" s="207" t="s">
        <v>165</v>
      </c>
    </row>
    <row r="80" spans="6:33" x14ac:dyDescent="0.2">
      <c r="F80" s="175">
        <v>44</v>
      </c>
      <c r="G80" s="174" t="b">
        <v>1</v>
      </c>
      <c r="H80" s="174" t="b">
        <v>1</v>
      </c>
      <c r="I80" s="174" t="b">
        <v>1</v>
      </c>
      <c r="K80" s="207">
        <v>44</v>
      </c>
      <c r="L80" s="207" t="s">
        <v>166</v>
      </c>
      <c r="M80" s="207" t="s">
        <v>166</v>
      </c>
      <c r="N80" s="207" t="s">
        <v>166</v>
      </c>
    </row>
    <row r="81" spans="6:14" x14ac:dyDescent="0.2">
      <c r="F81" s="175">
        <v>45</v>
      </c>
      <c r="G81" s="174" t="b">
        <v>1</v>
      </c>
      <c r="H81" s="174" t="b">
        <v>1</v>
      </c>
      <c r="I81" s="174" t="b">
        <v>1</v>
      </c>
      <c r="K81" s="207">
        <v>45</v>
      </c>
      <c r="L81" s="207" t="s">
        <v>167</v>
      </c>
      <c r="M81" s="207" t="s">
        <v>167</v>
      </c>
      <c r="N81" s="207" t="s">
        <v>167</v>
      </c>
    </row>
    <row r="82" spans="6:14" x14ac:dyDescent="0.2">
      <c r="F82" s="175">
        <v>46</v>
      </c>
      <c r="G82" s="174" t="b">
        <v>1</v>
      </c>
      <c r="H82" s="174" t="b">
        <v>1</v>
      </c>
      <c r="I82" s="174" t="b">
        <v>1</v>
      </c>
      <c r="K82" s="207">
        <v>46</v>
      </c>
      <c r="L82" s="207" t="s">
        <v>168</v>
      </c>
      <c r="M82" s="207" t="s">
        <v>168</v>
      </c>
      <c r="N82" s="207" t="s">
        <v>168</v>
      </c>
    </row>
    <row r="83" spans="6:14" x14ac:dyDescent="0.2">
      <c r="F83" s="175">
        <v>47</v>
      </c>
      <c r="G83" s="174" t="b">
        <v>1</v>
      </c>
      <c r="H83" s="174" t="b">
        <v>1</v>
      </c>
      <c r="I83" s="174" t="b">
        <v>1</v>
      </c>
      <c r="K83" s="207">
        <v>47</v>
      </c>
      <c r="L83" s="207" t="s">
        <v>169</v>
      </c>
      <c r="M83" s="207" t="s">
        <v>169</v>
      </c>
      <c r="N83" s="207" t="s">
        <v>169</v>
      </c>
    </row>
    <row r="84" spans="6:14" x14ac:dyDescent="0.2">
      <c r="F84" s="175">
        <v>48</v>
      </c>
      <c r="G84" s="174" t="b">
        <v>1</v>
      </c>
      <c r="H84" s="174" t="b">
        <v>1</v>
      </c>
      <c r="I84" s="174" t="b">
        <v>1</v>
      </c>
      <c r="K84" s="207">
        <v>48</v>
      </c>
      <c r="L84" s="207" t="s">
        <v>170</v>
      </c>
      <c r="M84" s="207" t="s">
        <v>170</v>
      </c>
      <c r="N84" s="207" t="s">
        <v>170</v>
      </c>
    </row>
    <row r="85" spans="6:14" x14ac:dyDescent="0.2">
      <c r="F85" s="175">
        <v>49</v>
      </c>
      <c r="G85" s="174" t="b">
        <v>1</v>
      </c>
      <c r="H85" s="174" t="b">
        <v>1</v>
      </c>
      <c r="I85" s="174" t="b">
        <v>1</v>
      </c>
      <c r="K85" s="207">
        <v>49</v>
      </c>
      <c r="L85" s="207" t="s">
        <v>171</v>
      </c>
      <c r="M85" s="207" t="s">
        <v>171</v>
      </c>
      <c r="N85" s="207" t="s">
        <v>171</v>
      </c>
    </row>
    <row r="86" spans="6:14" x14ac:dyDescent="0.2">
      <c r="F86" s="175">
        <v>50</v>
      </c>
      <c r="G86" s="174" t="b">
        <v>1</v>
      </c>
      <c r="H86" s="174" t="b">
        <v>1</v>
      </c>
      <c r="I86" s="174" t="b">
        <v>1</v>
      </c>
      <c r="K86" s="207">
        <v>50</v>
      </c>
      <c r="L86" s="207" t="s">
        <v>172</v>
      </c>
      <c r="M86" s="207" t="s">
        <v>172</v>
      </c>
      <c r="N86" s="207" t="s">
        <v>172</v>
      </c>
    </row>
    <row r="87" spans="6:14" x14ac:dyDescent="0.2">
      <c r="F87" s="175">
        <v>51</v>
      </c>
      <c r="G87" s="174" t="b">
        <v>1</v>
      </c>
      <c r="H87" s="174" t="b">
        <v>1</v>
      </c>
      <c r="I87" s="174" t="b">
        <v>1</v>
      </c>
      <c r="K87" s="207">
        <v>51</v>
      </c>
      <c r="L87" s="207" t="s">
        <v>173</v>
      </c>
      <c r="M87" s="207" t="s">
        <v>173</v>
      </c>
      <c r="N87" s="207" t="s">
        <v>173</v>
      </c>
    </row>
    <row r="88" spans="6:14" x14ac:dyDescent="0.2">
      <c r="F88" s="175">
        <v>52</v>
      </c>
      <c r="G88" s="174" t="b">
        <v>1</v>
      </c>
      <c r="H88" s="174" t="b">
        <v>1</v>
      </c>
      <c r="I88" s="174" t="b">
        <v>1</v>
      </c>
      <c r="K88" s="207">
        <v>52</v>
      </c>
      <c r="L88" s="207" t="s">
        <v>174</v>
      </c>
      <c r="M88" s="207" t="s">
        <v>174</v>
      </c>
      <c r="N88" s="207" t="s">
        <v>174</v>
      </c>
    </row>
    <row r="89" spans="6:14" x14ac:dyDescent="0.2">
      <c r="F89" s="175">
        <v>53</v>
      </c>
      <c r="G89" s="174" t="b">
        <v>1</v>
      </c>
      <c r="H89" s="174" t="b">
        <v>1</v>
      </c>
      <c r="I89" s="174" t="b">
        <v>1</v>
      </c>
      <c r="K89" s="207">
        <v>53</v>
      </c>
      <c r="L89" s="207" t="s">
        <v>175</v>
      </c>
      <c r="M89" s="207" t="s">
        <v>175</v>
      </c>
      <c r="N89" s="207" t="s">
        <v>175</v>
      </c>
    </row>
    <row r="90" spans="6:14" x14ac:dyDescent="0.2">
      <c r="F90" s="175">
        <v>54</v>
      </c>
      <c r="G90" s="174" t="b">
        <v>1</v>
      </c>
      <c r="H90" s="174" t="b">
        <v>1</v>
      </c>
      <c r="I90" s="174" t="b">
        <v>1</v>
      </c>
      <c r="K90" s="207">
        <v>54</v>
      </c>
      <c r="L90" s="207" t="s">
        <v>176</v>
      </c>
      <c r="M90" s="207" t="s">
        <v>176</v>
      </c>
      <c r="N90" s="207" t="s">
        <v>176</v>
      </c>
    </row>
    <row r="91" spans="6:14" x14ac:dyDescent="0.2">
      <c r="F91" s="175">
        <v>55</v>
      </c>
      <c r="G91" s="174" t="b">
        <v>1</v>
      </c>
      <c r="H91" s="174" t="b">
        <v>1</v>
      </c>
      <c r="I91" s="174" t="b">
        <v>1</v>
      </c>
      <c r="K91" s="207">
        <v>55</v>
      </c>
      <c r="L91" s="207" t="s">
        <v>177</v>
      </c>
      <c r="M91" s="207" t="s">
        <v>177</v>
      </c>
      <c r="N91" s="207" t="s">
        <v>177</v>
      </c>
    </row>
    <row r="92" spans="6:14" x14ac:dyDescent="0.2">
      <c r="F92" s="175">
        <v>56</v>
      </c>
      <c r="G92" s="174" t="b">
        <v>1</v>
      </c>
      <c r="H92" s="174" t="b">
        <v>1</v>
      </c>
      <c r="I92" s="174" t="b">
        <v>1</v>
      </c>
      <c r="K92" s="207">
        <v>56</v>
      </c>
      <c r="L92" s="207" t="s">
        <v>178</v>
      </c>
      <c r="M92" s="207" t="s">
        <v>178</v>
      </c>
      <c r="N92" s="207" t="s">
        <v>178</v>
      </c>
    </row>
    <row r="93" spans="6:14" x14ac:dyDescent="0.2">
      <c r="F93" s="175">
        <v>57</v>
      </c>
      <c r="G93" s="174" t="b">
        <v>1</v>
      </c>
      <c r="H93" s="174" t="b">
        <v>1</v>
      </c>
      <c r="I93" s="174" t="b">
        <v>1</v>
      </c>
      <c r="K93" s="207">
        <v>57</v>
      </c>
      <c r="L93" s="207" t="s">
        <v>179</v>
      </c>
      <c r="M93" s="207" t="s">
        <v>179</v>
      </c>
      <c r="N93" s="207" t="s">
        <v>179</v>
      </c>
    </row>
    <row r="94" spans="6:14" x14ac:dyDescent="0.2">
      <c r="F94" s="175">
        <v>58</v>
      </c>
      <c r="G94" s="174" t="b">
        <v>1</v>
      </c>
      <c r="H94" s="174" t="b">
        <v>1</v>
      </c>
      <c r="I94" s="174" t="b">
        <v>1</v>
      </c>
      <c r="K94" s="207">
        <v>58</v>
      </c>
      <c r="L94" s="207" t="s">
        <v>180</v>
      </c>
      <c r="M94" s="207" t="s">
        <v>180</v>
      </c>
      <c r="N94" s="207" t="s">
        <v>180</v>
      </c>
    </row>
    <row r="95" spans="6:14" x14ac:dyDescent="0.2">
      <c r="F95" s="175">
        <v>59</v>
      </c>
      <c r="G95" s="174" t="b">
        <v>1</v>
      </c>
      <c r="H95" s="174" t="b">
        <v>1</v>
      </c>
      <c r="I95" s="174" t="b">
        <v>1</v>
      </c>
      <c r="K95" s="207">
        <v>59</v>
      </c>
      <c r="L95" s="207" t="s">
        <v>181</v>
      </c>
      <c r="M95" s="207" t="s">
        <v>181</v>
      </c>
      <c r="N95" s="207" t="s">
        <v>181</v>
      </c>
    </row>
    <row r="96" spans="6:14" x14ac:dyDescent="0.2">
      <c r="F96" s="175">
        <v>60</v>
      </c>
      <c r="G96" s="174" t="b">
        <v>1</v>
      </c>
      <c r="H96" s="174" t="b">
        <v>1</v>
      </c>
      <c r="I96" s="174" t="b">
        <v>1</v>
      </c>
      <c r="K96" s="207">
        <v>60</v>
      </c>
      <c r="L96" s="207" t="s">
        <v>182</v>
      </c>
      <c r="M96" s="207" t="s">
        <v>182</v>
      </c>
      <c r="N96" s="207" t="s">
        <v>182</v>
      </c>
    </row>
    <row r="97" spans="6:14" x14ac:dyDescent="0.2">
      <c r="F97" s="175">
        <v>61</v>
      </c>
      <c r="G97" s="174" t="b">
        <v>1</v>
      </c>
      <c r="H97" s="174" t="b">
        <v>1</v>
      </c>
      <c r="I97" s="174" t="b">
        <v>1</v>
      </c>
      <c r="K97" s="207">
        <v>61</v>
      </c>
      <c r="L97" s="207" t="s">
        <v>183</v>
      </c>
      <c r="M97" s="207" t="s">
        <v>183</v>
      </c>
      <c r="N97" s="207" t="s">
        <v>183</v>
      </c>
    </row>
    <row r="98" spans="6:14" x14ac:dyDescent="0.2">
      <c r="F98" s="175">
        <v>62</v>
      </c>
      <c r="G98" s="174" t="b">
        <v>1</v>
      </c>
      <c r="H98" s="174" t="b">
        <v>1</v>
      </c>
      <c r="I98" s="174" t="b">
        <v>1</v>
      </c>
      <c r="K98" s="207">
        <v>62</v>
      </c>
      <c r="L98" s="207" t="s">
        <v>184</v>
      </c>
      <c r="M98" s="207" t="s">
        <v>184</v>
      </c>
      <c r="N98" s="207" t="s">
        <v>184</v>
      </c>
    </row>
    <row r="99" spans="6:14" x14ac:dyDescent="0.2">
      <c r="F99" s="175">
        <v>63</v>
      </c>
      <c r="G99" s="174" t="b">
        <v>1</v>
      </c>
      <c r="H99" s="174" t="b">
        <v>1</v>
      </c>
      <c r="I99" s="174" t="b">
        <v>1</v>
      </c>
      <c r="K99" s="207">
        <v>63</v>
      </c>
      <c r="L99" s="207" t="s">
        <v>185</v>
      </c>
      <c r="M99" s="207" t="s">
        <v>185</v>
      </c>
      <c r="N99" s="207" t="s">
        <v>185</v>
      </c>
    </row>
    <row r="100" spans="6:14" x14ac:dyDescent="0.2">
      <c r="F100" s="175">
        <v>64</v>
      </c>
      <c r="G100" s="174" t="b">
        <v>1</v>
      </c>
      <c r="H100" s="174" t="b">
        <v>1</v>
      </c>
      <c r="I100" s="174" t="b">
        <v>1</v>
      </c>
      <c r="K100" s="207">
        <v>64</v>
      </c>
      <c r="L100" s="207" t="s">
        <v>186</v>
      </c>
      <c r="M100" s="207" t="s">
        <v>186</v>
      </c>
      <c r="N100" s="207" t="s">
        <v>186</v>
      </c>
    </row>
    <row r="101" spans="6:14" x14ac:dyDescent="0.2">
      <c r="F101" s="175">
        <v>65</v>
      </c>
      <c r="G101" s="174" t="b">
        <v>1</v>
      </c>
      <c r="H101" s="174" t="b">
        <v>1</v>
      </c>
      <c r="I101" s="174" t="b">
        <v>1</v>
      </c>
      <c r="K101" s="207">
        <v>65</v>
      </c>
      <c r="L101" s="207" t="s">
        <v>187</v>
      </c>
      <c r="M101" s="207" t="s">
        <v>187</v>
      </c>
      <c r="N101" s="207" t="s">
        <v>187</v>
      </c>
    </row>
    <row r="102" spans="6:14" x14ac:dyDescent="0.2">
      <c r="F102" s="175">
        <v>66</v>
      </c>
      <c r="G102" s="174" t="b">
        <v>1</v>
      </c>
      <c r="H102" s="174" t="b">
        <v>1</v>
      </c>
      <c r="I102" s="174" t="b">
        <v>1</v>
      </c>
      <c r="K102" s="207">
        <v>66</v>
      </c>
      <c r="L102" s="207" t="s">
        <v>188</v>
      </c>
      <c r="M102" s="207" t="s">
        <v>188</v>
      </c>
      <c r="N102" s="207" t="s">
        <v>188</v>
      </c>
    </row>
    <row r="103" spans="6:14" x14ac:dyDescent="0.2">
      <c r="F103" s="175">
        <v>67</v>
      </c>
      <c r="G103" s="174" t="b">
        <v>1</v>
      </c>
      <c r="H103" s="174" t="b">
        <v>1</v>
      </c>
      <c r="I103" s="174" t="b">
        <v>1</v>
      </c>
      <c r="K103" s="207">
        <v>67</v>
      </c>
      <c r="L103" s="207" t="s">
        <v>189</v>
      </c>
      <c r="M103" s="207" t="s">
        <v>189</v>
      </c>
      <c r="N103" s="207" t="s">
        <v>189</v>
      </c>
    </row>
    <row r="104" spans="6:14" x14ac:dyDescent="0.2">
      <c r="F104" s="175">
        <v>68</v>
      </c>
      <c r="G104" s="174" t="b">
        <v>1</v>
      </c>
      <c r="H104" s="174" t="b">
        <v>1</v>
      </c>
      <c r="I104" s="174" t="b">
        <v>1</v>
      </c>
      <c r="K104" s="207">
        <v>68</v>
      </c>
      <c r="L104" s="207" t="s">
        <v>190</v>
      </c>
      <c r="M104" s="207" t="s">
        <v>190</v>
      </c>
      <c r="N104" s="207" t="s">
        <v>190</v>
      </c>
    </row>
    <row r="105" spans="6:14" x14ac:dyDescent="0.2">
      <c r="F105" s="175">
        <v>69</v>
      </c>
      <c r="G105" s="174" t="b">
        <v>1</v>
      </c>
      <c r="H105" s="174" t="b">
        <v>1</v>
      </c>
      <c r="I105" s="174" t="b">
        <v>1</v>
      </c>
      <c r="K105" s="207">
        <v>69</v>
      </c>
      <c r="L105" s="207" t="s">
        <v>191</v>
      </c>
      <c r="M105" s="207" t="s">
        <v>191</v>
      </c>
      <c r="N105" s="207" t="s">
        <v>191</v>
      </c>
    </row>
    <row r="106" spans="6:14" x14ac:dyDescent="0.2">
      <c r="F106" s="175">
        <v>70</v>
      </c>
      <c r="G106" s="174" t="b">
        <v>1</v>
      </c>
      <c r="H106" s="174" t="b">
        <v>1</v>
      </c>
      <c r="I106" s="174" t="b">
        <v>1</v>
      </c>
      <c r="K106" s="207">
        <v>70</v>
      </c>
      <c r="L106" s="207" t="s">
        <v>192</v>
      </c>
      <c r="M106" s="207" t="s">
        <v>192</v>
      </c>
      <c r="N106" s="207" t="s">
        <v>192</v>
      </c>
    </row>
    <row r="107" spans="6:14" x14ac:dyDescent="0.2">
      <c r="F107" s="175">
        <v>71</v>
      </c>
      <c r="G107" s="174" t="b">
        <v>1</v>
      </c>
      <c r="H107" s="174" t="b">
        <v>1</v>
      </c>
      <c r="I107" s="174" t="b">
        <v>1</v>
      </c>
      <c r="K107" s="207">
        <v>71</v>
      </c>
      <c r="L107" s="207" t="s">
        <v>193</v>
      </c>
      <c r="M107" s="207" t="s">
        <v>193</v>
      </c>
      <c r="N107" s="207" t="s">
        <v>193</v>
      </c>
    </row>
    <row r="108" spans="6:14" x14ac:dyDescent="0.2">
      <c r="F108" s="175">
        <v>72</v>
      </c>
      <c r="G108" s="174" t="b">
        <v>1</v>
      </c>
      <c r="H108" s="174" t="b">
        <v>1</v>
      </c>
      <c r="I108" s="174" t="b">
        <v>1</v>
      </c>
      <c r="K108" s="207">
        <v>72</v>
      </c>
      <c r="L108" s="207" t="s">
        <v>194</v>
      </c>
      <c r="M108" s="207" t="s">
        <v>194</v>
      </c>
      <c r="N108" s="207" t="s">
        <v>194</v>
      </c>
    </row>
    <row r="109" spans="6:14" x14ac:dyDescent="0.2">
      <c r="F109" s="175">
        <v>73</v>
      </c>
      <c r="G109" s="174" t="b">
        <v>1</v>
      </c>
      <c r="H109" s="174" t="b">
        <v>1</v>
      </c>
      <c r="I109" s="174" t="b">
        <v>1</v>
      </c>
      <c r="K109" s="207">
        <v>73</v>
      </c>
      <c r="L109" s="207" t="s">
        <v>195</v>
      </c>
      <c r="M109" s="207" t="s">
        <v>195</v>
      </c>
      <c r="N109" s="207" t="s">
        <v>195</v>
      </c>
    </row>
    <row r="110" spans="6:14" x14ac:dyDescent="0.2">
      <c r="F110" s="175">
        <v>74</v>
      </c>
      <c r="G110" s="174" t="b">
        <v>1</v>
      </c>
      <c r="H110" s="174" t="b">
        <v>1</v>
      </c>
      <c r="I110" s="174" t="b">
        <v>1</v>
      </c>
      <c r="K110" s="207">
        <v>74</v>
      </c>
      <c r="L110" s="207" t="s">
        <v>196</v>
      </c>
      <c r="M110" s="207" t="s">
        <v>196</v>
      </c>
      <c r="N110" s="207" t="s">
        <v>196</v>
      </c>
    </row>
    <row r="111" spans="6:14" x14ac:dyDescent="0.2">
      <c r="F111" s="175">
        <v>75</v>
      </c>
      <c r="G111" s="174" t="b">
        <v>1</v>
      </c>
      <c r="H111" s="174" t="b">
        <v>1</v>
      </c>
      <c r="I111" s="174" t="b">
        <v>1</v>
      </c>
      <c r="K111" s="207">
        <v>75</v>
      </c>
      <c r="L111" s="207" t="s">
        <v>197</v>
      </c>
      <c r="M111" s="207" t="s">
        <v>197</v>
      </c>
      <c r="N111" s="207" t="s">
        <v>197</v>
      </c>
    </row>
    <row r="112" spans="6:14" x14ac:dyDescent="0.2">
      <c r="F112" s="175">
        <v>76</v>
      </c>
      <c r="G112" s="174" t="b">
        <v>1</v>
      </c>
      <c r="H112" s="174" t="b">
        <v>1</v>
      </c>
      <c r="I112" s="174" t="b">
        <v>1</v>
      </c>
      <c r="K112" s="207">
        <v>76</v>
      </c>
      <c r="L112" s="207" t="s">
        <v>198</v>
      </c>
      <c r="M112" s="207" t="s">
        <v>198</v>
      </c>
      <c r="N112" s="207" t="s">
        <v>198</v>
      </c>
    </row>
    <row r="113" spans="6:14" x14ac:dyDescent="0.2">
      <c r="F113" s="175">
        <v>77</v>
      </c>
      <c r="G113" s="174" t="b">
        <v>1</v>
      </c>
      <c r="H113" s="174" t="b">
        <v>1</v>
      </c>
      <c r="I113" s="174" t="b">
        <v>1</v>
      </c>
      <c r="K113" s="207">
        <v>77</v>
      </c>
      <c r="L113" s="207" t="s">
        <v>199</v>
      </c>
      <c r="M113" s="207" t="s">
        <v>199</v>
      </c>
      <c r="N113" s="207" t="s">
        <v>199</v>
      </c>
    </row>
    <row r="114" spans="6:14" x14ac:dyDescent="0.2">
      <c r="F114" s="175">
        <v>78</v>
      </c>
      <c r="G114" s="174" t="b">
        <v>1</v>
      </c>
      <c r="H114" s="174" t="b">
        <v>1</v>
      </c>
      <c r="I114" s="174" t="b">
        <v>1</v>
      </c>
      <c r="K114" s="207">
        <v>78</v>
      </c>
      <c r="L114" s="207" t="s">
        <v>200</v>
      </c>
      <c r="M114" s="207" t="s">
        <v>200</v>
      </c>
      <c r="N114" s="207" t="s">
        <v>200</v>
      </c>
    </row>
    <row r="115" spans="6:14" x14ac:dyDescent="0.2">
      <c r="F115" s="175">
        <v>79</v>
      </c>
      <c r="G115" s="174" t="b">
        <v>1</v>
      </c>
      <c r="H115" s="174" t="b">
        <v>1</v>
      </c>
      <c r="I115" s="174" t="b">
        <v>1</v>
      </c>
      <c r="K115" s="207">
        <v>79</v>
      </c>
      <c r="L115" s="207" t="s">
        <v>201</v>
      </c>
      <c r="M115" s="207" t="s">
        <v>201</v>
      </c>
      <c r="N115" s="207" t="s">
        <v>201</v>
      </c>
    </row>
    <row r="116" spans="6:14" x14ac:dyDescent="0.2">
      <c r="F116" s="175">
        <v>80</v>
      </c>
      <c r="G116" s="174" t="b">
        <v>1</v>
      </c>
      <c r="H116" s="174" t="b">
        <v>1</v>
      </c>
      <c r="I116" s="174" t="b">
        <v>1</v>
      </c>
      <c r="K116" s="207">
        <v>80</v>
      </c>
      <c r="L116" s="207" t="s">
        <v>202</v>
      </c>
      <c r="M116" s="207" t="s">
        <v>202</v>
      </c>
      <c r="N116" s="207" t="s">
        <v>202</v>
      </c>
    </row>
    <row r="117" spans="6:14" x14ac:dyDescent="0.2">
      <c r="F117" s="175">
        <v>81</v>
      </c>
      <c r="G117" s="174" t="b">
        <v>1</v>
      </c>
      <c r="H117" s="174" t="b">
        <v>1</v>
      </c>
      <c r="I117" s="174" t="b">
        <v>1</v>
      </c>
      <c r="K117" s="207">
        <v>81</v>
      </c>
      <c r="L117" s="207" t="s">
        <v>203</v>
      </c>
      <c r="M117" s="207" t="s">
        <v>203</v>
      </c>
      <c r="N117" s="207" t="s">
        <v>203</v>
      </c>
    </row>
    <row r="118" spans="6:14" x14ac:dyDescent="0.2">
      <c r="F118" s="175">
        <v>82</v>
      </c>
      <c r="G118" s="174" t="b">
        <v>1</v>
      </c>
      <c r="H118" s="174" t="b">
        <v>1</v>
      </c>
      <c r="I118" s="174" t="b">
        <v>1</v>
      </c>
      <c r="K118" s="207">
        <v>82</v>
      </c>
      <c r="L118" s="207" t="s">
        <v>204</v>
      </c>
      <c r="M118" s="207" t="s">
        <v>204</v>
      </c>
      <c r="N118" s="207" t="s">
        <v>204</v>
      </c>
    </row>
    <row r="119" spans="6:14" x14ac:dyDescent="0.2">
      <c r="F119" s="175">
        <v>83</v>
      </c>
      <c r="G119" s="174" t="b">
        <v>1</v>
      </c>
      <c r="H119" s="174" t="b">
        <v>1</v>
      </c>
      <c r="I119" s="174" t="b">
        <v>1</v>
      </c>
      <c r="K119" s="207">
        <v>83</v>
      </c>
      <c r="L119" s="207" t="s">
        <v>205</v>
      </c>
      <c r="M119" s="207" t="s">
        <v>205</v>
      </c>
      <c r="N119" s="207" t="s">
        <v>205</v>
      </c>
    </row>
    <row r="120" spans="6:14" x14ac:dyDescent="0.2">
      <c r="F120" s="175">
        <v>84</v>
      </c>
      <c r="G120" s="174" t="b">
        <v>1</v>
      </c>
      <c r="H120" s="174" t="b">
        <v>1</v>
      </c>
      <c r="I120" s="174" t="b">
        <v>1</v>
      </c>
      <c r="K120" s="207">
        <v>84</v>
      </c>
      <c r="L120" s="207" t="s">
        <v>206</v>
      </c>
      <c r="M120" s="207" t="s">
        <v>206</v>
      </c>
      <c r="N120" s="207" t="s">
        <v>206</v>
      </c>
    </row>
    <row r="121" spans="6:14" x14ac:dyDescent="0.2">
      <c r="F121" s="175">
        <v>85</v>
      </c>
      <c r="G121" s="174" t="b">
        <v>1</v>
      </c>
      <c r="H121" s="174" t="b">
        <v>1</v>
      </c>
      <c r="I121" s="174" t="b">
        <v>1</v>
      </c>
      <c r="K121" s="207">
        <v>85</v>
      </c>
      <c r="L121" s="207" t="s">
        <v>207</v>
      </c>
      <c r="M121" s="207" t="s">
        <v>207</v>
      </c>
      <c r="N121" s="207" t="s">
        <v>207</v>
      </c>
    </row>
    <row r="122" spans="6:14" x14ac:dyDescent="0.2">
      <c r="F122" s="175">
        <v>86</v>
      </c>
      <c r="G122" s="174" t="b">
        <v>1</v>
      </c>
      <c r="H122" s="174" t="b">
        <v>1</v>
      </c>
      <c r="I122" s="174" t="b">
        <v>1</v>
      </c>
      <c r="K122" s="207">
        <v>86</v>
      </c>
      <c r="L122" s="207" t="s">
        <v>208</v>
      </c>
      <c r="M122" s="207" t="s">
        <v>208</v>
      </c>
      <c r="N122" s="207" t="s">
        <v>208</v>
      </c>
    </row>
    <row r="123" spans="6:14" x14ac:dyDescent="0.2">
      <c r="F123" s="175">
        <v>87</v>
      </c>
      <c r="G123" s="174" t="b">
        <v>1</v>
      </c>
      <c r="H123" s="174" t="b">
        <v>1</v>
      </c>
      <c r="I123" s="174" t="b">
        <v>1</v>
      </c>
      <c r="K123" s="207">
        <v>87</v>
      </c>
      <c r="L123" s="207" t="s">
        <v>209</v>
      </c>
      <c r="M123" s="207" t="s">
        <v>209</v>
      </c>
      <c r="N123" s="207" t="s">
        <v>209</v>
      </c>
    </row>
    <row r="124" spans="6:14" x14ac:dyDescent="0.2">
      <c r="F124" s="175">
        <v>88</v>
      </c>
      <c r="G124" s="174" t="b">
        <v>1</v>
      </c>
      <c r="H124" s="174" t="b">
        <v>1</v>
      </c>
      <c r="I124" s="174" t="b">
        <v>1</v>
      </c>
      <c r="K124" s="207">
        <v>88</v>
      </c>
      <c r="L124" s="207" t="s">
        <v>210</v>
      </c>
      <c r="M124" s="207" t="s">
        <v>210</v>
      </c>
      <c r="N124" s="207" t="s">
        <v>210</v>
      </c>
    </row>
    <row r="125" spans="6:14" x14ac:dyDescent="0.2">
      <c r="F125" s="175">
        <v>89</v>
      </c>
      <c r="G125" s="174" t="b">
        <v>1</v>
      </c>
      <c r="H125" s="174" t="b">
        <v>1</v>
      </c>
      <c r="I125" s="174" t="b">
        <v>1</v>
      </c>
      <c r="K125" s="207">
        <v>89</v>
      </c>
      <c r="L125" s="207" t="s">
        <v>211</v>
      </c>
      <c r="M125" s="207" t="s">
        <v>211</v>
      </c>
      <c r="N125" s="207" t="s">
        <v>211</v>
      </c>
    </row>
    <row r="126" spans="6:14" x14ac:dyDescent="0.2">
      <c r="F126" s="175">
        <v>90</v>
      </c>
      <c r="G126" s="174" t="b">
        <v>1</v>
      </c>
      <c r="H126" s="174" t="b">
        <v>1</v>
      </c>
      <c r="I126" s="174" t="b">
        <v>1</v>
      </c>
      <c r="K126" s="207">
        <v>90</v>
      </c>
      <c r="L126" s="207" t="s">
        <v>212</v>
      </c>
      <c r="M126" s="207" t="s">
        <v>212</v>
      </c>
      <c r="N126" s="207" t="s">
        <v>212</v>
      </c>
    </row>
    <row r="127" spans="6:14" x14ac:dyDescent="0.2">
      <c r="F127" s="175">
        <v>91</v>
      </c>
      <c r="G127" s="174" t="b">
        <v>1</v>
      </c>
      <c r="H127" s="174" t="b">
        <v>1</v>
      </c>
      <c r="I127" s="174" t="b">
        <v>1</v>
      </c>
      <c r="K127" s="207">
        <v>91</v>
      </c>
      <c r="L127" s="207" t="s">
        <v>213</v>
      </c>
      <c r="M127" s="207" t="s">
        <v>213</v>
      </c>
      <c r="N127" s="207" t="s">
        <v>213</v>
      </c>
    </row>
    <row r="128" spans="6:14" x14ac:dyDescent="0.2">
      <c r="F128" s="175">
        <v>92</v>
      </c>
      <c r="G128" s="174" t="b">
        <v>1</v>
      </c>
      <c r="H128" s="174" t="b">
        <v>1</v>
      </c>
      <c r="I128" s="174" t="b">
        <v>1</v>
      </c>
      <c r="K128" s="207">
        <v>92</v>
      </c>
      <c r="L128" s="207" t="s">
        <v>214</v>
      </c>
      <c r="M128" s="207" t="s">
        <v>214</v>
      </c>
      <c r="N128" s="207" t="s">
        <v>214</v>
      </c>
    </row>
    <row r="129" spans="6:14" x14ac:dyDescent="0.2">
      <c r="F129" s="175">
        <v>93</v>
      </c>
      <c r="G129" s="174" t="b">
        <v>1</v>
      </c>
      <c r="H129" s="174" t="b">
        <v>1</v>
      </c>
      <c r="I129" s="174" t="b">
        <v>1</v>
      </c>
      <c r="K129" s="207">
        <v>93</v>
      </c>
      <c r="L129" s="207" t="s">
        <v>215</v>
      </c>
      <c r="M129" s="207" t="s">
        <v>215</v>
      </c>
      <c r="N129" s="207" t="s">
        <v>215</v>
      </c>
    </row>
    <row r="130" spans="6:14" x14ac:dyDescent="0.2">
      <c r="F130" s="175">
        <v>94</v>
      </c>
      <c r="G130" s="174" t="b">
        <v>1</v>
      </c>
      <c r="H130" s="174" t="b">
        <v>1</v>
      </c>
      <c r="I130" s="174" t="b">
        <v>1</v>
      </c>
      <c r="K130" s="207">
        <v>94</v>
      </c>
      <c r="L130" s="207" t="s">
        <v>216</v>
      </c>
      <c r="M130" s="207" t="s">
        <v>216</v>
      </c>
      <c r="N130" s="207" t="s">
        <v>216</v>
      </c>
    </row>
    <row r="131" spans="6:14" x14ac:dyDescent="0.2">
      <c r="F131" s="175">
        <v>95</v>
      </c>
      <c r="G131" s="174" t="b">
        <v>1</v>
      </c>
      <c r="H131" s="174" t="b">
        <v>1</v>
      </c>
      <c r="I131" s="174" t="b">
        <v>1</v>
      </c>
      <c r="K131" s="207">
        <v>95</v>
      </c>
      <c r="L131" s="207" t="s">
        <v>217</v>
      </c>
      <c r="M131" s="207" t="s">
        <v>217</v>
      </c>
      <c r="N131" s="207" t="s">
        <v>217</v>
      </c>
    </row>
    <row r="132" spans="6:14" x14ac:dyDescent="0.2">
      <c r="F132" s="175">
        <v>96</v>
      </c>
      <c r="G132" s="174" t="b">
        <v>1</v>
      </c>
      <c r="H132" s="174" t="b">
        <v>1</v>
      </c>
      <c r="I132" s="174" t="b">
        <v>1</v>
      </c>
      <c r="K132" s="207">
        <v>96</v>
      </c>
      <c r="L132" s="207" t="s">
        <v>218</v>
      </c>
      <c r="M132" s="207" t="s">
        <v>218</v>
      </c>
      <c r="N132" s="207" t="s">
        <v>218</v>
      </c>
    </row>
    <row r="133" spans="6:14" x14ac:dyDescent="0.2">
      <c r="F133" s="175">
        <v>97</v>
      </c>
      <c r="G133" s="174" t="b">
        <v>1</v>
      </c>
      <c r="H133" s="174" t="b">
        <v>1</v>
      </c>
      <c r="I133" s="174" t="b">
        <v>1</v>
      </c>
      <c r="K133" s="207">
        <v>97</v>
      </c>
      <c r="L133" s="207" t="s">
        <v>219</v>
      </c>
      <c r="M133" s="207" t="s">
        <v>219</v>
      </c>
      <c r="N133" s="207" t="s">
        <v>219</v>
      </c>
    </row>
    <row r="134" spans="6:14" x14ac:dyDescent="0.2">
      <c r="F134" s="175">
        <v>98</v>
      </c>
      <c r="G134" s="174" t="b">
        <v>1</v>
      </c>
      <c r="H134" s="174" t="b">
        <v>1</v>
      </c>
      <c r="I134" s="174" t="b">
        <v>1</v>
      </c>
      <c r="K134" s="207">
        <v>98</v>
      </c>
      <c r="L134" s="207" t="s">
        <v>220</v>
      </c>
      <c r="M134" s="207" t="s">
        <v>220</v>
      </c>
      <c r="N134" s="207" t="s">
        <v>220</v>
      </c>
    </row>
    <row r="135" spans="6:14" x14ac:dyDescent="0.2">
      <c r="F135" s="175">
        <v>99</v>
      </c>
      <c r="G135" s="174" t="b">
        <v>1</v>
      </c>
      <c r="H135" s="174" t="b">
        <v>1</v>
      </c>
      <c r="I135" s="174" t="b">
        <v>1</v>
      </c>
      <c r="K135" s="207">
        <v>99</v>
      </c>
      <c r="L135" s="207" t="s">
        <v>221</v>
      </c>
      <c r="M135" s="207" t="s">
        <v>221</v>
      </c>
      <c r="N135" s="207" t="s">
        <v>221</v>
      </c>
    </row>
    <row r="136" spans="6:14" x14ac:dyDescent="0.2">
      <c r="F136" s="175">
        <v>100</v>
      </c>
      <c r="G136" s="174" t="b">
        <v>1</v>
      </c>
      <c r="H136" s="174" t="b">
        <v>1</v>
      </c>
      <c r="I136" s="174" t="b">
        <v>1</v>
      </c>
      <c r="K136" s="207">
        <v>100</v>
      </c>
      <c r="L136" s="207" t="s">
        <v>222</v>
      </c>
      <c r="M136" s="207" t="s">
        <v>222</v>
      </c>
      <c r="N136" s="207" t="s">
        <v>222</v>
      </c>
    </row>
    <row r="137" spans="6:14" x14ac:dyDescent="0.2">
      <c r="F137" s="175">
        <v>101</v>
      </c>
      <c r="G137" s="174" t="b">
        <v>0</v>
      </c>
      <c r="H137" s="174" t="b">
        <v>0</v>
      </c>
      <c r="I137" s="174" t="b">
        <v>0</v>
      </c>
      <c r="K137" s="207">
        <v>101</v>
      </c>
    </row>
    <row r="138" spans="6:14" x14ac:dyDescent="0.2">
      <c r="F138" s="175">
        <v>102</v>
      </c>
      <c r="G138" s="174" t="b">
        <v>0</v>
      </c>
      <c r="H138" s="174" t="b">
        <v>0</v>
      </c>
      <c r="I138" s="174" t="b">
        <v>0</v>
      </c>
      <c r="K138" s="207">
        <v>102</v>
      </c>
    </row>
    <row r="139" spans="6:14" x14ac:dyDescent="0.2">
      <c r="F139" s="175">
        <v>103</v>
      </c>
      <c r="G139" s="174" t="b">
        <v>0</v>
      </c>
      <c r="H139" s="174" t="b">
        <v>0</v>
      </c>
      <c r="I139" s="174" t="b">
        <v>0</v>
      </c>
      <c r="K139" s="207">
        <v>103</v>
      </c>
    </row>
    <row r="140" spans="6:14" x14ac:dyDescent="0.2">
      <c r="F140" s="175">
        <v>104</v>
      </c>
      <c r="G140" s="174" t="b">
        <v>0</v>
      </c>
      <c r="H140" s="174" t="b">
        <v>0</v>
      </c>
      <c r="I140" s="174" t="b">
        <v>0</v>
      </c>
      <c r="K140" s="207">
        <v>104</v>
      </c>
    </row>
    <row r="141" spans="6:14" x14ac:dyDescent="0.2">
      <c r="F141" s="175">
        <v>105</v>
      </c>
      <c r="G141" s="174" t="b">
        <v>0</v>
      </c>
      <c r="H141" s="174" t="b">
        <v>0</v>
      </c>
      <c r="I141" s="174" t="b">
        <v>0</v>
      </c>
      <c r="K141" s="207">
        <v>105</v>
      </c>
    </row>
    <row r="142" spans="6:14" x14ac:dyDescent="0.2">
      <c r="F142" s="175">
        <v>106</v>
      </c>
      <c r="G142" s="174" t="b">
        <v>0</v>
      </c>
      <c r="H142" s="174" t="b">
        <v>0</v>
      </c>
      <c r="I142" s="174" t="b">
        <v>0</v>
      </c>
      <c r="K142" s="207">
        <v>106</v>
      </c>
    </row>
    <row r="143" spans="6:14" x14ac:dyDescent="0.2">
      <c r="F143" s="175">
        <v>107</v>
      </c>
      <c r="G143" s="174" t="b">
        <v>0</v>
      </c>
      <c r="H143" s="174" t="b">
        <v>0</v>
      </c>
      <c r="I143" s="174" t="b">
        <v>0</v>
      </c>
      <c r="K143" s="207">
        <v>107</v>
      </c>
    </row>
    <row r="144" spans="6:14" x14ac:dyDescent="0.2">
      <c r="F144" s="175">
        <v>108</v>
      </c>
      <c r="G144" s="174" t="b">
        <v>0</v>
      </c>
      <c r="H144" s="174" t="b">
        <v>0</v>
      </c>
      <c r="I144" s="174" t="b">
        <v>0</v>
      </c>
      <c r="K144" s="207">
        <v>108</v>
      </c>
    </row>
    <row r="145" spans="6:11" x14ac:dyDescent="0.2">
      <c r="F145" s="175">
        <v>109</v>
      </c>
      <c r="G145" s="174" t="b">
        <v>0</v>
      </c>
      <c r="H145" s="174" t="b">
        <v>0</v>
      </c>
      <c r="I145" s="174" t="b">
        <v>0</v>
      </c>
      <c r="K145" s="207">
        <v>109</v>
      </c>
    </row>
    <row r="146" spans="6:11" x14ac:dyDescent="0.2">
      <c r="F146" s="175">
        <v>110</v>
      </c>
      <c r="G146" s="174" t="b">
        <v>0</v>
      </c>
      <c r="H146" s="174" t="b">
        <v>0</v>
      </c>
      <c r="I146" s="174" t="b">
        <v>0</v>
      </c>
      <c r="K146" s="207">
        <v>110</v>
      </c>
    </row>
    <row r="147" spans="6:11" x14ac:dyDescent="0.2">
      <c r="F147" s="175">
        <v>111</v>
      </c>
      <c r="G147" s="174" t="b">
        <v>0</v>
      </c>
      <c r="H147" s="174" t="b">
        <v>0</v>
      </c>
      <c r="I147" s="174" t="b">
        <v>0</v>
      </c>
      <c r="K147" s="207">
        <v>111</v>
      </c>
    </row>
    <row r="148" spans="6:11" x14ac:dyDescent="0.2">
      <c r="F148" s="175">
        <v>112</v>
      </c>
      <c r="G148" s="174" t="b">
        <v>0</v>
      </c>
      <c r="H148" s="174" t="b">
        <v>0</v>
      </c>
      <c r="I148" s="174" t="b">
        <v>0</v>
      </c>
      <c r="K148" s="207">
        <v>112</v>
      </c>
    </row>
    <row r="149" spans="6:11" x14ac:dyDescent="0.2">
      <c r="F149" s="175">
        <v>113</v>
      </c>
      <c r="G149" s="174" t="b">
        <v>0</v>
      </c>
      <c r="H149" s="174" t="b">
        <v>0</v>
      </c>
      <c r="I149" s="174" t="b">
        <v>0</v>
      </c>
      <c r="K149" s="207">
        <v>113</v>
      </c>
    </row>
    <row r="150" spans="6:11" x14ac:dyDescent="0.2">
      <c r="F150" s="175">
        <v>114</v>
      </c>
      <c r="G150" s="174" t="b">
        <v>0</v>
      </c>
      <c r="H150" s="174" t="b">
        <v>0</v>
      </c>
      <c r="I150" s="174" t="b">
        <v>0</v>
      </c>
      <c r="K150" s="207">
        <v>114</v>
      </c>
    </row>
    <row r="151" spans="6:11" x14ac:dyDescent="0.2">
      <c r="F151" s="175">
        <v>115</v>
      </c>
      <c r="G151" s="174" t="b">
        <v>0</v>
      </c>
      <c r="H151" s="174" t="b">
        <v>0</v>
      </c>
      <c r="I151" s="174" t="b">
        <v>0</v>
      </c>
      <c r="K151" s="207">
        <v>115</v>
      </c>
    </row>
    <row r="152" spans="6:11" x14ac:dyDescent="0.2">
      <c r="F152" s="175">
        <v>116</v>
      </c>
      <c r="G152" s="174" t="b">
        <v>0</v>
      </c>
      <c r="H152" s="174" t="b">
        <v>0</v>
      </c>
      <c r="I152" s="174" t="b">
        <v>0</v>
      </c>
      <c r="K152" s="207">
        <v>116</v>
      </c>
    </row>
    <row r="153" spans="6:11" x14ac:dyDescent="0.2">
      <c r="F153" s="175">
        <v>117</v>
      </c>
      <c r="G153" s="174" t="b">
        <v>0</v>
      </c>
      <c r="H153" s="174" t="b">
        <v>0</v>
      </c>
      <c r="I153" s="174" t="b">
        <v>0</v>
      </c>
      <c r="K153" s="207">
        <v>117</v>
      </c>
    </row>
    <row r="154" spans="6:11" x14ac:dyDescent="0.2">
      <c r="F154" s="175">
        <v>118</v>
      </c>
      <c r="G154" s="174" t="b">
        <v>0</v>
      </c>
      <c r="H154" s="174" t="b">
        <v>0</v>
      </c>
      <c r="I154" s="174" t="b">
        <v>0</v>
      </c>
      <c r="K154" s="207">
        <v>118</v>
      </c>
    </row>
    <row r="155" spans="6:11" x14ac:dyDescent="0.2">
      <c r="F155" s="175">
        <v>119</v>
      </c>
      <c r="G155" s="174" t="b">
        <v>0</v>
      </c>
      <c r="H155" s="174" t="b">
        <v>0</v>
      </c>
      <c r="I155" s="174" t="b">
        <v>0</v>
      </c>
      <c r="K155" s="207">
        <v>119</v>
      </c>
    </row>
    <row r="156" spans="6:11" x14ac:dyDescent="0.2">
      <c r="F156" s="175">
        <v>120</v>
      </c>
      <c r="G156" s="174" t="b">
        <v>0</v>
      </c>
      <c r="H156" s="174" t="b">
        <v>0</v>
      </c>
      <c r="I156" s="174" t="b">
        <v>0</v>
      </c>
      <c r="K156" s="207">
        <v>120</v>
      </c>
    </row>
    <row r="157" spans="6:11" x14ac:dyDescent="0.2">
      <c r="F157" s="175">
        <v>121</v>
      </c>
      <c r="G157" s="174" t="b">
        <v>0</v>
      </c>
      <c r="H157" s="174" t="b">
        <v>0</v>
      </c>
      <c r="I157" s="174" t="b">
        <v>0</v>
      </c>
      <c r="K157" s="207">
        <v>121</v>
      </c>
    </row>
    <row r="158" spans="6:11" x14ac:dyDescent="0.2">
      <c r="F158" s="175">
        <v>122</v>
      </c>
      <c r="G158" s="174" t="b">
        <v>0</v>
      </c>
      <c r="H158" s="174" t="b">
        <v>0</v>
      </c>
      <c r="I158" s="174" t="b">
        <v>0</v>
      </c>
      <c r="K158" s="207">
        <v>122</v>
      </c>
    </row>
    <row r="159" spans="6:11" x14ac:dyDescent="0.2">
      <c r="F159" s="175">
        <v>123</v>
      </c>
      <c r="G159" s="174" t="b">
        <v>0</v>
      </c>
      <c r="H159" s="174" t="b">
        <v>0</v>
      </c>
      <c r="I159" s="174" t="b">
        <v>0</v>
      </c>
      <c r="K159" s="207">
        <v>123</v>
      </c>
    </row>
    <row r="160" spans="6:11" x14ac:dyDescent="0.2">
      <c r="F160" s="175">
        <v>124</v>
      </c>
      <c r="G160" s="174" t="b">
        <v>0</v>
      </c>
      <c r="H160" s="174" t="b">
        <v>0</v>
      </c>
      <c r="I160" s="174" t="b">
        <v>0</v>
      </c>
      <c r="K160" s="207">
        <v>124</v>
      </c>
    </row>
    <row r="161" spans="6:11" x14ac:dyDescent="0.2">
      <c r="F161" s="175">
        <v>125</v>
      </c>
      <c r="G161" s="174" t="b">
        <v>0</v>
      </c>
      <c r="H161" s="174" t="b">
        <v>0</v>
      </c>
      <c r="I161" s="174" t="b">
        <v>0</v>
      </c>
      <c r="K161" s="207">
        <v>125</v>
      </c>
    </row>
    <row r="162" spans="6:11" x14ac:dyDescent="0.2">
      <c r="F162" s="175">
        <v>126</v>
      </c>
      <c r="G162" s="174" t="b">
        <v>0</v>
      </c>
      <c r="H162" s="174" t="b">
        <v>0</v>
      </c>
      <c r="I162" s="174" t="b">
        <v>0</v>
      </c>
      <c r="K162" s="207">
        <v>126</v>
      </c>
    </row>
    <row r="163" spans="6:11" x14ac:dyDescent="0.2">
      <c r="F163" s="175">
        <v>127</v>
      </c>
      <c r="G163" s="174" t="b">
        <v>0</v>
      </c>
      <c r="H163" s="174" t="b">
        <v>0</v>
      </c>
      <c r="I163" s="174" t="b">
        <v>0</v>
      </c>
      <c r="K163" s="207">
        <v>127</v>
      </c>
    </row>
    <row r="164" spans="6:11" x14ac:dyDescent="0.2">
      <c r="F164" s="175">
        <v>128</v>
      </c>
      <c r="G164" s="174" t="b">
        <v>0</v>
      </c>
      <c r="H164" s="174" t="b">
        <v>0</v>
      </c>
      <c r="I164" s="174" t="b">
        <v>0</v>
      </c>
      <c r="K164" s="207">
        <v>128</v>
      </c>
    </row>
    <row r="165" spans="6:11" x14ac:dyDescent="0.2">
      <c r="F165" s="175">
        <v>129</v>
      </c>
      <c r="G165" s="174" t="b">
        <v>0</v>
      </c>
      <c r="H165" s="174" t="b">
        <v>0</v>
      </c>
      <c r="I165" s="174" t="b">
        <v>0</v>
      </c>
      <c r="K165" s="207">
        <v>129</v>
      </c>
    </row>
    <row r="166" spans="6:11" x14ac:dyDescent="0.2">
      <c r="F166" s="175">
        <v>130</v>
      </c>
      <c r="G166" s="174" t="b">
        <v>0</v>
      </c>
      <c r="H166" s="174" t="b">
        <v>0</v>
      </c>
      <c r="I166" s="174" t="b">
        <v>0</v>
      </c>
      <c r="K166" s="207">
        <v>130</v>
      </c>
    </row>
    <row r="167" spans="6:11" x14ac:dyDescent="0.2">
      <c r="F167" s="175">
        <v>131</v>
      </c>
      <c r="G167" s="174" t="b">
        <v>0</v>
      </c>
      <c r="H167" s="174" t="b">
        <v>0</v>
      </c>
      <c r="I167" s="174" t="b">
        <v>0</v>
      </c>
      <c r="K167" s="207">
        <v>131</v>
      </c>
    </row>
    <row r="168" spans="6:11" x14ac:dyDescent="0.2">
      <c r="F168" s="175">
        <v>132</v>
      </c>
      <c r="G168" s="174" t="b">
        <v>0</v>
      </c>
      <c r="H168" s="174" t="b">
        <v>0</v>
      </c>
      <c r="I168" s="174" t="b">
        <v>0</v>
      </c>
      <c r="K168" s="207">
        <v>132</v>
      </c>
    </row>
    <row r="169" spans="6:11" x14ac:dyDescent="0.2">
      <c r="F169" s="175">
        <v>133</v>
      </c>
      <c r="G169" s="174" t="b">
        <v>0</v>
      </c>
      <c r="H169" s="174" t="b">
        <v>0</v>
      </c>
      <c r="I169" s="174" t="b">
        <v>0</v>
      </c>
      <c r="K169" s="207">
        <v>133</v>
      </c>
    </row>
    <row r="170" spans="6:11" x14ac:dyDescent="0.2">
      <c r="F170" s="175">
        <v>134</v>
      </c>
      <c r="G170" s="174" t="b">
        <v>0</v>
      </c>
      <c r="H170" s="174" t="b">
        <v>0</v>
      </c>
      <c r="I170" s="174" t="b">
        <v>0</v>
      </c>
      <c r="K170" s="207">
        <v>134</v>
      </c>
    </row>
    <row r="171" spans="6:11" x14ac:dyDescent="0.2">
      <c r="F171" s="175">
        <v>135</v>
      </c>
      <c r="G171" s="174" t="b">
        <v>0</v>
      </c>
      <c r="H171" s="174" t="b">
        <v>0</v>
      </c>
      <c r="I171" s="174" t="b">
        <v>0</v>
      </c>
      <c r="K171" s="207">
        <v>135</v>
      </c>
    </row>
    <row r="172" spans="6:11" x14ac:dyDescent="0.2">
      <c r="F172" s="175">
        <v>136</v>
      </c>
      <c r="G172" s="174" t="b">
        <v>0</v>
      </c>
      <c r="H172" s="174" t="b">
        <v>0</v>
      </c>
      <c r="I172" s="174" t="b">
        <v>0</v>
      </c>
      <c r="K172" s="207">
        <v>136</v>
      </c>
    </row>
    <row r="173" spans="6:11" x14ac:dyDescent="0.2">
      <c r="F173" s="175">
        <v>137</v>
      </c>
      <c r="G173" s="174" t="b">
        <v>0</v>
      </c>
      <c r="H173" s="174" t="b">
        <v>0</v>
      </c>
      <c r="I173" s="174" t="b">
        <v>0</v>
      </c>
      <c r="K173" s="207">
        <v>137</v>
      </c>
    </row>
    <row r="174" spans="6:11" x14ac:dyDescent="0.2">
      <c r="F174" s="175">
        <v>138</v>
      </c>
      <c r="G174" s="174" t="b">
        <v>0</v>
      </c>
      <c r="H174" s="174" t="b">
        <v>0</v>
      </c>
      <c r="I174" s="174" t="b">
        <v>0</v>
      </c>
      <c r="K174" s="207">
        <v>138</v>
      </c>
    </row>
    <row r="175" spans="6:11" x14ac:dyDescent="0.2">
      <c r="F175" s="175">
        <v>139</v>
      </c>
      <c r="G175" s="174" t="b">
        <v>0</v>
      </c>
      <c r="H175" s="174" t="b">
        <v>0</v>
      </c>
      <c r="I175" s="174" t="b">
        <v>0</v>
      </c>
      <c r="K175" s="207">
        <v>139</v>
      </c>
    </row>
    <row r="176" spans="6:11" x14ac:dyDescent="0.2">
      <c r="F176" s="175">
        <v>140</v>
      </c>
      <c r="G176" s="174" t="b">
        <v>0</v>
      </c>
      <c r="H176" s="174" t="b">
        <v>0</v>
      </c>
      <c r="I176" s="174" t="b">
        <v>0</v>
      </c>
      <c r="K176" s="207">
        <v>140</v>
      </c>
    </row>
    <row r="177" spans="6:11" x14ac:dyDescent="0.2">
      <c r="F177" s="175">
        <v>141</v>
      </c>
      <c r="G177" s="174" t="b">
        <v>0</v>
      </c>
      <c r="H177" s="174" t="b">
        <v>0</v>
      </c>
      <c r="I177" s="174" t="b">
        <v>0</v>
      </c>
      <c r="K177" s="207">
        <v>141</v>
      </c>
    </row>
    <row r="178" spans="6:11" x14ac:dyDescent="0.2">
      <c r="F178" s="175">
        <v>142</v>
      </c>
      <c r="G178" s="174" t="b">
        <v>0</v>
      </c>
      <c r="H178" s="174" t="b">
        <v>0</v>
      </c>
      <c r="I178" s="174" t="b">
        <v>0</v>
      </c>
      <c r="K178" s="207">
        <v>142</v>
      </c>
    </row>
    <row r="179" spans="6:11" x14ac:dyDescent="0.2">
      <c r="F179" s="175">
        <v>143</v>
      </c>
      <c r="G179" s="174" t="b">
        <v>0</v>
      </c>
      <c r="H179" s="174" t="b">
        <v>0</v>
      </c>
      <c r="I179" s="174" t="b">
        <v>0</v>
      </c>
      <c r="K179" s="207">
        <v>143</v>
      </c>
    </row>
    <row r="180" spans="6:11" x14ac:dyDescent="0.2">
      <c r="F180" s="175">
        <v>144</v>
      </c>
      <c r="G180" s="174" t="b">
        <v>0</v>
      </c>
      <c r="H180" s="174" t="b">
        <v>0</v>
      </c>
      <c r="I180" s="174" t="b">
        <v>0</v>
      </c>
      <c r="K180" s="207">
        <v>144</v>
      </c>
    </row>
    <row r="181" spans="6:11" x14ac:dyDescent="0.2">
      <c r="F181" s="175">
        <v>145</v>
      </c>
      <c r="G181" s="174" t="b">
        <v>0</v>
      </c>
      <c r="H181" s="174" t="b">
        <v>0</v>
      </c>
      <c r="I181" s="174" t="b">
        <v>0</v>
      </c>
      <c r="K181" s="207">
        <v>145</v>
      </c>
    </row>
    <row r="182" spans="6:11" x14ac:dyDescent="0.2">
      <c r="F182" s="175">
        <v>146</v>
      </c>
      <c r="G182" s="174" t="b">
        <v>0</v>
      </c>
      <c r="H182" s="174" t="b">
        <v>0</v>
      </c>
      <c r="I182" s="174" t="b">
        <v>0</v>
      </c>
      <c r="K182" s="207">
        <v>146</v>
      </c>
    </row>
    <row r="183" spans="6:11" x14ac:dyDescent="0.2">
      <c r="F183" s="175">
        <v>147</v>
      </c>
      <c r="G183" s="174" t="b">
        <v>0</v>
      </c>
      <c r="H183" s="174" t="b">
        <v>0</v>
      </c>
      <c r="I183" s="174" t="b">
        <v>0</v>
      </c>
      <c r="K183" s="207">
        <v>147</v>
      </c>
    </row>
    <row r="184" spans="6:11" x14ac:dyDescent="0.2">
      <c r="F184" s="175">
        <v>148</v>
      </c>
      <c r="G184" s="174" t="b">
        <v>0</v>
      </c>
      <c r="H184" s="174" t="b">
        <v>0</v>
      </c>
      <c r="I184" s="174" t="b">
        <v>0</v>
      </c>
      <c r="K184" s="207">
        <v>148</v>
      </c>
    </row>
    <row r="185" spans="6:11" x14ac:dyDescent="0.2">
      <c r="F185" s="175">
        <v>149</v>
      </c>
      <c r="G185" s="174" t="b">
        <v>0</v>
      </c>
      <c r="H185" s="174" t="b">
        <v>0</v>
      </c>
      <c r="I185" s="174" t="b">
        <v>0</v>
      </c>
      <c r="K185" s="207">
        <v>149</v>
      </c>
    </row>
    <row r="186" spans="6:11" x14ac:dyDescent="0.2">
      <c r="F186" s="175">
        <v>150</v>
      </c>
      <c r="G186" s="174" t="b">
        <v>0</v>
      </c>
      <c r="H186" s="174" t="b">
        <v>0</v>
      </c>
      <c r="I186" s="174" t="b">
        <v>0</v>
      </c>
      <c r="K186" s="207">
        <v>150</v>
      </c>
    </row>
    <row r="187" spans="6:11" x14ac:dyDescent="0.2">
      <c r="F187" s="175">
        <v>151</v>
      </c>
      <c r="G187" s="174" t="b">
        <v>0</v>
      </c>
      <c r="H187" s="174" t="b">
        <v>0</v>
      </c>
      <c r="I187" s="174" t="b">
        <v>0</v>
      </c>
      <c r="K187" s="207">
        <v>151</v>
      </c>
    </row>
    <row r="188" spans="6:11" x14ac:dyDescent="0.2">
      <c r="F188" s="175">
        <v>152</v>
      </c>
      <c r="G188" s="174" t="b">
        <v>0</v>
      </c>
      <c r="H188" s="174" t="b">
        <v>0</v>
      </c>
      <c r="I188" s="174" t="b">
        <v>0</v>
      </c>
      <c r="K188" s="207">
        <v>152</v>
      </c>
    </row>
    <row r="189" spans="6:11" x14ac:dyDescent="0.2">
      <c r="F189" s="175">
        <v>153</v>
      </c>
      <c r="G189" s="174" t="b">
        <v>0</v>
      </c>
      <c r="H189" s="174" t="b">
        <v>0</v>
      </c>
      <c r="I189" s="174" t="b">
        <v>0</v>
      </c>
      <c r="K189" s="207">
        <v>153</v>
      </c>
    </row>
    <row r="190" spans="6:11" x14ac:dyDescent="0.2">
      <c r="F190" s="175">
        <v>154</v>
      </c>
      <c r="G190" s="174" t="b">
        <v>0</v>
      </c>
      <c r="H190" s="174" t="b">
        <v>0</v>
      </c>
      <c r="I190" s="174" t="b">
        <v>0</v>
      </c>
      <c r="K190" s="207">
        <v>154</v>
      </c>
    </row>
    <row r="191" spans="6:11" x14ac:dyDescent="0.2">
      <c r="F191" s="175">
        <v>155</v>
      </c>
      <c r="G191" s="174" t="b">
        <v>0</v>
      </c>
      <c r="H191" s="174" t="b">
        <v>0</v>
      </c>
      <c r="I191" s="174" t="b">
        <v>0</v>
      </c>
      <c r="K191" s="207">
        <v>155</v>
      </c>
    </row>
    <row r="192" spans="6:11" x14ac:dyDescent="0.2">
      <c r="F192" s="175">
        <v>156</v>
      </c>
      <c r="G192" s="174" t="b">
        <v>0</v>
      </c>
      <c r="H192" s="174" t="b">
        <v>0</v>
      </c>
      <c r="I192" s="174" t="b">
        <v>0</v>
      </c>
      <c r="K192" s="207">
        <v>156</v>
      </c>
    </row>
    <row r="193" spans="6:11" x14ac:dyDescent="0.2">
      <c r="F193" s="175">
        <v>157</v>
      </c>
      <c r="G193" s="174" t="b">
        <v>0</v>
      </c>
      <c r="H193" s="174" t="b">
        <v>0</v>
      </c>
      <c r="I193" s="174" t="b">
        <v>0</v>
      </c>
      <c r="K193" s="207">
        <v>157</v>
      </c>
    </row>
    <row r="194" spans="6:11" x14ac:dyDescent="0.2">
      <c r="F194" s="175">
        <v>158</v>
      </c>
      <c r="G194" s="174" t="b">
        <v>0</v>
      </c>
      <c r="H194" s="174" t="b">
        <v>0</v>
      </c>
      <c r="I194" s="174" t="b">
        <v>0</v>
      </c>
      <c r="K194" s="207">
        <v>158</v>
      </c>
    </row>
    <row r="195" spans="6:11" x14ac:dyDescent="0.2">
      <c r="F195" s="175">
        <v>159</v>
      </c>
      <c r="G195" s="174" t="b">
        <v>0</v>
      </c>
      <c r="H195" s="174" t="b">
        <v>0</v>
      </c>
      <c r="I195" s="174" t="b">
        <v>0</v>
      </c>
      <c r="K195" s="207">
        <v>159</v>
      </c>
    </row>
    <row r="196" spans="6:11" x14ac:dyDescent="0.2">
      <c r="F196" s="175">
        <v>160</v>
      </c>
      <c r="G196" s="174" t="b">
        <v>0</v>
      </c>
      <c r="H196" s="174" t="b">
        <v>0</v>
      </c>
      <c r="I196" s="174" t="b">
        <v>0</v>
      </c>
      <c r="K196" s="207">
        <v>160</v>
      </c>
    </row>
    <row r="197" spans="6:11" x14ac:dyDescent="0.2">
      <c r="F197" s="175">
        <v>161</v>
      </c>
      <c r="G197" s="174" t="b">
        <v>0</v>
      </c>
      <c r="H197" s="174" t="b">
        <v>0</v>
      </c>
      <c r="I197" s="174" t="b">
        <v>0</v>
      </c>
      <c r="K197" s="207">
        <v>161</v>
      </c>
    </row>
    <row r="198" spans="6:11" x14ac:dyDescent="0.2">
      <c r="F198" s="175">
        <v>162</v>
      </c>
      <c r="G198" s="174" t="b">
        <v>0</v>
      </c>
      <c r="H198" s="174" t="b">
        <v>0</v>
      </c>
      <c r="I198" s="174" t="b">
        <v>0</v>
      </c>
      <c r="K198" s="207">
        <v>162</v>
      </c>
    </row>
    <row r="199" spans="6:11" x14ac:dyDescent="0.2">
      <c r="F199" s="175">
        <v>163</v>
      </c>
      <c r="G199" s="174" t="b">
        <v>0</v>
      </c>
      <c r="H199" s="174" t="b">
        <v>0</v>
      </c>
      <c r="I199" s="174" t="b">
        <v>0</v>
      </c>
      <c r="K199" s="207">
        <v>163</v>
      </c>
    </row>
    <row r="200" spans="6:11" x14ac:dyDescent="0.2">
      <c r="F200" s="175">
        <v>164</v>
      </c>
      <c r="G200" s="174" t="b">
        <v>0</v>
      </c>
      <c r="H200" s="174" t="b">
        <v>0</v>
      </c>
      <c r="I200" s="174" t="b">
        <v>0</v>
      </c>
      <c r="K200" s="207">
        <v>164</v>
      </c>
    </row>
    <row r="201" spans="6:11" x14ac:dyDescent="0.2">
      <c r="F201" s="175">
        <v>165</v>
      </c>
      <c r="G201" s="174" t="b">
        <v>0</v>
      </c>
      <c r="H201" s="174" t="b">
        <v>0</v>
      </c>
      <c r="I201" s="174" t="b">
        <v>0</v>
      </c>
      <c r="K201" s="207">
        <v>165</v>
      </c>
    </row>
    <row r="202" spans="6:11" x14ac:dyDescent="0.2">
      <c r="F202" s="175">
        <v>166</v>
      </c>
      <c r="G202" s="174" t="b">
        <v>0</v>
      </c>
      <c r="H202" s="174" t="b">
        <v>0</v>
      </c>
      <c r="I202" s="174" t="b">
        <v>0</v>
      </c>
      <c r="K202" s="207">
        <v>166</v>
      </c>
    </row>
    <row r="203" spans="6:11" x14ac:dyDescent="0.2">
      <c r="F203" s="175">
        <v>167</v>
      </c>
      <c r="G203" s="174" t="b">
        <v>0</v>
      </c>
      <c r="H203" s="174" t="b">
        <v>0</v>
      </c>
      <c r="I203" s="174" t="b">
        <v>0</v>
      </c>
      <c r="K203" s="207">
        <v>167</v>
      </c>
    </row>
    <row r="204" spans="6:11" x14ac:dyDescent="0.2">
      <c r="F204" s="175">
        <v>168</v>
      </c>
      <c r="G204" s="174" t="b">
        <v>0</v>
      </c>
      <c r="H204" s="174" t="b">
        <v>0</v>
      </c>
      <c r="I204" s="174" t="b">
        <v>0</v>
      </c>
      <c r="K204" s="207">
        <v>168</v>
      </c>
    </row>
    <row r="205" spans="6:11" x14ac:dyDescent="0.2">
      <c r="F205" s="175">
        <v>169</v>
      </c>
      <c r="G205" s="174" t="b">
        <v>0</v>
      </c>
      <c r="H205" s="174" t="b">
        <v>0</v>
      </c>
      <c r="I205" s="174" t="b">
        <v>0</v>
      </c>
      <c r="K205" s="207">
        <v>169</v>
      </c>
    </row>
    <row r="206" spans="6:11" x14ac:dyDescent="0.2">
      <c r="F206" s="175">
        <v>170</v>
      </c>
      <c r="G206" s="174" t="b">
        <v>0</v>
      </c>
      <c r="H206" s="174" t="b">
        <v>0</v>
      </c>
      <c r="I206" s="174" t="b">
        <v>0</v>
      </c>
      <c r="K206" s="207">
        <v>170</v>
      </c>
    </row>
    <row r="207" spans="6:11" x14ac:dyDescent="0.2">
      <c r="F207" s="175">
        <v>171</v>
      </c>
      <c r="G207" s="174" t="b">
        <v>0</v>
      </c>
      <c r="H207" s="174" t="b">
        <v>0</v>
      </c>
      <c r="I207" s="174" t="b">
        <v>0</v>
      </c>
      <c r="K207" s="207">
        <v>171</v>
      </c>
    </row>
    <row r="208" spans="6:11" x14ac:dyDescent="0.2">
      <c r="F208" s="175">
        <v>172</v>
      </c>
      <c r="G208" s="174" t="b">
        <v>0</v>
      </c>
      <c r="H208" s="174" t="b">
        <v>0</v>
      </c>
      <c r="I208" s="174" t="b">
        <v>0</v>
      </c>
      <c r="K208" s="207">
        <v>172</v>
      </c>
    </row>
    <row r="209" spans="6:11" x14ac:dyDescent="0.2">
      <c r="F209" s="175">
        <v>173</v>
      </c>
      <c r="G209" s="174" t="b">
        <v>0</v>
      </c>
      <c r="H209" s="174" t="b">
        <v>0</v>
      </c>
      <c r="I209" s="174" t="b">
        <v>0</v>
      </c>
      <c r="K209" s="207">
        <v>173</v>
      </c>
    </row>
    <row r="210" spans="6:11" x14ac:dyDescent="0.2">
      <c r="F210" s="175">
        <v>174</v>
      </c>
      <c r="G210" s="174" t="b">
        <v>0</v>
      </c>
      <c r="H210" s="174" t="b">
        <v>0</v>
      </c>
      <c r="I210" s="174" t="b">
        <v>0</v>
      </c>
      <c r="K210" s="207">
        <v>174</v>
      </c>
    </row>
    <row r="211" spans="6:11" x14ac:dyDescent="0.2">
      <c r="F211" s="175">
        <v>175</v>
      </c>
      <c r="G211" s="174" t="b">
        <v>0</v>
      </c>
      <c r="H211" s="174" t="b">
        <v>0</v>
      </c>
      <c r="I211" s="174" t="b">
        <v>0</v>
      </c>
      <c r="K211" s="207">
        <v>175</v>
      </c>
    </row>
    <row r="212" spans="6:11" x14ac:dyDescent="0.2">
      <c r="F212" s="175">
        <v>176</v>
      </c>
      <c r="G212" s="174" t="b">
        <v>0</v>
      </c>
      <c r="H212" s="174" t="b">
        <v>0</v>
      </c>
      <c r="I212" s="174" t="b">
        <v>0</v>
      </c>
      <c r="K212" s="207">
        <v>176</v>
      </c>
    </row>
    <row r="213" spans="6:11" x14ac:dyDescent="0.2">
      <c r="F213" s="175">
        <v>177</v>
      </c>
      <c r="G213" s="174" t="b">
        <v>0</v>
      </c>
      <c r="H213" s="174" t="b">
        <v>0</v>
      </c>
      <c r="I213" s="174" t="b">
        <v>0</v>
      </c>
      <c r="K213" s="207">
        <v>177</v>
      </c>
    </row>
    <row r="214" spans="6:11" x14ac:dyDescent="0.2">
      <c r="F214" s="175">
        <v>178</v>
      </c>
      <c r="G214" s="174" t="b">
        <v>0</v>
      </c>
      <c r="H214" s="174" t="b">
        <v>0</v>
      </c>
      <c r="I214" s="174" t="b">
        <v>0</v>
      </c>
      <c r="K214" s="207">
        <v>178</v>
      </c>
    </row>
    <row r="215" spans="6:11" x14ac:dyDescent="0.2">
      <c r="F215" s="175">
        <v>179</v>
      </c>
      <c r="G215" s="174" t="b">
        <v>0</v>
      </c>
      <c r="H215" s="174" t="b">
        <v>0</v>
      </c>
      <c r="I215" s="174" t="b">
        <v>0</v>
      </c>
      <c r="K215" s="207">
        <v>179</v>
      </c>
    </row>
    <row r="216" spans="6:11" x14ac:dyDescent="0.2">
      <c r="F216" s="175">
        <v>180</v>
      </c>
      <c r="G216" s="174" t="b">
        <v>0</v>
      </c>
      <c r="H216" s="174" t="b">
        <v>0</v>
      </c>
      <c r="I216" s="174" t="b">
        <v>0</v>
      </c>
      <c r="K216" s="207">
        <v>180</v>
      </c>
    </row>
    <row r="217" spans="6:11" x14ac:dyDescent="0.2">
      <c r="F217" s="175">
        <v>181</v>
      </c>
      <c r="G217" s="174" t="b">
        <v>0</v>
      </c>
      <c r="H217" s="174" t="b">
        <v>0</v>
      </c>
      <c r="I217" s="174" t="b">
        <v>0</v>
      </c>
      <c r="K217" s="207">
        <v>181</v>
      </c>
    </row>
    <row r="218" spans="6:11" x14ac:dyDescent="0.2">
      <c r="F218" s="175">
        <v>182</v>
      </c>
      <c r="G218" s="174" t="b">
        <v>0</v>
      </c>
      <c r="H218" s="174" t="b">
        <v>0</v>
      </c>
      <c r="I218" s="174" t="b">
        <v>0</v>
      </c>
      <c r="K218" s="207">
        <v>182</v>
      </c>
    </row>
    <row r="219" spans="6:11" x14ac:dyDescent="0.2">
      <c r="F219" s="175">
        <v>183</v>
      </c>
      <c r="G219" s="174" t="b">
        <v>0</v>
      </c>
      <c r="H219" s="174" t="b">
        <v>0</v>
      </c>
      <c r="I219" s="174" t="b">
        <v>0</v>
      </c>
      <c r="K219" s="207">
        <v>183</v>
      </c>
    </row>
    <row r="220" spans="6:11" x14ac:dyDescent="0.2">
      <c r="F220" s="175">
        <v>184</v>
      </c>
      <c r="G220" s="174" t="b">
        <v>0</v>
      </c>
      <c r="H220" s="174" t="b">
        <v>0</v>
      </c>
      <c r="I220" s="174" t="b">
        <v>0</v>
      </c>
      <c r="K220" s="207">
        <v>184</v>
      </c>
    </row>
    <row r="221" spans="6:11" x14ac:dyDescent="0.2">
      <c r="F221" s="175">
        <v>185</v>
      </c>
      <c r="G221" s="174" t="b">
        <v>0</v>
      </c>
      <c r="H221" s="174" t="b">
        <v>0</v>
      </c>
      <c r="I221" s="174" t="b">
        <v>0</v>
      </c>
      <c r="K221" s="207">
        <v>185</v>
      </c>
    </row>
    <row r="222" spans="6:11" x14ac:dyDescent="0.2">
      <c r="F222" s="175">
        <v>186</v>
      </c>
      <c r="G222" s="174" t="b">
        <v>0</v>
      </c>
      <c r="H222" s="174" t="b">
        <v>0</v>
      </c>
      <c r="I222" s="174" t="b">
        <v>0</v>
      </c>
      <c r="K222" s="207">
        <v>186</v>
      </c>
    </row>
    <row r="223" spans="6:11" x14ac:dyDescent="0.2">
      <c r="F223" s="175">
        <v>187</v>
      </c>
      <c r="G223" s="174" t="b">
        <v>0</v>
      </c>
      <c r="H223" s="174" t="b">
        <v>0</v>
      </c>
      <c r="I223" s="174" t="b">
        <v>0</v>
      </c>
      <c r="K223" s="207">
        <v>187</v>
      </c>
    </row>
    <row r="224" spans="6:11" x14ac:dyDescent="0.2">
      <c r="F224" s="175">
        <v>188</v>
      </c>
      <c r="G224" s="174" t="b">
        <v>0</v>
      </c>
      <c r="H224" s="174" t="b">
        <v>0</v>
      </c>
      <c r="I224" s="174" t="b">
        <v>0</v>
      </c>
      <c r="K224" s="207">
        <v>188</v>
      </c>
    </row>
    <row r="225" spans="5:14" x14ac:dyDescent="0.2">
      <c r="F225" s="175">
        <v>189</v>
      </c>
      <c r="G225" s="174" t="b">
        <v>0</v>
      </c>
      <c r="H225" s="174" t="b">
        <v>0</v>
      </c>
      <c r="I225" s="174" t="b">
        <v>0</v>
      </c>
      <c r="K225" s="207">
        <v>189</v>
      </c>
    </row>
    <row r="226" spans="5:14" x14ac:dyDescent="0.2">
      <c r="F226" s="175">
        <v>190</v>
      </c>
      <c r="G226" s="174" t="b">
        <v>0</v>
      </c>
      <c r="H226" s="174" t="b">
        <v>0</v>
      </c>
      <c r="I226" s="174" t="b">
        <v>0</v>
      </c>
      <c r="K226" s="207">
        <v>190</v>
      </c>
    </row>
    <row r="227" spans="5:14" x14ac:dyDescent="0.2">
      <c r="F227" s="175">
        <v>191</v>
      </c>
      <c r="G227" s="174" t="b">
        <v>0</v>
      </c>
      <c r="H227" s="174" t="b">
        <v>0</v>
      </c>
      <c r="I227" s="174" t="b">
        <v>0</v>
      </c>
      <c r="K227" s="207">
        <v>191</v>
      </c>
    </row>
    <row r="228" spans="5:14" x14ac:dyDescent="0.2">
      <c r="F228" s="175">
        <v>192</v>
      </c>
      <c r="G228" s="174" t="b">
        <v>0</v>
      </c>
      <c r="H228" s="174" t="b">
        <v>0</v>
      </c>
      <c r="I228" s="174" t="b">
        <v>0</v>
      </c>
      <c r="K228" s="207">
        <v>192</v>
      </c>
    </row>
    <row r="229" spans="5:14" x14ac:dyDescent="0.2">
      <c r="F229" s="175">
        <v>193</v>
      </c>
      <c r="G229" s="174" t="b">
        <v>0</v>
      </c>
      <c r="H229" s="174" t="b">
        <v>0</v>
      </c>
      <c r="I229" s="174" t="b">
        <v>0</v>
      </c>
      <c r="K229" s="207">
        <v>193</v>
      </c>
    </row>
    <row r="230" spans="5:14" x14ac:dyDescent="0.2">
      <c r="F230" s="175">
        <v>194</v>
      </c>
      <c r="G230" s="174" t="b">
        <v>0</v>
      </c>
      <c r="H230" s="174" t="b">
        <v>0</v>
      </c>
      <c r="I230" s="174" t="b">
        <v>0</v>
      </c>
      <c r="K230" s="207">
        <v>194</v>
      </c>
    </row>
    <row r="231" spans="5:14" x14ac:dyDescent="0.2">
      <c r="F231" s="175">
        <v>195</v>
      </c>
      <c r="G231" s="174" t="b">
        <v>0</v>
      </c>
      <c r="H231" s="174" t="b">
        <v>0</v>
      </c>
      <c r="I231" s="174" t="b">
        <v>0</v>
      </c>
      <c r="K231" s="207">
        <v>195</v>
      </c>
    </row>
    <row r="232" spans="5:14" x14ac:dyDescent="0.2">
      <c r="F232" s="175">
        <v>196</v>
      </c>
      <c r="G232" s="174" t="b">
        <v>0</v>
      </c>
      <c r="H232" s="174" t="b">
        <v>0</v>
      </c>
      <c r="I232" s="174" t="b">
        <v>0</v>
      </c>
      <c r="K232" s="207">
        <v>196</v>
      </c>
    </row>
    <row r="233" spans="5:14" x14ac:dyDescent="0.2">
      <c r="F233" s="175">
        <v>197</v>
      </c>
      <c r="G233" s="174" t="b">
        <v>0</v>
      </c>
      <c r="H233" s="174" t="b">
        <v>0</v>
      </c>
      <c r="I233" s="174" t="b">
        <v>0</v>
      </c>
      <c r="K233" s="207">
        <v>197</v>
      </c>
    </row>
    <row r="234" spans="5:14" x14ac:dyDescent="0.2">
      <c r="F234" s="175">
        <v>198</v>
      </c>
      <c r="G234" s="174" t="b">
        <v>0</v>
      </c>
      <c r="H234" s="174" t="b">
        <v>0</v>
      </c>
      <c r="I234" s="174" t="b">
        <v>0</v>
      </c>
      <c r="K234" s="207">
        <v>198</v>
      </c>
    </row>
    <row r="235" spans="5:14" x14ac:dyDescent="0.2">
      <c r="F235" s="175">
        <v>199</v>
      </c>
      <c r="G235" s="174" t="b">
        <v>0</v>
      </c>
      <c r="H235" s="174" t="b">
        <v>0</v>
      </c>
      <c r="I235" s="174" t="b">
        <v>0</v>
      </c>
      <c r="K235" s="207">
        <v>199</v>
      </c>
    </row>
    <row r="236" spans="5:14" x14ac:dyDescent="0.2">
      <c r="F236" s="175">
        <v>200</v>
      </c>
      <c r="G236" s="174" t="b">
        <v>0</v>
      </c>
      <c r="H236" s="174" t="b">
        <v>0</v>
      </c>
      <c r="I236" s="174" t="b">
        <v>0</v>
      </c>
      <c r="K236" s="207">
        <v>200</v>
      </c>
    </row>
    <row r="239" spans="5:14" x14ac:dyDescent="0.2">
      <c r="E239" s="174" t="s">
        <v>323</v>
      </c>
      <c r="F239" s="175">
        <v>1</v>
      </c>
      <c r="G239" s="175" t="b">
        <v>1</v>
      </c>
      <c r="H239" s="175" t="b">
        <v>1</v>
      </c>
      <c r="I239" s="175" t="b">
        <v>1</v>
      </c>
      <c r="J239" s="174" t="s">
        <v>324</v>
      </c>
      <c r="K239" s="175">
        <v>1</v>
      </c>
      <c r="L239" s="175">
        <v>1</v>
      </c>
      <c r="M239" s="175">
        <v>1</v>
      </c>
      <c r="N239" s="175">
        <v>1</v>
      </c>
    </row>
    <row r="240" spans="5:14" x14ac:dyDescent="0.2">
      <c r="F240" s="175">
        <v>2</v>
      </c>
      <c r="G240" s="175" t="b">
        <v>1</v>
      </c>
      <c r="H240" s="175" t="b">
        <v>1</v>
      </c>
      <c r="I240" s="175" t="b">
        <v>1</v>
      </c>
      <c r="K240" s="175">
        <v>2</v>
      </c>
      <c r="L240" s="175">
        <v>1</v>
      </c>
      <c r="M240" s="175">
        <v>1</v>
      </c>
      <c r="N240" s="175">
        <v>1</v>
      </c>
    </row>
    <row r="241" spans="6:14" x14ac:dyDescent="0.2">
      <c r="F241" s="175">
        <v>3</v>
      </c>
      <c r="G241" s="175" t="b">
        <v>1</v>
      </c>
      <c r="H241" s="175" t="b">
        <v>1</v>
      </c>
      <c r="I241" s="175" t="b">
        <v>1</v>
      </c>
      <c r="K241" s="175">
        <v>3</v>
      </c>
      <c r="L241" s="175">
        <v>1</v>
      </c>
      <c r="M241" s="175">
        <v>1</v>
      </c>
      <c r="N241" s="175">
        <v>1</v>
      </c>
    </row>
    <row r="242" spans="6:14" x14ac:dyDescent="0.2">
      <c r="F242" s="175">
        <v>4</v>
      </c>
      <c r="G242" s="175" t="b">
        <v>1</v>
      </c>
      <c r="H242" s="175" t="b">
        <v>1</v>
      </c>
      <c r="I242" s="175" t="b">
        <v>1</v>
      </c>
      <c r="K242" s="175">
        <v>4</v>
      </c>
      <c r="L242" s="175">
        <v>1</v>
      </c>
      <c r="M242" s="175">
        <v>1</v>
      </c>
      <c r="N242" s="175">
        <v>1</v>
      </c>
    </row>
    <row r="243" spans="6:14" x14ac:dyDescent="0.2">
      <c r="F243" s="175">
        <v>5</v>
      </c>
      <c r="G243" s="175" t="b">
        <v>1</v>
      </c>
      <c r="H243" s="175" t="b">
        <v>1</v>
      </c>
      <c r="I243" s="175" t="b">
        <v>1</v>
      </c>
      <c r="K243" s="175">
        <v>5</v>
      </c>
      <c r="L243" s="175">
        <v>1</v>
      </c>
      <c r="M243" s="175">
        <v>1</v>
      </c>
      <c r="N243" s="175">
        <v>1</v>
      </c>
    </row>
    <row r="244" spans="6:14" x14ac:dyDescent="0.2">
      <c r="F244" s="175">
        <v>6</v>
      </c>
      <c r="G244" s="175" t="b">
        <v>1</v>
      </c>
      <c r="H244" s="175" t="b">
        <v>1</v>
      </c>
      <c r="I244" s="175" t="b">
        <v>1</v>
      </c>
      <c r="K244" s="175">
        <v>6</v>
      </c>
      <c r="L244" s="175">
        <v>1</v>
      </c>
      <c r="M244" s="175">
        <v>1</v>
      </c>
      <c r="N244" s="175">
        <v>1</v>
      </c>
    </row>
    <row r="245" spans="6:14" x14ac:dyDescent="0.2">
      <c r="F245" s="175">
        <v>7</v>
      </c>
      <c r="G245" s="175" t="b">
        <v>1</v>
      </c>
      <c r="H245" s="175" t="b">
        <v>1</v>
      </c>
      <c r="I245" s="175" t="b">
        <v>1</v>
      </c>
      <c r="K245" s="175">
        <v>7</v>
      </c>
      <c r="L245" s="175">
        <v>1</v>
      </c>
      <c r="M245" s="175">
        <v>1</v>
      </c>
      <c r="N245" s="175">
        <v>1</v>
      </c>
    </row>
    <row r="246" spans="6:14" x14ac:dyDescent="0.2">
      <c r="F246" s="175">
        <v>8</v>
      </c>
      <c r="G246" s="175" t="b">
        <v>1</v>
      </c>
      <c r="H246" s="175" t="b">
        <v>1</v>
      </c>
      <c r="I246" s="175" t="b">
        <v>1</v>
      </c>
      <c r="K246" s="175">
        <v>8</v>
      </c>
      <c r="L246" s="175">
        <v>1</v>
      </c>
      <c r="M246" s="175">
        <v>1</v>
      </c>
      <c r="N246" s="175">
        <v>1</v>
      </c>
    </row>
    <row r="247" spans="6:14" x14ac:dyDescent="0.2">
      <c r="F247" s="175">
        <v>9</v>
      </c>
      <c r="G247" s="175" t="b">
        <v>1</v>
      </c>
      <c r="H247" s="175" t="b">
        <v>1</v>
      </c>
      <c r="I247" s="175" t="b">
        <v>1</v>
      </c>
      <c r="K247" s="175">
        <v>9</v>
      </c>
      <c r="L247" s="175">
        <v>1</v>
      </c>
      <c r="M247" s="175">
        <v>1</v>
      </c>
      <c r="N247" s="175">
        <v>1</v>
      </c>
    </row>
    <row r="248" spans="6:14" x14ac:dyDescent="0.2">
      <c r="F248" s="175">
        <v>10</v>
      </c>
      <c r="G248" s="175" t="b">
        <v>1</v>
      </c>
      <c r="H248" s="175" t="b">
        <v>1</v>
      </c>
      <c r="I248" s="175" t="b">
        <v>1</v>
      </c>
      <c r="K248" s="175">
        <v>10</v>
      </c>
      <c r="L248" s="175">
        <v>1</v>
      </c>
      <c r="M248" s="175">
        <v>1</v>
      </c>
      <c r="N248" s="175">
        <v>1</v>
      </c>
    </row>
    <row r="249" spans="6:14" x14ac:dyDescent="0.2">
      <c r="F249" s="175">
        <v>11</v>
      </c>
      <c r="G249" s="175" t="b">
        <v>1</v>
      </c>
      <c r="H249" s="175" t="b">
        <v>1</v>
      </c>
      <c r="I249" s="175" t="b">
        <v>1</v>
      </c>
      <c r="K249" s="175">
        <v>11</v>
      </c>
      <c r="L249" s="175">
        <v>1</v>
      </c>
      <c r="M249" s="175">
        <v>1</v>
      </c>
      <c r="N249" s="175">
        <v>1</v>
      </c>
    </row>
    <row r="250" spans="6:14" x14ac:dyDescent="0.2">
      <c r="F250" s="175">
        <v>12</v>
      </c>
      <c r="G250" s="175" t="b">
        <v>1</v>
      </c>
      <c r="H250" s="175" t="b">
        <v>1</v>
      </c>
      <c r="I250" s="175" t="b">
        <v>1</v>
      </c>
      <c r="K250" s="175">
        <v>12</v>
      </c>
      <c r="L250" s="175">
        <v>1</v>
      </c>
      <c r="M250" s="175">
        <v>1</v>
      </c>
      <c r="N250" s="175">
        <v>1</v>
      </c>
    </row>
    <row r="251" spans="6:14" x14ac:dyDescent="0.2">
      <c r="F251" s="175">
        <v>13</v>
      </c>
      <c r="G251" s="175" t="b">
        <v>1</v>
      </c>
      <c r="H251" s="175" t="b">
        <v>1</v>
      </c>
      <c r="I251" s="175" t="b">
        <v>1</v>
      </c>
      <c r="K251" s="175">
        <v>13</v>
      </c>
      <c r="L251" s="175">
        <v>1</v>
      </c>
      <c r="M251" s="175">
        <v>1</v>
      </c>
      <c r="N251" s="175">
        <v>1</v>
      </c>
    </row>
    <row r="252" spans="6:14" x14ac:dyDescent="0.2">
      <c r="F252" s="175">
        <v>14</v>
      </c>
      <c r="G252" s="175" t="b">
        <v>1</v>
      </c>
      <c r="H252" s="175" t="b">
        <v>1</v>
      </c>
      <c r="I252" s="175" t="b">
        <v>1</v>
      </c>
      <c r="K252" s="175">
        <v>14</v>
      </c>
      <c r="L252" s="175">
        <v>1</v>
      </c>
      <c r="M252" s="175">
        <v>1</v>
      </c>
      <c r="N252" s="175">
        <v>1</v>
      </c>
    </row>
    <row r="253" spans="6:14" x14ac:dyDescent="0.2">
      <c r="F253" s="175">
        <v>15</v>
      </c>
      <c r="G253" s="175" t="b">
        <v>1</v>
      </c>
      <c r="H253" s="175" t="b">
        <v>1</v>
      </c>
      <c r="I253" s="175" t="b">
        <v>1</v>
      </c>
      <c r="K253" s="175">
        <v>15</v>
      </c>
      <c r="L253" s="175">
        <v>1</v>
      </c>
      <c r="M253" s="175">
        <v>1</v>
      </c>
      <c r="N253" s="175">
        <v>1</v>
      </c>
    </row>
    <row r="254" spans="6:14" x14ac:dyDescent="0.2">
      <c r="F254" s="175">
        <v>16</v>
      </c>
      <c r="G254" s="175" t="b">
        <v>1</v>
      </c>
      <c r="H254" s="175" t="b">
        <v>1</v>
      </c>
      <c r="I254" s="175" t="b">
        <v>1</v>
      </c>
      <c r="K254" s="175">
        <v>16</v>
      </c>
      <c r="L254" s="175">
        <v>1</v>
      </c>
      <c r="M254" s="175">
        <v>1</v>
      </c>
      <c r="N254" s="175">
        <v>1</v>
      </c>
    </row>
    <row r="255" spans="6:14" x14ac:dyDescent="0.2">
      <c r="F255" s="175">
        <v>17</v>
      </c>
      <c r="G255" s="175" t="b">
        <v>1</v>
      </c>
      <c r="H255" s="175" t="b">
        <v>1</v>
      </c>
      <c r="I255" s="175" t="b">
        <v>1</v>
      </c>
      <c r="K255" s="175">
        <v>17</v>
      </c>
      <c r="L255" s="175">
        <v>1</v>
      </c>
      <c r="M255" s="175">
        <v>1</v>
      </c>
      <c r="N255" s="175">
        <v>1</v>
      </c>
    </row>
    <row r="256" spans="6:14" x14ac:dyDescent="0.2">
      <c r="F256" s="175">
        <v>18</v>
      </c>
      <c r="G256" s="175" t="b">
        <v>1</v>
      </c>
      <c r="H256" s="175" t="b">
        <v>1</v>
      </c>
      <c r="I256" s="175" t="b">
        <v>1</v>
      </c>
      <c r="K256" s="175">
        <v>18</v>
      </c>
      <c r="L256" s="175">
        <v>1</v>
      </c>
      <c r="M256" s="175">
        <v>1</v>
      </c>
      <c r="N256" s="175">
        <v>1</v>
      </c>
    </row>
    <row r="257" spans="6:14" x14ac:dyDescent="0.2">
      <c r="F257" s="175">
        <v>19</v>
      </c>
      <c r="G257" s="175" t="b">
        <v>1</v>
      </c>
      <c r="H257" s="175" t="b">
        <v>1</v>
      </c>
      <c r="I257" s="175" t="b">
        <v>1</v>
      </c>
      <c r="K257" s="175">
        <v>19</v>
      </c>
      <c r="L257" s="175">
        <v>1</v>
      </c>
      <c r="M257" s="175">
        <v>1</v>
      </c>
      <c r="N257" s="175">
        <v>1</v>
      </c>
    </row>
    <row r="258" spans="6:14" x14ac:dyDescent="0.2">
      <c r="F258" s="175">
        <v>20</v>
      </c>
      <c r="G258" s="175" t="b">
        <v>1</v>
      </c>
      <c r="H258" s="175" t="b">
        <v>1</v>
      </c>
      <c r="I258" s="175" t="b">
        <v>1</v>
      </c>
      <c r="K258" s="175">
        <v>20</v>
      </c>
      <c r="L258" s="175">
        <v>1</v>
      </c>
      <c r="M258" s="175">
        <v>1</v>
      </c>
      <c r="N258" s="175">
        <v>1</v>
      </c>
    </row>
    <row r="259" spans="6:14" x14ac:dyDescent="0.2">
      <c r="F259" s="175">
        <v>21</v>
      </c>
      <c r="G259" s="175" t="b">
        <v>1</v>
      </c>
      <c r="H259" s="175" t="b">
        <v>1</v>
      </c>
      <c r="I259" s="175" t="b">
        <v>1</v>
      </c>
      <c r="K259" s="175">
        <v>21</v>
      </c>
      <c r="L259" s="175">
        <v>1</v>
      </c>
      <c r="M259" s="175">
        <v>1</v>
      </c>
      <c r="N259" s="175">
        <v>1</v>
      </c>
    </row>
    <row r="260" spans="6:14" x14ac:dyDescent="0.2">
      <c r="F260" s="175">
        <v>22</v>
      </c>
      <c r="G260" s="175" t="b">
        <v>1</v>
      </c>
      <c r="H260" s="175" t="b">
        <v>1</v>
      </c>
      <c r="I260" s="175" t="b">
        <v>1</v>
      </c>
      <c r="K260" s="175">
        <v>22</v>
      </c>
      <c r="L260" s="175">
        <v>1</v>
      </c>
      <c r="M260" s="175">
        <v>1</v>
      </c>
      <c r="N260" s="175">
        <v>1</v>
      </c>
    </row>
    <row r="261" spans="6:14" x14ac:dyDescent="0.2">
      <c r="F261" s="175">
        <v>23</v>
      </c>
      <c r="G261" s="175" t="b">
        <v>1</v>
      </c>
      <c r="H261" s="175" t="b">
        <v>1</v>
      </c>
      <c r="I261" s="175" t="b">
        <v>1</v>
      </c>
      <c r="K261" s="175">
        <v>23</v>
      </c>
      <c r="L261" s="175">
        <v>1</v>
      </c>
      <c r="M261" s="175">
        <v>1</v>
      </c>
      <c r="N261" s="175">
        <v>1</v>
      </c>
    </row>
    <row r="262" spans="6:14" x14ac:dyDescent="0.2">
      <c r="F262" s="175">
        <v>24</v>
      </c>
      <c r="G262" s="175" t="b">
        <v>1</v>
      </c>
      <c r="H262" s="175" t="b">
        <v>1</v>
      </c>
      <c r="I262" s="175" t="b">
        <v>1</v>
      </c>
      <c r="K262" s="175">
        <v>24</v>
      </c>
      <c r="L262" s="175">
        <v>1</v>
      </c>
      <c r="M262" s="175">
        <v>1</v>
      </c>
      <c r="N262" s="175">
        <v>1</v>
      </c>
    </row>
    <row r="263" spans="6:14" x14ac:dyDescent="0.2">
      <c r="F263" s="175">
        <v>25</v>
      </c>
      <c r="G263" s="175" t="b">
        <v>1</v>
      </c>
      <c r="H263" s="175" t="b">
        <v>1</v>
      </c>
      <c r="I263" s="175" t="b">
        <v>1</v>
      </c>
      <c r="K263" s="175">
        <v>25</v>
      </c>
      <c r="L263" s="175">
        <v>1</v>
      </c>
      <c r="M263" s="175">
        <v>1</v>
      </c>
      <c r="N263" s="175">
        <v>1</v>
      </c>
    </row>
    <row r="264" spans="6:14" x14ac:dyDescent="0.2">
      <c r="F264" s="175">
        <v>26</v>
      </c>
      <c r="G264" s="175" t="b">
        <v>1</v>
      </c>
      <c r="H264" s="175" t="b">
        <v>1</v>
      </c>
      <c r="I264" s="175" t="b">
        <v>1</v>
      </c>
      <c r="K264" s="175">
        <v>26</v>
      </c>
      <c r="L264" s="175">
        <v>1</v>
      </c>
      <c r="M264" s="175">
        <v>1</v>
      </c>
      <c r="N264" s="175">
        <v>1</v>
      </c>
    </row>
    <row r="265" spans="6:14" x14ac:dyDescent="0.2">
      <c r="F265" s="175">
        <v>27</v>
      </c>
      <c r="G265" s="175" t="b">
        <v>1</v>
      </c>
      <c r="H265" s="175" t="b">
        <v>1</v>
      </c>
      <c r="I265" s="175" t="b">
        <v>1</v>
      </c>
      <c r="K265" s="175">
        <v>27</v>
      </c>
      <c r="L265" s="175">
        <v>1</v>
      </c>
      <c r="M265" s="175">
        <v>1</v>
      </c>
      <c r="N265" s="175">
        <v>1</v>
      </c>
    </row>
    <row r="266" spans="6:14" x14ac:dyDescent="0.2">
      <c r="F266" s="175">
        <v>28</v>
      </c>
      <c r="G266" s="175" t="b">
        <v>1</v>
      </c>
      <c r="H266" s="175" t="b">
        <v>1</v>
      </c>
      <c r="I266" s="175" t="b">
        <v>1</v>
      </c>
      <c r="K266" s="175">
        <v>28</v>
      </c>
      <c r="L266" s="175">
        <v>1</v>
      </c>
      <c r="M266" s="175">
        <v>1</v>
      </c>
      <c r="N266" s="175">
        <v>1</v>
      </c>
    </row>
    <row r="267" spans="6:14" x14ac:dyDescent="0.2">
      <c r="F267" s="175">
        <v>29</v>
      </c>
      <c r="G267" s="175" t="b">
        <v>1</v>
      </c>
      <c r="H267" s="175" t="b">
        <v>1</v>
      </c>
      <c r="I267" s="175" t="b">
        <v>1</v>
      </c>
      <c r="K267" s="175">
        <v>29</v>
      </c>
      <c r="L267" s="175">
        <v>1</v>
      </c>
      <c r="M267" s="175">
        <v>1</v>
      </c>
      <c r="N267" s="175">
        <v>1</v>
      </c>
    </row>
    <row r="268" spans="6:14" x14ac:dyDescent="0.2">
      <c r="F268" s="175">
        <v>30</v>
      </c>
      <c r="G268" s="175" t="b">
        <v>1</v>
      </c>
      <c r="H268" s="175" t="b">
        <v>1</v>
      </c>
      <c r="I268" s="175" t="b">
        <v>1</v>
      </c>
      <c r="K268" s="175">
        <v>30</v>
      </c>
      <c r="L268" s="175">
        <v>1</v>
      </c>
      <c r="M268" s="175">
        <v>1</v>
      </c>
      <c r="N268" s="175">
        <v>1</v>
      </c>
    </row>
    <row r="269" spans="6:14" x14ac:dyDescent="0.2">
      <c r="F269" s="175">
        <v>31</v>
      </c>
      <c r="G269" s="175" t="b">
        <v>1</v>
      </c>
      <c r="H269" s="175" t="b">
        <v>1</v>
      </c>
      <c r="I269" s="175" t="b">
        <v>1</v>
      </c>
      <c r="K269" s="175">
        <v>31</v>
      </c>
      <c r="L269" s="175">
        <v>1</v>
      </c>
      <c r="M269" s="175">
        <v>1</v>
      </c>
      <c r="N269" s="175">
        <v>1</v>
      </c>
    </row>
    <row r="270" spans="6:14" x14ac:dyDescent="0.2">
      <c r="F270" s="175">
        <v>32</v>
      </c>
      <c r="G270" s="175" t="b">
        <v>1</v>
      </c>
      <c r="H270" s="175" t="b">
        <v>1</v>
      </c>
      <c r="I270" s="175" t="b">
        <v>1</v>
      </c>
      <c r="K270" s="175">
        <v>32</v>
      </c>
      <c r="L270" s="175">
        <v>1</v>
      </c>
      <c r="M270" s="175">
        <v>1</v>
      </c>
      <c r="N270" s="175">
        <v>1</v>
      </c>
    </row>
    <row r="271" spans="6:14" x14ac:dyDescent="0.2">
      <c r="F271" s="175">
        <v>33</v>
      </c>
      <c r="G271" s="175" t="b">
        <v>1</v>
      </c>
      <c r="H271" s="175" t="b">
        <v>1</v>
      </c>
      <c r="I271" s="175" t="b">
        <v>1</v>
      </c>
      <c r="K271" s="175">
        <v>33</v>
      </c>
      <c r="L271" s="175">
        <v>1</v>
      </c>
      <c r="M271" s="175">
        <v>1</v>
      </c>
      <c r="N271" s="175">
        <v>1</v>
      </c>
    </row>
    <row r="272" spans="6:14" x14ac:dyDescent="0.2">
      <c r="F272" s="175">
        <v>34</v>
      </c>
      <c r="G272" s="175" t="b">
        <v>1</v>
      </c>
      <c r="H272" s="175" t="b">
        <v>1</v>
      </c>
      <c r="I272" s="175" t="b">
        <v>1</v>
      </c>
      <c r="K272" s="175">
        <v>34</v>
      </c>
      <c r="L272" s="175">
        <v>1</v>
      </c>
      <c r="M272" s="175">
        <v>1</v>
      </c>
      <c r="N272" s="175">
        <v>1</v>
      </c>
    </row>
    <row r="273" spans="6:14" x14ac:dyDescent="0.2">
      <c r="F273" s="175">
        <v>35</v>
      </c>
      <c r="G273" s="175" t="b">
        <v>1</v>
      </c>
      <c r="H273" s="175" t="b">
        <v>1</v>
      </c>
      <c r="I273" s="175" t="b">
        <v>1</v>
      </c>
      <c r="K273" s="175">
        <v>35</v>
      </c>
      <c r="L273" s="175">
        <v>1</v>
      </c>
      <c r="M273" s="175">
        <v>1</v>
      </c>
      <c r="N273" s="175">
        <v>1</v>
      </c>
    </row>
    <row r="274" spans="6:14" x14ac:dyDescent="0.2">
      <c r="F274" s="175">
        <v>36</v>
      </c>
      <c r="G274" s="175" t="b">
        <v>1</v>
      </c>
      <c r="H274" s="175" t="b">
        <v>1</v>
      </c>
      <c r="I274" s="175" t="b">
        <v>1</v>
      </c>
      <c r="K274" s="175">
        <v>36</v>
      </c>
      <c r="L274" s="175">
        <v>1</v>
      </c>
      <c r="M274" s="175">
        <v>1</v>
      </c>
      <c r="N274" s="175">
        <v>1</v>
      </c>
    </row>
    <row r="275" spans="6:14" x14ac:dyDescent="0.2">
      <c r="F275" s="175">
        <v>37</v>
      </c>
      <c r="G275" s="175" t="b">
        <v>1</v>
      </c>
      <c r="H275" s="175" t="b">
        <v>1</v>
      </c>
      <c r="I275" s="175" t="b">
        <v>1</v>
      </c>
      <c r="K275" s="175">
        <v>37</v>
      </c>
      <c r="L275" s="175">
        <v>1</v>
      </c>
      <c r="M275" s="175">
        <v>1</v>
      </c>
      <c r="N275" s="175">
        <v>1</v>
      </c>
    </row>
    <row r="276" spans="6:14" x14ac:dyDescent="0.2">
      <c r="F276" s="175">
        <v>38</v>
      </c>
      <c r="G276" s="175" t="b">
        <v>1</v>
      </c>
      <c r="H276" s="175" t="b">
        <v>1</v>
      </c>
      <c r="I276" s="175" t="b">
        <v>1</v>
      </c>
      <c r="K276" s="175">
        <v>38</v>
      </c>
      <c r="L276" s="175">
        <v>1</v>
      </c>
      <c r="M276" s="175">
        <v>1</v>
      </c>
      <c r="N276" s="175">
        <v>1</v>
      </c>
    </row>
    <row r="277" spans="6:14" x14ac:dyDescent="0.2">
      <c r="F277" s="175">
        <v>39</v>
      </c>
      <c r="G277" s="175" t="b">
        <v>1</v>
      </c>
      <c r="H277" s="175" t="b">
        <v>1</v>
      </c>
      <c r="I277" s="175" t="b">
        <v>1</v>
      </c>
      <c r="K277" s="175">
        <v>39</v>
      </c>
      <c r="L277" s="175">
        <v>1</v>
      </c>
      <c r="M277" s="175">
        <v>1</v>
      </c>
      <c r="N277" s="175">
        <v>1</v>
      </c>
    </row>
    <row r="278" spans="6:14" x14ac:dyDescent="0.2">
      <c r="F278" s="175">
        <v>40</v>
      </c>
      <c r="G278" s="175" t="b">
        <v>1</v>
      </c>
      <c r="H278" s="175" t="b">
        <v>1</v>
      </c>
      <c r="I278" s="175" t="b">
        <v>1</v>
      </c>
      <c r="K278" s="175">
        <v>40</v>
      </c>
      <c r="L278" s="175">
        <v>1</v>
      </c>
      <c r="M278" s="175">
        <v>1</v>
      </c>
      <c r="N278" s="175">
        <v>1</v>
      </c>
    </row>
    <row r="279" spans="6:14" x14ac:dyDescent="0.2">
      <c r="F279" s="175">
        <v>41</v>
      </c>
      <c r="G279" s="175" t="b">
        <v>1</v>
      </c>
      <c r="H279" s="175" t="b">
        <v>1</v>
      </c>
      <c r="I279" s="175" t="b">
        <v>1</v>
      </c>
      <c r="K279" s="175">
        <v>41</v>
      </c>
      <c r="L279" s="175">
        <v>1</v>
      </c>
      <c r="M279" s="175">
        <v>1</v>
      </c>
      <c r="N279" s="175">
        <v>1</v>
      </c>
    </row>
    <row r="280" spans="6:14" x14ac:dyDescent="0.2">
      <c r="F280" s="175">
        <v>42</v>
      </c>
      <c r="G280" s="175" t="b">
        <v>1</v>
      </c>
      <c r="H280" s="175" t="b">
        <v>1</v>
      </c>
      <c r="I280" s="175" t="b">
        <v>1</v>
      </c>
      <c r="K280" s="175">
        <v>42</v>
      </c>
      <c r="L280" s="175">
        <v>1</v>
      </c>
      <c r="M280" s="175">
        <v>1</v>
      </c>
      <c r="N280" s="175">
        <v>1</v>
      </c>
    </row>
    <row r="281" spans="6:14" x14ac:dyDescent="0.2">
      <c r="F281" s="175">
        <v>43</v>
      </c>
      <c r="G281" s="175" t="b">
        <v>1</v>
      </c>
      <c r="H281" s="175" t="b">
        <v>1</v>
      </c>
      <c r="I281" s="175" t="b">
        <v>1</v>
      </c>
      <c r="K281" s="175">
        <v>43</v>
      </c>
      <c r="L281" s="175">
        <v>1</v>
      </c>
      <c r="M281" s="175">
        <v>1</v>
      </c>
      <c r="N281" s="175">
        <v>1</v>
      </c>
    </row>
    <row r="282" spans="6:14" x14ac:dyDescent="0.2">
      <c r="F282" s="175">
        <v>44</v>
      </c>
      <c r="G282" s="175" t="b">
        <v>1</v>
      </c>
      <c r="H282" s="175" t="b">
        <v>1</v>
      </c>
      <c r="I282" s="175" t="b">
        <v>1</v>
      </c>
      <c r="K282" s="175">
        <v>44</v>
      </c>
      <c r="L282" s="175">
        <v>1</v>
      </c>
      <c r="M282" s="175">
        <v>1</v>
      </c>
      <c r="N282" s="175">
        <v>1</v>
      </c>
    </row>
    <row r="283" spans="6:14" x14ac:dyDescent="0.2">
      <c r="F283" s="175">
        <v>45</v>
      </c>
      <c r="G283" s="175" t="b">
        <v>1</v>
      </c>
      <c r="H283" s="175" t="b">
        <v>1</v>
      </c>
      <c r="I283" s="175" t="b">
        <v>1</v>
      </c>
      <c r="K283" s="175">
        <v>45</v>
      </c>
      <c r="L283" s="175">
        <v>1</v>
      </c>
      <c r="M283" s="175">
        <v>1</v>
      </c>
      <c r="N283" s="175">
        <v>1</v>
      </c>
    </row>
    <row r="284" spans="6:14" x14ac:dyDescent="0.2">
      <c r="F284" s="175">
        <v>46</v>
      </c>
      <c r="G284" s="175" t="b">
        <v>1</v>
      </c>
      <c r="H284" s="175" t="b">
        <v>1</v>
      </c>
      <c r="I284" s="175" t="b">
        <v>1</v>
      </c>
      <c r="K284" s="175">
        <v>46</v>
      </c>
      <c r="L284" s="175">
        <v>1</v>
      </c>
      <c r="M284" s="175">
        <v>1</v>
      </c>
      <c r="N284" s="175">
        <v>1</v>
      </c>
    </row>
    <row r="285" spans="6:14" x14ac:dyDescent="0.2">
      <c r="F285" s="175">
        <v>47</v>
      </c>
      <c r="G285" s="175" t="b">
        <v>1</v>
      </c>
      <c r="H285" s="175" t="b">
        <v>1</v>
      </c>
      <c r="I285" s="175" t="b">
        <v>1</v>
      </c>
      <c r="K285" s="175">
        <v>47</v>
      </c>
      <c r="L285" s="175">
        <v>1</v>
      </c>
      <c r="M285" s="175">
        <v>1</v>
      </c>
      <c r="N285" s="175">
        <v>1</v>
      </c>
    </row>
    <row r="286" spans="6:14" x14ac:dyDescent="0.2">
      <c r="F286" s="175">
        <v>48</v>
      </c>
      <c r="G286" s="175" t="b">
        <v>1</v>
      </c>
      <c r="H286" s="175" t="b">
        <v>1</v>
      </c>
      <c r="I286" s="175" t="b">
        <v>1</v>
      </c>
      <c r="K286" s="175">
        <v>48</v>
      </c>
      <c r="L286" s="175">
        <v>1</v>
      </c>
      <c r="M286" s="175">
        <v>1</v>
      </c>
      <c r="N286" s="175">
        <v>1</v>
      </c>
    </row>
    <row r="287" spans="6:14" x14ac:dyDescent="0.2">
      <c r="F287" s="175">
        <v>49</v>
      </c>
      <c r="G287" s="175" t="b">
        <v>1</v>
      </c>
      <c r="H287" s="175" t="b">
        <v>1</v>
      </c>
      <c r="I287" s="175" t="b">
        <v>1</v>
      </c>
      <c r="K287" s="175">
        <v>49</v>
      </c>
      <c r="L287" s="175">
        <v>1</v>
      </c>
      <c r="M287" s="175">
        <v>1</v>
      </c>
      <c r="N287" s="175">
        <v>1</v>
      </c>
    </row>
    <row r="288" spans="6:14" x14ac:dyDescent="0.2">
      <c r="F288" s="175">
        <v>50</v>
      </c>
      <c r="G288" s="175" t="b">
        <v>1</v>
      </c>
      <c r="H288" s="175" t="b">
        <v>1</v>
      </c>
      <c r="I288" s="175" t="b">
        <v>1</v>
      </c>
      <c r="K288" s="175">
        <v>50</v>
      </c>
      <c r="L288" s="175">
        <v>1</v>
      </c>
      <c r="M288" s="175">
        <v>1</v>
      </c>
      <c r="N288" s="175">
        <v>1</v>
      </c>
    </row>
    <row r="289" spans="6:14" x14ac:dyDescent="0.2">
      <c r="F289" s="175">
        <v>51</v>
      </c>
      <c r="G289" s="175" t="b">
        <v>1</v>
      </c>
      <c r="H289" s="175" t="b">
        <v>1</v>
      </c>
      <c r="I289" s="175" t="b">
        <v>1</v>
      </c>
      <c r="K289" s="175">
        <v>51</v>
      </c>
      <c r="L289" s="175">
        <v>1</v>
      </c>
      <c r="M289" s="175">
        <v>1</v>
      </c>
      <c r="N289" s="175">
        <v>1</v>
      </c>
    </row>
    <row r="290" spans="6:14" x14ac:dyDescent="0.2">
      <c r="F290" s="175">
        <v>52</v>
      </c>
      <c r="G290" s="175" t="b">
        <v>1</v>
      </c>
      <c r="H290" s="175" t="b">
        <v>1</v>
      </c>
      <c r="I290" s="175" t="b">
        <v>1</v>
      </c>
      <c r="K290" s="175">
        <v>52</v>
      </c>
      <c r="L290" s="175">
        <v>1</v>
      </c>
      <c r="M290" s="175">
        <v>1</v>
      </c>
      <c r="N290" s="175">
        <v>1</v>
      </c>
    </row>
    <row r="291" spans="6:14" x14ac:dyDescent="0.2">
      <c r="F291" s="175">
        <v>53</v>
      </c>
      <c r="G291" s="175" t="b">
        <v>1</v>
      </c>
      <c r="H291" s="175" t="b">
        <v>1</v>
      </c>
      <c r="I291" s="175" t="b">
        <v>1</v>
      </c>
      <c r="K291" s="175">
        <v>53</v>
      </c>
      <c r="L291" s="175">
        <v>1</v>
      </c>
      <c r="M291" s="175">
        <v>1</v>
      </c>
      <c r="N291" s="175">
        <v>1</v>
      </c>
    </row>
    <row r="292" spans="6:14" x14ac:dyDescent="0.2">
      <c r="F292" s="175">
        <v>54</v>
      </c>
      <c r="G292" s="175" t="b">
        <v>1</v>
      </c>
      <c r="H292" s="175" t="b">
        <v>1</v>
      </c>
      <c r="I292" s="175" t="b">
        <v>1</v>
      </c>
      <c r="K292" s="175">
        <v>54</v>
      </c>
      <c r="L292" s="175">
        <v>1</v>
      </c>
      <c r="M292" s="175">
        <v>1</v>
      </c>
      <c r="N292" s="175">
        <v>1</v>
      </c>
    </row>
    <row r="293" spans="6:14" x14ac:dyDescent="0.2">
      <c r="F293" s="175">
        <v>55</v>
      </c>
      <c r="G293" s="175" t="b">
        <v>1</v>
      </c>
      <c r="H293" s="175" t="b">
        <v>1</v>
      </c>
      <c r="I293" s="175" t="b">
        <v>1</v>
      </c>
      <c r="K293" s="175">
        <v>55</v>
      </c>
      <c r="L293" s="175">
        <v>1</v>
      </c>
      <c r="M293" s="175">
        <v>1</v>
      </c>
      <c r="N293" s="175">
        <v>1</v>
      </c>
    </row>
    <row r="294" spans="6:14" x14ac:dyDescent="0.2">
      <c r="F294" s="175">
        <v>56</v>
      </c>
      <c r="G294" s="175" t="b">
        <v>1</v>
      </c>
      <c r="H294" s="175" t="b">
        <v>1</v>
      </c>
      <c r="I294" s="175" t="b">
        <v>1</v>
      </c>
      <c r="K294" s="175">
        <v>56</v>
      </c>
      <c r="L294" s="175">
        <v>1</v>
      </c>
      <c r="M294" s="175">
        <v>1</v>
      </c>
      <c r="N294" s="175">
        <v>1</v>
      </c>
    </row>
    <row r="295" spans="6:14" x14ac:dyDescent="0.2">
      <c r="F295" s="175">
        <v>57</v>
      </c>
      <c r="G295" s="175" t="b">
        <v>1</v>
      </c>
      <c r="H295" s="175" t="b">
        <v>1</v>
      </c>
      <c r="I295" s="175" t="b">
        <v>1</v>
      </c>
      <c r="K295" s="175">
        <v>57</v>
      </c>
      <c r="L295" s="175">
        <v>1</v>
      </c>
      <c r="M295" s="175">
        <v>1</v>
      </c>
      <c r="N295" s="175">
        <v>1</v>
      </c>
    </row>
    <row r="296" spans="6:14" x14ac:dyDescent="0.2">
      <c r="F296" s="175">
        <v>58</v>
      </c>
      <c r="G296" s="175" t="b">
        <v>1</v>
      </c>
      <c r="H296" s="175" t="b">
        <v>1</v>
      </c>
      <c r="I296" s="175" t="b">
        <v>1</v>
      </c>
      <c r="K296" s="175">
        <v>58</v>
      </c>
      <c r="L296" s="175">
        <v>1</v>
      </c>
      <c r="M296" s="175">
        <v>1</v>
      </c>
      <c r="N296" s="175">
        <v>1</v>
      </c>
    </row>
    <row r="297" spans="6:14" x14ac:dyDescent="0.2">
      <c r="F297" s="175">
        <v>59</v>
      </c>
      <c r="G297" s="175" t="b">
        <v>1</v>
      </c>
      <c r="H297" s="175" t="b">
        <v>1</v>
      </c>
      <c r="I297" s="175" t="b">
        <v>1</v>
      </c>
      <c r="K297" s="175">
        <v>59</v>
      </c>
      <c r="L297" s="175">
        <v>1</v>
      </c>
      <c r="M297" s="175">
        <v>1</v>
      </c>
      <c r="N297" s="175">
        <v>1</v>
      </c>
    </row>
    <row r="298" spans="6:14" x14ac:dyDescent="0.2">
      <c r="F298" s="175">
        <v>60</v>
      </c>
      <c r="G298" s="175" t="b">
        <v>1</v>
      </c>
      <c r="H298" s="175" t="b">
        <v>1</v>
      </c>
      <c r="I298" s="175" t="b">
        <v>1</v>
      </c>
      <c r="K298" s="175">
        <v>60</v>
      </c>
      <c r="L298" s="175">
        <v>1</v>
      </c>
      <c r="M298" s="175">
        <v>1</v>
      </c>
      <c r="N298" s="175">
        <v>1</v>
      </c>
    </row>
    <row r="299" spans="6:14" x14ac:dyDescent="0.2">
      <c r="F299" s="175">
        <v>61</v>
      </c>
      <c r="G299" s="175" t="b">
        <v>1</v>
      </c>
      <c r="H299" s="175" t="b">
        <v>1</v>
      </c>
      <c r="I299" s="175" t="b">
        <v>1</v>
      </c>
      <c r="K299" s="175">
        <v>61</v>
      </c>
      <c r="L299" s="175">
        <v>1</v>
      </c>
      <c r="M299" s="175">
        <v>1</v>
      </c>
      <c r="N299" s="175">
        <v>1</v>
      </c>
    </row>
    <row r="300" spans="6:14" x14ac:dyDescent="0.2">
      <c r="F300" s="175">
        <v>62</v>
      </c>
      <c r="G300" s="175" t="b">
        <v>1</v>
      </c>
      <c r="H300" s="175" t="b">
        <v>1</v>
      </c>
      <c r="I300" s="175" t="b">
        <v>1</v>
      </c>
      <c r="K300" s="175">
        <v>62</v>
      </c>
      <c r="L300" s="175">
        <v>1</v>
      </c>
      <c r="M300" s="175">
        <v>1</v>
      </c>
      <c r="N300" s="175">
        <v>1</v>
      </c>
    </row>
    <row r="301" spans="6:14" x14ac:dyDescent="0.2">
      <c r="F301" s="175">
        <v>63</v>
      </c>
      <c r="G301" s="175" t="b">
        <v>1</v>
      </c>
      <c r="H301" s="175" t="b">
        <v>1</v>
      </c>
      <c r="I301" s="175" t="b">
        <v>1</v>
      </c>
      <c r="K301" s="175">
        <v>63</v>
      </c>
      <c r="L301" s="175">
        <v>1</v>
      </c>
      <c r="M301" s="175">
        <v>1</v>
      </c>
      <c r="N301" s="175">
        <v>1</v>
      </c>
    </row>
    <row r="302" spans="6:14" x14ac:dyDescent="0.2">
      <c r="F302" s="175">
        <v>64</v>
      </c>
      <c r="G302" s="175" t="b">
        <v>1</v>
      </c>
      <c r="H302" s="175" t="b">
        <v>1</v>
      </c>
      <c r="I302" s="175" t="b">
        <v>1</v>
      </c>
      <c r="K302" s="175">
        <v>64</v>
      </c>
      <c r="L302" s="175">
        <v>1</v>
      </c>
      <c r="M302" s="175">
        <v>1</v>
      </c>
      <c r="N302" s="175">
        <v>1</v>
      </c>
    </row>
    <row r="303" spans="6:14" x14ac:dyDescent="0.2">
      <c r="F303" s="175">
        <v>65</v>
      </c>
      <c r="G303" s="175" t="b">
        <v>1</v>
      </c>
      <c r="H303" s="175" t="b">
        <v>1</v>
      </c>
      <c r="I303" s="175" t="b">
        <v>1</v>
      </c>
      <c r="K303" s="175">
        <v>65</v>
      </c>
      <c r="L303" s="175">
        <v>1</v>
      </c>
      <c r="M303" s="175">
        <v>1</v>
      </c>
      <c r="N303" s="175">
        <v>1</v>
      </c>
    </row>
    <row r="304" spans="6:14" x14ac:dyDescent="0.2">
      <c r="F304" s="175">
        <v>66</v>
      </c>
      <c r="G304" s="175" t="b">
        <v>1</v>
      </c>
      <c r="H304" s="175" t="b">
        <v>1</v>
      </c>
      <c r="I304" s="175" t="b">
        <v>1</v>
      </c>
      <c r="K304" s="175">
        <v>66</v>
      </c>
      <c r="L304" s="175">
        <v>1</v>
      </c>
      <c r="M304" s="175">
        <v>1</v>
      </c>
      <c r="N304" s="175">
        <v>1</v>
      </c>
    </row>
    <row r="305" spans="6:14" x14ac:dyDescent="0.2">
      <c r="F305" s="175">
        <v>67</v>
      </c>
      <c r="G305" s="175" t="b">
        <v>1</v>
      </c>
      <c r="H305" s="175" t="b">
        <v>1</v>
      </c>
      <c r="I305" s="175" t="b">
        <v>1</v>
      </c>
      <c r="K305" s="175">
        <v>67</v>
      </c>
      <c r="L305" s="175">
        <v>1</v>
      </c>
      <c r="M305" s="175">
        <v>1</v>
      </c>
      <c r="N305" s="175">
        <v>1</v>
      </c>
    </row>
    <row r="306" spans="6:14" x14ac:dyDescent="0.2">
      <c r="F306" s="175">
        <v>68</v>
      </c>
      <c r="G306" s="175" t="b">
        <v>1</v>
      </c>
      <c r="H306" s="175" t="b">
        <v>1</v>
      </c>
      <c r="I306" s="175" t="b">
        <v>1</v>
      </c>
      <c r="K306" s="175">
        <v>68</v>
      </c>
      <c r="L306" s="175">
        <v>1</v>
      </c>
      <c r="M306" s="175">
        <v>1</v>
      </c>
      <c r="N306" s="175">
        <v>1</v>
      </c>
    </row>
    <row r="307" spans="6:14" x14ac:dyDescent="0.2">
      <c r="F307" s="175">
        <v>69</v>
      </c>
      <c r="G307" s="175" t="b">
        <v>1</v>
      </c>
      <c r="H307" s="175" t="b">
        <v>1</v>
      </c>
      <c r="I307" s="175" t="b">
        <v>1</v>
      </c>
      <c r="K307" s="175">
        <v>69</v>
      </c>
      <c r="L307" s="175">
        <v>1</v>
      </c>
      <c r="M307" s="175">
        <v>1</v>
      </c>
      <c r="N307" s="175">
        <v>1</v>
      </c>
    </row>
    <row r="308" spans="6:14" x14ac:dyDescent="0.2">
      <c r="F308" s="175">
        <v>70</v>
      </c>
      <c r="G308" s="175" t="b">
        <v>1</v>
      </c>
      <c r="H308" s="175" t="b">
        <v>1</v>
      </c>
      <c r="I308" s="175" t="b">
        <v>1</v>
      </c>
      <c r="K308" s="175">
        <v>70</v>
      </c>
      <c r="L308" s="175">
        <v>1</v>
      </c>
      <c r="M308" s="175">
        <v>1</v>
      </c>
      <c r="N308" s="175">
        <v>1</v>
      </c>
    </row>
    <row r="309" spans="6:14" x14ac:dyDescent="0.2">
      <c r="F309" s="175">
        <v>71</v>
      </c>
      <c r="G309" s="175" t="b">
        <v>1</v>
      </c>
      <c r="H309" s="175" t="b">
        <v>1</v>
      </c>
      <c r="I309" s="175" t="b">
        <v>1</v>
      </c>
      <c r="K309" s="175">
        <v>71</v>
      </c>
      <c r="L309" s="175">
        <v>1</v>
      </c>
      <c r="M309" s="175">
        <v>1</v>
      </c>
      <c r="N309" s="175">
        <v>1</v>
      </c>
    </row>
    <row r="310" spans="6:14" x14ac:dyDescent="0.2">
      <c r="F310" s="175">
        <v>72</v>
      </c>
      <c r="G310" s="175" t="b">
        <v>1</v>
      </c>
      <c r="H310" s="175" t="b">
        <v>1</v>
      </c>
      <c r="I310" s="175" t="b">
        <v>1</v>
      </c>
      <c r="K310" s="175">
        <v>72</v>
      </c>
      <c r="L310" s="175">
        <v>1</v>
      </c>
      <c r="M310" s="175">
        <v>1</v>
      </c>
      <c r="N310" s="175">
        <v>1</v>
      </c>
    </row>
    <row r="311" spans="6:14" x14ac:dyDescent="0.2">
      <c r="F311" s="175">
        <v>73</v>
      </c>
      <c r="G311" s="175" t="b">
        <v>1</v>
      </c>
      <c r="H311" s="175" t="b">
        <v>1</v>
      </c>
      <c r="I311" s="175" t="b">
        <v>1</v>
      </c>
      <c r="K311" s="175">
        <v>73</v>
      </c>
      <c r="L311" s="175">
        <v>1</v>
      </c>
      <c r="M311" s="175">
        <v>1</v>
      </c>
      <c r="N311" s="175">
        <v>1</v>
      </c>
    </row>
    <row r="312" spans="6:14" x14ac:dyDescent="0.2">
      <c r="F312" s="175">
        <v>74</v>
      </c>
      <c r="G312" s="175" t="b">
        <v>1</v>
      </c>
      <c r="H312" s="175" t="b">
        <v>1</v>
      </c>
      <c r="I312" s="175" t="b">
        <v>1</v>
      </c>
      <c r="K312" s="175">
        <v>74</v>
      </c>
      <c r="L312" s="175">
        <v>1</v>
      </c>
      <c r="M312" s="175">
        <v>1</v>
      </c>
      <c r="N312" s="175">
        <v>1</v>
      </c>
    </row>
    <row r="313" spans="6:14" x14ac:dyDescent="0.2">
      <c r="F313" s="175">
        <v>75</v>
      </c>
      <c r="G313" s="175" t="b">
        <v>1</v>
      </c>
      <c r="H313" s="175" t="b">
        <v>1</v>
      </c>
      <c r="I313" s="175" t="b">
        <v>1</v>
      </c>
      <c r="K313" s="175">
        <v>75</v>
      </c>
      <c r="L313" s="175">
        <v>1</v>
      </c>
      <c r="M313" s="175">
        <v>1</v>
      </c>
      <c r="N313" s="175">
        <v>1</v>
      </c>
    </row>
    <row r="314" spans="6:14" x14ac:dyDescent="0.2">
      <c r="F314" s="175">
        <v>76</v>
      </c>
      <c r="G314" s="175" t="b">
        <v>1</v>
      </c>
      <c r="H314" s="175" t="b">
        <v>1</v>
      </c>
      <c r="I314" s="175" t="b">
        <v>1</v>
      </c>
      <c r="K314" s="175">
        <v>76</v>
      </c>
      <c r="L314" s="175">
        <v>1</v>
      </c>
      <c r="M314" s="175">
        <v>1</v>
      </c>
      <c r="N314" s="175">
        <v>1</v>
      </c>
    </row>
    <row r="315" spans="6:14" x14ac:dyDescent="0.2">
      <c r="F315" s="175">
        <v>77</v>
      </c>
      <c r="G315" s="175" t="b">
        <v>1</v>
      </c>
      <c r="H315" s="175" t="b">
        <v>1</v>
      </c>
      <c r="I315" s="175" t="b">
        <v>1</v>
      </c>
      <c r="K315" s="175">
        <v>77</v>
      </c>
      <c r="L315" s="175">
        <v>1</v>
      </c>
      <c r="M315" s="175">
        <v>1</v>
      </c>
      <c r="N315" s="175">
        <v>1</v>
      </c>
    </row>
    <row r="316" spans="6:14" x14ac:dyDescent="0.2">
      <c r="F316" s="175">
        <v>78</v>
      </c>
      <c r="G316" s="175" t="b">
        <v>1</v>
      </c>
      <c r="H316" s="175" t="b">
        <v>1</v>
      </c>
      <c r="I316" s="175" t="b">
        <v>1</v>
      </c>
      <c r="K316" s="175">
        <v>78</v>
      </c>
      <c r="L316" s="175">
        <v>1</v>
      </c>
      <c r="M316" s="175">
        <v>1</v>
      </c>
      <c r="N316" s="175">
        <v>1</v>
      </c>
    </row>
    <row r="317" spans="6:14" x14ac:dyDescent="0.2">
      <c r="F317" s="175">
        <v>79</v>
      </c>
      <c r="G317" s="175" t="b">
        <v>1</v>
      </c>
      <c r="H317" s="175" t="b">
        <v>1</v>
      </c>
      <c r="I317" s="175" t="b">
        <v>1</v>
      </c>
      <c r="K317" s="175">
        <v>79</v>
      </c>
      <c r="L317" s="175">
        <v>1</v>
      </c>
      <c r="M317" s="175">
        <v>1</v>
      </c>
      <c r="N317" s="175">
        <v>1</v>
      </c>
    </row>
    <row r="318" spans="6:14" x14ac:dyDescent="0.2">
      <c r="F318" s="175">
        <v>80</v>
      </c>
      <c r="G318" s="175" t="b">
        <v>1</v>
      </c>
      <c r="H318" s="175" t="b">
        <v>1</v>
      </c>
      <c r="I318" s="175" t="b">
        <v>1</v>
      </c>
      <c r="K318" s="175">
        <v>80</v>
      </c>
      <c r="L318" s="175">
        <v>1</v>
      </c>
      <c r="M318" s="175">
        <v>1</v>
      </c>
      <c r="N318" s="175">
        <v>1</v>
      </c>
    </row>
    <row r="319" spans="6:14" x14ac:dyDescent="0.2">
      <c r="F319" s="175">
        <v>81</v>
      </c>
      <c r="G319" s="175" t="b">
        <v>1</v>
      </c>
      <c r="H319" s="175" t="b">
        <v>1</v>
      </c>
      <c r="I319" s="175" t="b">
        <v>1</v>
      </c>
      <c r="K319" s="175">
        <v>81</v>
      </c>
      <c r="L319" s="175">
        <v>1</v>
      </c>
      <c r="M319" s="175">
        <v>1</v>
      </c>
      <c r="N319" s="175">
        <v>1</v>
      </c>
    </row>
    <row r="320" spans="6:14" x14ac:dyDescent="0.2">
      <c r="F320" s="175">
        <v>82</v>
      </c>
      <c r="G320" s="175" t="b">
        <v>1</v>
      </c>
      <c r="H320" s="175" t="b">
        <v>1</v>
      </c>
      <c r="I320" s="175" t="b">
        <v>1</v>
      </c>
      <c r="K320" s="175">
        <v>82</v>
      </c>
      <c r="L320" s="175">
        <v>1</v>
      </c>
      <c r="M320" s="175">
        <v>1</v>
      </c>
      <c r="N320" s="175">
        <v>1</v>
      </c>
    </row>
    <row r="321" spans="6:14" x14ac:dyDescent="0.2">
      <c r="F321" s="175">
        <v>83</v>
      </c>
      <c r="G321" s="175" t="b">
        <v>1</v>
      </c>
      <c r="H321" s="175" t="b">
        <v>1</v>
      </c>
      <c r="I321" s="175" t="b">
        <v>1</v>
      </c>
      <c r="K321" s="175">
        <v>83</v>
      </c>
      <c r="L321" s="175">
        <v>1</v>
      </c>
      <c r="M321" s="175">
        <v>1</v>
      </c>
      <c r="N321" s="175">
        <v>1</v>
      </c>
    </row>
    <row r="322" spans="6:14" x14ac:dyDescent="0.2">
      <c r="F322" s="175">
        <v>84</v>
      </c>
      <c r="G322" s="175" t="b">
        <v>1</v>
      </c>
      <c r="H322" s="175" t="b">
        <v>1</v>
      </c>
      <c r="I322" s="175" t="b">
        <v>1</v>
      </c>
      <c r="K322" s="175">
        <v>84</v>
      </c>
      <c r="L322" s="175">
        <v>1</v>
      </c>
      <c r="M322" s="175">
        <v>1</v>
      </c>
      <c r="N322" s="175">
        <v>1</v>
      </c>
    </row>
    <row r="323" spans="6:14" x14ac:dyDescent="0.2">
      <c r="F323" s="175">
        <v>85</v>
      </c>
      <c r="G323" s="175" t="b">
        <v>1</v>
      </c>
      <c r="H323" s="175" t="b">
        <v>1</v>
      </c>
      <c r="I323" s="175" t="b">
        <v>1</v>
      </c>
      <c r="K323" s="175">
        <v>85</v>
      </c>
      <c r="L323" s="175">
        <v>1</v>
      </c>
      <c r="M323" s="175">
        <v>1</v>
      </c>
      <c r="N323" s="175">
        <v>1</v>
      </c>
    </row>
    <row r="324" spans="6:14" x14ac:dyDescent="0.2">
      <c r="F324" s="175">
        <v>86</v>
      </c>
      <c r="G324" s="175" t="b">
        <v>1</v>
      </c>
      <c r="H324" s="175" t="b">
        <v>1</v>
      </c>
      <c r="I324" s="175" t="b">
        <v>1</v>
      </c>
      <c r="K324" s="175">
        <v>86</v>
      </c>
      <c r="L324" s="175">
        <v>1</v>
      </c>
      <c r="M324" s="175">
        <v>1</v>
      </c>
      <c r="N324" s="175">
        <v>1</v>
      </c>
    </row>
    <row r="325" spans="6:14" x14ac:dyDescent="0.2">
      <c r="F325" s="175">
        <v>87</v>
      </c>
      <c r="G325" s="175" t="b">
        <v>1</v>
      </c>
      <c r="H325" s="175" t="b">
        <v>1</v>
      </c>
      <c r="I325" s="175" t="b">
        <v>1</v>
      </c>
      <c r="K325" s="175">
        <v>87</v>
      </c>
      <c r="L325" s="175">
        <v>1</v>
      </c>
      <c r="M325" s="175">
        <v>1</v>
      </c>
      <c r="N325" s="175">
        <v>1</v>
      </c>
    </row>
    <row r="326" spans="6:14" x14ac:dyDescent="0.2">
      <c r="F326" s="175">
        <v>88</v>
      </c>
      <c r="G326" s="175" t="b">
        <v>1</v>
      </c>
      <c r="H326" s="175" t="b">
        <v>1</v>
      </c>
      <c r="I326" s="175" t="b">
        <v>1</v>
      </c>
      <c r="K326" s="175">
        <v>88</v>
      </c>
      <c r="L326" s="175">
        <v>1</v>
      </c>
      <c r="M326" s="175">
        <v>1</v>
      </c>
      <c r="N326" s="175">
        <v>1</v>
      </c>
    </row>
    <row r="327" spans="6:14" x14ac:dyDescent="0.2">
      <c r="F327" s="175">
        <v>89</v>
      </c>
      <c r="G327" s="175" t="b">
        <v>1</v>
      </c>
      <c r="H327" s="175" t="b">
        <v>1</v>
      </c>
      <c r="I327" s="175" t="b">
        <v>1</v>
      </c>
      <c r="K327" s="175">
        <v>89</v>
      </c>
      <c r="L327" s="175">
        <v>1</v>
      </c>
      <c r="M327" s="175">
        <v>1</v>
      </c>
      <c r="N327" s="175">
        <v>1</v>
      </c>
    </row>
    <row r="328" spans="6:14" x14ac:dyDescent="0.2">
      <c r="F328" s="175">
        <v>90</v>
      </c>
      <c r="G328" s="175" t="b">
        <v>1</v>
      </c>
      <c r="H328" s="175" t="b">
        <v>1</v>
      </c>
      <c r="I328" s="175" t="b">
        <v>1</v>
      </c>
      <c r="K328" s="175">
        <v>90</v>
      </c>
      <c r="L328" s="175">
        <v>1</v>
      </c>
      <c r="M328" s="175">
        <v>1</v>
      </c>
      <c r="N328" s="175">
        <v>1</v>
      </c>
    </row>
    <row r="329" spans="6:14" x14ac:dyDescent="0.2">
      <c r="F329" s="175">
        <v>91</v>
      </c>
      <c r="G329" s="175" t="b">
        <v>1</v>
      </c>
      <c r="H329" s="175" t="b">
        <v>1</v>
      </c>
      <c r="I329" s="175" t="b">
        <v>1</v>
      </c>
      <c r="K329" s="175">
        <v>91</v>
      </c>
      <c r="L329" s="175">
        <v>1</v>
      </c>
      <c r="M329" s="175">
        <v>1</v>
      </c>
      <c r="N329" s="175">
        <v>1</v>
      </c>
    </row>
    <row r="330" spans="6:14" x14ac:dyDescent="0.2">
      <c r="F330" s="175">
        <v>92</v>
      </c>
      <c r="G330" s="175" t="b">
        <v>1</v>
      </c>
      <c r="H330" s="175" t="b">
        <v>1</v>
      </c>
      <c r="I330" s="175" t="b">
        <v>1</v>
      </c>
      <c r="K330" s="175">
        <v>92</v>
      </c>
      <c r="L330" s="175">
        <v>1</v>
      </c>
      <c r="M330" s="175">
        <v>1</v>
      </c>
      <c r="N330" s="175">
        <v>1</v>
      </c>
    </row>
    <row r="331" spans="6:14" x14ac:dyDescent="0.2">
      <c r="F331" s="175">
        <v>93</v>
      </c>
      <c r="G331" s="175" t="b">
        <v>1</v>
      </c>
      <c r="H331" s="175" t="b">
        <v>1</v>
      </c>
      <c r="I331" s="175" t="b">
        <v>1</v>
      </c>
      <c r="K331" s="175">
        <v>93</v>
      </c>
      <c r="L331" s="175">
        <v>1</v>
      </c>
      <c r="M331" s="175">
        <v>1</v>
      </c>
      <c r="N331" s="175">
        <v>1</v>
      </c>
    </row>
    <row r="332" spans="6:14" x14ac:dyDescent="0.2">
      <c r="F332" s="175">
        <v>94</v>
      </c>
      <c r="G332" s="175" t="b">
        <v>1</v>
      </c>
      <c r="H332" s="175" t="b">
        <v>1</v>
      </c>
      <c r="I332" s="175" t="b">
        <v>1</v>
      </c>
      <c r="K332" s="175">
        <v>94</v>
      </c>
      <c r="L332" s="175">
        <v>1</v>
      </c>
      <c r="M332" s="175">
        <v>1</v>
      </c>
      <c r="N332" s="175">
        <v>1</v>
      </c>
    </row>
    <row r="333" spans="6:14" x14ac:dyDescent="0.2">
      <c r="F333" s="175">
        <v>95</v>
      </c>
      <c r="G333" s="175" t="b">
        <v>1</v>
      </c>
      <c r="H333" s="175" t="b">
        <v>1</v>
      </c>
      <c r="I333" s="175" t="b">
        <v>1</v>
      </c>
      <c r="K333" s="175">
        <v>95</v>
      </c>
      <c r="L333" s="175">
        <v>1</v>
      </c>
      <c r="M333" s="175">
        <v>1</v>
      </c>
      <c r="N333" s="175">
        <v>1</v>
      </c>
    </row>
    <row r="334" spans="6:14" x14ac:dyDescent="0.2">
      <c r="F334" s="175">
        <v>96</v>
      </c>
      <c r="G334" s="175" t="b">
        <v>1</v>
      </c>
      <c r="H334" s="175" t="b">
        <v>1</v>
      </c>
      <c r="I334" s="175" t="b">
        <v>1</v>
      </c>
      <c r="K334" s="175">
        <v>96</v>
      </c>
      <c r="L334" s="175">
        <v>1</v>
      </c>
      <c r="M334" s="175">
        <v>1</v>
      </c>
      <c r="N334" s="175">
        <v>1</v>
      </c>
    </row>
    <row r="335" spans="6:14" x14ac:dyDescent="0.2">
      <c r="F335" s="175">
        <v>97</v>
      </c>
      <c r="G335" s="175" t="b">
        <v>1</v>
      </c>
      <c r="H335" s="175" t="b">
        <v>1</v>
      </c>
      <c r="I335" s="175" t="b">
        <v>1</v>
      </c>
      <c r="K335" s="175">
        <v>97</v>
      </c>
      <c r="L335" s="175">
        <v>1</v>
      </c>
      <c r="M335" s="175">
        <v>1</v>
      </c>
      <c r="N335" s="175">
        <v>1</v>
      </c>
    </row>
    <row r="336" spans="6:14" x14ac:dyDescent="0.2">
      <c r="F336" s="175">
        <v>98</v>
      </c>
      <c r="G336" s="175" t="b">
        <v>1</v>
      </c>
      <c r="H336" s="175" t="b">
        <v>1</v>
      </c>
      <c r="I336" s="175" t="b">
        <v>1</v>
      </c>
      <c r="K336" s="175">
        <v>98</v>
      </c>
      <c r="L336" s="175">
        <v>1</v>
      </c>
      <c r="M336" s="175">
        <v>1</v>
      </c>
      <c r="N336" s="175">
        <v>1</v>
      </c>
    </row>
    <row r="337" spans="6:14" x14ac:dyDescent="0.2">
      <c r="F337" s="175">
        <v>99</v>
      </c>
      <c r="G337" s="175" t="b">
        <v>1</v>
      </c>
      <c r="H337" s="175" t="b">
        <v>1</v>
      </c>
      <c r="I337" s="175" t="b">
        <v>1</v>
      </c>
      <c r="K337" s="175">
        <v>99</v>
      </c>
      <c r="L337" s="175">
        <v>1</v>
      </c>
      <c r="M337" s="175">
        <v>1</v>
      </c>
      <c r="N337" s="175">
        <v>1</v>
      </c>
    </row>
    <row r="338" spans="6:14" x14ac:dyDescent="0.2">
      <c r="F338" s="175">
        <v>100</v>
      </c>
      <c r="G338" s="175" t="b">
        <v>1</v>
      </c>
      <c r="H338" s="175" t="b">
        <v>1</v>
      </c>
      <c r="I338" s="175" t="b">
        <v>1</v>
      </c>
      <c r="K338" s="175">
        <v>100</v>
      </c>
      <c r="L338" s="175">
        <v>1</v>
      </c>
      <c r="M338" s="175">
        <v>1</v>
      </c>
      <c r="N338" s="175">
        <v>1</v>
      </c>
    </row>
    <row r="339" spans="6:14" x14ac:dyDescent="0.2">
      <c r="F339" s="175">
        <v>101</v>
      </c>
      <c r="G339" s="175" t="b">
        <v>1</v>
      </c>
      <c r="H339" s="175" t="b">
        <v>1</v>
      </c>
      <c r="I339" s="175" t="b">
        <v>1</v>
      </c>
      <c r="K339" s="175">
        <v>101</v>
      </c>
      <c r="L339" s="175">
        <v>1</v>
      </c>
      <c r="M339" s="175">
        <v>1</v>
      </c>
      <c r="N339" s="175">
        <v>1</v>
      </c>
    </row>
    <row r="340" spans="6:14" x14ac:dyDescent="0.2">
      <c r="F340" s="175">
        <v>102</v>
      </c>
      <c r="G340" s="175" t="b">
        <v>1</v>
      </c>
      <c r="H340" s="175" t="b">
        <v>1</v>
      </c>
      <c r="I340" s="175" t="b">
        <v>1</v>
      </c>
      <c r="K340" s="175">
        <v>102</v>
      </c>
      <c r="L340" s="175">
        <v>1</v>
      </c>
      <c r="M340" s="175">
        <v>1</v>
      </c>
      <c r="N340" s="175">
        <v>1</v>
      </c>
    </row>
    <row r="341" spans="6:14" x14ac:dyDescent="0.2">
      <c r="F341" s="175">
        <v>103</v>
      </c>
      <c r="G341" s="175" t="b">
        <v>1</v>
      </c>
      <c r="H341" s="175" t="b">
        <v>1</v>
      </c>
      <c r="I341" s="175" t="b">
        <v>1</v>
      </c>
      <c r="K341" s="175">
        <v>103</v>
      </c>
      <c r="L341" s="175">
        <v>1</v>
      </c>
      <c r="M341" s="175">
        <v>1</v>
      </c>
      <c r="N341" s="175">
        <v>1</v>
      </c>
    </row>
    <row r="342" spans="6:14" x14ac:dyDescent="0.2">
      <c r="F342" s="175">
        <v>104</v>
      </c>
      <c r="G342" s="175" t="b">
        <v>1</v>
      </c>
      <c r="H342" s="175" t="b">
        <v>1</v>
      </c>
      <c r="I342" s="175" t="b">
        <v>1</v>
      </c>
      <c r="K342" s="175">
        <v>104</v>
      </c>
      <c r="L342" s="175">
        <v>1</v>
      </c>
      <c r="M342" s="175">
        <v>1</v>
      </c>
      <c r="N342" s="175">
        <v>1</v>
      </c>
    </row>
    <row r="343" spans="6:14" x14ac:dyDescent="0.2">
      <c r="F343" s="175">
        <v>105</v>
      </c>
      <c r="G343" s="175" t="b">
        <v>1</v>
      </c>
      <c r="H343" s="175" t="b">
        <v>1</v>
      </c>
      <c r="I343" s="175" t="b">
        <v>1</v>
      </c>
      <c r="K343" s="175">
        <v>105</v>
      </c>
      <c r="L343" s="175">
        <v>1</v>
      </c>
      <c r="M343" s="175">
        <v>1</v>
      </c>
      <c r="N343" s="175">
        <v>1</v>
      </c>
    </row>
    <row r="344" spans="6:14" x14ac:dyDescent="0.2">
      <c r="F344" s="175">
        <v>106</v>
      </c>
      <c r="G344" s="175" t="b">
        <v>1</v>
      </c>
      <c r="H344" s="175" t="b">
        <v>1</v>
      </c>
      <c r="I344" s="175" t="b">
        <v>1</v>
      </c>
      <c r="K344" s="175">
        <v>106</v>
      </c>
      <c r="L344" s="175">
        <v>1</v>
      </c>
      <c r="M344" s="175">
        <v>1</v>
      </c>
      <c r="N344" s="175">
        <v>1</v>
      </c>
    </row>
    <row r="345" spans="6:14" x14ac:dyDescent="0.2">
      <c r="F345" s="175">
        <v>107</v>
      </c>
      <c r="G345" s="175" t="b">
        <v>1</v>
      </c>
      <c r="H345" s="175" t="b">
        <v>1</v>
      </c>
      <c r="I345" s="175" t="b">
        <v>1</v>
      </c>
      <c r="K345" s="175">
        <v>107</v>
      </c>
      <c r="L345" s="175">
        <v>1</v>
      </c>
      <c r="M345" s="175">
        <v>1</v>
      </c>
      <c r="N345" s="175">
        <v>1</v>
      </c>
    </row>
    <row r="346" spans="6:14" x14ac:dyDescent="0.2">
      <c r="F346" s="175">
        <v>108</v>
      </c>
      <c r="G346" s="175" t="b">
        <v>1</v>
      </c>
      <c r="H346" s="175" t="b">
        <v>1</v>
      </c>
      <c r="I346" s="175" t="b">
        <v>1</v>
      </c>
      <c r="K346" s="175">
        <v>108</v>
      </c>
      <c r="L346" s="175">
        <v>1</v>
      </c>
      <c r="M346" s="175">
        <v>1</v>
      </c>
      <c r="N346" s="175">
        <v>1</v>
      </c>
    </row>
    <row r="347" spans="6:14" x14ac:dyDescent="0.2">
      <c r="F347" s="175">
        <v>109</v>
      </c>
      <c r="G347" s="175" t="b">
        <v>1</v>
      </c>
      <c r="H347" s="175" t="b">
        <v>1</v>
      </c>
      <c r="I347" s="175" t="b">
        <v>1</v>
      </c>
      <c r="K347" s="175">
        <v>109</v>
      </c>
      <c r="L347" s="175">
        <v>1</v>
      </c>
      <c r="M347" s="175">
        <v>1</v>
      </c>
      <c r="N347" s="175">
        <v>1</v>
      </c>
    </row>
    <row r="348" spans="6:14" x14ac:dyDescent="0.2">
      <c r="F348" s="175">
        <v>110</v>
      </c>
      <c r="G348" s="175" t="b">
        <v>1</v>
      </c>
      <c r="H348" s="175" t="b">
        <v>1</v>
      </c>
      <c r="I348" s="175" t="b">
        <v>1</v>
      </c>
      <c r="K348" s="175">
        <v>110</v>
      </c>
      <c r="L348" s="175">
        <v>1</v>
      </c>
      <c r="M348" s="175">
        <v>1</v>
      </c>
      <c r="N348" s="175">
        <v>1</v>
      </c>
    </row>
    <row r="349" spans="6:14" x14ac:dyDescent="0.2">
      <c r="F349" s="175">
        <v>111</v>
      </c>
      <c r="G349" s="175" t="b">
        <v>1</v>
      </c>
      <c r="H349" s="175" t="b">
        <v>1</v>
      </c>
      <c r="I349" s="175" t="b">
        <v>1</v>
      </c>
      <c r="K349" s="175">
        <v>111</v>
      </c>
      <c r="L349" s="175">
        <v>1</v>
      </c>
      <c r="M349" s="175">
        <v>1</v>
      </c>
      <c r="N349" s="175">
        <v>1</v>
      </c>
    </row>
    <row r="350" spans="6:14" x14ac:dyDescent="0.2">
      <c r="F350" s="175">
        <v>112</v>
      </c>
      <c r="G350" s="175" t="b">
        <v>1</v>
      </c>
      <c r="H350" s="175" t="b">
        <v>1</v>
      </c>
      <c r="I350" s="175" t="b">
        <v>1</v>
      </c>
      <c r="K350" s="175">
        <v>112</v>
      </c>
      <c r="L350" s="175">
        <v>1</v>
      </c>
      <c r="M350" s="175">
        <v>1</v>
      </c>
      <c r="N350" s="175">
        <v>1</v>
      </c>
    </row>
    <row r="351" spans="6:14" x14ac:dyDescent="0.2">
      <c r="F351" s="175">
        <v>113</v>
      </c>
      <c r="G351" s="175" t="b">
        <v>1</v>
      </c>
      <c r="H351" s="175" t="b">
        <v>1</v>
      </c>
      <c r="I351" s="175" t="b">
        <v>1</v>
      </c>
      <c r="K351" s="175">
        <v>113</v>
      </c>
      <c r="L351" s="175">
        <v>1</v>
      </c>
      <c r="M351" s="175">
        <v>1</v>
      </c>
      <c r="N351" s="175">
        <v>1</v>
      </c>
    </row>
    <row r="352" spans="6:14" x14ac:dyDescent="0.2">
      <c r="F352" s="175">
        <v>114</v>
      </c>
      <c r="G352" s="175" t="b">
        <v>1</v>
      </c>
      <c r="H352" s="175" t="b">
        <v>1</v>
      </c>
      <c r="I352" s="175" t="b">
        <v>1</v>
      </c>
      <c r="K352" s="175">
        <v>114</v>
      </c>
      <c r="L352" s="175">
        <v>1</v>
      </c>
      <c r="M352" s="175">
        <v>1</v>
      </c>
      <c r="N352" s="175">
        <v>1</v>
      </c>
    </row>
    <row r="353" spans="6:14" x14ac:dyDescent="0.2">
      <c r="F353" s="175">
        <v>115</v>
      </c>
      <c r="G353" s="175" t="b">
        <v>1</v>
      </c>
      <c r="H353" s="175" t="b">
        <v>1</v>
      </c>
      <c r="I353" s="175" t="b">
        <v>1</v>
      </c>
      <c r="K353" s="175">
        <v>115</v>
      </c>
      <c r="L353" s="175">
        <v>1</v>
      </c>
      <c r="M353" s="175">
        <v>1</v>
      </c>
      <c r="N353" s="175">
        <v>1</v>
      </c>
    </row>
    <row r="354" spans="6:14" x14ac:dyDescent="0.2">
      <c r="F354" s="175">
        <v>116</v>
      </c>
      <c r="G354" s="175" t="b">
        <v>1</v>
      </c>
      <c r="H354" s="175" t="b">
        <v>1</v>
      </c>
      <c r="I354" s="175" t="b">
        <v>1</v>
      </c>
      <c r="K354" s="175">
        <v>116</v>
      </c>
      <c r="L354" s="175">
        <v>1</v>
      </c>
      <c r="M354" s="175">
        <v>1</v>
      </c>
      <c r="N354" s="175">
        <v>1</v>
      </c>
    </row>
    <row r="355" spans="6:14" x14ac:dyDescent="0.2">
      <c r="F355" s="175">
        <v>117</v>
      </c>
      <c r="G355" s="175" t="b">
        <v>1</v>
      </c>
      <c r="H355" s="175" t="b">
        <v>1</v>
      </c>
      <c r="I355" s="175" t="b">
        <v>1</v>
      </c>
      <c r="K355" s="175">
        <v>117</v>
      </c>
      <c r="L355" s="175">
        <v>1</v>
      </c>
      <c r="M355" s="175">
        <v>1</v>
      </c>
      <c r="N355" s="175">
        <v>1</v>
      </c>
    </row>
    <row r="356" spans="6:14" x14ac:dyDescent="0.2">
      <c r="F356" s="175">
        <v>118</v>
      </c>
      <c r="G356" s="175" t="b">
        <v>1</v>
      </c>
      <c r="H356" s="175" t="b">
        <v>1</v>
      </c>
      <c r="I356" s="175" t="b">
        <v>1</v>
      </c>
      <c r="K356" s="175">
        <v>118</v>
      </c>
      <c r="L356" s="175">
        <v>1</v>
      </c>
      <c r="M356" s="175">
        <v>1</v>
      </c>
      <c r="N356" s="175">
        <v>1</v>
      </c>
    </row>
    <row r="357" spans="6:14" x14ac:dyDescent="0.2">
      <c r="F357" s="175">
        <v>119</v>
      </c>
      <c r="G357" s="175" t="b">
        <v>1</v>
      </c>
      <c r="H357" s="175" t="b">
        <v>1</v>
      </c>
      <c r="I357" s="175" t="b">
        <v>1</v>
      </c>
      <c r="K357" s="175">
        <v>119</v>
      </c>
      <c r="L357" s="175">
        <v>1</v>
      </c>
      <c r="M357" s="175">
        <v>1</v>
      </c>
      <c r="N357" s="175">
        <v>1</v>
      </c>
    </row>
    <row r="358" spans="6:14" x14ac:dyDescent="0.2">
      <c r="F358" s="175">
        <v>120</v>
      </c>
      <c r="G358" s="175" t="b">
        <v>1</v>
      </c>
      <c r="H358" s="175" t="b">
        <v>1</v>
      </c>
      <c r="I358" s="175" t="b">
        <v>1</v>
      </c>
      <c r="K358" s="175">
        <v>120</v>
      </c>
      <c r="L358" s="175">
        <v>1</v>
      </c>
      <c r="M358" s="175">
        <v>1</v>
      </c>
      <c r="N358" s="175">
        <v>1</v>
      </c>
    </row>
    <row r="359" spans="6:14" x14ac:dyDescent="0.2">
      <c r="F359" s="175">
        <v>121</v>
      </c>
      <c r="G359" s="175" t="b">
        <v>1</v>
      </c>
      <c r="H359" s="175" t="b">
        <v>1</v>
      </c>
      <c r="I359" s="175" t="b">
        <v>1</v>
      </c>
      <c r="K359" s="175">
        <v>121</v>
      </c>
      <c r="L359" s="175">
        <v>1</v>
      </c>
      <c r="M359" s="175">
        <v>1</v>
      </c>
      <c r="N359" s="175">
        <v>1</v>
      </c>
    </row>
    <row r="360" spans="6:14" x14ac:dyDescent="0.2">
      <c r="F360" s="175">
        <v>122</v>
      </c>
      <c r="G360" s="175" t="b">
        <v>1</v>
      </c>
      <c r="H360" s="175" t="b">
        <v>1</v>
      </c>
      <c r="I360" s="175" t="b">
        <v>1</v>
      </c>
      <c r="K360" s="175">
        <v>122</v>
      </c>
      <c r="L360" s="175">
        <v>1</v>
      </c>
      <c r="M360" s="175">
        <v>1</v>
      </c>
      <c r="N360" s="175">
        <v>1</v>
      </c>
    </row>
    <row r="361" spans="6:14" x14ac:dyDescent="0.2">
      <c r="F361" s="175">
        <v>123</v>
      </c>
      <c r="G361" s="175" t="b">
        <v>1</v>
      </c>
      <c r="H361" s="175" t="b">
        <v>1</v>
      </c>
      <c r="I361" s="175" t="b">
        <v>1</v>
      </c>
      <c r="K361" s="175">
        <v>123</v>
      </c>
      <c r="L361" s="175">
        <v>1</v>
      </c>
      <c r="M361" s="175">
        <v>1</v>
      </c>
      <c r="N361" s="175">
        <v>1</v>
      </c>
    </row>
    <row r="362" spans="6:14" x14ac:dyDescent="0.2">
      <c r="F362" s="175">
        <v>124</v>
      </c>
      <c r="G362" s="175" t="b">
        <v>1</v>
      </c>
      <c r="H362" s="175" t="b">
        <v>1</v>
      </c>
      <c r="I362" s="175" t="b">
        <v>1</v>
      </c>
      <c r="K362" s="175">
        <v>124</v>
      </c>
      <c r="L362" s="175">
        <v>1</v>
      </c>
      <c r="M362" s="175">
        <v>1</v>
      </c>
      <c r="N362" s="175">
        <v>1</v>
      </c>
    </row>
    <row r="363" spans="6:14" x14ac:dyDescent="0.2">
      <c r="F363" s="175">
        <v>125</v>
      </c>
      <c r="G363" s="175" t="b">
        <v>1</v>
      </c>
      <c r="H363" s="175" t="b">
        <v>1</v>
      </c>
      <c r="I363" s="175" t="b">
        <v>1</v>
      </c>
      <c r="K363" s="175">
        <v>125</v>
      </c>
      <c r="L363" s="175">
        <v>1</v>
      </c>
      <c r="M363" s="175">
        <v>1</v>
      </c>
      <c r="N363" s="175">
        <v>1</v>
      </c>
    </row>
    <row r="364" spans="6:14" x14ac:dyDescent="0.2">
      <c r="F364" s="175">
        <v>126</v>
      </c>
      <c r="G364" s="175" t="b">
        <v>1</v>
      </c>
      <c r="H364" s="175" t="b">
        <v>1</v>
      </c>
      <c r="I364" s="175" t="b">
        <v>1</v>
      </c>
      <c r="K364" s="175">
        <v>126</v>
      </c>
      <c r="L364" s="175">
        <v>1</v>
      </c>
      <c r="M364" s="175">
        <v>1</v>
      </c>
      <c r="N364" s="175">
        <v>1</v>
      </c>
    </row>
    <row r="365" spans="6:14" x14ac:dyDescent="0.2">
      <c r="F365" s="175">
        <v>127</v>
      </c>
      <c r="G365" s="175" t="b">
        <v>1</v>
      </c>
      <c r="H365" s="175" t="b">
        <v>1</v>
      </c>
      <c r="I365" s="175" t="b">
        <v>1</v>
      </c>
      <c r="K365" s="175">
        <v>127</v>
      </c>
      <c r="L365" s="175">
        <v>1</v>
      </c>
      <c r="M365" s="175">
        <v>1</v>
      </c>
      <c r="N365" s="175">
        <v>1</v>
      </c>
    </row>
    <row r="366" spans="6:14" x14ac:dyDescent="0.2">
      <c r="F366" s="175">
        <v>128</v>
      </c>
      <c r="G366" s="175" t="b">
        <v>1</v>
      </c>
      <c r="H366" s="175" t="b">
        <v>1</v>
      </c>
      <c r="I366" s="175" t="b">
        <v>1</v>
      </c>
      <c r="K366" s="175">
        <v>128</v>
      </c>
      <c r="L366" s="175">
        <v>1</v>
      </c>
      <c r="M366" s="175">
        <v>1</v>
      </c>
      <c r="N366" s="175">
        <v>1</v>
      </c>
    </row>
    <row r="367" spans="6:14" x14ac:dyDescent="0.2">
      <c r="F367" s="175">
        <v>129</v>
      </c>
      <c r="G367" s="175" t="b">
        <v>1</v>
      </c>
      <c r="H367" s="175" t="b">
        <v>1</v>
      </c>
      <c r="I367" s="175" t="b">
        <v>1</v>
      </c>
      <c r="K367" s="175">
        <v>129</v>
      </c>
      <c r="L367" s="175">
        <v>1</v>
      </c>
      <c r="M367" s="175">
        <v>1</v>
      </c>
      <c r="N367" s="175">
        <v>1</v>
      </c>
    </row>
    <row r="368" spans="6:14" x14ac:dyDescent="0.2">
      <c r="F368" s="175">
        <v>130</v>
      </c>
      <c r="G368" s="175" t="b">
        <v>1</v>
      </c>
      <c r="H368" s="175" t="b">
        <v>1</v>
      </c>
      <c r="I368" s="175" t="b">
        <v>1</v>
      </c>
      <c r="K368" s="175">
        <v>130</v>
      </c>
      <c r="L368" s="175">
        <v>1</v>
      </c>
      <c r="M368" s="175">
        <v>1</v>
      </c>
      <c r="N368" s="175">
        <v>1</v>
      </c>
    </row>
    <row r="369" spans="6:14" x14ac:dyDescent="0.2">
      <c r="F369" s="175">
        <v>131</v>
      </c>
      <c r="G369" s="175" t="b">
        <v>1</v>
      </c>
      <c r="H369" s="175" t="b">
        <v>1</v>
      </c>
      <c r="I369" s="175" t="b">
        <v>1</v>
      </c>
      <c r="K369" s="175">
        <v>131</v>
      </c>
      <c r="L369" s="175">
        <v>1</v>
      </c>
      <c r="M369" s="175">
        <v>1</v>
      </c>
      <c r="N369" s="175">
        <v>1</v>
      </c>
    </row>
    <row r="370" spans="6:14" x14ac:dyDescent="0.2">
      <c r="F370" s="175">
        <v>132</v>
      </c>
      <c r="G370" s="175" t="b">
        <v>1</v>
      </c>
      <c r="H370" s="175" t="b">
        <v>1</v>
      </c>
      <c r="I370" s="175" t="b">
        <v>1</v>
      </c>
      <c r="K370" s="175">
        <v>132</v>
      </c>
      <c r="L370" s="175">
        <v>1</v>
      </c>
      <c r="M370" s="175">
        <v>1</v>
      </c>
      <c r="N370" s="175">
        <v>1</v>
      </c>
    </row>
    <row r="371" spans="6:14" x14ac:dyDescent="0.2">
      <c r="F371" s="175">
        <v>133</v>
      </c>
      <c r="G371" s="175" t="b">
        <v>1</v>
      </c>
      <c r="H371" s="175" t="b">
        <v>1</v>
      </c>
      <c r="I371" s="175" t="b">
        <v>1</v>
      </c>
      <c r="K371" s="175">
        <v>133</v>
      </c>
      <c r="L371" s="175">
        <v>1</v>
      </c>
      <c r="M371" s="175">
        <v>1</v>
      </c>
      <c r="N371" s="175">
        <v>1</v>
      </c>
    </row>
    <row r="372" spans="6:14" x14ac:dyDescent="0.2">
      <c r="F372" s="175">
        <v>134</v>
      </c>
      <c r="G372" s="175" t="b">
        <v>1</v>
      </c>
      <c r="H372" s="175" t="b">
        <v>1</v>
      </c>
      <c r="I372" s="175" t="b">
        <v>1</v>
      </c>
      <c r="K372" s="175">
        <v>134</v>
      </c>
      <c r="L372" s="175">
        <v>1</v>
      </c>
      <c r="M372" s="175">
        <v>1</v>
      </c>
      <c r="N372" s="175">
        <v>1</v>
      </c>
    </row>
    <row r="373" spans="6:14" x14ac:dyDescent="0.2">
      <c r="F373" s="175">
        <v>135</v>
      </c>
      <c r="G373" s="175" t="b">
        <v>1</v>
      </c>
      <c r="H373" s="175" t="b">
        <v>1</v>
      </c>
      <c r="I373" s="175" t="b">
        <v>1</v>
      </c>
      <c r="K373" s="175">
        <v>135</v>
      </c>
      <c r="L373" s="175">
        <v>1</v>
      </c>
      <c r="M373" s="175">
        <v>1</v>
      </c>
      <c r="N373" s="175">
        <v>1</v>
      </c>
    </row>
    <row r="374" spans="6:14" x14ac:dyDescent="0.2">
      <c r="F374" s="175">
        <v>136</v>
      </c>
      <c r="G374" s="175" t="b">
        <v>1</v>
      </c>
      <c r="H374" s="175" t="b">
        <v>1</v>
      </c>
      <c r="I374" s="175" t="b">
        <v>1</v>
      </c>
      <c r="K374" s="175">
        <v>136</v>
      </c>
      <c r="L374" s="175">
        <v>1</v>
      </c>
      <c r="M374" s="175">
        <v>1</v>
      </c>
      <c r="N374" s="175">
        <v>1</v>
      </c>
    </row>
    <row r="375" spans="6:14" x14ac:dyDescent="0.2">
      <c r="F375" s="175">
        <v>137</v>
      </c>
      <c r="G375" s="175" t="b">
        <v>1</v>
      </c>
      <c r="H375" s="175" t="b">
        <v>1</v>
      </c>
      <c r="I375" s="175" t="b">
        <v>1</v>
      </c>
      <c r="K375" s="175">
        <v>137</v>
      </c>
      <c r="L375" s="175">
        <v>1</v>
      </c>
      <c r="M375" s="175">
        <v>1</v>
      </c>
      <c r="N375" s="175">
        <v>1</v>
      </c>
    </row>
    <row r="376" spans="6:14" x14ac:dyDescent="0.2">
      <c r="F376" s="175">
        <v>138</v>
      </c>
      <c r="G376" s="175" t="b">
        <v>1</v>
      </c>
      <c r="H376" s="175" t="b">
        <v>1</v>
      </c>
      <c r="I376" s="175" t="b">
        <v>1</v>
      </c>
      <c r="K376" s="175">
        <v>138</v>
      </c>
      <c r="L376" s="175">
        <v>1</v>
      </c>
      <c r="M376" s="175">
        <v>1</v>
      </c>
      <c r="N376" s="175">
        <v>1</v>
      </c>
    </row>
    <row r="377" spans="6:14" x14ac:dyDescent="0.2">
      <c r="F377" s="175">
        <v>139</v>
      </c>
      <c r="G377" s="175" t="b">
        <v>1</v>
      </c>
      <c r="H377" s="175" t="b">
        <v>1</v>
      </c>
      <c r="I377" s="175" t="b">
        <v>1</v>
      </c>
      <c r="K377" s="175">
        <v>139</v>
      </c>
      <c r="L377" s="175">
        <v>1</v>
      </c>
      <c r="M377" s="175">
        <v>1</v>
      </c>
      <c r="N377" s="175">
        <v>1</v>
      </c>
    </row>
    <row r="378" spans="6:14" x14ac:dyDescent="0.2">
      <c r="F378" s="175">
        <v>140</v>
      </c>
      <c r="G378" s="175" t="b">
        <v>1</v>
      </c>
      <c r="H378" s="175" t="b">
        <v>1</v>
      </c>
      <c r="I378" s="175" t="b">
        <v>1</v>
      </c>
      <c r="K378" s="175">
        <v>140</v>
      </c>
      <c r="L378" s="175">
        <v>1</v>
      </c>
      <c r="M378" s="175">
        <v>1</v>
      </c>
      <c r="N378" s="175">
        <v>1</v>
      </c>
    </row>
    <row r="379" spans="6:14" x14ac:dyDescent="0.2">
      <c r="F379" s="175">
        <v>141</v>
      </c>
      <c r="G379" s="175" t="b">
        <v>1</v>
      </c>
      <c r="H379" s="175" t="b">
        <v>1</v>
      </c>
      <c r="I379" s="175" t="b">
        <v>1</v>
      </c>
      <c r="K379" s="175">
        <v>141</v>
      </c>
      <c r="L379" s="175">
        <v>1</v>
      </c>
      <c r="M379" s="175">
        <v>1</v>
      </c>
      <c r="N379" s="175">
        <v>1</v>
      </c>
    </row>
    <row r="380" spans="6:14" x14ac:dyDescent="0.2">
      <c r="F380" s="175">
        <v>142</v>
      </c>
      <c r="G380" s="175" t="b">
        <v>1</v>
      </c>
      <c r="H380" s="175" t="b">
        <v>1</v>
      </c>
      <c r="I380" s="175" t="b">
        <v>1</v>
      </c>
      <c r="K380" s="175">
        <v>142</v>
      </c>
      <c r="L380" s="175">
        <v>1</v>
      </c>
      <c r="M380" s="175">
        <v>1</v>
      </c>
      <c r="N380" s="175">
        <v>1</v>
      </c>
    </row>
    <row r="381" spans="6:14" x14ac:dyDescent="0.2">
      <c r="F381" s="175">
        <v>143</v>
      </c>
      <c r="G381" s="175" t="b">
        <v>1</v>
      </c>
      <c r="H381" s="175" t="b">
        <v>1</v>
      </c>
      <c r="I381" s="175" t="b">
        <v>1</v>
      </c>
      <c r="K381" s="175">
        <v>143</v>
      </c>
      <c r="L381" s="175">
        <v>1</v>
      </c>
      <c r="M381" s="175">
        <v>1</v>
      </c>
      <c r="N381" s="175">
        <v>1</v>
      </c>
    </row>
    <row r="382" spans="6:14" x14ac:dyDescent="0.2">
      <c r="F382" s="175">
        <v>144</v>
      </c>
      <c r="G382" s="175" t="b">
        <v>1</v>
      </c>
      <c r="H382" s="175" t="b">
        <v>1</v>
      </c>
      <c r="I382" s="175" t="b">
        <v>1</v>
      </c>
      <c r="K382" s="175">
        <v>144</v>
      </c>
      <c r="L382" s="175">
        <v>1</v>
      </c>
      <c r="M382" s="175">
        <v>1</v>
      </c>
      <c r="N382" s="175">
        <v>1</v>
      </c>
    </row>
    <row r="383" spans="6:14" x14ac:dyDescent="0.2">
      <c r="F383" s="175">
        <v>145</v>
      </c>
      <c r="G383" s="175" t="b">
        <v>1</v>
      </c>
      <c r="H383" s="175" t="b">
        <v>1</v>
      </c>
      <c r="I383" s="175" t="b">
        <v>1</v>
      </c>
      <c r="K383" s="175">
        <v>145</v>
      </c>
      <c r="L383" s="175">
        <v>1</v>
      </c>
      <c r="M383" s="175">
        <v>1</v>
      </c>
      <c r="N383" s="175">
        <v>1</v>
      </c>
    </row>
    <row r="384" spans="6:14" x14ac:dyDescent="0.2">
      <c r="F384" s="175">
        <v>146</v>
      </c>
      <c r="G384" s="175" t="b">
        <v>1</v>
      </c>
      <c r="H384" s="175" t="b">
        <v>1</v>
      </c>
      <c r="I384" s="175" t="b">
        <v>1</v>
      </c>
      <c r="K384" s="175">
        <v>146</v>
      </c>
      <c r="L384" s="175">
        <v>1</v>
      </c>
      <c r="M384" s="175">
        <v>1</v>
      </c>
      <c r="N384" s="175">
        <v>1</v>
      </c>
    </row>
    <row r="385" spans="6:14" x14ac:dyDescent="0.2">
      <c r="F385" s="175">
        <v>147</v>
      </c>
      <c r="G385" s="175" t="b">
        <v>1</v>
      </c>
      <c r="H385" s="175" t="b">
        <v>1</v>
      </c>
      <c r="I385" s="175" t="b">
        <v>1</v>
      </c>
      <c r="K385" s="175">
        <v>147</v>
      </c>
      <c r="L385" s="175">
        <v>1</v>
      </c>
      <c r="M385" s="175">
        <v>1</v>
      </c>
      <c r="N385" s="175">
        <v>1</v>
      </c>
    </row>
    <row r="386" spans="6:14" x14ac:dyDescent="0.2">
      <c r="F386" s="175">
        <v>148</v>
      </c>
      <c r="G386" s="175" t="b">
        <v>1</v>
      </c>
      <c r="H386" s="175" t="b">
        <v>1</v>
      </c>
      <c r="I386" s="175" t="b">
        <v>1</v>
      </c>
      <c r="K386" s="175">
        <v>148</v>
      </c>
      <c r="L386" s="175">
        <v>1</v>
      </c>
      <c r="M386" s="175">
        <v>1</v>
      </c>
      <c r="N386" s="175">
        <v>1</v>
      </c>
    </row>
    <row r="387" spans="6:14" x14ac:dyDescent="0.2">
      <c r="F387" s="175">
        <v>149</v>
      </c>
      <c r="G387" s="175" t="b">
        <v>1</v>
      </c>
      <c r="H387" s="175" t="b">
        <v>1</v>
      </c>
      <c r="I387" s="175" t="b">
        <v>1</v>
      </c>
      <c r="K387" s="175">
        <v>149</v>
      </c>
      <c r="L387" s="175">
        <v>1</v>
      </c>
      <c r="M387" s="175">
        <v>1</v>
      </c>
      <c r="N387" s="175">
        <v>1</v>
      </c>
    </row>
    <row r="388" spans="6:14" x14ac:dyDescent="0.2">
      <c r="F388" s="175">
        <v>150</v>
      </c>
      <c r="G388" s="175" t="b">
        <v>1</v>
      </c>
      <c r="H388" s="175" t="b">
        <v>1</v>
      </c>
      <c r="I388" s="175" t="b">
        <v>1</v>
      </c>
      <c r="K388" s="175">
        <v>150</v>
      </c>
      <c r="L388" s="175">
        <v>1</v>
      </c>
      <c r="M388" s="175">
        <v>1</v>
      </c>
      <c r="N388" s="175">
        <v>1</v>
      </c>
    </row>
    <row r="389" spans="6:14" x14ac:dyDescent="0.2">
      <c r="F389" s="175">
        <v>151</v>
      </c>
      <c r="G389" s="175" t="b">
        <v>1</v>
      </c>
      <c r="H389" s="175" t="b">
        <v>1</v>
      </c>
      <c r="I389" s="175" t="b">
        <v>1</v>
      </c>
      <c r="K389" s="175">
        <v>151</v>
      </c>
      <c r="L389" s="175">
        <v>1</v>
      </c>
      <c r="M389" s="175">
        <v>1</v>
      </c>
      <c r="N389" s="175">
        <v>1</v>
      </c>
    </row>
    <row r="390" spans="6:14" x14ac:dyDescent="0.2">
      <c r="F390" s="175">
        <v>152</v>
      </c>
      <c r="G390" s="175" t="b">
        <v>1</v>
      </c>
      <c r="H390" s="175" t="b">
        <v>1</v>
      </c>
      <c r="I390" s="175" t="b">
        <v>1</v>
      </c>
      <c r="K390" s="175">
        <v>152</v>
      </c>
      <c r="L390" s="175">
        <v>1</v>
      </c>
      <c r="M390" s="175">
        <v>1</v>
      </c>
      <c r="N390" s="175">
        <v>1</v>
      </c>
    </row>
    <row r="391" spans="6:14" x14ac:dyDescent="0.2">
      <c r="F391" s="175">
        <v>153</v>
      </c>
      <c r="G391" s="175" t="b">
        <v>1</v>
      </c>
      <c r="H391" s="175" t="b">
        <v>1</v>
      </c>
      <c r="I391" s="175" t="b">
        <v>1</v>
      </c>
      <c r="K391" s="175">
        <v>153</v>
      </c>
      <c r="L391" s="175">
        <v>1</v>
      </c>
      <c r="M391" s="175">
        <v>1</v>
      </c>
      <c r="N391" s="175">
        <v>1</v>
      </c>
    </row>
    <row r="392" spans="6:14" x14ac:dyDescent="0.2">
      <c r="F392" s="175">
        <v>154</v>
      </c>
      <c r="G392" s="175" t="b">
        <v>1</v>
      </c>
      <c r="H392" s="175" t="b">
        <v>1</v>
      </c>
      <c r="I392" s="175" t="b">
        <v>1</v>
      </c>
      <c r="K392" s="175">
        <v>154</v>
      </c>
      <c r="L392" s="175">
        <v>1</v>
      </c>
      <c r="M392" s="175">
        <v>1</v>
      </c>
      <c r="N392" s="175">
        <v>1</v>
      </c>
    </row>
    <row r="393" spans="6:14" x14ac:dyDescent="0.2">
      <c r="F393" s="175">
        <v>155</v>
      </c>
      <c r="G393" s="175" t="b">
        <v>1</v>
      </c>
      <c r="H393" s="175" t="b">
        <v>1</v>
      </c>
      <c r="I393" s="175" t="b">
        <v>1</v>
      </c>
      <c r="K393" s="175">
        <v>155</v>
      </c>
      <c r="L393" s="175">
        <v>1</v>
      </c>
      <c r="M393" s="175">
        <v>1</v>
      </c>
      <c r="N393" s="175">
        <v>1</v>
      </c>
    </row>
    <row r="394" spans="6:14" x14ac:dyDescent="0.2">
      <c r="F394" s="175">
        <v>156</v>
      </c>
      <c r="G394" s="175" t="b">
        <v>1</v>
      </c>
      <c r="H394" s="175" t="b">
        <v>1</v>
      </c>
      <c r="I394" s="175" t="b">
        <v>1</v>
      </c>
      <c r="K394" s="175">
        <v>156</v>
      </c>
      <c r="L394" s="175">
        <v>1</v>
      </c>
      <c r="M394" s="175">
        <v>1</v>
      </c>
      <c r="N394" s="175">
        <v>1</v>
      </c>
    </row>
    <row r="395" spans="6:14" x14ac:dyDescent="0.2">
      <c r="F395" s="175">
        <v>157</v>
      </c>
      <c r="G395" s="175" t="b">
        <v>1</v>
      </c>
      <c r="H395" s="175" t="b">
        <v>1</v>
      </c>
      <c r="I395" s="175" t="b">
        <v>1</v>
      </c>
      <c r="K395" s="175">
        <v>157</v>
      </c>
      <c r="L395" s="175">
        <v>1</v>
      </c>
      <c r="M395" s="175">
        <v>1</v>
      </c>
      <c r="N395" s="175">
        <v>1</v>
      </c>
    </row>
    <row r="396" spans="6:14" x14ac:dyDescent="0.2">
      <c r="F396" s="175">
        <v>158</v>
      </c>
      <c r="G396" s="175" t="b">
        <v>1</v>
      </c>
      <c r="H396" s="175" t="b">
        <v>1</v>
      </c>
      <c r="I396" s="175" t="b">
        <v>1</v>
      </c>
      <c r="K396" s="175">
        <v>158</v>
      </c>
      <c r="L396" s="175">
        <v>1</v>
      </c>
      <c r="M396" s="175">
        <v>1</v>
      </c>
      <c r="N396" s="175">
        <v>1</v>
      </c>
    </row>
    <row r="397" spans="6:14" x14ac:dyDescent="0.2">
      <c r="F397" s="175">
        <v>159</v>
      </c>
      <c r="G397" s="175" t="b">
        <v>1</v>
      </c>
      <c r="H397" s="175" t="b">
        <v>1</v>
      </c>
      <c r="I397" s="175" t="b">
        <v>1</v>
      </c>
      <c r="K397" s="175">
        <v>159</v>
      </c>
      <c r="L397" s="175">
        <v>1</v>
      </c>
      <c r="M397" s="175">
        <v>1</v>
      </c>
      <c r="N397" s="175">
        <v>1</v>
      </c>
    </row>
    <row r="398" spans="6:14" x14ac:dyDescent="0.2">
      <c r="F398" s="175">
        <v>160</v>
      </c>
      <c r="G398" s="175" t="b">
        <v>1</v>
      </c>
      <c r="H398" s="175" t="b">
        <v>1</v>
      </c>
      <c r="I398" s="175" t="b">
        <v>1</v>
      </c>
      <c r="K398" s="175">
        <v>160</v>
      </c>
      <c r="L398" s="175">
        <v>1</v>
      </c>
      <c r="M398" s="175">
        <v>1</v>
      </c>
      <c r="N398" s="175">
        <v>1</v>
      </c>
    </row>
    <row r="399" spans="6:14" x14ac:dyDescent="0.2">
      <c r="F399" s="175">
        <v>161</v>
      </c>
      <c r="G399" s="175" t="b">
        <v>1</v>
      </c>
      <c r="H399" s="175" t="b">
        <v>1</v>
      </c>
      <c r="I399" s="175" t="b">
        <v>1</v>
      </c>
      <c r="K399" s="175">
        <v>161</v>
      </c>
      <c r="L399" s="175">
        <v>1</v>
      </c>
      <c r="M399" s="175">
        <v>1</v>
      </c>
      <c r="N399" s="175">
        <v>1</v>
      </c>
    </row>
    <row r="400" spans="6:14" x14ac:dyDescent="0.2">
      <c r="F400" s="175">
        <v>162</v>
      </c>
      <c r="G400" s="175" t="b">
        <v>1</v>
      </c>
      <c r="H400" s="175" t="b">
        <v>1</v>
      </c>
      <c r="I400" s="175" t="b">
        <v>1</v>
      </c>
      <c r="K400" s="175">
        <v>162</v>
      </c>
      <c r="L400" s="175">
        <v>1</v>
      </c>
      <c r="M400" s="175">
        <v>1</v>
      </c>
      <c r="N400" s="175">
        <v>1</v>
      </c>
    </row>
    <row r="401" spans="6:14" x14ac:dyDescent="0.2">
      <c r="F401" s="175">
        <v>163</v>
      </c>
      <c r="G401" s="175" t="b">
        <v>1</v>
      </c>
      <c r="H401" s="175" t="b">
        <v>1</v>
      </c>
      <c r="I401" s="175" t="b">
        <v>1</v>
      </c>
      <c r="K401" s="175">
        <v>163</v>
      </c>
      <c r="L401" s="175">
        <v>1</v>
      </c>
      <c r="M401" s="175">
        <v>1</v>
      </c>
      <c r="N401" s="175">
        <v>1</v>
      </c>
    </row>
    <row r="402" spans="6:14" x14ac:dyDescent="0.2">
      <c r="F402" s="175">
        <v>164</v>
      </c>
      <c r="G402" s="175" t="b">
        <v>1</v>
      </c>
      <c r="H402" s="175" t="b">
        <v>1</v>
      </c>
      <c r="I402" s="175" t="b">
        <v>1</v>
      </c>
      <c r="K402" s="175">
        <v>164</v>
      </c>
      <c r="L402" s="175">
        <v>1</v>
      </c>
      <c r="M402" s="175">
        <v>1</v>
      </c>
      <c r="N402" s="175">
        <v>1</v>
      </c>
    </row>
    <row r="403" spans="6:14" x14ac:dyDescent="0.2">
      <c r="F403" s="175">
        <v>165</v>
      </c>
      <c r="G403" s="175" t="b">
        <v>1</v>
      </c>
      <c r="H403" s="175" t="b">
        <v>1</v>
      </c>
      <c r="I403" s="175" t="b">
        <v>1</v>
      </c>
      <c r="K403" s="175">
        <v>165</v>
      </c>
      <c r="L403" s="175">
        <v>1</v>
      </c>
      <c r="M403" s="175">
        <v>1</v>
      </c>
      <c r="N403" s="175">
        <v>1</v>
      </c>
    </row>
    <row r="404" spans="6:14" x14ac:dyDescent="0.2">
      <c r="F404" s="175">
        <v>166</v>
      </c>
      <c r="G404" s="175" t="b">
        <v>1</v>
      </c>
      <c r="H404" s="175" t="b">
        <v>1</v>
      </c>
      <c r="I404" s="175" t="b">
        <v>1</v>
      </c>
      <c r="K404" s="175">
        <v>166</v>
      </c>
      <c r="L404" s="175">
        <v>1</v>
      </c>
      <c r="M404" s="175">
        <v>1</v>
      </c>
      <c r="N404" s="175">
        <v>1</v>
      </c>
    </row>
    <row r="405" spans="6:14" x14ac:dyDescent="0.2">
      <c r="F405" s="175">
        <v>167</v>
      </c>
      <c r="G405" s="175" t="b">
        <v>1</v>
      </c>
      <c r="H405" s="175" t="b">
        <v>1</v>
      </c>
      <c r="I405" s="175" t="b">
        <v>1</v>
      </c>
      <c r="K405" s="175">
        <v>167</v>
      </c>
      <c r="L405" s="175">
        <v>1</v>
      </c>
      <c r="M405" s="175">
        <v>1</v>
      </c>
      <c r="N405" s="175">
        <v>1</v>
      </c>
    </row>
    <row r="406" spans="6:14" x14ac:dyDescent="0.2">
      <c r="F406" s="175">
        <v>168</v>
      </c>
      <c r="G406" s="175" t="b">
        <v>1</v>
      </c>
      <c r="H406" s="175" t="b">
        <v>1</v>
      </c>
      <c r="I406" s="175" t="b">
        <v>1</v>
      </c>
      <c r="K406" s="175">
        <v>168</v>
      </c>
      <c r="L406" s="175">
        <v>1</v>
      </c>
      <c r="M406" s="175">
        <v>1</v>
      </c>
      <c r="N406" s="175">
        <v>1</v>
      </c>
    </row>
    <row r="407" spans="6:14" x14ac:dyDescent="0.2">
      <c r="F407" s="175">
        <v>169</v>
      </c>
      <c r="G407" s="175" t="b">
        <v>1</v>
      </c>
      <c r="H407" s="175" t="b">
        <v>1</v>
      </c>
      <c r="I407" s="175" t="b">
        <v>1</v>
      </c>
      <c r="K407" s="175">
        <v>169</v>
      </c>
      <c r="L407" s="175">
        <v>1</v>
      </c>
      <c r="M407" s="175">
        <v>1</v>
      </c>
      <c r="N407" s="175">
        <v>1</v>
      </c>
    </row>
    <row r="408" spans="6:14" x14ac:dyDescent="0.2">
      <c r="F408" s="175">
        <v>170</v>
      </c>
      <c r="G408" s="175" t="b">
        <v>1</v>
      </c>
      <c r="H408" s="175" t="b">
        <v>1</v>
      </c>
      <c r="I408" s="175" t="b">
        <v>1</v>
      </c>
      <c r="K408" s="175">
        <v>170</v>
      </c>
      <c r="L408" s="175">
        <v>1</v>
      </c>
      <c r="M408" s="175">
        <v>1</v>
      </c>
      <c r="N408" s="175">
        <v>1</v>
      </c>
    </row>
    <row r="409" spans="6:14" x14ac:dyDescent="0.2">
      <c r="F409" s="175">
        <v>171</v>
      </c>
      <c r="G409" s="175" t="b">
        <v>1</v>
      </c>
      <c r="H409" s="175" t="b">
        <v>1</v>
      </c>
      <c r="I409" s="175" t="b">
        <v>1</v>
      </c>
      <c r="K409" s="175">
        <v>171</v>
      </c>
      <c r="L409" s="175">
        <v>1</v>
      </c>
      <c r="M409" s="175">
        <v>1</v>
      </c>
      <c r="N409" s="175">
        <v>1</v>
      </c>
    </row>
    <row r="410" spans="6:14" x14ac:dyDescent="0.2">
      <c r="F410" s="175">
        <v>172</v>
      </c>
      <c r="G410" s="175" t="b">
        <v>1</v>
      </c>
      <c r="H410" s="175" t="b">
        <v>1</v>
      </c>
      <c r="I410" s="175" t="b">
        <v>1</v>
      </c>
      <c r="K410" s="175">
        <v>172</v>
      </c>
      <c r="L410" s="175">
        <v>1</v>
      </c>
      <c r="M410" s="175">
        <v>1</v>
      </c>
      <c r="N410" s="175">
        <v>1</v>
      </c>
    </row>
    <row r="411" spans="6:14" x14ac:dyDescent="0.2">
      <c r="F411" s="175">
        <v>173</v>
      </c>
      <c r="G411" s="175" t="b">
        <v>1</v>
      </c>
      <c r="H411" s="175" t="b">
        <v>1</v>
      </c>
      <c r="I411" s="175" t="b">
        <v>1</v>
      </c>
      <c r="K411" s="175">
        <v>173</v>
      </c>
      <c r="L411" s="175">
        <v>1</v>
      </c>
      <c r="M411" s="175">
        <v>1</v>
      </c>
      <c r="N411" s="175">
        <v>1</v>
      </c>
    </row>
    <row r="412" spans="6:14" x14ac:dyDescent="0.2">
      <c r="F412" s="175">
        <v>174</v>
      </c>
      <c r="G412" s="175" t="b">
        <v>1</v>
      </c>
      <c r="H412" s="175" t="b">
        <v>1</v>
      </c>
      <c r="I412" s="175" t="b">
        <v>1</v>
      </c>
      <c r="K412" s="175">
        <v>174</v>
      </c>
      <c r="L412" s="175">
        <v>1</v>
      </c>
      <c r="M412" s="175">
        <v>1</v>
      </c>
      <c r="N412" s="175">
        <v>1</v>
      </c>
    </row>
    <row r="413" spans="6:14" x14ac:dyDescent="0.2">
      <c r="F413" s="175">
        <v>175</v>
      </c>
      <c r="G413" s="175" t="b">
        <v>1</v>
      </c>
      <c r="H413" s="175" t="b">
        <v>1</v>
      </c>
      <c r="I413" s="175" t="b">
        <v>1</v>
      </c>
      <c r="K413" s="175">
        <v>175</v>
      </c>
      <c r="L413" s="175">
        <v>1</v>
      </c>
      <c r="M413" s="175">
        <v>1</v>
      </c>
      <c r="N413" s="175">
        <v>1</v>
      </c>
    </row>
    <row r="414" spans="6:14" x14ac:dyDescent="0.2">
      <c r="F414" s="175">
        <v>176</v>
      </c>
      <c r="G414" s="175" t="b">
        <v>1</v>
      </c>
      <c r="H414" s="175" t="b">
        <v>1</v>
      </c>
      <c r="I414" s="175" t="b">
        <v>1</v>
      </c>
      <c r="K414" s="175">
        <v>176</v>
      </c>
      <c r="L414" s="175">
        <v>1</v>
      </c>
      <c r="M414" s="175">
        <v>1</v>
      </c>
      <c r="N414" s="175">
        <v>1</v>
      </c>
    </row>
    <row r="415" spans="6:14" x14ac:dyDescent="0.2">
      <c r="F415" s="175">
        <v>177</v>
      </c>
      <c r="G415" s="175" t="b">
        <v>1</v>
      </c>
      <c r="H415" s="175" t="b">
        <v>1</v>
      </c>
      <c r="I415" s="175" t="b">
        <v>1</v>
      </c>
      <c r="K415" s="175">
        <v>177</v>
      </c>
      <c r="L415" s="175">
        <v>1</v>
      </c>
      <c r="M415" s="175">
        <v>1</v>
      </c>
      <c r="N415" s="175">
        <v>1</v>
      </c>
    </row>
    <row r="416" spans="6:14" x14ac:dyDescent="0.2">
      <c r="F416" s="175">
        <v>178</v>
      </c>
      <c r="G416" s="175" t="b">
        <v>1</v>
      </c>
      <c r="H416" s="175" t="b">
        <v>1</v>
      </c>
      <c r="I416" s="175" t="b">
        <v>1</v>
      </c>
      <c r="K416" s="175">
        <v>178</v>
      </c>
      <c r="L416" s="175">
        <v>1</v>
      </c>
      <c r="M416" s="175">
        <v>1</v>
      </c>
      <c r="N416" s="175">
        <v>1</v>
      </c>
    </row>
    <row r="417" spans="6:14" x14ac:dyDescent="0.2">
      <c r="F417" s="175">
        <v>179</v>
      </c>
      <c r="G417" s="175" t="b">
        <v>1</v>
      </c>
      <c r="H417" s="175" t="b">
        <v>1</v>
      </c>
      <c r="I417" s="175" t="b">
        <v>1</v>
      </c>
      <c r="K417" s="175">
        <v>179</v>
      </c>
      <c r="L417" s="175">
        <v>1</v>
      </c>
      <c r="M417" s="175">
        <v>1</v>
      </c>
      <c r="N417" s="175">
        <v>1</v>
      </c>
    </row>
    <row r="418" spans="6:14" x14ac:dyDescent="0.2">
      <c r="F418" s="175">
        <v>180</v>
      </c>
      <c r="G418" s="175" t="b">
        <v>1</v>
      </c>
      <c r="H418" s="175" t="b">
        <v>1</v>
      </c>
      <c r="I418" s="175" t="b">
        <v>1</v>
      </c>
      <c r="K418" s="175">
        <v>180</v>
      </c>
      <c r="L418" s="175">
        <v>1</v>
      </c>
      <c r="M418" s="175">
        <v>1</v>
      </c>
      <c r="N418" s="175">
        <v>1</v>
      </c>
    </row>
    <row r="419" spans="6:14" x14ac:dyDescent="0.2">
      <c r="F419" s="175">
        <v>181</v>
      </c>
      <c r="G419" s="175" t="b">
        <v>1</v>
      </c>
      <c r="H419" s="175" t="b">
        <v>1</v>
      </c>
      <c r="I419" s="175" t="b">
        <v>1</v>
      </c>
      <c r="K419" s="175">
        <v>181</v>
      </c>
      <c r="L419" s="175">
        <v>1</v>
      </c>
      <c r="M419" s="175">
        <v>1</v>
      </c>
      <c r="N419" s="175">
        <v>1</v>
      </c>
    </row>
    <row r="420" spans="6:14" x14ac:dyDescent="0.2">
      <c r="F420" s="175">
        <v>182</v>
      </c>
      <c r="G420" s="175" t="b">
        <v>1</v>
      </c>
      <c r="H420" s="175" t="b">
        <v>1</v>
      </c>
      <c r="I420" s="175" t="b">
        <v>1</v>
      </c>
      <c r="K420" s="175">
        <v>182</v>
      </c>
      <c r="L420" s="175">
        <v>1</v>
      </c>
      <c r="M420" s="175">
        <v>1</v>
      </c>
      <c r="N420" s="175">
        <v>1</v>
      </c>
    </row>
    <row r="421" spans="6:14" x14ac:dyDescent="0.2">
      <c r="F421" s="175">
        <v>183</v>
      </c>
      <c r="G421" s="175" t="b">
        <v>1</v>
      </c>
      <c r="H421" s="175" t="b">
        <v>1</v>
      </c>
      <c r="I421" s="175" t="b">
        <v>1</v>
      </c>
      <c r="K421" s="175">
        <v>183</v>
      </c>
      <c r="L421" s="175">
        <v>1</v>
      </c>
      <c r="M421" s="175">
        <v>1</v>
      </c>
      <c r="N421" s="175">
        <v>1</v>
      </c>
    </row>
    <row r="422" spans="6:14" x14ac:dyDescent="0.2">
      <c r="F422" s="175">
        <v>184</v>
      </c>
      <c r="G422" s="175" t="b">
        <v>1</v>
      </c>
      <c r="H422" s="175" t="b">
        <v>1</v>
      </c>
      <c r="I422" s="175" t="b">
        <v>1</v>
      </c>
      <c r="K422" s="175">
        <v>184</v>
      </c>
      <c r="L422" s="175">
        <v>1</v>
      </c>
      <c r="M422" s="175">
        <v>1</v>
      </c>
      <c r="N422" s="175">
        <v>1</v>
      </c>
    </row>
    <row r="423" spans="6:14" x14ac:dyDescent="0.2">
      <c r="F423" s="175">
        <v>185</v>
      </c>
      <c r="G423" s="175" t="b">
        <v>1</v>
      </c>
      <c r="H423" s="175" t="b">
        <v>1</v>
      </c>
      <c r="I423" s="175" t="b">
        <v>1</v>
      </c>
      <c r="K423" s="175">
        <v>185</v>
      </c>
      <c r="L423" s="175">
        <v>1</v>
      </c>
      <c r="M423" s="175">
        <v>1</v>
      </c>
      <c r="N423" s="175">
        <v>1</v>
      </c>
    </row>
    <row r="424" spans="6:14" x14ac:dyDescent="0.2">
      <c r="F424" s="175">
        <v>186</v>
      </c>
      <c r="G424" s="175" t="b">
        <v>1</v>
      </c>
      <c r="H424" s="175" t="b">
        <v>1</v>
      </c>
      <c r="I424" s="175" t="b">
        <v>1</v>
      </c>
      <c r="K424" s="175">
        <v>186</v>
      </c>
      <c r="L424" s="175">
        <v>1</v>
      </c>
      <c r="M424" s="175">
        <v>1</v>
      </c>
      <c r="N424" s="175">
        <v>1</v>
      </c>
    </row>
    <row r="425" spans="6:14" x14ac:dyDescent="0.2">
      <c r="F425" s="175">
        <v>187</v>
      </c>
      <c r="G425" s="175" t="b">
        <v>1</v>
      </c>
      <c r="H425" s="175" t="b">
        <v>1</v>
      </c>
      <c r="I425" s="175" t="b">
        <v>1</v>
      </c>
      <c r="K425" s="175">
        <v>187</v>
      </c>
      <c r="L425" s="175">
        <v>1</v>
      </c>
      <c r="M425" s="175">
        <v>1</v>
      </c>
      <c r="N425" s="175">
        <v>1</v>
      </c>
    </row>
    <row r="426" spans="6:14" x14ac:dyDescent="0.2">
      <c r="F426" s="175">
        <v>188</v>
      </c>
      <c r="G426" s="175" t="b">
        <v>1</v>
      </c>
      <c r="H426" s="175" t="b">
        <v>1</v>
      </c>
      <c r="I426" s="175" t="b">
        <v>1</v>
      </c>
      <c r="K426" s="175">
        <v>188</v>
      </c>
      <c r="L426" s="175">
        <v>1</v>
      </c>
      <c r="M426" s="175">
        <v>1</v>
      </c>
      <c r="N426" s="175">
        <v>1</v>
      </c>
    </row>
    <row r="427" spans="6:14" x14ac:dyDescent="0.2">
      <c r="F427" s="175">
        <v>189</v>
      </c>
      <c r="G427" s="175" t="b">
        <v>1</v>
      </c>
      <c r="H427" s="175" t="b">
        <v>1</v>
      </c>
      <c r="I427" s="175" t="b">
        <v>1</v>
      </c>
      <c r="K427" s="175">
        <v>189</v>
      </c>
      <c r="L427" s="175">
        <v>1</v>
      </c>
      <c r="M427" s="175">
        <v>1</v>
      </c>
      <c r="N427" s="175">
        <v>1</v>
      </c>
    </row>
    <row r="428" spans="6:14" x14ac:dyDescent="0.2">
      <c r="F428" s="175">
        <v>190</v>
      </c>
      <c r="G428" s="175" t="b">
        <v>1</v>
      </c>
      <c r="H428" s="175" t="b">
        <v>1</v>
      </c>
      <c r="I428" s="175" t="b">
        <v>1</v>
      </c>
      <c r="K428" s="175">
        <v>190</v>
      </c>
      <c r="L428" s="175">
        <v>1</v>
      </c>
      <c r="M428" s="175">
        <v>1</v>
      </c>
      <c r="N428" s="175">
        <v>1</v>
      </c>
    </row>
    <row r="429" spans="6:14" x14ac:dyDescent="0.2">
      <c r="F429" s="175">
        <v>191</v>
      </c>
      <c r="G429" s="175" t="b">
        <v>1</v>
      </c>
      <c r="H429" s="175" t="b">
        <v>1</v>
      </c>
      <c r="I429" s="175" t="b">
        <v>1</v>
      </c>
      <c r="K429" s="175">
        <v>191</v>
      </c>
      <c r="L429" s="175">
        <v>1</v>
      </c>
      <c r="M429" s="175">
        <v>1</v>
      </c>
      <c r="N429" s="175">
        <v>1</v>
      </c>
    </row>
    <row r="430" spans="6:14" x14ac:dyDescent="0.2">
      <c r="F430" s="175">
        <v>192</v>
      </c>
      <c r="G430" s="175" t="b">
        <v>1</v>
      </c>
      <c r="H430" s="175" t="b">
        <v>1</v>
      </c>
      <c r="I430" s="175" t="b">
        <v>1</v>
      </c>
      <c r="K430" s="175">
        <v>192</v>
      </c>
      <c r="L430" s="175">
        <v>1</v>
      </c>
      <c r="M430" s="175">
        <v>1</v>
      </c>
      <c r="N430" s="175">
        <v>1</v>
      </c>
    </row>
    <row r="431" spans="6:14" x14ac:dyDescent="0.2">
      <c r="F431" s="175">
        <v>193</v>
      </c>
      <c r="G431" s="175" t="b">
        <v>1</v>
      </c>
      <c r="H431" s="175" t="b">
        <v>1</v>
      </c>
      <c r="I431" s="175" t="b">
        <v>1</v>
      </c>
      <c r="K431" s="175">
        <v>193</v>
      </c>
      <c r="L431" s="175">
        <v>1</v>
      </c>
      <c r="M431" s="175">
        <v>1</v>
      </c>
      <c r="N431" s="175">
        <v>1</v>
      </c>
    </row>
    <row r="432" spans="6:14" x14ac:dyDescent="0.2">
      <c r="F432" s="175">
        <v>194</v>
      </c>
      <c r="G432" s="175" t="b">
        <v>1</v>
      </c>
      <c r="H432" s="175" t="b">
        <v>1</v>
      </c>
      <c r="I432" s="175" t="b">
        <v>1</v>
      </c>
      <c r="K432" s="175">
        <v>194</v>
      </c>
      <c r="L432" s="175">
        <v>1</v>
      </c>
      <c r="M432" s="175">
        <v>1</v>
      </c>
      <c r="N432" s="175">
        <v>1</v>
      </c>
    </row>
    <row r="433" spans="6:14" x14ac:dyDescent="0.2">
      <c r="F433" s="175">
        <v>195</v>
      </c>
      <c r="G433" s="175" t="b">
        <v>1</v>
      </c>
      <c r="H433" s="175" t="b">
        <v>1</v>
      </c>
      <c r="I433" s="175" t="b">
        <v>1</v>
      </c>
      <c r="K433" s="175">
        <v>195</v>
      </c>
      <c r="L433" s="175">
        <v>1</v>
      </c>
      <c r="M433" s="175">
        <v>1</v>
      </c>
      <c r="N433" s="175">
        <v>1</v>
      </c>
    </row>
    <row r="434" spans="6:14" x14ac:dyDescent="0.2">
      <c r="F434" s="175">
        <v>196</v>
      </c>
      <c r="G434" s="175" t="b">
        <v>1</v>
      </c>
      <c r="H434" s="175" t="b">
        <v>1</v>
      </c>
      <c r="I434" s="175" t="b">
        <v>1</v>
      </c>
      <c r="K434" s="175">
        <v>196</v>
      </c>
      <c r="L434" s="175">
        <v>1</v>
      </c>
      <c r="M434" s="175">
        <v>1</v>
      </c>
      <c r="N434" s="175">
        <v>1</v>
      </c>
    </row>
    <row r="435" spans="6:14" x14ac:dyDescent="0.2">
      <c r="F435" s="175">
        <v>197</v>
      </c>
      <c r="G435" s="175" t="b">
        <v>1</v>
      </c>
      <c r="H435" s="175" t="b">
        <v>1</v>
      </c>
      <c r="I435" s="175" t="b">
        <v>1</v>
      </c>
      <c r="K435" s="175">
        <v>197</v>
      </c>
      <c r="L435" s="175">
        <v>1</v>
      </c>
      <c r="M435" s="175">
        <v>1</v>
      </c>
      <c r="N435" s="175">
        <v>1</v>
      </c>
    </row>
    <row r="436" spans="6:14" x14ac:dyDescent="0.2">
      <c r="F436" s="175">
        <v>198</v>
      </c>
      <c r="G436" s="175" t="b">
        <v>1</v>
      </c>
      <c r="H436" s="175" t="b">
        <v>1</v>
      </c>
      <c r="I436" s="175" t="b">
        <v>1</v>
      </c>
      <c r="K436" s="175">
        <v>198</v>
      </c>
      <c r="L436" s="175">
        <v>1</v>
      </c>
      <c r="M436" s="175">
        <v>1</v>
      </c>
      <c r="N436" s="175">
        <v>1</v>
      </c>
    </row>
    <row r="437" spans="6:14" x14ac:dyDescent="0.2">
      <c r="F437" s="175">
        <v>199</v>
      </c>
      <c r="G437" s="175" t="b">
        <v>1</v>
      </c>
      <c r="H437" s="175" t="b">
        <v>1</v>
      </c>
      <c r="I437" s="175" t="b">
        <v>1</v>
      </c>
      <c r="K437" s="175">
        <v>199</v>
      </c>
      <c r="L437" s="175">
        <v>1</v>
      </c>
      <c r="M437" s="175">
        <v>1</v>
      </c>
      <c r="N437" s="175">
        <v>1</v>
      </c>
    </row>
    <row r="438" spans="6:14" x14ac:dyDescent="0.2">
      <c r="F438" s="175">
        <v>200</v>
      </c>
      <c r="G438" s="175" t="b">
        <v>1</v>
      </c>
      <c r="H438" s="175" t="b">
        <v>1</v>
      </c>
      <c r="I438" s="175" t="b">
        <v>1</v>
      </c>
      <c r="K438" s="175">
        <v>200</v>
      </c>
      <c r="L438" s="175">
        <v>1</v>
      </c>
      <c r="M438" s="175">
        <v>1</v>
      </c>
      <c r="N438" s="175"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477" zoomScaleNormal="100" workbookViewId="0">
      <selection activeCell="M998" sqref="M998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299</v>
      </c>
      <c r="C2" s="203"/>
      <c r="E2" s="203" t="s">
        <v>117</v>
      </c>
      <c r="G2" s="203">
        <v>1</v>
      </c>
      <c r="H2" s="203" t="s">
        <v>12</v>
      </c>
      <c r="I2" s="203">
        <v>0.16666666666666666</v>
      </c>
    </row>
    <row r="3" spans="1:14" x14ac:dyDescent="0.2">
      <c r="A3" s="203">
        <v>1</v>
      </c>
      <c r="B3" s="203" t="s">
        <v>299</v>
      </c>
      <c r="C3" s="203"/>
      <c r="E3" s="203" t="s">
        <v>118</v>
      </c>
      <c r="G3" s="203">
        <v>2</v>
      </c>
      <c r="H3" s="203" t="s">
        <v>13</v>
      </c>
      <c r="I3" s="203">
        <v>0.33333333333333331</v>
      </c>
    </row>
    <row r="4" spans="1:14" x14ac:dyDescent="0.2">
      <c r="A4" s="203">
        <v>1</v>
      </c>
      <c r="B4" s="203" t="s">
        <v>299</v>
      </c>
      <c r="C4" s="203"/>
      <c r="E4" s="203" t="s">
        <v>119</v>
      </c>
      <c r="G4" s="203">
        <v>3</v>
      </c>
      <c r="H4" s="203" t="s">
        <v>14</v>
      </c>
      <c r="I4" s="203">
        <v>0.5</v>
      </c>
    </row>
    <row r="5" spans="1:14" x14ac:dyDescent="0.2">
      <c r="A5" s="203"/>
      <c r="C5" s="203"/>
      <c r="E5" s="203" t="s">
        <v>122</v>
      </c>
      <c r="G5" s="203">
        <v>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124</v>
      </c>
      <c r="C7" s="203"/>
      <c r="E7" s="203" t="s">
        <v>117</v>
      </c>
      <c r="G7" s="203">
        <v>4</v>
      </c>
      <c r="H7" s="203" t="s">
        <v>12</v>
      </c>
      <c r="I7" s="203">
        <v>0.26666666666666666</v>
      </c>
    </row>
    <row r="8" spans="1:14" x14ac:dyDescent="0.2">
      <c r="A8" s="203">
        <v>2</v>
      </c>
      <c r="B8" s="203" t="s">
        <v>124</v>
      </c>
      <c r="C8" s="203"/>
      <c r="E8" s="203" t="s">
        <v>118</v>
      </c>
      <c r="G8" s="203">
        <v>5</v>
      </c>
      <c r="H8" s="203" t="s">
        <v>13</v>
      </c>
      <c r="I8" s="203">
        <v>0.33333333333333331</v>
      </c>
    </row>
    <row r="9" spans="1:14" x14ac:dyDescent="0.2">
      <c r="A9" s="203">
        <v>2</v>
      </c>
      <c r="B9" s="203" t="s">
        <v>124</v>
      </c>
      <c r="C9" s="203"/>
      <c r="E9" s="203" t="s">
        <v>119</v>
      </c>
      <c r="G9" s="203">
        <v>6</v>
      </c>
      <c r="H9" s="203" t="s">
        <v>14</v>
      </c>
      <c r="I9" s="203">
        <v>0.4</v>
      </c>
    </row>
    <row r="10" spans="1:14" x14ac:dyDescent="0.2">
      <c r="A10" s="203"/>
      <c r="C10" s="203"/>
      <c r="E10" s="203" t="s">
        <v>122</v>
      </c>
      <c r="G10" s="203">
        <v>15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125</v>
      </c>
      <c r="C12" s="203"/>
      <c r="E12" s="203" t="s">
        <v>117</v>
      </c>
      <c r="G12" s="203">
        <v>7</v>
      </c>
      <c r="H12" s="203" t="s">
        <v>12</v>
      </c>
      <c r="I12" s="203">
        <v>0.29166666666666669</v>
      </c>
    </row>
    <row r="13" spans="1:14" x14ac:dyDescent="0.2">
      <c r="A13" s="203">
        <v>3</v>
      </c>
      <c r="B13" s="203" t="s">
        <v>125</v>
      </c>
      <c r="C13" s="203"/>
      <c r="E13" s="203" t="s">
        <v>118</v>
      </c>
      <c r="G13" s="203">
        <v>8</v>
      </c>
      <c r="H13" s="203" t="s">
        <v>13</v>
      </c>
      <c r="I13" s="203">
        <v>0.33333333333333331</v>
      </c>
    </row>
    <row r="14" spans="1:14" x14ac:dyDescent="0.2">
      <c r="A14" s="203">
        <v>3</v>
      </c>
      <c r="B14" s="203" t="s">
        <v>125</v>
      </c>
      <c r="C14" s="203"/>
      <c r="E14" s="203" t="s">
        <v>119</v>
      </c>
      <c r="G14" s="203">
        <v>9</v>
      </c>
      <c r="H14" s="203" t="s">
        <v>14</v>
      </c>
      <c r="I14" s="203">
        <v>0.375</v>
      </c>
    </row>
    <row r="15" spans="1:14" x14ac:dyDescent="0.2">
      <c r="A15" s="203"/>
      <c r="C15" s="203"/>
      <c r="E15" s="203" t="s">
        <v>122</v>
      </c>
      <c r="G15" s="203">
        <v>24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300</v>
      </c>
      <c r="C17" s="203"/>
      <c r="E17" s="203" t="s">
        <v>117</v>
      </c>
      <c r="G17" s="203">
        <v>10</v>
      </c>
      <c r="H17" s="203" t="s">
        <v>12</v>
      </c>
      <c r="I17" s="203">
        <v>0.30303030303030304</v>
      </c>
    </row>
    <row r="18" spans="1:9" x14ac:dyDescent="0.2">
      <c r="A18" s="203">
        <v>4</v>
      </c>
      <c r="B18" s="203" t="s">
        <v>300</v>
      </c>
      <c r="C18" s="203"/>
      <c r="E18" s="203" t="s">
        <v>118</v>
      </c>
      <c r="G18" s="203">
        <v>11</v>
      </c>
      <c r="H18" s="203" t="s">
        <v>13</v>
      </c>
      <c r="I18" s="203">
        <v>0.33333333333333331</v>
      </c>
    </row>
    <row r="19" spans="1:9" x14ac:dyDescent="0.2">
      <c r="A19" s="203">
        <v>4</v>
      </c>
      <c r="B19" s="203" t="s">
        <v>300</v>
      </c>
      <c r="C19" s="203"/>
      <c r="E19" s="203" t="s">
        <v>119</v>
      </c>
      <c r="G19" s="203">
        <v>12</v>
      </c>
      <c r="H19" s="203" t="s">
        <v>14</v>
      </c>
      <c r="I19" s="203">
        <v>0.36363636363636365</v>
      </c>
    </row>
    <row r="20" spans="1:9" x14ac:dyDescent="0.2">
      <c r="A20" s="203"/>
      <c r="C20" s="203"/>
      <c r="E20" s="203" t="s">
        <v>122</v>
      </c>
      <c r="G20" s="203">
        <v>33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301</v>
      </c>
      <c r="C22" s="203"/>
      <c r="E22" s="203" t="s">
        <v>117</v>
      </c>
      <c r="G22" s="203">
        <v>13</v>
      </c>
      <c r="H22" s="203" t="s">
        <v>12</v>
      </c>
      <c r="I22" s="203">
        <v>0.30952380952380953</v>
      </c>
    </row>
    <row r="23" spans="1:9" x14ac:dyDescent="0.2">
      <c r="A23" s="203">
        <v>5</v>
      </c>
      <c r="B23" s="203" t="s">
        <v>301</v>
      </c>
      <c r="C23" s="203"/>
      <c r="E23" s="203" t="s">
        <v>118</v>
      </c>
      <c r="G23" s="203">
        <v>14</v>
      </c>
      <c r="H23" s="203" t="s">
        <v>13</v>
      </c>
      <c r="I23" s="203">
        <v>0.33333333333333331</v>
      </c>
    </row>
    <row r="24" spans="1:9" x14ac:dyDescent="0.2">
      <c r="A24" s="203">
        <v>5</v>
      </c>
      <c r="B24" s="203" t="s">
        <v>301</v>
      </c>
      <c r="C24" s="203"/>
      <c r="E24" s="203" t="s">
        <v>119</v>
      </c>
      <c r="G24" s="203">
        <v>15</v>
      </c>
      <c r="H24" s="203" t="s">
        <v>14</v>
      </c>
      <c r="I24" s="203">
        <v>0.35714285714285715</v>
      </c>
    </row>
    <row r="25" spans="1:9" x14ac:dyDescent="0.2">
      <c r="A25" s="203"/>
      <c r="C25" s="203"/>
      <c r="E25" s="203" t="s">
        <v>122</v>
      </c>
      <c r="G25" s="203">
        <v>42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302</v>
      </c>
      <c r="C27" s="203"/>
      <c r="E27" s="203" t="s">
        <v>117</v>
      </c>
      <c r="G27" s="203">
        <v>16</v>
      </c>
      <c r="H27" s="203" t="s">
        <v>12</v>
      </c>
      <c r="I27" s="203">
        <v>0.31372549019607843</v>
      </c>
    </row>
    <row r="28" spans="1:9" x14ac:dyDescent="0.2">
      <c r="A28" s="203">
        <v>6</v>
      </c>
      <c r="B28" s="203" t="s">
        <v>302</v>
      </c>
      <c r="C28" s="203"/>
      <c r="E28" s="203" t="s">
        <v>118</v>
      </c>
      <c r="G28" s="203">
        <v>17</v>
      </c>
      <c r="H28" s="203" t="s">
        <v>13</v>
      </c>
      <c r="I28" s="203">
        <v>0.33333333333333331</v>
      </c>
    </row>
    <row r="29" spans="1:9" x14ac:dyDescent="0.2">
      <c r="A29" s="203">
        <v>6</v>
      </c>
      <c r="B29" s="203" t="s">
        <v>302</v>
      </c>
      <c r="C29" s="203"/>
      <c r="E29" s="203" t="s">
        <v>119</v>
      </c>
      <c r="G29" s="203">
        <v>18</v>
      </c>
      <c r="H29" s="203" t="s">
        <v>14</v>
      </c>
      <c r="I29" s="203">
        <v>0.35294117647058826</v>
      </c>
    </row>
    <row r="30" spans="1:9" x14ac:dyDescent="0.2">
      <c r="A30" s="203"/>
      <c r="C30" s="203"/>
      <c r="E30" s="203" t="s">
        <v>122</v>
      </c>
      <c r="G30" s="203">
        <v>51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303</v>
      </c>
      <c r="C32" s="203"/>
      <c r="E32" s="203" t="s">
        <v>117</v>
      </c>
      <c r="G32" s="203">
        <v>19</v>
      </c>
      <c r="H32" s="203" t="s">
        <v>12</v>
      </c>
      <c r="I32" s="203">
        <v>0.31666666666666665</v>
      </c>
    </row>
    <row r="33" spans="1:9" x14ac:dyDescent="0.2">
      <c r="A33" s="203">
        <v>7</v>
      </c>
      <c r="B33" s="203" t="s">
        <v>303</v>
      </c>
      <c r="C33" s="203"/>
      <c r="E33" s="203" t="s">
        <v>118</v>
      </c>
      <c r="G33" s="203">
        <v>20</v>
      </c>
      <c r="H33" s="203" t="s">
        <v>13</v>
      </c>
      <c r="I33" s="203">
        <v>0.33333333333333331</v>
      </c>
    </row>
    <row r="34" spans="1:9" x14ac:dyDescent="0.2">
      <c r="A34" s="203">
        <v>7</v>
      </c>
      <c r="B34" s="203" t="s">
        <v>303</v>
      </c>
      <c r="C34" s="203"/>
      <c r="E34" s="203" t="s">
        <v>119</v>
      </c>
      <c r="G34" s="203">
        <v>21</v>
      </c>
      <c r="H34" s="203" t="s">
        <v>14</v>
      </c>
      <c r="I34" s="203">
        <v>0.35</v>
      </c>
    </row>
    <row r="35" spans="1:9" x14ac:dyDescent="0.2">
      <c r="A35" s="203"/>
      <c r="C35" s="203"/>
      <c r="E35" s="203" t="s">
        <v>122</v>
      </c>
      <c r="G35" s="203">
        <v>60</v>
      </c>
      <c r="H35" s="203" t="s">
        <v>15</v>
      </c>
      <c r="I35" s="203">
        <v>0.99999999999999989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304</v>
      </c>
      <c r="C37" s="203"/>
      <c r="E37" s="203" t="s">
        <v>117</v>
      </c>
      <c r="G37" s="203">
        <v>22</v>
      </c>
      <c r="H37" s="203" t="s">
        <v>12</v>
      </c>
      <c r="I37" s="203">
        <v>0.3188405797101449</v>
      </c>
    </row>
    <row r="38" spans="1:9" x14ac:dyDescent="0.2">
      <c r="A38" s="203">
        <v>8</v>
      </c>
      <c r="B38" s="203" t="s">
        <v>304</v>
      </c>
      <c r="C38" s="203"/>
      <c r="E38" s="203" t="s">
        <v>118</v>
      </c>
      <c r="G38" s="203">
        <v>23</v>
      </c>
      <c r="H38" s="203" t="s">
        <v>13</v>
      </c>
      <c r="I38" s="203">
        <v>0.33333333333333331</v>
      </c>
    </row>
    <row r="39" spans="1:9" x14ac:dyDescent="0.2">
      <c r="A39" s="203">
        <v>8</v>
      </c>
      <c r="B39" s="203" t="s">
        <v>304</v>
      </c>
      <c r="C39" s="203"/>
      <c r="E39" s="203" t="s">
        <v>119</v>
      </c>
      <c r="G39" s="203">
        <v>24</v>
      </c>
      <c r="H39" s="203" t="s">
        <v>14</v>
      </c>
      <c r="I39" s="203">
        <v>0.34782608695652173</v>
      </c>
    </row>
    <row r="40" spans="1:9" x14ac:dyDescent="0.2">
      <c r="A40" s="203"/>
      <c r="C40" s="203"/>
      <c r="E40" s="203" t="s">
        <v>122</v>
      </c>
      <c r="G40" s="203">
        <v>69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305</v>
      </c>
      <c r="C42" s="203"/>
      <c r="E42" s="203" t="s">
        <v>117</v>
      </c>
      <c r="G42" s="203">
        <v>25</v>
      </c>
      <c r="H42" s="203" t="s">
        <v>12</v>
      </c>
      <c r="I42" s="203">
        <v>0.32051282051282054</v>
      </c>
    </row>
    <row r="43" spans="1:9" x14ac:dyDescent="0.2">
      <c r="A43" s="203">
        <v>9</v>
      </c>
      <c r="B43" s="203" t="s">
        <v>305</v>
      </c>
      <c r="C43" s="203"/>
      <c r="E43" s="203" t="s">
        <v>118</v>
      </c>
      <c r="G43" s="203">
        <v>26</v>
      </c>
      <c r="H43" s="203" t="s">
        <v>13</v>
      </c>
      <c r="I43" s="203">
        <v>0.33333333333333331</v>
      </c>
    </row>
    <row r="44" spans="1:9" x14ac:dyDescent="0.2">
      <c r="A44" s="203">
        <v>9</v>
      </c>
      <c r="B44" s="203" t="s">
        <v>305</v>
      </c>
      <c r="C44" s="203"/>
      <c r="E44" s="203" t="s">
        <v>119</v>
      </c>
      <c r="G44" s="203">
        <v>27</v>
      </c>
      <c r="H44" s="203" t="s">
        <v>14</v>
      </c>
      <c r="I44" s="203">
        <v>0.34615384615384615</v>
      </c>
    </row>
    <row r="45" spans="1:9" x14ac:dyDescent="0.2">
      <c r="A45" s="203"/>
      <c r="C45" s="203"/>
      <c r="E45" s="203" t="s">
        <v>122</v>
      </c>
      <c r="G45" s="203">
        <v>78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306</v>
      </c>
      <c r="C47" s="203"/>
      <c r="E47" s="203" t="s">
        <v>117</v>
      </c>
      <c r="G47" s="203">
        <v>28</v>
      </c>
      <c r="H47" s="203" t="s">
        <v>12</v>
      </c>
      <c r="I47" s="203">
        <v>0.32183908045977011</v>
      </c>
    </row>
    <row r="48" spans="1:9" x14ac:dyDescent="0.2">
      <c r="A48" s="203">
        <v>10</v>
      </c>
      <c r="B48" s="203" t="s">
        <v>306</v>
      </c>
      <c r="C48" s="203"/>
      <c r="E48" s="203" t="s">
        <v>118</v>
      </c>
      <c r="G48" s="203">
        <v>29</v>
      </c>
      <c r="H48" s="203" t="s">
        <v>13</v>
      </c>
      <c r="I48" s="203">
        <v>0.33333333333333331</v>
      </c>
    </row>
    <row r="49" spans="1:9" x14ac:dyDescent="0.2">
      <c r="A49" s="203">
        <v>10</v>
      </c>
      <c r="B49" s="203" t="s">
        <v>306</v>
      </c>
      <c r="C49" s="203"/>
      <c r="E49" s="203" t="s">
        <v>119</v>
      </c>
      <c r="G49" s="203">
        <v>30</v>
      </c>
      <c r="H49" s="203" t="s">
        <v>14</v>
      </c>
      <c r="I49" s="203">
        <v>0.34482758620689657</v>
      </c>
    </row>
    <row r="50" spans="1:9" x14ac:dyDescent="0.2">
      <c r="A50" s="203"/>
      <c r="C50" s="203"/>
      <c r="E50" s="203" t="s">
        <v>122</v>
      </c>
      <c r="G50" s="203">
        <v>87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307</v>
      </c>
      <c r="C52" s="203"/>
      <c r="E52" s="203" t="s">
        <v>117</v>
      </c>
      <c r="G52" s="203">
        <v>31</v>
      </c>
      <c r="H52" s="203" t="s">
        <v>12</v>
      </c>
      <c r="I52" s="203">
        <v>0.32291666666666669</v>
      </c>
    </row>
    <row r="53" spans="1:9" x14ac:dyDescent="0.2">
      <c r="A53" s="203">
        <v>11</v>
      </c>
      <c r="B53" s="203" t="s">
        <v>307</v>
      </c>
      <c r="C53" s="203"/>
      <c r="E53" s="203" t="s">
        <v>118</v>
      </c>
      <c r="G53" s="203">
        <v>32</v>
      </c>
      <c r="H53" s="203" t="s">
        <v>13</v>
      </c>
      <c r="I53" s="203">
        <v>0.33333333333333331</v>
      </c>
    </row>
    <row r="54" spans="1:9" x14ac:dyDescent="0.2">
      <c r="A54" s="203">
        <v>11</v>
      </c>
      <c r="B54" s="203" t="s">
        <v>307</v>
      </c>
      <c r="C54" s="203"/>
      <c r="E54" s="203" t="s">
        <v>119</v>
      </c>
      <c r="G54" s="203">
        <v>33</v>
      </c>
      <c r="H54" s="203" t="s">
        <v>14</v>
      </c>
      <c r="I54" s="203">
        <v>0.34375</v>
      </c>
    </row>
    <row r="55" spans="1:9" x14ac:dyDescent="0.2">
      <c r="A55" s="203"/>
      <c r="C55" s="203"/>
      <c r="E55" s="203" t="s">
        <v>122</v>
      </c>
      <c r="G55" s="203">
        <v>96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308</v>
      </c>
      <c r="C57" s="203"/>
      <c r="E57" s="203" t="s">
        <v>117</v>
      </c>
      <c r="G57" s="203">
        <v>34</v>
      </c>
      <c r="H57" s="203" t="s">
        <v>12</v>
      </c>
      <c r="I57" s="203">
        <v>0.32380952380952382</v>
      </c>
    </row>
    <row r="58" spans="1:9" x14ac:dyDescent="0.2">
      <c r="A58" s="203">
        <v>12</v>
      </c>
      <c r="B58" s="203" t="s">
        <v>308</v>
      </c>
      <c r="C58" s="203"/>
      <c r="E58" s="203" t="s">
        <v>118</v>
      </c>
      <c r="G58" s="203">
        <v>35</v>
      </c>
      <c r="H58" s="203" t="s">
        <v>13</v>
      </c>
      <c r="I58" s="203">
        <v>0.33333333333333331</v>
      </c>
    </row>
    <row r="59" spans="1:9" x14ac:dyDescent="0.2">
      <c r="A59" s="203">
        <v>12</v>
      </c>
      <c r="B59" s="203" t="s">
        <v>308</v>
      </c>
      <c r="C59" s="203"/>
      <c r="E59" s="203" t="s">
        <v>119</v>
      </c>
      <c r="G59" s="203">
        <v>36</v>
      </c>
      <c r="H59" s="203" t="s">
        <v>14</v>
      </c>
      <c r="I59" s="203">
        <v>0.34285714285714286</v>
      </c>
    </row>
    <row r="60" spans="1:9" x14ac:dyDescent="0.2">
      <c r="A60" s="203"/>
      <c r="C60" s="203"/>
      <c r="E60" s="203" t="s">
        <v>122</v>
      </c>
      <c r="G60" s="203">
        <v>105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>
        <v>13</v>
      </c>
      <c r="B62" s="203" t="s">
        <v>309</v>
      </c>
      <c r="C62" s="203"/>
      <c r="E62" s="203" t="s">
        <v>117</v>
      </c>
      <c r="G62" s="203">
        <v>37</v>
      </c>
      <c r="H62" s="203" t="s">
        <v>12</v>
      </c>
      <c r="I62" s="203">
        <v>0.32456140350877194</v>
      </c>
    </row>
    <row r="63" spans="1:9" x14ac:dyDescent="0.2">
      <c r="A63" s="203">
        <v>13</v>
      </c>
      <c r="B63" s="203" t="s">
        <v>309</v>
      </c>
      <c r="C63" s="203"/>
      <c r="E63" s="203" t="s">
        <v>118</v>
      </c>
      <c r="G63" s="203">
        <v>38</v>
      </c>
      <c r="H63" s="203" t="s">
        <v>13</v>
      </c>
      <c r="I63" s="203">
        <v>0.33333333333333331</v>
      </c>
    </row>
    <row r="64" spans="1:9" x14ac:dyDescent="0.2">
      <c r="A64" s="203">
        <v>13</v>
      </c>
      <c r="B64" s="203" t="s">
        <v>309</v>
      </c>
      <c r="C64" s="203"/>
      <c r="E64" s="203" t="s">
        <v>119</v>
      </c>
      <c r="G64" s="203">
        <v>39</v>
      </c>
      <c r="H64" s="203" t="s">
        <v>14</v>
      </c>
      <c r="I64" s="203">
        <v>0.34210526315789475</v>
      </c>
    </row>
    <row r="65" spans="1:9" x14ac:dyDescent="0.2">
      <c r="A65" s="203"/>
      <c r="C65" s="203"/>
      <c r="E65" s="203" t="s">
        <v>122</v>
      </c>
      <c r="G65" s="203">
        <v>114</v>
      </c>
      <c r="H65" s="203" t="s">
        <v>15</v>
      </c>
      <c r="I65" s="203">
        <v>1</v>
      </c>
    </row>
    <row r="66" spans="1:9" x14ac:dyDescent="0.2">
      <c r="A66" s="203"/>
      <c r="C66" s="203"/>
    </row>
    <row r="67" spans="1:9" x14ac:dyDescent="0.2">
      <c r="A67" s="203">
        <v>14</v>
      </c>
      <c r="B67" s="203" t="s">
        <v>123</v>
      </c>
      <c r="C67" s="203"/>
      <c r="E67" s="203" t="s">
        <v>117</v>
      </c>
      <c r="G67" s="203">
        <v>40</v>
      </c>
      <c r="H67" s="203" t="s">
        <v>12</v>
      </c>
      <c r="I67" s="203">
        <v>0.32520325203252032</v>
      </c>
    </row>
    <row r="68" spans="1:9" x14ac:dyDescent="0.2">
      <c r="A68" s="203">
        <v>14</v>
      </c>
      <c r="B68" s="203" t="s">
        <v>123</v>
      </c>
      <c r="C68" s="203"/>
      <c r="E68" s="203" t="s">
        <v>118</v>
      </c>
      <c r="G68" s="203">
        <v>41</v>
      </c>
      <c r="H68" s="203" t="s">
        <v>13</v>
      </c>
      <c r="I68" s="203">
        <v>0.33333333333333331</v>
      </c>
    </row>
    <row r="69" spans="1:9" x14ac:dyDescent="0.2">
      <c r="A69" s="203">
        <v>14</v>
      </c>
      <c r="B69" s="203" t="s">
        <v>123</v>
      </c>
      <c r="C69" s="203"/>
      <c r="E69" s="203" t="s">
        <v>119</v>
      </c>
      <c r="G69" s="203">
        <v>42</v>
      </c>
      <c r="H69" s="203" t="s">
        <v>14</v>
      </c>
      <c r="I69" s="203">
        <v>0.34146341463414637</v>
      </c>
    </row>
    <row r="70" spans="1:9" x14ac:dyDescent="0.2">
      <c r="A70" s="203"/>
      <c r="C70" s="203"/>
      <c r="E70" s="203" t="s">
        <v>122</v>
      </c>
      <c r="G70" s="203">
        <v>123</v>
      </c>
      <c r="H70" s="203" t="s">
        <v>15</v>
      </c>
      <c r="I70" s="203">
        <v>1</v>
      </c>
    </row>
    <row r="71" spans="1:9" x14ac:dyDescent="0.2">
      <c r="A71" s="203"/>
      <c r="C71" s="203"/>
    </row>
    <row r="72" spans="1:9" x14ac:dyDescent="0.2">
      <c r="A72" s="203">
        <v>15</v>
      </c>
      <c r="B72" s="203" t="s">
        <v>128</v>
      </c>
      <c r="C72" s="203"/>
      <c r="E72" s="203" t="s">
        <v>117</v>
      </c>
      <c r="G72" s="203">
        <v>43</v>
      </c>
      <c r="H72" s="203" t="s">
        <v>12</v>
      </c>
      <c r="I72" s="203">
        <v>0.32575757575757575</v>
      </c>
    </row>
    <row r="73" spans="1:9" x14ac:dyDescent="0.2">
      <c r="A73" s="203">
        <v>15</v>
      </c>
      <c r="B73" s="203" t="s">
        <v>128</v>
      </c>
      <c r="C73" s="203"/>
      <c r="E73" s="203" t="s">
        <v>118</v>
      </c>
      <c r="G73" s="203">
        <v>44</v>
      </c>
      <c r="H73" s="203" t="s">
        <v>13</v>
      </c>
      <c r="I73" s="203">
        <v>0.33333333333333331</v>
      </c>
    </row>
    <row r="74" spans="1:9" x14ac:dyDescent="0.2">
      <c r="A74" s="203">
        <v>15</v>
      </c>
      <c r="B74" s="203" t="s">
        <v>128</v>
      </c>
      <c r="C74" s="203"/>
      <c r="E74" s="203" t="s">
        <v>119</v>
      </c>
      <c r="G74" s="203">
        <v>45</v>
      </c>
      <c r="H74" s="203" t="s">
        <v>14</v>
      </c>
      <c r="I74" s="203">
        <v>0.34090909090909088</v>
      </c>
    </row>
    <row r="75" spans="1:9" x14ac:dyDescent="0.2">
      <c r="A75" s="203"/>
      <c r="C75" s="203"/>
      <c r="E75" s="203" t="s">
        <v>122</v>
      </c>
      <c r="G75" s="203">
        <v>132</v>
      </c>
      <c r="H75" s="203" t="s">
        <v>15</v>
      </c>
      <c r="I75" s="203">
        <v>1</v>
      </c>
    </row>
    <row r="76" spans="1:9" x14ac:dyDescent="0.2">
      <c r="A76" s="203"/>
      <c r="C76" s="203"/>
    </row>
    <row r="77" spans="1:9" ht="16.5" customHeight="1" x14ac:dyDescent="0.2">
      <c r="A77" s="203">
        <v>16</v>
      </c>
      <c r="B77" s="203" t="s">
        <v>130</v>
      </c>
      <c r="C77" s="203"/>
      <c r="E77" s="203" t="s">
        <v>117</v>
      </c>
      <c r="G77" s="203">
        <v>46</v>
      </c>
      <c r="H77" s="203" t="s">
        <v>12</v>
      </c>
      <c r="I77" s="203">
        <v>0.32624113475177308</v>
      </c>
    </row>
    <row r="78" spans="1:9" x14ac:dyDescent="0.2">
      <c r="A78" s="203">
        <v>16</v>
      </c>
      <c r="B78" s="203" t="s">
        <v>130</v>
      </c>
      <c r="C78" s="203"/>
      <c r="E78" s="203" t="s">
        <v>118</v>
      </c>
      <c r="G78" s="203">
        <v>47</v>
      </c>
      <c r="H78" s="203" t="s">
        <v>13</v>
      </c>
      <c r="I78" s="203">
        <v>0.33333333333333331</v>
      </c>
    </row>
    <row r="79" spans="1:9" x14ac:dyDescent="0.2">
      <c r="A79" s="203">
        <v>16</v>
      </c>
      <c r="B79" s="203" t="s">
        <v>130</v>
      </c>
      <c r="C79" s="203"/>
      <c r="E79" s="203" t="s">
        <v>119</v>
      </c>
      <c r="G79" s="203">
        <v>48</v>
      </c>
      <c r="H79" s="203" t="s">
        <v>14</v>
      </c>
      <c r="I79" s="203">
        <v>0.34042553191489361</v>
      </c>
    </row>
    <row r="80" spans="1:9" x14ac:dyDescent="0.2">
      <c r="A80" s="203"/>
      <c r="C80" s="203"/>
      <c r="E80" s="203" t="s">
        <v>122</v>
      </c>
      <c r="G80" s="203">
        <v>141</v>
      </c>
      <c r="H80" s="203" t="s">
        <v>15</v>
      </c>
      <c r="I80" s="203">
        <v>1</v>
      </c>
    </row>
    <row r="81" spans="1:9" x14ac:dyDescent="0.2">
      <c r="A81" s="203"/>
      <c r="C81" s="203"/>
    </row>
    <row r="82" spans="1:9" x14ac:dyDescent="0.2">
      <c r="A82" s="203">
        <v>17</v>
      </c>
      <c r="B82" s="203" t="s">
        <v>131</v>
      </c>
      <c r="C82" s="203"/>
      <c r="E82" s="203" t="s">
        <v>117</v>
      </c>
      <c r="G82" s="203">
        <v>49</v>
      </c>
      <c r="H82" s="203" t="s">
        <v>12</v>
      </c>
      <c r="I82" s="203">
        <v>0.32666666666666666</v>
      </c>
    </row>
    <row r="83" spans="1:9" x14ac:dyDescent="0.2">
      <c r="A83" s="203">
        <v>17</v>
      </c>
      <c r="B83" s="203" t="s">
        <v>131</v>
      </c>
      <c r="C83" s="203"/>
      <c r="E83" s="203" t="s">
        <v>118</v>
      </c>
      <c r="G83" s="203">
        <v>50</v>
      </c>
      <c r="H83" s="203" t="s">
        <v>13</v>
      </c>
      <c r="I83" s="203">
        <v>0.33333333333333331</v>
      </c>
    </row>
    <row r="84" spans="1:9" x14ac:dyDescent="0.2">
      <c r="A84" s="203">
        <v>17</v>
      </c>
      <c r="B84" s="203" t="s">
        <v>131</v>
      </c>
      <c r="C84" s="203"/>
      <c r="E84" s="203" t="s">
        <v>119</v>
      </c>
      <c r="G84" s="203">
        <v>51</v>
      </c>
      <c r="H84" s="203" t="s">
        <v>14</v>
      </c>
      <c r="I84" s="203">
        <v>0.34</v>
      </c>
    </row>
    <row r="85" spans="1:9" x14ac:dyDescent="0.2">
      <c r="A85" s="203"/>
      <c r="C85" s="203"/>
      <c r="E85" s="203" t="s">
        <v>122</v>
      </c>
      <c r="G85" s="203">
        <v>150</v>
      </c>
      <c r="H85" s="203" t="s">
        <v>15</v>
      </c>
      <c r="I85" s="203">
        <v>1</v>
      </c>
    </row>
    <row r="86" spans="1:9" x14ac:dyDescent="0.2">
      <c r="A86" s="203"/>
      <c r="C86" s="203"/>
    </row>
    <row r="87" spans="1:9" x14ac:dyDescent="0.2">
      <c r="A87" s="203">
        <v>18</v>
      </c>
      <c r="B87" s="203" t="s">
        <v>133</v>
      </c>
      <c r="C87" s="203"/>
      <c r="E87" s="203" t="s">
        <v>117</v>
      </c>
      <c r="G87" s="203">
        <v>52</v>
      </c>
      <c r="H87" s="203" t="s">
        <v>12</v>
      </c>
      <c r="I87" s="203">
        <v>0.32704402515723269</v>
      </c>
    </row>
    <row r="88" spans="1:9" x14ac:dyDescent="0.2">
      <c r="A88" s="203">
        <v>18</v>
      </c>
      <c r="B88" s="203" t="s">
        <v>133</v>
      </c>
      <c r="C88" s="203"/>
      <c r="E88" s="203" t="s">
        <v>118</v>
      </c>
      <c r="G88" s="203">
        <v>53</v>
      </c>
      <c r="H88" s="203" t="s">
        <v>13</v>
      </c>
      <c r="I88" s="203">
        <v>0.33333333333333331</v>
      </c>
    </row>
    <row r="89" spans="1:9" x14ac:dyDescent="0.2">
      <c r="A89" s="203">
        <v>18</v>
      </c>
      <c r="B89" s="203" t="s">
        <v>133</v>
      </c>
      <c r="C89" s="203"/>
      <c r="E89" s="203" t="s">
        <v>119</v>
      </c>
      <c r="G89" s="203">
        <v>54</v>
      </c>
      <c r="H89" s="203" t="s">
        <v>14</v>
      </c>
      <c r="I89" s="203">
        <v>0.33962264150943394</v>
      </c>
    </row>
    <row r="90" spans="1:9" x14ac:dyDescent="0.2">
      <c r="A90" s="203"/>
      <c r="C90" s="203"/>
      <c r="E90" s="203" t="s">
        <v>122</v>
      </c>
      <c r="G90" s="203">
        <v>159</v>
      </c>
      <c r="H90" s="203" t="s">
        <v>15</v>
      </c>
      <c r="I90" s="203">
        <v>1</v>
      </c>
    </row>
    <row r="91" spans="1:9" x14ac:dyDescent="0.2">
      <c r="A91" s="203"/>
      <c r="C91" s="203"/>
    </row>
    <row r="92" spans="1:9" x14ac:dyDescent="0.2">
      <c r="A92" s="203">
        <v>19</v>
      </c>
      <c r="B92" s="203" t="s">
        <v>136</v>
      </c>
      <c r="C92" s="203"/>
      <c r="E92" s="203" t="s">
        <v>117</v>
      </c>
      <c r="G92" s="203">
        <v>55</v>
      </c>
      <c r="H92" s="203" t="s">
        <v>12</v>
      </c>
      <c r="I92" s="203">
        <v>0.32738095238095238</v>
      </c>
    </row>
    <row r="93" spans="1:9" x14ac:dyDescent="0.2">
      <c r="A93" s="203">
        <v>19</v>
      </c>
      <c r="B93" s="203" t="s">
        <v>136</v>
      </c>
      <c r="C93" s="203"/>
      <c r="E93" s="203" t="s">
        <v>118</v>
      </c>
      <c r="G93" s="203">
        <v>56</v>
      </c>
      <c r="H93" s="203" t="s">
        <v>13</v>
      </c>
      <c r="I93" s="203">
        <v>0.33333333333333331</v>
      </c>
    </row>
    <row r="94" spans="1:9" x14ac:dyDescent="0.2">
      <c r="A94" s="203">
        <v>19</v>
      </c>
      <c r="B94" s="203" t="s">
        <v>136</v>
      </c>
      <c r="C94" s="203"/>
      <c r="E94" s="203" t="s">
        <v>119</v>
      </c>
      <c r="G94" s="203">
        <v>57</v>
      </c>
      <c r="H94" s="203" t="s">
        <v>14</v>
      </c>
      <c r="I94" s="203">
        <v>0.3392857142857143</v>
      </c>
    </row>
    <row r="95" spans="1:9" x14ac:dyDescent="0.2">
      <c r="A95" s="203"/>
      <c r="C95" s="203"/>
      <c r="E95" s="203" t="s">
        <v>122</v>
      </c>
      <c r="G95" s="203">
        <v>168</v>
      </c>
      <c r="H95" s="203" t="s">
        <v>15</v>
      </c>
      <c r="I95" s="203">
        <v>1</v>
      </c>
    </row>
    <row r="96" spans="1:9" x14ac:dyDescent="0.2">
      <c r="A96" s="203"/>
      <c r="C96" s="203"/>
    </row>
    <row r="97" spans="1:9" x14ac:dyDescent="0.2">
      <c r="A97" s="203">
        <v>20</v>
      </c>
      <c r="B97" s="203" t="s">
        <v>137</v>
      </c>
      <c r="C97" s="203"/>
      <c r="E97" s="203" t="s">
        <v>117</v>
      </c>
      <c r="G97" s="203">
        <v>58</v>
      </c>
      <c r="H97" s="203" t="s">
        <v>12</v>
      </c>
      <c r="I97" s="203">
        <v>0.32768361581920902</v>
      </c>
    </row>
    <row r="98" spans="1:9" x14ac:dyDescent="0.2">
      <c r="A98" s="203">
        <v>20</v>
      </c>
      <c r="B98" s="203" t="s">
        <v>137</v>
      </c>
      <c r="C98" s="203"/>
      <c r="E98" s="203" t="s">
        <v>118</v>
      </c>
      <c r="G98" s="203">
        <v>59</v>
      </c>
      <c r="H98" s="203" t="s">
        <v>13</v>
      </c>
      <c r="I98" s="203">
        <v>0.33333333333333331</v>
      </c>
    </row>
    <row r="99" spans="1:9" x14ac:dyDescent="0.2">
      <c r="A99" s="203">
        <v>20</v>
      </c>
      <c r="B99" s="203" t="s">
        <v>137</v>
      </c>
      <c r="C99" s="203"/>
      <c r="E99" s="203" t="s">
        <v>119</v>
      </c>
      <c r="G99" s="203">
        <v>60</v>
      </c>
      <c r="H99" s="203" t="s">
        <v>14</v>
      </c>
      <c r="I99" s="203">
        <v>0.33898305084745761</v>
      </c>
    </row>
    <row r="100" spans="1:9" x14ac:dyDescent="0.2">
      <c r="A100" s="203"/>
      <c r="C100" s="203"/>
      <c r="E100" s="203" t="s">
        <v>122</v>
      </c>
      <c r="G100" s="203">
        <v>177</v>
      </c>
      <c r="H100" s="203" t="s">
        <v>15</v>
      </c>
      <c r="I100" s="203">
        <v>1</v>
      </c>
    </row>
    <row r="101" spans="1:9" x14ac:dyDescent="0.2">
      <c r="A101" s="203"/>
      <c r="C101" s="203"/>
    </row>
    <row r="102" spans="1:9" x14ac:dyDescent="0.2">
      <c r="A102" s="203">
        <v>21</v>
      </c>
      <c r="B102" s="203" t="s">
        <v>138</v>
      </c>
      <c r="C102" s="203"/>
      <c r="E102" s="203" t="s">
        <v>117</v>
      </c>
      <c r="G102" s="203">
        <v>61</v>
      </c>
      <c r="H102" s="203" t="s">
        <v>12</v>
      </c>
      <c r="I102" s="203">
        <v>0.32795698924731181</v>
      </c>
    </row>
    <row r="103" spans="1:9" x14ac:dyDescent="0.2">
      <c r="A103" s="203">
        <v>21</v>
      </c>
      <c r="B103" s="203" t="s">
        <v>138</v>
      </c>
      <c r="C103" s="203"/>
      <c r="E103" s="203" t="s">
        <v>118</v>
      </c>
      <c r="G103" s="203">
        <v>62</v>
      </c>
      <c r="H103" s="203" t="s">
        <v>13</v>
      </c>
      <c r="I103" s="203">
        <v>0.33333333333333331</v>
      </c>
    </row>
    <row r="104" spans="1:9" x14ac:dyDescent="0.2">
      <c r="A104" s="203">
        <v>21</v>
      </c>
      <c r="B104" s="203" t="s">
        <v>138</v>
      </c>
      <c r="C104" s="203"/>
      <c r="E104" s="203" t="s">
        <v>119</v>
      </c>
      <c r="G104" s="203">
        <v>63</v>
      </c>
      <c r="H104" s="203" t="s">
        <v>14</v>
      </c>
      <c r="I104" s="203">
        <v>0.33870967741935482</v>
      </c>
    </row>
    <row r="105" spans="1:9" x14ac:dyDescent="0.2">
      <c r="A105" s="203"/>
      <c r="C105" s="203"/>
      <c r="E105" s="203" t="s">
        <v>122</v>
      </c>
      <c r="G105" s="203">
        <v>186</v>
      </c>
      <c r="H105" s="203" t="s">
        <v>15</v>
      </c>
      <c r="I105" s="203">
        <v>1</v>
      </c>
    </row>
    <row r="106" spans="1:9" x14ac:dyDescent="0.2">
      <c r="A106" s="203"/>
      <c r="C106" s="203"/>
    </row>
    <row r="107" spans="1:9" x14ac:dyDescent="0.2">
      <c r="A107" s="203">
        <v>22</v>
      </c>
      <c r="B107" s="203" t="s">
        <v>140</v>
      </c>
      <c r="C107" s="203"/>
      <c r="E107" s="203" t="s">
        <v>117</v>
      </c>
      <c r="G107" s="203">
        <v>64</v>
      </c>
      <c r="H107" s="203" t="s">
        <v>12</v>
      </c>
      <c r="I107" s="203">
        <v>0.3282051282051282</v>
      </c>
    </row>
    <row r="108" spans="1:9" x14ac:dyDescent="0.2">
      <c r="A108" s="203">
        <v>22</v>
      </c>
      <c r="B108" s="203" t="s">
        <v>140</v>
      </c>
      <c r="C108" s="203"/>
      <c r="E108" s="203" t="s">
        <v>118</v>
      </c>
      <c r="G108" s="203">
        <v>65</v>
      </c>
      <c r="H108" s="203" t="s">
        <v>13</v>
      </c>
      <c r="I108" s="203">
        <v>0.33333333333333331</v>
      </c>
    </row>
    <row r="109" spans="1:9" x14ac:dyDescent="0.2">
      <c r="A109" s="203">
        <v>22</v>
      </c>
      <c r="B109" s="203" t="s">
        <v>140</v>
      </c>
      <c r="C109" s="203"/>
      <c r="E109" s="203" t="s">
        <v>119</v>
      </c>
      <c r="G109" s="203">
        <v>66</v>
      </c>
      <c r="H109" s="203" t="s">
        <v>14</v>
      </c>
      <c r="I109" s="203">
        <v>0.33846153846153848</v>
      </c>
    </row>
    <row r="110" spans="1:9" x14ac:dyDescent="0.2">
      <c r="A110" s="203"/>
      <c r="C110" s="203"/>
      <c r="E110" s="203" t="s">
        <v>122</v>
      </c>
      <c r="G110" s="203">
        <v>195</v>
      </c>
      <c r="H110" s="203" t="s">
        <v>15</v>
      </c>
      <c r="I110" s="203">
        <v>1</v>
      </c>
    </row>
    <row r="111" spans="1:9" x14ac:dyDescent="0.2">
      <c r="A111" s="203"/>
      <c r="C111" s="203"/>
    </row>
    <row r="112" spans="1:9" x14ac:dyDescent="0.2">
      <c r="A112" s="203">
        <v>23</v>
      </c>
      <c r="B112" s="203" t="s">
        <v>142</v>
      </c>
      <c r="C112" s="203"/>
      <c r="E112" s="203" t="s">
        <v>117</v>
      </c>
      <c r="G112" s="203">
        <v>67</v>
      </c>
      <c r="H112" s="203" t="s">
        <v>12</v>
      </c>
      <c r="I112" s="203">
        <v>0.32843137254901961</v>
      </c>
    </row>
    <row r="113" spans="1:9" x14ac:dyDescent="0.2">
      <c r="A113" s="203">
        <v>23</v>
      </c>
      <c r="B113" s="203" t="s">
        <v>142</v>
      </c>
      <c r="C113" s="203"/>
      <c r="E113" s="203" t="s">
        <v>118</v>
      </c>
      <c r="G113" s="203">
        <v>68</v>
      </c>
      <c r="H113" s="203" t="s">
        <v>13</v>
      </c>
      <c r="I113" s="203">
        <v>0.33333333333333331</v>
      </c>
    </row>
    <row r="114" spans="1:9" x14ac:dyDescent="0.2">
      <c r="A114" s="203">
        <v>23</v>
      </c>
      <c r="B114" s="203" t="s">
        <v>142</v>
      </c>
      <c r="C114" s="203"/>
      <c r="E114" s="203" t="s">
        <v>119</v>
      </c>
      <c r="G114" s="203">
        <v>69</v>
      </c>
      <c r="H114" s="203" t="s">
        <v>14</v>
      </c>
      <c r="I114" s="203">
        <v>0.33823529411764708</v>
      </c>
    </row>
    <row r="115" spans="1:9" x14ac:dyDescent="0.2">
      <c r="A115" s="203"/>
      <c r="C115" s="203"/>
      <c r="E115" s="203" t="s">
        <v>122</v>
      </c>
      <c r="G115" s="203">
        <v>204</v>
      </c>
      <c r="H115" s="203" t="s">
        <v>15</v>
      </c>
      <c r="I115" s="203">
        <v>1</v>
      </c>
    </row>
    <row r="116" spans="1:9" x14ac:dyDescent="0.2">
      <c r="A116" s="203"/>
      <c r="C116" s="203"/>
    </row>
    <row r="117" spans="1:9" x14ac:dyDescent="0.2">
      <c r="A117" s="203">
        <v>24</v>
      </c>
      <c r="B117" s="203" t="s">
        <v>144</v>
      </c>
      <c r="C117" s="203"/>
      <c r="E117" s="203" t="s">
        <v>117</v>
      </c>
      <c r="G117" s="203">
        <v>70</v>
      </c>
      <c r="H117" s="203" t="s">
        <v>12</v>
      </c>
      <c r="I117" s="203">
        <v>0.32863849765258218</v>
      </c>
    </row>
    <row r="118" spans="1:9" x14ac:dyDescent="0.2">
      <c r="A118" s="203">
        <v>24</v>
      </c>
      <c r="B118" s="203" t="s">
        <v>144</v>
      </c>
      <c r="C118" s="203"/>
      <c r="E118" s="203" t="s">
        <v>118</v>
      </c>
      <c r="G118" s="203">
        <v>71</v>
      </c>
      <c r="H118" s="203" t="s">
        <v>13</v>
      </c>
      <c r="I118" s="203">
        <v>0.33333333333333331</v>
      </c>
    </row>
    <row r="119" spans="1:9" x14ac:dyDescent="0.2">
      <c r="A119" s="203">
        <v>24</v>
      </c>
      <c r="B119" s="203" t="s">
        <v>144</v>
      </c>
      <c r="C119" s="203"/>
      <c r="E119" s="203" t="s">
        <v>119</v>
      </c>
      <c r="G119" s="203">
        <v>72</v>
      </c>
      <c r="H119" s="203" t="s">
        <v>14</v>
      </c>
      <c r="I119" s="203">
        <v>0.3380281690140845</v>
      </c>
    </row>
    <row r="120" spans="1:9" x14ac:dyDescent="0.2">
      <c r="A120" s="203"/>
      <c r="C120" s="203"/>
      <c r="E120" s="203" t="s">
        <v>122</v>
      </c>
      <c r="G120" s="203">
        <v>213</v>
      </c>
      <c r="H120" s="203" t="s">
        <v>15</v>
      </c>
      <c r="I120" s="203">
        <v>1</v>
      </c>
    </row>
    <row r="121" spans="1:9" x14ac:dyDescent="0.2">
      <c r="A121" s="203"/>
      <c r="C121" s="203"/>
    </row>
    <row r="122" spans="1:9" x14ac:dyDescent="0.2">
      <c r="A122" s="203">
        <v>25</v>
      </c>
      <c r="B122" s="203" t="s">
        <v>146</v>
      </c>
      <c r="C122" s="203"/>
      <c r="E122" s="203" t="s">
        <v>117</v>
      </c>
      <c r="G122" s="203">
        <v>73</v>
      </c>
      <c r="H122" s="203" t="s">
        <v>12</v>
      </c>
      <c r="I122" s="203">
        <v>0.32882882882882886</v>
      </c>
    </row>
    <row r="123" spans="1:9" x14ac:dyDescent="0.2">
      <c r="A123" s="203">
        <v>25</v>
      </c>
      <c r="B123" s="203" t="s">
        <v>146</v>
      </c>
      <c r="C123" s="203"/>
      <c r="E123" s="203" t="s">
        <v>118</v>
      </c>
      <c r="G123" s="203">
        <v>74</v>
      </c>
      <c r="H123" s="203" t="s">
        <v>13</v>
      </c>
      <c r="I123" s="203">
        <v>0.33333333333333331</v>
      </c>
    </row>
    <row r="124" spans="1:9" x14ac:dyDescent="0.2">
      <c r="A124" s="203">
        <v>25</v>
      </c>
      <c r="B124" s="203" t="s">
        <v>146</v>
      </c>
      <c r="C124" s="203"/>
      <c r="E124" s="203" t="s">
        <v>119</v>
      </c>
      <c r="G124" s="203">
        <v>75</v>
      </c>
      <c r="H124" s="203" t="s">
        <v>14</v>
      </c>
      <c r="I124" s="203">
        <v>0.33783783783783783</v>
      </c>
    </row>
    <row r="125" spans="1:9" x14ac:dyDescent="0.2">
      <c r="A125" s="203"/>
      <c r="C125" s="203"/>
      <c r="E125" s="203" t="s">
        <v>122</v>
      </c>
      <c r="G125" s="203">
        <v>222</v>
      </c>
      <c r="H125" s="203" t="s">
        <v>15</v>
      </c>
      <c r="I125" s="203">
        <v>1</v>
      </c>
    </row>
    <row r="126" spans="1:9" x14ac:dyDescent="0.2">
      <c r="A126" s="203"/>
      <c r="C126" s="203"/>
    </row>
    <row r="127" spans="1:9" x14ac:dyDescent="0.2">
      <c r="A127" s="203">
        <v>26</v>
      </c>
      <c r="B127" s="203" t="s">
        <v>148</v>
      </c>
      <c r="C127" s="203"/>
      <c r="E127" s="203" t="s">
        <v>117</v>
      </c>
      <c r="G127" s="203">
        <v>76</v>
      </c>
      <c r="H127" s="203" t="s">
        <v>12</v>
      </c>
      <c r="I127" s="203">
        <v>0.32900432900432902</v>
      </c>
    </row>
    <row r="128" spans="1:9" x14ac:dyDescent="0.2">
      <c r="A128" s="203">
        <v>26</v>
      </c>
      <c r="B128" s="203" t="s">
        <v>148</v>
      </c>
      <c r="C128" s="203"/>
      <c r="E128" s="203" t="s">
        <v>118</v>
      </c>
      <c r="G128" s="203">
        <v>77</v>
      </c>
      <c r="H128" s="203" t="s">
        <v>13</v>
      </c>
      <c r="I128" s="203">
        <v>0.33333333333333331</v>
      </c>
    </row>
    <row r="129" spans="1:9" x14ac:dyDescent="0.2">
      <c r="A129" s="203">
        <v>26</v>
      </c>
      <c r="B129" s="203" t="s">
        <v>148</v>
      </c>
      <c r="C129" s="203"/>
      <c r="E129" s="203" t="s">
        <v>119</v>
      </c>
      <c r="G129" s="203">
        <v>78</v>
      </c>
      <c r="H129" s="203" t="s">
        <v>14</v>
      </c>
      <c r="I129" s="203">
        <v>0.33766233766233766</v>
      </c>
    </row>
    <row r="130" spans="1:9" x14ac:dyDescent="0.2">
      <c r="A130" s="203"/>
      <c r="C130" s="203"/>
      <c r="E130" s="203" t="s">
        <v>122</v>
      </c>
      <c r="G130" s="203">
        <v>231</v>
      </c>
      <c r="H130" s="203" t="s">
        <v>15</v>
      </c>
      <c r="I130" s="203">
        <v>1</v>
      </c>
    </row>
    <row r="131" spans="1:9" x14ac:dyDescent="0.2">
      <c r="A131" s="203"/>
      <c r="C131" s="203"/>
    </row>
    <row r="132" spans="1:9" x14ac:dyDescent="0.2">
      <c r="A132" s="203">
        <v>27</v>
      </c>
      <c r="B132" s="203" t="s">
        <v>149</v>
      </c>
      <c r="C132" s="203"/>
      <c r="E132" s="203" t="s">
        <v>117</v>
      </c>
      <c r="G132" s="203">
        <v>79</v>
      </c>
      <c r="H132" s="203" t="s">
        <v>12</v>
      </c>
      <c r="I132" s="203">
        <v>0.32916666666666666</v>
      </c>
    </row>
    <row r="133" spans="1:9" x14ac:dyDescent="0.2">
      <c r="A133" s="203">
        <v>27</v>
      </c>
      <c r="B133" s="203" t="s">
        <v>149</v>
      </c>
      <c r="C133" s="203"/>
      <c r="E133" s="203" t="s">
        <v>118</v>
      </c>
      <c r="G133" s="203">
        <v>80</v>
      </c>
      <c r="H133" s="203" t="s">
        <v>13</v>
      </c>
      <c r="I133" s="203">
        <v>0.33333333333333331</v>
      </c>
    </row>
    <row r="134" spans="1:9" x14ac:dyDescent="0.2">
      <c r="A134" s="203">
        <v>27</v>
      </c>
      <c r="B134" s="203" t="s">
        <v>149</v>
      </c>
      <c r="C134" s="203"/>
      <c r="E134" s="203" t="s">
        <v>119</v>
      </c>
      <c r="G134" s="203">
        <v>81</v>
      </c>
      <c r="H134" s="203" t="s">
        <v>14</v>
      </c>
      <c r="I134" s="203">
        <v>0.33750000000000002</v>
      </c>
    </row>
    <row r="135" spans="1:9" x14ac:dyDescent="0.2">
      <c r="A135" s="203"/>
      <c r="C135" s="203"/>
      <c r="E135" s="203" t="s">
        <v>122</v>
      </c>
      <c r="G135" s="203">
        <v>240</v>
      </c>
      <c r="H135" s="203" t="s">
        <v>15</v>
      </c>
      <c r="I135" s="203">
        <v>1</v>
      </c>
    </row>
    <row r="136" spans="1:9" x14ac:dyDescent="0.2">
      <c r="A136" s="203"/>
      <c r="C136" s="203"/>
    </row>
    <row r="137" spans="1:9" x14ac:dyDescent="0.2">
      <c r="A137" s="203">
        <v>28</v>
      </c>
      <c r="B137" s="203" t="s">
        <v>150</v>
      </c>
      <c r="C137" s="203"/>
      <c r="E137" s="203" t="s">
        <v>117</v>
      </c>
      <c r="G137" s="203">
        <v>82</v>
      </c>
      <c r="H137" s="203" t="s">
        <v>12</v>
      </c>
      <c r="I137" s="203">
        <v>0.32931726907630521</v>
      </c>
    </row>
    <row r="138" spans="1:9" x14ac:dyDescent="0.2">
      <c r="A138" s="203">
        <v>28</v>
      </c>
      <c r="B138" s="203" t="s">
        <v>150</v>
      </c>
      <c r="C138" s="203"/>
      <c r="E138" s="203" t="s">
        <v>118</v>
      </c>
      <c r="G138" s="203">
        <v>83</v>
      </c>
      <c r="H138" s="203" t="s">
        <v>13</v>
      </c>
      <c r="I138" s="203">
        <v>0.33333333333333331</v>
      </c>
    </row>
    <row r="139" spans="1:9" x14ac:dyDescent="0.2">
      <c r="A139" s="203">
        <v>28</v>
      </c>
      <c r="B139" s="203" t="s">
        <v>150</v>
      </c>
      <c r="C139" s="203"/>
      <c r="E139" s="203" t="s">
        <v>119</v>
      </c>
      <c r="G139" s="203">
        <v>84</v>
      </c>
      <c r="H139" s="203" t="s">
        <v>14</v>
      </c>
      <c r="I139" s="203">
        <v>0.33734939759036142</v>
      </c>
    </row>
    <row r="140" spans="1:9" x14ac:dyDescent="0.2">
      <c r="A140" s="203"/>
      <c r="C140" s="203"/>
      <c r="E140" s="203" t="s">
        <v>122</v>
      </c>
      <c r="G140" s="203">
        <v>249</v>
      </c>
      <c r="H140" s="203" t="s">
        <v>15</v>
      </c>
      <c r="I140" s="203">
        <v>1</v>
      </c>
    </row>
    <row r="141" spans="1:9" x14ac:dyDescent="0.2">
      <c r="A141" s="203"/>
      <c r="C141" s="203"/>
    </row>
    <row r="142" spans="1:9" x14ac:dyDescent="0.2">
      <c r="A142" s="203">
        <v>29</v>
      </c>
      <c r="B142" s="203" t="s">
        <v>151</v>
      </c>
      <c r="C142" s="203"/>
      <c r="E142" s="203" t="s">
        <v>117</v>
      </c>
      <c r="G142" s="203">
        <v>85</v>
      </c>
      <c r="H142" s="203" t="s">
        <v>12</v>
      </c>
      <c r="I142" s="203">
        <v>0.32945736434108525</v>
      </c>
    </row>
    <row r="143" spans="1:9" x14ac:dyDescent="0.2">
      <c r="A143" s="203">
        <v>29</v>
      </c>
      <c r="B143" s="203" t="s">
        <v>151</v>
      </c>
      <c r="C143" s="203"/>
      <c r="E143" s="203" t="s">
        <v>118</v>
      </c>
      <c r="G143" s="203">
        <v>86</v>
      </c>
      <c r="H143" s="203" t="s">
        <v>13</v>
      </c>
      <c r="I143" s="203">
        <v>0.33333333333333331</v>
      </c>
    </row>
    <row r="144" spans="1:9" x14ac:dyDescent="0.2">
      <c r="A144" s="203">
        <v>29</v>
      </c>
      <c r="B144" s="203" t="s">
        <v>151</v>
      </c>
      <c r="C144" s="203"/>
      <c r="E144" s="203" t="s">
        <v>119</v>
      </c>
      <c r="G144" s="203">
        <v>87</v>
      </c>
      <c r="H144" s="203" t="s">
        <v>14</v>
      </c>
      <c r="I144" s="203">
        <v>0.33720930232558138</v>
      </c>
    </row>
    <row r="145" spans="1:9" x14ac:dyDescent="0.2">
      <c r="A145" s="203"/>
      <c r="C145" s="203"/>
      <c r="E145" s="203" t="s">
        <v>122</v>
      </c>
      <c r="G145" s="203">
        <v>258</v>
      </c>
      <c r="H145" s="203" t="s">
        <v>15</v>
      </c>
      <c r="I145" s="203">
        <v>1</v>
      </c>
    </row>
    <row r="146" spans="1:9" x14ac:dyDescent="0.2">
      <c r="A146" s="203"/>
      <c r="C146" s="203"/>
    </row>
    <row r="147" spans="1:9" x14ac:dyDescent="0.2">
      <c r="A147" s="203">
        <v>30</v>
      </c>
      <c r="B147" s="203" t="s">
        <v>152</v>
      </c>
      <c r="C147" s="203"/>
      <c r="E147" s="203" t="s">
        <v>117</v>
      </c>
      <c r="G147" s="203">
        <v>88</v>
      </c>
      <c r="H147" s="203" t="s">
        <v>12</v>
      </c>
      <c r="I147" s="203">
        <v>0.32958801498127338</v>
      </c>
    </row>
    <row r="148" spans="1:9" x14ac:dyDescent="0.2">
      <c r="A148" s="203">
        <v>30</v>
      </c>
      <c r="B148" s="203" t="s">
        <v>152</v>
      </c>
      <c r="C148" s="203"/>
      <c r="E148" s="203" t="s">
        <v>118</v>
      </c>
      <c r="G148" s="203">
        <v>89</v>
      </c>
      <c r="H148" s="203" t="s">
        <v>13</v>
      </c>
      <c r="I148" s="203">
        <v>0.33333333333333331</v>
      </c>
    </row>
    <row r="149" spans="1:9" x14ac:dyDescent="0.2">
      <c r="A149" s="203">
        <v>30</v>
      </c>
      <c r="B149" s="203" t="s">
        <v>152</v>
      </c>
      <c r="C149" s="203"/>
      <c r="E149" s="203" t="s">
        <v>119</v>
      </c>
      <c r="G149" s="203">
        <v>90</v>
      </c>
      <c r="H149" s="203" t="s">
        <v>14</v>
      </c>
      <c r="I149" s="203">
        <v>0.33707865168539325</v>
      </c>
    </row>
    <row r="150" spans="1:9" x14ac:dyDescent="0.2">
      <c r="A150" s="203"/>
      <c r="C150" s="203"/>
      <c r="E150" s="203" t="s">
        <v>122</v>
      </c>
      <c r="G150" s="203">
        <v>267</v>
      </c>
      <c r="H150" s="203" t="s">
        <v>15</v>
      </c>
      <c r="I150" s="203">
        <v>1</v>
      </c>
    </row>
    <row r="151" spans="1:9" x14ac:dyDescent="0.2">
      <c r="A151" s="203"/>
      <c r="C151" s="203"/>
    </row>
    <row r="152" spans="1:9" x14ac:dyDescent="0.2">
      <c r="A152" s="203">
        <v>31</v>
      </c>
      <c r="B152" s="203" t="s">
        <v>153</v>
      </c>
      <c r="C152" s="203"/>
      <c r="E152" s="203" t="s">
        <v>117</v>
      </c>
      <c r="G152" s="203">
        <v>91</v>
      </c>
      <c r="H152" s="203" t="s">
        <v>12</v>
      </c>
      <c r="I152" s="203">
        <v>0.32971014492753625</v>
      </c>
    </row>
    <row r="153" spans="1:9" x14ac:dyDescent="0.2">
      <c r="A153" s="203">
        <v>31</v>
      </c>
      <c r="B153" s="203" t="s">
        <v>153</v>
      </c>
      <c r="C153" s="203"/>
      <c r="E153" s="203" t="s">
        <v>118</v>
      </c>
      <c r="G153" s="203">
        <v>92</v>
      </c>
      <c r="H153" s="203" t="s">
        <v>13</v>
      </c>
      <c r="I153" s="203">
        <v>0.33333333333333331</v>
      </c>
    </row>
    <row r="154" spans="1:9" x14ac:dyDescent="0.2">
      <c r="A154" s="203">
        <v>31</v>
      </c>
      <c r="B154" s="203" t="s">
        <v>153</v>
      </c>
      <c r="C154" s="203"/>
      <c r="E154" s="203" t="s">
        <v>119</v>
      </c>
      <c r="G154" s="203">
        <v>93</v>
      </c>
      <c r="H154" s="203" t="s">
        <v>14</v>
      </c>
      <c r="I154" s="203">
        <v>0.33695652173913043</v>
      </c>
    </row>
    <row r="155" spans="1:9" x14ac:dyDescent="0.2">
      <c r="A155" s="203"/>
      <c r="C155" s="203"/>
      <c r="E155" s="203" t="s">
        <v>122</v>
      </c>
      <c r="G155" s="203">
        <v>276</v>
      </c>
      <c r="H155" s="203" t="s">
        <v>15</v>
      </c>
      <c r="I155" s="203">
        <v>1</v>
      </c>
    </row>
    <row r="156" spans="1:9" x14ac:dyDescent="0.2">
      <c r="A156" s="203"/>
      <c r="C156" s="203"/>
    </row>
    <row r="157" spans="1:9" x14ac:dyDescent="0.2">
      <c r="A157" s="203">
        <v>32</v>
      </c>
      <c r="B157" s="203" t="s">
        <v>154</v>
      </c>
      <c r="C157" s="203"/>
      <c r="E157" s="203" t="s">
        <v>117</v>
      </c>
      <c r="G157" s="203">
        <v>94</v>
      </c>
      <c r="H157" s="203" t="s">
        <v>12</v>
      </c>
      <c r="I157" s="203">
        <v>0.3298245614035088</v>
      </c>
    </row>
    <row r="158" spans="1:9" x14ac:dyDescent="0.2">
      <c r="A158" s="203">
        <v>32</v>
      </c>
      <c r="B158" s="203" t="s">
        <v>154</v>
      </c>
      <c r="C158" s="203"/>
      <c r="E158" s="203" t="s">
        <v>118</v>
      </c>
      <c r="G158" s="203">
        <v>95</v>
      </c>
      <c r="H158" s="203" t="s">
        <v>13</v>
      </c>
      <c r="I158" s="203">
        <v>0.33333333333333331</v>
      </c>
    </row>
    <row r="159" spans="1:9" x14ac:dyDescent="0.2">
      <c r="A159" s="203">
        <v>32</v>
      </c>
      <c r="B159" s="203" t="s">
        <v>154</v>
      </c>
      <c r="C159" s="203"/>
      <c r="E159" s="203" t="s">
        <v>119</v>
      </c>
      <c r="G159" s="203">
        <v>96</v>
      </c>
      <c r="H159" s="203" t="s">
        <v>14</v>
      </c>
      <c r="I159" s="203">
        <v>0.33684210526315789</v>
      </c>
    </row>
    <row r="160" spans="1:9" x14ac:dyDescent="0.2">
      <c r="A160" s="203"/>
      <c r="C160" s="203"/>
      <c r="E160" s="203" t="s">
        <v>122</v>
      </c>
      <c r="G160" s="203">
        <v>285</v>
      </c>
      <c r="H160" s="203" t="s">
        <v>15</v>
      </c>
      <c r="I160" s="203">
        <v>1</v>
      </c>
    </row>
    <row r="161" spans="1:9" x14ac:dyDescent="0.2">
      <c r="A161" s="203"/>
      <c r="C161" s="203"/>
    </row>
    <row r="162" spans="1:9" x14ac:dyDescent="0.2">
      <c r="A162" s="203">
        <v>33</v>
      </c>
      <c r="B162" s="203" t="s">
        <v>155</v>
      </c>
      <c r="C162" s="203"/>
      <c r="E162" s="203" t="s">
        <v>117</v>
      </c>
      <c r="G162" s="203">
        <v>97</v>
      </c>
      <c r="H162" s="203" t="s">
        <v>12</v>
      </c>
      <c r="I162" s="203">
        <v>0.32993197278911562</v>
      </c>
    </row>
    <row r="163" spans="1:9" x14ac:dyDescent="0.2">
      <c r="A163" s="203">
        <v>33</v>
      </c>
      <c r="B163" s="203" t="s">
        <v>155</v>
      </c>
      <c r="C163" s="203"/>
      <c r="E163" s="203" t="s">
        <v>118</v>
      </c>
      <c r="G163" s="203">
        <v>98</v>
      </c>
      <c r="H163" s="203" t="s">
        <v>13</v>
      </c>
      <c r="I163" s="203">
        <v>0.33333333333333331</v>
      </c>
    </row>
    <row r="164" spans="1:9" x14ac:dyDescent="0.2">
      <c r="A164" s="203">
        <v>33</v>
      </c>
      <c r="B164" s="203" t="s">
        <v>155</v>
      </c>
      <c r="C164" s="203"/>
      <c r="E164" s="203" t="s">
        <v>119</v>
      </c>
      <c r="G164" s="203">
        <v>99</v>
      </c>
      <c r="H164" s="203" t="s">
        <v>14</v>
      </c>
      <c r="I164" s="203">
        <v>0.33673469387755101</v>
      </c>
    </row>
    <row r="165" spans="1:9" x14ac:dyDescent="0.2">
      <c r="A165" s="203"/>
      <c r="C165" s="203"/>
      <c r="E165" s="203" t="s">
        <v>122</v>
      </c>
      <c r="G165" s="203">
        <v>294</v>
      </c>
      <c r="H165" s="203" t="s">
        <v>15</v>
      </c>
      <c r="I165" s="203">
        <v>1</v>
      </c>
    </row>
    <row r="166" spans="1:9" x14ac:dyDescent="0.2">
      <c r="A166" s="203"/>
      <c r="C166" s="203"/>
    </row>
    <row r="167" spans="1:9" x14ac:dyDescent="0.2">
      <c r="A167" s="203">
        <v>34</v>
      </c>
      <c r="B167" s="203" t="s">
        <v>156</v>
      </c>
      <c r="C167" s="203"/>
      <c r="E167" s="203" t="s">
        <v>117</v>
      </c>
      <c r="G167" s="203">
        <v>100</v>
      </c>
      <c r="H167" s="203" t="s">
        <v>12</v>
      </c>
      <c r="I167" s="203">
        <v>0.33003300330033003</v>
      </c>
    </row>
    <row r="168" spans="1:9" x14ac:dyDescent="0.2">
      <c r="A168" s="203">
        <v>34</v>
      </c>
      <c r="B168" s="203" t="s">
        <v>156</v>
      </c>
      <c r="C168" s="203"/>
      <c r="E168" s="203" t="s">
        <v>118</v>
      </c>
      <c r="G168" s="203">
        <v>101</v>
      </c>
      <c r="H168" s="203" t="s">
        <v>13</v>
      </c>
      <c r="I168" s="203">
        <v>0.33333333333333331</v>
      </c>
    </row>
    <row r="169" spans="1:9" x14ac:dyDescent="0.2">
      <c r="A169" s="203">
        <v>34</v>
      </c>
      <c r="B169" s="203" t="s">
        <v>156</v>
      </c>
      <c r="C169" s="203"/>
      <c r="E169" s="203" t="s">
        <v>119</v>
      </c>
      <c r="G169" s="203">
        <v>102</v>
      </c>
      <c r="H169" s="203" t="s">
        <v>14</v>
      </c>
      <c r="I169" s="203">
        <v>0.33663366336633666</v>
      </c>
    </row>
    <row r="170" spans="1:9" x14ac:dyDescent="0.2">
      <c r="A170" s="203"/>
      <c r="C170" s="203"/>
      <c r="E170" s="203" t="s">
        <v>122</v>
      </c>
      <c r="G170" s="203">
        <v>303</v>
      </c>
      <c r="H170" s="203" t="s">
        <v>15</v>
      </c>
      <c r="I170" s="203">
        <v>1</v>
      </c>
    </row>
    <row r="171" spans="1:9" x14ac:dyDescent="0.2">
      <c r="A171" s="203"/>
      <c r="C171" s="203"/>
    </row>
    <row r="172" spans="1:9" x14ac:dyDescent="0.2">
      <c r="A172" s="203">
        <v>35</v>
      </c>
      <c r="B172" s="203" t="s">
        <v>157</v>
      </c>
      <c r="C172" s="203"/>
      <c r="E172" s="203" t="s">
        <v>117</v>
      </c>
      <c r="G172" s="203">
        <v>103</v>
      </c>
      <c r="H172" s="203" t="s">
        <v>12</v>
      </c>
      <c r="I172" s="203">
        <v>0.33012820512820512</v>
      </c>
    </row>
    <row r="173" spans="1:9" x14ac:dyDescent="0.2">
      <c r="A173" s="203">
        <v>35</v>
      </c>
      <c r="B173" s="203" t="s">
        <v>157</v>
      </c>
      <c r="C173" s="203"/>
      <c r="E173" s="203" t="s">
        <v>118</v>
      </c>
      <c r="G173" s="203">
        <v>104</v>
      </c>
      <c r="H173" s="203" t="s">
        <v>13</v>
      </c>
      <c r="I173" s="203">
        <v>0.33333333333333331</v>
      </c>
    </row>
    <row r="174" spans="1:9" x14ac:dyDescent="0.2">
      <c r="A174" s="203">
        <v>35</v>
      </c>
      <c r="B174" s="203" t="s">
        <v>157</v>
      </c>
      <c r="C174" s="203"/>
      <c r="E174" s="203" t="s">
        <v>119</v>
      </c>
      <c r="G174" s="203">
        <v>105</v>
      </c>
      <c r="H174" s="203" t="s">
        <v>14</v>
      </c>
      <c r="I174" s="203">
        <v>0.33653846153846156</v>
      </c>
    </row>
    <row r="175" spans="1:9" x14ac:dyDescent="0.2">
      <c r="A175" s="203"/>
      <c r="C175" s="203"/>
      <c r="E175" s="203" t="s">
        <v>122</v>
      </c>
      <c r="G175" s="203">
        <v>312</v>
      </c>
      <c r="H175" s="203" t="s">
        <v>15</v>
      </c>
      <c r="I175" s="203">
        <v>1</v>
      </c>
    </row>
    <row r="176" spans="1:9" x14ac:dyDescent="0.2">
      <c r="A176" s="203"/>
      <c r="C176" s="203"/>
    </row>
    <row r="177" spans="1:9" x14ac:dyDescent="0.2">
      <c r="A177" s="203">
        <v>36</v>
      </c>
      <c r="B177" s="203" t="s">
        <v>158</v>
      </c>
      <c r="C177" s="203"/>
      <c r="E177" s="203" t="s">
        <v>117</v>
      </c>
      <c r="G177" s="203">
        <v>106</v>
      </c>
      <c r="H177" s="203" t="s">
        <v>12</v>
      </c>
      <c r="I177" s="203">
        <v>0.33021806853582553</v>
      </c>
    </row>
    <row r="178" spans="1:9" x14ac:dyDescent="0.2">
      <c r="A178" s="203">
        <v>36</v>
      </c>
      <c r="B178" s="203" t="s">
        <v>158</v>
      </c>
      <c r="C178" s="203"/>
      <c r="E178" s="203" t="s">
        <v>118</v>
      </c>
      <c r="G178" s="203">
        <v>107</v>
      </c>
      <c r="H178" s="203" t="s">
        <v>13</v>
      </c>
      <c r="I178" s="203">
        <v>0.33333333333333331</v>
      </c>
    </row>
    <row r="179" spans="1:9" x14ac:dyDescent="0.2">
      <c r="A179" s="203">
        <v>36</v>
      </c>
      <c r="B179" s="203" t="s">
        <v>158</v>
      </c>
      <c r="C179" s="203"/>
      <c r="E179" s="203" t="s">
        <v>119</v>
      </c>
      <c r="G179" s="203">
        <v>108</v>
      </c>
      <c r="H179" s="203" t="s">
        <v>14</v>
      </c>
      <c r="I179" s="203">
        <v>0.3364485981308411</v>
      </c>
    </row>
    <row r="180" spans="1:9" x14ac:dyDescent="0.2">
      <c r="A180" s="203"/>
      <c r="C180" s="203"/>
      <c r="E180" s="203" t="s">
        <v>122</v>
      </c>
      <c r="G180" s="203">
        <v>321</v>
      </c>
      <c r="H180" s="203" t="s">
        <v>15</v>
      </c>
      <c r="I180" s="203">
        <v>1</v>
      </c>
    </row>
    <row r="181" spans="1:9" x14ac:dyDescent="0.2">
      <c r="A181" s="203"/>
      <c r="C181" s="203"/>
    </row>
    <row r="182" spans="1:9" x14ac:dyDescent="0.2">
      <c r="A182" s="203">
        <v>37</v>
      </c>
      <c r="B182" s="203" t="s">
        <v>159</v>
      </c>
      <c r="C182" s="203"/>
      <c r="E182" s="203" t="s">
        <v>117</v>
      </c>
      <c r="G182" s="203">
        <v>109</v>
      </c>
      <c r="H182" s="203" t="s">
        <v>12</v>
      </c>
      <c r="I182" s="203">
        <v>0.33030303030303032</v>
      </c>
    </row>
    <row r="183" spans="1:9" x14ac:dyDescent="0.2">
      <c r="A183" s="203">
        <v>37</v>
      </c>
      <c r="B183" s="203" t="s">
        <v>159</v>
      </c>
      <c r="C183" s="203"/>
      <c r="E183" s="203" t="s">
        <v>118</v>
      </c>
      <c r="G183" s="203">
        <v>110</v>
      </c>
      <c r="H183" s="203" t="s">
        <v>13</v>
      </c>
      <c r="I183" s="203">
        <v>0.33333333333333331</v>
      </c>
    </row>
    <row r="184" spans="1:9" x14ac:dyDescent="0.2">
      <c r="A184" s="203">
        <v>37</v>
      </c>
      <c r="B184" s="203" t="s">
        <v>159</v>
      </c>
      <c r="C184" s="203"/>
      <c r="E184" s="203" t="s">
        <v>119</v>
      </c>
      <c r="G184" s="203">
        <v>111</v>
      </c>
      <c r="H184" s="203" t="s">
        <v>14</v>
      </c>
      <c r="I184" s="203">
        <v>0.33636363636363636</v>
      </c>
    </row>
    <row r="185" spans="1:9" x14ac:dyDescent="0.2">
      <c r="A185" s="203"/>
      <c r="C185" s="203"/>
      <c r="E185" s="203" t="s">
        <v>122</v>
      </c>
      <c r="G185" s="203">
        <v>330</v>
      </c>
      <c r="H185" s="203" t="s">
        <v>15</v>
      </c>
      <c r="I185" s="203">
        <v>1</v>
      </c>
    </row>
    <row r="186" spans="1:9" x14ac:dyDescent="0.2">
      <c r="A186" s="203"/>
      <c r="C186" s="203"/>
    </row>
    <row r="187" spans="1:9" x14ac:dyDescent="0.2">
      <c r="A187" s="203">
        <v>38</v>
      </c>
      <c r="B187" s="203" t="s">
        <v>160</v>
      </c>
      <c r="C187" s="203"/>
      <c r="E187" s="203" t="s">
        <v>117</v>
      </c>
      <c r="G187" s="203">
        <v>112</v>
      </c>
      <c r="H187" s="203" t="s">
        <v>12</v>
      </c>
      <c r="I187" s="203">
        <v>0.3303834808259587</v>
      </c>
    </row>
    <row r="188" spans="1:9" x14ac:dyDescent="0.2">
      <c r="A188" s="203">
        <v>38</v>
      </c>
      <c r="B188" s="203" t="s">
        <v>160</v>
      </c>
      <c r="C188" s="203"/>
      <c r="E188" s="203" t="s">
        <v>118</v>
      </c>
      <c r="G188" s="203">
        <v>113</v>
      </c>
      <c r="H188" s="203" t="s">
        <v>13</v>
      </c>
      <c r="I188" s="203">
        <v>0.33333333333333331</v>
      </c>
    </row>
    <row r="189" spans="1:9" x14ac:dyDescent="0.2">
      <c r="A189" s="203">
        <v>38</v>
      </c>
      <c r="B189" s="203" t="s">
        <v>160</v>
      </c>
      <c r="C189" s="203"/>
      <c r="E189" s="203" t="s">
        <v>119</v>
      </c>
      <c r="G189" s="203">
        <v>114</v>
      </c>
      <c r="H189" s="203" t="s">
        <v>14</v>
      </c>
      <c r="I189" s="203">
        <v>0.33628318584070799</v>
      </c>
    </row>
    <row r="190" spans="1:9" x14ac:dyDescent="0.2">
      <c r="A190" s="203"/>
      <c r="C190" s="203"/>
      <c r="E190" s="203" t="s">
        <v>122</v>
      </c>
      <c r="G190" s="203">
        <v>339</v>
      </c>
      <c r="H190" s="203" t="s">
        <v>15</v>
      </c>
      <c r="I190" s="203">
        <v>1</v>
      </c>
    </row>
    <row r="191" spans="1:9" x14ac:dyDescent="0.2">
      <c r="A191" s="203"/>
      <c r="C191" s="203"/>
    </row>
    <row r="192" spans="1:9" x14ac:dyDescent="0.2">
      <c r="A192" s="203">
        <v>39</v>
      </c>
      <c r="B192" s="203" t="s">
        <v>161</v>
      </c>
      <c r="C192" s="203"/>
      <c r="E192" s="203" t="s">
        <v>117</v>
      </c>
      <c r="G192" s="203">
        <v>115</v>
      </c>
      <c r="H192" s="203" t="s">
        <v>12</v>
      </c>
      <c r="I192" s="203">
        <v>0.33045977011494254</v>
      </c>
    </row>
    <row r="193" spans="1:9" x14ac:dyDescent="0.2">
      <c r="A193" s="203">
        <v>39</v>
      </c>
      <c r="B193" s="203" t="s">
        <v>161</v>
      </c>
      <c r="C193" s="203"/>
      <c r="E193" s="203" t="s">
        <v>118</v>
      </c>
      <c r="G193" s="203">
        <v>116</v>
      </c>
      <c r="H193" s="203" t="s">
        <v>13</v>
      </c>
      <c r="I193" s="203">
        <v>0.33333333333333331</v>
      </c>
    </row>
    <row r="194" spans="1:9" x14ac:dyDescent="0.2">
      <c r="A194" s="203">
        <v>39</v>
      </c>
      <c r="B194" s="203" t="s">
        <v>161</v>
      </c>
      <c r="C194" s="203"/>
      <c r="E194" s="203" t="s">
        <v>119</v>
      </c>
      <c r="G194" s="203">
        <v>117</v>
      </c>
      <c r="H194" s="203" t="s">
        <v>14</v>
      </c>
      <c r="I194" s="203">
        <v>0.33620689655172414</v>
      </c>
    </row>
    <row r="195" spans="1:9" x14ac:dyDescent="0.2">
      <c r="A195" s="203"/>
      <c r="C195" s="203"/>
      <c r="E195" s="203" t="s">
        <v>122</v>
      </c>
      <c r="G195" s="203">
        <v>348</v>
      </c>
      <c r="H195" s="203" t="s">
        <v>15</v>
      </c>
      <c r="I195" s="203">
        <v>1</v>
      </c>
    </row>
    <row r="196" spans="1:9" x14ac:dyDescent="0.2">
      <c r="A196" s="203"/>
      <c r="C196" s="203"/>
    </row>
    <row r="197" spans="1:9" x14ac:dyDescent="0.2">
      <c r="A197" s="203">
        <v>40</v>
      </c>
      <c r="B197" s="203" t="s">
        <v>162</v>
      </c>
      <c r="C197" s="203"/>
      <c r="E197" s="203" t="s">
        <v>117</v>
      </c>
      <c r="G197" s="203">
        <v>118</v>
      </c>
      <c r="H197" s="203" t="s">
        <v>12</v>
      </c>
      <c r="I197" s="203">
        <v>0.33053221288515405</v>
      </c>
    </row>
    <row r="198" spans="1:9" x14ac:dyDescent="0.2">
      <c r="A198" s="203">
        <v>40</v>
      </c>
      <c r="B198" s="203" t="s">
        <v>162</v>
      </c>
      <c r="C198" s="203"/>
      <c r="E198" s="203" t="s">
        <v>118</v>
      </c>
      <c r="G198" s="203">
        <v>119</v>
      </c>
      <c r="H198" s="203" t="s">
        <v>13</v>
      </c>
      <c r="I198" s="203">
        <v>0.33333333333333331</v>
      </c>
    </row>
    <row r="199" spans="1:9" x14ac:dyDescent="0.2">
      <c r="A199" s="203">
        <v>40</v>
      </c>
      <c r="B199" s="203" t="s">
        <v>162</v>
      </c>
      <c r="C199" s="203"/>
      <c r="E199" s="203" t="s">
        <v>119</v>
      </c>
      <c r="G199" s="203">
        <v>120</v>
      </c>
      <c r="H199" s="203" t="s">
        <v>14</v>
      </c>
      <c r="I199" s="203">
        <v>0.33613445378151263</v>
      </c>
    </row>
    <row r="200" spans="1:9" x14ac:dyDescent="0.2">
      <c r="A200" s="203"/>
      <c r="C200" s="203"/>
      <c r="E200" s="203" t="s">
        <v>122</v>
      </c>
      <c r="G200" s="203">
        <v>357</v>
      </c>
      <c r="H200" s="203" t="s">
        <v>15</v>
      </c>
      <c r="I200" s="203">
        <v>1</v>
      </c>
    </row>
    <row r="201" spans="1:9" x14ac:dyDescent="0.2">
      <c r="A201" s="203"/>
      <c r="C201" s="203"/>
    </row>
    <row r="202" spans="1:9" x14ac:dyDescent="0.2">
      <c r="A202" s="203">
        <v>41</v>
      </c>
      <c r="B202" s="203" t="s">
        <v>163</v>
      </c>
      <c r="C202" s="203"/>
      <c r="E202" s="203" t="s">
        <v>117</v>
      </c>
      <c r="G202" s="203">
        <v>121</v>
      </c>
      <c r="H202" s="203" t="s">
        <v>12</v>
      </c>
      <c r="I202" s="203">
        <v>0.33060109289617484</v>
      </c>
    </row>
    <row r="203" spans="1:9" x14ac:dyDescent="0.2">
      <c r="A203" s="203">
        <v>41</v>
      </c>
      <c r="B203" s="203" t="s">
        <v>163</v>
      </c>
      <c r="C203" s="203"/>
      <c r="E203" s="203" t="s">
        <v>118</v>
      </c>
      <c r="G203" s="203">
        <v>122</v>
      </c>
      <c r="H203" s="203" t="s">
        <v>13</v>
      </c>
      <c r="I203" s="203">
        <v>0.33333333333333331</v>
      </c>
    </row>
    <row r="204" spans="1:9" x14ac:dyDescent="0.2">
      <c r="A204" s="203">
        <v>41</v>
      </c>
      <c r="B204" s="203" t="s">
        <v>163</v>
      </c>
      <c r="C204" s="203"/>
      <c r="E204" s="203" t="s">
        <v>119</v>
      </c>
      <c r="G204" s="203">
        <v>123</v>
      </c>
      <c r="H204" s="203" t="s">
        <v>14</v>
      </c>
      <c r="I204" s="203">
        <v>0.33606557377049179</v>
      </c>
    </row>
    <row r="205" spans="1:9" x14ac:dyDescent="0.2">
      <c r="A205" s="203"/>
      <c r="C205" s="203"/>
      <c r="E205" s="203" t="s">
        <v>122</v>
      </c>
      <c r="G205" s="203">
        <v>366</v>
      </c>
      <c r="H205" s="203" t="s">
        <v>15</v>
      </c>
      <c r="I205" s="203">
        <v>1</v>
      </c>
    </row>
    <row r="206" spans="1:9" x14ac:dyDescent="0.2">
      <c r="A206" s="203"/>
      <c r="C206" s="203"/>
    </row>
    <row r="207" spans="1:9" x14ac:dyDescent="0.2">
      <c r="A207" s="203">
        <v>42</v>
      </c>
      <c r="B207" s="203" t="s">
        <v>164</v>
      </c>
      <c r="C207" s="203"/>
      <c r="E207" s="203" t="s">
        <v>117</v>
      </c>
      <c r="G207" s="203">
        <v>124</v>
      </c>
      <c r="H207" s="203" t="s">
        <v>12</v>
      </c>
      <c r="I207" s="203">
        <v>0.33066666666666666</v>
      </c>
    </row>
    <row r="208" spans="1:9" x14ac:dyDescent="0.2">
      <c r="A208" s="203">
        <v>42</v>
      </c>
      <c r="B208" s="203" t="s">
        <v>164</v>
      </c>
      <c r="C208" s="203"/>
      <c r="E208" s="203" t="s">
        <v>118</v>
      </c>
      <c r="G208" s="203">
        <v>125</v>
      </c>
      <c r="H208" s="203" t="s">
        <v>13</v>
      </c>
      <c r="I208" s="203">
        <v>0.33333333333333331</v>
      </c>
    </row>
    <row r="209" spans="1:9" x14ac:dyDescent="0.2">
      <c r="A209" s="203">
        <v>42</v>
      </c>
      <c r="B209" s="203" t="s">
        <v>164</v>
      </c>
      <c r="C209" s="203"/>
      <c r="E209" s="203" t="s">
        <v>119</v>
      </c>
      <c r="G209" s="203">
        <v>126</v>
      </c>
      <c r="H209" s="203" t="s">
        <v>14</v>
      </c>
      <c r="I209" s="203">
        <v>0.33600000000000002</v>
      </c>
    </row>
    <row r="210" spans="1:9" x14ac:dyDescent="0.2">
      <c r="A210" s="203"/>
      <c r="C210" s="203"/>
      <c r="E210" s="203" t="s">
        <v>122</v>
      </c>
      <c r="G210" s="203">
        <v>375</v>
      </c>
      <c r="H210" s="203" t="s">
        <v>15</v>
      </c>
      <c r="I210" s="203">
        <v>1</v>
      </c>
    </row>
    <row r="211" spans="1:9" x14ac:dyDescent="0.2">
      <c r="A211" s="203"/>
      <c r="C211" s="203"/>
    </row>
    <row r="212" spans="1:9" x14ac:dyDescent="0.2">
      <c r="A212" s="203">
        <v>43</v>
      </c>
      <c r="B212" s="203" t="s">
        <v>165</v>
      </c>
      <c r="C212" s="203"/>
      <c r="E212" s="203" t="s">
        <v>117</v>
      </c>
      <c r="G212" s="203">
        <v>127</v>
      </c>
      <c r="H212" s="203" t="s">
        <v>12</v>
      </c>
      <c r="I212" s="203">
        <v>0.33072916666666669</v>
      </c>
    </row>
    <row r="213" spans="1:9" x14ac:dyDescent="0.2">
      <c r="A213" s="203">
        <v>43</v>
      </c>
      <c r="B213" s="203" t="s">
        <v>165</v>
      </c>
      <c r="C213" s="203"/>
      <c r="E213" s="203" t="s">
        <v>118</v>
      </c>
      <c r="G213" s="203">
        <v>128</v>
      </c>
      <c r="H213" s="203" t="s">
        <v>13</v>
      </c>
      <c r="I213" s="203">
        <v>0.33333333333333331</v>
      </c>
    </row>
    <row r="214" spans="1:9" x14ac:dyDescent="0.2">
      <c r="A214" s="203">
        <v>43</v>
      </c>
      <c r="B214" s="203" t="s">
        <v>165</v>
      </c>
      <c r="C214" s="203"/>
      <c r="E214" s="203" t="s">
        <v>119</v>
      </c>
      <c r="G214" s="203">
        <v>129</v>
      </c>
      <c r="H214" s="203" t="s">
        <v>14</v>
      </c>
      <c r="I214" s="203">
        <v>0.3359375</v>
      </c>
    </row>
    <row r="215" spans="1:9" x14ac:dyDescent="0.2">
      <c r="A215" s="203"/>
      <c r="C215" s="203"/>
      <c r="E215" s="203" t="s">
        <v>122</v>
      </c>
      <c r="G215" s="203">
        <v>384</v>
      </c>
      <c r="H215" s="203" t="s">
        <v>15</v>
      </c>
      <c r="I215" s="203">
        <v>1</v>
      </c>
    </row>
    <row r="216" spans="1:9" x14ac:dyDescent="0.2">
      <c r="A216" s="203"/>
      <c r="C216" s="203"/>
    </row>
    <row r="217" spans="1:9" x14ac:dyDescent="0.2">
      <c r="A217" s="203">
        <v>44</v>
      </c>
      <c r="B217" s="203" t="s">
        <v>166</v>
      </c>
      <c r="C217" s="203"/>
      <c r="E217" s="203" t="s">
        <v>117</v>
      </c>
      <c r="G217" s="203">
        <v>130</v>
      </c>
      <c r="H217" s="203" t="s">
        <v>12</v>
      </c>
      <c r="I217" s="203">
        <v>0.33078880407124683</v>
      </c>
    </row>
    <row r="218" spans="1:9" x14ac:dyDescent="0.2">
      <c r="A218" s="203">
        <v>44</v>
      </c>
      <c r="B218" s="203" t="s">
        <v>166</v>
      </c>
      <c r="C218" s="203"/>
      <c r="E218" s="203" t="s">
        <v>118</v>
      </c>
      <c r="G218" s="203">
        <v>131</v>
      </c>
      <c r="H218" s="203" t="s">
        <v>13</v>
      </c>
      <c r="I218" s="203">
        <v>0.33333333333333331</v>
      </c>
    </row>
    <row r="219" spans="1:9" x14ac:dyDescent="0.2">
      <c r="A219" s="203">
        <v>44</v>
      </c>
      <c r="B219" s="203" t="s">
        <v>166</v>
      </c>
      <c r="C219" s="203"/>
      <c r="E219" s="203" t="s">
        <v>119</v>
      </c>
      <c r="G219" s="203">
        <v>132</v>
      </c>
      <c r="H219" s="203" t="s">
        <v>14</v>
      </c>
      <c r="I219" s="203">
        <v>0.33587786259541985</v>
      </c>
    </row>
    <row r="220" spans="1:9" x14ac:dyDescent="0.2">
      <c r="A220" s="203"/>
      <c r="C220" s="203"/>
      <c r="E220" s="203" t="s">
        <v>122</v>
      </c>
      <c r="G220" s="203">
        <v>393</v>
      </c>
      <c r="H220" s="203" t="s">
        <v>15</v>
      </c>
      <c r="I220" s="203">
        <v>1</v>
      </c>
    </row>
    <row r="221" spans="1:9" x14ac:dyDescent="0.2">
      <c r="A221" s="203"/>
      <c r="C221" s="203"/>
    </row>
    <row r="222" spans="1:9" x14ac:dyDescent="0.2">
      <c r="A222" s="203">
        <v>45</v>
      </c>
      <c r="B222" s="203" t="s">
        <v>167</v>
      </c>
      <c r="C222" s="203"/>
      <c r="E222" s="203" t="s">
        <v>117</v>
      </c>
      <c r="G222" s="203">
        <v>133</v>
      </c>
      <c r="H222" s="203" t="s">
        <v>12</v>
      </c>
      <c r="I222" s="203">
        <v>0.3308457711442786</v>
      </c>
    </row>
    <row r="223" spans="1:9" x14ac:dyDescent="0.2">
      <c r="A223" s="203">
        <v>45</v>
      </c>
      <c r="B223" s="203" t="s">
        <v>167</v>
      </c>
      <c r="C223" s="203"/>
      <c r="E223" s="203" t="s">
        <v>118</v>
      </c>
      <c r="G223" s="203">
        <v>134</v>
      </c>
      <c r="H223" s="203" t="s">
        <v>13</v>
      </c>
      <c r="I223" s="203">
        <v>0.33333333333333331</v>
      </c>
    </row>
    <row r="224" spans="1:9" x14ac:dyDescent="0.2">
      <c r="A224" s="203">
        <v>45</v>
      </c>
      <c r="B224" s="203" t="s">
        <v>167</v>
      </c>
      <c r="C224" s="203"/>
      <c r="E224" s="203" t="s">
        <v>119</v>
      </c>
      <c r="G224" s="203">
        <v>135</v>
      </c>
      <c r="H224" s="203" t="s">
        <v>14</v>
      </c>
      <c r="I224" s="203">
        <v>0.33582089552238809</v>
      </c>
    </row>
    <row r="225" spans="1:9" x14ac:dyDescent="0.2">
      <c r="A225" s="203"/>
      <c r="C225" s="203"/>
      <c r="E225" s="203" t="s">
        <v>122</v>
      </c>
      <c r="G225" s="203">
        <v>402</v>
      </c>
      <c r="H225" s="203" t="s">
        <v>15</v>
      </c>
      <c r="I225" s="203">
        <v>1</v>
      </c>
    </row>
    <row r="226" spans="1:9" x14ac:dyDescent="0.2">
      <c r="A226" s="203"/>
      <c r="C226" s="203"/>
    </row>
    <row r="227" spans="1:9" x14ac:dyDescent="0.2">
      <c r="A227" s="203">
        <v>46</v>
      </c>
      <c r="B227" s="203" t="s">
        <v>168</v>
      </c>
      <c r="C227" s="203"/>
      <c r="E227" s="203" t="s">
        <v>117</v>
      </c>
      <c r="G227" s="203">
        <v>136</v>
      </c>
      <c r="H227" s="203" t="s">
        <v>12</v>
      </c>
      <c r="I227" s="203">
        <v>0.33090024330900242</v>
      </c>
    </row>
    <row r="228" spans="1:9" x14ac:dyDescent="0.2">
      <c r="A228" s="203">
        <v>46</v>
      </c>
      <c r="B228" s="203" t="s">
        <v>168</v>
      </c>
      <c r="C228" s="203"/>
      <c r="E228" s="203" t="s">
        <v>118</v>
      </c>
      <c r="G228" s="203">
        <v>137</v>
      </c>
      <c r="H228" s="203" t="s">
        <v>13</v>
      </c>
      <c r="I228" s="203">
        <v>0.33333333333333331</v>
      </c>
    </row>
    <row r="229" spans="1:9" x14ac:dyDescent="0.2">
      <c r="A229" s="203">
        <v>46</v>
      </c>
      <c r="B229" s="203" t="s">
        <v>168</v>
      </c>
      <c r="C229" s="203"/>
      <c r="E229" s="203" t="s">
        <v>119</v>
      </c>
      <c r="G229" s="203">
        <v>138</v>
      </c>
      <c r="H229" s="203" t="s">
        <v>14</v>
      </c>
      <c r="I229" s="203">
        <v>0.33576642335766421</v>
      </c>
    </row>
    <row r="230" spans="1:9" x14ac:dyDescent="0.2">
      <c r="A230" s="203"/>
      <c r="C230" s="203"/>
      <c r="E230" s="203" t="s">
        <v>122</v>
      </c>
      <c r="G230" s="203">
        <v>411</v>
      </c>
      <c r="H230" s="203" t="s">
        <v>15</v>
      </c>
      <c r="I230" s="203">
        <v>1</v>
      </c>
    </row>
    <row r="231" spans="1:9" x14ac:dyDescent="0.2">
      <c r="A231" s="203"/>
      <c r="C231" s="203"/>
    </row>
    <row r="232" spans="1:9" x14ac:dyDescent="0.2">
      <c r="A232" s="203">
        <v>47</v>
      </c>
      <c r="B232" s="203" t="s">
        <v>169</v>
      </c>
      <c r="C232" s="203"/>
      <c r="E232" s="203" t="s">
        <v>117</v>
      </c>
      <c r="G232" s="203">
        <v>139</v>
      </c>
      <c r="H232" s="203" t="s">
        <v>12</v>
      </c>
      <c r="I232" s="203">
        <v>0.33095238095238094</v>
      </c>
    </row>
    <row r="233" spans="1:9" x14ac:dyDescent="0.2">
      <c r="A233" s="203">
        <v>47</v>
      </c>
      <c r="B233" s="203" t="s">
        <v>169</v>
      </c>
      <c r="C233" s="203"/>
      <c r="E233" s="203" t="s">
        <v>118</v>
      </c>
      <c r="G233" s="203">
        <v>140</v>
      </c>
      <c r="H233" s="203" t="s">
        <v>13</v>
      </c>
      <c r="I233" s="203">
        <v>0.33333333333333331</v>
      </c>
    </row>
    <row r="234" spans="1:9" x14ac:dyDescent="0.2">
      <c r="A234" s="203">
        <v>47</v>
      </c>
      <c r="B234" s="203" t="s">
        <v>169</v>
      </c>
      <c r="C234" s="203"/>
      <c r="E234" s="203" t="s">
        <v>119</v>
      </c>
      <c r="G234" s="203">
        <v>141</v>
      </c>
      <c r="H234" s="203" t="s">
        <v>14</v>
      </c>
      <c r="I234" s="203">
        <v>0.33571428571428569</v>
      </c>
    </row>
    <row r="235" spans="1:9" x14ac:dyDescent="0.2">
      <c r="A235" s="203"/>
      <c r="C235" s="203"/>
      <c r="E235" s="203" t="s">
        <v>122</v>
      </c>
      <c r="G235" s="203">
        <v>420</v>
      </c>
      <c r="H235" s="203" t="s">
        <v>15</v>
      </c>
      <c r="I235" s="203">
        <v>1</v>
      </c>
    </row>
    <row r="236" spans="1:9" x14ac:dyDescent="0.2">
      <c r="A236" s="203"/>
      <c r="C236" s="203"/>
    </row>
    <row r="237" spans="1:9" x14ac:dyDescent="0.2">
      <c r="A237" s="203">
        <v>48</v>
      </c>
      <c r="B237" s="203" t="s">
        <v>170</v>
      </c>
      <c r="C237" s="203"/>
      <c r="E237" s="203" t="s">
        <v>117</v>
      </c>
      <c r="G237" s="203">
        <v>142</v>
      </c>
      <c r="H237" s="203" t="s">
        <v>12</v>
      </c>
      <c r="I237" s="203">
        <v>0.33100233100233101</v>
      </c>
    </row>
    <row r="238" spans="1:9" x14ac:dyDescent="0.2">
      <c r="A238" s="203">
        <v>48</v>
      </c>
      <c r="B238" s="203" t="s">
        <v>170</v>
      </c>
      <c r="C238" s="203"/>
      <c r="E238" s="203" t="s">
        <v>118</v>
      </c>
      <c r="G238" s="203">
        <v>143</v>
      </c>
      <c r="H238" s="203" t="s">
        <v>13</v>
      </c>
      <c r="I238" s="203">
        <v>0.33333333333333331</v>
      </c>
    </row>
    <row r="239" spans="1:9" x14ac:dyDescent="0.2">
      <c r="A239" s="203">
        <v>48</v>
      </c>
      <c r="B239" s="203" t="s">
        <v>170</v>
      </c>
      <c r="C239" s="203"/>
      <c r="E239" s="203" t="s">
        <v>119</v>
      </c>
      <c r="G239" s="203">
        <v>144</v>
      </c>
      <c r="H239" s="203" t="s">
        <v>14</v>
      </c>
      <c r="I239" s="203">
        <v>0.33566433566433568</v>
      </c>
    </row>
    <row r="240" spans="1:9" x14ac:dyDescent="0.2">
      <c r="A240" s="203"/>
      <c r="C240" s="203"/>
      <c r="E240" s="203" t="s">
        <v>122</v>
      </c>
      <c r="G240" s="203">
        <v>429</v>
      </c>
      <c r="H240" s="203" t="s">
        <v>15</v>
      </c>
      <c r="I240" s="203">
        <v>1</v>
      </c>
    </row>
    <row r="241" spans="1:9" x14ac:dyDescent="0.2">
      <c r="A241" s="203"/>
      <c r="C241" s="203"/>
    </row>
    <row r="242" spans="1:9" x14ac:dyDescent="0.2">
      <c r="A242" s="203">
        <v>49</v>
      </c>
      <c r="B242" s="203" t="s">
        <v>171</v>
      </c>
      <c r="C242" s="203"/>
      <c r="E242" s="203" t="s">
        <v>117</v>
      </c>
      <c r="G242" s="203">
        <v>145</v>
      </c>
      <c r="H242" s="203" t="s">
        <v>12</v>
      </c>
      <c r="I242" s="203">
        <v>0.33105022831050229</v>
      </c>
    </row>
    <row r="243" spans="1:9" x14ac:dyDescent="0.2">
      <c r="A243" s="203">
        <v>49</v>
      </c>
      <c r="B243" s="203" t="s">
        <v>171</v>
      </c>
      <c r="C243" s="203"/>
      <c r="E243" s="203" t="s">
        <v>118</v>
      </c>
      <c r="G243" s="203">
        <v>146</v>
      </c>
      <c r="H243" s="203" t="s">
        <v>13</v>
      </c>
      <c r="I243" s="203">
        <v>0.33333333333333331</v>
      </c>
    </row>
    <row r="244" spans="1:9" x14ac:dyDescent="0.2">
      <c r="A244" s="203">
        <v>49</v>
      </c>
      <c r="B244" s="203" t="s">
        <v>171</v>
      </c>
      <c r="C244" s="203"/>
      <c r="E244" s="203" t="s">
        <v>119</v>
      </c>
      <c r="G244" s="203">
        <v>147</v>
      </c>
      <c r="H244" s="203" t="s">
        <v>14</v>
      </c>
      <c r="I244" s="203">
        <v>0.33561643835616439</v>
      </c>
    </row>
    <row r="245" spans="1:9" x14ac:dyDescent="0.2">
      <c r="A245" s="203"/>
      <c r="C245" s="203"/>
      <c r="E245" s="203" t="s">
        <v>122</v>
      </c>
      <c r="G245" s="203">
        <v>438</v>
      </c>
      <c r="H245" s="203" t="s">
        <v>15</v>
      </c>
      <c r="I245" s="203">
        <v>1</v>
      </c>
    </row>
    <row r="246" spans="1:9" x14ac:dyDescent="0.2">
      <c r="A246" s="203"/>
      <c r="C246" s="203"/>
    </row>
    <row r="247" spans="1:9" x14ac:dyDescent="0.2">
      <c r="A247" s="203">
        <v>50</v>
      </c>
      <c r="B247" s="203" t="s">
        <v>172</v>
      </c>
      <c r="C247" s="203"/>
      <c r="E247" s="203" t="s">
        <v>117</v>
      </c>
      <c r="G247" s="203">
        <v>148</v>
      </c>
      <c r="H247" s="203" t="s">
        <v>12</v>
      </c>
      <c r="I247" s="203">
        <v>0.33109619686800895</v>
      </c>
    </row>
    <row r="248" spans="1:9" x14ac:dyDescent="0.2">
      <c r="A248" s="203">
        <v>50</v>
      </c>
      <c r="B248" s="203" t="s">
        <v>172</v>
      </c>
      <c r="C248" s="203"/>
      <c r="E248" s="203" t="s">
        <v>118</v>
      </c>
      <c r="G248" s="203">
        <v>149</v>
      </c>
      <c r="H248" s="203" t="s">
        <v>13</v>
      </c>
      <c r="I248" s="203">
        <v>0.33333333333333331</v>
      </c>
    </row>
    <row r="249" spans="1:9" x14ac:dyDescent="0.2">
      <c r="A249" s="203">
        <v>50</v>
      </c>
      <c r="B249" s="203" t="s">
        <v>172</v>
      </c>
      <c r="C249" s="203"/>
      <c r="E249" s="203" t="s">
        <v>119</v>
      </c>
      <c r="G249" s="203">
        <v>150</v>
      </c>
      <c r="H249" s="203" t="s">
        <v>14</v>
      </c>
      <c r="I249" s="203">
        <v>0.33557046979865773</v>
      </c>
    </row>
    <row r="250" spans="1:9" x14ac:dyDescent="0.2">
      <c r="A250" s="203"/>
      <c r="C250" s="203"/>
      <c r="E250" s="203" t="s">
        <v>122</v>
      </c>
      <c r="G250" s="203">
        <v>447</v>
      </c>
      <c r="H250" s="203" t="s">
        <v>15</v>
      </c>
      <c r="I250" s="203">
        <v>1</v>
      </c>
    </row>
    <row r="251" spans="1:9" x14ac:dyDescent="0.2">
      <c r="A251" s="203"/>
      <c r="C251" s="203"/>
    </row>
    <row r="252" spans="1:9" x14ac:dyDescent="0.2">
      <c r="A252" s="203">
        <v>51</v>
      </c>
      <c r="B252" s="203" t="s">
        <v>173</v>
      </c>
      <c r="C252" s="203"/>
      <c r="E252" s="203" t="s">
        <v>117</v>
      </c>
      <c r="G252" s="203">
        <v>151</v>
      </c>
      <c r="H252" s="203" t="s">
        <v>12</v>
      </c>
      <c r="I252" s="203">
        <v>0.33114035087719296</v>
      </c>
    </row>
    <row r="253" spans="1:9" x14ac:dyDescent="0.2">
      <c r="A253" s="203">
        <v>51</v>
      </c>
      <c r="B253" s="203" t="s">
        <v>173</v>
      </c>
      <c r="C253" s="203"/>
      <c r="E253" s="203" t="s">
        <v>118</v>
      </c>
      <c r="G253" s="203">
        <v>152</v>
      </c>
      <c r="H253" s="203" t="s">
        <v>13</v>
      </c>
      <c r="I253" s="203">
        <v>0.33333333333333331</v>
      </c>
    </row>
    <row r="254" spans="1:9" x14ac:dyDescent="0.2">
      <c r="A254" s="203">
        <v>51</v>
      </c>
      <c r="B254" s="203" t="s">
        <v>173</v>
      </c>
      <c r="C254" s="203"/>
      <c r="E254" s="203" t="s">
        <v>119</v>
      </c>
      <c r="G254" s="203">
        <v>153</v>
      </c>
      <c r="H254" s="203" t="s">
        <v>14</v>
      </c>
      <c r="I254" s="203">
        <v>0.33552631578947367</v>
      </c>
    </row>
    <row r="255" spans="1:9" x14ac:dyDescent="0.2">
      <c r="A255" s="203"/>
      <c r="C255" s="203"/>
      <c r="E255" s="203" t="s">
        <v>122</v>
      </c>
      <c r="G255" s="203">
        <v>456</v>
      </c>
      <c r="H255" s="203" t="s">
        <v>15</v>
      </c>
      <c r="I255" s="203">
        <v>1</v>
      </c>
    </row>
    <row r="256" spans="1:9" x14ac:dyDescent="0.2">
      <c r="A256" s="203"/>
      <c r="C256" s="203"/>
    </row>
    <row r="257" spans="1:9" x14ac:dyDescent="0.2">
      <c r="A257" s="203">
        <v>52</v>
      </c>
      <c r="B257" s="203" t="s">
        <v>174</v>
      </c>
      <c r="C257" s="203"/>
      <c r="E257" s="203" t="s">
        <v>117</v>
      </c>
      <c r="G257" s="203">
        <v>154</v>
      </c>
      <c r="H257" s="203" t="s">
        <v>12</v>
      </c>
      <c r="I257" s="203">
        <v>0.33118279569892473</v>
      </c>
    </row>
    <row r="258" spans="1:9" x14ac:dyDescent="0.2">
      <c r="A258" s="203">
        <v>52</v>
      </c>
      <c r="B258" s="203" t="s">
        <v>174</v>
      </c>
      <c r="C258" s="203"/>
      <c r="E258" s="203" t="s">
        <v>118</v>
      </c>
      <c r="G258" s="203">
        <v>155</v>
      </c>
      <c r="H258" s="203" t="s">
        <v>13</v>
      </c>
      <c r="I258" s="203">
        <v>0.33333333333333331</v>
      </c>
    </row>
    <row r="259" spans="1:9" x14ac:dyDescent="0.2">
      <c r="A259" s="203">
        <v>52</v>
      </c>
      <c r="B259" s="203" t="s">
        <v>174</v>
      </c>
      <c r="C259" s="203"/>
      <c r="E259" s="203" t="s">
        <v>119</v>
      </c>
      <c r="G259" s="203">
        <v>156</v>
      </c>
      <c r="H259" s="203" t="s">
        <v>14</v>
      </c>
      <c r="I259" s="203">
        <v>0.33548387096774196</v>
      </c>
    </row>
    <row r="260" spans="1:9" x14ac:dyDescent="0.2">
      <c r="A260" s="203"/>
      <c r="C260" s="203"/>
      <c r="E260" s="203" t="s">
        <v>122</v>
      </c>
      <c r="G260" s="203">
        <v>465</v>
      </c>
      <c r="H260" s="203" t="s">
        <v>15</v>
      </c>
      <c r="I260" s="203">
        <v>1</v>
      </c>
    </row>
    <row r="261" spans="1:9" x14ac:dyDescent="0.2">
      <c r="A261" s="203"/>
      <c r="C261" s="203"/>
    </row>
    <row r="262" spans="1:9" x14ac:dyDescent="0.2">
      <c r="A262" s="203">
        <v>53</v>
      </c>
      <c r="B262" s="203" t="s">
        <v>175</v>
      </c>
      <c r="C262" s="203"/>
      <c r="E262" s="203" t="s">
        <v>117</v>
      </c>
      <c r="G262" s="203">
        <v>157</v>
      </c>
      <c r="H262" s="203" t="s">
        <v>12</v>
      </c>
      <c r="I262" s="203">
        <v>0.33122362869198313</v>
      </c>
    </row>
    <row r="263" spans="1:9" x14ac:dyDescent="0.2">
      <c r="A263" s="203">
        <v>53</v>
      </c>
      <c r="B263" s="203" t="s">
        <v>175</v>
      </c>
      <c r="C263" s="203"/>
      <c r="E263" s="203" t="s">
        <v>118</v>
      </c>
      <c r="G263" s="203">
        <v>158</v>
      </c>
      <c r="H263" s="203" t="s">
        <v>13</v>
      </c>
      <c r="I263" s="203">
        <v>0.33333333333333331</v>
      </c>
    </row>
    <row r="264" spans="1:9" x14ac:dyDescent="0.2">
      <c r="A264" s="203">
        <v>53</v>
      </c>
      <c r="B264" s="203" t="s">
        <v>175</v>
      </c>
      <c r="C264" s="203"/>
      <c r="E264" s="203" t="s">
        <v>119</v>
      </c>
      <c r="G264" s="203">
        <v>159</v>
      </c>
      <c r="H264" s="203" t="s">
        <v>14</v>
      </c>
      <c r="I264" s="203">
        <v>0.33544303797468356</v>
      </c>
    </row>
    <row r="265" spans="1:9" x14ac:dyDescent="0.2">
      <c r="A265" s="203"/>
      <c r="C265" s="203"/>
      <c r="E265" s="203" t="s">
        <v>122</v>
      </c>
      <c r="G265" s="203">
        <v>474</v>
      </c>
      <c r="H265" s="203" t="s">
        <v>15</v>
      </c>
      <c r="I265" s="203">
        <v>1</v>
      </c>
    </row>
    <row r="266" spans="1:9" x14ac:dyDescent="0.2">
      <c r="A266" s="203"/>
      <c r="C266" s="203"/>
    </row>
    <row r="267" spans="1:9" x14ac:dyDescent="0.2">
      <c r="A267" s="203">
        <v>54</v>
      </c>
      <c r="B267" s="203" t="s">
        <v>176</v>
      </c>
      <c r="C267" s="203"/>
      <c r="E267" s="203" t="s">
        <v>117</v>
      </c>
      <c r="G267" s="203">
        <v>160</v>
      </c>
      <c r="H267" s="203" t="s">
        <v>12</v>
      </c>
      <c r="I267" s="203">
        <v>0.33126293995859213</v>
      </c>
    </row>
    <row r="268" spans="1:9" x14ac:dyDescent="0.2">
      <c r="A268" s="203">
        <v>54</v>
      </c>
      <c r="B268" s="203" t="s">
        <v>176</v>
      </c>
      <c r="C268" s="203"/>
      <c r="E268" s="203" t="s">
        <v>118</v>
      </c>
      <c r="G268" s="203">
        <v>161</v>
      </c>
      <c r="H268" s="203" t="s">
        <v>13</v>
      </c>
      <c r="I268" s="203">
        <v>0.33333333333333331</v>
      </c>
    </row>
    <row r="269" spans="1:9" x14ac:dyDescent="0.2">
      <c r="A269" s="203">
        <v>54</v>
      </c>
      <c r="B269" s="203" t="s">
        <v>176</v>
      </c>
      <c r="C269" s="203"/>
      <c r="E269" s="203" t="s">
        <v>119</v>
      </c>
      <c r="G269" s="203">
        <v>162</v>
      </c>
      <c r="H269" s="203" t="s">
        <v>14</v>
      </c>
      <c r="I269" s="203">
        <v>0.33540372670807456</v>
      </c>
    </row>
    <row r="270" spans="1:9" x14ac:dyDescent="0.2">
      <c r="A270" s="203"/>
      <c r="C270" s="203"/>
      <c r="E270" s="203" t="s">
        <v>122</v>
      </c>
      <c r="G270" s="203">
        <v>483</v>
      </c>
      <c r="H270" s="203" t="s">
        <v>15</v>
      </c>
      <c r="I270" s="203">
        <v>1</v>
      </c>
    </row>
    <row r="271" spans="1:9" x14ac:dyDescent="0.2">
      <c r="A271" s="203"/>
      <c r="C271" s="203"/>
    </row>
    <row r="272" spans="1:9" x14ac:dyDescent="0.2">
      <c r="A272" s="203">
        <v>55</v>
      </c>
      <c r="B272" s="203" t="s">
        <v>177</v>
      </c>
      <c r="C272" s="203"/>
      <c r="E272" s="203" t="s">
        <v>117</v>
      </c>
      <c r="G272" s="203">
        <v>163</v>
      </c>
      <c r="H272" s="203" t="s">
        <v>12</v>
      </c>
      <c r="I272" s="203">
        <v>0.33130081300813008</v>
      </c>
    </row>
    <row r="273" spans="1:9" x14ac:dyDescent="0.2">
      <c r="A273" s="203">
        <v>55</v>
      </c>
      <c r="B273" s="203" t="s">
        <v>177</v>
      </c>
      <c r="C273" s="203"/>
      <c r="E273" s="203" t="s">
        <v>118</v>
      </c>
      <c r="G273" s="203">
        <v>164</v>
      </c>
      <c r="H273" s="203" t="s">
        <v>13</v>
      </c>
      <c r="I273" s="203">
        <v>0.33333333333333331</v>
      </c>
    </row>
    <row r="274" spans="1:9" x14ac:dyDescent="0.2">
      <c r="A274" s="203">
        <v>55</v>
      </c>
      <c r="B274" s="203" t="s">
        <v>177</v>
      </c>
      <c r="C274" s="203"/>
      <c r="E274" s="203" t="s">
        <v>119</v>
      </c>
      <c r="G274" s="203">
        <v>165</v>
      </c>
      <c r="H274" s="203" t="s">
        <v>14</v>
      </c>
      <c r="I274" s="203">
        <v>0.33536585365853661</v>
      </c>
    </row>
    <row r="275" spans="1:9" x14ac:dyDescent="0.2">
      <c r="A275" s="203"/>
      <c r="C275" s="203"/>
      <c r="E275" s="203" t="s">
        <v>122</v>
      </c>
      <c r="G275" s="203">
        <v>492</v>
      </c>
      <c r="H275" s="203" t="s">
        <v>15</v>
      </c>
      <c r="I275" s="203">
        <v>1</v>
      </c>
    </row>
    <row r="276" spans="1:9" x14ac:dyDescent="0.2">
      <c r="A276" s="203"/>
      <c r="C276" s="203"/>
    </row>
    <row r="277" spans="1:9" x14ac:dyDescent="0.2">
      <c r="A277" s="203">
        <v>56</v>
      </c>
      <c r="B277" s="203" t="s">
        <v>178</v>
      </c>
      <c r="C277" s="203"/>
      <c r="E277" s="203" t="s">
        <v>117</v>
      </c>
      <c r="G277" s="203">
        <v>166</v>
      </c>
      <c r="H277" s="203" t="s">
        <v>12</v>
      </c>
      <c r="I277" s="203">
        <v>0.33133732534930138</v>
      </c>
    </row>
    <row r="278" spans="1:9" x14ac:dyDescent="0.2">
      <c r="A278" s="203">
        <v>56</v>
      </c>
      <c r="B278" s="203" t="s">
        <v>178</v>
      </c>
      <c r="C278" s="203"/>
      <c r="E278" s="203" t="s">
        <v>118</v>
      </c>
      <c r="G278" s="203">
        <v>167</v>
      </c>
      <c r="H278" s="203" t="s">
        <v>13</v>
      </c>
      <c r="I278" s="203">
        <v>0.33333333333333331</v>
      </c>
    </row>
    <row r="279" spans="1:9" x14ac:dyDescent="0.2">
      <c r="A279" s="203">
        <v>56</v>
      </c>
      <c r="B279" s="203" t="s">
        <v>178</v>
      </c>
      <c r="C279" s="203"/>
      <c r="E279" s="203" t="s">
        <v>119</v>
      </c>
      <c r="G279" s="203">
        <v>168</v>
      </c>
      <c r="H279" s="203" t="s">
        <v>14</v>
      </c>
      <c r="I279" s="203">
        <v>0.33532934131736525</v>
      </c>
    </row>
    <row r="280" spans="1:9" x14ac:dyDescent="0.2">
      <c r="A280" s="203"/>
      <c r="C280" s="203"/>
      <c r="E280" s="203" t="s">
        <v>122</v>
      </c>
      <c r="G280" s="203">
        <v>501</v>
      </c>
      <c r="H280" s="203" t="s">
        <v>15</v>
      </c>
      <c r="I280" s="203">
        <v>1</v>
      </c>
    </row>
    <row r="281" spans="1:9" x14ac:dyDescent="0.2">
      <c r="A281" s="203"/>
      <c r="C281" s="203"/>
    </row>
    <row r="282" spans="1:9" x14ac:dyDescent="0.2">
      <c r="A282" s="203">
        <v>57</v>
      </c>
      <c r="B282" s="203" t="s">
        <v>179</v>
      </c>
      <c r="C282" s="203"/>
      <c r="E282" s="203" t="s">
        <v>117</v>
      </c>
      <c r="G282" s="203">
        <v>169</v>
      </c>
      <c r="H282" s="203" t="s">
        <v>12</v>
      </c>
      <c r="I282" s="203">
        <v>0.33137254901960783</v>
      </c>
    </row>
    <row r="283" spans="1:9" x14ac:dyDescent="0.2">
      <c r="A283" s="203">
        <v>57</v>
      </c>
      <c r="B283" s="203" t="s">
        <v>179</v>
      </c>
      <c r="C283" s="203"/>
      <c r="E283" s="203" t="s">
        <v>118</v>
      </c>
      <c r="G283" s="203">
        <v>170</v>
      </c>
      <c r="H283" s="203" t="s">
        <v>13</v>
      </c>
      <c r="I283" s="203">
        <v>0.33333333333333331</v>
      </c>
    </row>
    <row r="284" spans="1:9" x14ac:dyDescent="0.2">
      <c r="A284" s="203">
        <v>57</v>
      </c>
      <c r="B284" s="203" t="s">
        <v>179</v>
      </c>
      <c r="C284" s="203"/>
      <c r="E284" s="203" t="s">
        <v>119</v>
      </c>
      <c r="G284" s="203">
        <v>171</v>
      </c>
      <c r="H284" s="203" t="s">
        <v>14</v>
      </c>
      <c r="I284" s="203">
        <v>0.3352941176470588</v>
      </c>
    </row>
    <row r="285" spans="1:9" x14ac:dyDescent="0.2">
      <c r="A285" s="203"/>
      <c r="C285" s="203"/>
      <c r="E285" s="203" t="s">
        <v>122</v>
      </c>
      <c r="G285" s="203">
        <v>510</v>
      </c>
      <c r="H285" s="203" t="s">
        <v>15</v>
      </c>
      <c r="I285" s="203">
        <v>1</v>
      </c>
    </row>
    <row r="286" spans="1:9" x14ac:dyDescent="0.2">
      <c r="A286" s="203"/>
      <c r="C286" s="203"/>
    </row>
    <row r="287" spans="1:9" x14ac:dyDescent="0.2">
      <c r="A287" s="203">
        <v>58</v>
      </c>
      <c r="B287" s="203" t="s">
        <v>180</v>
      </c>
      <c r="C287" s="203"/>
      <c r="E287" s="203" t="s">
        <v>117</v>
      </c>
      <c r="G287" s="203">
        <v>172</v>
      </c>
      <c r="H287" s="203" t="s">
        <v>12</v>
      </c>
      <c r="I287" s="203">
        <v>0.33140655105973027</v>
      </c>
    </row>
    <row r="288" spans="1:9" x14ac:dyDescent="0.2">
      <c r="A288" s="203">
        <v>58</v>
      </c>
      <c r="B288" s="203" t="s">
        <v>180</v>
      </c>
      <c r="C288" s="203"/>
      <c r="E288" s="203" t="s">
        <v>118</v>
      </c>
      <c r="G288" s="203">
        <v>173</v>
      </c>
      <c r="H288" s="203" t="s">
        <v>13</v>
      </c>
      <c r="I288" s="203">
        <v>0.33333333333333331</v>
      </c>
    </row>
    <row r="289" spans="1:9" x14ac:dyDescent="0.2">
      <c r="A289" s="203">
        <v>58</v>
      </c>
      <c r="B289" s="203" t="s">
        <v>180</v>
      </c>
      <c r="C289" s="203"/>
      <c r="E289" s="203" t="s">
        <v>119</v>
      </c>
      <c r="G289" s="203">
        <v>174</v>
      </c>
      <c r="H289" s="203" t="s">
        <v>14</v>
      </c>
      <c r="I289" s="203">
        <v>0.33526011560693642</v>
      </c>
    </row>
    <row r="290" spans="1:9" x14ac:dyDescent="0.2">
      <c r="A290" s="203"/>
      <c r="C290" s="203"/>
      <c r="E290" s="203" t="s">
        <v>122</v>
      </c>
      <c r="G290" s="203">
        <v>519</v>
      </c>
      <c r="H290" s="203" t="s">
        <v>15</v>
      </c>
      <c r="I290" s="203">
        <v>1</v>
      </c>
    </row>
    <row r="291" spans="1:9" x14ac:dyDescent="0.2">
      <c r="A291" s="203"/>
      <c r="C291" s="203"/>
    </row>
    <row r="292" spans="1:9" x14ac:dyDescent="0.2">
      <c r="A292" s="203">
        <v>59</v>
      </c>
      <c r="B292" s="203" t="s">
        <v>181</v>
      </c>
      <c r="C292" s="203"/>
      <c r="E292" s="203" t="s">
        <v>117</v>
      </c>
      <c r="G292" s="203">
        <v>175</v>
      </c>
      <c r="H292" s="203" t="s">
        <v>12</v>
      </c>
      <c r="I292" s="203">
        <v>0.33143939393939392</v>
      </c>
    </row>
    <row r="293" spans="1:9" x14ac:dyDescent="0.2">
      <c r="A293" s="203">
        <v>59</v>
      </c>
      <c r="B293" s="203" t="s">
        <v>181</v>
      </c>
      <c r="C293" s="203"/>
      <c r="E293" s="203" t="s">
        <v>118</v>
      </c>
      <c r="G293" s="203">
        <v>176</v>
      </c>
      <c r="H293" s="203" t="s">
        <v>13</v>
      </c>
      <c r="I293" s="203">
        <v>0.33333333333333331</v>
      </c>
    </row>
    <row r="294" spans="1:9" x14ac:dyDescent="0.2">
      <c r="A294" s="203">
        <v>59</v>
      </c>
      <c r="B294" s="203" t="s">
        <v>181</v>
      </c>
      <c r="C294" s="203"/>
      <c r="E294" s="203" t="s">
        <v>119</v>
      </c>
      <c r="G294" s="203">
        <v>177</v>
      </c>
      <c r="H294" s="203" t="s">
        <v>14</v>
      </c>
      <c r="I294" s="203">
        <v>0.33522727272727271</v>
      </c>
    </row>
    <row r="295" spans="1:9" x14ac:dyDescent="0.2">
      <c r="A295" s="203"/>
      <c r="C295" s="203"/>
      <c r="E295" s="203" t="s">
        <v>122</v>
      </c>
      <c r="G295" s="203">
        <v>528</v>
      </c>
      <c r="H295" s="203" t="s">
        <v>15</v>
      </c>
      <c r="I295" s="203">
        <v>1</v>
      </c>
    </row>
    <row r="296" spans="1:9" x14ac:dyDescent="0.2">
      <c r="A296" s="203"/>
      <c r="C296" s="203"/>
    </row>
    <row r="297" spans="1:9" x14ac:dyDescent="0.2">
      <c r="A297" s="203">
        <v>60</v>
      </c>
      <c r="B297" s="203" t="s">
        <v>182</v>
      </c>
      <c r="C297" s="203"/>
      <c r="E297" s="203" t="s">
        <v>117</v>
      </c>
      <c r="G297" s="203">
        <v>178</v>
      </c>
      <c r="H297" s="203" t="s">
        <v>12</v>
      </c>
      <c r="I297" s="203">
        <v>0.33147113594040967</v>
      </c>
    </row>
    <row r="298" spans="1:9" x14ac:dyDescent="0.2">
      <c r="A298" s="203">
        <v>60</v>
      </c>
      <c r="B298" s="203" t="s">
        <v>182</v>
      </c>
      <c r="C298" s="203"/>
      <c r="E298" s="203" t="s">
        <v>118</v>
      </c>
      <c r="G298" s="203">
        <v>179</v>
      </c>
      <c r="H298" s="203" t="s">
        <v>13</v>
      </c>
      <c r="I298" s="203">
        <v>0.33333333333333331</v>
      </c>
    </row>
    <row r="299" spans="1:9" x14ac:dyDescent="0.2">
      <c r="A299" s="203">
        <v>60</v>
      </c>
      <c r="B299" s="203" t="s">
        <v>182</v>
      </c>
      <c r="C299" s="203"/>
      <c r="E299" s="203" t="s">
        <v>119</v>
      </c>
      <c r="G299" s="203">
        <v>180</v>
      </c>
      <c r="H299" s="203" t="s">
        <v>14</v>
      </c>
      <c r="I299" s="203">
        <v>0.33519553072625696</v>
      </c>
    </row>
    <row r="300" spans="1:9" x14ac:dyDescent="0.2">
      <c r="A300" s="203"/>
      <c r="C300" s="203"/>
      <c r="E300" s="203" t="s">
        <v>122</v>
      </c>
      <c r="G300" s="203">
        <v>537</v>
      </c>
      <c r="H300" s="203" t="s">
        <v>15</v>
      </c>
      <c r="I300" s="203">
        <v>0.99999999999999989</v>
      </c>
    </row>
    <row r="301" spans="1:9" x14ac:dyDescent="0.2">
      <c r="A301" s="203"/>
      <c r="C301" s="203"/>
    </row>
    <row r="302" spans="1:9" x14ac:dyDescent="0.2">
      <c r="A302" s="203">
        <v>61</v>
      </c>
      <c r="B302" s="203" t="s">
        <v>183</v>
      </c>
      <c r="C302" s="203"/>
      <c r="E302" s="203" t="s">
        <v>117</v>
      </c>
      <c r="G302" s="203">
        <v>181</v>
      </c>
      <c r="H302" s="203" t="s">
        <v>12</v>
      </c>
      <c r="I302" s="203">
        <v>0.33150183150183149</v>
      </c>
    </row>
    <row r="303" spans="1:9" x14ac:dyDescent="0.2">
      <c r="A303" s="203">
        <v>61</v>
      </c>
      <c r="B303" s="203" t="s">
        <v>183</v>
      </c>
      <c r="C303" s="203"/>
      <c r="E303" s="203" t="s">
        <v>118</v>
      </c>
      <c r="G303" s="203">
        <v>182</v>
      </c>
      <c r="H303" s="203" t="s">
        <v>13</v>
      </c>
      <c r="I303" s="203">
        <v>0.33333333333333331</v>
      </c>
    </row>
    <row r="304" spans="1:9" x14ac:dyDescent="0.2">
      <c r="A304" s="203">
        <v>61</v>
      </c>
      <c r="B304" s="203" t="s">
        <v>183</v>
      </c>
      <c r="C304" s="203"/>
      <c r="E304" s="203" t="s">
        <v>119</v>
      </c>
      <c r="G304" s="203">
        <v>183</v>
      </c>
      <c r="H304" s="203" t="s">
        <v>14</v>
      </c>
      <c r="I304" s="203">
        <v>0.33516483516483514</v>
      </c>
    </row>
    <row r="305" spans="1:9" x14ac:dyDescent="0.2">
      <c r="A305" s="203"/>
      <c r="C305" s="203"/>
      <c r="E305" s="203" t="s">
        <v>122</v>
      </c>
      <c r="G305" s="203">
        <v>546</v>
      </c>
      <c r="H305" s="203" t="s">
        <v>15</v>
      </c>
      <c r="I305" s="203">
        <v>1</v>
      </c>
    </row>
    <row r="306" spans="1:9" x14ac:dyDescent="0.2">
      <c r="A306" s="203"/>
      <c r="C306" s="203"/>
    </row>
    <row r="307" spans="1:9" x14ac:dyDescent="0.2">
      <c r="A307" s="203">
        <v>62</v>
      </c>
      <c r="B307" s="203" t="s">
        <v>184</v>
      </c>
      <c r="C307" s="203"/>
      <c r="E307" s="203" t="s">
        <v>117</v>
      </c>
      <c r="G307" s="203">
        <v>184</v>
      </c>
      <c r="H307" s="203" t="s">
        <v>12</v>
      </c>
      <c r="I307" s="203">
        <v>0.33153153153153153</v>
      </c>
    </row>
    <row r="308" spans="1:9" x14ac:dyDescent="0.2">
      <c r="A308" s="203">
        <v>62</v>
      </c>
      <c r="B308" s="203" t="s">
        <v>184</v>
      </c>
      <c r="C308" s="203"/>
      <c r="E308" s="203" t="s">
        <v>118</v>
      </c>
      <c r="G308" s="203">
        <v>185</v>
      </c>
      <c r="H308" s="203" t="s">
        <v>13</v>
      </c>
      <c r="I308" s="203">
        <v>0.33333333333333331</v>
      </c>
    </row>
    <row r="309" spans="1:9" x14ac:dyDescent="0.2">
      <c r="A309" s="203">
        <v>62</v>
      </c>
      <c r="B309" s="203" t="s">
        <v>184</v>
      </c>
      <c r="C309" s="203"/>
      <c r="E309" s="203" t="s">
        <v>119</v>
      </c>
      <c r="G309" s="203">
        <v>186</v>
      </c>
      <c r="H309" s="203" t="s">
        <v>14</v>
      </c>
      <c r="I309" s="203">
        <v>0.33513513513513515</v>
      </c>
    </row>
    <row r="310" spans="1:9" x14ac:dyDescent="0.2">
      <c r="A310" s="203"/>
      <c r="C310" s="203"/>
      <c r="E310" s="203" t="s">
        <v>122</v>
      </c>
      <c r="G310" s="203">
        <v>555</v>
      </c>
      <c r="H310" s="203" t="s">
        <v>15</v>
      </c>
      <c r="I310" s="203">
        <v>1</v>
      </c>
    </row>
    <row r="311" spans="1:9" x14ac:dyDescent="0.2">
      <c r="A311" s="203"/>
      <c r="C311" s="203"/>
    </row>
    <row r="312" spans="1:9" x14ac:dyDescent="0.2">
      <c r="A312" s="203">
        <v>63</v>
      </c>
      <c r="B312" s="203" t="s">
        <v>185</v>
      </c>
      <c r="C312" s="203"/>
      <c r="E312" s="203" t="s">
        <v>117</v>
      </c>
      <c r="G312" s="203">
        <v>187</v>
      </c>
      <c r="H312" s="203" t="s">
        <v>12</v>
      </c>
      <c r="I312" s="203">
        <v>0.33156028368794327</v>
      </c>
    </row>
    <row r="313" spans="1:9" x14ac:dyDescent="0.2">
      <c r="A313" s="203">
        <v>63</v>
      </c>
      <c r="B313" s="203" t="s">
        <v>185</v>
      </c>
      <c r="C313" s="203"/>
      <c r="E313" s="203" t="s">
        <v>118</v>
      </c>
      <c r="G313" s="203">
        <v>188</v>
      </c>
      <c r="H313" s="203" t="s">
        <v>13</v>
      </c>
      <c r="I313" s="203">
        <v>0.33333333333333331</v>
      </c>
    </row>
    <row r="314" spans="1:9" x14ac:dyDescent="0.2">
      <c r="A314" s="203">
        <v>63</v>
      </c>
      <c r="B314" s="203" t="s">
        <v>185</v>
      </c>
      <c r="C314" s="203"/>
      <c r="E314" s="203" t="s">
        <v>119</v>
      </c>
      <c r="G314" s="203">
        <v>189</v>
      </c>
      <c r="H314" s="203" t="s">
        <v>14</v>
      </c>
      <c r="I314" s="203">
        <v>0.33510638297872342</v>
      </c>
    </row>
    <row r="315" spans="1:9" x14ac:dyDescent="0.2">
      <c r="A315" s="203"/>
      <c r="C315" s="203"/>
      <c r="E315" s="203" t="s">
        <v>122</v>
      </c>
      <c r="G315" s="203">
        <v>564</v>
      </c>
      <c r="H315" s="203" t="s">
        <v>15</v>
      </c>
      <c r="I315" s="203">
        <v>1</v>
      </c>
    </row>
    <row r="316" spans="1:9" x14ac:dyDescent="0.2">
      <c r="A316" s="203"/>
      <c r="C316" s="203"/>
    </row>
    <row r="317" spans="1:9" x14ac:dyDescent="0.2">
      <c r="A317" s="203">
        <v>64</v>
      </c>
      <c r="B317" s="203" t="s">
        <v>186</v>
      </c>
      <c r="C317" s="203"/>
      <c r="E317" s="203" t="s">
        <v>117</v>
      </c>
      <c r="G317" s="203">
        <v>190</v>
      </c>
      <c r="H317" s="203" t="s">
        <v>12</v>
      </c>
      <c r="I317" s="203">
        <v>0.33158813263525305</v>
      </c>
    </row>
    <row r="318" spans="1:9" x14ac:dyDescent="0.2">
      <c r="A318" s="203">
        <v>64</v>
      </c>
      <c r="B318" s="203" t="s">
        <v>186</v>
      </c>
      <c r="C318" s="203"/>
      <c r="E318" s="203" t="s">
        <v>118</v>
      </c>
      <c r="G318" s="203">
        <v>191</v>
      </c>
      <c r="H318" s="203" t="s">
        <v>13</v>
      </c>
      <c r="I318" s="203">
        <v>0.33333333333333331</v>
      </c>
    </row>
    <row r="319" spans="1:9" x14ac:dyDescent="0.2">
      <c r="A319" s="203">
        <v>64</v>
      </c>
      <c r="B319" s="203" t="s">
        <v>186</v>
      </c>
      <c r="C319" s="203"/>
      <c r="E319" s="203" t="s">
        <v>119</v>
      </c>
      <c r="G319" s="203">
        <v>192</v>
      </c>
      <c r="H319" s="203" t="s">
        <v>14</v>
      </c>
      <c r="I319" s="203">
        <v>0.33507853403141363</v>
      </c>
    </row>
    <row r="320" spans="1:9" x14ac:dyDescent="0.2">
      <c r="A320" s="203"/>
      <c r="C320" s="203"/>
      <c r="E320" s="203" t="s">
        <v>122</v>
      </c>
      <c r="G320" s="203">
        <v>573</v>
      </c>
      <c r="H320" s="203" t="s">
        <v>15</v>
      </c>
      <c r="I320" s="203">
        <v>1</v>
      </c>
    </row>
    <row r="321" spans="1:9" x14ac:dyDescent="0.2">
      <c r="A321" s="203"/>
      <c r="C321" s="203"/>
    </row>
    <row r="322" spans="1:9" x14ac:dyDescent="0.2">
      <c r="A322" s="203">
        <v>65</v>
      </c>
      <c r="B322" s="203" t="s">
        <v>187</v>
      </c>
      <c r="C322" s="203"/>
      <c r="E322" s="203" t="s">
        <v>117</v>
      </c>
      <c r="G322" s="203">
        <v>193</v>
      </c>
      <c r="H322" s="203" t="s">
        <v>12</v>
      </c>
      <c r="I322" s="203">
        <v>0.33161512027491408</v>
      </c>
    </row>
    <row r="323" spans="1:9" x14ac:dyDescent="0.2">
      <c r="A323" s="203">
        <v>65</v>
      </c>
      <c r="B323" s="203" t="s">
        <v>187</v>
      </c>
      <c r="C323" s="203"/>
      <c r="E323" s="203" t="s">
        <v>118</v>
      </c>
      <c r="G323" s="203">
        <v>194</v>
      </c>
      <c r="H323" s="203" t="s">
        <v>13</v>
      </c>
      <c r="I323" s="203">
        <v>0.33333333333333331</v>
      </c>
    </row>
    <row r="324" spans="1:9" x14ac:dyDescent="0.2">
      <c r="A324" s="203">
        <v>65</v>
      </c>
      <c r="B324" s="203" t="s">
        <v>187</v>
      </c>
      <c r="C324" s="203"/>
      <c r="E324" s="203" t="s">
        <v>119</v>
      </c>
      <c r="G324" s="203">
        <v>195</v>
      </c>
      <c r="H324" s="203" t="s">
        <v>14</v>
      </c>
      <c r="I324" s="203">
        <v>0.33505154639175255</v>
      </c>
    </row>
    <row r="325" spans="1:9" x14ac:dyDescent="0.2">
      <c r="A325" s="203"/>
      <c r="C325" s="203"/>
      <c r="E325" s="203" t="s">
        <v>122</v>
      </c>
      <c r="G325" s="203">
        <v>582</v>
      </c>
      <c r="H325" s="203" t="s">
        <v>15</v>
      </c>
      <c r="I325" s="203">
        <v>1</v>
      </c>
    </row>
    <row r="326" spans="1:9" x14ac:dyDescent="0.2">
      <c r="A326" s="203"/>
      <c r="C326" s="203"/>
    </row>
    <row r="327" spans="1:9" x14ac:dyDescent="0.2">
      <c r="A327" s="203">
        <v>66</v>
      </c>
      <c r="B327" s="203" t="s">
        <v>188</v>
      </c>
      <c r="C327" s="203"/>
      <c r="E327" s="203" t="s">
        <v>117</v>
      </c>
      <c r="G327" s="203">
        <v>196</v>
      </c>
      <c r="H327" s="203" t="s">
        <v>12</v>
      </c>
      <c r="I327" s="203">
        <v>0.33164128595600678</v>
      </c>
    </row>
    <row r="328" spans="1:9" x14ac:dyDescent="0.2">
      <c r="A328" s="203">
        <v>66</v>
      </c>
      <c r="B328" s="203" t="s">
        <v>188</v>
      </c>
      <c r="C328" s="203"/>
      <c r="E328" s="203" t="s">
        <v>118</v>
      </c>
      <c r="G328" s="203">
        <v>197</v>
      </c>
      <c r="H328" s="203" t="s">
        <v>13</v>
      </c>
      <c r="I328" s="203">
        <v>0.33333333333333331</v>
      </c>
    </row>
    <row r="329" spans="1:9" x14ac:dyDescent="0.2">
      <c r="A329" s="203">
        <v>66</v>
      </c>
      <c r="B329" s="203" t="s">
        <v>188</v>
      </c>
      <c r="C329" s="203"/>
      <c r="E329" s="203" t="s">
        <v>119</v>
      </c>
      <c r="G329" s="203">
        <v>198</v>
      </c>
      <c r="H329" s="203" t="s">
        <v>14</v>
      </c>
      <c r="I329" s="203">
        <v>0.3350253807106599</v>
      </c>
    </row>
    <row r="330" spans="1:9" x14ac:dyDescent="0.2">
      <c r="A330" s="203"/>
      <c r="C330" s="203"/>
      <c r="E330" s="203" t="s">
        <v>122</v>
      </c>
      <c r="G330" s="203">
        <v>591</v>
      </c>
      <c r="H330" s="203" t="s">
        <v>15</v>
      </c>
      <c r="I330" s="203">
        <v>1</v>
      </c>
    </row>
    <row r="331" spans="1:9" x14ac:dyDescent="0.2">
      <c r="A331" s="203"/>
      <c r="C331" s="203"/>
    </row>
    <row r="332" spans="1:9" x14ac:dyDescent="0.2">
      <c r="A332" s="203">
        <v>67</v>
      </c>
      <c r="B332" s="203" t="s">
        <v>189</v>
      </c>
      <c r="C332" s="203"/>
      <c r="E332" s="203" t="s">
        <v>117</v>
      </c>
      <c r="G332" s="203">
        <v>199</v>
      </c>
      <c r="H332" s="203" t="s">
        <v>12</v>
      </c>
      <c r="I332" s="203">
        <v>0.33166666666666667</v>
      </c>
    </row>
    <row r="333" spans="1:9" x14ac:dyDescent="0.2">
      <c r="A333" s="203">
        <v>67</v>
      </c>
      <c r="B333" s="203" t="s">
        <v>189</v>
      </c>
      <c r="C333" s="203"/>
      <c r="E333" s="203" t="s">
        <v>118</v>
      </c>
      <c r="G333" s="203">
        <v>200</v>
      </c>
      <c r="H333" s="203" t="s">
        <v>13</v>
      </c>
      <c r="I333" s="203">
        <v>0.33333333333333331</v>
      </c>
    </row>
    <row r="334" spans="1:9" x14ac:dyDescent="0.2">
      <c r="A334" s="203">
        <v>67</v>
      </c>
      <c r="B334" s="203" t="s">
        <v>189</v>
      </c>
      <c r="C334" s="203"/>
      <c r="E334" s="203" t="s">
        <v>119</v>
      </c>
      <c r="G334" s="203">
        <v>201</v>
      </c>
      <c r="H334" s="203" t="s">
        <v>14</v>
      </c>
      <c r="I334" s="203">
        <v>0.33500000000000002</v>
      </c>
    </row>
    <row r="335" spans="1:9" x14ac:dyDescent="0.2">
      <c r="A335" s="203"/>
      <c r="C335" s="203"/>
      <c r="E335" s="203" t="s">
        <v>122</v>
      </c>
      <c r="G335" s="203">
        <v>600</v>
      </c>
      <c r="H335" s="203" t="s">
        <v>15</v>
      </c>
      <c r="I335" s="203">
        <v>1</v>
      </c>
    </row>
    <row r="336" spans="1:9" x14ac:dyDescent="0.2">
      <c r="A336" s="203"/>
      <c r="C336" s="203"/>
    </row>
    <row r="337" spans="1:9" x14ac:dyDescent="0.2">
      <c r="A337" s="203">
        <v>68</v>
      </c>
      <c r="B337" s="203" t="s">
        <v>190</v>
      </c>
      <c r="C337" s="203"/>
      <c r="E337" s="203" t="s">
        <v>117</v>
      </c>
      <c r="G337" s="203">
        <v>202</v>
      </c>
      <c r="H337" s="203" t="s">
        <v>12</v>
      </c>
      <c r="I337" s="203">
        <v>0.33169129720853857</v>
      </c>
    </row>
    <row r="338" spans="1:9" x14ac:dyDescent="0.2">
      <c r="A338" s="203">
        <v>68</v>
      </c>
      <c r="B338" s="203" t="s">
        <v>190</v>
      </c>
      <c r="C338" s="203"/>
      <c r="E338" s="203" t="s">
        <v>118</v>
      </c>
      <c r="G338" s="203">
        <v>203</v>
      </c>
      <c r="H338" s="203" t="s">
        <v>13</v>
      </c>
      <c r="I338" s="203">
        <v>0.33333333333333331</v>
      </c>
    </row>
    <row r="339" spans="1:9" x14ac:dyDescent="0.2">
      <c r="A339" s="203">
        <v>68</v>
      </c>
      <c r="B339" s="203" t="s">
        <v>190</v>
      </c>
      <c r="C339" s="203"/>
      <c r="E339" s="203" t="s">
        <v>119</v>
      </c>
      <c r="G339" s="203">
        <v>204</v>
      </c>
      <c r="H339" s="203" t="s">
        <v>14</v>
      </c>
      <c r="I339" s="203">
        <v>0.33497536945812806</v>
      </c>
    </row>
    <row r="340" spans="1:9" x14ac:dyDescent="0.2">
      <c r="A340" s="203"/>
      <c r="C340" s="203"/>
      <c r="E340" s="203" t="s">
        <v>122</v>
      </c>
      <c r="G340" s="203">
        <v>609</v>
      </c>
      <c r="H340" s="203" t="s">
        <v>15</v>
      </c>
      <c r="I340" s="203">
        <v>1</v>
      </c>
    </row>
    <row r="341" spans="1:9" x14ac:dyDescent="0.2">
      <c r="A341" s="203"/>
      <c r="C341" s="203"/>
    </row>
    <row r="342" spans="1:9" x14ac:dyDescent="0.2">
      <c r="A342" s="203">
        <v>69</v>
      </c>
      <c r="B342" s="203" t="s">
        <v>191</v>
      </c>
      <c r="C342" s="203"/>
      <c r="E342" s="203" t="s">
        <v>117</v>
      </c>
      <c r="G342" s="203">
        <v>205</v>
      </c>
      <c r="H342" s="203" t="s">
        <v>12</v>
      </c>
      <c r="I342" s="203">
        <v>0.33171521035598706</v>
      </c>
    </row>
    <row r="343" spans="1:9" x14ac:dyDescent="0.2">
      <c r="A343" s="203">
        <v>69</v>
      </c>
      <c r="B343" s="203" t="s">
        <v>191</v>
      </c>
      <c r="C343" s="203"/>
      <c r="E343" s="203" t="s">
        <v>118</v>
      </c>
      <c r="G343" s="203">
        <v>206</v>
      </c>
      <c r="H343" s="203" t="s">
        <v>13</v>
      </c>
      <c r="I343" s="203">
        <v>0.33333333333333331</v>
      </c>
    </row>
    <row r="344" spans="1:9" x14ac:dyDescent="0.2">
      <c r="A344" s="203">
        <v>69</v>
      </c>
      <c r="B344" s="203" t="s">
        <v>191</v>
      </c>
      <c r="C344" s="203"/>
      <c r="E344" s="203" t="s">
        <v>119</v>
      </c>
      <c r="G344" s="203">
        <v>207</v>
      </c>
      <c r="H344" s="203" t="s">
        <v>14</v>
      </c>
      <c r="I344" s="203">
        <v>0.33495145631067963</v>
      </c>
    </row>
    <row r="345" spans="1:9" x14ac:dyDescent="0.2">
      <c r="A345" s="203"/>
      <c r="C345" s="203"/>
      <c r="E345" s="203" t="s">
        <v>122</v>
      </c>
      <c r="G345" s="203">
        <v>618</v>
      </c>
      <c r="H345" s="203" t="s">
        <v>15</v>
      </c>
      <c r="I345" s="203">
        <v>1</v>
      </c>
    </row>
    <row r="346" spans="1:9" x14ac:dyDescent="0.2">
      <c r="A346" s="203"/>
      <c r="C346" s="203"/>
    </row>
    <row r="347" spans="1:9" x14ac:dyDescent="0.2">
      <c r="A347" s="203">
        <v>70</v>
      </c>
      <c r="B347" s="203" t="s">
        <v>192</v>
      </c>
      <c r="C347" s="203"/>
      <c r="E347" s="203" t="s">
        <v>117</v>
      </c>
      <c r="G347" s="203">
        <v>208</v>
      </c>
      <c r="H347" s="203" t="s">
        <v>12</v>
      </c>
      <c r="I347" s="203">
        <v>0.33173843700159489</v>
      </c>
    </row>
    <row r="348" spans="1:9" x14ac:dyDescent="0.2">
      <c r="A348" s="203">
        <v>70</v>
      </c>
      <c r="B348" s="203" t="s">
        <v>192</v>
      </c>
      <c r="C348" s="203"/>
      <c r="E348" s="203" t="s">
        <v>118</v>
      </c>
      <c r="G348" s="203">
        <v>209</v>
      </c>
      <c r="H348" s="203" t="s">
        <v>13</v>
      </c>
      <c r="I348" s="203">
        <v>0.33333333333333331</v>
      </c>
    </row>
    <row r="349" spans="1:9" x14ac:dyDescent="0.2">
      <c r="A349" s="203">
        <v>70</v>
      </c>
      <c r="B349" s="203" t="s">
        <v>192</v>
      </c>
      <c r="C349" s="203"/>
      <c r="E349" s="203" t="s">
        <v>119</v>
      </c>
      <c r="G349" s="203">
        <v>210</v>
      </c>
      <c r="H349" s="203" t="s">
        <v>14</v>
      </c>
      <c r="I349" s="203">
        <v>0.3349282296650718</v>
      </c>
    </row>
    <row r="350" spans="1:9" x14ac:dyDescent="0.2">
      <c r="A350" s="203"/>
      <c r="C350" s="203"/>
      <c r="E350" s="203" t="s">
        <v>122</v>
      </c>
      <c r="G350" s="203">
        <v>627</v>
      </c>
      <c r="H350" s="203" t="s">
        <v>15</v>
      </c>
      <c r="I350" s="203">
        <v>1</v>
      </c>
    </row>
    <row r="351" spans="1:9" x14ac:dyDescent="0.2">
      <c r="A351" s="203"/>
      <c r="C351" s="203"/>
    </row>
    <row r="352" spans="1:9" x14ac:dyDescent="0.2">
      <c r="A352" s="203">
        <v>71</v>
      </c>
      <c r="B352" s="203" t="s">
        <v>193</v>
      </c>
      <c r="C352" s="203"/>
      <c r="E352" s="203" t="s">
        <v>117</v>
      </c>
      <c r="G352" s="203">
        <v>211</v>
      </c>
      <c r="H352" s="203" t="s">
        <v>12</v>
      </c>
      <c r="I352" s="203">
        <v>0.33176100628930816</v>
      </c>
    </row>
    <row r="353" spans="1:9" x14ac:dyDescent="0.2">
      <c r="A353" s="203">
        <v>71</v>
      </c>
      <c r="B353" s="203" t="s">
        <v>193</v>
      </c>
      <c r="C353" s="203"/>
      <c r="E353" s="203" t="s">
        <v>118</v>
      </c>
      <c r="G353" s="203">
        <v>212</v>
      </c>
      <c r="H353" s="203" t="s">
        <v>13</v>
      </c>
      <c r="I353" s="203">
        <v>0.33333333333333331</v>
      </c>
    </row>
    <row r="354" spans="1:9" x14ac:dyDescent="0.2">
      <c r="A354" s="203">
        <v>71</v>
      </c>
      <c r="B354" s="203" t="s">
        <v>193</v>
      </c>
      <c r="C354" s="203"/>
      <c r="E354" s="203" t="s">
        <v>119</v>
      </c>
      <c r="G354" s="203">
        <v>213</v>
      </c>
      <c r="H354" s="203" t="s">
        <v>14</v>
      </c>
      <c r="I354" s="203">
        <v>0.33490566037735847</v>
      </c>
    </row>
    <row r="355" spans="1:9" x14ac:dyDescent="0.2">
      <c r="A355" s="203"/>
      <c r="C355" s="203"/>
      <c r="E355" s="203" t="s">
        <v>122</v>
      </c>
      <c r="G355" s="203">
        <v>636</v>
      </c>
      <c r="H355" s="203" t="s">
        <v>15</v>
      </c>
      <c r="I355" s="203">
        <v>0.99999999999999989</v>
      </c>
    </row>
    <row r="356" spans="1:9" x14ac:dyDescent="0.2">
      <c r="A356" s="203"/>
      <c r="C356" s="203"/>
    </row>
    <row r="357" spans="1:9" x14ac:dyDescent="0.2">
      <c r="A357" s="203">
        <v>72</v>
      </c>
      <c r="B357" s="203" t="s">
        <v>194</v>
      </c>
      <c r="C357" s="203"/>
      <c r="E357" s="203" t="s">
        <v>117</v>
      </c>
      <c r="G357" s="203">
        <v>214</v>
      </c>
      <c r="H357" s="203" t="s">
        <v>12</v>
      </c>
      <c r="I357" s="203">
        <v>0.33178294573643413</v>
      </c>
    </row>
    <row r="358" spans="1:9" x14ac:dyDescent="0.2">
      <c r="A358" s="203">
        <v>72</v>
      </c>
      <c r="B358" s="203" t="s">
        <v>194</v>
      </c>
      <c r="C358" s="203"/>
      <c r="E358" s="203" t="s">
        <v>118</v>
      </c>
      <c r="G358" s="203">
        <v>215</v>
      </c>
      <c r="H358" s="203" t="s">
        <v>13</v>
      </c>
      <c r="I358" s="203">
        <v>0.33333333333333331</v>
      </c>
    </row>
    <row r="359" spans="1:9" x14ac:dyDescent="0.2">
      <c r="A359" s="203">
        <v>72</v>
      </c>
      <c r="B359" s="203" t="s">
        <v>194</v>
      </c>
      <c r="C359" s="203"/>
      <c r="E359" s="203" t="s">
        <v>119</v>
      </c>
      <c r="G359" s="203">
        <v>216</v>
      </c>
      <c r="H359" s="203" t="s">
        <v>14</v>
      </c>
      <c r="I359" s="203">
        <v>0.33488372093023255</v>
      </c>
    </row>
    <row r="360" spans="1:9" x14ac:dyDescent="0.2">
      <c r="A360" s="203"/>
      <c r="C360" s="203"/>
      <c r="E360" s="203" t="s">
        <v>122</v>
      </c>
      <c r="G360" s="203">
        <v>645</v>
      </c>
      <c r="H360" s="203" t="s">
        <v>15</v>
      </c>
      <c r="I360" s="203">
        <v>1</v>
      </c>
    </row>
    <row r="361" spans="1:9" x14ac:dyDescent="0.2">
      <c r="A361" s="203"/>
      <c r="C361" s="203"/>
    </row>
    <row r="362" spans="1:9" x14ac:dyDescent="0.2">
      <c r="A362" s="203">
        <v>73</v>
      </c>
      <c r="B362" s="203" t="s">
        <v>195</v>
      </c>
      <c r="C362" s="203"/>
      <c r="E362" s="203" t="s">
        <v>117</v>
      </c>
      <c r="G362" s="203">
        <v>217</v>
      </c>
      <c r="H362" s="203" t="s">
        <v>12</v>
      </c>
      <c r="I362" s="203">
        <v>0.33180428134556578</v>
      </c>
    </row>
    <row r="363" spans="1:9" x14ac:dyDescent="0.2">
      <c r="A363" s="203">
        <v>73</v>
      </c>
      <c r="B363" s="203" t="s">
        <v>195</v>
      </c>
      <c r="C363" s="203"/>
      <c r="E363" s="203" t="s">
        <v>118</v>
      </c>
      <c r="G363" s="203">
        <v>218</v>
      </c>
      <c r="H363" s="203" t="s">
        <v>13</v>
      </c>
      <c r="I363" s="203">
        <v>0.33333333333333331</v>
      </c>
    </row>
    <row r="364" spans="1:9" x14ac:dyDescent="0.2">
      <c r="A364" s="203">
        <v>73</v>
      </c>
      <c r="B364" s="203" t="s">
        <v>195</v>
      </c>
      <c r="C364" s="203"/>
      <c r="E364" s="203" t="s">
        <v>119</v>
      </c>
      <c r="G364" s="203">
        <v>219</v>
      </c>
      <c r="H364" s="203" t="s">
        <v>14</v>
      </c>
      <c r="I364" s="203">
        <v>0.33486238532110091</v>
      </c>
    </row>
    <row r="365" spans="1:9" x14ac:dyDescent="0.2">
      <c r="A365" s="203"/>
      <c r="C365" s="203"/>
      <c r="E365" s="203" t="s">
        <v>122</v>
      </c>
      <c r="G365" s="203">
        <v>654</v>
      </c>
      <c r="H365" s="203" t="s">
        <v>15</v>
      </c>
      <c r="I365" s="203">
        <v>1</v>
      </c>
    </row>
    <row r="366" spans="1:9" x14ac:dyDescent="0.2">
      <c r="A366" s="203"/>
      <c r="C366" s="203"/>
    </row>
    <row r="367" spans="1:9" x14ac:dyDescent="0.2">
      <c r="A367" s="203">
        <v>74</v>
      </c>
      <c r="B367" s="203" t="s">
        <v>196</v>
      </c>
      <c r="C367" s="203"/>
      <c r="E367" s="203" t="s">
        <v>117</v>
      </c>
      <c r="G367" s="203">
        <v>220</v>
      </c>
      <c r="H367" s="203" t="s">
        <v>12</v>
      </c>
      <c r="I367" s="203">
        <v>0.33182503770739064</v>
      </c>
    </row>
    <row r="368" spans="1:9" x14ac:dyDescent="0.2">
      <c r="A368" s="203">
        <v>74</v>
      </c>
      <c r="B368" s="203" t="s">
        <v>196</v>
      </c>
      <c r="C368" s="203"/>
      <c r="E368" s="203" t="s">
        <v>118</v>
      </c>
      <c r="G368" s="203">
        <v>221</v>
      </c>
      <c r="H368" s="203" t="s">
        <v>13</v>
      </c>
      <c r="I368" s="203">
        <v>0.33333333333333331</v>
      </c>
    </row>
    <row r="369" spans="1:9" x14ac:dyDescent="0.2">
      <c r="A369" s="203">
        <v>74</v>
      </c>
      <c r="B369" s="203" t="s">
        <v>196</v>
      </c>
      <c r="C369" s="203"/>
      <c r="E369" s="203" t="s">
        <v>119</v>
      </c>
      <c r="G369" s="203">
        <v>222</v>
      </c>
      <c r="H369" s="203" t="s">
        <v>14</v>
      </c>
      <c r="I369" s="203">
        <v>0.33484162895927599</v>
      </c>
    </row>
    <row r="370" spans="1:9" x14ac:dyDescent="0.2">
      <c r="A370" s="203"/>
      <c r="C370" s="203"/>
      <c r="E370" s="203" t="s">
        <v>122</v>
      </c>
      <c r="G370" s="203">
        <v>663</v>
      </c>
      <c r="H370" s="203" t="s">
        <v>15</v>
      </c>
      <c r="I370" s="203">
        <v>1</v>
      </c>
    </row>
    <row r="371" spans="1:9" x14ac:dyDescent="0.2">
      <c r="A371" s="203"/>
      <c r="C371" s="203"/>
    </row>
    <row r="372" spans="1:9" x14ac:dyDescent="0.2">
      <c r="A372" s="203">
        <v>75</v>
      </c>
      <c r="B372" s="203" t="s">
        <v>197</v>
      </c>
      <c r="C372" s="203"/>
      <c r="E372" s="203" t="s">
        <v>117</v>
      </c>
      <c r="G372" s="203">
        <v>223</v>
      </c>
      <c r="H372" s="203" t="s">
        <v>12</v>
      </c>
      <c r="I372" s="203">
        <v>0.33184523809523808</v>
      </c>
    </row>
    <row r="373" spans="1:9" x14ac:dyDescent="0.2">
      <c r="A373" s="203">
        <v>75</v>
      </c>
      <c r="B373" s="203" t="s">
        <v>197</v>
      </c>
      <c r="C373" s="203"/>
      <c r="E373" s="203" t="s">
        <v>118</v>
      </c>
      <c r="G373" s="203">
        <v>224</v>
      </c>
      <c r="H373" s="203" t="s">
        <v>13</v>
      </c>
      <c r="I373" s="203">
        <v>0.33333333333333331</v>
      </c>
    </row>
    <row r="374" spans="1:9" x14ac:dyDescent="0.2">
      <c r="A374" s="203">
        <v>75</v>
      </c>
      <c r="B374" s="203" t="s">
        <v>197</v>
      </c>
      <c r="C374" s="203"/>
      <c r="E374" s="203" t="s">
        <v>119</v>
      </c>
      <c r="G374" s="203">
        <v>225</v>
      </c>
      <c r="H374" s="203" t="s">
        <v>14</v>
      </c>
      <c r="I374" s="203">
        <v>0.33482142857142855</v>
      </c>
    </row>
    <row r="375" spans="1:9" x14ac:dyDescent="0.2">
      <c r="A375" s="203"/>
      <c r="C375" s="203"/>
      <c r="E375" s="203" t="s">
        <v>122</v>
      </c>
      <c r="G375" s="203">
        <v>672</v>
      </c>
      <c r="H375" s="203" t="s">
        <v>15</v>
      </c>
      <c r="I375" s="203">
        <v>1</v>
      </c>
    </row>
    <row r="376" spans="1:9" x14ac:dyDescent="0.2">
      <c r="A376" s="203"/>
      <c r="C376" s="203"/>
    </row>
    <row r="377" spans="1:9" x14ac:dyDescent="0.2">
      <c r="A377" s="203">
        <v>76</v>
      </c>
      <c r="B377" s="203" t="s">
        <v>198</v>
      </c>
      <c r="C377" s="203"/>
      <c r="E377" s="203" t="s">
        <v>117</v>
      </c>
      <c r="G377" s="203">
        <v>226</v>
      </c>
      <c r="H377" s="203" t="s">
        <v>12</v>
      </c>
      <c r="I377" s="203">
        <v>0.33186490455212925</v>
      </c>
    </row>
    <row r="378" spans="1:9" x14ac:dyDescent="0.2">
      <c r="A378" s="203">
        <v>76</v>
      </c>
      <c r="B378" s="203" t="s">
        <v>198</v>
      </c>
      <c r="C378" s="203"/>
      <c r="E378" s="203" t="s">
        <v>118</v>
      </c>
      <c r="G378" s="203">
        <v>227</v>
      </c>
      <c r="H378" s="203" t="s">
        <v>13</v>
      </c>
      <c r="I378" s="203">
        <v>0.33333333333333331</v>
      </c>
    </row>
    <row r="379" spans="1:9" x14ac:dyDescent="0.2">
      <c r="A379" s="203">
        <v>76</v>
      </c>
      <c r="B379" s="203" t="s">
        <v>198</v>
      </c>
      <c r="C379" s="203"/>
      <c r="E379" s="203" t="s">
        <v>119</v>
      </c>
      <c r="G379" s="203">
        <v>228</v>
      </c>
      <c r="H379" s="203" t="s">
        <v>14</v>
      </c>
      <c r="I379" s="203">
        <v>0.33480176211453744</v>
      </c>
    </row>
    <row r="380" spans="1:9" x14ac:dyDescent="0.2">
      <c r="A380" s="203"/>
      <c r="C380" s="203"/>
      <c r="E380" s="203" t="s">
        <v>122</v>
      </c>
      <c r="G380" s="203">
        <v>681</v>
      </c>
      <c r="H380" s="203" t="s">
        <v>15</v>
      </c>
      <c r="I380" s="203">
        <v>1</v>
      </c>
    </row>
    <row r="381" spans="1:9" x14ac:dyDescent="0.2">
      <c r="A381" s="203"/>
      <c r="C381" s="203"/>
    </row>
    <row r="382" spans="1:9" x14ac:dyDescent="0.2">
      <c r="A382" s="203">
        <v>77</v>
      </c>
      <c r="B382" s="203" t="s">
        <v>199</v>
      </c>
      <c r="C382" s="203"/>
      <c r="E382" s="203" t="s">
        <v>117</v>
      </c>
      <c r="G382" s="203">
        <v>229</v>
      </c>
      <c r="H382" s="203" t="s">
        <v>12</v>
      </c>
      <c r="I382" s="203">
        <v>0.3318840579710145</v>
      </c>
    </row>
    <row r="383" spans="1:9" x14ac:dyDescent="0.2">
      <c r="A383" s="203">
        <v>77</v>
      </c>
      <c r="B383" s="203" t="s">
        <v>199</v>
      </c>
      <c r="C383" s="203"/>
      <c r="E383" s="203" t="s">
        <v>118</v>
      </c>
      <c r="G383" s="203">
        <v>230</v>
      </c>
      <c r="H383" s="203" t="s">
        <v>13</v>
      </c>
      <c r="I383" s="203">
        <v>0.33333333333333331</v>
      </c>
    </row>
    <row r="384" spans="1:9" x14ac:dyDescent="0.2">
      <c r="A384" s="203">
        <v>77</v>
      </c>
      <c r="B384" s="203" t="s">
        <v>199</v>
      </c>
      <c r="C384" s="203"/>
      <c r="E384" s="203" t="s">
        <v>119</v>
      </c>
      <c r="G384" s="203">
        <v>231</v>
      </c>
      <c r="H384" s="203" t="s">
        <v>14</v>
      </c>
      <c r="I384" s="203">
        <v>0.33478260869565218</v>
      </c>
    </row>
    <row r="385" spans="1:9" x14ac:dyDescent="0.2">
      <c r="A385" s="203"/>
      <c r="C385" s="203"/>
      <c r="E385" s="203" t="s">
        <v>122</v>
      </c>
      <c r="G385" s="203">
        <v>690</v>
      </c>
      <c r="H385" s="203" t="s">
        <v>15</v>
      </c>
      <c r="I385" s="203">
        <v>1</v>
      </c>
    </row>
    <row r="386" spans="1:9" x14ac:dyDescent="0.2">
      <c r="A386" s="203"/>
      <c r="C386" s="203"/>
    </row>
    <row r="387" spans="1:9" x14ac:dyDescent="0.2">
      <c r="A387" s="203">
        <v>78</v>
      </c>
      <c r="B387" s="203" t="s">
        <v>200</v>
      </c>
      <c r="C387" s="203"/>
      <c r="E387" s="203" t="s">
        <v>117</v>
      </c>
      <c r="G387" s="203">
        <v>232</v>
      </c>
      <c r="H387" s="203" t="s">
        <v>12</v>
      </c>
      <c r="I387" s="203">
        <v>0.33190271816881262</v>
      </c>
    </row>
    <row r="388" spans="1:9" x14ac:dyDescent="0.2">
      <c r="A388" s="203">
        <v>78</v>
      </c>
      <c r="B388" s="203" t="s">
        <v>200</v>
      </c>
      <c r="C388" s="203"/>
      <c r="E388" s="203" t="s">
        <v>118</v>
      </c>
      <c r="G388" s="203">
        <v>233</v>
      </c>
      <c r="H388" s="203" t="s">
        <v>13</v>
      </c>
      <c r="I388" s="203">
        <v>0.33333333333333331</v>
      </c>
    </row>
    <row r="389" spans="1:9" x14ac:dyDescent="0.2">
      <c r="A389" s="203">
        <v>78</v>
      </c>
      <c r="B389" s="203" t="s">
        <v>200</v>
      </c>
      <c r="C389" s="203"/>
      <c r="E389" s="203" t="s">
        <v>119</v>
      </c>
      <c r="G389" s="203">
        <v>234</v>
      </c>
      <c r="H389" s="203" t="s">
        <v>14</v>
      </c>
      <c r="I389" s="203">
        <v>0.33476394849785407</v>
      </c>
    </row>
    <row r="390" spans="1:9" x14ac:dyDescent="0.2">
      <c r="A390" s="203"/>
      <c r="C390" s="203"/>
      <c r="E390" s="203" t="s">
        <v>122</v>
      </c>
      <c r="G390" s="203">
        <v>699</v>
      </c>
      <c r="H390" s="203" t="s">
        <v>15</v>
      </c>
      <c r="I390" s="203">
        <v>1</v>
      </c>
    </row>
    <row r="391" spans="1:9" x14ac:dyDescent="0.2">
      <c r="A391" s="203"/>
      <c r="C391" s="203"/>
    </row>
    <row r="392" spans="1:9" x14ac:dyDescent="0.2">
      <c r="A392" s="203">
        <v>79</v>
      </c>
      <c r="B392" s="203" t="s">
        <v>201</v>
      </c>
      <c r="C392" s="203"/>
      <c r="E392" s="203" t="s">
        <v>117</v>
      </c>
      <c r="G392" s="203">
        <v>235</v>
      </c>
      <c r="H392" s="203" t="s">
        <v>12</v>
      </c>
      <c r="I392" s="203">
        <v>0.33192090395480228</v>
      </c>
    </row>
    <row r="393" spans="1:9" x14ac:dyDescent="0.2">
      <c r="A393" s="203">
        <v>79</v>
      </c>
      <c r="B393" s="203" t="s">
        <v>201</v>
      </c>
      <c r="C393" s="203"/>
      <c r="E393" s="203" t="s">
        <v>118</v>
      </c>
      <c r="G393" s="203">
        <v>236</v>
      </c>
      <c r="H393" s="203" t="s">
        <v>13</v>
      </c>
      <c r="I393" s="203">
        <v>0.33333333333333331</v>
      </c>
    </row>
    <row r="394" spans="1:9" x14ac:dyDescent="0.2">
      <c r="A394" s="203">
        <v>79</v>
      </c>
      <c r="B394" s="203" t="s">
        <v>201</v>
      </c>
      <c r="C394" s="203"/>
      <c r="E394" s="203" t="s">
        <v>119</v>
      </c>
      <c r="G394" s="203">
        <v>237</v>
      </c>
      <c r="H394" s="203" t="s">
        <v>14</v>
      </c>
      <c r="I394" s="203">
        <v>0.3347457627118644</v>
      </c>
    </row>
    <row r="395" spans="1:9" x14ac:dyDescent="0.2">
      <c r="A395" s="203"/>
      <c r="C395" s="203"/>
      <c r="E395" s="203" t="s">
        <v>122</v>
      </c>
      <c r="G395" s="203">
        <v>708</v>
      </c>
      <c r="H395" s="203" t="s">
        <v>15</v>
      </c>
      <c r="I395" s="203">
        <v>1</v>
      </c>
    </row>
    <row r="396" spans="1:9" x14ac:dyDescent="0.2">
      <c r="A396" s="203"/>
      <c r="C396" s="203"/>
    </row>
    <row r="397" spans="1:9" x14ac:dyDescent="0.2">
      <c r="A397" s="203">
        <v>80</v>
      </c>
      <c r="B397" s="203" t="s">
        <v>202</v>
      </c>
      <c r="C397" s="203"/>
      <c r="E397" s="203" t="s">
        <v>117</v>
      </c>
      <c r="G397" s="203">
        <v>238</v>
      </c>
      <c r="H397" s="203" t="s">
        <v>12</v>
      </c>
      <c r="I397" s="203">
        <v>0.3319386331938633</v>
      </c>
    </row>
    <row r="398" spans="1:9" x14ac:dyDescent="0.2">
      <c r="A398" s="203">
        <v>80</v>
      </c>
      <c r="B398" s="203" t="s">
        <v>202</v>
      </c>
      <c r="C398" s="203"/>
      <c r="E398" s="203" t="s">
        <v>118</v>
      </c>
      <c r="G398" s="203">
        <v>239</v>
      </c>
      <c r="H398" s="203" t="s">
        <v>13</v>
      </c>
      <c r="I398" s="203">
        <v>0.33333333333333331</v>
      </c>
    </row>
    <row r="399" spans="1:9" x14ac:dyDescent="0.2">
      <c r="A399" s="203">
        <v>80</v>
      </c>
      <c r="B399" s="203" t="s">
        <v>202</v>
      </c>
      <c r="C399" s="203"/>
      <c r="E399" s="203" t="s">
        <v>119</v>
      </c>
      <c r="G399" s="203">
        <v>240</v>
      </c>
      <c r="H399" s="203" t="s">
        <v>14</v>
      </c>
      <c r="I399" s="203">
        <v>0.33472803347280333</v>
      </c>
    </row>
    <row r="400" spans="1:9" x14ac:dyDescent="0.2">
      <c r="A400" s="203"/>
      <c r="C400" s="203"/>
      <c r="E400" s="203" t="s">
        <v>122</v>
      </c>
      <c r="G400" s="203">
        <v>717</v>
      </c>
      <c r="H400" s="203" t="s">
        <v>15</v>
      </c>
      <c r="I400" s="203">
        <v>1</v>
      </c>
    </row>
    <row r="401" spans="1:9" x14ac:dyDescent="0.2">
      <c r="A401" s="203"/>
      <c r="C401" s="203"/>
    </row>
    <row r="402" spans="1:9" x14ac:dyDescent="0.2">
      <c r="A402" s="203">
        <v>81</v>
      </c>
      <c r="B402" s="203" t="s">
        <v>203</v>
      </c>
      <c r="C402" s="203"/>
      <c r="E402" s="203" t="s">
        <v>117</v>
      </c>
      <c r="G402" s="203">
        <v>241</v>
      </c>
      <c r="H402" s="203" t="s">
        <v>12</v>
      </c>
      <c r="I402" s="203">
        <v>0.3319559228650138</v>
      </c>
    </row>
    <row r="403" spans="1:9" x14ac:dyDescent="0.2">
      <c r="A403" s="203">
        <v>81</v>
      </c>
      <c r="B403" s="203" t="s">
        <v>203</v>
      </c>
      <c r="C403" s="203"/>
      <c r="E403" s="203" t="s">
        <v>118</v>
      </c>
      <c r="G403" s="203">
        <v>242</v>
      </c>
      <c r="H403" s="203" t="s">
        <v>13</v>
      </c>
      <c r="I403" s="203">
        <v>0.33333333333333331</v>
      </c>
    </row>
    <row r="404" spans="1:9" x14ac:dyDescent="0.2">
      <c r="A404" s="203">
        <v>81</v>
      </c>
      <c r="B404" s="203" t="s">
        <v>203</v>
      </c>
      <c r="C404" s="203"/>
      <c r="E404" s="203" t="s">
        <v>119</v>
      </c>
      <c r="G404" s="203">
        <v>243</v>
      </c>
      <c r="H404" s="203" t="s">
        <v>14</v>
      </c>
      <c r="I404" s="203">
        <v>0.33471074380165289</v>
      </c>
    </row>
    <row r="405" spans="1:9" x14ac:dyDescent="0.2">
      <c r="A405" s="203"/>
      <c r="C405" s="203"/>
      <c r="E405" s="203" t="s">
        <v>122</v>
      </c>
      <c r="G405" s="203">
        <v>726</v>
      </c>
      <c r="H405" s="203" t="s">
        <v>15</v>
      </c>
      <c r="I405" s="203">
        <v>1</v>
      </c>
    </row>
    <row r="406" spans="1:9" x14ac:dyDescent="0.2">
      <c r="A406" s="203"/>
      <c r="C406" s="203"/>
    </row>
    <row r="407" spans="1:9" x14ac:dyDescent="0.2">
      <c r="A407" s="203">
        <v>82</v>
      </c>
      <c r="B407" s="203" t="s">
        <v>204</v>
      </c>
      <c r="C407" s="203"/>
      <c r="E407" s="203" t="s">
        <v>117</v>
      </c>
      <c r="G407" s="203">
        <v>244</v>
      </c>
      <c r="H407" s="203" t="s">
        <v>12</v>
      </c>
      <c r="I407" s="203">
        <v>0.33197278911564626</v>
      </c>
    </row>
    <row r="408" spans="1:9" x14ac:dyDescent="0.2">
      <c r="A408" s="203">
        <v>82</v>
      </c>
      <c r="B408" s="203" t="s">
        <v>204</v>
      </c>
      <c r="C408" s="203"/>
      <c r="E408" s="203" t="s">
        <v>118</v>
      </c>
      <c r="G408" s="203">
        <v>245</v>
      </c>
      <c r="H408" s="203" t="s">
        <v>13</v>
      </c>
      <c r="I408" s="203">
        <v>0.33333333333333331</v>
      </c>
    </row>
    <row r="409" spans="1:9" x14ac:dyDescent="0.2">
      <c r="A409" s="203">
        <v>82</v>
      </c>
      <c r="B409" s="203" t="s">
        <v>204</v>
      </c>
      <c r="C409" s="203"/>
      <c r="E409" s="203" t="s">
        <v>119</v>
      </c>
      <c r="G409" s="203">
        <v>246</v>
      </c>
      <c r="H409" s="203" t="s">
        <v>14</v>
      </c>
      <c r="I409" s="203">
        <v>0.33469387755102042</v>
      </c>
    </row>
    <row r="410" spans="1:9" x14ac:dyDescent="0.2">
      <c r="A410" s="203"/>
      <c r="C410" s="203"/>
      <c r="E410" s="203" t="s">
        <v>122</v>
      </c>
      <c r="G410" s="203">
        <v>735</v>
      </c>
      <c r="H410" s="203" t="s">
        <v>15</v>
      </c>
      <c r="I410" s="203">
        <v>1</v>
      </c>
    </row>
    <row r="411" spans="1:9" x14ac:dyDescent="0.2">
      <c r="A411" s="203"/>
      <c r="C411" s="203"/>
    </row>
    <row r="412" spans="1:9" x14ac:dyDescent="0.2">
      <c r="A412" s="203">
        <v>83</v>
      </c>
      <c r="B412" s="203" t="s">
        <v>205</v>
      </c>
      <c r="C412" s="203"/>
      <c r="E412" s="203" t="s">
        <v>117</v>
      </c>
      <c r="G412" s="203">
        <v>247</v>
      </c>
      <c r="H412" s="203" t="s">
        <v>12</v>
      </c>
      <c r="I412" s="203">
        <v>0.33198924731182794</v>
      </c>
    </row>
    <row r="413" spans="1:9" x14ac:dyDescent="0.2">
      <c r="A413" s="203">
        <v>83</v>
      </c>
      <c r="B413" s="203" t="s">
        <v>205</v>
      </c>
      <c r="C413" s="203"/>
      <c r="E413" s="203" t="s">
        <v>118</v>
      </c>
      <c r="G413" s="203">
        <v>248</v>
      </c>
      <c r="H413" s="203" t="s">
        <v>13</v>
      </c>
      <c r="I413" s="203">
        <v>0.33333333333333331</v>
      </c>
    </row>
    <row r="414" spans="1:9" x14ac:dyDescent="0.2">
      <c r="A414" s="203">
        <v>83</v>
      </c>
      <c r="B414" s="203" t="s">
        <v>205</v>
      </c>
      <c r="C414" s="203"/>
      <c r="E414" s="203" t="s">
        <v>119</v>
      </c>
      <c r="G414" s="203">
        <v>249</v>
      </c>
      <c r="H414" s="203" t="s">
        <v>14</v>
      </c>
      <c r="I414" s="203">
        <v>0.33467741935483869</v>
      </c>
    </row>
    <row r="415" spans="1:9" x14ac:dyDescent="0.2">
      <c r="A415" s="203"/>
      <c r="C415" s="203"/>
      <c r="E415" s="203" t="s">
        <v>122</v>
      </c>
      <c r="G415" s="203">
        <v>744</v>
      </c>
      <c r="H415" s="203" t="s">
        <v>15</v>
      </c>
      <c r="I415" s="203">
        <v>1</v>
      </c>
    </row>
    <row r="416" spans="1:9" x14ac:dyDescent="0.2">
      <c r="A416" s="203"/>
      <c r="C416" s="203"/>
    </row>
    <row r="417" spans="1:9" x14ac:dyDescent="0.2">
      <c r="A417" s="203">
        <v>84</v>
      </c>
      <c r="B417" s="203" t="s">
        <v>206</v>
      </c>
      <c r="C417" s="203"/>
      <c r="E417" s="203" t="s">
        <v>117</v>
      </c>
      <c r="G417" s="203">
        <v>250</v>
      </c>
      <c r="H417" s="203" t="s">
        <v>12</v>
      </c>
      <c r="I417" s="203">
        <v>0.33200531208499334</v>
      </c>
    </row>
    <row r="418" spans="1:9" x14ac:dyDescent="0.2">
      <c r="A418" s="203">
        <v>84</v>
      </c>
      <c r="B418" s="203" t="s">
        <v>206</v>
      </c>
      <c r="C418" s="203"/>
      <c r="E418" s="203" t="s">
        <v>118</v>
      </c>
      <c r="G418" s="203">
        <v>251</v>
      </c>
      <c r="H418" s="203" t="s">
        <v>13</v>
      </c>
      <c r="I418" s="203">
        <v>0.33333333333333331</v>
      </c>
    </row>
    <row r="419" spans="1:9" x14ac:dyDescent="0.2">
      <c r="A419" s="203">
        <v>84</v>
      </c>
      <c r="B419" s="203" t="s">
        <v>206</v>
      </c>
      <c r="C419" s="203"/>
      <c r="E419" s="203" t="s">
        <v>119</v>
      </c>
      <c r="G419" s="203">
        <v>252</v>
      </c>
      <c r="H419" s="203" t="s">
        <v>14</v>
      </c>
      <c r="I419" s="203">
        <v>0.33466135458167329</v>
      </c>
    </row>
    <row r="420" spans="1:9" x14ac:dyDescent="0.2">
      <c r="A420" s="203"/>
      <c r="C420" s="203"/>
      <c r="E420" s="203" t="s">
        <v>122</v>
      </c>
      <c r="G420" s="203">
        <v>753</v>
      </c>
      <c r="H420" s="203" t="s">
        <v>15</v>
      </c>
      <c r="I420" s="203">
        <v>1</v>
      </c>
    </row>
    <row r="421" spans="1:9" x14ac:dyDescent="0.2">
      <c r="A421" s="203"/>
      <c r="C421" s="203"/>
    </row>
    <row r="422" spans="1:9" x14ac:dyDescent="0.2">
      <c r="A422" s="203">
        <v>85</v>
      </c>
      <c r="B422" s="203" t="s">
        <v>207</v>
      </c>
      <c r="C422" s="203"/>
      <c r="E422" s="203" t="s">
        <v>117</v>
      </c>
      <c r="G422" s="203">
        <v>253</v>
      </c>
      <c r="H422" s="203" t="s">
        <v>12</v>
      </c>
      <c r="I422" s="203">
        <v>0.33202099737532809</v>
      </c>
    </row>
    <row r="423" spans="1:9" x14ac:dyDescent="0.2">
      <c r="A423" s="203">
        <v>85</v>
      </c>
      <c r="B423" s="203" t="s">
        <v>207</v>
      </c>
      <c r="C423" s="203"/>
      <c r="E423" s="203" t="s">
        <v>118</v>
      </c>
      <c r="G423" s="203">
        <v>254</v>
      </c>
      <c r="H423" s="203" t="s">
        <v>13</v>
      </c>
      <c r="I423" s="203">
        <v>0.33333333333333331</v>
      </c>
    </row>
    <row r="424" spans="1:9" x14ac:dyDescent="0.2">
      <c r="A424" s="203">
        <v>85</v>
      </c>
      <c r="B424" s="203" t="s">
        <v>207</v>
      </c>
      <c r="C424" s="203"/>
      <c r="E424" s="203" t="s">
        <v>119</v>
      </c>
      <c r="G424" s="203">
        <v>255</v>
      </c>
      <c r="H424" s="203" t="s">
        <v>14</v>
      </c>
      <c r="I424" s="203">
        <v>0.3346456692913386</v>
      </c>
    </row>
    <row r="425" spans="1:9" x14ac:dyDescent="0.2">
      <c r="A425" s="203"/>
      <c r="C425" s="203"/>
      <c r="E425" s="203" t="s">
        <v>122</v>
      </c>
      <c r="G425" s="203">
        <v>762</v>
      </c>
      <c r="H425" s="203" t="s">
        <v>15</v>
      </c>
      <c r="I425" s="203">
        <v>1</v>
      </c>
    </row>
    <row r="426" spans="1:9" x14ac:dyDescent="0.2">
      <c r="A426" s="203"/>
      <c r="C426" s="203"/>
    </row>
    <row r="427" spans="1:9" x14ac:dyDescent="0.2">
      <c r="A427" s="203">
        <v>86</v>
      </c>
      <c r="B427" s="203" t="s">
        <v>208</v>
      </c>
      <c r="C427" s="203"/>
      <c r="E427" s="203" t="s">
        <v>117</v>
      </c>
      <c r="G427" s="203">
        <v>256</v>
      </c>
      <c r="H427" s="203" t="s">
        <v>12</v>
      </c>
      <c r="I427" s="203">
        <v>0.33203631647211412</v>
      </c>
    </row>
    <row r="428" spans="1:9" x14ac:dyDescent="0.2">
      <c r="A428" s="203">
        <v>86</v>
      </c>
      <c r="B428" s="203" t="s">
        <v>208</v>
      </c>
      <c r="C428" s="203"/>
      <c r="E428" s="203" t="s">
        <v>118</v>
      </c>
      <c r="G428" s="203">
        <v>257</v>
      </c>
      <c r="H428" s="203" t="s">
        <v>13</v>
      </c>
      <c r="I428" s="203">
        <v>0.33333333333333331</v>
      </c>
    </row>
    <row r="429" spans="1:9" x14ac:dyDescent="0.2">
      <c r="A429" s="203">
        <v>86</v>
      </c>
      <c r="B429" s="203" t="s">
        <v>208</v>
      </c>
      <c r="C429" s="203"/>
      <c r="E429" s="203" t="s">
        <v>119</v>
      </c>
      <c r="G429" s="203">
        <v>258</v>
      </c>
      <c r="H429" s="203" t="s">
        <v>14</v>
      </c>
      <c r="I429" s="203">
        <v>0.33463035019455251</v>
      </c>
    </row>
    <row r="430" spans="1:9" x14ac:dyDescent="0.2">
      <c r="A430" s="203"/>
      <c r="C430" s="203"/>
      <c r="E430" s="203" t="s">
        <v>122</v>
      </c>
      <c r="G430" s="203">
        <v>771</v>
      </c>
      <c r="H430" s="203" t="s">
        <v>15</v>
      </c>
      <c r="I430" s="203">
        <v>1</v>
      </c>
    </row>
    <row r="431" spans="1:9" x14ac:dyDescent="0.2">
      <c r="A431" s="203"/>
      <c r="C431" s="203"/>
    </row>
    <row r="432" spans="1:9" x14ac:dyDescent="0.2">
      <c r="A432" s="203">
        <v>87</v>
      </c>
      <c r="B432" s="203" t="s">
        <v>209</v>
      </c>
      <c r="C432" s="203"/>
      <c r="E432" s="203" t="s">
        <v>117</v>
      </c>
      <c r="G432" s="203">
        <v>259</v>
      </c>
      <c r="H432" s="203" t="s">
        <v>12</v>
      </c>
      <c r="I432" s="203">
        <v>0.33205128205128204</v>
      </c>
    </row>
    <row r="433" spans="1:9" x14ac:dyDescent="0.2">
      <c r="A433" s="203">
        <v>87</v>
      </c>
      <c r="B433" s="203" t="s">
        <v>209</v>
      </c>
      <c r="C433" s="203"/>
      <c r="E433" s="203" t="s">
        <v>118</v>
      </c>
      <c r="G433" s="203">
        <v>260</v>
      </c>
      <c r="H433" s="203" t="s">
        <v>13</v>
      </c>
      <c r="I433" s="203">
        <v>0.33333333333333331</v>
      </c>
    </row>
    <row r="434" spans="1:9" x14ac:dyDescent="0.2">
      <c r="A434" s="203">
        <v>87</v>
      </c>
      <c r="B434" s="203" t="s">
        <v>209</v>
      </c>
      <c r="C434" s="203"/>
      <c r="E434" s="203" t="s">
        <v>119</v>
      </c>
      <c r="G434" s="203">
        <v>261</v>
      </c>
      <c r="H434" s="203" t="s">
        <v>14</v>
      </c>
      <c r="I434" s="203">
        <v>0.33461538461538459</v>
      </c>
    </row>
    <row r="435" spans="1:9" x14ac:dyDescent="0.2">
      <c r="A435" s="203"/>
      <c r="C435" s="203"/>
      <c r="E435" s="203" t="s">
        <v>122</v>
      </c>
      <c r="G435" s="203">
        <v>780</v>
      </c>
      <c r="H435" s="203" t="s">
        <v>15</v>
      </c>
      <c r="I435" s="203">
        <v>1</v>
      </c>
    </row>
    <row r="436" spans="1:9" x14ac:dyDescent="0.2">
      <c r="A436" s="203"/>
      <c r="C436" s="203"/>
    </row>
    <row r="437" spans="1:9" x14ac:dyDescent="0.2">
      <c r="A437" s="203">
        <v>88</v>
      </c>
      <c r="B437" s="203" t="s">
        <v>210</v>
      </c>
      <c r="C437" s="203"/>
      <c r="E437" s="203" t="s">
        <v>117</v>
      </c>
      <c r="G437" s="203">
        <v>262</v>
      </c>
      <c r="H437" s="203" t="s">
        <v>12</v>
      </c>
      <c r="I437" s="203">
        <v>0.33206590621039289</v>
      </c>
    </row>
    <row r="438" spans="1:9" x14ac:dyDescent="0.2">
      <c r="A438" s="203">
        <v>88</v>
      </c>
      <c r="B438" s="203" t="s">
        <v>210</v>
      </c>
      <c r="C438" s="203"/>
      <c r="E438" s="203" t="s">
        <v>118</v>
      </c>
      <c r="G438" s="203">
        <v>263</v>
      </c>
      <c r="H438" s="203" t="s">
        <v>13</v>
      </c>
      <c r="I438" s="203">
        <v>0.33333333333333331</v>
      </c>
    </row>
    <row r="439" spans="1:9" x14ac:dyDescent="0.2">
      <c r="A439" s="203">
        <v>88</v>
      </c>
      <c r="B439" s="203" t="s">
        <v>210</v>
      </c>
      <c r="C439" s="203"/>
      <c r="E439" s="203" t="s">
        <v>119</v>
      </c>
      <c r="G439" s="203">
        <v>264</v>
      </c>
      <c r="H439" s="203" t="s">
        <v>14</v>
      </c>
      <c r="I439" s="203">
        <v>0.33460076045627374</v>
      </c>
    </row>
    <row r="440" spans="1:9" x14ac:dyDescent="0.2">
      <c r="A440" s="203"/>
      <c r="C440" s="203"/>
      <c r="E440" s="203" t="s">
        <v>122</v>
      </c>
      <c r="G440" s="203">
        <v>789</v>
      </c>
      <c r="H440" s="203" t="s">
        <v>15</v>
      </c>
      <c r="I440" s="203">
        <v>1</v>
      </c>
    </row>
    <row r="441" spans="1:9" x14ac:dyDescent="0.2">
      <c r="A441" s="203"/>
      <c r="C441" s="203"/>
    </row>
    <row r="442" spans="1:9" x14ac:dyDescent="0.2">
      <c r="A442" s="203">
        <v>89</v>
      </c>
      <c r="B442" s="203" t="s">
        <v>211</v>
      </c>
      <c r="C442" s="203"/>
      <c r="E442" s="203" t="s">
        <v>117</v>
      </c>
      <c r="G442" s="203">
        <v>265</v>
      </c>
      <c r="H442" s="203" t="s">
        <v>12</v>
      </c>
      <c r="I442" s="203">
        <v>0.33208020050125314</v>
      </c>
    </row>
    <row r="443" spans="1:9" x14ac:dyDescent="0.2">
      <c r="A443" s="203">
        <v>89</v>
      </c>
      <c r="B443" s="203" t="s">
        <v>211</v>
      </c>
      <c r="C443" s="203"/>
      <c r="E443" s="203" t="s">
        <v>118</v>
      </c>
      <c r="G443" s="203">
        <v>266</v>
      </c>
      <c r="H443" s="203" t="s">
        <v>13</v>
      </c>
      <c r="I443" s="203">
        <v>0.33333333333333331</v>
      </c>
    </row>
    <row r="444" spans="1:9" x14ac:dyDescent="0.2">
      <c r="A444" s="203">
        <v>89</v>
      </c>
      <c r="B444" s="203" t="s">
        <v>211</v>
      </c>
      <c r="C444" s="203"/>
      <c r="E444" s="203" t="s">
        <v>119</v>
      </c>
      <c r="G444" s="203">
        <v>267</v>
      </c>
      <c r="H444" s="203" t="s">
        <v>14</v>
      </c>
      <c r="I444" s="203">
        <v>0.33458646616541354</v>
      </c>
    </row>
    <row r="445" spans="1:9" x14ac:dyDescent="0.2">
      <c r="A445" s="203"/>
      <c r="C445" s="203"/>
      <c r="E445" s="203" t="s">
        <v>122</v>
      </c>
      <c r="G445" s="203">
        <v>798</v>
      </c>
      <c r="H445" s="203" t="s">
        <v>15</v>
      </c>
      <c r="I445" s="203">
        <v>1</v>
      </c>
    </row>
    <row r="446" spans="1:9" x14ac:dyDescent="0.2">
      <c r="A446" s="203"/>
      <c r="C446" s="203"/>
    </row>
    <row r="447" spans="1:9" x14ac:dyDescent="0.2">
      <c r="A447" s="203">
        <v>90</v>
      </c>
      <c r="B447" s="203" t="s">
        <v>212</v>
      </c>
      <c r="C447" s="203"/>
      <c r="E447" s="203" t="s">
        <v>117</v>
      </c>
      <c r="G447" s="203">
        <v>268</v>
      </c>
      <c r="H447" s="203" t="s">
        <v>12</v>
      </c>
      <c r="I447" s="203">
        <v>0.33209417596034696</v>
      </c>
    </row>
    <row r="448" spans="1:9" x14ac:dyDescent="0.2">
      <c r="A448" s="203">
        <v>90</v>
      </c>
      <c r="B448" s="203" t="s">
        <v>212</v>
      </c>
      <c r="C448" s="203"/>
      <c r="E448" s="203" t="s">
        <v>118</v>
      </c>
      <c r="G448" s="203">
        <v>269</v>
      </c>
      <c r="H448" s="203" t="s">
        <v>13</v>
      </c>
      <c r="I448" s="203">
        <v>0.33333333333333331</v>
      </c>
    </row>
    <row r="449" spans="1:9" x14ac:dyDescent="0.2">
      <c r="A449" s="203">
        <v>90</v>
      </c>
      <c r="B449" s="203" t="s">
        <v>212</v>
      </c>
      <c r="C449" s="203"/>
      <c r="E449" s="203" t="s">
        <v>119</v>
      </c>
      <c r="G449" s="203">
        <v>270</v>
      </c>
      <c r="H449" s="203" t="s">
        <v>14</v>
      </c>
      <c r="I449" s="203">
        <v>0.33457249070631973</v>
      </c>
    </row>
    <row r="450" spans="1:9" x14ac:dyDescent="0.2">
      <c r="A450" s="203"/>
      <c r="C450" s="203"/>
      <c r="E450" s="203" t="s">
        <v>122</v>
      </c>
      <c r="G450" s="203">
        <v>807</v>
      </c>
      <c r="H450" s="203" t="s">
        <v>15</v>
      </c>
      <c r="I450" s="203">
        <v>1</v>
      </c>
    </row>
    <row r="451" spans="1:9" x14ac:dyDescent="0.2">
      <c r="A451" s="203"/>
      <c r="C451" s="203"/>
    </row>
    <row r="452" spans="1:9" x14ac:dyDescent="0.2">
      <c r="A452" s="203">
        <v>91</v>
      </c>
      <c r="B452" s="203" t="s">
        <v>213</v>
      </c>
      <c r="C452" s="203"/>
      <c r="E452" s="203" t="s">
        <v>117</v>
      </c>
      <c r="G452" s="203">
        <v>271</v>
      </c>
      <c r="H452" s="203" t="s">
        <v>12</v>
      </c>
      <c r="I452" s="203">
        <v>0.33210784313725489</v>
      </c>
    </row>
    <row r="453" spans="1:9" x14ac:dyDescent="0.2">
      <c r="A453" s="203">
        <v>91</v>
      </c>
      <c r="B453" s="203" t="s">
        <v>213</v>
      </c>
      <c r="C453" s="203"/>
      <c r="E453" s="203" t="s">
        <v>118</v>
      </c>
      <c r="G453" s="203">
        <v>272</v>
      </c>
      <c r="H453" s="203" t="s">
        <v>13</v>
      </c>
      <c r="I453" s="203">
        <v>0.33333333333333331</v>
      </c>
    </row>
    <row r="454" spans="1:9" x14ac:dyDescent="0.2">
      <c r="A454" s="203">
        <v>91</v>
      </c>
      <c r="B454" s="203" t="s">
        <v>213</v>
      </c>
      <c r="C454" s="203"/>
      <c r="E454" s="203" t="s">
        <v>119</v>
      </c>
      <c r="G454" s="203">
        <v>273</v>
      </c>
      <c r="H454" s="203" t="s">
        <v>14</v>
      </c>
      <c r="I454" s="203">
        <v>0.33455882352941174</v>
      </c>
    </row>
    <row r="455" spans="1:9" x14ac:dyDescent="0.2">
      <c r="A455" s="203"/>
      <c r="C455" s="203"/>
      <c r="E455" s="203" t="s">
        <v>122</v>
      </c>
      <c r="G455" s="203">
        <v>816</v>
      </c>
      <c r="H455" s="203" t="s">
        <v>15</v>
      </c>
      <c r="I455" s="203">
        <v>1</v>
      </c>
    </row>
    <row r="456" spans="1:9" x14ac:dyDescent="0.2">
      <c r="A456" s="203"/>
      <c r="C456" s="203"/>
    </row>
    <row r="457" spans="1:9" x14ac:dyDescent="0.2">
      <c r="A457" s="203">
        <v>92</v>
      </c>
      <c r="B457" s="203" t="s">
        <v>214</v>
      </c>
      <c r="C457" s="203"/>
      <c r="E457" s="203" t="s">
        <v>117</v>
      </c>
      <c r="G457" s="203">
        <v>274</v>
      </c>
      <c r="H457" s="203" t="s">
        <v>12</v>
      </c>
      <c r="I457" s="203">
        <v>0.33212121212121209</v>
      </c>
    </row>
    <row r="458" spans="1:9" x14ac:dyDescent="0.2">
      <c r="A458" s="203">
        <v>92</v>
      </c>
      <c r="B458" s="203" t="s">
        <v>214</v>
      </c>
      <c r="C458" s="203"/>
      <c r="E458" s="203" t="s">
        <v>118</v>
      </c>
      <c r="G458" s="203">
        <v>275</v>
      </c>
      <c r="H458" s="203" t="s">
        <v>13</v>
      </c>
      <c r="I458" s="203">
        <v>0.33333333333333331</v>
      </c>
    </row>
    <row r="459" spans="1:9" x14ac:dyDescent="0.2">
      <c r="A459" s="203">
        <v>92</v>
      </c>
      <c r="B459" s="203" t="s">
        <v>214</v>
      </c>
      <c r="C459" s="203"/>
      <c r="E459" s="203" t="s">
        <v>119</v>
      </c>
      <c r="G459" s="203">
        <v>276</v>
      </c>
      <c r="H459" s="203" t="s">
        <v>14</v>
      </c>
      <c r="I459" s="203">
        <v>0.33454545454545453</v>
      </c>
    </row>
    <row r="460" spans="1:9" x14ac:dyDescent="0.2">
      <c r="A460" s="203"/>
      <c r="C460" s="203"/>
      <c r="E460" s="203" t="s">
        <v>122</v>
      </c>
      <c r="G460" s="203">
        <v>825</v>
      </c>
      <c r="H460" s="203" t="s">
        <v>15</v>
      </c>
      <c r="I460" s="203">
        <v>1</v>
      </c>
    </row>
    <row r="461" spans="1:9" x14ac:dyDescent="0.2">
      <c r="A461" s="203"/>
      <c r="C461" s="203"/>
    </row>
    <row r="462" spans="1:9" x14ac:dyDescent="0.2">
      <c r="A462" s="203">
        <v>93</v>
      </c>
      <c r="B462" s="203" t="s">
        <v>215</v>
      </c>
      <c r="C462" s="203"/>
      <c r="E462" s="203" t="s">
        <v>117</v>
      </c>
      <c r="G462" s="203">
        <v>277</v>
      </c>
      <c r="H462" s="203" t="s">
        <v>12</v>
      </c>
      <c r="I462" s="203">
        <v>0.33213429256594723</v>
      </c>
    </row>
    <row r="463" spans="1:9" x14ac:dyDescent="0.2">
      <c r="A463" s="203">
        <v>93</v>
      </c>
      <c r="B463" s="203" t="s">
        <v>215</v>
      </c>
      <c r="C463" s="203"/>
      <c r="E463" s="203" t="s">
        <v>118</v>
      </c>
      <c r="G463" s="203">
        <v>278</v>
      </c>
      <c r="H463" s="203" t="s">
        <v>13</v>
      </c>
      <c r="I463" s="203">
        <v>0.33333333333333331</v>
      </c>
    </row>
    <row r="464" spans="1:9" x14ac:dyDescent="0.2">
      <c r="A464" s="203">
        <v>93</v>
      </c>
      <c r="B464" s="203" t="s">
        <v>215</v>
      </c>
      <c r="C464" s="203"/>
      <c r="E464" s="203" t="s">
        <v>119</v>
      </c>
      <c r="G464" s="203">
        <v>279</v>
      </c>
      <c r="H464" s="203" t="s">
        <v>14</v>
      </c>
      <c r="I464" s="203">
        <v>0.3345323741007194</v>
      </c>
    </row>
    <row r="465" spans="1:9" x14ac:dyDescent="0.2">
      <c r="A465" s="203"/>
      <c r="C465" s="203"/>
      <c r="E465" s="203" t="s">
        <v>122</v>
      </c>
      <c r="G465" s="203">
        <v>834</v>
      </c>
      <c r="H465" s="203" t="s">
        <v>15</v>
      </c>
      <c r="I465" s="203">
        <v>1</v>
      </c>
    </row>
    <row r="466" spans="1:9" x14ac:dyDescent="0.2">
      <c r="A466" s="203"/>
      <c r="C466" s="203"/>
    </row>
    <row r="467" spans="1:9" x14ac:dyDescent="0.2">
      <c r="A467" s="203">
        <v>94</v>
      </c>
      <c r="B467" s="203" t="s">
        <v>216</v>
      </c>
      <c r="C467" s="203"/>
      <c r="E467" s="203" t="s">
        <v>117</v>
      </c>
      <c r="G467" s="203">
        <v>280</v>
      </c>
      <c r="H467" s="203" t="s">
        <v>12</v>
      </c>
      <c r="I467" s="203">
        <v>0.33214709371293</v>
      </c>
    </row>
    <row r="468" spans="1:9" x14ac:dyDescent="0.2">
      <c r="A468" s="203">
        <v>94</v>
      </c>
      <c r="B468" s="203" t="s">
        <v>216</v>
      </c>
      <c r="C468" s="203"/>
      <c r="E468" s="203" t="s">
        <v>118</v>
      </c>
      <c r="G468" s="203">
        <v>281</v>
      </c>
      <c r="H468" s="203" t="s">
        <v>13</v>
      </c>
      <c r="I468" s="203">
        <v>0.33333333333333331</v>
      </c>
    </row>
    <row r="469" spans="1:9" x14ac:dyDescent="0.2">
      <c r="A469" s="203">
        <v>94</v>
      </c>
      <c r="B469" s="203" t="s">
        <v>216</v>
      </c>
      <c r="C469" s="203"/>
      <c r="E469" s="203" t="s">
        <v>119</v>
      </c>
      <c r="G469" s="203">
        <v>282</v>
      </c>
      <c r="H469" s="203" t="s">
        <v>14</v>
      </c>
      <c r="I469" s="203">
        <v>0.33451957295373663</v>
      </c>
    </row>
    <row r="470" spans="1:9" x14ac:dyDescent="0.2">
      <c r="A470" s="203"/>
      <c r="C470" s="203"/>
      <c r="E470" s="203" t="s">
        <v>122</v>
      </c>
      <c r="G470" s="203">
        <v>843</v>
      </c>
      <c r="H470" s="203" t="s">
        <v>15</v>
      </c>
      <c r="I470" s="203">
        <v>1</v>
      </c>
    </row>
    <row r="471" spans="1:9" x14ac:dyDescent="0.2">
      <c r="A471" s="203"/>
      <c r="C471" s="203"/>
    </row>
    <row r="472" spans="1:9" x14ac:dyDescent="0.2">
      <c r="A472" s="203">
        <v>95</v>
      </c>
      <c r="B472" s="203" t="s">
        <v>217</v>
      </c>
      <c r="C472" s="203"/>
      <c r="E472" s="203" t="s">
        <v>117</v>
      </c>
      <c r="G472" s="203">
        <v>283</v>
      </c>
      <c r="H472" s="203" t="s">
        <v>12</v>
      </c>
      <c r="I472" s="203">
        <v>0.33215962441314556</v>
      </c>
    </row>
    <row r="473" spans="1:9" x14ac:dyDescent="0.2">
      <c r="A473" s="203">
        <v>95</v>
      </c>
      <c r="B473" s="203" t="s">
        <v>217</v>
      </c>
      <c r="C473" s="203"/>
      <c r="E473" s="203" t="s">
        <v>118</v>
      </c>
      <c r="G473" s="203">
        <v>284</v>
      </c>
      <c r="H473" s="203" t="s">
        <v>13</v>
      </c>
      <c r="I473" s="203">
        <v>0.33333333333333331</v>
      </c>
    </row>
    <row r="474" spans="1:9" x14ac:dyDescent="0.2">
      <c r="A474" s="203">
        <v>95</v>
      </c>
      <c r="B474" s="203" t="s">
        <v>217</v>
      </c>
      <c r="C474" s="203"/>
      <c r="E474" s="203" t="s">
        <v>119</v>
      </c>
      <c r="G474" s="203">
        <v>285</v>
      </c>
      <c r="H474" s="203" t="s">
        <v>14</v>
      </c>
      <c r="I474" s="203">
        <v>0.33450704225352113</v>
      </c>
    </row>
    <row r="475" spans="1:9" x14ac:dyDescent="0.2">
      <c r="A475" s="203"/>
      <c r="C475" s="203"/>
      <c r="E475" s="203" t="s">
        <v>122</v>
      </c>
      <c r="G475" s="203">
        <v>852</v>
      </c>
      <c r="H475" s="203" t="s">
        <v>15</v>
      </c>
      <c r="I475" s="203">
        <v>1</v>
      </c>
    </row>
    <row r="476" spans="1:9" x14ac:dyDescent="0.2">
      <c r="A476" s="203"/>
      <c r="C476" s="203"/>
    </row>
    <row r="477" spans="1:9" x14ac:dyDescent="0.2">
      <c r="A477" s="203">
        <v>96</v>
      </c>
      <c r="B477" s="203" t="s">
        <v>218</v>
      </c>
      <c r="C477" s="203"/>
      <c r="E477" s="203" t="s">
        <v>117</v>
      </c>
      <c r="G477" s="203">
        <v>286</v>
      </c>
      <c r="H477" s="203" t="s">
        <v>12</v>
      </c>
      <c r="I477" s="203">
        <v>0.33217189314750289</v>
      </c>
    </row>
    <row r="478" spans="1:9" x14ac:dyDescent="0.2">
      <c r="A478" s="203">
        <v>96</v>
      </c>
      <c r="B478" s="203" t="s">
        <v>218</v>
      </c>
      <c r="C478" s="203"/>
      <c r="E478" s="203" t="s">
        <v>118</v>
      </c>
      <c r="G478" s="203">
        <v>287</v>
      </c>
      <c r="H478" s="203" t="s">
        <v>13</v>
      </c>
      <c r="I478" s="203">
        <v>0.33333333333333331</v>
      </c>
    </row>
    <row r="479" spans="1:9" x14ac:dyDescent="0.2">
      <c r="A479" s="203">
        <v>96</v>
      </c>
      <c r="B479" s="203" t="s">
        <v>218</v>
      </c>
      <c r="C479" s="203"/>
      <c r="E479" s="203" t="s">
        <v>119</v>
      </c>
      <c r="G479" s="203">
        <v>288</v>
      </c>
      <c r="H479" s="203" t="s">
        <v>14</v>
      </c>
      <c r="I479" s="203">
        <v>0.33449477351916379</v>
      </c>
    </row>
    <row r="480" spans="1:9" x14ac:dyDescent="0.2">
      <c r="A480" s="203"/>
      <c r="C480" s="203"/>
      <c r="E480" s="203" t="s">
        <v>122</v>
      </c>
      <c r="G480" s="203">
        <v>861</v>
      </c>
      <c r="H480" s="203" t="s">
        <v>15</v>
      </c>
      <c r="I480" s="203">
        <v>1</v>
      </c>
    </row>
    <row r="481" spans="1:9" x14ac:dyDescent="0.2">
      <c r="A481" s="203"/>
      <c r="C481" s="203"/>
    </row>
    <row r="482" spans="1:9" x14ac:dyDescent="0.2">
      <c r="A482" s="203">
        <v>97</v>
      </c>
      <c r="B482" s="203" t="s">
        <v>219</v>
      </c>
      <c r="C482" s="203"/>
      <c r="E482" s="203" t="s">
        <v>117</v>
      </c>
      <c r="G482" s="203">
        <v>289</v>
      </c>
      <c r="H482" s="203" t="s">
        <v>12</v>
      </c>
      <c r="I482" s="203">
        <v>0.33218390804597703</v>
      </c>
    </row>
    <row r="483" spans="1:9" x14ac:dyDescent="0.2">
      <c r="A483" s="203">
        <v>97</v>
      </c>
      <c r="B483" s="203" t="s">
        <v>219</v>
      </c>
      <c r="C483" s="203"/>
      <c r="E483" s="203" t="s">
        <v>118</v>
      </c>
      <c r="G483" s="203">
        <v>290</v>
      </c>
      <c r="H483" s="203" t="s">
        <v>13</v>
      </c>
      <c r="I483" s="203">
        <v>0.33333333333333331</v>
      </c>
    </row>
    <row r="484" spans="1:9" x14ac:dyDescent="0.2">
      <c r="A484" s="203">
        <v>97</v>
      </c>
      <c r="B484" s="203" t="s">
        <v>219</v>
      </c>
      <c r="C484" s="203"/>
      <c r="E484" s="203" t="s">
        <v>119</v>
      </c>
      <c r="G484" s="203">
        <v>291</v>
      </c>
      <c r="H484" s="203" t="s">
        <v>14</v>
      </c>
      <c r="I484" s="203">
        <v>0.33448275862068966</v>
      </c>
    </row>
    <row r="485" spans="1:9" x14ac:dyDescent="0.2">
      <c r="A485" s="203"/>
      <c r="C485" s="203"/>
      <c r="E485" s="203" t="s">
        <v>122</v>
      </c>
      <c r="G485" s="203">
        <v>870</v>
      </c>
      <c r="H485" s="203" t="s">
        <v>15</v>
      </c>
      <c r="I485" s="203">
        <v>1</v>
      </c>
    </row>
    <row r="486" spans="1:9" x14ac:dyDescent="0.2">
      <c r="A486" s="203"/>
      <c r="C486" s="203"/>
    </row>
    <row r="487" spans="1:9" x14ac:dyDescent="0.2">
      <c r="A487" s="203">
        <v>98</v>
      </c>
      <c r="B487" s="203" t="s">
        <v>220</v>
      </c>
      <c r="C487" s="203"/>
      <c r="E487" s="203" t="s">
        <v>117</v>
      </c>
      <c r="G487" s="203">
        <v>292</v>
      </c>
      <c r="H487" s="203" t="s">
        <v>12</v>
      </c>
      <c r="I487" s="203">
        <v>0.3321956769055745</v>
      </c>
    </row>
    <row r="488" spans="1:9" x14ac:dyDescent="0.2">
      <c r="A488" s="203">
        <v>98</v>
      </c>
      <c r="B488" s="203" t="s">
        <v>220</v>
      </c>
      <c r="C488" s="203"/>
      <c r="E488" s="203" t="s">
        <v>118</v>
      </c>
      <c r="G488" s="203">
        <v>293</v>
      </c>
      <c r="H488" s="203" t="s">
        <v>13</v>
      </c>
      <c r="I488" s="203">
        <v>0.33333333333333331</v>
      </c>
    </row>
    <row r="489" spans="1:9" x14ac:dyDescent="0.2">
      <c r="A489" s="203">
        <v>98</v>
      </c>
      <c r="B489" s="203" t="s">
        <v>220</v>
      </c>
      <c r="C489" s="203"/>
      <c r="E489" s="203" t="s">
        <v>119</v>
      </c>
      <c r="G489" s="203">
        <v>294</v>
      </c>
      <c r="H489" s="203" t="s">
        <v>14</v>
      </c>
      <c r="I489" s="203">
        <v>0.33447098976109213</v>
      </c>
    </row>
    <row r="490" spans="1:9" x14ac:dyDescent="0.2">
      <c r="A490" s="203"/>
      <c r="C490" s="203"/>
      <c r="E490" s="203" t="s">
        <v>122</v>
      </c>
      <c r="G490" s="203">
        <v>879</v>
      </c>
      <c r="H490" s="203" t="s">
        <v>15</v>
      </c>
      <c r="I490" s="203">
        <v>0.99999999999999989</v>
      </c>
    </row>
    <row r="491" spans="1:9" x14ac:dyDescent="0.2">
      <c r="A491" s="203"/>
      <c r="C491" s="203"/>
    </row>
    <row r="492" spans="1:9" x14ac:dyDescent="0.2">
      <c r="A492" s="203">
        <v>99</v>
      </c>
      <c r="B492" s="203" t="s">
        <v>221</v>
      </c>
      <c r="C492" s="203"/>
      <c r="E492" s="203" t="s">
        <v>117</v>
      </c>
      <c r="G492" s="203">
        <v>295</v>
      </c>
      <c r="H492" s="203" t="s">
        <v>12</v>
      </c>
      <c r="I492" s="203">
        <v>0.3322072072072072</v>
      </c>
    </row>
    <row r="493" spans="1:9" x14ac:dyDescent="0.2">
      <c r="A493" s="203">
        <v>99</v>
      </c>
      <c r="B493" s="203" t="s">
        <v>221</v>
      </c>
      <c r="C493" s="203"/>
      <c r="E493" s="203" t="s">
        <v>118</v>
      </c>
      <c r="G493" s="203">
        <v>296</v>
      </c>
      <c r="H493" s="203" t="s">
        <v>13</v>
      </c>
      <c r="I493" s="203">
        <v>0.33333333333333331</v>
      </c>
    </row>
    <row r="494" spans="1:9" x14ac:dyDescent="0.2">
      <c r="A494" s="203">
        <v>99</v>
      </c>
      <c r="B494" s="203" t="s">
        <v>221</v>
      </c>
      <c r="C494" s="203"/>
      <c r="E494" s="203" t="s">
        <v>119</v>
      </c>
      <c r="G494" s="203">
        <v>297</v>
      </c>
      <c r="H494" s="203" t="s">
        <v>14</v>
      </c>
      <c r="I494" s="203">
        <v>0.33445945945945948</v>
      </c>
    </row>
    <row r="495" spans="1:9" x14ac:dyDescent="0.2">
      <c r="A495" s="203"/>
      <c r="C495" s="203"/>
      <c r="E495" s="203" t="s">
        <v>122</v>
      </c>
      <c r="G495" s="203">
        <v>888</v>
      </c>
      <c r="H495" s="203" t="s">
        <v>15</v>
      </c>
      <c r="I495" s="203">
        <v>1</v>
      </c>
    </row>
    <row r="496" spans="1:9" x14ac:dyDescent="0.2">
      <c r="A496" s="203"/>
      <c r="C496" s="203"/>
    </row>
    <row r="497" spans="1:9" x14ac:dyDescent="0.2">
      <c r="A497" s="203">
        <v>100</v>
      </c>
      <c r="B497" s="203" t="s">
        <v>222</v>
      </c>
      <c r="C497" s="203"/>
      <c r="E497" s="203" t="s">
        <v>117</v>
      </c>
      <c r="G497" s="203">
        <v>298</v>
      </c>
      <c r="H497" s="203" t="s">
        <v>12</v>
      </c>
      <c r="I497" s="203">
        <v>0.33221850613154963</v>
      </c>
    </row>
    <row r="498" spans="1:9" x14ac:dyDescent="0.2">
      <c r="A498" s="203">
        <v>100</v>
      </c>
      <c r="B498" s="203" t="s">
        <v>222</v>
      </c>
      <c r="C498" s="203"/>
      <c r="E498" s="203" t="s">
        <v>118</v>
      </c>
      <c r="G498" s="203">
        <v>299</v>
      </c>
      <c r="H498" s="203" t="s">
        <v>13</v>
      </c>
      <c r="I498" s="203">
        <v>0.33333333333333331</v>
      </c>
    </row>
    <row r="499" spans="1:9" x14ac:dyDescent="0.2">
      <c r="A499" s="203">
        <v>100</v>
      </c>
      <c r="B499" s="203" t="s">
        <v>222</v>
      </c>
      <c r="C499" s="203"/>
      <c r="E499" s="203" t="s">
        <v>119</v>
      </c>
      <c r="G499" s="203">
        <v>300</v>
      </c>
      <c r="H499" s="203" t="s">
        <v>14</v>
      </c>
      <c r="I499" s="203">
        <v>0.33444816053511706</v>
      </c>
    </row>
    <row r="500" spans="1:9" x14ac:dyDescent="0.2">
      <c r="A500" s="203"/>
      <c r="C500" s="203"/>
      <c r="E500" s="203" t="s">
        <v>122</v>
      </c>
      <c r="G500" s="203">
        <v>897</v>
      </c>
      <c r="H500" s="203" t="s">
        <v>15</v>
      </c>
      <c r="I500" s="203">
        <v>1</v>
      </c>
    </row>
    <row r="501" spans="1:9" x14ac:dyDescent="0.2">
      <c r="A501" s="203"/>
      <c r="C501" s="203"/>
    </row>
    <row r="502" spans="1:9" x14ac:dyDescent="0.2">
      <c r="A502" s="203"/>
      <c r="C502" s="203"/>
    </row>
    <row r="503" spans="1:9" x14ac:dyDescent="0.2">
      <c r="A503" s="203"/>
      <c r="C503" s="203"/>
    </row>
    <row r="504" spans="1:9" x14ac:dyDescent="0.2">
      <c r="A504" s="203"/>
      <c r="C504" s="203"/>
    </row>
    <row r="505" spans="1:9" x14ac:dyDescent="0.2">
      <c r="A505" s="203"/>
      <c r="C505" s="203"/>
    </row>
    <row r="506" spans="1:9" x14ac:dyDescent="0.2">
      <c r="A506" s="203"/>
      <c r="C506" s="203"/>
    </row>
    <row r="507" spans="1:9" x14ac:dyDescent="0.2">
      <c r="A507" s="203"/>
      <c r="C507" s="203"/>
    </row>
    <row r="508" spans="1:9" x14ac:dyDescent="0.2">
      <c r="A508" s="203"/>
      <c r="C508" s="203"/>
    </row>
    <row r="509" spans="1:9" x14ac:dyDescent="0.2">
      <c r="A509" s="203"/>
      <c r="C509" s="203"/>
    </row>
    <row r="510" spans="1:9" x14ac:dyDescent="0.2">
      <c r="A510" s="203"/>
      <c r="C510" s="203"/>
    </row>
    <row r="511" spans="1:9" x14ac:dyDescent="0.2">
      <c r="A511" s="203"/>
      <c r="C511" s="203"/>
    </row>
    <row r="512" spans="1:9" x14ac:dyDescent="0.2">
      <c r="A512" s="203"/>
      <c r="C512" s="203"/>
    </row>
    <row r="513" s="203" customFormat="1" x14ac:dyDescent="0.2"/>
    <row r="514" s="203" customFormat="1" x14ac:dyDescent="0.2"/>
    <row r="515" s="203" customFormat="1" x14ac:dyDescent="0.2"/>
    <row r="516" s="203" customFormat="1" x14ac:dyDescent="0.2"/>
    <row r="517" s="203" customFormat="1" x14ac:dyDescent="0.2"/>
    <row r="518" s="203" customFormat="1" x14ac:dyDescent="0.2"/>
    <row r="519" s="203" customFormat="1" x14ac:dyDescent="0.2"/>
    <row r="520" s="203" customFormat="1" x14ac:dyDescent="0.2"/>
    <row r="521" s="203" customFormat="1" x14ac:dyDescent="0.2"/>
    <row r="522" s="203" customFormat="1" x14ac:dyDescent="0.2"/>
    <row r="523" s="203" customFormat="1" x14ac:dyDescent="0.2"/>
    <row r="524" s="203" customFormat="1" x14ac:dyDescent="0.2"/>
    <row r="525" s="203" customFormat="1" x14ac:dyDescent="0.2"/>
    <row r="526" s="203" customFormat="1" x14ac:dyDescent="0.2"/>
    <row r="527" s="203" customFormat="1" x14ac:dyDescent="0.2"/>
    <row r="528" s="203" customFormat="1" x14ac:dyDescent="0.2"/>
    <row r="529" s="203" customFormat="1" x14ac:dyDescent="0.2"/>
    <row r="530" s="203" customFormat="1" x14ac:dyDescent="0.2"/>
    <row r="531" s="203" customFormat="1" x14ac:dyDescent="0.2"/>
    <row r="532" s="203" customFormat="1" x14ac:dyDescent="0.2"/>
    <row r="533" s="203" customFormat="1" x14ac:dyDescent="0.2"/>
    <row r="534" s="203" customFormat="1" x14ac:dyDescent="0.2"/>
    <row r="535" s="203" customFormat="1" x14ac:dyDescent="0.2"/>
    <row r="536" s="203" customFormat="1" x14ac:dyDescent="0.2"/>
    <row r="537" s="203" customFormat="1" x14ac:dyDescent="0.2"/>
    <row r="538" s="203" customFormat="1" x14ac:dyDescent="0.2"/>
    <row r="539" s="203" customFormat="1" x14ac:dyDescent="0.2"/>
    <row r="540" s="203" customFormat="1" x14ac:dyDescent="0.2"/>
    <row r="541" s="203" customFormat="1" x14ac:dyDescent="0.2"/>
    <row r="542" s="203" customFormat="1" x14ac:dyDescent="0.2"/>
    <row r="543" s="203" customFormat="1" x14ac:dyDescent="0.2"/>
    <row r="544" s="203" customFormat="1" x14ac:dyDescent="0.2"/>
    <row r="545" s="203" customFormat="1" x14ac:dyDescent="0.2"/>
    <row r="546" s="203" customFormat="1" x14ac:dyDescent="0.2"/>
    <row r="547" s="203" customFormat="1" x14ac:dyDescent="0.2"/>
    <row r="548" s="203" customFormat="1" x14ac:dyDescent="0.2"/>
    <row r="549" s="203" customFormat="1" x14ac:dyDescent="0.2"/>
    <row r="550" s="203" customFormat="1" x14ac:dyDescent="0.2"/>
    <row r="551" s="203" customFormat="1" x14ac:dyDescent="0.2"/>
    <row r="552" s="203" customFormat="1" x14ac:dyDescent="0.2"/>
    <row r="553" s="203" customFormat="1" x14ac:dyDescent="0.2"/>
    <row r="554" s="203" customFormat="1" x14ac:dyDescent="0.2"/>
    <row r="555" s="203" customFormat="1" x14ac:dyDescent="0.2"/>
    <row r="556" s="203" customFormat="1" x14ac:dyDescent="0.2"/>
    <row r="557" s="203" customFormat="1" x14ac:dyDescent="0.2"/>
    <row r="558" s="203" customFormat="1" x14ac:dyDescent="0.2"/>
    <row r="559" s="203" customFormat="1" x14ac:dyDescent="0.2"/>
    <row r="560" s="203" customFormat="1" x14ac:dyDescent="0.2"/>
    <row r="561" s="203" customFormat="1" x14ac:dyDescent="0.2"/>
    <row r="562" s="203" customFormat="1" x14ac:dyDescent="0.2"/>
    <row r="563" s="203" customFormat="1" x14ac:dyDescent="0.2"/>
    <row r="564" s="203" customFormat="1" x14ac:dyDescent="0.2"/>
    <row r="565" s="203" customFormat="1" x14ac:dyDescent="0.2"/>
    <row r="566" s="203" customFormat="1" x14ac:dyDescent="0.2"/>
    <row r="567" s="203" customFormat="1" x14ac:dyDescent="0.2"/>
    <row r="568" s="203" customFormat="1" x14ac:dyDescent="0.2"/>
    <row r="569" s="203" customFormat="1" x14ac:dyDescent="0.2"/>
    <row r="570" s="203" customFormat="1" x14ac:dyDescent="0.2"/>
    <row r="571" s="203" customFormat="1" x14ac:dyDescent="0.2"/>
    <row r="572" s="203" customFormat="1" x14ac:dyDescent="0.2"/>
    <row r="573" s="203" customFormat="1" x14ac:dyDescent="0.2"/>
    <row r="574" s="203" customFormat="1" x14ac:dyDescent="0.2"/>
    <row r="575" s="203" customFormat="1" x14ac:dyDescent="0.2"/>
    <row r="576" s="203" customFormat="1" x14ac:dyDescent="0.2"/>
    <row r="577" s="203" customFormat="1" x14ac:dyDescent="0.2"/>
    <row r="578" s="203" customFormat="1" x14ac:dyDescent="0.2"/>
    <row r="579" s="203" customFormat="1" x14ac:dyDescent="0.2"/>
    <row r="580" s="203" customFormat="1" x14ac:dyDescent="0.2"/>
    <row r="581" s="203" customFormat="1" x14ac:dyDescent="0.2"/>
    <row r="582" s="203" customFormat="1" x14ac:dyDescent="0.2"/>
    <row r="583" s="203" customFormat="1" x14ac:dyDescent="0.2"/>
    <row r="584" s="203" customFormat="1" x14ac:dyDescent="0.2"/>
    <row r="585" s="203" customFormat="1" x14ac:dyDescent="0.2"/>
    <row r="586" s="203" customFormat="1" x14ac:dyDescent="0.2"/>
    <row r="587" s="203" customFormat="1" x14ac:dyDescent="0.2"/>
    <row r="588" s="203" customFormat="1" x14ac:dyDescent="0.2"/>
    <row r="589" s="203" customFormat="1" x14ac:dyDescent="0.2"/>
    <row r="590" s="203" customFormat="1" x14ac:dyDescent="0.2"/>
    <row r="591" s="203" customFormat="1" x14ac:dyDescent="0.2"/>
    <row r="592" s="203" customFormat="1" x14ac:dyDescent="0.2"/>
    <row r="593" s="203" customFormat="1" x14ac:dyDescent="0.2"/>
    <row r="594" s="203" customFormat="1" x14ac:dyDescent="0.2"/>
    <row r="595" s="203" customFormat="1" x14ac:dyDescent="0.2"/>
    <row r="596" s="203" customFormat="1" x14ac:dyDescent="0.2"/>
    <row r="597" s="203" customFormat="1" x14ac:dyDescent="0.2"/>
    <row r="598" s="203" customFormat="1" x14ac:dyDescent="0.2"/>
    <row r="599" s="203" customFormat="1" x14ac:dyDescent="0.2"/>
    <row r="600" s="203" customFormat="1" x14ac:dyDescent="0.2"/>
    <row r="601" s="203" customFormat="1" x14ac:dyDescent="0.2"/>
    <row r="602" s="203" customFormat="1" x14ac:dyDescent="0.2"/>
    <row r="603" s="203" customFormat="1" x14ac:dyDescent="0.2"/>
    <row r="604" s="203" customFormat="1" x14ac:dyDescent="0.2"/>
    <row r="605" s="203" customFormat="1" x14ac:dyDescent="0.2"/>
    <row r="606" s="203" customFormat="1" x14ac:dyDescent="0.2"/>
    <row r="607" s="203" customFormat="1" x14ac:dyDescent="0.2"/>
    <row r="608" s="203" customFormat="1" x14ac:dyDescent="0.2"/>
    <row r="609" s="203" customFormat="1" x14ac:dyDescent="0.2"/>
    <row r="610" s="203" customFormat="1" x14ac:dyDescent="0.2"/>
    <row r="611" s="203" customFormat="1" x14ac:dyDescent="0.2"/>
    <row r="612" s="203" customFormat="1" x14ac:dyDescent="0.2"/>
    <row r="613" s="203" customFormat="1" x14ac:dyDescent="0.2"/>
    <row r="614" s="203" customFormat="1" x14ac:dyDescent="0.2"/>
    <row r="615" s="203" customFormat="1" x14ac:dyDescent="0.2"/>
    <row r="616" s="203" customFormat="1" x14ac:dyDescent="0.2"/>
    <row r="617" s="203" customFormat="1" x14ac:dyDescent="0.2"/>
    <row r="618" s="203" customFormat="1" x14ac:dyDescent="0.2"/>
    <row r="619" s="203" customFormat="1" x14ac:dyDescent="0.2"/>
    <row r="620" s="203" customFormat="1" x14ac:dyDescent="0.2"/>
    <row r="621" s="203" customFormat="1" x14ac:dyDescent="0.2"/>
    <row r="622" s="203" customFormat="1" x14ac:dyDescent="0.2"/>
    <row r="623" s="203" customFormat="1" x14ac:dyDescent="0.2"/>
    <row r="624" s="203" customFormat="1" x14ac:dyDescent="0.2"/>
    <row r="625" s="203" customFormat="1" x14ac:dyDescent="0.2"/>
    <row r="626" s="203" customFormat="1" x14ac:dyDescent="0.2"/>
    <row r="627" s="203" customFormat="1" x14ac:dyDescent="0.2"/>
    <row r="628" s="203" customFormat="1" x14ac:dyDescent="0.2"/>
    <row r="629" s="203" customFormat="1" x14ac:dyDescent="0.2"/>
    <row r="630" s="203" customFormat="1" x14ac:dyDescent="0.2"/>
    <row r="631" s="203" customFormat="1" x14ac:dyDescent="0.2"/>
    <row r="632" s="203" customFormat="1" x14ac:dyDescent="0.2"/>
    <row r="633" s="203" customFormat="1" x14ac:dyDescent="0.2"/>
    <row r="634" s="203" customFormat="1" x14ac:dyDescent="0.2"/>
    <row r="635" s="203" customFormat="1" x14ac:dyDescent="0.2"/>
    <row r="636" s="203" customFormat="1" x14ac:dyDescent="0.2"/>
    <row r="637" s="203" customFormat="1" x14ac:dyDescent="0.2"/>
    <row r="638" s="203" customFormat="1" x14ac:dyDescent="0.2"/>
    <row r="639" s="203" customFormat="1" x14ac:dyDescent="0.2"/>
    <row r="640" s="203" customFormat="1" x14ac:dyDescent="0.2"/>
    <row r="641" s="203" customFormat="1" x14ac:dyDescent="0.2"/>
    <row r="642" s="203" customFormat="1" x14ac:dyDescent="0.2"/>
    <row r="643" s="203" customFormat="1" x14ac:dyDescent="0.2"/>
    <row r="644" s="203" customFormat="1" x14ac:dyDescent="0.2"/>
    <row r="645" s="203" customFormat="1" x14ac:dyDescent="0.2"/>
    <row r="646" s="203" customFormat="1" x14ac:dyDescent="0.2"/>
    <row r="647" s="203" customFormat="1" x14ac:dyDescent="0.2"/>
    <row r="648" s="203" customFormat="1" x14ac:dyDescent="0.2"/>
    <row r="649" s="203" customFormat="1" x14ac:dyDescent="0.2"/>
    <row r="650" s="203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tabSelected="1" zoomScale="85" zoomScaleNormal="85" workbookViewId="0">
      <selection activeCell="G22" sqref="G2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299</v>
      </c>
      <c r="C2" s="196" t="s">
        <v>117</v>
      </c>
      <c r="D2" s="197">
        <v>1</v>
      </c>
    </row>
    <row r="3" spans="1:4" x14ac:dyDescent="0.25">
      <c r="A3" s="198">
        <f>$A$2+0</f>
        <v>1</v>
      </c>
      <c r="B3" s="190" t="str">
        <f t="shared" ref="B3:B4" si="0">$B$2</f>
        <v>Ponto1</v>
      </c>
      <c r="C3" s="196" t="s">
        <v>118</v>
      </c>
      <c r="D3" s="197">
        <v>2</v>
      </c>
    </row>
    <row r="4" spans="1:4" x14ac:dyDescent="0.25">
      <c r="A4" s="198">
        <f>$A$2+0</f>
        <v>1</v>
      </c>
      <c r="B4" s="190" t="str">
        <f t="shared" si="0"/>
        <v>Ponto1</v>
      </c>
      <c r="C4" s="196" t="s">
        <v>119</v>
      </c>
      <c r="D4" s="197">
        <v>3</v>
      </c>
    </row>
    <row r="5" spans="1:4" x14ac:dyDescent="0.25">
      <c r="A5" s="195">
        <f>2</f>
        <v>2</v>
      </c>
      <c r="B5" s="189" t="s">
        <v>124</v>
      </c>
      <c r="C5" s="196" t="s">
        <v>117</v>
      </c>
      <c r="D5" s="197">
        <v>4</v>
      </c>
    </row>
    <row r="6" spans="1:4" x14ac:dyDescent="0.25">
      <c r="A6" s="198">
        <f>$A$5</f>
        <v>2</v>
      </c>
      <c r="B6" s="190" t="str">
        <f t="shared" ref="B6:B7" si="1">$B$5</f>
        <v>Ponto2</v>
      </c>
      <c r="C6" s="196" t="s">
        <v>118</v>
      </c>
      <c r="D6" s="197">
        <v>5</v>
      </c>
    </row>
    <row r="7" spans="1:4" x14ac:dyDescent="0.25">
      <c r="A7" s="198">
        <f>$A$5</f>
        <v>2</v>
      </c>
      <c r="B7" s="190" t="str">
        <f t="shared" si="1"/>
        <v>Ponto2</v>
      </c>
      <c r="C7" s="196" t="s">
        <v>119</v>
      </c>
      <c r="D7" s="197">
        <v>6</v>
      </c>
    </row>
    <row r="8" spans="1:4" x14ac:dyDescent="0.25">
      <c r="A8" s="195">
        <f>3</f>
        <v>3</v>
      </c>
      <c r="B8" s="189" t="s">
        <v>125</v>
      </c>
      <c r="C8" s="196" t="s">
        <v>117</v>
      </c>
      <c r="D8" s="197">
        <v>7</v>
      </c>
    </row>
    <row r="9" spans="1:4" x14ac:dyDescent="0.25">
      <c r="A9" s="198">
        <f>$A$8</f>
        <v>3</v>
      </c>
      <c r="B9" s="190" t="str">
        <f t="shared" ref="B9:B10" si="2">$B$8</f>
        <v>Ponto3</v>
      </c>
      <c r="C9" s="196" t="s">
        <v>118</v>
      </c>
      <c r="D9" s="197">
        <v>8</v>
      </c>
    </row>
    <row r="10" spans="1:4" x14ac:dyDescent="0.25">
      <c r="A10" s="198">
        <f>$A$8</f>
        <v>3</v>
      </c>
      <c r="B10" s="190" t="str">
        <f t="shared" si="2"/>
        <v>Ponto3</v>
      </c>
      <c r="C10" s="196" t="s">
        <v>119</v>
      </c>
      <c r="D10" s="197">
        <v>9</v>
      </c>
    </row>
    <row r="11" spans="1:4" x14ac:dyDescent="0.25">
      <c r="A11" s="195">
        <f>4</f>
        <v>4</v>
      </c>
      <c r="B11" s="189" t="s">
        <v>300</v>
      </c>
      <c r="C11" s="196" t="s">
        <v>117</v>
      </c>
      <c r="D11" s="197">
        <v>10</v>
      </c>
    </row>
    <row r="12" spans="1:4" x14ac:dyDescent="0.25">
      <c r="A12" s="198">
        <f>$A$11</f>
        <v>4</v>
      </c>
      <c r="B12" s="190" t="str">
        <f t="shared" ref="B12:B13" si="3">$B$11</f>
        <v>Ponto4</v>
      </c>
      <c r="C12" s="196" t="s">
        <v>118</v>
      </c>
      <c r="D12" s="197">
        <v>11</v>
      </c>
    </row>
    <row r="13" spans="1:4" x14ac:dyDescent="0.25">
      <c r="A13" s="198">
        <f>$A$11</f>
        <v>4</v>
      </c>
      <c r="B13" s="190" t="str">
        <f t="shared" si="3"/>
        <v>Ponto4</v>
      </c>
      <c r="C13" s="196" t="s">
        <v>119</v>
      </c>
      <c r="D13" s="197">
        <v>12</v>
      </c>
    </row>
    <row r="14" spans="1:4" x14ac:dyDescent="0.25">
      <c r="A14" s="195">
        <f>5</f>
        <v>5</v>
      </c>
      <c r="B14" s="189" t="s">
        <v>301</v>
      </c>
      <c r="C14" s="196" t="s">
        <v>117</v>
      </c>
      <c r="D14" s="197">
        <v>13</v>
      </c>
    </row>
    <row r="15" spans="1:4" x14ac:dyDescent="0.25">
      <c r="A15" s="198">
        <f>$A$14</f>
        <v>5</v>
      </c>
      <c r="B15" s="190" t="str">
        <f t="shared" ref="B15:B16" si="4">$B$14</f>
        <v>Ponto5</v>
      </c>
      <c r="C15" s="196" t="s">
        <v>118</v>
      </c>
      <c r="D15" s="197">
        <v>14</v>
      </c>
    </row>
    <row r="16" spans="1:4" x14ac:dyDescent="0.25">
      <c r="A16" s="198">
        <f>$A$14</f>
        <v>5</v>
      </c>
      <c r="B16" s="190" t="str">
        <f t="shared" si="4"/>
        <v>Ponto5</v>
      </c>
      <c r="C16" s="196" t="s">
        <v>119</v>
      </c>
      <c r="D16" s="197">
        <v>15</v>
      </c>
    </row>
    <row r="17" spans="1:9" x14ac:dyDescent="0.25">
      <c r="A17" s="195">
        <f>6</f>
        <v>6</v>
      </c>
      <c r="B17" s="189" t="s">
        <v>302</v>
      </c>
      <c r="C17" s="196" t="s">
        <v>117</v>
      </c>
      <c r="D17" s="197">
        <v>16</v>
      </c>
    </row>
    <row r="18" spans="1:9" x14ac:dyDescent="0.25">
      <c r="A18" s="198">
        <f>$A$17</f>
        <v>6</v>
      </c>
      <c r="B18" s="190" t="str">
        <f t="shared" ref="B18:B19" si="5">$B$17</f>
        <v>Ponto6</v>
      </c>
      <c r="C18" s="196" t="s">
        <v>118</v>
      </c>
      <c r="D18" s="197">
        <v>17</v>
      </c>
    </row>
    <row r="19" spans="1:9" x14ac:dyDescent="0.25">
      <c r="A19" s="198">
        <f>$A$17</f>
        <v>6</v>
      </c>
      <c r="B19" s="190" t="str">
        <f t="shared" si="5"/>
        <v>Ponto6</v>
      </c>
      <c r="C19" s="196" t="s">
        <v>119</v>
      </c>
      <c r="D19" s="197">
        <v>18</v>
      </c>
    </row>
    <row r="20" spans="1:9" x14ac:dyDescent="0.25">
      <c r="A20" s="195">
        <f>7</f>
        <v>7</v>
      </c>
      <c r="B20" s="189" t="s">
        <v>303</v>
      </c>
      <c r="C20" s="196" t="s">
        <v>117</v>
      </c>
      <c r="D20" s="197">
        <v>19</v>
      </c>
    </row>
    <row r="21" spans="1:9" x14ac:dyDescent="0.25">
      <c r="A21" s="198">
        <f>$A$20</f>
        <v>7</v>
      </c>
      <c r="B21" s="190" t="str">
        <f t="shared" ref="B21:B22" si="6">$B$20</f>
        <v>Ponto7</v>
      </c>
      <c r="C21" s="196" t="s">
        <v>118</v>
      </c>
      <c r="D21" s="197">
        <v>20</v>
      </c>
    </row>
    <row r="22" spans="1:9" x14ac:dyDescent="0.25">
      <c r="A22" s="198">
        <f>$A$20</f>
        <v>7</v>
      </c>
      <c r="B22" s="190" t="str">
        <f t="shared" si="6"/>
        <v>Ponto7</v>
      </c>
      <c r="C22" s="196" t="s">
        <v>119</v>
      </c>
      <c r="D22" s="197">
        <v>21</v>
      </c>
    </row>
    <row r="23" spans="1:9" x14ac:dyDescent="0.25">
      <c r="A23" s="195">
        <f>8</f>
        <v>8</v>
      </c>
      <c r="B23" s="189" t="s">
        <v>304</v>
      </c>
      <c r="C23" s="196" t="s">
        <v>117</v>
      </c>
      <c r="D23" s="197">
        <v>22</v>
      </c>
    </row>
    <row r="24" spans="1:9" x14ac:dyDescent="0.25">
      <c r="A24" s="198">
        <f>$A$23</f>
        <v>8</v>
      </c>
      <c r="B24" s="190" t="str">
        <f t="shared" ref="B24:B25" si="7">$B$23</f>
        <v>Ponto8</v>
      </c>
      <c r="C24" s="196" t="s">
        <v>118</v>
      </c>
      <c r="D24" s="197">
        <v>23</v>
      </c>
    </row>
    <row r="25" spans="1:9" x14ac:dyDescent="0.25">
      <c r="A25" s="198">
        <f>$A$23</f>
        <v>8</v>
      </c>
      <c r="B25" s="190" t="str">
        <f t="shared" si="7"/>
        <v>Ponto8</v>
      </c>
      <c r="C25" s="196" t="s">
        <v>119</v>
      </c>
      <c r="D25" s="197">
        <v>24</v>
      </c>
    </row>
    <row r="26" spans="1:9" x14ac:dyDescent="0.25">
      <c r="A26" s="195">
        <f>9</f>
        <v>9</v>
      </c>
      <c r="B26" s="189" t="s">
        <v>305</v>
      </c>
      <c r="C26" s="196" t="s">
        <v>117</v>
      </c>
      <c r="D26" s="197">
        <v>25</v>
      </c>
    </row>
    <row r="27" spans="1:9" x14ac:dyDescent="0.25">
      <c r="A27" s="198">
        <f>$A$26</f>
        <v>9</v>
      </c>
      <c r="B27" s="190" t="str">
        <f t="shared" ref="B27:B28" si="8">$B$26</f>
        <v>Ponto9</v>
      </c>
      <c r="C27" s="196" t="s">
        <v>118</v>
      </c>
      <c r="D27" s="197">
        <v>26</v>
      </c>
    </row>
    <row r="28" spans="1:9" x14ac:dyDescent="0.25">
      <c r="A28" s="198">
        <f>$A$26</f>
        <v>9</v>
      </c>
      <c r="B28" s="190" t="str">
        <f t="shared" si="8"/>
        <v>Ponto9</v>
      </c>
      <c r="C28" s="196" t="s">
        <v>119</v>
      </c>
      <c r="D28" s="197">
        <v>27</v>
      </c>
    </row>
    <row r="29" spans="1:9" x14ac:dyDescent="0.25">
      <c r="A29" s="199">
        <v>10</v>
      </c>
      <c r="B29" s="189" t="s">
        <v>306</v>
      </c>
      <c r="C29" s="196" t="s">
        <v>117</v>
      </c>
      <c r="D29" s="197">
        <v>28</v>
      </c>
    </row>
    <row r="30" spans="1:9" x14ac:dyDescent="0.25">
      <c r="A30" s="198">
        <f>$A$29</f>
        <v>10</v>
      </c>
      <c r="B30" s="190" t="str">
        <f t="shared" ref="B30:B31" si="9">$B$29</f>
        <v>Ponto10</v>
      </c>
      <c r="C30" s="196" t="s">
        <v>118</v>
      </c>
      <c r="D30" s="197">
        <v>29</v>
      </c>
    </row>
    <row r="31" spans="1:9" x14ac:dyDescent="0.25">
      <c r="A31" s="198">
        <f>$A$29</f>
        <v>10</v>
      </c>
      <c r="B31" s="190" t="str">
        <f t="shared" si="9"/>
        <v>Ponto10</v>
      </c>
      <c r="C31" s="196" t="s">
        <v>119</v>
      </c>
      <c r="D31" s="197">
        <v>30</v>
      </c>
    </row>
    <row r="32" spans="1:9" ht="13.5" x14ac:dyDescent="0.25">
      <c r="A32" s="200">
        <v>11</v>
      </c>
      <c r="B32" s="189" t="s">
        <v>307</v>
      </c>
      <c r="C32" s="196" t="s">
        <v>117</v>
      </c>
      <c r="D32" s="197">
        <v>31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Ponto11</v>
      </c>
      <c r="C33" s="196" t="s">
        <v>118</v>
      </c>
      <c r="D33" s="197">
        <v>32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Ponto11</v>
      </c>
      <c r="C34" s="196" t="s">
        <v>119</v>
      </c>
      <c r="D34" s="197">
        <v>33</v>
      </c>
      <c r="E34" s="1"/>
      <c r="F34" s="1"/>
      <c r="G34" s="4"/>
    </row>
    <row r="35" spans="1:9" ht="13.5" x14ac:dyDescent="0.25">
      <c r="A35" s="200">
        <v>12</v>
      </c>
      <c r="B35" s="189" t="s">
        <v>308</v>
      </c>
      <c r="C35" s="196" t="s">
        <v>117</v>
      </c>
      <c r="D35" s="197">
        <v>34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Ponto12</v>
      </c>
      <c r="C36" s="196" t="s">
        <v>118</v>
      </c>
      <c r="D36" s="197">
        <v>35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Ponto12</v>
      </c>
      <c r="C37" s="196" t="s">
        <v>119</v>
      </c>
      <c r="D37" s="197">
        <v>36</v>
      </c>
      <c r="E37" s="1"/>
      <c r="F37" s="1"/>
      <c r="G37" s="4"/>
    </row>
    <row r="38" spans="1:9" ht="13.5" x14ac:dyDescent="0.25">
      <c r="A38" s="200">
        <v>13</v>
      </c>
      <c r="B38" s="189" t="s">
        <v>309</v>
      </c>
      <c r="C38" s="196" t="s">
        <v>117</v>
      </c>
      <c r="D38" s="197">
        <v>37</v>
      </c>
      <c r="E38" s="1"/>
      <c r="F38" s="1"/>
      <c r="G38" s="4"/>
    </row>
    <row r="39" spans="1:9" ht="13.5" x14ac:dyDescent="0.25">
      <c r="A39" s="200">
        <v>13</v>
      </c>
      <c r="B39" s="190" t="str">
        <f t="shared" ref="B39:B40" si="12">$B$38</f>
        <v>Ponto13</v>
      </c>
      <c r="C39" s="196" t="s">
        <v>118</v>
      </c>
      <c r="D39" s="197">
        <v>38</v>
      </c>
      <c r="E39" s="1"/>
      <c r="F39" s="1"/>
      <c r="G39" s="4"/>
    </row>
    <row r="40" spans="1:9" ht="13.5" x14ac:dyDescent="0.25">
      <c r="A40" s="200">
        <v>13</v>
      </c>
      <c r="B40" s="190" t="str">
        <f t="shared" si="12"/>
        <v>Ponto13</v>
      </c>
      <c r="C40" s="196" t="s">
        <v>119</v>
      </c>
      <c r="D40" s="197">
        <v>39</v>
      </c>
    </row>
    <row r="41" spans="1:9" ht="13.5" x14ac:dyDescent="0.25">
      <c r="A41" s="200">
        <v>14</v>
      </c>
      <c r="B41" s="189" t="s">
        <v>123</v>
      </c>
      <c r="C41" s="196" t="s">
        <v>117</v>
      </c>
      <c r="D41" s="197">
        <v>40</v>
      </c>
    </row>
    <row r="42" spans="1:9" ht="13.5" x14ac:dyDescent="0.25">
      <c r="A42" s="200">
        <v>14</v>
      </c>
      <c r="B42" s="190" t="str">
        <f t="shared" ref="B42:B43" si="13">$B$41</f>
        <v>Ponto14</v>
      </c>
      <c r="C42" s="196" t="s">
        <v>118</v>
      </c>
      <c r="D42" s="197">
        <v>41</v>
      </c>
    </row>
    <row r="43" spans="1:9" ht="13.5" x14ac:dyDescent="0.25">
      <c r="A43" s="200">
        <v>14</v>
      </c>
      <c r="B43" s="190" t="str">
        <f t="shared" si="13"/>
        <v>Ponto14</v>
      </c>
      <c r="C43" s="196" t="s">
        <v>119</v>
      </c>
      <c r="D43" s="197">
        <v>42</v>
      </c>
    </row>
    <row r="44" spans="1:9" ht="13.5" x14ac:dyDescent="0.25">
      <c r="A44" s="200">
        <v>15</v>
      </c>
      <c r="B44" s="189" t="s">
        <v>128</v>
      </c>
      <c r="C44" s="196" t="s">
        <v>117</v>
      </c>
      <c r="D44" s="197">
        <v>43</v>
      </c>
    </row>
    <row r="45" spans="1:9" ht="13.5" x14ac:dyDescent="0.25">
      <c r="A45" s="200">
        <v>15</v>
      </c>
      <c r="B45" s="190" t="str">
        <f t="shared" ref="B45:B46" si="14">$B$44</f>
        <v>Ponto15</v>
      </c>
      <c r="C45" s="196" t="s">
        <v>118</v>
      </c>
      <c r="D45" s="197">
        <v>44</v>
      </c>
    </row>
    <row r="46" spans="1:9" ht="13.5" x14ac:dyDescent="0.25">
      <c r="A46" s="200">
        <v>15</v>
      </c>
      <c r="B46" s="190" t="str">
        <f t="shared" si="14"/>
        <v>Ponto15</v>
      </c>
      <c r="C46" s="196" t="s">
        <v>119</v>
      </c>
      <c r="D46" s="197">
        <v>45</v>
      </c>
    </row>
    <row r="47" spans="1:9" ht="13.5" x14ac:dyDescent="0.25">
      <c r="A47" s="200">
        <v>16</v>
      </c>
      <c r="B47" s="189" t="s">
        <v>130</v>
      </c>
      <c r="C47" s="196" t="s">
        <v>117</v>
      </c>
      <c r="D47" s="197">
        <v>46</v>
      </c>
    </row>
    <row r="48" spans="1:9" ht="13.5" x14ac:dyDescent="0.25">
      <c r="A48" s="200">
        <v>16</v>
      </c>
      <c r="B48" s="190" t="str">
        <f t="shared" ref="B48:B49" si="15">$B$47</f>
        <v>Ponto16</v>
      </c>
      <c r="C48" s="196" t="s">
        <v>118</v>
      </c>
      <c r="D48" s="197">
        <v>47</v>
      </c>
    </row>
    <row r="49" spans="1:4" ht="13.5" x14ac:dyDescent="0.25">
      <c r="A49" s="200">
        <v>16</v>
      </c>
      <c r="B49" s="190" t="str">
        <f t="shared" si="15"/>
        <v>Ponto16</v>
      </c>
      <c r="C49" s="196" t="s">
        <v>119</v>
      </c>
      <c r="D49" s="197">
        <v>48</v>
      </c>
    </row>
    <row r="50" spans="1:4" ht="13.5" x14ac:dyDescent="0.25">
      <c r="A50" s="200">
        <v>17</v>
      </c>
      <c r="B50" s="189" t="s">
        <v>131</v>
      </c>
      <c r="C50" s="196" t="s">
        <v>117</v>
      </c>
      <c r="D50" s="197">
        <v>49</v>
      </c>
    </row>
    <row r="51" spans="1:4" ht="13.5" x14ac:dyDescent="0.25">
      <c r="A51" s="200">
        <v>17</v>
      </c>
      <c r="B51" s="190" t="str">
        <f t="shared" ref="B51:B52" si="16">$B$50</f>
        <v>Ponto17</v>
      </c>
      <c r="C51" s="196" t="s">
        <v>118</v>
      </c>
      <c r="D51" s="197">
        <v>50</v>
      </c>
    </row>
    <row r="52" spans="1:4" ht="13.5" x14ac:dyDescent="0.25">
      <c r="A52" s="200">
        <v>17</v>
      </c>
      <c r="B52" s="190" t="str">
        <f t="shared" si="16"/>
        <v>Ponto17</v>
      </c>
      <c r="C52" s="196" t="s">
        <v>119</v>
      </c>
      <c r="D52" s="197">
        <v>51</v>
      </c>
    </row>
    <row r="53" spans="1:4" ht="13.5" x14ac:dyDescent="0.25">
      <c r="A53" s="200">
        <v>18</v>
      </c>
      <c r="B53" s="189" t="s">
        <v>133</v>
      </c>
      <c r="C53" s="196" t="s">
        <v>117</v>
      </c>
      <c r="D53" s="197">
        <v>52</v>
      </c>
    </row>
    <row r="54" spans="1:4" ht="13.5" x14ac:dyDescent="0.25">
      <c r="A54" s="200">
        <v>18</v>
      </c>
      <c r="B54" s="190" t="str">
        <f t="shared" ref="B54:B55" si="17">$B$53</f>
        <v>Ponto18</v>
      </c>
      <c r="C54" s="196" t="s">
        <v>118</v>
      </c>
      <c r="D54" s="197">
        <v>53</v>
      </c>
    </row>
    <row r="55" spans="1:4" ht="13.5" x14ac:dyDescent="0.25">
      <c r="A55" s="200">
        <v>18</v>
      </c>
      <c r="B55" s="190" t="str">
        <f t="shared" si="17"/>
        <v>Ponto18</v>
      </c>
      <c r="C55" s="196" t="s">
        <v>119</v>
      </c>
      <c r="D55" s="197">
        <v>54</v>
      </c>
    </row>
    <row r="56" spans="1:4" ht="13.5" x14ac:dyDescent="0.25">
      <c r="A56" s="200">
        <v>19</v>
      </c>
      <c r="B56" s="189" t="s">
        <v>136</v>
      </c>
      <c r="C56" s="196" t="s">
        <v>117</v>
      </c>
      <c r="D56" s="197">
        <v>55</v>
      </c>
    </row>
    <row r="57" spans="1:4" ht="13.5" x14ac:dyDescent="0.25">
      <c r="A57" s="200">
        <v>19</v>
      </c>
      <c r="B57" s="190" t="str">
        <f t="shared" ref="B57:B58" si="18">$B$56</f>
        <v>Ponto19</v>
      </c>
      <c r="C57" s="196" t="s">
        <v>118</v>
      </c>
      <c r="D57" s="197">
        <v>56</v>
      </c>
    </row>
    <row r="58" spans="1:4" ht="13.5" x14ac:dyDescent="0.25">
      <c r="A58" s="200">
        <v>19</v>
      </c>
      <c r="B58" s="190" t="str">
        <f t="shared" si="18"/>
        <v>Ponto19</v>
      </c>
      <c r="C58" s="196" t="s">
        <v>119</v>
      </c>
      <c r="D58" s="197">
        <v>57</v>
      </c>
    </row>
    <row r="59" spans="1:4" ht="13.5" x14ac:dyDescent="0.25">
      <c r="A59" s="200">
        <v>20</v>
      </c>
      <c r="B59" s="189" t="s">
        <v>137</v>
      </c>
      <c r="C59" s="196" t="s">
        <v>117</v>
      </c>
      <c r="D59" s="197">
        <v>58</v>
      </c>
    </row>
    <row r="60" spans="1:4" ht="13.5" x14ac:dyDescent="0.25">
      <c r="A60" s="200">
        <v>20</v>
      </c>
      <c r="B60" s="190" t="str">
        <f t="shared" ref="B60:B61" si="19">$B$59</f>
        <v>Ponto20</v>
      </c>
      <c r="C60" s="196" t="s">
        <v>118</v>
      </c>
      <c r="D60" s="197">
        <v>59</v>
      </c>
    </row>
    <row r="61" spans="1:4" ht="13.5" x14ac:dyDescent="0.25">
      <c r="A61" s="200">
        <v>20</v>
      </c>
      <c r="B61" s="190" t="str">
        <f t="shared" si="19"/>
        <v>Ponto20</v>
      </c>
      <c r="C61" s="196" t="s">
        <v>119</v>
      </c>
      <c r="D61" s="197">
        <v>60</v>
      </c>
    </row>
    <row r="62" spans="1:4" ht="13.5" x14ac:dyDescent="0.25">
      <c r="A62" s="200">
        <v>21</v>
      </c>
      <c r="B62" s="189" t="s">
        <v>138</v>
      </c>
      <c r="C62" s="196" t="s">
        <v>117</v>
      </c>
      <c r="D62" s="197">
        <v>61</v>
      </c>
    </row>
    <row r="63" spans="1:4" ht="13.5" x14ac:dyDescent="0.25">
      <c r="A63" s="200">
        <v>21</v>
      </c>
      <c r="B63" s="190" t="str">
        <f t="shared" ref="B63:B64" si="20">$B$62</f>
        <v>Ponto21</v>
      </c>
      <c r="C63" s="196" t="s">
        <v>118</v>
      </c>
      <c r="D63" s="197">
        <v>62</v>
      </c>
    </row>
    <row r="64" spans="1:4" ht="13.5" x14ac:dyDescent="0.25">
      <c r="A64" s="200">
        <v>21</v>
      </c>
      <c r="B64" s="190" t="str">
        <f t="shared" si="20"/>
        <v>Ponto21</v>
      </c>
      <c r="C64" s="196" t="s">
        <v>119</v>
      </c>
      <c r="D64" s="197">
        <v>63</v>
      </c>
    </row>
    <row r="65" spans="1:4" ht="13.5" x14ac:dyDescent="0.25">
      <c r="A65" s="200">
        <v>22</v>
      </c>
      <c r="B65" s="189" t="s">
        <v>140</v>
      </c>
      <c r="C65" s="196" t="s">
        <v>117</v>
      </c>
      <c r="D65" s="197">
        <v>64</v>
      </c>
    </row>
    <row r="66" spans="1:4" ht="13.5" x14ac:dyDescent="0.25">
      <c r="A66" s="200">
        <v>22</v>
      </c>
      <c r="B66" s="190" t="str">
        <f t="shared" ref="B66:B67" si="21">$B$65</f>
        <v>Ponto22</v>
      </c>
      <c r="C66" s="196" t="s">
        <v>118</v>
      </c>
      <c r="D66" s="197">
        <v>65</v>
      </c>
    </row>
    <row r="67" spans="1:4" ht="13.5" x14ac:dyDescent="0.25">
      <c r="A67" s="200">
        <v>22</v>
      </c>
      <c r="B67" s="190" t="str">
        <f t="shared" si="21"/>
        <v>Ponto22</v>
      </c>
      <c r="C67" s="196" t="s">
        <v>119</v>
      </c>
      <c r="D67" s="197">
        <v>66</v>
      </c>
    </row>
    <row r="68" spans="1:4" ht="13.5" x14ac:dyDescent="0.25">
      <c r="A68" s="200">
        <v>23</v>
      </c>
      <c r="B68" s="189" t="s">
        <v>142</v>
      </c>
      <c r="C68" s="196" t="s">
        <v>117</v>
      </c>
      <c r="D68" s="197">
        <v>67</v>
      </c>
    </row>
    <row r="69" spans="1:4" ht="13.5" x14ac:dyDescent="0.25">
      <c r="A69" s="200">
        <v>23</v>
      </c>
      <c r="B69" s="190" t="str">
        <f t="shared" ref="B69:B70" si="22">$B$68</f>
        <v>Ponto23</v>
      </c>
      <c r="C69" s="196" t="s">
        <v>118</v>
      </c>
      <c r="D69" s="197">
        <v>68</v>
      </c>
    </row>
    <row r="70" spans="1:4" ht="13.5" x14ac:dyDescent="0.25">
      <c r="A70" s="200">
        <v>23</v>
      </c>
      <c r="B70" s="190" t="str">
        <f t="shared" si="22"/>
        <v>Ponto23</v>
      </c>
      <c r="C70" s="196" t="s">
        <v>119</v>
      </c>
      <c r="D70" s="197">
        <v>69</v>
      </c>
    </row>
    <row r="71" spans="1:4" ht="13.5" x14ac:dyDescent="0.25">
      <c r="A71" s="200">
        <v>24</v>
      </c>
      <c r="B71" s="189" t="s">
        <v>144</v>
      </c>
      <c r="C71" s="196" t="s">
        <v>117</v>
      </c>
      <c r="D71" s="197">
        <v>70</v>
      </c>
    </row>
    <row r="72" spans="1:4" ht="13.5" x14ac:dyDescent="0.25">
      <c r="A72" s="200">
        <v>24</v>
      </c>
      <c r="B72" s="190" t="str">
        <f t="shared" ref="B72:B73" si="23">$B$71</f>
        <v>Ponto24</v>
      </c>
      <c r="C72" s="196" t="s">
        <v>118</v>
      </c>
      <c r="D72" s="197">
        <v>71</v>
      </c>
    </row>
    <row r="73" spans="1:4" ht="13.5" x14ac:dyDescent="0.25">
      <c r="A73" s="200">
        <v>24</v>
      </c>
      <c r="B73" s="190" t="str">
        <f t="shared" si="23"/>
        <v>Ponto24</v>
      </c>
      <c r="C73" s="196" t="s">
        <v>119</v>
      </c>
      <c r="D73" s="197">
        <v>72</v>
      </c>
    </row>
    <row r="74" spans="1:4" ht="13.5" x14ac:dyDescent="0.25">
      <c r="A74" s="200">
        <v>25</v>
      </c>
      <c r="B74" s="189" t="s">
        <v>146</v>
      </c>
      <c r="C74" s="196" t="s">
        <v>117</v>
      </c>
      <c r="D74" s="197">
        <v>73</v>
      </c>
    </row>
    <row r="75" spans="1:4" ht="13.5" x14ac:dyDescent="0.25">
      <c r="A75" s="200">
        <v>25</v>
      </c>
      <c r="B75" s="190" t="str">
        <f t="shared" ref="B75:B76" si="24">$B$74</f>
        <v>Ponto25</v>
      </c>
      <c r="C75" s="196" t="s">
        <v>118</v>
      </c>
      <c r="D75" s="197">
        <v>74</v>
      </c>
    </row>
    <row r="76" spans="1:4" ht="13.5" x14ac:dyDescent="0.25">
      <c r="A76" s="200">
        <v>25</v>
      </c>
      <c r="B76" s="190" t="str">
        <f t="shared" si="24"/>
        <v>Ponto25</v>
      </c>
      <c r="C76" s="196" t="s">
        <v>119</v>
      </c>
      <c r="D76" s="197">
        <v>75</v>
      </c>
    </row>
    <row r="77" spans="1:4" ht="13.5" x14ac:dyDescent="0.25">
      <c r="A77" s="200">
        <v>26</v>
      </c>
      <c r="B77" s="189" t="s">
        <v>148</v>
      </c>
      <c r="C77" s="196" t="s">
        <v>117</v>
      </c>
      <c r="D77" s="197">
        <v>76</v>
      </c>
    </row>
    <row r="78" spans="1:4" ht="13.5" x14ac:dyDescent="0.25">
      <c r="A78" s="200">
        <v>26</v>
      </c>
      <c r="B78" s="190" t="str">
        <f t="shared" ref="B78:B79" si="25">$B$77</f>
        <v>Ponto26</v>
      </c>
      <c r="C78" s="196" t="s">
        <v>118</v>
      </c>
      <c r="D78" s="197">
        <v>77</v>
      </c>
    </row>
    <row r="79" spans="1:4" ht="13.5" x14ac:dyDescent="0.25">
      <c r="A79" s="200">
        <v>26</v>
      </c>
      <c r="B79" s="190" t="str">
        <f t="shared" si="25"/>
        <v>Ponto26</v>
      </c>
      <c r="C79" s="196" t="s">
        <v>119</v>
      </c>
      <c r="D79" s="197">
        <v>78</v>
      </c>
    </row>
    <row r="80" spans="1:4" ht="13.5" x14ac:dyDescent="0.25">
      <c r="A80" s="200">
        <v>27</v>
      </c>
      <c r="B80" s="189" t="s">
        <v>149</v>
      </c>
      <c r="C80" s="196" t="s">
        <v>117</v>
      </c>
      <c r="D80" s="197">
        <v>79</v>
      </c>
    </row>
    <row r="81" spans="1:4" ht="13.5" x14ac:dyDescent="0.25">
      <c r="A81" s="200">
        <v>27</v>
      </c>
      <c r="B81" s="190" t="str">
        <f t="shared" ref="B81:B82" si="26">$B$80</f>
        <v>Ponto27</v>
      </c>
      <c r="C81" s="196" t="s">
        <v>118</v>
      </c>
      <c r="D81" s="197">
        <v>80</v>
      </c>
    </row>
    <row r="82" spans="1:4" ht="13.5" x14ac:dyDescent="0.25">
      <c r="A82" s="200">
        <v>27</v>
      </c>
      <c r="B82" s="190" t="str">
        <f t="shared" si="26"/>
        <v>Ponto27</v>
      </c>
      <c r="C82" s="196" t="s">
        <v>119</v>
      </c>
      <c r="D82" s="197">
        <v>81</v>
      </c>
    </row>
    <row r="83" spans="1:4" ht="13.5" x14ac:dyDescent="0.25">
      <c r="A83" s="200">
        <v>28</v>
      </c>
      <c r="B83" s="189" t="s">
        <v>150</v>
      </c>
      <c r="C83" s="196" t="s">
        <v>117</v>
      </c>
      <c r="D83" s="197">
        <v>82</v>
      </c>
    </row>
    <row r="84" spans="1:4" ht="13.5" x14ac:dyDescent="0.25">
      <c r="A84" s="200">
        <v>28</v>
      </c>
      <c r="B84" s="190" t="str">
        <f t="shared" ref="B84:B85" si="27">$B$83</f>
        <v>Ponto28</v>
      </c>
      <c r="C84" s="196" t="s">
        <v>118</v>
      </c>
      <c r="D84" s="197">
        <v>83</v>
      </c>
    </row>
    <row r="85" spans="1:4" ht="13.5" x14ac:dyDescent="0.25">
      <c r="A85" s="200">
        <v>28</v>
      </c>
      <c r="B85" s="190" t="str">
        <f t="shared" si="27"/>
        <v>Ponto28</v>
      </c>
      <c r="C85" s="196" t="s">
        <v>119</v>
      </c>
      <c r="D85" s="197">
        <v>84</v>
      </c>
    </row>
    <row r="86" spans="1:4" ht="13.5" x14ac:dyDescent="0.25">
      <c r="A86" s="200">
        <v>29</v>
      </c>
      <c r="B86" s="189" t="s">
        <v>151</v>
      </c>
      <c r="C86" s="196" t="s">
        <v>117</v>
      </c>
      <c r="D86" s="197">
        <v>85</v>
      </c>
    </row>
    <row r="87" spans="1:4" ht="13.5" x14ac:dyDescent="0.25">
      <c r="A87" s="200">
        <v>29</v>
      </c>
      <c r="B87" s="190" t="str">
        <f t="shared" ref="B87:B88" si="28">$B$86</f>
        <v>Ponto29</v>
      </c>
      <c r="C87" s="196" t="s">
        <v>118</v>
      </c>
      <c r="D87" s="197">
        <v>86</v>
      </c>
    </row>
    <row r="88" spans="1:4" ht="13.5" x14ac:dyDescent="0.25">
      <c r="A88" s="200">
        <v>29</v>
      </c>
      <c r="B88" s="190" t="str">
        <f t="shared" si="28"/>
        <v>Ponto29</v>
      </c>
      <c r="C88" s="196" t="s">
        <v>119</v>
      </c>
      <c r="D88" s="197">
        <v>87</v>
      </c>
    </row>
    <row r="89" spans="1:4" ht="13.5" x14ac:dyDescent="0.25">
      <c r="A89" s="200">
        <v>30</v>
      </c>
      <c r="B89" s="189" t="s">
        <v>152</v>
      </c>
      <c r="C89" s="196" t="s">
        <v>117</v>
      </c>
      <c r="D89" s="197">
        <v>88</v>
      </c>
    </row>
    <row r="90" spans="1:4" ht="13.5" x14ac:dyDescent="0.25">
      <c r="A90" s="200">
        <v>30</v>
      </c>
      <c r="B90" s="190" t="str">
        <f t="shared" ref="B90:B91" si="29">$B$89</f>
        <v>Ponto30</v>
      </c>
      <c r="C90" s="196" t="s">
        <v>118</v>
      </c>
      <c r="D90" s="197">
        <v>89</v>
      </c>
    </row>
    <row r="91" spans="1:4" ht="13.5" x14ac:dyDescent="0.25">
      <c r="A91" s="200">
        <v>30</v>
      </c>
      <c r="B91" s="190" t="str">
        <f t="shared" si="29"/>
        <v>Ponto30</v>
      </c>
      <c r="C91" s="196" t="s">
        <v>119</v>
      </c>
      <c r="D91" s="197">
        <v>90</v>
      </c>
    </row>
    <row r="92" spans="1:4" ht="13.5" x14ac:dyDescent="0.25">
      <c r="A92" s="200">
        <v>31</v>
      </c>
      <c r="B92" s="189" t="s">
        <v>153</v>
      </c>
      <c r="C92" s="196" t="s">
        <v>117</v>
      </c>
      <c r="D92" s="197">
        <v>91</v>
      </c>
    </row>
    <row r="93" spans="1:4" ht="13.5" x14ac:dyDescent="0.25">
      <c r="A93" s="200">
        <v>31</v>
      </c>
      <c r="B93" s="190" t="str">
        <f t="shared" ref="B93:B94" si="30">$B$92</f>
        <v>Ponto31</v>
      </c>
      <c r="C93" s="196" t="s">
        <v>118</v>
      </c>
      <c r="D93" s="197">
        <v>92</v>
      </c>
    </row>
    <row r="94" spans="1:4" ht="13.5" x14ac:dyDescent="0.25">
      <c r="A94" s="200">
        <v>31</v>
      </c>
      <c r="B94" s="190" t="str">
        <f t="shared" si="30"/>
        <v>Ponto31</v>
      </c>
      <c r="C94" s="196" t="s">
        <v>119</v>
      </c>
      <c r="D94" s="197">
        <v>93</v>
      </c>
    </row>
    <row r="95" spans="1:4" ht="13.5" x14ac:dyDescent="0.25">
      <c r="A95" s="200">
        <v>32</v>
      </c>
      <c r="B95" s="189" t="s">
        <v>154</v>
      </c>
      <c r="C95" s="196" t="s">
        <v>117</v>
      </c>
      <c r="D95" s="197">
        <v>94</v>
      </c>
    </row>
    <row r="96" spans="1:4" ht="13.5" x14ac:dyDescent="0.25">
      <c r="A96" s="200">
        <v>32</v>
      </c>
      <c r="B96" s="190" t="str">
        <f t="shared" ref="B96:B97" si="31">$B$95</f>
        <v>Ponto32</v>
      </c>
      <c r="C96" s="196" t="s">
        <v>118</v>
      </c>
      <c r="D96" s="197">
        <v>95</v>
      </c>
    </row>
    <row r="97" spans="1:4" ht="13.5" x14ac:dyDescent="0.25">
      <c r="A97" s="200">
        <v>32</v>
      </c>
      <c r="B97" s="190" t="str">
        <f t="shared" si="31"/>
        <v>Ponto32</v>
      </c>
      <c r="C97" s="196" t="s">
        <v>119</v>
      </c>
      <c r="D97" s="197">
        <v>96</v>
      </c>
    </row>
    <row r="98" spans="1:4" ht="13.5" x14ac:dyDescent="0.25">
      <c r="A98" s="200">
        <v>33</v>
      </c>
      <c r="B98" s="189" t="s">
        <v>155</v>
      </c>
      <c r="C98" s="196" t="s">
        <v>117</v>
      </c>
      <c r="D98" s="197">
        <v>97</v>
      </c>
    </row>
    <row r="99" spans="1:4" ht="13.5" x14ac:dyDescent="0.25">
      <c r="A99" s="200">
        <v>33</v>
      </c>
      <c r="B99" s="190" t="str">
        <f t="shared" ref="B99:B100" si="32">$B$98</f>
        <v>Ponto33</v>
      </c>
      <c r="C99" s="196" t="s">
        <v>118</v>
      </c>
      <c r="D99" s="197">
        <v>98</v>
      </c>
    </row>
    <row r="100" spans="1:4" ht="13.5" x14ac:dyDescent="0.25">
      <c r="A100" s="200">
        <v>33</v>
      </c>
      <c r="B100" s="190" t="str">
        <f t="shared" si="32"/>
        <v>Ponto33</v>
      </c>
      <c r="C100" s="196" t="s">
        <v>119</v>
      </c>
      <c r="D100" s="197">
        <v>99</v>
      </c>
    </row>
    <row r="101" spans="1:4" ht="13.5" x14ac:dyDescent="0.25">
      <c r="A101" s="200">
        <v>34</v>
      </c>
      <c r="B101" s="189" t="s">
        <v>156</v>
      </c>
      <c r="C101" s="196" t="s">
        <v>117</v>
      </c>
      <c r="D101" s="197">
        <v>100</v>
      </c>
    </row>
    <row r="102" spans="1:4" ht="13.5" x14ac:dyDescent="0.25">
      <c r="A102" s="200">
        <v>34</v>
      </c>
      <c r="B102" s="190" t="str">
        <f t="shared" ref="B102:B103" si="33">$B$101</f>
        <v>Ponto34</v>
      </c>
      <c r="C102" s="196" t="s">
        <v>118</v>
      </c>
      <c r="D102" s="197">
        <v>101</v>
      </c>
    </row>
    <row r="103" spans="1:4" ht="13.5" x14ac:dyDescent="0.25">
      <c r="A103" s="200">
        <v>34</v>
      </c>
      <c r="B103" s="190" t="str">
        <f t="shared" si="33"/>
        <v>Ponto34</v>
      </c>
      <c r="C103" s="196" t="s">
        <v>119</v>
      </c>
      <c r="D103" s="197">
        <v>102</v>
      </c>
    </row>
    <row r="104" spans="1:4" ht="13.5" x14ac:dyDescent="0.25">
      <c r="A104" s="200">
        <v>35</v>
      </c>
      <c r="B104" s="189" t="s">
        <v>157</v>
      </c>
      <c r="C104" s="196" t="s">
        <v>117</v>
      </c>
      <c r="D104" s="197">
        <v>103</v>
      </c>
    </row>
    <row r="105" spans="1:4" ht="13.5" x14ac:dyDescent="0.25">
      <c r="A105" s="200">
        <v>35</v>
      </c>
      <c r="B105" s="190" t="str">
        <f t="shared" ref="B105:B106" si="34">$B$104</f>
        <v>Ponto35</v>
      </c>
      <c r="C105" s="196" t="s">
        <v>118</v>
      </c>
      <c r="D105" s="197">
        <v>104</v>
      </c>
    </row>
    <row r="106" spans="1:4" ht="13.5" x14ac:dyDescent="0.25">
      <c r="A106" s="200">
        <v>35</v>
      </c>
      <c r="B106" s="190" t="str">
        <f t="shared" si="34"/>
        <v>Ponto35</v>
      </c>
      <c r="C106" s="196" t="s">
        <v>119</v>
      </c>
      <c r="D106" s="197">
        <v>105</v>
      </c>
    </row>
    <row r="107" spans="1:4" ht="13.5" x14ac:dyDescent="0.25">
      <c r="A107" s="200">
        <v>36</v>
      </c>
      <c r="B107" s="189" t="s">
        <v>158</v>
      </c>
      <c r="C107" s="196" t="s">
        <v>117</v>
      </c>
      <c r="D107" s="197">
        <v>106</v>
      </c>
    </row>
    <row r="108" spans="1:4" ht="13.5" x14ac:dyDescent="0.25">
      <c r="A108" s="200">
        <v>36</v>
      </c>
      <c r="B108" s="190" t="str">
        <f t="shared" ref="B108:B109" si="35">$B$107</f>
        <v>Ponto36</v>
      </c>
      <c r="C108" s="196" t="s">
        <v>118</v>
      </c>
      <c r="D108" s="197">
        <v>107</v>
      </c>
    </row>
    <row r="109" spans="1:4" ht="13.5" x14ac:dyDescent="0.25">
      <c r="A109" s="200">
        <v>36</v>
      </c>
      <c r="B109" s="190" t="str">
        <f t="shared" si="35"/>
        <v>Ponto36</v>
      </c>
      <c r="C109" s="196" t="s">
        <v>119</v>
      </c>
      <c r="D109" s="197">
        <v>108</v>
      </c>
    </row>
    <row r="110" spans="1:4" ht="13.5" x14ac:dyDescent="0.25">
      <c r="A110" s="200">
        <v>37</v>
      </c>
      <c r="B110" s="189" t="s">
        <v>159</v>
      </c>
      <c r="C110" s="196" t="s">
        <v>117</v>
      </c>
      <c r="D110" s="197">
        <v>109</v>
      </c>
    </row>
    <row r="111" spans="1:4" ht="13.5" x14ac:dyDescent="0.25">
      <c r="A111" s="200">
        <v>37</v>
      </c>
      <c r="B111" s="190" t="str">
        <f t="shared" ref="B111:B112" si="36">$B$110</f>
        <v>Ponto37</v>
      </c>
      <c r="C111" s="196" t="s">
        <v>118</v>
      </c>
      <c r="D111" s="197">
        <v>110</v>
      </c>
    </row>
    <row r="112" spans="1:4" ht="13.5" x14ac:dyDescent="0.25">
      <c r="A112" s="200">
        <v>37</v>
      </c>
      <c r="B112" s="190" t="str">
        <f t="shared" si="36"/>
        <v>Ponto37</v>
      </c>
      <c r="C112" s="196" t="s">
        <v>119</v>
      </c>
      <c r="D112" s="197">
        <v>111</v>
      </c>
    </row>
    <row r="113" spans="1:4" ht="13.5" x14ac:dyDescent="0.25">
      <c r="A113" s="200">
        <v>38</v>
      </c>
      <c r="B113" s="189" t="s">
        <v>160</v>
      </c>
      <c r="C113" s="196" t="s">
        <v>117</v>
      </c>
      <c r="D113" s="197">
        <v>112</v>
      </c>
    </row>
    <row r="114" spans="1:4" ht="13.5" x14ac:dyDescent="0.25">
      <c r="A114" s="200">
        <v>38</v>
      </c>
      <c r="B114" s="190" t="str">
        <f t="shared" ref="B114:B115" si="37">$B$113</f>
        <v>Ponto38</v>
      </c>
      <c r="C114" s="196" t="s">
        <v>118</v>
      </c>
      <c r="D114" s="197">
        <v>113</v>
      </c>
    </row>
    <row r="115" spans="1:4" ht="13.5" x14ac:dyDescent="0.25">
      <c r="A115" s="200">
        <v>38</v>
      </c>
      <c r="B115" s="190" t="str">
        <f t="shared" si="37"/>
        <v>Ponto38</v>
      </c>
      <c r="C115" s="196" t="s">
        <v>119</v>
      </c>
      <c r="D115" s="197">
        <v>114</v>
      </c>
    </row>
    <row r="116" spans="1:4" ht="13.5" x14ac:dyDescent="0.25">
      <c r="A116" s="200">
        <v>39</v>
      </c>
      <c r="B116" s="189" t="s">
        <v>161</v>
      </c>
      <c r="C116" s="196" t="s">
        <v>117</v>
      </c>
      <c r="D116" s="197">
        <v>115</v>
      </c>
    </row>
    <row r="117" spans="1:4" ht="13.5" x14ac:dyDescent="0.25">
      <c r="A117" s="200">
        <v>39</v>
      </c>
      <c r="B117" s="190" t="str">
        <f t="shared" ref="B117:B118" si="38">$B$116</f>
        <v>Ponto39</v>
      </c>
      <c r="C117" s="196" t="s">
        <v>118</v>
      </c>
      <c r="D117" s="197">
        <v>116</v>
      </c>
    </row>
    <row r="118" spans="1:4" ht="13.5" x14ac:dyDescent="0.25">
      <c r="A118" s="200">
        <v>39</v>
      </c>
      <c r="B118" s="190" t="str">
        <f t="shared" si="38"/>
        <v>Ponto39</v>
      </c>
      <c r="C118" s="196" t="s">
        <v>119</v>
      </c>
      <c r="D118" s="197">
        <v>117</v>
      </c>
    </row>
    <row r="119" spans="1:4" ht="13.5" x14ac:dyDescent="0.25">
      <c r="A119" s="200">
        <v>40</v>
      </c>
      <c r="B119" s="189" t="s">
        <v>162</v>
      </c>
      <c r="C119" s="196" t="s">
        <v>117</v>
      </c>
      <c r="D119" s="197">
        <v>118</v>
      </c>
    </row>
    <row r="120" spans="1:4" ht="13.5" x14ac:dyDescent="0.25">
      <c r="A120" s="200">
        <v>40</v>
      </c>
      <c r="B120" s="190" t="str">
        <f t="shared" ref="B120:B121" si="39">$B$119</f>
        <v>Ponto40</v>
      </c>
      <c r="C120" s="196" t="s">
        <v>118</v>
      </c>
      <c r="D120" s="197">
        <v>119</v>
      </c>
    </row>
    <row r="121" spans="1:4" ht="13.5" x14ac:dyDescent="0.25">
      <c r="A121" s="200">
        <v>40</v>
      </c>
      <c r="B121" s="190" t="str">
        <f t="shared" si="39"/>
        <v>Ponto40</v>
      </c>
      <c r="C121" s="196" t="s">
        <v>119</v>
      </c>
      <c r="D121" s="197">
        <v>120</v>
      </c>
    </row>
    <row r="122" spans="1:4" ht="13.5" x14ac:dyDescent="0.25">
      <c r="A122" s="200">
        <v>41</v>
      </c>
      <c r="B122" s="189" t="s">
        <v>163</v>
      </c>
      <c r="C122" s="196" t="s">
        <v>117</v>
      </c>
      <c r="D122" s="197">
        <v>121</v>
      </c>
    </row>
    <row r="123" spans="1:4" ht="13.5" x14ac:dyDescent="0.25">
      <c r="A123" s="200">
        <v>41</v>
      </c>
      <c r="B123" s="190" t="str">
        <f t="shared" ref="B123:B124" si="40">$B$122</f>
        <v>Ponto41</v>
      </c>
      <c r="C123" s="196" t="s">
        <v>118</v>
      </c>
      <c r="D123" s="197">
        <v>122</v>
      </c>
    </row>
    <row r="124" spans="1:4" ht="13.5" x14ac:dyDescent="0.25">
      <c r="A124" s="200">
        <v>41</v>
      </c>
      <c r="B124" s="190" t="str">
        <f t="shared" si="40"/>
        <v>Ponto41</v>
      </c>
      <c r="C124" s="196" t="s">
        <v>119</v>
      </c>
      <c r="D124" s="197">
        <v>123</v>
      </c>
    </row>
    <row r="125" spans="1:4" ht="13.5" x14ac:dyDescent="0.25">
      <c r="A125" s="200">
        <v>42</v>
      </c>
      <c r="B125" s="189" t="s">
        <v>164</v>
      </c>
      <c r="C125" s="196" t="s">
        <v>117</v>
      </c>
      <c r="D125" s="197">
        <v>124</v>
      </c>
    </row>
    <row r="126" spans="1:4" ht="13.5" x14ac:dyDescent="0.25">
      <c r="A126" s="200">
        <v>42</v>
      </c>
      <c r="B126" s="190" t="str">
        <f t="shared" ref="B126:B127" si="41">$B$125</f>
        <v>Ponto42</v>
      </c>
      <c r="C126" s="196" t="s">
        <v>118</v>
      </c>
      <c r="D126" s="197">
        <v>125</v>
      </c>
    </row>
    <row r="127" spans="1:4" ht="13.5" x14ac:dyDescent="0.25">
      <c r="A127" s="200">
        <v>42</v>
      </c>
      <c r="B127" s="190" t="str">
        <f t="shared" si="41"/>
        <v>Ponto42</v>
      </c>
      <c r="C127" s="196" t="s">
        <v>119</v>
      </c>
      <c r="D127" s="197">
        <v>126</v>
      </c>
    </row>
    <row r="128" spans="1:4" ht="13.5" x14ac:dyDescent="0.25">
      <c r="A128" s="200">
        <v>43</v>
      </c>
      <c r="B128" s="189" t="s">
        <v>165</v>
      </c>
      <c r="C128" s="196" t="s">
        <v>117</v>
      </c>
      <c r="D128" s="197">
        <v>127</v>
      </c>
    </row>
    <row r="129" spans="1:4" ht="13.5" x14ac:dyDescent="0.25">
      <c r="A129" s="200">
        <v>43</v>
      </c>
      <c r="B129" s="190" t="str">
        <f t="shared" ref="B129:B130" si="42">$B$128</f>
        <v>Ponto43</v>
      </c>
      <c r="C129" s="196" t="s">
        <v>118</v>
      </c>
      <c r="D129" s="197">
        <v>128</v>
      </c>
    </row>
    <row r="130" spans="1:4" ht="13.5" x14ac:dyDescent="0.25">
      <c r="A130" s="200">
        <v>43</v>
      </c>
      <c r="B130" s="190" t="str">
        <f t="shared" si="42"/>
        <v>Ponto43</v>
      </c>
      <c r="C130" s="196" t="s">
        <v>119</v>
      </c>
      <c r="D130" s="197">
        <v>129</v>
      </c>
    </row>
    <row r="131" spans="1:4" ht="13.5" x14ac:dyDescent="0.25">
      <c r="A131" s="200">
        <v>44</v>
      </c>
      <c r="B131" s="189" t="s">
        <v>166</v>
      </c>
      <c r="C131" s="196" t="s">
        <v>117</v>
      </c>
      <c r="D131" s="197">
        <v>130</v>
      </c>
    </row>
    <row r="132" spans="1:4" ht="13.5" x14ac:dyDescent="0.25">
      <c r="A132" s="200">
        <v>44</v>
      </c>
      <c r="B132" s="190" t="str">
        <f t="shared" ref="B132:B133" si="43">$B$131</f>
        <v>Ponto44</v>
      </c>
      <c r="C132" s="196" t="s">
        <v>118</v>
      </c>
      <c r="D132" s="197">
        <v>131</v>
      </c>
    </row>
    <row r="133" spans="1:4" ht="13.5" x14ac:dyDescent="0.25">
      <c r="A133" s="200">
        <v>44</v>
      </c>
      <c r="B133" s="190" t="str">
        <f t="shared" si="43"/>
        <v>Ponto44</v>
      </c>
      <c r="C133" s="196" t="s">
        <v>119</v>
      </c>
      <c r="D133" s="197">
        <v>132</v>
      </c>
    </row>
    <row r="134" spans="1:4" ht="13.5" x14ac:dyDescent="0.25">
      <c r="A134" s="200">
        <v>45</v>
      </c>
      <c r="B134" s="189" t="s">
        <v>167</v>
      </c>
      <c r="C134" s="196" t="s">
        <v>117</v>
      </c>
      <c r="D134" s="197">
        <v>133</v>
      </c>
    </row>
    <row r="135" spans="1:4" ht="13.5" x14ac:dyDescent="0.25">
      <c r="A135" s="200">
        <v>45</v>
      </c>
      <c r="B135" s="190" t="str">
        <f t="shared" ref="B135:B136" si="44">$B$134</f>
        <v>Ponto45</v>
      </c>
      <c r="C135" s="196" t="s">
        <v>118</v>
      </c>
      <c r="D135" s="197">
        <v>134</v>
      </c>
    </row>
    <row r="136" spans="1:4" ht="13.5" x14ac:dyDescent="0.25">
      <c r="A136" s="200">
        <v>45</v>
      </c>
      <c r="B136" s="190" t="str">
        <f t="shared" si="44"/>
        <v>Ponto45</v>
      </c>
      <c r="C136" s="196" t="s">
        <v>119</v>
      </c>
      <c r="D136" s="197">
        <v>135</v>
      </c>
    </row>
    <row r="137" spans="1:4" ht="13.5" x14ac:dyDescent="0.25">
      <c r="A137" s="200">
        <v>46</v>
      </c>
      <c r="B137" s="189" t="s">
        <v>168</v>
      </c>
      <c r="C137" s="196" t="s">
        <v>117</v>
      </c>
      <c r="D137" s="197">
        <v>136</v>
      </c>
    </row>
    <row r="138" spans="1:4" ht="13.5" x14ac:dyDescent="0.25">
      <c r="A138" s="200">
        <v>46</v>
      </c>
      <c r="B138" s="190" t="str">
        <f t="shared" ref="B138:B139" si="45">$B$137</f>
        <v>Ponto46</v>
      </c>
      <c r="C138" s="196" t="s">
        <v>118</v>
      </c>
      <c r="D138" s="197">
        <v>137</v>
      </c>
    </row>
    <row r="139" spans="1:4" ht="13.5" x14ac:dyDescent="0.25">
      <c r="A139" s="200">
        <v>46</v>
      </c>
      <c r="B139" s="190" t="str">
        <f t="shared" si="45"/>
        <v>Ponto46</v>
      </c>
      <c r="C139" s="196" t="s">
        <v>119</v>
      </c>
      <c r="D139" s="197">
        <v>138</v>
      </c>
    </row>
    <row r="140" spans="1:4" ht="13.5" x14ac:dyDescent="0.25">
      <c r="A140" s="200">
        <v>47</v>
      </c>
      <c r="B140" s="189" t="s">
        <v>169</v>
      </c>
      <c r="C140" s="196" t="s">
        <v>117</v>
      </c>
      <c r="D140" s="197">
        <v>139</v>
      </c>
    </row>
    <row r="141" spans="1:4" ht="13.5" x14ac:dyDescent="0.25">
      <c r="A141" s="200">
        <v>47</v>
      </c>
      <c r="B141" s="190" t="str">
        <f t="shared" ref="B141:B142" si="46">$B$140</f>
        <v>Ponto47</v>
      </c>
      <c r="C141" s="196" t="s">
        <v>118</v>
      </c>
      <c r="D141" s="197">
        <v>140</v>
      </c>
    </row>
    <row r="142" spans="1:4" ht="13.5" x14ac:dyDescent="0.25">
      <c r="A142" s="200">
        <v>47</v>
      </c>
      <c r="B142" s="190" t="str">
        <f t="shared" si="46"/>
        <v>Ponto47</v>
      </c>
      <c r="C142" s="196" t="s">
        <v>119</v>
      </c>
      <c r="D142" s="197">
        <v>141</v>
      </c>
    </row>
    <row r="143" spans="1:4" ht="13.5" x14ac:dyDescent="0.25">
      <c r="A143" s="200">
        <v>48</v>
      </c>
      <c r="B143" s="189" t="s">
        <v>170</v>
      </c>
      <c r="C143" s="196" t="s">
        <v>117</v>
      </c>
      <c r="D143" s="197">
        <v>142</v>
      </c>
    </row>
    <row r="144" spans="1:4" ht="13.5" x14ac:dyDescent="0.25">
      <c r="A144" s="200">
        <v>48</v>
      </c>
      <c r="B144" s="190" t="str">
        <f t="shared" ref="B144:B145" si="47">$B$143</f>
        <v>Ponto48</v>
      </c>
      <c r="C144" s="196" t="s">
        <v>118</v>
      </c>
      <c r="D144" s="197">
        <v>143</v>
      </c>
    </row>
    <row r="145" spans="1:4" ht="13.5" x14ac:dyDescent="0.25">
      <c r="A145" s="200">
        <v>48</v>
      </c>
      <c r="B145" s="190" t="str">
        <f t="shared" si="47"/>
        <v>Ponto48</v>
      </c>
      <c r="C145" s="196" t="s">
        <v>119</v>
      </c>
      <c r="D145" s="197">
        <v>144</v>
      </c>
    </row>
    <row r="146" spans="1:4" ht="13.5" x14ac:dyDescent="0.25">
      <c r="A146" s="200">
        <v>49</v>
      </c>
      <c r="B146" s="189" t="s">
        <v>171</v>
      </c>
      <c r="C146" s="196" t="s">
        <v>117</v>
      </c>
      <c r="D146" s="197">
        <v>145</v>
      </c>
    </row>
    <row r="147" spans="1:4" ht="13.5" x14ac:dyDescent="0.25">
      <c r="A147" s="200">
        <v>49</v>
      </c>
      <c r="B147" s="190" t="str">
        <f t="shared" ref="B147:B148" si="48">$B$146</f>
        <v>Ponto49</v>
      </c>
      <c r="C147" s="196" t="s">
        <v>118</v>
      </c>
      <c r="D147" s="197">
        <v>146</v>
      </c>
    </row>
    <row r="148" spans="1:4" ht="13.5" x14ac:dyDescent="0.25">
      <c r="A148" s="200">
        <v>49</v>
      </c>
      <c r="B148" s="190" t="str">
        <f t="shared" si="48"/>
        <v>Ponto49</v>
      </c>
      <c r="C148" s="196" t="s">
        <v>119</v>
      </c>
      <c r="D148" s="197">
        <v>147</v>
      </c>
    </row>
    <row r="149" spans="1:4" ht="13.5" x14ac:dyDescent="0.25">
      <c r="A149" s="200">
        <v>50</v>
      </c>
      <c r="B149" s="189" t="s">
        <v>172</v>
      </c>
      <c r="C149" s="196" t="s">
        <v>117</v>
      </c>
      <c r="D149" s="197">
        <v>148</v>
      </c>
    </row>
    <row r="150" spans="1:4" ht="13.5" x14ac:dyDescent="0.25">
      <c r="A150" s="200">
        <v>50</v>
      </c>
      <c r="B150" s="190" t="str">
        <f t="shared" ref="B150:B151" si="49">$B$149</f>
        <v>Ponto50</v>
      </c>
      <c r="C150" s="196" t="s">
        <v>118</v>
      </c>
      <c r="D150" s="197">
        <v>149</v>
      </c>
    </row>
    <row r="151" spans="1:4" ht="13.5" x14ac:dyDescent="0.25">
      <c r="A151" s="200">
        <v>50</v>
      </c>
      <c r="B151" s="190" t="str">
        <f t="shared" si="49"/>
        <v>Ponto50</v>
      </c>
      <c r="C151" s="196" t="s">
        <v>119</v>
      </c>
      <c r="D151" s="197">
        <v>150</v>
      </c>
    </row>
    <row r="152" spans="1:4" ht="13.5" x14ac:dyDescent="0.25">
      <c r="A152" s="200">
        <v>51</v>
      </c>
      <c r="B152" s="189" t="s">
        <v>173</v>
      </c>
      <c r="C152" s="196" t="s">
        <v>117</v>
      </c>
      <c r="D152" s="197">
        <v>151</v>
      </c>
    </row>
    <row r="153" spans="1:4" ht="13.5" x14ac:dyDescent="0.25">
      <c r="A153" s="200">
        <v>51</v>
      </c>
      <c r="B153" s="190" t="str">
        <f t="shared" ref="B153:B154" si="50">$B$152</f>
        <v>Ponto51</v>
      </c>
      <c r="C153" s="196" t="s">
        <v>118</v>
      </c>
      <c r="D153" s="197">
        <v>152</v>
      </c>
    </row>
    <row r="154" spans="1:4" ht="13.5" x14ac:dyDescent="0.25">
      <c r="A154" s="200">
        <v>51</v>
      </c>
      <c r="B154" s="190" t="str">
        <f t="shared" si="50"/>
        <v>Ponto51</v>
      </c>
      <c r="C154" s="196" t="s">
        <v>119</v>
      </c>
      <c r="D154" s="197">
        <v>153</v>
      </c>
    </row>
    <row r="155" spans="1:4" ht="13.5" x14ac:dyDescent="0.25">
      <c r="A155" s="200">
        <v>52</v>
      </c>
      <c r="B155" s="189" t="s">
        <v>174</v>
      </c>
      <c r="C155" s="196" t="s">
        <v>117</v>
      </c>
      <c r="D155" s="197">
        <v>154</v>
      </c>
    </row>
    <row r="156" spans="1:4" ht="13.5" x14ac:dyDescent="0.25">
      <c r="A156" s="200">
        <v>52</v>
      </c>
      <c r="B156" s="190" t="str">
        <f t="shared" ref="B156:B157" si="51">$B$155</f>
        <v>Ponto52</v>
      </c>
      <c r="C156" s="196" t="s">
        <v>118</v>
      </c>
      <c r="D156" s="197">
        <v>155</v>
      </c>
    </row>
    <row r="157" spans="1:4" ht="13.5" x14ac:dyDescent="0.25">
      <c r="A157" s="200">
        <v>52</v>
      </c>
      <c r="B157" s="190" t="str">
        <f t="shared" si="51"/>
        <v>Ponto52</v>
      </c>
      <c r="C157" s="196" t="s">
        <v>119</v>
      </c>
      <c r="D157" s="197">
        <v>156</v>
      </c>
    </row>
    <row r="158" spans="1:4" ht="13.5" x14ac:dyDescent="0.25">
      <c r="A158" s="200">
        <v>53</v>
      </c>
      <c r="B158" s="189" t="s">
        <v>175</v>
      </c>
      <c r="C158" s="196" t="s">
        <v>117</v>
      </c>
      <c r="D158" s="197">
        <v>157</v>
      </c>
    </row>
    <row r="159" spans="1:4" ht="13.5" x14ac:dyDescent="0.25">
      <c r="A159" s="200">
        <v>53</v>
      </c>
      <c r="B159" s="190" t="str">
        <f t="shared" ref="B159:B160" si="52">$B$158</f>
        <v>Ponto53</v>
      </c>
      <c r="C159" s="196" t="s">
        <v>118</v>
      </c>
      <c r="D159" s="197">
        <v>158</v>
      </c>
    </row>
    <row r="160" spans="1:4" ht="13.5" x14ac:dyDescent="0.25">
      <c r="A160" s="200">
        <v>53</v>
      </c>
      <c r="B160" s="190" t="str">
        <f t="shared" si="52"/>
        <v>Ponto53</v>
      </c>
      <c r="C160" s="196" t="s">
        <v>119</v>
      </c>
      <c r="D160" s="197">
        <v>159</v>
      </c>
    </row>
    <row r="161" spans="1:4" ht="13.5" x14ac:dyDescent="0.25">
      <c r="A161" s="200">
        <v>54</v>
      </c>
      <c r="B161" s="189" t="s">
        <v>176</v>
      </c>
      <c r="C161" s="196" t="s">
        <v>117</v>
      </c>
      <c r="D161" s="197">
        <v>160</v>
      </c>
    </row>
    <row r="162" spans="1:4" ht="13.5" x14ac:dyDescent="0.25">
      <c r="A162" s="200">
        <v>54</v>
      </c>
      <c r="B162" s="190" t="str">
        <f t="shared" ref="B162:B163" si="53">$B$161</f>
        <v>Ponto54</v>
      </c>
      <c r="C162" s="196" t="s">
        <v>118</v>
      </c>
      <c r="D162" s="197">
        <v>161</v>
      </c>
    </row>
    <row r="163" spans="1:4" ht="13.5" x14ac:dyDescent="0.25">
      <c r="A163" s="200">
        <v>54</v>
      </c>
      <c r="B163" s="190" t="str">
        <f t="shared" si="53"/>
        <v>Ponto54</v>
      </c>
      <c r="C163" s="196" t="s">
        <v>119</v>
      </c>
      <c r="D163" s="197">
        <v>162</v>
      </c>
    </row>
    <row r="164" spans="1:4" ht="13.5" x14ac:dyDescent="0.25">
      <c r="A164" s="200">
        <v>55</v>
      </c>
      <c r="B164" s="189" t="s">
        <v>177</v>
      </c>
      <c r="C164" s="196" t="s">
        <v>117</v>
      </c>
      <c r="D164" s="197">
        <v>163</v>
      </c>
    </row>
    <row r="165" spans="1:4" ht="13.5" x14ac:dyDescent="0.25">
      <c r="A165" s="200">
        <v>55</v>
      </c>
      <c r="B165" s="190" t="str">
        <f t="shared" ref="B165:B166" si="54">$B$164</f>
        <v>Ponto55</v>
      </c>
      <c r="C165" s="196" t="s">
        <v>118</v>
      </c>
      <c r="D165" s="197">
        <v>164</v>
      </c>
    </row>
    <row r="166" spans="1:4" ht="13.5" x14ac:dyDescent="0.25">
      <c r="A166" s="200">
        <v>55</v>
      </c>
      <c r="B166" s="190" t="str">
        <f t="shared" si="54"/>
        <v>Ponto55</v>
      </c>
      <c r="C166" s="196" t="s">
        <v>119</v>
      </c>
      <c r="D166" s="197">
        <v>165</v>
      </c>
    </row>
    <row r="167" spans="1:4" ht="13.5" x14ac:dyDescent="0.25">
      <c r="A167" s="200">
        <v>56</v>
      </c>
      <c r="B167" s="189" t="s">
        <v>178</v>
      </c>
      <c r="C167" s="196" t="s">
        <v>117</v>
      </c>
      <c r="D167" s="197">
        <v>166</v>
      </c>
    </row>
    <row r="168" spans="1:4" ht="13.5" x14ac:dyDescent="0.25">
      <c r="A168" s="200">
        <v>56</v>
      </c>
      <c r="B168" s="190" t="str">
        <f t="shared" ref="B168:B169" si="55">$B$167</f>
        <v>Ponto56</v>
      </c>
      <c r="C168" s="196" t="s">
        <v>118</v>
      </c>
      <c r="D168" s="197">
        <v>167</v>
      </c>
    </row>
    <row r="169" spans="1:4" ht="13.5" x14ac:dyDescent="0.25">
      <c r="A169" s="200">
        <v>56</v>
      </c>
      <c r="B169" s="190" t="str">
        <f t="shared" si="55"/>
        <v>Ponto56</v>
      </c>
      <c r="C169" s="196" t="s">
        <v>119</v>
      </c>
      <c r="D169" s="197">
        <v>168</v>
      </c>
    </row>
    <row r="170" spans="1:4" ht="13.5" x14ac:dyDescent="0.25">
      <c r="A170" s="200">
        <v>57</v>
      </c>
      <c r="B170" s="189" t="s">
        <v>179</v>
      </c>
      <c r="C170" s="196" t="s">
        <v>117</v>
      </c>
      <c r="D170" s="197">
        <v>169</v>
      </c>
    </row>
    <row r="171" spans="1:4" ht="13.5" x14ac:dyDescent="0.25">
      <c r="A171" s="200">
        <v>57</v>
      </c>
      <c r="B171" s="190" t="str">
        <f t="shared" ref="B171:B172" si="56">$B$170</f>
        <v>Ponto57</v>
      </c>
      <c r="C171" s="196" t="s">
        <v>118</v>
      </c>
      <c r="D171" s="197">
        <v>170</v>
      </c>
    </row>
    <row r="172" spans="1:4" ht="13.5" x14ac:dyDescent="0.25">
      <c r="A172" s="200">
        <v>57</v>
      </c>
      <c r="B172" s="190" t="str">
        <f t="shared" si="56"/>
        <v>Ponto57</v>
      </c>
      <c r="C172" s="196" t="s">
        <v>119</v>
      </c>
      <c r="D172" s="197">
        <v>171</v>
      </c>
    </row>
    <row r="173" spans="1:4" ht="13.5" x14ac:dyDescent="0.25">
      <c r="A173" s="200">
        <v>58</v>
      </c>
      <c r="B173" s="189" t="s">
        <v>180</v>
      </c>
      <c r="C173" s="196" t="s">
        <v>117</v>
      </c>
      <c r="D173" s="197">
        <v>172</v>
      </c>
    </row>
    <row r="174" spans="1:4" ht="13.5" x14ac:dyDescent="0.25">
      <c r="A174" s="200">
        <v>58</v>
      </c>
      <c r="B174" s="190" t="str">
        <f t="shared" ref="B174:B175" si="57">$B$173</f>
        <v>Ponto58</v>
      </c>
      <c r="C174" s="196" t="s">
        <v>118</v>
      </c>
      <c r="D174" s="197">
        <v>173</v>
      </c>
    </row>
    <row r="175" spans="1:4" ht="13.5" x14ac:dyDescent="0.25">
      <c r="A175" s="200">
        <v>58</v>
      </c>
      <c r="B175" s="190" t="str">
        <f t="shared" si="57"/>
        <v>Ponto58</v>
      </c>
      <c r="C175" s="196" t="s">
        <v>119</v>
      </c>
      <c r="D175" s="197">
        <v>174</v>
      </c>
    </row>
    <row r="176" spans="1:4" ht="13.5" x14ac:dyDescent="0.25">
      <c r="A176" s="200">
        <v>59</v>
      </c>
      <c r="B176" s="189" t="s">
        <v>181</v>
      </c>
      <c r="C176" s="196" t="s">
        <v>117</v>
      </c>
      <c r="D176" s="197">
        <v>175</v>
      </c>
    </row>
    <row r="177" spans="1:4" ht="13.5" x14ac:dyDescent="0.25">
      <c r="A177" s="200">
        <v>59</v>
      </c>
      <c r="B177" s="190" t="str">
        <f t="shared" ref="B177:B178" si="58">$B$176</f>
        <v>Ponto59</v>
      </c>
      <c r="C177" s="196" t="s">
        <v>118</v>
      </c>
      <c r="D177" s="197">
        <v>176</v>
      </c>
    </row>
    <row r="178" spans="1:4" ht="13.5" x14ac:dyDescent="0.25">
      <c r="A178" s="200">
        <v>59</v>
      </c>
      <c r="B178" s="190" t="str">
        <f t="shared" si="58"/>
        <v>Ponto59</v>
      </c>
      <c r="C178" s="196" t="s">
        <v>119</v>
      </c>
      <c r="D178" s="197">
        <v>177</v>
      </c>
    </row>
    <row r="179" spans="1:4" ht="13.5" x14ac:dyDescent="0.25">
      <c r="A179" s="200">
        <v>60</v>
      </c>
      <c r="B179" s="189" t="s">
        <v>182</v>
      </c>
      <c r="C179" s="196" t="s">
        <v>117</v>
      </c>
      <c r="D179" s="197">
        <v>178</v>
      </c>
    </row>
    <row r="180" spans="1:4" ht="13.5" x14ac:dyDescent="0.25">
      <c r="A180" s="200">
        <v>60</v>
      </c>
      <c r="B180" s="190" t="str">
        <f t="shared" ref="B180:B181" si="59">$B$179</f>
        <v>Ponto60</v>
      </c>
      <c r="C180" s="196" t="s">
        <v>118</v>
      </c>
      <c r="D180" s="197">
        <v>179</v>
      </c>
    </row>
    <row r="181" spans="1:4" ht="13.5" x14ac:dyDescent="0.25">
      <c r="A181" s="200">
        <v>60</v>
      </c>
      <c r="B181" s="190" t="str">
        <f t="shared" si="59"/>
        <v>Ponto60</v>
      </c>
      <c r="C181" s="196" t="s">
        <v>119</v>
      </c>
      <c r="D181" s="197">
        <v>180</v>
      </c>
    </row>
    <row r="182" spans="1:4" ht="13.5" x14ac:dyDescent="0.25">
      <c r="A182" s="200">
        <v>61</v>
      </c>
      <c r="B182" s="189" t="s">
        <v>183</v>
      </c>
      <c r="C182" s="196" t="s">
        <v>117</v>
      </c>
      <c r="D182" s="197">
        <v>181</v>
      </c>
    </row>
    <row r="183" spans="1:4" ht="13.5" x14ac:dyDescent="0.25">
      <c r="A183" s="200">
        <v>61</v>
      </c>
      <c r="B183" s="190" t="str">
        <f t="shared" ref="B183:B184" si="60">$B$182</f>
        <v>Ponto61</v>
      </c>
      <c r="C183" s="196" t="s">
        <v>118</v>
      </c>
      <c r="D183" s="197">
        <v>182</v>
      </c>
    </row>
    <row r="184" spans="1:4" ht="13.5" x14ac:dyDescent="0.25">
      <c r="A184" s="200">
        <v>61</v>
      </c>
      <c r="B184" s="190" t="str">
        <f t="shared" si="60"/>
        <v>Ponto61</v>
      </c>
      <c r="C184" s="196" t="s">
        <v>119</v>
      </c>
      <c r="D184" s="197">
        <v>183</v>
      </c>
    </row>
    <row r="185" spans="1:4" ht="13.5" x14ac:dyDescent="0.25">
      <c r="A185" s="200">
        <v>62</v>
      </c>
      <c r="B185" s="189" t="s">
        <v>184</v>
      </c>
      <c r="C185" s="196" t="s">
        <v>117</v>
      </c>
      <c r="D185" s="197">
        <v>184</v>
      </c>
    </row>
    <row r="186" spans="1:4" ht="13.5" x14ac:dyDescent="0.25">
      <c r="A186" s="200">
        <v>62</v>
      </c>
      <c r="B186" s="190" t="str">
        <f t="shared" ref="B186:B187" si="61">$B$185</f>
        <v>Ponto62</v>
      </c>
      <c r="C186" s="196" t="s">
        <v>118</v>
      </c>
      <c r="D186" s="197">
        <v>185</v>
      </c>
    </row>
    <row r="187" spans="1:4" ht="13.5" x14ac:dyDescent="0.25">
      <c r="A187" s="200">
        <v>62</v>
      </c>
      <c r="B187" s="190" t="str">
        <f t="shared" si="61"/>
        <v>Ponto62</v>
      </c>
      <c r="C187" s="196" t="s">
        <v>119</v>
      </c>
      <c r="D187" s="197">
        <v>186</v>
      </c>
    </row>
    <row r="188" spans="1:4" ht="13.5" x14ac:dyDescent="0.25">
      <c r="A188" s="200">
        <v>63</v>
      </c>
      <c r="B188" s="189" t="s">
        <v>185</v>
      </c>
      <c r="C188" s="196" t="s">
        <v>117</v>
      </c>
      <c r="D188" s="197">
        <v>187</v>
      </c>
    </row>
    <row r="189" spans="1:4" ht="13.5" x14ac:dyDescent="0.25">
      <c r="A189" s="200">
        <v>63</v>
      </c>
      <c r="B189" s="190" t="str">
        <f t="shared" ref="B189:B190" si="62">$B$188</f>
        <v>Ponto63</v>
      </c>
      <c r="C189" s="196" t="s">
        <v>118</v>
      </c>
      <c r="D189" s="197">
        <v>188</v>
      </c>
    </row>
    <row r="190" spans="1:4" ht="13.5" x14ac:dyDescent="0.25">
      <c r="A190" s="200">
        <v>63</v>
      </c>
      <c r="B190" s="190" t="str">
        <f t="shared" si="62"/>
        <v>Ponto63</v>
      </c>
      <c r="C190" s="196" t="s">
        <v>119</v>
      </c>
      <c r="D190" s="197">
        <v>189</v>
      </c>
    </row>
    <row r="191" spans="1:4" ht="13.5" x14ac:dyDescent="0.25">
      <c r="A191" s="200">
        <v>64</v>
      </c>
      <c r="B191" s="189" t="s">
        <v>186</v>
      </c>
      <c r="C191" s="196" t="s">
        <v>117</v>
      </c>
      <c r="D191" s="197">
        <v>190</v>
      </c>
    </row>
    <row r="192" spans="1:4" ht="13.5" x14ac:dyDescent="0.25">
      <c r="A192" s="200">
        <v>64</v>
      </c>
      <c r="B192" s="190" t="str">
        <f t="shared" ref="B192:B193" si="63">$B$191</f>
        <v>Ponto64</v>
      </c>
      <c r="C192" s="196" t="s">
        <v>118</v>
      </c>
      <c r="D192" s="197">
        <v>191</v>
      </c>
    </row>
    <row r="193" spans="1:4" ht="13.5" x14ac:dyDescent="0.25">
      <c r="A193" s="200">
        <v>64</v>
      </c>
      <c r="B193" s="190" t="str">
        <f t="shared" si="63"/>
        <v>Ponto64</v>
      </c>
      <c r="C193" s="196" t="s">
        <v>119</v>
      </c>
      <c r="D193" s="197">
        <v>192</v>
      </c>
    </row>
    <row r="194" spans="1:4" ht="13.5" x14ac:dyDescent="0.25">
      <c r="A194" s="200">
        <v>65</v>
      </c>
      <c r="B194" s="189" t="s">
        <v>187</v>
      </c>
      <c r="C194" s="196" t="s">
        <v>117</v>
      </c>
      <c r="D194" s="197">
        <v>193</v>
      </c>
    </row>
    <row r="195" spans="1:4" ht="13.5" x14ac:dyDescent="0.25">
      <c r="A195" s="200">
        <v>65</v>
      </c>
      <c r="B195" s="190" t="str">
        <f t="shared" ref="B195:B196" si="64">$B$194</f>
        <v>Ponto65</v>
      </c>
      <c r="C195" s="196" t="s">
        <v>118</v>
      </c>
      <c r="D195" s="197">
        <v>194</v>
      </c>
    </row>
    <row r="196" spans="1:4" ht="13.5" x14ac:dyDescent="0.25">
      <c r="A196" s="200">
        <v>65</v>
      </c>
      <c r="B196" s="190" t="str">
        <f t="shared" si="64"/>
        <v>Ponto65</v>
      </c>
      <c r="C196" s="196" t="s">
        <v>119</v>
      </c>
      <c r="D196" s="197">
        <v>195</v>
      </c>
    </row>
    <row r="197" spans="1:4" ht="13.5" x14ac:dyDescent="0.25">
      <c r="A197" s="200">
        <v>66</v>
      </c>
      <c r="B197" s="189" t="s">
        <v>188</v>
      </c>
      <c r="C197" s="196" t="s">
        <v>117</v>
      </c>
      <c r="D197" s="197">
        <v>196</v>
      </c>
    </row>
    <row r="198" spans="1:4" ht="13.5" x14ac:dyDescent="0.25">
      <c r="A198" s="200">
        <v>66</v>
      </c>
      <c r="B198" s="190" t="str">
        <f t="shared" ref="B198:B199" si="65">$B$197</f>
        <v>Ponto66</v>
      </c>
      <c r="C198" s="196" t="s">
        <v>118</v>
      </c>
      <c r="D198" s="197">
        <v>197</v>
      </c>
    </row>
    <row r="199" spans="1:4" ht="13.5" x14ac:dyDescent="0.25">
      <c r="A199" s="200">
        <v>66</v>
      </c>
      <c r="B199" s="190" t="str">
        <f t="shared" si="65"/>
        <v>Ponto66</v>
      </c>
      <c r="C199" s="196" t="s">
        <v>119</v>
      </c>
      <c r="D199" s="197">
        <v>198</v>
      </c>
    </row>
    <row r="200" spans="1:4" ht="13.5" x14ac:dyDescent="0.25">
      <c r="A200" s="200">
        <v>67</v>
      </c>
      <c r="B200" s="189" t="s">
        <v>189</v>
      </c>
      <c r="C200" s="196" t="s">
        <v>117</v>
      </c>
      <c r="D200" s="197">
        <v>199</v>
      </c>
    </row>
    <row r="201" spans="1:4" ht="13.5" x14ac:dyDescent="0.25">
      <c r="A201" s="200">
        <v>67</v>
      </c>
      <c r="B201" s="190" t="str">
        <f t="shared" ref="B201:B202" si="66">$B$200</f>
        <v>Ponto67</v>
      </c>
      <c r="C201" s="196" t="s">
        <v>118</v>
      </c>
      <c r="D201" s="197">
        <v>200</v>
      </c>
    </row>
    <row r="202" spans="1:4" ht="13.5" x14ac:dyDescent="0.25">
      <c r="A202" s="200">
        <v>67</v>
      </c>
      <c r="B202" s="190" t="str">
        <f t="shared" si="66"/>
        <v>Ponto67</v>
      </c>
      <c r="C202" s="196" t="s">
        <v>119</v>
      </c>
      <c r="D202" s="197">
        <v>201</v>
      </c>
    </row>
    <row r="203" spans="1:4" ht="13.5" x14ac:dyDescent="0.25">
      <c r="A203" s="200">
        <v>68</v>
      </c>
      <c r="B203" s="189" t="s">
        <v>190</v>
      </c>
      <c r="C203" s="196" t="s">
        <v>117</v>
      </c>
      <c r="D203" s="197">
        <v>202</v>
      </c>
    </row>
    <row r="204" spans="1:4" ht="13.5" x14ac:dyDescent="0.25">
      <c r="A204" s="200">
        <v>68</v>
      </c>
      <c r="B204" s="190" t="str">
        <f t="shared" ref="B204:B205" si="67">$B$203</f>
        <v>Ponto68</v>
      </c>
      <c r="C204" s="196" t="s">
        <v>118</v>
      </c>
      <c r="D204" s="197">
        <v>203</v>
      </c>
    </row>
    <row r="205" spans="1:4" ht="13.5" x14ac:dyDescent="0.25">
      <c r="A205" s="200">
        <v>68</v>
      </c>
      <c r="B205" s="190" t="str">
        <f t="shared" si="67"/>
        <v>Ponto68</v>
      </c>
      <c r="C205" s="196" t="s">
        <v>119</v>
      </c>
      <c r="D205" s="197">
        <v>204</v>
      </c>
    </row>
    <row r="206" spans="1:4" ht="13.5" x14ac:dyDescent="0.25">
      <c r="A206" s="200">
        <v>69</v>
      </c>
      <c r="B206" s="189" t="s">
        <v>191</v>
      </c>
      <c r="C206" s="196" t="s">
        <v>117</v>
      </c>
      <c r="D206" s="197">
        <v>205</v>
      </c>
    </row>
    <row r="207" spans="1:4" ht="13.5" x14ac:dyDescent="0.25">
      <c r="A207" s="200">
        <v>69</v>
      </c>
      <c r="B207" s="190" t="str">
        <f t="shared" ref="B207:B208" si="68">$B$206</f>
        <v>Ponto69</v>
      </c>
      <c r="C207" s="196" t="s">
        <v>118</v>
      </c>
      <c r="D207" s="197">
        <v>206</v>
      </c>
    </row>
    <row r="208" spans="1:4" ht="13.5" x14ac:dyDescent="0.25">
      <c r="A208" s="200">
        <v>69</v>
      </c>
      <c r="B208" s="190" t="str">
        <f t="shared" si="68"/>
        <v>Ponto69</v>
      </c>
      <c r="C208" s="196" t="s">
        <v>119</v>
      </c>
      <c r="D208" s="197">
        <v>207</v>
      </c>
    </row>
    <row r="209" spans="1:4" ht="13.5" x14ac:dyDescent="0.25">
      <c r="A209" s="200">
        <v>70</v>
      </c>
      <c r="B209" s="189" t="s">
        <v>192</v>
      </c>
      <c r="C209" s="196" t="s">
        <v>117</v>
      </c>
      <c r="D209" s="197">
        <v>208</v>
      </c>
    </row>
    <row r="210" spans="1:4" ht="13.5" x14ac:dyDescent="0.25">
      <c r="A210" s="200">
        <v>70</v>
      </c>
      <c r="B210" s="190" t="str">
        <f t="shared" ref="B210:B211" si="69">$B$209</f>
        <v>Ponto70</v>
      </c>
      <c r="C210" s="196" t="s">
        <v>118</v>
      </c>
      <c r="D210" s="197">
        <v>209</v>
      </c>
    </row>
    <row r="211" spans="1:4" ht="13.5" x14ac:dyDescent="0.25">
      <c r="A211" s="200">
        <v>70</v>
      </c>
      <c r="B211" s="190" t="str">
        <f t="shared" si="69"/>
        <v>Ponto70</v>
      </c>
      <c r="C211" s="196" t="s">
        <v>119</v>
      </c>
      <c r="D211" s="197">
        <v>210</v>
      </c>
    </row>
    <row r="212" spans="1:4" ht="13.5" x14ac:dyDescent="0.25">
      <c r="A212" s="200">
        <v>71</v>
      </c>
      <c r="B212" s="189" t="s">
        <v>193</v>
      </c>
      <c r="C212" s="196" t="s">
        <v>117</v>
      </c>
      <c r="D212" s="197">
        <v>211</v>
      </c>
    </row>
    <row r="213" spans="1:4" ht="13.5" x14ac:dyDescent="0.25">
      <c r="A213" s="200">
        <v>71</v>
      </c>
      <c r="B213" s="190" t="str">
        <f t="shared" ref="B213:B214" si="70">$B$212</f>
        <v>Ponto71</v>
      </c>
      <c r="C213" s="196" t="s">
        <v>118</v>
      </c>
      <c r="D213" s="197">
        <v>212</v>
      </c>
    </row>
    <row r="214" spans="1:4" ht="13.5" x14ac:dyDescent="0.25">
      <c r="A214" s="200">
        <v>71</v>
      </c>
      <c r="B214" s="190" t="str">
        <f t="shared" si="70"/>
        <v>Ponto71</v>
      </c>
      <c r="C214" s="196" t="s">
        <v>119</v>
      </c>
      <c r="D214" s="197">
        <v>213</v>
      </c>
    </row>
    <row r="215" spans="1:4" ht="13.5" x14ac:dyDescent="0.25">
      <c r="A215" s="200">
        <v>72</v>
      </c>
      <c r="B215" s="189" t="s">
        <v>194</v>
      </c>
      <c r="C215" s="196" t="s">
        <v>117</v>
      </c>
      <c r="D215" s="197">
        <v>214</v>
      </c>
    </row>
    <row r="216" spans="1:4" ht="13.5" x14ac:dyDescent="0.25">
      <c r="A216" s="200">
        <v>72</v>
      </c>
      <c r="B216" s="190" t="str">
        <f t="shared" ref="B216:B217" si="71">$B$215</f>
        <v>Ponto72</v>
      </c>
      <c r="C216" s="196" t="s">
        <v>118</v>
      </c>
      <c r="D216" s="197">
        <v>215</v>
      </c>
    </row>
    <row r="217" spans="1:4" ht="13.5" x14ac:dyDescent="0.25">
      <c r="A217" s="200">
        <v>72</v>
      </c>
      <c r="B217" s="190" t="str">
        <f t="shared" si="71"/>
        <v>Ponto72</v>
      </c>
      <c r="C217" s="196" t="s">
        <v>119</v>
      </c>
      <c r="D217" s="197">
        <v>216</v>
      </c>
    </row>
    <row r="218" spans="1:4" ht="13.5" x14ac:dyDescent="0.25">
      <c r="A218" s="200">
        <v>73</v>
      </c>
      <c r="B218" s="189" t="s">
        <v>195</v>
      </c>
      <c r="C218" s="196" t="s">
        <v>117</v>
      </c>
      <c r="D218" s="197">
        <v>217</v>
      </c>
    </row>
    <row r="219" spans="1:4" ht="13.5" x14ac:dyDescent="0.25">
      <c r="A219" s="200">
        <v>73</v>
      </c>
      <c r="B219" s="190" t="str">
        <f t="shared" ref="B219:B220" si="72">$B$218</f>
        <v>Ponto73</v>
      </c>
      <c r="C219" s="196" t="s">
        <v>118</v>
      </c>
      <c r="D219" s="197">
        <v>218</v>
      </c>
    </row>
    <row r="220" spans="1:4" ht="13.5" x14ac:dyDescent="0.25">
      <c r="A220" s="200">
        <v>73</v>
      </c>
      <c r="B220" s="190" t="str">
        <f t="shared" si="72"/>
        <v>Ponto73</v>
      </c>
      <c r="C220" s="196" t="s">
        <v>119</v>
      </c>
      <c r="D220" s="197">
        <v>219</v>
      </c>
    </row>
    <row r="221" spans="1:4" ht="13.5" x14ac:dyDescent="0.25">
      <c r="A221" s="200">
        <v>74</v>
      </c>
      <c r="B221" s="189" t="s">
        <v>196</v>
      </c>
      <c r="C221" s="196" t="s">
        <v>117</v>
      </c>
      <c r="D221" s="197">
        <v>220</v>
      </c>
    </row>
    <row r="222" spans="1:4" ht="13.5" x14ac:dyDescent="0.25">
      <c r="A222" s="200">
        <v>74</v>
      </c>
      <c r="B222" s="190" t="str">
        <f t="shared" ref="B222:B223" si="73">$B$221</f>
        <v>Ponto74</v>
      </c>
      <c r="C222" s="196" t="s">
        <v>118</v>
      </c>
      <c r="D222" s="197">
        <v>221</v>
      </c>
    </row>
    <row r="223" spans="1:4" ht="13.5" x14ac:dyDescent="0.25">
      <c r="A223" s="200">
        <v>74</v>
      </c>
      <c r="B223" s="190" t="str">
        <f t="shared" si="73"/>
        <v>Ponto74</v>
      </c>
      <c r="C223" s="196" t="s">
        <v>119</v>
      </c>
      <c r="D223" s="197">
        <v>222</v>
      </c>
    </row>
    <row r="224" spans="1:4" ht="13.5" x14ac:dyDescent="0.25">
      <c r="A224" s="200">
        <v>75</v>
      </c>
      <c r="B224" s="189" t="s">
        <v>197</v>
      </c>
      <c r="C224" s="196" t="s">
        <v>117</v>
      </c>
      <c r="D224" s="197">
        <v>223</v>
      </c>
    </row>
    <row r="225" spans="1:4" ht="13.5" x14ac:dyDescent="0.25">
      <c r="A225" s="200">
        <v>75</v>
      </c>
      <c r="B225" s="190" t="str">
        <f t="shared" ref="B225:B226" si="74">$B$224</f>
        <v>Ponto75</v>
      </c>
      <c r="C225" s="196" t="s">
        <v>118</v>
      </c>
      <c r="D225" s="197">
        <v>224</v>
      </c>
    </row>
    <row r="226" spans="1:4" ht="13.5" x14ac:dyDescent="0.25">
      <c r="A226" s="200">
        <v>75</v>
      </c>
      <c r="B226" s="190" t="str">
        <f t="shared" si="74"/>
        <v>Ponto75</v>
      </c>
      <c r="C226" s="196" t="s">
        <v>119</v>
      </c>
      <c r="D226" s="197">
        <v>225</v>
      </c>
    </row>
    <row r="227" spans="1:4" ht="13.5" x14ac:dyDescent="0.25">
      <c r="A227" s="200">
        <v>76</v>
      </c>
      <c r="B227" s="189" t="s">
        <v>198</v>
      </c>
      <c r="C227" s="196" t="s">
        <v>117</v>
      </c>
      <c r="D227" s="197">
        <v>226</v>
      </c>
    </row>
    <row r="228" spans="1:4" ht="13.5" x14ac:dyDescent="0.25">
      <c r="A228" s="200">
        <v>76</v>
      </c>
      <c r="B228" s="190" t="str">
        <f t="shared" ref="B228:B229" si="75">$B$227</f>
        <v>Ponto76</v>
      </c>
      <c r="C228" s="196" t="s">
        <v>118</v>
      </c>
      <c r="D228" s="197">
        <v>227</v>
      </c>
    </row>
    <row r="229" spans="1:4" ht="13.5" x14ac:dyDescent="0.25">
      <c r="A229" s="200">
        <v>76</v>
      </c>
      <c r="B229" s="190" t="str">
        <f t="shared" si="75"/>
        <v>Ponto76</v>
      </c>
      <c r="C229" s="196" t="s">
        <v>119</v>
      </c>
      <c r="D229" s="197">
        <v>228</v>
      </c>
    </row>
    <row r="230" spans="1:4" ht="13.5" x14ac:dyDescent="0.25">
      <c r="A230" s="200">
        <v>77</v>
      </c>
      <c r="B230" s="189" t="s">
        <v>199</v>
      </c>
      <c r="C230" s="196" t="s">
        <v>117</v>
      </c>
      <c r="D230" s="197">
        <v>229</v>
      </c>
    </row>
    <row r="231" spans="1:4" ht="13.5" x14ac:dyDescent="0.25">
      <c r="A231" s="200">
        <v>77</v>
      </c>
      <c r="B231" s="190" t="str">
        <f t="shared" ref="B231:B232" si="76">$B$230</f>
        <v>Ponto77</v>
      </c>
      <c r="C231" s="196" t="s">
        <v>118</v>
      </c>
      <c r="D231" s="197">
        <v>230</v>
      </c>
    </row>
    <row r="232" spans="1:4" ht="13.5" x14ac:dyDescent="0.25">
      <c r="A232" s="200">
        <v>77</v>
      </c>
      <c r="B232" s="190" t="str">
        <f t="shared" si="76"/>
        <v>Ponto77</v>
      </c>
      <c r="C232" s="196" t="s">
        <v>119</v>
      </c>
      <c r="D232" s="197">
        <v>231</v>
      </c>
    </row>
    <row r="233" spans="1:4" ht="13.5" x14ac:dyDescent="0.25">
      <c r="A233" s="200">
        <v>78</v>
      </c>
      <c r="B233" s="189" t="s">
        <v>200</v>
      </c>
      <c r="C233" s="196" t="s">
        <v>117</v>
      </c>
      <c r="D233" s="197">
        <v>232</v>
      </c>
    </row>
    <row r="234" spans="1:4" ht="13.5" x14ac:dyDescent="0.25">
      <c r="A234" s="200">
        <v>78</v>
      </c>
      <c r="B234" s="190" t="str">
        <f t="shared" ref="B234:B235" si="77">$B$233</f>
        <v>Ponto78</v>
      </c>
      <c r="C234" s="196" t="s">
        <v>118</v>
      </c>
      <c r="D234" s="197">
        <v>233</v>
      </c>
    </row>
    <row r="235" spans="1:4" ht="13.5" x14ac:dyDescent="0.25">
      <c r="A235" s="200">
        <v>78</v>
      </c>
      <c r="B235" s="190" t="str">
        <f t="shared" si="77"/>
        <v>Ponto78</v>
      </c>
      <c r="C235" s="196" t="s">
        <v>119</v>
      </c>
      <c r="D235" s="197">
        <v>234</v>
      </c>
    </row>
    <row r="236" spans="1:4" ht="13.5" x14ac:dyDescent="0.25">
      <c r="A236" s="200">
        <v>79</v>
      </c>
      <c r="B236" s="189" t="s">
        <v>201</v>
      </c>
      <c r="C236" s="196" t="s">
        <v>117</v>
      </c>
      <c r="D236" s="197">
        <v>235</v>
      </c>
    </row>
    <row r="237" spans="1:4" ht="13.5" x14ac:dyDescent="0.25">
      <c r="A237" s="200">
        <v>79</v>
      </c>
      <c r="B237" s="190" t="str">
        <f t="shared" ref="B237:B238" si="78">$B$236</f>
        <v>Ponto79</v>
      </c>
      <c r="C237" s="196" t="s">
        <v>118</v>
      </c>
      <c r="D237" s="197">
        <v>236</v>
      </c>
    </row>
    <row r="238" spans="1:4" ht="13.5" x14ac:dyDescent="0.25">
      <c r="A238" s="200">
        <v>79</v>
      </c>
      <c r="B238" s="190" t="str">
        <f t="shared" si="78"/>
        <v>Ponto79</v>
      </c>
      <c r="C238" s="196" t="s">
        <v>119</v>
      </c>
      <c r="D238" s="197">
        <v>237</v>
      </c>
    </row>
    <row r="239" spans="1:4" ht="13.5" x14ac:dyDescent="0.25">
      <c r="A239" s="200">
        <v>80</v>
      </c>
      <c r="B239" s="189" t="s">
        <v>202</v>
      </c>
      <c r="C239" s="196" t="s">
        <v>117</v>
      </c>
      <c r="D239" s="197">
        <v>238</v>
      </c>
    </row>
    <row r="240" spans="1:4" ht="13.5" x14ac:dyDescent="0.25">
      <c r="A240" s="200">
        <v>80</v>
      </c>
      <c r="B240" s="190" t="str">
        <f t="shared" ref="B240:B241" si="79">$B$239</f>
        <v>Ponto80</v>
      </c>
      <c r="C240" s="196" t="s">
        <v>118</v>
      </c>
      <c r="D240" s="197">
        <v>239</v>
      </c>
    </row>
    <row r="241" spans="1:4" ht="13.5" x14ac:dyDescent="0.25">
      <c r="A241" s="200">
        <v>80</v>
      </c>
      <c r="B241" s="190" t="str">
        <f t="shared" si="79"/>
        <v>Ponto80</v>
      </c>
      <c r="C241" s="196" t="s">
        <v>119</v>
      </c>
      <c r="D241" s="197">
        <v>240</v>
      </c>
    </row>
    <row r="242" spans="1:4" ht="13.5" x14ac:dyDescent="0.25">
      <c r="A242" s="200">
        <v>81</v>
      </c>
      <c r="B242" s="189" t="s">
        <v>203</v>
      </c>
      <c r="C242" s="196" t="s">
        <v>117</v>
      </c>
      <c r="D242" s="197">
        <v>241</v>
      </c>
    </row>
    <row r="243" spans="1:4" ht="13.5" x14ac:dyDescent="0.25">
      <c r="A243" s="200">
        <v>81</v>
      </c>
      <c r="B243" s="190" t="str">
        <f t="shared" ref="B243:B244" si="80">$B$242</f>
        <v>Ponto81</v>
      </c>
      <c r="C243" s="196" t="s">
        <v>118</v>
      </c>
      <c r="D243" s="197">
        <v>242</v>
      </c>
    </row>
    <row r="244" spans="1:4" ht="13.5" x14ac:dyDescent="0.25">
      <c r="A244" s="200">
        <v>81</v>
      </c>
      <c r="B244" s="190" t="str">
        <f t="shared" si="80"/>
        <v>Ponto81</v>
      </c>
      <c r="C244" s="196" t="s">
        <v>119</v>
      </c>
      <c r="D244" s="197">
        <v>243</v>
      </c>
    </row>
    <row r="245" spans="1:4" ht="13.5" x14ac:dyDescent="0.25">
      <c r="A245" s="200">
        <v>82</v>
      </c>
      <c r="B245" s="189" t="s">
        <v>204</v>
      </c>
      <c r="C245" s="196" t="s">
        <v>117</v>
      </c>
      <c r="D245" s="197">
        <v>244</v>
      </c>
    </row>
    <row r="246" spans="1:4" ht="13.5" x14ac:dyDescent="0.25">
      <c r="A246" s="200">
        <v>82</v>
      </c>
      <c r="B246" s="190" t="str">
        <f t="shared" ref="B246:B247" si="81">$B$245</f>
        <v>Ponto82</v>
      </c>
      <c r="C246" s="196" t="s">
        <v>118</v>
      </c>
      <c r="D246" s="197">
        <v>245</v>
      </c>
    </row>
    <row r="247" spans="1:4" ht="13.5" x14ac:dyDescent="0.25">
      <c r="A247" s="200">
        <v>82</v>
      </c>
      <c r="B247" s="190" t="str">
        <f t="shared" si="81"/>
        <v>Ponto82</v>
      </c>
      <c r="C247" s="196" t="s">
        <v>119</v>
      </c>
      <c r="D247" s="197">
        <v>246</v>
      </c>
    </row>
    <row r="248" spans="1:4" ht="13.5" x14ac:dyDescent="0.25">
      <c r="A248" s="200">
        <v>83</v>
      </c>
      <c r="B248" s="189" t="s">
        <v>205</v>
      </c>
      <c r="C248" s="196" t="s">
        <v>117</v>
      </c>
      <c r="D248" s="197">
        <v>247</v>
      </c>
    </row>
    <row r="249" spans="1:4" ht="13.5" x14ac:dyDescent="0.25">
      <c r="A249" s="200">
        <v>83</v>
      </c>
      <c r="B249" s="190" t="str">
        <f t="shared" ref="B249:B250" si="82">$B$248</f>
        <v>Ponto83</v>
      </c>
      <c r="C249" s="196" t="s">
        <v>118</v>
      </c>
      <c r="D249" s="197">
        <v>248</v>
      </c>
    </row>
    <row r="250" spans="1:4" ht="13.5" x14ac:dyDescent="0.25">
      <c r="A250" s="200">
        <v>83</v>
      </c>
      <c r="B250" s="190" t="str">
        <f t="shared" si="82"/>
        <v>Ponto83</v>
      </c>
      <c r="C250" s="196" t="s">
        <v>119</v>
      </c>
      <c r="D250" s="197">
        <v>249</v>
      </c>
    </row>
    <row r="251" spans="1:4" ht="13.5" x14ac:dyDescent="0.25">
      <c r="A251" s="200">
        <v>84</v>
      </c>
      <c r="B251" s="189" t="s">
        <v>206</v>
      </c>
      <c r="C251" s="196" t="s">
        <v>117</v>
      </c>
      <c r="D251" s="197">
        <v>250</v>
      </c>
    </row>
    <row r="252" spans="1:4" ht="13.5" x14ac:dyDescent="0.25">
      <c r="A252" s="200">
        <v>84</v>
      </c>
      <c r="B252" s="190" t="str">
        <f t="shared" ref="B252:B253" si="83">$B$251</f>
        <v>Ponto84</v>
      </c>
      <c r="C252" s="196" t="s">
        <v>118</v>
      </c>
      <c r="D252" s="197">
        <v>251</v>
      </c>
    </row>
    <row r="253" spans="1:4" ht="13.5" x14ac:dyDescent="0.25">
      <c r="A253" s="200">
        <v>84</v>
      </c>
      <c r="B253" s="190" t="str">
        <f t="shared" si="83"/>
        <v>Ponto84</v>
      </c>
      <c r="C253" s="196" t="s">
        <v>119</v>
      </c>
      <c r="D253" s="197">
        <v>252</v>
      </c>
    </row>
    <row r="254" spans="1:4" ht="13.5" x14ac:dyDescent="0.25">
      <c r="A254" s="200">
        <v>85</v>
      </c>
      <c r="B254" s="189" t="s">
        <v>207</v>
      </c>
      <c r="C254" s="196" t="s">
        <v>117</v>
      </c>
      <c r="D254" s="197">
        <v>253</v>
      </c>
    </row>
    <row r="255" spans="1:4" ht="13.5" x14ac:dyDescent="0.25">
      <c r="A255" s="200">
        <v>85</v>
      </c>
      <c r="B255" s="190" t="str">
        <f t="shared" ref="B255:B256" si="84">$B$254</f>
        <v>Ponto85</v>
      </c>
      <c r="C255" s="196" t="s">
        <v>118</v>
      </c>
      <c r="D255" s="197">
        <v>254</v>
      </c>
    </row>
    <row r="256" spans="1:4" ht="13.5" x14ac:dyDescent="0.25">
      <c r="A256" s="200">
        <v>85</v>
      </c>
      <c r="B256" s="190" t="str">
        <f t="shared" si="84"/>
        <v>Ponto85</v>
      </c>
      <c r="C256" s="196" t="s">
        <v>119</v>
      </c>
      <c r="D256" s="197">
        <v>255</v>
      </c>
    </row>
    <row r="257" spans="1:4" ht="13.5" x14ac:dyDescent="0.25">
      <c r="A257" s="200">
        <v>86</v>
      </c>
      <c r="B257" s="189" t="s">
        <v>208</v>
      </c>
      <c r="C257" s="196" t="s">
        <v>117</v>
      </c>
      <c r="D257" s="197">
        <v>256</v>
      </c>
    </row>
    <row r="258" spans="1:4" ht="13.5" x14ac:dyDescent="0.25">
      <c r="A258" s="200">
        <v>86</v>
      </c>
      <c r="B258" s="190" t="str">
        <f t="shared" ref="B258:B259" si="85">$B$257</f>
        <v>Ponto86</v>
      </c>
      <c r="C258" s="196" t="s">
        <v>118</v>
      </c>
      <c r="D258" s="197">
        <v>257</v>
      </c>
    </row>
    <row r="259" spans="1:4" ht="13.5" x14ac:dyDescent="0.25">
      <c r="A259" s="200">
        <v>86</v>
      </c>
      <c r="B259" s="190" t="str">
        <f t="shared" si="85"/>
        <v>Ponto86</v>
      </c>
      <c r="C259" s="196" t="s">
        <v>119</v>
      </c>
      <c r="D259" s="197">
        <v>258</v>
      </c>
    </row>
    <row r="260" spans="1:4" ht="13.5" x14ac:dyDescent="0.25">
      <c r="A260" s="200">
        <v>87</v>
      </c>
      <c r="B260" s="189" t="s">
        <v>209</v>
      </c>
      <c r="C260" s="196" t="s">
        <v>117</v>
      </c>
      <c r="D260" s="197">
        <v>259</v>
      </c>
    </row>
    <row r="261" spans="1:4" ht="13.5" x14ac:dyDescent="0.25">
      <c r="A261" s="200">
        <v>87</v>
      </c>
      <c r="B261" s="190" t="str">
        <f t="shared" ref="B261:B262" si="86">$B$260</f>
        <v>Ponto87</v>
      </c>
      <c r="C261" s="196" t="s">
        <v>118</v>
      </c>
      <c r="D261" s="197">
        <v>260</v>
      </c>
    </row>
    <row r="262" spans="1:4" ht="13.5" x14ac:dyDescent="0.25">
      <c r="A262" s="200">
        <v>87</v>
      </c>
      <c r="B262" s="190" t="str">
        <f t="shared" si="86"/>
        <v>Ponto87</v>
      </c>
      <c r="C262" s="196" t="s">
        <v>119</v>
      </c>
      <c r="D262" s="197">
        <v>261</v>
      </c>
    </row>
    <row r="263" spans="1:4" ht="13.5" x14ac:dyDescent="0.25">
      <c r="A263" s="200">
        <v>88</v>
      </c>
      <c r="B263" s="189" t="s">
        <v>210</v>
      </c>
      <c r="C263" s="196" t="s">
        <v>117</v>
      </c>
      <c r="D263" s="197">
        <v>262</v>
      </c>
    </row>
    <row r="264" spans="1:4" ht="13.5" x14ac:dyDescent="0.25">
      <c r="A264" s="200">
        <v>88</v>
      </c>
      <c r="B264" s="190" t="str">
        <f t="shared" ref="B264:B265" si="87">$B$263</f>
        <v>Ponto88</v>
      </c>
      <c r="C264" s="196" t="s">
        <v>118</v>
      </c>
      <c r="D264" s="197">
        <v>263</v>
      </c>
    </row>
    <row r="265" spans="1:4" ht="13.5" x14ac:dyDescent="0.25">
      <c r="A265" s="200">
        <v>88</v>
      </c>
      <c r="B265" s="190" t="str">
        <f t="shared" si="87"/>
        <v>Ponto88</v>
      </c>
      <c r="C265" s="196" t="s">
        <v>119</v>
      </c>
      <c r="D265" s="197">
        <v>264</v>
      </c>
    </row>
    <row r="266" spans="1:4" ht="13.5" x14ac:dyDescent="0.25">
      <c r="A266" s="200">
        <v>89</v>
      </c>
      <c r="B266" s="189" t="s">
        <v>211</v>
      </c>
      <c r="C266" s="196" t="s">
        <v>117</v>
      </c>
      <c r="D266" s="197">
        <v>265</v>
      </c>
    </row>
    <row r="267" spans="1:4" ht="13.5" x14ac:dyDescent="0.25">
      <c r="A267" s="200">
        <v>89</v>
      </c>
      <c r="B267" s="190" t="str">
        <f t="shared" ref="B267:B268" si="88">$B$266</f>
        <v>Ponto89</v>
      </c>
      <c r="C267" s="196" t="s">
        <v>118</v>
      </c>
      <c r="D267" s="197">
        <v>266</v>
      </c>
    </row>
    <row r="268" spans="1:4" ht="13.5" x14ac:dyDescent="0.25">
      <c r="A268" s="200">
        <v>89</v>
      </c>
      <c r="B268" s="190" t="str">
        <f t="shared" si="88"/>
        <v>Ponto89</v>
      </c>
      <c r="C268" s="196" t="s">
        <v>119</v>
      </c>
      <c r="D268" s="197">
        <v>267</v>
      </c>
    </row>
    <row r="269" spans="1:4" ht="13.5" x14ac:dyDescent="0.25">
      <c r="A269" s="200">
        <v>90</v>
      </c>
      <c r="B269" s="189" t="s">
        <v>212</v>
      </c>
      <c r="C269" s="196" t="s">
        <v>117</v>
      </c>
      <c r="D269" s="197">
        <v>268</v>
      </c>
    </row>
    <row r="270" spans="1:4" ht="13.5" x14ac:dyDescent="0.25">
      <c r="A270" s="200">
        <v>90</v>
      </c>
      <c r="B270" s="190" t="str">
        <f t="shared" ref="B270:B271" si="89">$B$269</f>
        <v>Ponto90</v>
      </c>
      <c r="C270" s="196" t="s">
        <v>118</v>
      </c>
      <c r="D270" s="197">
        <v>269</v>
      </c>
    </row>
    <row r="271" spans="1:4" ht="13.5" x14ac:dyDescent="0.25">
      <c r="A271" s="200">
        <v>90</v>
      </c>
      <c r="B271" s="190" t="str">
        <f t="shared" si="89"/>
        <v>Ponto90</v>
      </c>
      <c r="C271" s="196" t="s">
        <v>119</v>
      </c>
      <c r="D271" s="197">
        <v>270</v>
      </c>
    </row>
    <row r="272" spans="1:4" ht="13.5" x14ac:dyDescent="0.25">
      <c r="A272" s="200">
        <v>91</v>
      </c>
      <c r="B272" s="189" t="s">
        <v>213</v>
      </c>
      <c r="C272" s="196" t="s">
        <v>117</v>
      </c>
      <c r="D272" s="197">
        <v>271</v>
      </c>
    </row>
    <row r="273" spans="1:4" ht="13.5" x14ac:dyDescent="0.25">
      <c r="A273" s="200">
        <v>91</v>
      </c>
      <c r="B273" s="190" t="str">
        <f t="shared" ref="B273:B274" si="90">$B$272</f>
        <v>Ponto91</v>
      </c>
      <c r="C273" s="196" t="s">
        <v>118</v>
      </c>
      <c r="D273" s="197">
        <v>272</v>
      </c>
    </row>
    <row r="274" spans="1:4" ht="13.5" x14ac:dyDescent="0.25">
      <c r="A274" s="200">
        <v>91</v>
      </c>
      <c r="B274" s="190" t="str">
        <f t="shared" si="90"/>
        <v>Ponto91</v>
      </c>
      <c r="C274" s="196" t="s">
        <v>119</v>
      </c>
      <c r="D274" s="197">
        <v>273</v>
      </c>
    </row>
    <row r="275" spans="1:4" ht="13.5" x14ac:dyDescent="0.25">
      <c r="A275" s="200">
        <v>92</v>
      </c>
      <c r="B275" s="189" t="s">
        <v>214</v>
      </c>
      <c r="C275" s="196" t="s">
        <v>117</v>
      </c>
      <c r="D275" s="197">
        <v>274</v>
      </c>
    </row>
    <row r="276" spans="1:4" ht="13.5" x14ac:dyDescent="0.25">
      <c r="A276" s="200">
        <v>92</v>
      </c>
      <c r="B276" s="190" t="str">
        <f t="shared" ref="B276:B277" si="91">$B$275</f>
        <v>Ponto92</v>
      </c>
      <c r="C276" s="196" t="s">
        <v>118</v>
      </c>
      <c r="D276" s="197">
        <v>275</v>
      </c>
    </row>
    <row r="277" spans="1:4" ht="13.5" x14ac:dyDescent="0.25">
      <c r="A277" s="200">
        <v>92</v>
      </c>
      <c r="B277" s="190" t="str">
        <f t="shared" si="91"/>
        <v>Ponto92</v>
      </c>
      <c r="C277" s="196" t="s">
        <v>119</v>
      </c>
      <c r="D277" s="197">
        <v>276</v>
      </c>
    </row>
    <row r="278" spans="1:4" ht="13.5" x14ac:dyDescent="0.25">
      <c r="A278" s="200">
        <v>93</v>
      </c>
      <c r="B278" s="189" t="s">
        <v>215</v>
      </c>
      <c r="C278" s="196" t="s">
        <v>117</v>
      </c>
      <c r="D278" s="197">
        <v>277</v>
      </c>
    </row>
    <row r="279" spans="1:4" ht="13.5" x14ac:dyDescent="0.25">
      <c r="A279" s="200">
        <v>93</v>
      </c>
      <c r="B279" s="190" t="str">
        <f t="shared" ref="B279:B280" si="92">$B$278</f>
        <v>Ponto93</v>
      </c>
      <c r="C279" s="196" t="s">
        <v>118</v>
      </c>
      <c r="D279" s="197">
        <v>278</v>
      </c>
    </row>
    <row r="280" spans="1:4" ht="13.5" x14ac:dyDescent="0.25">
      <c r="A280" s="200">
        <v>93</v>
      </c>
      <c r="B280" s="190" t="str">
        <f t="shared" si="92"/>
        <v>Ponto93</v>
      </c>
      <c r="C280" s="196" t="s">
        <v>119</v>
      </c>
      <c r="D280" s="197">
        <v>279</v>
      </c>
    </row>
    <row r="281" spans="1:4" ht="13.5" x14ac:dyDescent="0.25">
      <c r="A281" s="200">
        <v>94</v>
      </c>
      <c r="B281" s="189" t="s">
        <v>216</v>
      </c>
      <c r="C281" s="196" t="s">
        <v>117</v>
      </c>
      <c r="D281" s="197">
        <v>280</v>
      </c>
    </row>
    <row r="282" spans="1:4" ht="13.5" x14ac:dyDescent="0.25">
      <c r="A282" s="200">
        <v>94</v>
      </c>
      <c r="B282" s="190" t="str">
        <f t="shared" ref="B282:B283" si="93">$B$281</f>
        <v>Ponto94</v>
      </c>
      <c r="C282" s="196" t="s">
        <v>118</v>
      </c>
      <c r="D282" s="197">
        <v>281</v>
      </c>
    </row>
    <row r="283" spans="1:4" ht="13.5" x14ac:dyDescent="0.25">
      <c r="A283" s="200">
        <v>94</v>
      </c>
      <c r="B283" s="190" t="str">
        <f t="shared" si="93"/>
        <v>Ponto94</v>
      </c>
      <c r="C283" s="196" t="s">
        <v>119</v>
      </c>
      <c r="D283" s="197">
        <v>282</v>
      </c>
    </row>
    <row r="284" spans="1:4" ht="13.5" x14ac:dyDescent="0.25">
      <c r="A284" s="200">
        <v>95</v>
      </c>
      <c r="B284" s="189" t="s">
        <v>217</v>
      </c>
      <c r="C284" s="196" t="s">
        <v>117</v>
      </c>
      <c r="D284" s="197">
        <v>283</v>
      </c>
    </row>
    <row r="285" spans="1:4" ht="13.5" x14ac:dyDescent="0.25">
      <c r="A285" s="200">
        <v>95</v>
      </c>
      <c r="B285" s="190" t="str">
        <f t="shared" ref="B285:B286" si="94">$B$284</f>
        <v>Ponto95</v>
      </c>
      <c r="C285" s="196" t="s">
        <v>118</v>
      </c>
      <c r="D285" s="197">
        <v>284</v>
      </c>
    </row>
    <row r="286" spans="1:4" ht="13.5" x14ac:dyDescent="0.25">
      <c r="A286" s="200">
        <v>95</v>
      </c>
      <c r="B286" s="190" t="str">
        <f t="shared" si="94"/>
        <v>Ponto95</v>
      </c>
      <c r="C286" s="196" t="s">
        <v>119</v>
      </c>
      <c r="D286" s="197">
        <v>285</v>
      </c>
    </row>
    <row r="287" spans="1:4" ht="13.5" x14ac:dyDescent="0.25">
      <c r="A287" s="200">
        <v>96</v>
      </c>
      <c r="B287" s="189" t="s">
        <v>218</v>
      </c>
      <c r="C287" s="196" t="s">
        <v>117</v>
      </c>
      <c r="D287" s="197">
        <v>286</v>
      </c>
    </row>
    <row r="288" spans="1:4" ht="13.5" x14ac:dyDescent="0.25">
      <c r="A288" s="200">
        <v>96</v>
      </c>
      <c r="B288" s="190" t="str">
        <f t="shared" ref="B288:B289" si="95">$B$287</f>
        <v>Ponto96</v>
      </c>
      <c r="C288" s="196" t="s">
        <v>118</v>
      </c>
      <c r="D288" s="197">
        <v>287</v>
      </c>
    </row>
    <row r="289" spans="1:4" ht="13.5" x14ac:dyDescent="0.25">
      <c r="A289" s="200">
        <v>96</v>
      </c>
      <c r="B289" s="190" t="str">
        <f t="shared" si="95"/>
        <v>Ponto96</v>
      </c>
      <c r="C289" s="196" t="s">
        <v>119</v>
      </c>
      <c r="D289" s="197">
        <v>288</v>
      </c>
    </row>
    <row r="290" spans="1:4" ht="13.5" x14ac:dyDescent="0.25">
      <c r="A290" s="200">
        <v>97</v>
      </c>
      <c r="B290" s="189" t="s">
        <v>219</v>
      </c>
      <c r="C290" s="196" t="s">
        <v>117</v>
      </c>
      <c r="D290" s="197">
        <v>289</v>
      </c>
    </row>
    <row r="291" spans="1:4" ht="13.5" x14ac:dyDescent="0.25">
      <c r="A291" s="200">
        <v>97</v>
      </c>
      <c r="B291" s="190" t="str">
        <f t="shared" ref="B291:B292" si="96">$B$290</f>
        <v>Ponto97</v>
      </c>
      <c r="C291" s="196" t="s">
        <v>118</v>
      </c>
      <c r="D291" s="197">
        <v>290</v>
      </c>
    </row>
    <row r="292" spans="1:4" ht="13.5" x14ac:dyDescent="0.25">
      <c r="A292" s="200">
        <v>97</v>
      </c>
      <c r="B292" s="190" t="str">
        <f t="shared" si="96"/>
        <v>Ponto97</v>
      </c>
      <c r="C292" s="196" t="s">
        <v>119</v>
      </c>
      <c r="D292" s="197">
        <v>291</v>
      </c>
    </row>
    <row r="293" spans="1:4" ht="13.5" x14ac:dyDescent="0.25">
      <c r="A293" s="200">
        <v>98</v>
      </c>
      <c r="B293" s="189" t="s">
        <v>220</v>
      </c>
      <c r="C293" s="196" t="s">
        <v>117</v>
      </c>
      <c r="D293" s="197">
        <v>292</v>
      </c>
    </row>
    <row r="294" spans="1:4" ht="13.5" x14ac:dyDescent="0.25">
      <c r="A294" s="200">
        <v>98</v>
      </c>
      <c r="B294" s="190" t="str">
        <f t="shared" ref="B294:B295" si="97">$B$293</f>
        <v>Ponto98</v>
      </c>
      <c r="C294" s="196" t="s">
        <v>118</v>
      </c>
      <c r="D294" s="197">
        <v>293</v>
      </c>
    </row>
    <row r="295" spans="1:4" ht="13.5" x14ac:dyDescent="0.25">
      <c r="A295" s="200">
        <v>98</v>
      </c>
      <c r="B295" s="190" t="str">
        <f t="shared" si="97"/>
        <v>Ponto98</v>
      </c>
      <c r="C295" s="196" t="s">
        <v>119</v>
      </c>
      <c r="D295" s="197">
        <v>294</v>
      </c>
    </row>
    <row r="296" spans="1:4" ht="13.5" x14ac:dyDescent="0.25">
      <c r="A296" s="200">
        <v>99</v>
      </c>
      <c r="B296" s="189" t="s">
        <v>221</v>
      </c>
      <c r="C296" s="196" t="s">
        <v>117</v>
      </c>
      <c r="D296" s="197">
        <v>295</v>
      </c>
    </row>
    <row r="297" spans="1:4" ht="13.5" x14ac:dyDescent="0.25">
      <c r="A297" s="200">
        <v>99</v>
      </c>
      <c r="B297" s="190" t="str">
        <f t="shared" ref="B297:B298" si="98">$B$296</f>
        <v>Ponto99</v>
      </c>
      <c r="C297" s="196" t="s">
        <v>118</v>
      </c>
      <c r="D297" s="197">
        <v>296</v>
      </c>
    </row>
    <row r="298" spans="1:4" ht="13.5" x14ac:dyDescent="0.25">
      <c r="A298" s="200">
        <v>99</v>
      </c>
      <c r="B298" s="190" t="str">
        <f t="shared" si="98"/>
        <v>Ponto99</v>
      </c>
      <c r="C298" s="196" t="s">
        <v>119</v>
      </c>
      <c r="D298" s="197">
        <v>297</v>
      </c>
    </row>
    <row r="299" spans="1:4" ht="13.5" x14ac:dyDescent="0.25">
      <c r="A299" s="200">
        <v>100</v>
      </c>
      <c r="B299" s="189" t="s">
        <v>222</v>
      </c>
      <c r="C299" s="196" t="s">
        <v>117</v>
      </c>
      <c r="D299" s="197">
        <v>298</v>
      </c>
    </row>
    <row r="300" spans="1:4" ht="13.5" x14ac:dyDescent="0.25">
      <c r="A300" s="200">
        <v>100</v>
      </c>
      <c r="B300" s="190" t="str">
        <f t="shared" ref="B300:B301" si="99">$B$299</f>
        <v>Ponto100</v>
      </c>
      <c r="C300" s="196" t="s">
        <v>118</v>
      </c>
      <c r="D300" s="197">
        <v>299</v>
      </c>
    </row>
    <row r="301" spans="1:4" ht="13.5" x14ac:dyDescent="0.25">
      <c r="A301" s="200">
        <v>100</v>
      </c>
      <c r="B301" s="190" t="str">
        <f t="shared" si="99"/>
        <v>Ponto100</v>
      </c>
      <c r="C301" s="196" t="s">
        <v>119</v>
      </c>
      <c r="D301" s="197">
        <v>300</v>
      </c>
    </row>
    <row r="302" spans="1:4" ht="13.5" x14ac:dyDescent="0.25">
      <c r="A302" s="200">
        <v>101</v>
      </c>
      <c r="B302" s="189"/>
      <c r="C302" s="196" t="s">
        <v>117</v>
      </c>
      <c r="D302" s="197"/>
    </row>
    <row r="303" spans="1:4" ht="13.5" x14ac:dyDescent="0.25">
      <c r="A303" s="200">
        <v>101</v>
      </c>
      <c r="B303" s="190">
        <f t="shared" ref="B303:B304" si="100">$B$302</f>
        <v>0</v>
      </c>
      <c r="C303" s="196" t="s">
        <v>118</v>
      </c>
      <c r="D303" s="197"/>
    </row>
    <row r="304" spans="1:4" ht="13.5" x14ac:dyDescent="0.25">
      <c r="A304" s="200">
        <v>101</v>
      </c>
      <c r="B304" s="190">
        <f t="shared" si="100"/>
        <v>0</v>
      </c>
      <c r="C304" s="196" t="s">
        <v>119</v>
      </c>
      <c r="D304" s="197"/>
    </row>
    <row r="305" spans="1:4" ht="13.5" x14ac:dyDescent="0.25">
      <c r="A305" s="200">
        <v>102</v>
      </c>
      <c r="B305" s="189"/>
      <c r="C305" s="196" t="s">
        <v>117</v>
      </c>
      <c r="D305" s="197"/>
    </row>
    <row r="306" spans="1:4" ht="13.5" x14ac:dyDescent="0.25">
      <c r="A306" s="200">
        <v>102</v>
      </c>
      <c r="B306" s="190">
        <f t="shared" ref="B306:B307" si="101">$B$305</f>
        <v>0</v>
      </c>
      <c r="C306" s="196" t="s">
        <v>118</v>
      </c>
      <c r="D306" s="197"/>
    </row>
    <row r="307" spans="1:4" ht="13.5" x14ac:dyDescent="0.25">
      <c r="A307" s="200">
        <v>102</v>
      </c>
      <c r="B307" s="190">
        <f t="shared" si="101"/>
        <v>0</v>
      </c>
      <c r="C307" s="196" t="s">
        <v>119</v>
      </c>
      <c r="D307" s="197"/>
    </row>
    <row r="308" spans="1:4" ht="13.5" x14ac:dyDescent="0.25">
      <c r="A308" s="200">
        <v>103</v>
      </c>
      <c r="B308" s="189"/>
      <c r="C308" s="196" t="s">
        <v>117</v>
      </c>
      <c r="D308" s="197"/>
    </row>
    <row r="309" spans="1:4" ht="13.5" x14ac:dyDescent="0.25">
      <c r="A309" s="200">
        <v>103</v>
      </c>
      <c r="B309" s="190">
        <f t="shared" ref="B309:B310" si="102">$B$308</f>
        <v>0</v>
      </c>
      <c r="C309" s="196" t="s">
        <v>118</v>
      </c>
      <c r="D309" s="197"/>
    </row>
    <row r="310" spans="1:4" ht="13.5" x14ac:dyDescent="0.25">
      <c r="A310" s="200">
        <v>103</v>
      </c>
      <c r="B310" s="190">
        <f t="shared" si="102"/>
        <v>0</v>
      </c>
      <c r="C310" s="196" t="s">
        <v>119</v>
      </c>
      <c r="D310" s="197"/>
    </row>
    <row r="311" spans="1:4" ht="13.5" x14ac:dyDescent="0.25">
      <c r="A311" s="200">
        <v>104</v>
      </c>
      <c r="B311" s="189"/>
      <c r="C311" s="196" t="s">
        <v>117</v>
      </c>
      <c r="D311" s="197"/>
    </row>
    <row r="312" spans="1:4" ht="13.5" x14ac:dyDescent="0.25">
      <c r="A312" s="200">
        <v>104</v>
      </c>
      <c r="B312" s="190">
        <f t="shared" ref="B312:B313" si="103">$B$311</f>
        <v>0</v>
      </c>
      <c r="C312" s="196" t="s">
        <v>118</v>
      </c>
      <c r="D312" s="197"/>
    </row>
    <row r="313" spans="1:4" ht="13.5" x14ac:dyDescent="0.25">
      <c r="A313" s="200">
        <v>104</v>
      </c>
      <c r="B313" s="190">
        <f t="shared" si="103"/>
        <v>0</v>
      </c>
      <c r="C313" s="196" t="s">
        <v>119</v>
      </c>
      <c r="D313" s="197"/>
    </row>
    <row r="314" spans="1:4" ht="13.5" x14ac:dyDescent="0.25">
      <c r="A314" s="200">
        <v>105</v>
      </c>
      <c r="B314" s="189"/>
      <c r="C314" s="196" t="s">
        <v>117</v>
      </c>
      <c r="D314" s="197"/>
    </row>
    <row r="315" spans="1:4" ht="13.5" x14ac:dyDescent="0.25">
      <c r="A315" s="200">
        <v>105</v>
      </c>
      <c r="B315" s="190">
        <f t="shared" ref="B315:B316" si="104">$B$314</f>
        <v>0</v>
      </c>
      <c r="C315" s="196" t="s">
        <v>118</v>
      </c>
      <c r="D315" s="197"/>
    </row>
    <row r="316" spans="1:4" ht="13.5" x14ac:dyDescent="0.25">
      <c r="A316" s="200">
        <v>105</v>
      </c>
      <c r="B316" s="190">
        <f t="shared" si="104"/>
        <v>0</v>
      </c>
      <c r="C316" s="196" t="s">
        <v>119</v>
      </c>
      <c r="D316" s="197"/>
    </row>
    <row r="317" spans="1:4" ht="13.5" x14ac:dyDescent="0.25">
      <c r="A317" s="200">
        <v>106</v>
      </c>
      <c r="B317" s="189"/>
      <c r="C317" s="196" t="s">
        <v>117</v>
      </c>
      <c r="D317" s="197"/>
    </row>
    <row r="318" spans="1:4" ht="13.5" x14ac:dyDescent="0.25">
      <c r="A318" s="200">
        <v>106</v>
      </c>
      <c r="B318" s="190">
        <f t="shared" ref="B318:B319" si="105">$B$317</f>
        <v>0</v>
      </c>
      <c r="C318" s="196" t="s">
        <v>118</v>
      </c>
      <c r="D318" s="197"/>
    </row>
    <row r="319" spans="1:4" ht="13.5" x14ac:dyDescent="0.25">
      <c r="A319" s="200">
        <v>106</v>
      </c>
      <c r="B319" s="190">
        <f t="shared" si="105"/>
        <v>0</v>
      </c>
      <c r="C319" s="196" t="s">
        <v>119</v>
      </c>
      <c r="D319" s="197"/>
    </row>
    <row r="320" spans="1:4" ht="13.5" x14ac:dyDescent="0.25">
      <c r="A320" s="200">
        <v>107</v>
      </c>
      <c r="B320" s="189"/>
      <c r="C320" s="196" t="s">
        <v>117</v>
      </c>
      <c r="D320" s="197"/>
    </row>
    <row r="321" spans="1:4" ht="13.5" x14ac:dyDescent="0.25">
      <c r="A321" s="200">
        <v>107</v>
      </c>
      <c r="B321" s="190">
        <f t="shared" ref="B321:B322" si="106">$B$320</f>
        <v>0</v>
      </c>
      <c r="C321" s="196" t="s">
        <v>118</v>
      </c>
      <c r="D321" s="197"/>
    </row>
    <row r="322" spans="1:4" ht="13.5" x14ac:dyDescent="0.25">
      <c r="A322" s="200">
        <v>107</v>
      </c>
      <c r="B322" s="190">
        <f t="shared" si="106"/>
        <v>0</v>
      </c>
      <c r="C322" s="196" t="s">
        <v>119</v>
      </c>
      <c r="D322" s="197"/>
    </row>
    <row r="323" spans="1:4" ht="13.5" x14ac:dyDescent="0.25">
      <c r="A323" s="200">
        <v>108</v>
      </c>
      <c r="B323" s="189"/>
      <c r="C323" s="196" t="s">
        <v>117</v>
      </c>
      <c r="D323" s="197"/>
    </row>
    <row r="324" spans="1:4" ht="13.5" x14ac:dyDescent="0.25">
      <c r="A324" s="200">
        <v>108</v>
      </c>
      <c r="B324" s="190">
        <f t="shared" ref="B324:B325" si="107">$B$323</f>
        <v>0</v>
      </c>
      <c r="C324" s="196" t="s">
        <v>118</v>
      </c>
      <c r="D324" s="197"/>
    </row>
    <row r="325" spans="1:4" ht="13.5" x14ac:dyDescent="0.25">
      <c r="A325" s="200">
        <v>108</v>
      </c>
      <c r="B325" s="190">
        <f t="shared" si="107"/>
        <v>0</v>
      </c>
      <c r="C325" s="196" t="s">
        <v>119</v>
      </c>
      <c r="D325" s="197"/>
    </row>
    <row r="326" spans="1:4" ht="13.5" x14ac:dyDescent="0.25">
      <c r="A326" s="200">
        <v>109</v>
      </c>
      <c r="B326" s="189"/>
      <c r="C326" s="196" t="s">
        <v>117</v>
      </c>
      <c r="D326" s="197"/>
    </row>
    <row r="327" spans="1:4" ht="13.5" x14ac:dyDescent="0.25">
      <c r="A327" s="200">
        <v>109</v>
      </c>
      <c r="B327" s="190">
        <f t="shared" ref="B327:B328" si="108">$B$326</f>
        <v>0</v>
      </c>
      <c r="C327" s="196" t="s">
        <v>118</v>
      </c>
      <c r="D327" s="197"/>
    </row>
    <row r="328" spans="1:4" ht="13.5" x14ac:dyDescent="0.25">
      <c r="A328" s="200">
        <v>109</v>
      </c>
      <c r="B328" s="190">
        <f t="shared" si="108"/>
        <v>0</v>
      </c>
      <c r="C328" s="196" t="s">
        <v>119</v>
      </c>
      <c r="D328" s="197"/>
    </row>
    <row r="329" spans="1:4" ht="13.5" x14ac:dyDescent="0.25">
      <c r="A329" s="200">
        <v>110</v>
      </c>
      <c r="B329" s="189"/>
      <c r="C329" s="196" t="s">
        <v>117</v>
      </c>
      <c r="D329" s="197"/>
    </row>
    <row r="330" spans="1:4" ht="13.5" x14ac:dyDescent="0.25">
      <c r="A330" s="200">
        <v>110</v>
      </c>
      <c r="B330" s="190">
        <f t="shared" ref="B330:B331" si="109">$B$329</f>
        <v>0</v>
      </c>
      <c r="C330" s="196" t="s">
        <v>118</v>
      </c>
      <c r="D330" s="197"/>
    </row>
    <row r="331" spans="1:4" ht="13.5" x14ac:dyDescent="0.25">
      <c r="A331" s="200">
        <v>110</v>
      </c>
      <c r="B331" s="190">
        <f t="shared" si="109"/>
        <v>0</v>
      </c>
      <c r="C331" s="196" t="s">
        <v>119</v>
      </c>
      <c r="D331" s="197"/>
    </row>
    <row r="332" spans="1:4" ht="13.5" x14ac:dyDescent="0.25">
      <c r="A332" s="200">
        <v>111</v>
      </c>
      <c r="B332" s="189"/>
      <c r="C332" s="196" t="s">
        <v>117</v>
      </c>
      <c r="D332" s="197"/>
    </row>
    <row r="333" spans="1:4" ht="13.5" x14ac:dyDescent="0.25">
      <c r="A333" s="200">
        <v>111</v>
      </c>
      <c r="B333" s="190">
        <f t="shared" ref="B333:B334" si="110">$B$332</f>
        <v>0</v>
      </c>
      <c r="C333" s="196" t="s">
        <v>118</v>
      </c>
      <c r="D333" s="197"/>
    </row>
    <row r="334" spans="1:4" ht="13.5" x14ac:dyDescent="0.25">
      <c r="A334" s="200">
        <v>111</v>
      </c>
      <c r="B334" s="190">
        <f t="shared" si="110"/>
        <v>0</v>
      </c>
      <c r="C334" s="196" t="s">
        <v>119</v>
      </c>
      <c r="D334" s="197"/>
    </row>
    <row r="335" spans="1:4" ht="13.5" x14ac:dyDescent="0.25">
      <c r="A335" s="200">
        <v>112</v>
      </c>
      <c r="B335" s="189"/>
      <c r="C335" s="196" t="s">
        <v>117</v>
      </c>
      <c r="D335" s="197"/>
    </row>
    <row r="336" spans="1:4" ht="13.5" x14ac:dyDescent="0.25">
      <c r="A336" s="200">
        <v>112</v>
      </c>
      <c r="B336" s="190">
        <f t="shared" ref="B336:B337" si="111">$B$335</f>
        <v>0</v>
      </c>
      <c r="C336" s="196" t="s">
        <v>118</v>
      </c>
      <c r="D336" s="197"/>
    </row>
    <row r="337" spans="1:4" ht="13.5" x14ac:dyDescent="0.25">
      <c r="A337" s="200">
        <v>112</v>
      </c>
      <c r="B337" s="190">
        <f t="shared" si="111"/>
        <v>0</v>
      </c>
      <c r="C337" s="196" t="s">
        <v>119</v>
      </c>
      <c r="D337" s="197"/>
    </row>
    <row r="338" spans="1:4" ht="13.5" x14ac:dyDescent="0.25">
      <c r="A338" s="200">
        <v>113</v>
      </c>
      <c r="B338" s="189"/>
      <c r="C338" s="196" t="s">
        <v>117</v>
      </c>
      <c r="D338" s="197"/>
    </row>
    <row r="339" spans="1:4" ht="13.5" x14ac:dyDescent="0.25">
      <c r="A339" s="200">
        <v>113</v>
      </c>
      <c r="B339" s="190">
        <f t="shared" ref="B339:B340" si="112">$B$338</f>
        <v>0</v>
      </c>
      <c r="C339" s="196" t="s">
        <v>118</v>
      </c>
      <c r="D339" s="197"/>
    </row>
    <row r="340" spans="1:4" ht="13.5" x14ac:dyDescent="0.25">
      <c r="A340" s="200">
        <v>113</v>
      </c>
      <c r="B340" s="190">
        <f t="shared" si="112"/>
        <v>0</v>
      </c>
      <c r="C340" s="196" t="s">
        <v>119</v>
      </c>
      <c r="D340" s="197"/>
    </row>
    <row r="341" spans="1:4" ht="13.5" x14ac:dyDescent="0.25">
      <c r="A341" s="200">
        <v>114</v>
      </c>
      <c r="B341" s="189"/>
      <c r="C341" s="196" t="s">
        <v>117</v>
      </c>
      <c r="D341" s="197"/>
    </row>
    <row r="342" spans="1:4" ht="13.5" x14ac:dyDescent="0.25">
      <c r="A342" s="200">
        <v>114</v>
      </c>
      <c r="B342" s="190">
        <f t="shared" ref="B342:B343" si="113">$B$341</f>
        <v>0</v>
      </c>
      <c r="C342" s="196" t="s">
        <v>118</v>
      </c>
      <c r="D342" s="197"/>
    </row>
    <row r="343" spans="1:4" ht="13.5" x14ac:dyDescent="0.25">
      <c r="A343" s="200">
        <v>114</v>
      </c>
      <c r="B343" s="190">
        <f t="shared" si="113"/>
        <v>0</v>
      </c>
      <c r="C343" s="196" t="s">
        <v>119</v>
      </c>
      <c r="D343" s="197"/>
    </row>
    <row r="344" spans="1:4" ht="13.5" x14ac:dyDescent="0.25">
      <c r="A344" s="200">
        <v>115</v>
      </c>
      <c r="B344" s="189"/>
      <c r="C344" s="196" t="s">
        <v>117</v>
      </c>
      <c r="D344" s="197"/>
    </row>
    <row r="345" spans="1:4" ht="13.5" x14ac:dyDescent="0.25">
      <c r="A345" s="200">
        <v>115</v>
      </c>
      <c r="B345" s="190">
        <f t="shared" ref="B345:B346" si="114">$B$344</f>
        <v>0</v>
      </c>
      <c r="C345" s="196" t="s">
        <v>118</v>
      </c>
      <c r="D345" s="197"/>
    </row>
    <row r="346" spans="1:4" ht="13.5" x14ac:dyDescent="0.25">
      <c r="A346" s="200">
        <v>115</v>
      </c>
      <c r="B346" s="190">
        <f t="shared" si="114"/>
        <v>0</v>
      </c>
      <c r="C346" s="196" t="s">
        <v>119</v>
      </c>
      <c r="D346" s="197"/>
    </row>
    <row r="347" spans="1:4" ht="13.5" x14ac:dyDescent="0.25">
      <c r="A347" s="200">
        <v>116</v>
      </c>
      <c r="B347" s="189"/>
      <c r="C347" s="196" t="s">
        <v>117</v>
      </c>
      <c r="D347" s="197"/>
    </row>
    <row r="348" spans="1:4" ht="13.5" x14ac:dyDescent="0.25">
      <c r="A348" s="200">
        <v>116</v>
      </c>
      <c r="B348" s="190">
        <f t="shared" ref="B348:B349" si="115">$B$347</f>
        <v>0</v>
      </c>
      <c r="C348" s="196" t="s">
        <v>118</v>
      </c>
      <c r="D348" s="197"/>
    </row>
    <row r="349" spans="1:4" ht="13.5" x14ac:dyDescent="0.25">
      <c r="A349" s="200">
        <v>116</v>
      </c>
      <c r="B349" s="190">
        <f t="shared" si="115"/>
        <v>0</v>
      </c>
      <c r="C349" s="196" t="s">
        <v>119</v>
      </c>
      <c r="D349" s="197"/>
    </row>
    <row r="350" spans="1:4" ht="13.5" x14ac:dyDescent="0.25">
      <c r="A350" s="200">
        <v>117</v>
      </c>
      <c r="B350" s="189"/>
      <c r="C350" s="196" t="s">
        <v>117</v>
      </c>
      <c r="D350" s="197"/>
    </row>
    <row r="351" spans="1:4" ht="13.5" x14ac:dyDescent="0.25">
      <c r="A351" s="200">
        <v>117</v>
      </c>
      <c r="B351" s="190">
        <f t="shared" ref="B351:B352" si="116">$B$350</f>
        <v>0</v>
      </c>
      <c r="C351" s="196" t="s">
        <v>118</v>
      </c>
      <c r="D351" s="197"/>
    </row>
    <row r="352" spans="1:4" ht="13.5" x14ac:dyDescent="0.25">
      <c r="A352" s="200">
        <v>117</v>
      </c>
      <c r="B352" s="190">
        <f t="shared" si="116"/>
        <v>0</v>
      </c>
      <c r="C352" s="196" t="s">
        <v>119</v>
      </c>
      <c r="D352" s="197"/>
    </row>
    <row r="353" spans="1:4" ht="13.5" x14ac:dyDescent="0.25">
      <c r="A353" s="200">
        <v>118</v>
      </c>
      <c r="B353" s="189"/>
      <c r="C353" s="196" t="s">
        <v>117</v>
      </c>
      <c r="D353" s="197"/>
    </row>
    <row r="354" spans="1:4" ht="13.5" x14ac:dyDescent="0.25">
      <c r="A354" s="200">
        <v>118</v>
      </c>
      <c r="B354" s="190">
        <f t="shared" ref="B354:B355" si="117">$B$353</f>
        <v>0</v>
      </c>
      <c r="C354" s="196" t="s">
        <v>118</v>
      </c>
      <c r="D354" s="197"/>
    </row>
    <row r="355" spans="1:4" ht="13.5" x14ac:dyDescent="0.25">
      <c r="A355" s="200">
        <v>118</v>
      </c>
      <c r="B355" s="190">
        <f t="shared" si="117"/>
        <v>0</v>
      </c>
      <c r="C355" s="196" t="s">
        <v>119</v>
      </c>
      <c r="D355" s="197"/>
    </row>
    <row r="356" spans="1:4" ht="13.5" x14ac:dyDescent="0.25">
      <c r="A356" s="200">
        <v>119</v>
      </c>
      <c r="B356" s="189"/>
      <c r="C356" s="196" t="s">
        <v>117</v>
      </c>
      <c r="D356" s="197"/>
    </row>
    <row r="357" spans="1:4" ht="13.5" x14ac:dyDescent="0.25">
      <c r="A357" s="200">
        <v>119</v>
      </c>
      <c r="B357" s="190">
        <f t="shared" ref="B357:B358" si="118">$B$356</f>
        <v>0</v>
      </c>
      <c r="C357" s="196" t="s">
        <v>118</v>
      </c>
      <c r="D357" s="197"/>
    </row>
    <row r="358" spans="1:4" ht="13.5" x14ac:dyDescent="0.25">
      <c r="A358" s="200">
        <v>119</v>
      </c>
      <c r="B358" s="190">
        <f t="shared" si="118"/>
        <v>0</v>
      </c>
      <c r="C358" s="196" t="s">
        <v>119</v>
      </c>
      <c r="D358" s="197"/>
    </row>
    <row r="359" spans="1:4" ht="13.5" x14ac:dyDescent="0.25">
      <c r="A359" s="200">
        <v>120</v>
      </c>
      <c r="B359" s="189"/>
      <c r="C359" s="196" t="s">
        <v>117</v>
      </c>
      <c r="D359" s="197"/>
    </row>
    <row r="360" spans="1:4" ht="13.5" x14ac:dyDescent="0.25">
      <c r="A360" s="200">
        <v>120</v>
      </c>
      <c r="B360" s="190">
        <f t="shared" ref="B360:B361" si="119">$B$359</f>
        <v>0</v>
      </c>
      <c r="C360" s="196" t="s">
        <v>118</v>
      </c>
      <c r="D360" s="197"/>
    </row>
    <row r="361" spans="1:4" ht="13.5" x14ac:dyDescent="0.25">
      <c r="A361" s="200">
        <v>120</v>
      </c>
      <c r="B361" s="190">
        <f t="shared" si="119"/>
        <v>0</v>
      </c>
      <c r="C361" s="196" t="s">
        <v>119</v>
      </c>
      <c r="D361" s="197"/>
    </row>
    <row r="362" spans="1:4" ht="13.5" x14ac:dyDescent="0.25">
      <c r="A362" s="200">
        <v>121</v>
      </c>
      <c r="B362" s="189"/>
      <c r="C362" s="196" t="s">
        <v>117</v>
      </c>
      <c r="D362" s="197"/>
    </row>
    <row r="363" spans="1:4" ht="13.5" x14ac:dyDescent="0.25">
      <c r="A363" s="200">
        <v>121</v>
      </c>
      <c r="B363" s="190">
        <f t="shared" ref="B363:B364" si="120">$B$362</f>
        <v>0</v>
      </c>
      <c r="C363" s="196" t="s">
        <v>118</v>
      </c>
      <c r="D363" s="197"/>
    </row>
    <row r="364" spans="1:4" ht="13.5" x14ac:dyDescent="0.25">
      <c r="A364" s="200">
        <v>121</v>
      </c>
      <c r="B364" s="190">
        <f t="shared" si="120"/>
        <v>0</v>
      </c>
      <c r="C364" s="196" t="s">
        <v>119</v>
      </c>
      <c r="D364" s="197"/>
    </row>
    <row r="365" spans="1:4" ht="13.5" x14ac:dyDescent="0.25">
      <c r="A365" s="200">
        <v>122</v>
      </c>
      <c r="B365" s="189"/>
      <c r="C365" s="196" t="s">
        <v>117</v>
      </c>
      <c r="D365" s="197"/>
    </row>
    <row r="366" spans="1:4" ht="13.5" x14ac:dyDescent="0.25">
      <c r="A366" s="200">
        <v>122</v>
      </c>
      <c r="B366" s="190">
        <f t="shared" ref="B366:B367" si="121">$B$365</f>
        <v>0</v>
      </c>
      <c r="C366" s="196" t="s">
        <v>118</v>
      </c>
      <c r="D366" s="197"/>
    </row>
    <row r="367" spans="1:4" ht="13.5" x14ac:dyDescent="0.25">
      <c r="A367" s="200">
        <v>122</v>
      </c>
      <c r="B367" s="190">
        <f t="shared" si="121"/>
        <v>0</v>
      </c>
      <c r="C367" s="196" t="s">
        <v>119</v>
      </c>
      <c r="D367" s="197"/>
    </row>
    <row r="368" spans="1:4" ht="13.5" x14ac:dyDescent="0.25">
      <c r="A368" s="200">
        <v>123</v>
      </c>
      <c r="B368" s="189"/>
      <c r="C368" s="196" t="s">
        <v>117</v>
      </c>
      <c r="D368" s="197"/>
    </row>
    <row r="369" spans="1:4" ht="13.5" x14ac:dyDescent="0.25">
      <c r="A369" s="200">
        <v>123</v>
      </c>
      <c r="B369" s="190">
        <f t="shared" ref="B369:B370" si="122">$B$368</f>
        <v>0</v>
      </c>
      <c r="C369" s="196" t="s">
        <v>118</v>
      </c>
      <c r="D369" s="197"/>
    </row>
    <row r="370" spans="1:4" ht="13.5" x14ac:dyDescent="0.25">
      <c r="A370" s="200">
        <v>123</v>
      </c>
      <c r="B370" s="190">
        <f t="shared" si="122"/>
        <v>0</v>
      </c>
      <c r="C370" s="196" t="s">
        <v>119</v>
      </c>
      <c r="D370" s="197"/>
    </row>
    <row r="371" spans="1:4" ht="13.5" x14ac:dyDescent="0.25">
      <c r="A371" s="200">
        <v>124</v>
      </c>
      <c r="B371" s="189"/>
      <c r="C371" s="196" t="s">
        <v>117</v>
      </c>
      <c r="D371" s="197"/>
    </row>
    <row r="372" spans="1:4" ht="13.5" x14ac:dyDescent="0.25">
      <c r="A372" s="200">
        <v>124</v>
      </c>
      <c r="B372" s="190">
        <f t="shared" ref="B372:B373" si="123">$B$371</f>
        <v>0</v>
      </c>
      <c r="C372" s="196" t="s">
        <v>118</v>
      </c>
      <c r="D372" s="197"/>
    </row>
    <row r="373" spans="1:4" ht="13.5" x14ac:dyDescent="0.25">
      <c r="A373" s="200">
        <v>124</v>
      </c>
      <c r="B373" s="190">
        <f t="shared" si="123"/>
        <v>0</v>
      </c>
      <c r="C373" s="196" t="s">
        <v>119</v>
      </c>
      <c r="D373" s="197"/>
    </row>
    <row r="374" spans="1:4" ht="13.5" x14ac:dyDescent="0.25">
      <c r="A374" s="200">
        <v>125</v>
      </c>
      <c r="B374" s="189"/>
      <c r="C374" s="196" t="s">
        <v>117</v>
      </c>
      <c r="D374" s="197"/>
    </row>
    <row r="375" spans="1:4" ht="13.5" x14ac:dyDescent="0.25">
      <c r="A375" s="200">
        <v>125</v>
      </c>
      <c r="B375" s="190">
        <f t="shared" ref="B375:B376" si="124">$B$374</f>
        <v>0</v>
      </c>
      <c r="C375" s="196" t="s">
        <v>118</v>
      </c>
      <c r="D375" s="197"/>
    </row>
    <row r="376" spans="1:4" ht="13.5" x14ac:dyDescent="0.25">
      <c r="A376" s="200">
        <v>125</v>
      </c>
      <c r="B376" s="190">
        <f t="shared" si="124"/>
        <v>0</v>
      </c>
      <c r="C376" s="196" t="s">
        <v>119</v>
      </c>
      <c r="D376" s="197"/>
    </row>
    <row r="377" spans="1:4" ht="13.5" x14ac:dyDescent="0.25">
      <c r="A377" s="200">
        <v>126</v>
      </c>
      <c r="B377" s="189"/>
      <c r="C377" s="196" t="s">
        <v>117</v>
      </c>
      <c r="D377" s="197"/>
    </row>
    <row r="378" spans="1:4" ht="13.5" x14ac:dyDescent="0.25">
      <c r="A378" s="200">
        <v>126</v>
      </c>
      <c r="B378" s="190">
        <f t="shared" ref="B378:B379" si="125">$B$377</f>
        <v>0</v>
      </c>
      <c r="C378" s="196" t="s">
        <v>118</v>
      </c>
      <c r="D378" s="197"/>
    </row>
    <row r="379" spans="1:4" ht="13.5" x14ac:dyDescent="0.25">
      <c r="A379" s="200">
        <v>126</v>
      </c>
      <c r="B379" s="190">
        <f t="shared" si="125"/>
        <v>0</v>
      </c>
      <c r="C379" s="196" t="s">
        <v>119</v>
      </c>
      <c r="D379" s="197"/>
    </row>
    <row r="380" spans="1:4" ht="13.5" x14ac:dyDescent="0.25">
      <c r="A380" s="200">
        <v>127</v>
      </c>
      <c r="B380" s="189"/>
      <c r="C380" s="196" t="s">
        <v>117</v>
      </c>
      <c r="D380" s="197"/>
    </row>
    <row r="381" spans="1:4" ht="13.5" x14ac:dyDescent="0.25">
      <c r="A381" s="200">
        <v>127</v>
      </c>
      <c r="B381" s="190">
        <f t="shared" ref="B381:B382" si="126">$B$380</f>
        <v>0</v>
      </c>
      <c r="C381" s="196" t="s">
        <v>118</v>
      </c>
      <c r="D381" s="197"/>
    </row>
    <row r="382" spans="1:4" ht="13.5" x14ac:dyDescent="0.25">
      <c r="A382" s="200">
        <v>127</v>
      </c>
      <c r="B382" s="190">
        <f t="shared" si="126"/>
        <v>0</v>
      </c>
      <c r="C382" s="196" t="s">
        <v>119</v>
      </c>
      <c r="D382" s="197"/>
    </row>
    <row r="383" spans="1:4" ht="13.5" x14ac:dyDescent="0.25">
      <c r="A383" s="200">
        <v>128</v>
      </c>
      <c r="B383" s="189"/>
      <c r="C383" s="196" t="s">
        <v>117</v>
      </c>
      <c r="D383" s="197"/>
    </row>
    <row r="384" spans="1:4" ht="13.5" x14ac:dyDescent="0.25">
      <c r="A384" s="200">
        <v>128</v>
      </c>
      <c r="B384" s="190">
        <f t="shared" ref="B384:B385" si="127">$B$383</f>
        <v>0</v>
      </c>
      <c r="C384" s="196" t="s">
        <v>118</v>
      </c>
      <c r="D384" s="197"/>
    </row>
    <row r="385" spans="1:4" ht="13.5" x14ac:dyDescent="0.25">
      <c r="A385" s="200">
        <v>128</v>
      </c>
      <c r="B385" s="190">
        <f t="shared" si="127"/>
        <v>0</v>
      </c>
      <c r="C385" s="196" t="s">
        <v>119</v>
      </c>
      <c r="D385" s="197"/>
    </row>
    <row r="386" spans="1:4" ht="13.5" x14ac:dyDescent="0.25">
      <c r="A386" s="200">
        <v>129</v>
      </c>
      <c r="B386" s="189"/>
      <c r="C386" s="196" t="s">
        <v>117</v>
      </c>
      <c r="D386" s="197"/>
    </row>
    <row r="387" spans="1:4" ht="13.5" x14ac:dyDescent="0.25">
      <c r="A387" s="200">
        <v>129</v>
      </c>
      <c r="B387" s="190">
        <f t="shared" ref="B387:B388" si="128">$B$386</f>
        <v>0</v>
      </c>
      <c r="C387" s="196" t="s">
        <v>118</v>
      </c>
      <c r="D387" s="197"/>
    </row>
    <row r="388" spans="1:4" ht="13.5" x14ac:dyDescent="0.25">
      <c r="A388" s="200">
        <v>129</v>
      </c>
      <c r="B388" s="190">
        <f t="shared" si="128"/>
        <v>0</v>
      </c>
      <c r="C388" s="196" t="s">
        <v>119</v>
      </c>
      <c r="D388" s="197"/>
    </row>
    <row r="389" spans="1:4" ht="13.5" x14ac:dyDescent="0.25">
      <c r="A389" s="200">
        <v>130</v>
      </c>
      <c r="B389" s="189"/>
      <c r="C389" s="196" t="s">
        <v>117</v>
      </c>
      <c r="D389" s="197"/>
    </row>
    <row r="390" spans="1:4" ht="13.5" x14ac:dyDescent="0.25">
      <c r="A390" s="200">
        <v>130</v>
      </c>
      <c r="B390" s="190">
        <f t="shared" ref="B390:B391" si="129">$B$389</f>
        <v>0</v>
      </c>
      <c r="C390" s="196" t="s">
        <v>118</v>
      </c>
      <c r="D390" s="197"/>
    </row>
    <row r="391" spans="1:4" ht="13.5" x14ac:dyDescent="0.25">
      <c r="A391" s="200">
        <v>130</v>
      </c>
      <c r="B391" s="190">
        <f t="shared" si="129"/>
        <v>0</v>
      </c>
      <c r="C391" s="196" t="s">
        <v>119</v>
      </c>
      <c r="D391" s="197"/>
    </row>
    <row r="392" spans="1:4" ht="13.5" x14ac:dyDescent="0.25">
      <c r="A392" s="200">
        <v>131</v>
      </c>
      <c r="B392" s="189"/>
      <c r="C392" s="196" t="s">
        <v>117</v>
      </c>
      <c r="D392" s="197"/>
    </row>
    <row r="393" spans="1:4" ht="13.5" x14ac:dyDescent="0.25">
      <c r="A393" s="200">
        <v>131</v>
      </c>
      <c r="B393" s="190">
        <f t="shared" ref="B393:B394" si="130">$B$392</f>
        <v>0</v>
      </c>
      <c r="C393" s="196" t="s">
        <v>118</v>
      </c>
      <c r="D393" s="197"/>
    </row>
    <row r="394" spans="1:4" ht="13.5" x14ac:dyDescent="0.25">
      <c r="A394" s="200">
        <v>131</v>
      </c>
      <c r="B394" s="190">
        <f t="shared" si="130"/>
        <v>0</v>
      </c>
      <c r="C394" s="196" t="s">
        <v>119</v>
      </c>
      <c r="D394" s="197"/>
    </row>
    <row r="395" spans="1:4" ht="13.5" x14ac:dyDescent="0.25">
      <c r="A395" s="200">
        <v>132</v>
      </c>
      <c r="B395" s="189"/>
      <c r="C395" s="196" t="s">
        <v>117</v>
      </c>
      <c r="D395" s="197"/>
    </row>
    <row r="396" spans="1:4" ht="13.5" x14ac:dyDescent="0.25">
      <c r="A396" s="200">
        <v>132</v>
      </c>
      <c r="B396" s="190">
        <f t="shared" ref="B396:B397" si="131">$B$395</f>
        <v>0</v>
      </c>
      <c r="C396" s="196" t="s">
        <v>118</v>
      </c>
      <c r="D396" s="197"/>
    </row>
    <row r="397" spans="1:4" ht="13.5" x14ac:dyDescent="0.25">
      <c r="A397" s="200">
        <v>132</v>
      </c>
      <c r="B397" s="190">
        <f t="shared" si="131"/>
        <v>0</v>
      </c>
      <c r="C397" s="196" t="s">
        <v>119</v>
      </c>
      <c r="D397" s="197"/>
    </row>
    <row r="398" spans="1:4" ht="13.5" x14ac:dyDescent="0.25">
      <c r="A398" s="200">
        <v>133</v>
      </c>
      <c r="B398" s="189"/>
      <c r="C398" s="196" t="s">
        <v>117</v>
      </c>
      <c r="D398" s="197"/>
    </row>
    <row r="399" spans="1:4" ht="13.5" x14ac:dyDescent="0.25">
      <c r="A399" s="200">
        <v>133</v>
      </c>
      <c r="B399" s="190">
        <f t="shared" ref="B399:B400" si="132">$B$398</f>
        <v>0</v>
      </c>
      <c r="C399" s="196" t="s">
        <v>118</v>
      </c>
      <c r="D399" s="197"/>
    </row>
    <row r="400" spans="1:4" ht="13.5" x14ac:dyDescent="0.25">
      <c r="A400" s="200">
        <v>133</v>
      </c>
      <c r="B400" s="190">
        <f t="shared" si="132"/>
        <v>0</v>
      </c>
      <c r="C400" s="196" t="s">
        <v>119</v>
      </c>
      <c r="D400" s="197"/>
    </row>
    <row r="401" spans="1:4" ht="13.5" x14ac:dyDescent="0.25">
      <c r="A401" s="200">
        <v>134</v>
      </c>
      <c r="B401" s="189"/>
      <c r="C401" s="196" t="s">
        <v>117</v>
      </c>
      <c r="D401" s="197"/>
    </row>
    <row r="402" spans="1:4" ht="13.5" x14ac:dyDescent="0.25">
      <c r="A402" s="200">
        <v>134</v>
      </c>
      <c r="B402" s="190">
        <f t="shared" ref="B402:B403" si="133">$B$401</f>
        <v>0</v>
      </c>
      <c r="C402" s="196" t="s">
        <v>118</v>
      </c>
      <c r="D402" s="197"/>
    </row>
    <row r="403" spans="1:4" ht="13.5" x14ac:dyDescent="0.25">
      <c r="A403" s="200">
        <v>134</v>
      </c>
      <c r="B403" s="190">
        <f t="shared" si="133"/>
        <v>0</v>
      </c>
      <c r="C403" s="196" t="s">
        <v>119</v>
      </c>
      <c r="D403" s="197"/>
    </row>
    <row r="404" spans="1:4" ht="13.5" x14ac:dyDescent="0.25">
      <c r="A404" s="200">
        <v>135</v>
      </c>
      <c r="B404" s="189"/>
      <c r="C404" s="196" t="s">
        <v>117</v>
      </c>
      <c r="D404" s="197"/>
    </row>
    <row r="405" spans="1:4" ht="13.5" x14ac:dyDescent="0.25">
      <c r="A405" s="200">
        <v>135</v>
      </c>
      <c r="B405" s="190">
        <f t="shared" ref="B405:B406" si="134">$B$404</f>
        <v>0</v>
      </c>
      <c r="C405" s="196" t="s">
        <v>118</v>
      </c>
      <c r="D405" s="197"/>
    </row>
    <row r="406" spans="1:4" ht="13.5" x14ac:dyDescent="0.25">
      <c r="A406" s="200">
        <v>135</v>
      </c>
      <c r="B406" s="190">
        <f t="shared" si="134"/>
        <v>0</v>
      </c>
      <c r="C406" s="196" t="s">
        <v>119</v>
      </c>
      <c r="D406" s="197"/>
    </row>
    <row r="407" spans="1:4" ht="13.5" x14ac:dyDescent="0.25">
      <c r="A407" s="200">
        <v>136</v>
      </c>
      <c r="B407" s="189"/>
      <c r="C407" s="196" t="s">
        <v>117</v>
      </c>
      <c r="D407" s="197"/>
    </row>
    <row r="408" spans="1:4" ht="13.5" x14ac:dyDescent="0.25">
      <c r="A408" s="200">
        <v>136</v>
      </c>
      <c r="B408" s="190">
        <f t="shared" ref="B408:B409" si="135">$B$407</f>
        <v>0</v>
      </c>
      <c r="C408" s="196" t="s">
        <v>118</v>
      </c>
      <c r="D408" s="197"/>
    </row>
    <row r="409" spans="1:4" ht="13.5" x14ac:dyDescent="0.25">
      <c r="A409" s="200">
        <v>136</v>
      </c>
      <c r="B409" s="190">
        <f t="shared" si="135"/>
        <v>0</v>
      </c>
      <c r="C409" s="196" t="s">
        <v>119</v>
      </c>
      <c r="D409" s="197"/>
    </row>
    <row r="410" spans="1:4" ht="13.5" x14ac:dyDescent="0.25">
      <c r="A410" s="200">
        <v>137</v>
      </c>
      <c r="B410" s="189"/>
      <c r="C410" s="196" t="s">
        <v>117</v>
      </c>
      <c r="D410" s="197"/>
    </row>
    <row r="411" spans="1:4" ht="13.5" x14ac:dyDescent="0.25">
      <c r="A411" s="200">
        <v>137</v>
      </c>
      <c r="B411" s="190">
        <f t="shared" ref="B411:B412" si="136">$B$410</f>
        <v>0</v>
      </c>
      <c r="C411" s="196" t="s">
        <v>118</v>
      </c>
      <c r="D411" s="197"/>
    </row>
    <row r="412" spans="1:4" ht="13.5" x14ac:dyDescent="0.25">
      <c r="A412" s="200">
        <v>137</v>
      </c>
      <c r="B412" s="190">
        <f t="shared" si="136"/>
        <v>0</v>
      </c>
      <c r="C412" s="196" t="s">
        <v>119</v>
      </c>
      <c r="D412" s="197"/>
    </row>
    <row r="413" spans="1:4" ht="13.5" x14ac:dyDescent="0.25">
      <c r="A413" s="200">
        <v>138</v>
      </c>
      <c r="B413" s="189"/>
      <c r="C413" s="196" t="s">
        <v>117</v>
      </c>
      <c r="D413" s="197"/>
    </row>
    <row r="414" spans="1:4" ht="13.5" x14ac:dyDescent="0.25">
      <c r="A414" s="200">
        <v>138</v>
      </c>
      <c r="B414" s="190">
        <f t="shared" ref="B414:B415" si="137">$B$413</f>
        <v>0</v>
      </c>
      <c r="C414" s="196" t="s">
        <v>118</v>
      </c>
      <c r="D414" s="197"/>
    </row>
    <row r="415" spans="1:4" ht="13.5" x14ac:dyDescent="0.25">
      <c r="A415" s="200">
        <v>138</v>
      </c>
      <c r="B415" s="190">
        <f t="shared" si="137"/>
        <v>0</v>
      </c>
      <c r="C415" s="196" t="s">
        <v>119</v>
      </c>
      <c r="D415" s="197"/>
    </row>
    <row r="416" spans="1:4" ht="13.5" x14ac:dyDescent="0.25">
      <c r="A416" s="200">
        <v>139</v>
      </c>
      <c r="B416" s="189"/>
      <c r="C416" s="196" t="s">
        <v>117</v>
      </c>
      <c r="D416" s="197"/>
    </row>
    <row r="417" spans="1:4" ht="13.5" x14ac:dyDescent="0.25">
      <c r="A417" s="200">
        <v>139</v>
      </c>
      <c r="B417" s="190">
        <f t="shared" ref="B417:B418" si="138">$B$416</f>
        <v>0</v>
      </c>
      <c r="C417" s="196" t="s">
        <v>118</v>
      </c>
      <c r="D417" s="197"/>
    </row>
    <row r="418" spans="1:4" ht="13.5" x14ac:dyDescent="0.25">
      <c r="A418" s="200">
        <v>139</v>
      </c>
      <c r="B418" s="190">
        <f t="shared" si="138"/>
        <v>0</v>
      </c>
      <c r="C418" s="196" t="s">
        <v>119</v>
      </c>
      <c r="D418" s="197"/>
    </row>
    <row r="419" spans="1:4" ht="13.5" x14ac:dyDescent="0.25">
      <c r="A419" s="200">
        <v>140</v>
      </c>
      <c r="B419" s="189"/>
      <c r="C419" s="196" t="s">
        <v>117</v>
      </c>
      <c r="D419" s="197"/>
    </row>
    <row r="420" spans="1:4" ht="13.5" x14ac:dyDescent="0.25">
      <c r="A420" s="200">
        <v>140</v>
      </c>
      <c r="B420" s="190">
        <f t="shared" ref="B420:B421" si="139">$B$419</f>
        <v>0</v>
      </c>
      <c r="C420" s="196" t="s">
        <v>118</v>
      </c>
      <c r="D420" s="197"/>
    </row>
    <row r="421" spans="1:4" ht="13.5" x14ac:dyDescent="0.25">
      <c r="A421" s="200">
        <v>140</v>
      </c>
      <c r="B421" s="190">
        <f t="shared" si="139"/>
        <v>0</v>
      </c>
      <c r="C421" s="196" t="s">
        <v>119</v>
      </c>
      <c r="D421" s="197"/>
    </row>
    <row r="422" spans="1:4" ht="13.5" x14ac:dyDescent="0.25">
      <c r="A422" s="200">
        <v>141</v>
      </c>
      <c r="B422" s="189"/>
      <c r="C422" s="196" t="s">
        <v>117</v>
      </c>
      <c r="D422" s="197"/>
    </row>
    <row r="423" spans="1:4" ht="13.5" x14ac:dyDescent="0.25">
      <c r="A423" s="200">
        <v>141</v>
      </c>
      <c r="B423" s="190">
        <f t="shared" ref="B423:B424" si="140">$B$422</f>
        <v>0</v>
      </c>
      <c r="C423" s="196" t="s">
        <v>118</v>
      </c>
      <c r="D423" s="197"/>
    </row>
    <row r="424" spans="1:4" ht="13.5" x14ac:dyDescent="0.25">
      <c r="A424" s="200">
        <v>141</v>
      </c>
      <c r="B424" s="190">
        <f t="shared" si="140"/>
        <v>0</v>
      </c>
      <c r="C424" s="196" t="s">
        <v>119</v>
      </c>
      <c r="D424" s="197"/>
    </row>
    <row r="425" spans="1:4" ht="13.5" x14ac:dyDescent="0.25">
      <c r="A425" s="200">
        <v>142</v>
      </c>
      <c r="B425" s="189"/>
      <c r="C425" s="196" t="s">
        <v>117</v>
      </c>
      <c r="D425" s="197"/>
    </row>
    <row r="426" spans="1:4" ht="13.5" x14ac:dyDescent="0.25">
      <c r="A426" s="200">
        <v>142</v>
      </c>
      <c r="B426" s="190">
        <f t="shared" ref="B426:B427" si="141">$B$425</f>
        <v>0</v>
      </c>
      <c r="C426" s="196" t="s">
        <v>118</v>
      </c>
      <c r="D426" s="197"/>
    </row>
    <row r="427" spans="1:4" ht="13.5" x14ac:dyDescent="0.25">
      <c r="A427" s="200">
        <v>142</v>
      </c>
      <c r="B427" s="190">
        <f t="shared" si="141"/>
        <v>0</v>
      </c>
      <c r="C427" s="196" t="s">
        <v>119</v>
      </c>
      <c r="D427" s="197"/>
    </row>
    <row r="428" spans="1:4" ht="13.5" x14ac:dyDescent="0.25">
      <c r="A428" s="200">
        <v>143</v>
      </c>
      <c r="B428" s="189"/>
      <c r="C428" s="196" t="s">
        <v>117</v>
      </c>
      <c r="D428" s="197"/>
    </row>
    <row r="429" spans="1:4" ht="13.5" x14ac:dyDescent="0.25">
      <c r="A429" s="200">
        <v>143</v>
      </c>
      <c r="B429" s="190">
        <f t="shared" ref="B429:B430" si="142">$B$428</f>
        <v>0</v>
      </c>
      <c r="C429" s="196" t="s">
        <v>118</v>
      </c>
      <c r="D429" s="197"/>
    </row>
    <row r="430" spans="1:4" ht="13.5" x14ac:dyDescent="0.25">
      <c r="A430" s="200">
        <v>143</v>
      </c>
      <c r="B430" s="190">
        <f t="shared" si="142"/>
        <v>0</v>
      </c>
      <c r="C430" s="196" t="s">
        <v>119</v>
      </c>
      <c r="D430" s="197"/>
    </row>
    <row r="431" spans="1:4" ht="13.5" x14ac:dyDescent="0.25">
      <c r="A431" s="200">
        <v>144</v>
      </c>
      <c r="B431" s="189"/>
      <c r="C431" s="196" t="s">
        <v>117</v>
      </c>
      <c r="D431" s="197"/>
    </row>
    <row r="432" spans="1:4" ht="13.5" x14ac:dyDescent="0.25">
      <c r="A432" s="200">
        <v>144</v>
      </c>
      <c r="B432" s="190">
        <f t="shared" ref="B432:B433" si="143">$B$431</f>
        <v>0</v>
      </c>
      <c r="C432" s="196" t="s">
        <v>118</v>
      </c>
      <c r="D432" s="197"/>
    </row>
    <row r="433" spans="1:4" ht="13.5" x14ac:dyDescent="0.25">
      <c r="A433" s="200">
        <v>144</v>
      </c>
      <c r="B433" s="190">
        <f t="shared" si="143"/>
        <v>0</v>
      </c>
      <c r="C433" s="196" t="s">
        <v>119</v>
      </c>
      <c r="D433" s="197"/>
    </row>
    <row r="434" spans="1:4" ht="13.5" x14ac:dyDescent="0.25">
      <c r="A434" s="200">
        <v>145</v>
      </c>
      <c r="B434" s="189"/>
      <c r="C434" s="196" t="s">
        <v>117</v>
      </c>
      <c r="D434" s="197"/>
    </row>
    <row r="435" spans="1:4" ht="13.5" x14ac:dyDescent="0.25">
      <c r="A435" s="200">
        <v>145</v>
      </c>
      <c r="B435" s="190">
        <f t="shared" ref="B435:B436" si="144">$B$434</f>
        <v>0</v>
      </c>
      <c r="C435" s="196" t="s">
        <v>118</v>
      </c>
      <c r="D435" s="197"/>
    </row>
    <row r="436" spans="1:4" ht="13.5" x14ac:dyDescent="0.25">
      <c r="A436" s="200">
        <v>145</v>
      </c>
      <c r="B436" s="190">
        <f t="shared" si="144"/>
        <v>0</v>
      </c>
      <c r="C436" s="196" t="s">
        <v>119</v>
      </c>
      <c r="D436" s="197"/>
    </row>
    <row r="437" spans="1:4" ht="13.5" x14ac:dyDescent="0.25">
      <c r="A437" s="200">
        <v>146</v>
      </c>
      <c r="B437" s="189"/>
      <c r="C437" s="196" t="s">
        <v>117</v>
      </c>
      <c r="D437" s="197"/>
    </row>
    <row r="438" spans="1:4" ht="13.5" x14ac:dyDescent="0.25">
      <c r="A438" s="200">
        <v>146</v>
      </c>
      <c r="B438" s="190">
        <f t="shared" ref="B438:B439" si="145">$B$437</f>
        <v>0</v>
      </c>
      <c r="C438" s="196" t="s">
        <v>118</v>
      </c>
      <c r="D438" s="197"/>
    </row>
    <row r="439" spans="1:4" ht="13.5" x14ac:dyDescent="0.25">
      <c r="A439" s="200">
        <v>146</v>
      </c>
      <c r="B439" s="190">
        <f t="shared" si="145"/>
        <v>0</v>
      </c>
      <c r="C439" s="196" t="s">
        <v>119</v>
      </c>
      <c r="D439" s="197"/>
    </row>
    <row r="440" spans="1:4" ht="13.5" x14ac:dyDescent="0.25">
      <c r="A440" s="200">
        <v>147</v>
      </c>
      <c r="B440" s="189"/>
      <c r="C440" s="196" t="s">
        <v>117</v>
      </c>
      <c r="D440" s="197"/>
    </row>
    <row r="441" spans="1:4" ht="13.5" x14ac:dyDescent="0.25">
      <c r="A441" s="200">
        <v>147</v>
      </c>
      <c r="B441" s="190">
        <f t="shared" ref="B441:B442" si="146">$B$440</f>
        <v>0</v>
      </c>
      <c r="C441" s="196" t="s">
        <v>118</v>
      </c>
      <c r="D441" s="197"/>
    </row>
    <row r="442" spans="1:4" ht="13.5" x14ac:dyDescent="0.25">
      <c r="A442" s="200">
        <v>147</v>
      </c>
      <c r="B442" s="190">
        <f t="shared" si="146"/>
        <v>0</v>
      </c>
      <c r="C442" s="196" t="s">
        <v>119</v>
      </c>
      <c r="D442" s="197"/>
    </row>
    <row r="443" spans="1:4" ht="13.5" x14ac:dyDescent="0.25">
      <c r="A443" s="200">
        <v>148</v>
      </c>
      <c r="B443" s="189"/>
      <c r="C443" s="196" t="s">
        <v>117</v>
      </c>
      <c r="D443" s="197"/>
    </row>
    <row r="444" spans="1:4" ht="13.5" x14ac:dyDescent="0.25">
      <c r="A444" s="200">
        <v>148</v>
      </c>
      <c r="B444" s="190">
        <f t="shared" ref="B444:B445" si="147">$B$443</f>
        <v>0</v>
      </c>
      <c r="C444" s="196" t="s">
        <v>118</v>
      </c>
      <c r="D444" s="197"/>
    </row>
    <row r="445" spans="1:4" ht="13.5" x14ac:dyDescent="0.25">
      <c r="A445" s="200">
        <v>148</v>
      </c>
      <c r="B445" s="190">
        <f t="shared" si="147"/>
        <v>0</v>
      </c>
      <c r="C445" s="196" t="s">
        <v>119</v>
      </c>
      <c r="D445" s="197"/>
    </row>
    <row r="446" spans="1:4" ht="13.5" x14ac:dyDescent="0.25">
      <c r="A446" s="200">
        <v>149</v>
      </c>
      <c r="B446" s="189"/>
      <c r="C446" s="196" t="s">
        <v>117</v>
      </c>
      <c r="D446" s="197"/>
    </row>
    <row r="447" spans="1:4" ht="13.5" x14ac:dyDescent="0.25">
      <c r="A447" s="200">
        <v>149</v>
      </c>
      <c r="B447" s="190">
        <f t="shared" ref="B447:B448" si="148">$B$446</f>
        <v>0</v>
      </c>
      <c r="C447" s="196" t="s">
        <v>118</v>
      </c>
      <c r="D447" s="197"/>
    </row>
    <row r="448" spans="1:4" ht="13.5" x14ac:dyDescent="0.25">
      <c r="A448" s="200">
        <v>149</v>
      </c>
      <c r="B448" s="190">
        <f t="shared" si="148"/>
        <v>0</v>
      </c>
      <c r="C448" s="196" t="s">
        <v>119</v>
      </c>
      <c r="D448" s="197"/>
    </row>
    <row r="449" spans="1:4" ht="13.5" x14ac:dyDescent="0.25">
      <c r="A449" s="200">
        <v>150</v>
      </c>
      <c r="B449" s="189"/>
      <c r="C449" s="196" t="s">
        <v>117</v>
      </c>
      <c r="D449" s="197"/>
    </row>
    <row r="450" spans="1:4" ht="13.5" x14ac:dyDescent="0.25">
      <c r="A450" s="200">
        <v>150</v>
      </c>
      <c r="B450" s="190">
        <f t="shared" ref="B450:B451" si="149">$B$449</f>
        <v>0</v>
      </c>
      <c r="C450" s="196" t="s">
        <v>118</v>
      </c>
      <c r="D450" s="197"/>
    </row>
    <row r="451" spans="1:4" ht="13.5" x14ac:dyDescent="0.25">
      <c r="A451" s="200">
        <v>150</v>
      </c>
      <c r="B451" s="190">
        <f t="shared" si="149"/>
        <v>0</v>
      </c>
      <c r="C451" s="196" t="s">
        <v>119</v>
      </c>
      <c r="D451" s="197"/>
    </row>
    <row r="452" spans="1:4" ht="13.5" x14ac:dyDescent="0.25">
      <c r="A452" s="200">
        <v>151</v>
      </c>
      <c r="B452" s="189"/>
      <c r="C452" s="196" t="s">
        <v>117</v>
      </c>
      <c r="D452" s="197"/>
    </row>
    <row r="453" spans="1:4" ht="13.5" x14ac:dyDescent="0.25">
      <c r="A453" s="200">
        <v>151</v>
      </c>
      <c r="B453" s="190">
        <f t="shared" ref="B453:B454" si="150">$B$452</f>
        <v>0</v>
      </c>
      <c r="C453" s="196" t="s">
        <v>118</v>
      </c>
      <c r="D453" s="197"/>
    </row>
    <row r="454" spans="1:4" ht="13.5" x14ac:dyDescent="0.25">
      <c r="A454" s="200">
        <v>151</v>
      </c>
      <c r="B454" s="190">
        <f t="shared" si="150"/>
        <v>0</v>
      </c>
      <c r="C454" s="196" t="s">
        <v>119</v>
      </c>
      <c r="D454" s="197"/>
    </row>
    <row r="455" spans="1:4" ht="13.5" x14ac:dyDescent="0.25">
      <c r="A455" s="200">
        <v>152</v>
      </c>
      <c r="B455" s="189"/>
      <c r="C455" s="196" t="s">
        <v>117</v>
      </c>
      <c r="D455" s="197"/>
    </row>
    <row r="456" spans="1:4" ht="13.5" x14ac:dyDescent="0.25">
      <c r="A456" s="200">
        <v>152</v>
      </c>
      <c r="B456" s="190">
        <f t="shared" ref="B456:B457" si="151">$B$455</f>
        <v>0</v>
      </c>
      <c r="C456" s="196" t="s">
        <v>118</v>
      </c>
      <c r="D456" s="197"/>
    </row>
    <row r="457" spans="1:4" ht="13.5" x14ac:dyDescent="0.25">
      <c r="A457" s="200">
        <v>152</v>
      </c>
      <c r="B457" s="190">
        <f t="shared" si="151"/>
        <v>0</v>
      </c>
      <c r="C457" s="196" t="s">
        <v>119</v>
      </c>
      <c r="D457" s="197"/>
    </row>
    <row r="458" spans="1:4" ht="13.5" x14ac:dyDescent="0.25">
      <c r="A458" s="200">
        <v>153</v>
      </c>
      <c r="B458" s="189"/>
      <c r="C458" s="196" t="s">
        <v>117</v>
      </c>
      <c r="D458" s="197"/>
    </row>
    <row r="459" spans="1:4" ht="13.5" x14ac:dyDescent="0.25">
      <c r="A459" s="200">
        <v>153</v>
      </c>
      <c r="B459" s="190">
        <f t="shared" ref="B459:B460" si="152">$B$458</f>
        <v>0</v>
      </c>
      <c r="C459" s="196" t="s">
        <v>118</v>
      </c>
      <c r="D459" s="197"/>
    </row>
    <row r="460" spans="1:4" ht="13.5" x14ac:dyDescent="0.25">
      <c r="A460" s="200">
        <v>153</v>
      </c>
      <c r="B460" s="190">
        <f t="shared" si="152"/>
        <v>0</v>
      </c>
      <c r="C460" s="196" t="s">
        <v>119</v>
      </c>
      <c r="D460" s="197"/>
    </row>
    <row r="461" spans="1:4" ht="13.5" x14ac:dyDescent="0.25">
      <c r="A461" s="200">
        <v>154</v>
      </c>
      <c r="B461" s="189"/>
      <c r="C461" s="196" t="s">
        <v>117</v>
      </c>
      <c r="D461" s="197"/>
    </row>
    <row r="462" spans="1:4" ht="13.5" x14ac:dyDescent="0.25">
      <c r="A462" s="200">
        <v>154</v>
      </c>
      <c r="B462" s="190">
        <f t="shared" ref="B462:B463" si="153">$B$461</f>
        <v>0</v>
      </c>
      <c r="C462" s="196" t="s">
        <v>118</v>
      </c>
      <c r="D462" s="197"/>
    </row>
    <row r="463" spans="1:4" ht="13.5" x14ac:dyDescent="0.25">
      <c r="A463" s="200">
        <v>154</v>
      </c>
      <c r="B463" s="190">
        <f t="shared" si="153"/>
        <v>0</v>
      </c>
      <c r="C463" s="196" t="s">
        <v>119</v>
      </c>
      <c r="D463" s="197"/>
    </row>
    <row r="464" spans="1:4" ht="13.5" x14ac:dyDescent="0.25">
      <c r="A464" s="200">
        <v>155</v>
      </c>
      <c r="B464" s="189"/>
      <c r="C464" s="196" t="s">
        <v>117</v>
      </c>
      <c r="D464" s="197"/>
    </row>
    <row r="465" spans="1:4" ht="13.5" x14ac:dyDescent="0.25">
      <c r="A465" s="200">
        <v>155</v>
      </c>
      <c r="B465" s="190">
        <f t="shared" ref="B465:B466" si="154">$B$464</f>
        <v>0</v>
      </c>
      <c r="C465" s="196" t="s">
        <v>118</v>
      </c>
      <c r="D465" s="197"/>
    </row>
    <row r="466" spans="1:4" ht="13.5" x14ac:dyDescent="0.25">
      <c r="A466" s="200">
        <v>155</v>
      </c>
      <c r="B466" s="190">
        <f t="shared" si="154"/>
        <v>0</v>
      </c>
      <c r="C466" s="196" t="s">
        <v>119</v>
      </c>
      <c r="D466" s="197"/>
    </row>
    <row r="467" spans="1:4" ht="13.5" x14ac:dyDescent="0.25">
      <c r="A467" s="200">
        <v>156</v>
      </c>
      <c r="B467" s="189"/>
      <c r="C467" s="196" t="s">
        <v>117</v>
      </c>
      <c r="D467" s="197"/>
    </row>
    <row r="468" spans="1:4" ht="13.5" x14ac:dyDescent="0.25">
      <c r="A468" s="200">
        <v>156</v>
      </c>
      <c r="B468" s="190">
        <f t="shared" ref="B468:B469" si="155">$B$467</f>
        <v>0</v>
      </c>
      <c r="C468" s="196" t="s">
        <v>118</v>
      </c>
      <c r="D468" s="197"/>
    </row>
    <row r="469" spans="1:4" ht="13.5" x14ac:dyDescent="0.25">
      <c r="A469" s="200">
        <v>156</v>
      </c>
      <c r="B469" s="190">
        <f t="shared" si="155"/>
        <v>0</v>
      </c>
      <c r="C469" s="196" t="s">
        <v>119</v>
      </c>
      <c r="D469" s="197"/>
    </row>
    <row r="470" spans="1:4" ht="13.5" x14ac:dyDescent="0.25">
      <c r="A470" s="200">
        <v>157</v>
      </c>
      <c r="B470" s="189"/>
      <c r="C470" s="196" t="s">
        <v>117</v>
      </c>
      <c r="D470" s="197"/>
    </row>
    <row r="471" spans="1:4" ht="13.5" x14ac:dyDescent="0.25">
      <c r="A471" s="200">
        <v>157</v>
      </c>
      <c r="B471" s="190">
        <f t="shared" ref="B471:B472" si="156">$B$470</f>
        <v>0</v>
      </c>
      <c r="C471" s="196" t="s">
        <v>118</v>
      </c>
      <c r="D471" s="197"/>
    </row>
    <row r="472" spans="1:4" ht="13.5" x14ac:dyDescent="0.25">
      <c r="A472" s="200">
        <v>157</v>
      </c>
      <c r="B472" s="190">
        <f t="shared" si="156"/>
        <v>0</v>
      </c>
      <c r="C472" s="196" t="s">
        <v>119</v>
      </c>
      <c r="D472" s="197"/>
    </row>
    <row r="473" spans="1:4" ht="13.5" x14ac:dyDescent="0.25">
      <c r="A473" s="200">
        <v>158</v>
      </c>
      <c r="B473" s="189"/>
      <c r="C473" s="196" t="s">
        <v>117</v>
      </c>
      <c r="D473" s="197"/>
    </row>
    <row r="474" spans="1:4" ht="13.5" x14ac:dyDescent="0.25">
      <c r="A474" s="200">
        <v>158</v>
      </c>
      <c r="B474" s="190">
        <f t="shared" ref="B474:B475" si="157">$B$473</f>
        <v>0</v>
      </c>
      <c r="C474" s="196" t="s">
        <v>118</v>
      </c>
      <c r="D474" s="197"/>
    </row>
    <row r="475" spans="1:4" ht="13.5" x14ac:dyDescent="0.25">
      <c r="A475" s="200">
        <v>158</v>
      </c>
      <c r="B475" s="190">
        <f t="shared" si="157"/>
        <v>0</v>
      </c>
      <c r="C475" s="196" t="s">
        <v>119</v>
      </c>
      <c r="D475" s="197"/>
    </row>
    <row r="476" spans="1:4" ht="13.5" x14ac:dyDescent="0.25">
      <c r="A476" s="200">
        <v>159</v>
      </c>
      <c r="B476" s="189"/>
      <c r="C476" s="196" t="s">
        <v>117</v>
      </c>
      <c r="D476" s="197"/>
    </row>
    <row r="477" spans="1:4" ht="13.5" x14ac:dyDescent="0.25">
      <c r="A477" s="200">
        <v>159</v>
      </c>
      <c r="B477" s="190">
        <f t="shared" ref="B477:B478" si="158">$B$476</f>
        <v>0</v>
      </c>
      <c r="C477" s="196" t="s">
        <v>118</v>
      </c>
      <c r="D477" s="197"/>
    </row>
    <row r="478" spans="1:4" ht="13.5" x14ac:dyDescent="0.25">
      <c r="A478" s="200">
        <v>159</v>
      </c>
      <c r="B478" s="190">
        <f t="shared" si="158"/>
        <v>0</v>
      </c>
      <c r="C478" s="196" t="s">
        <v>119</v>
      </c>
      <c r="D478" s="197"/>
    </row>
    <row r="479" spans="1:4" ht="13.5" x14ac:dyDescent="0.25">
      <c r="A479" s="200">
        <v>160</v>
      </c>
      <c r="B479" s="189"/>
      <c r="C479" s="196" t="s">
        <v>117</v>
      </c>
      <c r="D479" s="197"/>
    </row>
    <row r="480" spans="1:4" ht="13.5" x14ac:dyDescent="0.25">
      <c r="A480" s="200">
        <v>160</v>
      </c>
      <c r="B480" s="190">
        <f t="shared" ref="B480:B481" si="159">$B$479</f>
        <v>0</v>
      </c>
      <c r="C480" s="196" t="s">
        <v>118</v>
      </c>
      <c r="D480" s="197"/>
    </row>
    <row r="481" spans="1:4" ht="13.5" x14ac:dyDescent="0.25">
      <c r="A481" s="200">
        <v>160</v>
      </c>
      <c r="B481" s="190">
        <f t="shared" si="159"/>
        <v>0</v>
      </c>
      <c r="C481" s="196" t="s">
        <v>119</v>
      </c>
      <c r="D481" s="197"/>
    </row>
    <row r="482" spans="1:4" ht="13.5" x14ac:dyDescent="0.25">
      <c r="A482" s="200">
        <v>161</v>
      </c>
      <c r="B482" s="189"/>
      <c r="C482" s="196" t="s">
        <v>117</v>
      </c>
      <c r="D482" s="197"/>
    </row>
    <row r="483" spans="1:4" ht="13.5" x14ac:dyDescent="0.25">
      <c r="A483" s="200">
        <v>161</v>
      </c>
      <c r="B483" s="190">
        <f t="shared" ref="B483:B484" si="160">$B$482</f>
        <v>0</v>
      </c>
      <c r="C483" s="196" t="s">
        <v>118</v>
      </c>
      <c r="D483" s="197"/>
    </row>
    <row r="484" spans="1:4" ht="13.5" x14ac:dyDescent="0.25">
      <c r="A484" s="200">
        <v>161</v>
      </c>
      <c r="B484" s="190">
        <f t="shared" si="160"/>
        <v>0</v>
      </c>
      <c r="C484" s="196" t="s">
        <v>119</v>
      </c>
      <c r="D484" s="197"/>
    </row>
    <row r="485" spans="1:4" ht="13.5" x14ac:dyDescent="0.25">
      <c r="A485" s="200">
        <v>162</v>
      </c>
      <c r="B485" s="189"/>
      <c r="C485" s="196" t="s">
        <v>117</v>
      </c>
      <c r="D485" s="197"/>
    </row>
    <row r="486" spans="1:4" ht="13.5" x14ac:dyDescent="0.25">
      <c r="A486" s="200">
        <v>162</v>
      </c>
      <c r="B486" s="190">
        <f t="shared" ref="B486:B487" si="161">$B$485</f>
        <v>0</v>
      </c>
      <c r="C486" s="196" t="s">
        <v>118</v>
      </c>
      <c r="D486" s="197"/>
    </row>
    <row r="487" spans="1:4" ht="13.5" x14ac:dyDescent="0.25">
      <c r="A487" s="200">
        <v>162</v>
      </c>
      <c r="B487" s="190">
        <f t="shared" si="161"/>
        <v>0</v>
      </c>
      <c r="C487" s="196" t="s">
        <v>119</v>
      </c>
      <c r="D487" s="197"/>
    </row>
    <row r="488" spans="1:4" ht="13.5" x14ac:dyDescent="0.25">
      <c r="A488" s="200">
        <v>163</v>
      </c>
      <c r="B488" s="189"/>
      <c r="C488" s="196" t="s">
        <v>117</v>
      </c>
      <c r="D488" s="197"/>
    </row>
    <row r="489" spans="1:4" ht="13.5" x14ac:dyDescent="0.25">
      <c r="A489" s="200">
        <v>163</v>
      </c>
      <c r="B489" s="190">
        <f t="shared" ref="B489:B490" si="162">$B$488</f>
        <v>0</v>
      </c>
      <c r="C489" s="196" t="s">
        <v>118</v>
      </c>
      <c r="D489" s="197"/>
    </row>
    <row r="490" spans="1:4" ht="13.5" x14ac:dyDescent="0.25">
      <c r="A490" s="200">
        <v>163</v>
      </c>
      <c r="B490" s="190">
        <f t="shared" si="162"/>
        <v>0</v>
      </c>
      <c r="C490" s="196" t="s">
        <v>119</v>
      </c>
      <c r="D490" s="197"/>
    </row>
    <row r="491" spans="1:4" ht="13.5" x14ac:dyDescent="0.25">
      <c r="A491" s="200">
        <v>164</v>
      </c>
      <c r="B491" s="189"/>
      <c r="C491" s="196" t="s">
        <v>117</v>
      </c>
      <c r="D491" s="197"/>
    </row>
    <row r="492" spans="1:4" ht="13.5" x14ac:dyDescent="0.25">
      <c r="A492" s="200">
        <v>164</v>
      </c>
      <c r="B492" s="190">
        <f t="shared" ref="B492:B493" si="163">$B$491</f>
        <v>0</v>
      </c>
      <c r="C492" s="196" t="s">
        <v>118</v>
      </c>
      <c r="D492" s="197"/>
    </row>
    <row r="493" spans="1:4" ht="13.5" x14ac:dyDescent="0.25">
      <c r="A493" s="200">
        <v>164</v>
      </c>
      <c r="B493" s="190">
        <f t="shared" si="163"/>
        <v>0</v>
      </c>
      <c r="C493" s="196" t="s">
        <v>119</v>
      </c>
      <c r="D493" s="197"/>
    </row>
    <row r="494" spans="1:4" ht="13.5" x14ac:dyDescent="0.25">
      <c r="A494" s="200">
        <v>165</v>
      </c>
      <c r="B494" s="189"/>
      <c r="C494" s="196" t="s">
        <v>117</v>
      </c>
      <c r="D494" s="197"/>
    </row>
    <row r="495" spans="1:4" ht="13.5" x14ac:dyDescent="0.25">
      <c r="A495" s="200">
        <v>165</v>
      </c>
      <c r="B495" s="190">
        <f t="shared" ref="B495:B496" si="164">$B$494</f>
        <v>0</v>
      </c>
      <c r="C495" s="196" t="s">
        <v>118</v>
      </c>
      <c r="D495" s="197"/>
    </row>
    <row r="496" spans="1:4" ht="13.5" x14ac:dyDescent="0.25">
      <c r="A496" s="200">
        <v>165</v>
      </c>
      <c r="B496" s="190">
        <f t="shared" si="164"/>
        <v>0</v>
      </c>
      <c r="C496" s="196" t="s">
        <v>119</v>
      </c>
      <c r="D496" s="197"/>
    </row>
    <row r="497" spans="1:4" ht="13.5" x14ac:dyDescent="0.25">
      <c r="A497" s="200">
        <v>166</v>
      </c>
      <c r="B497" s="189"/>
      <c r="C497" s="196" t="s">
        <v>117</v>
      </c>
      <c r="D497" s="197"/>
    </row>
    <row r="498" spans="1:4" ht="13.5" x14ac:dyDescent="0.25">
      <c r="A498" s="200">
        <v>166</v>
      </c>
      <c r="B498" s="190">
        <f t="shared" ref="B498:B499" si="165">$B$497</f>
        <v>0</v>
      </c>
      <c r="C498" s="196" t="s">
        <v>118</v>
      </c>
      <c r="D498" s="197"/>
    </row>
    <row r="499" spans="1:4" ht="13.5" x14ac:dyDescent="0.25">
      <c r="A499" s="200">
        <v>166</v>
      </c>
      <c r="B499" s="190">
        <f t="shared" si="165"/>
        <v>0</v>
      </c>
      <c r="C499" s="196" t="s">
        <v>119</v>
      </c>
      <c r="D499" s="197"/>
    </row>
    <row r="500" spans="1:4" ht="13.5" x14ac:dyDescent="0.25">
      <c r="A500" s="200">
        <v>167</v>
      </c>
      <c r="B500" s="189"/>
      <c r="C500" s="196" t="s">
        <v>117</v>
      </c>
      <c r="D500" s="197"/>
    </row>
    <row r="501" spans="1:4" ht="13.5" x14ac:dyDescent="0.25">
      <c r="A501" s="200">
        <v>167</v>
      </c>
      <c r="B501" s="190">
        <f t="shared" ref="B501:B502" si="166">$B$500</f>
        <v>0</v>
      </c>
      <c r="C501" s="196" t="s">
        <v>118</v>
      </c>
      <c r="D501" s="197"/>
    </row>
    <row r="502" spans="1:4" ht="13.5" x14ac:dyDescent="0.25">
      <c r="A502" s="200">
        <v>167</v>
      </c>
      <c r="B502" s="190">
        <f t="shared" si="166"/>
        <v>0</v>
      </c>
      <c r="C502" s="196" t="s">
        <v>119</v>
      </c>
      <c r="D502" s="197"/>
    </row>
    <row r="503" spans="1:4" ht="13.5" x14ac:dyDescent="0.25">
      <c r="A503" s="200">
        <v>168</v>
      </c>
      <c r="B503" s="189"/>
      <c r="C503" s="196" t="s">
        <v>117</v>
      </c>
      <c r="D503" s="197"/>
    </row>
    <row r="504" spans="1:4" ht="13.5" x14ac:dyDescent="0.25">
      <c r="A504" s="200">
        <v>168</v>
      </c>
      <c r="B504" s="190">
        <f t="shared" ref="B504:B505" si="167">$B$503</f>
        <v>0</v>
      </c>
      <c r="C504" s="196" t="s">
        <v>118</v>
      </c>
      <c r="D504" s="197"/>
    </row>
    <row r="505" spans="1:4" ht="13.5" x14ac:dyDescent="0.25">
      <c r="A505" s="200">
        <v>168</v>
      </c>
      <c r="B505" s="190">
        <f t="shared" si="167"/>
        <v>0</v>
      </c>
      <c r="C505" s="196" t="s">
        <v>119</v>
      </c>
      <c r="D505" s="197"/>
    </row>
    <row r="506" spans="1:4" ht="13.5" x14ac:dyDescent="0.25">
      <c r="A506" s="200">
        <v>169</v>
      </c>
      <c r="B506" s="189"/>
      <c r="C506" s="196" t="s">
        <v>117</v>
      </c>
      <c r="D506" s="197"/>
    </row>
    <row r="507" spans="1:4" ht="13.5" x14ac:dyDescent="0.25">
      <c r="A507" s="200">
        <v>169</v>
      </c>
      <c r="B507" s="190">
        <f t="shared" ref="B507:B508" si="168">$B$506</f>
        <v>0</v>
      </c>
      <c r="C507" s="196" t="s">
        <v>118</v>
      </c>
      <c r="D507" s="197"/>
    </row>
    <row r="508" spans="1:4" ht="13.5" x14ac:dyDescent="0.25">
      <c r="A508" s="200">
        <v>169</v>
      </c>
      <c r="B508" s="190">
        <f t="shared" si="168"/>
        <v>0</v>
      </c>
      <c r="C508" s="196" t="s">
        <v>119</v>
      </c>
      <c r="D508" s="197"/>
    </row>
    <row r="509" spans="1:4" ht="13.5" x14ac:dyDescent="0.25">
      <c r="A509" s="200">
        <v>170</v>
      </c>
      <c r="B509" s="189"/>
      <c r="C509" s="196" t="s">
        <v>117</v>
      </c>
      <c r="D509" s="197"/>
    </row>
    <row r="510" spans="1:4" ht="13.5" x14ac:dyDescent="0.25">
      <c r="A510" s="200">
        <v>170</v>
      </c>
      <c r="B510" s="190">
        <f t="shared" ref="B510:B511" si="169">$B$509</f>
        <v>0</v>
      </c>
      <c r="C510" s="196" t="s">
        <v>118</v>
      </c>
      <c r="D510" s="197"/>
    </row>
    <row r="511" spans="1:4" ht="13.5" x14ac:dyDescent="0.25">
      <c r="A511" s="200">
        <v>170</v>
      </c>
      <c r="B511" s="190">
        <f t="shared" si="169"/>
        <v>0</v>
      </c>
      <c r="C511" s="196" t="s">
        <v>119</v>
      </c>
      <c r="D511" s="197"/>
    </row>
    <row r="512" spans="1:4" ht="13.5" x14ac:dyDescent="0.25">
      <c r="A512" s="200">
        <v>171</v>
      </c>
      <c r="B512" s="189"/>
      <c r="C512" s="196" t="s">
        <v>117</v>
      </c>
      <c r="D512" s="197"/>
    </row>
    <row r="513" spans="1:4" ht="13.5" x14ac:dyDescent="0.25">
      <c r="A513" s="200">
        <v>171</v>
      </c>
      <c r="B513" s="190">
        <f t="shared" ref="B513:B514" si="170">$B$512</f>
        <v>0</v>
      </c>
      <c r="C513" s="196" t="s">
        <v>118</v>
      </c>
      <c r="D513" s="197"/>
    </row>
    <row r="514" spans="1:4" ht="13.5" x14ac:dyDescent="0.25">
      <c r="A514" s="200">
        <v>171</v>
      </c>
      <c r="B514" s="190">
        <f t="shared" si="170"/>
        <v>0</v>
      </c>
      <c r="C514" s="196" t="s">
        <v>119</v>
      </c>
      <c r="D514" s="197"/>
    </row>
    <row r="515" spans="1:4" ht="13.5" x14ac:dyDescent="0.25">
      <c r="A515" s="200">
        <v>172</v>
      </c>
      <c r="B515" s="189"/>
      <c r="C515" s="196" t="s">
        <v>117</v>
      </c>
      <c r="D515" s="197"/>
    </row>
    <row r="516" spans="1:4" ht="13.5" x14ac:dyDescent="0.25">
      <c r="A516" s="200">
        <v>172</v>
      </c>
      <c r="B516" s="190">
        <f t="shared" ref="B516:B517" si="171">$B$515</f>
        <v>0</v>
      </c>
      <c r="C516" s="196" t="s">
        <v>118</v>
      </c>
      <c r="D516" s="197"/>
    </row>
    <row r="517" spans="1:4" ht="13.5" x14ac:dyDescent="0.25">
      <c r="A517" s="200">
        <v>172</v>
      </c>
      <c r="B517" s="190">
        <f t="shared" si="171"/>
        <v>0</v>
      </c>
      <c r="C517" s="196" t="s">
        <v>119</v>
      </c>
      <c r="D517" s="197"/>
    </row>
    <row r="518" spans="1:4" ht="13.5" x14ac:dyDescent="0.25">
      <c r="A518" s="200">
        <v>173</v>
      </c>
      <c r="B518" s="189"/>
      <c r="C518" s="196" t="s">
        <v>117</v>
      </c>
      <c r="D518" s="197"/>
    </row>
    <row r="519" spans="1:4" ht="13.5" x14ac:dyDescent="0.25">
      <c r="A519" s="200">
        <v>173</v>
      </c>
      <c r="B519" s="190">
        <f t="shared" ref="B519:B520" si="172">$B$518</f>
        <v>0</v>
      </c>
      <c r="C519" s="196" t="s">
        <v>118</v>
      </c>
      <c r="D519" s="197"/>
    </row>
    <row r="520" spans="1:4" ht="13.5" x14ac:dyDescent="0.25">
      <c r="A520" s="200">
        <v>173</v>
      </c>
      <c r="B520" s="190">
        <f t="shared" si="172"/>
        <v>0</v>
      </c>
      <c r="C520" s="196" t="s">
        <v>119</v>
      </c>
      <c r="D520" s="197"/>
    </row>
    <row r="521" spans="1:4" ht="13.5" x14ac:dyDescent="0.25">
      <c r="A521" s="200">
        <v>174</v>
      </c>
      <c r="B521" s="189"/>
      <c r="C521" s="196" t="s">
        <v>117</v>
      </c>
      <c r="D521" s="197"/>
    </row>
    <row r="522" spans="1:4" ht="13.5" x14ac:dyDescent="0.25">
      <c r="A522" s="200">
        <v>174</v>
      </c>
      <c r="B522" s="190">
        <f t="shared" ref="B522:B523" si="173">$B$521</f>
        <v>0</v>
      </c>
      <c r="C522" s="196" t="s">
        <v>118</v>
      </c>
      <c r="D522" s="197"/>
    </row>
    <row r="523" spans="1:4" ht="13.5" x14ac:dyDescent="0.25">
      <c r="A523" s="200">
        <v>174</v>
      </c>
      <c r="B523" s="190">
        <f t="shared" si="173"/>
        <v>0</v>
      </c>
      <c r="C523" s="196" t="s">
        <v>119</v>
      </c>
      <c r="D523" s="197"/>
    </row>
    <row r="524" spans="1:4" ht="13.5" x14ac:dyDescent="0.25">
      <c r="A524" s="200">
        <v>175</v>
      </c>
      <c r="B524" s="189"/>
      <c r="C524" s="196" t="s">
        <v>117</v>
      </c>
      <c r="D524" s="197"/>
    </row>
    <row r="525" spans="1:4" ht="13.5" x14ac:dyDescent="0.25">
      <c r="A525" s="200">
        <v>175</v>
      </c>
      <c r="B525" s="190">
        <f t="shared" ref="B525:B526" si="174">$B$524</f>
        <v>0</v>
      </c>
      <c r="C525" s="196" t="s">
        <v>118</v>
      </c>
      <c r="D525" s="197"/>
    </row>
    <row r="526" spans="1:4" ht="13.5" x14ac:dyDescent="0.25">
      <c r="A526" s="200">
        <v>175</v>
      </c>
      <c r="B526" s="190">
        <f t="shared" si="174"/>
        <v>0</v>
      </c>
      <c r="C526" s="196" t="s">
        <v>119</v>
      </c>
      <c r="D526" s="197"/>
    </row>
    <row r="527" spans="1:4" ht="13.5" x14ac:dyDescent="0.25">
      <c r="A527" s="200">
        <v>176</v>
      </c>
      <c r="B527" s="189"/>
      <c r="C527" s="196" t="s">
        <v>117</v>
      </c>
      <c r="D527" s="197"/>
    </row>
    <row r="528" spans="1:4" ht="13.5" x14ac:dyDescent="0.25">
      <c r="A528" s="200">
        <v>176</v>
      </c>
      <c r="B528" s="190">
        <f t="shared" ref="B528:B529" si="175">$B$527</f>
        <v>0</v>
      </c>
      <c r="C528" s="196" t="s">
        <v>118</v>
      </c>
      <c r="D528" s="197"/>
    </row>
    <row r="529" spans="1:4" ht="13.5" x14ac:dyDescent="0.25">
      <c r="A529" s="200">
        <v>176</v>
      </c>
      <c r="B529" s="190">
        <f t="shared" si="175"/>
        <v>0</v>
      </c>
      <c r="C529" s="196" t="s">
        <v>119</v>
      </c>
      <c r="D529" s="197"/>
    </row>
    <row r="530" spans="1:4" ht="13.5" x14ac:dyDescent="0.25">
      <c r="A530" s="200">
        <v>177</v>
      </c>
      <c r="B530" s="189"/>
      <c r="C530" s="196" t="s">
        <v>117</v>
      </c>
      <c r="D530" s="197"/>
    </row>
    <row r="531" spans="1:4" ht="13.5" x14ac:dyDescent="0.25">
      <c r="A531" s="200">
        <v>177</v>
      </c>
      <c r="B531" s="190">
        <f t="shared" ref="B531:B532" si="176">$B$530</f>
        <v>0</v>
      </c>
      <c r="C531" s="196" t="s">
        <v>118</v>
      </c>
      <c r="D531" s="197"/>
    </row>
    <row r="532" spans="1:4" ht="13.5" x14ac:dyDescent="0.25">
      <c r="A532" s="200">
        <v>177</v>
      </c>
      <c r="B532" s="190">
        <f t="shared" si="176"/>
        <v>0</v>
      </c>
      <c r="C532" s="196" t="s">
        <v>119</v>
      </c>
      <c r="D532" s="197"/>
    </row>
    <row r="533" spans="1:4" ht="13.5" x14ac:dyDescent="0.25">
      <c r="A533" s="200">
        <v>178</v>
      </c>
      <c r="B533" s="189"/>
      <c r="C533" s="196" t="s">
        <v>117</v>
      </c>
      <c r="D533" s="197"/>
    </row>
    <row r="534" spans="1:4" ht="13.5" x14ac:dyDescent="0.25">
      <c r="A534" s="200">
        <v>178</v>
      </c>
      <c r="B534" s="190">
        <f t="shared" ref="B534:B535" si="177">$B$533</f>
        <v>0</v>
      </c>
      <c r="C534" s="196" t="s">
        <v>118</v>
      </c>
      <c r="D534" s="197"/>
    </row>
    <row r="535" spans="1:4" ht="13.5" x14ac:dyDescent="0.25">
      <c r="A535" s="200">
        <v>178</v>
      </c>
      <c r="B535" s="190">
        <f t="shared" si="177"/>
        <v>0</v>
      </c>
      <c r="C535" s="196" t="s">
        <v>119</v>
      </c>
      <c r="D535" s="197"/>
    </row>
    <row r="536" spans="1:4" ht="13.5" x14ac:dyDescent="0.25">
      <c r="A536" s="200">
        <v>179</v>
      </c>
      <c r="B536" s="189"/>
      <c r="C536" s="196" t="s">
        <v>117</v>
      </c>
      <c r="D536" s="197"/>
    </row>
    <row r="537" spans="1:4" ht="13.5" x14ac:dyDescent="0.25">
      <c r="A537" s="200">
        <v>179</v>
      </c>
      <c r="B537" s="190">
        <f t="shared" ref="B537:B538" si="178">$B$536</f>
        <v>0</v>
      </c>
      <c r="C537" s="196" t="s">
        <v>118</v>
      </c>
      <c r="D537" s="197"/>
    </row>
    <row r="538" spans="1:4" ht="13.5" x14ac:dyDescent="0.25">
      <c r="A538" s="200">
        <v>179</v>
      </c>
      <c r="B538" s="190">
        <f t="shared" si="178"/>
        <v>0</v>
      </c>
      <c r="C538" s="196" t="s">
        <v>119</v>
      </c>
      <c r="D538" s="197"/>
    </row>
    <row r="539" spans="1:4" ht="13.5" x14ac:dyDescent="0.25">
      <c r="A539" s="200">
        <v>180</v>
      </c>
      <c r="B539" s="189"/>
      <c r="C539" s="196" t="s">
        <v>117</v>
      </c>
      <c r="D539" s="197"/>
    </row>
    <row r="540" spans="1:4" ht="13.5" x14ac:dyDescent="0.25">
      <c r="A540" s="200">
        <v>180</v>
      </c>
      <c r="B540" s="190">
        <f t="shared" ref="B540:B541" si="179">$B$539</f>
        <v>0</v>
      </c>
      <c r="C540" s="196" t="s">
        <v>118</v>
      </c>
      <c r="D540" s="197"/>
    </row>
    <row r="541" spans="1:4" ht="13.5" x14ac:dyDescent="0.25">
      <c r="A541" s="200">
        <v>180</v>
      </c>
      <c r="B541" s="190">
        <f t="shared" si="179"/>
        <v>0</v>
      </c>
      <c r="C541" s="196" t="s">
        <v>119</v>
      </c>
      <c r="D541" s="197"/>
    </row>
    <row r="542" spans="1:4" ht="13.5" x14ac:dyDescent="0.25">
      <c r="A542" s="200">
        <v>181</v>
      </c>
      <c r="B542" s="189"/>
      <c r="C542" s="196" t="s">
        <v>117</v>
      </c>
      <c r="D542" s="197"/>
    </row>
    <row r="543" spans="1:4" ht="13.5" x14ac:dyDescent="0.25">
      <c r="A543" s="200">
        <v>181</v>
      </c>
      <c r="B543" s="190">
        <f t="shared" ref="B543:B544" si="180">$B$542</f>
        <v>0</v>
      </c>
      <c r="C543" s="196" t="s">
        <v>118</v>
      </c>
      <c r="D543" s="197"/>
    </row>
    <row r="544" spans="1:4" ht="13.5" x14ac:dyDescent="0.25">
      <c r="A544" s="200">
        <v>181</v>
      </c>
      <c r="B544" s="190">
        <f t="shared" si="180"/>
        <v>0</v>
      </c>
      <c r="C544" s="196" t="s">
        <v>119</v>
      </c>
      <c r="D544" s="197"/>
    </row>
    <row r="545" spans="1:4" ht="13.5" x14ac:dyDescent="0.25">
      <c r="A545" s="200">
        <v>182</v>
      </c>
      <c r="B545" s="189"/>
      <c r="C545" s="196" t="s">
        <v>117</v>
      </c>
      <c r="D545" s="197"/>
    </row>
    <row r="546" spans="1:4" ht="13.5" x14ac:dyDescent="0.25">
      <c r="A546" s="200">
        <v>182</v>
      </c>
      <c r="B546" s="190">
        <f t="shared" ref="B546:B547" si="181">$B$545</f>
        <v>0</v>
      </c>
      <c r="C546" s="196" t="s">
        <v>118</v>
      </c>
      <c r="D546" s="197"/>
    </row>
    <row r="547" spans="1:4" ht="13.5" x14ac:dyDescent="0.25">
      <c r="A547" s="200">
        <v>182</v>
      </c>
      <c r="B547" s="190">
        <f t="shared" si="181"/>
        <v>0</v>
      </c>
      <c r="C547" s="196" t="s">
        <v>119</v>
      </c>
      <c r="D547" s="197"/>
    </row>
    <row r="548" spans="1:4" ht="13.5" x14ac:dyDescent="0.25">
      <c r="A548" s="200">
        <v>183</v>
      </c>
      <c r="B548" s="189"/>
      <c r="C548" s="196" t="s">
        <v>117</v>
      </c>
      <c r="D548" s="197"/>
    </row>
    <row r="549" spans="1:4" ht="13.5" x14ac:dyDescent="0.25">
      <c r="A549" s="200">
        <v>183</v>
      </c>
      <c r="B549" s="190">
        <f t="shared" ref="B549:B550" si="182">$B$548</f>
        <v>0</v>
      </c>
      <c r="C549" s="196" t="s">
        <v>118</v>
      </c>
      <c r="D549" s="197"/>
    </row>
    <row r="550" spans="1:4" ht="13.5" x14ac:dyDescent="0.25">
      <c r="A550" s="200">
        <v>183</v>
      </c>
      <c r="B550" s="190">
        <f t="shared" si="182"/>
        <v>0</v>
      </c>
      <c r="C550" s="196" t="s">
        <v>119</v>
      </c>
      <c r="D550" s="197"/>
    </row>
    <row r="551" spans="1:4" ht="13.5" x14ac:dyDescent="0.25">
      <c r="A551" s="200">
        <v>184</v>
      </c>
      <c r="B551" s="189"/>
      <c r="C551" s="196" t="s">
        <v>117</v>
      </c>
      <c r="D551" s="197"/>
    </row>
    <row r="552" spans="1:4" ht="13.5" x14ac:dyDescent="0.25">
      <c r="A552" s="200">
        <v>184</v>
      </c>
      <c r="B552" s="190">
        <f t="shared" ref="B552:B553" si="183">$B$551</f>
        <v>0</v>
      </c>
      <c r="C552" s="196" t="s">
        <v>118</v>
      </c>
      <c r="D552" s="197"/>
    </row>
    <row r="553" spans="1:4" ht="13.5" x14ac:dyDescent="0.25">
      <c r="A553" s="200">
        <v>184</v>
      </c>
      <c r="B553" s="190">
        <f t="shared" si="183"/>
        <v>0</v>
      </c>
      <c r="C553" s="196" t="s">
        <v>119</v>
      </c>
      <c r="D553" s="197"/>
    </row>
    <row r="554" spans="1:4" ht="13.5" x14ac:dyDescent="0.25">
      <c r="A554" s="200">
        <v>185</v>
      </c>
      <c r="B554" s="189"/>
      <c r="C554" s="196" t="s">
        <v>117</v>
      </c>
      <c r="D554" s="197"/>
    </row>
    <row r="555" spans="1:4" ht="13.5" x14ac:dyDescent="0.25">
      <c r="A555" s="200">
        <v>185</v>
      </c>
      <c r="B555" s="190">
        <f t="shared" ref="B555:B556" si="184">$B$554</f>
        <v>0</v>
      </c>
      <c r="C555" s="196" t="s">
        <v>118</v>
      </c>
      <c r="D555" s="197"/>
    </row>
    <row r="556" spans="1:4" ht="13.5" x14ac:dyDescent="0.25">
      <c r="A556" s="200">
        <v>185</v>
      </c>
      <c r="B556" s="190">
        <f t="shared" si="184"/>
        <v>0</v>
      </c>
      <c r="C556" s="196" t="s">
        <v>119</v>
      </c>
      <c r="D556" s="197"/>
    </row>
    <row r="557" spans="1:4" ht="13.5" x14ac:dyDescent="0.25">
      <c r="A557" s="200">
        <v>186</v>
      </c>
      <c r="B557" s="189"/>
      <c r="C557" s="196" t="s">
        <v>117</v>
      </c>
      <c r="D557" s="197"/>
    </row>
    <row r="558" spans="1:4" ht="13.5" x14ac:dyDescent="0.25">
      <c r="A558" s="200">
        <v>186</v>
      </c>
      <c r="B558" s="190">
        <f t="shared" ref="B558:B559" si="185">$B$557</f>
        <v>0</v>
      </c>
      <c r="C558" s="196" t="s">
        <v>118</v>
      </c>
      <c r="D558" s="197"/>
    </row>
    <row r="559" spans="1:4" ht="13.5" x14ac:dyDescent="0.25">
      <c r="A559" s="200">
        <v>186</v>
      </c>
      <c r="B559" s="190">
        <f t="shared" si="185"/>
        <v>0</v>
      </c>
      <c r="C559" s="196" t="s">
        <v>119</v>
      </c>
      <c r="D559" s="197"/>
    </row>
    <row r="560" spans="1:4" ht="13.5" x14ac:dyDescent="0.25">
      <c r="A560" s="200">
        <v>187</v>
      </c>
      <c r="B560" s="189"/>
      <c r="C560" s="196" t="s">
        <v>117</v>
      </c>
      <c r="D560" s="197"/>
    </row>
    <row r="561" spans="1:4" ht="13.5" x14ac:dyDescent="0.25">
      <c r="A561" s="200">
        <v>187</v>
      </c>
      <c r="B561" s="190">
        <f t="shared" ref="B561:B562" si="186">$B$560</f>
        <v>0</v>
      </c>
      <c r="C561" s="196" t="s">
        <v>118</v>
      </c>
      <c r="D561" s="197"/>
    </row>
    <row r="562" spans="1:4" ht="13.5" x14ac:dyDescent="0.25">
      <c r="A562" s="200">
        <v>187</v>
      </c>
      <c r="B562" s="190">
        <f t="shared" si="186"/>
        <v>0</v>
      </c>
      <c r="C562" s="196" t="s">
        <v>119</v>
      </c>
      <c r="D562" s="197"/>
    </row>
    <row r="563" spans="1:4" ht="13.5" x14ac:dyDescent="0.25">
      <c r="A563" s="200">
        <v>188</v>
      </c>
      <c r="B563" s="189"/>
      <c r="C563" s="196" t="s">
        <v>117</v>
      </c>
      <c r="D563" s="197"/>
    </row>
    <row r="564" spans="1:4" ht="13.5" x14ac:dyDescent="0.25">
      <c r="A564" s="200">
        <v>188</v>
      </c>
      <c r="B564" s="190">
        <f t="shared" ref="B564:B565" si="187">$B$563</f>
        <v>0</v>
      </c>
      <c r="C564" s="196" t="s">
        <v>118</v>
      </c>
      <c r="D564" s="197"/>
    </row>
    <row r="565" spans="1:4" ht="13.5" x14ac:dyDescent="0.25">
      <c r="A565" s="200">
        <v>188</v>
      </c>
      <c r="B565" s="190">
        <f t="shared" si="187"/>
        <v>0</v>
      </c>
      <c r="C565" s="196" t="s">
        <v>119</v>
      </c>
      <c r="D565" s="197"/>
    </row>
    <row r="566" spans="1:4" ht="13.5" x14ac:dyDescent="0.25">
      <c r="A566" s="200">
        <v>189</v>
      </c>
      <c r="B566" s="189"/>
      <c r="C566" s="196" t="s">
        <v>117</v>
      </c>
      <c r="D566" s="197"/>
    </row>
    <row r="567" spans="1:4" ht="13.5" x14ac:dyDescent="0.25">
      <c r="A567" s="200">
        <v>189</v>
      </c>
      <c r="B567" s="190">
        <f t="shared" ref="B567:B568" si="188">$B$566</f>
        <v>0</v>
      </c>
      <c r="C567" s="196" t="s">
        <v>118</v>
      </c>
      <c r="D567" s="197"/>
    </row>
    <row r="568" spans="1:4" ht="13.5" x14ac:dyDescent="0.25">
      <c r="A568" s="200">
        <v>189</v>
      </c>
      <c r="B568" s="190">
        <f t="shared" si="188"/>
        <v>0</v>
      </c>
      <c r="C568" s="196" t="s">
        <v>119</v>
      </c>
      <c r="D568" s="197"/>
    </row>
    <row r="569" spans="1:4" ht="13.5" x14ac:dyDescent="0.25">
      <c r="A569" s="200">
        <v>190</v>
      </c>
      <c r="B569" s="189"/>
      <c r="C569" s="196" t="s">
        <v>117</v>
      </c>
      <c r="D569" s="197"/>
    </row>
    <row r="570" spans="1:4" ht="13.5" x14ac:dyDescent="0.25">
      <c r="A570" s="200">
        <v>190</v>
      </c>
      <c r="B570" s="190">
        <f t="shared" ref="B570:B571" si="189">$B$569</f>
        <v>0</v>
      </c>
      <c r="C570" s="196" t="s">
        <v>118</v>
      </c>
      <c r="D570" s="197"/>
    </row>
    <row r="571" spans="1:4" ht="13.5" x14ac:dyDescent="0.25">
      <c r="A571" s="200">
        <v>190</v>
      </c>
      <c r="B571" s="190">
        <f t="shared" si="189"/>
        <v>0</v>
      </c>
      <c r="C571" s="196" t="s">
        <v>119</v>
      </c>
      <c r="D571" s="197"/>
    </row>
    <row r="572" spans="1:4" ht="13.5" x14ac:dyDescent="0.25">
      <c r="A572" s="200">
        <v>191</v>
      </c>
      <c r="B572" s="189"/>
      <c r="C572" s="196" t="s">
        <v>117</v>
      </c>
      <c r="D572" s="197"/>
    </row>
    <row r="573" spans="1:4" ht="13.5" x14ac:dyDescent="0.25">
      <c r="A573" s="200">
        <v>191</v>
      </c>
      <c r="B573" s="190">
        <f t="shared" ref="B573:B574" si="190">$B$572</f>
        <v>0</v>
      </c>
      <c r="C573" s="196" t="s">
        <v>118</v>
      </c>
      <c r="D573" s="197"/>
    </row>
    <row r="574" spans="1:4" ht="13.5" x14ac:dyDescent="0.25">
      <c r="A574" s="200">
        <v>191</v>
      </c>
      <c r="B574" s="190">
        <f t="shared" si="190"/>
        <v>0</v>
      </c>
      <c r="C574" s="196" t="s">
        <v>119</v>
      </c>
      <c r="D574" s="197"/>
    </row>
    <row r="575" spans="1:4" ht="13.5" x14ac:dyDescent="0.25">
      <c r="A575" s="200">
        <v>192</v>
      </c>
      <c r="B575" s="189"/>
      <c r="C575" s="196" t="s">
        <v>117</v>
      </c>
      <c r="D575" s="197"/>
    </row>
    <row r="576" spans="1:4" ht="13.5" x14ac:dyDescent="0.25">
      <c r="A576" s="200">
        <v>192</v>
      </c>
      <c r="B576" s="190">
        <f t="shared" ref="B576:B577" si="191">$B$575</f>
        <v>0</v>
      </c>
      <c r="C576" s="196" t="s">
        <v>118</v>
      </c>
      <c r="D576" s="197"/>
    </row>
    <row r="577" spans="1:4" ht="13.5" x14ac:dyDescent="0.25">
      <c r="A577" s="200">
        <v>192</v>
      </c>
      <c r="B577" s="190">
        <f t="shared" si="191"/>
        <v>0</v>
      </c>
      <c r="C577" s="196" t="s">
        <v>119</v>
      </c>
      <c r="D577" s="197"/>
    </row>
    <row r="578" spans="1:4" ht="13.5" x14ac:dyDescent="0.25">
      <c r="A578" s="200">
        <v>193</v>
      </c>
      <c r="B578" s="189"/>
      <c r="C578" s="196" t="s">
        <v>117</v>
      </c>
      <c r="D578" s="197"/>
    </row>
    <row r="579" spans="1:4" ht="13.5" x14ac:dyDescent="0.25">
      <c r="A579" s="200">
        <v>193</v>
      </c>
      <c r="B579" s="190">
        <f t="shared" ref="B579:B580" si="192">$B$578</f>
        <v>0</v>
      </c>
      <c r="C579" s="196" t="s">
        <v>118</v>
      </c>
      <c r="D579" s="197"/>
    </row>
    <row r="580" spans="1:4" ht="13.5" x14ac:dyDescent="0.25">
      <c r="A580" s="200">
        <v>193</v>
      </c>
      <c r="B580" s="190">
        <f t="shared" si="192"/>
        <v>0</v>
      </c>
      <c r="C580" s="196" t="s">
        <v>119</v>
      </c>
      <c r="D580" s="197"/>
    </row>
    <row r="581" spans="1:4" ht="13.5" x14ac:dyDescent="0.25">
      <c r="A581" s="200">
        <v>194</v>
      </c>
      <c r="B581" s="189"/>
      <c r="C581" s="196" t="s">
        <v>117</v>
      </c>
      <c r="D581" s="197"/>
    </row>
    <row r="582" spans="1:4" ht="13.5" x14ac:dyDescent="0.25">
      <c r="A582" s="200">
        <v>194</v>
      </c>
      <c r="B582" s="190">
        <f t="shared" ref="B582:B583" si="193">$B$581</f>
        <v>0</v>
      </c>
      <c r="C582" s="196" t="s">
        <v>118</v>
      </c>
      <c r="D582" s="197"/>
    </row>
    <row r="583" spans="1:4" ht="13.5" x14ac:dyDescent="0.25">
      <c r="A583" s="200">
        <v>194</v>
      </c>
      <c r="B583" s="190">
        <f t="shared" si="193"/>
        <v>0</v>
      </c>
      <c r="C583" s="196" t="s">
        <v>119</v>
      </c>
      <c r="D583" s="197"/>
    </row>
    <row r="584" spans="1:4" ht="13.5" x14ac:dyDescent="0.25">
      <c r="A584" s="200">
        <v>195</v>
      </c>
      <c r="B584" s="189"/>
      <c r="C584" s="196" t="s">
        <v>117</v>
      </c>
      <c r="D584" s="197"/>
    </row>
    <row r="585" spans="1:4" ht="13.5" x14ac:dyDescent="0.25">
      <c r="A585" s="200">
        <v>195</v>
      </c>
      <c r="B585" s="190">
        <f t="shared" ref="B585:B586" si="194">$B$584</f>
        <v>0</v>
      </c>
      <c r="C585" s="196" t="s">
        <v>118</v>
      </c>
      <c r="D585" s="197"/>
    </row>
    <row r="586" spans="1:4" ht="13.5" x14ac:dyDescent="0.25">
      <c r="A586" s="200">
        <v>195</v>
      </c>
      <c r="B586" s="190">
        <f t="shared" si="194"/>
        <v>0</v>
      </c>
      <c r="C586" s="196" t="s">
        <v>119</v>
      </c>
      <c r="D586" s="197"/>
    </row>
    <row r="587" spans="1:4" ht="13.5" x14ac:dyDescent="0.25">
      <c r="A587" s="200">
        <v>196</v>
      </c>
      <c r="B587" s="189"/>
      <c r="C587" s="196" t="s">
        <v>117</v>
      </c>
      <c r="D587" s="197"/>
    </row>
    <row r="588" spans="1:4" ht="13.5" x14ac:dyDescent="0.25">
      <c r="A588" s="200">
        <v>196</v>
      </c>
      <c r="B588" s="190">
        <f t="shared" ref="B588:B589" si="195">$B$587</f>
        <v>0</v>
      </c>
      <c r="C588" s="196" t="s">
        <v>118</v>
      </c>
      <c r="D588" s="197"/>
    </row>
    <row r="589" spans="1:4" ht="13.5" x14ac:dyDescent="0.25">
      <c r="A589" s="200">
        <v>196</v>
      </c>
      <c r="B589" s="190">
        <f t="shared" si="195"/>
        <v>0</v>
      </c>
      <c r="C589" s="196" t="s">
        <v>119</v>
      </c>
      <c r="D589" s="197"/>
    </row>
    <row r="590" spans="1:4" ht="13.5" x14ac:dyDescent="0.25">
      <c r="A590" s="200">
        <v>197</v>
      </c>
      <c r="B590" s="189"/>
      <c r="C590" s="196" t="s">
        <v>117</v>
      </c>
      <c r="D590" s="197"/>
    </row>
    <row r="591" spans="1:4" ht="13.5" x14ac:dyDescent="0.25">
      <c r="A591" s="200">
        <v>197</v>
      </c>
      <c r="B591" s="190">
        <f t="shared" ref="B591:B592" si="196">$B$590</f>
        <v>0</v>
      </c>
      <c r="C591" s="196" t="s">
        <v>118</v>
      </c>
      <c r="D591" s="197"/>
    </row>
    <row r="592" spans="1:4" ht="13.5" x14ac:dyDescent="0.25">
      <c r="A592" s="200">
        <v>197</v>
      </c>
      <c r="B592" s="190">
        <f t="shared" si="196"/>
        <v>0</v>
      </c>
      <c r="C592" s="196" t="s">
        <v>119</v>
      </c>
      <c r="D592" s="197"/>
    </row>
    <row r="593" spans="1:4" ht="13.5" x14ac:dyDescent="0.25">
      <c r="A593" s="200">
        <v>198</v>
      </c>
      <c r="B593" s="189"/>
      <c r="C593" s="196" t="s">
        <v>117</v>
      </c>
      <c r="D593" s="197"/>
    </row>
    <row r="594" spans="1:4" ht="13.5" x14ac:dyDescent="0.25">
      <c r="A594" s="200">
        <v>198</v>
      </c>
      <c r="B594" s="190">
        <f t="shared" ref="B594:B595" si="197">$B$593</f>
        <v>0</v>
      </c>
      <c r="C594" s="196" t="s">
        <v>118</v>
      </c>
      <c r="D594" s="197"/>
    </row>
    <row r="595" spans="1:4" ht="13.5" x14ac:dyDescent="0.25">
      <c r="A595" s="200">
        <v>198</v>
      </c>
      <c r="B595" s="190">
        <f t="shared" si="197"/>
        <v>0</v>
      </c>
      <c r="C595" s="196" t="s">
        <v>119</v>
      </c>
      <c r="D595" s="197"/>
    </row>
    <row r="596" spans="1:4" ht="13.5" x14ac:dyDescent="0.25">
      <c r="A596" s="200">
        <v>199</v>
      </c>
      <c r="B596" s="189"/>
      <c r="C596" s="196" t="s">
        <v>117</v>
      </c>
      <c r="D596" s="197"/>
    </row>
    <row r="597" spans="1:4" ht="13.5" x14ac:dyDescent="0.25">
      <c r="A597" s="200">
        <v>199</v>
      </c>
      <c r="B597" s="190">
        <f t="shared" ref="B597:B598" si="198">$B$596</f>
        <v>0</v>
      </c>
      <c r="C597" s="196" t="s">
        <v>118</v>
      </c>
      <c r="D597" s="197"/>
    </row>
    <row r="598" spans="1:4" ht="13.5" x14ac:dyDescent="0.25">
      <c r="A598" s="200">
        <v>199</v>
      </c>
      <c r="B598" s="190">
        <f t="shared" si="198"/>
        <v>0</v>
      </c>
      <c r="C598" s="196" t="s">
        <v>119</v>
      </c>
      <c r="D598" s="197"/>
    </row>
    <row r="599" spans="1:4" ht="13.5" x14ac:dyDescent="0.25">
      <c r="A599" s="200">
        <v>200</v>
      </c>
      <c r="B599" s="189"/>
      <c r="C599" s="196" t="s">
        <v>117</v>
      </c>
      <c r="D599" s="197"/>
    </row>
    <row r="600" spans="1:4" ht="13.5" x14ac:dyDescent="0.25">
      <c r="A600" s="200">
        <v>200</v>
      </c>
      <c r="B600" s="190">
        <f t="shared" ref="B600:B601" si="199">$B$599</f>
        <v>0</v>
      </c>
      <c r="C600" s="196" t="s">
        <v>118</v>
      </c>
      <c r="D600" s="197"/>
    </row>
    <row r="601" spans="1:4" ht="13.5" x14ac:dyDescent="0.25">
      <c r="A601" s="200">
        <v>200</v>
      </c>
      <c r="B601" s="190">
        <f t="shared" si="199"/>
        <v>0</v>
      </c>
      <c r="C601" s="196" t="s">
        <v>119</v>
      </c>
      <c r="D601" s="197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10"/>
  <sheetViews>
    <sheetView windowProtection="1" showGridLines="0" zoomScale="57" zoomScaleNormal="57" workbookViewId="0">
      <selection activeCell="L57" sqref="L57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8.625" style="9" bestFit="1" customWidth="1"/>
    <col min="6" max="6" width="9" style="9" bestFit="1" customWidth="1"/>
    <col min="7" max="7" width="14.5" style="10" bestFit="1" customWidth="1"/>
    <col min="8" max="8" width="8.25" style="10" bestFit="1" customWidth="1"/>
    <col min="9" max="9" width="11.125" style="10" bestFit="1" customWidth="1"/>
    <col min="10" max="10" width="8" style="10" bestFit="1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7.8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6384" width="9" style="9"/>
  </cols>
  <sheetData>
    <row r="1" spans="1:201" x14ac:dyDescent="0.2">
      <c r="A1" s="9">
        <v>100</v>
      </c>
      <c r="B1" s="216"/>
      <c r="C1" s="216"/>
      <c r="D1" s="10" t="s">
        <v>322</v>
      </c>
      <c r="E1" s="216"/>
      <c r="F1" s="216"/>
    </row>
    <row r="4" spans="1:201" x14ac:dyDescent="0.2">
      <c r="A4" s="209" t="s">
        <v>18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  <c r="CE4" s="210"/>
      <c r="CF4" s="210"/>
      <c r="CG4" s="210"/>
      <c r="CH4" s="210"/>
      <c r="CI4" s="210"/>
      <c r="CJ4" s="210"/>
      <c r="CK4" s="210"/>
      <c r="CL4" s="210"/>
      <c r="CM4" s="210"/>
      <c r="CN4" s="210"/>
      <c r="CO4" s="210"/>
      <c r="CP4" s="210"/>
      <c r="CQ4" s="210"/>
      <c r="CR4" s="210"/>
      <c r="CS4" s="210"/>
      <c r="CT4" s="210"/>
      <c r="CU4" s="210"/>
      <c r="CV4" s="210"/>
      <c r="CW4" s="210"/>
      <c r="CX4" s="210"/>
      <c r="CY4" s="210"/>
      <c r="CZ4" s="210"/>
      <c r="DA4" s="210"/>
      <c r="DB4" s="210"/>
      <c r="DC4" s="210"/>
      <c r="DD4" s="210"/>
      <c r="DE4" s="210"/>
      <c r="DF4" s="210"/>
      <c r="DG4" s="210"/>
      <c r="DH4" s="210"/>
      <c r="DI4" s="210"/>
      <c r="DJ4" s="210"/>
      <c r="DK4" s="210"/>
      <c r="DL4" s="210"/>
      <c r="DM4" s="210"/>
      <c r="DN4" s="210"/>
      <c r="DO4" s="210"/>
      <c r="DP4" s="210"/>
      <c r="DQ4" s="210"/>
      <c r="DR4" s="210"/>
      <c r="DS4" s="210"/>
      <c r="DT4" s="210"/>
      <c r="DU4" s="210"/>
      <c r="DV4" s="210"/>
      <c r="DW4" s="210"/>
      <c r="DX4" s="210"/>
      <c r="DY4" s="210"/>
      <c r="DZ4" s="210"/>
      <c r="EA4" s="210"/>
      <c r="EB4" s="210"/>
      <c r="EC4" s="210"/>
      <c r="ED4" s="210"/>
      <c r="EE4" s="210"/>
      <c r="EF4" s="210"/>
      <c r="EG4" s="210"/>
      <c r="EH4" s="210"/>
      <c r="EI4" s="210"/>
      <c r="EJ4" s="210"/>
      <c r="EK4" s="210"/>
      <c r="EL4" s="210"/>
      <c r="EM4" s="210"/>
      <c r="EN4" s="210"/>
      <c r="EO4" s="210"/>
      <c r="EP4" s="210"/>
      <c r="EQ4" s="210"/>
      <c r="ER4" s="210"/>
      <c r="ES4" s="210"/>
      <c r="ET4" s="210"/>
      <c r="EU4" s="210"/>
      <c r="EV4" s="210"/>
      <c r="EW4" s="210"/>
      <c r="EX4" s="210"/>
      <c r="EY4" s="210"/>
      <c r="EZ4" s="210"/>
      <c r="FA4" s="210"/>
      <c r="FB4" s="210"/>
      <c r="FC4" s="210"/>
      <c r="FD4" s="210"/>
      <c r="FE4" s="210"/>
      <c r="FF4" s="210"/>
      <c r="FG4" s="210"/>
      <c r="FH4" s="210"/>
      <c r="FI4" s="210"/>
      <c r="FJ4" s="210"/>
      <c r="FK4" s="210"/>
      <c r="FL4" s="210"/>
      <c r="FM4" s="210"/>
      <c r="FN4" s="210"/>
      <c r="FO4" s="210"/>
      <c r="FP4" s="210"/>
      <c r="FQ4" s="210"/>
      <c r="FR4" s="210"/>
      <c r="FS4" s="210"/>
      <c r="FT4" s="210"/>
      <c r="FU4" s="210"/>
      <c r="FV4" s="210"/>
      <c r="FW4" s="210"/>
      <c r="FX4" s="210"/>
      <c r="FY4" s="210"/>
      <c r="FZ4" s="210"/>
      <c r="GA4" s="210"/>
      <c r="GB4" s="210"/>
      <c r="GC4" s="210"/>
      <c r="GD4" s="210"/>
      <c r="GE4" s="210"/>
      <c r="GF4" s="210"/>
      <c r="GG4" s="210"/>
      <c r="GH4" s="210"/>
      <c r="GI4" s="210"/>
      <c r="GJ4" s="210"/>
      <c r="GK4" s="210"/>
      <c r="GL4" s="210"/>
      <c r="GM4" s="210"/>
      <c r="GN4" s="210"/>
      <c r="GO4" s="210"/>
      <c r="GP4" s="210"/>
      <c r="GQ4" s="210"/>
      <c r="GR4" s="210"/>
      <c r="GS4" s="210"/>
    </row>
    <row r="5" spans="1:201" x14ac:dyDescent="0.2">
      <c r="A5" s="12" t="s">
        <v>19</v>
      </c>
      <c r="B5" s="13" t="s">
        <v>310</v>
      </c>
      <c r="C5" s="13" t="s">
        <v>311</v>
      </c>
      <c r="D5" s="13" t="s">
        <v>312</v>
      </c>
      <c r="E5" s="13" t="s">
        <v>313</v>
      </c>
      <c r="F5" s="13" t="s">
        <v>314</v>
      </c>
      <c r="G5" s="13" t="s">
        <v>315</v>
      </c>
      <c r="H5" s="13" t="s">
        <v>316</v>
      </c>
      <c r="I5" s="13" t="s">
        <v>317</v>
      </c>
      <c r="J5" s="13" t="s">
        <v>318</v>
      </c>
      <c r="K5" s="13" t="s">
        <v>319</v>
      </c>
      <c r="L5" s="13" t="s">
        <v>320</v>
      </c>
      <c r="M5" s="13" t="s">
        <v>321</v>
      </c>
      <c r="N5" s="13" t="s">
        <v>126</v>
      </c>
      <c r="O5" s="13" t="s">
        <v>127</v>
      </c>
      <c r="P5" s="13" t="s">
        <v>129</v>
      </c>
      <c r="Q5" s="13" t="s">
        <v>132</v>
      </c>
      <c r="R5" s="13" t="s">
        <v>134</v>
      </c>
      <c r="S5" s="13" t="s">
        <v>135</v>
      </c>
      <c r="T5" s="13" t="s">
        <v>139</v>
      </c>
      <c r="U5" s="13" t="s">
        <v>139</v>
      </c>
      <c r="V5" s="13" t="s">
        <v>139</v>
      </c>
      <c r="W5" s="13" t="s">
        <v>141</v>
      </c>
      <c r="X5" s="13" t="s">
        <v>143</v>
      </c>
      <c r="Y5" s="13" t="s">
        <v>145</v>
      </c>
      <c r="Z5" s="13" t="s">
        <v>147</v>
      </c>
      <c r="AA5" s="13" t="s">
        <v>223</v>
      </c>
      <c r="AB5" s="13" t="s">
        <v>224</v>
      </c>
      <c r="AC5" s="13" t="s">
        <v>225</v>
      </c>
      <c r="AD5" s="13" t="s">
        <v>226</v>
      </c>
      <c r="AE5" s="13" t="s">
        <v>227</v>
      </c>
      <c r="AF5" s="13" t="s">
        <v>228</v>
      </c>
      <c r="AG5" s="13" t="s">
        <v>229</v>
      </c>
      <c r="AH5" s="13" t="s">
        <v>230</v>
      </c>
      <c r="AI5" s="13" t="s">
        <v>231</v>
      </c>
      <c r="AJ5" s="13" t="s">
        <v>232</v>
      </c>
      <c r="AK5" s="13" t="s">
        <v>233</v>
      </c>
      <c r="AL5" s="13" t="s">
        <v>234</v>
      </c>
      <c r="AM5" s="13" t="s">
        <v>235</v>
      </c>
      <c r="AN5" s="13" t="s">
        <v>236</v>
      </c>
      <c r="AO5" s="13" t="s">
        <v>237</v>
      </c>
      <c r="AP5" s="13" t="s">
        <v>238</v>
      </c>
      <c r="AQ5" s="13" t="s">
        <v>239</v>
      </c>
      <c r="AR5" s="13" t="s">
        <v>240</v>
      </c>
      <c r="AS5" s="13" t="s">
        <v>241</v>
      </c>
      <c r="AT5" s="13" t="s">
        <v>242</v>
      </c>
      <c r="AU5" s="13" t="s">
        <v>243</v>
      </c>
      <c r="AV5" s="13" t="s">
        <v>244</v>
      </c>
      <c r="AW5" s="13" t="s">
        <v>245</v>
      </c>
      <c r="AX5" s="13" t="s">
        <v>246</v>
      </c>
      <c r="AY5" s="13" t="s">
        <v>247</v>
      </c>
      <c r="AZ5" s="13" t="s">
        <v>248</v>
      </c>
      <c r="BA5" s="13" t="s">
        <v>249</v>
      </c>
      <c r="BB5" s="13" t="s">
        <v>250</v>
      </c>
      <c r="BC5" s="13" t="s">
        <v>251</v>
      </c>
      <c r="BD5" s="13" t="s">
        <v>252</v>
      </c>
      <c r="BE5" s="13" t="s">
        <v>253</v>
      </c>
      <c r="BF5" s="13" t="s">
        <v>254</v>
      </c>
      <c r="BG5" s="13" t="s">
        <v>255</v>
      </c>
      <c r="BH5" s="13" t="s">
        <v>256</v>
      </c>
      <c r="BI5" s="13" t="s">
        <v>257</v>
      </c>
      <c r="BJ5" s="13" t="s">
        <v>258</v>
      </c>
      <c r="BK5" s="13" t="s">
        <v>259</v>
      </c>
      <c r="BL5" s="13" t="s">
        <v>260</v>
      </c>
      <c r="BM5" s="13" t="s">
        <v>261</v>
      </c>
      <c r="BN5" s="13" t="s">
        <v>262</v>
      </c>
      <c r="BO5" s="13" t="s">
        <v>263</v>
      </c>
      <c r="BP5" s="13" t="s">
        <v>264</v>
      </c>
      <c r="BQ5" s="13" t="s">
        <v>265</v>
      </c>
      <c r="BR5" s="13" t="s">
        <v>266</v>
      </c>
      <c r="BS5" s="13" t="s">
        <v>267</v>
      </c>
      <c r="BT5" s="13" t="s">
        <v>268</v>
      </c>
      <c r="BU5" s="13" t="s">
        <v>269</v>
      </c>
      <c r="BV5" s="13" t="s">
        <v>270</v>
      </c>
      <c r="BW5" s="13" t="s">
        <v>271</v>
      </c>
      <c r="BX5" s="13" t="s">
        <v>272</v>
      </c>
      <c r="BY5" s="13" t="s">
        <v>273</v>
      </c>
      <c r="BZ5" s="13" t="s">
        <v>274</v>
      </c>
      <c r="CA5" s="13" t="s">
        <v>275</v>
      </c>
      <c r="CB5" s="13" t="s">
        <v>276</v>
      </c>
      <c r="CC5" s="13" t="s">
        <v>277</v>
      </c>
      <c r="CD5" s="13" t="s">
        <v>278</v>
      </c>
      <c r="CE5" s="13" t="s">
        <v>279</v>
      </c>
      <c r="CF5" s="13" t="s">
        <v>280</v>
      </c>
      <c r="CG5" s="13" t="s">
        <v>281</v>
      </c>
      <c r="CH5" s="13" t="s">
        <v>282</v>
      </c>
      <c r="CI5" s="13" t="s">
        <v>283</v>
      </c>
      <c r="CJ5" s="13" t="s">
        <v>284</v>
      </c>
      <c r="CK5" s="13" t="s">
        <v>285</v>
      </c>
      <c r="CL5" s="13" t="s">
        <v>286</v>
      </c>
      <c r="CM5" s="13" t="s">
        <v>287</v>
      </c>
      <c r="CN5" s="13" t="s">
        <v>288</v>
      </c>
      <c r="CO5" s="13" t="s">
        <v>289</v>
      </c>
      <c r="CP5" s="13" t="s">
        <v>290</v>
      </c>
      <c r="CQ5" s="13" t="s">
        <v>291</v>
      </c>
      <c r="CR5" s="13" t="s">
        <v>292</v>
      </c>
      <c r="CS5" s="13" t="s">
        <v>293</v>
      </c>
      <c r="CT5" s="13" t="s">
        <v>294</v>
      </c>
      <c r="CU5" s="13" t="s">
        <v>295</v>
      </c>
      <c r="CV5" s="13" t="s">
        <v>296</v>
      </c>
      <c r="CW5" s="13" t="s">
        <v>297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61</v>
      </c>
      <c r="U6" s="16">
        <v>61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62</v>
      </c>
      <c r="U7" s="16">
        <v>62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63</v>
      </c>
      <c r="U8" s="16">
        <v>63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186</v>
      </c>
      <c r="U9" s="22">
        <v>186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1.4407619047619047</v>
      </c>
      <c r="U10" s="25">
        <v>1.4407619047619047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0.32795698924731181</v>
      </c>
      <c r="U11" s="26">
        <v>0.32795698924731181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0.33870967741935482</v>
      </c>
      <c r="U13" s="26">
        <v>0.33870967741935482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1" t="s">
        <v>21</v>
      </c>
      <c r="B14" s="212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2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2"/>
      <c r="DG14" s="212"/>
      <c r="DH14" s="212"/>
      <c r="DI14" s="212"/>
      <c r="DJ14" s="212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2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2"/>
      <c r="EK14" s="212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2"/>
      <c r="FD14" s="212"/>
      <c r="FE14" s="212"/>
      <c r="FF14" s="212"/>
      <c r="FG14" s="212"/>
      <c r="FH14" s="212"/>
      <c r="FI14" s="212"/>
      <c r="FJ14" s="212"/>
      <c r="FK14" s="212"/>
      <c r="FL14" s="212"/>
      <c r="FM14" s="212"/>
      <c r="FN14" s="212"/>
      <c r="FO14" s="212"/>
      <c r="FP14" s="212"/>
      <c r="FQ14" s="212"/>
      <c r="FR14" s="212"/>
      <c r="FS14" s="212"/>
      <c r="FT14" s="212"/>
      <c r="FU14" s="212"/>
      <c r="FV14" s="212"/>
      <c r="FW14" s="212"/>
      <c r="FX14" s="212"/>
      <c r="FY14" s="212"/>
      <c r="FZ14" s="212"/>
      <c r="GA14" s="212"/>
      <c r="GB14" s="212"/>
      <c r="GC14" s="212"/>
      <c r="GD14" s="212"/>
      <c r="GE14" s="212"/>
      <c r="GF14" s="212"/>
      <c r="GG14" s="212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0.32795698924731181</v>
      </c>
      <c r="U15" s="28">
        <v>0.32795698924731181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01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0.33870967741935482</v>
      </c>
      <c r="U17" s="32">
        <v>0.33870967741935482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01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0.66129032258064513</v>
      </c>
      <c r="U18" s="37">
        <v>0.66129032258064513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01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2.9523809523809526</v>
      </c>
      <c r="U20" s="43">
        <v>2.9523809523809526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01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0.51219512195121941</v>
      </c>
      <c r="U21" s="48">
        <v>0.51219512195121941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01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2.0491803278688527</v>
      </c>
      <c r="U22" s="48">
        <v>2.0491803278688527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01" x14ac:dyDescent="0.2">
      <c r="A23" s="51" t="s">
        <v>20</v>
      </c>
      <c r="B23" s="206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1.4407619047619047</v>
      </c>
      <c r="U23" s="52">
        <v>1.4407619047619047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01" x14ac:dyDescent="0.2">
      <c r="A24" s="211" t="s">
        <v>33</v>
      </c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  <c r="CX24" s="212"/>
      <c r="CY24" s="212"/>
      <c r="CZ24" s="212"/>
      <c r="DA24" s="212"/>
      <c r="DB24" s="212"/>
      <c r="DC24" s="212"/>
      <c r="DD24" s="212"/>
      <c r="DE24" s="212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  <c r="DP24" s="212"/>
      <c r="DQ24" s="212"/>
      <c r="DR24" s="212"/>
      <c r="DS24" s="212"/>
      <c r="DT24" s="212"/>
      <c r="DU24" s="212"/>
      <c r="DV24" s="212"/>
      <c r="DW24" s="212"/>
      <c r="DX24" s="212"/>
      <c r="DY24" s="212"/>
      <c r="DZ24" s="212"/>
      <c r="EA24" s="212"/>
      <c r="EB24" s="212"/>
      <c r="EC24" s="212"/>
      <c r="ED24" s="212"/>
      <c r="EE24" s="212"/>
      <c r="EF24" s="212"/>
      <c r="EG24" s="212"/>
      <c r="EH24" s="212"/>
      <c r="EI24" s="212"/>
      <c r="EJ24" s="212"/>
      <c r="EK24" s="212"/>
      <c r="EL24" s="212"/>
      <c r="EM24" s="212"/>
      <c r="EN24" s="212"/>
      <c r="EO24" s="212"/>
      <c r="EP24" s="212"/>
      <c r="EQ24" s="212"/>
      <c r="ER24" s="212"/>
      <c r="ES24" s="212"/>
      <c r="ET24" s="212"/>
      <c r="EU24" s="212"/>
      <c r="EV24" s="212"/>
      <c r="EW24" s="212"/>
      <c r="EX24" s="212"/>
      <c r="EY24" s="212"/>
      <c r="EZ24" s="212"/>
      <c r="FA24" s="212"/>
      <c r="FB24" s="212"/>
      <c r="FC24" s="212"/>
      <c r="FD24" s="212"/>
      <c r="FE24" s="212"/>
      <c r="FF24" s="212"/>
      <c r="FG24" s="212"/>
      <c r="FH24" s="212"/>
      <c r="FI24" s="212"/>
      <c r="FJ24" s="212"/>
      <c r="FK24" s="212"/>
      <c r="FL24" s="212"/>
      <c r="FM24" s="212"/>
      <c r="FN24" s="212"/>
      <c r="FO24" s="212"/>
      <c r="FP24" s="212"/>
      <c r="FQ24" s="212"/>
      <c r="FR24" s="212"/>
      <c r="FS24" s="212"/>
      <c r="FT24" s="212"/>
      <c r="FU24" s="212"/>
      <c r="FV24" s="212"/>
      <c r="FW24" s="212"/>
      <c r="FX24" s="212"/>
      <c r="FY24" s="212"/>
      <c r="FZ24" s="212"/>
      <c r="GA24" s="212"/>
      <c r="GB24" s="212"/>
      <c r="GC24" s="212"/>
      <c r="GD24" s="212"/>
      <c r="GE24" s="212"/>
      <c r="GF24" s="212"/>
      <c r="GG24" s="212"/>
      <c r="GH24" s="212"/>
      <c r="GI24" s="212"/>
      <c r="GJ24" s="212"/>
      <c r="GK24" s="212"/>
      <c r="GL24" s="212"/>
      <c r="GM24" s="212"/>
      <c r="GN24" s="212"/>
      <c r="GO24" s="212"/>
      <c r="GP24" s="212"/>
      <c r="GQ24" s="212"/>
      <c r="GR24" s="212"/>
      <c r="GS24" s="212"/>
    </row>
    <row r="25" spans="1:201" x14ac:dyDescent="0.2">
      <c r="A25" s="55" t="s">
        <v>34</v>
      </c>
      <c r="B25" s="56" t="s">
        <v>310</v>
      </c>
      <c r="C25" s="13" t="s">
        <v>311</v>
      </c>
      <c r="D25" s="13" t="s">
        <v>312</v>
      </c>
      <c r="E25" s="13" t="s">
        <v>313</v>
      </c>
      <c r="F25" s="13" t="s">
        <v>314</v>
      </c>
      <c r="G25" s="13" t="s">
        <v>315</v>
      </c>
      <c r="H25" s="13" t="s">
        <v>316</v>
      </c>
      <c r="I25" s="13" t="s">
        <v>317</v>
      </c>
      <c r="J25" s="13" t="s">
        <v>318</v>
      </c>
      <c r="K25" s="13" t="s">
        <v>319</v>
      </c>
      <c r="L25" s="13" t="s">
        <v>320</v>
      </c>
      <c r="M25" s="13" t="s">
        <v>321</v>
      </c>
      <c r="N25" s="13" t="s">
        <v>126</v>
      </c>
      <c r="O25" s="13" t="s">
        <v>127</v>
      </c>
      <c r="P25" s="13" t="s">
        <v>129</v>
      </c>
      <c r="Q25" s="13" t="s">
        <v>132</v>
      </c>
      <c r="R25" s="13" t="s">
        <v>134</v>
      </c>
      <c r="S25" s="13" t="s">
        <v>135</v>
      </c>
      <c r="T25" s="13" t="s">
        <v>139</v>
      </c>
      <c r="U25" s="13" t="s">
        <v>139</v>
      </c>
      <c r="V25" s="13" t="s">
        <v>139</v>
      </c>
      <c r="W25" s="13" t="s">
        <v>141</v>
      </c>
      <c r="X25" s="13" t="s">
        <v>143</v>
      </c>
      <c r="Y25" s="13" t="s">
        <v>145</v>
      </c>
      <c r="Z25" s="13" t="s">
        <v>147</v>
      </c>
      <c r="AA25" s="13" t="s">
        <v>223</v>
      </c>
      <c r="AB25" s="13" t="s">
        <v>224</v>
      </c>
      <c r="AC25" s="13" t="s">
        <v>225</v>
      </c>
      <c r="AD25" s="13" t="s">
        <v>226</v>
      </c>
      <c r="AE25" s="13" t="s">
        <v>227</v>
      </c>
      <c r="AF25" s="13" t="s">
        <v>228</v>
      </c>
      <c r="AG25" s="13" t="s">
        <v>229</v>
      </c>
      <c r="AH25" s="13" t="s">
        <v>230</v>
      </c>
      <c r="AI25" s="13" t="s">
        <v>231</v>
      </c>
      <c r="AJ25" s="13" t="s">
        <v>232</v>
      </c>
      <c r="AK25" s="13" t="s">
        <v>233</v>
      </c>
      <c r="AL25" s="13" t="s">
        <v>234</v>
      </c>
      <c r="AM25" s="13" t="s">
        <v>235</v>
      </c>
      <c r="AN25" s="13" t="s">
        <v>236</v>
      </c>
      <c r="AO25" s="13" t="s">
        <v>237</v>
      </c>
      <c r="AP25" s="13" t="s">
        <v>238</v>
      </c>
      <c r="AQ25" s="13" t="s">
        <v>239</v>
      </c>
      <c r="AR25" s="13" t="s">
        <v>240</v>
      </c>
      <c r="AS25" s="13" t="s">
        <v>241</v>
      </c>
      <c r="AT25" s="13" t="s">
        <v>242</v>
      </c>
      <c r="AU25" s="13" t="s">
        <v>243</v>
      </c>
      <c r="AV25" s="13" t="s">
        <v>244</v>
      </c>
      <c r="AW25" s="13" t="s">
        <v>245</v>
      </c>
      <c r="AX25" s="13" t="s">
        <v>246</v>
      </c>
      <c r="AY25" s="13" t="s">
        <v>247</v>
      </c>
      <c r="AZ25" s="13" t="s">
        <v>248</v>
      </c>
      <c r="BA25" s="13" t="s">
        <v>249</v>
      </c>
      <c r="BB25" s="13" t="s">
        <v>250</v>
      </c>
      <c r="BC25" s="13" t="s">
        <v>251</v>
      </c>
      <c r="BD25" s="13" t="s">
        <v>252</v>
      </c>
      <c r="BE25" s="13" t="s">
        <v>253</v>
      </c>
      <c r="BF25" s="13" t="s">
        <v>254</v>
      </c>
      <c r="BG25" s="13" t="s">
        <v>255</v>
      </c>
      <c r="BH25" s="13" t="s">
        <v>256</v>
      </c>
      <c r="BI25" s="13" t="s">
        <v>257</v>
      </c>
      <c r="BJ25" s="13" t="s">
        <v>258</v>
      </c>
      <c r="BK25" s="13" t="s">
        <v>259</v>
      </c>
      <c r="BL25" s="13" t="s">
        <v>260</v>
      </c>
      <c r="BM25" s="13" t="s">
        <v>261</v>
      </c>
      <c r="BN25" s="13" t="s">
        <v>262</v>
      </c>
      <c r="BO25" s="13" t="s">
        <v>263</v>
      </c>
      <c r="BP25" s="13" t="s">
        <v>264</v>
      </c>
      <c r="BQ25" s="13" t="s">
        <v>265</v>
      </c>
      <c r="BR25" s="13" t="s">
        <v>266</v>
      </c>
      <c r="BS25" s="13" t="s">
        <v>267</v>
      </c>
      <c r="BT25" s="13" t="s">
        <v>268</v>
      </c>
      <c r="BU25" s="13" t="s">
        <v>269</v>
      </c>
      <c r="BV25" s="13" t="s">
        <v>270</v>
      </c>
      <c r="BW25" s="13" t="s">
        <v>271</v>
      </c>
      <c r="BX25" s="13" t="s">
        <v>272</v>
      </c>
      <c r="BY25" s="13" t="s">
        <v>273</v>
      </c>
      <c r="BZ25" s="13" t="s">
        <v>274</v>
      </c>
      <c r="CA25" s="13" t="s">
        <v>275</v>
      </c>
      <c r="CB25" s="13" t="s">
        <v>276</v>
      </c>
      <c r="CC25" s="13" t="s">
        <v>277</v>
      </c>
      <c r="CD25" s="13" t="s">
        <v>278</v>
      </c>
      <c r="CE25" s="13" t="s">
        <v>279</v>
      </c>
      <c r="CF25" s="13" t="s">
        <v>280</v>
      </c>
      <c r="CG25" s="13" t="s">
        <v>281</v>
      </c>
      <c r="CH25" s="13" t="s">
        <v>282</v>
      </c>
      <c r="CI25" s="13" t="s">
        <v>283</v>
      </c>
      <c r="CJ25" s="13" t="s">
        <v>284</v>
      </c>
      <c r="CK25" s="13" t="s">
        <v>285</v>
      </c>
      <c r="CL25" s="13" t="s">
        <v>286</v>
      </c>
      <c r="CM25" s="13" t="s">
        <v>287</v>
      </c>
      <c r="CN25" s="13" t="s">
        <v>288</v>
      </c>
      <c r="CO25" s="13" t="s">
        <v>289</v>
      </c>
      <c r="CP25" s="13" t="s">
        <v>290</v>
      </c>
      <c r="CQ25" s="13" t="s">
        <v>291</v>
      </c>
      <c r="CR25" s="13" t="s">
        <v>292</v>
      </c>
      <c r="CS25" s="13" t="s">
        <v>293</v>
      </c>
      <c r="CT25" s="13" t="s">
        <v>294</v>
      </c>
      <c r="CU25" s="13" t="s">
        <v>295</v>
      </c>
      <c r="CV25" s="13" t="s">
        <v>296</v>
      </c>
      <c r="CW25" s="13" t="s">
        <v>297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01" ht="15.75" x14ac:dyDescent="0.3">
      <c r="A26" s="57" t="s">
        <v>109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3.1040337053205662E-3</v>
      </c>
      <c r="U26" s="59">
        <v>3.1040337053205662E-3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01" ht="15.75" x14ac:dyDescent="0.3">
      <c r="A27" s="63" t="s">
        <v>110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0.32795698924731181</v>
      </c>
      <c r="U27" s="59">
        <v>0.32795698924731181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01" x14ac:dyDescent="0.2">
      <c r="A28" s="213" t="s">
        <v>34</v>
      </c>
      <c r="B28" s="214"/>
      <c r="C28" s="215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4-Ponto4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IF(DIAG!T21,$L$26,-1)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86</v>
      </c>
      <c r="BB29" s="9">
        <f>DIAG!W1</f>
        <v>100</v>
      </c>
    </row>
    <row r="30" spans="1:201" x14ac:dyDescent="0.2">
      <c r="A30" s="79"/>
      <c r="B30" s="80"/>
      <c r="C30" s="81"/>
      <c r="D30" s="75" t="e">
        <f ca="1">N103</f>
        <v>#DIV/0!</v>
      </c>
      <c r="E30" s="75" t="e">
        <f ca="1">M100</f>
        <v>#DIV/0!</v>
      </c>
      <c r="F30" s="75" t="e">
        <f ca="1">M103</f>
        <v>#DIV/0!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IF(DIAG!T21,$L$27,-1)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84</v>
      </c>
      <c r="BB30" s="14">
        <f ca="1">IF(BB29=0,0,MAX(OFFSET(BC29,1,1,1,BB29)))</f>
        <v>87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6</v>
      </c>
      <c r="BD31" s="9">
        <f t="shared" ref="BD31:BM31" ca="1" si="1">IF(BD30=0,0,LOG(BD30/$BB$31,10))</f>
        <v>0</v>
      </c>
      <c r="BE31" s="9">
        <f t="shared" ca="1" si="1"/>
        <v>0.3979400086720376</v>
      </c>
      <c r="BF31" s="9">
        <f t="shared" ca="1" si="1"/>
        <v>0.60205999132796229</v>
      </c>
      <c r="BG31" s="9">
        <f t="shared" ca="1" si="1"/>
        <v>0.74036268949424378</v>
      </c>
      <c r="BH31" s="9">
        <f t="shared" ca="1" si="1"/>
        <v>0.8450980400142567</v>
      </c>
      <c r="BI31" s="9">
        <f t="shared" ca="1" si="1"/>
        <v>0.92941892571429263</v>
      </c>
      <c r="BJ31" s="9">
        <f t="shared" ca="1" si="1"/>
        <v>1</v>
      </c>
      <c r="BK31" s="9">
        <f t="shared" ca="1" si="1"/>
        <v>1.0606978403536116</v>
      </c>
      <c r="BL31" s="9">
        <f t="shared" ca="1" si="1"/>
        <v>1.1139433523068367</v>
      </c>
      <c r="BM31" s="9">
        <f t="shared" ca="1" si="1"/>
        <v>1.1613680022349748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IF(DIAG!$T$22,$L$26,-1)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101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IF(DIAG!$T$22,$L$27,-1)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87</v>
      </c>
      <c r="BB33" s="14">
        <f ca="1">IF(OR(BB29=0,BB30=BB31),1,LOG(BB30/BB31,10))</f>
        <v>1.1613680022349748</v>
      </c>
      <c r="BD33" s="14">
        <f t="shared" ref="BD33:BM33" ca="1" si="2">BD31/$BB$33</f>
        <v>0</v>
      </c>
      <c r="BE33" s="9">
        <f t="shared" ca="1" si="2"/>
        <v>0.34264764304357337</v>
      </c>
      <c r="BF33" s="14">
        <f t="shared" ca="1" si="2"/>
        <v>0.51840587149752548</v>
      </c>
      <c r="BG33" s="9">
        <f t="shared" ca="1" si="2"/>
        <v>0.63749189582411903</v>
      </c>
      <c r="BH33" s="9">
        <f t="shared" ca="1" si="2"/>
        <v>0.72767463748607009</v>
      </c>
      <c r="BI33" s="9">
        <f t="shared" ca="1" si="2"/>
        <v>0.80027943246730426</v>
      </c>
      <c r="BJ33" s="9">
        <f t="shared" ca="1" si="2"/>
        <v>0.86105351454109902</v>
      </c>
      <c r="BK33" s="9">
        <f t="shared" ca="1" si="2"/>
        <v>0.91331760330263079</v>
      </c>
      <c r="BL33" s="9">
        <f t="shared" ca="1" si="2"/>
        <v>0.95916483850349543</v>
      </c>
      <c r="BM33" s="9">
        <f t="shared" ca="1" si="2"/>
        <v>1</v>
      </c>
    </row>
    <row r="34" spans="1:101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</row>
    <row r="35" spans="1:101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 t="shared" si="3"/>
        <v>-0.28867513459481292</v>
      </c>
      <c r="U35" s="96">
        <f t="shared" si="3"/>
        <v>-0.23094010767585038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IF(DIAG!$T$23,$L$26,-1)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BM35" ca="1" si="5">ROUND(10*BE33,0)</f>
        <v>3</v>
      </c>
      <c r="BF35" s="9">
        <f ca="1">ROUND(10*BF33,0)</f>
        <v>5</v>
      </c>
      <c r="BG35" s="9">
        <f t="shared" ref="BG35" ca="1" si="6">ROUND(10*BG33,0)</f>
        <v>6</v>
      </c>
      <c r="BH35" s="9">
        <f t="shared" ca="1" si="5"/>
        <v>7</v>
      </c>
      <c r="BI35" s="9">
        <f t="shared" ca="1" si="5"/>
        <v>8</v>
      </c>
      <c r="BJ35" s="9">
        <f t="shared" ca="1" si="5"/>
        <v>9</v>
      </c>
      <c r="BK35" s="9">
        <f t="shared" ca="1" si="5"/>
        <v>9</v>
      </c>
      <c r="BL35" s="9">
        <f t="shared" ca="1" si="5"/>
        <v>10</v>
      </c>
      <c r="BM35" s="9">
        <f t="shared" ca="1" si="5"/>
        <v>10</v>
      </c>
      <c r="BN35" s="17"/>
      <c r="CW35" s="9" t="s">
        <v>323</v>
      </c>
    </row>
    <row r="36" spans="1:101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IF(DIAG!$T$23,$L$27,-1)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  <c r="CW36" s="16" t="e">
        <f>SUMPRODUCT(B6:GS6,DIAG!$W$21:$AF$21,DIAG!$W$31:$AF$31)</f>
        <v>#VALUE!</v>
      </c>
    </row>
    <row r="37" spans="1:101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  <c r="CW37" s="16">
        <f>SUMPRODUCT(CM37:CV37,DIAG!$W$21:$AF$21,DIAG!$W$31:$AF$31)</f>
        <v>0</v>
      </c>
    </row>
    <row r="38" spans="1:101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IF(DIAG!$T$24,$L$26,-1)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  <c r="CW38" s="16">
        <f>SUMPRODUCT(CM38:CV38,DIAG!$W$21:$AF$21,DIAG!$W$31:$AF$31)</f>
        <v>0</v>
      </c>
    </row>
    <row r="39" spans="1:101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IF(DIAG!$T$24,$L$27,-1)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 t="e">
        <f>SUM(CW36:CW38)</f>
        <v>#VALUE!</v>
      </c>
    </row>
    <row r="40" spans="1:101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9">BF43*$BK$40+BF45*$BL$40+BF47*$BM$40</f>
        <v>-0.57999999999999996</v>
      </c>
      <c r="BG40" s="29">
        <f t="shared" si="9"/>
        <v>0.57999999999999996</v>
      </c>
      <c r="BH40" s="29">
        <f t="shared" si="9"/>
        <v>0.57999999999999996</v>
      </c>
      <c r="BI40" s="29">
        <f t="shared" si="9"/>
        <v>-0.57999999999999996</v>
      </c>
      <c r="BJ40" s="29">
        <f t="shared" si="9"/>
        <v>-0.57999999999999996</v>
      </c>
      <c r="BK40" s="30" t="b">
        <v>1</v>
      </c>
      <c r="BL40" s="30" t="b">
        <v>0</v>
      </c>
      <c r="BM40" s="30" t="b">
        <v>0</v>
      </c>
      <c r="CW40" s="25" t="e">
        <f t="shared" ref="CW40" si="10">CW50/CW52</f>
        <v>#DIV/0!</v>
      </c>
    </row>
    <row r="41" spans="1:101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IF(DIAG!$T$25,$L$26,-1)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9"/>
        <v>-0.1</v>
      </c>
      <c r="BG41" s="29">
        <f t="shared" si="9"/>
        <v>-0.1</v>
      </c>
      <c r="BH41" s="29">
        <f t="shared" si="9"/>
        <v>1.1000000000000001</v>
      </c>
      <c r="BI41" s="29">
        <f t="shared" si="9"/>
        <v>1.1000000000000001</v>
      </c>
      <c r="BJ41" s="29">
        <f t="shared" si="9"/>
        <v>-0.1</v>
      </c>
      <c r="CW41" s="26" t="e">
        <f t="shared" ref="CW41:CW43" si="11">CW36/CW$9</f>
        <v>#VALUE!</v>
      </c>
    </row>
    <row r="42" spans="1:101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IF(DIAG!$T$25,$L$27,-1)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102</v>
      </c>
      <c r="BM42" s="33"/>
      <c r="BN42" s="33"/>
      <c r="BO42" s="33"/>
      <c r="BU42" s="10"/>
      <c r="CW42" s="26">
        <f t="shared" si="11"/>
        <v>0</v>
      </c>
    </row>
    <row r="43" spans="1:101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>
        <f t="shared" si="11"/>
        <v>0</v>
      </c>
    </row>
    <row r="44" spans="1:101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IF(DIAG!$T$26,$L$26,-1)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CW44" s="9" t="s">
        <v>323</v>
      </c>
    </row>
    <row r="45" spans="1:101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IF(DIAG!$T$26,$L$27,-1)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 t="e">
        <f t="shared" ref="CW45" si="12">(2*CW36+CW34-1)/SQRT(3)</f>
        <v>#VALUE!</v>
      </c>
    </row>
    <row r="46" spans="1:101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 t="e">
        <f>IF(OR(DIAG!DE40,DIAG!DE41,DIAG!DE42,DIAG!DE43,DIAG!DE44,DIAG!DE45,DIAG!DE46,DIAG!DE47,DIAG!DE48,DIAG!DE49),CW34,-1)</f>
        <v>#VALUE!</v>
      </c>
    </row>
    <row r="47" spans="1:101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IF(DIAG!$T$27,$L$26,-1)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</row>
    <row r="48" spans="1:101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IF(DIAG!$T$27,$L$27,-1)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</row>
    <row r="49" spans="1:59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59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13">B26</f>
        <v>9.6225044864937673E-2</v>
      </c>
      <c r="Q50" s="124">
        <f t="shared" si="13"/>
        <v>3.8490017945975043E-2</v>
      </c>
      <c r="R50" s="124">
        <f t="shared" si="13"/>
        <v>2.4056261216234449E-2</v>
      </c>
      <c r="S50" s="124">
        <f t="shared" si="13"/>
        <v>1.7495462702715917E-2</v>
      </c>
      <c r="T50" s="124">
        <f t="shared" ref="T50" si="14">F26</f>
        <v>1.3746434980705328E-2</v>
      </c>
      <c r="U50" s="124">
        <f t="shared" ref="U50" si="15">G26</f>
        <v>1.1320593513522034E-2</v>
      </c>
      <c r="V50" s="124">
        <f t="shared" ref="V50" si="16">H26</f>
        <v>9.6225044864937295E-3</v>
      </c>
      <c r="W50" s="124">
        <f t="shared" ref="V50:Y50" si="17">I26</f>
        <v>8.3673952056467875E-3</v>
      </c>
      <c r="X50" s="124">
        <f t="shared" si="17"/>
        <v>7.4019265280720996E-3</v>
      </c>
      <c r="Y50" s="125">
        <f t="shared" si="17"/>
        <v>6.6362099906854101E-3</v>
      </c>
      <c r="Z50" s="34"/>
      <c r="AA50" s="34"/>
      <c r="AB50" s="34"/>
      <c r="AN50" s="9" t="s">
        <v>76</v>
      </c>
      <c r="AP50" s="60">
        <f>IF(DIAG!$T$28,$L$26,-1)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</row>
    <row r="51" spans="1:59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IF(DIAG!$T$28,$L$27,-1)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</row>
    <row r="52" spans="1:59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2"/>
    </row>
    <row r="53" spans="1:59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IF(DIAG!$T$29,$L$26,-1)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</row>
    <row r="54" spans="1:59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2"/>
      <c r="AP54" s="66">
        <f>IF(DIAG!$T$29,$L$27,-1)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</row>
    <row r="55" spans="1:59" x14ac:dyDescent="0.2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</row>
    <row r="56" spans="1:59" x14ac:dyDescent="0.2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IF(DIAG!$T$30,$L$26,-1)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</row>
    <row r="57" spans="1:59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f>G27</f>
        <v>0.31372549019607843</v>
      </c>
      <c r="V57" s="94">
        <f>H27</f>
        <v>0.31666666666666665</v>
      </c>
      <c r="W57" s="93"/>
      <c r="X57" s="93"/>
      <c r="Y57" s="122"/>
      <c r="AP57" s="66">
        <f>IF(DIAG!$T$30,$L$27,-1)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59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2"/>
    </row>
    <row r="59" spans="1:59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2"/>
    </row>
    <row r="60" spans="1:59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0.32183908045977011</v>
      </c>
    </row>
    <row r="61" spans="1:59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59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59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59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18">(2*O66*($M65+1)-$M65-$M65*O66^2)/(SQRT(3)*$M65*(1-O66))</f>
        <v>-1.7320508075688774</v>
      </c>
      <c r="P65" s="89">
        <f t="shared" si="18"/>
        <v>-1.7320508075688774</v>
      </c>
      <c r="Q65" s="89">
        <f t="shared" si="18"/>
        <v>-1.7320508075688774</v>
      </c>
      <c r="R65" s="89">
        <f t="shared" si="18"/>
        <v>-1.7320508075688774</v>
      </c>
      <c r="S65" s="89">
        <f t="shared" si="18"/>
        <v>-1.7320508075688774</v>
      </c>
      <c r="T65" s="89">
        <f t="shared" si="18"/>
        <v>-1.7320508075688774</v>
      </c>
      <c r="U65" s="89">
        <f t="shared" si="18"/>
        <v>-1.7320508075688774</v>
      </c>
      <c r="V65" s="89">
        <f t="shared" si="18"/>
        <v>-1.7320508075688774</v>
      </c>
      <c r="W65" s="89">
        <f t="shared" si="18"/>
        <v>-1.7320508075688774</v>
      </c>
      <c r="X65" s="89">
        <f t="shared" si="18"/>
        <v>-1.7320508075688774</v>
      </c>
      <c r="Y65" s="89">
        <f t="shared" si="18"/>
        <v>-1.7320508075688774</v>
      </c>
      <c r="Z65" s="89">
        <f t="shared" si="18"/>
        <v>-1.7320508075688774</v>
      </c>
      <c r="AA65" s="89">
        <f t="shared" si="18"/>
        <v>-1.7320508075688774</v>
      </c>
      <c r="AB65" s="89">
        <f t="shared" si="18"/>
        <v>-1.7320508075688774</v>
      </c>
      <c r="AC65" s="89">
        <f t="shared" si="18"/>
        <v>-1.7320508075688774</v>
      </c>
      <c r="AD65" s="89">
        <f t="shared" si="18"/>
        <v>-1.7320508075688774</v>
      </c>
      <c r="AE65" s="89">
        <f t="shared" si="18"/>
        <v>-1.7320508075688774</v>
      </c>
      <c r="AF65" s="89">
        <f t="shared" si="18"/>
        <v>-1.7320508075688774</v>
      </c>
      <c r="AG65" s="127">
        <f t="shared" si="18"/>
        <v>-1.7320508075688774</v>
      </c>
      <c r="AM65" s="57">
        <f>AO64</f>
        <v>1</v>
      </c>
      <c r="AN65" s="88" t="s">
        <v>53</v>
      </c>
      <c r="AO65" s="89">
        <f t="shared" ref="AO65:BG65" si="19">(2*AO66*($M65+1)-$M65-$M65*AO66^2)/(SQRT(3)*$M65*(1-AO66))</f>
        <v>-1.7320508075688774</v>
      </c>
      <c r="AP65" s="89">
        <f t="shared" si="19"/>
        <v>-1.7320508075688774</v>
      </c>
      <c r="AQ65" s="89">
        <f t="shared" si="19"/>
        <v>-1.7320508075688774</v>
      </c>
      <c r="AR65" s="89">
        <f t="shared" si="19"/>
        <v>-1.7320508075688774</v>
      </c>
      <c r="AS65" s="89">
        <f t="shared" si="19"/>
        <v>-1.7320508075688774</v>
      </c>
      <c r="AT65" s="89">
        <f t="shared" si="19"/>
        <v>-1.7320508075688774</v>
      </c>
      <c r="AU65" s="89">
        <f t="shared" si="19"/>
        <v>-1.7320508075688774</v>
      </c>
      <c r="AV65" s="89">
        <f t="shared" si="19"/>
        <v>-1.7320508075688774</v>
      </c>
      <c r="AW65" s="89">
        <f t="shared" si="19"/>
        <v>-1.7320508075688774</v>
      </c>
      <c r="AX65" s="89">
        <f t="shared" si="19"/>
        <v>-1.7320508075688774</v>
      </c>
      <c r="AY65" s="89">
        <f t="shared" si="19"/>
        <v>-1.7320508075688774</v>
      </c>
      <c r="AZ65" s="89">
        <f t="shared" si="19"/>
        <v>-1.7320508075688774</v>
      </c>
      <c r="BA65" s="89">
        <f t="shared" si="19"/>
        <v>-1.7320508075688774</v>
      </c>
      <c r="BB65" s="89">
        <f t="shared" si="19"/>
        <v>-1.7320508075688774</v>
      </c>
      <c r="BC65" s="89">
        <f t="shared" si="19"/>
        <v>-1.7320508075688774</v>
      </c>
      <c r="BD65" s="89">
        <f t="shared" si="19"/>
        <v>-1.7320508075688774</v>
      </c>
      <c r="BE65" s="89">
        <f t="shared" si="19"/>
        <v>-1.7320508075688774</v>
      </c>
      <c r="BF65" s="89">
        <f t="shared" si="19"/>
        <v>-1.7320508075688774</v>
      </c>
      <c r="BG65" s="127">
        <f t="shared" si="19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0">(2*O70*($M69+1)-$M69-$M69*O70^2)/(SQRT(3)*$M69*(1-O70))</f>
        <v>-1.2701705922171769</v>
      </c>
      <c r="P69" s="89">
        <f t="shared" si="20"/>
        <v>-1.2701705922171769</v>
      </c>
      <c r="Q69" s="89">
        <f t="shared" si="20"/>
        <v>-1.2701705922171769</v>
      </c>
      <c r="R69" s="89">
        <f t="shared" si="20"/>
        <v>-1.2701705922171769</v>
      </c>
      <c r="S69" s="89">
        <f t="shared" si="20"/>
        <v>-1.2701705922171769</v>
      </c>
      <c r="T69" s="89">
        <f t="shared" si="20"/>
        <v>-1.2701705922171769</v>
      </c>
      <c r="U69" s="89">
        <f t="shared" si="20"/>
        <v>-1.2701705922171769</v>
      </c>
      <c r="V69" s="89">
        <f t="shared" si="20"/>
        <v>-1.2701705922171769</v>
      </c>
      <c r="W69" s="89">
        <f t="shared" si="20"/>
        <v>-1.2701705922171769</v>
      </c>
      <c r="X69" s="89">
        <f t="shared" si="20"/>
        <v>-1.2701705922171769</v>
      </c>
      <c r="Y69" s="89">
        <f t="shared" si="20"/>
        <v>-1.2701705922171769</v>
      </c>
      <c r="Z69" s="89">
        <f t="shared" si="20"/>
        <v>-1.2701705922171769</v>
      </c>
      <c r="AA69" s="89">
        <f t="shared" si="20"/>
        <v>-1.2701705922171769</v>
      </c>
      <c r="AB69" s="89">
        <f t="shared" si="20"/>
        <v>-1.2701705922171769</v>
      </c>
      <c r="AC69" s="89">
        <f t="shared" si="20"/>
        <v>-1.2701705922171769</v>
      </c>
      <c r="AD69" s="89">
        <f t="shared" si="20"/>
        <v>-1.2701705922171769</v>
      </c>
      <c r="AE69" s="89">
        <f t="shared" si="20"/>
        <v>-1.2701705922171769</v>
      </c>
      <c r="AF69" s="89">
        <f t="shared" si="20"/>
        <v>-1.2701705922171769</v>
      </c>
      <c r="AG69" s="127">
        <f t="shared" si="20"/>
        <v>-1.2701705922171769</v>
      </c>
      <c r="AM69" s="57">
        <f>AO68</f>
        <v>5</v>
      </c>
      <c r="AN69" s="88" t="s">
        <v>53</v>
      </c>
      <c r="AO69" s="89">
        <f t="shared" ref="AO69:BG69" si="21">(2*AO70*($M69+1)-$M69-$M69*AO70^2)/(SQRT(3)*$M69*(1-AO70))</f>
        <v>-1.2701705922171769</v>
      </c>
      <c r="AP69" s="89">
        <f t="shared" si="21"/>
        <v>-1.2701705922171769</v>
      </c>
      <c r="AQ69" s="89">
        <f t="shared" si="21"/>
        <v>-1.2701705922171769</v>
      </c>
      <c r="AR69" s="89">
        <f t="shared" si="21"/>
        <v>-1.2701705922171769</v>
      </c>
      <c r="AS69" s="89">
        <f t="shared" si="21"/>
        <v>-1.2701705922171769</v>
      </c>
      <c r="AT69" s="89">
        <f t="shared" si="21"/>
        <v>-1.2701705922171769</v>
      </c>
      <c r="AU69" s="89">
        <f t="shared" si="21"/>
        <v>-1.2701705922171769</v>
      </c>
      <c r="AV69" s="89">
        <f t="shared" si="21"/>
        <v>-1.2701705922171769</v>
      </c>
      <c r="AW69" s="89">
        <f t="shared" si="21"/>
        <v>-1.2701705922171769</v>
      </c>
      <c r="AX69" s="89">
        <f t="shared" si="21"/>
        <v>-1.2701705922171769</v>
      </c>
      <c r="AY69" s="89">
        <f t="shared" si="21"/>
        <v>-1.2701705922171769</v>
      </c>
      <c r="AZ69" s="89">
        <f t="shared" si="21"/>
        <v>-1.2701705922171769</v>
      </c>
      <c r="BA69" s="89">
        <f t="shared" si="21"/>
        <v>-1.2701705922171769</v>
      </c>
      <c r="BB69" s="89">
        <f t="shared" si="21"/>
        <v>-1.2701705922171769</v>
      </c>
      <c r="BC69" s="89">
        <f t="shared" si="21"/>
        <v>-1.2701705922171769</v>
      </c>
      <c r="BD69" s="89">
        <f t="shared" si="21"/>
        <v>-1.2701705922171769</v>
      </c>
      <c r="BE69" s="89">
        <f t="shared" si="21"/>
        <v>-1.2701705922171769</v>
      </c>
      <c r="BF69" s="89">
        <f t="shared" si="21"/>
        <v>-1.2701705922171769</v>
      </c>
      <c r="BG69" s="127">
        <f t="shared" si="21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22">(2*P74*($M73+1)-$M73-$M73*P74^2)/(SQRT(3)*$M73*(1-P74))</f>
        <v>-1.4433756729740645</v>
      </c>
      <c r="Q73" s="89">
        <f t="shared" si="22"/>
        <v>-1.4433756729740645</v>
      </c>
      <c r="R73" s="89">
        <f t="shared" si="22"/>
        <v>-1.4433756729740645</v>
      </c>
      <c r="S73" s="89">
        <f t="shared" si="22"/>
        <v>-1.4433756729740645</v>
      </c>
      <c r="T73" s="89">
        <f t="shared" si="22"/>
        <v>-1.4433756729740645</v>
      </c>
      <c r="U73" s="89">
        <f t="shared" si="22"/>
        <v>-1.4433756729740645</v>
      </c>
      <c r="V73" s="89">
        <f t="shared" si="22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2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2"/>
        <v>-1.4433756729740645</v>
      </c>
      <c r="AF73" s="89">
        <f t="shared" si="22"/>
        <v>-1.4433756729740645</v>
      </c>
      <c r="AG73" s="127">
        <f t="shared" si="22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/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/>
      <c r="H78" s="137"/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23">Q35</f>
        <v>-0.46188021535170065</v>
      </c>
      <c r="R78" s="29">
        <f t="shared" si="23"/>
        <v>-0.40414518843273811</v>
      </c>
      <c r="S78" s="29">
        <f t="shared" si="23"/>
        <v>-0.34641016151377552</v>
      </c>
      <c r="T78" s="29">
        <f t="shared" si="23"/>
        <v>-0.28867513459481292</v>
      </c>
      <c r="U78" s="29">
        <f t="shared" si="23"/>
        <v>-0.23094010767585038</v>
      </c>
      <c r="V78" s="29">
        <f t="shared" si="23"/>
        <v>-0.17320508075688779</v>
      </c>
      <c r="W78" s="29">
        <f t="shared" si="23"/>
        <v>-0.11547005383792519</v>
      </c>
      <c r="X78" s="29">
        <f t="shared" si="23"/>
        <v>-5.7735026918962595E-2</v>
      </c>
      <c r="Y78" s="29">
        <f t="shared" si="23"/>
        <v>0</v>
      </c>
      <c r="Z78" s="29">
        <f t="shared" si="23"/>
        <v>5.7735026918962595E-2</v>
      </c>
      <c r="AA78" s="29">
        <f t="shared" si="23"/>
        <v>0.11547005383792519</v>
      </c>
      <c r="AB78" s="29">
        <f t="shared" si="23"/>
        <v>0.17320508075688779</v>
      </c>
      <c r="AC78" s="29">
        <f t="shared" si="23"/>
        <v>0.23094010767585038</v>
      </c>
      <c r="AD78" s="29">
        <f t="shared" si="23"/>
        <v>0.28867513459481292</v>
      </c>
      <c r="AE78" s="29">
        <f t="shared" si="23"/>
        <v>0.34641016151377552</v>
      </c>
      <c r="AF78" s="29">
        <f t="shared" si="23"/>
        <v>0.40414518843273811</v>
      </c>
      <c r="AG78" s="29">
        <f t="shared" si="23"/>
        <v>0.46188021535170065</v>
      </c>
      <c r="AH78" s="29">
        <f t="shared" si="23"/>
        <v>0.51961524227066325</v>
      </c>
      <c r="AI78" s="29">
        <f t="shared" si="23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VLOOKUP(A78,A26:K26,DIAG!$T$58+1,0)</f>
        <v>9.6225044864937673E-2</v>
      </c>
      <c r="B79" s="140">
        <f>VLOOKUP(B78,A27:K27,DIAG!$T$58+1,0)</f>
        <v>0.16666666666666666</v>
      </c>
      <c r="E79" s="139">
        <f>VLOOKUP(E78,A26:K26,DIAG!$W$56+1,0)</f>
        <v>9.6225044864937673E-2</v>
      </c>
      <c r="F79" s="140">
        <f>VLOOKUP(F78,A27:K27,DIAG!$W$56+1,0)</f>
        <v>0.16666666666666666</v>
      </c>
      <c r="G79" s="139"/>
      <c r="H79" s="140"/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0.2474358296526967</v>
      </c>
      <c r="D80" s="29">
        <f>(B80*(A80-$E$79)-A80*(B80-$F$79))/(A80-$E$79)</f>
        <v>0.14285714285714285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0</v>
      </c>
      <c r="D81" s="29">
        <f>(B81*(A81-$G$79)-A81*(B81-$H$79))/(A81-$G$79)</f>
        <v>0</v>
      </c>
      <c r="E81" s="29" t="s">
        <v>7</v>
      </c>
      <c r="N81" s="10" t="s">
        <v>112</v>
      </c>
      <c r="O81" s="29">
        <f>IF(DIAG!$T$56,($C$81*O35+$D$81),-1)</f>
        <v>0</v>
      </c>
      <c r="P81" s="29">
        <f>IF(DIAG!$T$56,($C$81*P35+$D$81),-1)</f>
        <v>0</v>
      </c>
      <c r="Q81" s="29">
        <f>IF(DIAG!$T$56,($C$81*Q35+$D$81),-1)</f>
        <v>0</v>
      </c>
      <c r="R81" s="29">
        <f>IF(DIAG!$T$56,($C$81*R35+$D$81),-1)</f>
        <v>0</v>
      </c>
      <c r="S81" s="29">
        <f>IF(DIAG!$T$56,($C$81*S35+$D$81),-1)</f>
        <v>0</v>
      </c>
      <c r="T81" s="29">
        <f>IF(DIAG!$T$56,($C$81*T35+$D$81),-1)</f>
        <v>0</v>
      </c>
      <c r="U81" s="29">
        <f>IF(DIAG!$T$56,($C$81*U35+$D$81),-1)</f>
        <v>0</v>
      </c>
      <c r="V81" s="29">
        <f>IF(DIAG!$T$56,($C$81*V35+$D$81),-1)</f>
        <v>0</v>
      </c>
      <c r="W81" s="29">
        <f>IF(DIAG!$T$56,($C$81*W35+$D$81),-1)</f>
        <v>0</v>
      </c>
      <c r="X81" s="29">
        <f>IF(DIAG!$T$56,($C$81*X35+$D$81),-1)</f>
        <v>0</v>
      </c>
      <c r="Y81" s="29">
        <f>IF(DIAG!$T$56,($C$81*Y35+$D$81),-1)</f>
        <v>0</v>
      </c>
      <c r="Z81" s="29">
        <f>IF(DIAG!$T$56,($C$81*Z35+$D$81),-1)</f>
        <v>0</v>
      </c>
      <c r="AA81" s="29">
        <f>IF(DIAG!$T$56,($C$81*AA35+$D$81),-1)</f>
        <v>0</v>
      </c>
      <c r="AB81" s="29">
        <f>IF(DIAG!$T$56,($C$81*AB35+$D$81),-1)</f>
        <v>0</v>
      </c>
      <c r="AC81" s="29">
        <f>IF(DIAG!$T$56,($C$81*AC35+$D$81),-1)</f>
        <v>0</v>
      </c>
      <c r="AD81" s="29">
        <f>IF(DIAG!$T$56,($C$81*AD35+$D$81),-1)</f>
        <v>0</v>
      </c>
      <c r="AE81" s="29">
        <f>IF(DIAG!$T$56,($C$81*AE35+$D$81),-1)</f>
        <v>0</v>
      </c>
      <c r="AF81" s="29">
        <f>IF(DIAG!$T$56,($C$81*AF35+$D$81),-1)</f>
        <v>0</v>
      </c>
      <c r="AG81" s="29">
        <f>IF(DIAG!$T$56,($C$81*AG35+$D$81),-1)</f>
        <v>0</v>
      </c>
      <c r="AH81" s="29">
        <f>IF(DIAG!$T$56,($C$81*AH35+$D$81),-1)</f>
        <v>0</v>
      </c>
      <c r="AI81" s="138">
        <f>IF(DIAG!$T$56,($C$81*AI35+$D$81),-1)</f>
        <v>0</v>
      </c>
    </row>
    <row r="82" spans="1:35" ht="15.75" x14ac:dyDescent="0.3">
      <c r="A82" s="143">
        <v>0</v>
      </c>
      <c r="B82" s="144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/>
      <c r="H87" s="147"/>
      <c r="I87" s="147"/>
      <c r="J87" s="147"/>
      <c r="K87" s="147"/>
      <c r="L87" s="147" t="s">
        <v>53</v>
      </c>
      <c r="M87" s="148" t="e">
        <f ca="1">M90</f>
        <v>#DIV/0!</v>
      </c>
      <c r="N87" s="149" t="e">
        <f ca="1">N91</f>
        <v>#DIV/0!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#DIV/0!</v>
      </c>
      <c r="N88" s="154" t="e">
        <f ca="1">C81*N87+D81</f>
        <v>#DIV/0!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/>
      <c r="H90" s="152"/>
      <c r="I90" s="152"/>
      <c r="J90" s="152"/>
      <c r="K90" s="152"/>
      <c r="L90" s="152" t="s">
        <v>58</v>
      </c>
      <c r="M90" s="153" t="e">
        <f ca="1">(SQRT(M88^2-2*M88+5)-2)/SQRT(3)</f>
        <v>#DIV/0!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/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#DIV/0!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/>
      <c r="H92" s="156"/>
      <c r="I92" s="156"/>
      <c r="J92" s="156"/>
      <c r="K92" s="156"/>
      <c r="L92" s="156"/>
      <c r="M92" s="157" t="e">
        <f ca="1">SQRT((M87-N87)^2+(M88-N88)^2)</f>
        <v>#DIV/0!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/>
      <c r="H94" s="147"/>
      <c r="I94" s="147"/>
      <c r="J94" s="147"/>
      <c r="K94" s="147"/>
      <c r="L94" s="147" t="s">
        <v>53</v>
      </c>
      <c r="M94" s="148" t="e">
        <f ca="1">M97</f>
        <v>#DIV/0!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0.11547005383792522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#DIV/0!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/>
      <c r="H97" s="152"/>
      <c r="I97" s="152"/>
      <c r="J97" s="152"/>
      <c r="K97" s="152"/>
      <c r="L97" s="152" t="s">
        <v>58</v>
      </c>
      <c r="M97" s="153" t="e">
        <f ca="1">-(1-M95)/SQRT(3)</f>
        <v>#DIV/0!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3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/>
      <c r="H98" s="156"/>
      <c r="I98" s="156"/>
      <c r="J98" s="156"/>
      <c r="K98" s="156"/>
      <c r="L98" s="156"/>
      <c r="M98" s="157" t="e">
        <f ca="1">SQRT((M94-N94)^2+(M95-N95)^2)</f>
        <v>#DIV/0!</v>
      </c>
      <c r="N98" s="158"/>
      <c r="P98" s="112" t="s">
        <v>60</v>
      </c>
      <c r="Q98" s="33"/>
      <c r="R98" s="159">
        <f>SQRT((R94-S94)^2+(R95-S95)^2)</f>
        <v>1.0066445913694333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/>
      <c r="H100" s="147"/>
      <c r="I100" s="147"/>
      <c r="J100" s="147"/>
      <c r="K100" s="147"/>
      <c r="L100" s="147"/>
      <c r="M100" s="160" t="e">
        <f ca="1">M92/M98</f>
        <v>#DIV/0!</v>
      </c>
      <c r="N100" s="161"/>
      <c r="P100" s="9" t="s">
        <v>63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#DIV/0!</v>
      </c>
      <c r="N102" s="166" t="e">
        <f ca="1">SQRT((N87-M94)^2+(N88-M95)^2)</f>
        <v>#DIV/0!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#DIV/0!</v>
      </c>
      <c r="N103" s="168" t="e">
        <f ca="1">N102/M98</f>
        <v>#DIV/0!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#DIV/0!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#DIV/0!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#DIV/0!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#DIV/0!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GS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GS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GS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2023-05-01T19:01:02Z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