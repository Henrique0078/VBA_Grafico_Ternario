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21177939-C0D1-46A4-8769-0E201265299E}" xr6:coauthVersionLast="47" xr6:coauthVersionMax="47" xr10:uidLastSave="{00000000-0000-0000-0000-000000000000}"/>
  <workbookProtection lockWindows="1"/>
  <bookViews>
    <workbookView xWindow="3975" yWindow="2880" windowWidth="11415" windowHeight="8190" firstSheet="2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7" i="6" l="1"/>
  <c r="N116" i="6"/>
  <c r="N114" i="6"/>
  <c r="N113" i="6"/>
  <c r="N141" i="6"/>
  <c r="M141" i="6"/>
  <c r="E141" i="6"/>
  <c r="F141" i="6" s="1"/>
  <c r="G141" i="6" s="1"/>
  <c r="N140" i="6"/>
  <c r="M140" i="6"/>
  <c r="E140" i="6"/>
  <c r="F140" i="6" s="1"/>
  <c r="G140" i="6" s="1"/>
  <c r="N138" i="6"/>
  <c r="E138" i="6"/>
  <c r="F138" i="6" s="1"/>
  <c r="G138" i="6" s="1"/>
  <c r="H138" i="6" s="1"/>
  <c r="I138" i="6" s="1"/>
  <c r="J138" i="6" s="1"/>
  <c r="K138" i="6" s="1"/>
  <c r="L138" i="6" s="1"/>
  <c r="M138" i="6" s="1"/>
  <c r="N137" i="6"/>
  <c r="E137" i="6"/>
  <c r="F137" i="6" s="1"/>
  <c r="G137" i="6" s="1"/>
  <c r="H137" i="6" s="1"/>
  <c r="I137" i="6" s="1"/>
  <c r="J137" i="6" s="1"/>
  <c r="K137" i="6" s="1"/>
  <c r="L137" i="6" s="1"/>
  <c r="M137" i="6" s="1"/>
  <c r="N135" i="6"/>
  <c r="E135" i="6"/>
  <c r="F135" i="6" s="1"/>
  <c r="G135" i="6" s="1"/>
  <c r="H135" i="6" s="1"/>
  <c r="I135" i="6" s="1"/>
  <c r="J135" i="6" s="1"/>
  <c r="K135" i="6" s="1"/>
  <c r="L135" i="6" s="1"/>
  <c r="M135" i="6" s="1"/>
  <c r="N134" i="6"/>
  <c r="E134" i="6"/>
  <c r="F134" i="6" s="1"/>
  <c r="G134" i="6" s="1"/>
  <c r="H134" i="6" s="1"/>
  <c r="I134" i="6" s="1"/>
  <c r="J134" i="6" s="1"/>
  <c r="K134" i="6" s="1"/>
  <c r="L134" i="6" s="1"/>
  <c r="M134" i="6" s="1"/>
  <c r="N132" i="6"/>
  <c r="E132" i="6"/>
  <c r="F132" i="6" s="1"/>
  <c r="G132" i="6" s="1"/>
  <c r="H132" i="6" s="1"/>
  <c r="I132" i="6" s="1"/>
  <c r="J132" i="6" s="1"/>
  <c r="K132" i="6" s="1"/>
  <c r="L132" i="6" s="1"/>
  <c r="M132" i="6" s="1"/>
  <c r="N131" i="6"/>
  <c r="E131" i="6"/>
  <c r="F131" i="6" s="1"/>
  <c r="G131" i="6" s="1"/>
  <c r="H131" i="6" s="1"/>
  <c r="I131" i="6" s="1"/>
  <c r="J131" i="6" s="1"/>
  <c r="K131" i="6" s="1"/>
  <c r="L131" i="6" s="1"/>
  <c r="M131" i="6" s="1"/>
  <c r="N129" i="6"/>
  <c r="E129" i="6"/>
  <c r="F129" i="6" s="1"/>
  <c r="G129" i="6" s="1"/>
  <c r="H129" i="6" s="1"/>
  <c r="I129" i="6" s="1"/>
  <c r="J129" i="6" s="1"/>
  <c r="K129" i="6" s="1"/>
  <c r="L129" i="6" s="1"/>
  <c r="M129" i="6" s="1"/>
  <c r="N128" i="6"/>
  <c r="E128" i="6"/>
  <c r="F128" i="6" s="1"/>
  <c r="G128" i="6" s="1"/>
  <c r="H128" i="6" s="1"/>
  <c r="I128" i="6" s="1"/>
  <c r="J128" i="6" s="1"/>
  <c r="K128" i="6" s="1"/>
  <c r="L128" i="6" s="1"/>
  <c r="M128" i="6" s="1"/>
  <c r="N126" i="6"/>
  <c r="E126" i="6"/>
  <c r="F126" i="6" s="1"/>
  <c r="G126" i="6" s="1"/>
  <c r="H126" i="6" s="1"/>
  <c r="I126" i="6" s="1"/>
  <c r="J126" i="6" s="1"/>
  <c r="K126" i="6" s="1"/>
  <c r="L126" i="6" s="1"/>
  <c r="M126" i="6" s="1"/>
  <c r="N125" i="6"/>
  <c r="E125" i="6"/>
  <c r="F125" i="6" s="1"/>
  <c r="G125" i="6" s="1"/>
  <c r="H125" i="6" s="1"/>
  <c r="I125" i="6" s="1"/>
  <c r="J125" i="6" s="1"/>
  <c r="K125" i="6" s="1"/>
  <c r="L125" i="6" s="1"/>
  <c r="M125" i="6" s="1"/>
  <c r="N123" i="6"/>
  <c r="E123" i="6"/>
  <c r="F123" i="6" s="1"/>
  <c r="G123" i="6" s="1"/>
  <c r="H123" i="6" s="1"/>
  <c r="I123" i="6" s="1"/>
  <c r="J123" i="6" s="1"/>
  <c r="K123" i="6" s="1"/>
  <c r="L123" i="6" s="1"/>
  <c r="M123" i="6" s="1"/>
  <c r="N122" i="6"/>
  <c r="E122" i="6"/>
  <c r="F122" i="6" s="1"/>
  <c r="G122" i="6" s="1"/>
  <c r="H122" i="6" s="1"/>
  <c r="I122" i="6" s="1"/>
  <c r="J122" i="6" s="1"/>
  <c r="K122" i="6" s="1"/>
  <c r="L122" i="6" s="1"/>
  <c r="M122" i="6" s="1"/>
  <c r="N120" i="6"/>
  <c r="E120" i="6"/>
  <c r="F120" i="6" s="1"/>
  <c r="G120" i="6" s="1"/>
  <c r="H120" i="6" s="1"/>
  <c r="I120" i="6" s="1"/>
  <c r="J120" i="6" s="1"/>
  <c r="K120" i="6" s="1"/>
  <c r="L120" i="6" s="1"/>
  <c r="M120" i="6" s="1"/>
  <c r="N119" i="6"/>
  <c r="E119" i="6"/>
  <c r="F119" i="6" s="1"/>
  <c r="G119" i="6" s="1"/>
  <c r="H119" i="6" s="1"/>
  <c r="I119" i="6" s="1"/>
  <c r="J119" i="6" s="1"/>
  <c r="K119" i="6" s="1"/>
  <c r="L119" i="6" s="1"/>
  <c r="M119" i="6" s="1"/>
  <c r="AY57" i="6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E117" i="6" s="1"/>
  <c r="F117" i="6" s="1"/>
  <c r="G117" i="6" s="1"/>
  <c r="H117" i="6" s="1"/>
  <c r="I117" i="6" s="1"/>
  <c r="J117" i="6" s="1"/>
  <c r="K117" i="6" s="1"/>
  <c r="L117" i="6" s="1"/>
  <c r="M117" i="6" s="1"/>
  <c r="GL45" i="6"/>
  <c r="GL41" i="6"/>
  <c r="GL42" i="6"/>
  <c r="GL46" i="6"/>
  <c r="AP57" i="6" l="1"/>
  <c r="AQ57" i="6" s="1"/>
  <c r="AR57" i="6" s="1"/>
  <c r="E114" i="6"/>
  <c r="F114" i="6" s="1"/>
  <c r="G114" i="6" s="1"/>
  <c r="H114" i="6" s="1"/>
  <c r="I114" i="6" s="1"/>
  <c r="J114" i="6" s="1"/>
  <c r="K114" i="6" s="1"/>
  <c r="L114" i="6" s="1"/>
  <c r="M114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E116" i="6" s="1"/>
  <c r="F116" i="6" s="1"/>
  <c r="G116" i="6" s="1"/>
  <c r="H116" i="6" s="1"/>
  <c r="I116" i="6" s="1"/>
  <c r="J116" i="6" s="1"/>
  <c r="K116" i="6" s="1"/>
  <c r="L116" i="6" s="1"/>
  <c r="M116" i="6" s="1"/>
  <c r="GL50" i="6"/>
  <c r="GL47" i="6"/>
  <c r="GL48" i="6"/>
  <c r="GL51" i="6"/>
  <c r="AP56" i="6" l="1"/>
  <c r="AQ56" i="6" s="1"/>
  <c r="AR56" i="6" s="1"/>
  <c r="E113" i="6"/>
  <c r="F113" i="6" s="1"/>
  <c r="G113" i="6" s="1"/>
  <c r="H113" i="6" s="1"/>
  <c r="I113" i="6" s="1"/>
  <c r="J113" i="6" s="1"/>
  <c r="K113" i="6" s="1"/>
  <c r="L113" i="6" s="1"/>
  <c r="M113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<sst xmlns="http://schemas.openxmlformats.org/spreadsheetml/2006/main" count="2617" uniqueCount="329">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</sst>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1.8042195912175808E-2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9.6225044864937673E-2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0</c:v>
                </c:pt>
                <c:pt idx="1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3.8490017945975043E-2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0</c:v>
                </c:pt>
                <c:pt idx="1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2.4056261216234449E-2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0</c:v>
                </c:pt>
                <c:pt idx="1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1.7495462702715917E-2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0</c:v>
                </c:pt>
                <c:pt idx="1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1.3746434980705328E-2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0</c:v>
                </c:pt>
                <c:pt idx="1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1.1320593513522034E-2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0</c:v>
                </c:pt>
                <c:pt idx="1">
                  <c:v>0.31372549019607843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9.6225044864937295E-3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0</c:v>
                </c:pt>
                <c:pt idx="1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8.3673952056467875E-3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0</c:v>
                </c:pt>
                <c:pt idx="1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7.4019265280720996E-3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0</c:v>
                </c:pt>
                <c:pt idx="1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1.8042195912175808E-2</c:v>
                </c:pt>
                <c:pt idx="1">
                  <c:v>6.6362099906854101E-3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0</c:v>
                </c:pt>
                <c:pt idx="1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M22" sqref="M22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3</v>
      </c>
      <c r="U31" s="175">
        <v>3</v>
      </c>
      <c r="V31" s="175">
        <v>3</v>
      </c>
      <c r="W31" s="174">
        <f>IF($T$41,T31,1)</f>
        <v>3</v>
      </c>
      <c r="X31" s="174">
        <f>IF($T$41,T32,1)</f>
        <v>5</v>
      </c>
      <c r="Y31" s="174">
        <f>IF($T$41,T33,1)</f>
        <v>6</v>
      </c>
      <c r="Z31" s="174">
        <f>IF($T$41,T34,1)</f>
        <v>87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5</v>
      </c>
      <c r="U32" s="175">
        <v>5</v>
      </c>
      <c r="V32" s="175">
        <v>5</v>
      </c>
    </row>
    <row r="33" spans="1:24" x14ac:dyDescent="0.2">
      <c r="S33" s="175">
        <v>3</v>
      </c>
      <c r="T33" s="175">
        <v>6</v>
      </c>
      <c r="U33" s="175">
        <v>6</v>
      </c>
      <c r="V33" s="175">
        <v>6</v>
      </c>
    </row>
    <row r="34" spans="1:24" x14ac:dyDescent="0.2">
      <c r="S34" s="175">
        <v>4</v>
      </c>
      <c r="T34" s="175">
        <v>87</v>
      </c>
      <c r="U34" s="175">
        <v>87</v>
      </c>
      <c r="V34" s="175">
        <v>87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1</v>
      </c>
      <c r="U41" s="175" t="b">
        <v>1</v>
      </c>
      <c r="V41" s="175" t="b">
        <v>1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328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137</v>
      </c>
      <c r="M47" s="207" t="s">
        <v>137</v>
      </c>
      <c r="N47" s="207" t="s">
        <v>137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138</v>
      </c>
      <c r="M48" s="207" t="s">
        <v>138</v>
      </c>
      <c r="N48" s="207" t="s">
        <v>138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139</v>
      </c>
      <c r="M49" s="207" t="s">
        <v>139</v>
      </c>
      <c r="N49" s="207" t="s">
        <v>139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140</v>
      </c>
      <c r="M50" s="207" t="s">
        <v>140</v>
      </c>
      <c r="N50" s="207" t="s">
        <v>140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141</v>
      </c>
      <c r="M51" s="207" t="s">
        <v>141</v>
      </c>
      <c r="N51" s="207" t="s">
        <v>141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142</v>
      </c>
      <c r="M52" s="207" t="s">
        <v>142</v>
      </c>
      <c r="N52" s="207" t="s">
        <v>142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143</v>
      </c>
      <c r="M53" s="207" t="s">
        <v>143</v>
      </c>
      <c r="N53" s="207" t="s">
        <v>143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144</v>
      </c>
      <c r="M54" s="207" t="s">
        <v>144</v>
      </c>
      <c r="N54" s="207" t="s">
        <v>144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145</v>
      </c>
      <c r="M55" s="207" t="s">
        <v>145</v>
      </c>
      <c r="N55" s="207" t="s">
        <v>145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227</v>
      </c>
      <c r="X55" s="174" t="s">
        <v>227</v>
      </c>
      <c r="Y55" s="174" t="s">
        <v>227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146</v>
      </c>
      <c r="M56" s="207" t="s">
        <v>146</v>
      </c>
      <c r="N56" s="207" t="s">
        <v>146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147</v>
      </c>
      <c r="M57" s="207" t="s">
        <v>147</v>
      </c>
      <c r="N57" s="207" t="s">
        <v>147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148</v>
      </c>
      <c r="M58" s="207" t="s">
        <v>148</v>
      </c>
      <c r="N58" s="207" t="s">
        <v>148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149</v>
      </c>
      <c r="M59" s="207" t="s">
        <v>149</v>
      </c>
      <c r="N59" s="207" t="s">
        <v>149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150</v>
      </c>
      <c r="M60" s="207" t="s">
        <v>150</v>
      </c>
      <c r="N60" s="207" t="s">
        <v>150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151</v>
      </c>
      <c r="M61" s="207" t="s">
        <v>151</v>
      </c>
      <c r="N61" s="207" t="s">
        <v>151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152</v>
      </c>
      <c r="M62" s="207" t="s">
        <v>152</v>
      </c>
      <c r="N62" s="207" t="s">
        <v>152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153</v>
      </c>
      <c r="M63" s="207" t="s">
        <v>153</v>
      </c>
      <c r="N63" s="207" t="s">
        <v>153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154</v>
      </c>
      <c r="M64" s="207" t="s">
        <v>154</v>
      </c>
      <c r="N64" s="207" t="s">
        <v>154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155</v>
      </c>
      <c r="M65" s="207" t="s">
        <v>155</v>
      </c>
      <c r="N65" s="207" t="s">
        <v>155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156</v>
      </c>
      <c r="M66" s="207" t="s">
        <v>156</v>
      </c>
      <c r="N66" s="207" t="s">
        <v>156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157</v>
      </c>
      <c r="M67" s="207" t="s">
        <v>157</v>
      </c>
      <c r="N67" s="207" t="s">
        <v>157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158</v>
      </c>
      <c r="M68" s="207" t="s">
        <v>158</v>
      </c>
      <c r="N68" s="207" t="s">
        <v>158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159</v>
      </c>
      <c r="M69" s="207" t="s">
        <v>159</v>
      </c>
      <c r="N69" s="207" t="s">
        <v>159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160</v>
      </c>
      <c r="M70" s="207" t="s">
        <v>160</v>
      </c>
      <c r="N70" s="207" t="s">
        <v>160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161</v>
      </c>
      <c r="M71" s="207" t="s">
        <v>161</v>
      </c>
      <c r="N71" s="207" t="s">
        <v>161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162</v>
      </c>
      <c r="M72" s="207" t="s">
        <v>162</v>
      </c>
      <c r="N72" s="207" t="s">
        <v>162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163</v>
      </c>
      <c r="M73" s="207" t="s">
        <v>163</v>
      </c>
      <c r="N73" s="207" t="s">
        <v>163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164</v>
      </c>
      <c r="M74" s="207" t="s">
        <v>164</v>
      </c>
      <c r="N74" s="207" t="s">
        <v>164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165</v>
      </c>
      <c r="M75" s="207" t="s">
        <v>165</v>
      </c>
      <c r="N75" s="207" t="s">
        <v>165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166</v>
      </c>
      <c r="M76" s="207" t="s">
        <v>166</v>
      </c>
      <c r="N76" s="207" t="s">
        <v>166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167</v>
      </c>
      <c r="M77" s="207" t="s">
        <v>167</v>
      </c>
      <c r="N77" s="207" t="s">
        <v>167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168</v>
      </c>
      <c r="M78" s="207" t="s">
        <v>168</v>
      </c>
      <c r="N78" s="207" t="s">
        <v>168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169</v>
      </c>
      <c r="M79" s="207" t="s">
        <v>169</v>
      </c>
      <c r="N79" s="207" t="s">
        <v>169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170</v>
      </c>
      <c r="M80" s="207" t="s">
        <v>170</v>
      </c>
      <c r="N80" s="207" t="s">
        <v>170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171</v>
      </c>
      <c r="M81" s="207" t="s">
        <v>171</v>
      </c>
      <c r="N81" s="207" t="s">
        <v>171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172</v>
      </c>
      <c r="M82" s="207" t="s">
        <v>172</v>
      </c>
      <c r="N82" s="207" t="s">
        <v>172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173</v>
      </c>
      <c r="M83" s="207" t="s">
        <v>173</v>
      </c>
      <c r="N83" s="207" t="s">
        <v>173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174</v>
      </c>
      <c r="M84" s="207" t="s">
        <v>174</v>
      </c>
      <c r="N84" s="207" t="s">
        <v>174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175</v>
      </c>
      <c r="M85" s="207" t="s">
        <v>175</v>
      </c>
      <c r="N85" s="207" t="s">
        <v>175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176</v>
      </c>
      <c r="M86" s="207" t="s">
        <v>176</v>
      </c>
      <c r="N86" s="207" t="s">
        <v>176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177</v>
      </c>
      <c r="M87" s="207" t="s">
        <v>177</v>
      </c>
      <c r="N87" s="207" t="s">
        <v>177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178</v>
      </c>
      <c r="M88" s="207" t="s">
        <v>178</v>
      </c>
      <c r="N88" s="207" t="s">
        <v>178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179</v>
      </c>
      <c r="M89" s="207" t="s">
        <v>179</v>
      </c>
      <c r="N89" s="207" t="s">
        <v>179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180</v>
      </c>
      <c r="M90" s="207" t="s">
        <v>180</v>
      </c>
      <c r="N90" s="207" t="s">
        <v>180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181</v>
      </c>
      <c r="M91" s="207" t="s">
        <v>181</v>
      </c>
      <c r="N91" s="207" t="s">
        <v>181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182</v>
      </c>
      <c r="M92" s="207" t="s">
        <v>182</v>
      </c>
      <c r="N92" s="207" t="s">
        <v>182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183</v>
      </c>
      <c r="M93" s="207" t="s">
        <v>183</v>
      </c>
      <c r="N93" s="207" t="s">
        <v>183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184</v>
      </c>
      <c r="M94" s="207" t="s">
        <v>184</v>
      </c>
      <c r="N94" s="207" t="s">
        <v>184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185</v>
      </c>
      <c r="M95" s="207" t="s">
        <v>185</v>
      </c>
      <c r="N95" s="207" t="s">
        <v>185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186</v>
      </c>
      <c r="M96" s="207" t="s">
        <v>186</v>
      </c>
      <c r="N96" s="207" t="s">
        <v>186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187</v>
      </c>
      <c r="M97" s="207" t="s">
        <v>187</v>
      </c>
      <c r="N97" s="207" t="s">
        <v>187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188</v>
      </c>
      <c r="M98" s="207" t="s">
        <v>188</v>
      </c>
      <c r="N98" s="207" t="s">
        <v>188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189</v>
      </c>
      <c r="M99" s="207" t="s">
        <v>189</v>
      </c>
      <c r="N99" s="207" t="s">
        <v>189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190</v>
      </c>
      <c r="M100" s="207" t="s">
        <v>190</v>
      </c>
      <c r="N100" s="207" t="s">
        <v>190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191</v>
      </c>
      <c r="M101" s="207" t="s">
        <v>191</v>
      </c>
      <c r="N101" s="207" t="s">
        <v>191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192</v>
      </c>
      <c r="M102" s="207" t="s">
        <v>192</v>
      </c>
      <c r="N102" s="207" t="s">
        <v>192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193</v>
      </c>
      <c r="M103" s="207" t="s">
        <v>193</v>
      </c>
      <c r="N103" s="207" t="s">
        <v>193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194</v>
      </c>
      <c r="M104" s="207" t="s">
        <v>194</v>
      </c>
      <c r="N104" s="207" t="s">
        <v>194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195</v>
      </c>
      <c r="M105" s="207" t="s">
        <v>195</v>
      </c>
      <c r="N105" s="207" t="s">
        <v>195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196</v>
      </c>
      <c r="M106" s="207" t="s">
        <v>196</v>
      </c>
      <c r="N106" s="207" t="s">
        <v>196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197</v>
      </c>
      <c r="M107" s="207" t="s">
        <v>197</v>
      </c>
      <c r="N107" s="207" t="s">
        <v>197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198</v>
      </c>
      <c r="M108" s="207" t="s">
        <v>198</v>
      </c>
      <c r="N108" s="207" t="s">
        <v>198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199</v>
      </c>
      <c r="M109" s="207" t="s">
        <v>199</v>
      </c>
      <c r="N109" s="207" t="s">
        <v>199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200</v>
      </c>
      <c r="M110" s="207" t="s">
        <v>200</v>
      </c>
      <c r="N110" s="207" t="s">
        <v>200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201</v>
      </c>
      <c r="M111" s="207" t="s">
        <v>201</v>
      </c>
      <c r="N111" s="207" t="s">
        <v>201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202</v>
      </c>
      <c r="M112" s="207" t="s">
        <v>202</v>
      </c>
      <c r="N112" s="207" t="s">
        <v>202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203</v>
      </c>
      <c r="M113" s="207" t="s">
        <v>203</v>
      </c>
      <c r="N113" s="207" t="s">
        <v>203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204</v>
      </c>
      <c r="M114" s="207" t="s">
        <v>204</v>
      </c>
      <c r="N114" s="207" t="s">
        <v>204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205</v>
      </c>
      <c r="M115" s="207" t="s">
        <v>205</v>
      </c>
      <c r="N115" s="207" t="s">
        <v>205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206</v>
      </c>
      <c r="M116" s="207" t="s">
        <v>206</v>
      </c>
      <c r="N116" s="207" t="s">
        <v>206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207</v>
      </c>
      <c r="M117" s="207" t="s">
        <v>207</v>
      </c>
      <c r="N117" s="207" t="s">
        <v>207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208</v>
      </c>
      <c r="M118" s="207" t="s">
        <v>208</v>
      </c>
      <c r="N118" s="207" t="s">
        <v>208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209</v>
      </c>
      <c r="M119" s="207" t="s">
        <v>209</v>
      </c>
      <c r="N119" s="207" t="s">
        <v>209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210</v>
      </c>
      <c r="M120" s="207" t="s">
        <v>210</v>
      </c>
      <c r="N120" s="207" t="s">
        <v>210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211</v>
      </c>
      <c r="M121" s="207" t="s">
        <v>211</v>
      </c>
      <c r="N121" s="207" t="s">
        <v>211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212</v>
      </c>
      <c r="M122" s="207" t="s">
        <v>212</v>
      </c>
      <c r="N122" s="207" t="s">
        <v>212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213</v>
      </c>
      <c r="M123" s="207" t="s">
        <v>213</v>
      </c>
      <c r="N123" s="207" t="s">
        <v>213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214</v>
      </c>
      <c r="M124" s="207" t="s">
        <v>214</v>
      </c>
      <c r="N124" s="207" t="s">
        <v>214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215</v>
      </c>
      <c r="M125" s="207" t="s">
        <v>215</v>
      </c>
      <c r="N125" s="207" t="s">
        <v>215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216</v>
      </c>
      <c r="M126" s="207" t="s">
        <v>216</v>
      </c>
      <c r="N126" s="207" t="s">
        <v>216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217</v>
      </c>
      <c r="M127" s="207" t="s">
        <v>217</v>
      </c>
      <c r="N127" s="207" t="s">
        <v>217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218</v>
      </c>
      <c r="M128" s="207" t="s">
        <v>218</v>
      </c>
      <c r="N128" s="207" t="s">
        <v>218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219</v>
      </c>
      <c r="M129" s="207" t="s">
        <v>219</v>
      </c>
      <c r="N129" s="207" t="s">
        <v>219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220</v>
      </c>
      <c r="M130" s="207" t="s">
        <v>220</v>
      </c>
      <c r="N130" s="207" t="s">
        <v>220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221</v>
      </c>
      <c r="M131" s="207" t="s">
        <v>221</v>
      </c>
      <c r="N131" s="207" t="s">
        <v>221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222</v>
      </c>
      <c r="M132" s="207" t="s">
        <v>222</v>
      </c>
      <c r="N132" s="207" t="s">
        <v>222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223</v>
      </c>
      <c r="M133" s="207" t="s">
        <v>223</v>
      </c>
      <c r="N133" s="207" t="s">
        <v>223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224</v>
      </c>
      <c r="M134" s="207" t="s">
        <v>224</v>
      </c>
      <c r="N134" s="207" t="s">
        <v>224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225</v>
      </c>
      <c r="M135" s="207" t="s">
        <v>225</v>
      </c>
      <c r="N135" s="207" t="s">
        <v>225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226</v>
      </c>
      <c r="M136" s="207" t="s">
        <v>226</v>
      </c>
      <c r="N136" s="207" t="s">
        <v>226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1</v>
      </c>
      <c r="C239" s="174">
        <f>IF($T$41,L239,1)</f>
        <v>1</v>
      </c>
      <c r="E239" s="174" t="s">
        <v>133</v>
      </c>
      <c r="F239" s="175">
        <v>1</v>
      </c>
      <c r="G239" s="175" t="b">
        <v>1</v>
      </c>
      <c r="H239" s="175" t="b">
        <v>1</v>
      </c>
      <c r="I239" s="175" t="b">
        <v>1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1</v>
      </c>
      <c r="C240" s="174">
        <f>IF($T$41,L240,1)</f>
        <v>1</v>
      </c>
      <c r="F240" s="175">
        <v>2</v>
      </c>
      <c r="G240" s="175" t="b">
        <v>1</v>
      </c>
      <c r="H240" s="175" t="b">
        <v>1</v>
      </c>
      <c r="I240" s="175" t="b">
        <v>1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1</v>
      </c>
      <c r="C241" s="174">
        <f>IF($T$41,L241,1)</f>
        <v>1</v>
      </c>
      <c r="F241" s="175">
        <v>3</v>
      </c>
      <c r="G241" s="175" t="b">
        <v>1</v>
      </c>
      <c r="H241" s="175" t="b">
        <v>1</v>
      </c>
      <c r="I241" s="175" t="b">
        <v>1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1</v>
      </c>
      <c r="C242" s="174">
        <f t="shared" ref="C242:C305" si="1">IF($T$41,L242,1)</f>
        <v>1</v>
      </c>
      <c r="F242" s="175">
        <v>4</v>
      </c>
      <c r="G242" s="175" t="b">
        <v>1</v>
      </c>
      <c r="H242" s="175" t="b">
        <v>1</v>
      </c>
      <c r="I242" s="175" t="b">
        <v>1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1</v>
      </c>
      <c r="C243" s="174">
        <f t="shared" si="1"/>
        <v>1</v>
      </c>
      <c r="F243" s="175">
        <v>5</v>
      </c>
      <c r="G243" s="175" t="b">
        <v>1</v>
      </c>
      <c r="H243" s="175" t="b">
        <v>1</v>
      </c>
      <c r="I243" s="175" t="b">
        <v>1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1</v>
      </c>
      <c r="C244" s="174">
        <f t="shared" si="1"/>
        <v>1</v>
      </c>
      <c r="F244" s="175">
        <v>6</v>
      </c>
      <c r="G244" s="175" t="b">
        <v>1</v>
      </c>
      <c r="H244" s="175" t="b">
        <v>1</v>
      </c>
      <c r="I244" s="175" t="b">
        <v>1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1</v>
      </c>
      <c r="C245" s="174">
        <f t="shared" si="1"/>
        <v>1</v>
      </c>
      <c r="F245" s="175">
        <v>7</v>
      </c>
      <c r="G245" s="175" t="b">
        <v>1</v>
      </c>
      <c r="H245" s="175" t="b">
        <v>1</v>
      </c>
      <c r="I245" s="175" t="b">
        <v>1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1</v>
      </c>
      <c r="C246" s="174">
        <f t="shared" si="1"/>
        <v>1</v>
      </c>
      <c r="F246" s="175">
        <v>8</v>
      </c>
      <c r="G246" s="175" t="b">
        <v>1</v>
      </c>
      <c r="H246" s="175" t="b">
        <v>1</v>
      </c>
      <c r="I246" s="175" t="b">
        <v>1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1</v>
      </c>
      <c r="C247" s="174">
        <f t="shared" si="1"/>
        <v>1</v>
      </c>
      <c r="F247" s="175">
        <v>9</v>
      </c>
      <c r="G247" s="175" t="b">
        <v>1</v>
      </c>
      <c r="H247" s="175" t="b">
        <v>1</v>
      </c>
      <c r="I247" s="175" t="b">
        <v>1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1</v>
      </c>
      <c r="C248" s="174">
        <f t="shared" si="1"/>
        <v>1</v>
      </c>
      <c r="F248" s="175">
        <v>10</v>
      </c>
      <c r="G248" s="175" t="b">
        <v>1</v>
      </c>
      <c r="H248" s="175" t="b">
        <v>1</v>
      </c>
      <c r="I248" s="175" t="b">
        <v>1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1</v>
      </c>
      <c r="C440" s="174">
        <f>IF(G240,1,0)</f>
        <v>1</v>
      </c>
      <c r="D440" s="174">
        <f>IF(G241,1,0)</f>
        <v>1</v>
      </c>
      <c r="E440" s="174">
        <f>IF(G242,1,0)</f>
        <v>1</v>
      </c>
      <c r="F440" s="174">
        <f>IF(G243,1,0)</f>
        <v>1</v>
      </c>
      <c r="G440" s="174">
        <f>IF(G244,1,0)</f>
        <v>1</v>
      </c>
      <c r="H440" s="174">
        <f>IF(G245,1,0)</f>
        <v>1</v>
      </c>
      <c r="I440" s="174">
        <f>IF(G246,1,0)</f>
        <v>1</v>
      </c>
      <c r="J440" s="174">
        <f>IF(G247,1,0)</f>
        <v>1</v>
      </c>
      <c r="K440" s="174">
        <f>IF(G248,1,0)</f>
        <v>1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137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137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137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138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138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138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139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139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139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140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140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140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141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141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141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142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142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142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143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143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143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144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144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144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145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145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145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146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146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146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147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147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147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148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148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148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149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149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149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150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150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150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151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151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151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152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152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152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153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153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153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154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154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154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155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155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155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156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156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156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157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157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157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158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158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158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159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159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159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160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160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160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161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161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161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162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162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162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163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163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163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164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164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164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165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165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165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166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166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166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167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167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167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168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168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168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169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169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169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170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170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170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171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171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171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172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172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172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173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173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173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174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174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174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175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175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175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176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176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176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177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177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177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178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178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178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179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179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179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180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180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180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181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181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181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182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182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182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183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183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183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184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184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184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185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185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185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186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186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186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187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187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187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188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188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188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189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189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189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190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190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190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191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191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191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192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192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192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193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193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193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194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194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194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195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195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195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196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196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196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197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197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197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198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198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198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199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199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199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200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200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200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201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201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201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202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202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202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203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203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203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204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204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204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205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205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205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206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206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206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207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207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207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208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208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208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209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209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209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210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210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210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211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211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211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212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212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212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213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213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213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214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214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214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215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215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215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216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216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216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217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217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217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218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218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218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219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219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219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220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220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220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221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221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221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222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222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222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223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223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223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224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224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224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225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225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225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226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226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226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H22" sqref="H2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137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138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139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140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141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142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143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144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145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146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147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148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149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150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151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152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153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154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155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156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157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158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159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160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161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162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163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164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165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166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167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168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169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170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171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172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173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174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175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176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177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178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179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180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181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182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183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184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185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186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187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188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189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190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191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192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193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194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195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196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197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198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199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200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201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202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203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204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205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206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207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208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209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210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211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212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213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214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215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216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217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218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219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220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221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222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223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224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225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226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311"/>
  <sheetViews>
    <sheetView windowProtection="1" showGridLines="0" tabSelected="1" topLeftCell="D105" zoomScale="98" zoomScaleNormal="98" workbookViewId="0">
      <selection activeCell="F117" sqref="F11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228</v>
      </c>
      <c r="C5" s="13" t="s">
        <v>229</v>
      </c>
      <c r="D5" s="13" t="s">
        <v>230</v>
      </c>
      <c r="E5" s="13" t="s">
        <v>231</v>
      </c>
      <c r="F5" s="13" t="s">
        <v>232</v>
      </c>
      <c r="G5" s="13" t="s">
        <v>233</v>
      </c>
      <c r="H5" s="13" t="s">
        <v>234</v>
      </c>
      <c r="I5" s="13" t="s">
        <v>235</v>
      </c>
      <c r="J5" s="13" t="s">
        <v>236</v>
      </c>
      <c r="K5" s="13" t="s">
        <v>237</v>
      </c>
      <c r="L5" s="13" t="s">
        <v>238</v>
      </c>
      <c r="M5" s="13" t="s">
        <v>239</v>
      </c>
      <c r="N5" s="13" t="s">
        <v>240</v>
      </c>
      <c r="O5" s="13" t="s">
        <v>241</v>
      </c>
      <c r="P5" s="13" t="s">
        <v>242</v>
      </c>
      <c r="Q5" s="13" t="s">
        <v>243</v>
      </c>
      <c r="R5" s="13" t="s">
        <v>244</v>
      </c>
      <c r="S5" s="13" t="s">
        <v>245</v>
      </c>
      <c r="T5" s="13" t="s">
        <v>246</v>
      </c>
      <c r="U5" s="13" t="s">
        <v>247</v>
      </c>
      <c r="V5" s="13" t="s">
        <v>248</v>
      </c>
      <c r="W5" s="13" t="s">
        <v>249</v>
      </c>
      <c r="X5" s="13" t="s">
        <v>250</v>
      </c>
      <c r="Y5" s="13" t="s">
        <v>251</v>
      </c>
      <c r="Z5" s="13" t="s">
        <v>252</v>
      </c>
      <c r="AA5" s="13" t="s">
        <v>253</v>
      </c>
      <c r="AB5" s="13" t="s">
        <v>254</v>
      </c>
      <c r="AC5" s="13" t="s">
        <v>255</v>
      </c>
      <c r="AD5" s="13" t="s">
        <v>256</v>
      </c>
      <c r="AE5" s="13" t="s">
        <v>257</v>
      </c>
      <c r="AF5" s="13" t="s">
        <v>258</v>
      </c>
      <c r="AG5" s="13" t="s">
        <v>259</v>
      </c>
      <c r="AH5" s="13" t="s">
        <v>260</v>
      </c>
      <c r="AI5" s="13" t="s">
        <v>261</v>
      </c>
      <c r="AJ5" s="13" t="s">
        <v>262</v>
      </c>
      <c r="AK5" s="13" t="s">
        <v>263</v>
      </c>
      <c r="AL5" s="13" t="s">
        <v>264</v>
      </c>
      <c r="AM5" s="13" t="s">
        <v>265</v>
      </c>
      <c r="AN5" s="13" t="s">
        <v>266</v>
      </c>
      <c r="AO5" s="13" t="s">
        <v>267</v>
      </c>
      <c r="AP5" s="13" t="s">
        <v>268</v>
      </c>
      <c r="AQ5" s="13" t="s">
        <v>269</v>
      </c>
      <c r="AR5" s="13" t="s">
        <v>270</v>
      </c>
      <c r="AS5" s="13" t="s">
        <v>271</v>
      </c>
      <c r="AT5" s="13" t="s">
        <v>272</v>
      </c>
      <c r="AU5" s="13" t="s">
        <v>273</v>
      </c>
      <c r="AV5" s="13" t="s">
        <v>274</v>
      </c>
      <c r="AW5" s="13" t="s">
        <v>275</v>
      </c>
      <c r="AX5" s="13" t="s">
        <v>276</v>
      </c>
      <c r="AY5" s="13" t="s">
        <v>277</v>
      </c>
      <c r="AZ5" s="13" t="s">
        <v>278</v>
      </c>
      <c r="BA5" s="13" t="s">
        <v>279</v>
      </c>
      <c r="BB5" s="13" t="s">
        <v>280</v>
      </c>
      <c r="BC5" s="13" t="s">
        <v>281</v>
      </c>
      <c r="BD5" s="13" t="s">
        <v>282</v>
      </c>
      <c r="BE5" s="13" t="s">
        <v>283</v>
      </c>
      <c r="BF5" s="13" t="s">
        <v>284</v>
      </c>
      <c r="BG5" s="13" t="s">
        <v>285</v>
      </c>
      <c r="BH5" s="13" t="s">
        <v>286</v>
      </c>
      <c r="BI5" s="13" t="s">
        <v>287</v>
      </c>
      <c r="BJ5" s="13" t="s">
        <v>288</v>
      </c>
      <c r="BK5" s="13" t="s">
        <v>289</v>
      </c>
      <c r="BL5" s="13" t="s">
        <v>290</v>
      </c>
      <c r="BM5" s="13" t="s">
        <v>291</v>
      </c>
      <c r="BN5" s="13" t="s">
        <v>292</v>
      </c>
      <c r="BO5" s="13" t="s">
        <v>293</v>
      </c>
      <c r="BP5" s="13" t="s">
        <v>294</v>
      </c>
      <c r="BQ5" s="13" t="s">
        <v>295</v>
      </c>
      <c r="BR5" s="13" t="s">
        <v>296</v>
      </c>
      <c r="BS5" s="13" t="s">
        <v>297</v>
      </c>
      <c r="BT5" s="13" t="s">
        <v>298</v>
      </c>
      <c r="BU5" s="13" t="s">
        <v>299</v>
      </c>
      <c r="BV5" s="13" t="s">
        <v>300</v>
      </c>
      <c r="BW5" s="13" t="s">
        <v>301</v>
      </c>
      <c r="BX5" s="13" t="s">
        <v>302</v>
      </c>
      <c r="BY5" s="13" t="s">
        <v>303</v>
      </c>
      <c r="BZ5" s="13" t="s">
        <v>304</v>
      </c>
      <c r="CA5" s="13" t="s">
        <v>305</v>
      </c>
      <c r="CB5" s="13" t="s">
        <v>306</v>
      </c>
      <c r="CC5" s="13" t="s">
        <v>307</v>
      </c>
      <c r="CD5" s="13" t="s">
        <v>308</v>
      </c>
      <c r="CE5" s="13" t="s">
        <v>309</v>
      </c>
      <c r="CF5" s="13" t="s">
        <v>310</v>
      </c>
      <c r="CG5" s="13" t="s">
        <v>311</v>
      </c>
      <c r="CH5" s="13" t="s">
        <v>312</v>
      </c>
      <c r="CI5" s="13" t="s">
        <v>313</v>
      </c>
      <c r="CJ5" s="13" t="s">
        <v>314</v>
      </c>
      <c r="CK5" s="13" t="s">
        <v>315</v>
      </c>
      <c r="CL5" s="13" t="s">
        <v>316</v>
      </c>
      <c r="CM5" s="13" t="s">
        <v>317</v>
      </c>
      <c r="CN5" s="13" t="s">
        <v>318</v>
      </c>
      <c r="CO5" s="13" t="s">
        <v>319</v>
      </c>
      <c r="CP5" s="13" t="s">
        <v>320</v>
      </c>
      <c r="CQ5" s="13" t="s">
        <v>321</v>
      </c>
      <c r="CR5" s="13" t="s">
        <v>322</v>
      </c>
      <c r="CS5" s="13" t="s">
        <v>323</v>
      </c>
      <c r="CT5" s="13" t="s">
        <v>324</v>
      </c>
      <c r="CU5" s="13" t="s">
        <v>325</v>
      </c>
      <c r="CV5" s="13" t="s">
        <v>326</v>
      </c>
      <c r="CW5" s="13" t="s">
        <v>327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228</v>
      </c>
      <c r="C25" s="13" t="s">
        <v>229</v>
      </c>
      <c r="D25" s="13" t="s">
        <v>230</v>
      </c>
      <c r="E25" s="13" t="s">
        <v>231</v>
      </c>
      <c r="F25" s="13" t="s">
        <v>232</v>
      </c>
      <c r="G25" s="13" t="s">
        <v>233</v>
      </c>
      <c r="H25" s="13" t="s">
        <v>234</v>
      </c>
      <c r="I25" s="13" t="s">
        <v>235</v>
      </c>
      <c r="J25" s="13" t="s">
        <v>236</v>
      </c>
      <c r="K25" s="13" t="s">
        <v>237</v>
      </c>
      <c r="L25" s="13" t="s">
        <v>238</v>
      </c>
      <c r="M25" s="13" t="s">
        <v>239</v>
      </c>
      <c r="N25" s="13" t="s">
        <v>240</v>
      </c>
      <c r="O25" s="13" t="s">
        <v>241</v>
      </c>
      <c r="P25" s="13" t="s">
        <v>242</v>
      </c>
      <c r="Q25" s="13" t="s">
        <v>243</v>
      </c>
      <c r="R25" s="13" t="s">
        <v>244</v>
      </c>
      <c r="S25" s="13" t="s">
        <v>245</v>
      </c>
      <c r="T25" s="13" t="s">
        <v>246</v>
      </c>
      <c r="U25" s="13" t="s">
        <v>247</v>
      </c>
      <c r="V25" s="13" t="s">
        <v>248</v>
      </c>
      <c r="W25" s="13" t="s">
        <v>249</v>
      </c>
      <c r="X25" s="13" t="s">
        <v>250</v>
      </c>
      <c r="Y25" s="13" t="s">
        <v>251</v>
      </c>
      <c r="Z25" s="13" t="s">
        <v>252</v>
      </c>
      <c r="AA25" s="13" t="s">
        <v>253</v>
      </c>
      <c r="AB25" s="13" t="s">
        <v>254</v>
      </c>
      <c r="AC25" s="13" t="s">
        <v>255</v>
      </c>
      <c r="AD25" s="13" t="s">
        <v>256</v>
      </c>
      <c r="AE25" s="13" t="s">
        <v>257</v>
      </c>
      <c r="AF25" s="13" t="s">
        <v>258</v>
      </c>
      <c r="AG25" s="13" t="s">
        <v>259</v>
      </c>
      <c r="AH25" s="13" t="s">
        <v>260</v>
      </c>
      <c r="AI25" s="13" t="s">
        <v>261</v>
      </c>
      <c r="AJ25" s="13" t="s">
        <v>262</v>
      </c>
      <c r="AK25" s="13" t="s">
        <v>263</v>
      </c>
      <c r="AL25" s="13" t="s">
        <v>264</v>
      </c>
      <c r="AM25" s="13" t="s">
        <v>265</v>
      </c>
      <c r="AN25" s="13" t="s">
        <v>266</v>
      </c>
      <c r="AO25" s="13" t="s">
        <v>267</v>
      </c>
      <c r="AP25" s="13" t="s">
        <v>268</v>
      </c>
      <c r="AQ25" s="13" t="s">
        <v>269</v>
      </c>
      <c r="AR25" s="13" t="s">
        <v>270</v>
      </c>
      <c r="AS25" s="13" t="s">
        <v>271</v>
      </c>
      <c r="AT25" s="13" t="s">
        <v>272</v>
      </c>
      <c r="AU25" s="13" t="s">
        <v>273</v>
      </c>
      <c r="AV25" s="13" t="s">
        <v>274</v>
      </c>
      <c r="AW25" s="13" t="s">
        <v>275</v>
      </c>
      <c r="AX25" s="13" t="s">
        <v>276</v>
      </c>
      <c r="AY25" s="13" t="s">
        <v>277</v>
      </c>
      <c r="AZ25" s="13" t="s">
        <v>278</v>
      </c>
      <c r="BA25" s="13" t="s">
        <v>279</v>
      </c>
      <c r="BB25" s="13" t="s">
        <v>280</v>
      </c>
      <c r="BC25" s="13" t="s">
        <v>281</v>
      </c>
      <c r="BD25" s="13" t="s">
        <v>282</v>
      </c>
      <c r="BE25" s="13" t="s">
        <v>283</v>
      </c>
      <c r="BF25" s="13" t="s">
        <v>284</v>
      </c>
      <c r="BG25" s="13" t="s">
        <v>285</v>
      </c>
      <c r="BH25" s="13" t="s">
        <v>286</v>
      </c>
      <c r="BI25" s="13" t="s">
        <v>287</v>
      </c>
      <c r="BJ25" s="13" t="s">
        <v>288</v>
      </c>
      <c r="BK25" s="13" t="s">
        <v>289</v>
      </c>
      <c r="BL25" s="13" t="s">
        <v>290</v>
      </c>
      <c r="BM25" s="13" t="s">
        <v>291</v>
      </c>
      <c r="BN25" s="13" t="s">
        <v>292</v>
      </c>
      <c r="BO25" s="13" t="s">
        <v>293</v>
      </c>
      <c r="BP25" s="13" t="s">
        <v>294</v>
      </c>
      <c r="BQ25" s="13" t="s">
        <v>295</v>
      </c>
      <c r="BR25" s="13" t="s">
        <v>296</v>
      </c>
      <c r="BS25" s="13" t="s">
        <v>297</v>
      </c>
      <c r="BT25" s="13" t="s">
        <v>298</v>
      </c>
      <c r="BU25" s="13" t="s">
        <v>299</v>
      </c>
      <c r="BV25" s="13" t="s">
        <v>300</v>
      </c>
      <c r="BW25" s="13" t="s">
        <v>301</v>
      </c>
      <c r="BX25" s="13" t="s">
        <v>302</v>
      </c>
      <c r="BY25" s="13" t="s">
        <v>303</v>
      </c>
      <c r="BZ25" s="13" t="s">
        <v>304</v>
      </c>
      <c r="CA25" s="13" t="s">
        <v>305</v>
      </c>
      <c r="CB25" s="13" t="s">
        <v>306</v>
      </c>
      <c r="CC25" s="13" t="s">
        <v>307</v>
      </c>
      <c r="CD25" s="13" t="s">
        <v>308</v>
      </c>
      <c r="CE25" s="13" t="s">
        <v>309</v>
      </c>
      <c r="CF25" s="13" t="s">
        <v>310</v>
      </c>
      <c r="CG25" s="13" t="s">
        <v>311</v>
      </c>
      <c r="CH25" s="13" t="s">
        <v>312</v>
      </c>
      <c r="CI25" s="13" t="s">
        <v>313</v>
      </c>
      <c r="CJ25" s="13" t="s">
        <v>314</v>
      </c>
      <c r="CK25" s="13" t="s">
        <v>315</v>
      </c>
      <c r="CL25" s="13" t="s">
        <v>316</v>
      </c>
      <c r="CM25" s="13" t="s">
        <v>317</v>
      </c>
      <c r="CN25" s="13" t="s">
        <v>318</v>
      </c>
      <c r="CO25" s="13" t="s">
        <v>319</v>
      </c>
      <c r="CP25" s="13" t="s">
        <v>320</v>
      </c>
      <c r="CQ25" s="13" t="s">
        <v>321</v>
      </c>
      <c r="CR25" s="13" t="s">
        <v>322</v>
      </c>
      <c r="CS25" s="13" t="s">
        <v>323</v>
      </c>
      <c r="CT25" s="13" t="s">
        <v>324</v>
      </c>
      <c r="CU25" s="13" t="s">
        <v>325</v>
      </c>
      <c r="CV25" s="13" t="s">
        <v>326</v>
      </c>
      <c r="CW25" s="13" t="s">
        <v>327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 ca="1">IF(DIAG!H239,$GL$55,-1)</f>
        <v>1.8042195912175808E-2</v>
      </c>
      <c r="AQ29" s="61">
        <f ca="1">AP29+(AY29-AP29)/9</f>
        <v>2.672917912914935E-2</v>
      </c>
      <c r="AR29" s="61">
        <f ca="1">AQ29+(AY29-AQ29)/8</f>
        <v>3.5416162346122888E-2</v>
      </c>
      <c r="AS29" s="61">
        <f ca="1">AR29+(AY29-AR29)/7</f>
        <v>4.4103145563096427E-2</v>
      </c>
      <c r="AT29" s="61">
        <f ca="1">AS29+(AY29-AS29)/6</f>
        <v>5.2790128780069966E-2</v>
      </c>
      <c r="AU29" s="61">
        <f ca="1">AT29+(AY29-AT29)/5</f>
        <v>6.1477111997043504E-2</v>
      </c>
      <c r="AV29" s="61">
        <f ca="1">AU29+(AY29-AU29)/4</f>
        <v>7.016409521401705E-2</v>
      </c>
      <c r="AW29" s="61">
        <f ca="1">AV29+(AY29-AV29)/3</f>
        <v>7.8851078430990595E-2</v>
      </c>
      <c r="AX29" s="61">
        <f ca="1">AW29+(AY29-AW29)/2</f>
        <v>8.7538061647964127E-2</v>
      </c>
      <c r="AY29" s="62">
        <f>IF(DIAG!H239,$B$26,-1)</f>
        <v>9.6225044864937673E-2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 ca="1">IF(DIAG!H239,$GL$56,-1)</f>
        <v>0</v>
      </c>
      <c r="AQ30" s="67">
        <f ca="1">AP30+(AY30-AP30)/9</f>
        <v>1.8518518518518517E-2</v>
      </c>
      <c r="AR30" s="67">
        <f ca="1">AQ30+(AY30-AQ30)/8</f>
        <v>3.7037037037037035E-2</v>
      </c>
      <c r="AS30" s="67">
        <f ca="1">AR30+(AY30-AR30)/7</f>
        <v>5.5555555555555552E-2</v>
      </c>
      <c r="AT30" s="67">
        <f ca="1">AS30+(AY30-AS30)/6</f>
        <v>7.407407407407407E-2</v>
      </c>
      <c r="AU30" s="67">
        <f ca="1">AT30+(AY30-AT30)/5</f>
        <v>9.2592592592592587E-2</v>
      </c>
      <c r="AV30" s="67">
        <f ca="1">AU30+(AY30-AU30)/4</f>
        <v>0.1111111111111111</v>
      </c>
      <c r="AW30" s="67">
        <f ca="1">AV30+(AY30-AV30)/3</f>
        <v>0.12962962962962962</v>
      </c>
      <c r="AX30" s="67">
        <f ca="1">AW30+(AY30-AW30)/2</f>
        <v>0.14814814814814814</v>
      </c>
      <c r="AY30" s="68">
        <f>IF(DIAG!H239,$B$27,-1)</f>
        <v>0.16666666666666666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 ca="1">IF(DIAG!H240,$GL$55,-1)</f>
        <v>1.8042195912175808E-2</v>
      </c>
      <c r="AQ32" s="61">
        <f ca="1">AP32+(AY32-AP32)/9</f>
        <v>2.0314176138153499E-2</v>
      </c>
      <c r="AR32" s="61">
        <f ca="1">AQ32+(AY32-AQ32)/8</f>
        <v>2.2586156364131194E-2</v>
      </c>
      <c r="AS32" s="61">
        <f ca="1">AR32+(AY32-AR32)/7</f>
        <v>2.4858136590108885E-2</v>
      </c>
      <c r="AT32" s="61">
        <f ca="1">AS32+(AY32-AS32)/6</f>
        <v>2.7130116816086576E-2</v>
      </c>
      <c r="AU32" s="61">
        <f ca="1">AT32+(AY32-AT32)/5</f>
        <v>2.9402097042064271E-2</v>
      </c>
      <c r="AV32" s="61">
        <f ca="1">AU32+(AY32-AU32)/4</f>
        <v>3.1674077268041965E-2</v>
      </c>
      <c r="AW32" s="61">
        <f ca="1">AV32+(AY32-AV32)/3</f>
        <v>3.394605749401966E-2</v>
      </c>
      <c r="AX32" s="61">
        <f ca="1">AW32+(AY32-AW32)/2</f>
        <v>3.6218037719997348E-2</v>
      </c>
      <c r="AY32" s="62">
        <f>IF(DIAG!H240,$C$26,-1)</f>
        <v>3.8490017945975043E-2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 ca="1">IF(DIAG!H240,$GL$56,-1)</f>
        <v>0</v>
      </c>
      <c r="AQ33" s="67">
        <f ca="1">AP33+(AY33-AP33)/9</f>
        <v>2.9629629629629631E-2</v>
      </c>
      <c r="AR33" s="67">
        <f ca="1">AQ33+(AY33-AQ33)/8</f>
        <v>5.9259259259259262E-2</v>
      </c>
      <c r="AS33" s="67">
        <f ca="1">AR33+(AY33-AR33)/7</f>
        <v>8.8888888888888892E-2</v>
      </c>
      <c r="AT33" s="67">
        <f ca="1">AS33+(AY33-AS33)/6</f>
        <v>0.11851851851851852</v>
      </c>
      <c r="AU33" s="67">
        <f ca="1">AT33+(AY33-AT33)/5</f>
        <v>0.14814814814814814</v>
      </c>
      <c r="AV33" s="67">
        <f ca="1">AU33+(AY33-AU33)/4</f>
        <v>0.17777777777777776</v>
      </c>
      <c r="AW33" s="67">
        <f ca="1">AV33+(AY33-AV33)/3</f>
        <v>0.2074074074074074</v>
      </c>
      <c r="AX33" s="67">
        <f ca="1">AW33+(AY33-AW33)/2</f>
        <v>0.23703703703703705</v>
      </c>
      <c r="AY33" s="68">
        <f>IF(DIAG!H240,$C$27,-1)</f>
        <v>0.26666666666666666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 ca="1">IF(DIAG!H241,$GL$55,-1)</f>
        <v>1.8042195912175808E-2</v>
      </c>
      <c r="AQ35" s="61">
        <f ca="1">AP35+(AY35-AP35)/9</f>
        <v>1.8710425390404545E-2</v>
      </c>
      <c r="AR35" s="61">
        <f ca="1">AQ35+(AY35-AQ35)/8</f>
        <v>1.9378654868633282E-2</v>
      </c>
      <c r="AS35" s="61">
        <f ca="1">AR35+(AY35-AR35)/7</f>
        <v>2.0046884346862019E-2</v>
      </c>
      <c r="AT35" s="61">
        <f ca="1">AS35+(AY35-AS35)/6</f>
        <v>2.0715113825090756E-2</v>
      </c>
      <c r="AU35" s="61">
        <f ca="1">AT35+(AY35-AT35)/5</f>
        <v>2.1383343303319494E-2</v>
      </c>
      <c r="AV35" s="61">
        <f ca="1">AU35+(AY35-AU35)/4</f>
        <v>2.2051572781548234E-2</v>
      </c>
      <c r="AW35" s="61">
        <f ca="1">AV35+(AY35-AV35)/3</f>
        <v>2.2719802259776972E-2</v>
      </c>
      <c r="AX35" s="61">
        <f ca="1">AW35+(AY35-AW35)/2</f>
        <v>2.3388031738005709E-2</v>
      </c>
      <c r="AY35" s="62">
        <f>IF(DIAG!H241,$D$26,-1)</f>
        <v>2.4056261216234449E-2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 ca="1">IF(DIAG!H241,$GL$56,-1)</f>
        <v>0</v>
      </c>
      <c r="AQ36" s="67">
        <f ca="1">AP36+(AY36-AP36)/9</f>
        <v>3.2407407407407413E-2</v>
      </c>
      <c r="AR36" s="67">
        <f ca="1">AQ36+(AY36-AQ36)/8</f>
        <v>6.4814814814814825E-2</v>
      </c>
      <c r="AS36" s="67">
        <f ca="1">AR36+(AY36-AR36)/7</f>
        <v>9.7222222222222238E-2</v>
      </c>
      <c r="AT36" s="67">
        <f ca="1">AS36+(AY36-AS36)/6</f>
        <v>0.12962962962962965</v>
      </c>
      <c r="AU36" s="67">
        <f ca="1">AT36+(AY36-AT36)/5</f>
        <v>0.16203703703703706</v>
      </c>
      <c r="AV36" s="67">
        <f ca="1">AU36+(AY36-AU36)/4</f>
        <v>0.19444444444444448</v>
      </c>
      <c r="AW36" s="67">
        <f ca="1">AV36+(AY36-AV36)/3</f>
        <v>0.22685185185185189</v>
      </c>
      <c r="AX36" s="67">
        <f ca="1">AW36+(AY36-AW36)/2</f>
        <v>0.2592592592592593</v>
      </c>
      <c r="AY36" s="68">
        <f>IF(DIAG!H241,$D$27,-1)</f>
        <v>0.29166666666666669</v>
      </c>
      <c r="CW36" s="16"/>
      <c r="GK36" s="15" t="s">
        <v>6</v>
      </c>
      <c r="GL36" s="16">
        <f>SUMPRODUCT(B7:GS7,DIAG!$B$440:$GS$440,DIAG!$B$442:$GS$442)</f>
        <v>155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165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 ca="1">IF(DIAG!H242,$GL$55,-1)</f>
        <v>1.8042195912175808E-2</v>
      </c>
      <c r="AQ38" s="61">
        <f ca="1">AP38+(AY38-AP38)/9</f>
        <v>1.7981447777791374E-2</v>
      </c>
      <c r="AR38" s="61">
        <f ca="1">AQ38+(AY38-AQ38)/8</f>
        <v>1.7920699643406941E-2</v>
      </c>
      <c r="AS38" s="61">
        <f ca="1">AR38+(AY38-AR38)/7</f>
        <v>1.7859951509022507E-2</v>
      </c>
      <c r="AT38" s="61">
        <f ca="1">AS38+(AY38-AS38)/6</f>
        <v>1.7799203374638077E-2</v>
      </c>
      <c r="AU38" s="61">
        <f ca="1">AT38+(AY38-AT38)/5</f>
        <v>1.7738455240253644E-2</v>
      </c>
      <c r="AV38" s="61">
        <f ca="1">AU38+(AY38-AU38)/4</f>
        <v>1.767770710586921E-2</v>
      </c>
      <c r="AW38" s="61">
        <f ca="1">AV38+(AY38-AV38)/3</f>
        <v>1.761695897148478E-2</v>
      </c>
      <c r="AX38" s="61">
        <f ca="1">AW38+(AY38-AW38)/2</f>
        <v>1.755621083710035E-2</v>
      </c>
      <c r="AY38" s="62">
        <f>IF(DIAG!H242,$E$26,-1)</f>
        <v>1.7495462702715917E-2</v>
      </c>
      <c r="CW38" s="16"/>
      <c r="GK38" s="18" t="s">
        <v>16</v>
      </c>
      <c r="GL38" s="22">
        <f ca="1">SUM(GL35:GL37)</f>
        <v>320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 ca="1">IF(DIAG!H242,$GL$56,-1)</f>
        <v>0</v>
      </c>
      <c r="AQ39" s="67">
        <f ca="1">AP39+(AY39-AP39)/9</f>
        <v>3.3670033670033669E-2</v>
      </c>
      <c r="AR39" s="67">
        <f ca="1">AQ39+(AY39-AQ39)/8</f>
        <v>6.7340067340067339E-2</v>
      </c>
      <c r="AS39" s="67">
        <f ca="1">AR39+(AY39-AR39)/7</f>
        <v>0.10101010101010101</v>
      </c>
      <c r="AT39" s="67">
        <f ca="1">AS39+(AY39-AS39)/6</f>
        <v>0.13468013468013468</v>
      </c>
      <c r="AU39" s="67">
        <f ca="1">AT39+(AY39-AT39)/5</f>
        <v>0.16835016835016836</v>
      </c>
      <c r="AV39" s="67">
        <f ca="1">AU39+(AY39-AU39)/4</f>
        <v>0.20202020202020204</v>
      </c>
      <c r="AW39" s="67">
        <f ca="1">AV39+(AY39-AV39)/3</f>
        <v>0.2356902356902357</v>
      </c>
      <c r="AX39" s="67">
        <f ca="1">AW39+(AY39-AW39)/2</f>
        <v>0.26936026936026936</v>
      </c>
      <c r="AY39" s="68">
        <f>IF(DIAG!H242,$E$27,-1)</f>
        <v>0.30303030303030304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>
        <f ca="1">GL35/GL$38</f>
        <v>0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 ca="1">IF(DIAG!H243,$GL$55,-1)</f>
        <v>1.8042195912175808E-2</v>
      </c>
      <c r="AQ41" s="61">
        <f ca="1">AP41+(AY41-AP41)/9</f>
        <v>1.7564889142012419E-2</v>
      </c>
      <c r="AR41" s="61">
        <f ca="1">AQ41+(AY41-AQ41)/8</f>
        <v>1.7087582371849035E-2</v>
      </c>
      <c r="AS41" s="61">
        <f ca="1">AR41+(AY41-AR41)/7</f>
        <v>1.6610275601685646E-2</v>
      </c>
      <c r="AT41" s="61">
        <f ca="1">AS41+(AY41-AS41)/6</f>
        <v>1.6132968831522258E-2</v>
      </c>
      <c r="AU41" s="61">
        <f ca="1">AT41+(AY41-AT41)/5</f>
        <v>1.5655662061358874E-2</v>
      </c>
      <c r="AV41" s="61">
        <f ca="1">AU41+(AY41-AU41)/4</f>
        <v>1.5178355291195487E-2</v>
      </c>
      <c r="AW41" s="61">
        <f ca="1">AV41+(AY41-AV41)/3</f>
        <v>1.4701048521032101E-2</v>
      </c>
      <c r="AX41" s="61">
        <f ca="1">AW41+(AY41-AW41)/2</f>
        <v>1.4223741750868714E-2</v>
      </c>
      <c r="AY41" s="62">
        <f>IF(DIAG!H243,$F$26,-1)</f>
        <v>1.3746434980705328E-2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>
        <f ca="1">GL36/GL$38</f>
        <v>0.484375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 ca="1">IF(DIAG!H243,$GL$56,-1)</f>
        <v>0</v>
      </c>
      <c r="AQ42" s="67">
        <f ca="1">AP42+(AY42-AP42)/9</f>
        <v>3.439153439153439E-2</v>
      </c>
      <c r="AR42" s="67">
        <f ca="1">AQ42+(AY42-AQ42)/8</f>
        <v>6.8783068783068779E-2</v>
      </c>
      <c r="AS42" s="67">
        <f ca="1">AR42+(AY42-AR42)/7</f>
        <v>0.10317460317460317</v>
      </c>
      <c r="AT42" s="67">
        <f ca="1">AS42+(AY42-AS42)/6</f>
        <v>0.13756613756613756</v>
      </c>
      <c r="AU42" s="67">
        <f ca="1">AT42+(AY42-AT42)/5</f>
        <v>0.17195767195767195</v>
      </c>
      <c r="AV42" s="67">
        <f ca="1">AU42+(AY42-AU42)/4</f>
        <v>0.20634920634920634</v>
      </c>
      <c r="AW42" s="67">
        <f ca="1">AV42+(AY42-AV42)/3</f>
        <v>0.24074074074074073</v>
      </c>
      <c r="AX42" s="67">
        <f ca="1">AW42+(AY42-AW42)/2</f>
        <v>0.27513227513227512</v>
      </c>
      <c r="AY42" s="68">
        <f>IF(DIAG!H243,$F$27,-1)</f>
        <v>0.30952380952380953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>
        <f ca="1">GL37/GL$38</f>
        <v>0.515625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 ca="1">IF(DIAG!H244,$GL$55,-1)</f>
        <v>1.8042195912175808E-2</v>
      </c>
      <c r="AQ44" s="61">
        <f ca="1">AP44+(AY44-AP44)/9</f>
        <v>1.7295351201214278E-2</v>
      </c>
      <c r="AR44" s="61">
        <f ca="1">AQ44+(AY44-AQ44)/8</f>
        <v>1.6548506490252749E-2</v>
      </c>
      <c r="AS44" s="61">
        <f ca="1">AR44+(AY44-AR44)/7</f>
        <v>1.580166177929122E-2</v>
      </c>
      <c r="AT44" s="61">
        <f ca="1">AS44+(AY44-AS44)/6</f>
        <v>1.5054817068329689E-2</v>
      </c>
      <c r="AU44" s="61">
        <f ca="1">AT44+(AY44-AT44)/5</f>
        <v>1.4307972357368158E-2</v>
      </c>
      <c r="AV44" s="61">
        <f ca="1">AU44+(AY44-AU44)/4</f>
        <v>1.3561127646406627E-2</v>
      </c>
      <c r="AW44" s="61">
        <f ca="1">AV44+(AY44-AV44)/3</f>
        <v>1.2814282935445096E-2</v>
      </c>
      <c r="AX44" s="61">
        <f ca="1">AW44+(AY44-AW44)/2</f>
        <v>1.2067438224483565E-2</v>
      </c>
      <c r="AY44" s="62">
        <f>IF(DIAG!H244,$G$26,-1)</f>
        <v>1.1320593513522034E-2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>
        <f t="shared" ref="GL44" ca="1" si="210">GL35/GL38</f>
        <v>0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 ca="1">IF(DIAG!H244,$GL$56,-1)</f>
        <v>0</v>
      </c>
      <c r="AQ45" s="67">
        <f ca="1">AP45+(AY45-AP45)/9</f>
        <v>3.4858387799564267E-2</v>
      </c>
      <c r="AR45" s="67">
        <f ca="1">AQ45+(AY45-AQ45)/8</f>
        <v>6.9716775599128533E-2</v>
      </c>
      <c r="AS45" s="67">
        <f ca="1">AR45+(AY45-AR45)/7</f>
        <v>0.1045751633986928</v>
      </c>
      <c r="AT45" s="67">
        <f ca="1">AS45+(AY45-AS45)/6</f>
        <v>0.13943355119825707</v>
      </c>
      <c r="AU45" s="67">
        <f ca="1">AT45+(AY45-AT45)/5</f>
        <v>0.17429193899782133</v>
      </c>
      <c r="AV45" s="67">
        <f ca="1">AU45+(AY45-AU45)/4</f>
        <v>0.2091503267973856</v>
      </c>
      <c r="AW45" s="67">
        <f ca="1">AV45+(AY45-AV45)/3</f>
        <v>0.24400871459694987</v>
      </c>
      <c r="AX45" s="67">
        <f ca="1">AW45+(AY45-AW45)/2</f>
        <v>0.27886710239651413</v>
      </c>
      <c r="AY45" s="68">
        <f>IF(DIAG!H244,$G$27,-1)</f>
        <v>0.31372549019607843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>
        <f t="shared" ref="GL45" ca="1" si="211">GL36/GL38</f>
        <v>0.484375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>
        <f t="shared" ref="GL46" ca="1" si="212">GL37/GL38</f>
        <v>0.515625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 ca="1">IF(DIAG!H245,$GL$55,-1)</f>
        <v>1.8042195912175808E-2</v>
      </c>
      <c r="AQ47" s="61">
        <f ca="1">AP47+(AY47-AP47)/9</f>
        <v>1.7106674642655577E-2</v>
      </c>
      <c r="AR47" s="61">
        <f ca="1">AQ47+(AY47-AQ47)/8</f>
        <v>1.6171153373135346E-2</v>
      </c>
      <c r="AS47" s="61">
        <f ca="1">AR47+(AY47-AR47)/7</f>
        <v>1.5235632103615115E-2</v>
      </c>
      <c r="AT47" s="61">
        <f ca="1">AS47+(AY47-AS47)/6</f>
        <v>1.4300110834094885E-2</v>
      </c>
      <c r="AU47" s="61">
        <f ca="1">AT47+(AY47-AT47)/5</f>
        <v>1.3364589564574654E-2</v>
      </c>
      <c r="AV47" s="61">
        <f ca="1">AU47+(AY47-AU47)/4</f>
        <v>1.2429068295054423E-2</v>
      </c>
      <c r="AW47" s="61">
        <f ca="1">AV47+(AY47-AV47)/3</f>
        <v>1.1493547025534193E-2</v>
      </c>
      <c r="AX47" s="61">
        <f ca="1">AW47+(AY47-AW47)/2</f>
        <v>1.0558025756013962E-2</v>
      </c>
      <c r="AY47" s="62">
        <f>IF(DIAG!H245,$H$26,-1)</f>
        <v>9.6225044864937295E-3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>
        <f t="shared" ref="GL47" ca="1" si="213">GL44+GL45</f>
        <v>0.484375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 ca="1">IF(DIAG!H245,$GL$56,-1)</f>
        <v>0</v>
      </c>
      <c r="AQ48" s="67">
        <f ca="1">AP48+(AY48-AP48)/9</f>
        <v>3.518518518518518E-2</v>
      </c>
      <c r="AR48" s="67">
        <f ca="1">AQ48+(AY48-AQ48)/8</f>
        <v>7.0370370370370361E-2</v>
      </c>
      <c r="AS48" s="67">
        <f ca="1">AR48+(AY48-AR48)/7</f>
        <v>0.10555555555555554</v>
      </c>
      <c r="AT48" s="67">
        <f ca="1">AS48+(AY48-AS48)/6</f>
        <v>0.14074074074074072</v>
      </c>
      <c r="AU48" s="67">
        <f ca="1">AT48+(AY48-AT48)/5</f>
        <v>0.1759259259259259</v>
      </c>
      <c r="AV48" s="67">
        <f ca="1">AU48+(AY48-AU48)/4</f>
        <v>0.21111111111111108</v>
      </c>
      <c r="AW48" s="67">
        <f ca="1">AV48+(AY48-AV48)/3</f>
        <v>0.24629629629629626</v>
      </c>
      <c r="AX48" s="67">
        <f ca="1">AW48+(AY48-AW48)/2</f>
        <v>0.28148148148148144</v>
      </c>
      <c r="AY48" s="68">
        <f>IF(DIAG!H245,$H$27,-1)</f>
        <v>0.31666666666666665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>
        <f t="shared" ref="GL48" ca="1" si="214">GL44+GL45+GL46</f>
        <v>1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>
        <f t="shared" ref="GL49" ca="1" si="215">1/GL46</f>
        <v>1.9393939393939394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 ca="1">IF(DIAG!H246,$GL$55,-1)</f>
        <v>1.8042195912175808E-2</v>
      </c>
      <c r="AQ50" s="61">
        <f ca="1">AP50+(AY50-AP50)/9</f>
        <v>1.6967218055894805E-2</v>
      </c>
      <c r="AR50" s="61">
        <f ca="1">AQ50+(AY50-AQ50)/8</f>
        <v>1.5892240199613803E-2</v>
      </c>
      <c r="AS50" s="61">
        <f ca="1">AR50+(AY50-AR50)/7</f>
        <v>1.4817262343332801E-2</v>
      </c>
      <c r="AT50" s="61">
        <f ca="1">AS50+(AY50-AS50)/6</f>
        <v>1.3742284487051799E-2</v>
      </c>
      <c r="AU50" s="61">
        <f ca="1">AT50+(AY50-AT50)/5</f>
        <v>1.2667306630770796E-2</v>
      </c>
      <c r="AV50" s="61">
        <f ca="1">AU50+(AY50-AU50)/4</f>
        <v>1.1592328774489794E-2</v>
      </c>
      <c r="AW50" s="61">
        <f ca="1">AV50+(AY50-AV50)/3</f>
        <v>1.0517350918208792E-2</v>
      </c>
      <c r="AX50" s="61">
        <f ca="1">AW50+(AY50-AW50)/2</f>
        <v>9.4423730619277897E-3</v>
      </c>
      <c r="AY50" s="62">
        <f>IF(DIAG!H246,$I$26,-1)</f>
        <v>8.3673952056467875E-3</v>
      </c>
      <c r="GK50" s="46" t="s">
        <v>31</v>
      </c>
      <c r="GL50" s="48">
        <f t="shared" ref="GL50" ca="1" si="221">GL46/(1-GL46)</f>
        <v>1.064516129032258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 ca="1">IF(DIAG!H246,$GL$56,-1)</f>
        <v>0</v>
      </c>
      <c r="AQ51" s="67">
        <f ca="1">AP51+(AY51-AP51)/9</f>
        <v>3.542673107890499E-2</v>
      </c>
      <c r="AR51" s="67">
        <f ca="1">AQ51+(AY51-AQ51)/8</f>
        <v>7.0853462157809979E-2</v>
      </c>
      <c r="AS51" s="67">
        <f ca="1">AR51+(AY51-AR51)/7</f>
        <v>0.10628019323671498</v>
      </c>
      <c r="AT51" s="67">
        <f ca="1">AS51+(AY51-AS51)/6</f>
        <v>0.14170692431561996</v>
      </c>
      <c r="AU51" s="67">
        <f ca="1">AT51+(AY51-AT51)/5</f>
        <v>0.17713365539452494</v>
      </c>
      <c r="AV51" s="67">
        <f ca="1">AU51+(AY51-AU51)/4</f>
        <v>0.21256038647342992</v>
      </c>
      <c r="AW51" s="67">
        <f ca="1">AV51+(AY51-AV51)/3</f>
        <v>0.24798711755233491</v>
      </c>
      <c r="AX51" s="67">
        <f ca="1">AW51+(AY51-AW51)/2</f>
        <v>0.28341384863123992</v>
      </c>
      <c r="AY51" s="68">
        <f>IF(DIAG!H246,$I$27,-1)</f>
        <v>0.3188405797101449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 ca="1">IF(DIAG!H247,$GL$55,-1)</f>
        <v>1.8042195912175808E-2</v>
      </c>
      <c r="AQ53" s="61">
        <f ca="1">AP53+(AY53-AP53)/9</f>
        <v>1.6859943758386505E-2</v>
      </c>
      <c r="AR53" s="61">
        <f ca="1">AQ53+(AY53-AQ53)/8</f>
        <v>1.5677691604597206E-2</v>
      </c>
      <c r="AS53" s="61">
        <f ca="1">AR53+(AY53-AR53)/7</f>
        <v>1.4495439450807905E-2</v>
      </c>
      <c r="AT53" s="61">
        <f ca="1">AS53+(AY53-AS53)/6</f>
        <v>1.3313187297018605E-2</v>
      </c>
      <c r="AU53" s="61">
        <f ca="1">AT53+(AY53-AT53)/5</f>
        <v>1.2130935143229304E-2</v>
      </c>
      <c r="AV53" s="61">
        <f ca="1">AU53+(AY53-AU53)/4</f>
        <v>1.0948682989440003E-2</v>
      </c>
      <c r="AW53" s="61">
        <f ca="1">AV53+(AY53-AV53)/3</f>
        <v>9.7664308356507027E-3</v>
      </c>
      <c r="AX53" s="61">
        <f ca="1">AW53+(AY53-AW53)/2</f>
        <v>8.584178681861402E-3</v>
      </c>
      <c r="AY53" s="62">
        <f>IF(DIAG!H247,$J$26,-1)</f>
        <v>7.4019265280720996E-3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 ca="1">IF(DIAG!H247,$GL$56,-1)</f>
        <v>0</v>
      </c>
      <c r="AQ54" s="67">
        <f ca="1">AP54+(AY54-AP54)/9</f>
        <v>3.5612535612535613E-2</v>
      </c>
      <c r="AR54" s="67">
        <f ca="1">AQ54+(AY54-AQ54)/8</f>
        <v>7.1225071225071226E-2</v>
      </c>
      <c r="AS54" s="67">
        <f ca="1">AR54+(AY54-AR54)/7</f>
        <v>0.10683760683760685</v>
      </c>
      <c r="AT54" s="67">
        <f ca="1">AS54+(AY54-AS54)/6</f>
        <v>0.14245014245014245</v>
      </c>
      <c r="AU54" s="67">
        <f ca="1">AT54+(AY54-AT54)/5</f>
        <v>0.17806267806267806</v>
      </c>
      <c r="AV54" s="67">
        <f ca="1">AU54+(AY54-AU54)/4</f>
        <v>0.21367521367521369</v>
      </c>
      <c r="AW54" s="67">
        <f ca="1">AV54+(AY54-AV54)/3</f>
        <v>0.2492877492877493</v>
      </c>
      <c r="AX54" s="67">
        <f ca="1">AW54+(AY54-AW54)/2</f>
        <v>0.28490028490028491</v>
      </c>
      <c r="AY54" s="68">
        <f>IF(DIAG!H247,$J$27,-1)</f>
        <v>0.32051282051282054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>
        <f t="shared" ref="GL55" ca="1" si="225">(2*GL46+GL44-1)/SQRT(3)</f>
        <v>1.8042195912175808E-2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 ca="1">IF(DIAG!H248,$GL$55,-1)</f>
        <v>1.8042195912175808E-2</v>
      </c>
      <c r="AQ56" s="61">
        <f ca="1">AP56+(AY56-AP56)/9</f>
        <v>1.6774864143121317E-2</v>
      </c>
      <c r="AR56" s="61">
        <f ca="1">AQ56+(AY56-AQ56)/8</f>
        <v>1.5507532374066829E-2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3.3181049953427051E-3</v>
      </c>
      <c r="AY56" s="62">
        <f>IF(DIAG!H248,$K$26,-1)</f>
        <v>6.6362099906854101E-3</v>
      </c>
      <c r="GK56" s="63" t="s">
        <v>110</v>
      </c>
      <c r="GL56" s="37">
        <f ca="1"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0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 ca="1">IF(DIAG!H248,$GL$56,-1)</f>
        <v>0</v>
      </c>
      <c r="AQ57" s="67">
        <f ca="1">AP57+(AY57-AP57)/9</f>
        <v>3.5759897828863345E-2</v>
      </c>
      <c r="AR57" s="67">
        <f ca="1">AQ57+(AY57-AQ57)/8</f>
        <v>7.151979565772669E-2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0.16091954022988506</v>
      </c>
      <c r="AY57" s="68">
        <f>IF(DIAG!H248,$K$27,-1)</f>
        <v>0.32183908045977011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35</v>
      </c>
      <c r="E113" s="60">
        <f ca="1">IF(DIAG!H239,$GL$55,-1)</f>
        <v>1.8042195912175808E-2</v>
      </c>
      <c r="F113" s="61">
        <f ca="1">E113+(N113-E113)/9</f>
        <v>2.672917912914935E-2</v>
      </c>
      <c r="G113" s="61">
        <f ca="1">F113+(N113-F113)/8</f>
        <v>3.5416162346122888E-2</v>
      </c>
      <c r="H113" s="61">
        <f ca="1">G113+(N113-G113)/7</f>
        <v>4.4103145563096427E-2</v>
      </c>
      <c r="I113" s="61">
        <f ca="1">H113+(N113-H113)/6</f>
        <v>5.2790128780069966E-2</v>
      </c>
      <c r="J113" s="61">
        <f ca="1">I113+(N113-I113)/5</f>
        <v>6.1477111997043504E-2</v>
      </c>
      <c r="K113" s="61">
        <f ca="1">J113+(N113-J113)/4</f>
        <v>7.016409521401705E-2</v>
      </c>
      <c r="L113" s="61">
        <f ca="1">K113+(N113-K113)/3</f>
        <v>7.8851078430990595E-2</v>
      </c>
      <c r="M113" s="61">
        <f ca="1">L113+(N113-L113)/2</f>
        <v>8.7538061647964127E-2</v>
      </c>
      <c r="N113" s="62">
        <f>IF(DIAG!H239,$B$26,-1)</f>
        <v>9.6225044864937673E-2</v>
      </c>
    </row>
    <row r="114" spans="3:14" x14ac:dyDescent="0.2">
      <c r="E114" s="66">
        <f ca="1">IF(DIAG!H239,$GL$56,-1)</f>
        <v>0</v>
      </c>
      <c r="F114" s="67">
        <f ca="1">E114+(N114-E114)/9</f>
        <v>1.8518518518518517E-2</v>
      </c>
      <c r="G114" s="67">
        <f ca="1">F114+(N114-F114)/8</f>
        <v>3.7037037037037035E-2</v>
      </c>
      <c r="H114" s="67">
        <f ca="1">G114+(N114-G114)/7</f>
        <v>5.5555555555555552E-2</v>
      </c>
      <c r="I114" s="67">
        <f ca="1">H114+(N114-H114)/6</f>
        <v>7.407407407407407E-2</v>
      </c>
      <c r="J114" s="67">
        <f ca="1">I114+(N114-I114)/5</f>
        <v>9.2592592592592587E-2</v>
      </c>
      <c r="K114" s="67">
        <f ca="1">J114+(N114-J114)/4</f>
        <v>0.1111111111111111</v>
      </c>
      <c r="L114" s="67">
        <f ca="1">K114+(N114-K114)/3</f>
        <v>0.12962962962962962</v>
      </c>
      <c r="M114" s="67">
        <f ca="1">L114+(N114-L114)/2</f>
        <v>0.14814814814814814</v>
      </c>
      <c r="N114" s="68">
        <f>IF(DIAG!H239,$B$27,-1)</f>
        <v>0.16666666666666666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40</v>
      </c>
      <c r="D116" s="34"/>
      <c r="E116" s="60">
        <f ca="1">IF(DIAG!H240,$GL$55,-1)</f>
        <v>1.8042195912175808E-2</v>
      </c>
      <c r="F116" s="61">
        <f ca="1">E116+(N116-E116)/9</f>
        <v>2.0314176138153499E-2</v>
      </c>
      <c r="G116" s="61">
        <f ca="1">F116+(N116-F116)/8</f>
        <v>2.2586156364131194E-2</v>
      </c>
      <c r="H116" s="61">
        <f ca="1">G116+(N116-G116)/7</f>
        <v>2.4858136590108885E-2</v>
      </c>
      <c r="I116" s="61">
        <f ca="1">H116+(N116-H116)/6</f>
        <v>2.7130116816086576E-2</v>
      </c>
      <c r="J116" s="61">
        <f ca="1">I116+(N116-I116)/5</f>
        <v>2.9402097042064271E-2</v>
      </c>
      <c r="K116" s="61">
        <f ca="1">J116+(N116-J116)/4</f>
        <v>3.1674077268041965E-2</v>
      </c>
      <c r="L116" s="61">
        <f ca="1">K116+(N116-K116)/3</f>
        <v>3.394605749401966E-2</v>
      </c>
      <c r="M116" s="61">
        <f ca="1">L116+(N116-L116)/2</f>
        <v>3.6218037719997348E-2</v>
      </c>
      <c r="N116" s="62">
        <f>IF(DIAG!H240,$C$26,-1)</f>
        <v>3.8490017945975043E-2</v>
      </c>
    </row>
    <row r="117" spans="3:14" x14ac:dyDescent="0.2">
      <c r="D117" s="34"/>
      <c r="E117" s="66">
        <f ca="1">IF(DIAG!H240,$GL$56,-1)</f>
        <v>0</v>
      </c>
      <c r="F117" s="67">
        <f ca="1">E117+(N117-E117)/9</f>
        <v>2.9629629629629631E-2</v>
      </c>
      <c r="G117" s="67">
        <f ca="1">F117+(N117-F117)/8</f>
        <v>5.9259259259259262E-2</v>
      </c>
      <c r="H117" s="67">
        <f ca="1">G117+(N117-G117)/7</f>
        <v>8.8888888888888892E-2</v>
      </c>
      <c r="I117" s="67">
        <f ca="1">H117+(N117-H117)/6</f>
        <v>0.11851851851851852</v>
      </c>
      <c r="J117" s="67">
        <f ca="1">I117+(N117-I117)/5</f>
        <v>0.14814814814814814</v>
      </c>
      <c r="K117" s="67">
        <f ca="1">J117+(N117-J117)/4</f>
        <v>0.17777777777777776</v>
      </c>
      <c r="L117" s="67">
        <f ca="1">K117+(N117-K117)/3</f>
        <v>0.2074074074074074</v>
      </c>
      <c r="M117" s="67">
        <f ca="1">L117+(N117-L117)/2</f>
        <v>0.23703703703703705</v>
      </c>
      <c r="N117" s="68">
        <f>IF(DIAG!H240,$C$27,-1)</f>
        <v>0.26666666666666666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42</v>
      </c>
      <c r="D119" s="34"/>
      <c r="E119" s="60" t="e">
        <f>IF(DIAG!#REF!,$GL$55,-1)</f>
        <v>#REF!</v>
      </c>
      <c r="F119" s="61" t="e">
        <f>E119+(N119-E119)/9</f>
        <v>#REF!</v>
      </c>
      <c r="G119" s="61" t="e">
        <f>F119+(N119-F119)/8</f>
        <v>#REF!</v>
      </c>
      <c r="H119" s="61" t="e">
        <f>G119+(N119-G119)/7</f>
        <v>#REF!</v>
      </c>
      <c r="I119" s="61" t="e">
        <f>H119+(N119-H119)/6</f>
        <v>#REF!</v>
      </c>
      <c r="J119" s="61" t="e">
        <f>I119+(N119-I119)/5</f>
        <v>#REF!</v>
      </c>
      <c r="K119" s="61" t="e">
        <f>J119+(N119-J119)/4</f>
        <v>#REF!</v>
      </c>
      <c r="L119" s="61" t="e">
        <f>K119+(N119-K119)/3</f>
        <v>#REF!</v>
      </c>
      <c r="M119" s="61" t="e">
        <f>L119+(N119-L119)/2</f>
        <v>#REF!</v>
      </c>
      <c r="N119" s="62" t="e">
        <f>IF(DIAG!#REF!,$D$26,-1)</f>
        <v>#REF!</v>
      </c>
    </row>
    <row r="120" spans="3:14" x14ac:dyDescent="0.2">
      <c r="D120" s="34"/>
      <c r="E120" s="66" t="e">
        <f>IF(DIAG!#REF!,$GL$56,-1)</f>
        <v>#REF!</v>
      </c>
      <c r="F120" s="67" t="e">
        <f>E120+(N120-E120)/9</f>
        <v>#REF!</v>
      </c>
      <c r="G120" s="67" t="e">
        <f>F120+(N120-F120)/8</f>
        <v>#REF!</v>
      </c>
      <c r="H120" s="67" t="e">
        <f>G120+(N120-G120)/7</f>
        <v>#REF!</v>
      </c>
      <c r="I120" s="67" t="e">
        <f>H120+(N120-H120)/6</f>
        <v>#REF!</v>
      </c>
      <c r="J120" s="67" t="e">
        <f>I120+(N120-I120)/5</f>
        <v>#REF!</v>
      </c>
      <c r="K120" s="67" t="e">
        <f>J120+(N120-J120)/4</f>
        <v>#REF!</v>
      </c>
      <c r="L120" s="67" t="e">
        <f>K120+(N120-K120)/3</f>
        <v>#REF!</v>
      </c>
      <c r="M120" s="67" t="e">
        <f>L120+(N120-L120)/2</f>
        <v>#REF!</v>
      </c>
      <c r="N120" s="68" t="e">
        <f>IF(DIAG!#REF!,$D$27,-1)</f>
        <v>#REF!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46</v>
      </c>
      <c r="E122" s="60" t="e">
        <f>IF(DIAG!#REF!,$GL$55,-1)</f>
        <v>#REF!</v>
      </c>
      <c r="F122" s="61" t="e">
        <f>E122+(N122-E122)/9</f>
        <v>#REF!</v>
      </c>
      <c r="G122" s="61" t="e">
        <f>F122+(N122-F122)/8</f>
        <v>#REF!</v>
      </c>
      <c r="H122" s="61" t="e">
        <f>G122+(N122-G122)/7</f>
        <v>#REF!</v>
      </c>
      <c r="I122" s="61" t="e">
        <f>H122+(N122-H122)/6</f>
        <v>#REF!</v>
      </c>
      <c r="J122" s="61" t="e">
        <f>I122+(N122-I122)/5</f>
        <v>#REF!</v>
      </c>
      <c r="K122" s="61" t="e">
        <f>J122+(N122-J122)/4</f>
        <v>#REF!</v>
      </c>
      <c r="L122" s="61" t="e">
        <f>K122+(N122-K122)/3</f>
        <v>#REF!</v>
      </c>
      <c r="M122" s="61" t="e">
        <f>L122+(N122-L122)/2</f>
        <v>#REF!</v>
      </c>
      <c r="N122" s="62" t="e">
        <f>IF(DIAG!#REF!,$E$26,-1)</f>
        <v>#REF!</v>
      </c>
    </row>
    <row r="123" spans="3:14" x14ac:dyDescent="0.2">
      <c r="E123" s="66" t="e">
        <f>IF(DIAG!#REF!,$GL$56,-1)</f>
        <v>#REF!</v>
      </c>
      <c r="F123" s="67" t="e">
        <f>E123+(N123-E123)/9</f>
        <v>#REF!</v>
      </c>
      <c r="G123" s="67" t="e">
        <f>F123+(N123-F123)/8</f>
        <v>#REF!</v>
      </c>
      <c r="H123" s="67" t="e">
        <f>G123+(N123-G123)/7</f>
        <v>#REF!</v>
      </c>
      <c r="I123" s="67" t="e">
        <f>H123+(N123-H123)/6</f>
        <v>#REF!</v>
      </c>
      <c r="J123" s="67" t="e">
        <f>I123+(N123-I123)/5</f>
        <v>#REF!</v>
      </c>
      <c r="K123" s="67" t="e">
        <f>J123+(N123-J123)/4</f>
        <v>#REF!</v>
      </c>
      <c r="L123" s="67" t="e">
        <f>K123+(N123-K123)/3</f>
        <v>#REF!</v>
      </c>
      <c r="M123" s="67" t="e">
        <f>L123+(N123-L123)/2</f>
        <v>#REF!</v>
      </c>
      <c r="N123" s="68" t="e">
        <f>IF(DIAG!#REF!,$E$27,-1)</f>
        <v>#REF!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49</v>
      </c>
      <c r="E125" s="60" t="e">
        <f>IF(DIAG!#REF!,$GL$55,-1)</f>
        <v>#REF!</v>
      </c>
      <c r="F125" s="61" t="e">
        <f>E125+(N125-E125)/9</f>
        <v>#REF!</v>
      </c>
      <c r="G125" s="61" t="e">
        <f>F125+(N125-F125)/8</f>
        <v>#REF!</v>
      </c>
      <c r="H125" s="61" t="e">
        <f>G125+(N125-G125)/7</f>
        <v>#REF!</v>
      </c>
      <c r="I125" s="61" t="e">
        <f>H125+(N125-H125)/6</f>
        <v>#REF!</v>
      </c>
      <c r="J125" s="61" t="e">
        <f>I125+(N125-I125)/5</f>
        <v>#REF!</v>
      </c>
      <c r="K125" s="61" t="e">
        <f>J125+(N125-J125)/4</f>
        <v>#REF!</v>
      </c>
      <c r="L125" s="61" t="e">
        <f>K125+(N125-K125)/3</f>
        <v>#REF!</v>
      </c>
      <c r="M125" s="61" t="e">
        <f>L125+(N125-L125)/2</f>
        <v>#REF!</v>
      </c>
      <c r="N125" s="62" t="e">
        <f>IF(DIAG!#REF!,$F$26,-1)</f>
        <v>#REF!</v>
      </c>
    </row>
    <row r="126" spans="3:14" x14ac:dyDescent="0.2">
      <c r="E126" s="66" t="e">
        <f>IF(DIAG!#REF!,$GL$56,-1)</f>
        <v>#REF!</v>
      </c>
      <c r="F126" s="67" t="e">
        <f>E126+(N126-E126)/9</f>
        <v>#REF!</v>
      </c>
      <c r="G126" s="67" t="e">
        <f>F126+(N126-F126)/8</f>
        <v>#REF!</v>
      </c>
      <c r="H126" s="67" t="e">
        <f>G126+(N126-G126)/7</f>
        <v>#REF!</v>
      </c>
      <c r="I126" s="67" t="e">
        <f>H126+(N126-H126)/6</f>
        <v>#REF!</v>
      </c>
      <c r="J126" s="67" t="e">
        <f>I126+(N126-I126)/5</f>
        <v>#REF!</v>
      </c>
      <c r="K126" s="67" t="e">
        <f>J126+(N126-J126)/4</f>
        <v>#REF!</v>
      </c>
      <c r="L126" s="67" t="e">
        <f>K126+(N126-K126)/3</f>
        <v>#REF!</v>
      </c>
      <c r="M126" s="67" t="e">
        <f>L126+(N126-L126)/2</f>
        <v>#REF!</v>
      </c>
      <c r="N126" s="68" t="e">
        <f>IF(DIAG!#REF!,$F$27,-1)</f>
        <v>#REF!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51</v>
      </c>
      <c r="E128" s="60" t="e">
        <f>IF(DIAG!#REF!,$GL$55,-1)</f>
        <v>#REF!</v>
      </c>
      <c r="F128" s="61" t="e">
        <f>E128+(N128-E128)/9</f>
        <v>#REF!</v>
      </c>
      <c r="G128" s="61" t="e">
        <f>F128+(N128-F128)/8</f>
        <v>#REF!</v>
      </c>
      <c r="H128" s="61" t="e">
        <f>G128+(N128-G128)/7</f>
        <v>#REF!</v>
      </c>
      <c r="I128" s="61" t="e">
        <f>H128+(N128-H128)/6</f>
        <v>#REF!</v>
      </c>
      <c r="J128" s="61" t="e">
        <f>I128+(N128-I128)/5</f>
        <v>#REF!</v>
      </c>
      <c r="K128" s="61" t="e">
        <f>J128+(N128-J128)/4</f>
        <v>#REF!</v>
      </c>
      <c r="L128" s="61" t="e">
        <f>K128+(N128-K128)/3</f>
        <v>#REF!</v>
      </c>
      <c r="M128" s="61" t="e">
        <f>L128+(N128-L128)/2</f>
        <v>#REF!</v>
      </c>
      <c r="N128" s="62" t="e">
        <f>IF(DIAG!#REF!,$G$26,-1)</f>
        <v>#REF!</v>
      </c>
    </row>
    <row r="129" spans="3:14" x14ac:dyDescent="0.2">
      <c r="E129" s="66" t="e">
        <f>IF(DIAG!#REF!,$GL$56,-1)</f>
        <v>#REF!</v>
      </c>
      <c r="F129" s="67" t="e">
        <f>E129+(N129-E129)/9</f>
        <v>#REF!</v>
      </c>
      <c r="G129" s="67" t="e">
        <f>F129+(N129-F129)/8</f>
        <v>#REF!</v>
      </c>
      <c r="H129" s="67" t="e">
        <f>G129+(N129-G129)/7</f>
        <v>#REF!</v>
      </c>
      <c r="I129" s="67" t="e">
        <f>H129+(N129-H129)/6</f>
        <v>#REF!</v>
      </c>
      <c r="J129" s="67" t="e">
        <f>I129+(N129-I129)/5</f>
        <v>#REF!</v>
      </c>
      <c r="K129" s="67" t="e">
        <f>J129+(N129-J129)/4</f>
        <v>#REF!</v>
      </c>
      <c r="L129" s="67" t="e">
        <f>K129+(N129-K129)/3</f>
        <v>#REF!</v>
      </c>
      <c r="M129" s="67" t="e">
        <f>L129+(N129-L129)/2</f>
        <v>#REF!</v>
      </c>
      <c r="N129" s="68" t="e">
        <f>IF(DIAG!#REF!,$G$27,-1)</f>
        <v>#REF!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75</v>
      </c>
      <c r="E131" s="60" t="e">
        <f>IF(DIAG!#REF!,$GL$55,-1)</f>
        <v>#REF!</v>
      </c>
      <c r="F131" s="61" t="e">
        <f>E131+(N131-E131)/9</f>
        <v>#REF!</v>
      </c>
      <c r="G131" s="61" t="e">
        <f>F131+(N131-F131)/8</f>
        <v>#REF!</v>
      </c>
      <c r="H131" s="61" t="e">
        <f>G131+(N131-G131)/7</f>
        <v>#REF!</v>
      </c>
      <c r="I131" s="61" t="e">
        <f>H131+(N131-H131)/6</f>
        <v>#REF!</v>
      </c>
      <c r="J131" s="61" t="e">
        <f>I131+(N131-I131)/5</f>
        <v>#REF!</v>
      </c>
      <c r="K131" s="61" t="e">
        <f>J131+(N131-J131)/4</f>
        <v>#REF!</v>
      </c>
      <c r="L131" s="61" t="e">
        <f>K131+(N131-K131)/3</f>
        <v>#REF!</v>
      </c>
      <c r="M131" s="61" t="e">
        <f>L131+(N131-L131)/2</f>
        <v>#REF!</v>
      </c>
      <c r="N131" s="62" t="e">
        <f>IF(DIAG!#REF!,$H$26,-1)</f>
        <v>#REF!</v>
      </c>
    </row>
    <row r="132" spans="3:14" x14ac:dyDescent="0.2">
      <c r="E132" s="66" t="e">
        <f>IF(DIAG!#REF!,$GL$56,-1)</f>
        <v>#REF!</v>
      </c>
      <c r="F132" s="67" t="e">
        <f>E132+(N132-E132)/9</f>
        <v>#REF!</v>
      </c>
      <c r="G132" s="67" t="e">
        <f>F132+(N132-F132)/8</f>
        <v>#REF!</v>
      </c>
      <c r="H132" s="67" t="e">
        <f>G132+(N132-G132)/7</f>
        <v>#REF!</v>
      </c>
      <c r="I132" s="67" t="e">
        <f>H132+(N132-H132)/6</f>
        <v>#REF!</v>
      </c>
      <c r="J132" s="67" t="e">
        <f>I132+(N132-I132)/5</f>
        <v>#REF!</v>
      </c>
      <c r="K132" s="67" t="e">
        <f>J132+(N132-J132)/4</f>
        <v>#REF!</v>
      </c>
      <c r="L132" s="67" t="e">
        <f>K132+(N132-K132)/3</f>
        <v>#REF!</v>
      </c>
      <c r="M132" s="67" t="e">
        <f>L132+(N132-L132)/2</f>
        <v>#REF!</v>
      </c>
      <c r="N132" s="68" t="e">
        <f>IF(DIAG!#REF!,$H$27,-1)</f>
        <v>#REF!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76</v>
      </c>
      <c r="E134" s="60" t="e">
        <f>IF(DIAG!#REF!,$GL$55,-1)</f>
        <v>#REF!</v>
      </c>
      <c r="F134" s="61" t="e">
        <f>E134+(N134-E134)/9</f>
        <v>#REF!</v>
      </c>
      <c r="G134" s="61" t="e">
        <f>F134+(N134-F134)/8</f>
        <v>#REF!</v>
      </c>
      <c r="H134" s="61" t="e">
        <f>G134+(N134-G134)/7</f>
        <v>#REF!</v>
      </c>
      <c r="I134" s="61" t="e">
        <f>H134+(N134-H134)/6</f>
        <v>#REF!</v>
      </c>
      <c r="J134" s="61" t="e">
        <f>I134+(N134-I134)/5</f>
        <v>#REF!</v>
      </c>
      <c r="K134" s="61" t="e">
        <f>J134+(N134-J134)/4</f>
        <v>#REF!</v>
      </c>
      <c r="L134" s="61" t="e">
        <f>K134+(N134-K134)/3</f>
        <v>#REF!</v>
      </c>
      <c r="M134" s="61" t="e">
        <f>L134+(N134-L134)/2</f>
        <v>#REF!</v>
      </c>
      <c r="N134" s="62" t="e">
        <f>IF(DIAG!#REF!,$I$26,-1)</f>
        <v>#REF!</v>
      </c>
    </row>
    <row r="135" spans="3:14" x14ac:dyDescent="0.2">
      <c r="E135" s="66" t="e">
        <f>IF(DIAG!#REF!,$GL$56,-1)</f>
        <v>#REF!</v>
      </c>
      <c r="F135" s="67" t="e">
        <f>E135+(N135-E135)/9</f>
        <v>#REF!</v>
      </c>
      <c r="G135" s="67" t="e">
        <f>F135+(N135-F135)/8</f>
        <v>#REF!</v>
      </c>
      <c r="H135" s="67" t="e">
        <f>G135+(N135-G135)/7</f>
        <v>#REF!</v>
      </c>
      <c r="I135" s="67" t="e">
        <f>H135+(N135-H135)/6</f>
        <v>#REF!</v>
      </c>
      <c r="J135" s="67" t="e">
        <f>I135+(N135-I135)/5</f>
        <v>#REF!</v>
      </c>
      <c r="K135" s="67" t="e">
        <f>J135+(N135-J135)/4</f>
        <v>#REF!</v>
      </c>
      <c r="L135" s="67" t="e">
        <f>K135+(N135-K135)/3</f>
        <v>#REF!</v>
      </c>
      <c r="M135" s="67" t="e">
        <f>L135+(N135-L135)/2</f>
        <v>#REF!</v>
      </c>
      <c r="N135" s="68" t="e">
        <f>IF(DIAG!#REF!,$I$27,-1)</f>
        <v>#REF!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77</v>
      </c>
      <c r="E137" s="60" t="e">
        <f>IF(DIAG!#REF!,$GL$55,-1)</f>
        <v>#REF!</v>
      </c>
      <c r="F137" s="61" t="e">
        <f>E137+(N137-E137)/9</f>
        <v>#REF!</v>
      </c>
      <c r="G137" s="61" t="e">
        <f>F137+(N137-F137)/8</f>
        <v>#REF!</v>
      </c>
      <c r="H137" s="61" t="e">
        <f>G137+(N137-G137)/7</f>
        <v>#REF!</v>
      </c>
      <c r="I137" s="61" t="e">
        <f>H137+(N137-H137)/6</f>
        <v>#REF!</v>
      </c>
      <c r="J137" s="61" t="e">
        <f>I137+(N137-I137)/5</f>
        <v>#REF!</v>
      </c>
      <c r="K137" s="61" t="e">
        <f>J137+(N137-J137)/4</f>
        <v>#REF!</v>
      </c>
      <c r="L137" s="61" t="e">
        <f>K137+(N137-K137)/3</f>
        <v>#REF!</v>
      </c>
      <c r="M137" s="61" t="e">
        <f>L137+(N137-L137)/2</f>
        <v>#REF!</v>
      </c>
      <c r="N137" s="62" t="e">
        <f>IF(DIAG!#REF!,$J$26,-1)</f>
        <v>#REF!</v>
      </c>
    </row>
    <row r="138" spans="3:14" x14ac:dyDescent="0.2">
      <c r="E138" s="66" t="e">
        <f>IF(DIAG!#REF!,$GL$56,-1)</f>
        <v>#REF!</v>
      </c>
      <c r="F138" s="67" t="e">
        <f>E138+(N138-E138)/9</f>
        <v>#REF!</v>
      </c>
      <c r="G138" s="67" t="e">
        <f>F138+(N138-F138)/8</f>
        <v>#REF!</v>
      </c>
      <c r="H138" s="67" t="e">
        <f>G138+(N138-G138)/7</f>
        <v>#REF!</v>
      </c>
      <c r="I138" s="67" t="e">
        <f>H138+(N138-H138)/6</f>
        <v>#REF!</v>
      </c>
      <c r="J138" s="67" t="e">
        <f>I138+(N138-I138)/5</f>
        <v>#REF!</v>
      </c>
      <c r="K138" s="67" t="e">
        <f>J138+(N138-J138)/4</f>
        <v>#REF!</v>
      </c>
      <c r="L138" s="67" t="e">
        <f>K138+(N138-K138)/3</f>
        <v>#REF!</v>
      </c>
      <c r="M138" s="67" t="e">
        <f>L138+(N138-L138)/2</f>
        <v>#REF!</v>
      </c>
      <c r="N138" s="68" t="e">
        <f>IF(DIAG!#REF!,$J$27,-1)</f>
        <v>#REF!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78</v>
      </c>
      <c r="E140" s="60" t="e">
        <f>IF(DIAG!#REF!,$GL$55,-1)</f>
        <v>#REF!</v>
      </c>
      <c r="F140" s="61" t="e">
        <f>E140+(N140-E140)/9</f>
        <v>#REF!</v>
      </c>
      <c r="G140" s="61" t="e">
        <f>F140+(N140-F140)/8</f>
        <v>#REF!</v>
      </c>
      <c r="H140" s="61">
        <v>-0.5</v>
      </c>
      <c r="I140" s="61">
        <v>-1</v>
      </c>
      <c r="J140" s="61"/>
      <c r="K140" s="61"/>
      <c r="L140" s="61"/>
      <c r="M140" s="61" t="e">
        <f>L140+(N140-L140)/2</f>
        <v>#REF!</v>
      </c>
      <c r="N140" s="62" t="e">
        <f>IF(DIAG!#REF!,$K$26,-1)</f>
        <v>#REF!</v>
      </c>
    </row>
    <row r="141" spans="3:14" x14ac:dyDescent="0.2">
      <c r="E141" s="66" t="e">
        <f>IF(DIAG!#REF!,$GL$56,-1)</f>
        <v>#REF!</v>
      </c>
      <c r="F141" s="67" t="e">
        <f>E141+(N141-E141)/9</f>
        <v>#REF!</v>
      </c>
      <c r="G141" s="67" t="e">
        <f>F141+(N141-F141)/8</f>
        <v>#REF!</v>
      </c>
      <c r="H141" s="67">
        <v>-0.5</v>
      </c>
      <c r="I141" s="67">
        <v>-1</v>
      </c>
      <c r="J141" s="67"/>
      <c r="K141" s="67"/>
      <c r="L141" s="67"/>
      <c r="M141" s="67" t="e">
        <f>L141+(N141-L141)/2</f>
        <v>#REF!</v>
      </c>
      <c r="N141" s="68" t="e">
        <f>IF(DIAG!#REF!,$K$27,-1)</f>
        <v>#REF!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G143" s="9"/>
      <c r="H143" s="9"/>
      <c r="I143" s="9"/>
      <c r="J143" s="9"/>
      <c r="K143" s="9"/>
    </row>
    <row r="144" spans="3:14" x14ac:dyDescent="0.2">
      <c r="G144" s="9"/>
      <c r="H144" s="9"/>
      <c r="I144" s="9"/>
      <c r="J144" s="9"/>
      <c r="K144" s="9"/>
    </row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2023-04-18T23:44:02Z</cp:lastPrinted>
  <dcterms:created xsi:type="dcterms:W3CDTF">2003-07-04T14:12:44Z</dcterms:created>
  <dcterms:modified xsi:type="dcterms:W3CDTF">2023-05-08T21:14:54Z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