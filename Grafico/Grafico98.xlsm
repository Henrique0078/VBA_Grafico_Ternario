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5DBB47FF-AD77-4D33-A42E-5F0D9641DCE6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0" i="6" s="1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36" i="6" s="1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M228" i="6" l="1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1" i="6" l="1"/>
  <c r="B261" i="6"/>
  <c r="B260" i="6"/>
  <c r="B252" i="6"/>
  <c r="R45" i="6"/>
  <c r="U45" i="6"/>
  <c r="N46" i="6"/>
  <c r="U46" i="6"/>
  <c r="W47" i="6"/>
  <c r="N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<sst xmlns="http://schemas.openxmlformats.org/spreadsheetml/2006/main" count="496" uniqueCount="164">
  <si>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</si>
  <si>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</si>
  <si>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</si>
  <si>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</si>
  <si>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</si>
  <si>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</si>
  <si>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</si>
  <si>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</si>
  <si>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</si>
  <si>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</si>
  <si>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</si>
  <si>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</si>
  <si>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</si>
  <si>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</si>
  <si>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</si>
  <si>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</si>
  <si>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</si>
  <si>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</si>
  <si>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</si>
  <si>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</si>
  <si>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</si>
  <si>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</si>
  <si>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</si>
  <si>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</si>
  <si>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</si>
  <si>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</si>
  <si>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</si>
  <si>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</si>
  <si>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</si>
  <si>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</si>
  <si>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</si>
  <si>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</si>
  <si>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</si>
  <si>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</si>
  <si>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</si>
  <si>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</si>
  <si>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</si>
  <si>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</si>
  <si>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</si>
  <si>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</si>
  <si>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</si>
  <si>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</si>
  <si>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</si>
  <si>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</si>
  <si>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</si>
  <si>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</si>
  <si>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</si>
  <si>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</si>
  <si>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</si>
  <si>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</si>
  <si>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</si>
  <si>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</si>
  <si>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</si>
  <si>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</si>
  <si>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</si>
  <si>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</si>
  <si>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</si>
  <si>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</si>
  <si>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</si>
  <si>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</si>
  <si>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</si>
  <si>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</si>
  <si>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</si>
  <si>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</si>
  <si>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</si>
  <si>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</si>
  <si>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</si>
  <si>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</si>
  <si>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</si>
  <si>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</si>
  <si>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</si>
  <si>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</si>
  <si>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</si>
  <si>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</si>
  <si>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</si>
  <si>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</si>
  <si>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</si>
  <si>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</si>
  <si>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</si>
  <si>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</si>
  <si>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</si>
  <si>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</si>
  <si>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</si>
  <si>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</si>
  <si>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</si>
  <si>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</si>
  <si>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</si>
  <si>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</si>
  <si>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</si>
  <si>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</si>
  <si>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</si>
  <si>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</si>
  <si>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</si>
  <si>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</si>
  <si>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</si>
  <si>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</si>
  <si>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</si>
  <si>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</si>
  <si>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</si>
  <si>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</si>
  <si>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</si>
  <si>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</si>
  <si>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</si>
  <si>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</si>
  <si>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</si>
  <si>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</si>
  <si>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</si>
  <si>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</si>
  <si>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</si>
  <si>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</si>
  <si>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</si>
  <si>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</si>
  <si>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</si>
  <si>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</si>
  <si>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</si>
  <si>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</si>
  <si>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</si>
  <si>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</si>
  <si>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</si>
  <si>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</si>
  <si>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</si>
  <si>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</si>
  <si>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</si>
  <si>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</si>
  <si>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</si>
  <si>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</si>
  <si>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</si>
  <si>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</si>
  <si>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</si>
  <si>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</si>
  <si>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</si>
  <si>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</si>
  <si>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</si>
  <si>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</si>
  <si>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</si>
  <si>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</si>
  <si>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</si>
  <si>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</si>
  <si>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</si>
  <si>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</si>
  <si>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</si>
  <si>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</si>
  <si>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</si>
  <si>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</si>
  <si>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</si>
  <si>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</si>
  <si>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</si>
  <si>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</si>
  <si>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</si>
  <si>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</si>
  <si>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</si>
  <si>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</si>
  <si>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</si>
  <si>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</si>
  <si>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</si>
  <si>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</si>
  <si>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</si>
  <si>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</si>
  <si>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</si>
  <si>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</si>
  <si>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</si>
  <si>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</si>
  <si>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</si>
  <si>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tamara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</si>
</sst>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 wrapText="1"/>
    </xf>
    <xf numFmtId="0" fontId="18" fillId="0" borderId="4" xfId="0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169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22" fillId="0" borderId="0" xfId="0" applyFont="1"/>
    <xf numFmtId="0" fontId="21" fillId="0" borderId="0" xfId="0" applyFont="1" applyAlignment="1">
      <alignment horizontal="right"/>
    </xf>
    <xf numFmtId="164" fontId="21" fillId="0" borderId="0" xfId="0" applyNumberFormat="1" applyFont="1"/>
    <xf numFmtId="11" fontId="21" fillId="0" borderId="0" xfId="0" applyNumberFormat="1" applyFont="1"/>
    <xf numFmtId="0" fontId="23" fillId="0" borderId="0" xfId="0" applyFont="1"/>
    <xf numFmtId="2" fontId="21" fillId="0" borderId="0" xfId="0" applyNumberFormat="1" applyFont="1"/>
    <xf numFmtId="167" fontId="21" fillId="0" borderId="0" xfId="2" applyNumberFormat="1" applyFont="1" applyFill="1" applyBorder="1"/>
    <xf numFmtId="0" fontId="21" fillId="0" borderId="0" xfId="0" applyFont="1" applyAlignment="1">
      <alignment horizontal="center" vertical="center"/>
    </xf>
    <xf numFmtId="11" fontId="22" fillId="0" borderId="0" xfId="0" applyNumberFormat="1" applyFont="1" applyAlignment="1">
      <alignment horizontal="center"/>
    </xf>
    <xf numFmtId="11" fontId="22" fillId="0" borderId="0" xfId="0" applyNumberFormat="1" applyFont="1"/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2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0" borderId="0" xfId="0" applyNumberFormat="1" applyFont="1"/>
    <xf numFmtId="168" fontId="22" fillId="0" borderId="0" xfId="2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-0.35799999999999998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ColWidth="9"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0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0</v>
      </c>
      <c r="P5" s="224" t="b">
        <v>1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0</v>
      </c>
      <c r="H37" s="225" t="b">
        <v>0</v>
      </c>
      <c r="I37" s="225" t="b">
        <v>0</v>
      </c>
      <c r="K37" s="233">
        <v>1</v>
      </c>
      <c r="L37" s="233"/>
      <c r="M37" s="233"/>
      <c r="N37" s="233"/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0</v>
      </c>
      <c r="H38" s="225" t="b">
        <v>0</v>
      </c>
      <c r="I38" s="225" t="b">
        <v>0</v>
      </c>
      <c r="K38" s="233">
        <v>2</v>
      </c>
      <c r="L38" s="233"/>
      <c r="M38" s="233"/>
      <c r="N38" s="233"/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0</v>
      </c>
      <c r="H39" s="225" t="b">
        <v>0</v>
      </c>
      <c r="I39" s="225" t="b">
        <v>0</v>
      </c>
      <c r="K39" s="233">
        <v>3</v>
      </c>
      <c r="L39" s="233"/>
      <c r="M39" s="233"/>
      <c r="N39" s="233"/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0</v>
      </c>
      <c r="H40" s="225" t="b">
        <v>0</v>
      </c>
      <c r="I40" s="225" t="b">
        <v>0</v>
      </c>
      <c r="K40" s="233">
        <v>4</v>
      </c>
      <c r="L40" s="233"/>
      <c r="M40" s="233"/>
      <c r="N40" s="233"/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66</v>
      </c>
      <c r="S45" s="225" t="s">
        <v>4</v>
      </c>
      <c r="T45" s="225">
        <v>10</v>
      </c>
      <c r="U45" s="225">
        <v>10</v>
      </c>
      <c r="V45" s="225">
        <v>10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10</v>
      </c>
      <c r="U46" s="225">
        <v>10</v>
      </c>
      <c r="V46" s="225">
        <v>10</v>
      </c>
    </row>
    <row r="47" spans="1:24" x14ac:dyDescent="0.2">
      <c r="A47" s="224" t="s">
        <v>162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10</v>
      </c>
      <c r="U47" s="225">
        <v>10</v>
      </c>
      <c r="V47" s="225">
        <v>10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18</v>
      </c>
      <c r="R48" s="224" t="s">
        <v>64</v>
      </c>
      <c r="S48" s="225">
        <v>1</v>
      </c>
      <c r="T48" s="225" t="b">
        <v>0</v>
      </c>
      <c r="U48" s="225" t="b">
        <v>0</v>
      </c>
      <c r="V48" s="225" t="b">
        <v>0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0</v>
      </c>
      <c r="U49" s="225" t="b">
        <v>0</v>
      </c>
      <c r="V49" s="225" t="b">
        <v>0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15</v>
      </c>
      <c r="T50" s="225" t="b">
        <v>0</v>
      </c>
      <c r="U50" s="225" t="b">
        <v>0</v>
      </c>
      <c r="V50" s="225" t="b">
        <v>0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10</v>
      </c>
      <c r="S51" s="225">
        <v>1</v>
      </c>
      <c r="T51" s="225">
        <v>5</v>
      </c>
      <c r="U51" s="225">
        <v>5</v>
      </c>
      <c r="V51" s="225">
        <v>5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2</v>
      </c>
      <c r="U52" s="225">
        <v>2</v>
      </c>
      <c r="V52" s="225">
        <v>2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15</v>
      </c>
      <c r="T53" s="225">
        <v>2</v>
      </c>
      <c r="U53" s="225">
        <v>2</v>
      </c>
      <c r="V53" s="225">
        <v>2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W55" s="224" t="s">
        <v>163</v>
      </c>
      <c r="X55" s="224" t="s">
        <v>163</v>
      </c>
      <c r="Y55" s="224" t="s">
        <v>163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2</v>
      </c>
      <c r="X56" s="224">
        <v>2</v>
      </c>
      <c r="Y56" s="224">
        <v>2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85</v>
      </c>
      <c r="S57" s="225">
        <v>0</v>
      </c>
      <c r="W57" s="224" t="s">
        <v>163</v>
      </c>
      <c r="X57" s="224" t="s">
        <v>163</v>
      </c>
      <c r="Y57" s="224" t="s">
        <v>163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86</v>
      </c>
      <c r="S58" s="225">
        <v>0</v>
      </c>
      <c r="T58" s="225">
        <v>1</v>
      </c>
      <c r="U58" s="225">
        <v>1</v>
      </c>
      <c r="V58" s="225">
        <v>1</v>
      </c>
      <c r="W58" s="224">
        <v>2</v>
      </c>
      <c r="X58" s="224">
        <v>2</v>
      </c>
      <c r="Y58" s="224">
        <v>2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70</v>
      </c>
      <c r="S59" s="225">
        <v>0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21</v>
      </c>
      <c r="U61" s="234">
        <v>21</v>
      </c>
      <c r="V61" s="234">
        <v>21</v>
      </c>
      <c r="W61" s="235">
        <f>Diagrama!B212</f>
        <v>0</v>
      </c>
      <c r="X61" s="235">
        <f>Diagrama!C212</f>
        <v>0</v>
      </c>
      <c r="Y61" s="235">
        <f>Diagrama!D212</f>
        <v>0</v>
      </c>
      <c r="Z61" s="235">
        <f>Diagrama!E212</f>
        <v>0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3</v>
      </c>
      <c r="U62" s="234">
        <v>3</v>
      </c>
      <c r="V62" s="234">
        <v>3</v>
      </c>
      <c r="W62" s="235">
        <f>Diagrama!B213</f>
        <v>0</v>
      </c>
      <c r="X62" s="235">
        <f>Diagrama!C213</f>
        <v>0</v>
      </c>
      <c r="Y62" s="235">
        <f>Diagrama!D213</f>
        <v>0</v>
      </c>
      <c r="Z62" s="235">
        <f>Diagrama!E213</f>
        <v>0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3</v>
      </c>
      <c r="U63" s="234">
        <v>3</v>
      </c>
      <c r="V63" s="234">
        <v>3</v>
      </c>
      <c r="W63" s="235">
        <f>Diagrama!B218</f>
        <v>0</v>
      </c>
      <c r="X63" s="235">
        <f>Diagrama!C218</f>
        <v>0</v>
      </c>
      <c r="Y63" s="235">
        <f>Diagrama!D218</f>
        <v>0</v>
      </c>
      <c r="Z63" s="235">
        <f>Diagrama!E218</f>
        <v>0</v>
      </c>
      <c r="AA63" s="235">
        <f>Diagrama!F218</f>
        <v>0</v>
      </c>
      <c r="AB63" s="235">
        <f>Diagrama!G218</f>
        <v>0</v>
      </c>
      <c r="AC63" s="235">
        <f>Diagrama!H218</f>
        <v>0</v>
      </c>
      <c r="AD63" s="235">
        <f>Diagrama!I218</f>
        <v>0</v>
      </c>
      <c r="AE63" s="235">
        <f>Diagrama!J218</f>
        <v>0</v>
      </c>
      <c r="AF63" s="235">
        <f>Diagrama!K218</f>
        <v>0</v>
      </c>
      <c r="AG63" s="235">
        <f>Diagrama!L218</f>
        <v>0</v>
      </c>
      <c r="AH63" s="235">
        <f>Diagrama!M218</f>
        <v>0</v>
      </c>
      <c r="AI63" s="235">
        <f>Diagrama!N218</f>
        <v>0</v>
      </c>
      <c r="AJ63" s="235">
        <f>Diagrama!O218</f>
        <v>0</v>
      </c>
      <c r="AK63" s="235">
        <f>Diagrama!P218</f>
        <v>0</v>
      </c>
      <c r="AL63" s="235">
        <f>Diagrama!Q218</f>
        <v>0</v>
      </c>
      <c r="AM63" s="235">
        <f>Diagrama!R218</f>
        <v>0</v>
      </c>
      <c r="AN63" s="235">
        <f>Diagrama!S218</f>
        <v>0</v>
      </c>
      <c r="AO63" s="235">
        <f>Diagrama!T218</f>
        <v>0</v>
      </c>
      <c r="AP63" s="235">
        <f>Diagrama!U218</f>
        <v>0</v>
      </c>
      <c r="AQ63" s="235">
        <f>Diagrama!V218</f>
        <v>0</v>
      </c>
      <c r="AR63" s="235">
        <f>Diagrama!W218</f>
        <v>0</v>
      </c>
      <c r="AS63" s="235">
        <f>Diagrama!X218</f>
        <v>0</v>
      </c>
      <c r="AT63" s="235">
        <f>Diagrama!Y218</f>
        <v>0</v>
      </c>
      <c r="AU63" s="235">
        <f>Diagrama!Z218</f>
        <v>0</v>
      </c>
      <c r="AV63" s="235">
        <f>Diagrama!AA218</f>
        <v>0</v>
      </c>
      <c r="AW63" s="235">
        <f>Diagrama!AB218</f>
        <v>0</v>
      </c>
      <c r="AX63" s="235">
        <f>Diagrama!AC218</f>
        <v>0</v>
      </c>
      <c r="AY63" s="235">
        <f>Diagrama!AD218</f>
        <v>0</v>
      </c>
      <c r="AZ63" s="235">
        <f>Diagrama!AE218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14</v>
      </c>
      <c r="T64" s="234">
        <v>113.8</v>
      </c>
      <c r="U64" s="234">
        <v>113.8</v>
      </c>
      <c r="V64" s="234">
        <v>113.8</v>
      </c>
      <c r="W64" s="235">
        <f>Diagrama!B219</f>
        <v>0</v>
      </c>
      <c r="X64" s="235">
        <f>Diagrama!C219</f>
        <v>0</v>
      </c>
      <c r="Y64" s="235">
        <f>Diagrama!D219</f>
        <v>0</v>
      </c>
      <c r="Z64" s="235">
        <f>Diagrama!E219</f>
        <v>0</v>
      </c>
      <c r="AA64" s="235">
        <f>Diagrama!F219</f>
        <v>0</v>
      </c>
      <c r="AB64" s="235">
        <f>Diagrama!G219</f>
        <v>0</v>
      </c>
      <c r="AC64" s="235">
        <f>Diagrama!H219</f>
        <v>0</v>
      </c>
      <c r="AD64" s="235">
        <f>Diagrama!I219</f>
        <v>0</v>
      </c>
      <c r="AE64" s="235">
        <f>Diagrama!J219</f>
        <v>0</v>
      </c>
      <c r="AF64" s="235">
        <f>Diagrama!K219</f>
        <v>0</v>
      </c>
      <c r="AG64" s="235">
        <f>Diagrama!L219</f>
        <v>0</v>
      </c>
      <c r="AH64" s="235">
        <f>Diagrama!M219</f>
        <v>0</v>
      </c>
      <c r="AI64" s="235">
        <f>Diagrama!N219</f>
        <v>0</v>
      </c>
      <c r="AJ64" s="235">
        <f>Diagrama!O219</f>
        <v>0</v>
      </c>
      <c r="AK64" s="235">
        <f>Diagrama!P219</f>
        <v>0</v>
      </c>
      <c r="AL64" s="235">
        <f>Diagrama!Q219</f>
        <v>0</v>
      </c>
      <c r="AM64" s="235">
        <f>Diagrama!R219</f>
        <v>0</v>
      </c>
      <c r="AN64" s="235">
        <f>Diagrama!S219</f>
        <v>0</v>
      </c>
      <c r="AO64" s="235">
        <f>Diagrama!T219</f>
        <v>0</v>
      </c>
      <c r="AP64" s="235">
        <f>Diagrama!U219</f>
        <v>0</v>
      </c>
      <c r="AQ64" s="235">
        <f>Diagrama!V219</f>
        <v>0</v>
      </c>
      <c r="AR64" s="235">
        <f>Diagrama!W219</f>
        <v>0</v>
      </c>
      <c r="AS64" s="235">
        <f>Diagrama!X219</f>
        <v>0</v>
      </c>
      <c r="AT64" s="235">
        <f>Diagrama!Y219</f>
        <v>0</v>
      </c>
      <c r="AU64" s="235">
        <f>Diagrama!Z219</f>
        <v>0</v>
      </c>
      <c r="AV64" s="235">
        <f>Diagrama!AA219</f>
        <v>0</v>
      </c>
      <c r="AW64" s="235">
        <f>Diagrama!AB219</f>
        <v>0</v>
      </c>
      <c r="AX64" s="235">
        <f>Diagrama!AC219</f>
        <v>0</v>
      </c>
      <c r="AY64" s="235">
        <f>Diagrama!AD219</f>
        <v>0</v>
      </c>
      <c r="AZ64" s="235">
        <f>Diagrama!AE219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28</v>
      </c>
      <c r="T65" s="236">
        <v>37.93333333333333</v>
      </c>
      <c r="U65" s="237">
        <v>37.93333333333333</v>
      </c>
      <c r="V65" s="236">
        <v>37.93333333333333</v>
      </c>
      <c r="W65" s="238">
        <f>Diagrama!B230</f>
        <v>0</v>
      </c>
      <c r="X65" s="238">
        <f>Diagrama!C230</f>
        <v>0</v>
      </c>
      <c r="Y65" s="238">
        <f>Diagrama!D230</f>
        <v>0</v>
      </c>
      <c r="Z65" s="238">
        <f>Diagrama!E230</f>
        <v>0</v>
      </c>
      <c r="AA65" s="238">
        <f>Diagrama!F230</f>
        <v>0</v>
      </c>
      <c r="AB65" s="238">
        <f>Diagrama!G230</f>
        <v>0</v>
      </c>
      <c r="AC65" s="238">
        <f>Diagrama!H230</f>
        <v>0</v>
      </c>
      <c r="AD65" s="238">
        <f>Diagrama!I230</f>
        <v>0</v>
      </c>
      <c r="AE65" s="238">
        <f>Diagrama!J230</f>
        <v>0</v>
      </c>
      <c r="AF65" s="238">
        <f>Diagrama!K230</f>
        <v>0</v>
      </c>
      <c r="AG65" s="238">
        <f>Diagrama!L230</f>
        <v>0</v>
      </c>
      <c r="AH65" s="238">
        <f>Diagrama!M230</f>
        <v>0</v>
      </c>
      <c r="AI65" s="238">
        <f>Diagrama!N230</f>
        <v>0</v>
      </c>
      <c r="AJ65" s="238">
        <f>Diagrama!O230</f>
        <v>0</v>
      </c>
      <c r="AK65" s="238">
        <f>Diagrama!P230</f>
        <v>0</v>
      </c>
      <c r="AL65" s="238">
        <f>Diagrama!Q230</f>
        <v>0</v>
      </c>
      <c r="AM65" s="238">
        <f>Diagrama!R230</f>
        <v>0</v>
      </c>
      <c r="AN65" s="238">
        <f>Diagrama!S230</f>
        <v>0</v>
      </c>
      <c r="AO65" s="238">
        <f>Diagrama!T230</f>
        <v>0</v>
      </c>
      <c r="AP65" s="238">
        <f>Diagrama!U230</f>
        <v>0</v>
      </c>
      <c r="AQ65" s="238">
        <f>Diagrama!V230</f>
        <v>0</v>
      </c>
      <c r="AR65" s="238">
        <f>Diagrama!W230</f>
        <v>0</v>
      </c>
      <c r="AS65" s="238">
        <f>Diagrama!X230</f>
        <v>0</v>
      </c>
      <c r="AT65" s="238">
        <f>Diagrama!Y230</f>
        <v>0</v>
      </c>
      <c r="AU65" s="238">
        <f>Diagrama!Z230</f>
        <v>0</v>
      </c>
      <c r="AV65" s="238">
        <f>Diagrama!AA230</f>
        <v>0</v>
      </c>
      <c r="AW65" s="238">
        <f>Diagrama!AB230</f>
        <v>0</v>
      </c>
      <c r="AX65" s="238">
        <f>Diagrama!AC230</f>
        <v>0</v>
      </c>
      <c r="AY65" s="238">
        <f>Diagrama!AD230</f>
        <v>0</v>
      </c>
      <c r="AZ65" s="238">
        <f>Diagrama!AE230</f>
        <v>0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29</v>
      </c>
      <c r="T66" s="236">
        <v>2.9864253393665156E-2</v>
      </c>
      <c r="U66" s="237">
        <v>2.9864253393665156E-2</v>
      </c>
      <c r="V66" s="236">
        <v>2.9864253393665156E-2</v>
      </c>
      <c r="W66" s="238">
        <f>Diagrama!B231</f>
        <v>0</v>
      </c>
      <c r="X66" s="238">
        <f>Diagrama!C231</f>
        <v>0</v>
      </c>
      <c r="Y66" s="238">
        <f>Diagrama!D231</f>
        <v>0</v>
      </c>
      <c r="Z66" s="238">
        <f>Diagrama!E231</f>
        <v>0</v>
      </c>
      <c r="AA66" s="238">
        <f>Diagrama!F231</f>
        <v>0</v>
      </c>
      <c r="AB66" s="238">
        <f>Diagrama!G231</f>
        <v>0</v>
      </c>
      <c r="AC66" s="238">
        <f>Diagrama!H231</f>
        <v>0</v>
      </c>
      <c r="AD66" s="238">
        <f>Diagrama!I231</f>
        <v>0</v>
      </c>
      <c r="AE66" s="238">
        <f>Diagrama!J231</f>
        <v>0</v>
      </c>
      <c r="AF66" s="238">
        <f>Diagrama!K231</f>
        <v>0</v>
      </c>
      <c r="AG66" s="238">
        <f>Diagrama!L231</f>
        <v>0</v>
      </c>
      <c r="AH66" s="238">
        <f>Diagrama!M231</f>
        <v>0</v>
      </c>
      <c r="AI66" s="238">
        <f>Diagrama!N231</f>
        <v>0</v>
      </c>
      <c r="AJ66" s="238">
        <f>Diagrama!O231</f>
        <v>0</v>
      </c>
      <c r="AK66" s="238">
        <f>Diagrama!P231</f>
        <v>0</v>
      </c>
      <c r="AL66" s="238">
        <f>Diagrama!Q231</f>
        <v>0</v>
      </c>
      <c r="AM66" s="238">
        <f>Diagrama!R231</f>
        <v>0</v>
      </c>
      <c r="AN66" s="238">
        <f>Diagrama!S231</f>
        <v>0</v>
      </c>
      <c r="AO66" s="238">
        <f>Diagrama!T231</f>
        <v>0</v>
      </c>
      <c r="AP66" s="238">
        <f>Diagrama!U231</f>
        <v>0</v>
      </c>
      <c r="AQ66" s="238">
        <f>Diagrama!V231</f>
        <v>0</v>
      </c>
      <c r="AR66" s="238">
        <f>Diagrama!W231</f>
        <v>0</v>
      </c>
      <c r="AS66" s="238">
        <f>Diagrama!X231</f>
        <v>0</v>
      </c>
      <c r="AT66" s="238">
        <f>Diagrama!Y231</f>
        <v>0</v>
      </c>
      <c r="AU66" s="238">
        <f>Diagrama!Z231</f>
        <v>0</v>
      </c>
      <c r="AV66" s="238">
        <f>Diagrama!AA231</f>
        <v>0</v>
      </c>
      <c r="AW66" s="238">
        <f>Diagrama!AB231</f>
        <v>0</v>
      </c>
      <c r="AX66" s="238">
        <f>Diagrama!AC231</f>
        <v>0</v>
      </c>
      <c r="AY66" s="238">
        <f>Diagrama!AD231</f>
        <v>0</v>
      </c>
      <c r="AZ66" s="238">
        <f>Diagrama!AE231</f>
        <v>0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30</v>
      </c>
      <c r="T67" s="236">
        <v>5.8604651162790698E-2</v>
      </c>
      <c r="U67" s="237">
        <v>5.8604651162790698E-2</v>
      </c>
      <c r="V67" s="236">
        <v>5.8604651162790698E-2</v>
      </c>
      <c r="W67" s="238">
        <f>Diagrama!B232</f>
        <v>0</v>
      </c>
      <c r="X67" s="238">
        <f>Diagrama!C232</f>
        <v>0</v>
      </c>
      <c r="Y67" s="238">
        <f>Diagrama!D232</f>
        <v>0</v>
      </c>
      <c r="Z67" s="238">
        <f>Diagrama!E232</f>
        <v>0</v>
      </c>
      <c r="AA67" s="238">
        <f>Diagrama!F232</f>
        <v>0</v>
      </c>
      <c r="AB67" s="238">
        <f>Diagrama!G232</f>
        <v>0</v>
      </c>
      <c r="AC67" s="238">
        <f>Diagrama!H232</f>
        <v>0</v>
      </c>
      <c r="AD67" s="238">
        <f>Diagrama!I232</f>
        <v>0</v>
      </c>
      <c r="AE67" s="238">
        <f>Diagrama!J232</f>
        <v>0</v>
      </c>
      <c r="AF67" s="238">
        <f>Diagrama!K232</f>
        <v>0</v>
      </c>
      <c r="AG67" s="238">
        <f>Diagrama!L232</f>
        <v>0</v>
      </c>
      <c r="AH67" s="238">
        <f>Diagrama!M232</f>
        <v>0</v>
      </c>
      <c r="AI67" s="238">
        <f>Diagrama!N232</f>
        <v>0</v>
      </c>
      <c r="AJ67" s="238">
        <f>Diagrama!O232</f>
        <v>0</v>
      </c>
      <c r="AK67" s="238">
        <f>Diagrama!P232</f>
        <v>0</v>
      </c>
      <c r="AL67" s="238">
        <f>Diagrama!Q232</f>
        <v>0</v>
      </c>
      <c r="AM67" s="238">
        <f>Diagrama!R232</f>
        <v>0</v>
      </c>
      <c r="AN67" s="238">
        <f>Diagrama!S232</f>
        <v>0</v>
      </c>
      <c r="AO67" s="238">
        <f>Diagrama!T232</f>
        <v>0</v>
      </c>
      <c r="AP67" s="238">
        <f>Diagrama!U232</f>
        <v>0</v>
      </c>
      <c r="AQ67" s="238">
        <f>Diagrama!V232</f>
        <v>0</v>
      </c>
      <c r="AR67" s="238">
        <f>Diagrama!W232</f>
        <v>0</v>
      </c>
      <c r="AS67" s="238">
        <f>Diagrama!X232</f>
        <v>0</v>
      </c>
      <c r="AT67" s="238">
        <f>Diagrama!Y232</f>
        <v>0</v>
      </c>
      <c r="AU67" s="238">
        <f>Diagrama!Z232</f>
        <v>0</v>
      </c>
      <c r="AV67" s="238">
        <f>Diagrama!AA232</f>
        <v>0</v>
      </c>
      <c r="AW67" s="238">
        <f>Diagrama!AB232</f>
        <v>0</v>
      </c>
      <c r="AX67" s="238">
        <f>Diagrama!AC232</f>
        <v>0</v>
      </c>
      <c r="AY67" s="238">
        <f>Diagrama!AD232</f>
        <v>0</v>
      </c>
      <c r="AZ67" s="238">
        <f>Diagrama!AE232</f>
        <v>0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18</v>
      </c>
      <c r="T68" s="236">
        <v>647.27513227513225</v>
      </c>
      <c r="U68" s="237">
        <v>647.27513227513225</v>
      </c>
      <c r="V68" s="236">
        <v>647.27513227513225</v>
      </c>
      <c r="W68" s="238">
        <f>Diagrama!B233</f>
        <v>0</v>
      </c>
      <c r="X68" s="238">
        <f>Diagrama!C233</f>
        <v>0</v>
      </c>
      <c r="Y68" s="238">
        <f>Diagrama!D233</f>
        <v>0</v>
      </c>
      <c r="Z68" s="238">
        <f>Diagrama!E233</f>
        <v>0</v>
      </c>
      <c r="AA68" s="238">
        <f>Diagrama!F233</f>
        <v>0</v>
      </c>
      <c r="AB68" s="238">
        <f>Diagrama!G233</f>
        <v>0</v>
      </c>
      <c r="AC68" s="238">
        <f>Diagrama!H233</f>
        <v>0</v>
      </c>
      <c r="AD68" s="238">
        <f>Diagrama!I233</f>
        <v>0</v>
      </c>
      <c r="AE68" s="238">
        <f>Diagrama!J233</f>
        <v>0</v>
      </c>
      <c r="AF68" s="238">
        <f>Diagrama!K233</f>
        <v>0</v>
      </c>
      <c r="AG68" s="238">
        <f>Diagrama!L233</f>
        <v>0</v>
      </c>
      <c r="AH68" s="238">
        <f>Diagrama!M233</f>
        <v>0</v>
      </c>
      <c r="AI68" s="238">
        <f>Diagrama!N233</f>
        <v>0</v>
      </c>
      <c r="AJ68" s="238">
        <f>Diagrama!O233</f>
        <v>0</v>
      </c>
      <c r="AK68" s="238">
        <f>Diagrama!P233</f>
        <v>0</v>
      </c>
      <c r="AL68" s="238">
        <f>Diagrama!Q233</f>
        <v>0</v>
      </c>
      <c r="AM68" s="238">
        <f>Diagrama!R233</f>
        <v>0</v>
      </c>
      <c r="AN68" s="238">
        <f>Diagrama!S233</f>
        <v>0</v>
      </c>
      <c r="AO68" s="238">
        <f>Diagrama!T233</f>
        <v>0</v>
      </c>
      <c r="AP68" s="238">
        <f>Diagrama!U233</f>
        <v>0</v>
      </c>
      <c r="AQ68" s="238">
        <f>Diagrama!V233</f>
        <v>0</v>
      </c>
      <c r="AR68" s="238">
        <f>Diagrama!W233</f>
        <v>0</v>
      </c>
      <c r="AS68" s="238">
        <f>Diagrama!X233</f>
        <v>0</v>
      </c>
      <c r="AT68" s="238">
        <f>Diagrama!Y233</f>
        <v>0</v>
      </c>
      <c r="AU68" s="238">
        <f>Diagrama!Z233</f>
        <v>0</v>
      </c>
      <c r="AV68" s="238">
        <f>Diagrama!AA233</f>
        <v>0</v>
      </c>
      <c r="AW68" s="238">
        <f>Diagrama!AB233</f>
        <v>0</v>
      </c>
      <c r="AX68" s="238">
        <f>Diagrama!AC233</f>
        <v>0</v>
      </c>
      <c r="AY68" s="238">
        <f>Diagrama!AD233</f>
        <v>0</v>
      </c>
      <c r="AZ68" s="238">
        <f>Diagrama!AE233</f>
        <v>0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11</v>
      </c>
      <c r="T69" s="239">
        <v>94.463971880492096</v>
      </c>
      <c r="U69" s="237">
        <v>94.463971880492096</v>
      </c>
      <c r="V69" s="239">
        <v>94.463971880492096</v>
      </c>
      <c r="W69" s="240" t="e">
        <f>100*(W61+W76+W78)/W64</f>
        <v>#DIV/0!</v>
      </c>
      <c r="X69" s="240" t="e">
        <f t="shared" ref="X69:AZ69" si="0">100*(X61+X76+X78)/X64</f>
        <v>#DIV/0!</v>
      </c>
      <c r="Y69" s="240" t="e">
        <f t="shared" si="0"/>
        <v>#DIV/0!</v>
      </c>
      <c r="Z69" s="240" t="e">
        <f t="shared" si="0"/>
        <v>#DIV/0!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71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S76" s="225" t="s">
        <v>148</v>
      </c>
      <c r="U76" s="225">
        <v>1.5</v>
      </c>
      <c r="W76" s="242">
        <f>Diagrama!B214</f>
        <v>0</v>
      </c>
      <c r="X76" s="242">
        <f>Diagrama!C214</f>
        <v>0</v>
      </c>
      <c r="Y76" s="242">
        <f>Diagrama!D214</f>
        <v>0</v>
      </c>
      <c r="Z76" s="242">
        <f>Diagrama!E214</f>
        <v>0</v>
      </c>
      <c r="AA76" s="242">
        <f>Diagrama!F214</f>
        <v>0</v>
      </c>
      <c r="AB76" s="242">
        <f>Diagrama!G214</f>
        <v>0</v>
      </c>
      <c r="AC76" s="242">
        <f>Diagrama!H214</f>
        <v>0</v>
      </c>
      <c r="AD76" s="242">
        <f>Diagrama!I214</f>
        <v>0</v>
      </c>
      <c r="AE76" s="242">
        <f>Diagrama!J214</f>
        <v>0</v>
      </c>
      <c r="AF76" s="242">
        <f>Diagrama!K214</f>
        <v>0</v>
      </c>
      <c r="AG76" s="242">
        <f>Diagrama!L214</f>
        <v>0</v>
      </c>
      <c r="AH76" s="242">
        <f>Diagrama!M214</f>
        <v>0</v>
      </c>
      <c r="AI76" s="242">
        <f>Diagrama!N214</f>
        <v>0</v>
      </c>
      <c r="AJ76" s="242">
        <f>Diagrama!O214</f>
        <v>0</v>
      </c>
      <c r="AK76" s="242">
        <f>Diagrama!P214</f>
        <v>0</v>
      </c>
      <c r="AL76" s="242">
        <f>Diagrama!Q214</f>
        <v>0</v>
      </c>
      <c r="AM76" s="242">
        <f>Diagrama!R214</f>
        <v>0</v>
      </c>
      <c r="AN76" s="242">
        <f>Diagrama!S214</f>
        <v>0</v>
      </c>
      <c r="AO76" s="242">
        <f>Diagrama!T214</f>
        <v>0</v>
      </c>
      <c r="AP76" s="242">
        <f>Diagrama!U214</f>
        <v>0</v>
      </c>
      <c r="AQ76" s="242">
        <f>Diagrama!V214</f>
        <v>0</v>
      </c>
      <c r="AR76" s="242">
        <f>Diagrama!W214</f>
        <v>0</v>
      </c>
      <c r="AS76" s="242">
        <f>Diagrama!X214</f>
        <v>0</v>
      </c>
      <c r="AT76" s="242">
        <f>Diagrama!Y214</f>
        <v>0</v>
      </c>
      <c r="AU76" s="242">
        <f>Diagrama!Z214</f>
        <v>0</v>
      </c>
      <c r="AV76" s="242">
        <f>Diagrama!AA214</f>
        <v>0</v>
      </c>
      <c r="AW76" s="242">
        <f>Diagrama!AB214</f>
        <v>0</v>
      </c>
      <c r="AX76" s="242">
        <f>Diagrama!AC214</f>
        <v>0</v>
      </c>
      <c r="AY76" s="242">
        <f>Diagrama!AD214</f>
        <v>0</v>
      </c>
      <c r="AZ76" s="24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S77" s="225" t="s">
        <v>149</v>
      </c>
      <c r="U77" s="225">
        <v>0.3</v>
      </c>
      <c r="W77" s="242">
        <f>Diagrama!B215</f>
        <v>0</v>
      </c>
      <c r="X77" s="242">
        <f>Diagrama!C215</f>
        <v>0</v>
      </c>
      <c r="Y77" s="242">
        <f>Diagrama!D215</f>
        <v>0</v>
      </c>
      <c r="Z77" s="242">
        <f>Diagrama!E215</f>
        <v>0</v>
      </c>
      <c r="AA77" s="242">
        <f>Diagrama!F215</f>
        <v>0</v>
      </c>
      <c r="AB77" s="242">
        <f>Diagrama!G215</f>
        <v>0</v>
      </c>
      <c r="AC77" s="242">
        <f>Diagrama!H215</f>
        <v>0</v>
      </c>
      <c r="AD77" s="242">
        <f>Diagrama!I215</f>
        <v>0</v>
      </c>
      <c r="AE77" s="242">
        <f>Diagrama!J215</f>
        <v>0</v>
      </c>
      <c r="AF77" s="242">
        <f>Diagrama!K215</f>
        <v>0</v>
      </c>
      <c r="AG77" s="242">
        <f>Diagrama!L215</f>
        <v>0</v>
      </c>
      <c r="AH77" s="242">
        <f>Diagrama!M215</f>
        <v>0</v>
      </c>
      <c r="AI77" s="242">
        <f>Diagrama!N215</f>
        <v>0</v>
      </c>
      <c r="AJ77" s="242">
        <f>Diagrama!O215</f>
        <v>0</v>
      </c>
      <c r="AK77" s="242">
        <f>Diagrama!P215</f>
        <v>0</v>
      </c>
      <c r="AL77" s="242">
        <f>Diagrama!Q215</f>
        <v>0</v>
      </c>
      <c r="AM77" s="242">
        <f>Diagrama!R215</f>
        <v>0</v>
      </c>
      <c r="AN77" s="242">
        <f>Diagrama!S215</f>
        <v>0</v>
      </c>
      <c r="AO77" s="242">
        <f>Diagrama!T215</f>
        <v>0</v>
      </c>
      <c r="AP77" s="242">
        <f>Diagrama!U215</f>
        <v>0</v>
      </c>
      <c r="AQ77" s="242">
        <f>Diagrama!V215</f>
        <v>0</v>
      </c>
      <c r="AR77" s="242">
        <f>Diagrama!W215</f>
        <v>0</v>
      </c>
      <c r="AS77" s="242">
        <f>Diagrama!X215</f>
        <v>0</v>
      </c>
      <c r="AT77" s="242">
        <f>Diagrama!Y215</f>
        <v>0</v>
      </c>
      <c r="AU77" s="242">
        <f>Diagrama!Z215</f>
        <v>0</v>
      </c>
      <c r="AV77" s="242">
        <f>Diagrama!AA215</f>
        <v>0</v>
      </c>
      <c r="AW77" s="242">
        <f>Diagrama!AB215</f>
        <v>0</v>
      </c>
      <c r="AX77" s="242">
        <f>Diagrama!AC215</f>
        <v>0</v>
      </c>
      <c r="AY77" s="242">
        <f>Diagrama!AD215</f>
        <v>0</v>
      </c>
      <c r="AZ77" s="24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S78" s="225" t="s">
        <v>150</v>
      </c>
      <c r="U78" s="225">
        <v>85</v>
      </c>
      <c r="W78" s="242">
        <f>Diagrama!B216</f>
        <v>0</v>
      </c>
      <c r="X78" s="242">
        <f>Diagrama!C216</f>
        <v>0</v>
      </c>
      <c r="Y78" s="242">
        <f>Diagrama!D216</f>
        <v>0</v>
      </c>
      <c r="Z78" s="242">
        <f>Diagrama!E216</f>
        <v>0</v>
      </c>
      <c r="AA78" s="242">
        <f>Diagrama!F216</f>
        <v>0</v>
      </c>
      <c r="AB78" s="242">
        <f>Diagrama!G216</f>
        <v>0</v>
      </c>
      <c r="AC78" s="242">
        <f>Diagrama!H216</f>
        <v>0</v>
      </c>
      <c r="AD78" s="242">
        <f>Diagrama!I216</f>
        <v>0</v>
      </c>
      <c r="AE78" s="242">
        <f>Diagrama!J216</f>
        <v>0</v>
      </c>
      <c r="AF78" s="242">
        <f>Diagrama!K216</f>
        <v>0</v>
      </c>
      <c r="AG78" s="242">
        <f>Diagrama!L216</f>
        <v>0</v>
      </c>
      <c r="AH78" s="242">
        <f>Diagrama!M216</f>
        <v>0</v>
      </c>
      <c r="AI78" s="242">
        <f>Diagrama!N216</f>
        <v>0</v>
      </c>
      <c r="AJ78" s="242">
        <f>Diagrama!O216</f>
        <v>0</v>
      </c>
      <c r="AK78" s="242">
        <f>Diagrama!P216</f>
        <v>0</v>
      </c>
      <c r="AL78" s="242">
        <f>Diagrama!Q216</f>
        <v>0</v>
      </c>
      <c r="AM78" s="242">
        <f>Diagrama!R216</f>
        <v>0</v>
      </c>
      <c r="AN78" s="242">
        <f>Diagrama!S216</f>
        <v>0</v>
      </c>
      <c r="AO78" s="242">
        <f>Diagrama!T216</f>
        <v>0</v>
      </c>
      <c r="AP78" s="242">
        <f>Diagrama!U216</f>
        <v>0</v>
      </c>
      <c r="AQ78" s="242">
        <f>Diagrama!V216</f>
        <v>0</v>
      </c>
      <c r="AR78" s="242">
        <f>Diagrama!W216</f>
        <v>0</v>
      </c>
      <c r="AS78" s="242">
        <f>Diagrama!X216</f>
        <v>0</v>
      </c>
      <c r="AT78" s="242">
        <f>Diagrama!Y216</f>
        <v>0</v>
      </c>
      <c r="AU78" s="242">
        <f>Diagrama!Z216</f>
        <v>0</v>
      </c>
      <c r="AV78" s="242">
        <f>Diagrama!AA216</f>
        <v>0</v>
      </c>
      <c r="AW78" s="242">
        <f>Diagrama!AB216</f>
        <v>0</v>
      </c>
      <c r="AX78" s="242">
        <f>Diagrama!AC216</f>
        <v>0</v>
      </c>
      <c r="AY78" s="242">
        <f>Diagrama!AD216</f>
        <v>0</v>
      </c>
      <c r="AZ78" s="24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S79" s="225" t="s">
        <v>151</v>
      </c>
      <c r="U79" s="225">
        <v>3</v>
      </c>
      <c r="W79" s="242">
        <f>Diagrama!B217</f>
        <v>0</v>
      </c>
      <c r="X79" s="242">
        <f>Diagrama!C217</f>
        <v>0</v>
      </c>
      <c r="Y79" s="242">
        <f>Diagrama!D217</f>
        <v>0</v>
      </c>
      <c r="Z79" s="242">
        <f>Diagrama!E217</f>
        <v>0</v>
      </c>
      <c r="AA79" s="242">
        <f>Diagrama!F217</f>
        <v>0</v>
      </c>
      <c r="AB79" s="242">
        <f>Diagrama!G217</f>
        <v>0</v>
      </c>
      <c r="AC79" s="242">
        <f>Diagrama!H217</f>
        <v>0</v>
      </c>
      <c r="AD79" s="242">
        <f>Diagrama!I217</f>
        <v>0</v>
      </c>
      <c r="AE79" s="242">
        <f>Diagrama!J217</f>
        <v>0</v>
      </c>
      <c r="AF79" s="242">
        <f>Diagrama!K217</f>
        <v>0</v>
      </c>
      <c r="AG79" s="242">
        <f>Diagrama!L217</f>
        <v>0</v>
      </c>
      <c r="AH79" s="242">
        <f>Diagrama!M217</f>
        <v>0</v>
      </c>
      <c r="AI79" s="242">
        <f>Diagrama!N217</f>
        <v>0</v>
      </c>
      <c r="AJ79" s="242">
        <f>Diagrama!O217</f>
        <v>0</v>
      </c>
      <c r="AK79" s="242">
        <f>Diagrama!P217</f>
        <v>0</v>
      </c>
      <c r="AL79" s="242">
        <f>Diagrama!Q217</f>
        <v>0</v>
      </c>
      <c r="AM79" s="242">
        <f>Diagrama!R217</f>
        <v>0</v>
      </c>
      <c r="AN79" s="242">
        <f>Diagrama!S217</f>
        <v>0</v>
      </c>
      <c r="AO79" s="242">
        <f>Diagrama!T217</f>
        <v>0</v>
      </c>
      <c r="AP79" s="242">
        <f>Diagrama!U217</f>
        <v>0</v>
      </c>
      <c r="AQ79" s="242">
        <f>Diagrama!V217</f>
        <v>0</v>
      </c>
      <c r="AR79" s="242">
        <f>Diagrama!W217</f>
        <v>0</v>
      </c>
      <c r="AS79" s="242">
        <f>Diagrama!X217</f>
        <v>0</v>
      </c>
      <c r="AT79" s="242">
        <f>Diagrama!Y217</f>
        <v>0</v>
      </c>
      <c r="AU79" s="242">
        <f>Diagrama!Z217</f>
        <v>0</v>
      </c>
      <c r="AV79" s="242">
        <f>Diagrama!AA217</f>
        <v>0</v>
      </c>
      <c r="AW79" s="242">
        <f>Diagrama!AB217</f>
        <v>0</v>
      </c>
      <c r="AX79" s="242">
        <f>Diagrama!AC217</f>
        <v>0</v>
      </c>
      <c r="AY79" s="242">
        <f>Diagrama!AD217</f>
        <v>0</v>
      </c>
      <c r="AZ79" s="24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ColWidth="9" defaultRowHeight="12" x14ac:dyDescent="0.2"/>
  <cols>
    <col min="1" max="1" width="4.5" style="206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8" customWidth="1"/>
    <col min="8" max="8" width="17.375" style="209" customWidth="1"/>
    <col min="9" max="9" width="9.375" style="196" customWidth="1"/>
    <col min="10" max="10" width="13.75" style="209" customWidth="1"/>
    <col min="11" max="11" width="9" style="196"/>
    <col min="12" max="12" width="13.375" style="211" customWidth="1"/>
    <col min="13" max="16384" width="9" style="196"/>
  </cols>
  <sheetData>
    <row r="1" spans="1:12" ht="24" x14ac:dyDescent="0.2">
      <c r="A1" s="199" t="s">
        <v>9</v>
      </c>
      <c r="B1" s="200" t="s">
        <v>109</v>
      </c>
      <c r="C1" s="200"/>
      <c r="D1" s="200"/>
      <c r="E1" s="200" t="s">
        <v>110</v>
      </c>
      <c r="F1" s="200"/>
      <c r="G1" s="201" t="s">
        <v>111</v>
      </c>
      <c r="H1" s="202" t="s">
        <v>159</v>
      </c>
      <c r="I1" s="200"/>
      <c r="J1" s="203" t="s">
        <v>160</v>
      </c>
      <c r="K1" s="204"/>
      <c r="L1" s="205" t="s">
        <v>147</v>
      </c>
    </row>
    <row r="2" spans="1:12" x14ac:dyDescent="0.2">
      <c r="B2" s="207"/>
      <c r="I2" s="210"/>
      <c r="K2" s="210"/>
    </row>
    <row r="3" spans="1:12" x14ac:dyDescent="0.2">
      <c r="B3" s="207"/>
      <c r="I3" s="210"/>
      <c r="K3" s="210"/>
    </row>
    <row r="4" spans="1:12" x14ac:dyDescent="0.2">
      <c r="B4" s="207"/>
      <c r="I4" s="210"/>
      <c r="K4" s="210"/>
    </row>
    <row r="5" spans="1:12" x14ac:dyDescent="0.2">
      <c r="I5" s="210"/>
      <c r="K5" s="210"/>
    </row>
    <row r="7" spans="1:12" x14ac:dyDescent="0.2">
      <c r="B7" s="207"/>
    </row>
    <row r="8" spans="1:12" x14ac:dyDescent="0.2">
      <c r="B8" s="207"/>
    </row>
    <row r="9" spans="1:12" x14ac:dyDescent="0.2">
      <c r="B9" s="207"/>
    </row>
    <row r="12" spans="1:12" x14ac:dyDescent="0.2">
      <c r="B12" s="207"/>
      <c r="I12" s="210"/>
      <c r="K12" s="210"/>
    </row>
    <row r="13" spans="1:12" x14ac:dyDescent="0.2">
      <c r="B13" s="207"/>
      <c r="I13" s="210"/>
      <c r="K13" s="210"/>
    </row>
    <row r="14" spans="1:12" x14ac:dyDescent="0.2">
      <c r="B14" s="207"/>
      <c r="I14" s="210"/>
      <c r="K14" s="210"/>
    </row>
    <row r="15" spans="1:12" x14ac:dyDescent="0.2">
      <c r="I15" s="210"/>
      <c r="K15" s="210"/>
    </row>
    <row r="17" spans="2:11" x14ac:dyDescent="0.2">
      <c r="B17" s="207"/>
    </row>
    <row r="18" spans="2:11" x14ac:dyDescent="0.2">
      <c r="B18" s="207"/>
    </row>
    <row r="19" spans="2:11" x14ac:dyDescent="0.2">
      <c r="B19" s="207"/>
    </row>
    <row r="22" spans="2:11" x14ac:dyDescent="0.2">
      <c r="B22" s="207"/>
      <c r="I22" s="210"/>
      <c r="K22" s="210"/>
    </row>
    <row r="23" spans="2:11" x14ac:dyDescent="0.2">
      <c r="B23" s="207"/>
      <c r="I23" s="210"/>
      <c r="K23" s="210"/>
    </row>
    <row r="24" spans="2:11" x14ac:dyDescent="0.2">
      <c r="B24" s="207"/>
      <c r="I24" s="210"/>
      <c r="K24" s="210"/>
    </row>
    <row r="25" spans="2:11" x14ac:dyDescent="0.2">
      <c r="I25" s="210"/>
      <c r="K25" s="210"/>
    </row>
    <row r="27" spans="2:11" x14ac:dyDescent="0.2">
      <c r="B27" s="207"/>
    </row>
    <row r="28" spans="2:11" x14ac:dyDescent="0.2">
      <c r="B28" s="207"/>
    </row>
    <row r="29" spans="2:11" x14ac:dyDescent="0.2">
      <c r="B29" s="207"/>
    </row>
    <row r="32" spans="2:11" x14ac:dyDescent="0.2">
      <c r="B32" s="207"/>
      <c r="I32" s="210"/>
      <c r="K32" s="210"/>
    </row>
    <row r="33" spans="2:11" x14ac:dyDescent="0.2">
      <c r="B33" s="207"/>
      <c r="I33" s="210"/>
      <c r="K33" s="210"/>
    </row>
    <row r="34" spans="2:11" x14ac:dyDescent="0.2">
      <c r="B34" s="207"/>
      <c r="I34" s="210"/>
      <c r="K34" s="210"/>
    </row>
    <row r="35" spans="2:11" x14ac:dyDescent="0.2">
      <c r="I35" s="210"/>
      <c r="K35" s="210"/>
    </row>
    <row r="37" spans="2:11" x14ac:dyDescent="0.2">
      <c r="B37" s="207"/>
    </row>
    <row r="38" spans="2:11" x14ac:dyDescent="0.2">
      <c r="B38" s="207"/>
    </row>
    <row r="39" spans="2:11" x14ac:dyDescent="0.2">
      <c r="B39" s="207"/>
    </row>
    <row r="42" spans="2:11" x14ac:dyDescent="0.2">
      <c r="B42" s="207"/>
      <c r="I42" s="210"/>
      <c r="K42" s="210"/>
    </row>
    <row r="43" spans="2:11" x14ac:dyDescent="0.2">
      <c r="B43" s="207"/>
      <c r="I43" s="210"/>
      <c r="K43" s="210"/>
    </row>
    <row r="44" spans="2:11" x14ac:dyDescent="0.2">
      <c r="B44" s="207"/>
      <c r="I44" s="210"/>
      <c r="K44" s="210"/>
    </row>
    <row r="45" spans="2:11" x14ac:dyDescent="0.2">
      <c r="I45" s="210"/>
      <c r="K45" s="210"/>
    </row>
    <row r="47" spans="2:11" x14ac:dyDescent="0.2">
      <c r="B47" s="207"/>
    </row>
    <row r="48" spans="2:11" x14ac:dyDescent="0.2">
      <c r="B48" s="207"/>
    </row>
    <row r="49" spans="2:11" x14ac:dyDescent="0.2">
      <c r="B49" s="207"/>
    </row>
    <row r="52" spans="2:11" x14ac:dyDescent="0.2">
      <c r="B52" s="207"/>
      <c r="I52" s="210"/>
      <c r="K52" s="210"/>
    </row>
    <row r="53" spans="2:11" x14ac:dyDescent="0.2">
      <c r="B53" s="207"/>
      <c r="I53" s="210"/>
      <c r="K53" s="210"/>
    </row>
    <row r="54" spans="2:11" x14ac:dyDescent="0.2">
      <c r="B54" s="207"/>
      <c r="I54" s="210"/>
      <c r="K54" s="210"/>
    </row>
    <row r="55" spans="2:11" x14ac:dyDescent="0.2">
      <c r="I55" s="210"/>
      <c r="K55" s="210"/>
    </row>
    <row r="57" spans="2:11" x14ac:dyDescent="0.2">
      <c r="B57" s="207"/>
    </row>
    <row r="58" spans="2:11" x14ac:dyDescent="0.2">
      <c r="B58" s="207"/>
    </row>
    <row r="59" spans="2:11" x14ac:dyDescent="0.2">
      <c r="B59" s="207"/>
    </row>
    <row r="62" spans="2:11" x14ac:dyDescent="0.2">
      <c r="B62" s="207"/>
      <c r="I62" s="210"/>
      <c r="K62" s="210"/>
    </row>
    <row r="63" spans="2:11" x14ac:dyDescent="0.2">
      <c r="B63" s="207"/>
      <c r="I63" s="210"/>
      <c r="K63" s="210"/>
    </row>
    <row r="64" spans="2:11" x14ac:dyDescent="0.2">
      <c r="B64" s="207"/>
      <c r="I64" s="210"/>
      <c r="K64" s="210"/>
    </row>
    <row r="65" spans="2:11" x14ac:dyDescent="0.2">
      <c r="I65" s="210"/>
      <c r="K65" s="210"/>
    </row>
    <row r="67" spans="2:11" x14ac:dyDescent="0.2">
      <c r="B67" s="207"/>
    </row>
    <row r="68" spans="2:11" x14ac:dyDescent="0.2">
      <c r="B68" s="207"/>
    </row>
    <row r="69" spans="2:11" x14ac:dyDescent="0.2">
      <c r="B69" s="207"/>
    </row>
    <row r="72" spans="2:11" x14ac:dyDescent="0.2">
      <c r="B72" s="207"/>
      <c r="I72" s="210"/>
      <c r="K72" s="210"/>
    </row>
    <row r="73" spans="2:11" x14ac:dyDescent="0.2">
      <c r="B73" s="207"/>
      <c r="I73" s="210"/>
      <c r="K73" s="210"/>
    </row>
    <row r="74" spans="2:11" x14ac:dyDescent="0.2">
      <c r="B74" s="207"/>
      <c r="I74" s="210"/>
      <c r="K74" s="210"/>
    </row>
    <row r="75" spans="2:11" x14ac:dyDescent="0.2">
      <c r="I75" s="210"/>
      <c r="K75" s="210"/>
    </row>
    <row r="77" spans="2:11" ht="16.5" customHeight="1" x14ac:dyDescent="0.2">
      <c r="B77" s="207"/>
    </row>
    <row r="78" spans="2:11" x14ac:dyDescent="0.2">
      <c r="B78" s="207"/>
    </row>
    <row r="79" spans="2:11" x14ac:dyDescent="0.2">
      <c r="B79" s="207"/>
    </row>
    <row r="82" spans="2:11" x14ac:dyDescent="0.2">
      <c r="B82" s="207"/>
      <c r="I82" s="210"/>
      <c r="K82" s="210"/>
    </row>
    <row r="83" spans="2:11" x14ac:dyDescent="0.2">
      <c r="B83" s="207"/>
      <c r="I83" s="210"/>
      <c r="K83" s="210"/>
    </row>
    <row r="84" spans="2:11" x14ac:dyDescent="0.2">
      <c r="B84" s="207"/>
      <c r="I84" s="210"/>
      <c r="K84" s="210"/>
    </row>
    <row r="85" spans="2:11" x14ac:dyDescent="0.2">
      <c r="I85" s="210"/>
      <c r="K85" s="210"/>
    </row>
    <row r="87" spans="2:11" x14ac:dyDescent="0.2">
      <c r="B87" s="207"/>
    </row>
    <row r="88" spans="2:11" x14ac:dyDescent="0.2">
      <c r="B88" s="207"/>
    </row>
    <row r="89" spans="2:11" x14ac:dyDescent="0.2">
      <c r="B89" s="207"/>
    </row>
    <row r="92" spans="2:11" x14ac:dyDescent="0.2">
      <c r="B92" s="207"/>
      <c r="I92" s="210"/>
      <c r="K92" s="210"/>
    </row>
    <row r="93" spans="2:11" x14ac:dyDescent="0.2">
      <c r="B93" s="207"/>
      <c r="I93" s="210"/>
      <c r="K93" s="210"/>
    </row>
    <row r="94" spans="2:11" x14ac:dyDescent="0.2">
      <c r="B94" s="207"/>
      <c r="I94" s="210"/>
      <c r="K94" s="210"/>
    </row>
    <row r="95" spans="2:11" x14ac:dyDescent="0.2">
      <c r="I95" s="210"/>
      <c r="K95" s="210"/>
    </row>
    <row r="97" spans="2:11" x14ac:dyDescent="0.2">
      <c r="B97" s="207"/>
    </row>
    <row r="98" spans="2:11" x14ac:dyDescent="0.2">
      <c r="B98" s="207"/>
    </row>
    <row r="99" spans="2:11" x14ac:dyDescent="0.2">
      <c r="B99" s="207"/>
    </row>
    <row r="102" spans="2:11" x14ac:dyDescent="0.2">
      <c r="B102" s="207"/>
      <c r="I102" s="210"/>
      <c r="K102" s="210"/>
    </row>
    <row r="103" spans="2:11" x14ac:dyDescent="0.2">
      <c r="B103" s="207"/>
      <c r="I103" s="210"/>
      <c r="K103" s="210"/>
    </row>
    <row r="104" spans="2:11" x14ac:dyDescent="0.2">
      <c r="B104" s="207"/>
      <c r="I104" s="210"/>
      <c r="K104" s="210"/>
    </row>
    <row r="105" spans="2:11" x14ac:dyDescent="0.2">
      <c r="I105" s="210"/>
      <c r="K105" s="210"/>
    </row>
    <row r="107" spans="2:11" x14ac:dyDescent="0.2">
      <c r="B107" s="207"/>
    </row>
    <row r="108" spans="2:11" x14ac:dyDescent="0.2">
      <c r="B108" s="207"/>
    </row>
    <row r="109" spans="2:11" x14ac:dyDescent="0.2">
      <c r="B109" s="207"/>
    </row>
    <row r="112" spans="2:11" x14ac:dyDescent="0.2">
      <c r="B112" s="207"/>
      <c r="I112" s="210"/>
      <c r="K112" s="210"/>
    </row>
    <row r="113" spans="2:11" x14ac:dyDescent="0.2">
      <c r="B113" s="207"/>
      <c r="I113" s="210"/>
      <c r="K113" s="210"/>
    </row>
    <row r="114" spans="2:11" x14ac:dyDescent="0.2">
      <c r="B114" s="207"/>
      <c r="I114" s="210"/>
      <c r="K114" s="210"/>
    </row>
    <row r="115" spans="2:11" x14ac:dyDescent="0.2">
      <c r="I115" s="210"/>
      <c r="K115" s="210"/>
    </row>
    <row r="117" spans="2:11" x14ac:dyDescent="0.2">
      <c r="B117" s="207"/>
    </row>
    <row r="118" spans="2:11" x14ac:dyDescent="0.2">
      <c r="B118" s="207"/>
    </row>
    <row r="119" spans="2:11" x14ac:dyDescent="0.2">
      <c r="B119" s="207"/>
    </row>
    <row r="122" spans="2:11" x14ac:dyDescent="0.2">
      <c r="B122" s="207"/>
      <c r="I122" s="210"/>
      <c r="K122" s="210"/>
    </row>
    <row r="123" spans="2:11" x14ac:dyDescent="0.2">
      <c r="B123" s="207"/>
      <c r="I123" s="210"/>
      <c r="K123" s="210"/>
    </row>
    <row r="124" spans="2:11" x14ac:dyDescent="0.2">
      <c r="B124" s="207"/>
      <c r="I124" s="210"/>
      <c r="K124" s="210"/>
    </row>
    <row r="125" spans="2:11" x14ac:dyDescent="0.2">
      <c r="I125" s="210"/>
      <c r="K125" s="210"/>
    </row>
    <row r="127" spans="2:11" x14ac:dyDescent="0.2">
      <c r="B127" s="207"/>
    </row>
    <row r="128" spans="2:11" x14ac:dyDescent="0.2">
      <c r="B128" s="207"/>
    </row>
    <row r="129" spans="2:11" x14ac:dyDescent="0.2">
      <c r="B129" s="207"/>
    </row>
    <row r="132" spans="2:11" x14ac:dyDescent="0.2">
      <c r="B132" s="207"/>
      <c r="I132" s="210"/>
      <c r="K132" s="210"/>
    </row>
    <row r="133" spans="2:11" x14ac:dyDescent="0.2">
      <c r="B133" s="207"/>
      <c r="I133" s="210"/>
      <c r="K133" s="210"/>
    </row>
    <row r="134" spans="2:11" x14ac:dyDescent="0.2">
      <c r="B134" s="207"/>
      <c r="I134" s="210"/>
      <c r="K134" s="210"/>
    </row>
    <row r="135" spans="2:11" x14ac:dyDescent="0.2">
      <c r="I135" s="210"/>
      <c r="K135" s="210"/>
    </row>
    <row r="137" spans="2:11" x14ac:dyDescent="0.2">
      <c r="B137" s="207"/>
    </row>
    <row r="138" spans="2:11" x14ac:dyDescent="0.2">
      <c r="B138" s="207"/>
    </row>
    <row r="139" spans="2:11" x14ac:dyDescent="0.2">
      <c r="B139" s="207"/>
    </row>
    <row r="142" spans="2:11" x14ac:dyDescent="0.2">
      <c r="B142" s="207"/>
      <c r="I142" s="210"/>
      <c r="K142" s="210"/>
    </row>
    <row r="143" spans="2:11" x14ac:dyDescent="0.2">
      <c r="B143" s="207"/>
      <c r="I143" s="210"/>
      <c r="K143" s="210"/>
    </row>
    <row r="144" spans="2:11" x14ac:dyDescent="0.2">
      <c r="B144" s="207"/>
      <c r="I144" s="210"/>
      <c r="K144" s="210"/>
    </row>
    <row r="145" spans="2:11" x14ac:dyDescent="0.2">
      <c r="I145" s="210"/>
      <c r="K145" s="210"/>
    </row>
    <row r="147" spans="2:11" x14ac:dyDescent="0.2">
      <c r="B147" s="207"/>
    </row>
    <row r="148" spans="2:11" x14ac:dyDescent="0.2">
      <c r="B148" s="207"/>
    </row>
    <row r="149" spans="2:11" x14ac:dyDescent="0.2">
      <c r="B149" s="207"/>
    </row>
    <row r="152" spans="2:11" x14ac:dyDescent="0.2">
      <c r="B152" s="207"/>
      <c r="I152" s="210"/>
      <c r="K152" s="210"/>
    </row>
    <row r="153" spans="2:11" x14ac:dyDescent="0.2">
      <c r="B153" s="207"/>
      <c r="I153" s="210"/>
      <c r="K153" s="210"/>
    </row>
    <row r="154" spans="2:11" x14ac:dyDescent="0.2">
      <c r="B154" s="207"/>
      <c r="I154" s="210"/>
      <c r="K154" s="210"/>
    </row>
    <row r="155" spans="2:11" x14ac:dyDescent="0.2">
      <c r="I155" s="210"/>
      <c r="K155" s="210"/>
    </row>
    <row r="157" spans="2:11" x14ac:dyDescent="0.2">
      <c r="B157" s="207"/>
    </row>
    <row r="158" spans="2:11" x14ac:dyDescent="0.2">
      <c r="B158" s="207"/>
    </row>
    <row r="159" spans="2:11" x14ac:dyDescent="0.2">
      <c r="B159" s="207"/>
    </row>
    <row r="162" spans="2:11" x14ac:dyDescent="0.2">
      <c r="B162" s="207"/>
      <c r="I162" s="210"/>
      <c r="K162" s="210"/>
    </row>
    <row r="163" spans="2:11" x14ac:dyDescent="0.2">
      <c r="B163" s="207"/>
      <c r="I163" s="210"/>
      <c r="K163" s="210"/>
    </row>
    <row r="164" spans="2:11" x14ac:dyDescent="0.2">
      <c r="B164" s="207"/>
      <c r="I164" s="210"/>
      <c r="K164" s="210"/>
    </row>
    <row r="165" spans="2:11" x14ac:dyDescent="0.2">
      <c r="I165" s="210"/>
      <c r="K165" s="210"/>
    </row>
    <row r="167" spans="2:11" x14ac:dyDescent="0.2">
      <c r="B167" s="207"/>
    </row>
    <row r="168" spans="2:11" x14ac:dyDescent="0.2">
      <c r="B168" s="207"/>
    </row>
    <row r="169" spans="2:11" x14ac:dyDescent="0.2">
      <c r="B169" s="207"/>
    </row>
    <row r="172" spans="2:11" x14ac:dyDescent="0.2">
      <c r="B172" s="207"/>
      <c r="I172" s="210"/>
      <c r="K172" s="210"/>
    </row>
    <row r="173" spans="2:11" x14ac:dyDescent="0.2">
      <c r="B173" s="207"/>
      <c r="I173" s="210"/>
      <c r="K173" s="210"/>
    </row>
    <row r="174" spans="2:11" x14ac:dyDescent="0.2">
      <c r="B174" s="207"/>
      <c r="I174" s="210"/>
      <c r="K174" s="210"/>
    </row>
    <row r="175" spans="2:11" x14ac:dyDescent="0.2">
      <c r="I175" s="210"/>
      <c r="K175" s="210"/>
    </row>
    <row r="177" spans="2:11" x14ac:dyDescent="0.2">
      <c r="B177" s="207"/>
    </row>
    <row r="178" spans="2:11" x14ac:dyDescent="0.2">
      <c r="B178" s="207"/>
    </row>
    <row r="179" spans="2:11" x14ac:dyDescent="0.2">
      <c r="B179" s="207"/>
    </row>
    <row r="182" spans="2:11" x14ac:dyDescent="0.2">
      <c r="B182" s="207"/>
      <c r="I182" s="210"/>
      <c r="K182" s="210"/>
    </row>
    <row r="183" spans="2:11" x14ac:dyDescent="0.2">
      <c r="B183" s="207"/>
      <c r="I183" s="210"/>
      <c r="K183" s="210"/>
    </row>
    <row r="184" spans="2:11" x14ac:dyDescent="0.2">
      <c r="B184" s="207"/>
      <c r="I184" s="210"/>
      <c r="K184" s="210"/>
    </row>
    <row r="185" spans="2:11" x14ac:dyDescent="0.2">
      <c r="I185" s="210"/>
      <c r="K185" s="210"/>
    </row>
    <row r="187" spans="2:11" x14ac:dyDescent="0.2">
      <c r="B187" s="207"/>
    </row>
    <row r="188" spans="2:11" x14ac:dyDescent="0.2">
      <c r="B188" s="207"/>
    </row>
    <row r="189" spans="2:11" x14ac:dyDescent="0.2">
      <c r="B189" s="207"/>
    </row>
    <row r="192" spans="2:11" x14ac:dyDescent="0.2">
      <c r="B192" s="207"/>
      <c r="I192" s="210"/>
      <c r="K192" s="210"/>
    </row>
    <row r="193" spans="2:11" x14ac:dyDescent="0.2">
      <c r="B193" s="207"/>
      <c r="I193" s="210"/>
      <c r="K193" s="210"/>
    </row>
    <row r="194" spans="2:11" x14ac:dyDescent="0.2">
      <c r="B194" s="207"/>
      <c r="I194" s="210"/>
      <c r="K194" s="210"/>
    </row>
    <row r="195" spans="2:11" x14ac:dyDescent="0.2">
      <c r="I195" s="210"/>
      <c r="K195" s="210"/>
    </row>
    <row r="197" spans="2:11" x14ac:dyDescent="0.2">
      <c r="B197" s="207"/>
    </row>
    <row r="198" spans="2:11" x14ac:dyDescent="0.2">
      <c r="B198" s="207"/>
    </row>
    <row r="199" spans="2:11" x14ac:dyDescent="0.2">
      <c r="B199" s="207"/>
    </row>
    <row r="202" spans="2:11" x14ac:dyDescent="0.2">
      <c r="B202" s="207"/>
      <c r="I202" s="210"/>
      <c r="K202" s="210"/>
    </row>
    <row r="203" spans="2:11" x14ac:dyDescent="0.2">
      <c r="B203" s="207"/>
      <c r="I203" s="210"/>
      <c r="K203" s="210"/>
    </row>
    <row r="204" spans="2:11" x14ac:dyDescent="0.2">
      <c r="B204" s="207"/>
      <c r="I204" s="210"/>
      <c r="K204" s="210"/>
    </row>
    <row r="205" spans="2:11" x14ac:dyDescent="0.2">
      <c r="I205" s="210"/>
      <c r="K205" s="210"/>
    </row>
    <row r="207" spans="2:11" x14ac:dyDescent="0.2">
      <c r="B207" s="207"/>
    </row>
    <row r="208" spans="2:11" x14ac:dyDescent="0.2">
      <c r="B208" s="207"/>
    </row>
    <row r="209" spans="2:11" x14ac:dyDescent="0.2">
      <c r="B209" s="207"/>
    </row>
    <row r="212" spans="2:11" x14ac:dyDescent="0.2">
      <c r="B212" s="207"/>
      <c r="I212" s="210"/>
      <c r="K212" s="210"/>
    </row>
    <row r="213" spans="2:11" x14ac:dyDescent="0.2">
      <c r="B213" s="207"/>
      <c r="I213" s="210"/>
      <c r="K213" s="210"/>
    </row>
    <row r="214" spans="2:11" x14ac:dyDescent="0.2">
      <c r="B214" s="207"/>
      <c r="I214" s="210"/>
      <c r="K214" s="210"/>
    </row>
    <row r="215" spans="2:11" x14ac:dyDescent="0.2">
      <c r="I215" s="210"/>
      <c r="K215" s="210"/>
    </row>
    <row r="217" spans="2:11" x14ac:dyDescent="0.2">
      <c r="B217" s="207"/>
    </row>
    <row r="218" spans="2:11" x14ac:dyDescent="0.2">
      <c r="B218" s="207"/>
    </row>
    <row r="219" spans="2:11" x14ac:dyDescent="0.2">
      <c r="B219" s="207"/>
    </row>
    <row r="222" spans="2:11" x14ac:dyDescent="0.2">
      <c r="B222" s="207"/>
      <c r="I222" s="210"/>
      <c r="K222" s="210"/>
    </row>
    <row r="223" spans="2:11" x14ac:dyDescent="0.2">
      <c r="B223" s="207"/>
      <c r="I223" s="210"/>
      <c r="K223" s="210"/>
    </row>
    <row r="224" spans="2:11" x14ac:dyDescent="0.2">
      <c r="B224" s="207"/>
      <c r="I224" s="210"/>
      <c r="K224" s="210"/>
    </row>
    <row r="225" spans="2:11" x14ac:dyDescent="0.2">
      <c r="I225" s="210"/>
      <c r="K225" s="210"/>
    </row>
    <row r="227" spans="2:11" x14ac:dyDescent="0.2">
      <c r="B227" s="207"/>
    </row>
    <row r="228" spans="2:11" x14ac:dyDescent="0.2">
      <c r="B228" s="207"/>
    </row>
    <row r="229" spans="2:11" x14ac:dyDescent="0.2">
      <c r="B229" s="207"/>
    </row>
    <row r="232" spans="2:11" x14ac:dyDescent="0.2">
      <c r="B232" s="207"/>
      <c r="I232" s="210"/>
      <c r="K232" s="210"/>
    </row>
    <row r="233" spans="2:11" x14ac:dyDescent="0.2">
      <c r="B233" s="207"/>
      <c r="I233" s="210"/>
      <c r="K233" s="210"/>
    </row>
    <row r="234" spans="2:11" x14ac:dyDescent="0.2">
      <c r="B234" s="207"/>
      <c r="I234" s="210"/>
      <c r="K234" s="210"/>
    </row>
    <row r="235" spans="2:11" x14ac:dyDescent="0.2">
      <c r="I235" s="210"/>
      <c r="K235" s="210"/>
    </row>
    <row r="237" spans="2:11" x14ac:dyDescent="0.2">
      <c r="B237" s="207"/>
    </row>
    <row r="238" spans="2:11" x14ac:dyDescent="0.2">
      <c r="B238" s="207"/>
    </row>
    <row r="239" spans="2:11" x14ac:dyDescent="0.2">
      <c r="B239" s="207"/>
    </row>
    <row r="242" spans="2:11" x14ac:dyDescent="0.2">
      <c r="B242" s="207"/>
      <c r="I242" s="210"/>
      <c r="K242" s="210"/>
    </row>
    <row r="243" spans="2:11" x14ac:dyDescent="0.2">
      <c r="B243" s="207"/>
      <c r="I243" s="210"/>
      <c r="K243" s="210"/>
    </row>
    <row r="244" spans="2:11" x14ac:dyDescent="0.2">
      <c r="B244" s="207"/>
      <c r="I244" s="210"/>
      <c r="K244" s="210"/>
    </row>
    <row r="245" spans="2:11" x14ac:dyDescent="0.2">
      <c r="I245" s="210"/>
      <c r="K245" s="210"/>
    </row>
    <row r="247" spans="2:11" x14ac:dyDescent="0.2">
      <c r="B247" s="207"/>
    </row>
    <row r="248" spans="2:11" x14ac:dyDescent="0.2">
      <c r="B248" s="207"/>
    </row>
    <row r="249" spans="2:11" x14ac:dyDescent="0.2">
      <c r="B249" s="207"/>
    </row>
    <row r="252" spans="2:11" x14ac:dyDescent="0.2">
      <c r="B252" s="207"/>
      <c r="I252" s="210"/>
      <c r="K252" s="210"/>
    </row>
    <row r="253" spans="2:11" x14ac:dyDescent="0.2">
      <c r="B253" s="207"/>
      <c r="I253" s="210"/>
      <c r="K253" s="210"/>
    </row>
    <row r="254" spans="2:11" x14ac:dyDescent="0.2">
      <c r="B254" s="207"/>
      <c r="I254" s="210"/>
      <c r="K254" s="210"/>
    </row>
    <row r="255" spans="2:11" x14ac:dyDescent="0.2">
      <c r="I255" s="210"/>
      <c r="K255" s="210"/>
    </row>
    <row r="257" spans="2:11" x14ac:dyDescent="0.2">
      <c r="B257" s="207"/>
    </row>
    <row r="258" spans="2:11" x14ac:dyDescent="0.2">
      <c r="B258" s="207"/>
    </row>
    <row r="259" spans="2:11" x14ac:dyDescent="0.2">
      <c r="B259" s="207"/>
    </row>
    <row r="262" spans="2:11" x14ac:dyDescent="0.2">
      <c r="B262" s="207"/>
      <c r="I262" s="210"/>
      <c r="K262" s="210"/>
    </row>
    <row r="263" spans="2:11" x14ac:dyDescent="0.2">
      <c r="B263" s="207"/>
      <c r="I263" s="210"/>
      <c r="K263" s="210"/>
    </row>
    <row r="264" spans="2:11" x14ac:dyDescent="0.2">
      <c r="B264" s="207"/>
      <c r="I264" s="210"/>
      <c r="K264" s="210"/>
    </row>
    <row r="265" spans="2:11" x14ac:dyDescent="0.2">
      <c r="I265" s="210"/>
      <c r="K265" s="210"/>
    </row>
    <row r="267" spans="2:11" x14ac:dyDescent="0.2">
      <c r="B267" s="207"/>
    </row>
    <row r="268" spans="2:11" x14ac:dyDescent="0.2">
      <c r="B268" s="207"/>
    </row>
    <row r="269" spans="2:11" x14ac:dyDescent="0.2">
      <c r="B269" s="207"/>
    </row>
    <row r="272" spans="2:11" x14ac:dyDescent="0.2">
      <c r="B272" s="207"/>
      <c r="I272" s="210"/>
      <c r="K272" s="210"/>
    </row>
    <row r="273" spans="2:11" x14ac:dyDescent="0.2">
      <c r="B273" s="207"/>
      <c r="I273" s="210"/>
      <c r="K273" s="210"/>
    </row>
    <row r="274" spans="2:11" x14ac:dyDescent="0.2">
      <c r="B274" s="207"/>
      <c r="I274" s="210"/>
      <c r="K274" s="210"/>
    </row>
    <row r="275" spans="2:11" x14ac:dyDescent="0.2">
      <c r="I275" s="210"/>
      <c r="K275" s="210"/>
    </row>
    <row r="277" spans="2:11" x14ac:dyDescent="0.2">
      <c r="B277" s="207"/>
    </row>
    <row r="278" spans="2:11" x14ac:dyDescent="0.2">
      <c r="B278" s="207"/>
    </row>
    <row r="279" spans="2:11" x14ac:dyDescent="0.2">
      <c r="B279" s="207"/>
    </row>
    <row r="282" spans="2:11" x14ac:dyDescent="0.2">
      <c r="B282" s="207"/>
      <c r="I282" s="210"/>
      <c r="K282" s="210"/>
    </row>
    <row r="283" spans="2:11" x14ac:dyDescent="0.2">
      <c r="B283" s="207"/>
      <c r="I283" s="210"/>
      <c r="K283" s="210"/>
    </row>
    <row r="284" spans="2:11" x14ac:dyDescent="0.2">
      <c r="B284" s="207"/>
      <c r="I284" s="210"/>
      <c r="K284" s="210"/>
    </row>
    <row r="285" spans="2:11" x14ac:dyDescent="0.2">
      <c r="I285" s="210"/>
      <c r="K285" s="210"/>
    </row>
    <row r="287" spans="2:11" x14ac:dyDescent="0.2">
      <c r="B287" s="207"/>
    </row>
    <row r="288" spans="2:11" x14ac:dyDescent="0.2">
      <c r="B288" s="212"/>
    </row>
    <row r="289" spans="2:11" x14ac:dyDescent="0.2">
      <c r="B289" s="212"/>
    </row>
    <row r="292" spans="2:11" x14ac:dyDescent="0.2">
      <c r="B292" s="207"/>
      <c r="I292" s="210"/>
      <c r="K292" s="210"/>
    </row>
    <row r="293" spans="2:11" x14ac:dyDescent="0.2">
      <c r="B293" s="212"/>
      <c r="I293" s="210"/>
      <c r="K293" s="210"/>
    </row>
    <row r="294" spans="2:11" x14ac:dyDescent="0.2">
      <c r="B294" s="212"/>
      <c r="I294" s="210"/>
      <c r="K294" s="210"/>
    </row>
    <row r="295" spans="2:11" x14ac:dyDescent="0.2">
      <c r="I295" s="210"/>
      <c r="K295" s="210"/>
    </row>
    <row r="297" spans="2:11" x14ac:dyDescent="0.2">
      <c r="B297" s="207"/>
    </row>
    <row r="298" spans="2:11" x14ac:dyDescent="0.2">
      <c r="B298" s="212"/>
    </row>
    <row r="299" spans="2:11" x14ac:dyDescent="0.2">
      <c r="B299" s="212"/>
    </row>
    <row r="302" spans="2:11" x14ac:dyDescent="0.2">
      <c r="B302" s="207"/>
    </row>
    <row r="303" spans="2:11" x14ac:dyDescent="0.2">
      <c r="B303" s="212"/>
    </row>
    <row r="304" spans="2:11" x14ac:dyDescent="0.2">
      <c r="B304" s="212"/>
    </row>
    <row r="307" spans="2:2" x14ac:dyDescent="0.2">
      <c r="B307" s="207"/>
    </row>
    <row r="308" spans="2:2" x14ac:dyDescent="0.2">
      <c r="B308" s="212"/>
    </row>
    <row r="309" spans="2:2" x14ac:dyDescent="0.2">
      <c r="B309" s="212"/>
    </row>
    <row r="312" spans="2:2" x14ac:dyDescent="0.2">
      <c r="B312" s="207"/>
    </row>
    <row r="313" spans="2:2" x14ac:dyDescent="0.2">
      <c r="B313" s="212"/>
    </row>
    <row r="314" spans="2:2" x14ac:dyDescent="0.2">
      <c r="B314" s="212"/>
    </row>
    <row r="317" spans="2:2" x14ac:dyDescent="0.2">
      <c r="B317" s="207"/>
    </row>
    <row r="318" spans="2:2" x14ac:dyDescent="0.2">
      <c r="B318" s="212"/>
    </row>
    <row r="319" spans="2:2" x14ac:dyDescent="0.2">
      <c r="B319" s="212"/>
    </row>
    <row r="322" spans="2:2" x14ac:dyDescent="0.2">
      <c r="B322" s="207"/>
    </row>
    <row r="323" spans="2:2" x14ac:dyDescent="0.2">
      <c r="B323" s="212"/>
    </row>
    <row r="324" spans="2:2" x14ac:dyDescent="0.2">
      <c r="B324" s="212"/>
    </row>
    <row r="327" spans="2:2" x14ac:dyDescent="0.2">
      <c r="B327" s="207"/>
    </row>
    <row r="328" spans="2:2" x14ac:dyDescent="0.2">
      <c r="B328" s="212"/>
    </row>
    <row r="329" spans="2:2" x14ac:dyDescent="0.2">
      <c r="B329" s="212"/>
    </row>
    <row r="332" spans="2:2" x14ac:dyDescent="0.2">
      <c r="B332" s="207"/>
    </row>
    <row r="333" spans="2:2" x14ac:dyDescent="0.2">
      <c r="B333" s="212"/>
    </row>
    <row r="334" spans="2:2" x14ac:dyDescent="0.2">
      <c r="B334" s="212"/>
    </row>
    <row r="337" spans="2:2" x14ac:dyDescent="0.2">
      <c r="B337" s="207"/>
    </row>
    <row r="338" spans="2:2" x14ac:dyDescent="0.2">
      <c r="B338" s="212"/>
    </row>
    <row r="339" spans="2:2" x14ac:dyDescent="0.2">
      <c r="B339" s="212"/>
    </row>
    <row r="342" spans="2:2" x14ac:dyDescent="0.2">
      <c r="B342" s="207"/>
    </row>
    <row r="343" spans="2:2" x14ac:dyDescent="0.2">
      <c r="B343" s="212"/>
    </row>
    <row r="344" spans="2:2" x14ac:dyDescent="0.2">
      <c r="B344" s="212"/>
    </row>
    <row r="347" spans="2:2" x14ac:dyDescent="0.2">
      <c r="B347" s="207"/>
    </row>
    <row r="348" spans="2:2" x14ac:dyDescent="0.2">
      <c r="B348" s="212"/>
    </row>
    <row r="349" spans="2:2" x14ac:dyDescent="0.2">
      <c r="B349" s="212"/>
    </row>
    <row r="352" spans="2:2" x14ac:dyDescent="0.2">
      <c r="B352" s="207"/>
    </row>
    <row r="353" spans="2:2" x14ac:dyDescent="0.2">
      <c r="B353" s="212"/>
    </row>
    <row r="354" spans="2:2" x14ac:dyDescent="0.2">
      <c r="B354" s="212"/>
    </row>
    <row r="357" spans="2:2" x14ac:dyDescent="0.2">
      <c r="B357" s="207"/>
    </row>
    <row r="358" spans="2:2" x14ac:dyDescent="0.2">
      <c r="B358" s="212"/>
    </row>
    <row r="359" spans="2:2" x14ac:dyDescent="0.2">
      <c r="B359" s="212"/>
    </row>
    <row r="362" spans="2:2" x14ac:dyDescent="0.2">
      <c r="B362" s="207"/>
    </row>
    <row r="363" spans="2:2" x14ac:dyDescent="0.2">
      <c r="B363" s="212"/>
    </row>
    <row r="364" spans="2:2" x14ac:dyDescent="0.2">
      <c r="B364" s="212"/>
    </row>
    <row r="367" spans="2:2" x14ac:dyDescent="0.2">
      <c r="B367" s="207"/>
    </row>
    <row r="368" spans="2:2" x14ac:dyDescent="0.2">
      <c r="B368" s="212"/>
    </row>
    <row r="369" spans="2:2" x14ac:dyDescent="0.2">
      <c r="B369" s="212"/>
    </row>
    <row r="372" spans="2:2" x14ac:dyDescent="0.2">
      <c r="B372" s="207"/>
    </row>
    <row r="373" spans="2:2" x14ac:dyDescent="0.2">
      <c r="B373" s="212"/>
    </row>
    <row r="374" spans="2:2" x14ac:dyDescent="0.2">
      <c r="B374" s="212"/>
    </row>
    <row r="377" spans="2:2" x14ac:dyDescent="0.2">
      <c r="B377" s="207"/>
    </row>
    <row r="378" spans="2:2" x14ac:dyDescent="0.2">
      <c r="B378" s="212"/>
    </row>
    <row r="379" spans="2:2" x14ac:dyDescent="0.2">
      <c r="B379" s="212"/>
    </row>
    <row r="382" spans="2:2" x14ac:dyDescent="0.2">
      <c r="B382" s="207"/>
    </row>
    <row r="383" spans="2:2" x14ac:dyDescent="0.2">
      <c r="B383" s="212"/>
    </row>
    <row r="384" spans="2:2" x14ac:dyDescent="0.2">
      <c r="B384" s="212"/>
    </row>
    <row r="387" spans="2:2" x14ac:dyDescent="0.2">
      <c r="B387" s="207"/>
    </row>
    <row r="388" spans="2:2" x14ac:dyDescent="0.2">
      <c r="B388" s="212"/>
    </row>
    <row r="389" spans="2:2" x14ac:dyDescent="0.2">
      <c r="B389" s="212"/>
    </row>
    <row r="392" spans="2:2" x14ac:dyDescent="0.2">
      <c r="B392" s="207"/>
    </row>
    <row r="393" spans="2:2" x14ac:dyDescent="0.2">
      <c r="B393" s="212"/>
    </row>
    <row r="394" spans="2:2" x14ac:dyDescent="0.2">
      <c r="B394" s="212"/>
    </row>
    <row r="397" spans="2:2" x14ac:dyDescent="0.2">
      <c r="B397" s="207"/>
    </row>
    <row r="398" spans="2:2" x14ac:dyDescent="0.2">
      <c r="B398" s="212"/>
    </row>
    <row r="399" spans="2:2" x14ac:dyDescent="0.2">
      <c r="B399" s="212"/>
    </row>
    <row r="402" spans="2:2" x14ac:dyDescent="0.2">
      <c r="B402" s="207"/>
    </row>
    <row r="403" spans="2:2" x14ac:dyDescent="0.2">
      <c r="B403" s="212"/>
    </row>
    <row r="404" spans="2:2" x14ac:dyDescent="0.2">
      <c r="B404" s="212"/>
    </row>
    <row r="407" spans="2:2" x14ac:dyDescent="0.2">
      <c r="B407" s="207"/>
    </row>
    <row r="408" spans="2:2" x14ac:dyDescent="0.2">
      <c r="B408" s="212"/>
    </row>
    <row r="409" spans="2:2" x14ac:dyDescent="0.2">
      <c r="B409" s="212"/>
    </row>
    <row r="412" spans="2:2" x14ac:dyDescent="0.2">
      <c r="B412" s="207"/>
    </row>
    <row r="413" spans="2:2" x14ac:dyDescent="0.2">
      <c r="B413" s="212"/>
    </row>
    <row r="414" spans="2:2" x14ac:dyDescent="0.2">
      <c r="B414" s="212"/>
    </row>
    <row r="417" spans="2:2" x14ac:dyDescent="0.2">
      <c r="B417" s="207"/>
    </row>
    <row r="418" spans="2:2" x14ac:dyDescent="0.2">
      <c r="B418" s="212"/>
    </row>
    <row r="419" spans="2:2" x14ac:dyDescent="0.2">
      <c r="B419" s="212"/>
    </row>
    <row r="422" spans="2:2" x14ac:dyDescent="0.2">
      <c r="B422" s="207"/>
    </row>
    <row r="423" spans="2:2" x14ac:dyDescent="0.2">
      <c r="B423" s="212"/>
    </row>
    <row r="424" spans="2:2" x14ac:dyDescent="0.2">
      <c r="B424" s="212"/>
    </row>
    <row r="427" spans="2:2" x14ac:dyDescent="0.2">
      <c r="B427" s="207"/>
    </row>
    <row r="428" spans="2:2" x14ac:dyDescent="0.2">
      <c r="B428" s="212"/>
    </row>
    <row r="429" spans="2:2" x14ac:dyDescent="0.2">
      <c r="B429" s="212"/>
    </row>
    <row r="432" spans="2:2" x14ac:dyDescent="0.2">
      <c r="B432" s="207"/>
    </row>
    <row r="433" spans="2:2" x14ac:dyDescent="0.2">
      <c r="B433" s="212"/>
    </row>
    <row r="434" spans="2:2" x14ac:dyDescent="0.2">
      <c r="B434" s="212"/>
    </row>
    <row r="437" spans="2:2" x14ac:dyDescent="0.2">
      <c r="B437" s="207"/>
    </row>
    <row r="438" spans="2:2" x14ac:dyDescent="0.2">
      <c r="B438" s="212"/>
    </row>
    <row r="439" spans="2:2" x14ac:dyDescent="0.2">
      <c r="B439" s="212"/>
    </row>
    <row r="442" spans="2:2" x14ac:dyDescent="0.2">
      <c r="B442" s="207"/>
    </row>
    <row r="443" spans="2:2" x14ac:dyDescent="0.2">
      <c r="B443" s="212"/>
    </row>
    <row r="444" spans="2:2" x14ac:dyDescent="0.2">
      <c r="B444" s="212"/>
    </row>
    <row r="447" spans="2:2" x14ac:dyDescent="0.2">
      <c r="B447" s="207"/>
    </row>
    <row r="448" spans="2:2" x14ac:dyDescent="0.2">
      <c r="B448" s="212"/>
    </row>
    <row r="449" spans="2:2" x14ac:dyDescent="0.2">
      <c r="B449" s="212"/>
    </row>
    <row r="452" spans="2:2" x14ac:dyDescent="0.2">
      <c r="B452" s="207"/>
    </row>
    <row r="453" spans="2:2" x14ac:dyDescent="0.2">
      <c r="B453" s="212"/>
    </row>
    <row r="454" spans="2:2" x14ac:dyDescent="0.2">
      <c r="B454" s="212"/>
    </row>
    <row r="457" spans="2:2" x14ac:dyDescent="0.2">
      <c r="B457" s="207"/>
    </row>
    <row r="458" spans="2:2" x14ac:dyDescent="0.2">
      <c r="B458" s="212"/>
    </row>
    <row r="459" spans="2:2" x14ac:dyDescent="0.2">
      <c r="B459" s="212"/>
    </row>
    <row r="462" spans="2:2" x14ac:dyDescent="0.2">
      <c r="B462" s="207"/>
    </row>
    <row r="463" spans="2:2" x14ac:dyDescent="0.2">
      <c r="B463" s="212"/>
    </row>
    <row r="464" spans="2:2" x14ac:dyDescent="0.2">
      <c r="B464" s="212"/>
    </row>
    <row r="467" spans="2:2" x14ac:dyDescent="0.2">
      <c r="B467" s="207"/>
    </row>
    <row r="468" spans="2:2" x14ac:dyDescent="0.2">
      <c r="B468" s="212"/>
    </row>
    <row r="469" spans="2:2" x14ac:dyDescent="0.2">
      <c r="B469" s="212"/>
    </row>
    <row r="472" spans="2:2" x14ac:dyDescent="0.2">
      <c r="B472" s="207"/>
    </row>
    <row r="473" spans="2:2" x14ac:dyDescent="0.2">
      <c r="B473" s="212"/>
    </row>
    <row r="474" spans="2:2" x14ac:dyDescent="0.2">
      <c r="B474" s="212"/>
    </row>
    <row r="477" spans="2:2" x14ac:dyDescent="0.2">
      <c r="B477" s="207"/>
    </row>
    <row r="478" spans="2:2" x14ac:dyDescent="0.2">
      <c r="B478" s="212"/>
    </row>
    <row r="479" spans="2:2" x14ac:dyDescent="0.2">
      <c r="B479" s="212"/>
    </row>
    <row r="482" spans="2:2" x14ac:dyDescent="0.2">
      <c r="B482" s="207"/>
    </row>
    <row r="483" spans="2:2" x14ac:dyDescent="0.2">
      <c r="B483" s="212"/>
    </row>
    <row r="484" spans="2:2" x14ac:dyDescent="0.2">
      <c r="B484" s="212"/>
    </row>
    <row r="487" spans="2:2" x14ac:dyDescent="0.2">
      <c r="B487" s="207"/>
    </row>
    <row r="488" spans="2:2" x14ac:dyDescent="0.2">
      <c r="B488" s="212"/>
    </row>
    <row r="489" spans="2:2" x14ac:dyDescent="0.2">
      <c r="B489" s="212"/>
    </row>
    <row r="492" spans="2:2" x14ac:dyDescent="0.2">
      <c r="B492" s="207"/>
    </row>
    <row r="493" spans="2:2" x14ac:dyDescent="0.2">
      <c r="B493" s="212"/>
    </row>
    <row r="494" spans="2:2" x14ac:dyDescent="0.2">
      <c r="B494" s="212"/>
    </row>
    <row r="497" spans="2:2" x14ac:dyDescent="0.2">
      <c r="B497" s="207"/>
    </row>
    <row r="498" spans="2:2" x14ac:dyDescent="0.2">
      <c r="B498" s="212"/>
    </row>
    <row r="499" spans="2:2" x14ac:dyDescent="0.2">
      <c r="B499" s="212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9</v>
      </c>
      <c r="B1" s="171" t="s">
        <v>109</v>
      </c>
      <c r="C1" s="172" t="s">
        <v>110</v>
      </c>
      <c r="D1" s="173" t="s">
        <v>111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148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149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150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151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148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149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150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151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148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149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150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151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148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149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150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151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148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149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150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151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148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149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150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151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148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149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150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151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148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149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150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151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148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149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150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151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148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149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150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151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148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149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150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151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148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149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150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151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148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149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150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151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148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149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150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151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148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149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150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151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148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149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150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151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148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149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150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151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148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149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150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151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148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149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150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151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148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149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150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151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148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149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150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151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148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149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150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151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148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149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150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151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148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149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150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151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148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149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150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151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148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149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150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151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148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149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150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151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148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149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150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151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148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149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150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151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148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149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150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151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M60" zoomScale="90" zoomScaleNormal="90" workbookViewId="0">
      <selection activeCell="M76" sqref="M76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6"/>
      <c r="C1" s="246"/>
      <c r="D1" s="7"/>
      <c r="E1" s="246"/>
      <c r="F1" s="24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3" t="s">
        <v>32</v>
      </c>
      <c r="B28" s="244"/>
      <c r="C28" s="245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-0.35799999999999998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IF(DIAG!$T$43,CONCATENATE("N=",TRUNC(L45/2,2)),"")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IF(DIAG!$T$44,CONCATENATE("Mn+Sn=",TRUNC(L46/2,2),CHAR(10),"EYR=",TRUNC(2/L46,2),CHAR(10),"EIR= ",TRUNC(L46/(2*(1-L46/2)),2)),"")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IF(DIAG!$T$42,CONCATENATE("R+Mr+Sr=",L47,CHAR(10),"ELR=",TRUNC((1-L47)/(L47),2)),"")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51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52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51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52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51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52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221" t="s">
        <v>43</v>
      </c>
      <c r="O78" s="215">
        <f>O35</f>
        <v>-0.57735026918962584</v>
      </c>
      <c r="P78" s="215">
        <f>P35</f>
        <v>-0.51961524227066325</v>
      </c>
      <c r="Q78" s="215">
        <f t="shared" ref="Q78:AI78" si="15">Q35</f>
        <v>-0.46188021535170065</v>
      </c>
      <c r="R78" s="215">
        <f t="shared" si="15"/>
        <v>-0.40414518843273811</v>
      </c>
      <c r="S78" s="215">
        <f t="shared" si="15"/>
        <v>-0.34641016151377552</v>
      </c>
      <c r="T78" s="215">
        <f t="shared" si="15"/>
        <v>-0.28867513459481292</v>
      </c>
      <c r="U78" s="215">
        <f t="shared" si="15"/>
        <v>-0.23094010767585038</v>
      </c>
      <c r="V78" s="215">
        <f t="shared" si="15"/>
        <v>-0.17320508075688779</v>
      </c>
      <c r="W78" s="215">
        <f t="shared" si="15"/>
        <v>-0.11547005383792519</v>
      </c>
      <c r="X78" s="215">
        <f t="shared" si="15"/>
        <v>-5.7735026918962595E-2</v>
      </c>
      <c r="Y78" s="215">
        <f t="shared" si="15"/>
        <v>0</v>
      </c>
      <c r="Z78" s="215">
        <f t="shared" si="15"/>
        <v>5.7735026918962595E-2</v>
      </c>
      <c r="AA78" s="215">
        <f t="shared" si="15"/>
        <v>0.11547005383792519</v>
      </c>
      <c r="AB78" s="215">
        <f t="shared" si="15"/>
        <v>0.17320508075688779</v>
      </c>
      <c r="AC78" s="215">
        <f t="shared" si="15"/>
        <v>0.23094010767585038</v>
      </c>
      <c r="AD78" s="215">
        <f t="shared" si="15"/>
        <v>0.28867513459481292</v>
      </c>
      <c r="AE78" s="215">
        <f t="shared" si="15"/>
        <v>0.34641016151377552</v>
      </c>
      <c r="AF78" s="215">
        <f t="shared" si="15"/>
        <v>0.40414518843273811</v>
      </c>
      <c r="AG78" s="215">
        <f t="shared" si="15"/>
        <v>0.46188021535170065</v>
      </c>
      <c r="AH78" s="215">
        <f t="shared" si="15"/>
        <v>0.51961524227066325</v>
      </c>
      <c r="AI78" s="216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22" t="s">
        <v>112</v>
      </c>
      <c r="O79" s="217">
        <f>IF(O83=0,IF($A79&lt;&gt;0,O35,0))</f>
        <v>-0.57735026918962584</v>
      </c>
      <c r="P79" s="217">
        <f t="shared" ref="P79:AI79" si="16">IF(P83=0,IF($A79&lt;&gt;0,P35,0))</f>
        <v>-0.51961524227066325</v>
      </c>
      <c r="Q79" s="217">
        <f t="shared" si="16"/>
        <v>-0.46188021535170065</v>
      </c>
      <c r="R79" s="217">
        <f t="shared" si="16"/>
        <v>-0.40414518843273811</v>
      </c>
      <c r="S79" s="217">
        <f t="shared" si="16"/>
        <v>-0.34641016151377552</v>
      </c>
      <c r="T79" s="217">
        <f t="shared" si="16"/>
        <v>-0.28867513459481292</v>
      </c>
      <c r="U79" s="217">
        <f t="shared" si="16"/>
        <v>-0.23094010767585038</v>
      </c>
      <c r="V79" s="217">
        <f t="shared" si="16"/>
        <v>-0.17320508075688779</v>
      </c>
      <c r="W79" s="217">
        <f t="shared" si="16"/>
        <v>-0.11547005383792519</v>
      </c>
      <c r="X79" s="217">
        <f t="shared" si="16"/>
        <v>-5.7735026918962595E-2</v>
      </c>
      <c r="Y79" s="217">
        <f t="shared" si="16"/>
        <v>0</v>
      </c>
      <c r="Z79" s="217" t="b">
        <f t="shared" si="16"/>
        <v>0</v>
      </c>
      <c r="AA79" s="217" t="b">
        <f t="shared" si="16"/>
        <v>0</v>
      </c>
      <c r="AB79" s="217" t="b">
        <f t="shared" si="16"/>
        <v>0</v>
      </c>
      <c r="AC79" s="217" t="b">
        <f t="shared" si="16"/>
        <v>0</v>
      </c>
      <c r="AD79" s="217" t="b">
        <f t="shared" si="16"/>
        <v>0</v>
      </c>
      <c r="AE79" s="217" t="b">
        <f t="shared" si="16"/>
        <v>0</v>
      </c>
      <c r="AF79" s="217" t="b">
        <f t="shared" si="16"/>
        <v>0</v>
      </c>
      <c r="AG79" s="217" t="b">
        <f t="shared" si="16"/>
        <v>0</v>
      </c>
      <c r="AH79" s="217" t="b">
        <f t="shared" si="16"/>
        <v>0</v>
      </c>
      <c r="AI79" s="218" t="b">
        <f t="shared" si="16"/>
        <v>0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22" t="s">
        <v>106</v>
      </c>
      <c r="O80" s="217">
        <f>IF(DIAG!$T$55,($C$80*O35+$D$80),-1)</f>
        <v>-1</v>
      </c>
      <c r="P80" s="217">
        <f>IF(DIAG!$T$55,($C$80*P35+$D$80),-1)</f>
        <v>-1</v>
      </c>
      <c r="Q80" s="217">
        <f>IF(DIAG!$T$55,($C$80*Q35+$D$80),-1)</f>
        <v>-1</v>
      </c>
      <c r="R80" s="217">
        <f>IF(DIAG!$T$55,($C$80*R35+$D$80),-1)</f>
        <v>-1</v>
      </c>
      <c r="S80" s="217">
        <f>IF(DIAG!$T$55,($C$80*S35+$D$80),-1)</f>
        <v>-1</v>
      </c>
      <c r="T80" s="217">
        <f>IF(DIAG!$T$55,($C$80*T35+$D$80),-1)</f>
        <v>-1</v>
      </c>
      <c r="U80" s="217">
        <f>IF(DIAG!$T$55,($C$80*U35+$D$80),-1)</f>
        <v>-1</v>
      </c>
      <c r="V80" s="217">
        <f>IF(DIAG!$T$55,($C$80*V35+$D$80),-1)</f>
        <v>-1</v>
      </c>
      <c r="W80" s="217">
        <f>IF(DIAG!$T$55,($C$80*W35+$D$80),-1)</f>
        <v>-1</v>
      </c>
      <c r="X80" s="217">
        <f>IF(DIAG!$T$55,($C$80*X35+$D$80),-1)</f>
        <v>-1</v>
      </c>
      <c r="Y80" s="217">
        <f>IF(DIAG!$T$55,($C$80*Y35+$D$80),-1)</f>
        <v>-1</v>
      </c>
      <c r="Z80" s="217">
        <f>IF(DIAG!$T$55,($C$80*Z35+$D$80),-1)</f>
        <v>-1</v>
      </c>
      <c r="AA80" s="217">
        <f>IF(DIAG!$T$55,($C$80*AA35+$D$80),-1)</f>
        <v>-1</v>
      </c>
      <c r="AB80" s="217">
        <f>IF(DIAG!$T$55,($C$80*AB35+$D$80),-1)</f>
        <v>-1</v>
      </c>
      <c r="AC80" s="217">
        <f>IF(DIAG!$T$55,($C$80*AC35+$D$80),-1)</f>
        <v>-1</v>
      </c>
      <c r="AD80" s="217">
        <f>IF(DIAG!$T$55,($C$80*AD35+$D$80),-1)</f>
        <v>-1</v>
      </c>
      <c r="AE80" s="217">
        <f>IF(DIAG!$T$55,($C$80*AE35+$D$80),-1)</f>
        <v>-1</v>
      </c>
      <c r="AF80" s="217">
        <f>IF(DIAG!$T$55,($C$80*AF35+$D$80),-1)</f>
        <v>-1</v>
      </c>
      <c r="AG80" s="217">
        <f>IF(DIAG!$T$55,($C$80*AG35+$D$80),-1)</f>
        <v>-1</v>
      </c>
      <c r="AH80" s="217">
        <f>IF(DIAG!$T$55,($C$80*AH35+$D$80),-1)</f>
        <v>-1</v>
      </c>
      <c r="AI80" s="218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22" t="s">
        <v>107</v>
      </c>
      <c r="O81" s="217">
        <f>IF(DIAG!$T$56,($C$81*O35+$D$81),-1)</f>
        <v>-1</v>
      </c>
      <c r="P81" s="217">
        <f>IF(DIAG!$T$56,($C$81*P35+$D$81),-1)</f>
        <v>-1</v>
      </c>
      <c r="Q81" s="217">
        <f>IF(DIAG!$T$56,($C$81*Q35+$D$81),-1)</f>
        <v>-1</v>
      </c>
      <c r="R81" s="217">
        <f>IF(DIAG!$T$56,($C$81*R35+$D$81),-1)</f>
        <v>-1</v>
      </c>
      <c r="S81" s="217">
        <f>IF(DIAG!$T$56,($C$81*S35+$D$81),-1)</f>
        <v>-1</v>
      </c>
      <c r="T81" s="217">
        <f>IF(DIAG!$T$56,($C$81*T35+$D$81),-1)</f>
        <v>-1</v>
      </c>
      <c r="U81" s="217">
        <f>IF(DIAG!$T$56,($C$81*U35+$D$81),-1)</f>
        <v>-1</v>
      </c>
      <c r="V81" s="217">
        <f>IF(DIAG!$T$56,($C$81*V35+$D$81),-1)</f>
        <v>-1</v>
      </c>
      <c r="W81" s="217">
        <f>IF(DIAG!$T$56,($C$81*W35+$D$81),-1)</f>
        <v>-1</v>
      </c>
      <c r="X81" s="217">
        <f>IF(DIAG!$T$56,($C$81*X35+$D$81),-1)</f>
        <v>-1</v>
      </c>
      <c r="Y81" s="217">
        <f>IF(DIAG!$T$56,($C$81*Y35+$D$81),-1)</f>
        <v>-1</v>
      </c>
      <c r="Z81" s="217">
        <f>IF(DIAG!$T$56,($C$81*Z35+$D$81),-1)</f>
        <v>-1</v>
      </c>
      <c r="AA81" s="217">
        <f>IF(DIAG!$T$56,($C$81*AA35+$D$81),-1)</f>
        <v>-1</v>
      </c>
      <c r="AB81" s="217">
        <f>IF(DIAG!$T$56,($C$81*AB35+$D$81),-1)</f>
        <v>-1</v>
      </c>
      <c r="AC81" s="217">
        <f>IF(DIAG!$T$56,($C$81*AC35+$D$81),-1)</f>
        <v>-1</v>
      </c>
      <c r="AD81" s="217">
        <f>IF(DIAG!$T$56,($C$81*AD35+$D$81),-1)</f>
        <v>-1</v>
      </c>
      <c r="AE81" s="217">
        <f>IF(DIAG!$T$56,($C$81*AE35+$D$81),-1)</f>
        <v>-1</v>
      </c>
      <c r="AF81" s="217">
        <f>IF(DIAG!$T$56,($C$81*AF35+$D$81),-1)</f>
        <v>-1</v>
      </c>
      <c r="AG81" s="217">
        <f>IF(DIAG!$T$56,($C$81*AG35+$D$81),-1)</f>
        <v>-1</v>
      </c>
      <c r="AH81" s="217">
        <f>IF(DIAG!$T$56,($C$81*AH35+$D$81),-1)</f>
        <v>-1</v>
      </c>
      <c r="AI81" s="218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22" t="s">
        <v>108</v>
      </c>
      <c r="O82" s="217">
        <f>IFERROR(IF(DIAG!$T$54,IF(($C$82*O35+$D$82)&gt;1,1,($C$82*O35+$D$82)),-1),-3)</f>
        <v>-1</v>
      </c>
      <c r="P82" s="217">
        <f>IFERROR(IF(DIAG!$T$54,IF(($C$82*P35+$D$82)&gt;1,1,($C$82*P35+$D$82)),-1),-3)</f>
        <v>-1</v>
      </c>
      <c r="Q82" s="217">
        <f>IFERROR(IF(DIAG!$T$54,IF(($C$82*Q35+$D$82)&gt;1,1,($C$82*Q35+$D$82)),-1),-3)</f>
        <v>-1</v>
      </c>
      <c r="R82" s="217">
        <f>IFERROR(IF(DIAG!$T$54,IF(($C$82*R35+$D$82)&gt;1,1,($C$82*R35+$D$82)),-1),-3)</f>
        <v>-1</v>
      </c>
      <c r="S82" s="217">
        <f>IFERROR(IF(DIAG!$T$54,IF(($C$82*S35+$D$82)&gt;1,1,($C$82*S35+$D$82)),-1),-3)</f>
        <v>-1</v>
      </c>
      <c r="T82" s="217">
        <f>IFERROR(IF(DIAG!$T$54,IF(($C$82*T35+$D$82)&gt;1,1,($C$82*T35+$D$82)),-1),-3)</f>
        <v>-1</v>
      </c>
      <c r="U82" s="217">
        <f>IFERROR(IF(DIAG!$T$54,IF(($C$82*U35+$D$82)&gt;1,1,($C$82*U35+$D$82)),-1),-3)</f>
        <v>-1</v>
      </c>
      <c r="V82" s="217">
        <f>IFERROR(IF(DIAG!$T$54,IF(($C$82*V35+$D$82)&gt;1,1,($C$82*V35+$D$82)),-1),-3)</f>
        <v>-1</v>
      </c>
      <c r="W82" s="217">
        <f>IFERROR(IF(DIAG!$T$54,IF(($C$82*W35+$D$82)&gt;1,1,($C$82*W35+$D$82)),-1),-3)</f>
        <v>-1</v>
      </c>
      <c r="X82" s="217">
        <f>IFERROR(IF(DIAG!$T$54,IF(($C$82*X35+$D$82)&gt;1,1,($C$82*X35+$D$82)),-1),-3)</f>
        <v>-1</v>
      </c>
      <c r="Y82" s="217">
        <f>IFERROR(IF(DIAG!$T$54,IF(($C$82*Y35+$D$82)&gt;1,1,($C$82*Y35+$D$82)),-1),-3)</f>
        <v>-1</v>
      </c>
      <c r="Z82" s="217">
        <f>IFERROR(IF(DIAG!$T$54,IF(($C$82*Z35+$D$82)&gt;1,1,($C$82*Z35+$D$82)),-1),-3)</f>
        <v>-1</v>
      </c>
      <c r="AA82" s="217">
        <f>IFERROR(IF(DIAG!$T$54,IF(($C$82*AA35+$D$82)&gt;1,1,($C$82*AA35+$D$82)),-1),-3)</f>
        <v>-1</v>
      </c>
      <c r="AB82" s="217">
        <f>IFERROR(IF(DIAG!$T$54,IF(($C$82*AB35+$D$82)&gt;1,1,($C$82*AB35+$D$82)),-1),-3)</f>
        <v>-1</v>
      </c>
      <c r="AC82" s="217">
        <f>IFERROR(IF(DIAG!$T$54,IF(($C$82*AC35+$D$82)&gt;1,1,($C$82*AC35+$D$82)),-1),-3)</f>
        <v>-1</v>
      </c>
      <c r="AD82" s="217">
        <f>IFERROR(IF(DIAG!$T$54,IF(($C$82*AD35+$D$82)&gt;1,1,($C$82*AD35+$D$82)),-1),-3)</f>
        <v>-1</v>
      </c>
      <c r="AE82" s="217">
        <f>IFERROR(IF(DIAG!$T$54,IF(($C$82*AE35+$D$82)&gt;1,1,($C$82*AE35+$D$82)),-1),-3)</f>
        <v>-1</v>
      </c>
      <c r="AF82" s="217">
        <f>IFERROR(IF(DIAG!$T$54,IF(($C$82*AF35+$D$82)&gt;1,1,($C$82*AF35+$D$82)),-1),-3)</f>
        <v>-1</v>
      </c>
      <c r="AG82" s="217">
        <f>IFERROR(IF(DIAG!$T$54,IF(($C$82*AG35+$D$82)&gt;1,1,($C$82*AG35+$D$82)),-1),-3)</f>
        <v>-1</v>
      </c>
      <c r="AH82" s="217">
        <f>IFERROR(IF(DIAG!$T$54,IF(($C$82*AH35+$D$82)&gt;1,1,($C$82*AH35+$D$82)),-1),-3)</f>
        <v>-1</v>
      </c>
      <c r="AI82" s="218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23" t="s">
        <v>161</v>
      </c>
      <c r="O83" s="219">
        <f>IF(($C$82*O35+$D$82)&gt;1,1,0)</f>
        <v>0</v>
      </c>
      <c r="P83" s="219">
        <f t="shared" ref="P83:AI83" si="17">IF(($C$82*P35+$D$82)&gt;1,1,0)</f>
        <v>0</v>
      </c>
      <c r="Q83" s="219">
        <f t="shared" si="17"/>
        <v>0</v>
      </c>
      <c r="R83" s="219">
        <f t="shared" si="17"/>
        <v>0</v>
      </c>
      <c r="S83" s="219">
        <f t="shared" si="17"/>
        <v>0</v>
      </c>
      <c r="T83" s="219">
        <f t="shared" si="17"/>
        <v>0</v>
      </c>
      <c r="U83" s="219">
        <f t="shared" si="17"/>
        <v>0</v>
      </c>
      <c r="V83" s="219">
        <f t="shared" si="17"/>
        <v>0</v>
      </c>
      <c r="W83" s="219">
        <f t="shared" si="17"/>
        <v>0</v>
      </c>
      <c r="X83" s="219">
        <f t="shared" si="17"/>
        <v>0</v>
      </c>
      <c r="Y83" s="219">
        <f t="shared" si="17"/>
        <v>0</v>
      </c>
      <c r="Z83" s="219">
        <f t="shared" si="17"/>
        <v>1</v>
      </c>
      <c r="AA83" s="219">
        <f t="shared" si="17"/>
        <v>1</v>
      </c>
      <c r="AB83" s="219">
        <f t="shared" si="17"/>
        <v>1</v>
      </c>
      <c r="AC83" s="219">
        <f t="shared" si="17"/>
        <v>1</v>
      </c>
      <c r="AD83" s="219">
        <f t="shared" si="17"/>
        <v>1</v>
      </c>
      <c r="AE83" s="219">
        <f t="shared" si="17"/>
        <v>1</v>
      </c>
      <c r="AF83" s="219">
        <f t="shared" si="17"/>
        <v>1</v>
      </c>
      <c r="AG83" s="219">
        <f t="shared" si="17"/>
        <v>1</v>
      </c>
      <c r="AH83" s="219">
        <f t="shared" si="17"/>
        <v>1</v>
      </c>
      <c r="AI83" s="220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51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51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51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52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52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56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56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56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57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57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57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58</v>
      </c>
      <c r="C92" s="138"/>
      <c r="D92" s="141">
        <f ca="1">IFERROR(SQRT((D87-E87)^2+(D88-E88)^2),0)</f>
        <v>0.299963971171187</v>
      </c>
      <c r="E92" s="140"/>
      <c r="G92" s="137" t="s">
        <v>58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58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51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51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51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52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52</v>
      </c>
      <c r="M95" s="135">
        <f ca="1">IFERROR((L80*M94+M80),0)</f>
        <v>0</v>
      </c>
      <c r="N95" s="136">
        <v>0</v>
      </c>
      <c r="P95" s="96"/>
      <c r="Q95" s="6" t="s">
        <v>52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56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56</v>
      </c>
      <c r="M97" s="135">
        <f ca="1">IFERROR(((1-M95)/SQRT(3)),0)</f>
        <v>0.57735026918962584</v>
      </c>
      <c r="N97" s="136"/>
      <c r="P97" s="96" t="s">
        <v>5</v>
      </c>
      <c r="Q97" s="6" t="s">
        <v>59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58</v>
      </c>
      <c r="C98" s="138"/>
      <c r="D98" s="139">
        <f ca="1">IFERROR((SQRT((D94-E94)^2+(D95-E95)^2)),0)</f>
        <v>1.1547005383792517</v>
      </c>
      <c r="E98" s="140"/>
      <c r="G98" s="137" t="s">
        <v>58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58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60</v>
      </c>
      <c r="C100" s="129"/>
      <c r="D100" s="142">
        <f ca="1">IFERROR(D92/D98,0)</f>
        <v>0.25977641925431089</v>
      </c>
      <c r="E100" s="143"/>
      <c r="G100" s="128" t="s">
        <v>115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61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34</v>
      </c>
      <c r="E101" s="145" t="s">
        <v>36</v>
      </c>
      <c r="G101" s="146"/>
      <c r="H101" s="144"/>
      <c r="I101" s="144"/>
      <c r="J101" s="144"/>
      <c r="K101" s="144"/>
      <c r="L101" s="134"/>
      <c r="M101" s="144" t="s">
        <v>34</v>
      </c>
      <c r="N101" s="145" t="s">
        <v>36</v>
      </c>
      <c r="R101" s="144" t="s">
        <v>34</v>
      </c>
      <c r="S101" s="145" t="s">
        <v>36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16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19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20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7" t="s">
        <v>31</v>
      </c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8"/>
      <c r="X234" s="248"/>
      <c r="Y234" s="248"/>
      <c r="Z234" s="248"/>
      <c r="AA234" s="248"/>
      <c r="AB234" s="248"/>
      <c r="AC234" s="248"/>
      <c r="AD234" s="248"/>
      <c r="AE234" s="249"/>
    </row>
    <row r="235" spans="1:31" x14ac:dyDescent="0.2">
      <c r="A235" s="44" t="s">
        <v>32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17</v>
      </c>
      <c r="B240" s="168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19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31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1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105</v>
      </c>
      <c r="B266" s="21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2023-08-18T19:59:19Z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