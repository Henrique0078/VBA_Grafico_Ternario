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11542EEF-08C7-408E-B2CC-E5AF8076D5B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AK25" i="6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N165" i="6" s="1"/>
  <c r="Q7" i="6"/>
  <c r="S7" i="6"/>
  <c r="S12" i="6" s="1"/>
  <c r="U7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F13" i="6"/>
  <c r="CM15" i="6"/>
  <c r="CM27" i="6" s="1"/>
  <c r="AY11" i="6"/>
  <c r="BW13" i="6" l="1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CI21" i="6" s="1"/>
  <c r="AF15" i="6"/>
  <c r="AF22" i="6" s="1"/>
  <c r="N16" i="6"/>
  <c r="AU13" i="6"/>
  <c r="CU16" i="6"/>
  <c r="C12" i="6"/>
  <c r="U12" i="6"/>
  <c r="Q15" i="6"/>
  <c r="Q22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N146" i="6" s="1"/>
  <c r="Z9" i="6"/>
  <c r="Z17" i="6" s="1"/>
  <c r="Z20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T13" i="6" s="1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V21" i="6" s="1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W11" i="6"/>
  <c r="R15" i="6"/>
  <c r="R22" i="6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S22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I20" i="6"/>
  <c r="CB27" i="6"/>
  <c r="CM22" i="6"/>
  <c r="CM21" i="6"/>
  <c r="CM20" i="6"/>
  <c r="CM26" i="6"/>
  <c r="AR27" i="6"/>
  <c r="U27" i="6"/>
  <c r="N171" i="6" s="1"/>
  <c r="Z13" i="6" l="1"/>
  <c r="B19" i="6"/>
  <c r="CP20" i="6"/>
  <c r="BO18" i="6"/>
  <c r="AQ18" i="6"/>
  <c r="Z11" i="6"/>
  <c r="B22" i="6"/>
  <c r="B10" i="6" s="1"/>
  <c r="AB22" i="6"/>
  <c r="CE20" i="6"/>
  <c r="CE10" i="6" s="1"/>
  <c r="AQ21" i="6"/>
  <c r="Z16" i="6"/>
  <c r="Z21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Q10" i="6" s="1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D23" i="6" s="1"/>
  <c r="AB21" i="6"/>
  <c r="AA20" i="6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N132" i="6" s="1"/>
  <c r="AJ19" i="6"/>
  <c r="CN16" i="6"/>
  <c r="V21" i="6"/>
  <c r="V20" i="6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N147" i="6" s="1"/>
  <c r="M18" i="6"/>
  <c r="BJ18" i="6"/>
  <c r="G16" i="6"/>
  <c r="G17" i="6"/>
  <c r="Y22" i="6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N156" i="6" s="1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N143" i="6" s="1"/>
  <c r="L27" i="6"/>
  <c r="N144" i="6" s="1"/>
  <c r="L19" i="6"/>
  <c r="L22" i="6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O20" i="6"/>
  <c r="O26" i="6"/>
  <c r="N152" i="6" s="1"/>
  <c r="O19" i="6"/>
  <c r="BA20" i="6"/>
  <c r="BA21" i="6"/>
  <c r="BA26" i="6"/>
  <c r="AG27" i="6"/>
  <c r="W18" i="6"/>
  <c r="W19" i="6"/>
  <c r="BC19" i="6"/>
  <c r="BC18" i="6"/>
  <c r="R20" i="6"/>
  <c r="R21" i="6"/>
  <c r="BI20" i="6"/>
  <c r="BI21" i="6"/>
  <c r="BE26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F20" i="6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B23" i="6"/>
  <c r="CM10" i="6"/>
  <c r="CT23" i="6"/>
  <c r="CE23" i="6"/>
  <c r="BZ23" i="6"/>
  <c r="BZ10" i="6"/>
  <c r="BR23" i="6"/>
  <c r="BR10" i="6"/>
  <c r="CM23" i="6"/>
  <c r="AQ10" i="6"/>
  <c r="AQ23" i="6"/>
  <c r="AR10" i="6"/>
  <c r="AR23" i="6"/>
  <c r="U10" i="6"/>
  <c r="U23" i="6"/>
  <c r="AT10" i="6"/>
  <c r="AT23" i="6"/>
  <c r="AK10" i="6"/>
  <c r="AK23" i="6"/>
  <c r="CW23" i="6" l="1"/>
  <c r="AB23" i="6"/>
  <c r="Z19" i="6"/>
  <c r="BI23" i="6"/>
  <c r="AG18" i="6"/>
  <c r="AB10" i="6"/>
  <c r="BG23" i="6"/>
  <c r="Q23" i="6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X10" i="6"/>
  <c r="P23" i="6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F10" i="6" s="1"/>
  <c r="BF10" i="6"/>
  <c r="BT21" i="6"/>
  <c r="BT20" i="6"/>
  <c r="BT26" i="6"/>
  <c r="T20" i="6"/>
  <c r="T26" i="6"/>
  <c r="N167" i="6" s="1"/>
  <c r="T21" i="6"/>
  <c r="T27" i="6"/>
  <c r="N168" i="6" s="1"/>
  <c r="T22" i="6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AG10" i="6" l="1"/>
  <c r="G10" i="6"/>
  <c r="G23" i="6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90" i="8" l="1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<sst xmlns="http://schemas.openxmlformats.org/spreadsheetml/2006/main" count="489" uniqueCount="236">
  <si>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</si>
  <si>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</si>
  <si>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</si>
  <si>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</si>
  <si>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</si>
  <si>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</si>
  <si>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</si>
  <si>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</si>
  <si>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</si>
  <si>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</si>
  <si>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</si>
  <si>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</si>
  <si>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</si>
  <si>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</si>
  <si>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</si>
  <si>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</si>
  <si>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</si>
  <si>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</si>
  <si>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</si>
  <si>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</si>
  <si>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</si>
  <si>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</si>
  <si>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</si>
  <si>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</si>
  <si>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</si>
  <si>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</si>
  <si>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</si>
  <si>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</si>
  <si>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</si>
  <si>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</si>
  <si>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</si>
  <si>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</si>
  <si>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</si>
  <si>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</si>
  <si>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</si>
  <si>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</si>
  <si>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</si>
  <si>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</si>
  <si>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</si>
  <si>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</si>
  <si>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</si>
  <si>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</si>
  <si>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</si>
  <si>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</si>
  <si>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</si>
  <si>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</si>
  <si>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</si>
  <si>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</si>
  <si>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</si>
  <si>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</si>
  <si>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</si>
  <si>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</si>
  <si>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</si>
  <si>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</si>
  <si>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</si>
  <si>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</si>
  <si>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</si>
  <si>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</si>
  <si>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</si>
  <si>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</si>
  <si>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</si>
  <si>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</si>
  <si>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</si>
  <si>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</si>
  <si>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</si>
  <si>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</si>
  <si>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</si>
  <si>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</si>
  <si>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</si>
  <si>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</si>
  <si>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</si>
  <si>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</si>
  <si>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</si>
  <si>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</si>
  <si>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</si>
  <si>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</si>
  <si>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</si>
  <si>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</si>
  <si>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</si>
  <si>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</si>
  <si>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</si>
  <si>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</si>
  <si>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</si>
  <si>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</si>
  <si>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</si>
  <si>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</si>
  <si>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</si>
  <si>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</si>
  <si>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</si>
  <si>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</si>
  <si>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</si>
  <si>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</si>
  <si>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</si>
  <si>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</si>
  <si>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</si>
  <si>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</si>
  <si>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</si>
  <si>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</si>
  <si>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</si>
  <si>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</si>
  <si>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</si>
  <si>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</si>
  <si>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</si>
  <si>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</si>
  <si>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</si>
  <si>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</si>
  <si>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</si>
  <si>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</si>
  <si>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</si>
  <si>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</si>
  <si>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</si>
  <si>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</si>
  <si>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</si>
  <si>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</si>
  <si>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</si>
  <si>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</si>
  <si>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</si>
  <si>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</si>
  <si>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</si>
  <si>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</si>
  <si>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</si>
  <si>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</si>
  <si>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</si>
  <si>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</si>
  <si>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</si>
  <si>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</si>
  <si>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</si>
  <si>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</si>
  <si>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</si>
  <si>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</si>
  <si>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</si>
  <si>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</si>
  <si>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</si>
  <si>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</si>
  <si>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</si>
  <si>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</si>
  <si>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</si>
  <si>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</si>
  <si>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</si>
  <si>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</si>
  <si>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</si>
  <si>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</si>
  <si>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</si>
  <si>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</si>
  <si>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</si>
  <si>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</si>
  <si>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</si>
  <si>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</si>
  <si>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</si>
  <si>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</si>
  <si>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</si>
  <si>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</si>
  <si>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</si>
  <si>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</si>
  <si>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</si>
  <si>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</si>
  <si>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</si>
  <si>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</si>
  <si>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</si>
  <si>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</si>
  <si>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</si>
  <si>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</si>
  <si>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</si>
  <si>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</si>
  <si>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</si>
  <si>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</si>
  <si>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</si>
  <si>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</si>
  <si>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</si>
  <si>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</si>
  <si>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</si>
  <si>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</si>
  <si>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</si>
  <si>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</si>
  <si>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</si>
  <si>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</si>
  <si>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</si>
  <si>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</si>
  <si>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</si>
  <si>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</si>
  <si>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</si>
  <si>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</si>
  <si>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</si>
  <si>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</si>
  <si>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</si>
  <si>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</si>
  <si>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</si>
  <si>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</si>
  <si>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</si>
  <si>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</si>
  <si>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</si>
  <si>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</si>
  <si>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</si>
  <si>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</si>
  <si>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</si>
  <si>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</si>
  <si>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</si>
  <si>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</si>
  <si>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</si>
  <si>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</si>
  <si>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</si>
  <si>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</si>
  <si>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</si>
  <si>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</si>
  <si>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</si>
  <si>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</si>
  <si>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</si>
  <si>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</si>
  <si>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</si>
  <si>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</si>
  <si>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</si>
  <si>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</si>
  <si>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</si>
  <si>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</si>
  <si>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</si>
  <si>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</si>
  <si>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</si>
  <si>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</si>
  <si>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</si>
  <si>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</si>
  <si>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</si>
  <si>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</si>
  <si>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</si>
  <si>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</si>
  <si>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</si>
  <si>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</si>
  <si>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</si>
  <si>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</si>
  <si>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</si>
  <si>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</si>
  <si>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</si>
  <si>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</si>
  <si>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</si>
  <si>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</si>
  <si>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20 pontos.eMe</t>
  </si>
  <si>
    <t>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</si>
</sst>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21" fillId="0" borderId="0" xfId="0" applyFont="1"/>
    <xf numFmtId="0" fontId="19" fillId="0" borderId="0" xfId="0" applyFont="1" applyFill="1" applyBorder="1" applyAlignment="1">
      <alignment horizontal="center"/>
    </xf>
    <xf numFmtId="0" fontId="16" fillId="0" borderId="0" xfId="0" applyFont="1" applyFill="1" applyBorder="1" applyProtection="1">
      <protection locked="0"/>
    </xf>
    <xf numFmtId="0" fontId="18" fillId="0" borderId="0" xfId="0" applyFont="1" applyFill="1" applyBorder="1" applyAlignment="1">
      <alignment horizontal="center"/>
    </xf>
    <xf numFmtId="11" fontId="18" fillId="0" borderId="0" xfId="0" applyNumberFormat="1" applyFont="1" applyFill="1" applyBorder="1" applyProtection="1">
      <protection locked="0"/>
    </xf>
    <xf numFmtId="0" fontId="16" fillId="0" borderId="0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2" fontId="22" fillId="2" borderId="5" xfId="0" applyNumberFormat="1" applyFont="1" applyFill="1" applyBorder="1" applyAlignment="1">
      <alignment horizontal="center"/>
    </xf>
    <xf numFmtId="0" fontId="22" fillId="0" borderId="0" xfId="0" applyFont="1"/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23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2" fontId="14" fillId="0" borderId="0" xfId="0" applyNumberFormat="1" applyFont="1" applyFill="1"/>
    <xf numFmtId="0" fontId="14" fillId="0" borderId="0" xfId="0" applyFont="1" applyFill="1" applyAlignment="1">
      <alignment horizontal="center" vertic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123825</xdr:rowOff>
    </xdr:from>
    <xdr:to>
      <xdr:col>12</xdr:col>
      <xdr:colOff>230209</xdr:colOff>
      <xdr:row>3</xdr:row>
      <xdr:rowOff>56732</xdr:rowOff>
    </xdr:to>
    <xdr:sp macro="[0]!MontaResu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15400" y="123825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304800</xdr:colOff>
      <xdr:row>0</xdr:row>
      <xdr:rowOff>133350</xdr:rowOff>
    </xdr:from>
    <xdr:to>
      <xdr:col>14</xdr:col>
      <xdr:colOff>277834</xdr:colOff>
      <xdr:row>3</xdr:row>
      <xdr:rowOff>66257</xdr:rowOff>
    </xdr:to>
    <xdr:sp macro="[0]!LimpaResum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34625" y="133350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N17" sqref="N17"/>
    </sheetView>
  </sheetViews>
  <sheetFormatPr defaultRowHeight="12.75" x14ac:dyDescent="0.2"/>
  <cols>
    <col min="1" max="1" width="8.875" style="211" customWidth="1"/>
    <col min="2" max="6" width="9" style="211"/>
    <col min="7" max="7" width="11.875" style="211" customWidth="1"/>
    <col min="8" max="8" width="13" style="211" customWidth="1"/>
    <col min="9" max="9" width="13.125" style="211" customWidth="1"/>
    <col min="10" max="10" width="11.875" style="211" customWidth="1"/>
    <col min="11" max="11" width="9" style="211"/>
    <col min="12" max="12" width="11.125" style="211" bestFit="1" customWidth="1"/>
    <col min="13" max="14" width="12.5" style="211" customWidth="1"/>
    <col min="15" max="15" width="10.75" style="211" customWidth="1"/>
    <col min="16" max="16" width="15.375" style="211" customWidth="1"/>
    <col min="17" max="17" width="7" style="211" customWidth="1"/>
    <col min="18" max="18" width="15.25" style="211" bestFit="1" customWidth="1"/>
    <col min="19" max="19" width="12.25" style="212" customWidth="1"/>
    <col min="20" max="22" width="13.25" style="212" customWidth="1"/>
    <col min="23" max="23" width="13" style="211" customWidth="1"/>
    <col min="24" max="24" width="13.75" style="211" customWidth="1"/>
    <col min="25" max="25" width="12.75" style="211" customWidth="1"/>
    <col min="26" max="26" width="12.625" style="211" customWidth="1"/>
    <col min="27" max="27" width="13.5" style="211" customWidth="1"/>
    <col min="28" max="28" width="12.5" style="211" customWidth="1"/>
    <col min="29" max="29" width="9.75" style="211" customWidth="1"/>
    <col min="30" max="30" width="10.25" style="211" customWidth="1"/>
    <col min="31" max="31" width="11.375" style="211" customWidth="1"/>
    <col min="32" max="32" width="11.25" style="211" customWidth="1"/>
    <col min="33" max="33" width="9.625" style="211" customWidth="1"/>
    <col min="34" max="34" width="6.125" style="211" customWidth="1"/>
    <col min="35" max="38" width="2.75" style="211" customWidth="1"/>
    <col min="39" max="39" width="5" style="211" customWidth="1"/>
    <col min="40" max="40" width="16.125" style="211" customWidth="1"/>
    <col min="41" max="41" width="12.875" style="211" customWidth="1"/>
    <col min="42" max="42" width="13.375" style="211" customWidth="1"/>
    <col min="43" max="45" width="2.75" style="211" customWidth="1"/>
    <col min="46" max="16384" width="9" style="211"/>
  </cols>
  <sheetData>
    <row r="1" spans="8:46" ht="30" customHeight="1" x14ac:dyDescent="0.2">
      <c r="P1" s="211" t="s">
        <v>66</v>
      </c>
      <c r="Q1" s="211" t="s">
        <v>0</v>
      </c>
      <c r="R1" s="211" t="s">
        <v>18</v>
      </c>
      <c r="T1" s="212" t="s">
        <v>122</v>
      </c>
      <c r="U1" s="212" t="s">
        <v>122</v>
      </c>
      <c r="V1" s="212" t="s">
        <v>122</v>
      </c>
      <c r="W1" s="211">
        <v>0</v>
      </c>
      <c r="X1" s="213"/>
      <c r="Y1" s="213"/>
      <c r="AA1" s="211">
        <f>N5+O5+P5</f>
        <v>1</v>
      </c>
      <c r="AM1" s="211">
        <v>1</v>
      </c>
      <c r="AT1" s="211" t="s">
        <v>5</v>
      </c>
    </row>
    <row r="2" spans="8:46" x14ac:dyDescent="0.2">
      <c r="T2" s="212" t="s">
        <v>120</v>
      </c>
      <c r="U2" s="212" t="s">
        <v>120</v>
      </c>
      <c r="V2" s="212" t="s">
        <v>120</v>
      </c>
      <c r="AM2" s="211">
        <v>2</v>
      </c>
      <c r="AT2" s="211" t="s">
        <v>7</v>
      </c>
    </row>
    <row r="3" spans="8:46" x14ac:dyDescent="0.2">
      <c r="R3" s="211" t="s">
        <v>81</v>
      </c>
      <c r="T3" s="212" t="s">
        <v>121</v>
      </c>
      <c r="U3" s="212" t="s">
        <v>121</v>
      </c>
      <c r="V3" s="212" t="s">
        <v>121</v>
      </c>
      <c r="AM3" s="211">
        <v>3</v>
      </c>
      <c r="AT3" s="211" t="s">
        <v>6</v>
      </c>
    </row>
    <row r="4" spans="8:46" x14ac:dyDescent="0.2">
      <c r="T4" s="212" t="s">
        <v>123</v>
      </c>
      <c r="U4" s="212" t="s">
        <v>123</v>
      </c>
      <c r="V4" s="212" t="s">
        <v>123</v>
      </c>
      <c r="X4" s="211" t="s">
        <v>93</v>
      </c>
      <c r="AM4" s="211">
        <v>4</v>
      </c>
      <c r="AT4" s="211" t="s">
        <v>87</v>
      </c>
    </row>
    <row r="5" spans="8:46" x14ac:dyDescent="0.2">
      <c r="N5" s="211" t="b">
        <v>0</v>
      </c>
      <c r="O5" s="211" t="b">
        <v>0</v>
      </c>
      <c r="P5" s="211" t="b">
        <v>1</v>
      </c>
      <c r="T5" s="212" t="s">
        <v>124</v>
      </c>
      <c r="U5" s="212" t="s">
        <v>124</v>
      </c>
      <c r="V5" s="212" t="s">
        <v>124</v>
      </c>
      <c r="X5" s="211" t="s">
        <v>101</v>
      </c>
      <c r="Y5" s="211" t="s">
        <v>104</v>
      </c>
      <c r="Z5" s="211" t="s">
        <v>103</v>
      </c>
      <c r="AM5" s="211">
        <v>5</v>
      </c>
    </row>
    <row r="6" spans="8:46" x14ac:dyDescent="0.2">
      <c r="T6" s="212" t="s">
        <v>125</v>
      </c>
      <c r="U6" s="212" t="s">
        <v>125</v>
      </c>
      <c r="V6" s="212" t="s">
        <v>125</v>
      </c>
      <c r="X6" s="211" t="b">
        <v>0</v>
      </c>
      <c r="Y6" s="211" t="b">
        <v>0</v>
      </c>
      <c r="Z6" s="211" t="b">
        <v>0</v>
      </c>
      <c r="AM6" s="211">
        <v>6</v>
      </c>
    </row>
    <row r="7" spans="8:46" x14ac:dyDescent="0.2">
      <c r="T7" s="212" t="s">
        <v>126</v>
      </c>
      <c r="U7" s="212" t="s">
        <v>126</v>
      </c>
      <c r="V7" s="212" t="s">
        <v>126</v>
      </c>
      <c r="AM7" s="211">
        <v>7</v>
      </c>
    </row>
    <row r="8" spans="8:46" x14ac:dyDescent="0.2">
      <c r="T8" s="212" t="s">
        <v>127</v>
      </c>
      <c r="U8" s="212" t="s">
        <v>127</v>
      </c>
      <c r="V8" s="212" t="s">
        <v>127</v>
      </c>
      <c r="AM8" s="211">
        <v>8</v>
      </c>
    </row>
    <row r="9" spans="8:46" x14ac:dyDescent="0.2">
      <c r="T9" s="212" t="s">
        <v>128</v>
      </c>
      <c r="U9" s="212" t="s">
        <v>128</v>
      </c>
      <c r="V9" s="212" t="s">
        <v>128</v>
      </c>
      <c r="AM9" s="211">
        <v>9</v>
      </c>
    </row>
    <row r="10" spans="8:46" x14ac:dyDescent="0.2">
      <c r="T10" s="212" t="s">
        <v>129</v>
      </c>
      <c r="U10" s="212" t="s">
        <v>129</v>
      </c>
      <c r="V10" s="212" t="s">
        <v>129</v>
      </c>
      <c r="AM10" s="211">
        <v>10</v>
      </c>
    </row>
    <row r="11" spans="8:46" x14ac:dyDescent="0.2">
      <c r="P11" s="214"/>
      <c r="R11" s="211" t="s">
        <v>65</v>
      </c>
      <c r="S11" s="212">
        <v>1</v>
      </c>
      <c r="T11" s="212" t="b">
        <v>1</v>
      </c>
      <c r="U11" s="212" t="b">
        <v>1</v>
      </c>
      <c r="V11" s="212" t="b">
        <v>1</v>
      </c>
      <c r="W11" s="215"/>
      <c r="X11" s="215"/>
      <c r="Y11" s="215"/>
      <c r="Z11" s="215"/>
      <c r="AA11" s="215"/>
      <c r="AB11" s="215"/>
    </row>
    <row r="12" spans="8:46" x14ac:dyDescent="0.2">
      <c r="N12" s="214"/>
      <c r="S12" s="212">
        <v>2</v>
      </c>
      <c r="T12" s="212" t="b">
        <v>1</v>
      </c>
      <c r="U12" s="212" t="b">
        <v>1</v>
      </c>
      <c r="V12" s="212" t="b">
        <v>1</v>
      </c>
    </row>
    <row r="13" spans="8:46" x14ac:dyDescent="0.2">
      <c r="H13" s="216"/>
      <c r="I13" s="216"/>
      <c r="S13" s="212">
        <v>3</v>
      </c>
      <c r="T13" s="212" t="b">
        <v>1</v>
      </c>
      <c r="U13" s="212" t="b">
        <v>1</v>
      </c>
      <c r="V13" s="212" t="b">
        <v>1</v>
      </c>
    </row>
    <row r="14" spans="8:46" x14ac:dyDescent="0.2">
      <c r="S14" s="212">
        <v>4</v>
      </c>
      <c r="T14" s="212" t="b">
        <v>1</v>
      </c>
      <c r="U14" s="212" t="b">
        <v>1</v>
      </c>
      <c r="V14" s="212" t="b">
        <v>1</v>
      </c>
    </row>
    <row r="15" spans="8:46" x14ac:dyDescent="0.2">
      <c r="S15" s="212">
        <v>5</v>
      </c>
      <c r="T15" s="212" t="b">
        <v>1</v>
      </c>
      <c r="U15" s="212" t="b">
        <v>1</v>
      </c>
      <c r="V15" s="212" t="b">
        <v>1</v>
      </c>
    </row>
    <row r="16" spans="8:46" x14ac:dyDescent="0.2">
      <c r="S16" s="212">
        <v>6</v>
      </c>
      <c r="T16" s="212" t="b">
        <v>1</v>
      </c>
      <c r="U16" s="212" t="b">
        <v>1</v>
      </c>
      <c r="V16" s="212" t="b">
        <v>1</v>
      </c>
    </row>
    <row r="17" spans="1:32" x14ac:dyDescent="0.2">
      <c r="S17" s="212">
        <v>7</v>
      </c>
      <c r="T17" s="212" t="b">
        <v>1</v>
      </c>
      <c r="U17" s="212" t="b">
        <v>1</v>
      </c>
      <c r="V17" s="212" t="b">
        <v>1</v>
      </c>
    </row>
    <row r="18" spans="1:32" x14ac:dyDescent="0.2">
      <c r="S18" s="212">
        <v>8</v>
      </c>
      <c r="T18" s="212" t="b">
        <v>1</v>
      </c>
      <c r="U18" s="212" t="b">
        <v>1</v>
      </c>
      <c r="V18" s="212" t="b">
        <v>1</v>
      </c>
    </row>
    <row r="19" spans="1:32" x14ac:dyDescent="0.2">
      <c r="S19" s="212">
        <v>9</v>
      </c>
      <c r="T19" s="212" t="b">
        <v>1</v>
      </c>
      <c r="U19" s="212" t="b">
        <v>1</v>
      </c>
      <c r="V19" s="212" t="b">
        <v>1</v>
      </c>
    </row>
    <row r="20" spans="1:32" x14ac:dyDescent="0.2">
      <c r="S20" s="212">
        <v>10</v>
      </c>
      <c r="T20" s="212" t="b">
        <v>1</v>
      </c>
      <c r="U20" s="212" t="b">
        <v>1</v>
      </c>
      <c r="V20" s="212" t="b">
        <v>1</v>
      </c>
    </row>
    <row r="21" spans="1:32" x14ac:dyDescent="0.2">
      <c r="R21" s="211" t="s">
        <v>1</v>
      </c>
      <c r="S21" s="212">
        <v>1</v>
      </c>
      <c r="T21" s="212" t="b">
        <v>0</v>
      </c>
      <c r="U21" s="212" t="b">
        <v>0</v>
      </c>
      <c r="V21" s="212" t="b">
        <v>0</v>
      </c>
      <c r="W21" s="211">
        <f>IF(T21,1,0)</f>
        <v>0</v>
      </c>
      <c r="X21" s="211">
        <f>IF(T22,1,0)</f>
        <v>0</v>
      </c>
      <c r="Y21" s="211">
        <f>IF(T23,1,0)</f>
        <v>0</v>
      </c>
      <c r="Z21" s="211">
        <f>IF(T24,1,0)</f>
        <v>0</v>
      </c>
      <c r="AA21" s="211">
        <f>IF(T25,1,0)</f>
        <v>0</v>
      </c>
      <c r="AB21" s="211">
        <f>IF(T26,1,0)</f>
        <v>0</v>
      </c>
      <c r="AC21" s="211">
        <f>IF(T27,1,0)</f>
        <v>0</v>
      </c>
      <c r="AD21" s="211">
        <f>IF(T28,1,0)</f>
        <v>0</v>
      </c>
      <c r="AE21" s="211">
        <f>IF(T29,1,0)</f>
        <v>0</v>
      </c>
      <c r="AF21" s="211">
        <f>IF(T30,1,0)</f>
        <v>0</v>
      </c>
    </row>
    <row r="22" spans="1:32" x14ac:dyDescent="0.2">
      <c r="B22" s="217"/>
      <c r="S22" s="212">
        <v>2</v>
      </c>
      <c r="T22" s="212" t="b">
        <v>0</v>
      </c>
      <c r="U22" s="212" t="b">
        <v>0</v>
      </c>
      <c r="V22" s="212" t="b">
        <v>0</v>
      </c>
    </row>
    <row r="23" spans="1:32" x14ac:dyDescent="0.2">
      <c r="B23" s="217"/>
      <c r="M23" s="214"/>
      <c r="S23" s="212">
        <v>3</v>
      </c>
      <c r="T23" s="212" t="b">
        <v>0</v>
      </c>
      <c r="U23" s="212" t="b">
        <v>0</v>
      </c>
      <c r="V23" s="212" t="b">
        <v>0</v>
      </c>
    </row>
    <row r="24" spans="1:32" x14ac:dyDescent="0.2">
      <c r="B24" s="217"/>
      <c r="S24" s="212">
        <v>4</v>
      </c>
      <c r="T24" s="212" t="b">
        <v>0</v>
      </c>
      <c r="U24" s="212" t="b">
        <v>0</v>
      </c>
      <c r="V24" s="212" t="b">
        <v>0</v>
      </c>
    </row>
    <row r="25" spans="1:32" x14ac:dyDescent="0.2">
      <c r="A25" s="217"/>
      <c r="B25" s="217"/>
      <c r="S25" s="212">
        <v>5</v>
      </c>
      <c r="T25" s="212" t="b">
        <v>0</v>
      </c>
      <c r="U25" s="212" t="b">
        <v>0</v>
      </c>
      <c r="V25" s="212" t="b">
        <v>0</v>
      </c>
    </row>
    <row r="26" spans="1:32" x14ac:dyDescent="0.2">
      <c r="A26" s="218"/>
      <c r="B26" s="218"/>
      <c r="C26" s="218"/>
      <c r="D26" s="218"/>
      <c r="E26" s="218"/>
      <c r="S26" s="212">
        <v>6</v>
      </c>
      <c r="T26" s="212" t="b">
        <v>0</v>
      </c>
      <c r="U26" s="212" t="b">
        <v>0</v>
      </c>
      <c r="V26" s="212" t="b">
        <v>0</v>
      </c>
    </row>
    <row r="27" spans="1:32" x14ac:dyDescent="0.2">
      <c r="A27" s="218"/>
      <c r="B27" s="218"/>
      <c r="C27" s="218"/>
      <c r="D27" s="218"/>
      <c r="E27" s="218"/>
      <c r="S27" s="212">
        <v>7</v>
      </c>
      <c r="T27" s="212" t="b">
        <v>0</v>
      </c>
      <c r="U27" s="212" t="b">
        <v>0</v>
      </c>
      <c r="V27" s="212" t="b">
        <v>0</v>
      </c>
    </row>
    <row r="28" spans="1:32" x14ac:dyDescent="0.2">
      <c r="A28" s="218"/>
      <c r="B28" s="218"/>
      <c r="C28" s="218"/>
      <c r="D28" s="218"/>
      <c r="E28" s="218"/>
      <c r="S28" s="212">
        <v>8</v>
      </c>
      <c r="T28" s="212" t="b">
        <v>0</v>
      </c>
      <c r="U28" s="212" t="b">
        <v>0</v>
      </c>
      <c r="V28" s="212" t="b">
        <v>0</v>
      </c>
    </row>
    <row r="29" spans="1:32" x14ac:dyDescent="0.2">
      <c r="A29" s="218"/>
      <c r="B29" s="218"/>
      <c r="C29" s="218"/>
      <c r="D29" s="218"/>
      <c r="E29" s="218"/>
      <c r="S29" s="212">
        <v>9</v>
      </c>
      <c r="T29" s="212" t="b">
        <v>0</v>
      </c>
      <c r="U29" s="212" t="b">
        <v>0</v>
      </c>
      <c r="V29" s="212" t="b">
        <v>0</v>
      </c>
    </row>
    <row r="30" spans="1:32" x14ac:dyDescent="0.2">
      <c r="A30" s="191"/>
      <c r="B30" s="191"/>
      <c r="C30" s="191"/>
      <c r="S30" s="212">
        <v>10</v>
      </c>
      <c r="T30" s="212" t="b">
        <v>0</v>
      </c>
      <c r="U30" s="212" t="b">
        <v>0</v>
      </c>
      <c r="V30" s="212" t="b">
        <v>0</v>
      </c>
    </row>
    <row r="31" spans="1:32" x14ac:dyDescent="0.2">
      <c r="R31" s="211" t="s">
        <v>2</v>
      </c>
      <c r="S31" s="212">
        <v>1</v>
      </c>
      <c r="T31" s="212">
        <v>1</v>
      </c>
      <c r="U31" s="212">
        <v>1</v>
      </c>
      <c r="V31" s="212">
        <v>1</v>
      </c>
      <c r="W31" s="211">
        <f>IF($T$41,T31,1)</f>
        <v>1</v>
      </c>
      <c r="X31" s="211">
        <f>IF($T$41,T32,1)</f>
        <v>1</v>
      </c>
      <c r="Y31" s="211">
        <f>IF($T$41,T33,1)</f>
        <v>1</v>
      </c>
      <c r="Z31" s="211">
        <f>IF($T$41,T34,1)</f>
        <v>1</v>
      </c>
      <c r="AA31" s="211">
        <f>IF($T$41,T35,1)</f>
        <v>1</v>
      </c>
      <c r="AB31" s="211">
        <f>IF($T$41,T36,1)</f>
        <v>1</v>
      </c>
      <c r="AC31" s="211">
        <f>IF($T$41,T37,1)</f>
        <v>1</v>
      </c>
      <c r="AD31" s="211">
        <f>IF($T$41,T38,1)</f>
        <v>1</v>
      </c>
      <c r="AE31" s="211">
        <f>IF($T$41,T39,1)</f>
        <v>1</v>
      </c>
      <c r="AF31" s="211">
        <f>IF($T$41,T40,1)</f>
        <v>1</v>
      </c>
    </row>
    <row r="32" spans="1:32" x14ac:dyDescent="0.2">
      <c r="S32" s="212">
        <v>2</v>
      </c>
      <c r="T32" s="212">
        <v>1</v>
      </c>
      <c r="U32" s="212">
        <v>1</v>
      </c>
      <c r="V32" s="212">
        <v>1</v>
      </c>
    </row>
    <row r="33" spans="1:24" x14ac:dyDescent="0.2">
      <c r="S33" s="212">
        <v>3</v>
      </c>
      <c r="T33" s="212">
        <v>1</v>
      </c>
      <c r="U33" s="212">
        <v>1</v>
      </c>
      <c r="V33" s="212">
        <v>1</v>
      </c>
    </row>
    <row r="34" spans="1:24" x14ac:dyDescent="0.2">
      <c r="S34" s="212">
        <v>4</v>
      </c>
      <c r="T34" s="212">
        <v>1</v>
      </c>
      <c r="U34" s="212">
        <v>1</v>
      </c>
      <c r="V34" s="212">
        <v>1</v>
      </c>
    </row>
    <row r="35" spans="1:24" x14ac:dyDescent="0.2">
      <c r="S35" s="212">
        <v>5</v>
      </c>
      <c r="T35" s="212">
        <v>1</v>
      </c>
      <c r="U35" s="212">
        <v>1</v>
      </c>
      <c r="V35" s="212">
        <v>1</v>
      </c>
    </row>
    <row r="36" spans="1:24" x14ac:dyDescent="0.2">
      <c r="S36" s="212">
        <v>6</v>
      </c>
      <c r="T36" s="212">
        <v>1</v>
      </c>
      <c r="U36" s="212">
        <v>1</v>
      </c>
      <c r="V36" s="212">
        <v>1</v>
      </c>
    </row>
    <row r="37" spans="1:24" x14ac:dyDescent="0.2">
      <c r="E37" s="212" t="s">
        <v>65</v>
      </c>
      <c r="F37" s="212">
        <v>1</v>
      </c>
      <c r="G37" s="212" t="b">
        <v>0</v>
      </c>
      <c r="H37" s="212" t="b">
        <v>0</v>
      </c>
      <c r="I37" s="212" t="b">
        <v>0</v>
      </c>
      <c r="K37" s="219">
        <v>1</v>
      </c>
      <c r="L37" s="219"/>
      <c r="M37" s="219"/>
      <c r="N37" s="219"/>
      <c r="O37" s="212" t="s">
        <v>18</v>
      </c>
      <c r="S37" s="212">
        <v>7</v>
      </c>
      <c r="T37" s="212">
        <v>1</v>
      </c>
      <c r="U37" s="212">
        <v>1</v>
      </c>
      <c r="V37" s="212">
        <v>1</v>
      </c>
    </row>
    <row r="38" spans="1:24" x14ac:dyDescent="0.2">
      <c r="F38" s="212">
        <v>2</v>
      </c>
      <c r="G38" s="212" t="b">
        <v>0</v>
      </c>
      <c r="H38" s="212" t="b">
        <v>0</v>
      </c>
      <c r="I38" s="212" t="b">
        <v>0</v>
      </c>
      <c r="K38" s="219">
        <v>2</v>
      </c>
      <c r="L38" s="219"/>
      <c r="M38" s="219"/>
      <c r="N38" s="219"/>
      <c r="S38" s="212">
        <v>8</v>
      </c>
      <c r="T38" s="212">
        <v>1</v>
      </c>
      <c r="U38" s="212">
        <v>1</v>
      </c>
      <c r="V38" s="212">
        <v>1</v>
      </c>
    </row>
    <row r="39" spans="1:24" x14ac:dyDescent="0.2">
      <c r="F39" s="212">
        <v>3</v>
      </c>
      <c r="G39" s="212" t="b">
        <v>0</v>
      </c>
      <c r="H39" s="212" t="b">
        <v>0</v>
      </c>
      <c r="I39" s="212" t="b">
        <v>0</v>
      </c>
      <c r="K39" s="219">
        <v>3</v>
      </c>
      <c r="L39" s="219"/>
      <c r="M39" s="219"/>
      <c r="N39" s="219"/>
      <c r="S39" s="212">
        <v>9</v>
      </c>
      <c r="T39" s="212">
        <v>1</v>
      </c>
      <c r="U39" s="212">
        <v>1</v>
      </c>
      <c r="V39" s="212">
        <v>1</v>
      </c>
    </row>
    <row r="40" spans="1:24" x14ac:dyDescent="0.2">
      <c r="F40" s="212">
        <v>4</v>
      </c>
      <c r="G40" s="212" t="b">
        <v>0</v>
      </c>
      <c r="H40" s="212" t="b">
        <v>0</v>
      </c>
      <c r="I40" s="212" t="b">
        <v>0</v>
      </c>
      <c r="K40" s="219">
        <v>4</v>
      </c>
      <c r="L40" s="219"/>
      <c r="M40" s="219"/>
      <c r="N40" s="219"/>
      <c r="S40" s="212">
        <v>10</v>
      </c>
      <c r="T40" s="212">
        <v>1</v>
      </c>
      <c r="U40" s="212">
        <v>1</v>
      </c>
      <c r="V40" s="212">
        <v>1</v>
      </c>
    </row>
    <row r="41" spans="1:24" x14ac:dyDescent="0.2">
      <c r="F41" s="212">
        <v>5</v>
      </c>
      <c r="G41" s="212" t="b">
        <v>0</v>
      </c>
      <c r="H41" s="212" t="b">
        <v>0</v>
      </c>
      <c r="I41" s="212" t="b">
        <v>0</v>
      </c>
      <c r="K41" s="219">
        <v>5</v>
      </c>
      <c r="L41" s="219"/>
      <c r="M41" s="219"/>
      <c r="N41" s="219"/>
      <c r="R41" s="211" t="s">
        <v>70</v>
      </c>
      <c r="S41" s="212">
        <v>0</v>
      </c>
      <c r="T41" s="212" t="b">
        <v>0</v>
      </c>
      <c r="U41" s="212" t="b">
        <v>0</v>
      </c>
      <c r="V41" s="212" t="b">
        <v>0</v>
      </c>
      <c r="X41" s="212" t="s">
        <v>90</v>
      </c>
    </row>
    <row r="42" spans="1:24" x14ac:dyDescent="0.2">
      <c r="F42" s="212">
        <v>6</v>
      </c>
      <c r="G42" s="212" t="b">
        <v>0</v>
      </c>
      <c r="H42" s="212" t="b">
        <v>0</v>
      </c>
      <c r="I42" s="212" t="b">
        <v>0</v>
      </c>
      <c r="K42" s="219">
        <v>6</v>
      </c>
      <c r="L42" s="219"/>
      <c r="M42" s="219"/>
      <c r="N42" s="219"/>
      <c r="Q42" s="211" t="s">
        <v>3</v>
      </c>
      <c r="R42" s="211" t="s">
        <v>68</v>
      </c>
      <c r="S42" s="212" t="s">
        <v>5</v>
      </c>
      <c r="T42" s="212" t="b">
        <v>0</v>
      </c>
      <c r="U42" s="212" t="b">
        <v>0</v>
      </c>
      <c r="V42" s="212" t="b">
        <v>0</v>
      </c>
      <c r="X42" s="213" t="b">
        <v>0</v>
      </c>
    </row>
    <row r="43" spans="1:24" x14ac:dyDescent="0.2">
      <c r="F43" s="212">
        <v>7</v>
      </c>
      <c r="G43" s="212" t="b">
        <v>0</v>
      </c>
      <c r="H43" s="212" t="b">
        <v>0</v>
      </c>
      <c r="I43" s="212" t="b">
        <v>0</v>
      </c>
      <c r="K43" s="219">
        <v>7</v>
      </c>
      <c r="L43" s="219"/>
      <c r="M43" s="219"/>
      <c r="N43" s="219"/>
      <c r="S43" s="212" t="s">
        <v>6</v>
      </c>
      <c r="T43" s="212" t="b">
        <v>0</v>
      </c>
      <c r="U43" s="212" t="b">
        <v>0</v>
      </c>
      <c r="V43" s="212" t="b">
        <v>0</v>
      </c>
      <c r="X43" s="212" t="s">
        <v>105</v>
      </c>
    </row>
    <row r="44" spans="1:24" x14ac:dyDescent="0.2">
      <c r="F44" s="212">
        <v>8</v>
      </c>
      <c r="G44" s="212" t="b">
        <v>0</v>
      </c>
      <c r="H44" s="212" t="b">
        <v>0</v>
      </c>
      <c r="I44" s="212" t="b">
        <v>0</v>
      </c>
      <c r="K44" s="219">
        <v>8</v>
      </c>
      <c r="L44" s="219"/>
      <c r="M44" s="219"/>
      <c r="N44" s="219"/>
      <c r="S44" s="212" t="s">
        <v>7</v>
      </c>
      <c r="T44" s="212" t="b">
        <v>0</v>
      </c>
      <c r="U44" s="212" t="b">
        <v>0</v>
      </c>
      <c r="V44" s="212" t="b">
        <v>0</v>
      </c>
      <c r="X44" s="213" t="b">
        <v>0</v>
      </c>
    </row>
    <row r="45" spans="1:24" x14ac:dyDescent="0.2">
      <c r="F45" s="212">
        <v>9</v>
      </c>
      <c r="G45" s="212" t="b">
        <v>0</v>
      </c>
      <c r="H45" s="212" t="b">
        <v>0</v>
      </c>
      <c r="I45" s="212" t="b">
        <v>0</v>
      </c>
      <c r="K45" s="219">
        <v>9</v>
      </c>
      <c r="L45" s="219"/>
      <c r="M45" s="219"/>
      <c r="N45" s="219"/>
      <c r="R45" s="211" t="s">
        <v>67</v>
      </c>
      <c r="S45" s="212" t="s">
        <v>5</v>
      </c>
      <c r="T45" s="212">
        <v>10</v>
      </c>
      <c r="U45" s="212">
        <v>10</v>
      </c>
      <c r="V45" s="212">
        <v>10</v>
      </c>
    </row>
    <row r="46" spans="1:24" x14ac:dyDescent="0.2">
      <c r="F46" s="212">
        <v>10</v>
      </c>
      <c r="G46" s="212" t="b">
        <v>0</v>
      </c>
      <c r="H46" s="212" t="b">
        <v>0</v>
      </c>
      <c r="I46" s="212" t="b">
        <v>0</v>
      </c>
      <c r="K46" s="219">
        <v>10</v>
      </c>
      <c r="L46" s="219"/>
      <c r="M46" s="219"/>
      <c r="N46" s="219"/>
      <c r="S46" s="212" t="s">
        <v>6</v>
      </c>
      <c r="T46" s="212">
        <v>10</v>
      </c>
      <c r="U46" s="212">
        <v>10</v>
      </c>
      <c r="V46" s="212">
        <v>10</v>
      </c>
    </row>
    <row r="47" spans="1:24" x14ac:dyDescent="0.2">
      <c r="A47" s="211" t="s">
        <v>234</v>
      </c>
      <c r="F47" s="212">
        <v>11</v>
      </c>
      <c r="G47" s="211" t="b">
        <v>0</v>
      </c>
      <c r="H47" s="211" t="b">
        <v>0</v>
      </c>
      <c r="I47" s="211" t="b">
        <v>0</v>
      </c>
      <c r="K47" s="219">
        <v>11</v>
      </c>
      <c r="L47" s="219"/>
      <c r="M47" s="219"/>
      <c r="N47" s="219"/>
      <c r="S47" s="212" t="s">
        <v>7</v>
      </c>
      <c r="T47" s="212">
        <v>10</v>
      </c>
      <c r="U47" s="212">
        <v>10</v>
      </c>
      <c r="V47" s="212">
        <v>10</v>
      </c>
    </row>
    <row r="48" spans="1:24" x14ac:dyDescent="0.2">
      <c r="F48" s="212">
        <v>12</v>
      </c>
      <c r="G48" s="211" t="b">
        <v>0</v>
      </c>
      <c r="H48" s="211" t="b">
        <v>0</v>
      </c>
      <c r="I48" s="211" t="b">
        <v>0</v>
      </c>
      <c r="K48" s="219">
        <v>12</v>
      </c>
      <c r="L48" s="219"/>
      <c r="M48" s="219"/>
      <c r="N48" s="219"/>
      <c r="Q48" s="211" t="s">
        <v>19</v>
      </c>
      <c r="R48" s="211" t="s">
        <v>65</v>
      </c>
      <c r="S48" s="212">
        <v>1</v>
      </c>
      <c r="T48" s="212" t="b">
        <v>0</v>
      </c>
      <c r="U48" s="212" t="b">
        <v>0</v>
      </c>
      <c r="V48" s="212" t="b">
        <v>0</v>
      </c>
    </row>
    <row r="49" spans="6:33" x14ac:dyDescent="0.2">
      <c r="F49" s="212">
        <v>13</v>
      </c>
      <c r="G49" s="211" t="b">
        <v>0</v>
      </c>
      <c r="H49" s="211" t="b">
        <v>0</v>
      </c>
      <c r="I49" s="211" t="b">
        <v>0</v>
      </c>
      <c r="K49" s="219">
        <v>13</v>
      </c>
      <c r="L49" s="219"/>
      <c r="M49" s="219"/>
      <c r="N49" s="219"/>
      <c r="S49" s="212">
        <v>5</v>
      </c>
      <c r="T49" s="212" t="b">
        <v>0</v>
      </c>
      <c r="U49" s="212" t="b">
        <v>0</v>
      </c>
      <c r="V49" s="212" t="b">
        <v>0</v>
      </c>
    </row>
    <row r="50" spans="6:33" x14ac:dyDescent="0.2">
      <c r="F50" s="212">
        <v>14</v>
      </c>
      <c r="G50" s="211" t="b">
        <v>0</v>
      </c>
      <c r="H50" s="211" t="b">
        <v>0</v>
      </c>
      <c r="I50" s="211" t="b">
        <v>0</v>
      </c>
      <c r="K50" s="219">
        <v>14</v>
      </c>
      <c r="L50" s="219"/>
      <c r="M50" s="219"/>
      <c r="N50" s="219"/>
      <c r="S50" s="212" t="s">
        <v>16</v>
      </c>
      <c r="T50" s="212" t="b">
        <v>0</v>
      </c>
      <c r="U50" s="212" t="b">
        <v>0</v>
      </c>
      <c r="V50" s="212" t="b">
        <v>0</v>
      </c>
    </row>
    <row r="51" spans="6:33" x14ac:dyDescent="0.2">
      <c r="F51" s="212">
        <v>15</v>
      </c>
      <c r="G51" s="211" t="b">
        <v>0</v>
      </c>
      <c r="H51" s="211" t="b">
        <v>0</v>
      </c>
      <c r="I51" s="211" t="b">
        <v>0</v>
      </c>
      <c r="K51" s="219">
        <v>15</v>
      </c>
      <c r="L51" s="219"/>
      <c r="M51" s="219"/>
      <c r="N51" s="219"/>
      <c r="R51" s="211" t="s">
        <v>11</v>
      </c>
      <c r="S51" s="212">
        <v>1</v>
      </c>
      <c r="T51" s="212">
        <v>1</v>
      </c>
      <c r="U51" s="212">
        <v>1</v>
      </c>
      <c r="V51" s="212">
        <v>1</v>
      </c>
    </row>
    <row r="52" spans="6:33" x14ac:dyDescent="0.2">
      <c r="F52" s="212">
        <v>16</v>
      </c>
      <c r="G52" s="211" t="b">
        <v>0</v>
      </c>
      <c r="H52" s="211" t="b">
        <v>0</v>
      </c>
      <c r="I52" s="211" t="b">
        <v>0</v>
      </c>
      <c r="K52" s="219">
        <v>16</v>
      </c>
      <c r="L52" s="219"/>
      <c r="M52" s="219"/>
      <c r="N52" s="219"/>
      <c r="S52" s="212">
        <v>5</v>
      </c>
      <c r="T52" s="212">
        <v>5</v>
      </c>
      <c r="U52" s="212">
        <v>5</v>
      </c>
      <c r="V52" s="212">
        <v>5</v>
      </c>
    </row>
    <row r="53" spans="6:33" x14ac:dyDescent="0.2">
      <c r="F53" s="212">
        <v>17</v>
      </c>
      <c r="G53" s="211" t="b">
        <v>0</v>
      </c>
      <c r="H53" s="211" t="b">
        <v>0</v>
      </c>
      <c r="I53" s="211" t="b">
        <v>0</v>
      </c>
      <c r="K53" s="219">
        <v>17</v>
      </c>
      <c r="L53" s="219"/>
      <c r="M53" s="219"/>
      <c r="N53" s="219"/>
      <c r="S53" s="212" t="s">
        <v>16</v>
      </c>
      <c r="T53" s="212">
        <v>2</v>
      </c>
      <c r="U53" s="212">
        <v>2</v>
      </c>
      <c r="V53" s="212">
        <v>2</v>
      </c>
    </row>
    <row r="54" spans="6:33" x14ac:dyDescent="0.2">
      <c r="F54" s="212">
        <v>18</v>
      </c>
      <c r="G54" s="211" t="b">
        <v>0</v>
      </c>
      <c r="H54" s="211" t="b">
        <v>0</v>
      </c>
      <c r="I54" s="211" t="b">
        <v>0</v>
      </c>
      <c r="K54" s="219">
        <v>18</v>
      </c>
      <c r="L54" s="219"/>
      <c r="M54" s="219"/>
      <c r="N54" s="219"/>
      <c r="Q54" s="211" t="s">
        <v>69</v>
      </c>
      <c r="R54" s="211" t="s">
        <v>65</v>
      </c>
      <c r="S54" s="212" t="s">
        <v>5</v>
      </c>
      <c r="T54" s="212" t="b">
        <v>0</v>
      </c>
      <c r="U54" s="212" t="b">
        <v>0</v>
      </c>
      <c r="V54" s="212" t="b">
        <v>0</v>
      </c>
    </row>
    <row r="55" spans="6:33" x14ac:dyDescent="0.2">
      <c r="F55" s="212">
        <v>19</v>
      </c>
      <c r="G55" s="211" t="b">
        <v>0</v>
      </c>
      <c r="H55" s="211" t="b">
        <v>0</v>
      </c>
      <c r="I55" s="211" t="b">
        <v>0</v>
      </c>
      <c r="K55" s="219">
        <v>19</v>
      </c>
      <c r="L55" s="219"/>
      <c r="M55" s="219"/>
      <c r="N55" s="219"/>
      <c r="S55" s="212" t="s">
        <v>6</v>
      </c>
      <c r="T55" s="212" t="b">
        <v>0</v>
      </c>
      <c r="U55" s="212" t="b">
        <v>0</v>
      </c>
      <c r="V55" s="212" t="b">
        <v>0</v>
      </c>
      <c r="W55" s="211" t="s">
        <v>235</v>
      </c>
      <c r="X55" s="211" t="s">
        <v>235</v>
      </c>
      <c r="Y55" s="211" t="s">
        <v>235</v>
      </c>
      <c r="AA55" s="211" t="s">
        <v>6</v>
      </c>
    </row>
    <row r="56" spans="6:33" x14ac:dyDescent="0.2">
      <c r="F56" s="212">
        <v>20</v>
      </c>
      <c r="G56" s="211" t="b">
        <v>0</v>
      </c>
      <c r="H56" s="211" t="b">
        <v>0</v>
      </c>
      <c r="I56" s="211" t="b">
        <v>0</v>
      </c>
      <c r="K56" s="219">
        <v>20</v>
      </c>
      <c r="L56" s="219"/>
      <c r="M56" s="219"/>
      <c r="N56" s="219"/>
      <c r="S56" s="212" t="s">
        <v>7</v>
      </c>
      <c r="T56" s="212" t="b">
        <v>0</v>
      </c>
      <c r="U56" s="212" t="b">
        <v>0</v>
      </c>
      <c r="V56" s="212" t="b">
        <v>0</v>
      </c>
      <c r="W56" s="211">
        <v>1</v>
      </c>
      <c r="X56" s="211">
        <v>1</v>
      </c>
      <c r="Y56" s="211">
        <v>1</v>
      </c>
    </row>
    <row r="57" spans="6:33" x14ac:dyDescent="0.2">
      <c r="F57" s="212">
        <v>21</v>
      </c>
      <c r="G57" s="211" t="b">
        <v>0</v>
      </c>
      <c r="H57" s="211" t="b">
        <v>0</v>
      </c>
      <c r="I57" s="211" t="b">
        <v>0</v>
      </c>
      <c r="K57" s="219">
        <v>21</v>
      </c>
      <c r="L57" s="219"/>
      <c r="M57" s="219"/>
      <c r="N57" s="219"/>
      <c r="R57" s="211" t="s">
        <v>88</v>
      </c>
      <c r="S57" s="212">
        <v>0</v>
      </c>
      <c r="W57" s="211" t="s">
        <v>235</v>
      </c>
      <c r="X57" s="211" t="s">
        <v>235</v>
      </c>
      <c r="Y57" s="211" t="s">
        <v>235</v>
      </c>
      <c r="Z57" s="211" t="s">
        <v>5</v>
      </c>
      <c r="AA57" s="211" t="s">
        <v>7</v>
      </c>
    </row>
    <row r="58" spans="6:33" x14ac:dyDescent="0.2">
      <c r="F58" s="212">
        <v>22</v>
      </c>
      <c r="G58" s="211" t="b">
        <v>0</v>
      </c>
      <c r="H58" s="211" t="b">
        <v>0</v>
      </c>
      <c r="I58" s="211" t="b">
        <v>0</v>
      </c>
      <c r="K58" s="219">
        <v>22</v>
      </c>
      <c r="L58" s="219"/>
      <c r="M58" s="219"/>
      <c r="N58" s="219"/>
      <c r="R58" s="211" t="s">
        <v>89</v>
      </c>
      <c r="S58" s="212">
        <v>0</v>
      </c>
      <c r="T58" s="212">
        <v>1</v>
      </c>
      <c r="U58" s="212">
        <v>1</v>
      </c>
      <c r="V58" s="212">
        <v>1</v>
      </c>
      <c r="W58" s="211">
        <v>1</v>
      </c>
      <c r="X58" s="211">
        <v>1</v>
      </c>
      <c r="Y58" s="211">
        <v>1</v>
      </c>
    </row>
    <row r="59" spans="6:33" x14ac:dyDescent="0.2">
      <c r="F59" s="212">
        <v>23</v>
      </c>
      <c r="G59" s="211" t="b">
        <v>0</v>
      </c>
      <c r="H59" s="211" t="b">
        <v>0</v>
      </c>
      <c r="I59" s="211" t="b">
        <v>0</v>
      </c>
      <c r="K59" s="219">
        <v>23</v>
      </c>
      <c r="L59" s="219"/>
      <c r="M59" s="219"/>
      <c r="N59" s="219"/>
      <c r="R59" s="211" t="s">
        <v>71</v>
      </c>
      <c r="S59" s="212">
        <v>0</v>
      </c>
      <c r="AG59" s="211" t="s">
        <v>1</v>
      </c>
    </row>
    <row r="60" spans="6:33" x14ac:dyDescent="0.2">
      <c r="F60" s="212">
        <v>24</v>
      </c>
      <c r="G60" s="211" t="b">
        <v>0</v>
      </c>
      <c r="H60" s="211" t="b">
        <v>0</v>
      </c>
      <c r="I60" s="211" t="b">
        <v>0</v>
      </c>
      <c r="K60" s="219">
        <v>24</v>
      </c>
      <c r="L60" s="219"/>
      <c r="M60" s="219"/>
      <c r="N60" s="219"/>
      <c r="S60" s="212">
        <v>0</v>
      </c>
      <c r="T60" s="212">
        <v>1</v>
      </c>
      <c r="U60" s="212">
        <v>1</v>
      </c>
      <c r="V60" s="212">
        <v>1</v>
      </c>
    </row>
    <row r="61" spans="6:33" x14ac:dyDescent="0.2">
      <c r="F61" s="212">
        <v>25</v>
      </c>
      <c r="G61" s="211" t="b">
        <v>0</v>
      </c>
      <c r="H61" s="211" t="b">
        <v>0</v>
      </c>
      <c r="I61" s="211" t="b">
        <v>0</v>
      </c>
      <c r="K61" s="219">
        <v>25</v>
      </c>
      <c r="L61" s="219"/>
      <c r="M61" s="219"/>
      <c r="N61" s="219"/>
      <c r="S61" s="212" t="s">
        <v>5</v>
      </c>
      <c r="T61" s="220">
        <v>156</v>
      </c>
      <c r="U61" s="220">
        <v>156</v>
      </c>
      <c r="V61" s="220">
        <v>156</v>
      </c>
      <c r="W61" s="221">
        <f>Diagrama!B6</f>
        <v>0</v>
      </c>
      <c r="X61" s="221">
        <f>Diagrama!C6</f>
        <v>0</v>
      </c>
      <c r="Y61" s="221">
        <f>Diagrama!D6</f>
        <v>0</v>
      </c>
      <c r="Z61" s="221">
        <f>Diagrama!E6</f>
        <v>0</v>
      </c>
      <c r="AA61" s="221">
        <f>Diagrama!F6</f>
        <v>0</v>
      </c>
      <c r="AB61" s="221">
        <f>Diagrama!G6</f>
        <v>0</v>
      </c>
      <c r="AC61" s="221">
        <f>Diagrama!H6</f>
        <v>0</v>
      </c>
      <c r="AD61" s="221">
        <f>Diagrama!I6</f>
        <v>0</v>
      </c>
      <c r="AE61" s="221">
        <f>Diagrama!J6</f>
        <v>0</v>
      </c>
      <c r="AF61" s="221">
        <f>Diagrama!K6</f>
        <v>0</v>
      </c>
      <c r="AG61" s="221">
        <f>Diagrama!L6</f>
        <v>0</v>
      </c>
    </row>
    <row r="62" spans="6:33" x14ac:dyDescent="0.2">
      <c r="F62" s="212">
        <v>26</v>
      </c>
      <c r="G62" s="211" t="b">
        <v>0</v>
      </c>
      <c r="H62" s="211" t="b">
        <v>0</v>
      </c>
      <c r="I62" s="211" t="b">
        <v>0</v>
      </c>
      <c r="K62" s="219">
        <v>26</v>
      </c>
      <c r="L62" s="219"/>
      <c r="M62" s="219"/>
      <c r="N62" s="219"/>
      <c r="S62" s="212" t="s">
        <v>6</v>
      </c>
      <c r="T62" s="220">
        <v>156</v>
      </c>
      <c r="U62" s="220">
        <v>156</v>
      </c>
      <c r="V62" s="220">
        <v>156</v>
      </c>
      <c r="W62" s="221">
        <f>Diagrama!B7</f>
        <v>0</v>
      </c>
      <c r="X62" s="221">
        <f>Diagrama!C7</f>
        <v>0</v>
      </c>
      <c r="Y62" s="221">
        <f>Diagrama!D7</f>
        <v>0</v>
      </c>
      <c r="Z62" s="221">
        <f>Diagrama!E7</f>
        <v>0</v>
      </c>
      <c r="AA62" s="221">
        <f>Diagrama!F7</f>
        <v>0</v>
      </c>
      <c r="AB62" s="221">
        <f>Diagrama!G7</f>
        <v>0</v>
      </c>
      <c r="AC62" s="221">
        <f>Diagrama!H7</f>
        <v>0</v>
      </c>
      <c r="AD62" s="221">
        <f>Diagrama!I7</f>
        <v>0</v>
      </c>
      <c r="AE62" s="221">
        <f>Diagrama!J7</f>
        <v>0</v>
      </c>
      <c r="AF62" s="221">
        <f>Diagrama!K7</f>
        <v>0</v>
      </c>
      <c r="AG62" s="221">
        <f>Diagrama!L7</f>
        <v>0</v>
      </c>
    </row>
    <row r="63" spans="6:33" x14ac:dyDescent="0.2">
      <c r="F63" s="212">
        <v>27</v>
      </c>
      <c r="G63" s="211" t="b">
        <v>0</v>
      </c>
      <c r="H63" s="211" t="b">
        <v>0</v>
      </c>
      <c r="I63" s="211" t="b">
        <v>0</v>
      </c>
      <c r="K63" s="219">
        <v>27</v>
      </c>
      <c r="L63" s="219"/>
      <c r="M63" s="219"/>
      <c r="N63" s="219"/>
      <c r="S63" s="212" t="s">
        <v>7</v>
      </c>
      <c r="T63" s="220">
        <v>156</v>
      </c>
      <c r="U63" s="220">
        <v>156</v>
      </c>
      <c r="V63" s="220">
        <v>156</v>
      </c>
      <c r="W63" s="221">
        <f>Diagrama!B8</f>
        <v>0</v>
      </c>
      <c r="X63" s="221">
        <f>Diagrama!C8</f>
        <v>0</v>
      </c>
      <c r="Y63" s="221">
        <f>Diagrama!D8</f>
        <v>0</v>
      </c>
      <c r="Z63" s="221">
        <f>Diagrama!E8</f>
        <v>0</v>
      </c>
      <c r="AA63" s="221">
        <f>Diagrama!F8</f>
        <v>0</v>
      </c>
      <c r="AB63" s="221">
        <f>Diagrama!G8</f>
        <v>0</v>
      </c>
      <c r="AC63" s="221">
        <f>Diagrama!H8</f>
        <v>0</v>
      </c>
      <c r="AD63" s="221">
        <f>Diagrama!I8</f>
        <v>0</v>
      </c>
      <c r="AE63" s="221">
        <f>Diagrama!J8</f>
        <v>0</v>
      </c>
      <c r="AF63" s="221">
        <f>Diagrama!K8</f>
        <v>0</v>
      </c>
      <c r="AG63" s="221">
        <f>Diagrama!L8</f>
        <v>0</v>
      </c>
    </row>
    <row r="64" spans="6:33" x14ac:dyDescent="0.2">
      <c r="F64" s="212">
        <v>28</v>
      </c>
      <c r="G64" s="211" t="b">
        <v>0</v>
      </c>
      <c r="H64" s="211" t="b">
        <v>0</v>
      </c>
      <c r="I64" s="211" t="b">
        <v>0</v>
      </c>
      <c r="K64" s="219">
        <v>28</v>
      </c>
      <c r="L64" s="219"/>
      <c r="M64" s="219"/>
      <c r="N64" s="219"/>
      <c r="S64" s="212" t="s">
        <v>15</v>
      </c>
      <c r="T64" s="220">
        <v>468</v>
      </c>
      <c r="U64" s="220">
        <v>468</v>
      </c>
      <c r="V64" s="220">
        <v>468</v>
      </c>
      <c r="W64" s="221">
        <f>Diagrama!B9</f>
        <v>0</v>
      </c>
      <c r="X64" s="221">
        <f>Diagrama!C9</f>
        <v>0</v>
      </c>
      <c r="Y64" s="221">
        <f>Diagrama!D9</f>
        <v>0</v>
      </c>
      <c r="Z64" s="221">
        <f>Diagrama!E9</f>
        <v>0</v>
      </c>
      <c r="AA64" s="221">
        <f>Diagrama!F9</f>
        <v>0</v>
      </c>
      <c r="AB64" s="221">
        <f>Diagrama!G9</f>
        <v>0</v>
      </c>
      <c r="AC64" s="221">
        <f>Diagrama!H9</f>
        <v>0</v>
      </c>
      <c r="AD64" s="221">
        <f>Diagrama!I9</f>
        <v>0</v>
      </c>
      <c r="AE64" s="221">
        <f>Diagrama!J9</f>
        <v>0</v>
      </c>
      <c r="AF64" s="221">
        <f>Diagrama!K9</f>
        <v>0</v>
      </c>
      <c r="AG64" s="221">
        <f>Diagrama!L9</f>
        <v>0</v>
      </c>
    </row>
    <row r="65" spans="6:33" x14ac:dyDescent="0.2">
      <c r="F65" s="212">
        <v>29</v>
      </c>
      <c r="G65" s="211" t="b">
        <v>0</v>
      </c>
      <c r="H65" s="211" t="b">
        <v>0</v>
      </c>
      <c r="I65" s="211" t="b">
        <v>0</v>
      </c>
      <c r="K65" s="219">
        <v>29</v>
      </c>
      <c r="L65" s="219"/>
      <c r="M65" s="219"/>
      <c r="N65" s="219"/>
      <c r="S65" s="212" t="s">
        <v>29</v>
      </c>
      <c r="T65" s="222">
        <v>3</v>
      </c>
      <c r="U65" s="223">
        <v>3</v>
      </c>
      <c r="V65" s="222">
        <v>3</v>
      </c>
      <c r="W65" s="224" t="e">
        <f>Diagrama!B20</f>
        <v>#DIV/0!</v>
      </c>
      <c r="X65" s="224" t="e">
        <f>Diagrama!C20</f>
        <v>#DIV/0!</v>
      </c>
      <c r="Y65" s="224" t="e">
        <f>Diagrama!D20</f>
        <v>#DIV/0!</v>
      </c>
      <c r="Z65" s="224" t="e">
        <f>Diagrama!E20</f>
        <v>#DIV/0!</v>
      </c>
      <c r="AA65" s="224" t="e">
        <f>Diagrama!F20</f>
        <v>#DIV/0!</v>
      </c>
      <c r="AB65" s="224" t="e">
        <f>Diagrama!G20</f>
        <v>#DIV/0!</v>
      </c>
      <c r="AC65" s="224" t="e">
        <f>Diagrama!H20</f>
        <v>#DIV/0!</v>
      </c>
      <c r="AD65" s="224" t="e">
        <f>Diagrama!I20</f>
        <v>#DIV/0!</v>
      </c>
      <c r="AE65" s="224" t="e">
        <f>Diagrama!J20</f>
        <v>#DIV/0!</v>
      </c>
      <c r="AF65" s="224" t="e">
        <f>Diagrama!K20</f>
        <v>#DIV/0!</v>
      </c>
      <c r="AG65" s="224" t="e">
        <f>Diagrama!L20</f>
        <v>#DIV/0!</v>
      </c>
    </row>
    <row r="66" spans="6:33" x14ac:dyDescent="0.2">
      <c r="F66" s="212">
        <v>30</v>
      </c>
      <c r="G66" s="211" t="b">
        <v>0</v>
      </c>
      <c r="H66" s="211" t="b">
        <v>0</v>
      </c>
      <c r="I66" s="211" t="b">
        <v>0</v>
      </c>
      <c r="K66" s="219">
        <v>30</v>
      </c>
      <c r="L66" s="219"/>
      <c r="M66" s="219"/>
      <c r="N66" s="219"/>
      <c r="S66" s="212" t="s">
        <v>30</v>
      </c>
      <c r="T66" s="222">
        <v>0.49999999999999989</v>
      </c>
      <c r="U66" s="223">
        <v>0.49999999999999989</v>
      </c>
      <c r="V66" s="222">
        <v>0.49999999999999989</v>
      </c>
      <c r="W66" s="224" t="e">
        <f>Diagrama!B21</f>
        <v>#DIV/0!</v>
      </c>
      <c r="X66" s="224" t="e">
        <f>Diagrama!C21</f>
        <v>#DIV/0!</v>
      </c>
      <c r="Y66" s="224" t="e">
        <f>Diagrama!D21</f>
        <v>#DIV/0!</v>
      </c>
      <c r="Z66" s="224" t="e">
        <f>Diagrama!E21</f>
        <v>#DIV/0!</v>
      </c>
      <c r="AA66" s="224" t="e">
        <f>Diagrama!F21</f>
        <v>#DIV/0!</v>
      </c>
      <c r="AB66" s="224" t="e">
        <f>Diagrama!G21</f>
        <v>#DIV/0!</v>
      </c>
      <c r="AC66" s="224" t="e">
        <f>Diagrama!H21</f>
        <v>#DIV/0!</v>
      </c>
      <c r="AD66" s="224" t="e">
        <f>Diagrama!I21</f>
        <v>#DIV/0!</v>
      </c>
      <c r="AE66" s="224" t="e">
        <f>Diagrama!J21</f>
        <v>#DIV/0!</v>
      </c>
      <c r="AF66" s="224" t="e">
        <f>Diagrama!K21</f>
        <v>#DIV/0!</v>
      </c>
      <c r="AG66" s="224" t="e">
        <f>Diagrama!L21</f>
        <v>#DIV/0!</v>
      </c>
    </row>
    <row r="67" spans="6:33" x14ac:dyDescent="0.2">
      <c r="F67" s="212">
        <v>31</v>
      </c>
      <c r="G67" s="211" t="b">
        <v>0</v>
      </c>
      <c r="H67" s="211" t="b">
        <v>0</v>
      </c>
      <c r="I67" s="211" t="b">
        <v>0</v>
      </c>
      <c r="K67" s="219">
        <v>31</v>
      </c>
      <c r="L67" s="219"/>
      <c r="M67" s="219"/>
      <c r="N67" s="219"/>
      <c r="S67" s="212" t="s">
        <v>31</v>
      </c>
      <c r="T67" s="222">
        <v>2.0000000000000004</v>
      </c>
      <c r="U67" s="223">
        <v>2.0000000000000004</v>
      </c>
      <c r="V67" s="222">
        <v>2.0000000000000004</v>
      </c>
      <c r="W67" s="224" t="e">
        <f>Diagrama!B22</f>
        <v>#DIV/0!</v>
      </c>
      <c r="X67" s="224" t="e">
        <f>Diagrama!C22</f>
        <v>#DIV/0!</v>
      </c>
      <c r="Y67" s="224" t="e">
        <f>Diagrama!D22</f>
        <v>#DIV/0!</v>
      </c>
      <c r="Z67" s="224" t="e">
        <f>Diagrama!E22</f>
        <v>#DIV/0!</v>
      </c>
      <c r="AA67" s="224" t="e">
        <f>Diagrama!F22</f>
        <v>#DIV/0!</v>
      </c>
      <c r="AB67" s="224" t="e">
        <f>Diagrama!G22</f>
        <v>#DIV/0!</v>
      </c>
      <c r="AC67" s="224" t="e">
        <f>Diagrama!H22</f>
        <v>#DIV/0!</v>
      </c>
      <c r="AD67" s="224" t="e">
        <f>Diagrama!I22</f>
        <v>#DIV/0!</v>
      </c>
      <c r="AE67" s="224" t="e">
        <f>Diagrama!J22</f>
        <v>#DIV/0!</v>
      </c>
      <c r="AF67" s="224" t="e">
        <f>Diagrama!K22</f>
        <v>#DIV/0!</v>
      </c>
      <c r="AG67" s="224" t="e">
        <f>Diagrama!L22</f>
        <v>#DIV/0!</v>
      </c>
    </row>
    <row r="68" spans="6:33" x14ac:dyDescent="0.2">
      <c r="F68" s="212">
        <v>32</v>
      </c>
      <c r="G68" s="211" t="b">
        <v>0</v>
      </c>
      <c r="H68" s="211" t="b">
        <v>0</v>
      </c>
      <c r="I68" s="211" t="b">
        <v>0</v>
      </c>
      <c r="K68" s="219">
        <v>32</v>
      </c>
      <c r="L68" s="219"/>
      <c r="M68" s="219"/>
      <c r="N68" s="219"/>
      <c r="S68" s="212" t="s">
        <v>19</v>
      </c>
      <c r="T68" s="222">
        <v>1.4999999999999996</v>
      </c>
      <c r="U68" s="223">
        <v>1.4999999999999996</v>
      </c>
      <c r="V68" s="222">
        <v>1.4999999999999996</v>
      </c>
      <c r="W68" s="224" t="e">
        <f>Diagrama!B23</f>
        <v>#DIV/0!</v>
      </c>
      <c r="X68" s="224" t="e">
        <f>Diagrama!C23</f>
        <v>#DIV/0!</v>
      </c>
      <c r="Y68" s="224" t="e">
        <f>Diagrama!D23</f>
        <v>#DIV/0!</v>
      </c>
      <c r="Z68" s="224" t="e">
        <f>Diagrama!E23</f>
        <v>#DIV/0!</v>
      </c>
      <c r="AA68" s="224" t="e">
        <f>Diagrama!F23</f>
        <v>#DIV/0!</v>
      </c>
      <c r="AB68" s="224" t="e">
        <f>Diagrama!G23</f>
        <v>#DIV/0!</v>
      </c>
      <c r="AC68" s="224" t="e">
        <f>Diagrama!H23</f>
        <v>#DIV/0!</v>
      </c>
      <c r="AD68" s="224" t="e">
        <f>Diagrama!I23</f>
        <v>#DIV/0!</v>
      </c>
      <c r="AE68" s="224" t="e">
        <f>Diagrama!J23</f>
        <v>#DIV/0!</v>
      </c>
      <c r="AF68" s="224" t="e">
        <f>Diagrama!K23</f>
        <v>#DIV/0!</v>
      </c>
      <c r="AG68" s="224" t="e">
        <f>Diagrama!L23</f>
        <v>#DIV/0!</v>
      </c>
    </row>
    <row r="69" spans="6:33" x14ac:dyDescent="0.2">
      <c r="F69" s="212">
        <v>33</v>
      </c>
      <c r="G69" s="211" t="b">
        <v>0</v>
      </c>
      <c r="H69" s="211" t="b">
        <v>0</v>
      </c>
      <c r="I69" s="211" t="b">
        <v>0</v>
      </c>
      <c r="K69" s="219">
        <v>33</v>
      </c>
      <c r="L69" s="219"/>
      <c r="M69" s="219"/>
      <c r="N69" s="219"/>
      <c r="S69" s="212" t="s">
        <v>12</v>
      </c>
      <c r="T69" s="225">
        <v>33.333333333333336</v>
      </c>
      <c r="U69" s="223">
        <v>33.333333333333336</v>
      </c>
      <c r="V69" s="225">
        <v>33.333333333333336</v>
      </c>
      <c r="W69" s="226" t="e">
        <f t="shared" ref="W69:AB69" si="0">100*W61/W64</f>
        <v>#DIV/0!</v>
      </c>
      <c r="X69" s="226" t="e">
        <f t="shared" si="0"/>
        <v>#DIV/0!</v>
      </c>
      <c r="Y69" s="226" t="e">
        <f t="shared" si="0"/>
        <v>#DIV/0!</v>
      </c>
      <c r="Z69" s="226" t="e">
        <f t="shared" si="0"/>
        <v>#DIV/0!</v>
      </c>
      <c r="AA69" s="226" t="e">
        <f t="shared" si="0"/>
        <v>#DIV/0!</v>
      </c>
      <c r="AB69" s="226" t="e">
        <f t="shared" si="0"/>
        <v>#DIV/0!</v>
      </c>
      <c r="AC69" s="226" t="e">
        <f>100*AC61/AC64</f>
        <v>#DIV/0!</v>
      </c>
      <c r="AD69" s="226" t="e">
        <f>100*AD61/AD64</f>
        <v>#DIV/0!</v>
      </c>
      <c r="AE69" s="226" t="e">
        <f>100*AE61/AE64</f>
        <v>#DIV/0!</v>
      </c>
      <c r="AF69" s="226" t="e">
        <f>100*AF61/AF64</f>
        <v>#DIV/0!</v>
      </c>
      <c r="AG69" s="226" t="e">
        <f>100*AG61/AG64</f>
        <v>#DIV/0!</v>
      </c>
    </row>
    <row r="70" spans="6:33" x14ac:dyDescent="0.2">
      <c r="F70" s="212">
        <v>34</v>
      </c>
      <c r="G70" s="211" t="b">
        <v>0</v>
      </c>
      <c r="H70" s="211" t="b">
        <v>0</v>
      </c>
      <c r="I70" s="211" t="b">
        <v>0</v>
      </c>
      <c r="K70" s="219">
        <v>34</v>
      </c>
      <c r="L70" s="219"/>
      <c r="M70" s="219"/>
      <c r="N70" s="219"/>
      <c r="S70" s="212" t="s">
        <v>72</v>
      </c>
      <c r="T70" s="220">
        <v>0</v>
      </c>
      <c r="U70" s="220">
        <v>0</v>
      </c>
      <c r="V70" s="220">
        <v>0</v>
      </c>
    </row>
    <row r="71" spans="6:33" x14ac:dyDescent="0.2">
      <c r="F71" s="212">
        <v>35</v>
      </c>
      <c r="G71" s="211" t="b">
        <v>0</v>
      </c>
      <c r="H71" s="211" t="b">
        <v>0</v>
      </c>
      <c r="I71" s="211" t="b">
        <v>0</v>
      </c>
      <c r="K71" s="219">
        <v>35</v>
      </c>
      <c r="L71" s="219"/>
      <c r="M71" s="219"/>
      <c r="N71" s="219"/>
      <c r="S71" s="212" t="s">
        <v>73</v>
      </c>
    </row>
    <row r="72" spans="6:33" x14ac:dyDescent="0.2">
      <c r="F72" s="212">
        <v>36</v>
      </c>
      <c r="G72" s="211" t="b">
        <v>0</v>
      </c>
      <c r="H72" s="211" t="b">
        <v>0</v>
      </c>
      <c r="I72" s="211" t="b">
        <v>0</v>
      </c>
      <c r="K72" s="219">
        <v>36</v>
      </c>
      <c r="L72" s="219"/>
      <c r="M72" s="219"/>
      <c r="N72" s="219"/>
      <c r="R72" s="211" t="s">
        <v>86</v>
      </c>
      <c r="S72" s="212">
        <v>0</v>
      </c>
      <c r="T72" s="212" t="b">
        <v>0</v>
      </c>
      <c r="U72" s="212" t="b">
        <v>0</v>
      </c>
      <c r="V72" s="212" t="b">
        <v>0</v>
      </c>
      <c r="W72" s="213">
        <v>0.25</v>
      </c>
      <c r="X72" s="213"/>
      <c r="Y72" s="213"/>
    </row>
    <row r="73" spans="6:33" x14ac:dyDescent="0.2">
      <c r="F73" s="212">
        <v>37</v>
      </c>
      <c r="G73" s="211" t="b">
        <v>0</v>
      </c>
      <c r="H73" s="211" t="b">
        <v>0</v>
      </c>
      <c r="I73" s="211" t="b">
        <v>0</v>
      </c>
      <c r="K73" s="219">
        <v>37</v>
      </c>
      <c r="L73" s="219"/>
      <c r="M73" s="219"/>
      <c r="N73" s="219"/>
      <c r="T73" s="192"/>
      <c r="W73" s="213">
        <v>0</v>
      </c>
    </row>
    <row r="74" spans="6:33" x14ac:dyDescent="0.2">
      <c r="F74" s="212">
        <v>38</v>
      </c>
      <c r="G74" s="211" t="b">
        <v>0</v>
      </c>
      <c r="H74" s="211" t="b">
        <v>0</v>
      </c>
      <c r="I74" s="211" t="b">
        <v>0</v>
      </c>
      <c r="K74" s="219">
        <v>38</v>
      </c>
      <c r="L74" s="219"/>
      <c r="M74" s="219"/>
      <c r="N74" s="219"/>
      <c r="T74" s="192"/>
      <c r="W74" s="213">
        <v>0.75</v>
      </c>
    </row>
    <row r="75" spans="6:33" x14ac:dyDescent="0.2">
      <c r="F75" s="212">
        <v>39</v>
      </c>
      <c r="G75" s="211" t="b">
        <v>0</v>
      </c>
      <c r="H75" s="211" t="b">
        <v>0</v>
      </c>
      <c r="I75" s="211" t="b">
        <v>0</v>
      </c>
      <c r="K75" s="219">
        <v>39</v>
      </c>
      <c r="L75" s="219"/>
      <c r="M75" s="219"/>
      <c r="N75" s="219"/>
      <c r="T75" s="192"/>
    </row>
    <row r="76" spans="6:33" x14ac:dyDescent="0.2">
      <c r="F76" s="212">
        <v>40</v>
      </c>
      <c r="G76" s="211" t="b">
        <v>0</v>
      </c>
      <c r="H76" s="211" t="b">
        <v>0</v>
      </c>
      <c r="I76" s="211" t="b">
        <v>0</v>
      </c>
      <c r="K76" s="219">
        <v>40</v>
      </c>
      <c r="L76" s="219"/>
      <c r="M76" s="219"/>
      <c r="N76" s="219"/>
    </row>
    <row r="77" spans="6:33" x14ac:dyDescent="0.2">
      <c r="F77" s="212">
        <v>41</v>
      </c>
      <c r="G77" s="211" t="b">
        <v>0</v>
      </c>
      <c r="H77" s="211" t="b">
        <v>0</v>
      </c>
      <c r="I77" s="211" t="b">
        <v>0</v>
      </c>
      <c r="K77" s="219">
        <v>41</v>
      </c>
      <c r="L77" s="219"/>
      <c r="M77" s="219"/>
      <c r="N77" s="219"/>
    </row>
    <row r="78" spans="6:33" x14ac:dyDescent="0.2">
      <c r="F78" s="212">
        <v>42</v>
      </c>
      <c r="G78" s="211" t="b">
        <v>0</v>
      </c>
      <c r="H78" s="211" t="b">
        <v>0</v>
      </c>
      <c r="I78" s="211" t="b">
        <v>0</v>
      </c>
      <c r="K78" s="219">
        <v>42</v>
      </c>
      <c r="L78" s="219"/>
      <c r="M78" s="219"/>
      <c r="N78" s="219"/>
    </row>
    <row r="79" spans="6:33" x14ac:dyDescent="0.2">
      <c r="F79" s="212">
        <v>43</v>
      </c>
      <c r="G79" s="211" t="b">
        <v>0</v>
      </c>
      <c r="H79" s="211" t="b">
        <v>0</v>
      </c>
      <c r="I79" s="211" t="b">
        <v>0</v>
      </c>
      <c r="K79" s="219">
        <v>43</v>
      </c>
      <c r="L79" s="219"/>
      <c r="M79" s="219"/>
      <c r="N79" s="219"/>
    </row>
    <row r="80" spans="6:33" x14ac:dyDescent="0.2">
      <c r="F80" s="212">
        <v>44</v>
      </c>
      <c r="G80" s="211" t="b">
        <v>0</v>
      </c>
      <c r="H80" s="211" t="b">
        <v>0</v>
      </c>
      <c r="I80" s="211" t="b">
        <v>0</v>
      </c>
      <c r="K80" s="219">
        <v>44</v>
      </c>
      <c r="L80" s="219"/>
      <c r="M80" s="219"/>
      <c r="N80" s="219"/>
    </row>
    <row r="81" spans="6:14" x14ac:dyDescent="0.2">
      <c r="F81" s="212">
        <v>45</v>
      </c>
      <c r="G81" s="211" t="b">
        <v>0</v>
      </c>
      <c r="H81" s="211" t="b">
        <v>0</v>
      </c>
      <c r="I81" s="211" t="b">
        <v>0</v>
      </c>
      <c r="K81" s="219">
        <v>45</v>
      </c>
      <c r="L81" s="219"/>
      <c r="M81" s="219"/>
      <c r="N81" s="219"/>
    </row>
    <row r="82" spans="6:14" x14ac:dyDescent="0.2">
      <c r="F82" s="212">
        <v>46</v>
      </c>
      <c r="G82" s="211" t="b">
        <v>0</v>
      </c>
      <c r="H82" s="211" t="b">
        <v>0</v>
      </c>
      <c r="I82" s="211" t="b">
        <v>0</v>
      </c>
      <c r="K82" s="219">
        <v>46</v>
      </c>
      <c r="L82" s="219"/>
      <c r="M82" s="219"/>
      <c r="N82" s="219"/>
    </row>
    <row r="83" spans="6:14" x14ac:dyDescent="0.2">
      <c r="F83" s="212">
        <v>47</v>
      </c>
      <c r="G83" s="211" t="b">
        <v>0</v>
      </c>
      <c r="H83" s="211" t="b">
        <v>0</v>
      </c>
      <c r="I83" s="211" t="b">
        <v>0</v>
      </c>
      <c r="K83" s="219">
        <v>47</v>
      </c>
      <c r="L83" s="219"/>
      <c r="M83" s="219"/>
      <c r="N83" s="219"/>
    </row>
    <row r="84" spans="6:14" x14ac:dyDescent="0.2">
      <c r="F84" s="212">
        <v>48</v>
      </c>
      <c r="G84" s="211" t="b">
        <v>0</v>
      </c>
      <c r="H84" s="211" t="b">
        <v>0</v>
      </c>
      <c r="I84" s="211" t="b">
        <v>0</v>
      </c>
      <c r="K84" s="219">
        <v>48</v>
      </c>
      <c r="L84" s="219"/>
      <c r="M84" s="219"/>
      <c r="N84" s="219"/>
    </row>
    <row r="85" spans="6:14" x14ac:dyDescent="0.2">
      <c r="F85" s="212">
        <v>49</v>
      </c>
      <c r="G85" s="211" t="b">
        <v>0</v>
      </c>
      <c r="H85" s="211" t="b">
        <v>0</v>
      </c>
      <c r="I85" s="211" t="b">
        <v>0</v>
      </c>
      <c r="K85" s="219">
        <v>49</v>
      </c>
      <c r="L85" s="219"/>
      <c r="M85" s="219"/>
      <c r="N85" s="219"/>
    </row>
    <row r="86" spans="6:14" x14ac:dyDescent="0.2">
      <c r="F86" s="212">
        <v>50</v>
      </c>
      <c r="G86" s="211" t="b">
        <v>0</v>
      </c>
      <c r="H86" s="211" t="b">
        <v>0</v>
      </c>
      <c r="I86" s="211" t="b">
        <v>0</v>
      </c>
      <c r="K86" s="219">
        <v>50</v>
      </c>
      <c r="L86" s="219"/>
      <c r="M86" s="219"/>
      <c r="N86" s="219"/>
    </row>
    <row r="87" spans="6:14" x14ac:dyDescent="0.2">
      <c r="F87" s="212">
        <v>51</v>
      </c>
      <c r="G87" s="211" t="b">
        <v>0</v>
      </c>
      <c r="H87" s="211" t="b">
        <v>0</v>
      </c>
      <c r="I87" s="211" t="b">
        <v>0</v>
      </c>
      <c r="K87" s="219">
        <v>51</v>
      </c>
      <c r="L87" s="219"/>
      <c r="M87" s="219"/>
      <c r="N87" s="219"/>
    </row>
    <row r="88" spans="6:14" x14ac:dyDescent="0.2">
      <c r="F88" s="212">
        <v>52</v>
      </c>
      <c r="G88" s="211" t="b">
        <v>0</v>
      </c>
      <c r="H88" s="211" t="b">
        <v>0</v>
      </c>
      <c r="I88" s="211" t="b">
        <v>0</v>
      </c>
      <c r="K88" s="219">
        <v>52</v>
      </c>
      <c r="L88" s="219"/>
      <c r="M88" s="219"/>
      <c r="N88" s="219"/>
    </row>
    <row r="89" spans="6:14" x14ac:dyDescent="0.2">
      <c r="F89" s="212">
        <v>53</v>
      </c>
      <c r="G89" s="211" t="b">
        <v>0</v>
      </c>
      <c r="H89" s="211" t="b">
        <v>0</v>
      </c>
      <c r="I89" s="211" t="b">
        <v>0</v>
      </c>
      <c r="K89" s="219">
        <v>53</v>
      </c>
      <c r="L89" s="219"/>
      <c r="M89" s="219"/>
      <c r="N89" s="219"/>
    </row>
    <row r="90" spans="6:14" x14ac:dyDescent="0.2">
      <c r="F90" s="212">
        <v>54</v>
      </c>
      <c r="G90" s="211" t="b">
        <v>0</v>
      </c>
      <c r="H90" s="211" t="b">
        <v>0</v>
      </c>
      <c r="I90" s="211" t="b">
        <v>0</v>
      </c>
      <c r="K90" s="219">
        <v>54</v>
      </c>
      <c r="L90" s="219"/>
      <c r="M90" s="219"/>
      <c r="N90" s="219"/>
    </row>
    <row r="91" spans="6:14" x14ac:dyDescent="0.2">
      <c r="F91" s="212">
        <v>55</v>
      </c>
      <c r="G91" s="211" t="b">
        <v>0</v>
      </c>
      <c r="H91" s="211" t="b">
        <v>0</v>
      </c>
      <c r="I91" s="211" t="b">
        <v>0</v>
      </c>
      <c r="K91" s="219">
        <v>55</v>
      </c>
      <c r="L91" s="219"/>
      <c r="M91" s="219"/>
      <c r="N91" s="219"/>
    </row>
    <row r="92" spans="6:14" x14ac:dyDescent="0.2">
      <c r="F92" s="212">
        <v>56</v>
      </c>
      <c r="G92" s="211" t="b">
        <v>0</v>
      </c>
      <c r="H92" s="211" t="b">
        <v>0</v>
      </c>
      <c r="I92" s="211" t="b">
        <v>0</v>
      </c>
      <c r="K92" s="219">
        <v>56</v>
      </c>
      <c r="L92" s="219"/>
      <c r="M92" s="219"/>
      <c r="N92" s="219"/>
    </row>
    <row r="93" spans="6:14" x14ac:dyDescent="0.2">
      <c r="F93" s="212">
        <v>57</v>
      </c>
      <c r="G93" s="211" t="b">
        <v>0</v>
      </c>
      <c r="H93" s="211" t="b">
        <v>0</v>
      </c>
      <c r="I93" s="211" t="b">
        <v>0</v>
      </c>
      <c r="K93" s="219">
        <v>57</v>
      </c>
      <c r="L93" s="219"/>
      <c r="M93" s="219"/>
      <c r="N93" s="219"/>
    </row>
    <row r="94" spans="6:14" x14ac:dyDescent="0.2">
      <c r="F94" s="212">
        <v>58</v>
      </c>
      <c r="G94" s="211" t="b">
        <v>0</v>
      </c>
      <c r="H94" s="211" t="b">
        <v>0</v>
      </c>
      <c r="I94" s="211" t="b">
        <v>0</v>
      </c>
      <c r="K94" s="219">
        <v>58</v>
      </c>
      <c r="L94" s="219"/>
      <c r="M94" s="219"/>
      <c r="N94" s="219"/>
    </row>
    <row r="95" spans="6:14" x14ac:dyDescent="0.2">
      <c r="F95" s="212">
        <v>59</v>
      </c>
      <c r="G95" s="211" t="b">
        <v>0</v>
      </c>
      <c r="H95" s="211" t="b">
        <v>0</v>
      </c>
      <c r="I95" s="211" t="b">
        <v>0</v>
      </c>
      <c r="K95" s="219">
        <v>59</v>
      </c>
      <c r="L95" s="219"/>
      <c r="M95" s="219"/>
      <c r="N95" s="219"/>
    </row>
    <row r="96" spans="6:14" x14ac:dyDescent="0.2">
      <c r="F96" s="212">
        <v>60</v>
      </c>
      <c r="G96" s="211" t="b">
        <v>0</v>
      </c>
      <c r="H96" s="211" t="b">
        <v>0</v>
      </c>
      <c r="I96" s="211" t="b">
        <v>0</v>
      </c>
      <c r="K96" s="219">
        <v>60</v>
      </c>
      <c r="L96" s="219"/>
      <c r="M96" s="219"/>
      <c r="N96" s="219"/>
    </row>
    <row r="97" spans="6:14" x14ac:dyDescent="0.2">
      <c r="F97" s="212">
        <v>61</v>
      </c>
      <c r="G97" s="211" t="b">
        <v>0</v>
      </c>
      <c r="H97" s="211" t="b">
        <v>0</v>
      </c>
      <c r="I97" s="211" t="b">
        <v>0</v>
      </c>
      <c r="K97" s="219">
        <v>61</v>
      </c>
      <c r="L97" s="219"/>
      <c r="M97" s="219"/>
      <c r="N97" s="219"/>
    </row>
    <row r="98" spans="6:14" x14ac:dyDescent="0.2">
      <c r="F98" s="212">
        <v>62</v>
      </c>
      <c r="G98" s="211" t="b">
        <v>0</v>
      </c>
      <c r="H98" s="211" t="b">
        <v>0</v>
      </c>
      <c r="I98" s="211" t="b">
        <v>0</v>
      </c>
      <c r="K98" s="219">
        <v>62</v>
      </c>
      <c r="L98" s="219"/>
      <c r="M98" s="219"/>
      <c r="N98" s="219"/>
    </row>
    <row r="99" spans="6:14" x14ac:dyDescent="0.2">
      <c r="F99" s="212">
        <v>63</v>
      </c>
      <c r="G99" s="211" t="b">
        <v>0</v>
      </c>
      <c r="H99" s="211" t="b">
        <v>0</v>
      </c>
      <c r="I99" s="211" t="b">
        <v>0</v>
      </c>
      <c r="K99" s="219">
        <v>63</v>
      </c>
      <c r="L99" s="219"/>
      <c r="M99" s="219"/>
      <c r="N99" s="219"/>
    </row>
    <row r="100" spans="6:14" x14ac:dyDescent="0.2">
      <c r="F100" s="212">
        <v>64</v>
      </c>
      <c r="G100" s="211" t="b">
        <v>0</v>
      </c>
      <c r="H100" s="211" t="b">
        <v>0</v>
      </c>
      <c r="I100" s="211" t="b">
        <v>0</v>
      </c>
      <c r="K100" s="219">
        <v>64</v>
      </c>
      <c r="L100" s="219"/>
      <c r="M100" s="219"/>
      <c r="N100" s="219"/>
    </row>
    <row r="101" spans="6:14" x14ac:dyDescent="0.2">
      <c r="F101" s="212">
        <v>65</v>
      </c>
      <c r="G101" s="211" t="b">
        <v>0</v>
      </c>
      <c r="H101" s="211" t="b">
        <v>0</v>
      </c>
      <c r="I101" s="211" t="b">
        <v>0</v>
      </c>
      <c r="K101" s="219">
        <v>65</v>
      </c>
      <c r="L101" s="219"/>
      <c r="M101" s="219"/>
      <c r="N101" s="219"/>
    </row>
    <row r="102" spans="6:14" x14ac:dyDescent="0.2">
      <c r="F102" s="212">
        <v>66</v>
      </c>
      <c r="G102" s="211" t="b">
        <v>0</v>
      </c>
      <c r="H102" s="211" t="b">
        <v>0</v>
      </c>
      <c r="I102" s="211" t="b">
        <v>0</v>
      </c>
      <c r="K102" s="219">
        <v>66</v>
      </c>
      <c r="L102" s="219"/>
      <c r="M102" s="219"/>
      <c r="N102" s="219"/>
    </row>
    <row r="103" spans="6:14" x14ac:dyDescent="0.2">
      <c r="F103" s="212">
        <v>67</v>
      </c>
      <c r="G103" s="211" t="b">
        <v>0</v>
      </c>
      <c r="H103" s="211" t="b">
        <v>0</v>
      </c>
      <c r="I103" s="211" t="b">
        <v>0</v>
      </c>
      <c r="K103" s="219">
        <v>67</v>
      </c>
      <c r="L103" s="219"/>
      <c r="M103" s="219"/>
      <c r="N103" s="219"/>
    </row>
    <row r="104" spans="6:14" x14ac:dyDescent="0.2">
      <c r="F104" s="212">
        <v>68</v>
      </c>
      <c r="G104" s="211" t="b">
        <v>0</v>
      </c>
      <c r="H104" s="211" t="b">
        <v>0</v>
      </c>
      <c r="I104" s="211" t="b">
        <v>0</v>
      </c>
      <c r="K104" s="219">
        <v>68</v>
      </c>
      <c r="L104" s="219"/>
      <c r="M104" s="219"/>
      <c r="N104" s="219"/>
    </row>
    <row r="105" spans="6:14" x14ac:dyDescent="0.2">
      <c r="F105" s="212">
        <v>69</v>
      </c>
      <c r="G105" s="211" t="b">
        <v>0</v>
      </c>
      <c r="H105" s="211" t="b">
        <v>0</v>
      </c>
      <c r="I105" s="211" t="b">
        <v>0</v>
      </c>
      <c r="K105" s="219">
        <v>69</v>
      </c>
      <c r="L105" s="219"/>
      <c r="M105" s="219"/>
      <c r="N105" s="219"/>
    </row>
    <row r="106" spans="6:14" x14ac:dyDescent="0.2">
      <c r="F106" s="212">
        <v>70</v>
      </c>
      <c r="G106" s="211" t="b">
        <v>0</v>
      </c>
      <c r="H106" s="211" t="b">
        <v>0</v>
      </c>
      <c r="I106" s="211" t="b">
        <v>0</v>
      </c>
      <c r="K106" s="219">
        <v>70</v>
      </c>
      <c r="L106" s="219"/>
      <c r="M106" s="219"/>
      <c r="N106" s="219"/>
    </row>
    <row r="107" spans="6:14" x14ac:dyDescent="0.2">
      <c r="F107" s="212">
        <v>71</v>
      </c>
      <c r="G107" s="211" t="b">
        <v>0</v>
      </c>
      <c r="H107" s="211" t="b">
        <v>0</v>
      </c>
      <c r="I107" s="211" t="b">
        <v>0</v>
      </c>
      <c r="K107" s="219">
        <v>71</v>
      </c>
      <c r="L107" s="219"/>
      <c r="M107" s="219"/>
      <c r="N107" s="219"/>
    </row>
    <row r="108" spans="6:14" x14ac:dyDescent="0.2">
      <c r="F108" s="212">
        <v>72</v>
      </c>
      <c r="G108" s="211" t="b">
        <v>0</v>
      </c>
      <c r="H108" s="211" t="b">
        <v>0</v>
      </c>
      <c r="I108" s="211" t="b">
        <v>0</v>
      </c>
      <c r="K108" s="219">
        <v>72</v>
      </c>
      <c r="L108" s="219"/>
      <c r="M108" s="219"/>
      <c r="N108" s="219"/>
    </row>
    <row r="109" spans="6:14" x14ac:dyDescent="0.2">
      <c r="F109" s="212">
        <v>73</v>
      </c>
      <c r="G109" s="211" t="b">
        <v>0</v>
      </c>
      <c r="H109" s="211" t="b">
        <v>0</v>
      </c>
      <c r="I109" s="211" t="b">
        <v>0</v>
      </c>
      <c r="K109" s="219">
        <v>73</v>
      </c>
      <c r="L109" s="219"/>
      <c r="M109" s="219"/>
      <c r="N109" s="219"/>
    </row>
    <row r="110" spans="6:14" x14ac:dyDescent="0.2">
      <c r="F110" s="212">
        <v>74</v>
      </c>
      <c r="G110" s="211" t="b">
        <v>0</v>
      </c>
      <c r="H110" s="211" t="b">
        <v>0</v>
      </c>
      <c r="I110" s="211" t="b">
        <v>0</v>
      </c>
      <c r="K110" s="219">
        <v>74</v>
      </c>
      <c r="L110" s="219"/>
      <c r="M110" s="219"/>
      <c r="N110" s="219"/>
    </row>
    <row r="111" spans="6:14" x14ac:dyDescent="0.2">
      <c r="F111" s="212">
        <v>75</v>
      </c>
      <c r="G111" s="211" t="b">
        <v>0</v>
      </c>
      <c r="H111" s="211" t="b">
        <v>0</v>
      </c>
      <c r="I111" s="211" t="b">
        <v>0</v>
      </c>
      <c r="K111" s="219">
        <v>75</v>
      </c>
      <c r="L111" s="219"/>
      <c r="M111" s="219"/>
      <c r="N111" s="219"/>
    </row>
    <row r="112" spans="6:14" x14ac:dyDescent="0.2">
      <c r="F112" s="212">
        <v>76</v>
      </c>
      <c r="G112" s="211" t="b">
        <v>0</v>
      </c>
      <c r="H112" s="211" t="b">
        <v>0</v>
      </c>
      <c r="I112" s="211" t="b">
        <v>0</v>
      </c>
      <c r="K112" s="219">
        <v>76</v>
      </c>
      <c r="L112" s="219"/>
      <c r="M112" s="219"/>
      <c r="N112" s="219"/>
    </row>
    <row r="113" spans="6:14" x14ac:dyDescent="0.2">
      <c r="F113" s="212">
        <v>77</v>
      </c>
      <c r="G113" s="211" t="b">
        <v>0</v>
      </c>
      <c r="H113" s="211" t="b">
        <v>0</v>
      </c>
      <c r="I113" s="211" t="b">
        <v>0</v>
      </c>
      <c r="K113" s="219">
        <v>77</v>
      </c>
      <c r="L113" s="219"/>
      <c r="M113" s="219"/>
      <c r="N113" s="219"/>
    </row>
    <row r="114" spans="6:14" x14ac:dyDescent="0.2">
      <c r="F114" s="212">
        <v>78</v>
      </c>
      <c r="G114" s="211" t="b">
        <v>0</v>
      </c>
      <c r="H114" s="211" t="b">
        <v>0</v>
      </c>
      <c r="I114" s="211" t="b">
        <v>0</v>
      </c>
      <c r="K114" s="219">
        <v>78</v>
      </c>
      <c r="L114" s="219"/>
      <c r="M114" s="219"/>
      <c r="N114" s="219"/>
    </row>
    <row r="115" spans="6:14" x14ac:dyDescent="0.2">
      <c r="F115" s="212">
        <v>79</v>
      </c>
      <c r="G115" s="211" t="b">
        <v>0</v>
      </c>
      <c r="H115" s="211" t="b">
        <v>0</v>
      </c>
      <c r="I115" s="211" t="b">
        <v>0</v>
      </c>
      <c r="K115" s="219">
        <v>79</v>
      </c>
      <c r="L115" s="219"/>
      <c r="M115" s="219"/>
      <c r="N115" s="219"/>
    </row>
    <row r="116" spans="6:14" x14ac:dyDescent="0.2">
      <c r="F116" s="212">
        <v>80</v>
      </c>
      <c r="G116" s="211" t="b">
        <v>0</v>
      </c>
      <c r="H116" s="211" t="b">
        <v>0</v>
      </c>
      <c r="I116" s="211" t="b">
        <v>0</v>
      </c>
      <c r="K116" s="219">
        <v>80</v>
      </c>
      <c r="L116" s="219"/>
      <c r="M116" s="219"/>
      <c r="N116" s="219"/>
    </row>
    <row r="117" spans="6:14" x14ac:dyDescent="0.2">
      <c r="F117" s="212">
        <v>81</v>
      </c>
      <c r="G117" s="211" t="b">
        <v>0</v>
      </c>
      <c r="H117" s="211" t="b">
        <v>0</v>
      </c>
      <c r="I117" s="211" t="b">
        <v>0</v>
      </c>
      <c r="K117" s="219">
        <v>81</v>
      </c>
      <c r="L117" s="219"/>
      <c r="M117" s="219"/>
      <c r="N117" s="219"/>
    </row>
    <row r="118" spans="6:14" x14ac:dyDescent="0.2">
      <c r="F118" s="212">
        <v>82</v>
      </c>
      <c r="G118" s="211" t="b">
        <v>0</v>
      </c>
      <c r="H118" s="211" t="b">
        <v>0</v>
      </c>
      <c r="I118" s="211" t="b">
        <v>0</v>
      </c>
      <c r="K118" s="219">
        <v>82</v>
      </c>
      <c r="L118" s="219"/>
      <c r="M118" s="219"/>
      <c r="N118" s="219"/>
    </row>
    <row r="119" spans="6:14" x14ac:dyDescent="0.2">
      <c r="F119" s="212">
        <v>83</v>
      </c>
      <c r="G119" s="211" t="b">
        <v>0</v>
      </c>
      <c r="H119" s="211" t="b">
        <v>0</v>
      </c>
      <c r="I119" s="211" t="b">
        <v>0</v>
      </c>
      <c r="K119" s="219">
        <v>83</v>
      </c>
      <c r="L119" s="219"/>
      <c r="M119" s="219"/>
      <c r="N119" s="219"/>
    </row>
    <row r="120" spans="6:14" x14ac:dyDescent="0.2">
      <c r="F120" s="212">
        <v>84</v>
      </c>
      <c r="G120" s="211" t="b">
        <v>0</v>
      </c>
      <c r="H120" s="211" t="b">
        <v>0</v>
      </c>
      <c r="I120" s="211" t="b">
        <v>0</v>
      </c>
      <c r="K120" s="219">
        <v>84</v>
      </c>
      <c r="L120" s="219"/>
      <c r="M120" s="219"/>
      <c r="N120" s="219"/>
    </row>
    <row r="121" spans="6:14" x14ac:dyDescent="0.2">
      <c r="F121" s="212">
        <v>85</v>
      </c>
      <c r="G121" s="211" t="b">
        <v>0</v>
      </c>
      <c r="H121" s="211" t="b">
        <v>0</v>
      </c>
      <c r="I121" s="211" t="b">
        <v>0</v>
      </c>
      <c r="K121" s="219">
        <v>85</v>
      </c>
      <c r="L121" s="219"/>
      <c r="M121" s="219"/>
      <c r="N121" s="219"/>
    </row>
    <row r="122" spans="6:14" x14ac:dyDescent="0.2">
      <c r="F122" s="212">
        <v>86</v>
      </c>
      <c r="G122" s="211" t="b">
        <v>0</v>
      </c>
      <c r="H122" s="211" t="b">
        <v>0</v>
      </c>
      <c r="I122" s="211" t="b">
        <v>0</v>
      </c>
      <c r="K122" s="219">
        <v>86</v>
      </c>
      <c r="L122" s="219"/>
      <c r="M122" s="219"/>
      <c r="N122" s="219"/>
    </row>
    <row r="123" spans="6:14" x14ac:dyDescent="0.2">
      <c r="F123" s="212">
        <v>87</v>
      </c>
      <c r="G123" s="211" t="b">
        <v>0</v>
      </c>
      <c r="H123" s="211" t="b">
        <v>0</v>
      </c>
      <c r="I123" s="211" t="b">
        <v>0</v>
      </c>
      <c r="K123" s="219">
        <v>87</v>
      </c>
      <c r="L123" s="219"/>
      <c r="M123" s="219"/>
      <c r="N123" s="219"/>
    </row>
    <row r="124" spans="6:14" x14ac:dyDescent="0.2">
      <c r="F124" s="212">
        <v>88</v>
      </c>
      <c r="G124" s="211" t="b">
        <v>0</v>
      </c>
      <c r="H124" s="211" t="b">
        <v>0</v>
      </c>
      <c r="I124" s="211" t="b">
        <v>0</v>
      </c>
      <c r="K124" s="219">
        <v>88</v>
      </c>
      <c r="L124" s="219"/>
      <c r="M124" s="219"/>
      <c r="N124" s="219"/>
    </row>
    <row r="125" spans="6:14" x14ac:dyDescent="0.2">
      <c r="F125" s="212">
        <v>89</v>
      </c>
      <c r="G125" s="211" t="b">
        <v>0</v>
      </c>
      <c r="H125" s="211" t="b">
        <v>0</v>
      </c>
      <c r="I125" s="211" t="b">
        <v>0</v>
      </c>
      <c r="K125" s="219">
        <v>89</v>
      </c>
      <c r="L125" s="219"/>
      <c r="M125" s="219"/>
      <c r="N125" s="219"/>
    </row>
    <row r="126" spans="6:14" x14ac:dyDescent="0.2">
      <c r="F126" s="212">
        <v>90</v>
      </c>
      <c r="G126" s="211" t="b">
        <v>0</v>
      </c>
      <c r="H126" s="211" t="b">
        <v>0</v>
      </c>
      <c r="I126" s="211" t="b">
        <v>0</v>
      </c>
      <c r="K126" s="219">
        <v>90</v>
      </c>
      <c r="L126" s="219"/>
      <c r="M126" s="219"/>
      <c r="N126" s="219"/>
    </row>
    <row r="127" spans="6:14" x14ac:dyDescent="0.2">
      <c r="F127" s="212">
        <v>91</v>
      </c>
      <c r="G127" s="211" t="b">
        <v>0</v>
      </c>
      <c r="H127" s="211" t="b">
        <v>0</v>
      </c>
      <c r="I127" s="211" t="b">
        <v>0</v>
      </c>
      <c r="K127" s="219">
        <v>91</v>
      </c>
      <c r="L127" s="219"/>
      <c r="M127" s="219"/>
      <c r="N127" s="219"/>
    </row>
    <row r="128" spans="6:14" x14ac:dyDescent="0.2">
      <c r="F128" s="212">
        <v>92</v>
      </c>
      <c r="G128" s="211" t="b">
        <v>0</v>
      </c>
      <c r="H128" s="211" t="b">
        <v>0</v>
      </c>
      <c r="I128" s="211" t="b">
        <v>0</v>
      </c>
      <c r="K128" s="219">
        <v>92</v>
      </c>
      <c r="L128" s="219"/>
      <c r="M128" s="219"/>
      <c r="N128" s="219"/>
    </row>
    <row r="129" spans="6:14" x14ac:dyDescent="0.2">
      <c r="F129" s="212">
        <v>93</v>
      </c>
      <c r="G129" s="211" t="b">
        <v>0</v>
      </c>
      <c r="H129" s="211" t="b">
        <v>0</v>
      </c>
      <c r="I129" s="211" t="b">
        <v>0</v>
      </c>
      <c r="K129" s="219">
        <v>93</v>
      </c>
      <c r="L129" s="219"/>
      <c r="M129" s="219"/>
      <c r="N129" s="219"/>
    </row>
    <row r="130" spans="6:14" x14ac:dyDescent="0.2">
      <c r="F130" s="212">
        <v>94</v>
      </c>
      <c r="G130" s="211" t="b">
        <v>0</v>
      </c>
      <c r="H130" s="211" t="b">
        <v>0</v>
      </c>
      <c r="I130" s="211" t="b">
        <v>0</v>
      </c>
      <c r="K130" s="219">
        <v>94</v>
      </c>
      <c r="L130" s="219"/>
      <c r="M130" s="219"/>
      <c r="N130" s="219"/>
    </row>
    <row r="131" spans="6:14" x14ac:dyDescent="0.2">
      <c r="F131" s="212">
        <v>95</v>
      </c>
      <c r="G131" s="211" t="b">
        <v>0</v>
      </c>
      <c r="H131" s="211" t="b">
        <v>0</v>
      </c>
      <c r="I131" s="211" t="b">
        <v>0</v>
      </c>
      <c r="K131" s="219">
        <v>95</v>
      </c>
      <c r="L131" s="219"/>
      <c r="M131" s="219"/>
      <c r="N131" s="219"/>
    </row>
    <row r="132" spans="6:14" x14ac:dyDescent="0.2">
      <c r="F132" s="212">
        <v>96</v>
      </c>
      <c r="G132" s="211" t="b">
        <v>0</v>
      </c>
      <c r="H132" s="211" t="b">
        <v>0</v>
      </c>
      <c r="I132" s="211" t="b">
        <v>0</v>
      </c>
      <c r="K132" s="219">
        <v>96</v>
      </c>
      <c r="L132" s="219"/>
      <c r="M132" s="219"/>
      <c r="N132" s="219"/>
    </row>
    <row r="133" spans="6:14" x14ac:dyDescent="0.2">
      <c r="F133" s="212">
        <v>97</v>
      </c>
      <c r="G133" s="211" t="b">
        <v>0</v>
      </c>
      <c r="H133" s="211" t="b">
        <v>0</v>
      </c>
      <c r="I133" s="211" t="b">
        <v>0</v>
      </c>
      <c r="K133" s="219">
        <v>97</v>
      </c>
      <c r="L133" s="219"/>
      <c r="M133" s="219"/>
      <c r="N133" s="219"/>
    </row>
    <row r="134" spans="6:14" x14ac:dyDescent="0.2">
      <c r="F134" s="212">
        <v>98</v>
      </c>
      <c r="G134" s="211" t="b">
        <v>0</v>
      </c>
      <c r="H134" s="211" t="b">
        <v>0</v>
      </c>
      <c r="I134" s="211" t="b">
        <v>0</v>
      </c>
      <c r="K134" s="219">
        <v>98</v>
      </c>
      <c r="L134" s="219"/>
      <c r="M134" s="219"/>
      <c r="N134" s="219"/>
    </row>
    <row r="135" spans="6:14" x14ac:dyDescent="0.2">
      <c r="F135" s="212">
        <v>99</v>
      </c>
      <c r="G135" s="211" t="b">
        <v>0</v>
      </c>
      <c r="H135" s="211" t="b">
        <v>0</v>
      </c>
      <c r="I135" s="211" t="b">
        <v>0</v>
      </c>
      <c r="K135" s="219">
        <v>99</v>
      </c>
      <c r="L135" s="219"/>
      <c r="M135" s="219"/>
      <c r="N135" s="219"/>
    </row>
    <row r="136" spans="6:14" x14ac:dyDescent="0.2">
      <c r="F136" s="212">
        <v>100</v>
      </c>
      <c r="G136" s="211" t="b">
        <v>0</v>
      </c>
      <c r="H136" s="211" t="b">
        <v>0</v>
      </c>
      <c r="I136" s="211" t="b">
        <v>0</v>
      </c>
      <c r="K136" s="219">
        <v>100</v>
      </c>
      <c r="L136" s="219"/>
      <c r="M136" s="219"/>
      <c r="N136" s="219"/>
    </row>
    <row r="137" spans="6:14" x14ac:dyDescent="0.2">
      <c r="F137" s="212">
        <v>101</v>
      </c>
      <c r="G137" s="211" t="b">
        <v>0</v>
      </c>
      <c r="H137" s="211" t="b">
        <v>0</v>
      </c>
      <c r="I137" s="211" t="b">
        <v>0</v>
      </c>
      <c r="K137" s="219">
        <v>101</v>
      </c>
    </row>
    <row r="138" spans="6:14" x14ac:dyDescent="0.2">
      <c r="F138" s="212">
        <v>102</v>
      </c>
      <c r="G138" s="211" t="b">
        <v>0</v>
      </c>
      <c r="H138" s="211" t="b">
        <v>0</v>
      </c>
      <c r="I138" s="211" t="b">
        <v>0</v>
      </c>
      <c r="K138" s="219">
        <v>102</v>
      </c>
    </row>
    <row r="139" spans="6:14" x14ac:dyDescent="0.2">
      <c r="F139" s="212">
        <v>103</v>
      </c>
      <c r="G139" s="211" t="b">
        <v>0</v>
      </c>
      <c r="H139" s="211" t="b">
        <v>0</v>
      </c>
      <c r="I139" s="211" t="b">
        <v>0</v>
      </c>
      <c r="K139" s="219">
        <v>103</v>
      </c>
    </row>
    <row r="140" spans="6:14" x14ac:dyDescent="0.2">
      <c r="F140" s="212">
        <v>104</v>
      </c>
      <c r="G140" s="211" t="b">
        <v>0</v>
      </c>
      <c r="H140" s="211" t="b">
        <v>0</v>
      </c>
      <c r="I140" s="211" t="b">
        <v>0</v>
      </c>
      <c r="K140" s="219">
        <v>104</v>
      </c>
    </row>
    <row r="141" spans="6:14" x14ac:dyDescent="0.2">
      <c r="F141" s="212">
        <v>105</v>
      </c>
      <c r="G141" s="211" t="b">
        <v>0</v>
      </c>
      <c r="H141" s="211" t="b">
        <v>0</v>
      </c>
      <c r="I141" s="211" t="b">
        <v>0</v>
      </c>
      <c r="K141" s="219">
        <v>105</v>
      </c>
    </row>
    <row r="142" spans="6:14" x14ac:dyDescent="0.2">
      <c r="F142" s="212">
        <v>106</v>
      </c>
      <c r="G142" s="211" t="b">
        <v>0</v>
      </c>
      <c r="H142" s="211" t="b">
        <v>0</v>
      </c>
      <c r="I142" s="211" t="b">
        <v>0</v>
      </c>
      <c r="K142" s="219">
        <v>106</v>
      </c>
    </row>
    <row r="143" spans="6:14" x14ac:dyDescent="0.2">
      <c r="F143" s="212">
        <v>107</v>
      </c>
      <c r="G143" s="211" t="b">
        <v>0</v>
      </c>
      <c r="H143" s="211" t="b">
        <v>0</v>
      </c>
      <c r="I143" s="211" t="b">
        <v>0</v>
      </c>
      <c r="K143" s="219">
        <v>107</v>
      </c>
    </row>
    <row r="144" spans="6:14" x14ac:dyDescent="0.2">
      <c r="F144" s="212">
        <v>108</v>
      </c>
      <c r="G144" s="211" t="b">
        <v>0</v>
      </c>
      <c r="H144" s="211" t="b">
        <v>0</v>
      </c>
      <c r="I144" s="211" t="b">
        <v>0</v>
      </c>
      <c r="K144" s="219">
        <v>108</v>
      </c>
    </row>
    <row r="145" spans="6:11" x14ac:dyDescent="0.2">
      <c r="F145" s="212">
        <v>109</v>
      </c>
      <c r="G145" s="211" t="b">
        <v>0</v>
      </c>
      <c r="H145" s="211" t="b">
        <v>0</v>
      </c>
      <c r="I145" s="211" t="b">
        <v>0</v>
      </c>
      <c r="K145" s="219">
        <v>109</v>
      </c>
    </row>
    <row r="146" spans="6:11" x14ac:dyDescent="0.2">
      <c r="F146" s="212">
        <v>110</v>
      </c>
      <c r="G146" s="211" t="b">
        <v>0</v>
      </c>
      <c r="H146" s="211" t="b">
        <v>0</v>
      </c>
      <c r="I146" s="211" t="b">
        <v>0</v>
      </c>
      <c r="K146" s="219">
        <v>110</v>
      </c>
    </row>
    <row r="147" spans="6:11" x14ac:dyDescent="0.2">
      <c r="F147" s="212">
        <v>111</v>
      </c>
      <c r="G147" s="211" t="b">
        <v>0</v>
      </c>
      <c r="H147" s="211" t="b">
        <v>0</v>
      </c>
      <c r="I147" s="211" t="b">
        <v>0</v>
      </c>
      <c r="K147" s="219">
        <v>111</v>
      </c>
    </row>
    <row r="148" spans="6:11" x14ac:dyDescent="0.2">
      <c r="F148" s="212">
        <v>112</v>
      </c>
      <c r="G148" s="211" t="b">
        <v>0</v>
      </c>
      <c r="H148" s="211" t="b">
        <v>0</v>
      </c>
      <c r="I148" s="211" t="b">
        <v>0</v>
      </c>
      <c r="K148" s="219">
        <v>112</v>
      </c>
    </row>
    <row r="149" spans="6:11" x14ac:dyDescent="0.2">
      <c r="F149" s="212">
        <v>113</v>
      </c>
      <c r="G149" s="211" t="b">
        <v>0</v>
      </c>
      <c r="H149" s="211" t="b">
        <v>0</v>
      </c>
      <c r="I149" s="211" t="b">
        <v>0</v>
      </c>
      <c r="K149" s="219">
        <v>113</v>
      </c>
    </row>
    <row r="150" spans="6:11" x14ac:dyDescent="0.2">
      <c r="F150" s="212">
        <v>114</v>
      </c>
      <c r="G150" s="211" t="b">
        <v>0</v>
      </c>
      <c r="H150" s="211" t="b">
        <v>0</v>
      </c>
      <c r="I150" s="211" t="b">
        <v>0</v>
      </c>
      <c r="K150" s="219">
        <v>114</v>
      </c>
    </row>
    <row r="151" spans="6:11" x14ac:dyDescent="0.2">
      <c r="F151" s="212">
        <v>115</v>
      </c>
      <c r="G151" s="211" t="b">
        <v>0</v>
      </c>
      <c r="H151" s="211" t="b">
        <v>0</v>
      </c>
      <c r="I151" s="211" t="b">
        <v>0</v>
      </c>
      <c r="K151" s="219">
        <v>115</v>
      </c>
    </row>
    <row r="152" spans="6:11" x14ac:dyDescent="0.2">
      <c r="F152" s="212">
        <v>116</v>
      </c>
      <c r="G152" s="211" t="b">
        <v>0</v>
      </c>
      <c r="H152" s="211" t="b">
        <v>0</v>
      </c>
      <c r="I152" s="211" t="b">
        <v>0</v>
      </c>
      <c r="K152" s="219">
        <v>116</v>
      </c>
    </row>
    <row r="153" spans="6:11" x14ac:dyDescent="0.2">
      <c r="F153" s="212">
        <v>117</v>
      </c>
      <c r="G153" s="211" t="b">
        <v>0</v>
      </c>
      <c r="H153" s="211" t="b">
        <v>0</v>
      </c>
      <c r="I153" s="211" t="b">
        <v>0</v>
      </c>
      <c r="K153" s="219">
        <v>117</v>
      </c>
    </row>
    <row r="154" spans="6:11" x14ac:dyDescent="0.2">
      <c r="F154" s="212">
        <v>118</v>
      </c>
      <c r="G154" s="211" t="b">
        <v>0</v>
      </c>
      <c r="H154" s="211" t="b">
        <v>0</v>
      </c>
      <c r="I154" s="211" t="b">
        <v>0</v>
      </c>
      <c r="K154" s="219">
        <v>118</v>
      </c>
    </row>
    <row r="155" spans="6:11" x14ac:dyDescent="0.2">
      <c r="F155" s="212">
        <v>119</v>
      </c>
      <c r="G155" s="211" t="b">
        <v>0</v>
      </c>
      <c r="H155" s="211" t="b">
        <v>0</v>
      </c>
      <c r="I155" s="211" t="b">
        <v>0</v>
      </c>
      <c r="K155" s="219">
        <v>119</v>
      </c>
    </row>
    <row r="156" spans="6:11" x14ac:dyDescent="0.2">
      <c r="F156" s="212">
        <v>120</v>
      </c>
      <c r="G156" s="211" t="b">
        <v>0</v>
      </c>
      <c r="H156" s="211" t="b">
        <v>0</v>
      </c>
      <c r="I156" s="211" t="b">
        <v>0</v>
      </c>
      <c r="K156" s="219">
        <v>120</v>
      </c>
    </row>
    <row r="157" spans="6:11" x14ac:dyDescent="0.2">
      <c r="F157" s="212">
        <v>121</v>
      </c>
      <c r="G157" s="211" t="b">
        <v>0</v>
      </c>
      <c r="H157" s="211" t="b">
        <v>0</v>
      </c>
      <c r="I157" s="211" t="b">
        <v>0</v>
      </c>
      <c r="K157" s="219">
        <v>121</v>
      </c>
    </row>
    <row r="158" spans="6:11" x14ac:dyDescent="0.2">
      <c r="F158" s="212">
        <v>122</v>
      </c>
      <c r="G158" s="211" t="b">
        <v>0</v>
      </c>
      <c r="H158" s="211" t="b">
        <v>0</v>
      </c>
      <c r="I158" s="211" t="b">
        <v>0</v>
      </c>
      <c r="K158" s="219">
        <v>122</v>
      </c>
    </row>
    <row r="159" spans="6:11" x14ac:dyDescent="0.2">
      <c r="F159" s="212">
        <v>123</v>
      </c>
      <c r="G159" s="211" t="b">
        <v>0</v>
      </c>
      <c r="H159" s="211" t="b">
        <v>0</v>
      </c>
      <c r="I159" s="211" t="b">
        <v>0</v>
      </c>
      <c r="K159" s="219">
        <v>123</v>
      </c>
    </row>
    <row r="160" spans="6:11" x14ac:dyDescent="0.2">
      <c r="F160" s="212">
        <v>124</v>
      </c>
      <c r="G160" s="211" t="b">
        <v>0</v>
      </c>
      <c r="H160" s="211" t="b">
        <v>0</v>
      </c>
      <c r="I160" s="211" t="b">
        <v>0</v>
      </c>
      <c r="K160" s="219">
        <v>124</v>
      </c>
    </row>
    <row r="161" spans="6:11" x14ac:dyDescent="0.2">
      <c r="F161" s="212">
        <v>125</v>
      </c>
      <c r="G161" s="211" t="b">
        <v>0</v>
      </c>
      <c r="H161" s="211" t="b">
        <v>0</v>
      </c>
      <c r="I161" s="211" t="b">
        <v>0</v>
      </c>
      <c r="K161" s="219">
        <v>125</v>
      </c>
    </row>
    <row r="162" spans="6:11" x14ac:dyDescent="0.2">
      <c r="F162" s="212">
        <v>126</v>
      </c>
      <c r="G162" s="211" t="b">
        <v>0</v>
      </c>
      <c r="H162" s="211" t="b">
        <v>0</v>
      </c>
      <c r="I162" s="211" t="b">
        <v>0</v>
      </c>
      <c r="K162" s="219">
        <v>126</v>
      </c>
    </row>
    <row r="163" spans="6:11" x14ac:dyDescent="0.2">
      <c r="F163" s="212">
        <v>127</v>
      </c>
      <c r="G163" s="211" t="b">
        <v>0</v>
      </c>
      <c r="H163" s="211" t="b">
        <v>0</v>
      </c>
      <c r="I163" s="211" t="b">
        <v>0</v>
      </c>
      <c r="K163" s="219">
        <v>127</v>
      </c>
    </row>
    <row r="164" spans="6:11" x14ac:dyDescent="0.2">
      <c r="F164" s="212">
        <v>128</v>
      </c>
      <c r="G164" s="211" t="b">
        <v>0</v>
      </c>
      <c r="H164" s="211" t="b">
        <v>0</v>
      </c>
      <c r="I164" s="211" t="b">
        <v>0</v>
      </c>
      <c r="K164" s="219">
        <v>128</v>
      </c>
    </row>
    <row r="165" spans="6:11" x14ac:dyDescent="0.2">
      <c r="F165" s="212">
        <v>129</v>
      </c>
      <c r="G165" s="211" t="b">
        <v>0</v>
      </c>
      <c r="H165" s="211" t="b">
        <v>0</v>
      </c>
      <c r="I165" s="211" t="b">
        <v>0</v>
      </c>
      <c r="K165" s="219">
        <v>129</v>
      </c>
    </row>
    <row r="166" spans="6:11" x14ac:dyDescent="0.2">
      <c r="F166" s="212">
        <v>130</v>
      </c>
      <c r="G166" s="211" t="b">
        <v>0</v>
      </c>
      <c r="H166" s="211" t="b">
        <v>0</v>
      </c>
      <c r="I166" s="211" t="b">
        <v>0</v>
      </c>
      <c r="K166" s="219">
        <v>130</v>
      </c>
    </row>
    <row r="167" spans="6:11" x14ac:dyDescent="0.2">
      <c r="F167" s="212">
        <v>131</v>
      </c>
      <c r="G167" s="211" t="b">
        <v>0</v>
      </c>
      <c r="H167" s="211" t="b">
        <v>0</v>
      </c>
      <c r="I167" s="211" t="b">
        <v>0</v>
      </c>
      <c r="K167" s="219">
        <v>131</v>
      </c>
    </row>
    <row r="168" spans="6:11" x14ac:dyDescent="0.2">
      <c r="F168" s="212">
        <v>132</v>
      </c>
      <c r="G168" s="211" t="b">
        <v>0</v>
      </c>
      <c r="H168" s="211" t="b">
        <v>0</v>
      </c>
      <c r="I168" s="211" t="b">
        <v>0</v>
      </c>
      <c r="K168" s="219">
        <v>132</v>
      </c>
    </row>
    <row r="169" spans="6:11" x14ac:dyDescent="0.2">
      <c r="F169" s="212">
        <v>133</v>
      </c>
      <c r="G169" s="211" t="b">
        <v>0</v>
      </c>
      <c r="H169" s="211" t="b">
        <v>0</v>
      </c>
      <c r="I169" s="211" t="b">
        <v>0</v>
      </c>
      <c r="K169" s="219">
        <v>133</v>
      </c>
    </row>
    <row r="170" spans="6:11" x14ac:dyDescent="0.2">
      <c r="F170" s="212">
        <v>134</v>
      </c>
      <c r="G170" s="211" t="b">
        <v>0</v>
      </c>
      <c r="H170" s="211" t="b">
        <v>0</v>
      </c>
      <c r="I170" s="211" t="b">
        <v>0</v>
      </c>
      <c r="K170" s="219">
        <v>134</v>
      </c>
    </row>
    <row r="171" spans="6:11" x14ac:dyDescent="0.2">
      <c r="F171" s="212">
        <v>135</v>
      </c>
      <c r="G171" s="211" t="b">
        <v>0</v>
      </c>
      <c r="H171" s="211" t="b">
        <v>0</v>
      </c>
      <c r="I171" s="211" t="b">
        <v>0</v>
      </c>
      <c r="K171" s="219">
        <v>135</v>
      </c>
    </row>
    <row r="172" spans="6:11" x14ac:dyDescent="0.2">
      <c r="F172" s="212">
        <v>136</v>
      </c>
      <c r="G172" s="211" t="b">
        <v>0</v>
      </c>
      <c r="H172" s="211" t="b">
        <v>0</v>
      </c>
      <c r="I172" s="211" t="b">
        <v>0</v>
      </c>
      <c r="K172" s="219">
        <v>136</v>
      </c>
    </row>
    <row r="173" spans="6:11" x14ac:dyDescent="0.2">
      <c r="F173" s="212">
        <v>137</v>
      </c>
      <c r="G173" s="211" t="b">
        <v>0</v>
      </c>
      <c r="H173" s="211" t="b">
        <v>0</v>
      </c>
      <c r="I173" s="211" t="b">
        <v>0</v>
      </c>
      <c r="K173" s="219">
        <v>137</v>
      </c>
    </row>
    <row r="174" spans="6:11" x14ac:dyDescent="0.2">
      <c r="F174" s="212">
        <v>138</v>
      </c>
      <c r="G174" s="211" t="b">
        <v>0</v>
      </c>
      <c r="H174" s="211" t="b">
        <v>0</v>
      </c>
      <c r="I174" s="211" t="b">
        <v>0</v>
      </c>
      <c r="K174" s="219">
        <v>138</v>
      </c>
    </row>
    <row r="175" spans="6:11" x14ac:dyDescent="0.2">
      <c r="F175" s="212">
        <v>139</v>
      </c>
      <c r="G175" s="211" t="b">
        <v>0</v>
      </c>
      <c r="H175" s="211" t="b">
        <v>0</v>
      </c>
      <c r="I175" s="211" t="b">
        <v>0</v>
      </c>
      <c r="K175" s="219">
        <v>139</v>
      </c>
    </row>
    <row r="176" spans="6:11" x14ac:dyDescent="0.2">
      <c r="F176" s="212">
        <v>140</v>
      </c>
      <c r="G176" s="211" t="b">
        <v>0</v>
      </c>
      <c r="H176" s="211" t="b">
        <v>0</v>
      </c>
      <c r="I176" s="211" t="b">
        <v>0</v>
      </c>
      <c r="K176" s="219">
        <v>140</v>
      </c>
    </row>
    <row r="177" spans="6:11" x14ac:dyDescent="0.2">
      <c r="F177" s="212">
        <v>141</v>
      </c>
      <c r="G177" s="211" t="b">
        <v>0</v>
      </c>
      <c r="H177" s="211" t="b">
        <v>0</v>
      </c>
      <c r="I177" s="211" t="b">
        <v>0</v>
      </c>
      <c r="K177" s="219">
        <v>141</v>
      </c>
    </row>
    <row r="178" spans="6:11" x14ac:dyDescent="0.2">
      <c r="F178" s="212">
        <v>142</v>
      </c>
      <c r="G178" s="211" t="b">
        <v>0</v>
      </c>
      <c r="H178" s="211" t="b">
        <v>0</v>
      </c>
      <c r="I178" s="211" t="b">
        <v>0</v>
      </c>
      <c r="K178" s="219">
        <v>142</v>
      </c>
    </row>
    <row r="179" spans="6:11" x14ac:dyDescent="0.2">
      <c r="F179" s="212">
        <v>143</v>
      </c>
      <c r="G179" s="211" t="b">
        <v>0</v>
      </c>
      <c r="H179" s="211" t="b">
        <v>0</v>
      </c>
      <c r="I179" s="211" t="b">
        <v>0</v>
      </c>
      <c r="K179" s="219">
        <v>143</v>
      </c>
    </row>
    <row r="180" spans="6:11" x14ac:dyDescent="0.2">
      <c r="F180" s="212">
        <v>144</v>
      </c>
      <c r="G180" s="211" t="b">
        <v>0</v>
      </c>
      <c r="H180" s="211" t="b">
        <v>0</v>
      </c>
      <c r="I180" s="211" t="b">
        <v>0</v>
      </c>
      <c r="K180" s="219">
        <v>144</v>
      </c>
    </row>
    <row r="181" spans="6:11" x14ac:dyDescent="0.2">
      <c r="F181" s="212">
        <v>145</v>
      </c>
      <c r="G181" s="211" t="b">
        <v>0</v>
      </c>
      <c r="H181" s="211" t="b">
        <v>0</v>
      </c>
      <c r="I181" s="211" t="b">
        <v>0</v>
      </c>
      <c r="K181" s="219">
        <v>145</v>
      </c>
    </row>
    <row r="182" spans="6:11" x14ac:dyDescent="0.2">
      <c r="F182" s="212">
        <v>146</v>
      </c>
      <c r="G182" s="211" t="b">
        <v>0</v>
      </c>
      <c r="H182" s="211" t="b">
        <v>0</v>
      </c>
      <c r="I182" s="211" t="b">
        <v>0</v>
      </c>
      <c r="K182" s="219">
        <v>146</v>
      </c>
    </row>
    <row r="183" spans="6:11" x14ac:dyDescent="0.2">
      <c r="F183" s="212">
        <v>147</v>
      </c>
      <c r="G183" s="211" t="b">
        <v>0</v>
      </c>
      <c r="H183" s="211" t="b">
        <v>0</v>
      </c>
      <c r="I183" s="211" t="b">
        <v>0</v>
      </c>
      <c r="K183" s="219">
        <v>147</v>
      </c>
    </row>
    <row r="184" spans="6:11" x14ac:dyDescent="0.2">
      <c r="F184" s="212">
        <v>148</v>
      </c>
      <c r="G184" s="211" t="b">
        <v>0</v>
      </c>
      <c r="H184" s="211" t="b">
        <v>0</v>
      </c>
      <c r="I184" s="211" t="b">
        <v>0</v>
      </c>
      <c r="K184" s="219">
        <v>148</v>
      </c>
    </row>
    <row r="185" spans="6:11" x14ac:dyDescent="0.2">
      <c r="F185" s="212">
        <v>149</v>
      </c>
      <c r="G185" s="211" t="b">
        <v>0</v>
      </c>
      <c r="H185" s="211" t="b">
        <v>0</v>
      </c>
      <c r="I185" s="211" t="b">
        <v>0</v>
      </c>
      <c r="K185" s="219">
        <v>149</v>
      </c>
    </row>
    <row r="186" spans="6:11" x14ac:dyDescent="0.2">
      <c r="F186" s="212">
        <v>150</v>
      </c>
      <c r="G186" s="211" t="b">
        <v>0</v>
      </c>
      <c r="H186" s="211" t="b">
        <v>0</v>
      </c>
      <c r="I186" s="211" t="b">
        <v>0</v>
      </c>
      <c r="K186" s="219">
        <v>150</v>
      </c>
    </row>
    <row r="187" spans="6:11" x14ac:dyDescent="0.2">
      <c r="F187" s="212">
        <v>151</v>
      </c>
      <c r="G187" s="211" t="b">
        <v>0</v>
      </c>
      <c r="H187" s="211" t="b">
        <v>0</v>
      </c>
      <c r="I187" s="211" t="b">
        <v>0</v>
      </c>
      <c r="K187" s="219">
        <v>151</v>
      </c>
    </row>
    <row r="188" spans="6:11" x14ac:dyDescent="0.2">
      <c r="F188" s="212">
        <v>152</v>
      </c>
      <c r="G188" s="211" t="b">
        <v>0</v>
      </c>
      <c r="H188" s="211" t="b">
        <v>0</v>
      </c>
      <c r="I188" s="211" t="b">
        <v>0</v>
      </c>
      <c r="K188" s="219">
        <v>152</v>
      </c>
    </row>
    <row r="189" spans="6:11" x14ac:dyDescent="0.2">
      <c r="F189" s="212">
        <v>153</v>
      </c>
      <c r="G189" s="211" t="b">
        <v>0</v>
      </c>
      <c r="H189" s="211" t="b">
        <v>0</v>
      </c>
      <c r="I189" s="211" t="b">
        <v>0</v>
      </c>
      <c r="K189" s="219">
        <v>153</v>
      </c>
    </row>
    <row r="190" spans="6:11" x14ac:dyDescent="0.2">
      <c r="F190" s="212">
        <v>154</v>
      </c>
      <c r="G190" s="211" t="b">
        <v>0</v>
      </c>
      <c r="H190" s="211" t="b">
        <v>0</v>
      </c>
      <c r="I190" s="211" t="b">
        <v>0</v>
      </c>
      <c r="K190" s="219">
        <v>154</v>
      </c>
    </row>
    <row r="191" spans="6:11" x14ac:dyDescent="0.2">
      <c r="F191" s="212">
        <v>155</v>
      </c>
      <c r="G191" s="211" t="b">
        <v>0</v>
      </c>
      <c r="H191" s="211" t="b">
        <v>0</v>
      </c>
      <c r="I191" s="211" t="b">
        <v>0</v>
      </c>
      <c r="K191" s="219">
        <v>155</v>
      </c>
    </row>
    <row r="192" spans="6:11" x14ac:dyDescent="0.2">
      <c r="F192" s="212">
        <v>156</v>
      </c>
      <c r="G192" s="211" t="b">
        <v>0</v>
      </c>
      <c r="H192" s="211" t="b">
        <v>0</v>
      </c>
      <c r="I192" s="211" t="b">
        <v>0</v>
      </c>
      <c r="K192" s="219">
        <v>156</v>
      </c>
    </row>
    <row r="193" spans="6:11" x14ac:dyDescent="0.2">
      <c r="F193" s="212">
        <v>157</v>
      </c>
      <c r="G193" s="211" t="b">
        <v>0</v>
      </c>
      <c r="H193" s="211" t="b">
        <v>0</v>
      </c>
      <c r="I193" s="211" t="b">
        <v>0</v>
      </c>
      <c r="K193" s="219">
        <v>157</v>
      </c>
    </row>
    <row r="194" spans="6:11" x14ac:dyDescent="0.2">
      <c r="F194" s="212">
        <v>158</v>
      </c>
      <c r="G194" s="211" t="b">
        <v>0</v>
      </c>
      <c r="H194" s="211" t="b">
        <v>0</v>
      </c>
      <c r="I194" s="211" t="b">
        <v>0</v>
      </c>
      <c r="K194" s="219">
        <v>158</v>
      </c>
    </row>
    <row r="195" spans="6:11" x14ac:dyDescent="0.2">
      <c r="F195" s="212">
        <v>159</v>
      </c>
      <c r="G195" s="211" t="b">
        <v>0</v>
      </c>
      <c r="H195" s="211" t="b">
        <v>0</v>
      </c>
      <c r="I195" s="211" t="b">
        <v>0</v>
      </c>
      <c r="K195" s="219">
        <v>159</v>
      </c>
    </row>
    <row r="196" spans="6:11" x14ac:dyDescent="0.2">
      <c r="F196" s="212">
        <v>160</v>
      </c>
      <c r="G196" s="211" t="b">
        <v>0</v>
      </c>
      <c r="H196" s="211" t="b">
        <v>0</v>
      </c>
      <c r="I196" s="211" t="b">
        <v>0</v>
      </c>
      <c r="K196" s="219">
        <v>160</v>
      </c>
    </row>
    <row r="197" spans="6:11" x14ac:dyDescent="0.2">
      <c r="F197" s="212">
        <v>161</v>
      </c>
      <c r="G197" s="211" t="b">
        <v>0</v>
      </c>
      <c r="H197" s="211" t="b">
        <v>0</v>
      </c>
      <c r="I197" s="211" t="b">
        <v>0</v>
      </c>
      <c r="K197" s="219">
        <v>161</v>
      </c>
    </row>
    <row r="198" spans="6:11" x14ac:dyDescent="0.2">
      <c r="F198" s="212">
        <v>162</v>
      </c>
      <c r="G198" s="211" t="b">
        <v>0</v>
      </c>
      <c r="H198" s="211" t="b">
        <v>0</v>
      </c>
      <c r="I198" s="211" t="b">
        <v>0</v>
      </c>
      <c r="K198" s="219">
        <v>162</v>
      </c>
    </row>
    <row r="199" spans="6:11" x14ac:dyDescent="0.2">
      <c r="F199" s="212">
        <v>163</v>
      </c>
      <c r="G199" s="211" t="b">
        <v>0</v>
      </c>
      <c r="H199" s="211" t="b">
        <v>0</v>
      </c>
      <c r="I199" s="211" t="b">
        <v>0</v>
      </c>
      <c r="K199" s="219">
        <v>163</v>
      </c>
    </row>
    <row r="200" spans="6:11" x14ac:dyDescent="0.2">
      <c r="F200" s="212">
        <v>164</v>
      </c>
      <c r="G200" s="211" t="b">
        <v>0</v>
      </c>
      <c r="H200" s="211" t="b">
        <v>0</v>
      </c>
      <c r="I200" s="211" t="b">
        <v>0</v>
      </c>
      <c r="K200" s="219">
        <v>164</v>
      </c>
    </row>
    <row r="201" spans="6:11" x14ac:dyDescent="0.2">
      <c r="F201" s="212">
        <v>165</v>
      </c>
      <c r="G201" s="211" t="b">
        <v>0</v>
      </c>
      <c r="H201" s="211" t="b">
        <v>0</v>
      </c>
      <c r="I201" s="211" t="b">
        <v>0</v>
      </c>
      <c r="K201" s="219">
        <v>165</v>
      </c>
    </row>
    <row r="202" spans="6:11" x14ac:dyDescent="0.2">
      <c r="F202" s="212">
        <v>166</v>
      </c>
      <c r="G202" s="211" t="b">
        <v>0</v>
      </c>
      <c r="H202" s="211" t="b">
        <v>0</v>
      </c>
      <c r="I202" s="211" t="b">
        <v>0</v>
      </c>
      <c r="K202" s="219">
        <v>166</v>
      </c>
    </row>
    <row r="203" spans="6:11" x14ac:dyDescent="0.2">
      <c r="F203" s="212">
        <v>167</v>
      </c>
      <c r="G203" s="211" t="b">
        <v>0</v>
      </c>
      <c r="H203" s="211" t="b">
        <v>0</v>
      </c>
      <c r="I203" s="211" t="b">
        <v>0</v>
      </c>
      <c r="K203" s="219">
        <v>167</v>
      </c>
    </row>
    <row r="204" spans="6:11" x14ac:dyDescent="0.2">
      <c r="F204" s="212">
        <v>168</v>
      </c>
      <c r="G204" s="211" t="b">
        <v>0</v>
      </c>
      <c r="H204" s="211" t="b">
        <v>0</v>
      </c>
      <c r="I204" s="211" t="b">
        <v>0</v>
      </c>
      <c r="K204" s="219">
        <v>168</v>
      </c>
    </row>
    <row r="205" spans="6:11" x14ac:dyDescent="0.2">
      <c r="F205" s="212">
        <v>169</v>
      </c>
      <c r="G205" s="211" t="b">
        <v>0</v>
      </c>
      <c r="H205" s="211" t="b">
        <v>0</v>
      </c>
      <c r="I205" s="211" t="b">
        <v>0</v>
      </c>
      <c r="K205" s="219">
        <v>169</v>
      </c>
    </row>
    <row r="206" spans="6:11" x14ac:dyDescent="0.2">
      <c r="F206" s="212">
        <v>170</v>
      </c>
      <c r="G206" s="211" t="b">
        <v>0</v>
      </c>
      <c r="H206" s="211" t="b">
        <v>0</v>
      </c>
      <c r="I206" s="211" t="b">
        <v>0</v>
      </c>
      <c r="K206" s="219">
        <v>170</v>
      </c>
    </row>
    <row r="207" spans="6:11" x14ac:dyDescent="0.2">
      <c r="F207" s="212">
        <v>171</v>
      </c>
      <c r="G207" s="211" t="b">
        <v>0</v>
      </c>
      <c r="H207" s="211" t="b">
        <v>0</v>
      </c>
      <c r="I207" s="211" t="b">
        <v>0</v>
      </c>
      <c r="K207" s="219">
        <v>171</v>
      </c>
    </row>
    <row r="208" spans="6:11" x14ac:dyDescent="0.2">
      <c r="F208" s="212">
        <v>172</v>
      </c>
      <c r="G208" s="211" t="b">
        <v>0</v>
      </c>
      <c r="H208" s="211" t="b">
        <v>0</v>
      </c>
      <c r="I208" s="211" t="b">
        <v>0</v>
      </c>
      <c r="K208" s="219">
        <v>172</v>
      </c>
    </row>
    <row r="209" spans="6:11" x14ac:dyDescent="0.2">
      <c r="F209" s="212">
        <v>173</v>
      </c>
      <c r="G209" s="211" t="b">
        <v>0</v>
      </c>
      <c r="H209" s="211" t="b">
        <v>0</v>
      </c>
      <c r="I209" s="211" t="b">
        <v>0</v>
      </c>
      <c r="K209" s="219">
        <v>173</v>
      </c>
    </row>
    <row r="210" spans="6:11" x14ac:dyDescent="0.2">
      <c r="F210" s="212">
        <v>174</v>
      </c>
      <c r="G210" s="211" t="b">
        <v>0</v>
      </c>
      <c r="H210" s="211" t="b">
        <v>0</v>
      </c>
      <c r="I210" s="211" t="b">
        <v>0</v>
      </c>
      <c r="K210" s="219">
        <v>174</v>
      </c>
    </row>
    <row r="211" spans="6:11" x14ac:dyDescent="0.2">
      <c r="F211" s="212">
        <v>175</v>
      </c>
      <c r="G211" s="211" t="b">
        <v>0</v>
      </c>
      <c r="H211" s="211" t="b">
        <v>0</v>
      </c>
      <c r="I211" s="211" t="b">
        <v>0</v>
      </c>
      <c r="K211" s="219">
        <v>175</v>
      </c>
    </row>
    <row r="212" spans="6:11" x14ac:dyDescent="0.2">
      <c r="F212" s="212">
        <v>176</v>
      </c>
      <c r="G212" s="211" t="b">
        <v>0</v>
      </c>
      <c r="H212" s="211" t="b">
        <v>0</v>
      </c>
      <c r="I212" s="211" t="b">
        <v>0</v>
      </c>
      <c r="K212" s="219">
        <v>176</v>
      </c>
    </row>
    <row r="213" spans="6:11" x14ac:dyDescent="0.2">
      <c r="F213" s="212">
        <v>177</v>
      </c>
      <c r="G213" s="211" t="b">
        <v>0</v>
      </c>
      <c r="H213" s="211" t="b">
        <v>0</v>
      </c>
      <c r="I213" s="211" t="b">
        <v>0</v>
      </c>
      <c r="K213" s="219">
        <v>177</v>
      </c>
    </row>
    <row r="214" spans="6:11" x14ac:dyDescent="0.2">
      <c r="F214" s="212">
        <v>178</v>
      </c>
      <c r="G214" s="211" t="b">
        <v>0</v>
      </c>
      <c r="H214" s="211" t="b">
        <v>0</v>
      </c>
      <c r="I214" s="211" t="b">
        <v>0</v>
      </c>
      <c r="K214" s="219">
        <v>178</v>
      </c>
    </row>
    <row r="215" spans="6:11" x14ac:dyDescent="0.2">
      <c r="F215" s="212">
        <v>179</v>
      </c>
      <c r="G215" s="211" t="b">
        <v>0</v>
      </c>
      <c r="H215" s="211" t="b">
        <v>0</v>
      </c>
      <c r="I215" s="211" t="b">
        <v>0</v>
      </c>
      <c r="K215" s="219">
        <v>179</v>
      </c>
    </row>
    <row r="216" spans="6:11" x14ac:dyDescent="0.2">
      <c r="F216" s="212">
        <v>180</v>
      </c>
      <c r="G216" s="211" t="b">
        <v>0</v>
      </c>
      <c r="H216" s="211" t="b">
        <v>0</v>
      </c>
      <c r="I216" s="211" t="b">
        <v>0</v>
      </c>
      <c r="K216" s="219">
        <v>180</v>
      </c>
    </row>
    <row r="217" spans="6:11" x14ac:dyDescent="0.2">
      <c r="F217" s="212">
        <v>181</v>
      </c>
      <c r="G217" s="211" t="b">
        <v>0</v>
      </c>
      <c r="H217" s="211" t="b">
        <v>0</v>
      </c>
      <c r="I217" s="211" t="b">
        <v>0</v>
      </c>
      <c r="K217" s="219">
        <v>181</v>
      </c>
    </row>
    <row r="218" spans="6:11" x14ac:dyDescent="0.2">
      <c r="F218" s="212">
        <v>182</v>
      </c>
      <c r="G218" s="211" t="b">
        <v>0</v>
      </c>
      <c r="H218" s="211" t="b">
        <v>0</v>
      </c>
      <c r="I218" s="211" t="b">
        <v>0</v>
      </c>
      <c r="K218" s="219">
        <v>182</v>
      </c>
    </row>
    <row r="219" spans="6:11" x14ac:dyDescent="0.2">
      <c r="F219" s="212">
        <v>183</v>
      </c>
      <c r="G219" s="211" t="b">
        <v>0</v>
      </c>
      <c r="H219" s="211" t="b">
        <v>0</v>
      </c>
      <c r="I219" s="211" t="b">
        <v>0</v>
      </c>
      <c r="K219" s="219">
        <v>183</v>
      </c>
    </row>
    <row r="220" spans="6:11" x14ac:dyDescent="0.2">
      <c r="F220" s="212">
        <v>184</v>
      </c>
      <c r="G220" s="211" t="b">
        <v>0</v>
      </c>
      <c r="H220" s="211" t="b">
        <v>0</v>
      </c>
      <c r="I220" s="211" t="b">
        <v>0</v>
      </c>
      <c r="K220" s="219">
        <v>184</v>
      </c>
    </row>
    <row r="221" spans="6:11" x14ac:dyDescent="0.2">
      <c r="F221" s="212">
        <v>185</v>
      </c>
      <c r="G221" s="211" t="b">
        <v>0</v>
      </c>
      <c r="H221" s="211" t="b">
        <v>0</v>
      </c>
      <c r="I221" s="211" t="b">
        <v>0</v>
      </c>
      <c r="K221" s="219">
        <v>185</v>
      </c>
    </row>
    <row r="222" spans="6:11" x14ac:dyDescent="0.2">
      <c r="F222" s="212">
        <v>186</v>
      </c>
      <c r="G222" s="211" t="b">
        <v>0</v>
      </c>
      <c r="H222" s="211" t="b">
        <v>0</v>
      </c>
      <c r="I222" s="211" t="b">
        <v>0</v>
      </c>
      <c r="K222" s="219">
        <v>186</v>
      </c>
    </row>
    <row r="223" spans="6:11" x14ac:dyDescent="0.2">
      <c r="F223" s="212">
        <v>187</v>
      </c>
      <c r="G223" s="211" t="b">
        <v>0</v>
      </c>
      <c r="H223" s="211" t="b">
        <v>0</v>
      </c>
      <c r="I223" s="211" t="b">
        <v>0</v>
      </c>
      <c r="K223" s="219">
        <v>187</v>
      </c>
    </row>
    <row r="224" spans="6:11" x14ac:dyDescent="0.2">
      <c r="F224" s="212">
        <v>188</v>
      </c>
      <c r="G224" s="211" t="b">
        <v>0</v>
      </c>
      <c r="H224" s="211" t="b">
        <v>0</v>
      </c>
      <c r="I224" s="211" t="b">
        <v>0</v>
      </c>
      <c r="K224" s="219">
        <v>188</v>
      </c>
    </row>
    <row r="225" spans="1:15" x14ac:dyDescent="0.2">
      <c r="F225" s="212">
        <v>189</v>
      </c>
      <c r="G225" s="211" t="b">
        <v>0</v>
      </c>
      <c r="H225" s="211" t="b">
        <v>0</v>
      </c>
      <c r="I225" s="211" t="b">
        <v>0</v>
      </c>
      <c r="K225" s="219">
        <v>189</v>
      </c>
    </row>
    <row r="226" spans="1:15" x14ac:dyDescent="0.2">
      <c r="F226" s="212">
        <v>190</v>
      </c>
      <c r="G226" s="211" t="b">
        <v>0</v>
      </c>
      <c r="H226" s="211" t="b">
        <v>0</v>
      </c>
      <c r="I226" s="211" t="b">
        <v>0</v>
      </c>
      <c r="K226" s="219">
        <v>190</v>
      </c>
    </row>
    <row r="227" spans="1:15" x14ac:dyDescent="0.2">
      <c r="F227" s="212">
        <v>191</v>
      </c>
      <c r="G227" s="211" t="b">
        <v>0</v>
      </c>
      <c r="H227" s="211" t="b">
        <v>0</v>
      </c>
      <c r="I227" s="211" t="b">
        <v>0</v>
      </c>
      <c r="K227" s="219">
        <v>191</v>
      </c>
    </row>
    <row r="228" spans="1:15" x14ac:dyDescent="0.2">
      <c r="F228" s="212">
        <v>192</v>
      </c>
      <c r="G228" s="211" t="b">
        <v>0</v>
      </c>
      <c r="H228" s="211" t="b">
        <v>0</v>
      </c>
      <c r="I228" s="211" t="b">
        <v>0</v>
      </c>
      <c r="K228" s="219">
        <v>192</v>
      </c>
    </row>
    <row r="229" spans="1:15" x14ac:dyDescent="0.2">
      <c r="F229" s="212">
        <v>193</v>
      </c>
      <c r="G229" s="211" t="b">
        <v>0</v>
      </c>
      <c r="H229" s="211" t="b">
        <v>0</v>
      </c>
      <c r="I229" s="211" t="b">
        <v>0</v>
      </c>
      <c r="K229" s="219">
        <v>193</v>
      </c>
    </row>
    <row r="230" spans="1:15" x14ac:dyDescent="0.2">
      <c r="F230" s="212">
        <v>194</v>
      </c>
      <c r="G230" s="211" t="b">
        <v>0</v>
      </c>
      <c r="H230" s="211" t="b">
        <v>0</v>
      </c>
      <c r="I230" s="211" t="b">
        <v>0</v>
      </c>
      <c r="K230" s="219">
        <v>194</v>
      </c>
    </row>
    <row r="231" spans="1:15" x14ac:dyDescent="0.2">
      <c r="F231" s="212">
        <v>195</v>
      </c>
      <c r="G231" s="211" t="b">
        <v>0</v>
      </c>
      <c r="H231" s="211" t="b">
        <v>0</v>
      </c>
      <c r="I231" s="211" t="b">
        <v>0</v>
      </c>
      <c r="K231" s="219">
        <v>195</v>
      </c>
    </row>
    <row r="232" spans="1:15" x14ac:dyDescent="0.2">
      <c r="F232" s="212">
        <v>196</v>
      </c>
      <c r="G232" s="211" t="b">
        <v>0</v>
      </c>
      <c r="H232" s="211" t="b">
        <v>0</v>
      </c>
      <c r="I232" s="211" t="b">
        <v>0</v>
      </c>
      <c r="K232" s="219">
        <v>196</v>
      </c>
    </row>
    <row r="233" spans="1:15" x14ac:dyDescent="0.2">
      <c r="F233" s="212">
        <v>197</v>
      </c>
      <c r="G233" s="211" t="b">
        <v>0</v>
      </c>
      <c r="H233" s="211" t="b">
        <v>0</v>
      </c>
      <c r="I233" s="211" t="b">
        <v>0</v>
      </c>
      <c r="K233" s="219">
        <v>197</v>
      </c>
    </row>
    <row r="234" spans="1:15" x14ac:dyDescent="0.2">
      <c r="F234" s="212">
        <v>198</v>
      </c>
      <c r="G234" s="211" t="b">
        <v>0</v>
      </c>
      <c r="H234" s="211" t="b">
        <v>0</v>
      </c>
      <c r="I234" s="211" t="b">
        <v>0</v>
      </c>
      <c r="K234" s="219">
        <v>198</v>
      </c>
    </row>
    <row r="235" spans="1:15" x14ac:dyDescent="0.2">
      <c r="F235" s="212">
        <v>199</v>
      </c>
      <c r="G235" s="211" t="b">
        <v>0</v>
      </c>
      <c r="H235" s="211" t="b">
        <v>0</v>
      </c>
      <c r="I235" s="211" t="b">
        <v>0</v>
      </c>
      <c r="K235" s="219">
        <v>199</v>
      </c>
    </row>
    <row r="236" spans="1:15" x14ac:dyDescent="0.2">
      <c r="F236" s="212">
        <v>200</v>
      </c>
      <c r="G236" s="211" t="b">
        <v>0</v>
      </c>
      <c r="H236" s="211" t="b">
        <v>0</v>
      </c>
      <c r="I236" s="211" t="b">
        <v>0</v>
      </c>
      <c r="K236" s="219">
        <v>200</v>
      </c>
    </row>
    <row r="238" spans="1:15" x14ac:dyDescent="0.2">
      <c r="A238" s="211" t="s">
        <v>133</v>
      </c>
      <c r="C238" s="211" t="s">
        <v>131</v>
      </c>
    </row>
    <row r="239" spans="1:15" x14ac:dyDescent="0.2">
      <c r="A239" s="211">
        <f>IF(G239,1,0)</f>
        <v>0</v>
      </c>
      <c r="C239" s="211">
        <f>IF($T$41,L239,1)</f>
        <v>1</v>
      </c>
      <c r="E239" s="211" t="s">
        <v>130</v>
      </c>
      <c r="F239" s="212">
        <v>1</v>
      </c>
      <c r="G239" s="212" t="b">
        <v>0</v>
      </c>
      <c r="H239" s="212" t="b">
        <v>0</v>
      </c>
      <c r="I239" s="212" t="b">
        <v>0</v>
      </c>
      <c r="K239" s="212">
        <v>1</v>
      </c>
      <c r="L239" s="212">
        <v>1</v>
      </c>
      <c r="M239" s="212">
        <v>1</v>
      </c>
      <c r="N239" s="212">
        <v>1</v>
      </c>
      <c r="O239" s="211" t="s">
        <v>131</v>
      </c>
    </row>
    <row r="240" spans="1:15" x14ac:dyDescent="0.2">
      <c r="A240" s="211">
        <f>IF(G240,1,0)</f>
        <v>0</v>
      </c>
      <c r="C240" s="211">
        <f>IF($T$41,L240,1)</f>
        <v>1</v>
      </c>
      <c r="F240" s="212">
        <v>2</v>
      </c>
      <c r="G240" s="212" t="b">
        <v>0</v>
      </c>
      <c r="H240" s="212" t="b">
        <v>0</v>
      </c>
      <c r="I240" s="212" t="b">
        <v>0</v>
      </c>
      <c r="K240" s="212">
        <v>2</v>
      </c>
      <c r="L240" s="212">
        <v>1</v>
      </c>
      <c r="M240" s="212">
        <v>1</v>
      </c>
      <c r="N240" s="212">
        <v>1</v>
      </c>
    </row>
    <row r="241" spans="1:14" x14ac:dyDescent="0.2">
      <c r="A241" s="211">
        <f>IF(G241,1,0)</f>
        <v>0</v>
      </c>
      <c r="C241" s="211">
        <f>IF($T$41,L241,1)</f>
        <v>1</v>
      </c>
      <c r="F241" s="212">
        <v>3</v>
      </c>
      <c r="G241" s="212" t="b">
        <v>0</v>
      </c>
      <c r="H241" s="212" t="b">
        <v>0</v>
      </c>
      <c r="I241" s="212" t="b">
        <v>0</v>
      </c>
      <c r="K241" s="212">
        <v>3</v>
      </c>
      <c r="L241" s="212">
        <v>1</v>
      </c>
      <c r="M241" s="212">
        <v>1</v>
      </c>
      <c r="N241" s="212">
        <v>1</v>
      </c>
    </row>
    <row r="242" spans="1:14" x14ac:dyDescent="0.2">
      <c r="A242" s="211">
        <f>IF(G242,1,0)</f>
        <v>0</v>
      </c>
      <c r="C242" s="211">
        <f t="shared" ref="C242:C305" si="1">IF($T$41,L242,1)</f>
        <v>1</v>
      </c>
      <c r="F242" s="212">
        <v>4</v>
      </c>
      <c r="G242" s="212" t="b">
        <v>0</v>
      </c>
      <c r="H242" s="212" t="b">
        <v>0</v>
      </c>
      <c r="I242" s="212" t="b">
        <v>0</v>
      </c>
      <c r="K242" s="212">
        <v>4</v>
      </c>
      <c r="L242" s="212">
        <v>1</v>
      </c>
      <c r="M242" s="212">
        <v>1</v>
      </c>
      <c r="N242" s="212">
        <v>1</v>
      </c>
    </row>
    <row r="243" spans="1:14" x14ac:dyDescent="0.2">
      <c r="A243" s="211">
        <f t="shared" ref="A243:A306" si="2">IF(G243,1,0)</f>
        <v>0</v>
      </c>
      <c r="C243" s="211">
        <f t="shared" si="1"/>
        <v>1</v>
      </c>
      <c r="F243" s="212">
        <v>5</v>
      </c>
      <c r="G243" s="212" t="b">
        <v>0</v>
      </c>
      <c r="H243" s="212" t="b">
        <v>0</v>
      </c>
      <c r="I243" s="212" t="b">
        <v>0</v>
      </c>
      <c r="K243" s="212">
        <v>5</v>
      </c>
      <c r="L243" s="212">
        <v>1</v>
      </c>
      <c r="M243" s="212">
        <v>1</v>
      </c>
      <c r="N243" s="212">
        <v>1</v>
      </c>
    </row>
    <row r="244" spans="1:14" x14ac:dyDescent="0.2">
      <c r="A244" s="211">
        <f t="shared" si="2"/>
        <v>0</v>
      </c>
      <c r="C244" s="211">
        <f t="shared" si="1"/>
        <v>1</v>
      </c>
      <c r="F244" s="212">
        <v>6</v>
      </c>
      <c r="G244" s="212" t="b">
        <v>0</v>
      </c>
      <c r="H244" s="212" t="b">
        <v>0</v>
      </c>
      <c r="I244" s="212" t="b">
        <v>0</v>
      </c>
      <c r="K244" s="212">
        <v>6</v>
      </c>
      <c r="L244" s="212">
        <v>1</v>
      </c>
      <c r="M244" s="212">
        <v>1</v>
      </c>
      <c r="N244" s="212">
        <v>1</v>
      </c>
    </row>
    <row r="245" spans="1:14" x14ac:dyDescent="0.2">
      <c r="A245" s="211">
        <f t="shared" si="2"/>
        <v>0</v>
      </c>
      <c r="C245" s="211">
        <f t="shared" si="1"/>
        <v>1</v>
      </c>
      <c r="F245" s="212">
        <v>7</v>
      </c>
      <c r="G245" s="212" t="b">
        <v>0</v>
      </c>
      <c r="H245" s="212" t="b">
        <v>0</v>
      </c>
      <c r="I245" s="212" t="b">
        <v>0</v>
      </c>
      <c r="K245" s="212">
        <v>7</v>
      </c>
      <c r="L245" s="212">
        <v>1</v>
      </c>
      <c r="M245" s="212">
        <v>1</v>
      </c>
      <c r="N245" s="212">
        <v>1</v>
      </c>
    </row>
    <row r="246" spans="1:14" x14ac:dyDescent="0.2">
      <c r="A246" s="211">
        <f t="shared" si="2"/>
        <v>0</v>
      </c>
      <c r="C246" s="211">
        <f t="shared" si="1"/>
        <v>1</v>
      </c>
      <c r="F246" s="212">
        <v>8</v>
      </c>
      <c r="G246" s="212" t="b">
        <v>0</v>
      </c>
      <c r="H246" s="212" t="b">
        <v>0</v>
      </c>
      <c r="I246" s="212" t="b">
        <v>0</v>
      </c>
      <c r="K246" s="212">
        <v>8</v>
      </c>
      <c r="L246" s="212">
        <v>1</v>
      </c>
      <c r="M246" s="212">
        <v>1</v>
      </c>
      <c r="N246" s="212">
        <v>1</v>
      </c>
    </row>
    <row r="247" spans="1:14" x14ac:dyDescent="0.2">
      <c r="A247" s="211">
        <f t="shared" si="2"/>
        <v>0</v>
      </c>
      <c r="C247" s="211">
        <f t="shared" si="1"/>
        <v>1</v>
      </c>
      <c r="F247" s="212">
        <v>9</v>
      </c>
      <c r="G247" s="212" t="b">
        <v>0</v>
      </c>
      <c r="H247" s="212" t="b">
        <v>0</v>
      </c>
      <c r="I247" s="212" t="b">
        <v>0</v>
      </c>
      <c r="K247" s="212">
        <v>9</v>
      </c>
      <c r="L247" s="212">
        <v>1</v>
      </c>
      <c r="M247" s="212">
        <v>1</v>
      </c>
      <c r="N247" s="212">
        <v>1</v>
      </c>
    </row>
    <row r="248" spans="1:14" x14ac:dyDescent="0.2">
      <c r="A248" s="211">
        <f t="shared" si="2"/>
        <v>0</v>
      </c>
      <c r="C248" s="211">
        <f t="shared" si="1"/>
        <v>1</v>
      </c>
      <c r="F248" s="212">
        <v>10</v>
      </c>
      <c r="G248" s="212" t="b">
        <v>0</v>
      </c>
      <c r="H248" s="212" t="b">
        <v>0</v>
      </c>
      <c r="I248" s="212" t="b">
        <v>0</v>
      </c>
      <c r="K248" s="212">
        <v>10</v>
      </c>
      <c r="L248" s="212">
        <v>1</v>
      </c>
      <c r="M248" s="212">
        <v>1</v>
      </c>
      <c r="N248" s="212">
        <v>1</v>
      </c>
    </row>
    <row r="249" spans="1:14" x14ac:dyDescent="0.2">
      <c r="A249" s="211">
        <f t="shared" si="2"/>
        <v>0</v>
      </c>
      <c r="C249" s="211">
        <f t="shared" si="1"/>
        <v>1</v>
      </c>
      <c r="F249" s="212">
        <v>11</v>
      </c>
      <c r="G249" s="212" t="b">
        <v>0</v>
      </c>
      <c r="H249" s="212" t="b">
        <v>0</v>
      </c>
      <c r="I249" s="212" t="b">
        <v>0</v>
      </c>
      <c r="K249" s="212">
        <v>11</v>
      </c>
      <c r="L249" s="212">
        <v>1</v>
      </c>
      <c r="M249" s="212">
        <v>1</v>
      </c>
      <c r="N249" s="212">
        <v>1</v>
      </c>
    </row>
    <row r="250" spans="1:14" x14ac:dyDescent="0.2">
      <c r="A250" s="211">
        <f t="shared" si="2"/>
        <v>0</v>
      </c>
      <c r="C250" s="211">
        <f t="shared" si="1"/>
        <v>1</v>
      </c>
      <c r="F250" s="212">
        <v>12</v>
      </c>
      <c r="G250" s="212" t="b">
        <v>0</v>
      </c>
      <c r="H250" s="212" t="b">
        <v>0</v>
      </c>
      <c r="I250" s="212" t="b">
        <v>0</v>
      </c>
      <c r="K250" s="212">
        <v>12</v>
      </c>
      <c r="L250" s="212">
        <v>1</v>
      </c>
      <c r="M250" s="212">
        <v>1</v>
      </c>
      <c r="N250" s="212">
        <v>1</v>
      </c>
    </row>
    <row r="251" spans="1:14" x14ac:dyDescent="0.2">
      <c r="A251" s="211">
        <f t="shared" si="2"/>
        <v>0</v>
      </c>
      <c r="C251" s="211">
        <f t="shared" si="1"/>
        <v>1</v>
      </c>
      <c r="F251" s="212">
        <v>13</v>
      </c>
      <c r="G251" s="212" t="b">
        <v>0</v>
      </c>
      <c r="H251" s="212" t="b">
        <v>0</v>
      </c>
      <c r="I251" s="212" t="b">
        <v>0</v>
      </c>
      <c r="K251" s="212">
        <v>13</v>
      </c>
      <c r="L251" s="212">
        <v>1</v>
      </c>
      <c r="M251" s="212">
        <v>1</v>
      </c>
      <c r="N251" s="212">
        <v>1</v>
      </c>
    </row>
    <row r="252" spans="1:14" x14ac:dyDescent="0.2">
      <c r="A252" s="211">
        <f t="shared" si="2"/>
        <v>0</v>
      </c>
      <c r="C252" s="211">
        <f t="shared" si="1"/>
        <v>1</v>
      </c>
      <c r="F252" s="212">
        <v>14</v>
      </c>
      <c r="G252" s="212" t="b">
        <v>0</v>
      </c>
      <c r="H252" s="212" t="b">
        <v>0</v>
      </c>
      <c r="I252" s="212" t="b">
        <v>0</v>
      </c>
      <c r="K252" s="212">
        <v>14</v>
      </c>
      <c r="L252" s="212">
        <v>1</v>
      </c>
      <c r="M252" s="212">
        <v>1</v>
      </c>
      <c r="N252" s="212">
        <v>1</v>
      </c>
    </row>
    <row r="253" spans="1:14" x14ac:dyDescent="0.2">
      <c r="A253" s="211">
        <f t="shared" si="2"/>
        <v>0</v>
      </c>
      <c r="C253" s="211">
        <f t="shared" si="1"/>
        <v>1</v>
      </c>
      <c r="F253" s="212">
        <v>15</v>
      </c>
      <c r="G253" s="212" t="b">
        <v>0</v>
      </c>
      <c r="H253" s="212" t="b">
        <v>0</v>
      </c>
      <c r="I253" s="212" t="b">
        <v>0</v>
      </c>
      <c r="K253" s="212">
        <v>15</v>
      </c>
      <c r="L253" s="212">
        <v>1</v>
      </c>
      <c r="M253" s="212">
        <v>1</v>
      </c>
      <c r="N253" s="212">
        <v>1</v>
      </c>
    </row>
    <row r="254" spans="1:14" x14ac:dyDescent="0.2">
      <c r="A254" s="211">
        <f t="shared" si="2"/>
        <v>0</v>
      </c>
      <c r="C254" s="211">
        <f t="shared" si="1"/>
        <v>1</v>
      </c>
      <c r="F254" s="212">
        <v>16</v>
      </c>
      <c r="G254" s="212" t="b">
        <v>0</v>
      </c>
      <c r="H254" s="212" t="b">
        <v>0</v>
      </c>
      <c r="I254" s="212" t="b">
        <v>0</v>
      </c>
      <c r="K254" s="212">
        <v>16</v>
      </c>
      <c r="L254" s="212">
        <v>1</v>
      </c>
      <c r="M254" s="212">
        <v>1</v>
      </c>
      <c r="N254" s="212">
        <v>1</v>
      </c>
    </row>
    <row r="255" spans="1:14" x14ac:dyDescent="0.2">
      <c r="A255" s="211">
        <f t="shared" si="2"/>
        <v>0</v>
      </c>
      <c r="C255" s="211">
        <f t="shared" si="1"/>
        <v>1</v>
      </c>
      <c r="F255" s="212">
        <v>17</v>
      </c>
      <c r="G255" s="212" t="b">
        <v>0</v>
      </c>
      <c r="H255" s="212" t="b">
        <v>0</v>
      </c>
      <c r="I255" s="212" t="b">
        <v>0</v>
      </c>
      <c r="K255" s="212">
        <v>17</v>
      </c>
      <c r="L255" s="212">
        <v>1</v>
      </c>
      <c r="M255" s="212">
        <v>1</v>
      </c>
      <c r="N255" s="212">
        <v>1</v>
      </c>
    </row>
    <row r="256" spans="1:14" x14ac:dyDescent="0.2">
      <c r="A256" s="211">
        <f t="shared" si="2"/>
        <v>0</v>
      </c>
      <c r="C256" s="211">
        <f t="shared" si="1"/>
        <v>1</v>
      </c>
      <c r="F256" s="212">
        <v>18</v>
      </c>
      <c r="G256" s="212" t="b">
        <v>0</v>
      </c>
      <c r="H256" s="212" t="b">
        <v>0</v>
      </c>
      <c r="I256" s="212" t="b">
        <v>0</v>
      </c>
      <c r="K256" s="212">
        <v>18</v>
      </c>
      <c r="L256" s="212">
        <v>1</v>
      </c>
      <c r="M256" s="212">
        <v>1</v>
      </c>
      <c r="N256" s="212">
        <v>1</v>
      </c>
    </row>
    <row r="257" spans="1:14" x14ac:dyDescent="0.2">
      <c r="A257" s="211">
        <f t="shared" si="2"/>
        <v>0</v>
      </c>
      <c r="C257" s="211">
        <f t="shared" si="1"/>
        <v>1</v>
      </c>
      <c r="F257" s="212">
        <v>19</v>
      </c>
      <c r="G257" s="212" t="b">
        <v>0</v>
      </c>
      <c r="H257" s="212" t="b">
        <v>0</v>
      </c>
      <c r="I257" s="212" t="b">
        <v>0</v>
      </c>
      <c r="K257" s="212">
        <v>19</v>
      </c>
      <c r="L257" s="212">
        <v>1</v>
      </c>
      <c r="M257" s="212">
        <v>1</v>
      </c>
      <c r="N257" s="212">
        <v>1</v>
      </c>
    </row>
    <row r="258" spans="1:14" x14ac:dyDescent="0.2">
      <c r="A258" s="211">
        <f t="shared" si="2"/>
        <v>0</v>
      </c>
      <c r="C258" s="211">
        <f t="shared" si="1"/>
        <v>1</v>
      </c>
      <c r="F258" s="212">
        <v>20</v>
      </c>
      <c r="G258" s="212" t="b">
        <v>0</v>
      </c>
      <c r="H258" s="212" t="b">
        <v>0</v>
      </c>
      <c r="I258" s="212" t="b">
        <v>0</v>
      </c>
      <c r="K258" s="212">
        <v>20</v>
      </c>
      <c r="L258" s="212">
        <v>1</v>
      </c>
      <c r="M258" s="212">
        <v>1</v>
      </c>
      <c r="N258" s="212">
        <v>1</v>
      </c>
    </row>
    <row r="259" spans="1:14" x14ac:dyDescent="0.2">
      <c r="A259" s="211">
        <f t="shared" si="2"/>
        <v>0</v>
      </c>
      <c r="C259" s="211">
        <f t="shared" si="1"/>
        <v>1</v>
      </c>
      <c r="F259" s="212">
        <v>21</v>
      </c>
      <c r="G259" s="212" t="b">
        <v>0</v>
      </c>
      <c r="H259" s="212" t="b">
        <v>0</v>
      </c>
      <c r="I259" s="212" t="b">
        <v>0</v>
      </c>
      <c r="K259" s="212">
        <v>21</v>
      </c>
      <c r="L259" s="212">
        <v>1</v>
      </c>
      <c r="M259" s="212">
        <v>1</v>
      </c>
      <c r="N259" s="212">
        <v>1</v>
      </c>
    </row>
    <row r="260" spans="1:14" x14ac:dyDescent="0.2">
      <c r="A260" s="211">
        <f t="shared" si="2"/>
        <v>0</v>
      </c>
      <c r="C260" s="211">
        <f t="shared" si="1"/>
        <v>1</v>
      </c>
      <c r="F260" s="212">
        <v>22</v>
      </c>
      <c r="G260" s="212" t="b">
        <v>0</v>
      </c>
      <c r="H260" s="212" t="b">
        <v>0</v>
      </c>
      <c r="I260" s="212" t="b">
        <v>0</v>
      </c>
      <c r="K260" s="212">
        <v>22</v>
      </c>
      <c r="L260" s="212">
        <v>1</v>
      </c>
      <c r="M260" s="212">
        <v>1</v>
      </c>
      <c r="N260" s="212">
        <v>1</v>
      </c>
    </row>
    <row r="261" spans="1:14" x14ac:dyDescent="0.2">
      <c r="A261" s="211">
        <f t="shared" si="2"/>
        <v>0</v>
      </c>
      <c r="C261" s="211">
        <f t="shared" si="1"/>
        <v>1</v>
      </c>
      <c r="F261" s="212">
        <v>23</v>
      </c>
      <c r="G261" s="212" t="b">
        <v>0</v>
      </c>
      <c r="H261" s="212" t="b">
        <v>0</v>
      </c>
      <c r="I261" s="212" t="b">
        <v>0</v>
      </c>
      <c r="K261" s="212">
        <v>23</v>
      </c>
      <c r="L261" s="212">
        <v>1</v>
      </c>
      <c r="M261" s="212">
        <v>1</v>
      </c>
      <c r="N261" s="212">
        <v>1</v>
      </c>
    </row>
    <row r="262" spans="1:14" x14ac:dyDescent="0.2">
      <c r="A262" s="211">
        <f t="shared" si="2"/>
        <v>0</v>
      </c>
      <c r="C262" s="211">
        <f t="shared" si="1"/>
        <v>1</v>
      </c>
      <c r="F262" s="212">
        <v>24</v>
      </c>
      <c r="G262" s="212" t="b">
        <v>0</v>
      </c>
      <c r="H262" s="212" t="b">
        <v>0</v>
      </c>
      <c r="I262" s="212" t="b">
        <v>0</v>
      </c>
      <c r="K262" s="212">
        <v>24</v>
      </c>
      <c r="L262" s="212">
        <v>1</v>
      </c>
      <c r="M262" s="212">
        <v>1</v>
      </c>
      <c r="N262" s="212">
        <v>1</v>
      </c>
    </row>
    <row r="263" spans="1:14" x14ac:dyDescent="0.2">
      <c r="A263" s="211">
        <f t="shared" si="2"/>
        <v>0</v>
      </c>
      <c r="C263" s="211">
        <f t="shared" si="1"/>
        <v>1</v>
      </c>
      <c r="F263" s="212">
        <v>25</v>
      </c>
      <c r="G263" s="212" t="b">
        <v>0</v>
      </c>
      <c r="H263" s="212" t="b">
        <v>0</v>
      </c>
      <c r="I263" s="212" t="b">
        <v>0</v>
      </c>
      <c r="K263" s="212">
        <v>25</v>
      </c>
      <c r="L263" s="212">
        <v>1</v>
      </c>
      <c r="M263" s="212">
        <v>1</v>
      </c>
      <c r="N263" s="212">
        <v>1</v>
      </c>
    </row>
    <row r="264" spans="1:14" x14ac:dyDescent="0.2">
      <c r="A264" s="211">
        <f t="shared" si="2"/>
        <v>0</v>
      </c>
      <c r="C264" s="211">
        <f t="shared" si="1"/>
        <v>1</v>
      </c>
      <c r="F264" s="212">
        <v>26</v>
      </c>
      <c r="G264" s="212" t="b">
        <v>0</v>
      </c>
      <c r="H264" s="212" t="b">
        <v>0</v>
      </c>
      <c r="I264" s="212" t="b">
        <v>0</v>
      </c>
      <c r="K264" s="212">
        <v>26</v>
      </c>
      <c r="L264" s="212">
        <v>1</v>
      </c>
      <c r="M264" s="212">
        <v>1</v>
      </c>
      <c r="N264" s="212">
        <v>1</v>
      </c>
    </row>
    <row r="265" spans="1:14" x14ac:dyDescent="0.2">
      <c r="A265" s="211">
        <f t="shared" si="2"/>
        <v>0</v>
      </c>
      <c r="C265" s="211">
        <f t="shared" si="1"/>
        <v>1</v>
      </c>
      <c r="F265" s="212">
        <v>27</v>
      </c>
      <c r="G265" s="212" t="b">
        <v>0</v>
      </c>
      <c r="H265" s="212" t="b">
        <v>0</v>
      </c>
      <c r="I265" s="212" t="b">
        <v>0</v>
      </c>
      <c r="K265" s="212">
        <v>27</v>
      </c>
      <c r="L265" s="212">
        <v>1</v>
      </c>
      <c r="M265" s="212">
        <v>1</v>
      </c>
      <c r="N265" s="212">
        <v>1</v>
      </c>
    </row>
    <row r="266" spans="1:14" x14ac:dyDescent="0.2">
      <c r="A266" s="211">
        <f t="shared" si="2"/>
        <v>0</v>
      </c>
      <c r="C266" s="211">
        <f t="shared" si="1"/>
        <v>1</v>
      </c>
      <c r="F266" s="212">
        <v>28</v>
      </c>
      <c r="G266" s="212" t="b">
        <v>0</v>
      </c>
      <c r="H266" s="212" t="b">
        <v>0</v>
      </c>
      <c r="I266" s="212" t="b">
        <v>0</v>
      </c>
      <c r="K266" s="212">
        <v>28</v>
      </c>
      <c r="L266" s="212">
        <v>1</v>
      </c>
      <c r="M266" s="212">
        <v>1</v>
      </c>
      <c r="N266" s="212">
        <v>1</v>
      </c>
    </row>
    <row r="267" spans="1:14" x14ac:dyDescent="0.2">
      <c r="A267" s="211">
        <f t="shared" si="2"/>
        <v>0</v>
      </c>
      <c r="C267" s="211">
        <f t="shared" si="1"/>
        <v>1</v>
      </c>
      <c r="F267" s="212">
        <v>29</v>
      </c>
      <c r="G267" s="212" t="b">
        <v>0</v>
      </c>
      <c r="H267" s="212" t="b">
        <v>0</v>
      </c>
      <c r="I267" s="212" t="b">
        <v>0</v>
      </c>
      <c r="K267" s="212">
        <v>29</v>
      </c>
      <c r="L267" s="212">
        <v>1</v>
      </c>
      <c r="M267" s="212">
        <v>1</v>
      </c>
      <c r="N267" s="212">
        <v>1</v>
      </c>
    </row>
    <row r="268" spans="1:14" x14ac:dyDescent="0.2">
      <c r="A268" s="211">
        <f t="shared" si="2"/>
        <v>0</v>
      </c>
      <c r="C268" s="211">
        <f t="shared" si="1"/>
        <v>1</v>
      </c>
      <c r="F268" s="212">
        <v>30</v>
      </c>
      <c r="G268" s="212" t="b">
        <v>0</v>
      </c>
      <c r="H268" s="212" t="b">
        <v>0</v>
      </c>
      <c r="I268" s="212" t="b">
        <v>0</v>
      </c>
      <c r="K268" s="212">
        <v>30</v>
      </c>
      <c r="L268" s="212">
        <v>1</v>
      </c>
      <c r="M268" s="212">
        <v>1</v>
      </c>
      <c r="N268" s="212">
        <v>1</v>
      </c>
    </row>
    <row r="269" spans="1:14" x14ac:dyDescent="0.2">
      <c r="A269" s="211">
        <f t="shared" si="2"/>
        <v>0</v>
      </c>
      <c r="C269" s="211">
        <f t="shared" si="1"/>
        <v>1</v>
      </c>
      <c r="F269" s="212">
        <v>31</v>
      </c>
      <c r="G269" s="212" t="b">
        <v>0</v>
      </c>
      <c r="H269" s="212" t="b">
        <v>0</v>
      </c>
      <c r="I269" s="212" t="b">
        <v>0</v>
      </c>
      <c r="K269" s="212">
        <v>31</v>
      </c>
      <c r="L269" s="212">
        <v>1</v>
      </c>
      <c r="M269" s="212">
        <v>1</v>
      </c>
      <c r="N269" s="212">
        <v>1</v>
      </c>
    </row>
    <row r="270" spans="1:14" x14ac:dyDescent="0.2">
      <c r="A270" s="211">
        <f t="shared" si="2"/>
        <v>0</v>
      </c>
      <c r="C270" s="211">
        <f t="shared" si="1"/>
        <v>1</v>
      </c>
      <c r="F270" s="212">
        <v>32</v>
      </c>
      <c r="G270" s="212" t="b">
        <v>0</v>
      </c>
      <c r="H270" s="212" t="b">
        <v>0</v>
      </c>
      <c r="I270" s="212" t="b">
        <v>0</v>
      </c>
      <c r="K270" s="212">
        <v>32</v>
      </c>
      <c r="L270" s="212">
        <v>1</v>
      </c>
      <c r="M270" s="212">
        <v>1</v>
      </c>
      <c r="N270" s="212">
        <v>1</v>
      </c>
    </row>
    <row r="271" spans="1:14" x14ac:dyDescent="0.2">
      <c r="A271" s="211">
        <f t="shared" si="2"/>
        <v>0</v>
      </c>
      <c r="C271" s="211">
        <f t="shared" si="1"/>
        <v>1</v>
      </c>
      <c r="F271" s="212">
        <v>33</v>
      </c>
      <c r="G271" s="212" t="b">
        <v>0</v>
      </c>
      <c r="H271" s="212" t="b">
        <v>0</v>
      </c>
      <c r="I271" s="212" t="b">
        <v>0</v>
      </c>
      <c r="K271" s="212">
        <v>33</v>
      </c>
      <c r="L271" s="212">
        <v>1</v>
      </c>
      <c r="M271" s="212">
        <v>1</v>
      </c>
      <c r="N271" s="212">
        <v>1</v>
      </c>
    </row>
    <row r="272" spans="1:14" x14ac:dyDescent="0.2">
      <c r="A272" s="211">
        <f t="shared" si="2"/>
        <v>0</v>
      </c>
      <c r="C272" s="211">
        <f t="shared" si="1"/>
        <v>1</v>
      </c>
      <c r="F272" s="212">
        <v>34</v>
      </c>
      <c r="G272" s="212" t="b">
        <v>0</v>
      </c>
      <c r="H272" s="212" t="b">
        <v>0</v>
      </c>
      <c r="I272" s="212" t="b">
        <v>0</v>
      </c>
      <c r="K272" s="212">
        <v>34</v>
      </c>
      <c r="L272" s="212">
        <v>1</v>
      </c>
      <c r="M272" s="212">
        <v>1</v>
      </c>
      <c r="N272" s="212">
        <v>1</v>
      </c>
    </row>
    <row r="273" spans="1:14" x14ac:dyDescent="0.2">
      <c r="A273" s="211">
        <f t="shared" si="2"/>
        <v>0</v>
      </c>
      <c r="C273" s="211">
        <f t="shared" si="1"/>
        <v>1</v>
      </c>
      <c r="F273" s="212">
        <v>35</v>
      </c>
      <c r="G273" s="212" t="b">
        <v>0</v>
      </c>
      <c r="H273" s="212" t="b">
        <v>0</v>
      </c>
      <c r="I273" s="212" t="b">
        <v>0</v>
      </c>
      <c r="K273" s="212">
        <v>35</v>
      </c>
      <c r="L273" s="212">
        <v>1</v>
      </c>
      <c r="M273" s="212">
        <v>1</v>
      </c>
      <c r="N273" s="212">
        <v>1</v>
      </c>
    </row>
    <row r="274" spans="1:14" x14ac:dyDescent="0.2">
      <c r="A274" s="211">
        <f t="shared" si="2"/>
        <v>0</v>
      </c>
      <c r="C274" s="211">
        <f t="shared" si="1"/>
        <v>1</v>
      </c>
      <c r="F274" s="212">
        <v>36</v>
      </c>
      <c r="G274" s="212" t="b">
        <v>0</v>
      </c>
      <c r="H274" s="212" t="b">
        <v>0</v>
      </c>
      <c r="I274" s="212" t="b">
        <v>0</v>
      </c>
      <c r="K274" s="212">
        <v>36</v>
      </c>
      <c r="L274" s="212">
        <v>1</v>
      </c>
      <c r="M274" s="212">
        <v>1</v>
      </c>
      <c r="N274" s="212">
        <v>1</v>
      </c>
    </row>
    <row r="275" spans="1:14" x14ac:dyDescent="0.2">
      <c r="A275" s="211">
        <f t="shared" si="2"/>
        <v>0</v>
      </c>
      <c r="C275" s="211">
        <f t="shared" si="1"/>
        <v>1</v>
      </c>
      <c r="F275" s="212">
        <v>37</v>
      </c>
      <c r="G275" s="212" t="b">
        <v>0</v>
      </c>
      <c r="H275" s="212" t="b">
        <v>0</v>
      </c>
      <c r="I275" s="212" t="b">
        <v>0</v>
      </c>
      <c r="K275" s="212">
        <v>37</v>
      </c>
      <c r="L275" s="212">
        <v>1</v>
      </c>
      <c r="M275" s="212">
        <v>1</v>
      </c>
      <c r="N275" s="212">
        <v>1</v>
      </c>
    </row>
    <row r="276" spans="1:14" x14ac:dyDescent="0.2">
      <c r="A276" s="211">
        <f t="shared" si="2"/>
        <v>0</v>
      </c>
      <c r="C276" s="211">
        <f t="shared" si="1"/>
        <v>1</v>
      </c>
      <c r="F276" s="212">
        <v>38</v>
      </c>
      <c r="G276" s="212" t="b">
        <v>0</v>
      </c>
      <c r="H276" s="212" t="b">
        <v>0</v>
      </c>
      <c r="I276" s="212" t="b">
        <v>0</v>
      </c>
      <c r="K276" s="212">
        <v>38</v>
      </c>
      <c r="L276" s="212">
        <v>1</v>
      </c>
      <c r="M276" s="212">
        <v>1</v>
      </c>
      <c r="N276" s="212">
        <v>1</v>
      </c>
    </row>
    <row r="277" spans="1:14" x14ac:dyDescent="0.2">
      <c r="A277" s="211">
        <f t="shared" si="2"/>
        <v>0</v>
      </c>
      <c r="C277" s="211">
        <f t="shared" si="1"/>
        <v>1</v>
      </c>
      <c r="F277" s="212">
        <v>39</v>
      </c>
      <c r="G277" s="212" t="b">
        <v>0</v>
      </c>
      <c r="H277" s="212" t="b">
        <v>0</v>
      </c>
      <c r="I277" s="212" t="b">
        <v>0</v>
      </c>
      <c r="K277" s="212">
        <v>39</v>
      </c>
      <c r="L277" s="212">
        <v>1</v>
      </c>
      <c r="M277" s="212">
        <v>1</v>
      </c>
      <c r="N277" s="212">
        <v>1</v>
      </c>
    </row>
    <row r="278" spans="1:14" x14ac:dyDescent="0.2">
      <c r="A278" s="211">
        <f t="shared" si="2"/>
        <v>0</v>
      </c>
      <c r="C278" s="211">
        <f t="shared" si="1"/>
        <v>1</v>
      </c>
      <c r="F278" s="212">
        <v>40</v>
      </c>
      <c r="G278" s="212" t="b">
        <v>0</v>
      </c>
      <c r="H278" s="212" t="b">
        <v>0</v>
      </c>
      <c r="I278" s="212" t="b">
        <v>0</v>
      </c>
      <c r="K278" s="212">
        <v>40</v>
      </c>
      <c r="L278" s="212">
        <v>1</v>
      </c>
      <c r="M278" s="212">
        <v>1</v>
      </c>
      <c r="N278" s="212">
        <v>1</v>
      </c>
    </row>
    <row r="279" spans="1:14" x14ac:dyDescent="0.2">
      <c r="A279" s="211">
        <f t="shared" si="2"/>
        <v>0</v>
      </c>
      <c r="C279" s="211">
        <f t="shared" si="1"/>
        <v>1</v>
      </c>
      <c r="F279" s="212">
        <v>41</v>
      </c>
      <c r="G279" s="212" t="b">
        <v>0</v>
      </c>
      <c r="H279" s="212" t="b">
        <v>0</v>
      </c>
      <c r="I279" s="212" t="b">
        <v>0</v>
      </c>
      <c r="K279" s="212">
        <v>41</v>
      </c>
      <c r="L279" s="212">
        <v>1</v>
      </c>
      <c r="M279" s="212">
        <v>1</v>
      </c>
      <c r="N279" s="212">
        <v>1</v>
      </c>
    </row>
    <row r="280" spans="1:14" x14ac:dyDescent="0.2">
      <c r="A280" s="211">
        <f t="shared" si="2"/>
        <v>0</v>
      </c>
      <c r="C280" s="211">
        <f t="shared" si="1"/>
        <v>1</v>
      </c>
      <c r="F280" s="212">
        <v>42</v>
      </c>
      <c r="G280" s="212" t="b">
        <v>0</v>
      </c>
      <c r="H280" s="212" t="b">
        <v>0</v>
      </c>
      <c r="I280" s="212" t="b">
        <v>0</v>
      </c>
      <c r="K280" s="212">
        <v>42</v>
      </c>
      <c r="L280" s="212">
        <v>1</v>
      </c>
      <c r="M280" s="212">
        <v>1</v>
      </c>
      <c r="N280" s="212">
        <v>1</v>
      </c>
    </row>
    <row r="281" spans="1:14" x14ac:dyDescent="0.2">
      <c r="A281" s="211">
        <f t="shared" si="2"/>
        <v>0</v>
      </c>
      <c r="C281" s="211">
        <f t="shared" si="1"/>
        <v>1</v>
      </c>
      <c r="F281" s="212">
        <v>43</v>
      </c>
      <c r="G281" s="212" t="b">
        <v>0</v>
      </c>
      <c r="H281" s="212" t="b">
        <v>0</v>
      </c>
      <c r="I281" s="212" t="b">
        <v>0</v>
      </c>
      <c r="K281" s="212">
        <v>43</v>
      </c>
      <c r="L281" s="212">
        <v>1</v>
      </c>
      <c r="M281" s="212">
        <v>1</v>
      </c>
      <c r="N281" s="212">
        <v>1</v>
      </c>
    </row>
    <row r="282" spans="1:14" x14ac:dyDescent="0.2">
      <c r="A282" s="211">
        <f t="shared" si="2"/>
        <v>0</v>
      </c>
      <c r="C282" s="211">
        <f t="shared" si="1"/>
        <v>1</v>
      </c>
      <c r="F282" s="212">
        <v>44</v>
      </c>
      <c r="G282" s="212" t="b">
        <v>0</v>
      </c>
      <c r="H282" s="212" t="b">
        <v>0</v>
      </c>
      <c r="I282" s="212" t="b">
        <v>0</v>
      </c>
      <c r="K282" s="212">
        <v>44</v>
      </c>
      <c r="L282" s="212">
        <v>1</v>
      </c>
      <c r="M282" s="212">
        <v>1</v>
      </c>
      <c r="N282" s="212">
        <v>1</v>
      </c>
    </row>
    <row r="283" spans="1:14" x14ac:dyDescent="0.2">
      <c r="A283" s="211">
        <f t="shared" si="2"/>
        <v>0</v>
      </c>
      <c r="C283" s="211">
        <f t="shared" si="1"/>
        <v>1</v>
      </c>
      <c r="F283" s="212">
        <v>45</v>
      </c>
      <c r="G283" s="212" t="b">
        <v>0</v>
      </c>
      <c r="H283" s="212" t="b">
        <v>0</v>
      </c>
      <c r="I283" s="212" t="b">
        <v>0</v>
      </c>
      <c r="K283" s="212">
        <v>45</v>
      </c>
      <c r="L283" s="212">
        <v>1</v>
      </c>
      <c r="M283" s="212">
        <v>1</v>
      </c>
      <c r="N283" s="212">
        <v>1</v>
      </c>
    </row>
    <row r="284" spans="1:14" x14ac:dyDescent="0.2">
      <c r="A284" s="211">
        <f t="shared" si="2"/>
        <v>0</v>
      </c>
      <c r="C284" s="211">
        <f t="shared" si="1"/>
        <v>1</v>
      </c>
      <c r="F284" s="212">
        <v>46</v>
      </c>
      <c r="G284" s="212" t="b">
        <v>0</v>
      </c>
      <c r="H284" s="212" t="b">
        <v>0</v>
      </c>
      <c r="I284" s="212" t="b">
        <v>0</v>
      </c>
      <c r="K284" s="212">
        <v>46</v>
      </c>
      <c r="L284" s="212">
        <v>1</v>
      </c>
      <c r="M284" s="212">
        <v>1</v>
      </c>
      <c r="N284" s="212">
        <v>1</v>
      </c>
    </row>
    <row r="285" spans="1:14" x14ac:dyDescent="0.2">
      <c r="A285" s="211">
        <f t="shared" si="2"/>
        <v>0</v>
      </c>
      <c r="C285" s="211">
        <f t="shared" si="1"/>
        <v>1</v>
      </c>
      <c r="F285" s="212">
        <v>47</v>
      </c>
      <c r="G285" s="212" t="b">
        <v>0</v>
      </c>
      <c r="H285" s="212" t="b">
        <v>0</v>
      </c>
      <c r="I285" s="212" t="b">
        <v>0</v>
      </c>
      <c r="K285" s="212">
        <v>47</v>
      </c>
      <c r="L285" s="212">
        <v>1</v>
      </c>
      <c r="M285" s="212">
        <v>1</v>
      </c>
      <c r="N285" s="212">
        <v>1</v>
      </c>
    </row>
    <row r="286" spans="1:14" x14ac:dyDescent="0.2">
      <c r="A286" s="211">
        <f t="shared" si="2"/>
        <v>0</v>
      </c>
      <c r="C286" s="211">
        <f t="shared" si="1"/>
        <v>1</v>
      </c>
      <c r="F286" s="212">
        <v>48</v>
      </c>
      <c r="G286" s="212" t="b">
        <v>0</v>
      </c>
      <c r="H286" s="212" t="b">
        <v>0</v>
      </c>
      <c r="I286" s="212" t="b">
        <v>0</v>
      </c>
      <c r="K286" s="212">
        <v>48</v>
      </c>
      <c r="L286" s="212">
        <v>1</v>
      </c>
      <c r="M286" s="212">
        <v>1</v>
      </c>
      <c r="N286" s="212">
        <v>1</v>
      </c>
    </row>
    <row r="287" spans="1:14" x14ac:dyDescent="0.2">
      <c r="A287" s="211">
        <f t="shared" si="2"/>
        <v>0</v>
      </c>
      <c r="C287" s="211">
        <f t="shared" si="1"/>
        <v>1</v>
      </c>
      <c r="F287" s="212">
        <v>49</v>
      </c>
      <c r="G287" s="212" t="b">
        <v>0</v>
      </c>
      <c r="H287" s="212" t="b">
        <v>0</v>
      </c>
      <c r="I287" s="212" t="b">
        <v>0</v>
      </c>
      <c r="K287" s="212">
        <v>49</v>
      </c>
      <c r="L287" s="212">
        <v>1</v>
      </c>
      <c r="M287" s="212">
        <v>1</v>
      </c>
      <c r="N287" s="212">
        <v>1</v>
      </c>
    </row>
    <row r="288" spans="1:14" x14ac:dyDescent="0.2">
      <c r="A288" s="211">
        <f t="shared" si="2"/>
        <v>0</v>
      </c>
      <c r="C288" s="211">
        <f t="shared" si="1"/>
        <v>1</v>
      </c>
      <c r="F288" s="212">
        <v>50</v>
      </c>
      <c r="G288" s="212" t="b">
        <v>0</v>
      </c>
      <c r="H288" s="212" t="b">
        <v>0</v>
      </c>
      <c r="I288" s="212" t="b">
        <v>0</v>
      </c>
      <c r="K288" s="212">
        <v>50</v>
      </c>
      <c r="L288" s="212">
        <v>1</v>
      </c>
      <c r="M288" s="212">
        <v>1</v>
      </c>
      <c r="N288" s="212">
        <v>1</v>
      </c>
    </row>
    <row r="289" spans="1:14" x14ac:dyDescent="0.2">
      <c r="A289" s="211">
        <f t="shared" si="2"/>
        <v>0</v>
      </c>
      <c r="C289" s="211">
        <f t="shared" si="1"/>
        <v>1</v>
      </c>
      <c r="F289" s="212">
        <v>51</v>
      </c>
      <c r="G289" s="212" t="b">
        <v>0</v>
      </c>
      <c r="H289" s="212" t="b">
        <v>0</v>
      </c>
      <c r="I289" s="212" t="b">
        <v>0</v>
      </c>
      <c r="K289" s="212">
        <v>51</v>
      </c>
      <c r="L289" s="212">
        <v>1</v>
      </c>
      <c r="M289" s="212">
        <v>1</v>
      </c>
      <c r="N289" s="212">
        <v>1</v>
      </c>
    </row>
    <row r="290" spans="1:14" x14ac:dyDescent="0.2">
      <c r="A290" s="211">
        <f t="shared" si="2"/>
        <v>0</v>
      </c>
      <c r="C290" s="211">
        <f t="shared" si="1"/>
        <v>1</v>
      </c>
      <c r="F290" s="212">
        <v>52</v>
      </c>
      <c r="G290" s="212" t="b">
        <v>0</v>
      </c>
      <c r="H290" s="212" t="b">
        <v>0</v>
      </c>
      <c r="I290" s="212" t="b">
        <v>0</v>
      </c>
      <c r="K290" s="212">
        <v>52</v>
      </c>
      <c r="L290" s="212">
        <v>1</v>
      </c>
      <c r="M290" s="212">
        <v>1</v>
      </c>
      <c r="N290" s="212">
        <v>1</v>
      </c>
    </row>
    <row r="291" spans="1:14" x14ac:dyDescent="0.2">
      <c r="A291" s="211">
        <f t="shared" si="2"/>
        <v>0</v>
      </c>
      <c r="C291" s="211">
        <f t="shared" si="1"/>
        <v>1</v>
      </c>
      <c r="F291" s="212">
        <v>53</v>
      </c>
      <c r="G291" s="212" t="b">
        <v>0</v>
      </c>
      <c r="H291" s="212" t="b">
        <v>0</v>
      </c>
      <c r="I291" s="212" t="b">
        <v>0</v>
      </c>
      <c r="K291" s="212">
        <v>53</v>
      </c>
      <c r="L291" s="212">
        <v>1</v>
      </c>
      <c r="M291" s="212">
        <v>1</v>
      </c>
      <c r="N291" s="212">
        <v>1</v>
      </c>
    </row>
    <row r="292" spans="1:14" x14ac:dyDescent="0.2">
      <c r="A292" s="211">
        <f t="shared" si="2"/>
        <v>0</v>
      </c>
      <c r="C292" s="211">
        <f t="shared" si="1"/>
        <v>1</v>
      </c>
      <c r="F292" s="212">
        <v>54</v>
      </c>
      <c r="G292" s="212" t="b">
        <v>0</v>
      </c>
      <c r="H292" s="212" t="b">
        <v>0</v>
      </c>
      <c r="I292" s="212" t="b">
        <v>0</v>
      </c>
      <c r="K292" s="212">
        <v>54</v>
      </c>
      <c r="L292" s="212">
        <v>1</v>
      </c>
      <c r="M292" s="212">
        <v>1</v>
      </c>
      <c r="N292" s="212">
        <v>1</v>
      </c>
    </row>
    <row r="293" spans="1:14" x14ac:dyDescent="0.2">
      <c r="A293" s="211">
        <f t="shared" si="2"/>
        <v>0</v>
      </c>
      <c r="C293" s="211">
        <f t="shared" si="1"/>
        <v>1</v>
      </c>
      <c r="F293" s="212">
        <v>55</v>
      </c>
      <c r="G293" s="212" t="b">
        <v>0</v>
      </c>
      <c r="H293" s="212" t="b">
        <v>0</v>
      </c>
      <c r="I293" s="212" t="b">
        <v>0</v>
      </c>
      <c r="K293" s="212">
        <v>55</v>
      </c>
      <c r="L293" s="212">
        <v>1</v>
      </c>
      <c r="M293" s="212">
        <v>1</v>
      </c>
      <c r="N293" s="212">
        <v>1</v>
      </c>
    </row>
    <row r="294" spans="1:14" x14ac:dyDescent="0.2">
      <c r="A294" s="211">
        <f t="shared" si="2"/>
        <v>0</v>
      </c>
      <c r="C294" s="211">
        <f t="shared" si="1"/>
        <v>1</v>
      </c>
      <c r="F294" s="212">
        <v>56</v>
      </c>
      <c r="G294" s="212" t="b">
        <v>0</v>
      </c>
      <c r="H294" s="212" t="b">
        <v>0</v>
      </c>
      <c r="I294" s="212" t="b">
        <v>0</v>
      </c>
      <c r="K294" s="212">
        <v>56</v>
      </c>
      <c r="L294" s="212">
        <v>1</v>
      </c>
      <c r="M294" s="212">
        <v>1</v>
      </c>
      <c r="N294" s="212">
        <v>1</v>
      </c>
    </row>
    <row r="295" spans="1:14" x14ac:dyDescent="0.2">
      <c r="A295" s="211">
        <f t="shared" si="2"/>
        <v>0</v>
      </c>
      <c r="C295" s="211">
        <f t="shared" si="1"/>
        <v>1</v>
      </c>
      <c r="F295" s="212">
        <v>57</v>
      </c>
      <c r="G295" s="212" t="b">
        <v>0</v>
      </c>
      <c r="H295" s="212" t="b">
        <v>0</v>
      </c>
      <c r="I295" s="212" t="b">
        <v>0</v>
      </c>
      <c r="K295" s="212">
        <v>57</v>
      </c>
      <c r="L295" s="212">
        <v>1</v>
      </c>
      <c r="M295" s="212">
        <v>1</v>
      </c>
      <c r="N295" s="212">
        <v>1</v>
      </c>
    </row>
    <row r="296" spans="1:14" x14ac:dyDescent="0.2">
      <c r="A296" s="211">
        <f t="shared" si="2"/>
        <v>0</v>
      </c>
      <c r="C296" s="211">
        <f t="shared" si="1"/>
        <v>1</v>
      </c>
      <c r="F296" s="212">
        <v>58</v>
      </c>
      <c r="G296" s="212" t="b">
        <v>0</v>
      </c>
      <c r="H296" s="212" t="b">
        <v>0</v>
      </c>
      <c r="I296" s="212" t="b">
        <v>0</v>
      </c>
      <c r="K296" s="212">
        <v>58</v>
      </c>
      <c r="L296" s="212">
        <v>1</v>
      </c>
      <c r="M296" s="212">
        <v>1</v>
      </c>
      <c r="N296" s="212">
        <v>1</v>
      </c>
    </row>
    <row r="297" spans="1:14" x14ac:dyDescent="0.2">
      <c r="A297" s="211">
        <f t="shared" si="2"/>
        <v>0</v>
      </c>
      <c r="C297" s="211">
        <f t="shared" si="1"/>
        <v>1</v>
      </c>
      <c r="F297" s="212">
        <v>59</v>
      </c>
      <c r="G297" s="212" t="b">
        <v>0</v>
      </c>
      <c r="H297" s="212" t="b">
        <v>0</v>
      </c>
      <c r="I297" s="212" t="b">
        <v>0</v>
      </c>
      <c r="K297" s="212">
        <v>59</v>
      </c>
      <c r="L297" s="212">
        <v>1</v>
      </c>
      <c r="M297" s="212">
        <v>1</v>
      </c>
      <c r="N297" s="212">
        <v>1</v>
      </c>
    </row>
    <row r="298" spans="1:14" x14ac:dyDescent="0.2">
      <c r="A298" s="211">
        <f t="shared" si="2"/>
        <v>0</v>
      </c>
      <c r="C298" s="211">
        <f t="shared" si="1"/>
        <v>1</v>
      </c>
      <c r="F298" s="212">
        <v>60</v>
      </c>
      <c r="G298" s="212" t="b">
        <v>0</v>
      </c>
      <c r="H298" s="212" t="b">
        <v>0</v>
      </c>
      <c r="I298" s="212" t="b">
        <v>0</v>
      </c>
      <c r="K298" s="212">
        <v>60</v>
      </c>
      <c r="L298" s="212">
        <v>1</v>
      </c>
      <c r="M298" s="212">
        <v>1</v>
      </c>
      <c r="N298" s="212">
        <v>1</v>
      </c>
    </row>
    <row r="299" spans="1:14" x14ac:dyDescent="0.2">
      <c r="A299" s="211">
        <f t="shared" si="2"/>
        <v>0</v>
      </c>
      <c r="C299" s="211">
        <f t="shared" si="1"/>
        <v>1</v>
      </c>
      <c r="F299" s="212">
        <v>61</v>
      </c>
      <c r="G299" s="212" t="b">
        <v>0</v>
      </c>
      <c r="H299" s="212" t="b">
        <v>0</v>
      </c>
      <c r="I299" s="212" t="b">
        <v>0</v>
      </c>
      <c r="K299" s="212">
        <v>61</v>
      </c>
      <c r="L299" s="212">
        <v>1</v>
      </c>
      <c r="M299" s="212">
        <v>1</v>
      </c>
      <c r="N299" s="212">
        <v>1</v>
      </c>
    </row>
    <row r="300" spans="1:14" x14ac:dyDescent="0.2">
      <c r="A300" s="211">
        <f t="shared" si="2"/>
        <v>0</v>
      </c>
      <c r="C300" s="211">
        <f t="shared" si="1"/>
        <v>1</v>
      </c>
      <c r="F300" s="212">
        <v>62</v>
      </c>
      <c r="G300" s="212" t="b">
        <v>0</v>
      </c>
      <c r="H300" s="212" t="b">
        <v>0</v>
      </c>
      <c r="I300" s="212" t="b">
        <v>0</v>
      </c>
      <c r="K300" s="212">
        <v>62</v>
      </c>
      <c r="L300" s="212">
        <v>1</v>
      </c>
      <c r="M300" s="212">
        <v>1</v>
      </c>
      <c r="N300" s="212">
        <v>1</v>
      </c>
    </row>
    <row r="301" spans="1:14" x14ac:dyDescent="0.2">
      <c r="A301" s="211">
        <f t="shared" si="2"/>
        <v>0</v>
      </c>
      <c r="C301" s="211">
        <f t="shared" si="1"/>
        <v>1</v>
      </c>
      <c r="F301" s="212">
        <v>63</v>
      </c>
      <c r="G301" s="212" t="b">
        <v>0</v>
      </c>
      <c r="H301" s="212" t="b">
        <v>0</v>
      </c>
      <c r="I301" s="212" t="b">
        <v>0</v>
      </c>
      <c r="K301" s="212">
        <v>63</v>
      </c>
      <c r="L301" s="212">
        <v>1</v>
      </c>
      <c r="M301" s="212">
        <v>1</v>
      </c>
      <c r="N301" s="212">
        <v>1</v>
      </c>
    </row>
    <row r="302" spans="1:14" x14ac:dyDescent="0.2">
      <c r="A302" s="211">
        <f t="shared" si="2"/>
        <v>0</v>
      </c>
      <c r="C302" s="211">
        <f t="shared" si="1"/>
        <v>1</v>
      </c>
      <c r="F302" s="212">
        <v>64</v>
      </c>
      <c r="G302" s="212" t="b">
        <v>0</v>
      </c>
      <c r="H302" s="212" t="b">
        <v>0</v>
      </c>
      <c r="I302" s="212" t="b">
        <v>0</v>
      </c>
      <c r="K302" s="212">
        <v>64</v>
      </c>
      <c r="L302" s="212">
        <v>1</v>
      </c>
      <c r="M302" s="212">
        <v>1</v>
      </c>
      <c r="N302" s="212">
        <v>1</v>
      </c>
    </row>
    <row r="303" spans="1:14" x14ac:dyDescent="0.2">
      <c r="A303" s="211">
        <f t="shared" si="2"/>
        <v>0</v>
      </c>
      <c r="C303" s="211">
        <f t="shared" si="1"/>
        <v>1</v>
      </c>
      <c r="F303" s="212">
        <v>65</v>
      </c>
      <c r="G303" s="212" t="b">
        <v>0</v>
      </c>
      <c r="H303" s="212" t="b">
        <v>0</v>
      </c>
      <c r="I303" s="212" t="b">
        <v>0</v>
      </c>
      <c r="K303" s="212">
        <v>65</v>
      </c>
      <c r="L303" s="212">
        <v>1</v>
      </c>
      <c r="M303" s="212">
        <v>1</v>
      </c>
      <c r="N303" s="212">
        <v>1</v>
      </c>
    </row>
    <row r="304" spans="1:14" x14ac:dyDescent="0.2">
      <c r="A304" s="211">
        <f t="shared" si="2"/>
        <v>0</v>
      </c>
      <c r="C304" s="211">
        <f t="shared" si="1"/>
        <v>1</v>
      </c>
      <c r="F304" s="212">
        <v>66</v>
      </c>
      <c r="G304" s="212" t="b">
        <v>0</v>
      </c>
      <c r="H304" s="212" t="b">
        <v>0</v>
      </c>
      <c r="I304" s="212" t="b">
        <v>0</v>
      </c>
      <c r="K304" s="212">
        <v>66</v>
      </c>
      <c r="L304" s="212">
        <v>1</v>
      </c>
      <c r="M304" s="212">
        <v>1</v>
      </c>
      <c r="N304" s="212">
        <v>1</v>
      </c>
    </row>
    <row r="305" spans="1:14" x14ac:dyDescent="0.2">
      <c r="A305" s="211">
        <f t="shared" si="2"/>
        <v>0</v>
      </c>
      <c r="C305" s="211">
        <f t="shared" si="1"/>
        <v>1</v>
      </c>
      <c r="F305" s="212">
        <v>67</v>
      </c>
      <c r="G305" s="212" t="b">
        <v>0</v>
      </c>
      <c r="H305" s="212" t="b">
        <v>0</v>
      </c>
      <c r="I305" s="212" t="b">
        <v>0</v>
      </c>
      <c r="K305" s="212">
        <v>67</v>
      </c>
      <c r="L305" s="212">
        <v>1</v>
      </c>
      <c r="M305" s="212">
        <v>1</v>
      </c>
      <c r="N305" s="212">
        <v>1</v>
      </c>
    </row>
    <row r="306" spans="1:14" x14ac:dyDescent="0.2">
      <c r="A306" s="211">
        <f t="shared" si="2"/>
        <v>0</v>
      </c>
      <c r="C306" s="211">
        <f t="shared" ref="C306:C369" si="3">IF($T$41,L306,1)</f>
        <v>1</v>
      </c>
      <c r="F306" s="212">
        <v>68</v>
      </c>
      <c r="G306" s="212" t="b">
        <v>0</v>
      </c>
      <c r="H306" s="212" t="b">
        <v>0</v>
      </c>
      <c r="I306" s="212" t="b">
        <v>0</v>
      </c>
      <c r="K306" s="212">
        <v>68</v>
      </c>
      <c r="L306" s="212">
        <v>1</v>
      </c>
      <c r="M306" s="212">
        <v>1</v>
      </c>
      <c r="N306" s="212">
        <v>1</v>
      </c>
    </row>
    <row r="307" spans="1:14" x14ac:dyDescent="0.2">
      <c r="A307" s="211">
        <f t="shared" ref="A307:A370" si="4">IF(G307,1,0)</f>
        <v>0</v>
      </c>
      <c r="C307" s="211">
        <f t="shared" si="3"/>
        <v>1</v>
      </c>
      <c r="F307" s="212">
        <v>69</v>
      </c>
      <c r="G307" s="212" t="b">
        <v>0</v>
      </c>
      <c r="H307" s="212" t="b">
        <v>0</v>
      </c>
      <c r="I307" s="212" t="b">
        <v>0</v>
      </c>
      <c r="K307" s="212">
        <v>69</v>
      </c>
      <c r="L307" s="212">
        <v>1</v>
      </c>
      <c r="M307" s="212">
        <v>1</v>
      </c>
      <c r="N307" s="212">
        <v>1</v>
      </c>
    </row>
    <row r="308" spans="1:14" x14ac:dyDescent="0.2">
      <c r="A308" s="211">
        <f t="shared" si="4"/>
        <v>0</v>
      </c>
      <c r="C308" s="211">
        <f t="shared" si="3"/>
        <v>1</v>
      </c>
      <c r="F308" s="212">
        <v>70</v>
      </c>
      <c r="G308" s="212" t="b">
        <v>0</v>
      </c>
      <c r="H308" s="212" t="b">
        <v>0</v>
      </c>
      <c r="I308" s="212" t="b">
        <v>0</v>
      </c>
      <c r="K308" s="212">
        <v>70</v>
      </c>
      <c r="L308" s="212">
        <v>1</v>
      </c>
      <c r="M308" s="212">
        <v>1</v>
      </c>
      <c r="N308" s="212">
        <v>1</v>
      </c>
    </row>
    <row r="309" spans="1:14" x14ac:dyDescent="0.2">
      <c r="A309" s="211">
        <f t="shared" si="4"/>
        <v>0</v>
      </c>
      <c r="C309" s="211">
        <f t="shared" si="3"/>
        <v>1</v>
      </c>
      <c r="F309" s="212">
        <v>71</v>
      </c>
      <c r="G309" s="212" t="b">
        <v>0</v>
      </c>
      <c r="H309" s="212" t="b">
        <v>0</v>
      </c>
      <c r="I309" s="212" t="b">
        <v>0</v>
      </c>
      <c r="K309" s="212">
        <v>71</v>
      </c>
      <c r="L309" s="212">
        <v>1</v>
      </c>
      <c r="M309" s="212">
        <v>1</v>
      </c>
      <c r="N309" s="212">
        <v>1</v>
      </c>
    </row>
    <row r="310" spans="1:14" x14ac:dyDescent="0.2">
      <c r="A310" s="211">
        <f t="shared" si="4"/>
        <v>0</v>
      </c>
      <c r="C310" s="211">
        <f t="shared" si="3"/>
        <v>1</v>
      </c>
      <c r="F310" s="212">
        <v>72</v>
      </c>
      <c r="G310" s="212" t="b">
        <v>0</v>
      </c>
      <c r="H310" s="212" t="b">
        <v>0</v>
      </c>
      <c r="I310" s="212" t="b">
        <v>0</v>
      </c>
      <c r="K310" s="212">
        <v>72</v>
      </c>
      <c r="L310" s="212">
        <v>1</v>
      </c>
      <c r="M310" s="212">
        <v>1</v>
      </c>
      <c r="N310" s="212">
        <v>1</v>
      </c>
    </row>
    <row r="311" spans="1:14" x14ac:dyDescent="0.2">
      <c r="A311" s="211">
        <f t="shared" si="4"/>
        <v>0</v>
      </c>
      <c r="C311" s="211">
        <f t="shared" si="3"/>
        <v>1</v>
      </c>
      <c r="F311" s="212">
        <v>73</v>
      </c>
      <c r="G311" s="212" t="b">
        <v>0</v>
      </c>
      <c r="H311" s="212" t="b">
        <v>0</v>
      </c>
      <c r="I311" s="212" t="b">
        <v>0</v>
      </c>
      <c r="K311" s="212">
        <v>73</v>
      </c>
      <c r="L311" s="212">
        <v>1</v>
      </c>
      <c r="M311" s="212">
        <v>1</v>
      </c>
      <c r="N311" s="212">
        <v>1</v>
      </c>
    </row>
    <row r="312" spans="1:14" x14ac:dyDescent="0.2">
      <c r="A312" s="211">
        <f t="shared" si="4"/>
        <v>0</v>
      </c>
      <c r="C312" s="211">
        <f t="shared" si="3"/>
        <v>1</v>
      </c>
      <c r="F312" s="212">
        <v>74</v>
      </c>
      <c r="G312" s="212" t="b">
        <v>0</v>
      </c>
      <c r="H312" s="212" t="b">
        <v>0</v>
      </c>
      <c r="I312" s="212" t="b">
        <v>0</v>
      </c>
      <c r="K312" s="212">
        <v>74</v>
      </c>
      <c r="L312" s="212">
        <v>1</v>
      </c>
      <c r="M312" s="212">
        <v>1</v>
      </c>
      <c r="N312" s="212">
        <v>1</v>
      </c>
    </row>
    <row r="313" spans="1:14" x14ac:dyDescent="0.2">
      <c r="A313" s="211">
        <f t="shared" si="4"/>
        <v>0</v>
      </c>
      <c r="C313" s="211">
        <f t="shared" si="3"/>
        <v>1</v>
      </c>
      <c r="F313" s="212">
        <v>75</v>
      </c>
      <c r="G313" s="212" t="b">
        <v>0</v>
      </c>
      <c r="H313" s="212" t="b">
        <v>0</v>
      </c>
      <c r="I313" s="212" t="b">
        <v>0</v>
      </c>
      <c r="K313" s="212">
        <v>75</v>
      </c>
      <c r="L313" s="212">
        <v>1</v>
      </c>
      <c r="M313" s="212">
        <v>1</v>
      </c>
      <c r="N313" s="212">
        <v>1</v>
      </c>
    </row>
    <row r="314" spans="1:14" x14ac:dyDescent="0.2">
      <c r="A314" s="211">
        <f t="shared" si="4"/>
        <v>0</v>
      </c>
      <c r="C314" s="211">
        <f t="shared" si="3"/>
        <v>1</v>
      </c>
      <c r="F314" s="212">
        <v>76</v>
      </c>
      <c r="G314" s="212" t="b">
        <v>0</v>
      </c>
      <c r="H314" s="212" t="b">
        <v>0</v>
      </c>
      <c r="I314" s="212" t="b">
        <v>0</v>
      </c>
      <c r="K314" s="212">
        <v>76</v>
      </c>
      <c r="L314" s="212">
        <v>1</v>
      </c>
      <c r="M314" s="212">
        <v>1</v>
      </c>
      <c r="N314" s="212">
        <v>1</v>
      </c>
    </row>
    <row r="315" spans="1:14" x14ac:dyDescent="0.2">
      <c r="A315" s="211">
        <f t="shared" si="4"/>
        <v>0</v>
      </c>
      <c r="C315" s="211">
        <f t="shared" si="3"/>
        <v>1</v>
      </c>
      <c r="F315" s="212">
        <v>77</v>
      </c>
      <c r="G315" s="212" t="b">
        <v>0</v>
      </c>
      <c r="H315" s="212" t="b">
        <v>0</v>
      </c>
      <c r="I315" s="212" t="b">
        <v>0</v>
      </c>
      <c r="K315" s="212">
        <v>77</v>
      </c>
      <c r="L315" s="212">
        <v>1</v>
      </c>
      <c r="M315" s="212">
        <v>1</v>
      </c>
      <c r="N315" s="212">
        <v>1</v>
      </c>
    </row>
    <row r="316" spans="1:14" x14ac:dyDescent="0.2">
      <c r="A316" s="211">
        <f t="shared" si="4"/>
        <v>0</v>
      </c>
      <c r="C316" s="211">
        <f t="shared" si="3"/>
        <v>1</v>
      </c>
      <c r="F316" s="212">
        <v>78</v>
      </c>
      <c r="G316" s="212" t="b">
        <v>0</v>
      </c>
      <c r="H316" s="212" t="b">
        <v>0</v>
      </c>
      <c r="I316" s="212" t="b">
        <v>0</v>
      </c>
      <c r="K316" s="212">
        <v>78</v>
      </c>
      <c r="L316" s="212">
        <v>1</v>
      </c>
      <c r="M316" s="212">
        <v>1</v>
      </c>
      <c r="N316" s="212">
        <v>1</v>
      </c>
    </row>
    <row r="317" spans="1:14" x14ac:dyDescent="0.2">
      <c r="A317" s="211">
        <f t="shared" si="4"/>
        <v>0</v>
      </c>
      <c r="C317" s="211">
        <f t="shared" si="3"/>
        <v>1</v>
      </c>
      <c r="F317" s="212">
        <v>79</v>
      </c>
      <c r="G317" s="212" t="b">
        <v>0</v>
      </c>
      <c r="H317" s="212" t="b">
        <v>0</v>
      </c>
      <c r="I317" s="212" t="b">
        <v>0</v>
      </c>
      <c r="K317" s="212">
        <v>79</v>
      </c>
      <c r="L317" s="212">
        <v>1</v>
      </c>
      <c r="M317" s="212">
        <v>1</v>
      </c>
      <c r="N317" s="212">
        <v>1</v>
      </c>
    </row>
    <row r="318" spans="1:14" x14ac:dyDescent="0.2">
      <c r="A318" s="211">
        <f t="shared" si="4"/>
        <v>0</v>
      </c>
      <c r="C318" s="211">
        <f t="shared" si="3"/>
        <v>1</v>
      </c>
      <c r="F318" s="212">
        <v>80</v>
      </c>
      <c r="G318" s="212" t="b">
        <v>0</v>
      </c>
      <c r="H318" s="212" t="b">
        <v>0</v>
      </c>
      <c r="I318" s="212" t="b">
        <v>0</v>
      </c>
      <c r="K318" s="212">
        <v>80</v>
      </c>
      <c r="L318" s="212">
        <v>1</v>
      </c>
      <c r="M318" s="212">
        <v>1</v>
      </c>
      <c r="N318" s="212">
        <v>1</v>
      </c>
    </row>
    <row r="319" spans="1:14" x14ac:dyDescent="0.2">
      <c r="A319" s="211">
        <f t="shared" si="4"/>
        <v>0</v>
      </c>
      <c r="C319" s="211">
        <f t="shared" si="3"/>
        <v>1</v>
      </c>
      <c r="F319" s="212">
        <v>81</v>
      </c>
      <c r="G319" s="212" t="b">
        <v>0</v>
      </c>
      <c r="H319" s="212" t="b">
        <v>0</v>
      </c>
      <c r="I319" s="212" t="b">
        <v>0</v>
      </c>
      <c r="K319" s="212">
        <v>81</v>
      </c>
      <c r="L319" s="212">
        <v>1</v>
      </c>
      <c r="M319" s="212">
        <v>1</v>
      </c>
      <c r="N319" s="212">
        <v>1</v>
      </c>
    </row>
    <row r="320" spans="1:14" x14ac:dyDescent="0.2">
      <c r="A320" s="211">
        <f t="shared" si="4"/>
        <v>0</v>
      </c>
      <c r="C320" s="211">
        <f t="shared" si="3"/>
        <v>1</v>
      </c>
      <c r="F320" s="212">
        <v>82</v>
      </c>
      <c r="G320" s="212" t="b">
        <v>0</v>
      </c>
      <c r="H320" s="212" t="b">
        <v>0</v>
      </c>
      <c r="I320" s="212" t="b">
        <v>0</v>
      </c>
      <c r="K320" s="212">
        <v>82</v>
      </c>
      <c r="L320" s="212">
        <v>1</v>
      </c>
      <c r="M320" s="212">
        <v>1</v>
      </c>
      <c r="N320" s="212">
        <v>1</v>
      </c>
    </row>
    <row r="321" spans="1:14" x14ac:dyDescent="0.2">
      <c r="A321" s="211">
        <f t="shared" si="4"/>
        <v>0</v>
      </c>
      <c r="C321" s="211">
        <f t="shared" si="3"/>
        <v>1</v>
      </c>
      <c r="F321" s="212">
        <v>83</v>
      </c>
      <c r="G321" s="212" t="b">
        <v>0</v>
      </c>
      <c r="H321" s="212" t="b">
        <v>0</v>
      </c>
      <c r="I321" s="212" t="b">
        <v>0</v>
      </c>
      <c r="K321" s="212">
        <v>83</v>
      </c>
      <c r="L321" s="212">
        <v>1</v>
      </c>
      <c r="M321" s="212">
        <v>1</v>
      </c>
      <c r="N321" s="212">
        <v>1</v>
      </c>
    </row>
    <row r="322" spans="1:14" x14ac:dyDescent="0.2">
      <c r="A322" s="211">
        <f t="shared" si="4"/>
        <v>0</v>
      </c>
      <c r="C322" s="211">
        <f t="shared" si="3"/>
        <v>1</v>
      </c>
      <c r="F322" s="212">
        <v>84</v>
      </c>
      <c r="G322" s="212" t="b">
        <v>0</v>
      </c>
      <c r="H322" s="212" t="b">
        <v>0</v>
      </c>
      <c r="I322" s="212" t="b">
        <v>0</v>
      </c>
      <c r="K322" s="212">
        <v>84</v>
      </c>
      <c r="L322" s="212">
        <v>1</v>
      </c>
      <c r="M322" s="212">
        <v>1</v>
      </c>
      <c r="N322" s="212">
        <v>1</v>
      </c>
    </row>
    <row r="323" spans="1:14" x14ac:dyDescent="0.2">
      <c r="A323" s="211">
        <f t="shared" si="4"/>
        <v>0</v>
      </c>
      <c r="C323" s="211">
        <f t="shared" si="3"/>
        <v>1</v>
      </c>
      <c r="F323" s="212">
        <v>85</v>
      </c>
      <c r="G323" s="212" t="b">
        <v>0</v>
      </c>
      <c r="H323" s="212" t="b">
        <v>0</v>
      </c>
      <c r="I323" s="212" t="b">
        <v>0</v>
      </c>
      <c r="K323" s="212">
        <v>85</v>
      </c>
      <c r="L323" s="212">
        <v>1</v>
      </c>
      <c r="M323" s="212">
        <v>1</v>
      </c>
      <c r="N323" s="212">
        <v>1</v>
      </c>
    </row>
    <row r="324" spans="1:14" x14ac:dyDescent="0.2">
      <c r="A324" s="211">
        <f t="shared" si="4"/>
        <v>0</v>
      </c>
      <c r="C324" s="211">
        <f t="shared" si="3"/>
        <v>1</v>
      </c>
      <c r="F324" s="212">
        <v>86</v>
      </c>
      <c r="G324" s="212" t="b">
        <v>0</v>
      </c>
      <c r="H324" s="212" t="b">
        <v>0</v>
      </c>
      <c r="I324" s="212" t="b">
        <v>0</v>
      </c>
      <c r="K324" s="212">
        <v>86</v>
      </c>
      <c r="L324" s="212">
        <v>1</v>
      </c>
      <c r="M324" s="212">
        <v>1</v>
      </c>
      <c r="N324" s="212">
        <v>1</v>
      </c>
    </row>
    <row r="325" spans="1:14" x14ac:dyDescent="0.2">
      <c r="A325" s="211">
        <f t="shared" si="4"/>
        <v>0</v>
      </c>
      <c r="C325" s="211">
        <f t="shared" si="3"/>
        <v>1</v>
      </c>
      <c r="F325" s="212">
        <v>87</v>
      </c>
      <c r="G325" s="212" t="b">
        <v>0</v>
      </c>
      <c r="H325" s="212" t="b">
        <v>0</v>
      </c>
      <c r="I325" s="212" t="b">
        <v>0</v>
      </c>
      <c r="K325" s="212">
        <v>87</v>
      </c>
      <c r="L325" s="212">
        <v>1</v>
      </c>
      <c r="M325" s="212">
        <v>1</v>
      </c>
      <c r="N325" s="212">
        <v>1</v>
      </c>
    </row>
    <row r="326" spans="1:14" x14ac:dyDescent="0.2">
      <c r="A326" s="211">
        <f t="shared" si="4"/>
        <v>0</v>
      </c>
      <c r="C326" s="211">
        <f t="shared" si="3"/>
        <v>1</v>
      </c>
      <c r="F326" s="212">
        <v>88</v>
      </c>
      <c r="G326" s="212" t="b">
        <v>0</v>
      </c>
      <c r="H326" s="212" t="b">
        <v>0</v>
      </c>
      <c r="I326" s="212" t="b">
        <v>0</v>
      </c>
      <c r="K326" s="212">
        <v>88</v>
      </c>
      <c r="L326" s="212">
        <v>1</v>
      </c>
      <c r="M326" s="212">
        <v>1</v>
      </c>
      <c r="N326" s="212">
        <v>1</v>
      </c>
    </row>
    <row r="327" spans="1:14" x14ac:dyDescent="0.2">
      <c r="A327" s="211">
        <f t="shared" si="4"/>
        <v>0</v>
      </c>
      <c r="C327" s="211">
        <f t="shared" si="3"/>
        <v>1</v>
      </c>
      <c r="F327" s="212">
        <v>89</v>
      </c>
      <c r="G327" s="212" t="b">
        <v>0</v>
      </c>
      <c r="H327" s="212" t="b">
        <v>0</v>
      </c>
      <c r="I327" s="212" t="b">
        <v>0</v>
      </c>
      <c r="K327" s="212">
        <v>89</v>
      </c>
      <c r="L327" s="212">
        <v>1</v>
      </c>
      <c r="M327" s="212">
        <v>1</v>
      </c>
      <c r="N327" s="212">
        <v>1</v>
      </c>
    </row>
    <row r="328" spans="1:14" x14ac:dyDescent="0.2">
      <c r="A328" s="211">
        <f t="shared" si="4"/>
        <v>0</v>
      </c>
      <c r="C328" s="211">
        <f t="shared" si="3"/>
        <v>1</v>
      </c>
      <c r="F328" s="212">
        <v>90</v>
      </c>
      <c r="G328" s="212" t="b">
        <v>0</v>
      </c>
      <c r="H328" s="212" t="b">
        <v>0</v>
      </c>
      <c r="I328" s="212" t="b">
        <v>0</v>
      </c>
      <c r="K328" s="212">
        <v>90</v>
      </c>
      <c r="L328" s="212">
        <v>1</v>
      </c>
      <c r="M328" s="212">
        <v>1</v>
      </c>
      <c r="N328" s="212">
        <v>1</v>
      </c>
    </row>
    <row r="329" spans="1:14" x14ac:dyDescent="0.2">
      <c r="A329" s="211">
        <f t="shared" si="4"/>
        <v>0</v>
      </c>
      <c r="C329" s="211">
        <f t="shared" si="3"/>
        <v>1</v>
      </c>
      <c r="F329" s="212">
        <v>91</v>
      </c>
      <c r="G329" s="212" t="b">
        <v>0</v>
      </c>
      <c r="H329" s="212" t="b">
        <v>0</v>
      </c>
      <c r="I329" s="212" t="b">
        <v>0</v>
      </c>
      <c r="K329" s="212">
        <v>91</v>
      </c>
      <c r="L329" s="212">
        <v>1</v>
      </c>
      <c r="M329" s="212">
        <v>1</v>
      </c>
      <c r="N329" s="212">
        <v>1</v>
      </c>
    </row>
    <row r="330" spans="1:14" x14ac:dyDescent="0.2">
      <c r="A330" s="211">
        <f t="shared" si="4"/>
        <v>0</v>
      </c>
      <c r="C330" s="211">
        <f t="shared" si="3"/>
        <v>1</v>
      </c>
      <c r="F330" s="212">
        <v>92</v>
      </c>
      <c r="G330" s="212" t="b">
        <v>0</v>
      </c>
      <c r="H330" s="212" t="b">
        <v>0</v>
      </c>
      <c r="I330" s="212" t="b">
        <v>0</v>
      </c>
      <c r="K330" s="212">
        <v>92</v>
      </c>
      <c r="L330" s="212">
        <v>1</v>
      </c>
      <c r="M330" s="212">
        <v>1</v>
      </c>
      <c r="N330" s="212">
        <v>1</v>
      </c>
    </row>
    <row r="331" spans="1:14" x14ac:dyDescent="0.2">
      <c r="A331" s="211">
        <f t="shared" si="4"/>
        <v>0</v>
      </c>
      <c r="C331" s="211">
        <f t="shared" si="3"/>
        <v>1</v>
      </c>
      <c r="F331" s="212">
        <v>93</v>
      </c>
      <c r="G331" s="212" t="b">
        <v>0</v>
      </c>
      <c r="H331" s="212" t="b">
        <v>0</v>
      </c>
      <c r="I331" s="212" t="b">
        <v>0</v>
      </c>
      <c r="K331" s="212">
        <v>93</v>
      </c>
      <c r="L331" s="212">
        <v>1</v>
      </c>
      <c r="M331" s="212">
        <v>1</v>
      </c>
      <c r="N331" s="212">
        <v>1</v>
      </c>
    </row>
    <row r="332" spans="1:14" x14ac:dyDescent="0.2">
      <c r="A332" s="211">
        <f t="shared" si="4"/>
        <v>0</v>
      </c>
      <c r="C332" s="211">
        <f t="shared" si="3"/>
        <v>1</v>
      </c>
      <c r="F332" s="212">
        <v>94</v>
      </c>
      <c r="G332" s="212" t="b">
        <v>0</v>
      </c>
      <c r="H332" s="212" t="b">
        <v>0</v>
      </c>
      <c r="I332" s="212" t="b">
        <v>0</v>
      </c>
      <c r="K332" s="212">
        <v>94</v>
      </c>
      <c r="L332" s="212">
        <v>1</v>
      </c>
      <c r="M332" s="212">
        <v>1</v>
      </c>
      <c r="N332" s="212">
        <v>1</v>
      </c>
    </row>
    <row r="333" spans="1:14" x14ac:dyDescent="0.2">
      <c r="A333" s="211">
        <f t="shared" si="4"/>
        <v>0</v>
      </c>
      <c r="C333" s="211">
        <f t="shared" si="3"/>
        <v>1</v>
      </c>
      <c r="F333" s="212">
        <v>95</v>
      </c>
      <c r="G333" s="212" t="b">
        <v>0</v>
      </c>
      <c r="H333" s="212" t="b">
        <v>0</v>
      </c>
      <c r="I333" s="212" t="b">
        <v>0</v>
      </c>
      <c r="K333" s="212">
        <v>95</v>
      </c>
      <c r="L333" s="212">
        <v>1</v>
      </c>
      <c r="M333" s="212">
        <v>1</v>
      </c>
      <c r="N333" s="212">
        <v>1</v>
      </c>
    </row>
    <row r="334" spans="1:14" x14ac:dyDescent="0.2">
      <c r="A334" s="211">
        <f t="shared" si="4"/>
        <v>0</v>
      </c>
      <c r="C334" s="211">
        <f t="shared" si="3"/>
        <v>1</v>
      </c>
      <c r="F334" s="212">
        <v>96</v>
      </c>
      <c r="G334" s="212" t="b">
        <v>0</v>
      </c>
      <c r="H334" s="212" t="b">
        <v>0</v>
      </c>
      <c r="I334" s="212" t="b">
        <v>0</v>
      </c>
      <c r="K334" s="212">
        <v>96</v>
      </c>
      <c r="L334" s="212">
        <v>1</v>
      </c>
      <c r="M334" s="212">
        <v>1</v>
      </c>
      <c r="N334" s="212">
        <v>1</v>
      </c>
    </row>
    <row r="335" spans="1:14" x14ac:dyDescent="0.2">
      <c r="A335" s="211">
        <f t="shared" si="4"/>
        <v>0</v>
      </c>
      <c r="C335" s="211">
        <f t="shared" si="3"/>
        <v>1</v>
      </c>
      <c r="F335" s="212">
        <v>97</v>
      </c>
      <c r="G335" s="212" t="b">
        <v>0</v>
      </c>
      <c r="H335" s="212" t="b">
        <v>0</v>
      </c>
      <c r="I335" s="212" t="b">
        <v>0</v>
      </c>
      <c r="K335" s="212">
        <v>97</v>
      </c>
      <c r="L335" s="212">
        <v>1</v>
      </c>
      <c r="M335" s="212">
        <v>1</v>
      </c>
      <c r="N335" s="212">
        <v>1</v>
      </c>
    </row>
    <row r="336" spans="1:14" x14ac:dyDescent="0.2">
      <c r="A336" s="211">
        <f t="shared" si="4"/>
        <v>0</v>
      </c>
      <c r="C336" s="211">
        <f t="shared" si="3"/>
        <v>1</v>
      </c>
      <c r="F336" s="212">
        <v>98</v>
      </c>
      <c r="G336" s="212" t="b">
        <v>0</v>
      </c>
      <c r="H336" s="212" t="b">
        <v>0</v>
      </c>
      <c r="I336" s="212" t="b">
        <v>0</v>
      </c>
      <c r="K336" s="212">
        <v>98</v>
      </c>
      <c r="L336" s="212">
        <v>1</v>
      </c>
      <c r="M336" s="212">
        <v>1</v>
      </c>
      <c r="N336" s="212">
        <v>1</v>
      </c>
    </row>
    <row r="337" spans="1:14" x14ac:dyDescent="0.2">
      <c r="A337" s="211">
        <f t="shared" si="4"/>
        <v>0</v>
      </c>
      <c r="C337" s="211">
        <f t="shared" si="3"/>
        <v>1</v>
      </c>
      <c r="F337" s="212">
        <v>99</v>
      </c>
      <c r="G337" s="212" t="b">
        <v>0</v>
      </c>
      <c r="H337" s="212" t="b">
        <v>0</v>
      </c>
      <c r="I337" s="212" t="b">
        <v>0</v>
      </c>
      <c r="K337" s="212">
        <v>99</v>
      </c>
      <c r="L337" s="212">
        <v>1</v>
      </c>
      <c r="M337" s="212">
        <v>1</v>
      </c>
      <c r="N337" s="212">
        <v>1</v>
      </c>
    </row>
    <row r="338" spans="1:14" x14ac:dyDescent="0.2">
      <c r="A338" s="211">
        <f t="shared" si="4"/>
        <v>0</v>
      </c>
      <c r="C338" s="211">
        <f t="shared" si="3"/>
        <v>1</v>
      </c>
      <c r="F338" s="212">
        <v>100</v>
      </c>
      <c r="G338" s="212" t="b">
        <v>0</v>
      </c>
      <c r="H338" s="212" t="b">
        <v>0</v>
      </c>
      <c r="I338" s="212" t="b">
        <v>0</v>
      </c>
      <c r="K338" s="212">
        <v>100</v>
      </c>
      <c r="L338" s="212">
        <v>1</v>
      </c>
      <c r="M338" s="212">
        <v>1</v>
      </c>
      <c r="N338" s="212">
        <v>1</v>
      </c>
    </row>
    <row r="339" spans="1:14" x14ac:dyDescent="0.2">
      <c r="A339" s="211">
        <f t="shared" si="4"/>
        <v>0</v>
      </c>
      <c r="C339" s="211">
        <f t="shared" si="3"/>
        <v>1</v>
      </c>
      <c r="F339" s="212">
        <v>101</v>
      </c>
      <c r="G339" s="212" t="b">
        <v>0</v>
      </c>
      <c r="H339" s="212" t="b">
        <v>0</v>
      </c>
      <c r="I339" s="212" t="b">
        <v>0</v>
      </c>
      <c r="K339" s="212">
        <v>101</v>
      </c>
      <c r="L339" s="212">
        <v>1</v>
      </c>
      <c r="M339" s="212">
        <v>1</v>
      </c>
      <c r="N339" s="212">
        <v>1</v>
      </c>
    </row>
    <row r="340" spans="1:14" x14ac:dyDescent="0.2">
      <c r="A340" s="211">
        <f t="shared" si="4"/>
        <v>0</v>
      </c>
      <c r="C340" s="211">
        <f t="shared" si="3"/>
        <v>1</v>
      </c>
      <c r="F340" s="212">
        <v>102</v>
      </c>
      <c r="G340" s="212" t="b">
        <v>0</v>
      </c>
      <c r="H340" s="212" t="b">
        <v>0</v>
      </c>
      <c r="I340" s="212" t="b">
        <v>0</v>
      </c>
      <c r="K340" s="212">
        <v>102</v>
      </c>
      <c r="L340" s="212">
        <v>1</v>
      </c>
      <c r="M340" s="212">
        <v>1</v>
      </c>
      <c r="N340" s="212">
        <v>1</v>
      </c>
    </row>
    <row r="341" spans="1:14" x14ac:dyDescent="0.2">
      <c r="A341" s="211">
        <f t="shared" si="4"/>
        <v>0</v>
      </c>
      <c r="C341" s="211">
        <f t="shared" si="3"/>
        <v>1</v>
      </c>
      <c r="F341" s="212">
        <v>103</v>
      </c>
      <c r="G341" s="212" t="b">
        <v>0</v>
      </c>
      <c r="H341" s="212" t="b">
        <v>0</v>
      </c>
      <c r="I341" s="212" t="b">
        <v>0</v>
      </c>
      <c r="K341" s="212">
        <v>103</v>
      </c>
      <c r="L341" s="212">
        <v>1</v>
      </c>
      <c r="M341" s="212">
        <v>1</v>
      </c>
      <c r="N341" s="212">
        <v>1</v>
      </c>
    </row>
    <row r="342" spans="1:14" x14ac:dyDescent="0.2">
      <c r="A342" s="211">
        <f t="shared" si="4"/>
        <v>0</v>
      </c>
      <c r="C342" s="211">
        <f t="shared" si="3"/>
        <v>1</v>
      </c>
      <c r="F342" s="212">
        <v>104</v>
      </c>
      <c r="G342" s="212" t="b">
        <v>0</v>
      </c>
      <c r="H342" s="212" t="b">
        <v>0</v>
      </c>
      <c r="I342" s="212" t="b">
        <v>0</v>
      </c>
      <c r="K342" s="212">
        <v>104</v>
      </c>
      <c r="L342" s="212">
        <v>1</v>
      </c>
      <c r="M342" s="212">
        <v>1</v>
      </c>
      <c r="N342" s="212">
        <v>1</v>
      </c>
    </row>
    <row r="343" spans="1:14" x14ac:dyDescent="0.2">
      <c r="A343" s="211">
        <f t="shared" si="4"/>
        <v>0</v>
      </c>
      <c r="C343" s="211">
        <f t="shared" si="3"/>
        <v>1</v>
      </c>
      <c r="F343" s="212">
        <v>105</v>
      </c>
      <c r="G343" s="212" t="b">
        <v>0</v>
      </c>
      <c r="H343" s="212" t="b">
        <v>0</v>
      </c>
      <c r="I343" s="212" t="b">
        <v>0</v>
      </c>
      <c r="K343" s="212">
        <v>105</v>
      </c>
      <c r="L343" s="212">
        <v>1</v>
      </c>
      <c r="M343" s="212">
        <v>1</v>
      </c>
      <c r="N343" s="212">
        <v>1</v>
      </c>
    </row>
    <row r="344" spans="1:14" x14ac:dyDescent="0.2">
      <c r="A344" s="211">
        <f t="shared" si="4"/>
        <v>0</v>
      </c>
      <c r="C344" s="211">
        <f t="shared" si="3"/>
        <v>1</v>
      </c>
      <c r="F344" s="212">
        <v>106</v>
      </c>
      <c r="G344" s="212" t="b">
        <v>0</v>
      </c>
      <c r="H344" s="212" t="b">
        <v>0</v>
      </c>
      <c r="I344" s="212" t="b">
        <v>0</v>
      </c>
      <c r="K344" s="212">
        <v>106</v>
      </c>
      <c r="L344" s="212">
        <v>1</v>
      </c>
      <c r="M344" s="212">
        <v>1</v>
      </c>
      <c r="N344" s="212">
        <v>1</v>
      </c>
    </row>
    <row r="345" spans="1:14" x14ac:dyDescent="0.2">
      <c r="A345" s="211">
        <f t="shared" si="4"/>
        <v>0</v>
      </c>
      <c r="C345" s="211">
        <f t="shared" si="3"/>
        <v>1</v>
      </c>
      <c r="F345" s="212">
        <v>107</v>
      </c>
      <c r="G345" s="212" t="b">
        <v>0</v>
      </c>
      <c r="H345" s="212" t="b">
        <v>0</v>
      </c>
      <c r="I345" s="212" t="b">
        <v>0</v>
      </c>
      <c r="K345" s="212">
        <v>107</v>
      </c>
      <c r="L345" s="212">
        <v>1</v>
      </c>
      <c r="M345" s="212">
        <v>1</v>
      </c>
      <c r="N345" s="212">
        <v>1</v>
      </c>
    </row>
    <row r="346" spans="1:14" x14ac:dyDescent="0.2">
      <c r="A346" s="211">
        <f t="shared" si="4"/>
        <v>0</v>
      </c>
      <c r="C346" s="211">
        <f t="shared" si="3"/>
        <v>1</v>
      </c>
      <c r="F346" s="212">
        <v>108</v>
      </c>
      <c r="G346" s="212" t="b">
        <v>0</v>
      </c>
      <c r="H346" s="212" t="b">
        <v>0</v>
      </c>
      <c r="I346" s="212" t="b">
        <v>0</v>
      </c>
      <c r="K346" s="212">
        <v>108</v>
      </c>
      <c r="L346" s="212">
        <v>1</v>
      </c>
      <c r="M346" s="212">
        <v>1</v>
      </c>
      <c r="N346" s="212">
        <v>1</v>
      </c>
    </row>
    <row r="347" spans="1:14" x14ac:dyDescent="0.2">
      <c r="A347" s="211">
        <f t="shared" si="4"/>
        <v>0</v>
      </c>
      <c r="C347" s="211">
        <f t="shared" si="3"/>
        <v>1</v>
      </c>
      <c r="F347" s="212">
        <v>109</v>
      </c>
      <c r="G347" s="212" t="b">
        <v>0</v>
      </c>
      <c r="H347" s="212" t="b">
        <v>0</v>
      </c>
      <c r="I347" s="212" t="b">
        <v>0</v>
      </c>
      <c r="K347" s="212">
        <v>109</v>
      </c>
      <c r="L347" s="212">
        <v>1</v>
      </c>
      <c r="M347" s="212">
        <v>1</v>
      </c>
      <c r="N347" s="212">
        <v>1</v>
      </c>
    </row>
    <row r="348" spans="1:14" x14ac:dyDescent="0.2">
      <c r="A348" s="211">
        <f t="shared" si="4"/>
        <v>0</v>
      </c>
      <c r="C348" s="211">
        <f t="shared" si="3"/>
        <v>1</v>
      </c>
      <c r="F348" s="212">
        <v>110</v>
      </c>
      <c r="G348" s="212" t="b">
        <v>0</v>
      </c>
      <c r="H348" s="212" t="b">
        <v>0</v>
      </c>
      <c r="I348" s="212" t="b">
        <v>0</v>
      </c>
      <c r="K348" s="212">
        <v>110</v>
      </c>
      <c r="L348" s="212">
        <v>1</v>
      </c>
      <c r="M348" s="212">
        <v>1</v>
      </c>
      <c r="N348" s="212">
        <v>1</v>
      </c>
    </row>
    <row r="349" spans="1:14" x14ac:dyDescent="0.2">
      <c r="A349" s="211">
        <f t="shared" si="4"/>
        <v>0</v>
      </c>
      <c r="C349" s="211">
        <f t="shared" si="3"/>
        <v>1</v>
      </c>
      <c r="F349" s="212">
        <v>111</v>
      </c>
      <c r="G349" s="212" t="b">
        <v>0</v>
      </c>
      <c r="H349" s="212" t="b">
        <v>0</v>
      </c>
      <c r="I349" s="212" t="b">
        <v>0</v>
      </c>
      <c r="K349" s="212">
        <v>111</v>
      </c>
      <c r="L349" s="212">
        <v>1</v>
      </c>
      <c r="M349" s="212">
        <v>1</v>
      </c>
      <c r="N349" s="212">
        <v>1</v>
      </c>
    </row>
    <row r="350" spans="1:14" x14ac:dyDescent="0.2">
      <c r="A350" s="211">
        <f t="shared" si="4"/>
        <v>0</v>
      </c>
      <c r="C350" s="211">
        <f t="shared" si="3"/>
        <v>1</v>
      </c>
      <c r="F350" s="212">
        <v>112</v>
      </c>
      <c r="G350" s="212" t="b">
        <v>0</v>
      </c>
      <c r="H350" s="212" t="b">
        <v>0</v>
      </c>
      <c r="I350" s="212" t="b">
        <v>0</v>
      </c>
      <c r="K350" s="212">
        <v>112</v>
      </c>
      <c r="L350" s="212">
        <v>1</v>
      </c>
      <c r="M350" s="212">
        <v>1</v>
      </c>
      <c r="N350" s="212">
        <v>1</v>
      </c>
    </row>
    <row r="351" spans="1:14" x14ac:dyDescent="0.2">
      <c r="A351" s="211">
        <f t="shared" si="4"/>
        <v>0</v>
      </c>
      <c r="C351" s="211">
        <f t="shared" si="3"/>
        <v>1</v>
      </c>
      <c r="F351" s="212">
        <v>113</v>
      </c>
      <c r="G351" s="212" t="b">
        <v>0</v>
      </c>
      <c r="H351" s="212" t="b">
        <v>0</v>
      </c>
      <c r="I351" s="212" t="b">
        <v>0</v>
      </c>
      <c r="K351" s="212">
        <v>113</v>
      </c>
      <c r="L351" s="212">
        <v>1</v>
      </c>
      <c r="M351" s="212">
        <v>1</v>
      </c>
      <c r="N351" s="212">
        <v>1</v>
      </c>
    </row>
    <row r="352" spans="1:14" x14ac:dyDescent="0.2">
      <c r="A352" s="211">
        <f t="shared" si="4"/>
        <v>0</v>
      </c>
      <c r="C352" s="211">
        <f t="shared" si="3"/>
        <v>1</v>
      </c>
      <c r="F352" s="212">
        <v>114</v>
      </c>
      <c r="G352" s="212" t="b">
        <v>0</v>
      </c>
      <c r="H352" s="212" t="b">
        <v>0</v>
      </c>
      <c r="I352" s="212" t="b">
        <v>0</v>
      </c>
      <c r="K352" s="212">
        <v>114</v>
      </c>
      <c r="L352" s="212">
        <v>1</v>
      </c>
      <c r="M352" s="212">
        <v>1</v>
      </c>
      <c r="N352" s="212">
        <v>1</v>
      </c>
    </row>
    <row r="353" spans="1:14" x14ac:dyDescent="0.2">
      <c r="A353" s="211">
        <f t="shared" si="4"/>
        <v>0</v>
      </c>
      <c r="C353" s="211">
        <f t="shared" si="3"/>
        <v>1</v>
      </c>
      <c r="F353" s="212">
        <v>115</v>
      </c>
      <c r="G353" s="212" t="b">
        <v>0</v>
      </c>
      <c r="H353" s="212" t="b">
        <v>0</v>
      </c>
      <c r="I353" s="212" t="b">
        <v>0</v>
      </c>
      <c r="K353" s="212">
        <v>115</v>
      </c>
      <c r="L353" s="212">
        <v>1</v>
      </c>
      <c r="M353" s="212">
        <v>1</v>
      </c>
      <c r="N353" s="212">
        <v>1</v>
      </c>
    </row>
    <row r="354" spans="1:14" x14ac:dyDescent="0.2">
      <c r="A354" s="211">
        <f t="shared" si="4"/>
        <v>0</v>
      </c>
      <c r="C354" s="211">
        <f t="shared" si="3"/>
        <v>1</v>
      </c>
      <c r="F354" s="212">
        <v>116</v>
      </c>
      <c r="G354" s="212" t="b">
        <v>0</v>
      </c>
      <c r="H354" s="212" t="b">
        <v>0</v>
      </c>
      <c r="I354" s="212" t="b">
        <v>0</v>
      </c>
      <c r="K354" s="212">
        <v>116</v>
      </c>
      <c r="L354" s="212">
        <v>1</v>
      </c>
      <c r="M354" s="212">
        <v>1</v>
      </c>
      <c r="N354" s="212">
        <v>1</v>
      </c>
    </row>
    <row r="355" spans="1:14" x14ac:dyDescent="0.2">
      <c r="A355" s="211">
        <f t="shared" si="4"/>
        <v>0</v>
      </c>
      <c r="C355" s="211">
        <f t="shared" si="3"/>
        <v>1</v>
      </c>
      <c r="F355" s="212">
        <v>117</v>
      </c>
      <c r="G355" s="212" t="b">
        <v>0</v>
      </c>
      <c r="H355" s="212" t="b">
        <v>0</v>
      </c>
      <c r="I355" s="212" t="b">
        <v>0</v>
      </c>
      <c r="K355" s="212">
        <v>117</v>
      </c>
      <c r="L355" s="212">
        <v>1</v>
      </c>
      <c r="M355" s="212">
        <v>1</v>
      </c>
      <c r="N355" s="212">
        <v>1</v>
      </c>
    </row>
    <row r="356" spans="1:14" x14ac:dyDescent="0.2">
      <c r="A356" s="211">
        <f t="shared" si="4"/>
        <v>0</v>
      </c>
      <c r="C356" s="211">
        <f t="shared" si="3"/>
        <v>1</v>
      </c>
      <c r="F356" s="212">
        <v>118</v>
      </c>
      <c r="G356" s="212" t="b">
        <v>0</v>
      </c>
      <c r="H356" s="212" t="b">
        <v>0</v>
      </c>
      <c r="I356" s="212" t="b">
        <v>0</v>
      </c>
      <c r="K356" s="212">
        <v>118</v>
      </c>
      <c r="L356" s="212">
        <v>1</v>
      </c>
      <c r="M356" s="212">
        <v>1</v>
      </c>
      <c r="N356" s="212">
        <v>1</v>
      </c>
    </row>
    <row r="357" spans="1:14" x14ac:dyDescent="0.2">
      <c r="A357" s="211">
        <f t="shared" si="4"/>
        <v>0</v>
      </c>
      <c r="C357" s="211">
        <f t="shared" si="3"/>
        <v>1</v>
      </c>
      <c r="F357" s="212">
        <v>119</v>
      </c>
      <c r="G357" s="212" t="b">
        <v>0</v>
      </c>
      <c r="H357" s="212" t="b">
        <v>0</v>
      </c>
      <c r="I357" s="212" t="b">
        <v>0</v>
      </c>
      <c r="K357" s="212">
        <v>119</v>
      </c>
      <c r="L357" s="212">
        <v>1</v>
      </c>
      <c r="M357" s="212">
        <v>1</v>
      </c>
      <c r="N357" s="212">
        <v>1</v>
      </c>
    </row>
    <row r="358" spans="1:14" x14ac:dyDescent="0.2">
      <c r="A358" s="211">
        <f t="shared" si="4"/>
        <v>0</v>
      </c>
      <c r="C358" s="211">
        <f t="shared" si="3"/>
        <v>1</v>
      </c>
      <c r="F358" s="212">
        <v>120</v>
      </c>
      <c r="G358" s="212" t="b">
        <v>0</v>
      </c>
      <c r="H358" s="212" t="b">
        <v>0</v>
      </c>
      <c r="I358" s="212" t="b">
        <v>0</v>
      </c>
      <c r="K358" s="212">
        <v>120</v>
      </c>
      <c r="L358" s="212">
        <v>1</v>
      </c>
      <c r="M358" s="212">
        <v>1</v>
      </c>
      <c r="N358" s="212">
        <v>1</v>
      </c>
    </row>
    <row r="359" spans="1:14" x14ac:dyDescent="0.2">
      <c r="A359" s="211">
        <f t="shared" si="4"/>
        <v>0</v>
      </c>
      <c r="C359" s="211">
        <f t="shared" si="3"/>
        <v>1</v>
      </c>
      <c r="F359" s="212">
        <v>121</v>
      </c>
      <c r="G359" s="212" t="b">
        <v>0</v>
      </c>
      <c r="H359" s="212" t="b">
        <v>0</v>
      </c>
      <c r="I359" s="212" t="b">
        <v>0</v>
      </c>
      <c r="K359" s="212">
        <v>121</v>
      </c>
      <c r="L359" s="212">
        <v>1</v>
      </c>
      <c r="M359" s="212">
        <v>1</v>
      </c>
      <c r="N359" s="212">
        <v>1</v>
      </c>
    </row>
    <row r="360" spans="1:14" x14ac:dyDescent="0.2">
      <c r="A360" s="211">
        <f t="shared" si="4"/>
        <v>0</v>
      </c>
      <c r="C360" s="211">
        <f t="shared" si="3"/>
        <v>1</v>
      </c>
      <c r="F360" s="212">
        <v>122</v>
      </c>
      <c r="G360" s="212" t="b">
        <v>0</v>
      </c>
      <c r="H360" s="212" t="b">
        <v>0</v>
      </c>
      <c r="I360" s="212" t="b">
        <v>0</v>
      </c>
      <c r="K360" s="212">
        <v>122</v>
      </c>
      <c r="L360" s="212">
        <v>1</v>
      </c>
      <c r="M360" s="212">
        <v>1</v>
      </c>
      <c r="N360" s="212">
        <v>1</v>
      </c>
    </row>
    <row r="361" spans="1:14" x14ac:dyDescent="0.2">
      <c r="A361" s="211">
        <f t="shared" si="4"/>
        <v>0</v>
      </c>
      <c r="C361" s="211">
        <f t="shared" si="3"/>
        <v>1</v>
      </c>
      <c r="F361" s="212">
        <v>123</v>
      </c>
      <c r="G361" s="212" t="b">
        <v>0</v>
      </c>
      <c r="H361" s="212" t="b">
        <v>0</v>
      </c>
      <c r="I361" s="212" t="b">
        <v>0</v>
      </c>
      <c r="K361" s="212">
        <v>123</v>
      </c>
      <c r="L361" s="212">
        <v>1</v>
      </c>
      <c r="M361" s="212">
        <v>1</v>
      </c>
      <c r="N361" s="212">
        <v>1</v>
      </c>
    </row>
    <row r="362" spans="1:14" x14ac:dyDescent="0.2">
      <c r="A362" s="211">
        <f t="shared" si="4"/>
        <v>0</v>
      </c>
      <c r="C362" s="211">
        <f t="shared" si="3"/>
        <v>1</v>
      </c>
      <c r="F362" s="212">
        <v>124</v>
      </c>
      <c r="G362" s="212" t="b">
        <v>0</v>
      </c>
      <c r="H362" s="212" t="b">
        <v>0</v>
      </c>
      <c r="I362" s="212" t="b">
        <v>0</v>
      </c>
      <c r="K362" s="212">
        <v>124</v>
      </c>
      <c r="L362" s="212">
        <v>1</v>
      </c>
      <c r="M362" s="212">
        <v>1</v>
      </c>
      <c r="N362" s="212">
        <v>1</v>
      </c>
    </row>
    <row r="363" spans="1:14" x14ac:dyDescent="0.2">
      <c r="A363" s="211">
        <f t="shared" si="4"/>
        <v>0</v>
      </c>
      <c r="C363" s="211">
        <f t="shared" si="3"/>
        <v>1</v>
      </c>
      <c r="F363" s="212">
        <v>125</v>
      </c>
      <c r="G363" s="212" t="b">
        <v>0</v>
      </c>
      <c r="H363" s="212" t="b">
        <v>0</v>
      </c>
      <c r="I363" s="212" t="b">
        <v>0</v>
      </c>
      <c r="K363" s="212">
        <v>125</v>
      </c>
      <c r="L363" s="212">
        <v>1</v>
      </c>
      <c r="M363" s="212">
        <v>1</v>
      </c>
      <c r="N363" s="212">
        <v>1</v>
      </c>
    </row>
    <row r="364" spans="1:14" x14ac:dyDescent="0.2">
      <c r="A364" s="211">
        <f t="shared" si="4"/>
        <v>0</v>
      </c>
      <c r="C364" s="211">
        <f t="shared" si="3"/>
        <v>1</v>
      </c>
      <c r="F364" s="212">
        <v>126</v>
      </c>
      <c r="G364" s="212" t="b">
        <v>0</v>
      </c>
      <c r="H364" s="212" t="b">
        <v>0</v>
      </c>
      <c r="I364" s="212" t="b">
        <v>0</v>
      </c>
      <c r="K364" s="212">
        <v>126</v>
      </c>
      <c r="L364" s="212">
        <v>1</v>
      </c>
      <c r="M364" s="212">
        <v>1</v>
      </c>
      <c r="N364" s="212">
        <v>1</v>
      </c>
    </row>
    <row r="365" spans="1:14" x14ac:dyDescent="0.2">
      <c r="A365" s="211">
        <f t="shared" si="4"/>
        <v>0</v>
      </c>
      <c r="C365" s="211">
        <f t="shared" si="3"/>
        <v>1</v>
      </c>
      <c r="F365" s="212">
        <v>127</v>
      </c>
      <c r="G365" s="212" t="b">
        <v>0</v>
      </c>
      <c r="H365" s="212" t="b">
        <v>0</v>
      </c>
      <c r="I365" s="212" t="b">
        <v>0</v>
      </c>
      <c r="K365" s="212">
        <v>127</v>
      </c>
      <c r="L365" s="212">
        <v>1</v>
      </c>
      <c r="M365" s="212">
        <v>1</v>
      </c>
      <c r="N365" s="212">
        <v>1</v>
      </c>
    </row>
    <row r="366" spans="1:14" x14ac:dyDescent="0.2">
      <c r="A366" s="211">
        <f t="shared" si="4"/>
        <v>0</v>
      </c>
      <c r="C366" s="211">
        <f t="shared" si="3"/>
        <v>1</v>
      </c>
      <c r="F366" s="212">
        <v>128</v>
      </c>
      <c r="G366" s="212" t="b">
        <v>0</v>
      </c>
      <c r="H366" s="212" t="b">
        <v>0</v>
      </c>
      <c r="I366" s="212" t="b">
        <v>0</v>
      </c>
      <c r="K366" s="212">
        <v>128</v>
      </c>
      <c r="L366" s="212">
        <v>1</v>
      </c>
      <c r="M366" s="212">
        <v>1</v>
      </c>
      <c r="N366" s="212">
        <v>1</v>
      </c>
    </row>
    <row r="367" spans="1:14" x14ac:dyDescent="0.2">
      <c r="A367" s="211">
        <f t="shared" si="4"/>
        <v>0</v>
      </c>
      <c r="C367" s="211">
        <f t="shared" si="3"/>
        <v>1</v>
      </c>
      <c r="F367" s="212">
        <v>129</v>
      </c>
      <c r="G367" s="212" t="b">
        <v>0</v>
      </c>
      <c r="H367" s="212" t="b">
        <v>0</v>
      </c>
      <c r="I367" s="212" t="b">
        <v>0</v>
      </c>
      <c r="K367" s="212">
        <v>129</v>
      </c>
      <c r="L367" s="212">
        <v>1</v>
      </c>
      <c r="M367" s="212">
        <v>1</v>
      </c>
      <c r="N367" s="212">
        <v>1</v>
      </c>
    </row>
    <row r="368" spans="1:14" x14ac:dyDescent="0.2">
      <c r="A368" s="211">
        <f t="shared" si="4"/>
        <v>0</v>
      </c>
      <c r="C368" s="211">
        <f t="shared" si="3"/>
        <v>1</v>
      </c>
      <c r="F368" s="212">
        <v>130</v>
      </c>
      <c r="G368" s="212" t="b">
        <v>0</v>
      </c>
      <c r="H368" s="212" t="b">
        <v>0</v>
      </c>
      <c r="I368" s="212" t="b">
        <v>0</v>
      </c>
      <c r="K368" s="212">
        <v>130</v>
      </c>
      <c r="L368" s="212">
        <v>1</v>
      </c>
      <c r="M368" s="212">
        <v>1</v>
      </c>
      <c r="N368" s="212">
        <v>1</v>
      </c>
    </row>
    <row r="369" spans="1:14" x14ac:dyDescent="0.2">
      <c r="A369" s="211">
        <f t="shared" si="4"/>
        <v>0</v>
      </c>
      <c r="C369" s="211">
        <f t="shared" si="3"/>
        <v>1</v>
      </c>
      <c r="F369" s="212">
        <v>131</v>
      </c>
      <c r="G369" s="212" t="b">
        <v>0</v>
      </c>
      <c r="H369" s="212" t="b">
        <v>0</v>
      </c>
      <c r="I369" s="212" t="b">
        <v>0</v>
      </c>
      <c r="K369" s="212">
        <v>131</v>
      </c>
      <c r="L369" s="212">
        <v>1</v>
      </c>
      <c r="M369" s="212">
        <v>1</v>
      </c>
      <c r="N369" s="212">
        <v>1</v>
      </c>
    </row>
    <row r="370" spans="1:14" x14ac:dyDescent="0.2">
      <c r="A370" s="211">
        <f t="shared" si="4"/>
        <v>0</v>
      </c>
      <c r="C370" s="211">
        <f t="shared" ref="C370:C433" si="5">IF($T$41,L370,1)</f>
        <v>1</v>
      </c>
      <c r="F370" s="212">
        <v>132</v>
      </c>
      <c r="G370" s="212" t="b">
        <v>0</v>
      </c>
      <c r="H370" s="212" t="b">
        <v>0</v>
      </c>
      <c r="I370" s="212" t="b">
        <v>0</v>
      </c>
      <c r="K370" s="212">
        <v>132</v>
      </c>
      <c r="L370" s="212">
        <v>1</v>
      </c>
      <c r="M370" s="212">
        <v>1</v>
      </c>
      <c r="N370" s="212">
        <v>1</v>
      </c>
    </row>
    <row r="371" spans="1:14" x14ac:dyDescent="0.2">
      <c r="A371" s="211">
        <f t="shared" ref="A371:A434" si="6">IF(G371,1,0)</f>
        <v>0</v>
      </c>
      <c r="C371" s="211">
        <f t="shared" si="5"/>
        <v>1</v>
      </c>
      <c r="F371" s="212">
        <v>133</v>
      </c>
      <c r="G371" s="212" t="b">
        <v>0</v>
      </c>
      <c r="H371" s="212" t="b">
        <v>0</v>
      </c>
      <c r="I371" s="212" t="b">
        <v>0</v>
      </c>
      <c r="K371" s="212">
        <v>133</v>
      </c>
      <c r="L371" s="212">
        <v>1</v>
      </c>
      <c r="M371" s="212">
        <v>1</v>
      </c>
      <c r="N371" s="212">
        <v>1</v>
      </c>
    </row>
    <row r="372" spans="1:14" x14ac:dyDescent="0.2">
      <c r="A372" s="211">
        <f t="shared" si="6"/>
        <v>0</v>
      </c>
      <c r="C372" s="211">
        <f t="shared" si="5"/>
        <v>1</v>
      </c>
      <c r="F372" s="212">
        <v>134</v>
      </c>
      <c r="G372" s="212" t="b">
        <v>0</v>
      </c>
      <c r="H372" s="212" t="b">
        <v>0</v>
      </c>
      <c r="I372" s="212" t="b">
        <v>0</v>
      </c>
      <c r="K372" s="212">
        <v>134</v>
      </c>
      <c r="L372" s="212">
        <v>1</v>
      </c>
      <c r="M372" s="212">
        <v>1</v>
      </c>
      <c r="N372" s="212">
        <v>1</v>
      </c>
    </row>
    <row r="373" spans="1:14" x14ac:dyDescent="0.2">
      <c r="A373" s="211">
        <f t="shared" si="6"/>
        <v>0</v>
      </c>
      <c r="C373" s="211">
        <f t="shared" si="5"/>
        <v>1</v>
      </c>
      <c r="F373" s="212">
        <v>135</v>
      </c>
      <c r="G373" s="212" t="b">
        <v>0</v>
      </c>
      <c r="H373" s="212" t="b">
        <v>0</v>
      </c>
      <c r="I373" s="212" t="b">
        <v>0</v>
      </c>
      <c r="K373" s="212">
        <v>135</v>
      </c>
      <c r="L373" s="212">
        <v>1</v>
      </c>
      <c r="M373" s="212">
        <v>1</v>
      </c>
      <c r="N373" s="212">
        <v>1</v>
      </c>
    </row>
    <row r="374" spans="1:14" x14ac:dyDescent="0.2">
      <c r="A374" s="211">
        <f t="shared" si="6"/>
        <v>0</v>
      </c>
      <c r="C374" s="211">
        <f t="shared" si="5"/>
        <v>1</v>
      </c>
      <c r="F374" s="212">
        <v>136</v>
      </c>
      <c r="G374" s="212" t="b">
        <v>0</v>
      </c>
      <c r="H374" s="212" t="b">
        <v>0</v>
      </c>
      <c r="I374" s="212" t="b">
        <v>0</v>
      </c>
      <c r="K374" s="212">
        <v>136</v>
      </c>
      <c r="L374" s="212">
        <v>1</v>
      </c>
      <c r="M374" s="212">
        <v>1</v>
      </c>
      <c r="N374" s="212">
        <v>1</v>
      </c>
    </row>
    <row r="375" spans="1:14" x14ac:dyDescent="0.2">
      <c r="A375" s="211">
        <f t="shared" si="6"/>
        <v>0</v>
      </c>
      <c r="C375" s="211">
        <f t="shared" si="5"/>
        <v>1</v>
      </c>
      <c r="F375" s="212">
        <v>137</v>
      </c>
      <c r="G375" s="212" t="b">
        <v>0</v>
      </c>
      <c r="H375" s="212" t="b">
        <v>0</v>
      </c>
      <c r="I375" s="212" t="b">
        <v>0</v>
      </c>
      <c r="K375" s="212">
        <v>137</v>
      </c>
      <c r="L375" s="212">
        <v>1</v>
      </c>
      <c r="M375" s="212">
        <v>1</v>
      </c>
      <c r="N375" s="212">
        <v>1</v>
      </c>
    </row>
    <row r="376" spans="1:14" x14ac:dyDescent="0.2">
      <c r="A376" s="211">
        <f t="shared" si="6"/>
        <v>0</v>
      </c>
      <c r="C376" s="211">
        <f t="shared" si="5"/>
        <v>1</v>
      </c>
      <c r="F376" s="212">
        <v>138</v>
      </c>
      <c r="G376" s="212" t="b">
        <v>0</v>
      </c>
      <c r="H376" s="212" t="b">
        <v>0</v>
      </c>
      <c r="I376" s="212" t="b">
        <v>0</v>
      </c>
      <c r="K376" s="212">
        <v>138</v>
      </c>
      <c r="L376" s="212">
        <v>1</v>
      </c>
      <c r="M376" s="212">
        <v>1</v>
      </c>
      <c r="N376" s="212">
        <v>1</v>
      </c>
    </row>
    <row r="377" spans="1:14" x14ac:dyDescent="0.2">
      <c r="A377" s="211">
        <f t="shared" si="6"/>
        <v>0</v>
      </c>
      <c r="C377" s="211">
        <f t="shared" si="5"/>
        <v>1</v>
      </c>
      <c r="F377" s="212">
        <v>139</v>
      </c>
      <c r="G377" s="212" t="b">
        <v>0</v>
      </c>
      <c r="H377" s="212" t="b">
        <v>0</v>
      </c>
      <c r="I377" s="212" t="b">
        <v>0</v>
      </c>
      <c r="K377" s="212">
        <v>139</v>
      </c>
      <c r="L377" s="212">
        <v>1</v>
      </c>
      <c r="M377" s="212">
        <v>1</v>
      </c>
      <c r="N377" s="212">
        <v>1</v>
      </c>
    </row>
    <row r="378" spans="1:14" x14ac:dyDescent="0.2">
      <c r="A378" s="211">
        <f t="shared" si="6"/>
        <v>0</v>
      </c>
      <c r="C378" s="211">
        <f t="shared" si="5"/>
        <v>1</v>
      </c>
      <c r="F378" s="212">
        <v>140</v>
      </c>
      <c r="G378" s="212" t="b">
        <v>0</v>
      </c>
      <c r="H378" s="212" t="b">
        <v>0</v>
      </c>
      <c r="I378" s="212" t="b">
        <v>0</v>
      </c>
      <c r="K378" s="212">
        <v>140</v>
      </c>
      <c r="L378" s="212">
        <v>1</v>
      </c>
      <c r="M378" s="212">
        <v>1</v>
      </c>
      <c r="N378" s="212">
        <v>1</v>
      </c>
    </row>
    <row r="379" spans="1:14" x14ac:dyDescent="0.2">
      <c r="A379" s="211">
        <f t="shared" si="6"/>
        <v>0</v>
      </c>
      <c r="C379" s="211">
        <f t="shared" si="5"/>
        <v>1</v>
      </c>
      <c r="F379" s="212">
        <v>141</v>
      </c>
      <c r="G379" s="212" t="b">
        <v>0</v>
      </c>
      <c r="H379" s="212" t="b">
        <v>0</v>
      </c>
      <c r="I379" s="212" t="b">
        <v>0</v>
      </c>
      <c r="K379" s="212">
        <v>141</v>
      </c>
      <c r="L379" s="212">
        <v>1</v>
      </c>
      <c r="M379" s="212">
        <v>1</v>
      </c>
      <c r="N379" s="212">
        <v>1</v>
      </c>
    </row>
    <row r="380" spans="1:14" x14ac:dyDescent="0.2">
      <c r="A380" s="211">
        <f t="shared" si="6"/>
        <v>0</v>
      </c>
      <c r="C380" s="211">
        <f t="shared" si="5"/>
        <v>1</v>
      </c>
      <c r="F380" s="212">
        <v>142</v>
      </c>
      <c r="G380" s="212" t="b">
        <v>0</v>
      </c>
      <c r="H380" s="212" t="b">
        <v>0</v>
      </c>
      <c r="I380" s="212" t="b">
        <v>0</v>
      </c>
      <c r="K380" s="212">
        <v>142</v>
      </c>
      <c r="L380" s="212">
        <v>1</v>
      </c>
      <c r="M380" s="212">
        <v>1</v>
      </c>
      <c r="N380" s="212">
        <v>1</v>
      </c>
    </row>
    <row r="381" spans="1:14" x14ac:dyDescent="0.2">
      <c r="A381" s="211">
        <f t="shared" si="6"/>
        <v>0</v>
      </c>
      <c r="C381" s="211">
        <f t="shared" si="5"/>
        <v>1</v>
      </c>
      <c r="F381" s="212">
        <v>143</v>
      </c>
      <c r="G381" s="212" t="b">
        <v>0</v>
      </c>
      <c r="H381" s="212" t="b">
        <v>0</v>
      </c>
      <c r="I381" s="212" t="b">
        <v>0</v>
      </c>
      <c r="K381" s="212">
        <v>143</v>
      </c>
      <c r="L381" s="212">
        <v>1</v>
      </c>
      <c r="M381" s="212">
        <v>1</v>
      </c>
      <c r="N381" s="212">
        <v>1</v>
      </c>
    </row>
    <row r="382" spans="1:14" x14ac:dyDescent="0.2">
      <c r="A382" s="211">
        <f t="shared" si="6"/>
        <v>0</v>
      </c>
      <c r="C382" s="211">
        <f t="shared" si="5"/>
        <v>1</v>
      </c>
      <c r="F382" s="212">
        <v>144</v>
      </c>
      <c r="G382" s="212" t="b">
        <v>0</v>
      </c>
      <c r="H382" s="212" t="b">
        <v>0</v>
      </c>
      <c r="I382" s="212" t="b">
        <v>0</v>
      </c>
      <c r="K382" s="212">
        <v>144</v>
      </c>
      <c r="L382" s="212">
        <v>1</v>
      </c>
      <c r="M382" s="212">
        <v>1</v>
      </c>
      <c r="N382" s="212">
        <v>1</v>
      </c>
    </row>
    <row r="383" spans="1:14" x14ac:dyDescent="0.2">
      <c r="A383" s="211">
        <f t="shared" si="6"/>
        <v>0</v>
      </c>
      <c r="C383" s="211">
        <f t="shared" si="5"/>
        <v>1</v>
      </c>
      <c r="F383" s="212">
        <v>145</v>
      </c>
      <c r="G383" s="212" t="b">
        <v>0</v>
      </c>
      <c r="H383" s="212" t="b">
        <v>0</v>
      </c>
      <c r="I383" s="212" t="b">
        <v>0</v>
      </c>
      <c r="K383" s="212">
        <v>145</v>
      </c>
      <c r="L383" s="212">
        <v>1</v>
      </c>
      <c r="M383" s="212">
        <v>1</v>
      </c>
      <c r="N383" s="212">
        <v>1</v>
      </c>
    </row>
    <row r="384" spans="1:14" x14ac:dyDescent="0.2">
      <c r="A384" s="211">
        <f t="shared" si="6"/>
        <v>0</v>
      </c>
      <c r="C384" s="211">
        <f t="shared" si="5"/>
        <v>1</v>
      </c>
      <c r="F384" s="212">
        <v>146</v>
      </c>
      <c r="G384" s="212" t="b">
        <v>0</v>
      </c>
      <c r="H384" s="212" t="b">
        <v>0</v>
      </c>
      <c r="I384" s="212" t="b">
        <v>0</v>
      </c>
      <c r="K384" s="212">
        <v>146</v>
      </c>
      <c r="L384" s="212">
        <v>1</v>
      </c>
      <c r="M384" s="212">
        <v>1</v>
      </c>
      <c r="N384" s="212">
        <v>1</v>
      </c>
    </row>
    <row r="385" spans="1:14" x14ac:dyDescent="0.2">
      <c r="A385" s="211">
        <f t="shared" si="6"/>
        <v>0</v>
      </c>
      <c r="C385" s="211">
        <f t="shared" si="5"/>
        <v>1</v>
      </c>
      <c r="F385" s="212">
        <v>147</v>
      </c>
      <c r="G385" s="212" t="b">
        <v>0</v>
      </c>
      <c r="H385" s="212" t="b">
        <v>0</v>
      </c>
      <c r="I385" s="212" t="b">
        <v>0</v>
      </c>
      <c r="K385" s="212">
        <v>147</v>
      </c>
      <c r="L385" s="212">
        <v>1</v>
      </c>
      <c r="M385" s="212">
        <v>1</v>
      </c>
      <c r="N385" s="212">
        <v>1</v>
      </c>
    </row>
    <row r="386" spans="1:14" x14ac:dyDescent="0.2">
      <c r="A386" s="211">
        <f t="shared" si="6"/>
        <v>0</v>
      </c>
      <c r="C386" s="211">
        <f t="shared" si="5"/>
        <v>1</v>
      </c>
      <c r="F386" s="212">
        <v>148</v>
      </c>
      <c r="G386" s="212" t="b">
        <v>0</v>
      </c>
      <c r="H386" s="212" t="b">
        <v>0</v>
      </c>
      <c r="I386" s="212" t="b">
        <v>0</v>
      </c>
      <c r="K386" s="212">
        <v>148</v>
      </c>
      <c r="L386" s="212">
        <v>1</v>
      </c>
      <c r="M386" s="212">
        <v>1</v>
      </c>
      <c r="N386" s="212">
        <v>1</v>
      </c>
    </row>
    <row r="387" spans="1:14" x14ac:dyDescent="0.2">
      <c r="A387" s="211">
        <f t="shared" si="6"/>
        <v>0</v>
      </c>
      <c r="C387" s="211">
        <f t="shared" si="5"/>
        <v>1</v>
      </c>
      <c r="F387" s="212">
        <v>149</v>
      </c>
      <c r="G387" s="212" t="b">
        <v>0</v>
      </c>
      <c r="H387" s="212" t="b">
        <v>0</v>
      </c>
      <c r="I387" s="212" t="b">
        <v>0</v>
      </c>
      <c r="K387" s="212">
        <v>149</v>
      </c>
      <c r="L387" s="212">
        <v>1</v>
      </c>
      <c r="M387" s="212">
        <v>1</v>
      </c>
      <c r="N387" s="212">
        <v>1</v>
      </c>
    </row>
    <row r="388" spans="1:14" x14ac:dyDescent="0.2">
      <c r="A388" s="211">
        <f t="shared" si="6"/>
        <v>0</v>
      </c>
      <c r="C388" s="211">
        <f t="shared" si="5"/>
        <v>1</v>
      </c>
      <c r="F388" s="212">
        <v>150</v>
      </c>
      <c r="G388" s="212" t="b">
        <v>0</v>
      </c>
      <c r="H388" s="212" t="b">
        <v>0</v>
      </c>
      <c r="I388" s="212" t="b">
        <v>0</v>
      </c>
      <c r="K388" s="212">
        <v>150</v>
      </c>
      <c r="L388" s="212">
        <v>1</v>
      </c>
      <c r="M388" s="212">
        <v>1</v>
      </c>
      <c r="N388" s="212">
        <v>1</v>
      </c>
    </row>
    <row r="389" spans="1:14" x14ac:dyDescent="0.2">
      <c r="A389" s="211">
        <f t="shared" si="6"/>
        <v>0</v>
      </c>
      <c r="C389" s="211">
        <f t="shared" si="5"/>
        <v>1</v>
      </c>
      <c r="F389" s="212">
        <v>151</v>
      </c>
      <c r="G389" s="212" t="b">
        <v>0</v>
      </c>
      <c r="H389" s="212" t="b">
        <v>0</v>
      </c>
      <c r="I389" s="212" t="b">
        <v>0</v>
      </c>
      <c r="K389" s="212">
        <v>151</v>
      </c>
      <c r="L389" s="212">
        <v>1</v>
      </c>
      <c r="M389" s="212">
        <v>1</v>
      </c>
      <c r="N389" s="212">
        <v>1</v>
      </c>
    </row>
    <row r="390" spans="1:14" x14ac:dyDescent="0.2">
      <c r="A390" s="211">
        <f t="shared" si="6"/>
        <v>0</v>
      </c>
      <c r="C390" s="211">
        <f t="shared" si="5"/>
        <v>1</v>
      </c>
      <c r="F390" s="212">
        <v>152</v>
      </c>
      <c r="G390" s="212" t="b">
        <v>0</v>
      </c>
      <c r="H390" s="212" t="b">
        <v>0</v>
      </c>
      <c r="I390" s="212" t="b">
        <v>0</v>
      </c>
      <c r="K390" s="212">
        <v>152</v>
      </c>
      <c r="L390" s="212">
        <v>1</v>
      </c>
      <c r="M390" s="212">
        <v>1</v>
      </c>
      <c r="N390" s="212">
        <v>1</v>
      </c>
    </row>
    <row r="391" spans="1:14" x14ac:dyDescent="0.2">
      <c r="A391" s="211">
        <f t="shared" si="6"/>
        <v>0</v>
      </c>
      <c r="C391" s="211">
        <f t="shared" si="5"/>
        <v>1</v>
      </c>
      <c r="F391" s="212">
        <v>153</v>
      </c>
      <c r="G391" s="212" t="b">
        <v>0</v>
      </c>
      <c r="H391" s="212" t="b">
        <v>0</v>
      </c>
      <c r="I391" s="212" t="b">
        <v>0</v>
      </c>
      <c r="K391" s="212">
        <v>153</v>
      </c>
      <c r="L391" s="212">
        <v>1</v>
      </c>
      <c r="M391" s="212">
        <v>1</v>
      </c>
      <c r="N391" s="212">
        <v>1</v>
      </c>
    </row>
    <row r="392" spans="1:14" x14ac:dyDescent="0.2">
      <c r="A392" s="211">
        <f t="shared" si="6"/>
        <v>0</v>
      </c>
      <c r="C392" s="211">
        <f t="shared" si="5"/>
        <v>1</v>
      </c>
      <c r="F392" s="212">
        <v>154</v>
      </c>
      <c r="G392" s="212" t="b">
        <v>0</v>
      </c>
      <c r="H392" s="212" t="b">
        <v>0</v>
      </c>
      <c r="I392" s="212" t="b">
        <v>0</v>
      </c>
      <c r="K392" s="212">
        <v>154</v>
      </c>
      <c r="L392" s="212">
        <v>1</v>
      </c>
      <c r="M392" s="212">
        <v>1</v>
      </c>
      <c r="N392" s="212">
        <v>1</v>
      </c>
    </row>
    <row r="393" spans="1:14" x14ac:dyDescent="0.2">
      <c r="A393" s="211">
        <f t="shared" si="6"/>
        <v>0</v>
      </c>
      <c r="C393" s="211">
        <f t="shared" si="5"/>
        <v>1</v>
      </c>
      <c r="F393" s="212">
        <v>155</v>
      </c>
      <c r="G393" s="212" t="b">
        <v>0</v>
      </c>
      <c r="H393" s="212" t="b">
        <v>0</v>
      </c>
      <c r="I393" s="212" t="b">
        <v>0</v>
      </c>
      <c r="K393" s="212">
        <v>155</v>
      </c>
      <c r="L393" s="212">
        <v>1</v>
      </c>
      <c r="M393" s="212">
        <v>1</v>
      </c>
      <c r="N393" s="212">
        <v>1</v>
      </c>
    </row>
    <row r="394" spans="1:14" x14ac:dyDescent="0.2">
      <c r="A394" s="211">
        <f t="shared" si="6"/>
        <v>0</v>
      </c>
      <c r="C394" s="211">
        <f t="shared" si="5"/>
        <v>1</v>
      </c>
      <c r="F394" s="212">
        <v>156</v>
      </c>
      <c r="G394" s="212" t="b">
        <v>0</v>
      </c>
      <c r="H394" s="212" t="b">
        <v>0</v>
      </c>
      <c r="I394" s="212" t="b">
        <v>0</v>
      </c>
      <c r="K394" s="212">
        <v>156</v>
      </c>
      <c r="L394" s="212">
        <v>1</v>
      </c>
      <c r="M394" s="212">
        <v>1</v>
      </c>
      <c r="N394" s="212">
        <v>1</v>
      </c>
    </row>
    <row r="395" spans="1:14" x14ac:dyDescent="0.2">
      <c r="A395" s="211">
        <f t="shared" si="6"/>
        <v>0</v>
      </c>
      <c r="C395" s="211">
        <f t="shared" si="5"/>
        <v>1</v>
      </c>
      <c r="F395" s="212">
        <v>157</v>
      </c>
      <c r="G395" s="212" t="b">
        <v>0</v>
      </c>
      <c r="H395" s="212" t="b">
        <v>0</v>
      </c>
      <c r="I395" s="212" t="b">
        <v>0</v>
      </c>
      <c r="K395" s="212">
        <v>157</v>
      </c>
      <c r="L395" s="212">
        <v>1</v>
      </c>
      <c r="M395" s="212">
        <v>1</v>
      </c>
      <c r="N395" s="212">
        <v>1</v>
      </c>
    </row>
    <row r="396" spans="1:14" x14ac:dyDescent="0.2">
      <c r="A396" s="211">
        <f t="shared" si="6"/>
        <v>0</v>
      </c>
      <c r="C396" s="211">
        <f t="shared" si="5"/>
        <v>1</v>
      </c>
      <c r="F396" s="212">
        <v>158</v>
      </c>
      <c r="G396" s="212" t="b">
        <v>0</v>
      </c>
      <c r="H396" s="212" t="b">
        <v>0</v>
      </c>
      <c r="I396" s="212" t="b">
        <v>0</v>
      </c>
      <c r="K396" s="212">
        <v>158</v>
      </c>
      <c r="L396" s="212">
        <v>1</v>
      </c>
      <c r="M396" s="212">
        <v>1</v>
      </c>
      <c r="N396" s="212">
        <v>1</v>
      </c>
    </row>
    <row r="397" spans="1:14" x14ac:dyDescent="0.2">
      <c r="A397" s="211">
        <f t="shared" si="6"/>
        <v>0</v>
      </c>
      <c r="C397" s="211">
        <f t="shared" si="5"/>
        <v>1</v>
      </c>
      <c r="F397" s="212">
        <v>159</v>
      </c>
      <c r="G397" s="212" t="b">
        <v>0</v>
      </c>
      <c r="H397" s="212" t="b">
        <v>0</v>
      </c>
      <c r="I397" s="212" t="b">
        <v>0</v>
      </c>
      <c r="K397" s="212">
        <v>159</v>
      </c>
      <c r="L397" s="212">
        <v>1</v>
      </c>
      <c r="M397" s="212">
        <v>1</v>
      </c>
      <c r="N397" s="212">
        <v>1</v>
      </c>
    </row>
    <row r="398" spans="1:14" x14ac:dyDescent="0.2">
      <c r="A398" s="211">
        <f t="shared" si="6"/>
        <v>0</v>
      </c>
      <c r="C398" s="211">
        <f t="shared" si="5"/>
        <v>1</v>
      </c>
      <c r="F398" s="212">
        <v>160</v>
      </c>
      <c r="G398" s="212" t="b">
        <v>0</v>
      </c>
      <c r="H398" s="212" t="b">
        <v>0</v>
      </c>
      <c r="I398" s="212" t="b">
        <v>0</v>
      </c>
      <c r="K398" s="212">
        <v>160</v>
      </c>
      <c r="L398" s="212">
        <v>1</v>
      </c>
      <c r="M398" s="212">
        <v>1</v>
      </c>
      <c r="N398" s="212">
        <v>1</v>
      </c>
    </row>
    <row r="399" spans="1:14" x14ac:dyDescent="0.2">
      <c r="A399" s="211">
        <f t="shared" si="6"/>
        <v>0</v>
      </c>
      <c r="C399" s="211">
        <f t="shared" si="5"/>
        <v>1</v>
      </c>
      <c r="F399" s="212">
        <v>161</v>
      </c>
      <c r="G399" s="212" t="b">
        <v>0</v>
      </c>
      <c r="H399" s="212" t="b">
        <v>0</v>
      </c>
      <c r="I399" s="212" t="b">
        <v>0</v>
      </c>
      <c r="K399" s="212">
        <v>161</v>
      </c>
      <c r="L399" s="212">
        <v>1</v>
      </c>
      <c r="M399" s="212">
        <v>1</v>
      </c>
      <c r="N399" s="212">
        <v>1</v>
      </c>
    </row>
    <row r="400" spans="1:14" x14ac:dyDescent="0.2">
      <c r="A400" s="211">
        <f t="shared" si="6"/>
        <v>0</v>
      </c>
      <c r="C400" s="211">
        <f t="shared" si="5"/>
        <v>1</v>
      </c>
      <c r="F400" s="212">
        <v>162</v>
      </c>
      <c r="G400" s="212" t="b">
        <v>0</v>
      </c>
      <c r="H400" s="212" t="b">
        <v>0</v>
      </c>
      <c r="I400" s="212" t="b">
        <v>0</v>
      </c>
      <c r="K400" s="212">
        <v>162</v>
      </c>
      <c r="L400" s="212">
        <v>1</v>
      </c>
      <c r="M400" s="212">
        <v>1</v>
      </c>
      <c r="N400" s="212">
        <v>1</v>
      </c>
    </row>
    <row r="401" spans="1:14" x14ac:dyDescent="0.2">
      <c r="A401" s="211">
        <f t="shared" si="6"/>
        <v>0</v>
      </c>
      <c r="C401" s="211">
        <f t="shared" si="5"/>
        <v>1</v>
      </c>
      <c r="F401" s="212">
        <v>163</v>
      </c>
      <c r="G401" s="212" t="b">
        <v>0</v>
      </c>
      <c r="H401" s="212" t="b">
        <v>0</v>
      </c>
      <c r="I401" s="212" t="b">
        <v>0</v>
      </c>
      <c r="K401" s="212">
        <v>163</v>
      </c>
      <c r="L401" s="212">
        <v>1</v>
      </c>
      <c r="M401" s="212">
        <v>1</v>
      </c>
      <c r="N401" s="212">
        <v>1</v>
      </c>
    </row>
    <row r="402" spans="1:14" x14ac:dyDescent="0.2">
      <c r="A402" s="211">
        <f t="shared" si="6"/>
        <v>0</v>
      </c>
      <c r="C402" s="211">
        <f t="shared" si="5"/>
        <v>1</v>
      </c>
      <c r="F402" s="212">
        <v>164</v>
      </c>
      <c r="G402" s="212" t="b">
        <v>0</v>
      </c>
      <c r="H402" s="212" t="b">
        <v>0</v>
      </c>
      <c r="I402" s="212" t="b">
        <v>0</v>
      </c>
      <c r="K402" s="212">
        <v>164</v>
      </c>
      <c r="L402" s="212">
        <v>1</v>
      </c>
      <c r="M402" s="212">
        <v>1</v>
      </c>
      <c r="N402" s="212">
        <v>1</v>
      </c>
    </row>
    <row r="403" spans="1:14" x14ac:dyDescent="0.2">
      <c r="A403" s="211">
        <f t="shared" si="6"/>
        <v>0</v>
      </c>
      <c r="C403" s="211">
        <f t="shared" si="5"/>
        <v>1</v>
      </c>
      <c r="F403" s="212">
        <v>165</v>
      </c>
      <c r="G403" s="212" t="b">
        <v>0</v>
      </c>
      <c r="H403" s="212" t="b">
        <v>0</v>
      </c>
      <c r="I403" s="212" t="b">
        <v>0</v>
      </c>
      <c r="K403" s="212">
        <v>165</v>
      </c>
      <c r="L403" s="212">
        <v>1</v>
      </c>
      <c r="M403" s="212">
        <v>1</v>
      </c>
      <c r="N403" s="212">
        <v>1</v>
      </c>
    </row>
    <row r="404" spans="1:14" x14ac:dyDescent="0.2">
      <c r="A404" s="211">
        <f t="shared" si="6"/>
        <v>0</v>
      </c>
      <c r="C404" s="211">
        <f t="shared" si="5"/>
        <v>1</v>
      </c>
      <c r="F404" s="212">
        <v>166</v>
      </c>
      <c r="G404" s="212" t="b">
        <v>0</v>
      </c>
      <c r="H404" s="212" t="b">
        <v>0</v>
      </c>
      <c r="I404" s="212" t="b">
        <v>0</v>
      </c>
      <c r="K404" s="212">
        <v>166</v>
      </c>
      <c r="L404" s="212">
        <v>1</v>
      </c>
      <c r="M404" s="212">
        <v>1</v>
      </c>
      <c r="N404" s="212">
        <v>1</v>
      </c>
    </row>
    <row r="405" spans="1:14" x14ac:dyDescent="0.2">
      <c r="A405" s="211">
        <f t="shared" si="6"/>
        <v>0</v>
      </c>
      <c r="C405" s="211">
        <f t="shared" si="5"/>
        <v>1</v>
      </c>
      <c r="F405" s="212">
        <v>167</v>
      </c>
      <c r="G405" s="212" t="b">
        <v>0</v>
      </c>
      <c r="H405" s="212" t="b">
        <v>0</v>
      </c>
      <c r="I405" s="212" t="b">
        <v>0</v>
      </c>
      <c r="K405" s="212">
        <v>167</v>
      </c>
      <c r="L405" s="212">
        <v>1</v>
      </c>
      <c r="M405" s="212">
        <v>1</v>
      </c>
      <c r="N405" s="212">
        <v>1</v>
      </c>
    </row>
    <row r="406" spans="1:14" x14ac:dyDescent="0.2">
      <c r="A406" s="211">
        <f t="shared" si="6"/>
        <v>0</v>
      </c>
      <c r="C406" s="211">
        <f t="shared" si="5"/>
        <v>1</v>
      </c>
      <c r="F406" s="212">
        <v>168</v>
      </c>
      <c r="G406" s="212" t="b">
        <v>0</v>
      </c>
      <c r="H406" s="212" t="b">
        <v>0</v>
      </c>
      <c r="I406" s="212" t="b">
        <v>0</v>
      </c>
      <c r="K406" s="212">
        <v>168</v>
      </c>
      <c r="L406" s="212">
        <v>1</v>
      </c>
      <c r="M406" s="212">
        <v>1</v>
      </c>
      <c r="N406" s="212">
        <v>1</v>
      </c>
    </row>
    <row r="407" spans="1:14" x14ac:dyDescent="0.2">
      <c r="A407" s="211">
        <f t="shared" si="6"/>
        <v>0</v>
      </c>
      <c r="C407" s="211">
        <f t="shared" si="5"/>
        <v>1</v>
      </c>
      <c r="F407" s="212">
        <v>169</v>
      </c>
      <c r="G407" s="212" t="b">
        <v>0</v>
      </c>
      <c r="H407" s="212" t="b">
        <v>0</v>
      </c>
      <c r="I407" s="212" t="b">
        <v>0</v>
      </c>
      <c r="K407" s="212">
        <v>169</v>
      </c>
      <c r="L407" s="212">
        <v>1</v>
      </c>
      <c r="M407" s="212">
        <v>1</v>
      </c>
      <c r="N407" s="212">
        <v>1</v>
      </c>
    </row>
    <row r="408" spans="1:14" x14ac:dyDescent="0.2">
      <c r="A408" s="211">
        <f t="shared" si="6"/>
        <v>0</v>
      </c>
      <c r="C408" s="211">
        <f t="shared" si="5"/>
        <v>1</v>
      </c>
      <c r="F408" s="212">
        <v>170</v>
      </c>
      <c r="G408" s="212" t="b">
        <v>0</v>
      </c>
      <c r="H408" s="212" t="b">
        <v>0</v>
      </c>
      <c r="I408" s="212" t="b">
        <v>0</v>
      </c>
      <c r="K408" s="212">
        <v>170</v>
      </c>
      <c r="L408" s="212">
        <v>1</v>
      </c>
      <c r="M408" s="212">
        <v>1</v>
      </c>
      <c r="N408" s="212">
        <v>1</v>
      </c>
    </row>
    <row r="409" spans="1:14" x14ac:dyDescent="0.2">
      <c r="A409" s="211">
        <f t="shared" si="6"/>
        <v>0</v>
      </c>
      <c r="C409" s="211">
        <f t="shared" si="5"/>
        <v>1</v>
      </c>
      <c r="F409" s="212">
        <v>171</v>
      </c>
      <c r="G409" s="212" t="b">
        <v>0</v>
      </c>
      <c r="H409" s="212" t="b">
        <v>0</v>
      </c>
      <c r="I409" s="212" t="b">
        <v>0</v>
      </c>
      <c r="K409" s="212">
        <v>171</v>
      </c>
      <c r="L409" s="212">
        <v>1</v>
      </c>
      <c r="M409" s="212">
        <v>1</v>
      </c>
      <c r="N409" s="212">
        <v>1</v>
      </c>
    </row>
    <row r="410" spans="1:14" x14ac:dyDescent="0.2">
      <c r="A410" s="211">
        <f t="shared" si="6"/>
        <v>0</v>
      </c>
      <c r="C410" s="211">
        <f t="shared" si="5"/>
        <v>1</v>
      </c>
      <c r="F410" s="212">
        <v>172</v>
      </c>
      <c r="G410" s="212" t="b">
        <v>0</v>
      </c>
      <c r="H410" s="212" t="b">
        <v>0</v>
      </c>
      <c r="I410" s="212" t="b">
        <v>0</v>
      </c>
      <c r="K410" s="212">
        <v>172</v>
      </c>
      <c r="L410" s="212">
        <v>1</v>
      </c>
      <c r="M410" s="212">
        <v>1</v>
      </c>
      <c r="N410" s="212">
        <v>1</v>
      </c>
    </row>
    <row r="411" spans="1:14" x14ac:dyDescent="0.2">
      <c r="A411" s="211">
        <f t="shared" si="6"/>
        <v>0</v>
      </c>
      <c r="C411" s="211">
        <f t="shared" si="5"/>
        <v>1</v>
      </c>
      <c r="F411" s="212">
        <v>173</v>
      </c>
      <c r="G411" s="212" t="b">
        <v>0</v>
      </c>
      <c r="H411" s="212" t="b">
        <v>0</v>
      </c>
      <c r="I411" s="212" t="b">
        <v>0</v>
      </c>
      <c r="K411" s="212">
        <v>173</v>
      </c>
      <c r="L411" s="212">
        <v>1</v>
      </c>
      <c r="M411" s="212">
        <v>1</v>
      </c>
      <c r="N411" s="212">
        <v>1</v>
      </c>
    </row>
    <row r="412" spans="1:14" x14ac:dyDescent="0.2">
      <c r="A412" s="211">
        <f t="shared" si="6"/>
        <v>0</v>
      </c>
      <c r="C412" s="211">
        <f t="shared" si="5"/>
        <v>1</v>
      </c>
      <c r="F412" s="212">
        <v>174</v>
      </c>
      <c r="G412" s="212" t="b">
        <v>0</v>
      </c>
      <c r="H412" s="212" t="b">
        <v>0</v>
      </c>
      <c r="I412" s="212" t="b">
        <v>0</v>
      </c>
      <c r="K412" s="212">
        <v>174</v>
      </c>
      <c r="L412" s="212">
        <v>1</v>
      </c>
      <c r="M412" s="212">
        <v>1</v>
      </c>
      <c r="N412" s="212">
        <v>1</v>
      </c>
    </row>
    <row r="413" spans="1:14" x14ac:dyDescent="0.2">
      <c r="A413" s="211">
        <f t="shared" si="6"/>
        <v>0</v>
      </c>
      <c r="C413" s="211">
        <f t="shared" si="5"/>
        <v>1</v>
      </c>
      <c r="F413" s="212">
        <v>175</v>
      </c>
      <c r="G413" s="212" t="b">
        <v>0</v>
      </c>
      <c r="H413" s="212" t="b">
        <v>0</v>
      </c>
      <c r="I413" s="212" t="b">
        <v>0</v>
      </c>
      <c r="K413" s="212">
        <v>175</v>
      </c>
      <c r="L413" s="212">
        <v>1</v>
      </c>
      <c r="M413" s="212">
        <v>1</v>
      </c>
      <c r="N413" s="212">
        <v>1</v>
      </c>
    </row>
    <row r="414" spans="1:14" x14ac:dyDescent="0.2">
      <c r="A414" s="211">
        <f t="shared" si="6"/>
        <v>0</v>
      </c>
      <c r="C414" s="211">
        <f t="shared" si="5"/>
        <v>1</v>
      </c>
      <c r="F414" s="212">
        <v>176</v>
      </c>
      <c r="G414" s="212" t="b">
        <v>0</v>
      </c>
      <c r="H414" s="212" t="b">
        <v>0</v>
      </c>
      <c r="I414" s="212" t="b">
        <v>0</v>
      </c>
      <c r="K414" s="212">
        <v>176</v>
      </c>
      <c r="L414" s="212">
        <v>1</v>
      </c>
      <c r="M414" s="212">
        <v>1</v>
      </c>
      <c r="N414" s="212">
        <v>1</v>
      </c>
    </row>
    <row r="415" spans="1:14" x14ac:dyDescent="0.2">
      <c r="A415" s="211">
        <f t="shared" si="6"/>
        <v>0</v>
      </c>
      <c r="C415" s="211">
        <f t="shared" si="5"/>
        <v>1</v>
      </c>
      <c r="F415" s="212">
        <v>177</v>
      </c>
      <c r="G415" s="212" t="b">
        <v>0</v>
      </c>
      <c r="H415" s="212" t="b">
        <v>0</v>
      </c>
      <c r="I415" s="212" t="b">
        <v>0</v>
      </c>
      <c r="K415" s="212">
        <v>177</v>
      </c>
      <c r="L415" s="212">
        <v>1</v>
      </c>
      <c r="M415" s="212">
        <v>1</v>
      </c>
      <c r="N415" s="212">
        <v>1</v>
      </c>
    </row>
    <row r="416" spans="1:14" x14ac:dyDescent="0.2">
      <c r="A416" s="211">
        <f t="shared" si="6"/>
        <v>0</v>
      </c>
      <c r="C416" s="211">
        <f t="shared" si="5"/>
        <v>1</v>
      </c>
      <c r="F416" s="212">
        <v>178</v>
      </c>
      <c r="G416" s="212" t="b">
        <v>0</v>
      </c>
      <c r="H416" s="212" t="b">
        <v>0</v>
      </c>
      <c r="I416" s="212" t="b">
        <v>0</v>
      </c>
      <c r="K416" s="212">
        <v>178</v>
      </c>
      <c r="L416" s="212">
        <v>1</v>
      </c>
      <c r="M416" s="212">
        <v>1</v>
      </c>
      <c r="N416" s="212">
        <v>1</v>
      </c>
    </row>
    <row r="417" spans="1:14" x14ac:dyDescent="0.2">
      <c r="A417" s="211">
        <f t="shared" si="6"/>
        <v>0</v>
      </c>
      <c r="C417" s="211">
        <f t="shared" si="5"/>
        <v>1</v>
      </c>
      <c r="F417" s="212">
        <v>179</v>
      </c>
      <c r="G417" s="212" t="b">
        <v>0</v>
      </c>
      <c r="H417" s="212" t="b">
        <v>0</v>
      </c>
      <c r="I417" s="212" t="b">
        <v>0</v>
      </c>
      <c r="K417" s="212">
        <v>179</v>
      </c>
      <c r="L417" s="212">
        <v>1</v>
      </c>
      <c r="M417" s="212">
        <v>1</v>
      </c>
      <c r="N417" s="212">
        <v>1</v>
      </c>
    </row>
    <row r="418" spans="1:14" x14ac:dyDescent="0.2">
      <c r="A418" s="211">
        <f t="shared" si="6"/>
        <v>0</v>
      </c>
      <c r="C418" s="211">
        <f t="shared" si="5"/>
        <v>1</v>
      </c>
      <c r="F418" s="212">
        <v>180</v>
      </c>
      <c r="G418" s="212" t="b">
        <v>0</v>
      </c>
      <c r="H418" s="212" t="b">
        <v>0</v>
      </c>
      <c r="I418" s="212" t="b">
        <v>0</v>
      </c>
      <c r="K418" s="212">
        <v>180</v>
      </c>
      <c r="L418" s="212">
        <v>1</v>
      </c>
      <c r="M418" s="212">
        <v>1</v>
      </c>
      <c r="N418" s="212">
        <v>1</v>
      </c>
    </row>
    <row r="419" spans="1:14" x14ac:dyDescent="0.2">
      <c r="A419" s="211">
        <f t="shared" si="6"/>
        <v>0</v>
      </c>
      <c r="C419" s="211">
        <f t="shared" si="5"/>
        <v>1</v>
      </c>
      <c r="F419" s="212">
        <v>181</v>
      </c>
      <c r="G419" s="212" t="b">
        <v>0</v>
      </c>
      <c r="H419" s="212" t="b">
        <v>0</v>
      </c>
      <c r="I419" s="212" t="b">
        <v>0</v>
      </c>
      <c r="K419" s="212">
        <v>181</v>
      </c>
      <c r="L419" s="212">
        <v>1</v>
      </c>
      <c r="M419" s="212">
        <v>1</v>
      </c>
      <c r="N419" s="212">
        <v>1</v>
      </c>
    </row>
    <row r="420" spans="1:14" x14ac:dyDescent="0.2">
      <c r="A420" s="211">
        <f t="shared" si="6"/>
        <v>0</v>
      </c>
      <c r="C420" s="211">
        <f t="shared" si="5"/>
        <v>1</v>
      </c>
      <c r="F420" s="212">
        <v>182</v>
      </c>
      <c r="G420" s="212" t="b">
        <v>0</v>
      </c>
      <c r="H420" s="212" t="b">
        <v>0</v>
      </c>
      <c r="I420" s="212" t="b">
        <v>0</v>
      </c>
      <c r="K420" s="212">
        <v>182</v>
      </c>
      <c r="L420" s="212">
        <v>1</v>
      </c>
      <c r="M420" s="212">
        <v>1</v>
      </c>
      <c r="N420" s="212">
        <v>1</v>
      </c>
    </row>
    <row r="421" spans="1:14" x14ac:dyDescent="0.2">
      <c r="A421" s="211">
        <f t="shared" si="6"/>
        <v>0</v>
      </c>
      <c r="C421" s="211">
        <f t="shared" si="5"/>
        <v>1</v>
      </c>
      <c r="F421" s="212">
        <v>183</v>
      </c>
      <c r="G421" s="212" t="b">
        <v>0</v>
      </c>
      <c r="H421" s="212" t="b">
        <v>0</v>
      </c>
      <c r="I421" s="212" t="b">
        <v>0</v>
      </c>
      <c r="K421" s="212">
        <v>183</v>
      </c>
      <c r="L421" s="212">
        <v>1</v>
      </c>
      <c r="M421" s="212">
        <v>1</v>
      </c>
      <c r="N421" s="212">
        <v>1</v>
      </c>
    </row>
    <row r="422" spans="1:14" x14ac:dyDescent="0.2">
      <c r="A422" s="211">
        <f t="shared" si="6"/>
        <v>0</v>
      </c>
      <c r="C422" s="211">
        <f t="shared" si="5"/>
        <v>1</v>
      </c>
      <c r="F422" s="212">
        <v>184</v>
      </c>
      <c r="G422" s="212" t="b">
        <v>0</v>
      </c>
      <c r="H422" s="212" t="b">
        <v>0</v>
      </c>
      <c r="I422" s="212" t="b">
        <v>0</v>
      </c>
      <c r="K422" s="212">
        <v>184</v>
      </c>
      <c r="L422" s="212">
        <v>1</v>
      </c>
      <c r="M422" s="212">
        <v>1</v>
      </c>
      <c r="N422" s="212">
        <v>1</v>
      </c>
    </row>
    <row r="423" spans="1:14" x14ac:dyDescent="0.2">
      <c r="A423" s="211">
        <f t="shared" si="6"/>
        <v>0</v>
      </c>
      <c r="C423" s="211">
        <f t="shared" si="5"/>
        <v>1</v>
      </c>
      <c r="F423" s="212">
        <v>185</v>
      </c>
      <c r="G423" s="212" t="b">
        <v>0</v>
      </c>
      <c r="H423" s="212" t="b">
        <v>0</v>
      </c>
      <c r="I423" s="212" t="b">
        <v>0</v>
      </c>
      <c r="K423" s="212">
        <v>185</v>
      </c>
      <c r="L423" s="212">
        <v>1</v>
      </c>
      <c r="M423" s="212">
        <v>1</v>
      </c>
      <c r="N423" s="212">
        <v>1</v>
      </c>
    </row>
    <row r="424" spans="1:14" x14ac:dyDescent="0.2">
      <c r="A424" s="211">
        <f t="shared" si="6"/>
        <v>0</v>
      </c>
      <c r="C424" s="211">
        <f t="shared" si="5"/>
        <v>1</v>
      </c>
      <c r="F424" s="212">
        <v>186</v>
      </c>
      <c r="G424" s="212" t="b">
        <v>0</v>
      </c>
      <c r="H424" s="212" t="b">
        <v>0</v>
      </c>
      <c r="I424" s="212" t="b">
        <v>0</v>
      </c>
      <c r="K424" s="212">
        <v>186</v>
      </c>
      <c r="L424" s="212">
        <v>1</v>
      </c>
      <c r="M424" s="212">
        <v>1</v>
      </c>
      <c r="N424" s="212">
        <v>1</v>
      </c>
    </row>
    <row r="425" spans="1:14" x14ac:dyDescent="0.2">
      <c r="A425" s="211">
        <f t="shared" si="6"/>
        <v>0</v>
      </c>
      <c r="C425" s="211">
        <f t="shared" si="5"/>
        <v>1</v>
      </c>
      <c r="F425" s="212">
        <v>187</v>
      </c>
      <c r="G425" s="212" t="b">
        <v>0</v>
      </c>
      <c r="H425" s="212" t="b">
        <v>0</v>
      </c>
      <c r="I425" s="212" t="b">
        <v>0</v>
      </c>
      <c r="K425" s="212">
        <v>187</v>
      </c>
      <c r="L425" s="212">
        <v>1</v>
      </c>
      <c r="M425" s="212">
        <v>1</v>
      </c>
      <c r="N425" s="212">
        <v>1</v>
      </c>
    </row>
    <row r="426" spans="1:14" x14ac:dyDescent="0.2">
      <c r="A426" s="211">
        <f t="shared" si="6"/>
        <v>0</v>
      </c>
      <c r="C426" s="211">
        <f t="shared" si="5"/>
        <v>1</v>
      </c>
      <c r="F426" s="212">
        <v>188</v>
      </c>
      <c r="G426" s="212" t="b">
        <v>0</v>
      </c>
      <c r="H426" s="212" t="b">
        <v>0</v>
      </c>
      <c r="I426" s="212" t="b">
        <v>0</v>
      </c>
      <c r="K426" s="212">
        <v>188</v>
      </c>
      <c r="L426" s="212">
        <v>1</v>
      </c>
      <c r="M426" s="212">
        <v>1</v>
      </c>
      <c r="N426" s="212">
        <v>1</v>
      </c>
    </row>
    <row r="427" spans="1:14" x14ac:dyDescent="0.2">
      <c r="A427" s="211">
        <f t="shared" si="6"/>
        <v>0</v>
      </c>
      <c r="C427" s="211">
        <f t="shared" si="5"/>
        <v>1</v>
      </c>
      <c r="F427" s="212">
        <v>189</v>
      </c>
      <c r="G427" s="212" t="b">
        <v>0</v>
      </c>
      <c r="H427" s="212" t="b">
        <v>0</v>
      </c>
      <c r="I427" s="212" t="b">
        <v>0</v>
      </c>
      <c r="K427" s="212">
        <v>189</v>
      </c>
      <c r="L427" s="212">
        <v>1</v>
      </c>
      <c r="M427" s="212">
        <v>1</v>
      </c>
      <c r="N427" s="212">
        <v>1</v>
      </c>
    </row>
    <row r="428" spans="1:14" x14ac:dyDescent="0.2">
      <c r="A428" s="211">
        <f t="shared" si="6"/>
        <v>0</v>
      </c>
      <c r="C428" s="211">
        <f t="shared" si="5"/>
        <v>1</v>
      </c>
      <c r="F428" s="212">
        <v>190</v>
      </c>
      <c r="G428" s="212" t="b">
        <v>0</v>
      </c>
      <c r="H428" s="212" t="b">
        <v>0</v>
      </c>
      <c r="I428" s="212" t="b">
        <v>0</v>
      </c>
      <c r="K428" s="212">
        <v>190</v>
      </c>
      <c r="L428" s="212">
        <v>1</v>
      </c>
      <c r="M428" s="212">
        <v>1</v>
      </c>
      <c r="N428" s="212">
        <v>1</v>
      </c>
    </row>
    <row r="429" spans="1:14" x14ac:dyDescent="0.2">
      <c r="A429" s="211">
        <f t="shared" si="6"/>
        <v>0</v>
      </c>
      <c r="C429" s="211">
        <f t="shared" si="5"/>
        <v>1</v>
      </c>
      <c r="F429" s="212">
        <v>191</v>
      </c>
      <c r="G429" s="212" t="b">
        <v>0</v>
      </c>
      <c r="H429" s="212" t="b">
        <v>0</v>
      </c>
      <c r="I429" s="212" t="b">
        <v>0</v>
      </c>
      <c r="K429" s="212">
        <v>191</v>
      </c>
      <c r="L429" s="212">
        <v>1</v>
      </c>
      <c r="M429" s="212">
        <v>1</v>
      </c>
      <c r="N429" s="212">
        <v>1</v>
      </c>
    </row>
    <row r="430" spans="1:14" x14ac:dyDescent="0.2">
      <c r="A430" s="211">
        <f t="shared" si="6"/>
        <v>0</v>
      </c>
      <c r="C430" s="211">
        <f t="shared" si="5"/>
        <v>1</v>
      </c>
      <c r="F430" s="212">
        <v>192</v>
      </c>
      <c r="G430" s="212" t="b">
        <v>0</v>
      </c>
      <c r="H430" s="212" t="b">
        <v>0</v>
      </c>
      <c r="I430" s="212" t="b">
        <v>0</v>
      </c>
      <c r="K430" s="212">
        <v>192</v>
      </c>
      <c r="L430" s="212">
        <v>1</v>
      </c>
      <c r="M430" s="212">
        <v>1</v>
      </c>
      <c r="N430" s="212">
        <v>1</v>
      </c>
    </row>
    <row r="431" spans="1:14" x14ac:dyDescent="0.2">
      <c r="A431" s="211">
        <f t="shared" si="6"/>
        <v>0</v>
      </c>
      <c r="C431" s="211">
        <f t="shared" si="5"/>
        <v>1</v>
      </c>
      <c r="F431" s="212">
        <v>193</v>
      </c>
      <c r="G431" s="212" t="b">
        <v>0</v>
      </c>
      <c r="H431" s="212" t="b">
        <v>0</v>
      </c>
      <c r="I431" s="212" t="b">
        <v>0</v>
      </c>
      <c r="K431" s="212">
        <v>193</v>
      </c>
      <c r="L431" s="212">
        <v>1</v>
      </c>
      <c r="M431" s="212">
        <v>1</v>
      </c>
      <c r="N431" s="212">
        <v>1</v>
      </c>
    </row>
    <row r="432" spans="1:14" x14ac:dyDescent="0.2">
      <c r="A432" s="211">
        <f t="shared" si="6"/>
        <v>0</v>
      </c>
      <c r="C432" s="211">
        <f t="shared" si="5"/>
        <v>1</v>
      </c>
      <c r="F432" s="212">
        <v>194</v>
      </c>
      <c r="G432" s="212" t="b">
        <v>0</v>
      </c>
      <c r="H432" s="212" t="b">
        <v>0</v>
      </c>
      <c r="I432" s="212" t="b">
        <v>0</v>
      </c>
      <c r="K432" s="212">
        <v>194</v>
      </c>
      <c r="L432" s="212">
        <v>1</v>
      </c>
      <c r="M432" s="212">
        <v>1</v>
      </c>
      <c r="N432" s="212">
        <v>1</v>
      </c>
    </row>
    <row r="433" spans="1:201" x14ac:dyDescent="0.2">
      <c r="A433" s="211">
        <f t="shared" si="6"/>
        <v>0</v>
      </c>
      <c r="C433" s="211">
        <f t="shared" si="5"/>
        <v>1</v>
      </c>
      <c r="F433" s="212">
        <v>195</v>
      </c>
      <c r="G433" s="212" t="b">
        <v>0</v>
      </c>
      <c r="H433" s="212" t="b">
        <v>0</v>
      </c>
      <c r="I433" s="212" t="b">
        <v>0</v>
      </c>
      <c r="K433" s="212">
        <v>195</v>
      </c>
      <c r="L433" s="212">
        <v>1</v>
      </c>
      <c r="M433" s="212">
        <v>1</v>
      </c>
      <c r="N433" s="212">
        <v>1</v>
      </c>
    </row>
    <row r="434" spans="1:201" x14ac:dyDescent="0.2">
      <c r="A434" s="211">
        <f t="shared" si="6"/>
        <v>0</v>
      </c>
      <c r="C434" s="211">
        <f t="shared" ref="C434:C438" si="7">IF($T$41,L434,1)</f>
        <v>1</v>
      </c>
      <c r="F434" s="212">
        <v>196</v>
      </c>
      <c r="G434" s="212" t="b">
        <v>0</v>
      </c>
      <c r="H434" s="212" t="b">
        <v>0</v>
      </c>
      <c r="I434" s="212" t="b">
        <v>0</v>
      </c>
      <c r="K434" s="212">
        <v>196</v>
      </c>
      <c r="L434" s="212">
        <v>1</v>
      </c>
      <c r="M434" s="212">
        <v>1</v>
      </c>
      <c r="N434" s="212">
        <v>1</v>
      </c>
    </row>
    <row r="435" spans="1:201" x14ac:dyDescent="0.2">
      <c r="A435" s="211">
        <f t="shared" ref="A435:A438" si="8">IF(G435,1,0)</f>
        <v>0</v>
      </c>
      <c r="C435" s="211">
        <f t="shared" si="7"/>
        <v>1</v>
      </c>
      <c r="F435" s="212">
        <v>197</v>
      </c>
      <c r="G435" s="212" t="b">
        <v>0</v>
      </c>
      <c r="H435" s="212" t="b">
        <v>0</v>
      </c>
      <c r="I435" s="212" t="b">
        <v>0</v>
      </c>
      <c r="K435" s="212">
        <v>197</v>
      </c>
      <c r="L435" s="212">
        <v>1</v>
      </c>
      <c r="M435" s="212">
        <v>1</v>
      </c>
      <c r="N435" s="212">
        <v>1</v>
      </c>
    </row>
    <row r="436" spans="1:201" x14ac:dyDescent="0.2">
      <c r="A436" s="211">
        <f t="shared" si="8"/>
        <v>0</v>
      </c>
      <c r="C436" s="211">
        <f t="shared" si="7"/>
        <v>1</v>
      </c>
      <c r="F436" s="212">
        <v>198</v>
      </c>
      <c r="G436" s="212" t="b">
        <v>0</v>
      </c>
      <c r="H436" s="212" t="b">
        <v>0</v>
      </c>
      <c r="I436" s="212" t="b">
        <v>0</v>
      </c>
      <c r="K436" s="212">
        <v>198</v>
      </c>
      <c r="L436" s="212">
        <v>1</v>
      </c>
      <c r="M436" s="212">
        <v>1</v>
      </c>
      <c r="N436" s="212">
        <v>1</v>
      </c>
    </row>
    <row r="437" spans="1:201" x14ac:dyDescent="0.2">
      <c r="A437" s="211">
        <f t="shared" si="8"/>
        <v>0</v>
      </c>
      <c r="C437" s="211">
        <f t="shared" si="7"/>
        <v>1</v>
      </c>
      <c r="F437" s="212">
        <v>199</v>
      </c>
      <c r="G437" s="212" t="b">
        <v>0</v>
      </c>
      <c r="H437" s="212" t="b">
        <v>0</v>
      </c>
      <c r="I437" s="212" t="b">
        <v>0</v>
      </c>
      <c r="K437" s="212">
        <v>199</v>
      </c>
      <c r="L437" s="212">
        <v>1</v>
      </c>
      <c r="M437" s="212">
        <v>1</v>
      </c>
      <c r="N437" s="212">
        <v>1</v>
      </c>
    </row>
    <row r="438" spans="1:201" x14ac:dyDescent="0.2">
      <c r="A438" s="211">
        <f t="shared" si="8"/>
        <v>0</v>
      </c>
      <c r="C438" s="211">
        <f t="shared" si="7"/>
        <v>1</v>
      </c>
      <c r="F438" s="212">
        <v>200</v>
      </c>
      <c r="G438" s="212" t="b">
        <v>0</v>
      </c>
      <c r="H438" s="212" t="b">
        <v>0</v>
      </c>
      <c r="I438" s="212" t="b">
        <v>0</v>
      </c>
      <c r="K438" s="212">
        <v>200</v>
      </c>
      <c r="L438" s="212">
        <v>1</v>
      </c>
      <c r="M438" s="212">
        <v>1</v>
      </c>
      <c r="N438" s="212">
        <v>1</v>
      </c>
    </row>
    <row r="440" spans="1:201" x14ac:dyDescent="0.2">
      <c r="A440" s="211" t="s">
        <v>133</v>
      </c>
      <c r="B440" s="211">
        <f>IF(G239,1,0)</f>
        <v>0</v>
      </c>
      <c r="C440" s="211">
        <f>IF(G240,1,0)</f>
        <v>0</v>
      </c>
      <c r="D440" s="211">
        <f>IF(G241,1,0)</f>
        <v>0</v>
      </c>
      <c r="E440" s="211">
        <f>IF(G242,1,0)</f>
        <v>0</v>
      </c>
      <c r="F440" s="211">
        <f>IF(G243,1,0)</f>
        <v>0</v>
      </c>
      <c r="G440" s="211">
        <f>IF(G244,1,0)</f>
        <v>0</v>
      </c>
      <c r="H440" s="211">
        <f>IF(G245,1,0)</f>
        <v>0</v>
      </c>
      <c r="I440" s="211">
        <f>IF(G246,1,0)</f>
        <v>0</v>
      </c>
      <c r="J440" s="211">
        <f>IF(G247,1,0)</f>
        <v>0</v>
      </c>
      <c r="K440" s="211">
        <f>IF(G248,1,0)</f>
        <v>0</v>
      </c>
      <c r="L440" s="211">
        <f>IF(G249,1,0)</f>
        <v>0</v>
      </c>
      <c r="M440" s="211">
        <f>IF(G250,1,0)</f>
        <v>0</v>
      </c>
      <c r="N440" s="211">
        <f>IF(G251,1,0)</f>
        <v>0</v>
      </c>
      <c r="O440" s="211">
        <f>IF(G252,1,0)</f>
        <v>0</v>
      </c>
      <c r="P440" s="211">
        <f>IF(G253,1,0)</f>
        <v>0</v>
      </c>
      <c r="Q440" s="211">
        <f>IF(G254,1,0)</f>
        <v>0</v>
      </c>
      <c r="R440" s="211">
        <f>IF(G255,1,0)</f>
        <v>0</v>
      </c>
      <c r="S440" s="211">
        <f>IF(G256,1,0)</f>
        <v>0</v>
      </c>
      <c r="T440" s="211">
        <f>IF(G257,1,0)</f>
        <v>0</v>
      </c>
      <c r="U440" s="211">
        <f>IF(G258,1,0)</f>
        <v>0</v>
      </c>
      <c r="V440" s="211">
        <f>IF(G259,1,0)</f>
        <v>0</v>
      </c>
      <c r="W440" s="211">
        <f>IF(G260,1,0)</f>
        <v>0</v>
      </c>
      <c r="X440" s="211">
        <f>IF(G261,1,0)</f>
        <v>0</v>
      </c>
      <c r="Y440" s="211">
        <f>IF(G262,1,0)</f>
        <v>0</v>
      </c>
      <c r="Z440" s="211">
        <f>IF(G263,1,0)</f>
        <v>0</v>
      </c>
      <c r="AA440" s="211">
        <f>IF(G264,1,0)</f>
        <v>0</v>
      </c>
      <c r="AB440" s="211">
        <f>IF(G265,1,0)</f>
        <v>0</v>
      </c>
      <c r="AC440" s="211">
        <f>IF(G266,1,0)</f>
        <v>0</v>
      </c>
      <c r="AD440" s="211">
        <f>IF(G267,1,0)</f>
        <v>0</v>
      </c>
      <c r="AE440" s="211">
        <f>IF(G268,1,0)</f>
        <v>0</v>
      </c>
      <c r="AF440" s="211">
        <f>IF(G269,1,0)</f>
        <v>0</v>
      </c>
      <c r="AG440" s="211">
        <f>IF(G270,1,0)</f>
        <v>0</v>
      </c>
      <c r="AH440" s="211">
        <f>IF(G271,1,0)</f>
        <v>0</v>
      </c>
      <c r="AI440" s="211">
        <f>IF(G272,1,0)</f>
        <v>0</v>
      </c>
      <c r="AJ440" s="211">
        <f>IF(G273,1,0)</f>
        <v>0</v>
      </c>
      <c r="AK440" s="211">
        <f>IF(G274,1,0)</f>
        <v>0</v>
      </c>
      <c r="AL440" s="211">
        <f>IF(G275,1,0)</f>
        <v>0</v>
      </c>
      <c r="AM440" s="211">
        <f>IF(G276,1,0)</f>
        <v>0</v>
      </c>
      <c r="AN440" s="211">
        <f>IF(G277,1,0)</f>
        <v>0</v>
      </c>
      <c r="AO440" s="211">
        <f>IF(G278,1,0)</f>
        <v>0</v>
      </c>
      <c r="AP440" s="211">
        <f>IF(G279,1,0)</f>
        <v>0</v>
      </c>
      <c r="AQ440" s="211">
        <f>IF(G280,1,0)</f>
        <v>0</v>
      </c>
      <c r="AR440" s="211">
        <f>IF(G281,1,0)</f>
        <v>0</v>
      </c>
      <c r="AS440" s="211">
        <f>IF(G282,1,0)</f>
        <v>0</v>
      </c>
      <c r="AT440" s="211">
        <f>IF(G283,1,0)</f>
        <v>0</v>
      </c>
      <c r="AU440" s="211">
        <f>IF(G284,1,0)</f>
        <v>0</v>
      </c>
      <c r="AV440" s="211">
        <f>IF(G285,1,0)</f>
        <v>0</v>
      </c>
      <c r="AW440" s="211">
        <f>IF(G286,1,0)</f>
        <v>0</v>
      </c>
      <c r="AX440" s="211">
        <f>IF(G287,1,0)</f>
        <v>0</v>
      </c>
      <c r="AY440" s="211">
        <f>IF(G288,1,0)</f>
        <v>0</v>
      </c>
      <c r="AZ440" s="211">
        <f>IF(G289,1,0)</f>
        <v>0</v>
      </c>
      <c r="BA440" s="211">
        <f>IF(G290,1,0)</f>
        <v>0</v>
      </c>
      <c r="BB440" s="211">
        <f>IF(G291,1,0)</f>
        <v>0</v>
      </c>
      <c r="BC440" s="211">
        <f>IF(G292,1,0)</f>
        <v>0</v>
      </c>
      <c r="BD440" s="211">
        <f>IF(G293,1,0)</f>
        <v>0</v>
      </c>
      <c r="BE440" s="211">
        <f>IF(G294,1,0)</f>
        <v>0</v>
      </c>
      <c r="BF440" s="211">
        <f>IF(G295,1,0)</f>
        <v>0</v>
      </c>
      <c r="BG440" s="211">
        <f>IF(G296,1,0)</f>
        <v>0</v>
      </c>
      <c r="BH440" s="211">
        <f>IF(G297,1,0)</f>
        <v>0</v>
      </c>
      <c r="BI440" s="211">
        <f>IF(G298,1,0)</f>
        <v>0</v>
      </c>
      <c r="BJ440" s="211">
        <f>IF(G299,1,0)</f>
        <v>0</v>
      </c>
      <c r="BK440" s="211">
        <f>IF(G300,1,0)</f>
        <v>0</v>
      </c>
      <c r="BL440" s="211">
        <f>IF(G301,1,0)</f>
        <v>0</v>
      </c>
      <c r="BM440" s="211">
        <f>IF(G302,1,0)</f>
        <v>0</v>
      </c>
      <c r="BN440" s="211">
        <f>IF(G303,1,0)</f>
        <v>0</v>
      </c>
      <c r="BO440" s="211">
        <f>IF(G304,1,0)</f>
        <v>0</v>
      </c>
      <c r="BP440" s="211">
        <f>IF(G305,1,0)</f>
        <v>0</v>
      </c>
      <c r="BQ440" s="211">
        <f>IF(G306,1,0)</f>
        <v>0</v>
      </c>
      <c r="BR440" s="211">
        <f>IF(G307,1,0)</f>
        <v>0</v>
      </c>
      <c r="BS440" s="211">
        <f>IF(G308,1,0)</f>
        <v>0</v>
      </c>
      <c r="BT440" s="211">
        <f>IF(G309,1,0)</f>
        <v>0</v>
      </c>
      <c r="BU440" s="211">
        <f>IF(G310,1,0)</f>
        <v>0</v>
      </c>
      <c r="BV440" s="211">
        <f>IF(G311,1,0)</f>
        <v>0</v>
      </c>
      <c r="BW440" s="211">
        <f>IF(G312,1,0)</f>
        <v>0</v>
      </c>
      <c r="BX440" s="211">
        <f>IF(G313,1,0)</f>
        <v>0</v>
      </c>
      <c r="BY440" s="211">
        <f>IF(G314,1,0)</f>
        <v>0</v>
      </c>
      <c r="BZ440" s="211">
        <f>IF(G315,1,0)</f>
        <v>0</v>
      </c>
      <c r="CA440" s="211">
        <f>IF(G316,1,0)</f>
        <v>0</v>
      </c>
      <c r="CB440" s="211">
        <f>IF(G317,1,0)</f>
        <v>0</v>
      </c>
      <c r="CC440" s="211">
        <f>IF(G318,1,0)</f>
        <v>0</v>
      </c>
      <c r="CD440" s="211">
        <f>IF(G319,1,0)</f>
        <v>0</v>
      </c>
      <c r="CE440" s="211">
        <f>IF(G320,1,0)</f>
        <v>0</v>
      </c>
      <c r="CF440" s="211">
        <f>IF(G321,1,0)</f>
        <v>0</v>
      </c>
      <c r="CG440" s="211">
        <f>IF(G322,1,0)</f>
        <v>0</v>
      </c>
      <c r="CH440" s="211">
        <f>IF(G323,1,0)</f>
        <v>0</v>
      </c>
      <c r="CI440" s="211">
        <f>IF(G324,1,0)</f>
        <v>0</v>
      </c>
      <c r="CJ440" s="211">
        <f>IF(G325,1,0)</f>
        <v>0</v>
      </c>
      <c r="CK440" s="211">
        <f>IF(G326,1,0)</f>
        <v>0</v>
      </c>
      <c r="CL440" s="211">
        <f>IF(G327,1,0)</f>
        <v>0</v>
      </c>
      <c r="CM440" s="211">
        <f>IF(G328,1,0)</f>
        <v>0</v>
      </c>
      <c r="CN440" s="211">
        <f>IF(G329,1,0)</f>
        <v>0</v>
      </c>
      <c r="CO440" s="211">
        <f>IF(G330,1,0)</f>
        <v>0</v>
      </c>
      <c r="CP440" s="211">
        <f>IF(G331,1,0)</f>
        <v>0</v>
      </c>
      <c r="CQ440" s="211">
        <f>IF(G332,1,0)</f>
        <v>0</v>
      </c>
      <c r="CR440" s="211">
        <f>IF(G333,1,0)</f>
        <v>0</v>
      </c>
      <c r="CS440" s="211">
        <f>IF(G334,1,0)</f>
        <v>0</v>
      </c>
      <c r="CT440" s="211">
        <f>IF(G335,1,0)</f>
        <v>0</v>
      </c>
      <c r="CU440" s="211">
        <f>IF(G336,1,0)</f>
        <v>0</v>
      </c>
      <c r="CV440" s="211">
        <f>IF(G337,1,0)</f>
        <v>0</v>
      </c>
      <c r="CW440" s="211">
        <f>IF(G338,1,0)</f>
        <v>0</v>
      </c>
      <c r="CX440" s="211">
        <f>IF(G339,1,0)</f>
        <v>0</v>
      </c>
      <c r="CY440" s="211">
        <f>IF(G340,1,0)</f>
        <v>0</v>
      </c>
      <c r="CZ440" s="211">
        <f>IF(G341,1,0)</f>
        <v>0</v>
      </c>
      <c r="DA440" s="211">
        <f>IF(G342,1,0)</f>
        <v>0</v>
      </c>
      <c r="DB440" s="211">
        <f>IF(G343,1,0)</f>
        <v>0</v>
      </c>
      <c r="DC440" s="211">
        <f>IF(G344,1,0)</f>
        <v>0</v>
      </c>
      <c r="DD440" s="211">
        <f>IF(G345,1,0)</f>
        <v>0</v>
      </c>
      <c r="DE440" s="211">
        <f>IF(G346,1,0)</f>
        <v>0</v>
      </c>
      <c r="DF440" s="211">
        <f>IF(G347,1,0)</f>
        <v>0</v>
      </c>
      <c r="DG440" s="211">
        <f>IF(G348,1,0)</f>
        <v>0</v>
      </c>
      <c r="DH440" s="211">
        <f>IF(G349,1,0)</f>
        <v>0</v>
      </c>
      <c r="DI440" s="211">
        <f>IF(G350,1,0)</f>
        <v>0</v>
      </c>
      <c r="DJ440" s="211">
        <f>IF(G351,1,0)</f>
        <v>0</v>
      </c>
      <c r="DK440" s="211">
        <f>IF(G352,1,0)</f>
        <v>0</v>
      </c>
      <c r="DL440" s="211">
        <f>IF(G353,1,0)</f>
        <v>0</v>
      </c>
      <c r="DM440" s="211">
        <f>IF(G354,1,0)</f>
        <v>0</v>
      </c>
      <c r="DN440" s="211">
        <f>IF(G355,1,0)</f>
        <v>0</v>
      </c>
      <c r="DO440" s="211">
        <f>IF(G356,1,0)</f>
        <v>0</v>
      </c>
      <c r="DP440" s="211">
        <f>IF(G357,1,0)</f>
        <v>0</v>
      </c>
      <c r="DQ440" s="211">
        <f>IF(G358,1,0)</f>
        <v>0</v>
      </c>
      <c r="DR440" s="211">
        <f>IF(G359,1,0)</f>
        <v>0</v>
      </c>
      <c r="DS440" s="211">
        <f>IF(G360,1,0)</f>
        <v>0</v>
      </c>
      <c r="DT440" s="211">
        <f>IF(G361,1,0)</f>
        <v>0</v>
      </c>
      <c r="DU440" s="211">
        <f>IF(G362,1,0)</f>
        <v>0</v>
      </c>
      <c r="DV440" s="211">
        <f>IF(G363,1,0)</f>
        <v>0</v>
      </c>
      <c r="DW440" s="211">
        <f>IF(G364,1,0)</f>
        <v>0</v>
      </c>
      <c r="DX440" s="211">
        <f>IF(G365,1,0)</f>
        <v>0</v>
      </c>
      <c r="DY440" s="211">
        <f>IF(G366,1,0)</f>
        <v>0</v>
      </c>
      <c r="DZ440" s="211">
        <f>IF(G367,1,0)</f>
        <v>0</v>
      </c>
      <c r="EA440" s="211">
        <f>IF(G368,1,0)</f>
        <v>0</v>
      </c>
      <c r="EB440" s="211">
        <f>IF(G369,1,0)</f>
        <v>0</v>
      </c>
      <c r="EC440" s="211">
        <f>IF(G370,1,0)</f>
        <v>0</v>
      </c>
      <c r="ED440" s="211">
        <f>IF(G371,1,0)</f>
        <v>0</v>
      </c>
      <c r="EE440" s="211">
        <f>IF(G372,1,0)</f>
        <v>0</v>
      </c>
      <c r="EF440" s="211">
        <f>IF(G373,1,0)</f>
        <v>0</v>
      </c>
      <c r="EG440" s="211">
        <f>IF(G374,1,0)</f>
        <v>0</v>
      </c>
      <c r="EH440" s="211">
        <f>IF(G375,1,0)</f>
        <v>0</v>
      </c>
      <c r="EI440" s="211">
        <f>IF(G376,1,0)</f>
        <v>0</v>
      </c>
      <c r="EJ440" s="211">
        <f>IF(G377,1,0)</f>
        <v>0</v>
      </c>
      <c r="EK440" s="211">
        <f>IF(G378,1,0)</f>
        <v>0</v>
      </c>
      <c r="EL440" s="211">
        <f>IF(G379,1,0)</f>
        <v>0</v>
      </c>
      <c r="EM440" s="211">
        <f>IF(G380,1,0)</f>
        <v>0</v>
      </c>
      <c r="EN440" s="211">
        <f>IF(G381,1,0)</f>
        <v>0</v>
      </c>
      <c r="EO440" s="211">
        <f>IF(G382,1,0)</f>
        <v>0</v>
      </c>
      <c r="EP440" s="211">
        <f>IF(G383,1,0)</f>
        <v>0</v>
      </c>
      <c r="EQ440" s="211">
        <f>IF(G384,1,0)</f>
        <v>0</v>
      </c>
      <c r="ER440" s="211">
        <f>IF(G385,1,0)</f>
        <v>0</v>
      </c>
      <c r="ES440" s="211">
        <f>IF(G386,1,0)</f>
        <v>0</v>
      </c>
      <c r="ET440" s="211">
        <f>IF(G387,1,0)</f>
        <v>0</v>
      </c>
      <c r="EU440" s="211">
        <f>IF(G388,1,0)</f>
        <v>0</v>
      </c>
      <c r="EV440" s="211">
        <f>IF(G389,1,0)</f>
        <v>0</v>
      </c>
      <c r="EW440" s="211">
        <f>IF(G390,1,0)</f>
        <v>0</v>
      </c>
      <c r="EX440" s="211">
        <f>IF(G391,1,0)</f>
        <v>0</v>
      </c>
      <c r="EY440" s="211">
        <f>IF(G392,1,0)</f>
        <v>0</v>
      </c>
      <c r="EZ440" s="211">
        <f>IF(G393,1,0)</f>
        <v>0</v>
      </c>
      <c r="FA440" s="211">
        <f>IF(G394,1,0)</f>
        <v>0</v>
      </c>
      <c r="FB440" s="211">
        <f>IF(G395,1,0)</f>
        <v>0</v>
      </c>
      <c r="FC440" s="211">
        <f>IF(G396,1,0)</f>
        <v>0</v>
      </c>
      <c r="FD440" s="211">
        <f>IF(G397,1,0)</f>
        <v>0</v>
      </c>
      <c r="FE440" s="211">
        <f>IF(G398,1,0)</f>
        <v>0</v>
      </c>
      <c r="FF440" s="211">
        <f>IF(G399,1,0)</f>
        <v>0</v>
      </c>
      <c r="FG440" s="211">
        <f>IF(G400,1,0)</f>
        <v>0</v>
      </c>
      <c r="FH440" s="211">
        <f>IF(G401,1,0)</f>
        <v>0</v>
      </c>
      <c r="FI440" s="211">
        <f>IF(G402,1,0)</f>
        <v>0</v>
      </c>
      <c r="FJ440" s="211">
        <f>IF(G403,1,0)</f>
        <v>0</v>
      </c>
      <c r="FK440" s="211">
        <f>IF(G404,1,0)</f>
        <v>0</v>
      </c>
      <c r="FL440" s="211">
        <f>IF(G405,1,0)</f>
        <v>0</v>
      </c>
      <c r="FM440" s="211">
        <f>IF(G406,1,0)</f>
        <v>0</v>
      </c>
      <c r="FN440" s="211">
        <f>IF(G407,1,0)</f>
        <v>0</v>
      </c>
      <c r="FO440" s="211">
        <f>IF(G408,1,0)</f>
        <v>0</v>
      </c>
      <c r="FP440" s="211">
        <f>IF(G409,1,0)</f>
        <v>0</v>
      </c>
      <c r="FQ440" s="211">
        <f>IF(G410,1,0)</f>
        <v>0</v>
      </c>
      <c r="FR440" s="211">
        <f>IF(G411,1,0)</f>
        <v>0</v>
      </c>
      <c r="FS440" s="211">
        <f>IF(G412,1,0)</f>
        <v>0</v>
      </c>
      <c r="FT440" s="211">
        <f>IF(G413,1,0)</f>
        <v>0</v>
      </c>
      <c r="FU440" s="211">
        <f>IF(G414,1,0)</f>
        <v>0</v>
      </c>
      <c r="FV440" s="211">
        <f>IF(G415,1,0)</f>
        <v>0</v>
      </c>
      <c r="FW440" s="211">
        <f>IF(G416,1,0)</f>
        <v>0</v>
      </c>
      <c r="FX440" s="211">
        <f>IF(G417,1,0)</f>
        <v>0</v>
      </c>
      <c r="FY440" s="211">
        <f>IF(G418,1,0)</f>
        <v>0</v>
      </c>
      <c r="FZ440" s="211">
        <f>IF(G419,1,0)</f>
        <v>0</v>
      </c>
      <c r="GA440" s="211">
        <f>IF(G420,1,0)</f>
        <v>0</v>
      </c>
      <c r="GB440" s="211">
        <f>IF(G421,1,0)</f>
        <v>0</v>
      </c>
      <c r="GC440" s="211">
        <f>IF(G422,1,0)</f>
        <v>0</v>
      </c>
      <c r="GD440" s="211">
        <f>IF(G423,1,0)</f>
        <v>0</v>
      </c>
      <c r="GE440" s="211">
        <f>IF(G424,1,0)</f>
        <v>0</v>
      </c>
      <c r="GF440" s="211">
        <f>IF(G425,1,0)</f>
        <v>0</v>
      </c>
      <c r="GG440" s="211">
        <f>IF(G426,1,0)</f>
        <v>0</v>
      </c>
      <c r="GH440" s="211">
        <f>IF(G427,1,0)</f>
        <v>0</v>
      </c>
      <c r="GI440" s="211">
        <f>IF(G428,1,0)</f>
        <v>0</v>
      </c>
      <c r="GJ440" s="211">
        <f>IF(G429,1,0)</f>
        <v>0</v>
      </c>
      <c r="GK440" s="211">
        <f>IF(G430,1,0)</f>
        <v>0</v>
      </c>
      <c r="GL440" s="211">
        <f>IF(G431,1,0)</f>
        <v>0</v>
      </c>
      <c r="GM440" s="211">
        <f>IF(G432,1,0)</f>
        <v>0</v>
      </c>
      <c r="GN440" s="211">
        <f>IF(G433,1,0)</f>
        <v>0</v>
      </c>
      <c r="GO440" s="211">
        <f>IF(G434,1,0)</f>
        <v>0</v>
      </c>
      <c r="GP440" s="211">
        <f>IF(G435,1,0)</f>
        <v>0</v>
      </c>
      <c r="GQ440" s="211">
        <f>IF(G436,1,0)</f>
        <v>0</v>
      </c>
      <c r="GR440" s="211">
        <f>IF(G437,1,0)</f>
        <v>0</v>
      </c>
      <c r="GS440" s="211">
        <f>IF(G438,1,0)</f>
        <v>0</v>
      </c>
    </row>
    <row r="442" spans="1:201" x14ac:dyDescent="0.2">
      <c r="A442" s="211" t="s">
        <v>131</v>
      </c>
      <c r="B442" s="211">
        <f>IF($T$41,L239,1)</f>
        <v>1</v>
      </c>
      <c r="C442" s="211">
        <f>IF($T$41,L240,1)</f>
        <v>1</v>
      </c>
      <c r="D442" s="211">
        <f>IF($T$41,L241,1)</f>
        <v>1</v>
      </c>
      <c r="E442" s="211">
        <f>IF($T$41,L242,1)</f>
        <v>1</v>
      </c>
      <c r="F442" s="211">
        <f>IF($T$41,L243,1)</f>
        <v>1</v>
      </c>
      <c r="G442" s="211">
        <f>IF($T$41,L244,1)</f>
        <v>1</v>
      </c>
      <c r="H442" s="211">
        <f>IF($T$41,L245,1)</f>
        <v>1</v>
      </c>
      <c r="I442" s="211">
        <f>IF($T$41,L246,1)</f>
        <v>1</v>
      </c>
      <c r="J442" s="211">
        <f>IF($T$41,L247,1)</f>
        <v>1</v>
      </c>
      <c r="K442" s="211">
        <f>IF($T$41,L248,1)</f>
        <v>1</v>
      </c>
      <c r="L442" s="211">
        <f>IF($T$41,L249,1)</f>
        <v>1</v>
      </c>
      <c r="M442" s="211">
        <f>IF($T$41,L250,1)</f>
        <v>1</v>
      </c>
      <c r="N442" s="211">
        <f>IF($T$41,L251,1)</f>
        <v>1</v>
      </c>
      <c r="O442" s="211">
        <f>IF($T$41,L252,1)</f>
        <v>1</v>
      </c>
      <c r="P442" s="211">
        <f>IF($T$41,L253,1)</f>
        <v>1</v>
      </c>
      <c r="Q442" s="211">
        <f>IF($T$41,L254,1)</f>
        <v>1</v>
      </c>
      <c r="R442" s="211">
        <f>IF($T$41,L255,1)</f>
        <v>1</v>
      </c>
      <c r="S442" s="211">
        <f>IF($T$41,L256,1)</f>
        <v>1</v>
      </c>
      <c r="T442" s="211">
        <f>IF($T$41,L257,1)</f>
        <v>1</v>
      </c>
      <c r="U442" s="211">
        <f>IF($T$41,L258,1)</f>
        <v>1</v>
      </c>
      <c r="V442" s="211">
        <f>IF($T$41,L259,1)</f>
        <v>1</v>
      </c>
      <c r="W442" s="211">
        <f>IF($T$41,L260,1)</f>
        <v>1</v>
      </c>
      <c r="X442" s="211">
        <f>IF($T$41,L261,1)</f>
        <v>1</v>
      </c>
      <c r="Y442" s="211">
        <f>IF($T$41,L262,1)</f>
        <v>1</v>
      </c>
      <c r="Z442" s="211">
        <f>IF($T$41,L263,1)</f>
        <v>1</v>
      </c>
      <c r="AA442" s="211">
        <f>IF($T$41,L264,1)</f>
        <v>1</v>
      </c>
      <c r="AB442" s="211">
        <f>IF($T$41,L265,1)</f>
        <v>1</v>
      </c>
      <c r="AC442" s="211">
        <f>IF($T$41,L266,1)</f>
        <v>1</v>
      </c>
      <c r="AD442" s="211">
        <f>IF($T$41,L267,1)</f>
        <v>1</v>
      </c>
      <c r="AE442" s="211">
        <f>IF($T$41,L268,1)</f>
        <v>1</v>
      </c>
      <c r="AF442" s="211">
        <f>IF($T$41,L269,1)</f>
        <v>1</v>
      </c>
      <c r="AG442" s="211">
        <f>IF($T$41,L270,1)</f>
        <v>1</v>
      </c>
      <c r="AH442" s="211">
        <f>IF($T$41,L271,1)</f>
        <v>1</v>
      </c>
      <c r="AI442" s="211">
        <f>IF($T$41,L272,1)</f>
        <v>1</v>
      </c>
      <c r="AJ442" s="211">
        <f>IF($T$41,L273,1)</f>
        <v>1</v>
      </c>
      <c r="AK442" s="211">
        <f>IF($T$41,L274,1)</f>
        <v>1</v>
      </c>
      <c r="AL442" s="211">
        <f>IF($T$41,L275,1)</f>
        <v>1</v>
      </c>
      <c r="AM442" s="211">
        <f>IF($T$41,L276,1)</f>
        <v>1</v>
      </c>
      <c r="AN442" s="211">
        <f>IF($T$41,L277,1)</f>
        <v>1</v>
      </c>
      <c r="AO442" s="211">
        <f>IF($T$41,L278,1)</f>
        <v>1</v>
      </c>
      <c r="AP442" s="211">
        <f>IF($T$41,L279,1)</f>
        <v>1</v>
      </c>
      <c r="AQ442" s="211">
        <f>IF($T$41,L280,1)</f>
        <v>1</v>
      </c>
      <c r="AR442" s="211">
        <f>IF($T$41,L281,1)</f>
        <v>1</v>
      </c>
      <c r="AS442" s="211">
        <f>IF($T$41,L282,1)</f>
        <v>1</v>
      </c>
      <c r="AT442" s="211">
        <f>IF($T$41,L283,1)</f>
        <v>1</v>
      </c>
      <c r="AU442" s="211">
        <f>IF($T$41,L284,1)</f>
        <v>1</v>
      </c>
      <c r="AV442" s="211">
        <f>IF($T$41,L285,1)</f>
        <v>1</v>
      </c>
      <c r="AW442" s="211">
        <f>IF($T$41,L286,1)</f>
        <v>1</v>
      </c>
      <c r="AX442" s="211">
        <f>IF($T$41,L287,1)</f>
        <v>1</v>
      </c>
      <c r="AY442" s="211">
        <f>IF($T$41,L288,1)</f>
        <v>1</v>
      </c>
      <c r="AZ442" s="211">
        <f>IF($T$41,L289,1)</f>
        <v>1</v>
      </c>
      <c r="BA442" s="211">
        <f>IF($T$41,L290,1)</f>
        <v>1</v>
      </c>
      <c r="BB442" s="211">
        <f>IF($T$41,L291,1)</f>
        <v>1</v>
      </c>
      <c r="BC442" s="211">
        <f>IF($T$41,L292,1)</f>
        <v>1</v>
      </c>
      <c r="BD442" s="211">
        <f>IF($T$41,L293,1)</f>
        <v>1</v>
      </c>
      <c r="BE442" s="211">
        <f>IF($T$41,L294,1)</f>
        <v>1</v>
      </c>
      <c r="BF442" s="211">
        <f>IF($T$41,L295,1)</f>
        <v>1</v>
      </c>
      <c r="BG442" s="211">
        <f>IF($T$41,L296,1)</f>
        <v>1</v>
      </c>
      <c r="BH442" s="211">
        <f>IF($T$41,L297,1)</f>
        <v>1</v>
      </c>
      <c r="BI442" s="211">
        <f>IF($T$41,L298,1)</f>
        <v>1</v>
      </c>
      <c r="BJ442" s="211">
        <f>IF($T$41,L299,1)</f>
        <v>1</v>
      </c>
      <c r="BK442" s="211">
        <f>IF($T$41,L300,1)</f>
        <v>1</v>
      </c>
      <c r="BL442" s="211">
        <f>IF($T$41,L301,1)</f>
        <v>1</v>
      </c>
      <c r="BM442" s="211">
        <f>IF($T$41,L302,1)</f>
        <v>1</v>
      </c>
      <c r="BN442" s="211">
        <f>IF($T$41,L303,1)</f>
        <v>1</v>
      </c>
      <c r="BO442" s="211">
        <f>IF($T$41,L304,1)</f>
        <v>1</v>
      </c>
      <c r="BP442" s="211">
        <f>IF($T$41,L305,1)</f>
        <v>1</v>
      </c>
      <c r="BQ442" s="211">
        <f>IF($T$41,L306,1)</f>
        <v>1</v>
      </c>
      <c r="BR442" s="211">
        <f>IF($T$41,L307,1)</f>
        <v>1</v>
      </c>
      <c r="BS442" s="211">
        <f>IF($T$41,L308,1)</f>
        <v>1</v>
      </c>
      <c r="BT442" s="211">
        <f>IF($T$41,L309,1)</f>
        <v>1</v>
      </c>
      <c r="BU442" s="211">
        <f>IF($T$41,L310,1)</f>
        <v>1</v>
      </c>
      <c r="BV442" s="211">
        <f>IF($T$41,L311,1)</f>
        <v>1</v>
      </c>
      <c r="BW442" s="211">
        <f>IF($T$41,L312,1)</f>
        <v>1</v>
      </c>
      <c r="BX442" s="211">
        <f>IF($T$41,L313,1)</f>
        <v>1</v>
      </c>
      <c r="BY442" s="211">
        <f>IF($T$41,L314,1)</f>
        <v>1</v>
      </c>
      <c r="BZ442" s="211">
        <f>IF($T$41,L315,1)</f>
        <v>1</v>
      </c>
      <c r="CA442" s="211">
        <f>IF($T$41,L316,1)</f>
        <v>1</v>
      </c>
      <c r="CB442" s="211">
        <f>IF($T$41,L317,1)</f>
        <v>1</v>
      </c>
      <c r="CC442" s="211">
        <f>IF($T$41,L318,1)</f>
        <v>1</v>
      </c>
      <c r="CD442" s="211">
        <f>IF($T$41,L319,1)</f>
        <v>1</v>
      </c>
      <c r="CE442" s="211">
        <f>IF($T$41,L320,1)</f>
        <v>1</v>
      </c>
      <c r="CF442" s="211">
        <f>IF($T$41,L321,1)</f>
        <v>1</v>
      </c>
      <c r="CG442" s="211">
        <f>IF($T$41,L322,1)</f>
        <v>1</v>
      </c>
      <c r="CH442" s="211">
        <f>IF($T$41,L323,1)</f>
        <v>1</v>
      </c>
      <c r="CI442" s="211">
        <f>IF($T$41,L324,1)</f>
        <v>1</v>
      </c>
      <c r="CJ442" s="211">
        <f>IF($T$41,L325,1)</f>
        <v>1</v>
      </c>
      <c r="CK442" s="211">
        <f>IF($T$41,L326,1)</f>
        <v>1</v>
      </c>
      <c r="CL442" s="211">
        <f>IF($T$41,L327,1)</f>
        <v>1</v>
      </c>
      <c r="CM442" s="211">
        <f>IF($T$41,L328,1)</f>
        <v>1</v>
      </c>
      <c r="CN442" s="211">
        <f>IF($T$41,L329,1)</f>
        <v>1</v>
      </c>
      <c r="CO442" s="211">
        <f>IF($T$41,L330,1)</f>
        <v>1</v>
      </c>
      <c r="CP442" s="211">
        <f>IF($T$41,L331,1)</f>
        <v>1</v>
      </c>
      <c r="CQ442" s="211">
        <f>IF($T$41,L332,1)</f>
        <v>1</v>
      </c>
      <c r="CR442" s="211">
        <f>IF($T$41,L333,1)</f>
        <v>1</v>
      </c>
      <c r="CS442" s="211">
        <f>IF($T$41,L334,1)</f>
        <v>1</v>
      </c>
      <c r="CT442" s="211">
        <f>IF($T$41,L335,1)</f>
        <v>1</v>
      </c>
      <c r="CU442" s="211">
        <f>IF($T$41,L336,1)</f>
        <v>1</v>
      </c>
      <c r="CV442" s="211">
        <f>IF($T$41,L337,1)</f>
        <v>1</v>
      </c>
      <c r="CW442" s="211">
        <f>IF($T$41,L338,1)</f>
        <v>1</v>
      </c>
      <c r="CX442" s="211">
        <f>IF($T$41,L339,1)</f>
        <v>1</v>
      </c>
      <c r="CY442" s="211">
        <f>IF($T$41,L340,1)</f>
        <v>1</v>
      </c>
      <c r="CZ442" s="211">
        <f>IF($T$41,L341,1)</f>
        <v>1</v>
      </c>
      <c r="DA442" s="211">
        <f>IF($T$41,L342,1)</f>
        <v>1</v>
      </c>
      <c r="DB442" s="211">
        <f>IF($T$41,L343,1)</f>
        <v>1</v>
      </c>
      <c r="DC442" s="211">
        <f>IF($T$41,L344,1)</f>
        <v>1</v>
      </c>
      <c r="DD442" s="211">
        <f>IF($T$41,L345,1)</f>
        <v>1</v>
      </c>
      <c r="DE442" s="211">
        <f>IF($T$41,L346,1)</f>
        <v>1</v>
      </c>
      <c r="DF442" s="211">
        <f>IF($T$41,L347,1)</f>
        <v>1</v>
      </c>
      <c r="DG442" s="211">
        <f>IF($T$41,L348,1)</f>
        <v>1</v>
      </c>
      <c r="DH442" s="211">
        <f>IF($T$41,L349,1)</f>
        <v>1</v>
      </c>
      <c r="DI442" s="211">
        <f>IF($T$41,L350,1)</f>
        <v>1</v>
      </c>
      <c r="DJ442" s="211">
        <f>IF($T$41,L351,1)</f>
        <v>1</v>
      </c>
      <c r="DK442" s="211">
        <f>IF($T$41,L352,1)</f>
        <v>1</v>
      </c>
      <c r="DL442" s="211">
        <f>IF($T$41,L353,1)</f>
        <v>1</v>
      </c>
      <c r="DM442" s="211">
        <f>IF($T$41,L354,1)</f>
        <v>1</v>
      </c>
      <c r="DN442" s="211">
        <f>IF($T$41,L355,1)</f>
        <v>1</v>
      </c>
      <c r="DO442" s="211">
        <f>IF($T$41,L356,1)</f>
        <v>1</v>
      </c>
      <c r="DP442" s="211">
        <f>IF($T$41,L357,1)</f>
        <v>1</v>
      </c>
      <c r="DQ442" s="211">
        <f>IF($T$41,L358,1)</f>
        <v>1</v>
      </c>
      <c r="DR442" s="211">
        <f>IF($T$41,L359,1)</f>
        <v>1</v>
      </c>
      <c r="DS442" s="211">
        <f>IF($T$41,L360,1)</f>
        <v>1</v>
      </c>
      <c r="DT442" s="211">
        <f>IF($T$41,L361,1)</f>
        <v>1</v>
      </c>
      <c r="DU442" s="211">
        <f>IF($T$41,L362,1)</f>
        <v>1</v>
      </c>
      <c r="DV442" s="211">
        <f>IF($T$41,L363,1)</f>
        <v>1</v>
      </c>
      <c r="DW442" s="211">
        <f>IF($T$41,L364,1)</f>
        <v>1</v>
      </c>
      <c r="DX442" s="211">
        <f>IF($T$41,L365,1)</f>
        <v>1</v>
      </c>
      <c r="DY442" s="211">
        <f>IF($T$41,L366,1)</f>
        <v>1</v>
      </c>
      <c r="DZ442" s="211">
        <f>IF($T$41,L367,1)</f>
        <v>1</v>
      </c>
      <c r="EA442" s="211">
        <f>IF($T$41,L368,1)</f>
        <v>1</v>
      </c>
      <c r="EB442" s="211">
        <f>IF($T$41,L369,1)</f>
        <v>1</v>
      </c>
      <c r="EC442" s="211">
        <f>IF($T$41,L370,1)</f>
        <v>1</v>
      </c>
      <c r="ED442" s="211">
        <f>IF($T$41,L371,1)</f>
        <v>1</v>
      </c>
      <c r="EE442" s="211">
        <f>IF($T$41,L372,1)</f>
        <v>1</v>
      </c>
      <c r="EF442" s="211">
        <f>IF($T$41,L373,1)</f>
        <v>1</v>
      </c>
      <c r="EG442" s="211">
        <f>IF($T$41,L374,1)</f>
        <v>1</v>
      </c>
      <c r="EH442" s="211">
        <f>IF($T$41,L375,1)</f>
        <v>1</v>
      </c>
      <c r="EI442" s="211">
        <f>IF($T$41,L376,1)</f>
        <v>1</v>
      </c>
      <c r="EJ442" s="211">
        <f>IF($T$41,L377,1)</f>
        <v>1</v>
      </c>
      <c r="EK442" s="211">
        <f>IF($T$41,L378,1)</f>
        <v>1</v>
      </c>
      <c r="EL442" s="211">
        <f>IF($T$41,L379,1)</f>
        <v>1</v>
      </c>
      <c r="EM442" s="211">
        <f>IF($T$41,L380,1)</f>
        <v>1</v>
      </c>
      <c r="EN442" s="211">
        <f>IF($T$41,L381,1)</f>
        <v>1</v>
      </c>
      <c r="EO442" s="211">
        <f>IF($T$41,L382,1)</f>
        <v>1</v>
      </c>
      <c r="EP442" s="211">
        <f>IF($T$41,L383,1)</f>
        <v>1</v>
      </c>
      <c r="EQ442" s="211">
        <f>IF($T$41,L384,1)</f>
        <v>1</v>
      </c>
      <c r="ER442" s="211">
        <f>IF($T$41,L385,1)</f>
        <v>1</v>
      </c>
      <c r="ES442" s="211">
        <f>IF($T$41,L386,1)</f>
        <v>1</v>
      </c>
      <c r="ET442" s="211">
        <f>IF($T$41,L387,1)</f>
        <v>1</v>
      </c>
      <c r="EU442" s="211">
        <f>IF($T$41,L388,1)</f>
        <v>1</v>
      </c>
      <c r="EV442" s="211">
        <f>IF($T$41,L389,1)</f>
        <v>1</v>
      </c>
      <c r="EW442" s="211">
        <f>IF($T$41,L390,1)</f>
        <v>1</v>
      </c>
      <c r="EX442" s="211">
        <f>IF($T$41,L391,1)</f>
        <v>1</v>
      </c>
      <c r="EY442" s="211">
        <f>IF($T$41,L392,1)</f>
        <v>1</v>
      </c>
      <c r="EZ442" s="211">
        <f>IF($T$41,L393,1)</f>
        <v>1</v>
      </c>
      <c r="FA442" s="211">
        <f>IF($T$41,L394,1)</f>
        <v>1</v>
      </c>
      <c r="FB442" s="211">
        <f>IF($T$41,L395,1)</f>
        <v>1</v>
      </c>
      <c r="FC442" s="211">
        <f>IF($T$41,L396,1)</f>
        <v>1</v>
      </c>
      <c r="FD442" s="211">
        <f>IF($T$41,L397,1)</f>
        <v>1</v>
      </c>
      <c r="FE442" s="211">
        <f>IF($T$41,L398,1)</f>
        <v>1</v>
      </c>
      <c r="FF442" s="211">
        <f>IF($T$41,L399,1)</f>
        <v>1</v>
      </c>
      <c r="FG442" s="211">
        <f>IF($T$41,L400,1)</f>
        <v>1</v>
      </c>
      <c r="FH442" s="211">
        <f>IF($T$41,L401,1)</f>
        <v>1</v>
      </c>
      <c r="FI442" s="211">
        <f>IF($T$41,L402,1)</f>
        <v>1</v>
      </c>
      <c r="FJ442" s="211">
        <f>IF($T$41,L403,1)</f>
        <v>1</v>
      </c>
      <c r="FK442" s="211">
        <f>IF($T$41,L404,1)</f>
        <v>1</v>
      </c>
      <c r="FL442" s="211">
        <f>IF($T$41,L405,1)</f>
        <v>1</v>
      </c>
      <c r="FM442" s="211">
        <f>IF($T$41,L406,1)</f>
        <v>1</v>
      </c>
      <c r="FN442" s="211">
        <f>IF($T$41,L407,1)</f>
        <v>1</v>
      </c>
      <c r="FO442" s="211">
        <f>IF($T$41,L408,1)</f>
        <v>1</v>
      </c>
      <c r="FP442" s="211">
        <f>IF($T$41,L409,1)</f>
        <v>1</v>
      </c>
      <c r="FQ442" s="211">
        <f>IF($T$41,L410,1)</f>
        <v>1</v>
      </c>
      <c r="FR442" s="211">
        <f>IF($T$41,L411,1)</f>
        <v>1</v>
      </c>
      <c r="FS442" s="211">
        <f>IF($T$41,L412,1)</f>
        <v>1</v>
      </c>
      <c r="FT442" s="211">
        <f>IF($T$41,L413,1)</f>
        <v>1</v>
      </c>
      <c r="FU442" s="211">
        <f>IF($T$41,L414,1)</f>
        <v>1</v>
      </c>
      <c r="FV442" s="211">
        <f>IF($T$41,L415,1)</f>
        <v>1</v>
      </c>
      <c r="FW442" s="211">
        <f>IF($T$41,L416,1)</f>
        <v>1</v>
      </c>
      <c r="FX442" s="211">
        <f>IF($T$41,L417,1)</f>
        <v>1</v>
      </c>
      <c r="FY442" s="211">
        <f>IF($T$41,L418,1)</f>
        <v>1</v>
      </c>
      <c r="FZ442" s="211">
        <f>IF($T$41,L419,1)</f>
        <v>1</v>
      </c>
      <c r="GA442" s="211">
        <f>IF($T$41,L420,1)</f>
        <v>1</v>
      </c>
      <c r="GB442" s="211">
        <f>IF($T$41,L421,1)</f>
        <v>1</v>
      </c>
      <c r="GC442" s="211">
        <f>IF($T$41,L422,1)</f>
        <v>1</v>
      </c>
      <c r="GD442" s="211">
        <f>IF($T$41,L423,1)</f>
        <v>1</v>
      </c>
      <c r="GE442" s="211">
        <f>IF($T$41,L424,1)</f>
        <v>1</v>
      </c>
      <c r="GF442" s="211">
        <f>IF($T$41,L425,1)</f>
        <v>1</v>
      </c>
      <c r="GG442" s="211">
        <f>IF($T$41,L426,1)</f>
        <v>1</v>
      </c>
      <c r="GH442" s="211">
        <f>IF($T$41,L427,1)</f>
        <v>1</v>
      </c>
      <c r="GI442" s="211">
        <f>IF($T$41,L428,1)</f>
        <v>1</v>
      </c>
      <c r="GJ442" s="211">
        <f>IF($T$41,L429,1)</f>
        <v>1</v>
      </c>
      <c r="GK442" s="211">
        <f>IF($T$41,L430,1)</f>
        <v>1</v>
      </c>
      <c r="GL442" s="211">
        <f>IF($T$41,L431,1)</f>
        <v>1</v>
      </c>
      <c r="GM442" s="211">
        <f>IF($T$41,L432,1)</f>
        <v>1</v>
      </c>
      <c r="GN442" s="211">
        <f>IF($T$41,L433,1)</f>
        <v>1</v>
      </c>
      <c r="GO442" s="211">
        <f>IF($T$41,L434,1)</f>
        <v>1</v>
      </c>
      <c r="GP442" s="211">
        <f>IF($T$41,L435,1)</f>
        <v>1</v>
      </c>
      <c r="GQ442" s="211">
        <f>IF($T$41,L436,1)</f>
        <v>1</v>
      </c>
      <c r="GR442" s="211">
        <f>IF($T$41,L437,1)</f>
        <v>1</v>
      </c>
      <c r="GS442" s="211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opLeftCell="A10" zoomScaleNormal="100" workbookViewId="0">
      <selection activeCell="F22" sqref="F22"/>
    </sheetView>
  </sheetViews>
  <sheetFormatPr defaultRowHeight="12" x14ac:dyDescent="0.2"/>
  <cols>
    <col min="1" max="1" width="4.5" style="181" bestFit="1" customWidth="1"/>
    <col min="2" max="2" width="9" style="180"/>
    <col min="3" max="3" width="3.875" style="181" customWidth="1"/>
    <col min="4" max="4" width="37.375" style="180" customWidth="1"/>
    <col min="5" max="5" width="16.625" style="180" customWidth="1"/>
    <col min="6" max="6" width="4.875" style="180" customWidth="1"/>
    <col min="7" max="7" width="15.625" style="180" customWidth="1"/>
    <col min="8" max="9" width="9.375" style="180" customWidth="1"/>
    <col min="10" max="10" width="9" style="180"/>
    <col min="11" max="11" width="3" style="180" customWidth="1"/>
    <col min="12" max="16384" width="9" style="180"/>
  </cols>
  <sheetData>
    <row r="1" spans="1:14" x14ac:dyDescent="0.2">
      <c r="A1" s="178" t="s">
        <v>10</v>
      </c>
      <c r="B1" s="179" t="s">
        <v>112</v>
      </c>
      <c r="C1" s="178"/>
      <c r="D1" s="179"/>
      <c r="E1" s="178" t="s">
        <v>113</v>
      </c>
      <c r="F1" s="178"/>
      <c r="G1" s="178" t="s">
        <v>114</v>
      </c>
      <c r="H1" s="178"/>
      <c r="I1" s="178"/>
      <c r="L1" s="181"/>
      <c r="N1" s="181"/>
    </row>
    <row r="2" spans="1:14" x14ac:dyDescent="0.2">
      <c r="A2" s="180"/>
      <c r="B2" s="190"/>
      <c r="C2" s="180"/>
      <c r="G2" s="188"/>
    </row>
    <row r="3" spans="1:14" x14ac:dyDescent="0.2">
      <c r="A3" s="180"/>
      <c r="B3" s="190"/>
      <c r="C3" s="180"/>
      <c r="G3" s="188"/>
    </row>
    <row r="4" spans="1:14" x14ac:dyDescent="0.2">
      <c r="A4" s="180"/>
      <c r="B4" s="190"/>
      <c r="C4" s="180"/>
      <c r="G4" s="188"/>
    </row>
    <row r="5" spans="1:14" x14ac:dyDescent="0.2">
      <c r="A5" s="180"/>
      <c r="C5" s="180"/>
      <c r="G5" s="188"/>
    </row>
    <row r="6" spans="1:14" x14ac:dyDescent="0.2">
      <c r="A6" s="180"/>
      <c r="C6" s="180"/>
    </row>
    <row r="7" spans="1:14" x14ac:dyDescent="0.2">
      <c r="A7" s="180"/>
      <c r="B7" s="190"/>
      <c r="C7" s="180"/>
      <c r="G7" s="188"/>
    </row>
    <row r="8" spans="1:14" x14ac:dyDescent="0.2">
      <c r="A8" s="180"/>
      <c r="B8" s="190"/>
      <c r="C8" s="180"/>
      <c r="G8" s="188"/>
    </row>
    <row r="9" spans="1:14" x14ac:dyDescent="0.2">
      <c r="A9" s="180"/>
      <c r="B9" s="190"/>
      <c r="C9" s="180"/>
      <c r="G9" s="188"/>
    </row>
    <row r="10" spans="1:14" x14ac:dyDescent="0.2">
      <c r="A10" s="180"/>
      <c r="C10" s="180"/>
      <c r="G10" s="188"/>
    </row>
    <row r="11" spans="1:14" x14ac:dyDescent="0.2">
      <c r="A11" s="180"/>
      <c r="C11" s="180"/>
    </row>
    <row r="12" spans="1:14" x14ac:dyDescent="0.2">
      <c r="A12" s="180"/>
      <c r="B12" s="190"/>
      <c r="C12" s="180"/>
      <c r="G12" s="188"/>
    </row>
    <row r="13" spans="1:14" x14ac:dyDescent="0.2">
      <c r="A13" s="180"/>
      <c r="B13" s="190"/>
      <c r="C13" s="180"/>
      <c r="G13" s="188"/>
    </row>
    <row r="14" spans="1:14" x14ac:dyDescent="0.2">
      <c r="A14" s="180"/>
      <c r="B14" s="190"/>
      <c r="C14" s="180"/>
      <c r="G14" s="188"/>
    </row>
    <row r="15" spans="1:14" x14ac:dyDescent="0.2">
      <c r="A15" s="180"/>
      <c r="C15" s="180"/>
      <c r="G15" s="188"/>
    </row>
    <row r="16" spans="1:14" x14ac:dyDescent="0.2">
      <c r="A16" s="180"/>
      <c r="C16" s="180"/>
    </row>
    <row r="17" spans="1:7" x14ac:dyDescent="0.2">
      <c r="A17" s="180"/>
      <c r="B17" s="190"/>
      <c r="C17" s="180"/>
      <c r="G17" s="188"/>
    </row>
    <row r="18" spans="1:7" x14ac:dyDescent="0.2">
      <c r="A18" s="180"/>
      <c r="B18" s="190"/>
      <c r="C18" s="180"/>
      <c r="G18" s="188"/>
    </row>
    <row r="19" spans="1:7" x14ac:dyDescent="0.2">
      <c r="A19" s="180"/>
      <c r="B19" s="190"/>
      <c r="C19" s="180"/>
      <c r="G19" s="188"/>
    </row>
    <row r="20" spans="1:7" x14ac:dyDescent="0.2">
      <c r="A20" s="180"/>
      <c r="C20" s="180"/>
      <c r="G20" s="188"/>
    </row>
    <row r="21" spans="1:7" x14ac:dyDescent="0.2">
      <c r="A21" s="180"/>
      <c r="C21" s="180"/>
    </row>
    <row r="22" spans="1:7" x14ac:dyDescent="0.2">
      <c r="A22" s="180"/>
      <c r="B22" s="190"/>
      <c r="C22" s="180"/>
      <c r="G22" s="188"/>
    </row>
    <row r="23" spans="1:7" x14ac:dyDescent="0.2">
      <c r="A23" s="180"/>
      <c r="B23" s="190"/>
      <c r="C23" s="180"/>
      <c r="G23" s="188"/>
    </row>
    <row r="24" spans="1:7" x14ac:dyDescent="0.2">
      <c r="A24" s="180"/>
      <c r="B24" s="190"/>
      <c r="C24" s="180"/>
      <c r="G24" s="188"/>
    </row>
    <row r="25" spans="1:7" x14ac:dyDescent="0.2">
      <c r="A25" s="180"/>
      <c r="C25" s="180"/>
      <c r="G25" s="188"/>
    </row>
    <row r="26" spans="1:7" x14ac:dyDescent="0.2">
      <c r="A26" s="180"/>
      <c r="C26" s="180"/>
    </row>
    <row r="27" spans="1:7" x14ac:dyDescent="0.2">
      <c r="A27" s="180"/>
      <c r="B27" s="190"/>
      <c r="C27" s="180"/>
      <c r="G27" s="188"/>
    </row>
    <row r="28" spans="1:7" x14ac:dyDescent="0.2">
      <c r="A28" s="180"/>
      <c r="B28" s="190"/>
      <c r="C28" s="180"/>
      <c r="G28" s="188"/>
    </row>
    <row r="29" spans="1:7" x14ac:dyDescent="0.2">
      <c r="A29" s="180"/>
      <c r="B29" s="190"/>
      <c r="C29" s="180"/>
      <c r="G29" s="188"/>
    </row>
    <row r="30" spans="1:7" x14ac:dyDescent="0.2">
      <c r="A30" s="180"/>
      <c r="C30" s="180"/>
      <c r="G30" s="188"/>
    </row>
    <row r="31" spans="1:7" x14ac:dyDescent="0.2">
      <c r="A31" s="180"/>
      <c r="C31" s="180"/>
    </row>
    <row r="32" spans="1:7" x14ac:dyDescent="0.2">
      <c r="A32" s="180"/>
      <c r="B32" s="190"/>
      <c r="C32" s="180"/>
      <c r="G32" s="188"/>
    </row>
    <row r="33" spans="1:7" x14ac:dyDescent="0.2">
      <c r="A33" s="180"/>
      <c r="B33" s="190"/>
      <c r="C33" s="180"/>
      <c r="G33" s="188"/>
    </row>
    <row r="34" spans="1:7" x14ac:dyDescent="0.2">
      <c r="A34" s="180"/>
      <c r="B34" s="190"/>
      <c r="C34" s="180"/>
      <c r="G34" s="188"/>
    </row>
    <row r="35" spans="1:7" x14ac:dyDescent="0.2">
      <c r="A35" s="180"/>
      <c r="C35" s="180"/>
      <c r="G35" s="188"/>
    </row>
    <row r="36" spans="1:7" x14ac:dyDescent="0.2">
      <c r="A36" s="180"/>
      <c r="C36" s="180"/>
    </row>
    <row r="37" spans="1:7" x14ac:dyDescent="0.2">
      <c r="A37" s="180"/>
      <c r="B37" s="190"/>
      <c r="C37" s="180"/>
      <c r="G37" s="188"/>
    </row>
    <row r="38" spans="1:7" x14ac:dyDescent="0.2">
      <c r="A38" s="180"/>
      <c r="B38" s="190"/>
      <c r="C38" s="180"/>
      <c r="G38" s="188"/>
    </row>
    <row r="39" spans="1:7" x14ac:dyDescent="0.2">
      <c r="A39" s="180"/>
      <c r="B39" s="190"/>
      <c r="C39" s="180"/>
      <c r="G39" s="188"/>
    </row>
    <row r="40" spans="1:7" x14ac:dyDescent="0.2">
      <c r="A40" s="180"/>
      <c r="C40" s="180"/>
      <c r="G40" s="188"/>
    </row>
    <row r="41" spans="1:7" x14ac:dyDescent="0.2">
      <c r="A41" s="180"/>
      <c r="C41" s="180"/>
    </row>
    <row r="42" spans="1:7" x14ac:dyDescent="0.2">
      <c r="A42" s="180"/>
      <c r="B42" s="190"/>
      <c r="C42" s="180"/>
      <c r="G42" s="188"/>
    </row>
    <row r="43" spans="1:7" x14ac:dyDescent="0.2">
      <c r="A43" s="180"/>
      <c r="B43" s="190"/>
      <c r="C43" s="180"/>
      <c r="G43" s="188"/>
    </row>
    <row r="44" spans="1:7" x14ac:dyDescent="0.2">
      <c r="A44" s="180"/>
      <c r="B44" s="190"/>
      <c r="C44" s="180"/>
      <c r="G44" s="188"/>
    </row>
    <row r="45" spans="1:7" x14ac:dyDescent="0.2">
      <c r="A45" s="180"/>
      <c r="C45" s="180"/>
      <c r="G45" s="188"/>
    </row>
    <row r="46" spans="1:7" x14ac:dyDescent="0.2">
      <c r="A46" s="180"/>
      <c r="C46" s="180"/>
    </row>
    <row r="47" spans="1:7" x14ac:dyDescent="0.2">
      <c r="A47" s="180"/>
      <c r="B47" s="190"/>
      <c r="C47" s="180"/>
      <c r="G47" s="188"/>
    </row>
    <row r="48" spans="1:7" x14ac:dyDescent="0.2">
      <c r="A48" s="180"/>
      <c r="B48" s="190"/>
      <c r="C48" s="180"/>
      <c r="G48" s="188"/>
    </row>
    <row r="49" spans="1:7" x14ac:dyDescent="0.2">
      <c r="A49" s="180"/>
      <c r="B49" s="190"/>
      <c r="C49" s="180"/>
      <c r="G49" s="188"/>
    </row>
    <row r="50" spans="1:7" x14ac:dyDescent="0.2">
      <c r="A50" s="180"/>
      <c r="C50" s="180"/>
      <c r="G50" s="188"/>
    </row>
    <row r="51" spans="1:7" x14ac:dyDescent="0.2">
      <c r="A51" s="180"/>
      <c r="C51" s="180"/>
    </row>
    <row r="52" spans="1:7" x14ac:dyDescent="0.2">
      <c r="A52" s="180"/>
      <c r="B52" s="190"/>
      <c r="C52" s="180"/>
      <c r="G52" s="188"/>
    </row>
    <row r="53" spans="1:7" x14ac:dyDescent="0.2">
      <c r="A53" s="180"/>
      <c r="B53" s="190"/>
      <c r="C53" s="180"/>
      <c r="G53" s="188"/>
    </row>
    <row r="54" spans="1:7" x14ac:dyDescent="0.2">
      <c r="A54" s="180"/>
      <c r="B54" s="190"/>
      <c r="C54" s="180"/>
      <c r="G54" s="188"/>
    </row>
    <row r="55" spans="1:7" x14ac:dyDescent="0.2">
      <c r="A55" s="180"/>
      <c r="C55" s="180"/>
      <c r="G55" s="188"/>
    </row>
    <row r="56" spans="1:7" x14ac:dyDescent="0.2">
      <c r="A56" s="180"/>
      <c r="C56" s="180"/>
    </row>
    <row r="57" spans="1:7" x14ac:dyDescent="0.2">
      <c r="A57" s="180"/>
      <c r="B57" s="190"/>
      <c r="C57" s="180"/>
      <c r="G57" s="188"/>
    </row>
    <row r="58" spans="1:7" x14ac:dyDescent="0.2">
      <c r="A58" s="180"/>
      <c r="B58" s="190"/>
      <c r="C58" s="180"/>
      <c r="G58" s="188"/>
    </row>
    <row r="59" spans="1:7" x14ac:dyDescent="0.2">
      <c r="A59" s="180"/>
      <c r="B59" s="190"/>
      <c r="C59" s="180"/>
      <c r="G59" s="188"/>
    </row>
    <row r="60" spans="1:7" x14ac:dyDescent="0.2">
      <c r="A60" s="180"/>
      <c r="C60" s="180"/>
      <c r="G60" s="188"/>
    </row>
    <row r="61" spans="1:7" x14ac:dyDescent="0.2">
      <c r="A61" s="180"/>
      <c r="C61" s="180"/>
    </row>
    <row r="62" spans="1:7" x14ac:dyDescent="0.2">
      <c r="A62" s="180"/>
      <c r="B62" s="190"/>
      <c r="C62" s="180"/>
      <c r="G62" s="188"/>
    </row>
    <row r="63" spans="1:7" x14ac:dyDescent="0.2">
      <c r="A63" s="180"/>
      <c r="B63" s="190"/>
      <c r="C63" s="180"/>
      <c r="G63" s="188"/>
    </row>
    <row r="64" spans="1:7" x14ac:dyDescent="0.2">
      <c r="A64" s="180"/>
      <c r="B64" s="190"/>
      <c r="C64" s="180"/>
      <c r="G64" s="188"/>
    </row>
    <row r="65" spans="1:7" x14ac:dyDescent="0.2">
      <c r="A65" s="180"/>
      <c r="C65" s="180"/>
      <c r="G65" s="188"/>
    </row>
    <row r="66" spans="1:7" x14ac:dyDescent="0.2">
      <c r="A66" s="180"/>
      <c r="C66" s="180"/>
    </row>
    <row r="67" spans="1:7" x14ac:dyDescent="0.2">
      <c r="A67" s="180"/>
      <c r="B67" s="190"/>
      <c r="C67" s="180"/>
      <c r="G67" s="188"/>
    </row>
    <row r="68" spans="1:7" x14ac:dyDescent="0.2">
      <c r="A68" s="180"/>
      <c r="B68" s="190"/>
      <c r="C68" s="180"/>
      <c r="G68" s="188"/>
    </row>
    <row r="69" spans="1:7" x14ac:dyDescent="0.2">
      <c r="A69" s="180"/>
      <c r="B69" s="190"/>
      <c r="C69" s="180"/>
      <c r="G69" s="188"/>
    </row>
    <row r="70" spans="1:7" x14ac:dyDescent="0.2">
      <c r="A70" s="180"/>
      <c r="C70" s="180"/>
      <c r="G70" s="188"/>
    </row>
    <row r="71" spans="1:7" x14ac:dyDescent="0.2">
      <c r="A71" s="180"/>
      <c r="C71" s="180"/>
    </row>
    <row r="72" spans="1:7" x14ac:dyDescent="0.2">
      <c r="A72" s="180"/>
      <c r="B72" s="190"/>
      <c r="C72" s="180"/>
      <c r="G72" s="188"/>
    </row>
    <row r="73" spans="1:7" x14ac:dyDescent="0.2">
      <c r="A73" s="180"/>
      <c r="B73" s="190"/>
      <c r="C73" s="180"/>
      <c r="G73" s="188"/>
    </row>
    <row r="74" spans="1:7" x14ac:dyDescent="0.2">
      <c r="A74" s="180"/>
      <c r="B74" s="190"/>
      <c r="C74" s="180"/>
      <c r="G74" s="188"/>
    </row>
    <row r="75" spans="1:7" x14ac:dyDescent="0.2">
      <c r="A75" s="180"/>
      <c r="C75" s="180"/>
      <c r="G75" s="188"/>
    </row>
    <row r="76" spans="1:7" x14ac:dyDescent="0.2">
      <c r="A76" s="180"/>
      <c r="C76" s="180"/>
    </row>
    <row r="77" spans="1:7" ht="16.5" customHeight="1" x14ac:dyDescent="0.2">
      <c r="A77" s="180"/>
      <c r="B77" s="190"/>
      <c r="C77" s="180"/>
      <c r="G77" s="188"/>
    </row>
    <row r="78" spans="1:7" x14ac:dyDescent="0.2">
      <c r="A78" s="180"/>
      <c r="B78" s="190"/>
      <c r="C78" s="180"/>
      <c r="G78" s="188"/>
    </row>
    <row r="79" spans="1:7" x14ac:dyDescent="0.2">
      <c r="A79" s="180"/>
      <c r="B79" s="190"/>
      <c r="C79" s="180"/>
      <c r="G79" s="188"/>
    </row>
    <row r="80" spans="1:7" x14ac:dyDescent="0.2">
      <c r="A80" s="180"/>
      <c r="C80" s="180"/>
      <c r="G80" s="188"/>
    </row>
    <row r="81" spans="1:7" x14ac:dyDescent="0.2">
      <c r="A81" s="180"/>
      <c r="C81" s="180"/>
    </row>
    <row r="82" spans="1:7" x14ac:dyDescent="0.2">
      <c r="A82" s="180"/>
      <c r="B82" s="190"/>
      <c r="C82" s="180"/>
      <c r="G82" s="188"/>
    </row>
    <row r="83" spans="1:7" x14ac:dyDescent="0.2">
      <c r="A83" s="180"/>
      <c r="B83" s="190"/>
      <c r="C83" s="180"/>
      <c r="G83" s="188"/>
    </row>
    <row r="84" spans="1:7" x14ac:dyDescent="0.2">
      <c r="A84" s="180"/>
      <c r="B84" s="190"/>
      <c r="C84" s="180"/>
      <c r="G84" s="188"/>
    </row>
    <row r="85" spans="1:7" x14ac:dyDescent="0.2">
      <c r="A85" s="180"/>
      <c r="C85" s="180"/>
      <c r="G85" s="188"/>
    </row>
    <row r="86" spans="1:7" x14ac:dyDescent="0.2">
      <c r="A86" s="180"/>
      <c r="C86" s="180"/>
    </row>
    <row r="87" spans="1:7" x14ac:dyDescent="0.2">
      <c r="A87" s="180"/>
      <c r="B87" s="190"/>
      <c r="C87" s="180"/>
      <c r="G87" s="188"/>
    </row>
    <row r="88" spans="1:7" x14ac:dyDescent="0.2">
      <c r="A88" s="180"/>
      <c r="B88" s="190"/>
      <c r="C88" s="180"/>
      <c r="G88" s="188"/>
    </row>
    <row r="89" spans="1:7" x14ac:dyDescent="0.2">
      <c r="A89" s="180"/>
      <c r="B89" s="190"/>
      <c r="C89" s="180"/>
      <c r="G89" s="188"/>
    </row>
    <row r="90" spans="1:7" x14ac:dyDescent="0.2">
      <c r="A90" s="180"/>
      <c r="C90" s="180"/>
      <c r="G90" s="188"/>
    </row>
    <row r="91" spans="1:7" x14ac:dyDescent="0.2">
      <c r="A91" s="180"/>
      <c r="C91" s="180"/>
    </row>
    <row r="92" spans="1:7" x14ac:dyDescent="0.2">
      <c r="A92" s="180"/>
      <c r="B92" s="190"/>
      <c r="C92" s="180"/>
      <c r="G92" s="188"/>
    </row>
    <row r="93" spans="1:7" x14ac:dyDescent="0.2">
      <c r="A93" s="180"/>
      <c r="B93" s="190"/>
      <c r="C93" s="180"/>
      <c r="G93" s="188"/>
    </row>
    <row r="94" spans="1:7" x14ac:dyDescent="0.2">
      <c r="A94" s="180"/>
      <c r="B94" s="190"/>
      <c r="C94" s="180"/>
      <c r="G94" s="188"/>
    </row>
    <row r="95" spans="1:7" x14ac:dyDescent="0.2">
      <c r="A95" s="180"/>
      <c r="C95" s="180"/>
      <c r="G95" s="188"/>
    </row>
    <row r="96" spans="1:7" x14ac:dyDescent="0.2">
      <c r="A96" s="180"/>
      <c r="C96" s="180"/>
    </row>
    <row r="97" spans="1:7" x14ac:dyDescent="0.2">
      <c r="A97" s="180"/>
      <c r="B97" s="190"/>
      <c r="C97" s="180"/>
      <c r="G97" s="188"/>
    </row>
    <row r="98" spans="1:7" x14ac:dyDescent="0.2">
      <c r="A98" s="180"/>
      <c r="B98" s="190"/>
      <c r="C98" s="180"/>
      <c r="G98" s="188"/>
    </row>
    <row r="99" spans="1:7" x14ac:dyDescent="0.2">
      <c r="A99" s="180"/>
      <c r="B99" s="190"/>
      <c r="C99" s="180"/>
      <c r="G99" s="188"/>
    </row>
    <row r="100" spans="1:7" x14ac:dyDescent="0.2">
      <c r="A100" s="180"/>
      <c r="C100" s="180"/>
      <c r="G100" s="188"/>
    </row>
    <row r="101" spans="1:7" x14ac:dyDescent="0.2">
      <c r="A101" s="180"/>
      <c r="C101" s="180"/>
    </row>
    <row r="102" spans="1:7" x14ac:dyDescent="0.2">
      <c r="A102" s="180"/>
      <c r="B102" s="190"/>
      <c r="C102" s="180"/>
      <c r="G102" s="188"/>
    </row>
    <row r="103" spans="1:7" x14ac:dyDescent="0.2">
      <c r="A103" s="180"/>
      <c r="B103" s="190"/>
      <c r="C103" s="180"/>
      <c r="G103" s="188"/>
    </row>
    <row r="104" spans="1:7" x14ac:dyDescent="0.2">
      <c r="A104" s="180"/>
      <c r="B104" s="190"/>
      <c r="C104" s="180"/>
      <c r="G104" s="188"/>
    </row>
    <row r="105" spans="1:7" x14ac:dyDescent="0.2">
      <c r="A105" s="180"/>
      <c r="C105" s="180"/>
      <c r="G105" s="188"/>
    </row>
    <row r="106" spans="1:7" x14ac:dyDescent="0.2">
      <c r="A106" s="180"/>
      <c r="C106" s="180"/>
    </row>
    <row r="107" spans="1:7" x14ac:dyDescent="0.2">
      <c r="A107" s="180"/>
      <c r="B107" s="190"/>
      <c r="C107" s="180"/>
      <c r="G107" s="188"/>
    </row>
    <row r="108" spans="1:7" x14ac:dyDescent="0.2">
      <c r="A108" s="180"/>
      <c r="B108" s="190"/>
      <c r="C108" s="180"/>
      <c r="G108" s="188"/>
    </row>
    <row r="109" spans="1:7" x14ac:dyDescent="0.2">
      <c r="A109" s="180"/>
      <c r="B109" s="190"/>
      <c r="C109" s="180"/>
      <c r="G109" s="188"/>
    </row>
    <row r="110" spans="1:7" x14ac:dyDescent="0.2">
      <c r="A110" s="180"/>
      <c r="C110" s="180"/>
      <c r="G110" s="188"/>
    </row>
    <row r="111" spans="1:7" x14ac:dyDescent="0.2">
      <c r="A111" s="180"/>
      <c r="C111" s="180"/>
    </row>
    <row r="112" spans="1:7" x14ac:dyDescent="0.2">
      <c r="A112" s="180"/>
      <c r="B112" s="190"/>
      <c r="C112" s="180"/>
      <c r="G112" s="188"/>
    </row>
    <row r="113" spans="1:7" x14ac:dyDescent="0.2">
      <c r="A113" s="180"/>
      <c r="B113" s="190"/>
      <c r="C113" s="180"/>
      <c r="G113" s="188"/>
    </row>
    <row r="114" spans="1:7" x14ac:dyDescent="0.2">
      <c r="A114" s="180"/>
      <c r="B114" s="190"/>
      <c r="C114" s="180"/>
      <c r="G114" s="188"/>
    </row>
    <row r="115" spans="1:7" x14ac:dyDescent="0.2">
      <c r="A115" s="180"/>
      <c r="C115" s="180"/>
      <c r="G115" s="188"/>
    </row>
    <row r="116" spans="1:7" x14ac:dyDescent="0.2">
      <c r="A116" s="180"/>
      <c r="C116" s="180"/>
    </row>
    <row r="117" spans="1:7" x14ac:dyDescent="0.2">
      <c r="A117" s="180"/>
      <c r="B117" s="190"/>
      <c r="C117" s="180"/>
      <c r="G117" s="188"/>
    </row>
    <row r="118" spans="1:7" x14ac:dyDescent="0.2">
      <c r="A118" s="180"/>
      <c r="B118" s="190"/>
      <c r="C118" s="180"/>
      <c r="G118" s="188"/>
    </row>
    <row r="119" spans="1:7" x14ac:dyDescent="0.2">
      <c r="A119" s="180"/>
      <c r="B119" s="190"/>
      <c r="C119" s="180"/>
      <c r="G119" s="188"/>
    </row>
    <row r="120" spans="1:7" x14ac:dyDescent="0.2">
      <c r="A120" s="180"/>
      <c r="C120" s="180"/>
      <c r="G120" s="188"/>
    </row>
    <row r="121" spans="1:7" x14ac:dyDescent="0.2">
      <c r="A121" s="180"/>
      <c r="C121" s="180"/>
    </row>
    <row r="122" spans="1:7" x14ac:dyDescent="0.2">
      <c r="A122" s="180"/>
      <c r="B122" s="190"/>
      <c r="C122" s="180"/>
      <c r="G122" s="188"/>
    </row>
    <row r="123" spans="1:7" x14ac:dyDescent="0.2">
      <c r="A123" s="180"/>
      <c r="B123" s="190"/>
      <c r="C123" s="180"/>
      <c r="G123" s="188"/>
    </row>
    <row r="124" spans="1:7" x14ac:dyDescent="0.2">
      <c r="A124" s="180"/>
      <c r="B124" s="190"/>
      <c r="C124" s="180"/>
      <c r="G124" s="188"/>
    </row>
    <row r="125" spans="1:7" x14ac:dyDescent="0.2">
      <c r="A125" s="180"/>
      <c r="C125" s="180"/>
      <c r="G125" s="188"/>
    </row>
    <row r="126" spans="1:7" x14ac:dyDescent="0.2">
      <c r="A126" s="180"/>
      <c r="C126" s="180"/>
    </row>
    <row r="127" spans="1:7" x14ac:dyDescent="0.2">
      <c r="A127" s="180"/>
      <c r="B127" s="190"/>
      <c r="C127" s="180"/>
      <c r="G127" s="188"/>
    </row>
    <row r="128" spans="1:7" x14ac:dyDescent="0.2">
      <c r="A128" s="180"/>
      <c r="B128" s="190"/>
      <c r="C128" s="180"/>
      <c r="G128" s="188"/>
    </row>
    <row r="129" spans="1:7" x14ac:dyDescent="0.2">
      <c r="A129" s="180"/>
      <c r="B129" s="190"/>
      <c r="C129" s="180"/>
      <c r="G129" s="188"/>
    </row>
    <row r="130" spans="1:7" x14ac:dyDescent="0.2">
      <c r="A130" s="180"/>
      <c r="C130" s="180"/>
      <c r="G130" s="188"/>
    </row>
    <row r="131" spans="1:7" x14ac:dyDescent="0.2">
      <c r="A131" s="180"/>
      <c r="C131" s="180"/>
    </row>
    <row r="132" spans="1:7" x14ac:dyDescent="0.2">
      <c r="A132" s="180"/>
      <c r="B132" s="190"/>
      <c r="C132" s="180"/>
      <c r="G132" s="188"/>
    </row>
    <row r="133" spans="1:7" x14ac:dyDescent="0.2">
      <c r="A133" s="180"/>
      <c r="B133" s="190"/>
      <c r="C133" s="180"/>
      <c r="G133" s="188"/>
    </row>
    <row r="134" spans="1:7" x14ac:dyDescent="0.2">
      <c r="A134" s="180"/>
      <c r="B134" s="190"/>
      <c r="C134" s="180"/>
      <c r="G134" s="188"/>
    </row>
    <row r="135" spans="1:7" x14ac:dyDescent="0.2">
      <c r="A135" s="180"/>
      <c r="C135" s="180"/>
      <c r="G135" s="188"/>
    </row>
    <row r="136" spans="1:7" x14ac:dyDescent="0.2">
      <c r="A136" s="180"/>
      <c r="C136" s="180"/>
    </row>
    <row r="137" spans="1:7" x14ac:dyDescent="0.2">
      <c r="A137" s="180"/>
      <c r="B137" s="190"/>
      <c r="C137" s="180"/>
      <c r="G137" s="188"/>
    </row>
    <row r="138" spans="1:7" x14ac:dyDescent="0.2">
      <c r="A138" s="180"/>
      <c r="B138" s="190"/>
      <c r="C138" s="180"/>
      <c r="G138" s="188"/>
    </row>
    <row r="139" spans="1:7" x14ac:dyDescent="0.2">
      <c r="A139" s="180"/>
      <c r="B139" s="190"/>
      <c r="C139" s="180"/>
      <c r="G139" s="188"/>
    </row>
    <row r="140" spans="1:7" x14ac:dyDescent="0.2">
      <c r="A140" s="180"/>
      <c r="C140" s="180"/>
      <c r="G140" s="188"/>
    </row>
    <row r="141" spans="1:7" x14ac:dyDescent="0.2">
      <c r="A141" s="180"/>
      <c r="C141" s="180"/>
    </row>
    <row r="142" spans="1:7" x14ac:dyDescent="0.2">
      <c r="A142" s="180"/>
      <c r="B142" s="190"/>
      <c r="C142" s="180"/>
      <c r="G142" s="188"/>
    </row>
    <row r="143" spans="1:7" x14ac:dyDescent="0.2">
      <c r="A143" s="180"/>
      <c r="B143" s="190"/>
      <c r="C143" s="180"/>
      <c r="G143" s="188"/>
    </row>
    <row r="144" spans="1:7" x14ac:dyDescent="0.2">
      <c r="A144" s="180"/>
      <c r="B144" s="190"/>
      <c r="C144" s="180"/>
      <c r="G144" s="188"/>
    </row>
    <row r="145" spans="1:7" x14ac:dyDescent="0.2">
      <c r="A145" s="180"/>
      <c r="C145" s="180"/>
      <c r="G145" s="188"/>
    </row>
    <row r="146" spans="1:7" x14ac:dyDescent="0.2">
      <c r="A146" s="180"/>
      <c r="C146" s="180"/>
    </row>
    <row r="147" spans="1:7" x14ac:dyDescent="0.2">
      <c r="A147" s="180"/>
      <c r="B147" s="190"/>
      <c r="C147" s="180"/>
      <c r="G147" s="188"/>
    </row>
    <row r="148" spans="1:7" x14ac:dyDescent="0.2">
      <c r="A148" s="180"/>
      <c r="B148" s="190"/>
      <c r="C148" s="180"/>
      <c r="G148" s="188"/>
    </row>
    <row r="149" spans="1:7" x14ac:dyDescent="0.2">
      <c r="A149" s="180"/>
      <c r="B149" s="190"/>
      <c r="C149" s="180"/>
      <c r="G149" s="188"/>
    </row>
    <row r="150" spans="1:7" x14ac:dyDescent="0.2">
      <c r="A150" s="180"/>
      <c r="C150" s="180"/>
      <c r="G150" s="188"/>
    </row>
    <row r="151" spans="1:7" x14ac:dyDescent="0.2">
      <c r="A151" s="180"/>
      <c r="C151" s="180"/>
    </row>
    <row r="152" spans="1:7" x14ac:dyDescent="0.2">
      <c r="A152" s="180"/>
      <c r="B152" s="190"/>
      <c r="C152" s="180"/>
      <c r="G152" s="188"/>
    </row>
    <row r="153" spans="1:7" x14ac:dyDescent="0.2">
      <c r="A153" s="180"/>
      <c r="B153" s="190"/>
      <c r="C153" s="180"/>
      <c r="G153" s="188"/>
    </row>
    <row r="154" spans="1:7" x14ac:dyDescent="0.2">
      <c r="A154" s="180"/>
      <c r="B154" s="190"/>
      <c r="C154" s="180"/>
      <c r="G154" s="188"/>
    </row>
    <row r="155" spans="1:7" x14ac:dyDescent="0.2">
      <c r="A155" s="180"/>
      <c r="C155" s="180"/>
      <c r="G155" s="188"/>
    </row>
    <row r="156" spans="1:7" x14ac:dyDescent="0.2">
      <c r="A156" s="180"/>
      <c r="C156" s="180"/>
    </row>
    <row r="157" spans="1:7" x14ac:dyDescent="0.2">
      <c r="A157" s="180"/>
      <c r="B157" s="190"/>
      <c r="C157" s="180"/>
      <c r="G157" s="188"/>
    </row>
    <row r="158" spans="1:7" x14ac:dyDescent="0.2">
      <c r="A158" s="180"/>
      <c r="B158" s="190"/>
      <c r="C158" s="180"/>
      <c r="G158" s="188"/>
    </row>
    <row r="159" spans="1:7" x14ac:dyDescent="0.2">
      <c r="A159" s="180"/>
      <c r="B159" s="190"/>
      <c r="C159" s="180"/>
      <c r="G159" s="188"/>
    </row>
    <row r="160" spans="1:7" x14ac:dyDescent="0.2">
      <c r="A160" s="180"/>
      <c r="C160" s="180"/>
      <c r="G160" s="188"/>
    </row>
    <row r="161" spans="1:7" x14ac:dyDescent="0.2">
      <c r="A161" s="180"/>
      <c r="C161" s="180"/>
    </row>
    <row r="162" spans="1:7" x14ac:dyDescent="0.2">
      <c r="A162" s="180"/>
      <c r="B162" s="190"/>
      <c r="C162" s="180"/>
      <c r="G162" s="188"/>
    </row>
    <row r="163" spans="1:7" x14ac:dyDescent="0.2">
      <c r="A163" s="180"/>
      <c r="B163" s="190"/>
      <c r="C163" s="180"/>
      <c r="G163" s="188"/>
    </row>
    <row r="164" spans="1:7" x14ac:dyDescent="0.2">
      <c r="A164" s="180"/>
      <c r="B164" s="190"/>
      <c r="C164" s="180"/>
      <c r="G164" s="188"/>
    </row>
    <row r="165" spans="1:7" x14ac:dyDescent="0.2">
      <c r="A165" s="180"/>
      <c r="C165" s="180"/>
      <c r="G165" s="188"/>
    </row>
    <row r="166" spans="1:7" x14ac:dyDescent="0.2">
      <c r="A166" s="180"/>
      <c r="C166" s="180"/>
    </row>
    <row r="167" spans="1:7" x14ac:dyDescent="0.2">
      <c r="A167" s="180"/>
      <c r="B167" s="190"/>
      <c r="C167" s="180"/>
      <c r="G167" s="188"/>
    </row>
    <row r="168" spans="1:7" x14ac:dyDescent="0.2">
      <c r="A168" s="180"/>
      <c r="B168" s="190"/>
      <c r="C168" s="180"/>
      <c r="G168" s="188"/>
    </row>
    <row r="169" spans="1:7" x14ac:dyDescent="0.2">
      <c r="A169" s="180"/>
      <c r="B169" s="190"/>
      <c r="C169" s="180"/>
      <c r="G169" s="188"/>
    </row>
    <row r="170" spans="1:7" x14ac:dyDescent="0.2">
      <c r="A170" s="180"/>
      <c r="C170" s="180"/>
      <c r="G170" s="188"/>
    </row>
    <row r="171" spans="1:7" x14ac:dyDescent="0.2">
      <c r="A171" s="180"/>
      <c r="C171" s="180"/>
    </row>
    <row r="172" spans="1:7" x14ac:dyDescent="0.2">
      <c r="A172" s="180"/>
      <c r="B172" s="190"/>
      <c r="C172" s="180"/>
      <c r="G172" s="188"/>
    </row>
    <row r="173" spans="1:7" x14ac:dyDescent="0.2">
      <c r="A173" s="180"/>
      <c r="B173" s="190"/>
      <c r="C173" s="180"/>
      <c r="G173" s="188"/>
    </row>
    <row r="174" spans="1:7" x14ac:dyDescent="0.2">
      <c r="A174" s="180"/>
      <c r="B174" s="190"/>
      <c r="C174" s="180"/>
      <c r="G174" s="188"/>
    </row>
    <row r="175" spans="1:7" x14ac:dyDescent="0.2">
      <c r="A175" s="180"/>
      <c r="C175" s="180"/>
      <c r="G175" s="188"/>
    </row>
    <row r="176" spans="1:7" x14ac:dyDescent="0.2">
      <c r="A176" s="180"/>
      <c r="C176" s="180"/>
    </row>
    <row r="177" spans="1:7" x14ac:dyDescent="0.2">
      <c r="A177" s="180"/>
      <c r="B177" s="190"/>
      <c r="C177" s="180"/>
      <c r="G177" s="188"/>
    </row>
    <row r="178" spans="1:7" x14ac:dyDescent="0.2">
      <c r="A178" s="180"/>
      <c r="B178" s="190"/>
      <c r="C178" s="180"/>
      <c r="G178" s="188"/>
    </row>
    <row r="179" spans="1:7" x14ac:dyDescent="0.2">
      <c r="A179" s="180"/>
      <c r="B179" s="190"/>
      <c r="C179" s="180"/>
      <c r="G179" s="188"/>
    </row>
    <row r="180" spans="1:7" x14ac:dyDescent="0.2">
      <c r="A180" s="180"/>
      <c r="C180" s="180"/>
      <c r="G180" s="188"/>
    </row>
    <row r="181" spans="1:7" x14ac:dyDescent="0.2">
      <c r="A181" s="180"/>
      <c r="C181" s="180"/>
    </row>
    <row r="182" spans="1:7" x14ac:dyDescent="0.2">
      <c r="A182" s="180"/>
      <c r="B182" s="190"/>
      <c r="C182" s="180"/>
      <c r="G182" s="188"/>
    </row>
    <row r="183" spans="1:7" x14ac:dyDescent="0.2">
      <c r="A183" s="180"/>
      <c r="B183" s="190"/>
      <c r="C183" s="180"/>
      <c r="G183" s="188"/>
    </row>
    <row r="184" spans="1:7" x14ac:dyDescent="0.2">
      <c r="A184" s="180"/>
      <c r="B184" s="190"/>
      <c r="C184" s="180"/>
      <c r="G184" s="188"/>
    </row>
    <row r="185" spans="1:7" x14ac:dyDescent="0.2">
      <c r="A185" s="180"/>
      <c r="C185" s="180"/>
      <c r="G185" s="188"/>
    </row>
    <row r="186" spans="1:7" x14ac:dyDescent="0.2">
      <c r="A186" s="180"/>
      <c r="C186" s="180"/>
    </row>
    <row r="187" spans="1:7" x14ac:dyDescent="0.2">
      <c r="A187" s="180"/>
      <c r="B187" s="190"/>
      <c r="C187" s="180"/>
      <c r="G187" s="188"/>
    </row>
    <row r="188" spans="1:7" x14ac:dyDescent="0.2">
      <c r="A188" s="180"/>
      <c r="B188" s="190"/>
      <c r="C188" s="180"/>
      <c r="G188" s="188"/>
    </row>
    <row r="189" spans="1:7" x14ac:dyDescent="0.2">
      <c r="A189" s="180"/>
      <c r="B189" s="190"/>
      <c r="C189" s="180"/>
      <c r="G189" s="188"/>
    </row>
    <row r="190" spans="1:7" x14ac:dyDescent="0.2">
      <c r="A190" s="180"/>
      <c r="C190" s="180"/>
      <c r="G190" s="188"/>
    </row>
    <row r="191" spans="1:7" x14ac:dyDescent="0.2">
      <c r="A191" s="180"/>
      <c r="C191" s="180"/>
    </row>
    <row r="192" spans="1:7" x14ac:dyDescent="0.2">
      <c r="A192" s="180"/>
      <c r="B192" s="190"/>
      <c r="C192" s="180"/>
      <c r="G192" s="188"/>
    </row>
    <row r="193" spans="1:7" x14ac:dyDescent="0.2">
      <c r="A193" s="180"/>
      <c r="B193" s="190"/>
      <c r="C193" s="180"/>
      <c r="G193" s="188"/>
    </row>
    <row r="194" spans="1:7" x14ac:dyDescent="0.2">
      <c r="A194" s="180"/>
      <c r="B194" s="190"/>
      <c r="C194" s="180"/>
      <c r="G194" s="188"/>
    </row>
    <row r="195" spans="1:7" x14ac:dyDescent="0.2">
      <c r="A195" s="180"/>
      <c r="C195" s="180"/>
      <c r="G195" s="188"/>
    </row>
    <row r="196" spans="1:7" x14ac:dyDescent="0.2">
      <c r="A196" s="180"/>
      <c r="C196" s="180"/>
    </row>
    <row r="197" spans="1:7" x14ac:dyDescent="0.2">
      <c r="A197" s="180"/>
      <c r="B197" s="190"/>
      <c r="C197" s="180"/>
      <c r="G197" s="188"/>
    </row>
    <row r="198" spans="1:7" x14ac:dyDescent="0.2">
      <c r="A198" s="180"/>
      <c r="B198" s="190"/>
      <c r="C198" s="180"/>
      <c r="G198" s="188"/>
    </row>
    <row r="199" spans="1:7" x14ac:dyDescent="0.2">
      <c r="A199" s="180"/>
      <c r="B199" s="190"/>
      <c r="C199" s="180"/>
      <c r="G199" s="188"/>
    </row>
    <row r="200" spans="1:7" x14ac:dyDescent="0.2">
      <c r="A200" s="180"/>
      <c r="C200" s="180"/>
      <c r="G200" s="188"/>
    </row>
    <row r="201" spans="1:7" x14ac:dyDescent="0.2">
      <c r="A201" s="180"/>
      <c r="C201" s="180"/>
    </row>
    <row r="202" spans="1:7" x14ac:dyDescent="0.2">
      <c r="A202" s="180"/>
      <c r="B202" s="190"/>
      <c r="C202" s="180"/>
      <c r="G202" s="188"/>
    </row>
    <row r="203" spans="1:7" x14ac:dyDescent="0.2">
      <c r="A203" s="180"/>
      <c r="B203" s="190"/>
      <c r="C203" s="180"/>
      <c r="G203" s="188"/>
    </row>
    <row r="204" spans="1:7" x14ac:dyDescent="0.2">
      <c r="A204" s="180"/>
      <c r="B204" s="190"/>
      <c r="C204" s="180"/>
      <c r="G204" s="188"/>
    </row>
    <row r="205" spans="1:7" x14ac:dyDescent="0.2">
      <c r="A205" s="180"/>
      <c r="C205" s="180"/>
      <c r="G205" s="188"/>
    </row>
    <row r="206" spans="1:7" x14ac:dyDescent="0.2">
      <c r="A206" s="180"/>
      <c r="C206" s="180"/>
    </row>
    <row r="207" spans="1:7" x14ac:dyDescent="0.2">
      <c r="A207" s="180"/>
      <c r="B207" s="190"/>
      <c r="C207" s="180"/>
      <c r="G207" s="188"/>
    </row>
    <row r="208" spans="1:7" x14ac:dyDescent="0.2">
      <c r="A208" s="180"/>
      <c r="B208" s="190"/>
      <c r="C208" s="180"/>
      <c r="G208" s="188"/>
    </row>
    <row r="209" spans="1:7" x14ac:dyDescent="0.2">
      <c r="A209" s="180"/>
      <c r="B209" s="190"/>
      <c r="C209" s="180"/>
      <c r="G209" s="188"/>
    </row>
    <row r="210" spans="1:7" x14ac:dyDescent="0.2">
      <c r="A210" s="180"/>
      <c r="C210" s="180"/>
      <c r="G210" s="188"/>
    </row>
    <row r="211" spans="1:7" x14ac:dyDescent="0.2">
      <c r="A211" s="180"/>
      <c r="C211" s="180"/>
    </row>
    <row r="212" spans="1:7" x14ac:dyDescent="0.2">
      <c r="A212" s="180"/>
      <c r="B212" s="190"/>
      <c r="C212" s="180"/>
      <c r="G212" s="188"/>
    </row>
    <row r="213" spans="1:7" x14ac:dyDescent="0.2">
      <c r="A213" s="180"/>
      <c r="B213" s="190"/>
      <c r="C213" s="180"/>
      <c r="G213" s="188"/>
    </row>
    <row r="214" spans="1:7" x14ac:dyDescent="0.2">
      <c r="A214" s="180"/>
      <c r="B214" s="190"/>
      <c r="C214" s="180"/>
      <c r="G214" s="188"/>
    </row>
    <row r="215" spans="1:7" x14ac:dyDescent="0.2">
      <c r="A215" s="180"/>
      <c r="C215" s="180"/>
      <c r="G215" s="188"/>
    </row>
    <row r="216" spans="1:7" x14ac:dyDescent="0.2">
      <c r="A216" s="180"/>
      <c r="C216" s="180"/>
    </row>
    <row r="217" spans="1:7" x14ac:dyDescent="0.2">
      <c r="A217" s="180"/>
      <c r="B217" s="190"/>
      <c r="C217" s="180"/>
      <c r="G217" s="188"/>
    </row>
    <row r="218" spans="1:7" x14ac:dyDescent="0.2">
      <c r="A218" s="180"/>
      <c r="B218" s="190"/>
      <c r="C218" s="180"/>
      <c r="G218" s="188"/>
    </row>
    <row r="219" spans="1:7" x14ac:dyDescent="0.2">
      <c r="A219" s="180"/>
      <c r="B219" s="190"/>
      <c r="C219" s="180"/>
      <c r="G219" s="188"/>
    </row>
    <row r="220" spans="1:7" x14ac:dyDescent="0.2">
      <c r="A220" s="180"/>
      <c r="C220" s="180"/>
      <c r="G220" s="188"/>
    </row>
    <row r="221" spans="1:7" x14ac:dyDescent="0.2">
      <c r="A221" s="180"/>
      <c r="C221" s="180"/>
    </row>
    <row r="222" spans="1:7" x14ac:dyDescent="0.2">
      <c r="A222" s="180"/>
      <c r="B222" s="190"/>
      <c r="C222" s="180"/>
      <c r="G222" s="188"/>
    </row>
    <row r="223" spans="1:7" x14ac:dyDescent="0.2">
      <c r="A223" s="180"/>
      <c r="B223" s="190"/>
      <c r="C223" s="180"/>
      <c r="G223" s="188"/>
    </row>
    <row r="224" spans="1:7" x14ac:dyDescent="0.2">
      <c r="A224" s="180"/>
      <c r="B224" s="190"/>
      <c r="C224" s="180"/>
      <c r="G224" s="188"/>
    </row>
    <row r="225" spans="1:7" x14ac:dyDescent="0.2">
      <c r="A225" s="180"/>
      <c r="C225" s="180"/>
      <c r="G225" s="188"/>
    </row>
    <row r="226" spans="1:7" x14ac:dyDescent="0.2">
      <c r="A226" s="180"/>
      <c r="C226" s="180"/>
    </row>
    <row r="227" spans="1:7" x14ac:dyDescent="0.2">
      <c r="A227" s="180"/>
      <c r="B227" s="190"/>
      <c r="C227" s="180"/>
      <c r="G227" s="188"/>
    </row>
    <row r="228" spans="1:7" x14ac:dyDescent="0.2">
      <c r="A228" s="180"/>
      <c r="B228" s="190"/>
      <c r="C228" s="180"/>
      <c r="G228" s="188"/>
    </row>
    <row r="229" spans="1:7" x14ac:dyDescent="0.2">
      <c r="A229" s="180"/>
      <c r="B229" s="190"/>
      <c r="C229" s="180"/>
      <c r="G229" s="188"/>
    </row>
    <row r="230" spans="1:7" x14ac:dyDescent="0.2">
      <c r="A230" s="180"/>
      <c r="C230" s="180"/>
      <c r="G230" s="188"/>
    </row>
    <row r="231" spans="1:7" x14ac:dyDescent="0.2">
      <c r="A231" s="180"/>
      <c r="C231" s="180"/>
    </row>
    <row r="232" spans="1:7" x14ac:dyDescent="0.2">
      <c r="A232" s="180"/>
      <c r="B232" s="190"/>
      <c r="C232" s="180"/>
      <c r="G232" s="188"/>
    </row>
    <row r="233" spans="1:7" x14ac:dyDescent="0.2">
      <c r="A233" s="180"/>
      <c r="B233" s="190"/>
      <c r="C233" s="180"/>
      <c r="G233" s="188"/>
    </row>
    <row r="234" spans="1:7" x14ac:dyDescent="0.2">
      <c r="A234" s="180"/>
      <c r="B234" s="190"/>
      <c r="C234" s="180"/>
      <c r="G234" s="188"/>
    </row>
    <row r="235" spans="1:7" x14ac:dyDescent="0.2">
      <c r="A235" s="180"/>
      <c r="C235" s="180"/>
      <c r="G235" s="188"/>
    </row>
    <row r="236" spans="1:7" x14ac:dyDescent="0.2">
      <c r="A236" s="180"/>
      <c r="C236" s="180"/>
    </row>
    <row r="237" spans="1:7" x14ac:dyDescent="0.2">
      <c r="A237" s="180"/>
      <c r="B237" s="190"/>
      <c r="C237" s="180"/>
      <c r="G237" s="188"/>
    </row>
    <row r="238" spans="1:7" x14ac:dyDescent="0.2">
      <c r="A238" s="180"/>
      <c r="B238" s="190"/>
      <c r="C238" s="180"/>
      <c r="G238" s="188"/>
    </row>
    <row r="239" spans="1:7" x14ac:dyDescent="0.2">
      <c r="A239" s="180"/>
      <c r="B239" s="190"/>
      <c r="C239" s="180"/>
      <c r="G239" s="188"/>
    </row>
    <row r="240" spans="1:7" x14ac:dyDescent="0.2">
      <c r="A240" s="180"/>
      <c r="C240" s="180"/>
      <c r="G240" s="188"/>
    </row>
    <row r="241" spans="1:7" x14ac:dyDescent="0.2">
      <c r="A241" s="180"/>
      <c r="C241" s="180"/>
    </row>
    <row r="242" spans="1:7" x14ac:dyDescent="0.2">
      <c r="A242" s="180"/>
      <c r="B242" s="190"/>
      <c r="C242" s="180"/>
      <c r="G242" s="188"/>
    </row>
    <row r="243" spans="1:7" x14ac:dyDescent="0.2">
      <c r="A243" s="180"/>
      <c r="B243" s="190"/>
      <c r="C243" s="180"/>
      <c r="G243" s="188"/>
    </row>
    <row r="244" spans="1:7" x14ac:dyDescent="0.2">
      <c r="A244" s="180"/>
      <c r="B244" s="190"/>
      <c r="C244" s="180"/>
      <c r="G244" s="188"/>
    </row>
    <row r="245" spans="1:7" x14ac:dyDescent="0.2">
      <c r="A245" s="180"/>
      <c r="C245" s="180"/>
      <c r="G245" s="188"/>
    </row>
    <row r="246" spans="1:7" x14ac:dyDescent="0.2">
      <c r="A246" s="180"/>
      <c r="C246" s="180"/>
    </row>
    <row r="247" spans="1:7" x14ac:dyDescent="0.2">
      <c r="A247" s="180"/>
      <c r="B247" s="190"/>
      <c r="C247" s="180"/>
      <c r="G247" s="188"/>
    </row>
    <row r="248" spans="1:7" x14ac:dyDescent="0.2">
      <c r="A248" s="180"/>
      <c r="B248" s="190"/>
      <c r="C248" s="180"/>
      <c r="G248" s="188"/>
    </row>
    <row r="249" spans="1:7" x14ac:dyDescent="0.2">
      <c r="A249" s="180"/>
      <c r="B249" s="190"/>
      <c r="C249" s="180"/>
      <c r="G249" s="188"/>
    </row>
    <row r="250" spans="1:7" x14ac:dyDescent="0.2">
      <c r="A250" s="180"/>
      <c r="C250" s="180"/>
      <c r="G250" s="188"/>
    </row>
    <row r="251" spans="1:7" x14ac:dyDescent="0.2">
      <c r="A251" s="180"/>
      <c r="C251" s="180"/>
    </row>
    <row r="252" spans="1:7" x14ac:dyDescent="0.2">
      <c r="A252" s="180"/>
      <c r="B252" s="190"/>
      <c r="C252" s="180"/>
      <c r="G252" s="188"/>
    </row>
    <row r="253" spans="1:7" x14ac:dyDescent="0.2">
      <c r="A253" s="180"/>
      <c r="B253" s="190"/>
      <c r="C253" s="180"/>
      <c r="G253" s="188"/>
    </row>
    <row r="254" spans="1:7" x14ac:dyDescent="0.2">
      <c r="A254" s="180"/>
      <c r="B254" s="190"/>
      <c r="C254" s="180"/>
      <c r="G254" s="188"/>
    </row>
    <row r="255" spans="1:7" x14ac:dyDescent="0.2">
      <c r="A255" s="180"/>
      <c r="C255" s="180"/>
      <c r="G255" s="188"/>
    </row>
    <row r="256" spans="1:7" x14ac:dyDescent="0.2">
      <c r="A256" s="180"/>
      <c r="C256" s="180"/>
    </row>
    <row r="257" spans="1:7" x14ac:dyDescent="0.2">
      <c r="A257" s="180"/>
      <c r="B257" s="190"/>
      <c r="C257" s="180"/>
      <c r="G257" s="188"/>
    </row>
    <row r="258" spans="1:7" x14ac:dyDescent="0.2">
      <c r="A258" s="180"/>
      <c r="B258" s="190"/>
      <c r="C258" s="180"/>
      <c r="G258" s="188"/>
    </row>
    <row r="259" spans="1:7" x14ac:dyDescent="0.2">
      <c r="A259" s="180"/>
      <c r="B259" s="190"/>
      <c r="C259" s="180"/>
      <c r="G259" s="188"/>
    </row>
    <row r="260" spans="1:7" x14ac:dyDescent="0.2">
      <c r="A260" s="180"/>
      <c r="C260" s="180"/>
      <c r="G260" s="188"/>
    </row>
    <row r="261" spans="1:7" x14ac:dyDescent="0.2">
      <c r="A261" s="180"/>
      <c r="C261" s="180"/>
    </row>
    <row r="262" spans="1:7" x14ac:dyDescent="0.2">
      <c r="A262" s="180"/>
      <c r="B262" s="190"/>
      <c r="C262" s="180"/>
      <c r="G262" s="188"/>
    </row>
    <row r="263" spans="1:7" x14ac:dyDescent="0.2">
      <c r="A263" s="180"/>
      <c r="B263" s="190"/>
      <c r="C263" s="180"/>
      <c r="G263" s="188"/>
    </row>
    <row r="264" spans="1:7" x14ac:dyDescent="0.2">
      <c r="A264" s="180"/>
      <c r="B264" s="190"/>
      <c r="C264" s="180"/>
      <c r="G264" s="188"/>
    </row>
    <row r="265" spans="1:7" x14ac:dyDescent="0.2">
      <c r="A265" s="180"/>
      <c r="C265" s="180"/>
      <c r="G265" s="188"/>
    </row>
    <row r="266" spans="1:7" x14ac:dyDescent="0.2">
      <c r="A266" s="180"/>
      <c r="C266" s="180"/>
    </row>
    <row r="267" spans="1:7" x14ac:dyDescent="0.2">
      <c r="A267" s="180"/>
      <c r="B267" s="190"/>
      <c r="C267" s="180"/>
      <c r="G267" s="188"/>
    </row>
    <row r="268" spans="1:7" x14ac:dyDescent="0.2">
      <c r="A268" s="180"/>
      <c r="B268" s="190"/>
      <c r="C268" s="180"/>
      <c r="G268" s="188"/>
    </row>
    <row r="269" spans="1:7" x14ac:dyDescent="0.2">
      <c r="A269" s="180"/>
      <c r="B269" s="190"/>
      <c r="C269" s="180"/>
      <c r="G269" s="188"/>
    </row>
    <row r="270" spans="1:7" x14ac:dyDescent="0.2">
      <c r="A270" s="180"/>
      <c r="C270" s="180"/>
      <c r="G270" s="188"/>
    </row>
    <row r="271" spans="1:7" x14ac:dyDescent="0.2">
      <c r="A271" s="180"/>
      <c r="C271" s="180"/>
    </row>
    <row r="272" spans="1:7" x14ac:dyDescent="0.2">
      <c r="A272" s="180"/>
      <c r="B272" s="190"/>
      <c r="C272" s="180"/>
      <c r="G272" s="188"/>
    </row>
    <row r="273" spans="1:7" x14ac:dyDescent="0.2">
      <c r="A273" s="180"/>
      <c r="B273" s="190"/>
      <c r="C273" s="180"/>
      <c r="G273" s="188"/>
    </row>
    <row r="274" spans="1:7" x14ac:dyDescent="0.2">
      <c r="A274" s="180"/>
      <c r="B274" s="190"/>
      <c r="C274" s="180"/>
      <c r="G274" s="188"/>
    </row>
    <row r="275" spans="1:7" x14ac:dyDescent="0.2">
      <c r="A275" s="180"/>
      <c r="C275" s="180"/>
      <c r="G275" s="188"/>
    </row>
    <row r="276" spans="1:7" x14ac:dyDescent="0.2">
      <c r="A276" s="180"/>
      <c r="C276" s="180"/>
    </row>
    <row r="277" spans="1:7" x14ac:dyDescent="0.2">
      <c r="A277" s="180"/>
      <c r="B277" s="190"/>
      <c r="C277" s="180"/>
      <c r="G277" s="188"/>
    </row>
    <row r="278" spans="1:7" x14ac:dyDescent="0.2">
      <c r="A278" s="180"/>
      <c r="B278" s="190"/>
      <c r="C278" s="180"/>
      <c r="G278" s="188"/>
    </row>
    <row r="279" spans="1:7" x14ac:dyDescent="0.2">
      <c r="A279" s="180"/>
      <c r="B279" s="190"/>
      <c r="C279" s="180"/>
      <c r="G279" s="188"/>
    </row>
    <row r="280" spans="1:7" x14ac:dyDescent="0.2">
      <c r="A280" s="180"/>
      <c r="C280" s="180"/>
      <c r="G280" s="188"/>
    </row>
    <row r="281" spans="1:7" x14ac:dyDescent="0.2">
      <c r="A281" s="180"/>
      <c r="C281" s="180"/>
    </row>
    <row r="282" spans="1:7" x14ac:dyDescent="0.2">
      <c r="A282" s="180"/>
      <c r="B282" s="190"/>
      <c r="C282" s="180"/>
      <c r="G282" s="188"/>
    </row>
    <row r="283" spans="1:7" x14ac:dyDescent="0.2">
      <c r="A283" s="180"/>
      <c r="B283" s="190"/>
      <c r="C283" s="180"/>
      <c r="G283" s="188"/>
    </row>
    <row r="284" spans="1:7" x14ac:dyDescent="0.2">
      <c r="A284" s="180"/>
      <c r="B284" s="190"/>
      <c r="C284" s="180"/>
      <c r="G284" s="188"/>
    </row>
    <row r="285" spans="1:7" x14ac:dyDescent="0.2">
      <c r="A285" s="180"/>
      <c r="C285" s="180"/>
      <c r="G285" s="188"/>
    </row>
    <row r="286" spans="1:7" x14ac:dyDescent="0.2">
      <c r="A286" s="180"/>
      <c r="C286" s="180"/>
    </row>
    <row r="287" spans="1:7" x14ac:dyDescent="0.2">
      <c r="A287" s="180"/>
      <c r="B287" s="190"/>
      <c r="C287" s="180"/>
      <c r="G287" s="188"/>
    </row>
    <row r="288" spans="1:7" x14ac:dyDescent="0.2">
      <c r="A288" s="180"/>
      <c r="B288" s="189"/>
      <c r="C288" s="180"/>
      <c r="G288" s="188"/>
    </row>
    <row r="289" spans="1:7" x14ac:dyDescent="0.2">
      <c r="A289" s="180"/>
      <c r="B289" s="189"/>
      <c r="C289" s="180"/>
      <c r="G289" s="188"/>
    </row>
    <row r="290" spans="1:7" x14ac:dyDescent="0.2">
      <c r="A290" s="180"/>
      <c r="C290" s="180"/>
      <c r="G290" s="188"/>
    </row>
    <row r="291" spans="1:7" x14ac:dyDescent="0.2">
      <c r="A291" s="180"/>
      <c r="C291" s="180"/>
    </row>
    <row r="292" spans="1:7" x14ac:dyDescent="0.2">
      <c r="A292" s="180"/>
      <c r="B292" s="190"/>
      <c r="C292" s="180"/>
      <c r="G292" s="188"/>
    </row>
    <row r="293" spans="1:7" x14ac:dyDescent="0.2">
      <c r="A293" s="180"/>
      <c r="B293" s="189"/>
      <c r="C293" s="180"/>
      <c r="G293" s="188"/>
    </row>
    <row r="294" spans="1:7" x14ac:dyDescent="0.2">
      <c r="A294" s="180"/>
      <c r="B294" s="189"/>
      <c r="C294" s="180"/>
      <c r="G294" s="188"/>
    </row>
    <row r="295" spans="1:7" x14ac:dyDescent="0.2">
      <c r="A295" s="180"/>
      <c r="C295" s="180"/>
      <c r="G295" s="188"/>
    </row>
    <row r="296" spans="1:7" x14ac:dyDescent="0.2">
      <c r="A296" s="180"/>
      <c r="C296" s="180"/>
    </row>
    <row r="297" spans="1:7" x14ac:dyDescent="0.2">
      <c r="A297" s="180"/>
      <c r="B297" s="190"/>
      <c r="C297" s="180"/>
      <c r="G297" s="188"/>
    </row>
    <row r="298" spans="1:7" x14ac:dyDescent="0.2">
      <c r="A298" s="180"/>
      <c r="B298" s="189"/>
      <c r="C298" s="180"/>
      <c r="G298" s="188"/>
    </row>
    <row r="299" spans="1:7" x14ac:dyDescent="0.2">
      <c r="A299" s="180"/>
      <c r="B299" s="189"/>
      <c r="C299" s="180"/>
      <c r="G299" s="188"/>
    </row>
    <row r="300" spans="1:7" x14ac:dyDescent="0.2">
      <c r="A300" s="180"/>
      <c r="C300" s="180"/>
      <c r="G300" s="188"/>
    </row>
    <row r="301" spans="1:7" x14ac:dyDescent="0.2">
      <c r="A301" s="180"/>
      <c r="C301" s="180"/>
    </row>
    <row r="302" spans="1:7" x14ac:dyDescent="0.2">
      <c r="A302" s="180"/>
      <c r="B302" s="190"/>
      <c r="C302" s="180"/>
      <c r="G302" s="188"/>
    </row>
    <row r="303" spans="1:7" x14ac:dyDescent="0.2">
      <c r="A303" s="180"/>
      <c r="B303" s="189"/>
      <c r="C303" s="180"/>
      <c r="G303" s="188"/>
    </row>
    <row r="304" spans="1:7" x14ac:dyDescent="0.2">
      <c r="A304" s="180"/>
      <c r="B304" s="189"/>
      <c r="C304" s="180"/>
      <c r="G304" s="188"/>
    </row>
    <row r="305" spans="1:7" x14ac:dyDescent="0.2">
      <c r="A305" s="180"/>
      <c r="C305" s="180"/>
      <c r="G305" s="188"/>
    </row>
    <row r="306" spans="1:7" x14ac:dyDescent="0.2">
      <c r="A306" s="180"/>
      <c r="C306" s="180"/>
    </row>
    <row r="307" spans="1:7" x14ac:dyDescent="0.2">
      <c r="A307" s="180"/>
      <c r="B307" s="190"/>
      <c r="C307" s="180"/>
      <c r="G307" s="188"/>
    </row>
    <row r="308" spans="1:7" x14ac:dyDescent="0.2">
      <c r="A308" s="180"/>
      <c r="B308" s="189"/>
      <c r="C308" s="180"/>
      <c r="G308" s="188"/>
    </row>
    <row r="309" spans="1:7" x14ac:dyDescent="0.2">
      <c r="A309" s="180"/>
      <c r="B309" s="189"/>
      <c r="C309" s="180"/>
      <c r="G309" s="188"/>
    </row>
    <row r="310" spans="1:7" x14ac:dyDescent="0.2">
      <c r="A310" s="180"/>
      <c r="C310" s="180"/>
      <c r="G310" s="188"/>
    </row>
    <row r="311" spans="1:7" x14ac:dyDescent="0.2">
      <c r="A311" s="180"/>
      <c r="C311" s="180"/>
    </row>
    <row r="312" spans="1:7" x14ac:dyDescent="0.2">
      <c r="A312" s="180"/>
      <c r="B312" s="190"/>
      <c r="C312" s="180"/>
      <c r="G312" s="188"/>
    </row>
    <row r="313" spans="1:7" x14ac:dyDescent="0.2">
      <c r="A313" s="180"/>
      <c r="B313" s="189"/>
      <c r="C313" s="180"/>
      <c r="G313" s="188"/>
    </row>
    <row r="314" spans="1:7" x14ac:dyDescent="0.2">
      <c r="A314" s="180"/>
      <c r="B314" s="189"/>
      <c r="C314" s="180"/>
      <c r="G314" s="188"/>
    </row>
    <row r="315" spans="1:7" x14ac:dyDescent="0.2">
      <c r="A315" s="180"/>
      <c r="C315" s="180"/>
      <c r="G315" s="188"/>
    </row>
    <row r="316" spans="1:7" x14ac:dyDescent="0.2">
      <c r="A316" s="180"/>
      <c r="C316" s="180"/>
    </row>
    <row r="317" spans="1:7" x14ac:dyDescent="0.2">
      <c r="A317" s="180"/>
      <c r="B317" s="190"/>
      <c r="C317" s="180"/>
      <c r="G317" s="188"/>
    </row>
    <row r="318" spans="1:7" x14ac:dyDescent="0.2">
      <c r="A318" s="180"/>
      <c r="B318" s="189"/>
      <c r="C318" s="180"/>
      <c r="G318" s="188"/>
    </row>
    <row r="319" spans="1:7" x14ac:dyDescent="0.2">
      <c r="A319" s="180"/>
      <c r="B319" s="189"/>
      <c r="C319" s="180"/>
      <c r="G319" s="188"/>
    </row>
    <row r="320" spans="1:7" x14ac:dyDescent="0.2">
      <c r="A320" s="180"/>
      <c r="C320" s="180"/>
      <c r="G320" s="188"/>
    </row>
    <row r="321" spans="1:7" x14ac:dyDescent="0.2">
      <c r="A321" s="180"/>
      <c r="C321" s="180"/>
    </row>
    <row r="322" spans="1:7" x14ac:dyDescent="0.2">
      <c r="A322" s="180"/>
      <c r="B322" s="190"/>
      <c r="C322" s="180"/>
      <c r="G322" s="188"/>
    </row>
    <row r="323" spans="1:7" x14ac:dyDescent="0.2">
      <c r="A323" s="180"/>
      <c r="B323" s="189"/>
      <c r="C323" s="180"/>
      <c r="G323" s="188"/>
    </row>
    <row r="324" spans="1:7" x14ac:dyDescent="0.2">
      <c r="A324" s="180"/>
      <c r="B324" s="189"/>
      <c r="C324" s="180"/>
      <c r="G324" s="188"/>
    </row>
    <row r="325" spans="1:7" x14ac:dyDescent="0.2">
      <c r="A325" s="180"/>
      <c r="C325" s="180"/>
      <c r="G325" s="188"/>
    </row>
    <row r="326" spans="1:7" x14ac:dyDescent="0.2">
      <c r="A326" s="180"/>
      <c r="C326" s="180"/>
    </row>
    <row r="327" spans="1:7" x14ac:dyDescent="0.2">
      <c r="A327" s="180"/>
      <c r="B327" s="190"/>
      <c r="C327" s="180"/>
      <c r="G327" s="188"/>
    </row>
    <row r="328" spans="1:7" x14ac:dyDescent="0.2">
      <c r="A328" s="180"/>
      <c r="B328" s="189"/>
      <c r="C328" s="180"/>
      <c r="G328" s="188"/>
    </row>
    <row r="329" spans="1:7" x14ac:dyDescent="0.2">
      <c r="A329" s="180"/>
      <c r="B329" s="189"/>
      <c r="C329" s="180"/>
      <c r="G329" s="188"/>
    </row>
    <row r="330" spans="1:7" x14ac:dyDescent="0.2">
      <c r="A330" s="180"/>
      <c r="C330" s="180"/>
      <c r="G330" s="188"/>
    </row>
    <row r="331" spans="1:7" x14ac:dyDescent="0.2">
      <c r="A331" s="180"/>
      <c r="C331" s="180"/>
    </row>
    <row r="332" spans="1:7" x14ac:dyDescent="0.2">
      <c r="A332" s="180"/>
      <c r="B332" s="190"/>
      <c r="C332" s="180"/>
      <c r="G332" s="188"/>
    </row>
    <row r="333" spans="1:7" x14ac:dyDescent="0.2">
      <c r="A333" s="180"/>
      <c r="B333" s="189"/>
      <c r="C333" s="180"/>
      <c r="G333" s="188"/>
    </row>
    <row r="334" spans="1:7" x14ac:dyDescent="0.2">
      <c r="A334" s="180"/>
      <c r="B334" s="189"/>
      <c r="C334" s="180"/>
      <c r="G334" s="188"/>
    </row>
    <row r="335" spans="1:7" x14ac:dyDescent="0.2">
      <c r="A335" s="180"/>
      <c r="C335" s="180"/>
      <c r="G335" s="188"/>
    </row>
    <row r="336" spans="1:7" x14ac:dyDescent="0.2">
      <c r="A336" s="180"/>
      <c r="C336" s="180"/>
    </row>
    <row r="337" spans="1:7" x14ac:dyDescent="0.2">
      <c r="A337" s="180"/>
      <c r="B337" s="190"/>
      <c r="C337" s="180"/>
      <c r="G337" s="188"/>
    </row>
    <row r="338" spans="1:7" x14ac:dyDescent="0.2">
      <c r="A338" s="180"/>
      <c r="B338" s="189"/>
      <c r="C338" s="180"/>
      <c r="G338" s="188"/>
    </row>
    <row r="339" spans="1:7" x14ac:dyDescent="0.2">
      <c r="A339" s="180"/>
      <c r="B339" s="189"/>
      <c r="C339" s="180"/>
      <c r="G339" s="188"/>
    </row>
    <row r="340" spans="1:7" x14ac:dyDescent="0.2">
      <c r="A340" s="180"/>
      <c r="C340" s="180"/>
      <c r="G340" s="188"/>
    </row>
    <row r="341" spans="1:7" x14ac:dyDescent="0.2">
      <c r="A341" s="180"/>
      <c r="C341" s="180"/>
    </row>
    <row r="342" spans="1:7" x14ac:dyDescent="0.2">
      <c r="A342" s="180"/>
      <c r="B342" s="190"/>
      <c r="C342" s="180"/>
      <c r="G342" s="188"/>
    </row>
    <row r="343" spans="1:7" x14ac:dyDescent="0.2">
      <c r="A343" s="180"/>
      <c r="B343" s="189"/>
      <c r="C343" s="180"/>
      <c r="G343" s="188"/>
    </row>
    <row r="344" spans="1:7" x14ac:dyDescent="0.2">
      <c r="A344" s="180"/>
      <c r="B344" s="189"/>
      <c r="C344" s="180"/>
      <c r="G344" s="188"/>
    </row>
    <row r="345" spans="1:7" x14ac:dyDescent="0.2">
      <c r="A345" s="180"/>
      <c r="C345" s="180"/>
      <c r="G345" s="188"/>
    </row>
    <row r="346" spans="1:7" x14ac:dyDescent="0.2">
      <c r="A346" s="180"/>
      <c r="C346" s="180"/>
    </row>
    <row r="347" spans="1:7" x14ac:dyDescent="0.2">
      <c r="A347" s="180"/>
      <c r="B347" s="190"/>
      <c r="C347" s="180"/>
      <c r="G347" s="188"/>
    </row>
    <row r="348" spans="1:7" x14ac:dyDescent="0.2">
      <c r="A348" s="180"/>
      <c r="B348" s="189"/>
      <c r="C348" s="180"/>
      <c r="G348" s="188"/>
    </row>
    <row r="349" spans="1:7" x14ac:dyDescent="0.2">
      <c r="A349" s="180"/>
      <c r="B349" s="189"/>
      <c r="C349" s="180"/>
      <c r="G349" s="188"/>
    </row>
    <row r="350" spans="1:7" x14ac:dyDescent="0.2">
      <c r="A350" s="180"/>
      <c r="C350" s="180"/>
      <c r="G350" s="188"/>
    </row>
    <row r="351" spans="1:7" x14ac:dyDescent="0.2">
      <c r="A351" s="180"/>
      <c r="C351" s="180"/>
    </row>
    <row r="352" spans="1:7" x14ac:dyDescent="0.2">
      <c r="A352" s="180"/>
      <c r="B352" s="190"/>
      <c r="C352" s="180"/>
      <c r="G352" s="188"/>
    </row>
    <row r="353" spans="1:7" x14ac:dyDescent="0.2">
      <c r="A353" s="180"/>
      <c r="B353" s="189"/>
      <c r="C353" s="180"/>
      <c r="G353" s="188"/>
    </row>
    <row r="354" spans="1:7" x14ac:dyDescent="0.2">
      <c r="A354" s="180"/>
      <c r="B354" s="189"/>
      <c r="C354" s="180"/>
      <c r="G354" s="188"/>
    </row>
    <row r="355" spans="1:7" x14ac:dyDescent="0.2">
      <c r="A355" s="180"/>
      <c r="C355" s="180"/>
      <c r="G355" s="188"/>
    </row>
    <row r="356" spans="1:7" x14ac:dyDescent="0.2">
      <c r="A356" s="180"/>
      <c r="C356" s="180"/>
    </row>
    <row r="357" spans="1:7" x14ac:dyDescent="0.2">
      <c r="A357" s="180"/>
      <c r="B357" s="190"/>
      <c r="C357" s="180"/>
      <c r="G357" s="188"/>
    </row>
    <row r="358" spans="1:7" x14ac:dyDescent="0.2">
      <c r="A358" s="180"/>
      <c r="B358" s="189"/>
      <c r="C358" s="180"/>
      <c r="G358" s="188"/>
    </row>
    <row r="359" spans="1:7" x14ac:dyDescent="0.2">
      <c r="A359" s="180"/>
      <c r="B359" s="189"/>
      <c r="C359" s="180"/>
      <c r="G359" s="188"/>
    </row>
    <row r="360" spans="1:7" x14ac:dyDescent="0.2">
      <c r="A360" s="180"/>
      <c r="C360" s="180"/>
      <c r="G360" s="188"/>
    </row>
    <row r="361" spans="1:7" x14ac:dyDescent="0.2">
      <c r="A361" s="180"/>
      <c r="C361" s="180"/>
    </row>
    <row r="362" spans="1:7" x14ac:dyDescent="0.2">
      <c r="A362" s="180"/>
      <c r="B362" s="190"/>
      <c r="C362" s="180"/>
      <c r="G362" s="188"/>
    </row>
    <row r="363" spans="1:7" x14ac:dyDescent="0.2">
      <c r="A363" s="180"/>
      <c r="B363" s="189"/>
      <c r="C363" s="180"/>
      <c r="G363" s="188"/>
    </row>
    <row r="364" spans="1:7" x14ac:dyDescent="0.2">
      <c r="A364" s="180"/>
      <c r="B364" s="189"/>
      <c r="C364" s="180"/>
      <c r="G364" s="188"/>
    </row>
    <row r="365" spans="1:7" x14ac:dyDescent="0.2">
      <c r="A365" s="180"/>
      <c r="C365" s="180"/>
      <c r="G365" s="188"/>
    </row>
    <row r="366" spans="1:7" x14ac:dyDescent="0.2">
      <c r="A366" s="180"/>
      <c r="C366" s="180"/>
    </row>
    <row r="367" spans="1:7" x14ac:dyDescent="0.2">
      <c r="A367" s="180"/>
      <c r="B367" s="190"/>
      <c r="C367" s="180"/>
      <c r="G367" s="188"/>
    </row>
    <row r="368" spans="1:7" x14ac:dyDescent="0.2">
      <c r="A368" s="180"/>
      <c r="B368" s="189"/>
      <c r="C368" s="180"/>
      <c r="G368" s="188"/>
    </row>
    <row r="369" spans="1:7" x14ac:dyDescent="0.2">
      <c r="A369" s="180"/>
      <c r="B369" s="189"/>
      <c r="C369" s="180"/>
      <c r="G369" s="188"/>
    </row>
    <row r="370" spans="1:7" x14ac:dyDescent="0.2">
      <c r="A370" s="180"/>
      <c r="C370" s="180"/>
      <c r="G370" s="188"/>
    </row>
    <row r="371" spans="1:7" x14ac:dyDescent="0.2">
      <c r="A371" s="180"/>
      <c r="C371" s="180"/>
    </row>
    <row r="372" spans="1:7" x14ac:dyDescent="0.2">
      <c r="A372" s="180"/>
      <c r="B372" s="190"/>
      <c r="C372" s="180"/>
      <c r="G372" s="188"/>
    </row>
    <row r="373" spans="1:7" x14ac:dyDescent="0.2">
      <c r="A373" s="180"/>
      <c r="B373" s="189"/>
      <c r="C373" s="180"/>
      <c r="G373" s="188"/>
    </row>
    <row r="374" spans="1:7" x14ac:dyDescent="0.2">
      <c r="A374" s="180"/>
      <c r="B374" s="189"/>
      <c r="C374" s="180"/>
      <c r="G374" s="188"/>
    </row>
    <row r="375" spans="1:7" x14ac:dyDescent="0.2">
      <c r="A375" s="180"/>
      <c r="C375" s="180"/>
      <c r="G375" s="188"/>
    </row>
    <row r="376" spans="1:7" x14ac:dyDescent="0.2">
      <c r="A376" s="180"/>
      <c r="C376" s="180"/>
    </row>
    <row r="377" spans="1:7" x14ac:dyDescent="0.2">
      <c r="A377" s="180"/>
      <c r="B377" s="190"/>
      <c r="C377" s="180"/>
      <c r="G377" s="188"/>
    </row>
    <row r="378" spans="1:7" x14ac:dyDescent="0.2">
      <c r="A378" s="180"/>
      <c r="B378" s="189"/>
      <c r="C378" s="180"/>
      <c r="G378" s="188"/>
    </row>
    <row r="379" spans="1:7" x14ac:dyDescent="0.2">
      <c r="A379" s="180"/>
      <c r="B379" s="189"/>
      <c r="C379" s="180"/>
      <c r="G379" s="188"/>
    </row>
    <row r="380" spans="1:7" x14ac:dyDescent="0.2">
      <c r="A380" s="180"/>
      <c r="C380" s="180"/>
      <c r="G380" s="188"/>
    </row>
    <row r="381" spans="1:7" x14ac:dyDescent="0.2">
      <c r="A381" s="180"/>
      <c r="C381" s="180"/>
    </row>
    <row r="382" spans="1:7" x14ac:dyDescent="0.2">
      <c r="A382" s="180"/>
      <c r="B382" s="190"/>
      <c r="C382" s="180"/>
      <c r="G382" s="188"/>
    </row>
    <row r="383" spans="1:7" x14ac:dyDescent="0.2">
      <c r="A383" s="180"/>
      <c r="B383" s="189"/>
      <c r="C383" s="180"/>
      <c r="G383" s="188"/>
    </row>
    <row r="384" spans="1:7" x14ac:dyDescent="0.2">
      <c r="A384" s="180"/>
      <c r="B384" s="189"/>
      <c r="C384" s="180"/>
      <c r="G384" s="188"/>
    </row>
    <row r="385" spans="1:7" x14ac:dyDescent="0.2">
      <c r="A385" s="180"/>
      <c r="C385" s="180"/>
      <c r="G385" s="188"/>
    </row>
    <row r="386" spans="1:7" x14ac:dyDescent="0.2">
      <c r="A386" s="180"/>
      <c r="C386" s="180"/>
    </row>
    <row r="387" spans="1:7" x14ac:dyDescent="0.2">
      <c r="A387" s="180"/>
      <c r="B387" s="190"/>
      <c r="C387" s="180"/>
      <c r="G387" s="188"/>
    </row>
    <row r="388" spans="1:7" x14ac:dyDescent="0.2">
      <c r="A388" s="180"/>
      <c r="B388" s="189"/>
      <c r="C388" s="180"/>
      <c r="G388" s="188"/>
    </row>
    <row r="389" spans="1:7" x14ac:dyDescent="0.2">
      <c r="A389" s="180"/>
      <c r="B389" s="189"/>
      <c r="C389" s="180"/>
      <c r="G389" s="188"/>
    </row>
    <row r="390" spans="1:7" x14ac:dyDescent="0.2">
      <c r="A390" s="180"/>
      <c r="C390" s="180"/>
      <c r="G390" s="188"/>
    </row>
    <row r="391" spans="1:7" x14ac:dyDescent="0.2">
      <c r="A391" s="180"/>
      <c r="C391" s="180"/>
    </row>
    <row r="392" spans="1:7" x14ac:dyDescent="0.2">
      <c r="A392" s="180"/>
      <c r="B392" s="190"/>
      <c r="C392" s="180"/>
      <c r="G392" s="188"/>
    </row>
    <row r="393" spans="1:7" x14ac:dyDescent="0.2">
      <c r="A393" s="180"/>
      <c r="B393" s="189"/>
      <c r="C393" s="180"/>
      <c r="G393" s="188"/>
    </row>
    <row r="394" spans="1:7" x14ac:dyDescent="0.2">
      <c r="A394" s="180"/>
      <c r="B394" s="189"/>
      <c r="C394" s="180"/>
      <c r="G394" s="188"/>
    </row>
    <row r="395" spans="1:7" x14ac:dyDescent="0.2">
      <c r="A395" s="180"/>
      <c r="C395" s="180"/>
      <c r="G395" s="188"/>
    </row>
    <row r="396" spans="1:7" x14ac:dyDescent="0.2">
      <c r="A396" s="180"/>
      <c r="C396" s="180"/>
    </row>
    <row r="397" spans="1:7" x14ac:dyDescent="0.2">
      <c r="A397" s="180"/>
      <c r="B397" s="190"/>
      <c r="C397" s="180"/>
      <c r="G397" s="188"/>
    </row>
    <row r="398" spans="1:7" x14ac:dyDescent="0.2">
      <c r="A398" s="180"/>
      <c r="B398" s="189"/>
      <c r="C398" s="180"/>
      <c r="G398" s="188"/>
    </row>
    <row r="399" spans="1:7" x14ac:dyDescent="0.2">
      <c r="A399" s="180"/>
      <c r="B399" s="189"/>
      <c r="C399" s="180"/>
      <c r="G399" s="188"/>
    </row>
    <row r="400" spans="1:7" x14ac:dyDescent="0.2">
      <c r="A400" s="180"/>
      <c r="C400" s="180"/>
      <c r="G400" s="188"/>
    </row>
    <row r="401" spans="1:7" x14ac:dyDescent="0.2">
      <c r="A401" s="180"/>
      <c r="C401" s="180"/>
    </row>
    <row r="402" spans="1:7" x14ac:dyDescent="0.2">
      <c r="A402" s="180"/>
      <c r="B402" s="190"/>
      <c r="C402" s="180"/>
      <c r="G402" s="188"/>
    </row>
    <row r="403" spans="1:7" x14ac:dyDescent="0.2">
      <c r="A403" s="180"/>
      <c r="B403" s="189"/>
      <c r="C403" s="180"/>
      <c r="G403" s="188"/>
    </row>
    <row r="404" spans="1:7" x14ac:dyDescent="0.2">
      <c r="A404" s="180"/>
      <c r="B404" s="189"/>
      <c r="C404" s="180"/>
      <c r="G404" s="188"/>
    </row>
    <row r="405" spans="1:7" x14ac:dyDescent="0.2">
      <c r="A405" s="180"/>
      <c r="C405" s="180"/>
      <c r="G405" s="188"/>
    </row>
    <row r="406" spans="1:7" x14ac:dyDescent="0.2">
      <c r="A406" s="180"/>
      <c r="C406" s="180"/>
    </row>
    <row r="407" spans="1:7" x14ac:dyDescent="0.2">
      <c r="A407" s="180"/>
      <c r="B407" s="190"/>
      <c r="C407" s="180"/>
      <c r="G407" s="188"/>
    </row>
    <row r="408" spans="1:7" x14ac:dyDescent="0.2">
      <c r="A408" s="180"/>
      <c r="B408" s="189"/>
      <c r="C408" s="180"/>
      <c r="G408" s="188"/>
    </row>
    <row r="409" spans="1:7" x14ac:dyDescent="0.2">
      <c r="A409" s="180"/>
      <c r="B409" s="189"/>
      <c r="C409" s="180"/>
      <c r="G409" s="188"/>
    </row>
    <row r="410" spans="1:7" x14ac:dyDescent="0.2">
      <c r="A410" s="180"/>
      <c r="C410" s="180"/>
      <c r="G410" s="188"/>
    </row>
    <row r="411" spans="1:7" x14ac:dyDescent="0.2">
      <c r="A411" s="180"/>
      <c r="C411" s="180"/>
    </row>
    <row r="412" spans="1:7" x14ac:dyDescent="0.2">
      <c r="A412" s="180"/>
      <c r="B412" s="190"/>
      <c r="C412" s="180"/>
      <c r="G412" s="188"/>
    </row>
    <row r="413" spans="1:7" x14ac:dyDescent="0.2">
      <c r="A413" s="180"/>
      <c r="B413" s="189"/>
      <c r="C413" s="180"/>
      <c r="G413" s="188"/>
    </row>
    <row r="414" spans="1:7" x14ac:dyDescent="0.2">
      <c r="A414" s="180"/>
      <c r="B414" s="189"/>
      <c r="C414" s="180"/>
      <c r="G414" s="188"/>
    </row>
    <row r="415" spans="1:7" x14ac:dyDescent="0.2">
      <c r="A415" s="180"/>
      <c r="C415" s="180"/>
      <c r="G415" s="188"/>
    </row>
    <row r="416" spans="1:7" x14ac:dyDescent="0.2">
      <c r="A416" s="180"/>
      <c r="C416" s="180"/>
    </row>
    <row r="417" spans="1:7" x14ac:dyDescent="0.2">
      <c r="A417" s="180"/>
      <c r="B417" s="190"/>
      <c r="C417" s="180"/>
      <c r="G417" s="188"/>
    </row>
    <row r="418" spans="1:7" x14ac:dyDescent="0.2">
      <c r="A418" s="180"/>
      <c r="B418" s="189"/>
      <c r="C418" s="180"/>
      <c r="G418" s="188"/>
    </row>
    <row r="419" spans="1:7" x14ac:dyDescent="0.2">
      <c r="A419" s="180"/>
      <c r="B419" s="189"/>
      <c r="C419" s="180"/>
      <c r="G419" s="188"/>
    </row>
    <row r="420" spans="1:7" x14ac:dyDescent="0.2">
      <c r="A420" s="180"/>
      <c r="C420" s="180"/>
      <c r="G420" s="188"/>
    </row>
    <row r="421" spans="1:7" x14ac:dyDescent="0.2">
      <c r="A421" s="180"/>
      <c r="C421" s="180"/>
    </row>
    <row r="422" spans="1:7" x14ac:dyDescent="0.2">
      <c r="A422" s="180"/>
      <c r="B422" s="190"/>
      <c r="C422" s="180"/>
      <c r="G422" s="188"/>
    </row>
    <row r="423" spans="1:7" x14ac:dyDescent="0.2">
      <c r="A423" s="180"/>
      <c r="B423" s="189"/>
      <c r="C423" s="180"/>
      <c r="G423" s="188"/>
    </row>
    <row r="424" spans="1:7" x14ac:dyDescent="0.2">
      <c r="A424" s="180"/>
      <c r="B424" s="189"/>
      <c r="C424" s="180"/>
      <c r="G424" s="188"/>
    </row>
    <row r="425" spans="1:7" x14ac:dyDescent="0.2">
      <c r="A425" s="180"/>
      <c r="C425" s="180"/>
      <c r="G425" s="188"/>
    </row>
    <row r="426" spans="1:7" x14ac:dyDescent="0.2">
      <c r="A426" s="180"/>
      <c r="C426" s="180"/>
    </row>
    <row r="427" spans="1:7" x14ac:dyDescent="0.2">
      <c r="A427" s="180"/>
      <c r="B427" s="190"/>
      <c r="C427" s="180"/>
      <c r="G427" s="188"/>
    </row>
    <row r="428" spans="1:7" x14ac:dyDescent="0.2">
      <c r="A428" s="180"/>
      <c r="B428" s="189"/>
      <c r="C428" s="180"/>
      <c r="G428" s="188"/>
    </row>
    <row r="429" spans="1:7" x14ac:dyDescent="0.2">
      <c r="A429" s="180"/>
      <c r="B429" s="189"/>
      <c r="C429" s="180"/>
      <c r="G429" s="188"/>
    </row>
    <row r="430" spans="1:7" x14ac:dyDescent="0.2">
      <c r="A430" s="180"/>
      <c r="C430" s="180"/>
      <c r="G430" s="188"/>
    </row>
    <row r="431" spans="1:7" x14ac:dyDescent="0.2">
      <c r="A431" s="180"/>
      <c r="C431" s="180"/>
    </row>
    <row r="432" spans="1:7" x14ac:dyDescent="0.2">
      <c r="A432" s="180"/>
      <c r="B432" s="190"/>
      <c r="C432" s="180"/>
      <c r="G432" s="188"/>
    </row>
    <row r="433" spans="1:7" x14ac:dyDescent="0.2">
      <c r="A433" s="180"/>
      <c r="B433" s="189"/>
      <c r="C433" s="180"/>
      <c r="G433" s="188"/>
    </row>
    <row r="434" spans="1:7" x14ac:dyDescent="0.2">
      <c r="A434" s="180"/>
      <c r="B434" s="189"/>
      <c r="C434" s="180"/>
      <c r="G434" s="188"/>
    </row>
    <row r="435" spans="1:7" x14ac:dyDescent="0.2">
      <c r="A435" s="180"/>
      <c r="C435" s="180"/>
      <c r="G435" s="188"/>
    </row>
    <row r="436" spans="1:7" x14ac:dyDescent="0.2">
      <c r="A436" s="180"/>
      <c r="C436" s="180"/>
    </row>
    <row r="437" spans="1:7" x14ac:dyDescent="0.2">
      <c r="A437" s="180"/>
      <c r="B437" s="190"/>
      <c r="C437" s="180"/>
      <c r="G437" s="188"/>
    </row>
    <row r="438" spans="1:7" x14ac:dyDescent="0.2">
      <c r="A438" s="180"/>
      <c r="B438" s="189"/>
      <c r="C438" s="180"/>
      <c r="G438" s="188"/>
    </row>
    <row r="439" spans="1:7" x14ac:dyDescent="0.2">
      <c r="A439" s="180"/>
      <c r="B439" s="189"/>
      <c r="C439" s="180"/>
      <c r="G439" s="188"/>
    </row>
    <row r="440" spans="1:7" x14ac:dyDescent="0.2">
      <c r="A440" s="180"/>
      <c r="C440" s="180"/>
      <c r="G440" s="188"/>
    </row>
    <row r="441" spans="1:7" x14ac:dyDescent="0.2">
      <c r="A441" s="180"/>
      <c r="C441" s="180"/>
    </row>
    <row r="442" spans="1:7" x14ac:dyDescent="0.2">
      <c r="A442" s="180"/>
      <c r="B442" s="190"/>
      <c r="C442" s="180"/>
      <c r="G442" s="188"/>
    </row>
    <row r="443" spans="1:7" x14ac:dyDescent="0.2">
      <c r="A443" s="180"/>
      <c r="B443" s="189"/>
      <c r="C443" s="180"/>
      <c r="G443" s="188"/>
    </row>
    <row r="444" spans="1:7" x14ac:dyDescent="0.2">
      <c r="A444" s="180"/>
      <c r="B444" s="189"/>
      <c r="C444" s="180"/>
      <c r="G444" s="188"/>
    </row>
    <row r="445" spans="1:7" x14ac:dyDescent="0.2">
      <c r="A445" s="180"/>
      <c r="C445" s="180"/>
      <c r="G445" s="188"/>
    </row>
    <row r="446" spans="1:7" x14ac:dyDescent="0.2">
      <c r="A446" s="180"/>
      <c r="C446" s="180"/>
    </row>
    <row r="447" spans="1:7" x14ac:dyDescent="0.2">
      <c r="A447" s="180"/>
      <c r="B447" s="190"/>
      <c r="C447" s="180"/>
      <c r="G447" s="188"/>
    </row>
    <row r="448" spans="1:7" x14ac:dyDescent="0.2">
      <c r="A448" s="180"/>
      <c r="B448" s="189"/>
      <c r="C448" s="180"/>
      <c r="G448" s="188"/>
    </row>
    <row r="449" spans="1:7" x14ac:dyDescent="0.2">
      <c r="A449" s="180"/>
      <c r="B449" s="189"/>
      <c r="C449" s="180"/>
      <c r="G449" s="188"/>
    </row>
    <row r="450" spans="1:7" x14ac:dyDescent="0.2">
      <c r="A450" s="180"/>
      <c r="C450" s="180"/>
      <c r="G450" s="188"/>
    </row>
    <row r="451" spans="1:7" x14ac:dyDescent="0.2">
      <c r="A451" s="180"/>
      <c r="C451" s="180"/>
    </row>
    <row r="452" spans="1:7" x14ac:dyDescent="0.2">
      <c r="A452" s="180"/>
      <c r="B452" s="190"/>
      <c r="C452" s="180"/>
      <c r="G452" s="188"/>
    </row>
    <row r="453" spans="1:7" x14ac:dyDescent="0.2">
      <c r="A453" s="180"/>
      <c r="B453" s="189"/>
      <c r="C453" s="180"/>
      <c r="G453" s="188"/>
    </row>
    <row r="454" spans="1:7" x14ac:dyDescent="0.2">
      <c r="A454" s="180"/>
      <c r="B454" s="189"/>
      <c r="C454" s="180"/>
      <c r="G454" s="188"/>
    </row>
    <row r="455" spans="1:7" x14ac:dyDescent="0.2">
      <c r="A455" s="180"/>
      <c r="C455" s="180"/>
      <c r="G455" s="188"/>
    </row>
    <row r="456" spans="1:7" x14ac:dyDescent="0.2">
      <c r="A456" s="180"/>
      <c r="C456" s="180"/>
    </row>
    <row r="457" spans="1:7" x14ac:dyDescent="0.2">
      <c r="A457" s="180"/>
      <c r="B457" s="190"/>
      <c r="C457" s="180"/>
      <c r="G457" s="188"/>
    </row>
    <row r="458" spans="1:7" x14ac:dyDescent="0.2">
      <c r="A458" s="180"/>
      <c r="B458" s="189"/>
      <c r="C458" s="180"/>
      <c r="G458" s="188"/>
    </row>
    <row r="459" spans="1:7" x14ac:dyDescent="0.2">
      <c r="A459" s="180"/>
      <c r="B459" s="189"/>
      <c r="C459" s="180"/>
      <c r="G459" s="188"/>
    </row>
    <row r="460" spans="1:7" x14ac:dyDescent="0.2">
      <c r="A460" s="180"/>
      <c r="C460" s="180"/>
      <c r="G460" s="188"/>
    </row>
    <row r="461" spans="1:7" x14ac:dyDescent="0.2">
      <c r="A461" s="180"/>
      <c r="C461" s="180"/>
    </row>
    <row r="462" spans="1:7" x14ac:dyDescent="0.2">
      <c r="A462" s="180"/>
      <c r="B462" s="190"/>
      <c r="C462" s="180"/>
      <c r="G462" s="188"/>
    </row>
    <row r="463" spans="1:7" x14ac:dyDescent="0.2">
      <c r="A463" s="180"/>
      <c r="B463" s="189"/>
      <c r="C463" s="180"/>
      <c r="G463" s="188"/>
    </row>
    <row r="464" spans="1:7" x14ac:dyDescent="0.2">
      <c r="A464" s="180"/>
      <c r="B464" s="189"/>
      <c r="C464" s="180"/>
      <c r="G464" s="188"/>
    </row>
    <row r="465" spans="1:7" x14ac:dyDescent="0.2">
      <c r="A465" s="180"/>
      <c r="C465" s="180"/>
      <c r="G465" s="188"/>
    </row>
    <row r="466" spans="1:7" x14ac:dyDescent="0.2">
      <c r="A466" s="180"/>
      <c r="C466" s="180"/>
    </row>
    <row r="467" spans="1:7" x14ac:dyDescent="0.2">
      <c r="A467" s="180"/>
      <c r="B467" s="190"/>
      <c r="C467" s="180"/>
      <c r="G467" s="188"/>
    </row>
    <row r="468" spans="1:7" x14ac:dyDescent="0.2">
      <c r="A468" s="180"/>
      <c r="B468" s="189"/>
      <c r="C468" s="180"/>
      <c r="G468" s="188"/>
    </row>
    <row r="469" spans="1:7" x14ac:dyDescent="0.2">
      <c r="A469" s="180"/>
      <c r="B469" s="189"/>
      <c r="C469" s="180"/>
      <c r="G469" s="188"/>
    </row>
    <row r="470" spans="1:7" x14ac:dyDescent="0.2">
      <c r="A470" s="180"/>
      <c r="C470" s="180"/>
      <c r="G470" s="188"/>
    </row>
    <row r="471" spans="1:7" x14ac:dyDescent="0.2">
      <c r="A471" s="180"/>
      <c r="C471" s="180"/>
    </row>
    <row r="472" spans="1:7" x14ac:dyDescent="0.2">
      <c r="A472" s="180"/>
      <c r="B472" s="190"/>
      <c r="C472" s="180"/>
      <c r="G472" s="188"/>
    </row>
    <row r="473" spans="1:7" x14ac:dyDescent="0.2">
      <c r="A473" s="180"/>
      <c r="B473" s="189"/>
      <c r="C473" s="180"/>
      <c r="G473" s="188"/>
    </row>
    <row r="474" spans="1:7" x14ac:dyDescent="0.2">
      <c r="A474" s="180"/>
      <c r="B474" s="189"/>
      <c r="C474" s="180"/>
      <c r="G474" s="188"/>
    </row>
    <row r="475" spans="1:7" x14ac:dyDescent="0.2">
      <c r="A475" s="180"/>
      <c r="C475" s="180"/>
      <c r="G475" s="188"/>
    </row>
    <row r="476" spans="1:7" x14ac:dyDescent="0.2">
      <c r="A476" s="180"/>
      <c r="C476" s="180"/>
    </row>
    <row r="477" spans="1:7" x14ac:dyDescent="0.2">
      <c r="A477" s="180"/>
      <c r="B477" s="190"/>
      <c r="C477" s="180"/>
      <c r="G477" s="188"/>
    </row>
    <row r="478" spans="1:7" x14ac:dyDescent="0.2">
      <c r="A478" s="180"/>
      <c r="B478" s="189"/>
      <c r="C478" s="180"/>
      <c r="G478" s="188"/>
    </row>
    <row r="479" spans="1:7" x14ac:dyDescent="0.2">
      <c r="A479" s="180"/>
      <c r="B479" s="189"/>
      <c r="C479" s="180"/>
      <c r="G479" s="188"/>
    </row>
    <row r="480" spans="1:7" x14ac:dyDescent="0.2">
      <c r="A480" s="180"/>
      <c r="C480" s="180"/>
      <c r="G480" s="188"/>
    </row>
    <row r="481" spans="1:7" x14ac:dyDescent="0.2">
      <c r="A481" s="180"/>
      <c r="C481" s="180"/>
    </row>
    <row r="482" spans="1:7" x14ac:dyDescent="0.2">
      <c r="A482" s="180"/>
      <c r="B482" s="190"/>
      <c r="C482" s="180"/>
      <c r="G482" s="188"/>
    </row>
    <row r="483" spans="1:7" x14ac:dyDescent="0.2">
      <c r="A483" s="180"/>
      <c r="B483" s="189"/>
      <c r="C483" s="180"/>
      <c r="G483" s="188"/>
    </row>
    <row r="484" spans="1:7" x14ac:dyDescent="0.2">
      <c r="A484" s="180"/>
      <c r="B484" s="189"/>
      <c r="C484" s="180"/>
      <c r="G484" s="188"/>
    </row>
    <row r="485" spans="1:7" x14ac:dyDescent="0.2">
      <c r="A485" s="180"/>
      <c r="C485" s="180"/>
      <c r="G485" s="188"/>
    </row>
    <row r="486" spans="1:7" x14ac:dyDescent="0.2">
      <c r="A486" s="180"/>
      <c r="C486" s="180"/>
    </row>
    <row r="487" spans="1:7" x14ac:dyDescent="0.2">
      <c r="A487" s="180"/>
      <c r="B487" s="190"/>
      <c r="C487" s="180"/>
      <c r="G487" s="188"/>
    </row>
    <row r="488" spans="1:7" x14ac:dyDescent="0.2">
      <c r="A488" s="180"/>
      <c r="B488" s="189"/>
      <c r="C488" s="180"/>
      <c r="G488" s="188"/>
    </row>
    <row r="489" spans="1:7" x14ac:dyDescent="0.2">
      <c r="A489" s="180"/>
      <c r="B489" s="189"/>
      <c r="C489" s="180"/>
      <c r="G489" s="188"/>
    </row>
    <row r="490" spans="1:7" x14ac:dyDescent="0.2">
      <c r="A490" s="180"/>
      <c r="C490" s="180"/>
      <c r="G490" s="188"/>
    </row>
    <row r="491" spans="1:7" x14ac:dyDescent="0.2">
      <c r="A491" s="180"/>
      <c r="C491" s="180"/>
    </row>
    <row r="492" spans="1:7" x14ac:dyDescent="0.2">
      <c r="A492" s="180"/>
      <c r="B492" s="190"/>
      <c r="C492" s="180"/>
      <c r="G492" s="188"/>
    </row>
    <row r="493" spans="1:7" x14ac:dyDescent="0.2">
      <c r="A493" s="180"/>
      <c r="B493" s="189"/>
      <c r="C493" s="180"/>
      <c r="G493" s="188"/>
    </row>
    <row r="494" spans="1:7" x14ac:dyDescent="0.2">
      <c r="A494" s="180"/>
      <c r="B494" s="189"/>
      <c r="C494" s="180"/>
      <c r="G494" s="188"/>
    </row>
    <row r="495" spans="1:7" x14ac:dyDescent="0.2">
      <c r="A495" s="180"/>
      <c r="C495" s="180"/>
      <c r="G495" s="188"/>
    </row>
    <row r="496" spans="1:7" x14ac:dyDescent="0.2">
      <c r="A496" s="180"/>
      <c r="C496" s="180"/>
    </row>
    <row r="497" spans="1:7" x14ac:dyDescent="0.2">
      <c r="A497" s="180"/>
      <c r="B497" s="190"/>
      <c r="C497" s="180"/>
      <c r="G497" s="188"/>
    </row>
    <row r="498" spans="1:7" x14ac:dyDescent="0.2">
      <c r="A498" s="180"/>
      <c r="B498" s="189"/>
      <c r="C498" s="180"/>
      <c r="G498" s="188"/>
    </row>
    <row r="499" spans="1:7" x14ac:dyDescent="0.2">
      <c r="A499" s="180"/>
      <c r="B499" s="189"/>
      <c r="C499" s="180"/>
      <c r="G499" s="188"/>
    </row>
    <row r="500" spans="1:7" x14ac:dyDescent="0.2">
      <c r="A500" s="180"/>
      <c r="C500" s="180"/>
      <c r="G500" s="188"/>
    </row>
    <row r="501" spans="1:7" x14ac:dyDescent="0.2">
      <c r="A501" s="180"/>
      <c r="C501" s="180"/>
    </row>
    <row r="502" spans="1:7" x14ac:dyDescent="0.2">
      <c r="A502" s="180"/>
      <c r="C502" s="180"/>
    </row>
    <row r="503" spans="1:7" x14ac:dyDescent="0.2">
      <c r="A503" s="180"/>
      <c r="C503" s="180"/>
    </row>
    <row r="504" spans="1:7" x14ac:dyDescent="0.2">
      <c r="A504" s="180"/>
      <c r="C504" s="180"/>
    </row>
    <row r="505" spans="1:7" x14ac:dyDescent="0.2">
      <c r="A505" s="180"/>
      <c r="C505" s="180"/>
    </row>
    <row r="506" spans="1:7" x14ac:dyDescent="0.2">
      <c r="A506" s="180"/>
      <c r="C506" s="180"/>
    </row>
    <row r="507" spans="1:7" x14ac:dyDescent="0.2">
      <c r="A507" s="180"/>
      <c r="C507" s="180"/>
    </row>
    <row r="508" spans="1:7" x14ac:dyDescent="0.2">
      <c r="A508" s="180"/>
      <c r="C508" s="180"/>
    </row>
    <row r="509" spans="1:7" x14ac:dyDescent="0.2">
      <c r="A509" s="180"/>
      <c r="C509" s="180"/>
    </row>
    <row r="510" spans="1:7" x14ac:dyDescent="0.2">
      <c r="A510" s="180"/>
      <c r="C510" s="180"/>
    </row>
    <row r="511" spans="1:7" x14ac:dyDescent="0.2">
      <c r="A511" s="180"/>
      <c r="C511" s="180"/>
    </row>
    <row r="512" spans="1:7" x14ac:dyDescent="0.2">
      <c r="A512" s="180"/>
      <c r="C512" s="180"/>
    </row>
    <row r="513" s="180" customFormat="1" x14ac:dyDescent="0.2"/>
    <row r="514" s="180" customFormat="1" x14ac:dyDescent="0.2"/>
    <row r="515" s="180" customFormat="1" x14ac:dyDescent="0.2"/>
    <row r="516" s="180" customFormat="1" x14ac:dyDescent="0.2"/>
    <row r="517" s="180" customFormat="1" x14ac:dyDescent="0.2"/>
    <row r="518" s="180" customFormat="1" x14ac:dyDescent="0.2"/>
    <row r="519" s="180" customFormat="1" x14ac:dyDescent="0.2"/>
    <row r="520" s="180" customFormat="1" x14ac:dyDescent="0.2"/>
    <row r="521" s="180" customFormat="1" x14ac:dyDescent="0.2"/>
    <row r="522" s="180" customFormat="1" x14ac:dyDescent="0.2"/>
    <row r="523" s="180" customFormat="1" x14ac:dyDescent="0.2"/>
    <row r="524" s="180" customFormat="1" x14ac:dyDescent="0.2"/>
    <row r="525" s="180" customFormat="1" x14ac:dyDescent="0.2"/>
    <row r="526" s="180" customFormat="1" x14ac:dyDescent="0.2"/>
    <row r="527" s="180" customFormat="1" x14ac:dyDescent="0.2"/>
    <row r="528" s="180" customFormat="1" x14ac:dyDescent="0.2"/>
    <row r="529" s="180" customFormat="1" x14ac:dyDescent="0.2"/>
    <row r="530" s="180" customFormat="1" x14ac:dyDescent="0.2"/>
    <row r="531" s="180" customFormat="1" x14ac:dyDescent="0.2"/>
    <row r="532" s="180" customFormat="1" x14ac:dyDescent="0.2"/>
    <row r="533" s="180" customFormat="1" x14ac:dyDescent="0.2"/>
    <row r="534" s="180" customFormat="1" x14ac:dyDescent="0.2"/>
    <row r="535" s="180" customFormat="1" x14ac:dyDescent="0.2"/>
    <row r="536" s="180" customFormat="1" x14ac:dyDescent="0.2"/>
    <row r="537" s="180" customFormat="1" x14ac:dyDescent="0.2"/>
    <row r="538" s="180" customFormat="1" x14ac:dyDescent="0.2"/>
    <row r="539" s="180" customFormat="1" x14ac:dyDescent="0.2"/>
    <row r="540" s="180" customFormat="1" x14ac:dyDescent="0.2"/>
    <row r="541" s="180" customFormat="1" x14ac:dyDescent="0.2"/>
    <row r="542" s="180" customFormat="1" x14ac:dyDescent="0.2"/>
    <row r="543" s="180" customFormat="1" x14ac:dyDescent="0.2"/>
    <row r="544" s="180" customFormat="1" x14ac:dyDescent="0.2"/>
    <row r="545" s="180" customFormat="1" x14ac:dyDescent="0.2"/>
    <row r="546" s="180" customFormat="1" x14ac:dyDescent="0.2"/>
    <row r="547" s="180" customFormat="1" x14ac:dyDescent="0.2"/>
    <row r="548" s="180" customFormat="1" x14ac:dyDescent="0.2"/>
    <row r="549" s="180" customFormat="1" x14ac:dyDescent="0.2"/>
    <row r="550" s="180" customFormat="1" x14ac:dyDescent="0.2"/>
    <row r="551" s="180" customFormat="1" x14ac:dyDescent="0.2"/>
    <row r="552" s="180" customFormat="1" x14ac:dyDescent="0.2"/>
    <row r="553" s="180" customFormat="1" x14ac:dyDescent="0.2"/>
    <row r="554" s="180" customFormat="1" x14ac:dyDescent="0.2"/>
    <row r="555" s="180" customFormat="1" x14ac:dyDescent="0.2"/>
    <row r="556" s="180" customFormat="1" x14ac:dyDescent="0.2"/>
    <row r="557" s="180" customFormat="1" x14ac:dyDescent="0.2"/>
    <row r="558" s="180" customFormat="1" x14ac:dyDescent="0.2"/>
    <row r="559" s="180" customFormat="1" x14ac:dyDescent="0.2"/>
    <row r="560" s="180" customFormat="1" x14ac:dyDescent="0.2"/>
    <row r="561" s="180" customFormat="1" x14ac:dyDescent="0.2"/>
    <row r="562" s="180" customFormat="1" x14ac:dyDescent="0.2"/>
    <row r="563" s="180" customFormat="1" x14ac:dyDescent="0.2"/>
    <row r="564" s="180" customFormat="1" x14ac:dyDescent="0.2"/>
    <row r="565" s="180" customFormat="1" x14ac:dyDescent="0.2"/>
    <row r="566" s="180" customFormat="1" x14ac:dyDescent="0.2"/>
    <row r="567" s="180" customFormat="1" x14ac:dyDescent="0.2"/>
    <row r="568" s="180" customFormat="1" x14ac:dyDescent="0.2"/>
    <row r="569" s="180" customFormat="1" x14ac:dyDescent="0.2"/>
    <row r="570" s="180" customFormat="1" x14ac:dyDescent="0.2"/>
    <row r="571" s="180" customFormat="1" x14ac:dyDescent="0.2"/>
    <row r="572" s="180" customFormat="1" x14ac:dyDescent="0.2"/>
    <row r="573" s="180" customFormat="1" x14ac:dyDescent="0.2"/>
    <row r="574" s="180" customFormat="1" x14ac:dyDescent="0.2"/>
    <row r="575" s="180" customFormat="1" x14ac:dyDescent="0.2"/>
    <row r="576" s="180" customFormat="1" x14ac:dyDescent="0.2"/>
    <row r="577" s="180" customFormat="1" x14ac:dyDescent="0.2"/>
    <row r="578" s="180" customFormat="1" x14ac:dyDescent="0.2"/>
    <row r="579" s="180" customFormat="1" x14ac:dyDescent="0.2"/>
    <row r="580" s="180" customFormat="1" x14ac:dyDescent="0.2"/>
    <row r="581" s="180" customFormat="1" x14ac:dyDescent="0.2"/>
    <row r="582" s="180" customFormat="1" x14ac:dyDescent="0.2"/>
    <row r="583" s="180" customFormat="1" x14ac:dyDescent="0.2"/>
    <row r="584" s="180" customFormat="1" x14ac:dyDescent="0.2"/>
    <row r="585" s="180" customFormat="1" x14ac:dyDescent="0.2"/>
    <row r="586" s="180" customFormat="1" x14ac:dyDescent="0.2"/>
    <row r="587" s="180" customFormat="1" x14ac:dyDescent="0.2"/>
    <row r="588" s="180" customFormat="1" x14ac:dyDescent="0.2"/>
    <row r="589" s="180" customFormat="1" x14ac:dyDescent="0.2"/>
    <row r="590" s="180" customFormat="1" x14ac:dyDescent="0.2"/>
    <row r="591" s="180" customFormat="1" x14ac:dyDescent="0.2"/>
    <row r="592" s="180" customFormat="1" x14ac:dyDescent="0.2"/>
    <row r="593" s="180" customFormat="1" x14ac:dyDescent="0.2"/>
    <row r="594" s="180" customFormat="1" x14ac:dyDescent="0.2"/>
    <row r="595" s="180" customFormat="1" x14ac:dyDescent="0.2"/>
    <row r="596" s="180" customFormat="1" x14ac:dyDescent="0.2"/>
    <row r="597" s="180" customFormat="1" x14ac:dyDescent="0.2"/>
    <row r="598" s="180" customFormat="1" x14ac:dyDescent="0.2"/>
    <row r="599" s="180" customFormat="1" x14ac:dyDescent="0.2"/>
    <row r="600" s="180" customFormat="1" x14ac:dyDescent="0.2"/>
    <row r="601" s="180" customFormat="1" x14ac:dyDescent="0.2"/>
    <row r="602" s="180" customFormat="1" x14ac:dyDescent="0.2"/>
    <row r="603" s="180" customFormat="1" x14ac:dyDescent="0.2"/>
    <row r="604" s="180" customFormat="1" x14ac:dyDescent="0.2"/>
    <row r="605" s="180" customFormat="1" x14ac:dyDescent="0.2"/>
    <row r="606" s="180" customFormat="1" x14ac:dyDescent="0.2"/>
    <row r="607" s="180" customFormat="1" x14ac:dyDescent="0.2"/>
    <row r="608" s="180" customFormat="1" x14ac:dyDescent="0.2"/>
    <row r="609" s="180" customFormat="1" x14ac:dyDescent="0.2"/>
    <row r="610" s="180" customFormat="1" x14ac:dyDescent="0.2"/>
    <row r="611" s="180" customFormat="1" x14ac:dyDescent="0.2"/>
    <row r="612" s="180" customFormat="1" x14ac:dyDescent="0.2"/>
    <row r="613" s="180" customFormat="1" x14ac:dyDescent="0.2"/>
    <row r="614" s="180" customFormat="1" x14ac:dyDescent="0.2"/>
    <row r="615" s="180" customFormat="1" x14ac:dyDescent="0.2"/>
    <row r="616" s="180" customFormat="1" x14ac:dyDescent="0.2"/>
    <row r="617" s="180" customFormat="1" x14ac:dyDescent="0.2"/>
    <row r="618" s="180" customFormat="1" x14ac:dyDescent="0.2"/>
    <row r="619" s="180" customFormat="1" x14ac:dyDescent="0.2"/>
    <row r="620" s="180" customFormat="1" x14ac:dyDescent="0.2"/>
    <row r="621" s="180" customFormat="1" x14ac:dyDescent="0.2"/>
    <row r="622" s="180" customFormat="1" x14ac:dyDescent="0.2"/>
    <row r="623" s="180" customFormat="1" x14ac:dyDescent="0.2"/>
    <row r="624" s="180" customFormat="1" x14ac:dyDescent="0.2"/>
    <row r="625" s="180" customFormat="1" x14ac:dyDescent="0.2"/>
    <row r="626" s="180" customFormat="1" x14ac:dyDescent="0.2"/>
    <row r="627" s="180" customFormat="1" x14ac:dyDescent="0.2"/>
    <row r="628" s="180" customFormat="1" x14ac:dyDescent="0.2"/>
    <row r="629" s="180" customFormat="1" x14ac:dyDescent="0.2"/>
    <row r="630" s="180" customFormat="1" x14ac:dyDescent="0.2"/>
    <row r="631" s="180" customFormat="1" x14ac:dyDescent="0.2"/>
    <row r="632" s="180" customFormat="1" x14ac:dyDescent="0.2"/>
    <row r="633" s="180" customFormat="1" x14ac:dyDescent="0.2"/>
    <row r="634" s="180" customFormat="1" x14ac:dyDescent="0.2"/>
    <row r="635" s="180" customFormat="1" x14ac:dyDescent="0.2"/>
    <row r="636" s="180" customFormat="1" x14ac:dyDescent="0.2"/>
    <row r="637" s="180" customFormat="1" x14ac:dyDescent="0.2"/>
    <row r="638" s="180" customFormat="1" x14ac:dyDescent="0.2"/>
    <row r="639" s="180" customFormat="1" x14ac:dyDescent="0.2"/>
    <row r="640" s="180" customFormat="1" x14ac:dyDescent="0.2"/>
    <row r="641" s="180" customFormat="1" x14ac:dyDescent="0.2"/>
    <row r="642" s="180" customFormat="1" x14ac:dyDescent="0.2"/>
    <row r="643" s="180" customFormat="1" x14ac:dyDescent="0.2"/>
    <row r="644" s="180" customFormat="1" x14ac:dyDescent="0.2"/>
    <row r="645" s="180" customFormat="1" x14ac:dyDescent="0.2"/>
    <row r="646" s="180" customFormat="1" x14ac:dyDescent="0.2"/>
    <row r="647" s="180" customFormat="1" x14ac:dyDescent="0.2"/>
    <row r="648" s="180" customFormat="1" x14ac:dyDescent="0.2"/>
    <row r="649" s="180" customFormat="1" x14ac:dyDescent="0.2"/>
    <row r="650" s="180" customFormat="1" x14ac:dyDescent="0.2"/>
    <row r="651" s="180" customFormat="1" x14ac:dyDescent="0.2"/>
    <row r="652" s="180" customFormat="1" x14ac:dyDescent="0.2"/>
    <row r="653" s="180" customFormat="1" x14ac:dyDescent="0.2"/>
    <row r="654" s="180" customFormat="1" x14ac:dyDescent="0.2"/>
    <row r="655" s="180" customFormat="1" x14ac:dyDescent="0.2"/>
    <row r="656" s="180" customFormat="1" x14ac:dyDescent="0.2"/>
    <row r="657" s="180" customFormat="1" x14ac:dyDescent="0.2"/>
    <row r="658" s="180" customFormat="1" x14ac:dyDescent="0.2"/>
    <row r="659" s="180" customFormat="1" x14ac:dyDescent="0.2"/>
    <row r="660" s="180" customFormat="1" x14ac:dyDescent="0.2"/>
    <row r="661" s="180" customFormat="1" x14ac:dyDescent="0.2"/>
    <row r="662" s="180" customFormat="1" x14ac:dyDescent="0.2"/>
    <row r="663" s="180" customFormat="1" x14ac:dyDescent="0.2"/>
    <row r="664" s="180" customFormat="1" x14ac:dyDescent="0.2"/>
    <row r="665" s="180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G80" sqref="G80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207" t="s">
        <v>113</v>
      </c>
      <c r="D1" s="208" t="s">
        <v>114</v>
      </c>
    </row>
    <row r="2" spans="1:4" x14ac:dyDescent="0.25">
      <c r="A2" s="172">
        <v>1</v>
      </c>
      <c r="B2" s="168"/>
      <c r="C2" s="173" t="s">
        <v>115</v>
      </c>
      <c r="D2" s="174"/>
    </row>
    <row r="3" spans="1:4" x14ac:dyDescent="0.25">
      <c r="A3" s="175">
        <f>$A$2+0</f>
        <v>1</v>
      </c>
      <c r="B3" s="169">
        <f t="shared" ref="B3:B4" si="0">$B$2</f>
        <v>0</v>
      </c>
      <c r="C3" s="173" t="s">
        <v>116</v>
      </c>
      <c r="D3" s="174"/>
    </row>
    <row r="4" spans="1:4" x14ac:dyDescent="0.25">
      <c r="A4" s="175">
        <f>$A$2+0</f>
        <v>1</v>
      </c>
      <c r="B4" s="169">
        <f t="shared" si="0"/>
        <v>0</v>
      </c>
      <c r="C4" s="173" t="s">
        <v>117</v>
      </c>
      <c r="D4" s="174"/>
    </row>
    <row r="5" spans="1:4" x14ac:dyDescent="0.25">
      <c r="A5" s="172">
        <f>2</f>
        <v>2</v>
      </c>
      <c r="B5" s="168"/>
      <c r="C5" s="173" t="s">
        <v>115</v>
      </c>
      <c r="D5" s="174"/>
    </row>
    <row r="6" spans="1:4" x14ac:dyDescent="0.25">
      <c r="A6" s="175">
        <f>$A$5</f>
        <v>2</v>
      </c>
      <c r="B6" s="169">
        <f t="shared" ref="B6:B7" si="1">$B$5</f>
        <v>0</v>
      </c>
      <c r="C6" s="173" t="s">
        <v>116</v>
      </c>
      <c r="D6" s="174"/>
    </row>
    <row r="7" spans="1:4" x14ac:dyDescent="0.25">
      <c r="A7" s="175">
        <f>$A$5</f>
        <v>2</v>
      </c>
      <c r="B7" s="169">
        <f t="shared" si="1"/>
        <v>0</v>
      </c>
      <c r="C7" s="173" t="s">
        <v>117</v>
      </c>
      <c r="D7" s="174"/>
    </row>
    <row r="8" spans="1:4" x14ac:dyDescent="0.25">
      <c r="A8" s="172">
        <f>3</f>
        <v>3</v>
      </c>
      <c r="B8" s="168"/>
      <c r="C8" s="173" t="s">
        <v>115</v>
      </c>
      <c r="D8" s="174"/>
    </row>
    <row r="9" spans="1:4" x14ac:dyDescent="0.25">
      <c r="A9" s="175">
        <f>$A$8</f>
        <v>3</v>
      </c>
      <c r="B9" s="169">
        <f t="shared" ref="B9:B10" si="2">$B$8</f>
        <v>0</v>
      </c>
      <c r="C9" s="173" t="s">
        <v>116</v>
      </c>
      <c r="D9" s="174"/>
    </row>
    <row r="10" spans="1:4" x14ac:dyDescent="0.25">
      <c r="A10" s="175">
        <f>$A$8</f>
        <v>3</v>
      </c>
      <c r="B10" s="169">
        <f t="shared" si="2"/>
        <v>0</v>
      </c>
      <c r="C10" s="173" t="s">
        <v>117</v>
      </c>
      <c r="D10" s="174"/>
    </row>
    <row r="11" spans="1:4" x14ac:dyDescent="0.25">
      <c r="A11" s="172">
        <f>4</f>
        <v>4</v>
      </c>
      <c r="B11" s="168"/>
      <c r="C11" s="173" t="s">
        <v>115</v>
      </c>
      <c r="D11" s="174"/>
    </row>
    <row r="12" spans="1:4" x14ac:dyDescent="0.25">
      <c r="A12" s="175">
        <f>$A$11</f>
        <v>4</v>
      </c>
      <c r="B12" s="169">
        <f t="shared" ref="B12:B13" si="3">$B$11</f>
        <v>0</v>
      </c>
      <c r="C12" s="173" t="s">
        <v>116</v>
      </c>
      <c r="D12" s="174"/>
    </row>
    <row r="13" spans="1:4" x14ac:dyDescent="0.25">
      <c r="A13" s="175">
        <f>$A$11</f>
        <v>4</v>
      </c>
      <c r="B13" s="169">
        <f t="shared" si="3"/>
        <v>0</v>
      </c>
      <c r="C13" s="173" t="s">
        <v>117</v>
      </c>
      <c r="D13" s="174"/>
    </row>
    <row r="14" spans="1:4" x14ac:dyDescent="0.25">
      <c r="A14" s="172">
        <f>5</f>
        <v>5</v>
      </c>
      <c r="B14" s="168"/>
      <c r="C14" s="173" t="s">
        <v>115</v>
      </c>
      <c r="D14" s="174"/>
    </row>
    <row r="15" spans="1:4" x14ac:dyDescent="0.25">
      <c r="A15" s="175">
        <f>$A$14</f>
        <v>5</v>
      </c>
      <c r="B15" s="169">
        <f t="shared" ref="B15:B16" si="4">$B$14</f>
        <v>0</v>
      </c>
      <c r="C15" s="173" t="s">
        <v>116</v>
      </c>
      <c r="D15" s="174"/>
    </row>
    <row r="16" spans="1:4" x14ac:dyDescent="0.25">
      <c r="A16" s="175">
        <f>$A$14</f>
        <v>5</v>
      </c>
      <c r="B16" s="169">
        <f t="shared" si="4"/>
        <v>0</v>
      </c>
      <c r="C16" s="173" t="s">
        <v>117</v>
      </c>
      <c r="D16" s="174"/>
    </row>
    <row r="17" spans="1:9" x14ac:dyDescent="0.25">
      <c r="A17" s="172">
        <f>6</f>
        <v>6</v>
      </c>
      <c r="B17" s="168"/>
      <c r="C17" s="173" t="s">
        <v>115</v>
      </c>
      <c r="D17" s="174"/>
    </row>
    <row r="18" spans="1:9" x14ac:dyDescent="0.25">
      <c r="A18" s="175">
        <f>$A$17</f>
        <v>6</v>
      </c>
      <c r="B18" s="169">
        <f t="shared" ref="B18:B19" si="5">$B$17</f>
        <v>0</v>
      </c>
      <c r="C18" s="173" t="s">
        <v>116</v>
      </c>
      <c r="D18" s="174"/>
    </row>
    <row r="19" spans="1:9" x14ac:dyDescent="0.25">
      <c r="A19" s="175">
        <f>$A$17</f>
        <v>6</v>
      </c>
      <c r="B19" s="169">
        <f t="shared" si="5"/>
        <v>0</v>
      </c>
      <c r="C19" s="173" t="s">
        <v>117</v>
      </c>
      <c r="D19" s="174"/>
      <c r="G19" s="201"/>
    </row>
    <row r="20" spans="1:9" x14ac:dyDescent="0.25">
      <c r="A20" s="172">
        <f>7</f>
        <v>7</v>
      </c>
      <c r="B20" s="168"/>
      <c r="C20" s="173" t="s">
        <v>115</v>
      </c>
      <c r="D20" s="174"/>
    </row>
    <row r="21" spans="1:9" x14ac:dyDescent="0.25">
      <c r="A21" s="175">
        <f>$A$20</f>
        <v>7</v>
      </c>
      <c r="B21" s="169">
        <f t="shared" ref="B21:B22" si="6">$B$20</f>
        <v>0</v>
      </c>
      <c r="C21" s="173" t="s">
        <v>116</v>
      </c>
      <c r="D21" s="174"/>
    </row>
    <row r="22" spans="1:9" x14ac:dyDescent="0.25">
      <c r="A22" s="175">
        <f>$A$20</f>
        <v>7</v>
      </c>
      <c r="B22" s="169">
        <f t="shared" si="6"/>
        <v>0</v>
      </c>
      <c r="C22" s="173" t="s">
        <v>117</v>
      </c>
      <c r="D22" s="174"/>
    </row>
    <row r="23" spans="1:9" x14ac:dyDescent="0.25">
      <c r="A23" s="172">
        <f>8</f>
        <v>8</v>
      </c>
      <c r="B23" s="168"/>
      <c r="C23" s="173" t="s">
        <v>115</v>
      </c>
      <c r="D23" s="174"/>
    </row>
    <row r="24" spans="1:9" x14ac:dyDescent="0.25">
      <c r="A24" s="175">
        <f>$A$23</f>
        <v>8</v>
      </c>
      <c r="B24" s="169">
        <f t="shared" ref="B24:B25" si="7">$B$23</f>
        <v>0</v>
      </c>
      <c r="C24" s="173" t="s">
        <v>116</v>
      </c>
      <c r="D24" s="174"/>
    </row>
    <row r="25" spans="1:9" x14ac:dyDescent="0.25">
      <c r="A25" s="175">
        <f>$A$23</f>
        <v>8</v>
      </c>
      <c r="B25" s="169">
        <f t="shared" si="7"/>
        <v>0</v>
      </c>
      <c r="C25" s="173" t="s">
        <v>117</v>
      </c>
      <c r="D25" s="174"/>
    </row>
    <row r="26" spans="1:9" x14ac:dyDescent="0.25">
      <c r="A26" s="172">
        <f>9</f>
        <v>9</v>
      </c>
      <c r="B26" s="168"/>
      <c r="C26" s="173" t="s">
        <v>115</v>
      </c>
      <c r="D26" s="174"/>
    </row>
    <row r="27" spans="1:9" x14ac:dyDescent="0.25">
      <c r="A27" s="175">
        <f>$A$26</f>
        <v>9</v>
      </c>
      <c r="B27" s="169">
        <f t="shared" ref="B27:B28" si="8">$B$26</f>
        <v>0</v>
      </c>
      <c r="C27" s="173" t="s">
        <v>116</v>
      </c>
      <c r="D27" s="174"/>
    </row>
    <row r="28" spans="1:9" x14ac:dyDescent="0.25">
      <c r="A28" s="175">
        <f>$A$26</f>
        <v>9</v>
      </c>
      <c r="B28" s="169">
        <f t="shared" si="8"/>
        <v>0</v>
      </c>
      <c r="C28" s="173" t="s">
        <v>117</v>
      </c>
      <c r="D28" s="174"/>
    </row>
    <row r="29" spans="1:9" x14ac:dyDescent="0.25">
      <c r="A29" s="176">
        <v>10</v>
      </c>
      <c r="B29" s="168"/>
      <c r="C29" s="173" t="s">
        <v>115</v>
      </c>
      <c r="D29" s="174"/>
    </row>
    <row r="30" spans="1:9" x14ac:dyDescent="0.25">
      <c r="A30" s="175">
        <f>$A$29</f>
        <v>10</v>
      </c>
      <c r="B30" s="169">
        <f t="shared" ref="B30:B31" si="9">$B$29</f>
        <v>0</v>
      </c>
      <c r="C30" s="173" t="s">
        <v>116</v>
      </c>
      <c r="D30" s="174"/>
    </row>
    <row r="31" spans="1:9" x14ac:dyDescent="0.25">
      <c r="A31" s="175">
        <f>$A$29</f>
        <v>10</v>
      </c>
      <c r="B31" s="169">
        <f t="shared" si="9"/>
        <v>0</v>
      </c>
      <c r="C31" s="173" t="s">
        <v>117</v>
      </c>
      <c r="D31" s="174"/>
    </row>
    <row r="32" spans="1:9" ht="13.5" x14ac:dyDescent="0.25">
      <c r="A32" s="177">
        <v>11</v>
      </c>
      <c r="B32" s="168"/>
      <c r="C32" s="173" t="s">
        <v>115</v>
      </c>
      <c r="D32" s="174"/>
      <c r="E32" s="1"/>
      <c r="F32" s="1"/>
      <c r="G32" s="4"/>
      <c r="I32" s="1"/>
    </row>
    <row r="33" spans="1:9" ht="13.5" x14ac:dyDescent="0.25">
      <c r="A33" s="177">
        <v>11</v>
      </c>
      <c r="B33" s="169">
        <f t="shared" ref="B33:B34" si="10">$B$32</f>
        <v>0</v>
      </c>
      <c r="C33" s="173" t="s">
        <v>116</v>
      </c>
      <c r="D33" s="174"/>
      <c r="E33" s="1"/>
      <c r="F33" s="1"/>
      <c r="G33" s="4"/>
      <c r="I33" s="1"/>
    </row>
    <row r="34" spans="1:9" ht="13.5" x14ac:dyDescent="0.25">
      <c r="A34" s="177">
        <v>11</v>
      </c>
      <c r="B34" s="169">
        <f t="shared" si="10"/>
        <v>0</v>
      </c>
      <c r="C34" s="173" t="s">
        <v>117</v>
      </c>
      <c r="D34" s="174"/>
      <c r="E34" s="1"/>
      <c r="F34" s="1"/>
      <c r="G34" s="4"/>
    </row>
    <row r="35" spans="1:9" ht="13.5" x14ac:dyDescent="0.25">
      <c r="A35" s="177">
        <v>12</v>
      </c>
      <c r="B35" s="168"/>
      <c r="C35" s="173" t="s">
        <v>115</v>
      </c>
      <c r="D35" s="174"/>
      <c r="E35" s="1"/>
      <c r="F35" s="1"/>
      <c r="G35" s="4"/>
    </row>
    <row r="36" spans="1:9" ht="13.5" x14ac:dyDescent="0.25">
      <c r="A36" s="177">
        <v>12</v>
      </c>
      <c r="B36" s="169">
        <f t="shared" ref="B36:B37" si="11">$B$35</f>
        <v>0</v>
      </c>
      <c r="C36" s="173" t="s">
        <v>116</v>
      </c>
      <c r="D36" s="174"/>
      <c r="E36" s="1"/>
      <c r="F36" s="1"/>
      <c r="G36" s="4"/>
    </row>
    <row r="37" spans="1:9" ht="13.5" x14ac:dyDescent="0.25">
      <c r="A37" s="177">
        <v>12</v>
      </c>
      <c r="B37" s="169">
        <f t="shared" si="11"/>
        <v>0</v>
      </c>
      <c r="C37" s="173" t="s">
        <v>117</v>
      </c>
      <c r="D37" s="174"/>
      <c r="E37" s="1"/>
      <c r="F37" s="1"/>
      <c r="G37" s="4"/>
    </row>
    <row r="38" spans="1:9" ht="13.5" x14ac:dyDescent="0.25">
      <c r="A38" s="177">
        <v>13</v>
      </c>
      <c r="B38" s="168"/>
      <c r="C38" s="173" t="s">
        <v>115</v>
      </c>
      <c r="D38" s="174"/>
      <c r="E38" s="1"/>
      <c r="F38" s="1"/>
      <c r="G38" s="4"/>
    </row>
    <row r="39" spans="1:9" ht="13.5" x14ac:dyDescent="0.25">
      <c r="A39" s="177">
        <v>13</v>
      </c>
      <c r="B39" s="169">
        <f t="shared" ref="B39:B40" si="12">$B$38</f>
        <v>0</v>
      </c>
      <c r="C39" s="173" t="s">
        <v>116</v>
      </c>
      <c r="D39" s="174"/>
      <c r="E39" s="1"/>
      <c r="F39" s="1"/>
      <c r="G39" s="4"/>
    </row>
    <row r="40" spans="1:9" ht="13.5" x14ac:dyDescent="0.25">
      <c r="A40" s="177">
        <v>13</v>
      </c>
      <c r="B40" s="169">
        <f t="shared" si="12"/>
        <v>0</v>
      </c>
      <c r="C40" s="173" t="s">
        <v>117</v>
      </c>
      <c r="D40" s="174"/>
    </row>
    <row r="41" spans="1:9" ht="13.5" x14ac:dyDescent="0.25">
      <c r="A41" s="177">
        <v>14</v>
      </c>
      <c r="B41" s="168"/>
      <c r="C41" s="173" t="s">
        <v>115</v>
      </c>
      <c r="D41" s="174"/>
    </row>
    <row r="42" spans="1:9" ht="13.5" x14ac:dyDescent="0.25">
      <c r="A42" s="177">
        <v>14</v>
      </c>
      <c r="B42" s="169">
        <f t="shared" ref="B42:B43" si="13">$B$41</f>
        <v>0</v>
      </c>
      <c r="C42" s="173" t="s">
        <v>116</v>
      </c>
      <c r="D42" s="174"/>
    </row>
    <row r="43" spans="1:9" ht="13.5" x14ac:dyDescent="0.25">
      <c r="A43" s="177">
        <v>14</v>
      </c>
      <c r="B43" s="169">
        <f t="shared" si="13"/>
        <v>0</v>
      </c>
      <c r="C43" s="173" t="s">
        <v>117</v>
      </c>
      <c r="D43" s="174"/>
    </row>
    <row r="44" spans="1:9" ht="13.5" x14ac:dyDescent="0.25">
      <c r="A44" s="177">
        <v>15</v>
      </c>
      <c r="B44" s="168"/>
      <c r="C44" s="173" t="s">
        <v>115</v>
      </c>
      <c r="D44" s="174"/>
    </row>
    <row r="45" spans="1:9" ht="13.5" x14ac:dyDescent="0.25">
      <c r="A45" s="177">
        <v>15</v>
      </c>
      <c r="B45" s="169">
        <f t="shared" ref="B45:B46" si="14">$B$44</f>
        <v>0</v>
      </c>
      <c r="C45" s="173" t="s">
        <v>116</v>
      </c>
      <c r="D45" s="174"/>
    </row>
    <row r="46" spans="1:9" ht="13.5" x14ac:dyDescent="0.25">
      <c r="A46" s="177">
        <v>15</v>
      </c>
      <c r="B46" s="169">
        <f t="shared" si="14"/>
        <v>0</v>
      </c>
      <c r="C46" s="173" t="s">
        <v>117</v>
      </c>
      <c r="D46" s="174"/>
    </row>
    <row r="47" spans="1:9" ht="13.5" x14ac:dyDescent="0.25">
      <c r="A47" s="177">
        <v>16</v>
      </c>
      <c r="B47" s="168"/>
      <c r="C47" s="173" t="s">
        <v>115</v>
      </c>
      <c r="D47" s="174"/>
    </row>
    <row r="48" spans="1:9" ht="13.5" x14ac:dyDescent="0.25">
      <c r="A48" s="177">
        <v>16</v>
      </c>
      <c r="B48" s="169">
        <f t="shared" ref="B48:B49" si="15">$B$47</f>
        <v>0</v>
      </c>
      <c r="C48" s="173" t="s">
        <v>116</v>
      </c>
      <c r="D48" s="174"/>
    </row>
    <row r="49" spans="1:4" ht="13.5" x14ac:dyDescent="0.25">
      <c r="A49" s="177">
        <v>16</v>
      </c>
      <c r="B49" s="169">
        <f t="shared" si="15"/>
        <v>0</v>
      </c>
      <c r="C49" s="173" t="s">
        <v>117</v>
      </c>
      <c r="D49" s="174"/>
    </row>
    <row r="50" spans="1:4" ht="13.5" x14ac:dyDescent="0.25">
      <c r="A50" s="177">
        <v>17</v>
      </c>
      <c r="B50" s="168"/>
      <c r="C50" s="173" t="s">
        <v>115</v>
      </c>
      <c r="D50" s="174"/>
    </row>
    <row r="51" spans="1:4" ht="13.5" x14ac:dyDescent="0.25">
      <c r="A51" s="177">
        <v>17</v>
      </c>
      <c r="B51" s="169">
        <f t="shared" ref="B51:B52" si="16">$B$50</f>
        <v>0</v>
      </c>
      <c r="C51" s="173" t="s">
        <v>116</v>
      </c>
      <c r="D51" s="174"/>
    </row>
    <row r="52" spans="1:4" ht="13.5" x14ac:dyDescent="0.25">
      <c r="A52" s="177">
        <v>17</v>
      </c>
      <c r="B52" s="169">
        <f t="shared" si="16"/>
        <v>0</v>
      </c>
      <c r="C52" s="173" t="s">
        <v>117</v>
      </c>
      <c r="D52" s="174"/>
    </row>
    <row r="53" spans="1:4" ht="13.5" x14ac:dyDescent="0.25">
      <c r="A53" s="177">
        <v>18</v>
      </c>
      <c r="B53" s="168"/>
      <c r="C53" s="173" t="s">
        <v>115</v>
      </c>
      <c r="D53" s="174"/>
    </row>
    <row r="54" spans="1:4" ht="13.5" x14ac:dyDescent="0.25">
      <c r="A54" s="177">
        <v>18</v>
      </c>
      <c r="B54" s="169">
        <f t="shared" ref="B54:B55" si="17">$B$53</f>
        <v>0</v>
      </c>
      <c r="C54" s="173" t="s">
        <v>116</v>
      </c>
      <c r="D54" s="174"/>
    </row>
    <row r="55" spans="1:4" ht="13.5" x14ac:dyDescent="0.25">
      <c r="A55" s="177">
        <v>18</v>
      </c>
      <c r="B55" s="169">
        <f t="shared" si="17"/>
        <v>0</v>
      </c>
      <c r="C55" s="173" t="s">
        <v>117</v>
      </c>
      <c r="D55" s="174"/>
    </row>
    <row r="56" spans="1:4" ht="13.5" x14ac:dyDescent="0.25">
      <c r="A56" s="177">
        <v>19</v>
      </c>
      <c r="B56" s="168"/>
      <c r="C56" s="173" t="s">
        <v>115</v>
      </c>
      <c r="D56" s="174"/>
    </row>
    <row r="57" spans="1:4" ht="13.5" x14ac:dyDescent="0.25">
      <c r="A57" s="177">
        <v>19</v>
      </c>
      <c r="B57" s="169">
        <f t="shared" ref="B57:B58" si="18">$B$56</f>
        <v>0</v>
      </c>
      <c r="C57" s="173" t="s">
        <v>116</v>
      </c>
      <c r="D57" s="174"/>
    </row>
    <row r="58" spans="1:4" ht="13.5" x14ac:dyDescent="0.25">
      <c r="A58" s="177">
        <v>19</v>
      </c>
      <c r="B58" s="169">
        <f t="shared" si="18"/>
        <v>0</v>
      </c>
      <c r="C58" s="173" t="s">
        <v>117</v>
      </c>
      <c r="D58" s="174"/>
    </row>
    <row r="59" spans="1:4" ht="13.5" x14ac:dyDescent="0.25">
      <c r="A59" s="177">
        <v>20</v>
      </c>
      <c r="B59" s="168"/>
      <c r="C59" s="173" t="s">
        <v>115</v>
      </c>
      <c r="D59" s="174"/>
    </row>
    <row r="60" spans="1:4" ht="13.5" x14ac:dyDescent="0.25">
      <c r="A60" s="177">
        <v>20</v>
      </c>
      <c r="B60" s="169">
        <f t="shared" ref="B60:B61" si="19">$B$59</f>
        <v>0</v>
      </c>
      <c r="C60" s="173" t="s">
        <v>116</v>
      </c>
      <c r="D60" s="174"/>
    </row>
    <row r="61" spans="1:4" ht="13.5" x14ac:dyDescent="0.25">
      <c r="A61" s="177">
        <v>20</v>
      </c>
      <c r="B61" s="169">
        <f t="shared" si="19"/>
        <v>0</v>
      </c>
      <c r="C61" s="173" t="s">
        <v>117</v>
      </c>
      <c r="D61" s="174"/>
    </row>
    <row r="62" spans="1:4" ht="13.5" x14ac:dyDescent="0.25">
      <c r="A62" s="177">
        <v>21</v>
      </c>
      <c r="B62" s="168"/>
      <c r="C62" s="173" t="s">
        <v>115</v>
      </c>
      <c r="D62" s="174"/>
    </row>
    <row r="63" spans="1:4" ht="13.5" x14ac:dyDescent="0.25">
      <c r="A63" s="177">
        <v>21</v>
      </c>
      <c r="B63" s="169">
        <f t="shared" ref="B63:B64" si="20">$B$62</f>
        <v>0</v>
      </c>
      <c r="C63" s="173" t="s">
        <v>116</v>
      </c>
      <c r="D63" s="174"/>
    </row>
    <row r="64" spans="1:4" ht="13.5" x14ac:dyDescent="0.25">
      <c r="A64" s="177">
        <v>21</v>
      </c>
      <c r="B64" s="169">
        <f t="shared" si="20"/>
        <v>0</v>
      </c>
      <c r="C64" s="173" t="s">
        <v>117</v>
      </c>
      <c r="D64" s="174"/>
    </row>
    <row r="65" spans="1:7" ht="13.5" x14ac:dyDescent="0.25">
      <c r="A65" s="177">
        <v>22</v>
      </c>
      <c r="B65" s="168"/>
      <c r="C65" s="173" t="s">
        <v>115</v>
      </c>
      <c r="D65" s="174"/>
    </row>
    <row r="66" spans="1:7" ht="13.5" x14ac:dyDescent="0.25">
      <c r="A66" s="177">
        <v>22</v>
      </c>
      <c r="B66" s="169">
        <f t="shared" ref="B66:B67" si="21">$B$65</f>
        <v>0</v>
      </c>
      <c r="C66" s="173" t="s">
        <v>116</v>
      </c>
      <c r="D66" s="174"/>
    </row>
    <row r="67" spans="1:7" ht="13.5" x14ac:dyDescent="0.25">
      <c r="A67" s="177">
        <v>22</v>
      </c>
      <c r="B67" s="169">
        <f t="shared" si="21"/>
        <v>0</v>
      </c>
      <c r="C67" s="173" t="s">
        <v>117</v>
      </c>
      <c r="D67" s="174"/>
    </row>
    <row r="68" spans="1:7" ht="13.5" x14ac:dyDescent="0.25">
      <c r="A68" s="177">
        <v>23</v>
      </c>
      <c r="B68" s="168"/>
      <c r="C68" s="173" t="s">
        <v>115</v>
      </c>
      <c r="D68" s="174"/>
    </row>
    <row r="69" spans="1:7" ht="13.5" x14ac:dyDescent="0.25">
      <c r="A69" s="177">
        <v>23</v>
      </c>
      <c r="B69" s="169">
        <f t="shared" ref="B69:B70" si="22">$B$68</f>
        <v>0</v>
      </c>
      <c r="C69" s="173" t="s">
        <v>116</v>
      </c>
      <c r="D69" s="174"/>
    </row>
    <row r="70" spans="1:7" ht="13.5" x14ac:dyDescent="0.25">
      <c r="A70" s="177">
        <v>23</v>
      </c>
      <c r="B70" s="169">
        <f t="shared" si="22"/>
        <v>0</v>
      </c>
      <c r="C70" s="173" t="s">
        <v>117</v>
      </c>
      <c r="D70" s="174"/>
    </row>
    <row r="71" spans="1:7" ht="13.5" x14ac:dyDescent="0.25">
      <c r="A71" s="177">
        <v>24</v>
      </c>
      <c r="B71" s="168"/>
      <c r="C71" s="173" t="s">
        <v>115</v>
      </c>
      <c r="D71" s="174"/>
    </row>
    <row r="72" spans="1:7" ht="13.5" x14ac:dyDescent="0.25">
      <c r="A72" s="177">
        <v>24</v>
      </c>
      <c r="B72" s="169">
        <f t="shared" ref="B72:B73" si="23">$B$71</f>
        <v>0</v>
      </c>
      <c r="C72" s="173" t="s">
        <v>116</v>
      </c>
      <c r="D72" s="174"/>
    </row>
    <row r="73" spans="1:7" ht="13.5" x14ac:dyDescent="0.25">
      <c r="A73" s="177">
        <v>24</v>
      </c>
      <c r="B73" s="169">
        <f t="shared" si="23"/>
        <v>0</v>
      </c>
      <c r="C73" s="173" t="s">
        <v>117</v>
      </c>
      <c r="D73" s="174"/>
    </row>
    <row r="74" spans="1:7" ht="13.5" x14ac:dyDescent="0.25">
      <c r="A74" s="177">
        <v>25</v>
      </c>
      <c r="B74" s="168"/>
      <c r="C74" s="173" t="s">
        <v>115</v>
      </c>
      <c r="D74" s="174"/>
    </row>
    <row r="75" spans="1:7" ht="13.5" x14ac:dyDescent="0.25">
      <c r="A75" s="177">
        <v>25</v>
      </c>
      <c r="B75" s="169">
        <f t="shared" ref="B75:B76" si="24">$B$74</f>
        <v>0</v>
      </c>
      <c r="C75" s="173" t="s">
        <v>116</v>
      </c>
      <c r="D75" s="174"/>
    </row>
    <row r="76" spans="1:7" ht="13.5" x14ac:dyDescent="0.25">
      <c r="A76" s="177">
        <v>25</v>
      </c>
      <c r="B76" s="169">
        <f t="shared" si="24"/>
        <v>0</v>
      </c>
      <c r="C76" s="173" t="s">
        <v>117</v>
      </c>
      <c r="D76" s="174"/>
    </row>
    <row r="77" spans="1:7" ht="13.5" x14ac:dyDescent="0.25">
      <c r="A77" s="177">
        <v>26</v>
      </c>
      <c r="B77" s="168"/>
      <c r="C77" s="173" t="s">
        <v>115</v>
      </c>
      <c r="D77" s="174"/>
    </row>
    <row r="78" spans="1:7" ht="13.5" x14ac:dyDescent="0.25">
      <c r="A78" s="177">
        <v>26</v>
      </c>
      <c r="B78" s="169">
        <f t="shared" ref="B78:B79" si="25">$B$77</f>
        <v>0</v>
      </c>
      <c r="C78" s="173" t="s">
        <v>116</v>
      </c>
      <c r="D78" s="174"/>
    </row>
    <row r="79" spans="1:7" ht="13.5" x14ac:dyDescent="0.25">
      <c r="A79" s="177">
        <v>26</v>
      </c>
      <c r="B79" s="169">
        <f t="shared" si="25"/>
        <v>0</v>
      </c>
      <c r="C79" s="173" t="s">
        <v>117</v>
      </c>
      <c r="D79" s="174"/>
    </row>
    <row r="80" spans="1:7" ht="13.5" x14ac:dyDescent="0.25">
      <c r="A80" s="177">
        <v>27</v>
      </c>
      <c r="B80" s="168"/>
      <c r="C80" s="173" t="s">
        <v>115</v>
      </c>
      <c r="D80" s="174"/>
      <c r="G80" s="201"/>
    </row>
    <row r="81" spans="1:8" ht="13.5" x14ac:dyDescent="0.25">
      <c r="A81" s="177">
        <v>27</v>
      </c>
      <c r="B81" s="169">
        <f t="shared" ref="B81:B82" si="26">$B$80</f>
        <v>0</v>
      </c>
      <c r="C81" s="173" t="s">
        <v>116</v>
      </c>
      <c r="D81" s="174"/>
    </row>
    <row r="82" spans="1:8" ht="13.5" x14ac:dyDescent="0.25">
      <c r="A82" s="177">
        <v>27</v>
      </c>
      <c r="B82" s="169">
        <f t="shared" si="26"/>
        <v>0</v>
      </c>
      <c r="C82" s="173" t="s">
        <v>117</v>
      </c>
      <c r="D82" s="174"/>
    </row>
    <row r="83" spans="1:8" ht="13.5" x14ac:dyDescent="0.25">
      <c r="A83" s="177">
        <v>28</v>
      </c>
      <c r="B83" s="168"/>
      <c r="C83" s="173" t="s">
        <v>115</v>
      </c>
      <c r="D83" s="174"/>
    </row>
    <row r="84" spans="1:8" ht="13.5" x14ac:dyDescent="0.25">
      <c r="A84" s="177">
        <v>28</v>
      </c>
      <c r="B84" s="169">
        <f t="shared" ref="B84:B85" si="27">$B$83</f>
        <v>0</v>
      </c>
      <c r="C84" s="173" t="s">
        <v>116</v>
      </c>
      <c r="D84" s="174"/>
    </row>
    <row r="85" spans="1:8" ht="13.5" x14ac:dyDescent="0.25">
      <c r="A85" s="177">
        <v>28</v>
      </c>
      <c r="B85" s="169">
        <f t="shared" si="27"/>
        <v>0</v>
      </c>
      <c r="C85" s="173" t="s">
        <v>117</v>
      </c>
      <c r="D85" s="174"/>
    </row>
    <row r="86" spans="1:8" ht="13.5" x14ac:dyDescent="0.25">
      <c r="A86" s="177">
        <v>29</v>
      </c>
      <c r="B86" s="168"/>
      <c r="C86" s="173" t="s">
        <v>115</v>
      </c>
      <c r="D86" s="174"/>
    </row>
    <row r="87" spans="1:8" ht="13.5" x14ac:dyDescent="0.25">
      <c r="A87" s="177">
        <v>29</v>
      </c>
      <c r="B87" s="169">
        <f t="shared" ref="B87:B88" si="28">$B$86</f>
        <v>0</v>
      </c>
      <c r="C87" s="173" t="s">
        <v>116</v>
      </c>
      <c r="D87" s="174"/>
      <c r="H87" s="201"/>
    </row>
    <row r="88" spans="1:8" ht="13.5" x14ac:dyDescent="0.25">
      <c r="A88" s="177">
        <v>29</v>
      </c>
      <c r="B88" s="169">
        <f t="shared" si="28"/>
        <v>0</v>
      </c>
      <c r="C88" s="173" t="s">
        <v>117</v>
      </c>
      <c r="D88" s="174"/>
    </row>
    <row r="89" spans="1:8" ht="13.5" x14ac:dyDescent="0.25">
      <c r="A89" s="177">
        <v>30</v>
      </c>
      <c r="B89" s="168"/>
      <c r="C89" s="173" t="s">
        <v>115</v>
      </c>
      <c r="D89" s="174"/>
    </row>
    <row r="90" spans="1:8" ht="13.5" x14ac:dyDescent="0.25">
      <c r="A90" s="177">
        <v>30</v>
      </c>
      <c r="B90" s="169">
        <f t="shared" ref="B90:B91" si="29">$B$89</f>
        <v>0</v>
      </c>
      <c r="C90" s="173" t="s">
        <v>116</v>
      </c>
      <c r="D90" s="174"/>
    </row>
    <row r="91" spans="1:8" ht="13.5" x14ac:dyDescent="0.25">
      <c r="A91" s="177">
        <v>30</v>
      </c>
      <c r="B91" s="169">
        <f t="shared" si="29"/>
        <v>0</v>
      </c>
      <c r="C91" s="173" t="s">
        <v>117</v>
      </c>
      <c r="D91" s="174"/>
    </row>
    <row r="92" spans="1:8" ht="13.5" x14ac:dyDescent="0.25">
      <c r="A92" s="202"/>
      <c r="B92" s="203"/>
      <c r="C92" s="204"/>
      <c r="D92" s="205"/>
      <c r="G92" s="201"/>
    </row>
    <row r="93" spans="1:8" ht="13.5" x14ac:dyDescent="0.25">
      <c r="A93" s="202"/>
      <c r="B93" s="206"/>
      <c r="C93" s="204"/>
      <c r="D93" s="205"/>
    </row>
    <row r="94" spans="1:8" ht="13.5" x14ac:dyDescent="0.25">
      <c r="A94" s="202"/>
      <c r="B94" s="206"/>
      <c r="C94" s="204"/>
      <c r="D94" s="205"/>
    </row>
    <row r="95" spans="1:8" ht="13.5" x14ac:dyDescent="0.25">
      <c r="A95" s="202"/>
      <c r="B95" s="203"/>
      <c r="C95" s="204"/>
      <c r="D95" s="205"/>
    </row>
    <row r="96" spans="1:8" ht="13.5" x14ac:dyDescent="0.25">
      <c r="A96" s="202"/>
      <c r="B96" s="206"/>
      <c r="C96" s="204"/>
      <c r="D96" s="205"/>
    </row>
    <row r="97" spans="1:4" ht="13.5" x14ac:dyDescent="0.25">
      <c r="A97" s="202"/>
      <c r="B97" s="206"/>
      <c r="C97" s="204"/>
      <c r="D97" s="205"/>
    </row>
    <row r="98" spans="1:4" ht="13.5" x14ac:dyDescent="0.25">
      <c r="A98" s="202"/>
      <c r="B98" s="203"/>
      <c r="C98" s="204"/>
      <c r="D98" s="205"/>
    </row>
    <row r="99" spans="1:4" ht="13.5" x14ac:dyDescent="0.25">
      <c r="A99" s="202"/>
      <c r="B99" s="206"/>
      <c r="C99" s="204"/>
      <c r="D99" s="205"/>
    </row>
    <row r="100" spans="1:4" ht="13.5" x14ac:dyDescent="0.25">
      <c r="A100" s="202"/>
      <c r="B100" s="206"/>
      <c r="C100" s="204"/>
      <c r="D100" s="205"/>
    </row>
    <row r="101" spans="1:4" ht="13.5" x14ac:dyDescent="0.25">
      <c r="A101" s="202"/>
      <c r="B101" s="203"/>
      <c r="C101" s="204"/>
      <c r="D101" s="205"/>
    </row>
    <row r="102" spans="1:4" ht="13.5" x14ac:dyDescent="0.25">
      <c r="A102" s="202"/>
      <c r="B102" s="206"/>
      <c r="C102" s="204"/>
      <c r="D102" s="205"/>
    </row>
    <row r="103" spans="1:4" ht="13.5" x14ac:dyDescent="0.25">
      <c r="A103" s="202"/>
      <c r="B103" s="206"/>
      <c r="C103" s="204"/>
      <c r="D103" s="205"/>
    </row>
    <row r="104" spans="1:4" ht="13.5" x14ac:dyDescent="0.25">
      <c r="A104" s="202"/>
      <c r="B104" s="203"/>
      <c r="C104" s="204"/>
      <c r="D104" s="205"/>
    </row>
    <row r="105" spans="1:4" ht="13.5" x14ac:dyDescent="0.25">
      <c r="A105" s="202"/>
      <c r="B105" s="206"/>
      <c r="C105" s="204"/>
      <c r="D105" s="205"/>
    </row>
    <row r="106" spans="1:4" ht="13.5" x14ac:dyDescent="0.25">
      <c r="A106" s="202"/>
      <c r="B106" s="206"/>
      <c r="C106" s="204"/>
      <c r="D106" s="205"/>
    </row>
    <row r="107" spans="1:4" ht="13.5" x14ac:dyDescent="0.25">
      <c r="A107" s="202"/>
      <c r="B107" s="203"/>
      <c r="C107" s="204"/>
      <c r="D107" s="205"/>
    </row>
    <row r="108" spans="1:4" ht="13.5" x14ac:dyDescent="0.25">
      <c r="A108" s="202"/>
      <c r="B108" s="206"/>
      <c r="C108" s="204"/>
      <c r="D108" s="205"/>
    </row>
    <row r="109" spans="1:4" ht="13.5" x14ac:dyDescent="0.25">
      <c r="A109" s="202"/>
      <c r="B109" s="206"/>
      <c r="C109" s="204"/>
      <c r="D109" s="205"/>
    </row>
    <row r="110" spans="1:4" ht="13.5" x14ac:dyDescent="0.25">
      <c r="A110" s="202"/>
      <c r="B110" s="203"/>
      <c r="C110" s="204"/>
      <c r="D110" s="205"/>
    </row>
    <row r="111" spans="1:4" ht="13.5" x14ac:dyDescent="0.25">
      <c r="A111" s="202"/>
      <c r="B111" s="206"/>
      <c r="C111" s="204"/>
      <c r="D111" s="205"/>
    </row>
    <row r="112" spans="1:4" ht="13.5" x14ac:dyDescent="0.25">
      <c r="A112" s="202"/>
      <c r="B112" s="206"/>
      <c r="C112" s="204"/>
      <c r="D112" s="205"/>
    </row>
    <row r="113" spans="1:4" ht="13.5" x14ac:dyDescent="0.25">
      <c r="A113" s="202"/>
      <c r="B113" s="203"/>
      <c r="C113" s="204"/>
      <c r="D113" s="205"/>
    </row>
    <row r="114" spans="1:4" ht="13.5" x14ac:dyDescent="0.25">
      <c r="A114" s="202"/>
      <c r="B114" s="206"/>
      <c r="C114" s="204"/>
      <c r="D114" s="205"/>
    </row>
    <row r="115" spans="1:4" ht="13.5" x14ac:dyDescent="0.25">
      <c r="A115" s="202"/>
      <c r="B115" s="206"/>
      <c r="C115" s="204"/>
      <c r="D115" s="205"/>
    </row>
    <row r="116" spans="1:4" ht="13.5" x14ac:dyDescent="0.25">
      <c r="A116" s="202"/>
      <c r="B116" s="203"/>
      <c r="C116" s="204"/>
      <c r="D116" s="205"/>
    </row>
    <row r="117" spans="1:4" ht="13.5" x14ac:dyDescent="0.25">
      <c r="A117" s="202"/>
      <c r="B117" s="206"/>
      <c r="C117" s="204"/>
      <c r="D117" s="205"/>
    </row>
    <row r="118" spans="1:4" ht="13.5" x14ac:dyDescent="0.25">
      <c r="A118" s="202"/>
      <c r="B118" s="206"/>
      <c r="C118" s="204"/>
      <c r="D118" s="205"/>
    </row>
    <row r="119" spans="1:4" ht="13.5" x14ac:dyDescent="0.25">
      <c r="A119" s="202"/>
      <c r="B119" s="203"/>
      <c r="C119" s="204"/>
      <c r="D119" s="205"/>
    </row>
    <row r="120" spans="1:4" ht="13.5" x14ac:dyDescent="0.25">
      <c r="A120" s="202"/>
      <c r="B120" s="206"/>
      <c r="C120" s="204"/>
      <c r="D120" s="205"/>
    </row>
    <row r="121" spans="1:4" ht="13.5" x14ac:dyDescent="0.25">
      <c r="A121" s="202"/>
      <c r="B121" s="206"/>
      <c r="C121" s="204"/>
      <c r="D121" s="205"/>
    </row>
    <row r="122" spans="1:4" ht="13.5" x14ac:dyDescent="0.25">
      <c r="A122" s="202"/>
      <c r="B122" s="203"/>
      <c r="C122" s="204"/>
      <c r="D122" s="205"/>
    </row>
    <row r="123" spans="1:4" ht="13.5" x14ac:dyDescent="0.25">
      <c r="A123" s="202"/>
      <c r="B123" s="206"/>
      <c r="C123" s="204"/>
      <c r="D123" s="205"/>
    </row>
    <row r="124" spans="1:4" ht="13.5" x14ac:dyDescent="0.25">
      <c r="A124" s="202"/>
      <c r="B124" s="206"/>
      <c r="C124" s="204"/>
      <c r="D124" s="205"/>
    </row>
    <row r="125" spans="1:4" ht="13.5" x14ac:dyDescent="0.25">
      <c r="A125" s="202"/>
      <c r="B125" s="203"/>
      <c r="C125" s="204"/>
      <c r="D125" s="205"/>
    </row>
    <row r="126" spans="1:4" ht="13.5" x14ac:dyDescent="0.25">
      <c r="A126" s="202"/>
      <c r="B126" s="206"/>
      <c r="C126" s="204"/>
      <c r="D126" s="205"/>
    </row>
    <row r="127" spans="1:4" ht="13.5" x14ac:dyDescent="0.25">
      <c r="A127" s="202"/>
      <c r="B127" s="206"/>
      <c r="C127" s="204"/>
      <c r="D127" s="205"/>
    </row>
    <row r="128" spans="1:4" ht="13.5" x14ac:dyDescent="0.25">
      <c r="A128" s="202"/>
      <c r="B128" s="203"/>
      <c r="C128" s="204"/>
      <c r="D128" s="205"/>
    </row>
    <row r="129" spans="1:4" ht="13.5" x14ac:dyDescent="0.25">
      <c r="A129" s="202"/>
      <c r="B129" s="206"/>
      <c r="C129" s="204"/>
      <c r="D129" s="205"/>
    </row>
    <row r="130" spans="1:4" ht="13.5" x14ac:dyDescent="0.25">
      <c r="A130" s="202"/>
      <c r="B130" s="206"/>
      <c r="C130" s="204"/>
      <c r="D130" s="205"/>
    </row>
    <row r="131" spans="1:4" ht="13.5" x14ac:dyDescent="0.25">
      <c r="A131" s="202"/>
      <c r="B131" s="203"/>
      <c r="C131" s="204"/>
      <c r="D131" s="205"/>
    </row>
    <row r="132" spans="1:4" ht="13.5" x14ac:dyDescent="0.25">
      <c r="A132" s="202"/>
      <c r="B132" s="206"/>
      <c r="C132" s="204"/>
      <c r="D132" s="205"/>
    </row>
    <row r="133" spans="1:4" ht="13.5" x14ac:dyDescent="0.25">
      <c r="A133" s="202"/>
      <c r="B133" s="206"/>
      <c r="C133" s="204"/>
      <c r="D133" s="205"/>
    </row>
    <row r="134" spans="1:4" ht="13.5" x14ac:dyDescent="0.25">
      <c r="A134" s="202"/>
      <c r="B134" s="203"/>
      <c r="C134" s="204"/>
      <c r="D134" s="205"/>
    </row>
    <row r="135" spans="1:4" ht="13.5" x14ac:dyDescent="0.25">
      <c r="A135" s="202"/>
      <c r="B135" s="206"/>
      <c r="C135" s="204"/>
      <c r="D135" s="205"/>
    </row>
    <row r="136" spans="1:4" ht="13.5" x14ac:dyDescent="0.25">
      <c r="A136" s="202"/>
      <c r="B136" s="206"/>
      <c r="C136" s="204"/>
      <c r="D136" s="205"/>
    </row>
    <row r="137" spans="1:4" ht="13.5" x14ac:dyDescent="0.25">
      <c r="A137" s="202"/>
      <c r="B137" s="203"/>
      <c r="C137" s="204"/>
      <c r="D137" s="205"/>
    </row>
    <row r="138" spans="1:4" ht="13.5" x14ac:dyDescent="0.25">
      <c r="A138" s="202"/>
      <c r="B138" s="206"/>
      <c r="C138" s="204"/>
      <c r="D138" s="205"/>
    </row>
    <row r="139" spans="1:4" ht="13.5" x14ac:dyDescent="0.25">
      <c r="A139" s="202"/>
      <c r="B139" s="206"/>
      <c r="C139" s="204"/>
      <c r="D139" s="205"/>
    </row>
    <row r="140" spans="1:4" ht="13.5" x14ac:dyDescent="0.25">
      <c r="A140" s="202"/>
      <c r="B140" s="203"/>
      <c r="C140" s="204"/>
      <c r="D140" s="205"/>
    </row>
    <row r="141" spans="1:4" ht="13.5" x14ac:dyDescent="0.25">
      <c r="A141" s="202"/>
      <c r="B141" s="206"/>
      <c r="C141" s="204"/>
      <c r="D141" s="205"/>
    </row>
    <row r="142" spans="1:4" ht="13.5" x14ac:dyDescent="0.25">
      <c r="A142" s="202"/>
      <c r="B142" s="206"/>
      <c r="C142" s="204"/>
      <c r="D142" s="205"/>
    </row>
    <row r="143" spans="1:4" ht="13.5" x14ac:dyDescent="0.25">
      <c r="A143" s="202"/>
      <c r="B143" s="203"/>
      <c r="C143" s="204"/>
      <c r="D143" s="205"/>
    </row>
    <row r="144" spans="1:4" ht="13.5" x14ac:dyDescent="0.25">
      <c r="A144" s="202"/>
      <c r="B144" s="206"/>
      <c r="C144" s="204"/>
      <c r="D144" s="205"/>
    </row>
    <row r="145" spans="1:4" ht="13.5" x14ac:dyDescent="0.25">
      <c r="A145" s="202"/>
      <c r="B145" s="206"/>
      <c r="C145" s="204"/>
      <c r="D145" s="205"/>
    </row>
    <row r="146" spans="1:4" ht="13.5" x14ac:dyDescent="0.25">
      <c r="A146" s="202"/>
      <c r="B146" s="203"/>
      <c r="C146" s="204"/>
      <c r="D146" s="205"/>
    </row>
    <row r="147" spans="1:4" ht="13.5" x14ac:dyDescent="0.25">
      <c r="A147" s="202"/>
      <c r="B147" s="206"/>
      <c r="C147" s="204"/>
      <c r="D147" s="205"/>
    </row>
    <row r="148" spans="1:4" ht="13.5" x14ac:dyDescent="0.25">
      <c r="A148" s="202"/>
      <c r="B148" s="206"/>
      <c r="C148" s="204"/>
      <c r="D148" s="205"/>
    </row>
    <row r="149" spans="1:4" ht="13.5" x14ac:dyDescent="0.25">
      <c r="A149" s="202"/>
      <c r="B149" s="203"/>
      <c r="C149" s="204"/>
      <c r="D149" s="205"/>
    </row>
    <row r="150" spans="1:4" ht="13.5" x14ac:dyDescent="0.25">
      <c r="A150" s="202"/>
      <c r="B150" s="206"/>
      <c r="C150" s="204"/>
      <c r="D150" s="205"/>
    </row>
    <row r="151" spans="1:4" ht="13.5" x14ac:dyDescent="0.25">
      <c r="A151" s="202"/>
      <c r="B151" s="206"/>
      <c r="C151" s="204"/>
      <c r="D151" s="205"/>
    </row>
    <row r="152" spans="1:4" ht="13.5" x14ac:dyDescent="0.25">
      <c r="A152" s="202"/>
      <c r="B152" s="203"/>
      <c r="C152" s="204"/>
      <c r="D152" s="205"/>
    </row>
    <row r="153" spans="1:4" ht="13.5" x14ac:dyDescent="0.25">
      <c r="A153" s="202"/>
      <c r="B153" s="206"/>
      <c r="C153" s="204"/>
      <c r="D153" s="205"/>
    </row>
    <row r="154" spans="1:4" ht="13.5" x14ac:dyDescent="0.25">
      <c r="A154" s="202"/>
      <c r="B154" s="206"/>
      <c r="C154" s="204"/>
      <c r="D154" s="205"/>
    </row>
    <row r="155" spans="1:4" ht="13.5" x14ac:dyDescent="0.25">
      <c r="A155" s="202"/>
      <c r="B155" s="203"/>
      <c r="C155" s="204"/>
      <c r="D155" s="205"/>
    </row>
    <row r="156" spans="1:4" ht="13.5" x14ac:dyDescent="0.25">
      <c r="A156" s="202"/>
      <c r="B156" s="206"/>
      <c r="C156" s="204"/>
      <c r="D156" s="205"/>
    </row>
    <row r="157" spans="1:4" ht="13.5" x14ac:dyDescent="0.25">
      <c r="A157" s="202"/>
      <c r="B157" s="206"/>
      <c r="C157" s="204"/>
      <c r="D157" s="205"/>
    </row>
    <row r="158" spans="1:4" ht="13.5" x14ac:dyDescent="0.25">
      <c r="A158" s="202"/>
      <c r="B158" s="203"/>
      <c r="C158" s="204"/>
      <c r="D158" s="205"/>
    </row>
    <row r="159" spans="1:4" ht="13.5" x14ac:dyDescent="0.25">
      <c r="A159" s="202"/>
      <c r="B159" s="206"/>
      <c r="C159" s="204"/>
      <c r="D159" s="205"/>
    </row>
    <row r="160" spans="1:4" ht="13.5" x14ac:dyDescent="0.25">
      <c r="A160" s="202"/>
      <c r="B160" s="206"/>
      <c r="C160" s="204"/>
      <c r="D160" s="205"/>
    </row>
    <row r="161" spans="1:4" ht="13.5" x14ac:dyDescent="0.25">
      <c r="A161" s="202"/>
      <c r="B161" s="203"/>
      <c r="C161" s="204"/>
      <c r="D161" s="205"/>
    </row>
    <row r="162" spans="1:4" ht="13.5" x14ac:dyDescent="0.25">
      <c r="A162" s="202"/>
      <c r="B162" s="206"/>
      <c r="C162" s="204"/>
      <c r="D162" s="205"/>
    </row>
    <row r="163" spans="1:4" ht="13.5" x14ac:dyDescent="0.25">
      <c r="A163" s="202"/>
      <c r="B163" s="206"/>
      <c r="C163" s="204"/>
      <c r="D163" s="205"/>
    </row>
    <row r="164" spans="1:4" ht="13.5" x14ac:dyDescent="0.25">
      <c r="A164" s="202"/>
      <c r="B164" s="203"/>
      <c r="C164" s="204"/>
      <c r="D164" s="205"/>
    </row>
    <row r="165" spans="1:4" ht="13.5" x14ac:dyDescent="0.25">
      <c r="A165" s="202"/>
      <c r="B165" s="206"/>
      <c r="C165" s="204"/>
      <c r="D165" s="205"/>
    </row>
    <row r="166" spans="1:4" ht="13.5" x14ac:dyDescent="0.25">
      <c r="A166" s="202"/>
      <c r="B166" s="206"/>
      <c r="C166" s="204"/>
      <c r="D166" s="205"/>
    </row>
    <row r="167" spans="1:4" ht="13.5" x14ac:dyDescent="0.25">
      <c r="A167" s="202"/>
      <c r="B167" s="203"/>
      <c r="C167" s="204"/>
      <c r="D167" s="205"/>
    </row>
    <row r="168" spans="1:4" ht="13.5" x14ac:dyDescent="0.25">
      <c r="A168" s="202"/>
      <c r="B168" s="206"/>
      <c r="C168" s="204"/>
      <c r="D168" s="205"/>
    </row>
    <row r="169" spans="1:4" ht="13.5" x14ac:dyDescent="0.25">
      <c r="A169" s="202"/>
      <c r="B169" s="206"/>
      <c r="C169" s="204"/>
      <c r="D169" s="205"/>
    </row>
    <row r="170" spans="1:4" ht="13.5" x14ac:dyDescent="0.25">
      <c r="A170" s="202"/>
      <c r="B170" s="203"/>
      <c r="C170" s="204"/>
      <c r="D170" s="205"/>
    </row>
    <row r="171" spans="1:4" ht="13.5" x14ac:dyDescent="0.25">
      <c r="A171" s="202"/>
      <c r="B171" s="206"/>
      <c r="C171" s="204"/>
      <c r="D171" s="205"/>
    </row>
    <row r="172" spans="1:4" ht="13.5" x14ac:dyDescent="0.25">
      <c r="A172" s="202"/>
      <c r="B172" s="206"/>
      <c r="C172" s="204"/>
      <c r="D172" s="205"/>
    </row>
    <row r="173" spans="1:4" ht="13.5" x14ac:dyDescent="0.25">
      <c r="A173" s="202"/>
      <c r="B173" s="203"/>
      <c r="C173" s="204"/>
      <c r="D173" s="205"/>
    </row>
    <row r="174" spans="1:4" ht="13.5" x14ac:dyDescent="0.25">
      <c r="A174" s="202"/>
      <c r="B174" s="206"/>
      <c r="C174" s="204"/>
      <c r="D174" s="205"/>
    </row>
    <row r="175" spans="1:4" ht="13.5" x14ac:dyDescent="0.25">
      <c r="A175" s="202"/>
      <c r="B175" s="206"/>
      <c r="C175" s="204"/>
      <c r="D175" s="205"/>
    </row>
    <row r="176" spans="1:4" ht="13.5" x14ac:dyDescent="0.25">
      <c r="A176" s="202"/>
      <c r="B176" s="203"/>
      <c r="C176" s="204"/>
      <c r="D176" s="205"/>
    </row>
    <row r="177" spans="1:4" ht="13.5" x14ac:dyDescent="0.25">
      <c r="A177" s="202"/>
      <c r="B177" s="206"/>
      <c r="C177" s="204"/>
      <c r="D177" s="205"/>
    </row>
    <row r="178" spans="1:4" ht="13.5" x14ac:dyDescent="0.25">
      <c r="A178" s="202"/>
      <c r="B178" s="206"/>
      <c r="C178" s="204"/>
      <c r="D178" s="205"/>
    </row>
    <row r="179" spans="1:4" ht="13.5" x14ac:dyDescent="0.25">
      <c r="A179" s="202"/>
      <c r="B179" s="203"/>
      <c r="C179" s="204"/>
      <c r="D179" s="205"/>
    </row>
    <row r="180" spans="1:4" ht="13.5" x14ac:dyDescent="0.25">
      <c r="A180" s="202"/>
      <c r="B180" s="206"/>
      <c r="C180" s="204"/>
      <c r="D180" s="205"/>
    </row>
    <row r="181" spans="1:4" ht="13.5" x14ac:dyDescent="0.25">
      <c r="A181" s="202"/>
      <c r="B181" s="206"/>
      <c r="C181" s="204"/>
      <c r="D181" s="205"/>
    </row>
    <row r="182" spans="1:4" ht="13.5" x14ac:dyDescent="0.25">
      <c r="A182" s="202"/>
      <c r="B182" s="203"/>
      <c r="C182" s="204"/>
      <c r="D182" s="205"/>
    </row>
    <row r="183" spans="1:4" ht="13.5" x14ac:dyDescent="0.25">
      <c r="A183" s="202"/>
      <c r="B183" s="206"/>
      <c r="C183" s="204"/>
      <c r="D183" s="205"/>
    </row>
    <row r="184" spans="1:4" ht="13.5" x14ac:dyDescent="0.25">
      <c r="A184" s="202"/>
      <c r="B184" s="206"/>
      <c r="C184" s="204"/>
      <c r="D184" s="205"/>
    </row>
    <row r="185" spans="1:4" ht="13.5" x14ac:dyDescent="0.25">
      <c r="A185" s="202"/>
      <c r="B185" s="203"/>
      <c r="C185" s="204"/>
      <c r="D185" s="205"/>
    </row>
    <row r="186" spans="1:4" ht="13.5" x14ac:dyDescent="0.25">
      <c r="A186" s="202"/>
      <c r="B186" s="206"/>
      <c r="C186" s="204"/>
      <c r="D186" s="205"/>
    </row>
    <row r="187" spans="1:4" ht="13.5" x14ac:dyDescent="0.25">
      <c r="A187" s="202"/>
      <c r="B187" s="206"/>
      <c r="C187" s="204"/>
      <c r="D187" s="205"/>
    </row>
    <row r="188" spans="1:4" ht="13.5" x14ac:dyDescent="0.25">
      <c r="A188" s="202"/>
      <c r="B188" s="203"/>
      <c r="C188" s="204"/>
      <c r="D188" s="205"/>
    </row>
    <row r="189" spans="1:4" ht="13.5" x14ac:dyDescent="0.25">
      <c r="A189" s="202"/>
      <c r="B189" s="206"/>
      <c r="C189" s="204"/>
      <c r="D189" s="205"/>
    </row>
    <row r="190" spans="1:4" ht="13.5" x14ac:dyDescent="0.25">
      <c r="A190" s="202"/>
      <c r="B190" s="206"/>
      <c r="C190" s="204"/>
      <c r="D190" s="205"/>
    </row>
    <row r="191" spans="1:4" ht="13.5" x14ac:dyDescent="0.25">
      <c r="A191" s="202"/>
      <c r="B191" s="203"/>
      <c r="C191" s="204"/>
      <c r="D191" s="205"/>
    </row>
    <row r="192" spans="1:4" ht="13.5" x14ac:dyDescent="0.25">
      <c r="A192" s="202"/>
      <c r="B192" s="206"/>
      <c r="C192" s="204"/>
      <c r="D192" s="205"/>
    </row>
    <row r="193" spans="1:4" ht="13.5" x14ac:dyDescent="0.25">
      <c r="A193" s="202"/>
      <c r="B193" s="206"/>
      <c r="C193" s="204"/>
      <c r="D193" s="205"/>
    </row>
    <row r="194" spans="1:4" ht="13.5" x14ac:dyDescent="0.25">
      <c r="A194" s="202"/>
      <c r="B194" s="203"/>
      <c r="C194" s="204"/>
      <c r="D194" s="205"/>
    </row>
    <row r="195" spans="1:4" ht="13.5" x14ac:dyDescent="0.25">
      <c r="A195" s="202"/>
      <c r="B195" s="206"/>
      <c r="C195" s="204"/>
      <c r="D195" s="205"/>
    </row>
    <row r="196" spans="1:4" ht="13.5" x14ac:dyDescent="0.25">
      <c r="A196" s="202"/>
      <c r="B196" s="206"/>
      <c r="C196" s="204"/>
      <c r="D196" s="205"/>
    </row>
    <row r="197" spans="1:4" ht="13.5" x14ac:dyDescent="0.25">
      <c r="A197" s="202"/>
      <c r="B197" s="203"/>
      <c r="C197" s="204"/>
      <c r="D197" s="205"/>
    </row>
    <row r="198" spans="1:4" ht="13.5" x14ac:dyDescent="0.25">
      <c r="A198" s="202"/>
      <c r="B198" s="206"/>
      <c r="C198" s="204"/>
      <c r="D198" s="205"/>
    </row>
    <row r="199" spans="1:4" ht="13.5" x14ac:dyDescent="0.25">
      <c r="A199" s="202"/>
      <c r="B199" s="206"/>
      <c r="C199" s="204"/>
      <c r="D199" s="205"/>
    </row>
    <row r="200" spans="1:4" ht="13.5" x14ac:dyDescent="0.25">
      <c r="A200" s="202"/>
      <c r="B200" s="203"/>
      <c r="C200" s="204"/>
      <c r="D200" s="205"/>
    </row>
    <row r="201" spans="1:4" ht="13.5" x14ac:dyDescent="0.25">
      <c r="A201" s="202"/>
      <c r="B201" s="206"/>
      <c r="C201" s="204"/>
      <c r="D201" s="205"/>
    </row>
    <row r="202" spans="1:4" ht="13.5" x14ac:dyDescent="0.25">
      <c r="A202" s="202"/>
      <c r="B202" s="206"/>
      <c r="C202" s="204"/>
      <c r="D202" s="205"/>
    </row>
    <row r="203" spans="1:4" ht="13.5" x14ac:dyDescent="0.25">
      <c r="A203" s="202"/>
      <c r="B203" s="203"/>
      <c r="C203" s="204"/>
      <c r="D203" s="205"/>
    </row>
    <row r="204" spans="1:4" ht="13.5" x14ac:dyDescent="0.25">
      <c r="A204" s="202"/>
      <c r="B204" s="206"/>
      <c r="C204" s="204"/>
      <c r="D204" s="205"/>
    </row>
    <row r="205" spans="1:4" ht="13.5" x14ac:dyDescent="0.25">
      <c r="A205" s="202"/>
      <c r="B205" s="206"/>
      <c r="C205" s="204"/>
      <c r="D205" s="205"/>
    </row>
    <row r="206" spans="1:4" ht="13.5" x14ac:dyDescent="0.25">
      <c r="A206" s="202"/>
      <c r="B206" s="203"/>
      <c r="C206" s="204"/>
      <c r="D206" s="205"/>
    </row>
    <row r="207" spans="1:4" ht="13.5" x14ac:dyDescent="0.25">
      <c r="A207" s="202"/>
      <c r="B207" s="206"/>
      <c r="C207" s="204"/>
      <c r="D207" s="205"/>
    </row>
    <row r="208" spans="1:4" ht="13.5" x14ac:dyDescent="0.25">
      <c r="A208" s="202"/>
      <c r="B208" s="206"/>
      <c r="C208" s="204"/>
      <c r="D208" s="205"/>
    </row>
    <row r="209" spans="1:4" ht="13.5" x14ac:dyDescent="0.25">
      <c r="A209" s="202"/>
      <c r="B209" s="203"/>
      <c r="C209" s="204"/>
      <c r="D209" s="205"/>
    </row>
    <row r="210" spans="1:4" ht="13.5" x14ac:dyDescent="0.25">
      <c r="A210" s="202"/>
      <c r="B210" s="206"/>
      <c r="C210" s="204"/>
      <c r="D210" s="205"/>
    </row>
    <row r="211" spans="1:4" ht="13.5" x14ac:dyDescent="0.25">
      <c r="A211" s="202"/>
      <c r="B211" s="206"/>
      <c r="C211" s="204"/>
      <c r="D211" s="205"/>
    </row>
    <row r="212" spans="1:4" ht="13.5" x14ac:dyDescent="0.25">
      <c r="A212" s="202"/>
      <c r="B212" s="203"/>
      <c r="C212" s="204"/>
      <c r="D212" s="205"/>
    </row>
    <row r="213" spans="1:4" ht="13.5" x14ac:dyDescent="0.25">
      <c r="A213" s="202"/>
      <c r="B213" s="206"/>
      <c r="C213" s="204"/>
      <c r="D213" s="205"/>
    </row>
    <row r="214" spans="1:4" ht="13.5" x14ac:dyDescent="0.25">
      <c r="A214" s="202"/>
      <c r="B214" s="206"/>
      <c r="C214" s="204"/>
      <c r="D214" s="205"/>
    </row>
    <row r="215" spans="1:4" ht="13.5" x14ac:dyDescent="0.25">
      <c r="A215" s="202"/>
      <c r="B215" s="203"/>
      <c r="C215" s="204"/>
      <c r="D215" s="205"/>
    </row>
    <row r="216" spans="1:4" ht="13.5" x14ac:dyDescent="0.25">
      <c r="A216" s="202"/>
      <c r="B216" s="206"/>
      <c r="C216" s="204"/>
      <c r="D216" s="205"/>
    </row>
    <row r="217" spans="1:4" ht="13.5" x14ac:dyDescent="0.25">
      <c r="A217" s="202"/>
      <c r="B217" s="206"/>
      <c r="C217" s="204"/>
      <c r="D217" s="205"/>
    </row>
    <row r="218" spans="1:4" ht="13.5" x14ac:dyDescent="0.25">
      <c r="A218" s="202"/>
      <c r="B218" s="203"/>
      <c r="C218" s="204"/>
      <c r="D218" s="205"/>
    </row>
    <row r="219" spans="1:4" ht="13.5" x14ac:dyDescent="0.25">
      <c r="A219" s="202"/>
      <c r="B219" s="206"/>
      <c r="C219" s="204"/>
      <c r="D219" s="205"/>
    </row>
    <row r="220" spans="1:4" ht="13.5" x14ac:dyDescent="0.25">
      <c r="A220" s="202"/>
      <c r="B220" s="206"/>
      <c r="C220" s="204"/>
      <c r="D220" s="205"/>
    </row>
    <row r="221" spans="1:4" ht="13.5" x14ac:dyDescent="0.25">
      <c r="A221" s="202"/>
      <c r="B221" s="203"/>
      <c r="C221" s="204"/>
      <c r="D221" s="205"/>
    </row>
    <row r="222" spans="1:4" ht="13.5" x14ac:dyDescent="0.25">
      <c r="A222" s="202"/>
      <c r="B222" s="206"/>
      <c r="C222" s="204"/>
      <c r="D222" s="205"/>
    </row>
    <row r="223" spans="1:4" ht="13.5" x14ac:dyDescent="0.25">
      <c r="A223" s="202"/>
      <c r="B223" s="206"/>
      <c r="C223" s="204"/>
      <c r="D223" s="205"/>
    </row>
    <row r="224" spans="1:4" ht="13.5" x14ac:dyDescent="0.25">
      <c r="A224" s="202"/>
      <c r="B224" s="203"/>
      <c r="C224" s="204"/>
      <c r="D224" s="205"/>
    </row>
    <row r="225" spans="1:4" ht="13.5" x14ac:dyDescent="0.25">
      <c r="A225" s="202"/>
      <c r="B225" s="206"/>
      <c r="C225" s="204"/>
      <c r="D225" s="205"/>
    </row>
    <row r="226" spans="1:4" ht="13.5" x14ac:dyDescent="0.25">
      <c r="A226" s="202"/>
      <c r="B226" s="206"/>
      <c r="C226" s="204"/>
      <c r="D226" s="205"/>
    </row>
    <row r="227" spans="1:4" ht="13.5" x14ac:dyDescent="0.25">
      <c r="A227" s="202"/>
      <c r="B227" s="203"/>
      <c r="C227" s="204"/>
      <c r="D227" s="205"/>
    </row>
    <row r="228" spans="1:4" ht="13.5" x14ac:dyDescent="0.25">
      <c r="A228" s="202"/>
      <c r="B228" s="206"/>
      <c r="C228" s="204"/>
      <c r="D228" s="205"/>
    </row>
    <row r="229" spans="1:4" ht="13.5" x14ac:dyDescent="0.25">
      <c r="A229" s="202"/>
      <c r="B229" s="206"/>
      <c r="C229" s="204"/>
      <c r="D229" s="205"/>
    </row>
    <row r="230" spans="1:4" ht="13.5" x14ac:dyDescent="0.25">
      <c r="A230" s="202"/>
      <c r="B230" s="203"/>
      <c r="C230" s="204"/>
      <c r="D230" s="205"/>
    </row>
    <row r="231" spans="1:4" ht="13.5" x14ac:dyDescent="0.25">
      <c r="A231" s="202"/>
      <c r="B231" s="206"/>
      <c r="C231" s="204"/>
      <c r="D231" s="205"/>
    </row>
    <row r="232" spans="1:4" ht="13.5" x14ac:dyDescent="0.25">
      <c r="A232" s="202"/>
      <c r="B232" s="206"/>
      <c r="C232" s="204"/>
      <c r="D232" s="205"/>
    </row>
    <row r="233" spans="1:4" ht="13.5" x14ac:dyDescent="0.25">
      <c r="A233" s="202"/>
      <c r="B233" s="203"/>
      <c r="C233" s="204"/>
      <c r="D233" s="205"/>
    </row>
    <row r="234" spans="1:4" ht="13.5" x14ac:dyDescent="0.25">
      <c r="A234" s="202"/>
      <c r="B234" s="206"/>
      <c r="C234" s="204"/>
      <c r="D234" s="205"/>
    </row>
    <row r="235" spans="1:4" ht="13.5" x14ac:dyDescent="0.25">
      <c r="A235" s="202"/>
      <c r="B235" s="206"/>
      <c r="C235" s="204"/>
      <c r="D235" s="205"/>
    </row>
    <row r="236" spans="1:4" ht="13.5" x14ac:dyDescent="0.25">
      <c r="A236" s="202"/>
      <c r="B236" s="203"/>
      <c r="C236" s="204"/>
      <c r="D236" s="205"/>
    </row>
    <row r="237" spans="1:4" ht="13.5" x14ac:dyDescent="0.25">
      <c r="A237" s="202"/>
      <c r="B237" s="206"/>
      <c r="C237" s="204"/>
      <c r="D237" s="205"/>
    </row>
    <row r="238" spans="1:4" ht="13.5" x14ac:dyDescent="0.25">
      <c r="A238" s="202"/>
      <c r="B238" s="206"/>
      <c r="C238" s="204"/>
      <c r="D238" s="205"/>
    </row>
    <row r="239" spans="1:4" ht="13.5" x14ac:dyDescent="0.25">
      <c r="A239" s="202"/>
      <c r="B239" s="203"/>
      <c r="C239" s="204"/>
      <c r="D239" s="205"/>
    </row>
    <row r="240" spans="1:4" ht="13.5" x14ac:dyDescent="0.25">
      <c r="A240" s="202"/>
      <c r="B240" s="206"/>
      <c r="C240" s="204"/>
      <c r="D240" s="205"/>
    </row>
    <row r="241" spans="1:4" ht="13.5" x14ac:dyDescent="0.25">
      <c r="A241" s="202"/>
      <c r="B241" s="206"/>
      <c r="C241" s="204"/>
      <c r="D241" s="205"/>
    </row>
    <row r="242" spans="1:4" ht="13.5" x14ac:dyDescent="0.25">
      <c r="A242" s="202"/>
      <c r="B242" s="203"/>
      <c r="C242" s="204"/>
      <c r="D242" s="205"/>
    </row>
    <row r="243" spans="1:4" ht="13.5" x14ac:dyDescent="0.25">
      <c r="A243" s="202"/>
      <c r="B243" s="206"/>
      <c r="C243" s="204"/>
      <c r="D243" s="205"/>
    </row>
    <row r="244" spans="1:4" ht="13.5" x14ac:dyDescent="0.25">
      <c r="A244" s="202"/>
      <c r="B244" s="206"/>
      <c r="C244" s="204"/>
      <c r="D244" s="205"/>
    </row>
    <row r="245" spans="1:4" ht="13.5" x14ac:dyDescent="0.25">
      <c r="A245" s="202"/>
      <c r="B245" s="203"/>
      <c r="C245" s="204"/>
      <c r="D245" s="205"/>
    </row>
    <row r="246" spans="1:4" ht="13.5" x14ac:dyDescent="0.25">
      <c r="A246" s="202"/>
      <c r="B246" s="206"/>
      <c r="C246" s="204"/>
      <c r="D246" s="205"/>
    </row>
    <row r="247" spans="1:4" ht="13.5" x14ac:dyDescent="0.25">
      <c r="A247" s="202"/>
      <c r="B247" s="206"/>
      <c r="C247" s="204"/>
      <c r="D247" s="205"/>
    </row>
    <row r="248" spans="1:4" ht="13.5" x14ac:dyDescent="0.25">
      <c r="A248" s="202"/>
      <c r="B248" s="203"/>
      <c r="C248" s="204"/>
      <c r="D248" s="205"/>
    </row>
    <row r="249" spans="1:4" ht="13.5" x14ac:dyDescent="0.25">
      <c r="A249" s="202"/>
      <c r="B249" s="206"/>
      <c r="C249" s="204"/>
      <c r="D249" s="205"/>
    </row>
    <row r="250" spans="1:4" ht="13.5" x14ac:dyDescent="0.25">
      <c r="A250" s="202"/>
      <c r="B250" s="206"/>
      <c r="C250" s="204"/>
      <c r="D250" s="205"/>
    </row>
    <row r="251" spans="1:4" ht="13.5" x14ac:dyDescent="0.25">
      <c r="A251" s="202"/>
      <c r="B251" s="203"/>
      <c r="C251" s="204"/>
      <c r="D251" s="205"/>
    </row>
    <row r="252" spans="1:4" ht="13.5" x14ac:dyDescent="0.25">
      <c r="A252" s="202"/>
      <c r="B252" s="206"/>
      <c r="C252" s="204"/>
      <c r="D252" s="205"/>
    </row>
    <row r="253" spans="1:4" ht="13.5" x14ac:dyDescent="0.25">
      <c r="A253" s="202"/>
      <c r="B253" s="206"/>
      <c r="C253" s="204"/>
      <c r="D253" s="205"/>
    </row>
    <row r="254" spans="1:4" ht="13.5" x14ac:dyDescent="0.25">
      <c r="A254" s="202"/>
      <c r="B254" s="203"/>
      <c r="C254" s="204"/>
      <c r="D254" s="205"/>
    </row>
    <row r="255" spans="1:4" ht="13.5" x14ac:dyDescent="0.25">
      <c r="A255" s="202"/>
      <c r="B255" s="206"/>
      <c r="C255" s="204"/>
      <c r="D255" s="205"/>
    </row>
    <row r="256" spans="1:4" ht="13.5" x14ac:dyDescent="0.25">
      <c r="A256" s="202"/>
      <c r="B256" s="206"/>
      <c r="C256" s="204"/>
      <c r="D256" s="205"/>
    </row>
    <row r="257" spans="1:4" ht="13.5" x14ac:dyDescent="0.25">
      <c r="A257" s="202"/>
      <c r="B257" s="203"/>
      <c r="C257" s="204"/>
      <c r="D257" s="205"/>
    </row>
    <row r="258" spans="1:4" ht="13.5" x14ac:dyDescent="0.25">
      <c r="A258" s="202"/>
      <c r="B258" s="206"/>
      <c r="C258" s="204"/>
      <c r="D258" s="205"/>
    </row>
    <row r="259" spans="1:4" ht="13.5" x14ac:dyDescent="0.25">
      <c r="A259" s="202"/>
      <c r="B259" s="206"/>
      <c r="C259" s="204"/>
      <c r="D259" s="205"/>
    </row>
    <row r="260" spans="1:4" ht="13.5" x14ac:dyDescent="0.25">
      <c r="A260" s="202"/>
      <c r="B260" s="203"/>
      <c r="C260" s="204"/>
      <c r="D260" s="205"/>
    </row>
    <row r="261" spans="1:4" ht="13.5" x14ac:dyDescent="0.25">
      <c r="A261" s="202"/>
      <c r="B261" s="206"/>
      <c r="C261" s="204"/>
      <c r="D261" s="205"/>
    </row>
    <row r="262" spans="1:4" ht="13.5" x14ac:dyDescent="0.25">
      <c r="A262" s="202"/>
      <c r="B262" s="206"/>
      <c r="C262" s="204"/>
      <c r="D262" s="205"/>
    </row>
    <row r="263" spans="1:4" ht="13.5" x14ac:dyDescent="0.25">
      <c r="A263" s="202"/>
      <c r="B263" s="203"/>
      <c r="C263" s="204"/>
      <c r="D263" s="205"/>
    </row>
    <row r="264" spans="1:4" ht="13.5" x14ac:dyDescent="0.25">
      <c r="A264" s="202"/>
      <c r="B264" s="206"/>
      <c r="C264" s="204"/>
      <c r="D264" s="205"/>
    </row>
    <row r="265" spans="1:4" ht="13.5" x14ac:dyDescent="0.25">
      <c r="A265" s="202"/>
      <c r="B265" s="206"/>
      <c r="C265" s="204"/>
      <c r="D265" s="205"/>
    </row>
    <row r="266" spans="1:4" ht="13.5" x14ac:dyDescent="0.25">
      <c r="A266" s="202"/>
      <c r="B266" s="203"/>
      <c r="C266" s="204"/>
      <c r="D266" s="205"/>
    </row>
    <row r="267" spans="1:4" ht="13.5" x14ac:dyDescent="0.25">
      <c r="A267" s="202"/>
      <c r="B267" s="206"/>
      <c r="C267" s="204"/>
      <c r="D267" s="205"/>
    </row>
    <row r="268" spans="1:4" ht="13.5" x14ac:dyDescent="0.25">
      <c r="A268" s="202"/>
      <c r="B268" s="206"/>
      <c r="C268" s="204"/>
      <c r="D268" s="205"/>
    </row>
    <row r="269" spans="1:4" ht="13.5" x14ac:dyDescent="0.25">
      <c r="A269" s="202"/>
      <c r="B269" s="203"/>
      <c r="C269" s="204"/>
      <c r="D269" s="205"/>
    </row>
    <row r="270" spans="1:4" ht="13.5" x14ac:dyDescent="0.25">
      <c r="A270" s="202"/>
      <c r="B270" s="206"/>
      <c r="C270" s="204"/>
      <c r="D270" s="205"/>
    </row>
    <row r="271" spans="1:4" ht="13.5" x14ac:dyDescent="0.25">
      <c r="A271" s="202"/>
      <c r="B271" s="206"/>
      <c r="C271" s="204"/>
      <c r="D271" s="205"/>
    </row>
    <row r="272" spans="1:4" ht="13.5" x14ac:dyDescent="0.25">
      <c r="A272" s="202"/>
      <c r="B272" s="203"/>
      <c r="C272" s="204"/>
      <c r="D272" s="205"/>
    </row>
    <row r="273" spans="1:4" ht="13.5" x14ac:dyDescent="0.25">
      <c r="A273" s="202"/>
      <c r="B273" s="206"/>
      <c r="C273" s="204"/>
      <c r="D273" s="205"/>
    </row>
    <row r="274" spans="1:4" ht="13.5" x14ac:dyDescent="0.25">
      <c r="A274" s="202"/>
      <c r="B274" s="206"/>
      <c r="C274" s="204"/>
      <c r="D274" s="205"/>
    </row>
    <row r="275" spans="1:4" ht="13.5" x14ac:dyDescent="0.25">
      <c r="A275" s="202"/>
      <c r="B275" s="203"/>
      <c r="C275" s="204"/>
      <c r="D275" s="205"/>
    </row>
    <row r="276" spans="1:4" ht="13.5" x14ac:dyDescent="0.25">
      <c r="A276" s="202"/>
      <c r="B276" s="206"/>
      <c r="C276" s="204"/>
      <c r="D276" s="205"/>
    </row>
    <row r="277" spans="1:4" ht="13.5" x14ac:dyDescent="0.25">
      <c r="A277" s="202"/>
      <c r="B277" s="206"/>
      <c r="C277" s="204"/>
      <c r="D277" s="205"/>
    </row>
    <row r="278" spans="1:4" ht="13.5" x14ac:dyDescent="0.25">
      <c r="A278" s="202"/>
      <c r="B278" s="203"/>
      <c r="C278" s="204"/>
      <c r="D278" s="205"/>
    </row>
    <row r="279" spans="1:4" ht="13.5" x14ac:dyDescent="0.25">
      <c r="A279" s="202"/>
      <c r="B279" s="206"/>
      <c r="C279" s="204"/>
      <c r="D279" s="205"/>
    </row>
    <row r="280" spans="1:4" ht="13.5" x14ac:dyDescent="0.25">
      <c r="A280" s="202"/>
      <c r="B280" s="206"/>
      <c r="C280" s="204"/>
      <c r="D280" s="205"/>
    </row>
    <row r="281" spans="1:4" ht="13.5" x14ac:dyDescent="0.25">
      <c r="A281" s="202"/>
      <c r="B281" s="203"/>
      <c r="C281" s="204"/>
      <c r="D281" s="205"/>
    </row>
    <row r="282" spans="1:4" ht="13.5" x14ac:dyDescent="0.25">
      <c r="A282" s="202"/>
      <c r="B282" s="206"/>
      <c r="C282" s="204"/>
      <c r="D282" s="205"/>
    </row>
    <row r="283" spans="1:4" ht="13.5" x14ac:dyDescent="0.25">
      <c r="A283" s="202"/>
      <c r="B283" s="206"/>
      <c r="C283" s="204"/>
      <c r="D283" s="205"/>
    </row>
    <row r="284" spans="1:4" ht="13.5" x14ac:dyDescent="0.25">
      <c r="A284" s="202"/>
      <c r="B284" s="203"/>
      <c r="C284" s="204"/>
      <c r="D284" s="205"/>
    </row>
    <row r="285" spans="1:4" ht="13.5" x14ac:dyDescent="0.25">
      <c r="A285" s="202"/>
      <c r="B285" s="206"/>
      <c r="C285" s="204"/>
      <c r="D285" s="205"/>
    </row>
    <row r="286" spans="1:4" ht="13.5" x14ac:dyDescent="0.25">
      <c r="A286" s="202"/>
      <c r="B286" s="206"/>
      <c r="C286" s="204"/>
      <c r="D286" s="205"/>
    </row>
    <row r="287" spans="1:4" ht="13.5" x14ac:dyDescent="0.25">
      <c r="A287" s="202"/>
      <c r="B287" s="203"/>
      <c r="C287" s="204"/>
      <c r="D287" s="205"/>
    </row>
    <row r="288" spans="1:4" ht="13.5" x14ac:dyDescent="0.25">
      <c r="A288" s="202"/>
      <c r="B288" s="206"/>
      <c r="C288" s="204"/>
      <c r="D288" s="205"/>
    </row>
    <row r="289" spans="1:4" ht="13.5" x14ac:dyDescent="0.25">
      <c r="A289" s="202"/>
      <c r="B289" s="206"/>
      <c r="C289" s="204"/>
      <c r="D289" s="205"/>
    </row>
    <row r="290" spans="1:4" ht="13.5" x14ac:dyDescent="0.25">
      <c r="A290" s="202"/>
      <c r="B290" s="203"/>
      <c r="C290" s="204"/>
      <c r="D290" s="205"/>
    </row>
    <row r="291" spans="1:4" ht="13.5" x14ac:dyDescent="0.25">
      <c r="A291" s="202"/>
      <c r="B291" s="206"/>
      <c r="C291" s="204"/>
      <c r="D291" s="205"/>
    </row>
    <row r="292" spans="1:4" ht="13.5" x14ac:dyDescent="0.25">
      <c r="A292" s="202"/>
      <c r="B292" s="206"/>
      <c r="C292" s="204"/>
      <c r="D292" s="205"/>
    </row>
    <row r="293" spans="1:4" ht="13.5" x14ac:dyDescent="0.25">
      <c r="A293" s="202"/>
      <c r="B293" s="203"/>
      <c r="C293" s="204"/>
      <c r="D293" s="205"/>
    </row>
    <row r="294" spans="1:4" ht="13.5" x14ac:dyDescent="0.25">
      <c r="A294" s="202"/>
      <c r="B294" s="206"/>
      <c r="C294" s="204"/>
      <c r="D294" s="205"/>
    </row>
    <row r="295" spans="1:4" ht="13.5" x14ac:dyDescent="0.25">
      <c r="A295" s="202"/>
      <c r="B295" s="206"/>
      <c r="C295" s="204"/>
      <c r="D295" s="205"/>
    </row>
    <row r="296" spans="1:4" ht="13.5" x14ac:dyDescent="0.25">
      <c r="A296" s="202"/>
      <c r="B296" s="203"/>
      <c r="C296" s="204"/>
      <c r="D296" s="205"/>
    </row>
    <row r="297" spans="1:4" ht="13.5" x14ac:dyDescent="0.25">
      <c r="A297" s="202"/>
      <c r="B297" s="206"/>
      <c r="C297" s="204"/>
      <c r="D297" s="205"/>
    </row>
    <row r="298" spans="1:4" ht="13.5" x14ac:dyDescent="0.25">
      <c r="A298" s="202"/>
      <c r="B298" s="206"/>
      <c r="C298" s="204"/>
      <c r="D298" s="205"/>
    </row>
    <row r="299" spans="1:4" ht="13.5" x14ac:dyDescent="0.25">
      <c r="A299" s="202"/>
      <c r="B299" s="203"/>
      <c r="C299" s="204"/>
      <c r="D299" s="205"/>
    </row>
    <row r="300" spans="1:4" ht="13.5" x14ac:dyDescent="0.25">
      <c r="A300" s="202"/>
      <c r="B300" s="206"/>
      <c r="C300" s="204"/>
      <c r="D300" s="205"/>
    </row>
    <row r="301" spans="1:4" ht="13.5" x14ac:dyDescent="0.25">
      <c r="A301" s="202"/>
      <c r="B301" s="206"/>
      <c r="C301" s="204"/>
      <c r="D301" s="205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topLeftCell="GA34" zoomScale="98" zoomScaleNormal="98" workbookViewId="0">
      <selection activeCell="GH45" sqref="GH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198"/>
      <c r="C1" s="198"/>
      <c r="D1" s="10"/>
      <c r="E1" s="198"/>
      <c r="F1" s="198"/>
      <c r="AF1" s="210"/>
      <c r="AH1" s="210"/>
    </row>
    <row r="4" spans="1:201" x14ac:dyDescent="0.2">
      <c r="A4" s="193" t="s">
        <v>17</v>
      </c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194"/>
      <c r="BD4" s="194"/>
      <c r="BE4" s="194"/>
      <c r="BF4" s="194"/>
      <c r="BG4" s="194"/>
      <c r="BH4" s="194"/>
      <c r="BI4" s="194"/>
      <c r="BJ4" s="194"/>
      <c r="BK4" s="194"/>
      <c r="BL4" s="194"/>
      <c r="BM4" s="194"/>
      <c r="BN4" s="194"/>
      <c r="BO4" s="194"/>
      <c r="BP4" s="194"/>
      <c r="BQ4" s="194"/>
      <c r="BR4" s="194"/>
      <c r="BS4" s="194"/>
      <c r="BT4" s="194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  <c r="DA4" s="194"/>
      <c r="DB4" s="194"/>
      <c r="DC4" s="194"/>
      <c r="DD4" s="194"/>
      <c r="DE4" s="194"/>
      <c r="DF4" s="194"/>
      <c r="DG4" s="194"/>
      <c r="DH4" s="194"/>
      <c r="DI4" s="194"/>
      <c r="DJ4" s="194"/>
      <c r="DK4" s="194"/>
      <c r="DL4" s="194"/>
      <c r="DM4" s="194"/>
      <c r="DN4" s="194"/>
      <c r="DO4" s="194"/>
      <c r="DP4" s="194"/>
      <c r="DQ4" s="194"/>
      <c r="DR4" s="194"/>
      <c r="DS4" s="194"/>
      <c r="DT4" s="194"/>
      <c r="DU4" s="194"/>
      <c r="DV4" s="194"/>
      <c r="DW4" s="194"/>
      <c r="DX4" s="194"/>
      <c r="DY4" s="194"/>
      <c r="DZ4" s="194"/>
      <c r="EA4" s="194"/>
      <c r="EB4" s="194"/>
      <c r="EC4" s="194"/>
      <c r="ED4" s="194"/>
      <c r="EE4" s="194"/>
      <c r="EF4" s="194"/>
      <c r="EG4" s="194"/>
      <c r="EH4" s="194"/>
      <c r="EI4" s="194"/>
      <c r="EJ4" s="194"/>
      <c r="EK4" s="194"/>
      <c r="EL4" s="194"/>
      <c r="EM4" s="194"/>
      <c r="EN4" s="194"/>
      <c r="EO4" s="194"/>
      <c r="EP4" s="194"/>
      <c r="EQ4" s="194"/>
      <c r="ER4" s="194"/>
      <c r="ES4" s="194"/>
      <c r="ET4" s="194"/>
      <c r="EU4" s="194"/>
      <c r="EV4" s="194"/>
      <c r="EW4" s="194"/>
      <c r="EX4" s="194"/>
      <c r="EY4" s="194"/>
      <c r="EZ4" s="194"/>
      <c r="FA4" s="194"/>
      <c r="FB4" s="194"/>
      <c r="FC4" s="194"/>
      <c r="FD4" s="194"/>
      <c r="FE4" s="194"/>
      <c r="FF4" s="194"/>
      <c r="FG4" s="194"/>
      <c r="FH4" s="194"/>
      <c r="FI4" s="194"/>
      <c r="FJ4" s="194"/>
      <c r="FK4" s="194"/>
      <c r="FL4" s="194"/>
      <c r="FM4" s="194"/>
      <c r="FN4" s="194"/>
      <c r="FO4" s="194"/>
      <c r="FP4" s="194"/>
      <c r="FQ4" s="194"/>
      <c r="FR4" s="194"/>
      <c r="FS4" s="194"/>
      <c r="FT4" s="194"/>
      <c r="FU4" s="194"/>
      <c r="FV4" s="194"/>
      <c r="FW4" s="194"/>
      <c r="FX4" s="194"/>
      <c r="FY4" s="194"/>
      <c r="FZ4" s="194"/>
      <c r="GA4" s="194"/>
      <c r="GB4" s="194"/>
      <c r="GC4" s="194"/>
      <c r="GD4" s="194"/>
      <c r="GE4" s="194"/>
      <c r="GF4" s="194"/>
      <c r="GG4" s="194"/>
      <c r="GH4" s="194"/>
      <c r="GI4" s="194"/>
      <c r="GJ4" s="194"/>
      <c r="GK4" s="194"/>
      <c r="GL4" s="194"/>
      <c r="GM4" s="194"/>
      <c r="GN4" s="194"/>
      <c r="GO4" s="194"/>
      <c r="GP4" s="194"/>
      <c r="GQ4" s="194"/>
      <c r="GR4" s="194"/>
      <c r="GS4" s="194"/>
    </row>
    <row r="5" spans="1:201" x14ac:dyDescent="0.2">
      <c r="A5" s="12" t="s">
        <v>18</v>
      </c>
      <c r="B5" s="13" t="str">
        <f>CONCATENATE(" 1-",Resumo!B2)</f>
        <v xml:space="preserve"> 1-</v>
      </c>
      <c r="C5" s="13" t="str">
        <f>CONCATENATE(" 2-",Resumo!B7)</f>
        <v xml:space="preserve"> 2-</v>
      </c>
      <c r="D5" s="13" t="str">
        <f>CONCATENATE(" 3-",Resumo!B12)</f>
        <v xml:space="preserve"> 3-</v>
      </c>
      <c r="E5" s="13" t="str">
        <f>CONCATENATE(" 4-",Resumo!B17)</f>
        <v xml:space="preserve"> 4-</v>
      </c>
      <c r="F5" s="13" t="str">
        <f>CONCATENATE(" 5-",Resumo!B22)</f>
        <v xml:space="preserve"> 5-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0</v>
      </c>
      <c r="C6" s="16">
        <f>Resumo!G7</f>
        <v>0</v>
      </c>
      <c r="D6" s="16">
        <f>Resumo!G12</f>
        <v>0</v>
      </c>
      <c r="E6" s="16">
        <f>Resumo!G17</f>
        <v>0</v>
      </c>
      <c r="F6" s="16">
        <f>Resumo!G22</f>
        <v>0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0</v>
      </c>
      <c r="C7" s="16">
        <f>Resumo!G8</f>
        <v>0</v>
      </c>
      <c r="D7" s="16">
        <f>Resumo!G13</f>
        <v>0</v>
      </c>
      <c r="E7" s="16">
        <f>Resumo!G18</f>
        <v>0</v>
      </c>
      <c r="F7" s="16">
        <f>Resumo!G23</f>
        <v>0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0</v>
      </c>
      <c r="C8" s="16">
        <f>Resumo!G9</f>
        <v>0</v>
      </c>
      <c r="D8" s="16">
        <f>Resumo!G14</f>
        <v>0</v>
      </c>
      <c r="E8" s="16">
        <f>Resumo!G19</f>
        <v>0</v>
      </c>
      <c r="F8" s="16">
        <f>Resumo!G24</f>
        <v>0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0</v>
      </c>
      <c r="C9" s="20">
        <f>Resumo!G10</f>
        <v>0</v>
      </c>
      <c r="D9" s="20">
        <f>Resumo!G15</f>
        <v>0</v>
      </c>
      <c r="E9" s="20">
        <f>Resumo!G20</f>
        <v>0</v>
      </c>
      <c r="F9" s="20">
        <f>Resumo!G25</f>
        <v>0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 t="e">
        <f t="shared" ref="B10:BM10" si="0">B20/B22</f>
        <v>#DIV/0!</v>
      </c>
      <c r="C10" s="23" t="e">
        <f t="shared" si="0"/>
        <v>#DIV/0!</v>
      </c>
      <c r="D10" s="23" t="e">
        <f t="shared" si="0"/>
        <v>#DIV/0!</v>
      </c>
      <c r="E10" s="23" t="e">
        <f t="shared" si="0"/>
        <v>#DIV/0!</v>
      </c>
      <c r="F10" s="23" t="e">
        <f t="shared" si="0"/>
        <v>#DIV/0!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 t="e">
        <f>B6/B$9</f>
        <v>#DIV/0!</v>
      </c>
      <c r="C11" s="25" t="e">
        <f t="shared" ref="C11:BN11" si="2">C6/C$9</f>
        <v>#DIV/0!</v>
      </c>
      <c r="D11" s="25" t="e">
        <f t="shared" si="2"/>
        <v>#DIV/0!</v>
      </c>
      <c r="E11" s="25" t="e">
        <f t="shared" si="2"/>
        <v>#DIV/0!</v>
      </c>
      <c r="F11" s="25" t="e">
        <f t="shared" si="2"/>
        <v>#DIV/0!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 t="e">
        <f t="shared" ref="B12:Q13" si="4">B7/B$9</f>
        <v>#DIV/0!</v>
      </c>
      <c r="C12" s="25" t="e">
        <f t="shared" si="4"/>
        <v>#DIV/0!</v>
      </c>
      <c r="D12" s="25" t="e">
        <f t="shared" si="4"/>
        <v>#DIV/0!</v>
      </c>
      <c r="E12" s="25" t="e">
        <f t="shared" si="4"/>
        <v>#DIV/0!</v>
      </c>
      <c r="F12" s="25" t="e">
        <f t="shared" si="4"/>
        <v>#DIV/0!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 t="e">
        <f t="shared" si="4"/>
        <v>#DIV/0!</v>
      </c>
      <c r="C13" s="25" t="e">
        <f t="shared" si="4"/>
        <v>#DIV/0!</v>
      </c>
      <c r="D13" s="25" t="e">
        <f t="shared" si="4"/>
        <v>#DIV/0!</v>
      </c>
      <c r="E13" s="25" t="e">
        <f t="shared" si="4"/>
        <v>#DIV/0!</v>
      </c>
      <c r="F13" s="25" t="e">
        <f t="shared" si="4"/>
        <v>#DIV/0!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199" customFormat="1" x14ac:dyDescent="0.2">
      <c r="A14" s="199" t="s">
        <v>20</v>
      </c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200"/>
      <c r="AQ14" s="200"/>
      <c r="AR14" s="200"/>
      <c r="AS14" s="200"/>
      <c r="AT14" s="200"/>
      <c r="AU14" s="200"/>
      <c r="AV14" s="200"/>
      <c r="AW14" s="200"/>
      <c r="AX14" s="200"/>
      <c r="AY14" s="200"/>
      <c r="AZ14" s="200"/>
      <c r="BA14" s="200"/>
      <c r="BB14" s="200"/>
      <c r="BC14" s="200"/>
      <c r="BD14" s="200"/>
      <c r="BE14" s="200"/>
      <c r="BF14" s="200"/>
      <c r="BG14" s="200"/>
      <c r="BH14" s="200"/>
      <c r="BI14" s="200"/>
      <c r="BJ14" s="200"/>
      <c r="BK14" s="200"/>
      <c r="BL14" s="200"/>
      <c r="BM14" s="200"/>
      <c r="BN14" s="200"/>
      <c r="BO14" s="200"/>
      <c r="BP14" s="200"/>
      <c r="BQ14" s="200"/>
      <c r="BR14" s="200"/>
      <c r="BS14" s="200"/>
      <c r="BT14" s="200"/>
      <c r="BU14" s="200"/>
      <c r="BV14" s="200"/>
      <c r="BW14" s="200"/>
      <c r="BX14" s="200"/>
      <c r="BY14" s="200"/>
      <c r="BZ14" s="200"/>
      <c r="CA14" s="200"/>
      <c r="CB14" s="200"/>
      <c r="CC14" s="200"/>
      <c r="CD14" s="200"/>
      <c r="CE14" s="200"/>
      <c r="CF14" s="200"/>
      <c r="CG14" s="200"/>
      <c r="CH14" s="200"/>
      <c r="CI14" s="200"/>
      <c r="CJ14" s="200"/>
      <c r="CK14" s="200"/>
      <c r="CL14" s="200"/>
      <c r="CM14" s="200"/>
      <c r="CN14" s="200"/>
      <c r="CO14" s="200"/>
      <c r="CP14" s="200"/>
      <c r="CQ14" s="200"/>
      <c r="CR14" s="200"/>
      <c r="CS14" s="200"/>
      <c r="CT14" s="200"/>
      <c r="CU14" s="200"/>
      <c r="CV14" s="200"/>
      <c r="CW14" s="200"/>
      <c r="CX14" s="200"/>
      <c r="CY14" s="200"/>
      <c r="CZ14" s="200"/>
      <c r="DA14" s="200"/>
      <c r="DB14" s="200"/>
      <c r="DC14" s="200"/>
      <c r="DD14" s="200"/>
      <c r="DE14" s="200"/>
      <c r="DF14" s="200"/>
      <c r="DG14" s="200"/>
      <c r="DH14" s="200"/>
      <c r="DI14" s="200"/>
      <c r="DJ14" s="200"/>
      <c r="DK14" s="200"/>
      <c r="DL14" s="200"/>
      <c r="DM14" s="200"/>
      <c r="DN14" s="200"/>
      <c r="DO14" s="200"/>
      <c r="DP14" s="200"/>
      <c r="DQ14" s="200"/>
      <c r="DR14" s="200"/>
      <c r="DS14" s="200"/>
      <c r="DT14" s="200"/>
      <c r="DU14" s="200"/>
      <c r="DV14" s="200"/>
      <c r="DW14" s="200"/>
      <c r="DX14" s="200"/>
      <c r="DY14" s="200"/>
      <c r="DZ14" s="200"/>
      <c r="EA14" s="200"/>
      <c r="EB14" s="200"/>
      <c r="EC14" s="200"/>
      <c r="ED14" s="200"/>
      <c r="EE14" s="200"/>
      <c r="EF14" s="200"/>
      <c r="EG14" s="200"/>
      <c r="EH14" s="200"/>
      <c r="EI14" s="200"/>
      <c r="EJ14" s="200"/>
      <c r="EK14" s="200"/>
      <c r="EL14" s="200"/>
      <c r="EM14" s="200"/>
      <c r="EN14" s="200"/>
      <c r="EO14" s="200"/>
      <c r="EP14" s="200"/>
      <c r="EQ14" s="200"/>
      <c r="ER14" s="200"/>
      <c r="ES14" s="200"/>
      <c r="ET14" s="200"/>
      <c r="EU14" s="200"/>
      <c r="EV14" s="200"/>
      <c r="EW14" s="200"/>
      <c r="EX14" s="200"/>
      <c r="EY14" s="200"/>
      <c r="EZ14" s="200"/>
      <c r="FA14" s="200"/>
      <c r="FB14" s="200"/>
      <c r="FC14" s="200"/>
      <c r="FD14" s="200"/>
      <c r="FE14" s="200"/>
      <c r="FF14" s="200"/>
      <c r="FG14" s="200"/>
      <c r="FH14" s="200"/>
      <c r="FI14" s="200"/>
      <c r="FJ14" s="200"/>
      <c r="FK14" s="200"/>
      <c r="FL14" s="200"/>
      <c r="FM14" s="200"/>
      <c r="FN14" s="200"/>
      <c r="FO14" s="200"/>
      <c r="FP14" s="200"/>
      <c r="FQ14" s="200"/>
      <c r="FR14" s="200"/>
      <c r="FS14" s="200"/>
      <c r="FT14" s="200"/>
      <c r="FU14" s="200"/>
      <c r="FV14" s="200"/>
      <c r="FW14" s="200"/>
      <c r="FX14" s="200"/>
      <c r="FY14" s="200"/>
      <c r="FZ14" s="200"/>
      <c r="GA14" s="200"/>
      <c r="GB14" s="200"/>
      <c r="GC14" s="200"/>
      <c r="GD14" s="200"/>
      <c r="GE14" s="200"/>
      <c r="GF14" s="200"/>
      <c r="GG14" s="200"/>
      <c r="GH14" s="200"/>
      <c r="GI14" s="200"/>
      <c r="GJ14" s="200"/>
      <c r="GK14" s="200"/>
      <c r="GL14" s="200"/>
      <c r="GM14" s="200"/>
      <c r="GN14" s="200"/>
      <c r="GO14" s="200"/>
      <c r="GP14" s="200"/>
      <c r="GQ14" s="200"/>
      <c r="GR14" s="200"/>
      <c r="GS14" s="200"/>
    </row>
    <row r="15" spans="1:201" x14ac:dyDescent="0.2">
      <c r="A15" s="7" t="s">
        <v>21</v>
      </c>
      <c r="B15" s="26" t="e">
        <f t="shared" ref="B15:BM15" si="9">B6/B9</f>
        <v>#DIV/0!</v>
      </c>
      <c r="C15" s="26" t="e">
        <f t="shared" si="9"/>
        <v>#DIV/0!</v>
      </c>
      <c r="D15" s="26" t="e">
        <f t="shared" si="9"/>
        <v>#DIV/0!</v>
      </c>
      <c r="E15" s="26" t="e">
        <f t="shared" si="9"/>
        <v>#DIV/0!</v>
      </c>
      <c r="F15" s="26" t="e">
        <f t="shared" si="9"/>
        <v>#DIV/0!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 t="e">
        <f t="shared" ref="B16:BM16" si="11">B7/B9</f>
        <v>#DIV/0!</v>
      </c>
      <c r="C16" s="26" t="e">
        <f t="shared" si="11"/>
        <v>#DIV/0!</v>
      </c>
      <c r="D16" s="26" t="e">
        <f t="shared" si="11"/>
        <v>#DIV/0!</v>
      </c>
      <c r="E16" s="26" t="e">
        <f t="shared" si="11"/>
        <v>#DIV/0!</v>
      </c>
      <c r="F16" s="26" t="e">
        <f t="shared" si="11"/>
        <v>#DIV/0!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 t="e">
        <f t="shared" ref="B17:BM17" si="13">B8/B9</f>
        <v>#DIV/0!</v>
      </c>
      <c r="C17" s="30" t="e">
        <f t="shared" si="13"/>
        <v>#DIV/0!</v>
      </c>
      <c r="D17" s="30" t="e">
        <f t="shared" si="13"/>
        <v>#DIV/0!</v>
      </c>
      <c r="E17" s="30" t="e">
        <f t="shared" si="13"/>
        <v>#DIV/0!</v>
      </c>
      <c r="F17" s="30" t="e">
        <f t="shared" si="13"/>
        <v>#DIV/0!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 t="e">
        <f t="shared" ref="B18:BM18" si="15">B15+B16</f>
        <v>#DIV/0!</v>
      </c>
      <c r="C18" s="35" t="e">
        <f t="shared" si="15"/>
        <v>#DIV/0!</v>
      </c>
      <c r="D18" s="35" t="e">
        <f t="shared" si="15"/>
        <v>#DIV/0!</v>
      </c>
      <c r="E18" s="35" t="e">
        <f t="shared" si="15"/>
        <v>#DIV/0!</v>
      </c>
      <c r="F18" s="35" t="e">
        <f t="shared" si="15"/>
        <v>#DIV/0!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 t="e">
        <f t="shared" ref="B19:BM19" si="17">B15+B16+B17</f>
        <v>#DIV/0!</v>
      </c>
      <c r="C19" s="35" t="e">
        <f t="shared" si="17"/>
        <v>#DIV/0!</v>
      </c>
      <c r="D19" s="35" t="e">
        <f t="shared" si="17"/>
        <v>#DIV/0!</v>
      </c>
      <c r="E19" s="35" t="e">
        <f t="shared" si="17"/>
        <v>#DIV/0!</v>
      </c>
      <c r="F19" s="35" t="e">
        <f t="shared" si="17"/>
        <v>#DIV/0!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209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 t="e">
        <f t="shared" ref="B20:BM20" si="19">1/B17</f>
        <v>#DIV/0!</v>
      </c>
      <c r="C20" s="41" t="e">
        <f t="shared" si="19"/>
        <v>#DIV/0!</v>
      </c>
      <c r="D20" s="41" t="e">
        <f t="shared" si="19"/>
        <v>#DIV/0!</v>
      </c>
      <c r="E20" s="41" t="e">
        <f t="shared" si="19"/>
        <v>#DIV/0!</v>
      </c>
      <c r="F20" s="41" t="e">
        <f t="shared" si="19"/>
        <v>#DIV/0!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 t="e">
        <f t="shared" ref="B21:BM21" si="21">B17/(1-B17)</f>
        <v>#DIV/0!</v>
      </c>
      <c r="C21" s="46" t="e">
        <f t="shared" si="21"/>
        <v>#DIV/0!</v>
      </c>
      <c r="D21" s="46" t="e">
        <f t="shared" si="21"/>
        <v>#DIV/0!</v>
      </c>
      <c r="E21" s="46" t="e">
        <f t="shared" si="21"/>
        <v>#DIV/0!</v>
      </c>
      <c r="F21" s="46" t="e">
        <f t="shared" si="21"/>
        <v>#DIV/0!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 t="e">
        <f t="shared" ref="B22:BM22" si="23">(1-B15)/B15</f>
        <v>#DIV/0!</v>
      </c>
      <c r="C22" s="47" t="e">
        <f t="shared" si="23"/>
        <v>#DIV/0!</v>
      </c>
      <c r="D22" s="47" t="e">
        <f t="shared" si="23"/>
        <v>#DIV/0!</v>
      </c>
      <c r="E22" s="47" t="e">
        <f t="shared" si="23"/>
        <v>#DIV/0!</v>
      </c>
      <c r="F22" s="47" t="e">
        <f t="shared" si="23"/>
        <v>#DIV/0!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 t="e">
        <f t="shared" ref="B23:BM23" si="25">B20/B22</f>
        <v>#DIV/0!</v>
      </c>
      <c r="C23" s="51" t="e">
        <f t="shared" si="25"/>
        <v>#DIV/0!</v>
      </c>
      <c r="D23" s="51" t="e">
        <f t="shared" si="25"/>
        <v>#DIV/0!</v>
      </c>
      <c r="E23" s="51" t="e">
        <f t="shared" si="25"/>
        <v>#DIV/0!</v>
      </c>
      <c r="F23" s="51" t="e">
        <f t="shared" si="25"/>
        <v>#DIV/0!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199" customFormat="1" x14ac:dyDescent="0.2">
      <c r="A24" s="199" t="s">
        <v>32</v>
      </c>
      <c r="B24" s="200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0"/>
      <c r="CL24" s="200"/>
      <c r="CM24" s="200"/>
      <c r="CN24" s="200"/>
      <c r="CO24" s="200"/>
      <c r="CP24" s="200"/>
      <c r="CQ24" s="200"/>
      <c r="CR24" s="200"/>
      <c r="CS24" s="200"/>
      <c r="CT24" s="200"/>
      <c r="CU24" s="200"/>
      <c r="CV24" s="200"/>
      <c r="CW24" s="200"/>
      <c r="CX24" s="200"/>
      <c r="CY24" s="200"/>
      <c r="CZ24" s="200"/>
      <c r="DA24" s="200"/>
      <c r="DB24" s="200"/>
      <c r="DC24" s="200"/>
      <c r="DD24" s="200"/>
      <c r="DE24" s="200"/>
      <c r="DF24" s="200"/>
      <c r="DG24" s="200"/>
      <c r="DH24" s="200"/>
      <c r="DI24" s="200"/>
      <c r="DJ24" s="200"/>
      <c r="DK24" s="200"/>
      <c r="DL24" s="200"/>
      <c r="DM24" s="200"/>
      <c r="DN24" s="200"/>
      <c r="DO24" s="200"/>
      <c r="DP24" s="200"/>
      <c r="DQ24" s="200"/>
      <c r="DR24" s="200"/>
      <c r="DS24" s="200"/>
      <c r="DT24" s="200"/>
      <c r="DU24" s="200"/>
      <c r="DV24" s="200"/>
      <c r="DW24" s="200"/>
      <c r="DX24" s="200"/>
      <c r="DY24" s="200"/>
      <c r="DZ24" s="200"/>
      <c r="EA24" s="200"/>
      <c r="EB24" s="200"/>
      <c r="EC24" s="200"/>
      <c r="ED24" s="200"/>
      <c r="EE24" s="200"/>
      <c r="EF24" s="200"/>
      <c r="EG24" s="200"/>
      <c r="EH24" s="200"/>
      <c r="EI24" s="200"/>
      <c r="EJ24" s="200"/>
      <c r="EK24" s="200"/>
      <c r="EL24" s="200"/>
      <c r="EM24" s="200"/>
      <c r="EN24" s="200"/>
      <c r="EO24" s="200"/>
      <c r="EP24" s="200"/>
      <c r="EQ24" s="200"/>
      <c r="ER24" s="200"/>
      <c r="ES24" s="200"/>
      <c r="ET24" s="200"/>
      <c r="EU24" s="200"/>
      <c r="EV24" s="200"/>
      <c r="EW24" s="200"/>
      <c r="EX24" s="200"/>
      <c r="EY24" s="200"/>
      <c r="EZ24" s="200"/>
      <c r="FA24" s="200"/>
      <c r="FB24" s="200"/>
      <c r="FC24" s="200"/>
      <c r="FD24" s="200"/>
      <c r="FE24" s="200"/>
      <c r="FF24" s="200"/>
      <c r="FG24" s="200"/>
      <c r="FH24" s="200"/>
      <c r="FI24" s="200"/>
      <c r="FJ24" s="200"/>
      <c r="FK24" s="200"/>
      <c r="FL24" s="200"/>
      <c r="FM24" s="200"/>
      <c r="FN24" s="200"/>
      <c r="FO24" s="200"/>
      <c r="FP24" s="200"/>
      <c r="FQ24" s="200"/>
      <c r="FR24" s="200"/>
      <c r="FS24" s="200"/>
      <c r="FT24" s="200"/>
      <c r="FU24" s="200"/>
      <c r="FV24" s="200"/>
      <c r="FW24" s="200"/>
      <c r="FX24" s="200"/>
      <c r="FY24" s="200"/>
      <c r="FZ24" s="200"/>
      <c r="GA24" s="200"/>
      <c r="GB24" s="200"/>
      <c r="GC24" s="200"/>
      <c r="GD24" s="200"/>
      <c r="GE24" s="200"/>
      <c r="GF24" s="200"/>
      <c r="GG24" s="200"/>
      <c r="GH24" s="200"/>
      <c r="GI24" s="200"/>
      <c r="GJ24" s="200"/>
      <c r="GK24" s="200"/>
      <c r="GL24" s="200"/>
      <c r="GM24" s="200"/>
      <c r="GN24" s="200"/>
      <c r="GO24" s="200"/>
      <c r="GP24" s="200"/>
      <c r="GQ24" s="200"/>
      <c r="GR24" s="200"/>
      <c r="GS24" s="200"/>
      <c r="GT24" s="200"/>
      <c r="GU24" s="200"/>
      <c r="GV24" s="200"/>
      <c r="GW24" s="200"/>
      <c r="GX24" s="200"/>
      <c r="GY24" s="200"/>
      <c r="GZ24" s="200"/>
      <c r="HA24" s="200"/>
      <c r="HB24" s="200"/>
      <c r="HC24" s="200"/>
      <c r="HD24" s="200"/>
      <c r="HE24" s="200"/>
      <c r="HF24" s="200"/>
      <c r="HG24" s="200"/>
      <c r="HH24" s="200"/>
      <c r="HI24" s="200"/>
      <c r="HJ24" s="200"/>
      <c r="HK24" s="200"/>
      <c r="HL24" s="200"/>
      <c r="HM24" s="200"/>
      <c r="HN24" s="200"/>
      <c r="HO24" s="200"/>
      <c r="HP24" s="200"/>
      <c r="HQ24" s="200"/>
      <c r="HR24" s="200"/>
      <c r="HS24" s="200"/>
      <c r="HT24" s="200"/>
      <c r="HU24" s="200"/>
      <c r="HV24" s="200"/>
      <c r="HW24" s="200"/>
      <c r="HX24" s="200"/>
      <c r="HY24" s="200"/>
      <c r="HZ24" s="200"/>
      <c r="IA24" s="200"/>
      <c r="IB24" s="200"/>
      <c r="IC24" s="200"/>
      <c r="ID24" s="200"/>
      <c r="IE24" s="200"/>
      <c r="IF24" s="200"/>
      <c r="IG24" s="200"/>
      <c r="IH24" s="200"/>
      <c r="II24" s="200"/>
      <c r="IJ24" s="200"/>
      <c r="IK24" s="200"/>
      <c r="IL24" s="200"/>
      <c r="IM24" s="200"/>
      <c r="IN24" s="200"/>
      <c r="IO24" s="200"/>
      <c r="IP24" s="200"/>
      <c r="IQ24" s="200"/>
      <c r="IR24" s="200"/>
      <c r="IS24" s="200"/>
      <c r="IT24" s="200"/>
      <c r="IU24" s="200"/>
    </row>
    <row r="25" spans="1:255" x14ac:dyDescent="0.2">
      <c r="A25" s="54" t="s">
        <v>33</v>
      </c>
      <c r="B25" s="55" t="str">
        <f>B5</f>
        <v xml:space="preserve"> 1-</v>
      </c>
      <c r="C25" s="55" t="str">
        <f>C5</f>
        <v xml:space="preserve"> 2-</v>
      </c>
      <c r="D25" s="55" t="str">
        <f t="shared" ref="D25:BO25" si="27">D5</f>
        <v xml:space="preserve"> 3-</v>
      </c>
      <c r="E25" s="55" t="str">
        <f t="shared" si="27"/>
        <v xml:space="preserve"> 4-</v>
      </c>
      <c r="F25" s="55" t="str">
        <f t="shared" si="27"/>
        <v xml:space="preserve"> 5-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 t="e">
        <f t="shared" ref="B26:C26" si="29">(2*B17+B15-1)/SQRT(3)</f>
        <v>#DIV/0!</v>
      </c>
      <c r="C26" s="57" t="e">
        <f t="shared" si="29"/>
        <v>#DIV/0!</v>
      </c>
      <c r="D26" s="57" t="e">
        <f t="shared" ref="D26:G26" si="30">(2*D17+D15-1)/SQRT(3)</f>
        <v>#DIV/0!</v>
      </c>
      <c r="E26" s="57" t="e">
        <f t="shared" si="30"/>
        <v>#DIV/0!</v>
      </c>
      <c r="F26" s="57" t="e">
        <f t="shared" si="30"/>
        <v>#DIV/0!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-1</v>
      </c>
      <c r="C27" s="63">
        <f>IF(DIAG!$H38,C15,-1)</f>
        <v>-1</v>
      </c>
      <c r="D27" s="63">
        <f>IF(DIAG!$H39,D15,-1)</f>
        <v>-1</v>
      </c>
      <c r="E27" s="63">
        <f>IF(DIAG!$H40,E15,-1)</f>
        <v>-1</v>
      </c>
      <c r="F27" s="63">
        <f>IF(DIAG!$H41,F15,-1)</f>
        <v>-1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195" t="s">
        <v>33</v>
      </c>
      <c r="B28" s="196"/>
      <c r="C28" s="197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</v>
      </c>
      <c r="C29" s="72"/>
      <c r="D29" s="73" t="e">
        <f ca="1">D103</f>
        <v>#DIV/0!</v>
      </c>
      <c r="E29" s="73" t="e">
        <f ca="1">D100</f>
        <v>#DIV/0!</v>
      </c>
      <c r="F29" s="73" t="e">
        <f ca="1">E103</f>
        <v>#DIV/0!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33">B9</f>
        <v>0</v>
      </c>
      <c r="BE30" s="14">
        <f t="shared" si="33"/>
        <v>0</v>
      </c>
      <c r="BF30" s="14">
        <f t="shared" si="33"/>
        <v>0</v>
      </c>
      <c r="BG30" s="14">
        <f t="shared" si="33"/>
        <v>0</v>
      </c>
      <c r="BH30" s="14">
        <f t="shared" si="33"/>
        <v>0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0</v>
      </c>
      <c r="BD31" s="9">
        <f t="shared" ref="BD31:DO31" si="124">IF(BD30=0,0,LOG(BD30/$BB$31,10))</f>
        <v>0</v>
      </c>
      <c r="BE31" s="9">
        <f t="shared" si="124"/>
        <v>0</v>
      </c>
      <c r="BF31" s="9">
        <f t="shared" si="124"/>
        <v>0</v>
      </c>
      <c r="BG31" s="9">
        <f t="shared" si="124"/>
        <v>0</v>
      </c>
      <c r="BH31" s="9">
        <f t="shared" si="124"/>
        <v>0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26">BD31/$BB$33</f>
        <v>0</v>
      </c>
      <c r="BE33" s="9">
        <f t="shared" ca="1" si="126"/>
        <v>0</v>
      </c>
      <c r="BF33" s="14">
        <f t="shared" ca="1" si="126"/>
        <v>0</v>
      </c>
      <c r="BG33" s="9">
        <f t="shared" ca="1" si="126"/>
        <v>0</v>
      </c>
      <c r="BH33" s="9">
        <f t="shared" ca="1" si="126"/>
        <v>0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130">ROUND(10*BE33,0)</f>
        <v>0</v>
      </c>
      <c r="BF35" s="9">
        <f ca="1">ROUND(10*BF33,0)</f>
        <v>0</v>
      </c>
      <c r="BG35" s="9">
        <f t="shared" ref="BG35" ca="1" si="131">ROUND(10*BG33,0)</f>
        <v>0</v>
      </c>
      <c r="BH35" s="9">
        <f t="shared" ca="1" si="130"/>
        <v>0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4" t="s">
        <v>20</v>
      </c>
      <c r="GL43" s="183"/>
    </row>
    <row r="44" spans="1:248" x14ac:dyDescent="0.2">
      <c r="A44" s="80"/>
      <c r="B44" s="81"/>
      <c r="D44" s="82"/>
      <c r="E44" s="82"/>
      <c r="F44" s="82"/>
      <c r="G44" s="182"/>
      <c r="H44" s="182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H45" s="210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6"/>
      <c r="B50" s="186"/>
      <c r="C50" s="186"/>
      <c r="D50" s="186"/>
      <c r="E50" s="187"/>
      <c r="F50" s="187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4" t="s">
        <v>32</v>
      </c>
      <c r="GL53" s="183"/>
      <c r="GM53" s="185"/>
      <c r="GN53" s="185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 t="e">
        <f>VLOOKUP(A78,A26:GS26,DIAG!$T$58+1,0)</f>
        <v>#DIV/0!</v>
      </c>
      <c r="B79" s="134">
        <f>VLOOKUP(B78,A27:GS27,DIAG!$T$58+1,0)</f>
        <v>-1</v>
      </c>
      <c r="E79" s="133" t="e">
        <f>VLOOKUP(E78,A26:GS26,DIAG!$W$56+1,0)</f>
        <v>#DIV/0!</v>
      </c>
      <c r="F79" s="134">
        <f>VLOOKUP(F78,A27:GS27,DIAG!$W$56+1,0)</f>
        <v>-1</v>
      </c>
      <c r="G79" s="133" t="e">
        <f>VLOOKUP(G78,A26:GS26,DIAG!$W$58+1,0)</f>
        <v>#DIV/0!</v>
      </c>
      <c r="H79" s="134">
        <f>VLOOKUP(H78,A27:GS27,DIAG!$W$58+1,0)</f>
        <v>-1</v>
      </c>
      <c r="N79" s="10" t="s">
        <v>118</v>
      </c>
      <c r="O79" s="28" t="e">
        <f>IF(A79&lt;&gt;0,O35,0)</f>
        <v>#DIV/0!</v>
      </c>
      <c r="P79" s="28" t="e">
        <f>IF(A79&lt;&gt;0,P35,0)</f>
        <v>#DIV/0!</v>
      </c>
      <c r="Q79" s="28" t="e">
        <f>IF(A79&lt;&gt;0,Q35,0)</f>
        <v>#DIV/0!</v>
      </c>
      <c r="R79" s="28" t="e">
        <f>IF(A79&lt;&gt;0,R35,0)</f>
        <v>#DIV/0!</v>
      </c>
      <c r="S79" s="28" t="e">
        <f>IF(A79&lt;&gt;0,S35,0)</f>
        <v>#DIV/0!</v>
      </c>
      <c r="T79" s="28" t="e">
        <f>IF(A79&lt;&gt;0,T35,0)</f>
        <v>#DIV/0!</v>
      </c>
      <c r="U79" s="28" t="e">
        <f>IF(A79&lt;&gt;0,U35,0)</f>
        <v>#DIV/0!</v>
      </c>
      <c r="V79" s="28" t="e">
        <f>IF(A79&lt;&gt;0,V35,0)</f>
        <v>#DIV/0!</v>
      </c>
      <c r="W79" s="28" t="e">
        <f>IF(A79&lt;&gt;0,W35,0)</f>
        <v>#DIV/0!</v>
      </c>
      <c r="X79" s="28" t="e">
        <f>IF(A79&lt;&gt;0,X35,0)</f>
        <v>#DIV/0!</v>
      </c>
      <c r="Y79" s="28" t="e">
        <f>IF(A79&lt;&gt;0,Y35,0)</f>
        <v>#DIV/0!</v>
      </c>
      <c r="Z79" s="28" t="e">
        <f>IF(A79&lt;&gt;0,Z35,0)</f>
        <v>#DIV/0!</v>
      </c>
      <c r="AA79" s="28" t="e">
        <f>IF(A79&lt;&gt;0,AA35,0)</f>
        <v>#DIV/0!</v>
      </c>
      <c r="AB79" s="28" t="e">
        <f>IF(A79&lt;&gt;0,AB35,0)</f>
        <v>#DIV/0!</v>
      </c>
      <c r="AC79" s="28" t="e">
        <f>IF(A79&lt;&gt;0,AC35,0)</f>
        <v>#DIV/0!</v>
      </c>
      <c r="AD79" s="28" t="e">
        <f>IF(A79&lt;&gt;0,AD35,0)</f>
        <v>#DIV/0!</v>
      </c>
      <c r="AE79" s="28" t="e">
        <f>IF(A79&lt;&gt;0,AE35,0)</f>
        <v>#DIV/0!</v>
      </c>
      <c r="AF79" s="28" t="e">
        <f>IF(A79&lt;&gt;0,AF35,0)</f>
        <v>#DIV/0!</v>
      </c>
      <c r="AG79" s="28" t="e">
        <f>IF(A79&lt;&gt;0,AG35,0)</f>
        <v>#DIV/0!</v>
      </c>
      <c r="AH79" s="28" t="e">
        <f>IF(A79&lt;&gt;0,AH35,0)</f>
        <v>#DIV/0!</v>
      </c>
      <c r="AI79" s="132" t="e">
        <f>IF(A79&lt;&gt;0,AI35,0)</f>
        <v>#DIV/0!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 t="e">
        <f>(B80-$F$79)/(A80-$E$79)</f>
        <v>#DIV/0!</v>
      </c>
      <c r="D80" s="28" t="e">
        <f>(B80*(A80-$E$79)-A80*(B80-$F$79))/(A80-$E$79)</f>
        <v>#DIV/0!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 t="e">
        <f>(B81-$H$79)/(A81-$G$79)</f>
        <v>#DIV/0!</v>
      </c>
      <c r="D81" s="28" t="e">
        <f>(B81*(A81-$G$79)-A81*(B81-$H$79))/(A81-$G$79)</f>
        <v>#DIV/0!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 t="e">
        <f>(B82-$B$79)/(A82-$A$79)</f>
        <v>#DIV/0!</v>
      </c>
      <c r="D82" s="28" t="e">
        <f>(B82*(A82-$A$79)-A82*(B82-$B$79))/(A82-$A$79)</f>
        <v>#DIV/0!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#DIV/0!</v>
      </c>
      <c r="E87" s="143" t="e">
        <f ca="1">E91</f>
        <v>#DIV/0!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#DIV/0!</v>
      </c>
      <c r="E88" s="148" t="e">
        <f ca="1">C80*E87+D80</f>
        <v>#DIV/0!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#DIV/0!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#DIV/0!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#DIV/0!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#DIV/0!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 t="e">
        <f>(R95-D82)/C82</f>
        <v>#DIV/0!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#DIV/0!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#DIV/0!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#DIV/0!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 t="e">
        <f>SQRT((R94-S94)^2+(R95-S95)^2)</f>
        <v>#DIV/0!</v>
      </c>
      <c r="S98" s="66"/>
      <c r="W98" s="9" t="e">
        <f ca="1">(SQRT(25*E88^2-10*E88+21)-6)/(5*SQRT(3))</f>
        <v>#DIV/0!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#DIV/0!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#DIV/0!</v>
      </c>
      <c r="E102" s="160" t="e">
        <f ca="1">SQRT((D87-D94)^2+(D88-D95)^2)</f>
        <v>#DIV/0!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#DIV/0!</v>
      </c>
      <c r="E103" s="162" t="e">
        <f ca="1">E102/D98</f>
        <v>#DIV/0!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#DIV/0!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#DIV/0!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#DIV/0!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#DIV/0!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134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135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136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137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138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139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140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141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142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143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144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145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146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147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148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149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150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151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152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153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154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155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156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157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158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159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160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161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162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163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164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165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166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167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168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169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170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171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172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173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174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175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176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177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178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179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180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181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182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183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184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185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186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187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188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189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190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191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192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193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194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195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196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197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198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199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200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201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202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203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204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205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206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207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208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209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210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211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212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213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214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215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216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217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218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219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220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221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222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223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224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225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226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227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228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229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230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231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232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233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2023-05-20T02:42:36Z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