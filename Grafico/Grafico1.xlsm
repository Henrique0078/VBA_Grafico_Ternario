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B67594E8-26DF-4197-9DD7-B2F81C0380B2}" xr6:coauthVersionLast="47" xr6:coauthVersionMax="47" xr10:uidLastSave="{00000000-0000-0000-0000-000000000000}"/>
  <workbookProtection lockWindows="1"/>
  <bookViews>
    <workbookView xWindow="-120" yWindow="-120" windowWidth="20730" windowHeight="11160" activeTab="4" xr2:uid="{00000000-000D-0000-FFFF-FFFF00000000}"/>
  </bookViews>
  <sheets>
    <sheet name="CAPA" sheetId="9" r:id="rId1"/>
    <sheet name="DIAG" sheetId="1" r:id="rId2"/>
    <sheet name="Entrada de Dados" sheetId="4" r:id="rId3"/>
    <sheet name="Entrada_de_Dados_2" sheetId="8" r:id="rId4"/>
    <sheet name="Diagrama" sheetId="6" r:id="rId5"/>
    <sheet name="Espelho" sheetId="7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'Entrada de Dados'!$1:$1</definedName>
  </definedNames>
  <calcPr calcId="191029" iterate="1"/>
</workbook>
</file>

<file path=xl/calcChain.xml><?xml version="1.0" encoding="utf-8"?>
<calcChain xmlns="http://schemas.openxmlformats.org/spreadsheetml/2006/main">
  <c r="L10" i="6" l="1"/>
  <c r="K10" i="6"/>
  <c r="J10" i="6"/>
  <c r="I10" i="6"/>
  <c r="H10" i="6"/>
  <c r="G10" i="6"/>
  <c r="F10" i="6"/>
  <c r="E10" i="6"/>
  <c r="D10" i="6"/>
  <c r="C10" i="6"/>
  <c r="B10" i="6"/>
  <c r="L8" i="6"/>
  <c r="L9" i="6" s="1"/>
  <c r="C27" i="6" l="1"/>
  <c r="G2" i="4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AP26" i="6"/>
  <c r="AY26" i="6"/>
  <c r="E27" i="6"/>
  <c r="S54" i="6" s="1"/>
  <c r="F27" i="6"/>
  <c r="T55" i="6" s="1"/>
  <c r="G27" i="6"/>
  <c r="U56" i="6" s="1"/>
  <c r="H27" i="6"/>
  <c r="V57" i="6" s="1"/>
  <c r="I27" i="6"/>
  <c r="W58" i="6" s="1"/>
  <c r="J27" i="6"/>
  <c r="X59" i="6" s="1"/>
  <c r="K27" i="6"/>
  <c r="Y60" i="6" s="1"/>
  <c r="L27" i="6"/>
  <c r="AP27" i="6"/>
  <c r="AY27" i="6"/>
  <c r="AP29" i="6"/>
  <c r="AY29" i="6"/>
  <c r="AP30" i="6"/>
  <c r="AY30" i="6"/>
  <c r="AP32" i="6"/>
  <c r="AY32" i="6"/>
  <c r="AP33" i="6"/>
  <c r="AY33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AP35" i="6"/>
  <c r="AY35" i="6"/>
  <c r="AP36" i="6"/>
  <c r="AY36" i="6"/>
  <c r="O37" i="6"/>
  <c r="Q37" i="6"/>
  <c r="R37" i="6"/>
  <c r="S37" i="6"/>
  <c r="U37" i="6"/>
  <c r="Y37" i="6"/>
  <c r="Z37" i="6"/>
  <c r="AC37" i="6"/>
  <c r="AG37" i="6"/>
  <c r="AH37" i="6"/>
  <c r="AP38" i="6"/>
  <c r="AY38" i="6"/>
  <c r="P39" i="6"/>
  <c r="AP39" i="6"/>
  <c r="AY39" i="6"/>
  <c r="AP41" i="6"/>
  <c r="AY41" i="6"/>
  <c r="T42" i="6"/>
  <c r="AP42" i="6"/>
  <c r="AY42" i="6"/>
  <c r="S43" i="6"/>
  <c r="T43" i="6"/>
  <c r="Z43" i="6"/>
  <c r="AA43" i="6"/>
  <c r="I44" i="6"/>
  <c r="AP44" i="6"/>
  <c r="AY44" i="6"/>
  <c r="L45" i="6"/>
  <c r="N45" i="6" s="1"/>
  <c r="AP45" i="6"/>
  <c r="AY45" i="6"/>
  <c r="L46" i="6"/>
  <c r="AI46" i="6" s="1"/>
  <c r="L47" i="6"/>
  <c r="O47" i="6" s="1"/>
  <c r="AP47" i="6"/>
  <c r="AY47" i="6"/>
  <c r="AP48" i="6"/>
  <c r="AY48" i="6"/>
  <c r="AP50" i="6"/>
  <c r="AY50" i="6"/>
  <c r="AP51" i="6"/>
  <c r="AY51" i="6"/>
  <c r="AP53" i="6"/>
  <c r="AY53" i="6"/>
  <c r="AP54" i="6"/>
  <c r="AY54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BG73" i="6"/>
  <c r="O74" i="6"/>
  <c r="AG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H5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I21" i="4" l="1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AQ39" i="6"/>
  <c r="AR39" i="6" s="1"/>
  <c r="AS39" i="6" s="1"/>
  <c r="AT39" i="6" s="1"/>
  <c r="AU39" i="6" s="1"/>
  <c r="AV39" i="6" s="1"/>
  <c r="AW39" i="6" s="1"/>
  <c r="AX39" i="6" s="1"/>
  <c r="M70" i="6"/>
  <c r="M66" i="6"/>
  <c r="AQ33" i="6"/>
  <c r="AR33" i="6" s="1"/>
  <c r="AS33" i="6" s="1"/>
  <c r="AT33" i="6" s="1"/>
  <c r="AU33" i="6" s="1"/>
  <c r="AV33" i="6" s="1"/>
  <c r="AW33" i="6" s="1"/>
  <c r="AX33" i="6" s="1"/>
  <c r="AQ30" i="6"/>
  <c r="AR30" i="6" s="1"/>
  <c r="AS30" i="6" s="1"/>
  <c r="AT30" i="6" s="1"/>
  <c r="AU30" i="6" s="1"/>
  <c r="AV30" i="6" s="1"/>
  <c r="AW30" i="6" s="1"/>
  <c r="AX30" i="6" s="1"/>
  <c r="AQ29" i="6"/>
  <c r="AR29" i="6" s="1"/>
  <c r="AS29" i="6" s="1"/>
  <c r="AT29" i="6" s="1"/>
  <c r="AU29" i="6" s="1"/>
  <c r="AV29" i="6" s="1"/>
  <c r="AW29" i="6" s="1"/>
  <c r="AX29" i="6" s="1"/>
  <c r="AQ26" i="6"/>
  <c r="AR26" i="6" s="1"/>
  <c r="AS26" i="6" s="1"/>
  <c r="AT26" i="6" s="1"/>
  <c r="AU26" i="6" s="1"/>
  <c r="AV26" i="6" s="1"/>
  <c r="AW26" i="6" s="1"/>
  <c r="AX26" i="6" s="1"/>
  <c r="K8" i="6"/>
  <c r="AF63" i="1" s="1"/>
  <c r="E6" i="6"/>
  <c r="B66" i="4"/>
  <c r="I5" i="6"/>
  <c r="N58" i="6" s="1"/>
  <c r="AQ41" i="6"/>
  <c r="AR41" i="6" s="1"/>
  <c r="AS41" i="6" s="1"/>
  <c r="AT41" i="6" s="1"/>
  <c r="AU41" i="6" s="1"/>
  <c r="AV41" i="6" s="1"/>
  <c r="AW41" i="6" s="1"/>
  <c r="AX41" i="6" s="1"/>
  <c r="E5" i="6"/>
  <c r="N54" i="6" s="1"/>
  <c r="B25" i="4"/>
  <c r="AQ51" i="6"/>
  <c r="AR51" i="6" s="1"/>
  <c r="AS51" i="6" s="1"/>
  <c r="AT51" i="6" s="1"/>
  <c r="AU51" i="6" s="1"/>
  <c r="AV51" i="6" s="1"/>
  <c r="AW51" i="6" s="1"/>
  <c r="AX51" i="6" s="1"/>
  <c r="AQ42" i="6"/>
  <c r="AR42" i="6" s="1"/>
  <c r="AS42" i="6" s="1"/>
  <c r="AT42" i="6" s="1"/>
  <c r="AU42" i="6" s="1"/>
  <c r="AV42" i="6" s="1"/>
  <c r="AW42" i="6" s="1"/>
  <c r="AX42" i="6" s="1"/>
  <c r="AQ35" i="6"/>
  <c r="AR35" i="6" s="1"/>
  <c r="AS35" i="6" s="1"/>
  <c r="AT35" i="6" s="1"/>
  <c r="AU35" i="6" s="1"/>
  <c r="AV35" i="6" s="1"/>
  <c r="AW35" i="6" s="1"/>
  <c r="AX35" i="6" s="1"/>
  <c r="B38" i="4"/>
  <c r="AQ54" i="6"/>
  <c r="AR54" i="6" s="1"/>
  <c r="AS54" i="6" s="1"/>
  <c r="AT54" i="6" s="1"/>
  <c r="AU54" i="6" s="1"/>
  <c r="AV54" i="6" s="1"/>
  <c r="AW54" i="6" s="1"/>
  <c r="AX54" i="6" s="1"/>
  <c r="AQ53" i="6"/>
  <c r="AR53" i="6" s="1"/>
  <c r="AS53" i="6" s="1"/>
  <c r="AT53" i="6" s="1"/>
  <c r="AU53" i="6" s="1"/>
  <c r="AV53" i="6" s="1"/>
  <c r="AW53" i="6" s="1"/>
  <c r="AX53" i="6" s="1"/>
  <c r="AQ38" i="6"/>
  <c r="AR38" i="6" s="1"/>
  <c r="AS38" i="6" s="1"/>
  <c r="AT38" i="6" s="1"/>
  <c r="AU38" i="6" s="1"/>
  <c r="AV38" i="6" s="1"/>
  <c r="AW38" i="6" s="1"/>
  <c r="AX38" i="6" s="1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T46" i="6"/>
  <c r="J6" i="6"/>
  <c r="G8" i="6"/>
  <c r="B24" i="4"/>
  <c r="AI37" i="6"/>
  <c r="AI78" i="6"/>
  <c r="W37" i="6"/>
  <c r="W78" i="6"/>
  <c r="C8" i="6"/>
  <c r="C6" i="6"/>
  <c r="B10" i="4"/>
  <c r="AG75" i="6"/>
  <c r="AQ48" i="6"/>
  <c r="AR48" i="6" s="1"/>
  <c r="AS48" i="6" s="1"/>
  <c r="AT48" i="6" s="1"/>
  <c r="AU48" i="6" s="1"/>
  <c r="AV48" i="6" s="1"/>
  <c r="AW48" i="6" s="1"/>
  <c r="AX48" i="6" s="1"/>
  <c r="AQ36" i="6"/>
  <c r="AR36" i="6" s="1"/>
  <c r="AS36" i="6" s="1"/>
  <c r="AT36" i="6" s="1"/>
  <c r="AU36" i="6" s="1"/>
  <c r="AV36" i="6" s="1"/>
  <c r="AW36" i="6" s="1"/>
  <c r="AX36" i="6" s="1"/>
  <c r="AQ32" i="6"/>
  <c r="AR32" i="6" s="1"/>
  <c r="AS32" i="6" s="1"/>
  <c r="AT32" i="6" s="1"/>
  <c r="AU32" i="6" s="1"/>
  <c r="AV32" i="6" s="1"/>
  <c r="AW32" i="6" s="1"/>
  <c r="AX32" i="6" s="1"/>
  <c r="O69" i="6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5" i="6"/>
  <c r="AR45" i="6" s="1"/>
  <c r="AS45" i="6" s="1"/>
  <c r="AT45" i="6" s="1"/>
  <c r="AU45" i="6" s="1"/>
  <c r="AV45" i="6" s="1"/>
  <c r="AW45" i="6" s="1"/>
  <c r="AX45" i="6" s="1"/>
  <c r="AQ44" i="6"/>
  <c r="AR44" i="6" s="1"/>
  <c r="AS44" i="6" s="1"/>
  <c r="AT44" i="6" s="1"/>
  <c r="AU44" i="6" s="1"/>
  <c r="AV44" i="6" s="1"/>
  <c r="AW44" i="6" s="1"/>
  <c r="AX44" i="6" s="1"/>
  <c r="AQ27" i="6"/>
  <c r="AR27" i="6" s="1"/>
  <c r="AS27" i="6" s="1"/>
  <c r="AT27" i="6" s="1"/>
  <c r="AU27" i="6" s="1"/>
  <c r="AV27" i="6" s="1"/>
  <c r="AW27" i="6" s="1"/>
  <c r="AX27" i="6" s="1"/>
  <c r="B59" i="4"/>
  <c r="K25" i="6"/>
  <c r="N60" i="6"/>
  <c r="B60" i="4"/>
  <c r="S74" i="6"/>
  <c r="S73" i="6" s="1"/>
  <c r="P74" i="6"/>
  <c r="P73" i="6" s="1"/>
  <c r="AF74" i="6"/>
  <c r="AF73" i="6" s="1"/>
  <c r="AD74" i="6"/>
  <c r="AD73" i="6" s="1"/>
  <c r="S66" i="6"/>
  <c r="S65" i="6" s="1"/>
  <c r="W66" i="6"/>
  <c r="W65" i="6" s="1"/>
  <c r="AA66" i="6"/>
  <c r="AA65" i="6" s="1"/>
  <c r="AE66" i="6"/>
  <c r="AE65" i="6" s="1"/>
  <c r="P66" i="6"/>
  <c r="P65" i="6" s="1"/>
  <c r="T66" i="6"/>
  <c r="T65" i="6" s="1"/>
  <c r="X66" i="6"/>
  <c r="X65" i="6" s="1"/>
  <c r="AB66" i="6"/>
  <c r="AB65" i="6" s="1"/>
  <c r="AF66" i="6"/>
  <c r="AF65" i="6" s="1"/>
  <c r="V66" i="6"/>
  <c r="V65" i="6" s="1"/>
  <c r="AD66" i="6"/>
  <c r="AD65" i="6" s="1"/>
  <c r="Q66" i="6"/>
  <c r="Q65" i="6" s="1"/>
  <c r="Y66" i="6"/>
  <c r="Y65" i="6" s="1"/>
  <c r="U66" i="6"/>
  <c r="U65" i="6" s="1"/>
  <c r="Z66" i="6"/>
  <c r="Z65" i="6" s="1"/>
  <c r="AC66" i="6"/>
  <c r="AC65" i="6" s="1"/>
  <c r="R66" i="6"/>
  <c r="R65" i="6" s="1"/>
  <c r="H25" i="6"/>
  <c r="N57" i="6"/>
  <c r="P70" i="6"/>
  <c r="P69" i="6" s="1"/>
  <c r="T70" i="6"/>
  <c r="T69" i="6" s="1"/>
  <c r="X70" i="6"/>
  <c r="X69" i="6" s="1"/>
  <c r="AB70" i="6"/>
  <c r="AB69" i="6" s="1"/>
  <c r="AF70" i="6"/>
  <c r="AF69" i="6" s="1"/>
  <c r="Q70" i="6"/>
  <c r="Q69" i="6" s="1"/>
  <c r="U70" i="6"/>
  <c r="U69" i="6" s="1"/>
  <c r="Y70" i="6"/>
  <c r="Y69" i="6" s="1"/>
  <c r="AC70" i="6"/>
  <c r="AC69" i="6" s="1"/>
  <c r="V70" i="6"/>
  <c r="V69" i="6" s="1"/>
  <c r="AD70" i="6"/>
  <c r="AD69" i="6" s="1"/>
  <c r="W70" i="6"/>
  <c r="W69" i="6" s="1"/>
  <c r="AE70" i="6"/>
  <c r="AE69" i="6" s="1"/>
  <c r="R70" i="6"/>
  <c r="R69" i="6" s="1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A70" i="6"/>
  <c r="AA69" i="6" s="1"/>
  <c r="AE46" i="6"/>
  <c r="AF37" i="6"/>
  <c r="AF78" i="6"/>
  <c r="AB37" i="6"/>
  <c r="AB78" i="6"/>
  <c r="X37" i="6"/>
  <c r="X78" i="6"/>
  <c r="T37" i="6"/>
  <c r="T78" i="6"/>
  <c r="P37" i="6"/>
  <c r="P78" i="6"/>
  <c r="I25" i="6"/>
  <c r="B46" i="4"/>
  <c r="B32" i="4"/>
  <c r="B18" i="4"/>
  <c r="C5" i="6"/>
  <c r="B11" i="4"/>
  <c r="Z70" i="6"/>
  <c r="Z69" i="6" s="1"/>
  <c r="AO65" i="6"/>
  <c r="BG65" i="6"/>
  <c r="X46" i="6"/>
  <c r="B3" i="4"/>
  <c r="O65" i="6"/>
  <c r="I36" i="4" l="1"/>
  <c r="G33" i="4" s="1"/>
  <c r="K7" i="6"/>
  <c r="AF62" i="1" s="1"/>
  <c r="I8" i="6"/>
  <c r="AD63" i="1" s="1"/>
  <c r="E8" i="6"/>
  <c r="G27" i="4"/>
  <c r="I22" i="4"/>
  <c r="G20" i="4" s="1"/>
  <c r="G7" i="4"/>
  <c r="G42" i="4"/>
  <c r="G40" i="4"/>
  <c r="G41" i="4"/>
  <c r="I50" i="4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H9" i="6"/>
  <c r="D6" i="6"/>
  <c r="F6" i="6"/>
  <c r="Y62" i="1"/>
  <c r="X61" i="1"/>
  <c r="Z63" i="1"/>
  <c r="G64" i="4" l="1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AD64" i="1"/>
  <c r="AD69" i="1" s="1"/>
  <c r="I102" i="4" s="1"/>
  <c r="K13" i="6"/>
  <c r="I16" i="6"/>
  <c r="K15" i="6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F15" i="6"/>
  <c r="AA61" i="1"/>
  <c r="F11" i="6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F17" i="6"/>
  <c r="AA63" i="1"/>
  <c r="F13" i="6"/>
  <c r="AB62" i="1"/>
  <c r="G12" i="6"/>
  <c r="G16" i="6"/>
  <c r="AA62" i="1"/>
  <c r="F12" i="6"/>
  <c r="C9" i="6"/>
  <c r="C12" i="6" s="1"/>
  <c r="W62" i="1"/>
  <c r="E9" i="6"/>
  <c r="E16" i="6" s="1"/>
  <c r="D9" i="6"/>
  <c r="D15" i="6" s="1"/>
  <c r="V5" i="6"/>
  <c r="AA64" i="1"/>
  <c r="W63" i="1"/>
  <c r="W61" i="1"/>
  <c r="L6" i="6"/>
  <c r="AC61" i="1"/>
  <c r="H11" i="6"/>
  <c r="H15" i="6"/>
  <c r="H12" i="6"/>
  <c r="AC62" i="1"/>
  <c r="H16" i="6"/>
  <c r="X62" i="1"/>
  <c r="G22" i="4" l="1"/>
  <c r="G36" i="4"/>
  <c r="G50" i="4"/>
  <c r="K21" i="6"/>
  <c r="AF66" i="1" s="1"/>
  <c r="I106" i="4" s="1"/>
  <c r="B13" i="6"/>
  <c r="K26" i="6"/>
  <c r="Y50" i="6" s="1"/>
  <c r="G19" i="6"/>
  <c r="G20" i="6"/>
  <c r="G23" i="6" s="1"/>
  <c r="AB68" i="1" s="1"/>
  <c r="I94" i="4" s="1"/>
  <c r="B15" i="6"/>
  <c r="B27" i="6" s="1"/>
  <c r="B11" i="6"/>
  <c r="B17" i="6"/>
  <c r="B20" i="6" s="1"/>
  <c r="R5" i="6"/>
  <c r="P6" i="6" s="1"/>
  <c r="B12" i="6"/>
  <c r="B16" i="6"/>
  <c r="I18" i="6"/>
  <c r="I26" i="6"/>
  <c r="W50" i="6" s="1"/>
  <c r="G26" i="6"/>
  <c r="U50" i="6" s="1"/>
  <c r="I22" i="6"/>
  <c r="AD67" i="1" s="1"/>
  <c r="I100" i="4" s="1"/>
  <c r="K18" i="6"/>
  <c r="I19" i="6"/>
  <c r="W69" i="1"/>
  <c r="G81" i="4" s="1"/>
  <c r="I20" i="6"/>
  <c r="AD65" i="1" s="1"/>
  <c r="I98" i="4" s="1"/>
  <c r="K19" i="6"/>
  <c r="AC69" i="1"/>
  <c r="G102" i="4" s="1"/>
  <c r="K22" i="6"/>
  <c r="AF67" i="1" s="1"/>
  <c r="I107" i="4" s="1"/>
  <c r="G18" i="6"/>
  <c r="C16" i="6"/>
  <c r="D27" i="6"/>
  <c r="R53" i="6" s="1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J26" i="6" s="1"/>
  <c r="X50" i="6" s="1"/>
  <c r="AG63" i="1"/>
  <c r="D13" i="6"/>
  <c r="H20" i="6"/>
  <c r="H21" i="6"/>
  <c r="AC66" i="1" s="1"/>
  <c r="G99" i="4" s="1"/>
  <c r="H26" i="6"/>
  <c r="V50" i="6" s="1"/>
  <c r="AA69" i="1"/>
  <c r="G95" i="4" s="1"/>
  <c r="AG62" i="1"/>
  <c r="S5" i="6"/>
  <c r="X64" i="1"/>
  <c r="X69" i="1" s="1"/>
  <c r="I81" i="4" s="1"/>
  <c r="C13" i="6"/>
  <c r="C11" i="6"/>
  <c r="C15" i="6"/>
  <c r="C17" i="6"/>
  <c r="J13" i="6"/>
  <c r="D17" i="6"/>
  <c r="F22" i="6"/>
  <c r="AA67" i="1" s="1"/>
  <c r="G93" i="4" s="1"/>
  <c r="F19" i="6"/>
  <c r="F18" i="6"/>
  <c r="AG64" i="1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17" i="6"/>
  <c r="E13" i="6"/>
  <c r="E11" i="6"/>
  <c r="F21" i="6"/>
  <c r="AA66" i="1" s="1"/>
  <c r="G92" i="4" s="1"/>
  <c r="F20" i="6"/>
  <c r="F26" i="6"/>
  <c r="T50" i="6" s="1"/>
  <c r="E12" i="6"/>
  <c r="D11" i="6"/>
  <c r="Y6" i="6" l="1"/>
  <c r="R6" i="6"/>
  <c r="V6" i="6"/>
  <c r="W6" i="6"/>
  <c r="X6" i="6"/>
  <c r="Z6" i="6"/>
  <c r="AA6" i="6"/>
  <c r="U6" i="6"/>
  <c r="B22" i="6"/>
  <c r="W67" i="1" s="1"/>
  <c r="G79" i="4" s="1"/>
  <c r="AB65" i="1"/>
  <c r="I91" i="4" s="1"/>
  <c r="P5" i="6"/>
  <c r="P8" i="6" s="1"/>
  <c r="B26" i="6"/>
  <c r="G79" i="6" s="1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22" i="6" s="1"/>
  <c r="AG67" i="1" s="1"/>
  <c r="L11" i="6"/>
  <c r="L12" i="6"/>
  <c r="E20" i="6"/>
  <c r="E26" i="6"/>
  <c r="S50" i="6" s="1"/>
  <c r="E21" i="6"/>
  <c r="Z66" i="1" s="1"/>
  <c r="I85" i="4" s="1"/>
  <c r="C18" i="6"/>
  <c r="C22" i="6"/>
  <c r="X67" i="1" s="1"/>
  <c r="I79" i="4" s="1"/>
  <c r="C19" i="6"/>
  <c r="Q52" i="6"/>
  <c r="S6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T6" i="6"/>
  <c r="AG69" i="1"/>
  <c r="D20" i="6"/>
  <c r="D21" i="6"/>
  <c r="Y66" i="1" s="1"/>
  <c r="G85" i="4" s="1"/>
  <c r="D26" i="6"/>
  <c r="R50" i="6" s="1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Q50" i="6" s="1"/>
  <c r="R8" i="6" l="1"/>
  <c r="U8" i="6"/>
  <c r="U10" i="6" s="1"/>
  <c r="E79" i="6"/>
  <c r="C80" i="6" s="1"/>
  <c r="B23" i="6"/>
  <c r="W68" i="1" s="1"/>
  <c r="G80" i="4" s="1"/>
  <c r="A79" i="6"/>
  <c r="D82" i="6" s="1"/>
  <c r="P50" i="6"/>
  <c r="L18" i="6"/>
  <c r="D81" i="6"/>
  <c r="T8" i="6"/>
  <c r="T10" i="6" s="1"/>
  <c r="Z8" i="6"/>
  <c r="Z10" i="6" s="1"/>
  <c r="S8" i="6"/>
  <c r="S10" i="6" s="1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C81" i="6"/>
  <c r="Z65" i="1"/>
  <c r="I84" i="4" s="1"/>
  <c r="E23" i="6"/>
  <c r="Z68" i="1" s="1"/>
  <c r="I87" i="4" s="1"/>
  <c r="X65" i="1"/>
  <c r="I77" i="4" s="1"/>
  <c r="C23" i="6"/>
  <c r="X68" i="1" s="1"/>
  <c r="I80" i="4" s="1"/>
  <c r="W8" i="6"/>
  <c r="W10" i="6" s="1"/>
  <c r="Y8" i="6"/>
  <c r="Y10" i="6" s="1"/>
  <c r="AA8" i="6"/>
  <c r="AA10" i="6" s="1"/>
  <c r="X8" i="6"/>
  <c r="X10" i="6" s="1"/>
  <c r="V8" i="6"/>
  <c r="V10" i="6" s="1"/>
  <c r="R10" i="6"/>
  <c r="D80" i="6" l="1"/>
  <c r="C82" i="6"/>
  <c r="R81" i="6"/>
  <c r="V81" i="6"/>
  <c r="Z81" i="6"/>
  <c r="AD81" i="6"/>
  <c r="AH81" i="6"/>
  <c r="O81" i="6"/>
  <c r="S81" i="6"/>
  <c r="W81" i="6"/>
  <c r="AA81" i="6"/>
  <c r="AE81" i="6"/>
  <c r="AI81" i="6"/>
  <c r="P81" i="6"/>
  <c r="T81" i="6"/>
  <c r="X81" i="6"/>
  <c r="AB81" i="6"/>
  <c r="AF81" i="6"/>
  <c r="Q81" i="6"/>
  <c r="U81" i="6"/>
  <c r="Y81" i="6"/>
  <c r="AC81" i="6"/>
  <c r="AG81" i="6"/>
  <c r="O80" i="6"/>
  <c r="S80" i="6"/>
  <c r="W80" i="6"/>
  <c r="AA80" i="6"/>
  <c r="AE80" i="6"/>
  <c r="AI80" i="6"/>
  <c r="P80" i="6"/>
  <c r="T80" i="6"/>
  <c r="X80" i="6"/>
  <c r="AB80" i="6"/>
  <c r="AF80" i="6"/>
  <c r="Q80" i="6"/>
  <c r="U80" i="6"/>
  <c r="Y80" i="6"/>
  <c r="AC80" i="6"/>
  <c r="AG80" i="6"/>
  <c r="R80" i="6"/>
  <c r="V80" i="6"/>
  <c r="Z80" i="6"/>
  <c r="AD80" i="6"/>
  <c r="AH80" i="6"/>
  <c r="Q82" i="6"/>
  <c r="U82" i="6"/>
  <c r="Y82" i="6"/>
  <c r="AC82" i="6"/>
  <c r="AG82" i="6"/>
  <c r="R82" i="6"/>
  <c r="V82" i="6"/>
  <c r="Z82" i="6"/>
  <c r="AD82" i="6"/>
  <c r="AH82" i="6"/>
  <c r="O82" i="6"/>
  <c r="S82" i="6"/>
  <c r="W82" i="6"/>
  <c r="AA82" i="6"/>
  <c r="AE82" i="6"/>
  <c r="AI82" i="6"/>
  <c r="P82" i="6"/>
  <c r="T82" i="6"/>
  <c r="X82" i="6"/>
  <c r="AB82" i="6"/>
  <c r="AF82" i="6"/>
  <c r="L23" i="6"/>
  <c r="AG68" i="1" s="1"/>
  <c r="AG65" i="1"/>
  <c r="R94" i="6" l="1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<sst xmlns="http://schemas.openxmlformats.org/spreadsheetml/2006/main" count="475" uniqueCount="136">
  <si>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</si>
  <si>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</si>
  <si>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</si>
  <si>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</si>
  <si>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</si>
  <si>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</si>
  <si>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</si>
  <si>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</si>
  <si>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</si>
  <si>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</si>
  <si>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</si>
  <si>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</si>
  <si>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</si>
  <si>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</si>
  <si>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</si>
  <si>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</si>
  <si>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</si>
  <si>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</si>
  <si>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</si>
  <si>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</si>
  <si>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</si>
  <si>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</si>
  <si>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</si>
  <si>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</si>
  <si>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</si>
  <si>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</si>
  <si>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</si>
  <si>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</si>
  <si>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</si>
  <si>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</si>
  <si>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</si>
  <si>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</si>
  <si>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</si>
  <si>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</si>
  <si>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</si>
  <si>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</si>
  <si>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</si>
  <si>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</si>
  <si>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</si>
  <si>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</si>
  <si>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</si>
  <si>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</si>
  <si>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</si>
  <si>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</si>
  <si>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</si>
  <si>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</si>
  <si>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</si>
  <si>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</si>
  <si>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</si>
  <si>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</si>
  <si>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</si>
  <si>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</si>
  <si>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</si>
  <si>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</si>
  <si>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</si>
  <si>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</si>
  <si>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</si>
  <si>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</si>
  <si>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</si>
  <si>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</si>
  <si>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</si>
  <si>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</si>
  <si>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</si>
  <si>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</si>
  <si>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</si>
  <si>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</si>
  <si>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</si>
  <si>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</si>
  <si>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</si>
  <si>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</si>
  <si>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</si>
  <si>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</si>
  <si>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</si>
  <si>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</si>
  <si>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</si>
  <si>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</si>
  <si>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</si>
  <si>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</si>
  <si>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</si>
  <si>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</si>
  <si>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</si>
  <si>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</si>
  <si>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</si>
  <si>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</si>
  <si>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</si>
  <si>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</si>
  <si>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</si>
  <si>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</si>
  <si>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</si>
  <si>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</si>
  <si>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</si>
  <si>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</si>
  <si>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</si>
  <si>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</si>
  <si>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</si>
  <si>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</si>
  <si>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</si>
  <si>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</si>
  <si>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</si>
  <si>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</si>
  <si>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</si>
  <si>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</si>
  <si>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</si>
  <si>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</si>
  <si>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</si>
  <si>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</si>
  <si>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</si>
  <si>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</si>
  <si>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</si>
  <si>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</si>
  <si>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</si>
  <si>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</si>
  <si>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</si>
  <si>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</si>
  <si>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</si>
  <si>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</si>
  <si>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</si>
  <si>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</si>
  <si>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</si>
  <si>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</si>
  <si>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</si>
  <si>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</si>
  <si>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</si>
  <si>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</si>
  <si>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</si>
  <si>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</si>
  <si>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</si>
  <si>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</si>
  <si>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</si>
  <si>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C:\Users\Henrique\Desktop\Trabalho Faculdade\André\Grafico\Oficial.eMe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</si>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</sst>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  <font>
      <b/>
      <sz val="8"/>
      <color theme="8" tint="-0.499984740745262"/>
      <name val="Comic Sans MS"/>
      <family val="4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1" fillId="6" borderId="10" xfId="0" applyNumberFormat="1" applyFont="1" applyFill="1" applyBorder="1"/>
    <xf numFmtId="2" fontId="11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7" fillId="5" borderId="15" xfId="0" applyFont="1" applyFill="1" applyBorder="1"/>
    <xf numFmtId="0" fontId="17" fillId="5" borderId="14" xfId="0" applyFont="1" applyFill="1" applyBorder="1"/>
    <xf numFmtId="0" fontId="17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7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7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19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8" fillId="12" borderId="0" xfId="0" applyFont="1" applyFill="1"/>
    <xf numFmtId="0" fontId="19" fillId="12" borderId="5" xfId="0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2" borderId="4" xfId="0" applyFont="1" applyFill="1" applyBorder="1"/>
    <xf numFmtId="0" fontId="19" fillId="12" borderId="1" xfId="0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19" fillId="12" borderId="14" xfId="0" applyFont="1" applyFill="1" applyBorder="1"/>
    <xf numFmtId="0" fontId="19" fillId="12" borderId="18" xfId="0" applyFont="1" applyFill="1" applyBorder="1" applyAlignment="1">
      <alignment horizontal="center"/>
    </xf>
    <xf numFmtId="0" fontId="19" fillId="12" borderId="14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13" borderId="0" xfId="0" applyFill="1"/>
    <xf numFmtId="0" fontId="20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1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5" fontId="11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2" fillId="0" borderId="4" xfId="0" applyFont="1" applyBorder="1" applyAlignment="1">
      <alignment horizontal="center"/>
    </xf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1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8" fillId="14" borderId="0" xfId="0" applyFont="1" applyFill="1"/>
    <xf numFmtId="0" fontId="19" fillId="14" borderId="0" xfId="0" applyFont="1" applyFill="1"/>
    <xf numFmtId="164" fontId="19" fillId="14" borderId="0" xfId="0" applyNumberFormat="1" applyFont="1" applyFill="1"/>
    <xf numFmtId="11" fontId="19" fillId="14" borderId="0" xfId="0" applyNumberFormat="1" applyFont="1" applyFill="1"/>
    <xf numFmtId="2" fontId="19" fillId="14" borderId="0" xfId="0" applyNumberFormat="1" applyFont="1" applyFill="1"/>
    <xf numFmtId="167" fontId="19" fillId="14" borderId="0" xfId="2" applyNumberFormat="1" applyFont="1" applyFill="1"/>
    <xf numFmtId="166" fontId="21" fillId="0" borderId="0" xfId="0" applyNumberFormat="1" applyFont="1"/>
    <xf numFmtId="0" fontId="2" fillId="0" borderId="0" xfId="0" applyFont="1" applyAlignment="1">
      <alignment horizontal="right"/>
    </xf>
    <xf numFmtId="0" fontId="21" fillId="0" borderId="0" xfId="0" applyFont="1"/>
    <xf numFmtId="0" fontId="19" fillId="15" borderId="15" xfId="0" applyFont="1" applyFill="1" applyBorder="1" applyAlignment="1">
      <alignment horizontal="center"/>
    </xf>
    <xf numFmtId="0" fontId="19" fillId="15" borderId="14" xfId="0" applyFont="1" applyFill="1" applyBorder="1" applyAlignment="1">
      <alignment horizontal="center"/>
    </xf>
    <xf numFmtId="0" fontId="19" fillId="15" borderId="6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19" fillId="15" borderId="13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5" borderId="15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/>
    </xf>
    <xf numFmtId="0" fontId="19" fillId="5" borderId="10" xfId="0" applyFont="1" applyFill="1" applyBorder="1"/>
    <xf numFmtId="0" fontId="19" fillId="5" borderId="3" xfId="0" applyFont="1" applyFill="1" applyBorder="1"/>
    <xf numFmtId="0" fontId="19" fillId="5" borderId="13" xfId="0" applyFont="1" applyFill="1" applyBorder="1"/>
    <xf numFmtId="0" fontId="19" fillId="5" borderId="7" xfId="0" applyFont="1" applyFill="1" applyBorder="1"/>
    <xf numFmtId="0" fontId="19" fillId="5" borderId="4" xfId="0" applyFont="1" applyFill="1" applyBorder="1"/>
    <xf numFmtId="0" fontId="19" fillId="5" borderId="2" xfId="0" applyFont="1" applyFill="1" applyBorder="1"/>
    <xf numFmtId="0" fontId="19" fillId="7" borderId="0" xfId="0" applyFont="1" applyFill="1" applyAlignment="1">
      <alignment horizontal="center"/>
    </xf>
    <xf numFmtId="0" fontId="19" fillId="7" borderId="10" xfId="0" applyFont="1" applyFill="1" applyBorder="1"/>
    <xf numFmtId="0" fontId="19" fillId="7" borderId="3" xfId="0" applyFont="1" applyFill="1" applyBorder="1"/>
    <xf numFmtId="0" fontId="19" fillId="7" borderId="13" xfId="0" applyFont="1" applyFill="1" applyBorder="1"/>
    <xf numFmtId="0" fontId="19" fillId="7" borderId="7" xfId="0" applyFont="1" applyFill="1" applyBorder="1"/>
    <xf numFmtId="0" fontId="19" fillId="7" borderId="4" xfId="0" applyFont="1" applyFill="1" applyBorder="1"/>
    <xf numFmtId="0" fontId="19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1" fillId="0" borderId="0" xfId="0" applyNumberFormat="1" applyFont="1"/>
    <xf numFmtId="0" fontId="19" fillId="15" borderId="0" xfId="0" applyFont="1" applyFill="1" applyAlignment="1">
      <alignment horizontal="center"/>
    </xf>
    <xf numFmtId="0" fontId="2" fillId="15" borderId="0" xfId="0" applyFont="1" applyFill="1"/>
    <xf numFmtId="0" fontId="22" fillId="0" borderId="18" xfId="0" applyFont="1" applyBorder="1" applyAlignment="1">
      <alignment horizontal="center"/>
    </xf>
    <xf numFmtId="168" fontId="2" fillId="5" borderId="0" xfId="0" applyNumberFormat="1" applyFont="1" applyFill="1"/>
    <xf numFmtId="0" fontId="11" fillId="0" borderId="10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  <xf numFmtId="9" fontId="23" fillId="5" borderId="1" xfId="2" applyFont="1" applyFill="1" applyBorder="1" applyAlignment="1">
      <alignment horizontal="center"/>
    </xf>
    <xf numFmtId="2" fontId="23" fillId="5" borderId="1" xfId="0" applyNumberFormat="1" applyFont="1" applyFill="1" applyBorder="1" applyAlignment="1">
      <alignment horizontal="center"/>
    </xf>
    <xf numFmtId="2" fontId="23" fillId="5" borderId="2" xfId="0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5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Oficial.eMe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3.1717007590421287E-2"/>
                  <c:y val="1.740971158483588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-0.10338935802180978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-2.4397665474122077E-2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1</xdr:row>
      <xdr:rowOff>114300</xdr:rowOff>
    </xdr:from>
    <xdr:to>
      <xdr:col>8</xdr:col>
      <xdr:colOff>514351</xdr:colOff>
      <xdr:row>23</xdr:row>
      <xdr:rowOff>76200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/>
  </sheetViews>
  <sheetFormatPr defaultRowHeight="15"/>
  <cols>
    <col min="1" max="1" width="24.5" style="192" customWidth="1"/>
    <col min="2" max="2" width="78.625" style="192" customWidth="1"/>
    <col min="3" max="3" width="2.75" style="192" customWidth="1"/>
    <col min="4" max="16384" width="9" style="192"/>
  </cols>
  <sheetData>
    <row r="1" spans="2:2" ht="40.5" customHeight="1"/>
    <row r="2" spans="2:2" ht="54" customHeight="1"/>
    <row r="3" spans="2:2" ht="52.5" customHeight="1"/>
    <row r="13" spans="2:2" ht="99">
      <c r="B13" s="193" t="s">
        <v>91</v>
      </c>
    </row>
    <row r="48" spans="21:21">
      <c r="U48" s="192" t="b">
        <v>0</v>
      </c>
    </row>
    <row r="61" spans="20:22">
      <c r="T61" s="253"/>
      <c r="U61" s="253"/>
      <c r="V61" s="253"/>
    </row>
    <row r="62" spans="20:22">
      <c r="T62" s="253"/>
      <c r="U62" s="253"/>
      <c r="V62" s="253"/>
    </row>
    <row r="63" spans="20:22">
      <c r="T63" s="253"/>
      <c r="U63" s="253"/>
      <c r="V63" s="253"/>
    </row>
    <row r="64" spans="20:22">
      <c r="T64" s="253"/>
      <c r="U64" s="253"/>
      <c r="V64" s="253"/>
    </row>
    <row r="65" spans="20:22">
      <c r="T65" s="253"/>
      <c r="U65" s="253"/>
      <c r="V65" s="253"/>
    </row>
    <row r="66" spans="20:22">
      <c r="T66" s="253"/>
      <c r="U66" s="253"/>
      <c r="V66" s="253"/>
    </row>
    <row r="67" spans="20:22">
      <c r="T67" s="253"/>
      <c r="U67" s="253"/>
      <c r="V67" s="253"/>
    </row>
    <row r="68" spans="20:22">
      <c r="T68" s="253"/>
      <c r="U68" s="253"/>
      <c r="V68" s="253"/>
    </row>
    <row r="69" spans="20:22">
      <c r="T69" s="253"/>
      <c r="U69" s="253"/>
      <c r="V69" s="253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opLeftCell="S52" workbookViewId="0">
      <selection activeCell="AG65" sqref="AG65"/>
    </sheetView>
  </sheetViews>
  <sheetFormatPr defaultRowHeight="15"/>
  <cols>
    <col min="1" max="1" width="8.875" style="169" customWidth="1"/>
    <col min="2" max="9" width="9" style="169"/>
    <col min="10" max="10" width="11.875" style="169" customWidth="1"/>
    <col min="11" max="11" width="9" style="169"/>
    <col min="12" max="12" width="11.125" style="169" bestFit="1" customWidth="1"/>
    <col min="13" max="14" width="12.5" style="169" customWidth="1"/>
    <col min="15" max="15" width="9" style="169"/>
    <col min="16" max="16" width="15.375" style="169" customWidth="1"/>
    <col min="17" max="17" width="7" style="169" customWidth="1"/>
    <col min="18" max="18" width="15.25" style="169" bestFit="1" customWidth="1"/>
    <col min="19" max="19" width="3.625" style="175" customWidth="1"/>
    <col min="20" max="22" width="13.25" style="175" customWidth="1"/>
    <col min="23" max="23" width="9.5" style="169" customWidth="1"/>
    <col min="24" max="25" width="10.25" style="169" customWidth="1"/>
    <col min="26" max="26" width="10.75" style="169" customWidth="1"/>
    <col min="27" max="27" width="11.25" style="169" customWidth="1"/>
    <col min="28" max="28" width="10.75" style="169" customWidth="1"/>
    <col min="29" max="29" width="9.75" style="169" customWidth="1"/>
    <col min="30" max="30" width="10.25" style="169" customWidth="1"/>
    <col min="31" max="31" width="11.375" style="169" customWidth="1"/>
    <col min="32" max="32" width="11.25" style="169" customWidth="1"/>
    <col min="33" max="33" width="7.375" style="169" customWidth="1"/>
    <col min="34" max="34" width="6.125" style="169" customWidth="1"/>
    <col min="35" max="45" width="2.75" style="169" customWidth="1"/>
    <col min="46" max="16384" width="9" style="169"/>
  </cols>
  <sheetData>
    <row r="1" spans="1:46" s="170" customFormat="1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170" t="s">
        <v>74</v>
      </c>
      <c r="Q1" s="170" t="s">
        <v>0</v>
      </c>
      <c r="R1" s="170" t="s">
        <v>23</v>
      </c>
      <c r="S1" s="171">
        <v>1</v>
      </c>
      <c r="T1" s="172" t="s">
        <v>124</v>
      </c>
      <c r="U1" s="172" t="s">
        <v>124</v>
      </c>
      <c r="V1" s="172" t="s">
        <v>124</v>
      </c>
      <c r="W1" s="170">
        <v>10</v>
      </c>
      <c r="X1" s="212" t="b">
        <v>1</v>
      </c>
      <c r="Y1" s="212" t="b">
        <v>0</v>
      </c>
      <c r="AA1" s="170">
        <f>X1+Y1</f>
        <v>1</v>
      </c>
      <c r="AD1" s="170" t="s">
        <v>129</v>
      </c>
      <c r="AT1" s="170" t="s">
        <v>5</v>
      </c>
    </row>
    <row r="2" spans="1:46" s="170" customForma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S2" s="171">
        <v>2</v>
      </c>
      <c r="T2" s="172" t="s">
        <v>125</v>
      </c>
      <c r="U2" s="172" t="s">
        <v>125</v>
      </c>
      <c r="V2" s="172" t="s">
        <v>125</v>
      </c>
      <c r="AT2" s="170" t="s">
        <v>7</v>
      </c>
    </row>
    <row r="3" spans="1:46" s="170" customFormat="1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R3" s="170" t="s">
        <v>90</v>
      </c>
      <c r="S3" s="171">
        <v>3</v>
      </c>
      <c r="T3" s="172" t="s">
        <v>126</v>
      </c>
      <c r="U3" s="172" t="s">
        <v>126</v>
      </c>
      <c r="V3" s="172" t="s">
        <v>126</v>
      </c>
      <c r="AT3" s="170" t="s">
        <v>6</v>
      </c>
    </row>
    <row r="4" spans="1:46" s="170" customFormat="1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S4" s="171">
        <v>4</v>
      </c>
      <c r="T4" s="172" t="s">
        <v>127</v>
      </c>
      <c r="U4" s="172" t="s">
        <v>127</v>
      </c>
      <c r="V4" s="172" t="s">
        <v>127</v>
      </c>
      <c r="X4" s="170" t="s">
        <v>106</v>
      </c>
      <c r="AT4" s="170" t="s">
        <v>97</v>
      </c>
    </row>
    <row r="5" spans="1:46" s="170" customFormat="1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S5" s="171">
        <v>5</v>
      </c>
      <c r="T5" s="172" t="s">
        <v>130</v>
      </c>
      <c r="U5" s="172" t="s">
        <v>130</v>
      </c>
      <c r="V5" s="172" t="s">
        <v>130</v>
      </c>
      <c r="X5" s="170" t="s">
        <v>114</v>
      </c>
      <c r="Y5" s="170" t="s">
        <v>117</v>
      </c>
      <c r="Z5" s="170" t="s">
        <v>116</v>
      </c>
    </row>
    <row r="6" spans="1:46" s="170" customFormat="1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S6" s="171">
        <v>6</v>
      </c>
      <c r="T6" s="172" t="s">
        <v>131</v>
      </c>
      <c r="U6" s="172" t="s">
        <v>131</v>
      </c>
      <c r="V6" s="172" t="s">
        <v>131</v>
      </c>
      <c r="X6" s="170" t="b">
        <v>0</v>
      </c>
      <c r="Y6" s="170" t="b">
        <v>0</v>
      </c>
      <c r="Z6" s="170" t="b">
        <v>0</v>
      </c>
    </row>
    <row r="7" spans="1:46">
      <c r="A7" s="217"/>
      <c r="B7" s="217"/>
      <c r="C7" s="217"/>
      <c r="D7" s="217"/>
      <c r="E7" s="217"/>
      <c r="F7" s="218"/>
      <c r="G7" s="219"/>
      <c r="H7" s="219"/>
      <c r="I7" s="219"/>
      <c r="J7" s="219"/>
      <c r="K7" s="219"/>
      <c r="L7" s="219"/>
      <c r="M7" s="219"/>
      <c r="N7" s="219"/>
      <c r="O7" s="219"/>
      <c r="S7" s="174">
        <v>7</v>
      </c>
      <c r="T7" s="175" t="s">
        <v>132</v>
      </c>
      <c r="U7" s="175" t="s">
        <v>132</v>
      </c>
      <c r="V7" s="175" t="s">
        <v>132</v>
      </c>
    </row>
    <row r="8" spans="1:46">
      <c r="A8" s="219"/>
      <c r="B8" s="219"/>
      <c r="C8" s="219"/>
      <c r="D8" s="219"/>
      <c r="E8" s="219"/>
      <c r="F8" s="218"/>
      <c r="G8" s="219"/>
      <c r="H8" s="219"/>
      <c r="I8" s="219"/>
      <c r="J8" s="219"/>
      <c r="K8" s="219"/>
      <c r="L8" s="219"/>
      <c r="M8" s="219"/>
      <c r="N8" s="219"/>
      <c r="O8" s="219"/>
      <c r="S8" s="174">
        <v>8</v>
      </c>
      <c r="T8" s="175" t="s">
        <v>133</v>
      </c>
      <c r="U8" s="175" t="s">
        <v>133</v>
      </c>
      <c r="V8" s="175" t="s">
        <v>133</v>
      </c>
    </row>
    <row r="9" spans="1:46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S9" s="174">
        <v>9</v>
      </c>
      <c r="T9" s="175" t="s">
        <v>134</v>
      </c>
      <c r="U9" s="175" t="s">
        <v>134</v>
      </c>
      <c r="V9" s="175" t="s">
        <v>134</v>
      </c>
    </row>
    <row r="10" spans="1:46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176"/>
      <c r="Q10" s="176"/>
      <c r="R10" s="176"/>
      <c r="S10" s="177">
        <v>10</v>
      </c>
      <c r="T10" s="178" t="s">
        <v>135</v>
      </c>
      <c r="U10" s="178" t="s">
        <v>135</v>
      </c>
      <c r="V10" s="178" t="s">
        <v>135</v>
      </c>
    </row>
    <row r="11" spans="1:46">
      <c r="A11" s="219"/>
      <c r="B11" s="219"/>
      <c r="C11" s="219"/>
      <c r="D11" s="219"/>
      <c r="E11" s="219"/>
      <c r="F11" s="218"/>
      <c r="G11" s="218"/>
      <c r="H11" s="219"/>
      <c r="I11" s="219"/>
      <c r="J11" s="219"/>
      <c r="K11" s="219"/>
      <c r="L11" s="219"/>
      <c r="M11" s="219"/>
      <c r="N11" s="219"/>
      <c r="O11" s="219"/>
      <c r="R11" s="169" t="s">
        <v>73</v>
      </c>
      <c r="S11" s="174">
        <v>1</v>
      </c>
      <c r="T11" s="175" t="b">
        <v>1</v>
      </c>
      <c r="U11" s="175" t="b">
        <v>1</v>
      </c>
      <c r="V11" s="175" t="b">
        <v>1</v>
      </c>
    </row>
    <row r="12" spans="1:46">
      <c r="A12" s="219"/>
      <c r="B12" s="219"/>
      <c r="C12" s="219"/>
      <c r="D12" s="219"/>
      <c r="E12" s="219"/>
      <c r="F12" s="218"/>
      <c r="G12" s="218"/>
      <c r="H12" s="219"/>
      <c r="I12" s="219"/>
      <c r="J12" s="219"/>
      <c r="K12" s="219"/>
      <c r="L12" s="219"/>
      <c r="M12" s="219"/>
      <c r="N12" s="219"/>
      <c r="O12" s="219"/>
      <c r="S12" s="174">
        <v>2</v>
      </c>
      <c r="T12" s="175" t="b">
        <v>1</v>
      </c>
      <c r="U12" s="175" t="b">
        <v>1</v>
      </c>
      <c r="V12" s="175" t="b">
        <v>1</v>
      </c>
    </row>
    <row r="13" spans="1:46">
      <c r="A13" s="219"/>
      <c r="B13" s="219"/>
      <c r="C13" s="219"/>
      <c r="D13" s="219"/>
      <c r="E13" s="219"/>
      <c r="F13" s="218"/>
      <c r="G13" s="218"/>
      <c r="H13" s="220"/>
      <c r="I13" s="220"/>
      <c r="J13" s="219"/>
      <c r="K13" s="219"/>
      <c r="L13" s="219"/>
      <c r="M13" s="219"/>
      <c r="N13" s="219"/>
      <c r="O13" s="219"/>
      <c r="S13" s="174">
        <v>3</v>
      </c>
      <c r="T13" s="175" t="b">
        <v>1</v>
      </c>
      <c r="U13" s="175" t="b">
        <v>1</v>
      </c>
      <c r="V13" s="175" t="b">
        <v>1</v>
      </c>
    </row>
    <row r="14" spans="1:46">
      <c r="A14" s="219"/>
      <c r="B14" s="219"/>
      <c r="C14" s="219"/>
      <c r="D14" s="218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S14" s="174">
        <v>4</v>
      </c>
      <c r="T14" s="175" t="b">
        <v>1</v>
      </c>
      <c r="U14" s="175" t="b">
        <v>1</v>
      </c>
      <c r="V14" s="175" t="b">
        <v>1</v>
      </c>
    </row>
    <row r="15" spans="1:46">
      <c r="A15" s="219"/>
      <c r="B15" s="219"/>
      <c r="C15" s="219"/>
      <c r="D15" s="219"/>
      <c r="E15" s="219"/>
      <c r="F15" s="218"/>
      <c r="G15" s="219"/>
      <c r="H15" s="219"/>
      <c r="I15" s="219"/>
      <c r="J15" s="219"/>
      <c r="K15" s="219"/>
      <c r="L15" s="219"/>
      <c r="M15" s="219"/>
      <c r="N15" s="219"/>
      <c r="O15" s="219"/>
      <c r="S15" s="174">
        <v>5</v>
      </c>
      <c r="T15" s="175" t="b">
        <v>1</v>
      </c>
      <c r="U15" s="175" t="b">
        <v>1</v>
      </c>
      <c r="V15" s="175" t="b">
        <v>1</v>
      </c>
    </row>
    <row r="16" spans="1:46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S16" s="174">
        <v>6</v>
      </c>
      <c r="T16" s="175" t="b">
        <v>1</v>
      </c>
      <c r="U16" s="175" t="b">
        <v>1</v>
      </c>
      <c r="V16" s="175" t="b">
        <v>1</v>
      </c>
    </row>
    <row r="17" spans="1:32">
      <c r="A17" s="219"/>
      <c r="B17" s="219"/>
      <c r="C17" s="219"/>
      <c r="D17" s="219"/>
      <c r="E17" s="219"/>
      <c r="F17" s="218"/>
      <c r="G17" s="219"/>
      <c r="H17" s="219"/>
      <c r="I17" s="219"/>
      <c r="J17" s="219"/>
      <c r="K17" s="219"/>
      <c r="L17" s="219"/>
      <c r="M17" s="219"/>
      <c r="N17" s="219"/>
      <c r="O17" s="219"/>
      <c r="S17" s="174">
        <v>7</v>
      </c>
      <c r="T17" s="175" t="b">
        <v>1</v>
      </c>
      <c r="U17" s="175" t="b">
        <v>1</v>
      </c>
      <c r="V17" s="175" t="b">
        <v>1</v>
      </c>
    </row>
    <row r="18" spans="1:32">
      <c r="A18" s="219"/>
      <c r="B18" s="219"/>
      <c r="C18" s="219"/>
      <c r="D18" s="219"/>
      <c r="E18" s="219"/>
      <c r="F18" s="218"/>
      <c r="G18" s="219"/>
      <c r="H18" s="219"/>
      <c r="I18" s="219"/>
      <c r="J18" s="219"/>
      <c r="K18" s="219"/>
      <c r="L18" s="219"/>
      <c r="M18" s="219"/>
      <c r="N18" s="219"/>
      <c r="O18" s="219"/>
      <c r="S18" s="174">
        <v>8</v>
      </c>
      <c r="T18" s="175" t="b">
        <v>1</v>
      </c>
      <c r="U18" s="175" t="b">
        <v>1</v>
      </c>
      <c r="V18" s="175" t="b">
        <v>1</v>
      </c>
    </row>
    <row r="19" spans="1:32">
      <c r="A19" s="219"/>
      <c r="B19" s="219"/>
      <c r="C19" s="219"/>
      <c r="D19" s="219"/>
      <c r="E19" s="219"/>
      <c r="F19" s="218"/>
      <c r="G19" s="219"/>
      <c r="H19" s="219"/>
      <c r="I19" s="219"/>
      <c r="J19" s="219"/>
      <c r="K19" s="219"/>
      <c r="L19" s="219"/>
      <c r="M19" s="219"/>
      <c r="N19" s="219"/>
      <c r="O19" s="219"/>
      <c r="S19" s="174">
        <v>9</v>
      </c>
      <c r="T19" s="175" t="b">
        <v>1</v>
      </c>
      <c r="U19" s="175" t="b">
        <v>1</v>
      </c>
      <c r="V19" s="175" t="b">
        <v>1</v>
      </c>
    </row>
    <row r="20" spans="1:32">
      <c r="A20" s="219"/>
      <c r="B20" s="219"/>
      <c r="C20" s="219"/>
      <c r="D20" s="219"/>
      <c r="E20" s="219"/>
      <c r="F20" s="218"/>
      <c r="G20" s="219"/>
      <c r="H20" s="219"/>
      <c r="I20" s="219"/>
      <c r="J20" s="219"/>
      <c r="K20" s="219"/>
      <c r="L20" s="219"/>
      <c r="M20" s="219"/>
      <c r="N20" s="219"/>
      <c r="O20" s="219"/>
      <c r="P20" s="176"/>
      <c r="Q20" s="176"/>
      <c r="R20" s="176"/>
      <c r="S20" s="177">
        <v>10</v>
      </c>
      <c r="T20" s="178" t="b">
        <v>1</v>
      </c>
      <c r="U20" s="178" t="b">
        <v>1</v>
      </c>
      <c r="V20" s="178" t="b">
        <v>1</v>
      </c>
    </row>
    <row r="21" spans="1:32">
      <c r="A21" s="219"/>
      <c r="B21" s="219"/>
      <c r="C21" s="219"/>
      <c r="D21" s="219"/>
      <c r="E21" s="219"/>
      <c r="F21" s="218"/>
      <c r="G21" s="219"/>
      <c r="H21" s="219"/>
      <c r="I21" s="219"/>
      <c r="J21" s="219"/>
      <c r="K21" s="219"/>
      <c r="L21" s="219"/>
      <c r="M21" s="219"/>
      <c r="N21" s="219"/>
      <c r="O21" s="219"/>
      <c r="R21" s="169" t="s">
        <v>1</v>
      </c>
      <c r="S21" s="174">
        <v>1</v>
      </c>
      <c r="T21" s="175" t="b">
        <v>0</v>
      </c>
      <c r="U21" s="175" t="b">
        <v>0</v>
      </c>
      <c r="V21" s="175" t="b">
        <v>0</v>
      </c>
      <c r="W21" s="169">
        <f>IF(T21,1,0)</f>
        <v>0</v>
      </c>
      <c r="X21" s="169">
        <f>IF(T22,1,0)</f>
        <v>0</v>
      </c>
      <c r="Y21" s="169">
        <f>IF(T23,1,0)</f>
        <v>0</v>
      </c>
      <c r="Z21" s="169">
        <f>IF(T24,1,0)</f>
        <v>0</v>
      </c>
      <c r="AA21" s="169">
        <f>IF(T25,1,0)</f>
        <v>0</v>
      </c>
      <c r="AB21" s="169">
        <f>IF(T26,1,0)</f>
        <v>0</v>
      </c>
      <c r="AC21" s="169">
        <f>IF(T27,1,0)</f>
        <v>0</v>
      </c>
      <c r="AD21" s="169">
        <f>IF(T28,1,0)</f>
        <v>0</v>
      </c>
      <c r="AE21" s="169">
        <f>IF(T29,1,0)</f>
        <v>0</v>
      </c>
      <c r="AF21" s="169">
        <f>IF(T30,1,0)</f>
        <v>0</v>
      </c>
    </row>
    <row r="22" spans="1:32">
      <c r="A22" s="219"/>
      <c r="B22" s="221"/>
      <c r="C22" s="219"/>
      <c r="D22" s="219"/>
      <c r="E22" s="219"/>
      <c r="F22" s="218"/>
      <c r="G22" s="219"/>
      <c r="H22" s="219"/>
      <c r="I22" s="219"/>
      <c r="J22" s="219"/>
      <c r="K22" s="219"/>
      <c r="L22" s="219"/>
      <c r="M22" s="219"/>
      <c r="N22" s="219"/>
      <c r="O22" s="219"/>
      <c r="S22" s="174">
        <v>2</v>
      </c>
      <c r="T22" s="175" t="b">
        <v>0</v>
      </c>
      <c r="U22" s="175" t="b">
        <v>0</v>
      </c>
      <c r="V22" s="175" t="b">
        <v>0</v>
      </c>
    </row>
    <row r="23" spans="1:32">
      <c r="A23" s="219"/>
      <c r="B23" s="221"/>
      <c r="C23" s="219"/>
      <c r="D23" s="219"/>
      <c r="E23" s="219"/>
      <c r="F23" s="218"/>
      <c r="G23" s="219"/>
      <c r="H23" s="219"/>
      <c r="I23" s="219"/>
      <c r="J23" s="219"/>
      <c r="K23" s="219"/>
      <c r="L23" s="219"/>
      <c r="M23" s="219"/>
      <c r="N23" s="219"/>
      <c r="O23" s="219"/>
      <c r="S23" s="174">
        <v>3</v>
      </c>
      <c r="T23" s="175" t="b">
        <v>0</v>
      </c>
      <c r="U23" s="175" t="b">
        <v>0</v>
      </c>
      <c r="V23" s="175" t="b">
        <v>0</v>
      </c>
    </row>
    <row r="24" spans="1:32">
      <c r="A24" s="219"/>
      <c r="B24" s="221"/>
      <c r="C24" s="219"/>
      <c r="D24" s="219"/>
      <c r="E24" s="219"/>
      <c r="F24" s="218"/>
      <c r="G24" s="219"/>
      <c r="H24" s="219"/>
      <c r="I24" s="219"/>
      <c r="J24" s="219"/>
      <c r="K24" s="219"/>
      <c r="L24" s="219"/>
      <c r="M24" s="219"/>
      <c r="N24" s="219"/>
      <c r="O24" s="219"/>
      <c r="S24" s="174">
        <v>4</v>
      </c>
      <c r="T24" s="175" t="b">
        <v>0</v>
      </c>
      <c r="U24" s="175" t="b">
        <v>0</v>
      </c>
      <c r="V24" s="175" t="b">
        <v>0</v>
      </c>
    </row>
    <row r="25" spans="1:32">
      <c r="A25" s="221"/>
      <c r="B25" s="221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S25" s="174">
        <v>5</v>
      </c>
      <c r="T25" s="175" t="b">
        <v>0</v>
      </c>
      <c r="U25" s="175" t="b">
        <v>0</v>
      </c>
      <c r="V25" s="175" t="b">
        <v>0</v>
      </c>
    </row>
    <row r="26" spans="1:32">
      <c r="A26" s="222"/>
      <c r="B26" s="222"/>
      <c r="C26" s="222"/>
      <c r="D26" s="222"/>
      <c r="E26" s="222"/>
      <c r="F26" s="218"/>
      <c r="G26" s="219"/>
      <c r="H26" s="219"/>
      <c r="I26" s="219"/>
      <c r="J26" s="219"/>
      <c r="K26" s="219"/>
      <c r="L26" s="219"/>
      <c r="M26" s="219"/>
      <c r="N26" s="219"/>
      <c r="O26" s="219"/>
      <c r="S26" s="174">
        <v>6</v>
      </c>
      <c r="T26" s="175" t="b">
        <v>0</v>
      </c>
      <c r="U26" s="175" t="b">
        <v>0</v>
      </c>
      <c r="V26" s="175" t="b">
        <v>0</v>
      </c>
    </row>
    <row r="27" spans="1:32">
      <c r="A27" s="222"/>
      <c r="B27" s="222"/>
      <c r="C27" s="222"/>
      <c r="D27" s="222"/>
      <c r="E27" s="222"/>
      <c r="F27" s="218"/>
      <c r="G27" s="219"/>
      <c r="H27" s="219"/>
      <c r="I27" s="219"/>
      <c r="J27" s="219"/>
      <c r="K27" s="219"/>
      <c r="L27" s="219"/>
      <c r="M27" s="219"/>
      <c r="N27" s="219"/>
      <c r="O27" s="219"/>
      <c r="S27" s="174">
        <v>7</v>
      </c>
      <c r="T27" s="175" t="b">
        <v>0</v>
      </c>
      <c r="U27" s="175" t="b">
        <v>0</v>
      </c>
      <c r="V27" s="175" t="b">
        <v>0</v>
      </c>
    </row>
    <row r="28" spans="1:32">
      <c r="A28" s="222"/>
      <c r="B28" s="222"/>
      <c r="C28" s="222"/>
      <c r="D28" s="222"/>
      <c r="E28" s="222"/>
      <c r="F28" s="218"/>
      <c r="G28" s="219"/>
      <c r="H28" s="219"/>
      <c r="I28" s="219"/>
      <c r="J28" s="219"/>
      <c r="K28" s="219"/>
      <c r="L28" s="219"/>
      <c r="M28" s="219"/>
      <c r="N28" s="219"/>
      <c r="O28" s="219"/>
      <c r="S28" s="174">
        <v>8</v>
      </c>
      <c r="T28" s="175" t="b">
        <v>0</v>
      </c>
      <c r="U28" s="175" t="b">
        <v>0</v>
      </c>
      <c r="V28" s="175" t="b">
        <v>0</v>
      </c>
    </row>
    <row r="29" spans="1:32">
      <c r="A29" s="222"/>
      <c r="B29" s="222"/>
      <c r="C29" s="222"/>
      <c r="D29" s="222"/>
      <c r="E29" s="222"/>
      <c r="F29" s="218"/>
      <c r="G29" s="219"/>
      <c r="H29" s="219"/>
      <c r="I29" s="219"/>
      <c r="J29" s="219"/>
      <c r="K29" s="219"/>
      <c r="L29" s="219"/>
      <c r="M29" s="219"/>
      <c r="N29" s="219"/>
      <c r="O29" s="219"/>
      <c r="S29" s="174">
        <v>9</v>
      </c>
      <c r="T29" s="175" t="b">
        <v>0</v>
      </c>
      <c r="U29" s="175" t="b">
        <v>0</v>
      </c>
      <c r="V29" s="175" t="b">
        <v>0</v>
      </c>
    </row>
    <row r="30" spans="1:32">
      <c r="A30" s="223"/>
      <c r="B30" s="223"/>
      <c r="C30" s="223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176"/>
      <c r="Q30" s="176"/>
      <c r="R30" s="176"/>
      <c r="S30" s="177">
        <v>10</v>
      </c>
      <c r="T30" s="178" t="b">
        <v>0</v>
      </c>
      <c r="U30" s="178" t="b">
        <v>0</v>
      </c>
      <c r="V30" s="178" t="b">
        <v>0</v>
      </c>
    </row>
    <row r="31" spans="1:32">
      <c r="A31" s="219"/>
      <c r="B31" s="219"/>
      <c r="C31" s="219"/>
      <c r="D31" s="219"/>
      <c r="E31" s="219"/>
      <c r="F31" s="218"/>
      <c r="G31" s="219"/>
      <c r="H31" s="219"/>
      <c r="I31" s="219"/>
      <c r="J31" s="219"/>
      <c r="K31" s="219"/>
      <c r="L31" s="219"/>
      <c r="M31" s="219"/>
      <c r="N31" s="219"/>
      <c r="O31" s="219"/>
      <c r="R31" s="169" t="s">
        <v>2</v>
      </c>
      <c r="S31" s="174">
        <v>1</v>
      </c>
      <c r="T31" s="175">
        <v>1</v>
      </c>
      <c r="U31" s="175">
        <v>1</v>
      </c>
      <c r="V31" s="175">
        <v>1</v>
      </c>
      <c r="W31" s="169">
        <f>IF($T$41,T31,1)</f>
        <v>1</v>
      </c>
      <c r="X31" s="169">
        <f>IF($T$41,T32,1)</f>
        <v>1</v>
      </c>
      <c r="Y31" s="169">
        <f>IF($T$41,T33,1)</f>
        <v>1</v>
      </c>
      <c r="Z31" s="169">
        <f>IF($T$41,T34,1)</f>
        <v>1</v>
      </c>
      <c r="AA31" s="169">
        <f>IF($T$41,T35,1)</f>
        <v>1</v>
      </c>
      <c r="AB31" s="169">
        <f>IF($T$41,T36,1)</f>
        <v>1</v>
      </c>
      <c r="AC31" s="169">
        <f>IF($T$41,T37,1)</f>
        <v>1</v>
      </c>
      <c r="AD31" s="169">
        <f>IF($T$41,T38,1)</f>
        <v>1</v>
      </c>
      <c r="AE31" s="169">
        <f>IF($T$41,T39,1)</f>
        <v>1</v>
      </c>
      <c r="AF31" s="169">
        <f>IF($T$41,T40,1)</f>
        <v>1</v>
      </c>
    </row>
    <row r="32" spans="1:32">
      <c r="A32" s="219"/>
      <c r="B32" s="219"/>
      <c r="C32" s="219"/>
      <c r="D32" s="219"/>
      <c r="E32" s="219"/>
      <c r="F32" s="218"/>
      <c r="G32" s="219"/>
      <c r="H32" s="219"/>
      <c r="I32" s="219"/>
      <c r="J32" s="219"/>
      <c r="K32" s="219"/>
      <c r="L32" s="219"/>
      <c r="M32" s="219"/>
      <c r="N32" s="219"/>
      <c r="O32" s="219"/>
      <c r="S32" s="174">
        <v>2</v>
      </c>
      <c r="T32" s="175">
        <v>1</v>
      </c>
      <c r="U32" s="175">
        <v>1</v>
      </c>
      <c r="V32" s="175">
        <v>1</v>
      </c>
    </row>
    <row r="33" spans="1:24">
      <c r="A33" s="219"/>
      <c r="B33" s="219"/>
      <c r="C33" s="219"/>
      <c r="D33" s="219"/>
      <c r="E33" s="219"/>
      <c r="F33" s="218"/>
      <c r="G33" s="219"/>
      <c r="H33" s="219"/>
      <c r="I33" s="219"/>
      <c r="J33" s="219"/>
      <c r="K33" s="219"/>
      <c r="L33" s="219"/>
      <c r="M33" s="219"/>
      <c r="N33" s="219"/>
      <c r="O33" s="219"/>
      <c r="S33" s="174">
        <v>3</v>
      </c>
      <c r="T33" s="175">
        <v>1</v>
      </c>
      <c r="U33" s="175">
        <v>1</v>
      </c>
      <c r="V33" s="175">
        <v>1</v>
      </c>
    </row>
    <row r="34" spans="1:24">
      <c r="A34" s="219"/>
      <c r="B34" s="219"/>
      <c r="C34" s="219"/>
      <c r="D34" s="219"/>
      <c r="E34" s="219"/>
      <c r="F34" s="218"/>
      <c r="G34" s="219"/>
      <c r="H34" s="219"/>
      <c r="I34" s="219"/>
      <c r="J34" s="219"/>
      <c r="K34" s="219"/>
      <c r="L34" s="219"/>
      <c r="M34" s="219"/>
      <c r="N34" s="219"/>
      <c r="O34" s="219"/>
      <c r="S34" s="174">
        <v>4</v>
      </c>
      <c r="T34" s="175">
        <v>1</v>
      </c>
      <c r="U34" s="175">
        <v>1</v>
      </c>
      <c r="V34" s="175">
        <v>1</v>
      </c>
    </row>
    <row r="35" spans="1:24">
      <c r="A35" s="219"/>
      <c r="B35" s="219"/>
      <c r="C35" s="219"/>
      <c r="D35" s="219"/>
      <c r="E35" s="219"/>
      <c r="F35" s="218"/>
      <c r="G35" s="219"/>
      <c r="H35" s="219"/>
      <c r="I35" s="219"/>
      <c r="J35" s="219"/>
      <c r="K35" s="219"/>
      <c r="L35" s="219"/>
      <c r="M35" s="219"/>
      <c r="N35" s="219"/>
      <c r="O35" s="219"/>
      <c r="S35" s="174">
        <v>5</v>
      </c>
      <c r="T35" s="175">
        <v>1</v>
      </c>
      <c r="U35" s="175">
        <v>1</v>
      </c>
      <c r="V35" s="175">
        <v>1</v>
      </c>
    </row>
    <row r="36" spans="1:24">
      <c r="A36" s="219"/>
      <c r="B36" s="219"/>
      <c r="C36" s="219"/>
      <c r="D36" s="219"/>
      <c r="E36" s="219"/>
      <c r="F36" s="218"/>
      <c r="G36" s="219"/>
      <c r="H36" s="219"/>
      <c r="I36" s="219"/>
      <c r="J36" s="219"/>
      <c r="K36" s="219"/>
      <c r="L36" s="219"/>
      <c r="M36" s="219"/>
      <c r="N36" s="219"/>
      <c r="O36" s="219"/>
      <c r="S36" s="174">
        <v>6</v>
      </c>
      <c r="T36" s="175">
        <v>1</v>
      </c>
      <c r="U36" s="175">
        <v>1</v>
      </c>
      <c r="V36" s="175">
        <v>1</v>
      </c>
    </row>
    <row r="37" spans="1:24">
      <c r="F37" s="173"/>
      <c r="S37" s="174">
        <v>7</v>
      </c>
      <c r="T37" s="175">
        <v>1</v>
      </c>
      <c r="U37" s="175">
        <v>1</v>
      </c>
      <c r="V37" s="175">
        <v>1</v>
      </c>
    </row>
    <row r="38" spans="1:24">
      <c r="F38" s="173"/>
      <c r="S38" s="174">
        <v>8</v>
      </c>
      <c r="T38" s="175">
        <v>1</v>
      </c>
      <c r="U38" s="175">
        <v>1</v>
      </c>
      <c r="V38" s="175">
        <v>1</v>
      </c>
    </row>
    <row r="39" spans="1:24">
      <c r="S39" s="174">
        <v>9</v>
      </c>
      <c r="T39" s="175">
        <v>1</v>
      </c>
      <c r="U39" s="175">
        <v>1</v>
      </c>
      <c r="V39" s="175">
        <v>1</v>
      </c>
    </row>
    <row r="40" spans="1:24">
      <c r="F40" s="173"/>
      <c r="P40" s="176"/>
      <c r="Q40" s="176"/>
      <c r="R40" s="176"/>
      <c r="S40" s="177">
        <v>10</v>
      </c>
      <c r="T40" s="178">
        <v>1</v>
      </c>
      <c r="U40" s="178">
        <v>1</v>
      </c>
      <c r="V40" s="178">
        <v>1</v>
      </c>
    </row>
    <row r="41" spans="1:24">
      <c r="P41" s="179"/>
      <c r="Q41" s="179"/>
      <c r="R41" s="179" t="s">
        <v>78</v>
      </c>
      <c r="S41" s="180">
        <v>0</v>
      </c>
      <c r="T41" s="181" t="b">
        <v>0</v>
      </c>
      <c r="U41" s="181" t="b">
        <v>0</v>
      </c>
      <c r="V41" s="181" t="b">
        <v>0</v>
      </c>
      <c r="X41" s="261" t="s">
        <v>103</v>
      </c>
    </row>
    <row r="42" spans="1:24">
      <c r="Q42" s="169" t="s">
        <v>3</v>
      </c>
      <c r="R42" s="169" t="s">
        <v>76</v>
      </c>
      <c r="S42" s="174" t="s">
        <v>5</v>
      </c>
      <c r="T42" s="175" t="b">
        <v>0</v>
      </c>
      <c r="U42" s="175" t="b">
        <v>0</v>
      </c>
      <c r="V42" s="175" t="b">
        <v>0</v>
      </c>
      <c r="X42" s="262" t="b">
        <v>0</v>
      </c>
    </row>
    <row r="43" spans="1:24">
      <c r="S43" s="174" t="s">
        <v>6</v>
      </c>
      <c r="T43" s="175" t="b">
        <v>0</v>
      </c>
      <c r="U43" s="175" t="b">
        <v>0</v>
      </c>
      <c r="V43" s="175" t="b">
        <v>0</v>
      </c>
      <c r="X43" s="261" t="s">
        <v>118</v>
      </c>
    </row>
    <row r="44" spans="1:24">
      <c r="P44" s="176"/>
      <c r="Q44" s="176"/>
      <c r="R44" s="176"/>
      <c r="S44" s="177" t="s">
        <v>7</v>
      </c>
      <c r="T44" s="178" t="b">
        <v>0</v>
      </c>
      <c r="U44" s="178" t="b">
        <v>0</v>
      </c>
      <c r="V44" s="178" t="b">
        <v>0</v>
      </c>
      <c r="X44" s="262" t="b">
        <v>0</v>
      </c>
    </row>
    <row r="45" spans="1:24">
      <c r="R45" s="169" t="s">
        <v>75</v>
      </c>
      <c r="S45" s="174" t="s">
        <v>5</v>
      </c>
      <c r="T45" s="175">
        <v>10</v>
      </c>
      <c r="U45" s="175">
        <v>10</v>
      </c>
      <c r="V45" s="175">
        <v>10</v>
      </c>
    </row>
    <row r="46" spans="1:24">
      <c r="S46" s="174" t="s">
        <v>6</v>
      </c>
      <c r="T46" s="175">
        <v>10</v>
      </c>
      <c r="U46" s="175">
        <v>10</v>
      </c>
      <c r="V46" s="175">
        <v>10</v>
      </c>
    </row>
    <row r="47" spans="1:24">
      <c r="P47" s="176"/>
      <c r="Q47" s="176"/>
      <c r="R47" s="176"/>
      <c r="S47" s="177" t="s">
        <v>7</v>
      </c>
      <c r="T47" s="178">
        <v>10</v>
      </c>
      <c r="U47" s="178">
        <v>10</v>
      </c>
      <c r="V47" s="178">
        <v>10</v>
      </c>
    </row>
    <row r="48" spans="1:24">
      <c r="Q48" s="169" t="s">
        <v>24</v>
      </c>
      <c r="R48" s="169" t="s">
        <v>73</v>
      </c>
      <c r="S48" s="174">
        <v>1</v>
      </c>
      <c r="T48" s="175" t="b">
        <v>0</v>
      </c>
      <c r="U48" s="175" t="b">
        <v>0</v>
      </c>
      <c r="V48" s="175" t="b">
        <v>0</v>
      </c>
    </row>
    <row r="49" spans="16:34">
      <c r="S49" s="174">
        <v>5</v>
      </c>
      <c r="T49" s="175" t="b">
        <v>0</v>
      </c>
      <c r="U49" s="175" t="b">
        <v>0</v>
      </c>
      <c r="V49" s="175" t="b">
        <v>0</v>
      </c>
    </row>
    <row r="50" spans="16:34">
      <c r="P50" s="176"/>
      <c r="Q50" s="176"/>
      <c r="R50" s="176"/>
      <c r="S50" s="177" t="s">
        <v>21</v>
      </c>
      <c r="T50" s="178" t="b">
        <v>0</v>
      </c>
      <c r="U50" s="178" t="b">
        <v>0</v>
      </c>
      <c r="V50" s="178" t="b">
        <v>0</v>
      </c>
    </row>
    <row r="51" spans="16:34">
      <c r="R51" s="169" t="s">
        <v>14</v>
      </c>
      <c r="S51" s="174">
        <v>1</v>
      </c>
      <c r="T51" s="175">
        <v>1</v>
      </c>
      <c r="U51" s="175">
        <v>1</v>
      </c>
      <c r="V51" s="175">
        <v>1</v>
      </c>
    </row>
    <row r="52" spans="16:34">
      <c r="S52" s="174">
        <v>5</v>
      </c>
      <c r="T52" s="175">
        <v>5</v>
      </c>
      <c r="U52" s="175">
        <v>5</v>
      </c>
      <c r="V52" s="175">
        <v>5</v>
      </c>
    </row>
    <row r="53" spans="16:34">
      <c r="P53" s="176"/>
      <c r="Q53" s="176"/>
      <c r="R53" s="176"/>
      <c r="S53" s="177" t="s">
        <v>21</v>
      </c>
      <c r="T53" s="178">
        <v>2</v>
      </c>
      <c r="U53" s="178">
        <v>2</v>
      </c>
      <c r="V53" s="178">
        <v>2</v>
      </c>
    </row>
    <row r="54" spans="16:34">
      <c r="Q54" s="169" t="s">
        <v>77</v>
      </c>
      <c r="R54" s="169" t="s">
        <v>73</v>
      </c>
      <c r="S54" s="174" t="s">
        <v>5</v>
      </c>
      <c r="T54" s="227" t="b">
        <v>0</v>
      </c>
      <c r="U54" s="228" t="b">
        <v>0</v>
      </c>
      <c r="V54" s="229" t="b">
        <v>0</v>
      </c>
    </row>
    <row r="55" spans="16:34">
      <c r="S55" s="174" t="s">
        <v>6</v>
      </c>
      <c r="T55" s="236" t="b">
        <v>0</v>
      </c>
      <c r="U55" s="237" t="b">
        <v>0</v>
      </c>
      <c r="V55" s="238" t="b">
        <v>0</v>
      </c>
      <c r="W55" s="239"/>
      <c r="X55" s="240"/>
      <c r="Y55" s="241"/>
      <c r="AA55" s="169" t="s">
        <v>6</v>
      </c>
    </row>
    <row r="56" spans="16:34">
      <c r="S56" s="174" t="s">
        <v>7</v>
      </c>
      <c r="T56" s="245" t="b">
        <v>0</v>
      </c>
      <c r="U56" s="245" t="b">
        <v>0</v>
      </c>
      <c r="V56" s="245" t="b">
        <v>0</v>
      </c>
      <c r="W56" s="242">
        <v>1</v>
      </c>
      <c r="X56" s="243">
        <v>1</v>
      </c>
      <c r="Y56" s="244">
        <v>1</v>
      </c>
    </row>
    <row r="57" spans="16:34">
      <c r="R57" s="169" t="s">
        <v>98</v>
      </c>
      <c r="S57" s="174">
        <v>0</v>
      </c>
      <c r="T57" s="230" t="s">
        <v>124</v>
      </c>
      <c r="U57" s="231" t="s">
        <v>124</v>
      </c>
      <c r="V57" s="232" t="s">
        <v>124</v>
      </c>
      <c r="W57" s="246"/>
      <c r="X57" s="247"/>
      <c r="Y57" s="248"/>
      <c r="Z57" s="169" t="s">
        <v>5</v>
      </c>
      <c r="AA57" s="169" t="s">
        <v>7</v>
      </c>
    </row>
    <row r="58" spans="16:34">
      <c r="P58" s="176"/>
      <c r="Q58" s="176"/>
      <c r="R58" s="176" t="s">
        <v>99</v>
      </c>
      <c r="S58" s="177">
        <v>0</v>
      </c>
      <c r="T58" s="233">
        <v>1</v>
      </c>
      <c r="U58" s="234">
        <v>1</v>
      </c>
      <c r="V58" s="235">
        <v>1</v>
      </c>
      <c r="W58" s="249">
        <v>1</v>
      </c>
      <c r="X58" s="250">
        <v>1</v>
      </c>
      <c r="Y58" s="251">
        <v>1</v>
      </c>
    </row>
    <row r="59" spans="16:34">
      <c r="R59" s="169" t="s">
        <v>79</v>
      </c>
      <c r="S59" s="182">
        <v>0</v>
      </c>
      <c r="T59" s="175" t="s">
        <v>124</v>
      </c>
      <c r="U59" s="175" t="s">
        <v>124</v>
      </c>
      <c r="V59" s="175" t="s">
        <v>124</v>
      </c>
      <c r="AG59" s="169" t="s">
        <v>1</v>
      </c>
    </row>
    <row r="60" spans="16:34">
      <c r="S60" s="174">
        <v>0</v>
      </c>
      <c r="T60" s="175">
        <v>1</v>
      </c>
      <c r="U60" s="175">
        <v>1</v>
      </c>
      <c r="V60" s="175">
        <v>1</v>
      </c>
    </row>
    <row r="61" spans="16:34">
      <c r="S61" s="174" t="s">
        <v>5</v>
      </c>
      <c r="T61" s="183">
        <v>287560000000000</v>
      </c>
      <c r="U61" s="183">
        <v>287560000000000</v>
      </c>
      <c r="V61" s="183">
        <v>287560000000000</v>
      </c>
      <c r="W61" s="254">
        <f>Diagrama!B6</f>
        <v>4554</v>
      </c>
      <c r="X61" s="254">
        <f>Diagrama!C6</f>
        <v>21414</v>
      </c>
      <c r="Y61" s="254">
        <f>Diagrama!D6</f>
        <v>5454</v>
      </c>
      <c r="Z61" s="254">
        <f>Diagrama!E6</f>
        <v>2525</v>
      </c>
      <c r="AA61" s="254">
        <f>Diagrama!F6</f>
        <v>1020</v>
      </c>
      <c r="AB61" s="254">
        <f>Diagrama!G6</f>
        <v>4021</v>
      </c>
      <c r="AC61" s="254">
        <f>Diagrama!H6</f>
        <v>25624</v>
      </c>
      <c r="AD61" s="254">
        <f>Diagrama!I6</f>
        <v>246518</v>
      </c>
      <c r="AE61" s="254">
        <f>Diagrama!J6</f>
        <v>217517</v>
      </c>
      <c r="AF61" s="254">
        <f>Diagrama!K6</f>
        <v>128717</v>
      </c>
      <c r="AG61" s="254">
        <f>Diagrama!L6</f>
        <v>0</v>
      </c>
      <c r="AH61" s="212">
        <v>0.25</v>
      </c>
    </row>
    <row r="62" spans="16:34">
      <c r="S62" s="174" t="s">
        <v>6</v>
      </c>
      <c r="T62" s="183">
        <v>987500000000000</v>
      </c>
      <c r="U62" s="183">
        <v>987500000000000</v>
      </c>
      <c r="V62" s="183">
        <v>987500000000000</v>
      </c>
      <c r="W62" s="254">
        <f>Diagrama!B7</f>
        <v>4545</v>
      </c>
      <c r="X62" s="254">
        <f>Diagrama!C7</f>
        <v>5454</v>
      </c>
      <c r="Y62" s="254">
        <f>Diagrama!D7</f>
        <v>2145</v>
      </c>
      <c r="Z62" s="254">
        <f>Diagrama!E7</f>
        <v>3637</v>
      </c>
      <c r="AA62" s="254">
        <f>Diagrama!F7</f>
        <v>3040</v>
      </c>
      <c r="AB62" s="254">
        <f>Diagrama!G7</f>
        <v>2910</v>
      </c>
      <c r="AC62" s="254">
        <f>Diagrama!H7</f>
        <v>215421</v>
      </c>
      <c r="AD62" s="254">
        <f>Diagrama!I7</f>
        <v>27512</v>
      </c>
      <c r="AE62" s="254">
        <f>Diagrama!J7</f>
        <v>217517465</v>
      </c>
      <c r="AF62" s="254">
        <f>Diagrama!K7</f>
        <v>218721</v>
      </c>
      <c r="AG62" s="254">
        <f>Diagrama!L7</f>
        <v>0</v>
      </c>
      <c r="AH62" s="212">
        <v>0</v>
      </c>
    </row>
    <row r="63" spans="16:34">
      <c r="S63" s="174" t="s">
        <v>7</v>
      </c>
      <c r="T63" s="183">
        <v>583957020000000</v>
      </c>
      <c r="U63" s="183">
        <v>583957020000000</v>
      </c>
      <c r="V63" s="183">
        <v>583957020000000</v>
      </c>
      <c r="W63" s="254">
        <f>Diagrama!B8</f>
        <v>5454</v>
      </c>
      <c r="X63" s="254">
        <f>Diagrama!C8</f>
        <v>545</v>
      </c>
      <c r="Y63" s="254">
        <f>Diagrama!D8</f>
        <v>3216</v>
      </c>
      <c r="Z63" s="254">
        <f>Diagrama!E8</f>
        <v>1512</v>
      </c>
      <c r="AA63" s="254">
        <f>Diagrama!F8</f>
        <v>2050</v>
      </c>
      <c r="AB63" s="254">
        <f>Diagrama!G8</f>
        <v>2511</v>
      </c>
      <c r="AC63" s="254">
        <f>Diagrama!H8</f>
        <v>2134</v>
      </c>
      <c r="AD63" s="254">
        <f>Diagrama!I8</f>
        <v>2167127</v>
      </c>
      <c r="AE63" s="254">
        <f>Diagrama!J8</f>
        <v>21871287</v>
      </c>
      <c r="AF63" s="254">
        <f>Diagrama!K8</f>
        <v>2185127</v>
      </c>
      <c r="AG63" s="254">
        <f>Diagrama!L8</f>
        <v>0</v>
      </c>
      <c r="AH63" s="212">
        <v>0.75</v>
      </c>
    </row>
    <row r="64" spans="16:34">
      <c r="S64" s="174" t="s">
        <v>20</v>
      </c>
      <c r="T64" s="183">
        <v>1859017020000000</v>
      </c>
      <c r="U64" s="183">
        <v>1859017020000000</v>
      </c>
      <c r="V64" s="183">
        <v>1859017020000000</v>
      </c>
      <c r="W64" s="254">
        <f>Diagrama!B9</f>
        <v>14553</v>
      </c>
      <c r="X64" s="254">
        <f>Diagrama!C9</f>
        <v>27413</v>
      </c>
      <c r="Y64" s="254">
        <f>Diagrama!D9</f>
        <v>10815</v>
      </c>
      <c r="Z64" s="254">
        <f>Diagrama!E9</f>
        <v>7674</v>
      </c>
      <c r="AA64" s="254">
        <f>Diagrama!F9</f>
        <v>6110</v>
      </c>
      <c r="AB64" s="254">
        <f>Diagrama!G9</f>
        <v>9442</v>
      </c>
      <c r="AC64" s="254">
        <f>Diagrama!H9</f>
        <v>243179</v>
      </c>
      <c r="AD64" s="254">
        <f>Diagrama!I9</f>
        <v>2441157</v>
      </c>
      <c r="AE64" s="254">
        <f>Diagrama!J9</f>
        <v>239606269</v>
      </c>
      <c r="AF64" s="254">
        <f>Diagrama!K9</f>
        <v>2532565</v>
      </c>
      <c r="AG64" s="254">
        <f>Diagrama!L9</f>
        <v>0</v>
      </c>
    </row>
    <row r="65" spans="16:33">
      <c r="S65" s="174" t="s">
        <v>34</v>
      </c>
      <c r="T65" s="184">
        <v>3.18</v>
      </c>
      <c r="U65" s="185">
        <v>3.18</v>
      </c>
      <c r="V65" s="184">
        <v>3.18</v>
      </c>
      <c r="W65" s="186">
        <f>Diagrama!B20</f>
        <v>2.6683168316831685</v>
      </c>
      <c r="X65" s="186">
        <f>Diagrama!C20</f>
        <v>50.299082568807343</v>
      </c>
      <c r="Y65" s="186">
        <f>Diagrama!D20</f>
        <v>3.3628731343283582</v>
      </c>
      <c r="Z65" s="186">
        <f>Diagrama!E20</f>
        <v>5.0753968253968251</v>
      </c>
      <c r="AA65" s="186">
        <f>Diagrama!F20</f>
        <v>2.9804878048780492</v>
      </c>
      <c r="AB65" s="186">
        <f>Diagrama!G20</f>
        <v>3.7602548785344481</v>
      </c>
      <c r="AC65" s="186">
        <f>Diagrama!H20</f>
        <v>113.95454545454545</v>
      </c>
      <c r="AD65" s="186">
        <f>Diagrama!I20</f>
        <v>1.1264485191684659</v>
      </c>
      <c r="AE65" s="186">
        <f>Diagrama!J20</f>
        <v>10.955288959447151</v>
      </c>
      <c r="AF65" s="186">
        <f>Diagrama!K20</f>
        <v>1.1590012845935271</v>
      </c>
      <c r="AG65" s="186" t="e">
        <f>Diagrama!L20</f>
        <v>#DIV/0!</v>
      </c>
    </row>
    <row r="66" spans="16:33">
      <c r="S66" s="174" t="s">
        <v>35</v>
      </c>
      <c r="T66" s="184">
        <v>0.46</v>
      </c>
      <c r="U66" s="185">
        <v>0.46</v>
      </c>
      <c r="V66" s="184">
        <v>0.46</v>
      </c>
      <c r="W66" s="186">
        <f>Diagrama!B21</f>
        <v>0.59940652818991091</v>
      </c>
      <c r="X66" s="186">
        <f>Diagrama!C21</f>
        <v>2.028435313383951E-2</v>
      </c>
      <c r="Y66" s="186">
        <f>Diagrama!D21</f>
        <v>0.42321358073430715</v>
      </c>
      <c r="Z66" s="186">
        <f>Diagrama!E21</f>
        <v>0.24537487828627069</v>
      </c>
      <c r="AA66" s="186">
        <f>Diagrama!F21</f>
        <v>0.50492610837438423</v>
      </c>
      <c r="AB66" s="186">
        <f>Diagrama!G21</f>
        <v>0.36228538450440051</v>
      </c>
      <c r="AC66" s="186">
        <f>Diagrama!H21</f>
        <v>8.8531187122736412E-3</v>
      </c>
      <c r="AD66" s="186">
        <f>Diagrama!I21</f>
        <v>7.9083567492610314</v>
      </c>
      <c r="AE66" s="186">
        <f>Diagrama!J21</f>
        <v>0.10044911846090032</v>
      </c>
      <c r="AF66" s="186">
        <f>Diagrama!K21</f>
        <v>6.2892573639037739</v>
      </c>
      <c r="AG66" s="186" t="e">
        <f>Diagrama!L21</f>
        <v>#DIV/0!</v>
      </c>
    </row>
    <row r="67" spans="16:33">
      <c r="S67" s="174" t="s">
        <v>36</v>
      </c>
      <c r="T67" s="184">
        <v>5.46</v>
      </c>
      <c r="U67" s="185">
        <v>5.46</v>
      </c>
      <c r="V67" s="184">
        <v>5.46</v>
      </c>
      <c r="W67" s="186">
        <f>Diagrama!B22</f>
        <v>2.1956521739130435</v>
      </c>
      <c r="X67" s="186">
        <f>Diagrama!C22</f>
        <v>0.28014383113850744</v>
      </c>
      <c r="Y67" s="186">
        <f>Diagrama!D22</f>
        <v>0.98294829482948287</v>
      </c>
      <c r="Z67" s="186">
        <f>Diagrama!E22</f>
        <v>2.0392079207920792</v>
      </c>
      <c r="AA67" s="186">
        <f>Diagrama!F22</f>
        <v>4.9901960784313726</v>
      </c>
      <c r="AB67" s="186">
        <f>Diagrama!G22</f>
        <v>1.3481720964934096</v>
      </c>
      <c r="AC67" s="186">
        <f>Diagrama!H22</f>
        <v>8.4902825476116135</v>
      </c>
      <c r="AD67" s="186">
        <f>Diagrama!I22</f>
        <v>8.9025507265189567</v>
      </c>
      <c r="AE67" s="186">
        <f>Diagrama!J22</f>
        <v>1100.5519200798099</v>
      </c>
      <c r="AF67" s="186">
        <f>Diagrama!K22</f>
        <v>18.675450795155264</v>
      </c>
      <c r="AG67" s="186" t="e">
        <f>Diagrama!L22</f>
        <v>#DIV/0!</v>
      </c>
    </row>
    <row r="68" spans="16:33">
      <c r="S68" s="174" t="s">
        <v>24</v>
      </c>
      <c r="T68" s="184">
        <v>0.57999999999999996</v>
      </c>
      <c r="U68" s="185">
        <v>0.57999999999999996</v>
      </c>
      <c r="V68" s="184">
        <v>0.57999999999999996</v>
      </c>
      <c r="W68" s="186">
        <f>Diagrama!B23</f>
        <v>1.2152730124497599</v>
      </c>
      <c r="X68" s="186">
        <f>Diagrama!C23</f>
        <v>179.54735024644788</v>
      </c>
      <c r="Y68" s="186">
        <f>Diagrama!D23</f>
        <v>3.4212106089585652</v>
      </c>
      <c r="Z68" s="186">
        <f>Diagrama!E23</f>
        <v>2.488905998082537</v>
      </c>
      <c r="AA68" s="186">
        <f>Diagrama!F23</f>
        <v>0.59726867602664246</v>
      </c>
      <c r="AB68" s="186">
        <f>Diagrama!G23</f>
        <v>2.7891505011228586</v>
      </c>
      <c r="AC68" s="186">
        <f>Diagrama!H23</f>
        <v>13.421761268310417</v>
      </c>
      <c r="AD68" s="186">
        <f>Diagrama!I23</f>
        <v>0.12653098575591332</v>
      </c>
      <c r="AE68" s="186">
        <f>Diagrama!J23</f>
        <v>9.9543590443717505E-3</v>
      </c>
      <c r="AF68" s="186">
        <f>Diagrama!K23</f>
        <v>6.2060150370998927E-2</v>
      </c>
      <c r="AG68" s="186" t="e">
        <f>Diagrama!L23</f>
        <v>#DIV/0!</v>
      </c>
    </row>
    <row r="69" spans="16:33">
      <c r="S69" s="174" t="s">
        <v>16</v>
      </c>
      <c r="T69" s="187">
        <v>15.47</v>
      </c>
      <c r="U69" s="185">
        <v>15.47</v>
      </c>
      <c r="V69" s="187">
        <v>15.47</v>
      </c>
      <c r="W69" s="188">
        <f t="shared" ref="W69:AB69" si="0">100*W61/W64</f>
        <v>31.292517006802722</v>
      </c>
      <c r="X69" s="188">
        <f t="shared" si="0"/>
        <v>78.116222230328674</v>
      </c>
      <c r="Y69" s="188">
        <f t="shared" si="0"/>
        <v>50.429958391123442</v>
      </c>
      <c r="Z69" s="188">
        <f t="shared" si="0"/>
        <v>32.90330987750847</v>
      </c>
      <c r="AA69" s="188">
        <f t="shared" si="0"/>
        <v>16.693944353518823</v>
      </c>
      <c r="AB69" s="188">
        <f t="shared" si="0"/>
        <v>42.58631645837746</v>
      </c>
      <c r="AC69" s="188">
        <f>100*AC61/AC64</f>
        <v>10.537094074735071</v>
      </c>
      <c r="AD69" s="188">
        <f>100*AD61/AD64</f>
        <v>10.098408254774274</v>
      </c>
      <c r="AE69" s="188">
        <f>100*AE61/AE64</f>
        <v>9.0781013747182046E-2</v>
      </c>
      <c r="AF69" s="188">
        <f>100*AF61/AF64</f>
        <v>5.0824756718978588</v>
      </c>
      <c r="AG69" s="188" t="e">
        <f>100*AG61/AG64</f>
        <v>#DIV/0!</v>
      </c>
    </row>
    <row r="70" spans="16:33">
      <c r="S70" s="174" t="s">
        <v>80</v>
      </c>
      <c r="T70" s="183">
        <v>0</v>
      </c>
      <c r="U70" s="183">
        <v>0</v>
      </c>
      <c r="V70" s="183">
        <v>0</v>
      </c>
    </row>
    <row r="71" spans="16:33">
      <c r="P71" s="176"/>
      <c r="Q71" s="176"/>
      <c r="R71" s="176"/>
      <c r="S71" s="177" t="s">
        <v>81</v>
      </c>
      <c r="T71" s="178"/>
      <c r="U71" s="178"/>
      <c r="V71" s="178"/>
    </row>
    <row r="72" spans="16:33">
      <c r="P72" s="179"/>
      <c r="Q72" s="179"/>
      <c r="R72" s="179" t="s">
        <v>96</v>
      </c>
      <c r="S72" s="180">
        <v>0</v>
      </c>
      <c r="T72" s="181" t="b">
        <v>0</v>
      </c>
      <c r="U72" s="181" t="b">
        <v>0</v>
      </c>
      <c r="V72" s="181" t="b">
        <v>0</v>
      </c>
      <c r="W72" s="175">
        <f>IF(T72,1,0)</f>
        <v>0</v>
      </c>
      <c r="X72" s="212"/>
      <c r="Y72" s="212"/>
    </row>
    <row r="73" spans="16:33">
      <c r="T73" s="211"/>
    </row>
    <row r="74" spans="16:33">
      <c r="T74" s="211"/>
    </row>
    <row r="75" spans="16:33">
      <c r="T75" s="21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39" r:id="rId6" name="CommandButton2">
          <controlPr defaultSize="0" autoLine="0" r:id="rId7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6" name="CommandButton2"/>
      </mc:Fallback>
    </mc:AlternateContent>
    <mc:AlternateContent xmlns:mc="http://schemas.openxmlformats.org/markup-compatibility/2006">
      <mc:Choice Requires="x14">
        <control shapeId="1041" r:id="rId8" name="CommandButton3">
          <controlPr defaultSize="0" autoLine="0" r:id="rId9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8" name="CommandButton3"/>
      </mc:Fallback>
    </mc:AlternateContent>
    <mc:AlternateContent xmlns:mc="http://schemas.openxmlformats.org/markup-compatibility/2006">
      <mc:Choice Requires="x14">
        <control shapeId="1042" r:id="rId10" name="CommandButton4">
          <controlPr defaultSize="0" autoLine="0" r:id="rId11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10" name="CommandButton4"/>
      </mc:Fallback>
    </mc:AlternateContent>
    <mc:AlternateContent xmlns:mc="http://schemas.openxmlformats.org/markup-compatibility/2006">
      <mc:Choice Requires="x14">
        <control shapeId="1044" r:id="rId12" name="CommandButton5">
          <controlPr defaultSize="0" autoLine="0" r:id="rId13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6">
          <controlPr defaultSize="0" autoLine="0" r:id="rId1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14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B9" sqref="B9"/>
    </sheetView>
  </sheetViews>
  <sheetFormatPr defaultRowHeight="12.75"/>
  <cols>
    <col min="1" max="1" width="4.5" style="191" bestFit="1" customWidth="1"/>
    <col min="2" max="2" width="9" style="190"/>
    <col min="3" max="3" width="3.875" style="191" customWidth="1"/>
    <col min="4" max="4" width="37.375" style="190" customWidth="1"/>
    <col min="5" max="5" width="6.875" style="190" customWidth="1"/>
    <col min="6" max="6" width="4.875" style="190" customWidth="1"/>
    <col min="7" max="9" width="9.375" style="190" customWidth="1"/>
    <col min="10" max="10" width="9" style="190"/>
    <col min="11" max="11" width="3" style="190" customWidth="1"/>
    <col min="12" max="16384" width="9" style="190"/>
  </cols>
  <sheetData>
    <row r="1" spans="1:11" ht="14.25">
      <c r="A1" s="203" t="s">
        <v>38</v>
      </c>
      <c r="B1" s="204" t="s">
        <v>23</v>
      </c>
      <c r="C1" s="203" t="s">
        <v>10</v>
      </c>
      <c r="D1" s="204" t="s">
        <v>11</v>
      </c>
      <c r="E1" s="203" t="s">
        <v>12</v>
      </c>
      <c r="F1" s="203" t="s">
        <v>13</v>
      </c>
      <c r="G1" s="203" t="s">
        <v>15</v>
      </c>
      <c r="H1" s="203"/>
      <c r="I1" s="203"/>
    </row>
    <row r="2" spans="1:11" ht="14.25">
      <c r="A2" s="194">
        <v>1</v>
      </c>
      <c r="B2" s="195" t="str">
        <f>Entrada_de_Dados_2!B2</f>
        <v>Pedro</v>
      </c>
      <c r="C2" s="191">
        <v>1</v>
      </c>
      <c r="D2" s="195" t="str">
        <f>Entrada_de_Dados_2!D2</f>
        <v>R</v>
      </c>
      <c r="E2" s="195" t="str">
        <f>Entrada_de_Dados_2!C2</f>
        <v>seJ</v>
      </c>
      <c r="F2" s="191" t="str">
        <f>Entrada_de_Dados_2!D2</f>
        <v>R</v>
      </c>
      <c r="G2" s="196">
        <f>Entrada_de_Dados_2!E2</f>
        <v>4554</v>
      </c>
      <c r="H2" s="196"/>
      <c r="I2" s="196"/>
    </row>
    <row r="3" spans="1:11" ht="14.25">
      <c r="A3" s="194">
        <v>1</v>
      </c>
      <c r="B3" s="195" t="str">
        <f>$B$2</f>
        <v>Pedro</v>
      </c>
      <c r="C3" s="191">
        <v>2</v>
      </c>
      <c r="D3" s="195" t="str">
        <f>Entrada_de_Dados_2!D3</f>
        <v>N</v>
      </c>
      <c r="E3" s="195" t="str">
        <f>Entrada_de_Dados_2!C3</f>
        <v>seJ</v>
      </c>
      <c r="F3" s="191" t="str">
        <f>Entrada_de_Dados_2!D3</f>
        <v>N</v>
      </c>
      <c r="G3" s="196">
        <f>Entrada_de_Dados_2!E3</f>
        <v>4545</v>
      </c>
      <c r="H3" s="196"/>
      <c r="I3" s="196"/>
    </row>
    <row r="4" spans="1:11" ht="14.25">
      <c r="A4" s="194">
        <v>1</v>
      </c>
      <c r="B4" s="195" t="str">
        <f t="shared" ref="B4" si="0">$B$2</f>
        <v>Pedro</v>
      </c>
      <c r="C4" s="191">
        <v>3</v>
      </c>
      <c r="D4" s="195" t="str">
        <f>Entrada_de_Dados_2!D4</f>
        <v>F</v>
      </c>
      <c r="E4" s="195" t="str">
        <f>Entrada_de_Dados_2!C4</f>
        <v>seJ</v>
      </c>
      <c r="F4" s="191" t="str">
        <f>Entrada_de_Dados_2!D4</f>
        <v>F</v>
      </c>
      <c r="G4" s="196">
        <f>Entrada_de_Dados_2!E4</f>
        <v>5454</v>
      </c>
      <c r="H4" s="196"/>
      <c r="I4" s="196"/>
    </row>
    <row r="5" spans="1:11" ht="14.25">
      <c r="A5" s="194"/>
      <c r="B5" s="195"/>
      <c r="F5" s="197" t="s">
        <v>16</v>
      </c>
      <c r="G5" s="198">
        <f>I5/I8</f>
        <v>0.31292517006802723</v>
      </c>
      <c r="H5" s="197" t="s">
        <v>5</v>
      </c>
      <c r="I5" s="199">
        <f>IF(F2="R",G2,IF(F3="R",G3,IF(F4="R",G4,)))</f>
        <v>4554</v>
      </c>
    </row>
    <row r="6" spans="1:11" ht="14.25">
      <c r="A6" s="194"/>
      <c r="B6" s="195"/>
      <c r="F6" s="197" t="s">
        <v>17</v>
      </c>
      <c r="G6" s="198">
        <f>I6/I8</f>
        <v>0.31230674087816945</v>
      </c>
      <c r="H6" s="197" t="s">
        <v>6</v>
      </c>
      <c r="I6" s="199">
        <f>IF(F2="N",G2,IF(F3="N",G3,IF(F4="N",G4,)))</f>
        <v>4545</v>
      </c>
    </row>
    <row r="7" spans="1:11" ht="14.25">
      <c r="A7" s="194"/>
      <c r="B7" s="195"/>
      <c r="F7" s="197" t="s">
        <v>18</v>
      </c>
      <c r="G7" s="198">
        <f>I7/I8</f>
        <v>0.37476808905380332</v>
      </c>
      <c r="H7" s="197" t="s">
        <v>7</v>
      </c>
      <c r="I7" s="199">
        <f>IF(F2="F",G2,IF(F3="F",G3,IF(F4="F",G4,)))</f>
        <v>5454</v>
      </c>
    </row>
    <row r="8" spans="1:11" ht="14.25">
      <c r="A8" s="203"/>
      <c r="B8" s="204"/>
      <c r="C8" s="205"/>
      <c r="D8" s="206"/>
      <c r="E8" s="206"/>
      <c r="F8" s="207" t="s">
        <v>19</v>
      </c>
      <c r="G8" s="208">
        <f>SUM(G5:G7)</f>
        <v>1</v>
      </c>
      <c r="H8" s="207" t="s">
        <v>20</v>
      </c>
      <c r="I8" s="209">
        <f>SUM(I5:I7)</f>
        <v>14553</v>
      </c>
    </row>
    <row r="9" spans="1:11" ht="14.25">
      <c r="A9" s="194">
        <v>2</v>
      </c>
      <c r="B9" s="195" t="str">
        <f>Entrada_de_Dados_2!B5</f>
        <v>Andre</v>
      </c>
      <c r="C9" s="191">
        <v>1</v>
      </c>
      <c r="D9" s="195" t="str">
        <f>Entrada_de_Dados_2!D5</f>
        <v>F</v>
      </c>
      <c r="E9" s="195" t="str">
        <f>Entrada_de_Dados_2!C5</f>
        <v>seJ</v>
      </c>
      <c r="F9" s="191" t="str">
        <f>Entrada_de_Dados_2!D5</f>
        <v>F</v>
      </c>
      <c r="G9" s="196">
        <f>Entrada_de_Dados_2!E5</f>
        <v>545</v>
      </c>
      <c r="H9" s="196"/>
      <c r="I9" s="196"/>
      <c r="K9" s="191"/>
    </row>
    <row r="10" spans="1:11" ht="14.25">
      <c r="A10" s="194">
        <v>2</v>
      </c>
      <c r="B10" s="195" t="str">
        <f>$B$9</f>
        <v>Andre</v>
      </c>
      <c r="C10" s="191">
        <v>2</v>
      </c>
      <c r="D10" s="195" t="str">
        <f>Entrada_de_Dados_2!D6</f>
        <v>N</v>
      </c>
      <c r="E10" s="195" t="str">
        <f>Entrada_de_Dados_2!C6</f>
        <v>seJ</v>
      </c>
      <c r="F10" s="191" t="str">
        <f>Entrada_de_Dados_2!D6</f>
        <v>N</v>
      </c>
      <c r="G10" s="196">
        <f>Entrada_de_Dados_2!E6</f>
        <v>5454</v>
      </c>
      <c r="H10" s="196"/>
      <c r="I10" s="196"/>
      <c r="K10" s="191"/>
    </row>
    <row r="11" spans="1:11" ht="14.25">
      <c r="A11" s="194">
        <v>2</v>
      </c>
      <c r="B11" s="195" t="str">
        <f>$B$9</f>
        <v>Andre</v>
      </c>
      <c r="C11" s="191">
        <v>3</v>
      </c>
      <c r="D11" s="195" t="str">
        <f>Entrada_de_Dados_2!D7</f>
        <v>R</v>
      </c>
      <c r="E11" s="195" t="str">
        <f>Entrada_de_Dados_2!C7</f>
        <v>seJ</v>
      </c>
      <c r="F11" s="191" t="str">
        <f>Entrada_de_Dados_2!D7</f>
        <v>R</v>
      </c>
      <c r="G11" s="196">
        <f>Entrada_de_Dados_2!E7</f>
        <v>21414</v>
      </c>
      <c r="H11" s="196"/>
      <c r="I11" s="196"/>
    </row>
    <row r="12" spans="1:11" ht="14.25">
      <c r="A12" s="194"/>
      <c r="B12" s="195"/>
      <c r="F12" s="197" t="s">
        <v>16</v>
      </c>
      <c r="G12" s="198">
        <f>I12/I15</f>
        <v>0.7811622223032868</v>
      </c>
      <c r="H12" s="197" t="s">
        <v>5</v>
      </c>
      <c r="I12" s="199">
        <f>IF(F9="R",G9,IF(F10="R",G10,IF(F11="R",G11,)))</f>
        <v>21414</v>
      </c>
    </row>
    <row r="13" spans="1:11" ht="14.25">
      <c r="A13" s="194"/>
      <c r="B13" s="195"/>
      <c r="F13" s="197" t="s">
        <v>17</v>
      </c>
      <c r="G13" s="198">
        <f>I13/I15</f>
        <v>0.19895669937620836</v>
      </c>
      <c r="H13" s="197" t="s">
        <v>6</v>
      </c>
      <c r="I13" s="199">
        <f>IF(F9="N",G9,IF(F10="N",G10,IF(F11="N",G11,)))</f>
        <v>5454</v>
      </c>
    </row>
    <row r="14" spans="1:11" ht="14.25">
      <c r="A14" s="194"/>
      <c r="B14" s="195"/>
      <c r="F14" s="197" t="s">
        <v>18</v>
      </c>
      <c r="G14" s="198">
        <f>I14/I15</f>
        <v>1.9881078320504869E-2</v>
      </c>
      <c r="H14" s="197" t="s">
        <v>7</v>
      </c>
      <c r="I14" s="199">
        <f>IF(F9="F",G9,IF(F10="F",G10,IF(F11="F",G11,)))</f>
        <v>545</v>
      </c>
    </row>
    <row r="15" spans="1:11" ht="14.25">
      <c r="A15" s="203"/>
      <c r="B15" s="204"/>
      <c r="C15" s="205"/>
      <c r="D15" s="206"/>
      <c r="E15" s="206"/>
      <c r="F15" s="207" t="s">
        <v>19</v>
      </c>
      <c r="G15" s="208">
        <f>SUM(G12:G14)</f>
        <v>1</v>
      </c>
      <c r="H15" s="207" t="s">
        <v>20</v>
      </c>
      <c r="I15" s="209">
        <f>SUM(I12:I14)</f>
        <v>27413</v>
      </c>
    </row>
    <row r="16" spans="1:11" ht="14.25">
      <c r="A16" s="194">
        <v>3</v>
      </c>
      <c r="B16" s="195" t="str">
        <f>Entrada_de_Dados_2!B8</f>
        <v>Henrique</v>
      </c>
      <c r="C16" s="191">
        <v>1</v>
      </c>
      <c r="D16" s="195" t="str">
        <f>Entrada_de_Dados_2!D8</f>
        <v>R</v>
      </c>
      <c r="E16" s="195" t="str">
        <f>Entrada_de_Dados_2!C8</f>
        <v>seJ</v>
      </c>
      <c r="F16" s="191" t="str">
        <f>Entrada_de_Dados_2!D8</f>
        <v>R</v>
      </c>
      <c r="G16" s="196">
        <f>Entrada_de_Dados_2!E8</f>
        <v>5454</v>
      </c>
      <c r="H16" s="196"/>
      <c r="I16" s="196"/>
      <c r="K16" s="191"/>
    </row>
    <row r="17" spans="1:11" ht="14.25">
      <c r="A17" s="194">
        <v>3</v>
      </c>
      <c r="B17" s="195" t="str">
        <f>$B$16</f>
        <v>Henrique</v>
      </c>
      <c r="C17" s="191">
        <v>2</v>
      </c>
      <c r="D17" s="195" t="str">
        <f>Entrada_de_Dados_2!D9</f>
        <v>N</v>
      </c>
      <c r="E17" s="195" t="str">
        <f>Entrada_de_Dados_2!C9</f>
        <v>seJ</v>
      </c>
      <c r="F17" s="191" t="str">
        <f>Entrada_de_Dados_2!D9</f>
        <v>N</v>
      </c>
      <c r="G17" s="196">
        <f>Entrada_de_Dados_2!E9</f>
        <v>2145</v>
      </c>
      <c r="H17" s="196"/>
      <c r="I17" s="196"/>
      <c r="K17" s="191"/>
    </row>
    <row r="18" spans="1:11" ht="14.25">
      <c r="A18" s="194">
        <v>3</v>
      </c>
      <c r="B18" s="195" t="str">
        <f>$B$16</f>
        <v>Henrique</v>
      </c>
      <c r="C18" s="191">
        <v>3</v>
      </c>
      <c r="D18" s="195" t="str">
        <f>Entrada_de_Dados_2!D10</f>
        <v>F</v>
      </c>
      <c r="E18" s="195" t="str">
        <f>Entrada_de_Dados_2!C10</f>
        <v>seJ</v>
      </c>
      <c r="F18" s="191" t="str">
        <f>Entrada_de_Dados_2!D10</f>
        <v>F</v>
      </c>
      <c r="G18" s="196">
        <f>Entrada_de_Dados_2!E10</f>
        <v>3216</v>
      </c>
      <c r="H18" s="196"/>
      <c r="I18" s="196"/>
    </row>
    <row r="19" spans="1:11" ht="14.25">
      <c r="A19" s="194"/>
      <c r="B19" s="195"/>
      <c r="F19" s="197" t="s">
        <v>16</v>
      </c>
      <c r="G19" s="198">
        <f>I19/I22</f>
        <v>0.50429958391123442</v>
      </c>
      <c r="H19" s="197" t="s">
        <v>5</v>
      </c>
      <c r="I19" s="199">
        <f>IF(F16="R",G16,IF(F17="R",G17,IF(F18="R",G18,)))</f>
        <v>5454</v>
      </c>
    </row>
    <row r="20" spans="1:11" ht="14.25">
      <c r="A20" s="194"/>
      <c r="B20" s="195"/>
      <c r="F20" s="197" t="s">
        <v>17</v>
      </c>
      <c r="G20" s="198">
        <f>I20/I22</f>
        <v>0.19833564493758668</v>
      </c>
      <c r="H20" s="197" t="s">
        <v>6</v>
      </c>
      <c r="I20" s="199">
        <f>IF(F16="N",G16,IF(F17="N",G17,IF(F18="N",G18,)))</f>
        <v>2145</v>
      </c>
    </row>
    <row r="21" spans="1:11" ht="14.25">
      <c r="A21" s="194"/>
      <c r="B21" s="195"/>
      <c r="F21" s="197" t="s">
        <v>18</v>
      </c>
      <c r="G21" s="198">
        <f>I21/I22</f>
        <v>0.29736477115117893</v>
      </c>
      <c r="H21" s="197" t="s">
        <v>7</v>
      </c>
      <c r="I21" s="199">
        <f>IF(F16="F",G16,IF(F17="F",G17,IF(F18="F",G18,)))</f>
        <v>3216</v>
      </c>
    </row>
    <row r="22" spans="1:11" ht="14.25">
      <c r="A22" s="203"/>
      <c r="B22" s="204"/>
      <c r="C22" s="205"/>
      <c r="D22" s="206"/>
      <c r="E22" s="206"/>
      <c r="F22" s="207" t="s">
        <v>19</v>
      </c>
      <c r="G22" s="208">
        <f>SUM(G19:G21)</f>
        <v>1</v>
      </c>
      <c r="H22" s="207" t="s">
        <v>20</v>
      </c>
      <c r="I22" s="209">
        <f>SUM(I19:I21)</f>
        <v>10815</v>
      </c>
    </row>
    <row r="23" spans="1:11" ht="14.25">
      <c r="A23" s="194">
        <v>4</v>
      </c>
      <c r="B23" s="195" t="str">
        <f>Entrada_de_Dados_2!B11</f>
        <v>Thayna</v>
      </c>
      <c r="C23" s="191">
        <v>1</v>
      </c>
      <c r="D23" s="195" t="str">
        <f>Entrada_de_Dados_2!D11</f>
        <v>R</v>
      </c>
      <c r="E23" s="195" t="str">
        <f>Entrada_de_Dados_2!C11</f>
        <v>seJ</v>
      </c>
      <c r="F23" s="191" t="str">
        <f>Entrada_de_Dados_2!D11</f>
        <v>R</v>
      </c>
      <c r="G23" s="196">
        <f>Entrada_de_Dados_2!E11</f>
        <v>2525</v>
      </c>
      <c r="H23" s="196"/>
      <c r="I23" s="196"/>
      <c r="K23" s="191"/>
    </row>
    <row r="24" spans="1:11" ht="14.25">
      <c r="A24" s="194">
        <v>4</v>
      </c>
      <c r="B24" s="195" t="str">
        <f>$B$23</f>
        <v>Thayna</v>
      </c>
      <c r="C24" s="191">
        <v>2</v>
      </c>
      <c r="D24" s="195" t="str">
        <f>Entrada_de_Dados_2!D12</f>
        <v>N</v>
      </c>
      <c r="E24" s="195" t="str">
        <f>Entrada_de_Dados_2!C12</f>
        <v>seJ</v>
      </c>
      <c r="F24" s="191" t="str">
        <f>Entrada_de_Dados_2!D12</f>
        <v>N</v>
      </c>
      <c r="G24" s="196">
        <f>Entrada_de_Dados_2!E12</f>
        <v>3637</v>
      </c>
      <c r="H24" s="196"/>
      <c r="I24" s="196"/>
      <c r="K24" s="191"/>
    </row>
    <row r="25" spans="1:11" ht="14.25">
      <c r="A25" s="194">
        <v>4</v>
      </c>
      <c r="B25" s="195" t="str">
        <f>$B$23</f>
        <v>Thayna</v>
      </c>
      <c r="C25" s="191">
        <v>3</v>
      </c>
      <c r="D25" s="195" t="str">
        <f>Entrada_de_Dados_2!D13</f>
        <v>F</v>
      </c>
      <c r="E25" s="195" t="str">
        <f>Entrada_de_Dados_2!C13</f>
        <v>seJ</v>
      </c>
      <c r="F25" s="191" t="str">
        <f>Entrada_de_Dados_2!D13</f>
        <v>F</v>
      </c>
      <c r="G25" s="196">
        <f>Entrada_de_Dados_2!E13</f>
        <v>1512</v>
      </c>
      <c r="H25" s="196"/>
      <c r="I25" s="196"/>
    </row>
    <row r="26" spans="1:11" ht="14.25">
      <c r="A26" s="194"/>
      <c r="B26" s="195"/>
      <c r="F26" s="197" t="s">
        <v>16</v>
      </c>
      <c r="G26" s="198">
        <f>I26/I29</f>
        <v>0.32903309877508469</v>
      </c>
      <c r="H26" s="197" t="s">
        <v>5</v>
      </c>
      <c r="I26" s="199">
        <f>IF(F23="R",G23,IF(F24="R",G24,IF(F25="R",G25,)))</f>
        <v>2525</v>
      </c>
    </row>
    <row r="27" spans="1:11" ht="14.25">
      <c r="A27" s="194"/>
      <c r="B27" s="195"/>
      <c r="F27" s="197" t="s">
        <v>17</v>
      </c>
      <c r="G27" s="198">
        <f>I27/I29</f>
        <v>0.47393797237425073</v>
      </c>
      <c r="H27" s="197" t="s">
        <v>6</v>
      </c>
      <c r="I27" s="199">
        <f>IF(F23="N",G23,IF(F24="N",G24,IF(F25="N",G25,)))</f>
        <v>3637</v>
      </c>
    </row>
    <row r="28" spans="1:11" ht="14.25">
      <c r="A28" s="194"/>
      <c r="B28" s="195"/>
      <c r="F28" s="197" t="s">
        <v>18</v>
      </c>
      <c r="G28" s="198">
        <f>I28/I29</f>
        <v>0.19702892885066459</v>
      </c>
      <c r="H28" s="197" t="s">
        <v>7</v>
      </c>
      <c r="I28" s="199">
        <f>IF(F23="F",G23,IF(F24="F",G24,IF(F25="F",G25,)))</f>
        <v>1512</v>
      </c>
    </row>
    <row r="29" spans="1:11" ht="14.25">
      <c r="A29" s="203"/>
      <c r="B29" s="204"/>
      <c r="C29" s="205"/>
      <c r="D29" s="206"/>
      <c r="E29" s="206"/>
      <c r="F29" s="207" t="s">
        <v>19</v>
      </c>
      <c r="G29" s="208">
        <f>SUM(G26:G28)</f>
        <v>1</v>
      </c>
      <c r="H29" s="207" t="s">
        <v>20</v>
      </c>
      <c r="I29" s="209">
        <f>SUM(I26:I28)</f>
        <v>7674</v>
      </c>
    </row>
    <row r="30" spans="1:11" ht="14.25">
      <c r="A30" s="194">
        <v>5</v>
      </c>
      <c r="B30" s="195" t="str">
        <f>Entrada_de_Dados_2!B14</f>
        <v>Vinicius</v>
      </c>
      <c r="C30" s="191">
        <v>1</v>
      </c>
      <c r="D30" s="195" t="str">
        <f>Entrada_de_Dados_2!D14</f>
        <v>R</v>
      </c>
      <c r="E30" s="195" t="str">
        <f>Entrada_de_Dados_2!C14</f>
        <v>seJ</v>
      </c>
      <c r="F30" s="191" t="str">
        <f>Entrada_de_Dados_2!D14</f>
        <v>R</v>
      </c>
      <c r="G30" s="196">
        <f>Entrada_de_Dados_2!E14</f>
        <v>1020</v>
      </c>
      <c r="H30" s="196"/>
      <c r="I30" s="196"/>
      <c r="K30" s="191"/>
    </row>
    <row r="31" spans="1:11" ht="14.25">
      <c r="A31" s="194">
        <v>5</v>
      </c>
      <c r="B31" s="195" t="str">
        <f>$B$30</f>
        <v>Vinicius</v>
      </c>
      <c r="C31" s="191">
        <v>2</v>
      </c>
      <c r="D31" s="195" t="str">
        <f>Entrada_de_Dados_2!D15</f>
        <v>N</v>
      </c>
      <c r="E31" s="195" t="str">
        <f>Entrada_de_Dados_2!C15</f>
        <v>seJ</v>
      </c>
      <c r="F31" s="191" t="str">
        <f>Entrada_de_Dados_2!D15</f>
        <v>N</v>
      </c>
      <c r="G31" s="196">
        <f>Entrada_de_Dados_2!E15</f>
        <v>3040</v>
      </c>
      <c r="H31" s="196"/>
      <c r="I31" s="196"/>
      <c r="K31" s="191"/>
    </row>
    <row r="32" spans="1:11" ht="14.25">
      <c r="A32" s="194">
        <v>5</v>
      </c>
      <c r="B32" s="195" t="str">
        <f>$B$30</f>
        <v>Vinicius</v>
      </c>
      <c r="C32" s="191">
        <v>3</v>
      </c>
      <c r="D32" s="195" t="str">
        <f>Entrada_de_Dados_2!D16</f>
        <v>F</v>
      </c>
      <c r="E32" s="195" t="str">
        <f>Entrada_de_Dados_2!C16</f>
        <v>seJ</v>
      </c>
      <c r="F32" s="191" t="str">
        <f>Entrada_de_Dados_2!D16</f>
        <v>F</v>
      </c>
      <c r="G32" s="196">
        <f>Entrada_de_Dados_2!E16</f>
        <v>2050</v>
      </c>
      <c r="H32" s="196"/>
      <c r="I32" s="196"/>
    </row>
    <row r="33" spans="1:11" ht="14.25">
      <c r="A33" s="194"/>
      <c r="B33" s="195"/>
      <c r="F33" s="197" t="s">
        <v>16</v>
      </c>
      <c r="G33" s="198">
        <f>I33/I36</f>
        <v>0.16693944353518822</v>
      </c>
      <c r="H33" s="197" t="s">
        <v>5</v>
      </c>
      <c r="I33" s="199">
        <f>IF(F30="R",G30,IF(F31="R",G31,IF(F32="R",G32,)))</f>
        <v>1020</v>
      </c>
    </row>
    <row r="34" spans="1:11" ht="14.25">
      <c r="A34" s="194"/>
      <c r="B34" s="195"/>
      <c r="F34" s="197" t="s">
        <v>17</v>
      </c>
      <c r="G34" s="198">
        <f>I34/I36</f>
        <v>0.49754500818330605</v>
      </c>
      <c r="H34" s="197" t="s">
        <v>6</v>
      </c>
      <c r="I34" s="199">
        <f>IF(F30="N",G30,IF(F31="N",G31,IF(F32="N",G32,)))</f>
        <v>3040</v>
      </c>
    </row>
    <row r="35" spans="1:11" ht="14.25">
      <c r="A35" s="194"/>
      <c r="B35" s="195"/>
      <c r="F35" s="197" t="s">
        <v>18</v>
      </c>
      <c r="G35" s="198">
        <f>I35/I36</f>
        <v>0.3355155482815057</v>
      </c>
      <c r="H35" s="197" t="s">
        <v>7</v>
      </c>
      <c r="I35" s="199">
        <f>IF(F30="F",G30,IF(F31="F",G31,IF(F32="F",G32,)))</f>
        <v>2050</v>
      </c>
    </row>
    <row r="36" spans="1:11" ht="14.25">
      <c r="A36" s="203"/>
      <c r="B36" s="204"/>
      <c r="C36" s="205"/>
      <c r="D36" s="206"/>
      <c r="E36" s="206"/>
      <c r="F36" s="207" t="s">
        <v>19</v>
      </c>
      <c r="G36" s="208">
        <f>SUM(G33:G35)</f>
        <v>1</v>
      </c>
      <c r="H36" s="207" t="s">
        <v>20</v>
      </c>
      <c r="I36" s="209">
        <f>SUM(I33:I35)</f>
        <v>6110</v>
      </c>
    </row>
    <row r="37" spans="1:11" ht="14.25">
      <c r="A37" s="194">
        <v>6</v>
      </c>
      <c r="B37" s="195" t="str">
        <f>Entrada_de_Dados_2!B17</f>
        <v>Diego</v>
      </c>
      <c r="C37" s="191">
        <v>1</v>
      </c>
      <c r="D37" s="195" t="str">
        <f>Entrada_de_Dados_2!D17</f>
        <v>F</v>
      </c>
      <c r="E37" s="195" t="str">
        <f>Entrada_de_Dados_2!C17</f>
        <v>seJ</v>
      </c>
      <c r="F37" s="191" t="str">
        <f>Entrada_de_Dados_2!D17</f>
        <v>F</v>
      </c>
      <c r="G37" s="196">
        <f>Entrada_de_Dados_2!E17</f>
        <v>2511</v>
      </c>
      <c r="H37" s="196"/>
      <c r="I37" s="196"/>
      <c r="K37" s="191"/>
    </row>
    <row r="38" spans="1:11" ht="14.25">
      <c r="A38" s="194">
        <v>6</v>
      </c>
      <c r="B38" s="195" t="str">
        <f>$B$37</f>
        <v>Diego</v>
      </c>
      <c r="C38" s="191">
        <v>2</v>
      </c>
      <c r="D38" s="195" t="str">
        <f>Entrada_de_Dados_2!D18</f>
        <v>N</v>
      </c>
      <c r="E38" s="195" t="str">
        <f>Entrada_de_Dados_2!C18</f>
        <v>seJ</v>
      </c>
      <c r="F38" s="191" t="str">
        <f>Entrada_de_Dados_2!D18</f>
        <v>N</v>
      </c>
      <c r="G38" s="196">
        <f>Entrada_de_Dados_2!E18</f>
        <v>2910</v>
      </c>
      <c r="H38" s="196"/>
      <c r="I38" s="196"/>
      <c r="K38" s="191"/>
    </row>
    <row r="39" spans="1:11" ht="14.25">
      <c r="A39" s="194">
        <v>6</v>
      </c>
      <c r="B39" s="195" t="str">
        <f>$B$37</f>
        <v>Diego</v>
      </c>
      <c r="C39" s="191">
        <v>3</v>
      </c>
      <c r="D39" s="195" t="str">
        <f>Entrada_de_Dados_2!D19</f>
        <v>R</v>
      </c>
      <c r="E39" s="195" t="str">
        <f>Entrada_de_Dados_2!C19</f>
        <v>seJ</v>
      </c>
      <c r="F39" s="191" t="str">
        <f>Entrada_de_Dados_2!D19</f>
        <v>R</v>
      </c>
      <c r="G39" s="196">
        <f>Entrada_de_Dados_2!E19</f>
        <v>4021</v>
      </c>
      <c r="H39" s="196"/>
      <c r="I39" s="196"/>
    </row>
    <row r="40" spans="1:11" ht="14.25">
      <c r="A40" s="194"/>
      <c r="B40" s="195"/>
      <c r="F40" s="197" t="s">
        <v>16</v>
      </c>
      <c r="G40" s="198">
        <f>I40/I43</f>
        <v>0.4258631645837746</v>
      </c>
      <c r="H40" s="197" t="s">
        <v>5</v>
      </c>
      <c r="I40" s="199">
        <f>IF(F37="R",G37,IF(F38="R",G38,IF(F39="R",G39,)))</f>
        <v>4021</v>
      </c>
    </row>
    <row r="41" spans="1:11" ht="14.25">
      <c r="A41" s="194"/>
      <c r="B41" s="195"/>
      <c r="F41" s="197" t="s">
        <v>17</v>
      </c>
      <c r="G41" s="198">
        <f>I41/I43</f>
        <v>0.30819741580173693</v>
      </c>
      <c r="H41" s="197" t="s">
        <v>6</v>
      </c>
      <c r="I41" s="199">
        <f>IF(F37="N",G37,IF(F38="N",G38,IF(F39="N",G39,)))</f>
        <v>2910</v>
      </c>
    </row>
    <row r="42" spans="1:11" ht="14.25">
      <c r="A42" s="194"/>
      <c r="B42" s="195"/>
      <c r="F42" s="197" t="s">
        <v>18</v>
      </c>
      <c r="G42" s="198">
        <f>I42/I43</f>
        <v>0.26593941961448847</v>
      </c>
      <c r="H42" s="197" t="s">
        <v>7</v>
      </c>
      <c r="I42" s="199">
        <f>IF(F37="F",G37,IF(F38="F",G38,IF(F39="F",G39,)))</f>
        <v>2511</v>
      </c>
    </row>
    <row r="43" spans="1:11" ht="14.25">
      <c r="A43" s="203"/>
      <c r="B43" s="204"/>
      <c r="C43" s="205"/>
      <c r="D43" s="206"/>
      <c r="E43" s="206"/>
      <c r="F43" s="207" t="s">
        <v>19</v>
      </c>
      <c r="G43" s="208">
        <f>SUM(G40:G42)</f>
        <v>1</v>
      </c>
      <c r="H43" s="207" t="s">
        <v>20</v>
      </c>
      <c r="I43" s="209">
        <f>SUM(I40:I42)</f>
        <v>9442</v>
      </c>
    </row>
    <row r="44" spans="1:11" ht="14.25">
      <c r="A44" s="194">
        <v>7</v>
      </c>
      <c r="B44" s="195" t="str">
        <f>Entrada_de_Dados_2!B20</f>
        <v>Cecilia</v>
      </c>
      <c r="C44" s="191">
        <v>1</v>
      </c>
      <c r="D44" s="195" t="str">
        <f>Entrada_de_Dados_2!D20</f>
        <v>R</v>
      </c>
      <c r="E44" s="195" t="str">
        <f>Entrada_de_Dados_2!C20</f>
        <v>seJ</v>
      </c>
      <c r="F44" s="191" t="str">
        <f>Entrada_de_Dados_2!D20</f>
        <v>R</v>
      </c>
      <c r="G44" s="196">
        <f>Entrada_de_Dados_2!E20</f>
        <v>25624</v>
      </c>
      <c r="H44" s="196"/>
      <c r="I44" s="196"/>
    </row>
    <row r="45" spans="1:11" ht="14.25">
      <c r="A45" s="194">
        <v>7</v>
      </c>
      <c r="B45" s="195" t="str">
        <f>$B$44</f>
        <v>Cecilia</v>
      </c>
      <c r="C45" s="191">
        <v>2</v>
      </c>
      <c r="D45" s="195" t="str">
        <f>Entrada_de_Dados_2!D21</f>
        <v>N</v>
      </c>
      <c r="E45" s="195" t="str">
        <f>Entrada_de_Dados_2!C21</f>
        <v>seJ</v>
      </c>
      <c r="F45" s="191" t="str">
        <f>Entrada_de_Dados_2!D21</f>
        <v>N</v>
      </c>
      <c r="G45" s="196">
        <f>Entrada_de_Dados_2!E21</f>
        <v>215421</v>
      </c>
      <c r="H45" s="196"/>
      <c r="I45" s="196"/>
    </row>
    <row r="46" spans="1:11" ht="14.25">
      <c r="A46" s="194">
        <v>7</v>
      </c>
      <c r="B46" s="195" t="str">
        <f>$B$44</f>
        <v>Cecilia</v>
      </c>
      <c r="C46" s="191">
        <v>3</v>
      </c>
      <c r="D46" s="195" t="str">
        <f>Entrada_de_Dados_2!D22</f>
        <v>F</v>
      </c>
      <c r="E46" s="195" t="str">
        <f>Entrada_de_Dados_2!C22</f>
        <v>seJ</v>
      </c>
      <c r="F46" s="191" t="str">
        <f>Entrada_de_Dados_2!D22</f>
        <v>F</v>
      </c>
      <c r="G46" s="196">
        <f>Entrada_de_Dados_2!E22</f>
        <v>2134</v>
      </c>
      <c r="H46" s="196"/>
      <c r="I46" s="196"/>
    </row>
    <row r="47" spans="1:11" ht="14.25">
      <c r="A47" s="194"/>
      <c r="B47" s="195"/>
      <c r="F47" s="197" t="s">
        <v>16</v>
      </c>
      <c r="G47" s="198">
        <f>I47/I50</f>
        <v>0.10537094074735072</v>
      </c>
      <c r="H47" s="197" t="s">
        <v>5</v>
      </c>
      <c r="I47" s="199">
        <f>IF(F44="R",G44,IF(F45="R",G45,IF(F46="R",G46,)))</f>
        <v>25624</v>
      </c>
    </row>
    <row r="48" spans="1:11" ht="14.25">
      <c r="A48" s="194"/>
      <c r="B48" s="195"/>
      <c r="F48" s="197" t="s">
        <v>17</v>
      </c>
      <c r="G48" s="198">
        <f>I48/I50</f>
        <v>0.88585363045328747</v>
      </c>
      <c r="H48" s="197" t="s">
        <v>6</v>
      </c>
      <c r="I48" s="199">
        <f>IF(F44="N",G44,IF(F45="N",G45,IF(F46="N",G46,)))</f>
        <v>215421</v>
      </c>
    </row>
    <row r="49" spans="1:9" ht="14.25">
      <c r="A49" s="194"/>
      <c r="B49" s="195"/>
      <c r="F49" s="197" t="s">
        <v>18</v>
      </c>
      <c r="G49" s="198">
        <f>I49/I50</f>
        <v>8.7754287993617869E-3</v>
      </c>
      <c r="H49" s="197" t="s">
        <v>7</v>
      </c>
      <c r="I49" s="199">
        <f>IF(F44="F",G44,IF(F45="F",G45,IF(F46="F",G46,)))</f>
        <v>2134</v>
      </c>
    </row>
    <row r="50" spans="1:9" ht="14.25">
      <c r="A50" s="203"/>
      <c r="B50" s="204"/>
      <c r="C50" s="205"/>
      <c r="D50" s="206"/>
      <c r="E50" s="206"/>
      <c r="F50" s="207" t="s">
        <v>19</v>
      </c>
      <c r="G50" s="208">
        <f>SUM(G47:G49)</f>
        <v>1</v>
      </c>
      <c r="H50" s="207" t="s">
        <v>20</v>
      </c>
      <c r="I50" s="209">
        <f>SUM(I47:I49)</f>
        <v>243179</v>
      </c>
    </row>
    <row r="51" spans="1:9" ht="14.25">
      <c r="A51" s="194">
        <v>8</v>
      </c>
      <c r="B51" s="195" t="str">
        <f>Entrada_de_Dados_2!B23</f>
        <v>Antonio</v>
      </c>
      <c r="C51" s="191">
        <v>1</v>
      </c>
      <c r="D51" s="195" t="str">
        <f>Entrada_de_Dados_2!D23</f>
        <v>R</v>
      </c>
      <c r="E51" s="195" t="str">
        <f>Entrada_de_Dados_2!C23</f>
        <v>seJ</v>
      </c>
      <c r="F51" s="191" t="str">
        <f>Entrada_de_Dados_2!D23</f>
        <v>R</v>
      </c>
      <c r="G51" s="196">
        <f>Entrada_de_Dados_2!E23</f>
        <v>246518</v>
      </c>
      <c r="H51" s="196"/>
      <c r="I51" s="196"/>
    </row>
    <row r="52" spans="1:9" ht="14.25">
      <c r="A52" s="194">
        <v>8</v>
      </c>
      <c r="B52" s="195" t="str">
        <f>$B$51</f>
        <v>Antonio</v>
      </c>
      <c r="C52" s="191">
        <v>2</v>
      </c>
      <c r="D52" s="195" t="str">
        <f>Entrada_de_Dados_2!D24</f>
        <v>N</v>
      </c>
      <c r="E52" s="195" t="str">
        <f>Entrada_de_Dados_2!C24</f>
        <v>seJ</v>
      </c>
      <c r="F52" s="191" t="str">
        <f>Entrada_de_Dados_2!D24</f>
        <v>N</v>
      </c>
      <c r="G52" s="196">
        <f>Entrada_de_Dados_2!E24</f>
        <v>27512</v>
      </c>
      <c r="H52" s="196"/>
      <c r="I52" s="196"/>
    </row>
    <row r="53" spans="1:9" ht="14.25">
      <c r="A53" s="194">
        <v>8</v>
      </c>
      <c r="B53" s="195" t="str">
        <f>$B$51</f>
        <v>Antonio</v>
      </c>
      <c r="C53" s="191">
        <v>3</v>
      </c>
      <c r="D53" s="195" t="str">
        <f>Entrada_de_Dados_2!D25</f>
        <v>F</v>
      </c>
      <c r="E53" s="195" t="str">
        <f>Entrada_de_Dados_2!C25</f>
        <v>seJ</v>
      </c>
      <c r="F53" s="191" t="str">
        <f>Entrada_de_Dados_2!D25</f>
        <v>F</v>
      </c>
      <c r="G53" s="196">
        <f>Entrada_de_Dados_2!E25</f>
        <v>2167127</v>
      </c>
      <c r="H53" s="196"/>
      <c r="I53" s="196"/>
    </row>
    <row r="54" spans="1:9" ht="14.25">
      <c r="A54" s="194"/>
      <c r="B54" s="195"/>
      <c r="F54" s="197" t="s">
        <v>16</v>
      </c>
      <c r="G54" s="198">
        <f>I54/I57</f>
        <v>0.10098408254774273</v>
      </c>
      <c r="H54" s="197" t="s">
        <v>5</v>
      </c>
      <c r="I54" s="199">
        <f>IF(F51="R",G51,IF(F52="R",G52,IF(F53="R",G53,)))</f>
        <v>246518</v>
      </c>
    </row>
    <row r="55" spans="1:9" ht="14.25">
      <c r="A55" s="194"/>
      <c r="B55" s="195"/>
      <c r="F55" s="197" t="s">
        <v>17</v>
      </c>
      <c r="G55" s="198">
        <f>I55/I57</f>
        <v>1.1270065792572947E-2</v>
      </c>
      <c r="H55" s="197" t="s">
        <v>6</v>
      </c>
      <c r="I55" s="199">
        <f>IF(F51="N",G51,IF(F52="N",G52,IF(F53="N",G53,)))</f>
        <v>27512</v>
      </c>
    </row>
    <row r="56" spans="1:9" ht="14.25">
      <c r="A56" s="194"/>
      <c r="B56" s="195"/>
      <c r="F56" s="197" t="s">
        <v>18</v>
      </c>
      <c r="G56" s="198">
        <f>I56/I57</f>
        <v>0.88774585165968434</v>
      </c>
      <c r="H56" s="197" t="s">
        <v>7</v>
      </c>
      <c r="I56" s="199">
        <f>IF(F51="F",G51,IF(F52="F",G52,IF(F53="F",G53,)))</f>
        <v>2167127</v>
      </c>
    </row>
    <row r="57" spans="1:9" ht="14.25">
      <c r="A57" s="203"/>
      <c r="B57" s="204"/>
      <c r="C57" s="205"/>
      <c r="D57" s="206"/>
      <c r="E57" s="206"/>
      <c r="F57" s="207" t="s">
        <v>19</v>
      </c>
      <c r="G57" s="208">
        <f>SUM(G54:G56)</f>
        <v>1</v>
      </c>
      <c r="H57" s="207" t="s">
        <v>20</v>
      </c>
      <c r="I57" s="209">
        <f>SUM(I54:I56)</f>
        <v>2441157</v>
      </c>
    </row>
    <row r="58" spans="1:9" ht="14.25">
      <c r="A58" s="194">
        <v>9</v>
      </c>
      <c r="B58" s="195" t="str">
        <f>Entrada_de_Dados_2!B26</f>
        <v>Creide</v>
      </c>
      <c r="C58" s="191">
        <v>1</v>
      </c>
      <c r="D58" s="195" t="str">
        <f>Entrada_de_Dados_2!D26</f>
        <v>R</v>
      </c>
      <c r="E58" s="195" t="str">
        <f>Entrada_de_Dados_2!C26</f>
        <v>seJ</v>
      </c>
      <c r="F58" s="191" t="str">
        <f>Entrada_de_Dados_2!D26</f>
        <v>R</v>
      </c>
      <c r="G58" s="196">
        <f>Entrada_de_Dados_2!E26</f>
        <v>217517</v>
      </c>
      <c r="H58" s="196"/>
      <c r="I58" s="196"/>
    </row>
    <row r="59" spans="1:9" ht="14.25">
      <c r="A59" s="194">
        <v>9</v>
      </c>
      <c r="B59" s="195" t="str">
        <f>$B$58</f>
        <v>Creide</v>
      </c>
      <c r="C59" s="191">
        <v>2</v>
      </c>
      <c r="D59" s="195" t="str">
        <f>Entrada_de_Dados_2!D27</f>
        <v>N</v>
      </c>
      <c r="E59" s="195" t="str">
        <f>Entrada_de_Dados_2!C27</f>
        <v>seJ</v>
      </c>
      <c r="F59" s="191" t="str">
        <f>Entrada_de_Dados_2!D27</f>
        <v>N</v>
      </c>
      <c r="G59" s="196">
        <f>Entrada_de_Dados_2!E27</f>
        <v>217517465</v>
      </c>
      <c r="H59" s="196"/>
      <c r="I59" s="196"/>
    </row>
    <row r="60" spans="1:9" ht="14.25">
      <c r="A60" s="194">
        <v>9</v>
      </c>
      <c r="B60" s="195" t="str">
        <f>$B$58</f>
        <v>Creide</v>
      </c>
      <c r="C60" s="191">
        <v>3</v>
      </c>
      <c r="D60" s="195" t="str">
        <f>Entrada_de_Dados_2!D28</f>
        <v>F</v>
      </c>
      <c r="E60" s="195" t="str">
        <f>Entrada_de_Dados_2!C28</f>
        <v>seJ</v>
      </c>
      <c r="F60" s="191" t="str">
        <f>Entrada_de_Dados_2!D28</f>
        <v>F</v>
      </c>
      <c r="G60" s="196">
        <f>Entrada_de_Dados_2!E28</f>
        <v>21871287</v>
      </c>
      <c r="H60" s="196"/>
      <c r="I60" s="196"/>
    </row>
    <row r="61" spans="1:9" ht="14.25">
      <c r="A61" s="194"/>
      <c r="B61" s="195"/>
      <c r="F61" s="197" t="s">
        <v>16</v>
      </c>
      <c r="G61" s="198">
        <f>I61/I64</f>
        <v>9.0781013747182049E-4</v>
      </c>
      <c r="H61" s="197" t="s">
        <v>5</v>
      </c>
      <c r="I61" s="199">
        <f>IF(F58="R",G58,IF(F59="R",G59,IF(F60="R",G60,)))</f>
        <v>217517</v>
      </c>
    </row>
    <row r="62" spans="1:9" ht="14.25">
      <c r="A62" s="194"/>
      <c r="B62" s="195"/>
      <c r="F62" s="197" t="s">
        <v>17</v>
      </c>
      <c r="G62" s="198">
        <f>I62/I64</f>
        <v>0.90781207815560117</v>
      </c>
      <c r="H62" s="197" t="s">
        <v>6</v>
      </c>
      <c r="I62" s="199">
        <f>IF(F58="N",G58,IF(F59="N",G59,IF(F60="N",G60,)))</f>
        <v>217517465</v>
      </c>
    </row>
    <row r="63" spans="1:9" ht="14.25">
      <c r="A63" s="194"/>
      <c r="B63" s="195"/>
      <c r="F63" s="197" t="s">
        <v>18</v>
      </c>
      <c r="G63" s="198">
        <f>I63/I64</f>
        <v>9.1280111706927E-2</v>
      </c>
      <c r="H63" s="197" t="s">
        <v>7</v>
      </c>
      <c r="I63" s="199">
        <f>IF(F58="F",G58,IF(F59="F",G59,IF(F60="F",G60,)))</f>
        <v>21871287</v>
      </c>
    </row>
    <row r="64" spans="1:9" ht="14.25">
      <c r="A64" s="203"/>
      <c r="B64" s="204"/>
      <c r="C64" s="205"/>
      <c r="D64" s="206"/>
      <c r="E64" s="206"/>
      <c r="F64" s="207" t="s">
        <v>19</v>
      </c>
      <c r="G64" s="208">
        <f>SUM(G61:G63)</f>
        <v>0.99999999999999989</v>
      </c>
      <c r="H64" s="207" t="s">
        <v>20</v>
      </c>
      <c r="I64" s="209">
        <f>SUM(I61:I63)</f>
        <v>239606269</v>
      </c>
    </row>
    <row r="65" spans="1:9" ht="14.25">
      <c r="A65" s="194">
        <v>10</v>
      </c>
      <c r="B65" s="195" t="str">
        <f>Entrada_de_Dados_2!B29</f>
        <v>Jasmin</v>
      </c>
      <c r="C65" s="191">
        <v>1</v>
      </c>
      <c r="D65" s="195" t="str">
        <f>Entrada_de_Dados_2!D29</f>
        <v>R</v>
      </c>
      <c r="E65" s="195" t="str">
        <f>Entrada_de_Dados_2!C29</f>
        <v>seJ</v>
      </c>
      <c r="F65" s="191" t="str">
        <f>Entrada_de_Dados_2!D29</f>
        <v>R</v>
      </c>
      <c r="G65" s="196">
        <f>Entrada_de_Dados_2!E29</f>
        <v>128717</v>
      </c>
      <c r="H65" s="196"/>
      <c r="I65" s="196"/>
    </row>
    <row r="66" spans="1:9" ht="14.25">
      <c r="A66" s="194">
        <v>10</v>
      </c>
      <c r="B66" s="195" t="str">
        <f>$B$65</f>
        <v>Jasmin</v>
      </c>
      <c r="C66" s="191">
        <v>2</v>
      </c>
      <c r="D66" s="195" t="str">
        <f>Entrada_de_Dados_2!D30</f>
        <v>N</v>
      </c>
      <c r="E66" s="195" t="str">
        <f>Entrada_de_Dados_2!C30</f>
        <v>seJ</v>
      </c>
      <c r="F66" s="191" t="str">
        <f>Entrada_de_Dados_2!D30</f>
        <v>N</v>
      </c>
      <c r="G66" s="196">
        <f>Entrada_de_Dados_2!E30</f>
        <v>218721</v>
      </c>
      <c r="H66" s="196"/>
      <c r="I66" s="196"/>
    </row>
    <row r="67" spans="1:9" ht="14.25">
      <c r="A67" s="194">
        <v>10</v>
      </c>
      <c r="B67" s="195" t="str">
        <f>$B$65</f>
        <v>Jasmin</v>
      </c>
      <c r="C67" s="191">
        <v>3</v>
      </c>
      <c r="D67" s="195" t="str">
        <f>Entrada_de_Dados_2!D31</f>
        <v>F</v>
      </c>
      <c r="E67" s="195" t="str">
        <f>Entrada_de_Dados_2!C31</f>
        <v>seJ</v>
      </c>
      <c r="F67" s="191" t="str">
        <f>Entrada_de_Dados_2!D31</f>
        <v>F</v>
      </c>
      <c r="G67" s="196">
        <f>Entrada_de_Dados_2!E31</f>
        <v>2185127</v>
      </c>
      <c r="H67" s="196"/>
      <c r="I67" s="196"/>
    </row>
    <row r="68" spans="1:9" ht="14.25">
      <c r="A68" s="194"/>
      <c r="B68" s="195"/>
      <c r="F68" s="197" t="s">
        <v>16</v>
      </c>
      <c r="G68" s="198">
        <f>I68/I71</f>
        <v>5.0824756718978584E-2</v>
      </c>
      <c r="H68" s="197" t="s">
        <v>5</v>
      </c>
      <c r="I68" s="199">
        <f>IF(F65="R",G65,IF(F66="R",G66,IF(F67="R",G67,)))</f>
        <v>128717</v>
      </c>
    </row>
    <row r="69" spans="1:9" ht="14.25">
      <c r="A69" s="194"/>
      <c r="B69" s="195"/>
      <c r="F69" s="197" t="s">
        <v>17</v>
      </c>
      <c r="G69" s="198">
        <f>I69/I71</f>
        <v>8.636342996132379E-2</v>
      </c>
      <c r="H69" s="197" t="s">
        <v>6</v>
      </c>
      <c r="I69" s="199">
        <f>IF(F65="N",G65,IF(F66="N",G66,IF(F67="N",G67,)))</f>
        <v>218721</v>
      </c>
    </row>
    <row r="70" spans="1:9" ht="14.25">
      <c r="A70" s="194"/>
      <c r="B70" s="195"/>
      <c r="F70" s="197" t="s">
        <v>18</v>
      </c>
      <c r="G70" s="198">
        <f>I70/I71</f>
        <v>0.86281181331969758</v>
      </c>
      <c r="H70" s="197" t="s">
        <v>7</v>
      </c>
      <c r="I70" s="199">
        <f>IF(F65="F",G65,IF(F66="F",G66,IF(F67="F",G67,)))</f>
        <v>2185127</v>
      </c>
    </row>
    <row r="71" spans="1:9" ht="14.25">
      <c r="A71" s="203"/>
      <c r="B71" s="204"/>
      <c r="C71" s="205"/>
      <c r="D71" s="206"/>
      <c r="E71" s="206"/>
      <c r="F71" s="207" t="s">
        <v>19</v>
      </c>
      <c r="G71" s="208">
        <f>SUM(G68:G70)</f>
        <v>1</v>
      </c>
      <c r="H71" s="207" t="s">
        <v>20</v>
      </c>
      <c r="I71" s="209">
        <f>SUM(I68:I70)</f>
        <v>2532565</v>
      </c>
    </row>
    <row r="76" spans="1:9" ht="16.5">
      <c r="F76" s="206"/>
      <c r="G76" s="210" t="str">
        <f>DIAG!T1</f>
        <v>Pedro</v>
      </c>
      <c r="H76" s="206"/>
      <c r="I76" s="210" t="str">
        <f>DIAG!T2</f>
        <v>Andre</v>
      </c>
    </row>
    <row r="77" spans="1:9" ht="16.5" customHeight="1">
      <c r="B77" s="265" t="str">
        <f>CONCATENATE("Dados Carregados a partir do Arquivo de Dados: ",DIAG!AD1)</f>
        <v>Dados Carregados a partir do Arquivo de Dados: C:\Users\Henrique\Desktop\Trabalho Faculdade\André\Grafico\Oficial.eMe</v>
      </c>
      <c r="C77" s="266"/>
      <c r="D77" s="267"/>
      <c r="E77" s="200" t="s">
        <v>34</v>
      </c>
      <c r="G77" s="201">
        <f>DIAG!W65</f>
        <v>2.6683168316831685</v>
      </c>
      <c r="H77" s="201"/>
      <c r="I77" s="201">
        <f>DIAG!X65</f>
        <v>50.299082568807343</v>
      </c>
    </row>
    <row r="78" spans="1:9" ht="16.5">
      <c r="A78" s="213"/>
      <c r="B78" s="268"/>
      <c r="C78" s="269"/>
      <c r="D78" s="270"/>
      <c r="E78" s="200" t="s">
        <v>35</v>
      </c>
      <c r="G78" s="201">
        <f>DIAG!W66</f>
        <v>0.59940652818991091</v>
      </c>
      <c r="I78" s="201">
        <f>DIAG!X66</f>
        <v>2.028435313383951E-2</v>
      </c>
    </row>
    <row r="79" spans="1:9" ht="16.5">
      <c r="A79" s="213"/>
      <c r="B79" s="268"/>
      <c r="C79" s="269"/>
      <c r="D79" s="270"/>
      <c r="E79" s="200" t="s">
        <v>36</v>
      </c>
      <c r="G79" s="201">
        <f>DIAG!W67</f>
        <v>2.1956521739130435</v>
      </c>
      <c r="I79" s="201">
        <f>DIAG!X67</f>
        <v>0.28014383113850744</v>
      </c>
    </row>
    <row r="80" spans="1:9" ht="16.5">
      <c r="A80" s="213"/>
      <c r="B80" s="268"/>
      <c r="C80" s="269"/>
      <c r="D80" s="270"/>
      <c r="E80" s="200" t="s">
        <v>24</v>
      </c>
      <c r="G80" s="201">
        <f>DIAG!W68</f>
        <v>1.2152730124497599</v>
      </c>
      <c r="I80" s="201">
        <f>DIAG!X68</f>
        <v>179.54735024644788</v>
      </c>
    </row>
    <row r="81" spans="1:9" ht="16.5">
      <c r="A81" s="213"/>
      <c r="B81" s="271"/>
      <c r="C81" s="272"/>
      <c r="D81" s="273"/>
      <c r="E81" s="200" t="s">
        <v>16</v>
      </c>
      <c r="G81" s="202">
        <f>DIAG!W69/100</f>
        <v>0.31292517006802723</v>
      </c>
      <c r="I81" s="201">
        <f>DIAG!X69</f>
        <v>78.116222230328674</v>
      </c>
    </row>
    <row r="82" spans="1:9">
      <c r="G82" s="190">
        <f>DIAG!W70</f>
        <v>0</v>
      </c>
    </row>
    <row r="83" spans="1:9" ht="16.5">
      <c r="F83" s="206"/>
      <c r="G83" s="210" t="str">
        <f>DIAG!T3</f>
        <v>Henrique</v>
      </c>
      <c r="H83" s="206"/>
      <c r="I83" s="210" t="str">
        <f>DIAG!T4</f>
        <v>Thayna</v>
      </c>
    </row>
    <row r="84" spans="1:9" ht="16.5">
      <c r="E84" s="200" t="s">
        <v>34</v>
      </c>
      <c r="G84" s="201">
        <f>DIAG!Y65</f>
        <v>3.3628731343283582</v>
      </c>
      <c r="H84" s="201"/>
      <c r="I84" s="201">
        <f>DIAG!Z65</f>
        <v>5.0753968253968251</v>
      </c>
    </row>
    <row r="85" spans="1:9" ht="16.5">
      <c r="E85" s="200" t="s">
        <v>35</v>
      </c>
      <c r="G85" s="201">
        <f>DIAG!Y66</f>
        <v>0.42321358073430715</v>
      </c>
      <c r="H85" s="201"/>
      <c r="I85" s="201">
        <f>DIAG!Z66</f>
        <v>0.24537487828627069</v>
      </c>
    </row>
    <row r="86" spans="1:9" ht="16.5">
      <c r="E86" s="200" t="s">
        <v>36</v>
      </c>
      <c r="G86" s="201">
        <f>DIAG!Y67</f>
        <v>0.98294829482948287</v>
      </c>
      <c r="H86" s="201"/>
      <c r="I86" s="201">
        <f>DIAG!Z67</f>
        <v>2.0392079207920792</v>
      </c>
    </row>
    <row r="87" spans="1:9" ht="16.5">
      <c r="E87" s="200" t="s">
        <v>24</v>
      </c>
      <c r="G87" s="201">
        <f>DIAG!Y68</f>
        <v>3.4212106089585652</v>
      </c>
      <c r="H87" s="201"/>
      <c r="I87" s="201">
        <f>DIAG!Z68</f>
        <v>2.488905998082537</v>
      </c>
    </row>
    <row r="88" spans="1:9" ht="16.5">
      <c r="E88" s="200" t="s">
        <v>16</v>
      </c>
      <c r="G88" s="202">
        <f>DIAG!Y69/100</f>
        <v>0.50429958391123442</v>
      </c>
      <c r="H88" s="202"/>
      <c r="I88" s="202">
        <f>DIAG!Z69/100</f>
        <v>0.32903309877508469</v>
      </c>
    </row>
    <row r="89" spans="1:9">
      <c r="G89" s="201">
        <f>DIAG!Y70</f>
        <v>0</v>
      </c>
    </row>
    <row r="90" spans="1:9" ht="16.5">
      <c r="F90" s="206"/>
      <c r="G90" s="210" t="str">
        <f>DIAG!T5</f>
        <v>Vinicius</v>
      </c>
      <c r="H90" s="206"/>
      <c r="I90" s="210" t="str">
        <f>DIAG!T6</f>
        <v>Diego</v>
      </c>
    </row>
    <row r="91" spans="1:9" ht="16.5">
      <c r="E91" s="200" t="s">
        <v>34</v>
      </c>
      <c r="G91" s="201">
        <f>DIAG!AA65</f>
        <v>2.9804878048780492</v>
      </c>
      <c r="I91" s="201">
        <f>DIAG!AB65</f>
        <v>3.7602548785344481</v>
      </c>
    </row>
    <row r="92" spans="1:9" ht="16.5">
      <c r="E92" s="200" t="s">
        <v>35</v>
      </c>
      <c r="G92" s="201">
        <f>DIAG!AA66</f>
        <v>0.50492610837438423</v>
      </c>
      <c r="I92" s="201">
        <f>DIAG!AB66</f>
        <v>0.36228538450440051</v>
      </c>
    </row>
    <row r="93" spans="1:9" ht="16.5">
      <c r="E93" s="200" t="s">
        <v>36</v>
      </c>
      <c r="G93" s="201">
        <f>DIAG!AA67</f>
        <v>4.9901960784313726</v>
      </c>
      <c r="I93" s="201">
        <f>DIAG!AB67</f>
        <v>1.3481720964934096</v>
      </c>
    </row>
    <row r="94" spans="1:9" ht="16.5">
      <c r="E94" s="200" t="s">
        <v>24</v>
      </c>
      <c r="G94" s="201">
        <f>DIAG!AA68</f>
        <v>0.59726867602664246</v>
      </c>
      <c r="I94" s="201">
        <f>DIAG!AB68</f>
        <v>2.7891505011228586</v>
      </c>
    </row>
    <row r="95" spans="1:9" ht="16.5">
      <c r="E95" s="200" t="s">
        <v>16</v>
      </c>
      <c r="G95" s="202">
        <f>DIAG!AA69/100</f>
        <v>0.16693944353518822</v>
      </c>
      <c r="I95" s="202">
        <f>DIAG!AB69/100</f>
        <v>0.4258631645837746</v>
      </c>
    </row>
    <row r="97" spans="5:9" ht="16.5">
      <c r="F97" s="206"/>
      <c r="G97" s="210" t="str">
        <f>DIAG!T7</f>
        <v>Cecilia</v>
      </c>
      <c r="H97" s="206"/>
      <c r="I97" s="210" t="str">
        <f>DIAG!T8</f>
        <v>Antonio</v>
      </c>
    </row>
    <row r="98" spans="5:9" ht="16.5">
      <c r="E98" s="200" t="s">
        <v>34</v>
      </c>
      <c r="G98" s="201">
        <f>DIAG!AC65</f>
        <v>113.95454545454545</v>
      </c>
      <c r="I98" s="201">
        <f>DIAG!AD65</f>
        <v>1.1264485191684659</v>
      </c>
    </row>
    <row r="99" spans="5:9" ht="16.5">
      <c r="E99" s="200" t="s">
        <v>35</v>
      </c>
      <c r="G99" s="201">
        <f>DIAG!AC66</f>
        <v>8.8531187122736412E-3</v>
      </c>
      <c r="I99" s="201">
        <f>DIAG!AD66</f>
        <v>7.9083567492610314</v>
      </c>
    </row>
    <row r="100" spans="5:9" ht="16.5">
      <c r="E100" s="200" t="s">
        <v>36</v>
      </c>
      <c r="G100" s="201">
        <f>DIAG!AC67</f>
        <v>8.4902825476116135</v>
      </c>
      <c r="I100" s="201">
        <f>DIAG!AD67</f>
        <v>8.9025507265189567</v>
      </c>
    </row>
    <row r="101" spans="5:9" ht="16.5">
      <c r="E101" s="200" t="s">
        <v>24</v>
      </c>
      <c r="G101" s="201">
        <f>DIAG!AC68</f>
        <v>13.421761268310417</v>
      </c>
      <c r="I101" s="201">
        <f>DIAG!AD68</f>
        <v>0.12653098575591332</v>
      </c>
    </row>
    <row r="102" spans="5:9" ht="16.5">
      <c r="E102" s="200" t="s">
        <v>16</v>
      </c>
      <c r="G102" s="202">
        <f>DIAG!AC69/100</f>
        <v>0.10537094074735071</v>
      </c>
      <c r="I102" s="202">
        <f>DIAG!AD69/100</f>
        <v>0.10098408254774274</v>
      </c>
    </row>
    <row r="104" spans="5:9" ht="16.5">
      <c r="F104" s="206"/>
      <c r="G104" s="210" t="str">
        <f>DIAG!T9</f>
        <v>Creide</v>
      </c>
      <c r="H104" s="206"/>
      <c r="I104" s="210" t="str">
        <f>DIAG!T10</f>
        <v>Jasmin</v>
      </c>
    </row>
    <row r="105" spans="5:9" ht="16.5">
      <c r="E105" s="200" t="s">
        <v>34</v>
      </c>
      <c r="G105" s="201">
        <f>DIAG!AE65</f>
        <v>10.955288959447151</v>
      </c>
      <c r="I105" s="201">
        <f>DIAG!AF65</f>
        <v>1.1590012845935271</v>
      </c>
    </row>
    <row r="106" spans="5:9" ht="16.5">
      <c r="E106" s="200" t="s">
        <v>35</v>
      </c>
      <c r="G106" s="201">
        <f>DIAG!AE66</f>
        <v>0.10044911846090032</v>
      </c>
      <c r="I106" s="201">
        <f>DIAG!AF66</f>
        <v>6.2892573639037739</v>
      </c>
    </row>
    <row r="107" spans="5:9" ht="16.5">
      <c r="E107" s="200" t="s">
        <v>36</v>
      </c>
      <c r="G107" s="201">
        <f>DIAG!AE67</f>
        <v>1100.5519200798099</v>
      </c>
      <c r="I107" s="201">
        <f>DIAG!AF67</f>
        <v>18.675450795155264</v>
      </c>
    </row>
    <row r="108" spans="5:9" ht="16.5">
      <c r="E108" s="200" t="s">
        <v>24</v>
      </c>
      <c r="G108" s="201">
        <f>DIAG!AE68</f>
        <v>9.9543590443717505E-3</v>
      </c>
      <c r="I108" s="201">
        <f>DIAG!AF68</f>
        <v>6.2060150370998927E-2</v>
      </c>
    </row>
    <row r="109" spans="5:9" ht="16.5">
      <c r="E109" s="200" t="s">
        <v>16</v>
      </c>
      <c r="G109" s="202">
        <f>DIAG!AE69/100</f>
        <v>9.0781013747182049E-4</v>
      </c>
      <c r="I109" s="202">
        <f>DIAG!AF69/100</f>
        <v>5.0824756718978591E-2</v>
      </c>
    </row>
  </sheetData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/>
  <cols>
    <col min="1" max="1" width="4.5" style="1" bestFit="1" customWidth="1"/>
    <col min="2" max="2" width="9" style="2"/>
    <col min="3" max="3" width="3.875" style="1" customWidth="1"/>
    <col min="4" max="4" width="37.375" style="2" customWidth="1"/>
    <col min="5" max="5" width="6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>
      <c r="A1" s="132" t="s">
        <v>38</v>
      </c>
      <c r="B1" s="131" t="s">
        <v>23</v>
      </c>
      <c r="C1" s="3" t="s">
        <v>12</v>
      </c>
      <c r="D1" s="4" t="s">
        <v>120</v>
      </c>
      <c r="E1" s="5" t="s">
        <v>121</v>
      </c>
      <c r="F1" s="6"/>
      <c r="G1" s="7"/>
    </row>
    <row r="2" spans="1:7" ht="14.25">
      <c r="A2" s="132">
        <v>1</v>
      </c>
      <c r="B2" s="131" t="s">
        <v>124</v>
      </c>
      <c r="C2" s="8" t="s">
        <v>123</v>
      </c>
      <c r="D2" s="9" t="s">
        <v>5</v>
      </c>
      <c r="E2" s="10">
        <v>4554</v>
      </c>
      <c r="F2" s="11"/>
      <c r="G2" s="12"/>
    </row>
    <row r="3" spans="1:7" ht="14.25">
      <c r="A3" s="132">
        <v>1</v>
      </c>
      <c r="B3" s="131" t="s">
        <v>124</v>
      </c>
      <c r="C3" s="8" t="s">
        <v>123</v>
      </c>
      <c r="D3" s="9" t="s">
        <v>6</v>
      </c>
      <c r="E3" s="10">
        <v>4545</v>
      </c>
      <c r="F3" s="11"/>
      <c r="G3" s="12"/>
    </row>
    <row r="4" spans="1:7" ht="14.25">
      <c r="A4" s="132">
        <v>1</v>
      </c>
      <c r="B4" s="131" t="s">
        <v>124</v>
      </c>
      <c r="C4" s="8" t="s">
        <v>123</v>
      </c>
      <c r="D4" s="9" t="s">
        <v>7</v>
      </c>
      <c r="E4" s="10">
        <v>5454</v>
      </c>
      <c r="F4" s="11"/>
      <c r="G4" s="12"/>
    </row>
    <row r="5" spans="1:7" ht="14.25">
      <c r="A5" s="132">
        <v>2</v>
      </c>
      <c r="B5" s="131" t="s">
        <v>125</v>
      </c>
      <c r="C5" s="8" t="s">
        <v>123</v>
      </c>
      <c r="D5" s="9" t="s">
        <v>7</v>
      </c>
      <c r="E5" s="10">
        <v>545</v>
      </c>
      <c r="F5" s="11"/>
      <c r="G5" s="12"/>
    </row>
    <row r="6" spans="1:7" ht="14.25">
      <c r="A6" s="132">
        <v>2</v>
      </c>
      <c r="B6" s="131" t="s">
        <v>125</v>
      </c>
      <c r="C6" s="8" t="s">
        <v>123</v>
      </c>
      <c r="D6" s="9" t="s">
        <v>6</v>
      </c>
      <c r="E6" s="10">
        <v>5454</v>
      </c>
      <c r="F6" s="11"/>
      <c r="G6" s="12"/>
    </row>
    <row r="7" spans="1:7" ht="14.25">
      <c r="A7" s="132">
        <v>2</v>
      </c>
      <c r="B7" s="131" t="s">
        <v>125</v>
      </c>
      <c r="C7" s="8" t="s">
        <v>123</v>
      </c>
      <c r="D7" s="9" t="s">
        <v>5</v>
      </c>
      <c r="E7" s="10">
        <v>21414</v>
      </c>
      <c r="F7" s="11"/>
      <c r="G7" s="12"/>
    </row>
    <row r="8" spans="1:7" ht="14.25">
      <c r="A8" s="132">
        <v>3</v>
      </c>
      <c r="B8" s="131" t="s">
        <v>126</v>
      </c>
      <c r="C8" s="8" t="s">
        <v>123</v>
      </c>
      <c r="D8" s="9" t="s">
        <v>5</v>
      </c>
      <c r="E8" s="10">
        <v>5454</v>
      </c>
      <c r="F8" s="11"/>
      <c r="G8" s="12"/>
    </row>
    <row r="9" spans="1:7" ht="14.25">
      <c r="A9" s="132">
        <v>3</v>
      </c>
      <c r="B9" s="131" t="s">
        <v>126</v>
      </c>
      <c r="C9" s="8" t="s">
        <v>123</v>
      </c>
      <c r="D9" s="9" t="s">
        <v>6</v>
      </c>
      <c r="E9" s="10">
        <v>2145</v>
      </c>
      <c r="F9" s="11"/>
      <c r="G9" s="12"/>
    </row>
    <row r="10" spans="1:7" ht="14.25">
      <c r="A10" s="132">
        <v>3</v>
      </c>
      <c r="B10" s="131" t="s">
        <v>126</v>
      </c>
      <c r="C10" s="8" t="s">
        <v>123</v>
      </c>
      <c r="D10" s="9" t="s">
        <v>7</v>
      </c>
      <c r="E10" s="10">
        <v>3216</v>
      </c>
      <c r="F10" s="11"/>
      <c r="G10" s="12"/>
    </row>
    <row r="11" spans="1:7" ht="14.25">
      <c r="A11" s="132">
        <v>4</v>
      </c>
      <c r="B11" s="131" t="s">
        <v>127</v>
      </c>
      <c r="C11" s="8" t="s">
        <v>123</v>
      </c>
      <c r="D11" s="9" t="s">
        <v>5</v>
      </c>
      <c r="E11" s="10">
        <v>2525</v>
      </c>
      <c r="F11" s="11"/>
      <c r="G11" s="12"/>
    </row>
    <row r="12" spans="1:7" ht="14.25">
      <c r="A12" s="132">
        <v>4</v>
      </c>
      <c r="B12" s="131" t="s">
        <v>127</v>
      </c>
      <c r="C12" s="8" t="s">
        <v>123</v>
      </c>
      <c r="D12" s="9" t="s">
        <v>6</v>
      </c>
      <c r="E12" s="10">
        <v>3637</v>
      </c>
      <c r="F12" s="11"/>
      <c r="G12" s="12"/>
    </row>
    <row r="13" spans="1:7" ht="14.25">
      <c r="A13" s="132">
        <v>4</v>
      </c>
      <c r="B13" s="131" t="s">
        <v>127</v>
      </c>
      <c r="C13" s="8" t="s">
        <v>123</v>
      </c>
      <c r="D13" s="9" t="s">
        <v>7</v>
      </c>
      <c r="E13" s="10">
        <v>1512</v>
      </c>
      <c r="F13" s="11"/>
      <c r="G13" s="12"/>
    </row>
    <row r="14" spans="1:7" ht="14.25">
      <c r="A14" s="132">
        <v>5</v>
      </c>
      <c r="B14" s="131" t="s">
        <v>130</v>
      </c>
      <c r="C14" s="8" t="s">
        <v>123</v>
      </c>
      <c r="D14" s="9" t="s">
        <v>5</v>
      </c>
      <c r="E14" s="10">
        <v>1020</v>
      </c>
      <c r="F14" s="11"/>
      <c r="G14" s="12"/>
    </row>
    <row r="15" spans="1:7" ht="14.25">
      <c r="A15" s="132">
        <v>5</v>
      </c>
      <c r="B15" s="131" t="s">
        <v>130</v>
      </c>
      <c r="C15" s="8" t="s">
        <v>123</v>
      </c>
      <c r="D15" s="9" t="s">
        <v>6</v>
      </c>
      <c r="E15" s="10">
        <v>3040</v>
      </c>
      <c r="F15" s="11"/>
      <c r="G15" s="12"/>
    </row>
    <row r="16" spans="1:7" ht="14.25">
      <c r="A16" s="132">
        <v>5</v>
      </c>
      <c r="B16" s="131" t="s">
        <v>130</v>
      </c>
      <c r="C16" s="8" t="s">
        <v>123</v>
      </c>
      <c r="D16" s="9" t="s">
        <v>7</v>
      </c>
      <c r="E16" s="10">
        <v>2050</v>
      </c>
      <c r="F16" s="11"/>
      <c r="G16" s="12"/>
    </row>
    <row r="17" spans="1:9" ht="14.25">
      <c r="A17" s="132">
        <v>6</v>
      </c>
      <c r="B17" s="131" t="s">
        <v>131</v>
      </c>
      <c r="C17" s="8" t="s">
        <v>123</v>
      </c>
      <c r="D17" s="9" t="s">
        <v>7</v>
      </c>
      <c r="E17" s="10">
        <v>2511</v>
      </c>
      <c r="F17" s="11"/>
      <c r="G17" s="12"/>
    </row>
    <row r="18" spans="1:9" ht="14.25">
      <c r="A18" s="132">
        <v>6</v>
      </c>
      <c r="B18" s="131" t="s">
        <v>131</v>
      </c>
      <c r="C18" s="8" t="s">
        <v>123</v>
      </c>
      <c r="D18" s="9" t="s">
        <v>6</v>
      </c>
      <c r="E18" s="10">
        <v>2910</v>
      </c>
      <c r="F18" s="11"/>
      <c r="G18" s="12"/>
    </row>
    <row r="19" spans="1:9" ht="14.25">
      <c r="A19" s="132">
        <v>6</v>
      </c>
      <c r="B19" s="131" t="s">
        <v>131</v>
      </c>
      <c r="C19" s="8" t="s">
        <v>123</v>
      </c>
      <c r="D19" s="9" t="s">
        <v>5</v>
      </c>
      <c r="E19" s="10">
        <v>4021</v>
      </c>
      <c r="F19" s="11"/>
      <c r="G19" s="12"/>
    </row>
    <row r="20" spans="1:9" ht="14.25">
      <c r="A20" s="132">
        <v>7</v>
      </c>
      <c r="B20" s="131" t="s">
        <v>132</v>
      </c>
      <c r="C20" s="8" t="s">
        <v>123</v>
      </c>
      <c r="D20" s="9" t="s">
        <v>5</v>
      </c>
      <c r="E20" s="10">
        <v>25624</v>
      </c>
      <c r="F20" s="11"/>
      <c r="G20" s="12"/>
    </row>
    <row r="21" spans="1:9" ht="14.25">
      <c r="A21" s="132">
        <v>7</v>
      </c>
      <c r="B21" s="131" t="s">
        <v>132</v>
      </c>
      <c r="C21" s="8" t="s">
        <v>123</v>
      </c>
      <c r="D21" s="9" t="s">
        <v>6</v>
      </c>
      <c r="E21" s="10">
        <v>215421</v>
      </c>
      <c r="F21" s="11"/>
      <c r="G21" s="12"/>
    </row>
    <row r="22" spans="1:9" ht="14.25">
      <c r="A22" s="132">
        <v>7</v>
      </c>
      <c r="B22" s="131" t="s">
        <v>132</v>
      </c>
      <c r="C22" s="8" t="s">
        <v>123</v>
      </c>
      <c r="D22" s="9" t="s">
        <v>7</v>
      </c>
      <c r="E22" s="10">
        <v>2134</v>
      </c>
      <c r="F22" s="11"/>
      <c r="G22" s="12"/>
    </row>
    <row r="23" spans="1:9" ht="14.25">
      <c r="A23" s="132">
        <v>8</v>
      </c>
      <c r="B23" s="131" t="s">
        <v>133</v>
      </c>
      <c r="C23" s="8" t="s">
        <v>123</v>
      </c>
      <c r="D23" s="9" t="s">
        <v>5</v>
      </c>
      <c r="E23" s="10">
        <v>246518</v>
      </c>
      <c r="F23" s="11"/>
      <c r="G23" s="12"/>
    </row>
    <row r="24" spans="1:9" ht="14.25">
      <c r="A24" s="132">
        <v>8</v>
      </c>
      <c r="B24" s="131" t="s">
        <v>133</v>
      </c>
      <c r="C24" s="8" t="s">
        <v>123</v>
      </c>
      <c r="D24" s="9" t="s">
        <v>6</v>
      </c>
      <c r="E24" s="10">
        <v>27512</v>
      </c>
      <c r="F24" s="11"/>
      <c r="G24" s="12"/>
    </row>
    <row r="25" spans="1:9" ht="14.25">
      <c r="A25" s="132">
        <v>8</v>
      </c>
      <c r="B25" s="131" t="s">
        <v>133</v>
      </c>
      <c r="C25" s="8" t="s">
        <v>123</v>
      </c>
      <c r="D25" s="9" t="s">
        <v>7</v>
      </c>
      <c r="E25" s="10">
        <v>2167127</v>
      </c>
      <c r="F25" s="11"/>
      <c r="G25" s="12"/>
    </row>
    <row r="26" spans="1:9" ht="14.25">
      <c r="A26" s="132">
        <v>9</v>
      </c>
      <c r="B26" s="131" t="s">
        <v>134</v>
      </c>
      <c r="C26" s="8" t="s">
        <v>123</v>
      </c>
      <c r="D26" s="9" t="s">
        <v>5</v>
      </c>
      <c r="E26" s="10">
        <v>217517</v>
      </c>
      <c r="F26" s="11"/>
      <c r="G26" s="12"/>
    </row>
    <row r="27" spans="1:9" ht="14.25">
      <c r="A27" s="132">
        <v>9</v>
      </c>
      <c r="B27" s="131" t="s">
        <v>134</v>
      </c>
      <c r="C27" s="8" t="s">
        <v>123</v>
      </c>
      <c r="D27" s="9" t="s">
        <v>6</v>
      </c>
      <c r="E27" s="10">
        <v>217517465</v>
      </c>
      <c r="F27" s="11"/>
      <c r="G27" s="12"/>
    </row>
    <row r="28" spans="1:9" ht="14.25">
      <c r="A28" s="132">
        <v>9</v>
      </c>
      <c r="B28" s="131" t="s">
        <v>134</v>
      </c>
      <c r="C28" s="8" t="s">
        <v>123</v>
      </c>
      <c r="D28" s="9" t="s">
        <v>7</v>
      </c>
      <c r="E28" s="10">
        <v>21871287</v>
      </c>
      <c r="F28" s="11"/>
      <c r="G28" s="12"/>
    </row>
    <row r="29" spans="1:9" ht="14.25">
      <c r="A29" s="132">
        <v>10</v>
      </c>
      <c r="B29" s="131" t="s">
        <v>135</v>
      </c>
      <c r="C29" s="8" t="s">
        <v>123</v>
      </c>
      <c r="D29" s="9" t="s">
        <v>5</v>
      </c>
      <c r="E29" s="10">
        <v>128717</v>
      </c>
      <c r="F29" s="11"/>
      <c r="G29" s="12"/>
    </row>
    <row r="30" spans="1:9" ht="14.25">
      <c r="A30" s="132">
        <v>10</v>
      </c>
      <c r="B30" s="131" t="s">
        <v>135</v>
      </c>
      <c r="C30" s="8" t="s">
        <v>123</v>
      </c>
      <c r="D30" s="9" t="s">
        <v>6</v>
      </c>
      <c r="E30" s="10">
        <v>218721</v>
      </c>
      <c r="F30" s="11"/>
      <c r="G30" s="12"/>
    </row>
    <row r="31" spans="1:9" ht="14.25">
      <c r="A31" s="132">
        <v>10</v>
      </c>
      <c r="B31" s="131" t="s">
        <v>135</v>
      </c>
      <c r="C31" s="8" t="s">
        <v>123</v>
      </c>
      <c r="D31" s="9" t="s">
        <v>7</v>
      </c>
      <c r="E31" s="10">
        <v>2185127</v>
      </c>
      <c r="F31" s="11"/>
      <c r="G31" s="12"/>
    </row>
    <row r="32" spans="1:9" ht="14.25">
      <c r="A32" s="132"/>
      <c r="B32" s="131"/>
      <c r="C32" s="8"/>
      <c r="D32" s="9"/>
      <c r="E32" s="10"/>
      <c r="F32" s="11"/>
      <c r="G32" s="12"/>
      <c r="I32" s="1"/>
    </row>
    <row r="33" spans="1:9" ht="14.25">
      <c r="A33" s="132"/>
      <c r="B33" s="131"/>
      <c r="C33" s="8"/>
      <c r="D33" s="9"/>
      <c r="E33" s="10"/>
      <c r="F33" s="11"/>
      <c r="G33" s="12"/>
      <c r="I33" s="1"/>
    </row>
    <row r="34" spans="1:9" ht="14.25">
      <c r="A34" s="132"/>
      <c r="B34" s="131"/>
      <c r="C34" s="8"/>
      <c r="D34" s="9"/>
      <c r="E34" s="10"/>
      <c r="F34" s="11"/>
      <c r="G34" s="12"/>
    </row>
    <row r="35" spans="1:9" ht="14.25">
      <c r="A35" s="132"/>
      <c r="B35" s="131"/>
      <c r="C35" s="8"/>
      <c r="D35" s="9"/>
      <c r="E35" s="10"/>
      <c r="F35" s="11"/>
      <c r="G35" s="12"/>
    </row>
    <row r="36" spans="1:9" ht="14.25">
      <c r="A36" s="132"/>
      <c r="B36" s="131"/>
      <c r="C36" s="8"/>
      <c r="D36" s="9"/>
      <c r="E36" s="10" t="s">
        <v>122</v>
      </c>
      <c r="F36" s="11" t="s">
        <v>13</v>
      </c>
      <c r="G36" s="12"/>
    </row>
    <row r="37" spans="1:9" ht="14.25">
      <c r="A37" s="132"/>
      <c r="B37" s="131"/>
      <c r="C37" s="8"/>
      <c r="D37" s="9"/>
      <c r="E37" s="10" t="s">
        <v>123</v>
      </c>
      <c r="F37" s="11" t="s">
        <v>5</v>
      </c>
      <c r="G37" s="12"/>
    </row>
    <row r="38" spans="1:9" ht="14.25">
      <c r="A38" s="132"/>
      <c r="B38" s="131"/>
      <c r="C38" s="8"/>
      <c r="D38" s="9"/>
      <c r="E38" s="10" t="s">
        <v>128</v>
      </c>
      <c r="F38" s="11" t="s">
        <v>6</v>
      </c>
      <c r="G38" s="12"/>
    </row>
    <row r="39" spans="1:9" ht="14.25">
      <c r="A39" s="132"/>
      <c r="B39" s="131"/>
      <c r="C39" s="8"/>
      <c r="D39" s="9"/>
      <c r="E39" s="10"/>
      <c r="F39" s="11" t="s">
        <v>7</v>
      </c>
      <c r="G39" s="12"/>
    </row>
    <row r="40" spans="1:9" ht="14.25">
      <c r="A40" s="132"/>
      <c r="B40" s="131"/>
      <c r="C40" s="8"/>
      <c r="D40" s="9"/>
      <c r="E40" s="10"/>
      <c r="F40" s="11"/>
      <c r="G40" s="12"/>
    </row>
    <row r="41" spans="1:9" ht="14.25">
      <c r="A41" s="132"/>
      <c r="B41" s="131"/>
      <c r="C41" s="8"/>
      <c r="D41" s="9"/>
      <c r="E41" s="10"/>
      <c r="F41" s="11"/>
      <c r="G41" s="12"/>
    </row>
    <row r="42" spans="1:9" ht="14.25">
      <c r="A42" s="132"/>
      <c r="B42" s="131"/>
      <c r="C42" s="8"/>
      <c r="D42" s="9"/>
      <c r="E42" s="10"/>
      <c r="F42" s="11"/>
      <c r="G42" s="12"/>
    </row>
    <row r="43" spans="1:9" ht="14.25">
      <c r="A43" s="132"/>
      <c r="B43" s="131"/>
      <c r="C43" s="8"/>
      <c r="D43" s="9"/>
      <c r="E43" s="10"/>
      <c r="F43" s="11"/>
      <c r="G43" s="12"/>
    </row>
    <row r="44" spans="1:9" ht="14.25">
      <c r="A44" s="132"/>
      <c r="B44" s="131"/>
      <c r="C44" s="8"/>
      <c r="D44" s="9"/>
      <c r="E44" s="10"/>
      <c r="F44" s="11"/>
      <c r="G44" s="12"/>
    </row>
    <row r="45" spans="1:9" ht="14.25">
      <c r="A45" s="132"/>
      <c r="B45" s="131"/>
      <c r="C45" s="8"/>
      <c r="D45" s="9"/>
      <c r="E45" s="10"/>
      <c r="F45" s="11"/>
      <c r="G45" s="12"/>
    </row>
    <row r="46" spans="1:9" ht="14.25">
      <c r="A46" s="132"/>
      <c r="B46" s="131"/>
      <c r="C46" s="8"/>
      <c r="D46" s="9"/>
      <c r="E46" s="10"/>
      <c r="F46" s="11"/>
      <c r="G46" s="12"/>
    </row>
    <row r="47" spans="1:9" ht="14.25">
      <c r="A47" s="132"/>
      <c r="B47" s="131"/>
      <c r="C47" s="8"/>
      <c r="D47" s="9"/>
      <c r="E47" s="10"/>
      <c r="F47" s="11"/>
      <c r="G47" s="12"/>
    </row>
    <row r="48" spans="1:9" ht="14.25">
      <c r="A48" s="132"/>
      <c r="B48" s="131"/>
      <c r="C48" s="8"/>
      <c r="D48" s="9"/>
      <c r="E48" s="10"/>
      <c r="F48" s="11"/>
      <c r="G48" s="12"/>
    </row>
    <row r="49" spans="1:9" ht="14.25">
      <c r="A49" s="132"/>
      <c r="B49" s="131"/>
      <c r="C49" s="8"/>
      <c r="D49" s="9"/>
      <c r="E49" s="10"/>
      <c r="F49" s="11"/>
      <c r="G49" s="12"/>
    </row>
    <row r="50" spans="1:9" ht="14.25">
      <c r="A50" s="132"/>
      <c r="B50" s="131"/>
      <c r="C50" s="8"/>
      <c r="D50" s="9"/>
      <c r="E50" s="10"/>
      <c r="F50" s="11"/>
      <c r="G50" s="12"/>
    </row>
    <row r="51" spans="1:9" ht="14.25">
      <c r="A51" s="132"/>
      <c r="B51" s="131"/>
      <c r="C51" s="8"/>
      <c r="D51" s="9"/>
      <c r="E51" s="10"/>
      <c r="F51" s="11"/>
      <c r="G51" s="12"/>
    </row>
    <row r="52" spans="1:9" ht="14.25">
      <c r="A52" s="132"/>
      <c r="B52" s="131"/>
      <c r="C52" s="8"/>
      <c r="D52" s="9"/>
      <c r="E52" s="10"/>
      <c r="F52" s="11"/>
      <c r="G52" s="12"/>
    </row>
    <row r="53" spans="1:9" ht="14.25">
      <c r="A53" s="132"/>
      <c r="B53" s="131"/>
      <c r="C53" s="8"/>
      <c r="D53" s="9"/>
      <c r="E53" s="10"/>
      <c r="F53" s="11"/>
      <c r="G53" s="12"/>
    </row>
    <row r="54" spans="1:9" ht="14.25">
      <c r="A54" s="132"/>
      <c r="B54" s="131"/>
      <c r="C54" s="8"/>
      <c r="D54" s="9"/>
      <c r="E54" s="10"/>
      <c r="F54" s="11"/>
      <c r="G54" s="12"/>
    </row>
    <row r="55" spans="1:9" ht="14.25">
      <c r="A55" s="132"/>
      <c r="B55" s="131"/>
      <c r="C55" s="8"/>
      <c r="D55" s="9"/>
      <c r="E55" s="10"/>
      <c r="F55" s="11"/>
      <c r="G55" s="12"/>
    </row>
    <row r="56" spans="1:9" ht="14.25">
      <c r="A56" s="132"/>
      <c r="B56" s="131"/>
      <c r="C56" s="8"/>
      <c r="D56" s="9"/>
      <c r="E56" s="10"/>
      <c r="F56" s="11"/>
      <c r="G56" s="12"/>
    </row>
    <row r="57" spans="1:9" ht="14.25">
      <c r="A57" s="132"/>
      <c r="B57" s="131"/>
      <c r="C57" s="8"/>
      <c r="D57" s="9"/>
      <c r="E57" s="10"/>
      <c r="F57" s="11"/>
      <c r="G57" s="12"/>
    </row>
    <row r="58" spans="1:9" ht="14.25">
      <c r="A58" s="132"/>
      <c r="B58" s="131"/>
      <c r="C58" s="8"/>
      <c r="D58" s="9"/>
      <c r="E58" s="10"/>
      <c r="F58" s="11"/>
      <c r="G58" s="12"/>
    </row>
    <row r="59" spans="1:9" ht="14.25">
      <c r="A59" s="132"/>
      <c r="B59" s="131"/>
      <c r="C59" s="8"/>
      <c r="D59" s="9"/>
      <c r="E59" s="10"/>
      <c r="F59" s="11"/>
      <c r="G59" s="12"/>
    </row>
    <row r="60" spans="1:9" ht="14.25">
      <c r="A60" s="132"/>
      <c r="B60" s="131"/>
      <c r="C60" s="8"/>
      <c r="D60" s="9"/>
      <c r="E60" s="10"/>
      <c r="F60" s="11"/>
      <c r="G60" s="12"/>
    </row>
    <row r="61" spans="1:9" ht="14.25">
      <c r="A61" s="132"/>
      <c r="B61" s="131"/>
      <c r="C61" s="8"/>
      <c r="D61" s="9"/>
      <c r="E61" s="10"/>
      <c r="F61" s="11"/>
      <c r="G61" s="12"/>
    </row>
    <row r="62" spans="1:9" ht="14.25">
      <c r="A62" s="132"/>
      <c r="B62" s="131"/>
      <c r="C62" s="8"/>
      <c r="D62" s="9"/>
      <c r="E62" s="10"/>
      <c r="F62" s="11"/>
      <c r="G62" s="12"/>
      <c r="I62" s="1"/>
    </row>
    <row r="63" spans="1:9" ht="14.25">
      <c r="A63" s="132"/>
      <c r="B63" s="131"/>
      <c r="C63" s="8"/>
      <c r="D63" s="9"/>
      <c r="E63" s="10"/>
      <c r="F63" s="11"/>
      <c r="G63" s="12"/>
      <c r="I63" s="1"/>
    </row>
    <row r="64" spans="1:9" ht="14.25">
      <c r="A64" s="132"/>
      <c r="B64" s="131"/>
      <c r="C64" s="8"/>
      <c r="D64" s="9"/>
      <c r="E64" s="10"/>
      <c r="F64" s="11"/>
      <c r="G64" s="12"/>
    </row>
    <row r="65" spans="1:7" ht="14.25">
      <c r="A65" s="132"/>
      <c r="B65" s="131"/>
      <c r="C65" s="8"/>
      <c r="D65" s="9"/>
      <c r="E65" s="10"/>
      <c r="F65" s="11"/>
      <c r="G65" s="12"/>
    </row>
    <row r="66" spans="1:7" ht="14.25">
      <c r="A66" s="132"/>
      <c r="B66" s="131"/>
      <c r="C66" s="8"/>
      <c r="D66" s="9"/>
      <c r="E66" s="10"/>
      <c r="F66" s="11"/>
      <c r="G66" s="12"/>
    </row>
    <row r="67" spans="1:7" ht="14.25">
      <c r="A67" s="132"/>
      <c r="B67" s="131"/>
      <c r="C67" s="8"/>
      <c r="D67" s="9"/>
      <c r="E67" s="10"/>
      <c r="F67" s="11"/>
      <c r="G67" s="12"/>
    </row>
    <row r="68" spans="1:7" ht="14.25">
      <c r="A68" s="132"/>
      <c r="B68" s="131"/>
      <c r="C68" s="8"/>
      <c r="D68" s="9"/>
      <c r="E68" s="10"/>
      <c r="F68" s="11"/>
      <c r="G68" s="12"/>
    </row>
    <row r="69" spans="1:7" ht="14.25">
      <c r="A69" s="132"/>
      <c r="B69" s="131"/>
      <c r="C69" s="8"/>
      <c r="D69" s="9"/>
      <c r="E69" s="10"/>
      <c r="F69" s="11"/>
      <c r="G69" s="12"/>
    </row>
    <row r="70" spans="1:7" ht="14.25">
      <c r="A70" s="132"/>
      <c r="B70" s="131"/>
      <c r="C70" s="8"/>
      <c r="D70" s="9"/>
      <c r="E70" s="10"/>
      <c r="F70" s="11"/>
      <c r="G70" s="12"/>
    </row>
    <row r="71" spans="1:7" ht="14.25">
      <c r="A71" s="132"/>
      <c r="B71" s="131"/>
      <c r="C71" s="8"/>
      <c r="D71" s="9"/>
      <c r="E71" s="10"/>
      <c r="F71" s="11"/>
      <c r="G71" s="12"/>
    </row>
    <row r="72" spans="1:7" ht="14.25">
      <c r="A72" s="132"/>
      <c r="B72" s="131"/>
      <c r="C72" s="8"/>
      <c r="D72" s="9"/>
      <c r="E72" s="10"/>
      <c r="F72" s="11"/>
      <c r="G72" s="12"/>
    </row>
    <row r="73" spans="1:7" ht="14.25">
      <c r="A73" s="132"/>
      <c r="B73" s="131"/>
      <c r="C73" s="8"/>
      <c r="D73" s="9"/>
      <c r="E73" s="10"/>
      <c r="F73" s="11"/>
      <c r="G73" s="12"/>
    </row>
    <row r="74" spans="1:7" ht="14.25">
      <c r="A74" s="132"/>
      <c r="B74" s="131"/>
      <c r="C74" s="8"/>
      <c r="D74" s="9"/>
      <c r="E74" s="10"/>
      <c r="F74" s="11"/>
      <c r="G74" s="12"/>
    </row>
    <row r="75" spans="1:7" ht="14.25">
      <c r="A75" s="132"/>
      <c r="B75" s="131"/>
      <c r="C75" s="8"/>
      <c r="D75" s="9"/>
      <c r="E75" s="10"/>
      <c r="F75" s="11"/>
      <c r="G75" s="12"/>
    </row>
    <row r="76" spans="1:7" ht="14.25">
      <c r="A76" s="132"/>
      <c r="B76" s="131"/>
      <c r="C76" s="8"/>
      <c r="D76" s="9"/>
      <c r="E76" s="10"/>
      <c r="F76" s="11"/>
      <c r="G76" s="12"/>
    </row>
    <row r="77" spans="1:7" ht="14.25">
      <c r="A77" s="132"/>
      <c r="B77" s="131"/>
      <c r="C77" s="8"/>
      <c r="D77" s="9"/>
      <c r="E77" s="10"/>
      <c r="F77" s="11"/>
      <c r="G77" s="12"/>
    </row>
    <row r="78" spans="1:7" ht="14.25">
      <c r="A78" s="132"/>
      <c r="B78" s="131"/>
      <c r="C78" s="8"/>
      <c r="D78" s="9"/>
      <c r="E78" s="10"/>
      <c r="F78" s="11"/>
      <c r="G78" s="12"/>
    </row>
    <row r="79" spans="1:7" ht="14.25">
      <c r="A79" s="132"/>
      <c r="B79" s="131"/>
      <c r="C79" s="8"/>
      <c r="D79" s="9"/>
      <c r="E79" s="10"/>
      <c r="F79" s="11"/>
      <c r="G79" s="12"/>
    </row>
    <row r="80" spans="1:7" ht="14.25">
      <c r="A80" s="132"/>
      <c r="B80" s="131"/>
      <c r="C80" s="8"/>
      <c r="D80" s="9"/>
      <c r="E80" s="10"/>
      <c r="F80" s="11"/>
      <c r="G80" s="12"/>
    </row>
    <row r="81" spans="1:9" ht="14.25">
      <c r="A81" s="132"/>
      <c r="B81" s="131"/>
      <c r="C81" s="8"/>
      <c r="D81" s="9"/>
      <c r="E81" s="10"/>
      <c r="F81" s="11"/>
      <c r="G81" s="12"/>
    </row>
    <row r="82" spans="1:9" ht="14.25">
      <c r="A82" s="132"/>
      <c r="B82" s="131"/>
      <c r="C82" s="8"/>
      <c r="D82" s="9"/>
      <c r="E82" s="10"/>
      <c r="F82" s="11"/>
      <c r="G82" s="12"/>
    </row>
    <row r="83" spans="1:9" ht="14.25">
      <c r="A83" s="132"/>
      <c r="B83" s="131"/>
      <c r="C83" s="8"/>
      <c r="D83" s="9"/>
      <c r="E83" s="10"/>
      <c r="F83" s="11"/>
      <c r="G83" s="12"/>
    </row>
    <row r="84" spans="1:9" ht="14.25">
      <c r="A84" s="132"/>
      <c r="B84" s="131"/>
      <c r="C84" s="8"/>
      <c r="D84" s="9"/>
      <c r="E84" s="10"/>
      <c r="F84" s="11"/>
      <c r="G84" s="12"/>
    </row>
    <row r="85" spans="1:9" ht="14.25">
      <c r="A85" s="132"/>
      <c r="B85" s="131"/>
      <c r="C85" s="8"/>
      <c r="D85" s="9"/>
      <c r="E85" s="10"/>
      <c r="F85" s="11"/>
      <c r="G85" s="12"/>
    </row>
    <row r="86" spans="1:9" ht="14.25">
      <c r="A86" s="132"/>
      <c r="B86" s="131"/>
      <c r="C86" s="8"/>
      <c r="D86" s="9"/>
      <c r="E86" s="10"/>
      <c r="F86" s="11"/>
      <c r="G86" s="12"/>
    </row>
    <row r="87" spans="1:9" ht="14.25">
      <c r="A87" s="132"/>
      <c r="B87" s="131"/>
      <c r="C87" s="8"/>
      <c r="D87" s="9"/>
      <c r="E87" s="10"/>
      <c r="F87" s="11"/>
      <c r="G87" s="12"/>
    </row>
    <row r="88" spans="1:9" ht="14.25">
      <c r="A88" s="132"/>
      <c r="B88" s="131"/>
      <c r="C88" s="8"/>
      <c r="D88" s="9"/>
      <c r="E88" s="10"/>
      <c r="F88" s="11"/>
      <c r="G88" s="12"/>
    </row>
    <row r="89" spans="1:9" ht="14.25">
      <c r="A89" s="132"/>
      <c r="B89" s="131"/>
      <c r="C89" s="8"/>
      <c r="D89" s="9"/>
      <c r="E89" s="10"/>
      <c r="F89" s="11"/>
      <c r="G89" s="12"/>
    </row>
    <row r="90" spans="1:9" ht="14.25">
      <c r="A90" s="132"/>
      <c r="B90" s="131"/>
      <c r="C90" s="8"/>
      <c r="D90" s="9"/>
      <c r="E90" s="10"/>
      <c r="F90" s="11"/>
      <c r="G90" s="12"/>
    </row>
    <row r="91" spans="1:9" ht="14.25">
      <c r="A91" s="132"/>
      <c r="B91" s="131"/>
      <c r="C91" s="8"/>
      <c r="D91" s="9"/>
      <c r="E91" s="10"/>
      <c r="F91" s="11"/>
      <c r="G91" s="12"/>
    </row>
    <row r="92" spans="1:9" ht="14.25">
      <c r="A92" s="132"/>
      <c r="B92" s="131"/>
      <c r="C92" s="8"/>
      <c r="D92" s="9"/>
      <c r="E92" s="10"/>
      <c r="F92" s="11"/>
      <c r="G92" s="12"/>
      <c r="I92" s="1"/>
    </row>
    <row r="93" spans="1:9" ht="14.25">
      <c r="A93" s="132"/>
      <c r="B93" s="131"/>
      <c r="C93" s="8"/>
      <c r="D93" s="9"/>
      <c r="E93" s="10"/>
      <c r="F93" s="11"/>
      <c r="G93" s="12"/>
      <c r="I93" s="1"/>
    </row>
    <row r="94" spans="1:9" ht="14.25">
      <c r="A94" s="132"/>
      <c r="B94" s="131"/>
      <c r="C94" s="8"/>
      <c r="D94" s="9"/>
      <c r="E94" s="10"/>
      <c r="F94" s="11"/>
      <c r="G94" s="12"/>
    </row>
    <row r="95" spans="1:9" ht="14.25">
      <c r="A95" s="132"/>
      <c r="B95" s="131"/>
      <c r="C95" s="8"/>
      <c r="D95" s="9"/>
      <c r="E95" s="10"/>
      <c r="F95" s="11"/>
      <c r="G95" s="12"/>
    </row>
    <row r="96" spans="1:9" ht="14.25">
      <c r="A96" s="132"/>
      <c r="B96" s="131"/>
      <c r="C96" s="8"/>
      <c r="D96" s="9"/>
      <c r="E96" s="10"/>
      <c r="F96" s="11"/>
      <c r="G96" s="12"/>
    </row>
    <row r="97" spans="1:7" ht="14.25">
      <c r="A97" s="132"/>
      <c r="B97" s="131"/>
      <c r="C97" s="8"/>
      <c r="D97" s="9"/>
      <c r="E97" s="10"/>
      <c r="F97" s="11"/>
      <c r="G97" s="12"/>
    </row>
    <row r="98" spans="1:7" ht="14.25">
      <c r="A98" s="132"/>
      <c r="B98" s="131"/>
      <c r="C98" s="8"/>
      <c r="D98" s="9"/>
      <c r="E98" s="10"/>
      <c r="F98" s="11"/>
      <c r="G98" s="12"/>
    </row>
    <row r="99" spans="1:7" ht="14.25">
      <c r="A99" s="132"/>
      <c r="B99" s="131"/>
      <c r="C99" s="8"/>
      <c r="D99" s="9"/>
      <c r="E99" s="10"/>
      <c r="F99" s="11"/>
      <c r="G99" s="12"/>
    </row>
    <row r="100" spans="1:7" ht="14.25">
      <c r="A100" s="132"/>
      <c r="B100" s="131"/>
      <c r="C100" s="8"/>
      <c r="D100" s="9"/>
      <c r="E100" s="10"/>
      <c r="F100" s="11"/>
      <c r="G100" s="12"/>
    </row>
    <row r="101" spans="1:7" ht="14.25">
      <c r="A101" s="132"/>
      <c r="B101" s="131"/>
      <c r="C101" s="8"/>
      <c r="D101" s="9"/>
      <c r="E101" s="10"/>
      <c r="F101" s="11"/>
      <c r="G101" s="12"/>
    </row>
    <row r="102" spans="1:7" ht="14.25">
      <c r="A102" s="132"/>
      <c r="B102" s="131"/>
      <c r="C102" s="8"/>
      <c r="D102" s="9"/>
      <c r="E102" s="10"/>
      <c r="F102" s="11"/>
      <c r="G102" s="12"/>
    </row>
    <row r="103" spans="1:7" ht="14.25">
      <c r="A103" s="132"/>
      <c r="B103" s="131"/>
      <c r="C103" s="8"/>
      <c r="D103" s="9"/>
      <c r="E103" s="10"/>
      <c r="F103" s="11"/>
      <c r="G103" s="12"/>
    </row>
    <row r="104" spans="1:7" ht="14.25">
      <c r="A104" s="132"/>
      <c r="B104" s="131"/>
      <c r="C104" s="8"/>
      <c r="D104" s="9"/>
      <c r="E104" s="10"/>
      <c r="F104" s="11"/>
      <c r="G104" s="12"/>
    </row>
    <row r="105" spans="1:7" ht="14.25">
      <c r="A105" s="132"/>
      <c r="B105" s="131"/>
      <c r="C105" s="8"/>
      <c r="D105" s="9"/>
      <c r="E105" s="10"/>
      <c r="F105" s="11"/>
      <c r="G105" s="12"/>
    </row>
    <row r="106" spans="1:7" ht="14.25">
      <c r="A106" s="132"/>
      <c r="B106" s="131"/>
      <c r="C106" s="8"/>
      <c r="D106" s="9"/>
      <c r="E106" s="10"/>
      <c r="F106" s="11"/>
      <c r="G106" s="12"/>
    </row>
    <row r="107" spans="1:7" ht="14.25">
      <c r="A107" s="132"/>
      <c r="B107" s="131"/>
      <c r="C107" s="8"/>
      <c r="D107" s="9"/>
      <c r="E107" s="10"/>
      <c r="F107" s="11"/>
      <c r="G107" s="12"/>
    </row>
    <row r="108" spans="1:7" ht="14.25">
      <c r="A108" s="132"/>
      <c r="B108" s="131"/>
      <c r="C108" s="8"/>
      <c r="D108" s="9"/>
      <c r="E108" s="10"/>
      <c r="F108" s="11"/>
      <c r="G108" s="12"/>
    </row>
    <row r="109" spans="1:7" ht="14.25">
      <c r="A109" s="132"/>
      <c r="B109" s="131"/>
      <c r="C109" s="8"/>
      <c r="D109" s="9"/>
      <c r="E109" s="10"/>
      <c r="F109" s="11"/>
      <c r="G109" s="12"/>
    </row>
    <row r="110" spans="1:7" ht="14.25">
      <c r="A110" s="132"/>
      <c r="B110" s="131"/>
      <c r="C110" s="8"/>
      <c r="D110" s="9"/>
      <c r="E110" s="10"/>
      <c r="F110" s="11"/>
      <c r="G110" s="12"/>
    </row>
    <row r="111" spans="1:7" ht="14.25">
      <c r="A111" s="132"/>
      <c r="B111" s="131"/>
      <c r="C111" s="8"/>
      <c r="D111" s="9"/>
      <c r="E111" s="10"/>
      <c r="F111" s="11"/>
      <c r="G111" s="12"/>
    </row>
    <row r="112" spans="1:7" ht="14.25">
      <c r="A112" s="132"/>
      <c r="B112" s="131"/>
      <c r="C112" s="8"/>
      <c r="D112" s="9"/>
      <c r="E112" s="10"/>
      <c r="F112" s="11"/>
      <c r="G112" s="12"/>
    </row>
    <row r="113" spans="1:9" ht="14.25">
      <c r="A113" s="132"/>
      <c r="B113" s="131"/>
      <c r="C113" s="8"/>
      <c r="D113" s="9"/>
      <c r="E113" s="10"/>
      <c r="F113" s="11"/>
      <c r="G113" s="12"/>
    </row>
    <row r="114" spans="1:9" ht="14.25">
      <c r="A114" s="132"/>
      <c r="B114" s="131"/>
      <c r="C114" s="8"/>
      <c r="D114" s="9"/>
      <c r="E114" s="10"/>
      <c r="F114" s="11"/>
      <c r="G114" s="12"/>
    </row>
    <row r="115" spans="1:9" ht="14.25">
      <c r="A115" s="132"/>
      <c r="B115" s="131"/>
      <c r="C115" s="8"/>
      <c r="D115" s="9"/>
      <c r="E115" s="10"/>
      <c r="F115" s="11"/>
      <c r="G115" s="12"/>
    </row>
    <row r="116" spans="1:9" ht="14.25">
      <c r="A116" s="132"/>
      <c r="B116" s="131"/>
      <c r="C116" s="8"/>
      <c r="D116" s="9"/>
      <c r="E116" s="10"/>
      <c r="F116" s="11"/>
      <c r="G116" s="12"/>
    </row>
    <row r="117" spans="1:9" ht="14.25">
      <c r="A117" s="132"/>
      <c r="B117" s="131"/>
      <c r="C117" s="8"/>
      <c r="D117" s="9"/>
      <c r="E117" s="10"/>
      <c r="F117" s="11"/>
      <c r="G117" s="12"/>
    </row>
    <row r="118" spans="1:9" ht="14.25">
      <c r="A118" s="132"/>
      <c r="B118" s="131"/>
      <c r="C118" s="8"/>
      <c r="D118" s="9"/>
      <c r="E118" s="10"/>
      <c r="F118" s="11"/>
      <c r="G118" s="12"/>
    </row>
    <row r="119" spans="1:9" ht="14.25">
      <c r="A119" s="132"/>
      <c r="B119" s="131"/>
      <c r="C119" s="8"/>
      <c r="D119" s="9"/>
      <c r="E119" s="10"/>
      <c r="F119" s="11"/>
      <c r="G119" s="12"/>
    </row>
    <row r="120" spans="1:9" ht="14.25">
      <c r="A120" s="132"/>
      <c r="B120" s="131"/>
      <c r="C120" s="8"/>
      <c r="D120" s="9"/>
      <c r="E120" s="10"/>
      <c r="F120" s="11"/>
      <c r="G120" s="12"/>
    </row>
    <row r="121" spans="1:9" ht="14.25">
      <c r="A121" s="132"/>
      <c r="B121" s="131"/>
      <c r="C121" s="8"/>
      <c r="D121" s="9"/>
      <c r="E121" s="10"/>
      <c r="F121" s="11"/>
      <c r="G121" s="12"/>
    </row>
    <row r="122" spans="1:9" ht="14.25">
      <c r="A122" s="132"/>
      <c r="B122" s="131"/>
      <c r="C122" s="8"/>
      <c r="D122" s="9"/>
      <c r="E122" s="10"/>
      <c r="F122" s="11"/>
      <c r="G122" s="12"/>
      <c r="I122" s="1"/>
    </row>
    <row r="123" spans="1:9" ht="14.25">
      <c r="A123" s="132"/>
      <c r="B123" s="131"/>
      <c r="C123" s="8"/>
      <c r="D123" s="9"/>
      <c r="E123" s="10"/>
      <c r="F123" s="11"/>
      <c r="G123" s="12"/>
      <c r="I123" s="1"/>
    </row>
    <row r="124" spans="1:9" ht="14.25">
      <c r="A124" s="132"/>
      <c r="B124" s="131"/>
      <c r="C124" s="8"/>
      <c r="D124" s="9"/>
      <c r="E124" s="10"/>
      <c r="F124" s="11"/>
      <c r="G124" s="12"/>
    </row>
    <row r="125" spans="1:9" ht="14.25">
      <c r="A125" s="132"/>
      <c r="B125" s="131"/>
      <c r="C125" s="8"/>
      <c r="D125" s="9"/>
      <c r="E125" s="10"/>
      <c r="F125" s="11"/>
      <c r="G125" s="12"/>
    </row>
    <row r="126" spans="1:9" ht="14.25">
      <c r="A126" s="132"/>
      <c r="B126" s="131"/>
      <c r="C126" s="8"/>
      <c r="D126" s="9"/>
      <c r="E126" s="10"/>
      <c r="F126" s="11"/>
      <c r="G126" s="12"/>
    </row>
    <row r="127" spans="1:9" ht="14.25">
      <c r="A127" s="132"/>
      <c r="B127" s="131"/>
      <c r="C127" s="8"/>
      <c r="D127" s="9"/>
      <c r="E127" s="10"/>
      <c r="F127" s="11"/>
      <c r="G127" s="12"/>
    </row>
    <row r="128" spans="1:9" ht="14.25">
      <c r="A128" s="132"/>
      <c r="B128" s="131"/>
      <c r="C128" s="8"/>
      <c r="D128" s="9"/>
      <c r="E128" s="10"/>
      <c r="F128" s="11"/>
      <c r="G128" s="12"/>
    </row>
    <row r="129" spans="1:7" ht="14.25">
      <c r="A129" s="132"/>
      <c r="B129" s="131"/>
      <c r="C129" s="8"/>
      <c r="D129" s="9"/>
      <c r="E129" s="10"/>
      <c r="F129" s="11"/>
      <c r="G129" s="12"/>
    </row>
    <row r="130" spans="1:7" ht="14.25">
      <c r="A130" s="132"/>
      <c r="B130" s="131"/>
      <c r="C130" s="8"/>
      <c r="D130" s="9"/>
      <c r="E130" s="10"/>
      <c r="F130" s="11"/>
      <c r="G130" s="12"/>
    </row>
    <row r="131" spans="1:7" ht="14.25">
      <c r="A131" s="132"/>
      <c r="B131" s="131"/>
      <c r="C131" s="8"/>
      <c r="D131" s="9"/>
      <c r="E131" s="10"/>
      <c r="F131" s="11"/>
      <c r="G131" s="12"/>
    </row>
    <row r="132" spans="1:7" ht="14.25">
      <c r="A132" s="132"/>
      <c r="B132" s="131"/>
      <c r="C132" s="8"/>
      <c r="D132" s="9"/>
      <c r="E132" s="10"/>
      <c r="F132" s="11"/>
      <c r="G132" s="12"/>
    </row>
    <row r="133" spans="1:7" ht="14.25">
      <c r="A133" s="132"/>
      <c r="B133" s="131"/>
      <c r="C133" s="8"/>
      <c r="D133" s="9"/>
      <c r="E133" s="10"/>
      <c r="F133" s="11"/>
      <c r="G133" s="12"/>
    </row>
    <row r="134" spans="1:7" ht="14.25">
      <c r="A134" s="132"/>
      <c r="B134" s="131"/>
      <c r="C134" s="8"/>
      <c r="D134" s="9"/>
      <c r="E134" s="10"/>
      <c r="F134" s="11"/>
      <c r="G134" s="12"/>
    </row>
    <row r="135" spans="1:7" ht="14.25">
      <c r="A135" s="132"/>
      <c r="B135" s="131"/>
      <c r="C135" s="8"/>
      <c r="D135" s="9"/>
      <c r="E135" s="10"/>
      <c r="F135" s="11"/>
      <c r="G135" s="12"/>
    </row>
    <row r="136" spans="1:7" ht="14.25">
      <c r="A136" s="132"/>
      <c r="B136" s="131"/>
      <c r="C136" s="8"/>
      <c r="D136" s="9"/>
      <c r="E136" s="10"/>
      <c r="F136" s="11"/>
      <c r="G136" s="12"/>
    </row>
    <row r="137" spans="1:7" ht="14.25">
      <c r="A137" s="132"/>
      <c r="B137" s="131"/>
      <c r="C137" s="8"/>
      <c r="D137" s="9"/>
      <c r="E137" s="10"/>
      <c r="F137" s="11"/>
      <c r="G137" s="12"/>
    </row>
    <row r="138" spans="1:7" ht="14.25">
      <c r="A138" s="132"/>
      <c r="B138" s="131"/>
      <c r="C138" s="8"/>
      <c r="D138" s="9"/>
      <c r="E138" s="10"/>
      <c r="F138" s="11"/>
      <c r="G138" s="12"/>
    </row>
    <row r="139" spans="1:7" ht="14.25">
      <c r="A139" s="132"/>
      <c r="B139" s="131"/>
      <c r="C139" s="8"/>
      <c r="D139" s="9"/>
      <c r="E139" s="10"/>
      <c r="F139" s="11"/>
      <c r="G139" s="12"/>
    </row>
    <row r="140" spans="1:7" ht="14.25">
      <c r="A140" s="132"/>
      <c r="B140" s="131"/>
      <c r="C140" s="8"/>
      <c r="D140" s="9"/>
      <c r="E140" s="10"/>
      <c r="F140" s="11"/>
      <c r="G140" s="12"/>
    </row>
    <row r="141" spans="1:7" ht="14.25">
      <c r="A141" s="132"/>
      <c r="B141" s="131"/>
      <c r="C141" s="8"/>
      <c r="D141" s="9"/>
      <c r="E141" s="10"/>
      <c r="F141" s="11"/>
      <c r="G141" s="12"/>
    </row>
    <row r="142" spans="1:7" ht="14.25">
      <c r="A142" s="132"/>
      <c r="B142" s="131"/>
      <c r="C142" s="8"/>
      <c r="D142" s="9"/>
      <c r="E142" s="10"/>
      <c r="F142" s="11"/>
      <c r="G142" s="12"/>
    </row>
    <row r="143" spans="1:7" ht="14.25">
      <c r="A143" s="132"/>
      <c r="B143" s="131"/>
      <c r="C143" s="8"/>
      <c r="D143" s="9"/>
      <c r="E143" s="10"/>
      <c r="F143" s="11"/>
      <c r="G143" s="12"/>
    </row>
    <row r="144" spans="1:7" ht="14.25">
      <c r="A144" s="132"/>
      <c r="B144" s="131"/>
      <c r="C144" s="8"/>
      <c r="D144" s="9"/>
      <c r="E144" s="10"/>
      <c r="F144" s="11"/>
      <c r="G144" s="12"/>
    </row>
    <row r="145" spans="1:9" ht="14.25">
      <c r="A145" s="132"/>
      <c r="B145" s="131"/>
      <c r="C145" s="8"/>
      <c r="D145" s="9"/>
      <c r="E145" s="10"/>
      <c r="F145" s="11"/>
      <c r="G145" s="12"/>
    </row>
    <row r="146" spans="1:9" ht="14.25">
      <c r="A146" s="132"/>
      <c r="B146" s="131"/>
      <c r="C146" s="8"/>
      <c r="D146" s="9"/>
      <c r="E146" s="10"/>
      <c r="F146" s="11"/>
      <c r="G146" s="12"/>
    </row>
    <row r="147" spans="1:9" ht="14.25">
      <c r="A147" s="132"/>
      <c r="B147" s="131"/>
      <c r="C147" s="8"/>
      <c r="D147" s="9"/>
      <c r="E147" s="10"/>
      <c r="F147" s="11"/>
      <c r="G147" s="12"/>
    </row>
    <row r="148" spans="1:9" ht="14.25">
      <c r="A148" s="132"/>
      <c r="B148" s="131"/>
      <c r="C148" s="8"/>
      <c r="D148" s="9"/>
      <c r="E148" s="10"/>
      <c r="F148" s="11"/>
      <c r="G148" s="12"/>
    </row>
    <row r="149" spans="1:9" ht="14.25">
      <c r="A149" s="132"/>
      <c r="B149" s="131"/>
      <c r="C149" s="8"/>
      <c r="D149" s="9"/>
      <c r="E149" s="10"/>
      <c r="F149" s="11"/>
      <c r="G149" s="12"/>
    </row>
    <row r="150" spans="1:9" ht="14.25">
      <c r="A150" s="132"/>
      <c r="B150" s="131"/>
      <c r="C150" s="8"/>
      <c r="D150" s="9"/>
      <c r="E150" s="10"/>
      <c r="F150" s="11"/>
      <c r="G150" s="12"/>
    </row>
    <row r="151" spans="1:9" ht="14.25">
      <c r="A151" s="132"/>
      <c r="B151" s="131"/>
      <c r="C151" s="8"/>
      <c r="D151" s="9"/>
      <c r="E151" s="10"/>
      <c r="F151" s="11"/>
      <c r="G151" s="12"/>
    </row>
    <row r="152" spans="1:9" ht="14.25">
      <c r="A152" s="132"/>
      <c r="B152" s="131"/>
      <c r="C152" s="8"/>
      <c r="D152" s="9"/>
      <c r="E152" s="10"/>
      <c r="F152" s="11"/>
      <c r="G152" s="12"/>
      <c r="I152" s="1"/>
    </row>
    <row r="153" spans="1:9" ht="14.25">
      <c r="A153" s="132"/>
      <c r="B153" s="131"/>
      <c r="C153" s="8"/>
      <c r="D153" s="9"/>
      <c r="E153" s="10"/>
      <c r="F153" s="11"/>
      <c r="G153" s="12"/>
      <c r="I153" s="1"/>
    </row>
    <row r="154" spans="1:9" ht="14.25">
      <c r="A154" s="132"/>
      <c r="B154" s="131"/>
      <c r="C154" s="8"/>
      <c r="D154" s="9"/>
      <c r="E154" s="10"/>
      <c r="F154" s="11"/>
      <c r="G154" s="12"/>
    </row>
    <row r="155" spans="1:9" ht="14.25">
      <c r="A155" s="132"/>
      <c r="B155" s="131"/>
      <c r="C155" s="8"/>
      <c r="D155" s="9"/>
      <c r="E155" s="10"/>
      <c r="F155" s="11"/>
      <c r="G155" s="12"/>
    </row>
    <row r="156" spans="1:9" ht="14.25">
      <c r="A156" s="132"/>
      <c r="B156" s="131"/>
      <c r="C156" s="8"/>
      <c r="D156" s="9"/>
      <c r="E156" s="10"/>
      <c r="F156" s="11"/>
      <c r="G156" s="12"/>
    </row>
    <row r="157" spans="1:9" ht="14.25">
      <c r="A157" s="132"/>
      <c r="B157" s="131"/>
      <c r="C157" s="8"/>
      <c r="D157" s="9"/>
      <c r="E157" s="10"/>
      <c r="F157" s="11"/>
      <c r="G157" s="12"/>
    </row>
    <row r="158" spans="1:9" ht="14.25">
      <c r="A158" s="132"/>
      <c r="B158" s="131"/>
      <c r="C158" s="8"/>
      <c r="D158" s="9"/>
      <c r="E158" s="10"/>
      <c r="F158" s="11"/>
      <c r="G158" s="12"/>
    </row>
    <row r="159" spans="1:9" ht="14.25">
      <c r="A159" s="132"/>
      <c r="B159" s="131"/>
      <c r="C159" s="8"/>
      <c r="D159" s="9"/>
      <c r="E159" s="10"/>
      <c r="F159" s="11"/>
      <c r="G159" s="12"/>
    </row>
    <row r="160" spans="1:9" ht="14.25">
      <c r="A160" s="132"/>
      <c r="B160" s="131"/>
      <c r="C160" s="8"/>
      <c r="D160" s="9"/>
      <c r="E160" s="10"/>
      <c r="F160" s="11"/>
      <c r="G160" s="12"/>
    </row>
    <row r="161" spans="1:7" ht="14.25">
      <c r="A161" s="132"/>
      <c r="B161" s="131"/>
      <c r="C161" s="8"/>
      <c r="D161" s="9"/>
      <c r="E161" s="10"/>
      <c r="F161" s="11"/>
      <c r="G161" s="12"/>
    </row>
    <row r="162" spans="1:7" ht="14.25">
      <c r="A162" s="132"/>
      <c r="B162" s="131"/>
      <c r="C162" s="8"/>
      <c r="D162" s="9"/>
      <c r="E162" s="10"/>
      <c r="F162" s="11"/>
      <c r="G162" s="12"/>
    </row>
    <row r="163" spans="1:7" ht="14.25">
      <c r="A163" s="132"/>
      <c r="B163" s="131"/>
      <c r="C163" s="8"/>
      <c r="D163" s="9"/>
      <c r="E163" s="10"/>
      <c r="F163" s="11"/>
      <c r="G163" s="12"/>
    </row>
    <row r="164" spans="1:7" ht="14.25">
      <c r="A164" s="132"/>
      <c r="B164" s="131"/>
      <c r="C164" s="8"/>
      <c r="D164" s="9"/>
      <c r="E164" s="10"/>
      <c r="F164" s="11"/>
      <c r="G164" s="12"/>
    </row>
    <row r="165" spans="1:7" ht="14.25">
      <c r="A165" s="132"/>
      <c r="B165" s="131"/>
      <c r="C165" s="8"/>
      <c r="D165" s="9"/>
      <c r="E165" s="10"/>
      <c r="F165" s="11"/>
      <c r="G165" s="12"/>
    </row>
    <row r="166" spans="1:7" ht="14.25">
      <c r="A166" s="132"/>
      <c r="B166" s="131"/>
      <c r="C166" s="8"/>
      <c r="D166" s="9"/>
      <c r="E166" s="10"/>
      <c r="F166" s="11"/>
      <c r="G166" s="12"/>
    </row>
    <row r="167" spans="1:7" ht="14.25">
      <c r="A167" s="132"/>
      <c r="B167" s="131"/>
      <c r="C167" s="8"/>
      <c r="D167" s="9"/>
      <c r="E167" s="10"/>
      <c r="F167" s="11"/>
      <c r="G167" s="12"/>
    </row>
    <row r="168" spans="1:7" ht="14.25">
      <c r="A168" s="132"/>
      <c r="B168" s="131"/>
      <c r="C168" s="8"/>
      <c r="D168" s="9"/>
      <c r="E168" s="10"/>
      <c r="F168" s="11"/>
      <c r="G168" s="12"/>
    </row>
    <row r="169" spans="1:7" ht="14.25">
      <c r="A169" s="132"/>
      <c r="B169" s="131"/>
      <c r="C169" s="8"/>
      <c r="D169" s="9"/>
      <c r="E169" s="10"/>
      <c r="F169" s="11"/>
      <c r="G169" s="12"/>
    </row>
    <row r="170" spans="1:7" ht="14.25">
      <c r="A170" s="132"/>
      <c r="B170" s="131"/>
      <c r="C170" s="8"/>
      <c r="D170" s="9"/>
      <c r="E170" s="10"/>
      <c r="F170" s="11"/>
      <c r="G170" s="12"/>
    </row>
    <row r="171" spans="1:7" ht="14.25">
      <c r="A171" s="132"/>
      <c r="B171" s="131"/>
      <c r="C171" s="8"/>
      <c r="D171" s="9"/>
      <c r="E171" s="10"/>
      <c r="F171" s="11"/>
      <c r="G171" s="12"/>
    </row>
    <row r="172" spans="1:7" ht="14.25">
      <c r="A172" s="132"/>
      <c r="B172" s="131"/>
      <c r="C172" s="8"/>
      <c r="D172" s="9"/>
      <c r="E172" s="10"/>
      <c r="F172" s="11"/>
      <c r="G172" s="12"/>
    </row>
    <row r="173" spans="1:7" ht="14.25">
      <c r="A173" s="132"/>
      <c r="B173" s="131"/>
      <c r="C173" s="8"/>
      <c r="D173" s="9"/>
      <c r="E173" s="10"/>
      <c r="F173" s="11"/>
      <c r="G173" s="12"/>
    </row>
    <row r="174" spans="1:7" ht="14.25">
      <c r="A174" s="132"/>
      <c r="B174" s="131"/>
      <c r="C174" s="8"/>
      <c r="D174" s="9"/>
      <c r="E174" s="10"/>
      <c r="F174" s="11"/>
      <c r="G174" s="12"/>
    </row>
    <row r="175" spans="1:7" ht="14.25">
      <c r="A175" s="132"/>
      <c r="B175" s="131"/>
      <c r="C175" s="8"/>
      <c r="D175" s="9"/>
      <c r="E175" s="10"/>
      <c r="F175" s="11"/>
      <c r="G175" s="12"/>
    </row>
    <row r="176" spans="1:7" ht="14.25">
      <c r="A176" s="132"/>
      <c r="B176" s="131"/>
      <c r="C176" s="8"/>
      <c r="D176" s="9"/>
      <c r="E176" s="10"/>
      <c r="F176" s="11"/>
      <c r="G176" s="12"/>
    </row>
    <row r="177" spans="1:7" ht="14.25">
      <c r="A177" s="132"/>
      <c r="B177" s="131"/>
      <c r="C177" s="8"/>
      <c r="D177" s="9"/>
      <c r="E177" s="10"/>
      <c r="F177" s="11"/>
      <c r="G177" s="12"/>
    </row>
    <row r="178" spans="1:7" ht="14.25">
      <c r="A178" s="132"/>
      <c r="B178" s="131"/>
      <c r="C178" s="8"/>
      <c r="D178" s="9"/>
      <c r="E178" s="10"/>
      <c r="F178" s="11"/>
      <c r="G178" s="12"/>
    </row>
    <row r="179" spans="1:7" ht="14.25">
      <c r="A179" s="132"/>
      <c r="B179" s="131"/>
      <c r="C179" s="8"/>
      <c r="D179" s="9"/>
      <c r="E179" s="10"/>
      <c r="F179" s="11"/>
      <c r="G179" s="12"/>
    </row>
    <row r="180" spans="1:7" ht="14.25">
      <c r="A180" s="132"/>
      <c r="B180" s="131"/>
      <c r="C180" s="8"/>
      <c r="D180" s="9"/>
      <c r="E180" s="10"/>
      <c r="F180" s="11"/>
      <c r="G180" s="12"/>
    </row>
    <row r="181" spans="1:7" ht="14.25">
      <c r="A181" s="132"/>
      <c r="B181" s="131"/>
      <c r="C181" s="8"/>
      <c r="D181" s="9"/>
      <c r="E181" s="10"/>
      <c r="F181" s="11"/>
      <c r="G181" s="12"/>
    </row>
    <row r="182" spans="1:7" ht="14.25">
      <c r="A182" s="132"/>
      <c r="B182" s="131"/>
      <c r="C182" s="8"/>
      <c r="D182" s="9"/>
      <c r="E182" s="10"/>
      <c r="F182" s="11"/>
      <c r="G182" s="12"/>
    </row>
    <row r="183" spans="1:7" ht="14.25">
      <c r="A183" s="132"/>
      <c r="B183" s="131"/>
      <c r="C183" s="8"/>
      <c r="D183" s="9"/>
      <c r="E183" s="10"/>
      <c r="F183" s="11"/>
      <c r="G183" s="12"/>
    </row>
    <row r="184" spans="1:7" ht="14.25">
      <c r="A184" s="132"/>
      <c r="B184" s="131"/>
      <c r="C184" s="8"/>
      <c r="D184" s="9"/>
      <c r="E184" s="10"/>
      <c r="F184" s="11"/>
      <c r="G184" s="12"/>
    </row>
    <row r="185" spans="1:7" ht="14.25">
      <c r="A185" s="132"/>
      <c r="B185" s="131"/>
      <c r="C185" s="8"/>
      <c r="D185" s="9"/>
      <c r="E185" s="10"/>
      <c r="F185" s="11"/>
      <c r="G185" s="12"/>
    </row>
    <row r="186" spans="1:7" ht="14.25">
      <c r="A186" s="132"/>
      <c r="B186" s="131"/>
      <c r="C186" s="8"/>
      <c r="D186" s="9"/>
      <c r="E186" s="10"/>
      <c r="F186" s="11"/>
      <c r="G186" s="12"/>
    </row>
    <row r="187" spans="1:7" ht="14.25">
      <c r="A187" s="132"/>
      <c r="B187" s="131"/>
      <c r="C187" s="8"/>
      <c r="D187" s="9"/>
      <c r="E187" s="10"/>
      <c r="F187" s="11"/>
      <c r="G187" s="12"/>
    </row>
    <row r="188" spans="1:7" ht="14.25">
      <c r="A188" s="132"/>
      <c r="B188" s="131"/>
      <c r="C188" s="8"/>
      <c r="D188" s="9"/>
      <c r="E188" s="10"/>
      <c r="F188" s="11"/>
      <c r="G188" s="12"/>
    </row>
    <row r="189" spans="1:7" ht="14.25">
      <c r="A189" s="132"/>
      <c r="B189" s="131"/>
      <c r="C189" s="8"/>
      <c r="D189" s="9"/>
      <c r="E189" s="10"/>
      <c r="F189" s="11"/>
      <c r="G189" s="12"/>
    </row>
    <row r="190" spans="1:7" ht="14.25">
      <c r="A190" s="132"/>
      <c r="B190" s="131"/>
      <c r="C190" s="8"/>
      <c r="D190" s="9"/>
      <c r="E190" s="10"/>
      <c r="F190" s="11"/>
      <c r="G190" s="12"/>
    </row>
    <row r="191" spans="1:7" ht="14.25">
      <c r="A191" s="132"/>
      <c r="B191" s="131"/>
      <c r="C191" s="8"/>
      <c r="D191" s="9"/>
      <c r="E191" s="10"/>
      <c r="F191" s="11"/>
      <c r="G191" s="12"/>
    </row>
    <row r="192" spans="1:7" ht="14.25">
      <c r="A192" s="132"/>
      <c r="B192" s="131"/>
      <c r="C192" s="8"/>
      <c r="D192" s="9"/>
      <c r="E192" s="10"/>
      <c r="F192" s="11"/>
      <c r="G192" s="12"/>
    </row>
    <row r="193" spans="1:7" ht="14.25">
      <c r="A193" s="132"/>
      <c r="B193" s="131"/>
      <c r="C193" s="8"/>
      <c r="D193" s="9"/>
      <c r="E193" s="10"/>
      <c r="F193" s="11"/>
      <c r="G193" s="12"/>
    </row>
    <row r="194" spans="1:7" ht="14.25">
      <c r="A194" s="132"/>
      <c r="B194" s="131"/>
      <c r="C194" s="8"/>
      <c r="D194" s="9"/>
      <c r="E194" s="10"/>
      <c r="F194" s="11"/>
      <c r="G194" s="12"/>
    </row>
    <row r="195" spans="1:7" ht="14.25">
      <c r="A195" s="132"/>
      <c r="B195" s="131"/>
      <c r="C195" s="8"/>
      <c r="D195" s="9"/>
      <c r="E195" s="10"/>
      <c r="F195" s="11"/>
      <c r="G195" s="12"/>
    </row>
    <row r="196" spans="1:7" ht="14.25">
      <c r="A196" s="132"/>
      <c r="B196" s="131"/>
      <c r="C196" s="8"/>
      <c r="D196" s="9"/>
      <c r="E196" s="10"/>
      <c r="F196" s="11"/>
      <c r="G196" s="12"/>
    </row>
    <row r="197" spans="1:7" ht="14.25">
      <c r="A197" s="132"/>
      <c r="B197" s="131"/>
      <c r="C197" s="8"/>
      <c r="D197" s="9"/>
      <c r="E197" s="10"/>
      <c r="F197" s="11"/>
      <c r="G197" s="12"/>
    </row>
    <row r="198" spans="1:7" ht="14.25">
      <c r="A198" s="132"/>
      <c r="B198" s="131"/>
      <c r="C198" s="8"/>
      <c r="D198" s="9"/>
      <c r="E198" s="10"/>
      <c r="F198" s="11"/>
      <c r="G198" s="12"/>
    </row>
    <row r="199" spans="1:7" ht="14.25">
      <c r="A199" s="132"/>
      <c r="B199" s="131"/>
      <c r="C199" s="8"/>
      <c r="D199" s="9"/>
      <c r="E199" s="10"/>
      <c r="F199" s="11"/>
      <c r="G199" s="12"/>
    </row>
    <row r="200" spans="1:7" ht="14.25">
      <c r="A200" s="132"/>
      <c r="B200" s="131"/>
      <c r="C200" s="8"/>
      <c r="D200" s="9"/>
      <c r="E200" s="10"/>
      <c r="F200" s="11"/>
      <c r="G200" s="12"/>
    </row>
    <row r="201" spans="1:7" ht="14.25">
      <c r="A201" s="132"/>
      <c r="B201" s="131"/>
      <c r="C201" s="8"/>
      <c r="D201" s="9"/>
      <c r="E201" s="10"/>
      <c r="F201" s="11"/>
      <c r="G201" s="12"/>
    </row>
    <row r="202" spans="1:7" ht="14.25">
      <c r="A202" s="132"/>
      <c r="B202" s="131"/>
      <c r="C202" s="8"/>
      <c r="D202" s="9"/>
      <c r="E202" s="10"/>
      <c r="F202" s="11"/>
      <c r="G202" s="12"/>
    </row>
    <row r="203" spans="1:7" ht="14.25">
      <c r="A203" s="132"/>
      <c r="B203" s="131"/>
      <c r="C203" s="8"/>
      <c r="D203" s="9"/>
      <c r="E203" s="10"/>
      <c r="F203" s="11"/>
      <c r="G203" s="12"/>
    </row>
    <row r="204" spans="1:7" ht="14.25">
      <c r="A204" s="132"/>
      <c r="B204" s="131"/>
      <c r="C204" s="8"/>
      <c r="D204" s="9"/>
      <c r="E204" s="10"/>
      <c r="F204" s="11"/>
      <c r="G204" s="12"/>
    </row>
    <row r="205" spans="1:7" ht="14.25">
      <c r="A205" s="132"/>
      <c r="B205" s="131"/>
      <c r="C205" s="8"/>
      <c r="D205" s="9"/>
      <c r="E205" s="10"/>
      <c r="F205" s="11"/>
      <c r="G205" s="12"/>
    </row>
    <row r="206" spans="1:7" ht="14.25">
      <c r="A206" s="132"/>
      <c r="B206" s="131"/>
      <c r="C206" s="8"/>
      <c r="D206" s="9"/>
      <c r="E206" s="10"/>
      <c r="F206" s="11"/>
      <c r="G206" s="12"/>
    </row>
    <row r="207" spans="1:7" ht="14.25">
      <c r="A207" s="132"/>
      <c r="B207" s="131"/>
      <c r="C207" s="8"/>
      <c r="D207" s="9"/>
      <c r="E207" s="10"/>
      <c r="F207" s="11"/>
      <c r="G207" s="12"/>
    </row>
    <row r="208" spans="1:7" ht="14.25">
      <c r="A208" s="132"/>
      <c r="B208" s="131"/>
      <c r="C208" s="8"/>
      <c r="D208" s="9"/>
      <c r="E208" s="10"/>
      <c r="F208" s="11"/>
      <c r="G208" s="12"/>
    </row>
    <row r="209" spans="1:7" ht="14.25">
      <c r="A209" s="132"/>
      <c r="B209" s="131"/>
      <c r="C209" s="8"/>
      <c r="D209" s="9"/>
      <c r="E209" s="10"/>
      <c r="F209" s="11"/>
      <c r="G209" s="12"/>
    </row>
    <row r="210" spans="1:7" ht="14.25">
      <c r="A210" s="132"/>
      <c r="B210" s="131"/>
      <c r="C210" s="8"/>
      <c r="D210" s="9"/>
      <c r="E210" s="10"/>
      <c r="F210" s="11"/>
      <c r="G210" s="12"/>
    </row>
    <row r="211" spans="1:7" ht="14.25">
      <c r="A211" s="132"/>
      <c r="B211" s="131"/>
      <c r="C211" s="8"/>
      <c r="D211" s="9"/>
      <c r="E211" s="10"/>
      <c r="F211" s="11"/>
      <c r="G211" s="12"/>
    </row>
    <row r="212" spans="1:7" ht="14.25">
      <c r="A212" s="132"/>
      <c r="B212" s="131"/>
      <c r="C212" s="8"/>
      <c r="D212" s="9"/>
      <c r="E212" s="10"/>
      <c r="F212" s="11"/>
      <c r="G212" s="12"/>
    </row>
    <row r="213" spans="1:7" ht="14.25">
      <c r="A213" s="132"/>
      <c r="B213" s="131"/>
      <c r="C213" s="8"/>
      <c r="D213" s="9"/>
      <c r="E213" s="10"/>
      <c r="F213" s="11"/>
      <c r="G213" s="12"/>
    </row>
    <row r="214" spans="1:7" ht="14.25">
      <c r="A214" s="132"/>
      <c r="B214" s="131"/>
      <c r="C214" s="8"/>
      <c r="D214" s="9"/>
      <c r="E214" s="10"/>
      <c r="F214" s="11"/>
      <c r="G214" s="12"/>
    </row>
    <row r="215" spans="1:7" ht="14.25">
      <c r="A215" s="132"/>
      <c r="B215" s="131"/>
      <c r="C215" s="8"/>
      <c r="D215" s="9"/>
      <c r="E215" s="10"/>
      <c r="F215" s="11"/>
      <c r="G215" s="12"/>
    </row>
    <row r="216" spans="1:7" ht="14.25">
      <c r="A216" s="132"/>
      <c r="B216" s="131"/>
      <c r="C216" s="8"/>
      <c r="D216" s="9"/>
      <c r="E216" s="10"/>
      <c r="F216" s="11"/>
      <c r="G216" s="12"/>
    </row>
    <row r="217" spans="1:7" ht="14.25">
      <c r="A217" s="132"/>
      <c r="B217" s="131"/>
      <c r="C217" s="8"/>
      <c r="D217" s="9"/>
      <c r="E217" s="10"/>
      <c r="F217" s="11"/>
      <c r="G217" s="12"/>
    </row>
    <row r="218" spans="1:7" ht="14.25">
      <c r="A218" s="132"/>
      <c r="B218" s="131"/>
      <c r="C218" s="8"/>
      <c r="D218" s="9"/>
      <c r="E218" s="10"/>
      <c r="F218" s="11"/>
      <c r="G218" s="12"/>
    </row>
    <row r="219" spans="1:7" ht="14.25">
      <c r="A219" s="132"/>
      <c r="B219" s="131"/>
      <c r="C219" s="8"/>
      <c r="D219" s="9"/>
      <c r="E219" s="10"/>
      <c r="F219" s="11"/>
      <c r="G219" s="12"/>
    </row>
    <row r="220" spans="1:7" ht="14.25">
      <c r="A220" s="132"/>
      <c r="B220" s="131"/>
      <c r="C220" s="8"/>
      <c r="D220" s="9"/>
      <c r="E220" s="10"/>
      <c r="F220" s="11"/>
      <c r="G220" s="12"/>
    </row>
    <row r="221" spans="1:7" ht="14.25">
      <c r="A221" s="132"/>
      <c r="B221" s="131"/>
      <c r="C221" s="8"/>
      <c r="D221" s="9"/>
      <c r="E221" s="10"/>
      <c r="F221" s="11"/>
      <c r="G221" s="12"/>
    </row>
    <row r="222" spans="1:7" ht="14.25">
      <c r="A222" s="132"/>
      <c r="B222" s="131"/>
      <c r="C222" s="8"/>
      <c r="D222" s="9"/>
      <c r="E222" s="10"/>
      <c r="F222" s="11"/>
      <c r="G222" s="12"/>
    </row>
    <row r="223" spans="1:7" ht="14.25">
      <c r="A223" s="132"/>
      <c r="B223" s="131"/>
      <c r="C223" s="8"/>
      <c r="D223" s="9"/>
      <c r="E223" s="10"/>
      <c r="F223" s="11"/>
      <c r="G223" s="12"/>
    </row>
    <row r="224" spans="1:7" ht="14.25">
      <c r="A224" s="132"/>
      <c r="B224" s="131"/>
      <c r="C224" s="8"/>
      <c r="D224" s="9"/>
      <c r="E224" s="10"/>
      <c r="F224" s="11"/>
      <c r="G224" s="12"/>
    </row>
    <row r="225" spans="1:7" ht="14.25">
      <c r="A225" s="132"/>
      <c r="B225" s="131"/>
      <c r="C225" s="8"/>
      <c r="D225" s="9"/>
      <c r="E225" s="10"/>
      <c r="F225" s="11"/>
      <c r="G225" s="12"/>
    </row>
    <row r="226" spans="1:7" ht="14.25">
      <c r="A226" s="132"/>
      <c r="B226" s="131"/>
      <c r="C226" s="8"/>
      <c r="D226" s="9"/>
      <c r="E226" s="10"/>
      <c r="F226" s="11"/>
      <c r="G226" s="12"/>
    </row>
    <row r="227" spans="1:7" ht="14.25">
      <c r="A227" s="132"/>
      <c r="B227" s="131"/>
      <c r="C227" s="8"/>
      <c r="D227" s="9"/>
      <c r="E227" s="10"/>
      <c r="F227" s="11"/>
      <c r="G227" s="12"/>
    </row>
    <row r="228" spans="1:7" ht="14.25">
      <c r="A228" s="132"/>
      <c r="B228" s="131"/>
      <c r="C228" s="8"/>
      <c r="D228" s="9"/>
      <c r="E228" s="10"/>
      <c r="F228" s="11"/>
      <c r="G228" s="12"/>
    </row>
    <row r="229" spans="1:7" ht="14.25">
      <c r="A229" s="132"/>
      <c r="B229" s="131"/>
      <c r="C229" s="8"/>
      <c r="D229" s="9"/>
      <c r="E229" s="10"/>
      <c r="F229" s="11"/>
      <c r="G229" s="12"/>
    </row>
    <row r="230" spans="1:7" ht="14.25">
      <c r="A230" s="132"/>
      <c r="B230" s="131"/>
      <c r="C230" s="8"/>
      <c r="D230" s="9"/>
      <c r="E230" s="10"/>
      <c r="F230" s="11"/>
      <c r="G230" s="12"/>
    </row>
    <row r="231" spans="1:7" ht="14.25">
      <c r="A231" s="132"/>
      <c r="B231" s="131"/>
      <c r="C231" s="8"/>
      <c r="D231" s="9"/>
      <c r="E231" s="10"/>
      <c r="F231" s="11"/>
      <c r="G231" s="12"/>
    </row>
    <row r="232" spans="1:7" ht="14.25">
      <c r="A232" s="132"/>
      <c r="B232" s="131"/>
      <c r="C232" s="8"/>
      <c r="D232" s="9"/>
      <c r="E232" s="10"/>
      <c r="F232" s="11"/>
      <c r="G232" s="12"/>
    </row>
    <row r="233" spans="1:7" ht="14.25">
      <c r="A233" s="132"/>
      <c r="B233" s="131"/>
      <c r="C233" s="8"/>
      <c r="D233" s="9"/>
      <c r="E233" s="10"/>
      <c r="F233" s="11"/>
      <c r="G233" s="12"/>
    </row>
    <row r="234" spans="1:7" ht="14.25">
      <c r="A234" s="132"/>
      <c r="B234" s="131"/>
      <c r="C234" s="8"/>
      <c r="D234" s="9"/>
      <c r="E234" s="10"/>
      <c r="F234" s="11"/>
      <c r="G234" s="12"/>
    </row>
    <row r="235" spans="1:7" ht="14.25">
      <c r="A235" s="132"/>
      <c r="B235" s="131"/>
      <c r="C235" s="8"/>
      <c r="D235" s="9"/>
      <c r="E235" s="10"/>
      <c r="F235" s="11"/>
      <c r="G235" s="12"/>
    </row>
    <row r="236" spans="1:7" ht="14.25">
      <c r="A236" s="132"/>
      <c r="B236" s="131"/>
      <c r="C236" s="8"/>
      <c r="D236" s="9"/>
      <c r="E236" s="10"/>
      <c r="F236" s="11"/>
      <c r="G236" s="12"/>
    </row>
    <row r="237" spans="1:7" ht="14.25">
      <c r="A237" s="132"/>
      <c r="B237" s="131"/>
      <c r="C237" s="8"/>
      <c r="D237" s="9"/>
      <c r="E237" s="10"/>
      <c r="F237" s="11"/>
      <c r="G237" s="12"/>
    </row>
    <row r="238" spans="1:7" ht="14.25">
      <c r="A238" s="132"/>
      <c r="B238" s="131"/>
      <c r="C238" s="8"/>
      <c r="D238" s="9"/>
      <c r="E238" s="10"/>
      <c r="F238" s="11"/>
      <c r="G238" s="12"/>
    </row>
    <row r="239" spans="1:7" ht="14.25">
      <c r="A239" s="132"/>
      <c r="B239" s="131"/>
      <c r="C239" s="8"/>
      <c r="D239" s="9"/>
      <c r="E239" s="10"/>
      <c r="F239" s="11"/>
      <c r="G239" s="12"/>
    </row>
    <row r="240" spans="1:7" ht="14.25">
      <c r="A240" s="132"/>
      <c r="B240" s="131"/>
      <c r="C240" s="8"/>
      <c r="D240" s="9"/>
      <c r="E240" s="10"/>
      <c r="F240" s="11"/>
      <c r="G240" s="12"/>
    </row>
    <row r="241" spans="1:7" ht="14.25">
      <c r="A241" s="132"/>
      <c r="B241" s="131"/>
      <c r="C241" s="8"/>
      <c r="D241" s="9"/>
      <c r="E241" s="10"/>
      <c r="F241" s="11"/>
      <c r="G241" s="12"/>
    </row>
    <row r="242" spans="1:7" ht="14.25">
      <c r="A242" s="132"/>
      <c r="B242" s="131"/>
      <c r="C242" s="8"/>
      <c r="D242" s="9"/>
      <c r="E242" s="10"/>
      <c r="F242" s="11"/>
      <c r="G242" s="12"/>
    </row>
    <row r="243" spans="1:7" ht="14.25">
      <c r="A243" s="132"/>
      <c r="B243" s="131"/>
      <c r="C243" s="8"/>
      <c r="D243" s="9"/>
      <c r="E243" s="10"/>
      <c r="F243" s="11"/>
      <c r="G243" s="12"/>
    </row>
    <row r="244" spans="1:7" ht="14.25">
      <c r="A244" s="132"/>
      <c r="B244" s="131"/>
      <c r="C244" s="8"/>
      <c r="D244" s="9"/>
      <c r="E244" s="10"/>
      <c r="F244" s="11"/>
      <c r="G244" s="12"/>
    </row>
    <row r="245" spans="1:7" ht="14.25">
      <c r="A245" s="132"/>
      <c r="B245" s="131"/>
      <c r="C245" s="8"/>
      <c r="D245" s="9"/>
      <c r="E245" s="10"/>
      <c r="F245" s="11"/>
      <c r="G245" s="12"/>
    </row>
    <row r="246" spans="1:7" ht="14.25">
      <c r="A246" s="132"/>
      <c r="B246" s="131"/>
      <c r="C246" s="8"/>
      <c r="D246" s="9"/>
      <c r="E246" s="10"/>
      <c r="F246" s="11"/>
      <c r="G246" s="12"/>
    </row>
    <row r="247" spans="1:7" ht="14.25">
      <c r="A247" s="132"/>
      <c r="B247" s="131"/>
      <c r="C247" s="8"/>
      <c r="D247" s="9"/>
      <c r="E247" s="10"/>
      <c r="F247" s="11"/>
      <c r="G247" s="12"/>
    </row>
    <row r="248" spans="1:7" ht="14.25">
      <c r="A248" s="132"/>
      <c r="B248" s="131"/>
      <c r="C248" s="8"/>
      <c r="D248" s="9"/>
      <c r="E248" s="10"/>
      <c r="F248" s="11"/>
      <c r="G248" s="12"/>
    </row>
    <row r="249" spans="1:7" ht="14.25">
      <c r="A249" s="132"/>
      <c r="B249" s="131"/>
      <c r="C249" s="8"/>
      <c r="D249" s="9"/>
      <c r="E249" s="10"/>
      <c r="F249" s="11"/>
      <c r="G249" s="12"/>
    </row>
    <row r="250" spans="1:7" ht="14.25">
      <c r="A250" s="132"/>
      <c r="B250" s="131"/>
      <c r="C250" s="8"/>
      <c r="D250" s="9"/>
      <c r="E250" s="10"/>
      <c r="F250" s="11"/>
      <c r="G250" s="12"/>
    </row>
    <row r="251" spans="1:7" ht="14.25">
      <c r="A251" s="132"/>
      <c r="B251" s="131"/>
      <c r="C251" s="8"/>
      <c r="D251" s="9"/>
      <c r="E251" s="10"/>
      <c r="F251" s="11"/>
      <c r="G251" s="12"/>
    </row>
    <row r="252" spans="1:7" ht="14.25">
      <c r="A252" s="132"/>
      <c r="B252" s="131"/>
      <c r="C252" s="8"/>
      <c r="D252" s="9"/>
      <c r="E252" s="10"/>
      <c r="F252" s="11"/>
      <c r="G252" s="12"/>
    </row>
    <row r="253" spans="1:7" ht="14.25">
      <c r="A253" s="132"/>
      <c r="B253" s="131"/>
      <c r="C253" s="8"/>
      <c r="D253" s="9"/>
      <c r="E253" s="10"/>
      <c r="F253" s="11"/>
      <c r="G253" s="12"/>
    </row>
    <row r="254" spans="1:7" ht="14.25">
      <c r="A254" s="132"/>
      <c r="B254" s="131"/>
      <c r="C254" s="8"/>
      <c r="D254" s="9"/>
      <c r="E254" s="10"/>
      <c r="F254" s="11"/>
      <c r="G254" s="12"/>
    </row>
    <row r="255" spans="1:7" ht="14.25">
      <c r="A255" s="132"/>
      <c r="B255" s="131"/>
      <c r="C255" s="8"/>
      <c r="D255" s="9"/>
      <c r="E255" s="10"/>
      <c r="F255" s="11"/>
      <c r="G255" s="12"/>
    </row>
    <row r="256" spans="1:7" ht="14.25">
      <c r="A256" s="132"/>
      <c r="B256" s="131"/>
      <c r="C256" s="8"/>
      <c r="D256" s="9"/>
      <c r="E256" s="10"/>
      <c r="F256" s="11"/>
      <c r="G256" s="12"/>
    </row>
    <row r="257" spans="1:7" ht="14.25">
      <c r="A257" s="132"/>
      <c r="B257" s="131"/>
      <c r="C257" s="8"/>
      <c r="D257" s="9"/>
      <c r="E257" s="10"/>
      <c r="F257" s="11"/>
      <c r="G257" s="12"/>
    </row>
    <row r="258" spans="1:7" ht="14.25">
      <c r="A258" s="132"/>
      <c r="B258" s="131"/>
      <c r="C258" s="8"/>
      <c r="D258" s="9"/>
      <c r="E258" s="10"/>
      <c r="F258" s="11"/>
      <c r="G258" s="12"/>
    </row>
    <row r="259" spans="1:7" ht="14.25">
      <c r="A259" s="132"/>
      <c r="B259" s="131"/>
      <c r="C259" s="8"/>
      <c r="D259" s="9"/>
      <c r="E259" s="10"/>
      <c r="F259" s="11"/>
      <c r="G259" s="12"/>
    </row>
    <row r="260" spans="1:7" ht="14.25">
      <c r="A260" s="132"/>
      <c r="B260" s="131"/>
      <c r="C260" s="8"/>
      <c r="D260" s="9"/>
      <c r="E260" s="10"/>
      <c r="F260" s="11"/>
      <c r="G260" s="12"/>
    </row>
    <row r="261" spans="1:7" ht="14.25">
      <c r="A261" s="132"/>
      <c r="B261" s="131"/>
      <c r="C261" s="8"/>
      <c r="D261" s="9"/>
      <c r="E261" s="10"/>
      <c r="F261" s="11"/>
      <c r="G261" s="12"/>
    </row>
    <row r="262" spans="1:7" ht="14.25">
      <c r="A262" s="132"/>
      <c r="B262" s="131"/>
      <c r="C262" s="8"/>
      <c r="D262" s="9"/>
      <c r="E262" s="10"/>
      <c r="F262" s="11"/>
      <c r="G262" s="12"/>
    </row>
    <row r="263" spans="1:7" ht="14.25">
      <c r="A263" s="132"/>
      <c r="B263" s="131"/>
      <c r="C263" s="8"/>
      <c r="D263" s="9"/>
      <c r="E263" s="10"/>
      <c r="F263" s="11"/>
      <c r="G263" s="12"/>
    </row>
    <row r="264" spans="1:7" ht="14.25">
      <c r="A264" s="132"/>
      <c r="B264" s="131"/>
      <c r="C264" s="8"/>
      <c r="D264" s="9"/>
      <c r="E264" s="10"/>
      <c r="F264" s="11"/>
      <c r="G264" s="12"/>
    </row>
    <row r="265" spans="1:7" ht="14.25">
      <c r="A265" s="132"/>
      <c r="B265" s="131"/>
      <c r="C265" s="8"/>
      <c r="D265" s="9"/>
      <c r="E265" s="10"/>
      <c r="F265" s="11"/>
      <c r="G265" s="12"/>
    </row>
    <row r="266" spans="1:7" ht="14.25">
      <c r="A266" s="132"/>
      <c r="B266" s="131"/>
      <c r="C266" s="8"/>
      <c r="D266" s="9"/>
      <c r="E266" s="10"/>
      <c r="F266" s="11"/>
      <c r="G266" s="12"/>
    </row>
    <row r="267" spans="1:7" ht="14.25">
      <c r="A267" s="132"/>
      <c r="B267" s="131"/>
      <c r="C267" s="8"/>
      <c r="D267" s="9"/>
      <c r="E267" s="10"/>
      <c r="F267" s="11"/>
      <c r="G267" s="12"/>
    </row>
    <row r="268" spans="1:7" ht="14.25">
      <c r="A268" s="132"/>
      <c r="B268" s="131"/>
      <c r="C268" s="8"/>
      <c r="D268" s="9"/>
      <c r="E268" s="10"/>
      <c r="F268" s="11"/>
      <c r="G268" s="12"/>
    </row>
    <row r="269" spans="1:7" ht="14.25">
      <c r="A269" s="132"/>
      <c r="B269" s="131"/>
      <c r="C269" s="8"/>
      <c r="D269" s="9"/>
      <c r="E269" s="10"/>
      <c r="F269" s="11"/>
      <c r="G269" s="12"/>
    </row>
    <row r="270" spans="1:7" ht="14.25">
      <c r="A270" s="132"/>
      <c r="B270" s="131"/>
      <c r="C270" s="8"/>
      <c r="D270" s="9"/>
      <c r="E270" s="10"/>
      <c r="F270" s="11"/>
      <c r="G270" s="12"/>
    </row>
    <row r="271" spans="1:7" ht="14.25">
      <c r="A271" s="132"/>
      <c r="B271" s="131"/>
      <c r="C271" s="8"/>
      <c r="D271" s="9"/>
      <c r="E271" s="10"/>
      <c r="F271" s="11"/>
      <c r="G271" s="12"/>
    </row>
    <row r="272" spans="1:7" ht="14.25">
      <c r="A272" s="132"/>
      <c r="B272" s="131"/>
      <c r="C272" s="8"/>
      <c r="D272" s="9"/>
      <c r="E272" s="10"/>
      <c r="F272" s="11"/>
      <c r="G272" s="12"/>
    </row>
    <row r="273" spans="1:7" ht="14.25">
      <c r="A273" s="132"/>
      <c r="B273" s="131"/>
      <c r="C273" s="8"/>
      <c r="D273" s="9"/>
      <c r="E273" s="10"/>
      <c r="F273" s="11"/>
      <c r="G273" s="12"/>
    </row>
    <row r="274" spans="1:7" ht="14.25">
      <c r="A274" s="132"/>
      <c r="B274" s="131"/>
      <c r="C274" s="8"/>
      <c r="D274" s="9"/>
      <c r="E274" s="10"/>
      <c r="F274" s="11"/>
      <c r="G274" s="12"/>
    </row>
    <row r="275" spans="1:7" ht="14.25">
      <c r="A275" s="132"/>
      <c r="B275" s="131"/>
      <c r="C275" s="8"/>
      <c r="D275" s="9"/>
      <c r="E275" s="10"/>
      <c r="F275" s="11"/>
      <c r="G275" s="12"/>
    </row>
    <row r="276" spans="1:7" ht="14.25">
      <c r="A276" s="132"/>
      <c r="B276" s="131"/>
      <c r="C276" s="8"/>
      <c r="D276" s="9"/>
      <c r="E276" s="10"/>
      <c r="F276" s="11"/>
      <c r="G276" s="12"/>
    </row>
    <row r="277" spans="1:7" ht="14.25">
      <c r="A277" s="132"/>
      <c r="B277" s="131"/>
      <c r="C277" s="8"/>
      <c r="D277" s="9"/>
      <c r="E277" s="10"/>
      <c r="F277" s="11"/>
      <c r="G277" s="12"/>
    </row>
    <row r="278" spans="1:7" ht="14.25">
      <c r="A278" s="132"/>
      <c r="B278" s="131"/>
      <c r="C278" s="8"/>
      <c r="D278" s="9"/>
      <c r="E278" s="10"/>
      <c r="F278" s="11"/>
      <c r="G278" s="12"/>
    </row>
    <row r="279" spans="1:7" ht="14.25">
      <c r="A279" s="132"/>
      <c r="B279" s="131"/>
      <c r="C279" s="8"/>
      <c r="D279" s="9"/>
      <c r="E279" s="10"/>
      <c r="F279" s="11"/>
      <c r="G279" s="12"/>
    </row>
    <row r="280" spans="1:7" ht="14.25">
      <c r="A280" s="132"/>
      <c r="B280" s="131"/>
      <c r="C280" s="8"/>
      <c r="D280" s="9"/>
      <c r="E280" s="10"/>
      <c r="F280" s="11"/>
      <c r="G280" s="12"/>
    </row>
    <row r="281" spans="1:7" ht="14.25">
      <c r="A281" s="132"/>
      <c r="B281" s="131"/>
      <c r="C281" s="8"/>
      <c r="D281" s="9"/>
      <c r="E281" s="10"/>
      <c r="F281" s="11"/>
      <c r="G281" s="12"/>
    </row>
    <row r="282" spans="1:7" ht="14.25">
      <c r="A282" s="132"/>
      <c r="B282" s="131"/>
      <c r="C282" s="8"/>
      <c r="D282" s="9"/>
      <c r="E282" s="10"/>
      <c r="F282" s="11"/>
      <c r="G282" s="12"/>
    </row>
    <row r="283" spans="1:7" ht="14.25">
      <c r="A283" s="132"/>
      <c r="B283" s="131"/>
      <c r="C283" s="8"/>
      <c r="D283" s="9"/>
      <c r="E283" s="10"/>
      <c r="F283" s="11"/>
      <c r="G283" s="12"/>
    </row>
    <row r="284" spans="1:7" ht="14.25">
      <c r="A284" s="132"/>
      <c r="B284" s="131"/>
      <c r="C284" s="8"/>
      <c r="D284" s="9"/>
      <c r="E284" s="10"/>
      <c r="F284" s="11"/>
      <c r="G284" s="12"/>
    </row>
    <row r="285" spans="1:7" ht="14.25">
      <c r="A285" s="132"/>
      <c r="B285" s="131"/>
      <c r="C285" s="8"/>
      <c r="D285" s="9"/>
      <c r="E285" s="10"/>
      <c r="F285" s="11"/>
      <c r="G285" s="12"/>
    </row>
    <row r="286" spans="1:7" ht="14.25">
      <c r="A286" s="132"/>
      <c r="B286" s="131"/>
      <c r="C286" s="8"/>
      <c r="D286" s="9"/>
      <c r="E286" s="10"/>
      <c r="F286" s="11"/>
      <c r="G286" s="12"/>
    </row>
    <row r="287" spans="1:7" ht="14.25">
      <c r="A287" s="132"/>
      <c r="B287" s="131"/>
      <c r="C287" s="8"/>
      <c r="D287" s="9"/>
      <c r="E287" s="10"/>
      <c r="F287" s="11"/>
      <c r="G287" s="12"/>
    </row>
    <row r="288" spans="1:7" ht="14.25">
      <c r="A288" s="132"/>
      <c r="B288" s="131"/>
      <c r="C288" s="8"/>
      <c r="D288" s="9"/>
      <c r="E288" s="10"/>
      <c r="F288" s="11"/>
      <c r="G288" s="12"/>
    </row>
    <row r="289" spans="1:7" ht="14.25">
      <c r="A289" s="132"/>
      <c r="B289" s="131"/>
      <c r="C289" s="8"/>
      <c r="D289" s="9"/>
      <c r="E289" s="10"/>
      <c r="F289" s="11"/>
      <c r="G289" s="12"/>
    </row>
    <row r="290" spans="1:7" ht="14.25">
      <c r="A290" s="132"/>
      <c r="B290" s="131"/>
      <c r="C290" s="8"/>
      <c r="D290" s="9"/>
      <c r="E290" s="10"/>
      <c r="F290" s="11"/>
      <c r="G290" s="12"/>
    </row>
    <row r="291" spans="1:7" ht="14.25">
      <c r="A291" s="132"/>
      <c r="B291" s="131"/>
      <c r="C291" s="8"/>
      <c r="D291" s="9"/>
      <c r="E291" s="10"/>
      <c r="F291" s="11"/>
      <c r="G291" s="12"/>
    </row>
    <row r="292" spans="1:7" ht="14.25">
      <c r="A292" s="132"/>
      <c r="B292" s="131"/>
      <c r="C292" s="8"/>
      <c r="D292" s="9"/>
      <c r="E292" s="10"/>
      <c r="F292" s="11"/>
      <c r="G292" s="12"/>
    </row>
    <row r="293" spans="1:7" ht="14.25">
      <c r="A293" s="132"/>
      <c r="B293" s="131"/>
      <c r="C293" s="8"/>
      <c r="D293" s="9"/>
      <c r="E293" s="10"/>
      <c r="F293" s="11"/>
      <c r="G293" s="12"/>
    </row>
    <row r="294" spans="1:7" ht="14.25">
      <c r="A294" s="132"/>
      <c r="B294" s="131"/>
      <c r="C294" s="8"/>
      <c r="D294" s="9"/>
      <c r="E294" s="10"/>
      <c r="F294" s="11"/>
      <c r="G294" s="12"/>
    </row>
    <row r="295" spans="1:7" ht="14.25">
      <c r="A295" s="132"/>
      <c r="B295" s="131"/>
      <c r="C295" s="8"/>
      <c r="D295" s="9"/>
      <c r="E295" s="10"/>
      <c r="F295" s="11"/>
      <c r="G295" s="12"/>
    </row>
    <row r="296" spans="1:7" ht="14.25">
      <c r="A296" s="132"/>
      <c r="B296" s="131"/>
      <c r="C296" s="8"/>
      <c r="D296" s="9"/>
      <c r="E296" s="10"/>
      <c r="F296" s="11"/>
      <c r="G296" s="12"/>
    </row>
    <row r="297" spans="1:7" ht="14.25">
      <c r="A297" s="132"/>
      <c r="B297" s="131"/>
      <c r="C297" s="8"/>
      <c r="D297" s="9"/>
      <c r="E297" s="10"/>
      <c r="F297" s="11"/>
      <c r="G297" s="12"/>
    </row>
    <row r="298" spans="1:7" ht="14.25">
      <c r="A298" s="132"/>
      <c r="B298" s="131"/>
      <c r="C298" s="8"/>
      <c r="D298" s="9"/>
      <c r="E298" s="10"/>
      <c r="F298" s="11"/>
      <c r="G298" s="12"/>
    </row>
    <row r="299" spans="1:7" ht="14.25">
      <c r="A299" s="132"/>
      <c r="B299" s="131"/>
      <c r="C299" s="8"/>
      <c r="D299" s="9"/>
      <c r="E299" s="10"/>
      <c r="F299" s="11"/>
      <c r="G299" s="12"/>
    </row>
    <row r="300" spans="1:7" ht="14.25">
      <c r="A300" s="132"/>
      <c r="B300" s="131"/>
      <c r="C300" s="8"/>
      <c r="D300" s="9"/>
      <c r="E300" s="10"/>
      <c r="F300" s="11"/>
      <c r="G300" s="12"/>
    </row>
    <row r="301" spans="1:7" ht="14.25">
      <c r="A301" s="132"/>
      <c r="B301" s="131"/>
      <c r="C301" s="8"/>
      <c r="D301" s="9"/>
      <c r="E301" s="10"/>
      <c r="F301" s="11"/>
      <c r="G301" s="12"/>
    </row>
    <row r="302" spans="1:7" ht="14.25">
      <c r="A302" s="132"/>
      <c r="B302" s="131"/>
      <c r="C302" s="8"/>
      <c r="D302" s="9"/>
      <c r="E302" s="10"/>
      <c r="F302" s="11"/>
      <c r="G302" s="12"/>
    </row>
    <row r="303" spans="1:7" ht="14.25">
      <c r="A303" s="132"/>
      <c r="B303" s="131"/>
      <c r="C303" s="8"/>
      <c r="D303" s="9"/>
      <c r="E303" s="10"/>
      <c r="F303" s="11"/>
      <c r="G303" s="12"/>
    </row>
    <row r="304" spans="1:7" ht="14.25">
      <c r="A304" s="132"/>
      <c r="B304" s="131"/>
      <c r="C304" s="8"/>
      <c r="D304" s="9"/>
      <c r="E304" s="10"/>
      <c r="F304" s="11"/>
      <c r="G304" s="12"/>
    </row>
    <row r="305" spans="1:7" ht="14.25">
      <c r="A305" s="132"/>
      <c r="B305" s="131"/>
      <c r="C305" s="8"/>
      <c r="D305" s="9"/>
      <c r="E305" s="10"/>
      <c r="F305" s="11"/>
      <c r="G305" s="12"/>
    </row>
    <row r="306" spans="1:7" ht="14.25">
      <c r="A306" s="132"/>
      <c r="B306" s="131"/>
      <c r="C306" s="8"/>
      <c r="D306" s="9"/>
      <c r="E306" s="10"/>
      <c r="F306" s="11"/>
      <c r="G306" s="12"/>
    </row>
    <row r="307" spans="1:7" ht="14.25">
      <c r="A307" s="132"/>
      <c r="B307" s="131"/>
      <c r="C307" s="8"/>
      <c r="D307" s="9"/>
      <c r="E307" s="10"/>
      <c r="F307" s="11"/>
      <c r="G307" s="12"/>
    </row>
    <row r="308" spans="1:7" ht="14.25">
      <c r="A308" s="132"/>
      <c r="B308" s="131"/>
      <c r="C308" s="8"/>
      <c r="D308" s="9"/>
      <c r="E308" s="10"/>
      <c r="F308" s="11"/>
      <c r="G308" s="12"/>
    </row>
    <row r="309" spans="1:7" ht="14.25">
      <c r="A309" s="132"/>
      <c r="B309" s="131"/>
      <c r="C309" s="8"/>
      <c r="D309" s="9"/>
      <c r="E309" s="10"/>
      <c r="F309" s="11"/>
      <c r="G309" s="12"/>
    </row>
    <row r="310" spans="1:7" ht="14.25">
      <c r="A310" s="132"/>
      <c r="B310" s="131"/>
      <c r="C310" s="8"/>
      <c r="D310" s="9"/>
      <c r="E310" s="10"/>
      <c r="F310" s="11"/>
      <c r="G310" s="12"/>
    </row>
    <row r="311" spans="1:7" ht="14.25">
      <c r="A311" s="132"/>
      <c r="B311" s="131"/>
      <c r="C311" s="8"/>
      <c r="D311" s="9"/>
      <c r="E311" s="10"/>
      <c r="F311" s="11"/>
      <c r="G311" s="12"/>
    </row>
    <row r="312" spans="1:7" ht="14.25">
      <c r="A312" s="132"/>
      <c r="B312" s="131"/>
      <c r="C312" s="8"/>
      <c r="D312" s="9"/>
      <c r="E312" s="10"/>
      <c r="F312" s="11"/>
      <c r="G312" s="12"/>
    </row>
    <row r="313" spans="1:7" ht="14.25">
      <c r="A313" s="132"/>
      <c r="B313" s="131"/>
      <c r="C313" s="8"/>
      <c r="D313" s="9"/>
      <c r="E313" s="10"/>
      <c r="F313" s="11"/>
      <c r="G313" s="12"/>
    </row>
    <row r="314" spans="1:7" ht="14.25">
      <c r="A314" s="132"/>
      <c r="B314" s="131"/>
      <c r="C314" s="8"/>
      <c r="D314" s="9"/>
      <c r="E314" s="10"/>
      <c r="F314" s="11"/>
      <c r="G314" s="12"/>
    </row>
    <row r="315" spans="1:7" ht="14.25">
      <c r="A315" s="132"/>
      <c r="B315" s="131"/>
      <c r="C315" s="8"/>
      <c r="D315" s="9"/>
      <c r="E315" s="10"/>
      <c r="F315" s="11"/>
      <c r="G315" s="12"/>
    </row>
    <row r="316" spans="1:7" ht="14.25">
      <c r="A316" s="132"/>
      <c r="B316" s="131"/>
      <c r="C316" s="8"/>
      <c r="D316" s="9"/>
      <c r="E316" s="10"/>
      <c r="F316" s="11"/>
      <c r="G316" s="12"/>
    </row>
    <row r="317" spans="1:7" ht="14.25">
      <c r="A317" s="132"/>
      <c r="B317" s="131"/>
      <c r="C317" s="8"/>
      <c r="D317" s="9"/>
      <c r="E317" s="10"/>
      <c r="F317" s="11"/>
      <c r="G317" s="12"/>
    </row>
    <row r="318" spans="1:7" ht="14.25">
      <c r="A318" s="132"/>
      <c r="B318" s="131"/>
      <c r="C318" s="8"/>
      <c r="D318" s="9"/>
      <c r="E318" s="10"/>
      <c r="F318" s="11"/>
      <c r="G318" s="12"/>
    </row>
    <row r="319" spans="1:7" ht="14.25">
      <c r="A319" s="132"/>
      <c r="B319" s="131"/>
      <c r="C319" s="8"/>
      <c r="D319" s="9"/>
      <c r="E319" s="10"/>
      <c r="F319" s="11"/>
      <c r="G319" s="12"/>
    </row>
    <row r="320" spans="1:7" ht="14.25">
      <c r="A320" s="132"/>
      <c r="B320" s="131"/>
      <c r="C320" s="8"/>
      <c r="D320" s="9"/>
      <c r="E320" s="10"/>
      <c r="F320" s="11"/>
      <c r="G320" s="12"/>
    </row>
    <row r="321" spans="1:7" ht="14.25">
      <c r="A321" s="132"/>
      <c r="B321" s="131"/>
      <c r="C321" s="8"/>
      <c r="D321" s="9"/>
      <c r="E321" s="10"/>
      <c r="F321" s="11"/>
      <c r="G321" s="12"/>
    </row>
    <row r="322" spans="1:7" ht="14.25">
      <c r="A322" s="132"/>
      <c r="B322" s="131"/>
      <c r="C322" s="8"/>
      <c r="D322" s="9"/>
      <c r="E322" s="10"/>
      <c r="F322" s="11"/>
      <c r="G322" s="12"/>
    </row>
    <row r="323" spans="1:7" ht="14.25">
      <c r="A323" s="132"/>
      <c r="B323" s="131"/>
      <c r="C323" s="8"/>
      <c r="D323" s="9"/>
      <c r="E323" s="10"/>
      <c r="F323" s="11"/>
      <c r="G323" s="12"/>
    </row>
    <row r="324" spans="1:7" ht="14.25">
      <c r="A324" s="132"/>
      <c r="B324" s="131"/>
      <c r="C324" s="8"/>
      <c r="D324" s="9"/>
      <c r="E324" s="10"/>
      <c r="F324" s="11"/>
      <c r="G324" s="12"/>
    </row>
    <row r="325" spans="1:7" ht="14.25">
      <c r="A325" s="132"/>
      <c r="B325" s="131"/>
      <c r="C325" s="8"/>
      <c r="D325" s="9"/>
      <c r="E325" s="10"/>
      <c r="F325" s="11"/>
      <c r="G325" s="12"/>
    </row>
    <row r="326" spans="1:7" ht="14.25">
      <c r="A326" s="132"/>
      <c r="B326" s="131"/>
      <c r="C326" s="8"/>
      <c r="D326" s="9"/>
      <c r="E326" s="10"/>
      <c r="F326" s="11"/>
      <c r="G326" s="12"/>
    </row>
    <row r="327" spans="1:7" ht="14.25">
      <c r="A327" s="132"/>
      <c r="B327" s="131"/>
      <c r="C327" s="8"/>
      <c r="D327" s="9"/>
      <c r="E327" s="10"/>
      <c r="F327" s="11"/>
      <c r="G327" s="12"/>
    </row>
    <row r="328" spans="1:7" ht="14.25">
      <c r="A328" s="132"/>
      <c r="B328" s="131"/>
      <c r="C328" s="8"/>
      <c r="D328" s="9"/>
      <c r="E328" s="10"/>
      <c r="F328" s="11"/>
      <c r="G328" s="12"/>
    </row>
    <row r="329" spans="1:7" ht="14.25">
      <c r="A329" s="132"/>
      <c r="B329" s="131"/>
      <c r="C329" s="8"/>
      <c r="D329" s="9"/>
      <c r="E329" s="10"/>
      <c r="F329" s="11"/>
      <c r="G329" s="12"/>
    </row>
    <row r="330" spans="1:7" ht="14.25">
      <c r="A330" s="132"/>
      <c r="B330" s="131"/>
      <c r="C330" s="8"/>
      <c r="D330" s="9"/>
      <c r="E330" s="10"/>
      <c r="F330" s="11"/>
      <c r="G330" s="12"/>
    </row>
    <row r="331" spans="1:7" ht="14.25">
      <c r="A331" s="132"/>
      <c r="B331" s="131"/>
      <c r="C331" s="8"/>
      <c r="D331" s="9"/>
      <c r="E331" s="10"/>
      <c r="F331" s="11"/>
      <c r="G331" s="12"/>
    </row>
    <row r="332" spans="1:7" ht="14.25">
      <c r="A332" s="132"/>
      <c r="B332" s="131"/>
      <c r="C332" s="8"/>
      <c r="D332" s="9"/>
      <c r="E332" s="10"/>
      <c r="F332" s="11"/>
      <c r="G332" s="12"/>
    </row>
    <row r="333" spans="1:7" ht="14.25">
      <c r="A333" s="132"/>
      <c r="B333" s="131"/>
      <c r="C333" s="8"/>
      <c r="D333" s="9"/>
      <c r="E333" s="10"/>
      <c r="F333" s="11"/>
      <c r="G333" s="12"/>
    </row>
    <row r="334" spans="1:7" ht="14.25">
      <c r="A334" s="132"/>
      <c r="B334" s="131"/>
      <c r="C334" s="8"/>
      <c r="D334" s="9"/>
      <c r="E334" s="10"/>
      <c r="F334" s="11"/>
      <c r="G334" s="12"/>
    </row>
    <row r="335" spans="1:7" ht="14.25">
      <c r="A335" s="132"/>
      <c r="B335" s="131"/>
      <c r="C335" s="8"/>
      <c r="D335" s="9"/>
      <c r="E335" s="10"/>
      <c r="F335" s="11"/>
      <c r="G335" s="12"/>
    </row>
    <row r="336" spans="1:7" ht="14.25">
      <c r="A336" s="132"/>
      <c r="B336" s="131"/>
      <c r="C336" s="8"/>
      <c r="D336" s="9"/>
      <c r="E336" s="10"/>
      <c r="F336" s="11"/>
      <c r="G336" s="12"/>
    </row>
    <row r="337" spans="1:7" ht="14.25">
      <c r="A337" s="132"/>
      <c r="B337" s="131"/>
      <c r="C337" s="8"/>
      <c r="D337" s="9"/>
      <c r="E337" s="10"/>
      <c r="F337" s="11"/>
      <c r="G337" s="12"/>
    </row>
    <row r="338" spans="1:7" ht="14.25">
      <c r="A338" s="132"/>
      <c r="B338" s="131"/>
      <c r="C338" s="8"/>
      <c r="D338" s="9"/>
      <c r="E338" s="10"/>
      <c r="F338" s="11"/>
      <c r="G338" s="12"/>
    </row>
    <row r="339" spans="1:7" ht="14.25">
      <c r="A339" s="132"/>
      <c r="B339" s="131"/>
      <c r="C339" s="8"/>
      <c r="D339" s="9"/>
      <c r="E339" s="10"/>
      <c r="F339" s="11"/>
      <c r="G339" s="12"/>
    </row>
    <row r="340" spans="1:7" ht="14.25">
      <c r="A340" s="132"/>
      <c r="B340" s="131"/>
      <c r="C340" s="8"/>
      <c r="D340" s="9"/>
      <c r="E340" s="10"/>
      <c r="F340" s="11"/>
      <c r="G340" s="12"/>
    </row>
    <row r="341" spans="1:7" ht="14.25">
      <c r="A341" s="132"/>
      <c r="B341" s="131"/>
      <c r="C341" s="8"/>
      <c r="D341" s="9"/>
      <c r="E341" s="10"/>
      <c r="F341" s="11"/>
      <c r="G341" s="12"/>
    </row>
    <row r="342" spans="1:7" ht="14.25">
      <c r="A342" s="132"/>
      <c r="B342" s="131"/>
      <c r="C342" s="8"/>
      <c r="D342" s="9"/>
      <c r="E342" s="10"/>
      <c r="F342" s="11"/>
      <c r="G342" s="12"/>
    </row>
    <row r="343" spans="1:7" ht="14.25">
      <c r="A343" s="132"/>
      <c r="B343" s="131"/>
      <c r="C343" s="8"/>
      <c r="D343" s="9"/>
      <c r="E343" s="10"/>
      <c r="F343" s="11"/>
      <c r="G343" s="12"/>
    </row>
    <row r="344" spans="1:7" ht="14.25">
      <c r="A344" s="132"/>
      <c r="B344" s="131"/>
      <c r="C344" s="8"/>
      <c r="D344" s="9"/>
      <c r="E344" s="10"/>
      <c r="F344" s="11"/>
      <c r="G344" s="12"/>
    </row>
    <row r="345" spans="1:7" ht="14.25">
      <c r="A345" s="132"/>
      <c r="B345" s="131"/>
      <c r="C345" s="8"/>
      <c r="D345" s="9"/>
      <c r="E345" s="10"/>
      <c r="F345" s="11"/>
      <c r="G345" s="12"/>
    </row>
    <row r="346" spans="1:7" ht="14.25">
      <c r="A346" s="132"/>
      <c r="B346" s="131"/>
      <c r="C346" s="8"/>
      <c r="D346" s="9"/>
      <c r="E346" s="10"/>
      <c r="F346" s="11"/>
      <c r="G346" s="12"/>
    </row>
    <row r="347" spans="1:7" ht="14.25">
      <c r="A347" s="132"/>
      <c r="B347" s="131"/>
      <c r="C347" s="8"/>
      <c r="D347" s="9"/>
      <c r="E347" s="10"/>
      <c r="F347" s="11"/>
      <c r="G347" s="12"/>
    </row>
    <row r="348" spans="1:7" ht="14.25">
      <c r="A348" s="132"/>
      <c r="B348" s="131"/>
      <c r="C348" s="8"/>
      <c r="D348" s="9"/>
      <c r="E348" s="10"/>
      <c r="F348" s="11"/>
      <c r="G348" s="12"/>
    </row>
    <row r="349" spans="1:7" ht="14.25">
      <c r="A349" s="132"/>
      <c r="B349" s="131"/>
      <c r="C349" s="8"/>
      <c r="D349" s="9"/>
      <c r="E349" s="10"/>
      <c r="F349" s="11"/>
      <c r="G349" s="12"/>
    </row>
    <row r="350" spans="1:7" ht="14.25">
      <c r="A350" s="132"/>
      <c r="B350" s="131"/>
      <c r="C350" s="8"/>
      <c r="D350" s="9"/>
      <c r="E350" s="10"/>
      <c r="F350" s="11"/>
      <c r="G350" s="12"/>
    </row>
    <row r="351" spans="1:7" ht="14.25">
      <c r="A351" s="132"/>
      <c r="B351" s="131"/>
      <c r="C351" s="8"/>
      <c r="D351" s="9"/>
      <c r="E351" s="10"/>
      <c r="F351" s="11"/>
      <c r="G351" s="12"/>
    </row>
    <row r="352" spans="1:7" ht="14.25">
      <c r="A352" s="132"/>
      <c r="B352" s="131"/>
      <c r="C352" s="8"/>
      <c r="D352" s="9"/>
      <c r="E352" s="10"/>
      <c r="F352" s="11"/>
      <c r="G352" s="12"/>
    </row>
    <row r="353" spans="1:7" ht="14.25">
      <c r="A353" s="132"/>
      <c r="B353" s="131"/>
      <c r="C353" s="8"/>
      <c r="D353" s="9"/>
      <c r="E353" s="10"/>
      <c r="F353" s="11"/>
      <c r="G353" s="12"/>
    </row>
    <row r="354" spans="1:7" ht="14.25">
      <c r="A354" s="132"/>
      <c r="B354" s="131"/>
      <c r="C354" s="8"/>
      <c r="D354" s="9"/>
      <c r="E354" s="10"/>
      <c r="F354" s="11"/>
      <c r="G354" s="12"/>
    </row>
    <row r="355" spans="1:7" ht="14.25">
      <c r="A355" s="132"/>
      <c r="B355" s="131"/>
      <c r="C355" s="8"/>
      <c r="D355" s="9"/>
      <c r="E355" s="10"/>
      <c r="F355" s="11"/>
      <c r="G355" s="12"/>
    </row>
    <row r="356" spans="1:7" ht="14.25">
      <c r="A356" s="132"/>
      <c r="B356" s="131"/>
      <c r="C356" s="8"/>
      <c r="D356" s="9"/>
      <c r="E356" s="10"/>
      <c r="F356" s="11"/>
      <c r="G356" s="12"/>
    </row>
    <row r="357" spans="1:7" ht="14.25">
      <c r="A357" s="132"/>
      <c r="B357" s="131"/>
      <c r="C357" s="8"/>
      <c r="D357" s="9"/>
      <c r="E357" s="10"/>
      <c r="F357" s="11"/>
      <c r="G357" s="12"/>
    </row>
    <row r="358" spans="1:7" ht="14.25">
      <c r="A358" s="132"/>
      <c r="B358" s="131"/>
      <c r="C358" s="8"/>
      <c r="D358" s="9"/>
      <c r="E358" s="10"/>
      <c r="F358" s="11"/>
      <c r="G358" s="12"/>
    </row>
    <row r="359" spans="1:7" ht="14.25">
      <c r="A359" s="132"/>
      <c r="B359" s="131"/>
      <c r="C359" s="8"/>
      <c r="D359" s="9"/>
      <c r="E359" s="10"/>
      <c r="F359" s="11"/>
      <c r="G359" s="12"/>
    </row>
    <row r="360" spans="1:7" ht="14.25">
      <c r="A360" s="132"/>
      <c r="B360" s="131"/>
      <c r="C360" s="8"/>
      <c r="D360" s="9"/>
      <c r="E360" s="10"/>
      <c r="F360" s="11"/>
      <c r="G360" s="12"/>
    </row>
    <row r="361" spans="1:7" ht="14.25">
      <c r="A361" s="132"/>
      <c r="B361" s="131"/>
      <c r="C361" s="8"/>
      <c r="D361" s="9"/>
      <c r="E361" s="10"/>
      <c r="F361" s="11"/>
      <c r="G361" s="12"/>
    </row>
    <row r="362" spans="1:7" ht="14.25">
      <c r="A362" s="132"/>
      <c r="B362" s="131"/>
      <c r="C362" s="8"/>
      <c r="D362" s="9"/>
      <c r="E362" s="10"/>
      <c r="F362" s="11"/>
      <c r="G362" s="12"/>
    </row>
    <row r="363" spans="1:7" ht="14.25">
      <c r="A363" s="132"/>
      <c r="B363" s="131"/>
      <c r="C363" s="8"/>
      <c r="D363" s="9"/>
      <c r="E363" s="10"/>
      <c r="F363" s="11"/>
      <c r="G363" s="12"/>
    </row>
    <row r="364" spans="1:7" ht="14.25">
      <c r="A364" s="132"/>
      <c r="B364" s="131"/>
      <c r="C364" s="8"/>
      <c r="D364" s="9"/>
      <c r="E364" s="10"/>
      <c r="F364" s="11"/>
      <c r="G364" s="12"/>
    </row>
    <row r="365" spans="1:7" ht="14.25">
      <c r="A365" s="132"/>
      <c r="B365" s="131"/>
      <c r="C365" s="8"/>
      <c r="D365" s="9"/>
      <c r="E365" s="10"/>
      <c r="F365" s="11"/>
      <c r="G365" s="12"/>
    </row>
    <row r="366" spans="1:7" ht="14.25">
      <c r="A366" s="132"/>
      <c r="B366" s="131"/>
      <c r="C366" s="8"/>
      <c r="D366" s="9"/>
      <c r="E366" s="10"/>
      <c r="F366" s="11"/>
      <c r="G366" s="12"/>
    </row>
    <row r="367" spans="1:7" ht="14.25">
      <c r="A367" s="132"/>
      <c r="B367" s="131"/>
      <c r="C367" s="8"/>
      <c r="D367" s="9"/>
      <c r="E367" s="10"/>
      <c r="F367" s="11"/>
      <c r="G367" s="12"/>
    </row>
    <row r="368" spans="1:7" ht="14.25">
      <c r="A368" s="132"/>
      <c r="B368" s="131"/>
      <c r="C368" s="8"/>
      <c r="D368" s="9"/>
      <c r="E368" s="10"/>
      <c r="F368" s="11"/>
      <c r="G368" s="12"/>
    </row>
    <row r="369" spans="1:7" ht="14.25">
      <c r="A369" s="132"/>
      <c r="B369" s="131"/>
      <c r="C369" s="8"/>
      <c r="D369" s="9"/>
      <c r="E369" s="10"/>
      <c r="F369" s="11"/>
      <c r="G369" s="12"/>
    </row>
    <row r="370" spans="1:7" ht="14.25">
      <c r="A370" s="132"/>
      <c r="B370" s="131"/>
      <c r="C370" s="8"/>
      <c r="D370" s="9"/>
      <c r="E370" s="10"/>
      <c r="F370" s="11"/>
      <c r="G370" s="12"/>
    </row>
    <row r="371" spans="1:7" ht="14.25">
      <c r="A371" s="132"/>
      <c r="B371" s="131"/>
      <c r="C371" s="8"/>
      <c r="D371" s="9"/>
      <c r="E371" s="10"/>
      <c r="F371" s="11"/>
      <c r="G371" s="12"/>
    </row>
    <row r="372" spans="1:7" ht="14.25">
      <c r="A372" s="132"/>
      <c r="B372" s="131"/>
      <c r="C372" s="8"/>
      <c r="D372" s="9"/>
      <c r="E372" s="10"/>
      <c r="F372" s="11"/>
      <c r="G372" s="12"/>
    </row>
    <row r="373" spans="1:7" ht="14.25">
      <c r="A373" s="132"/>
      <c r="B373" s="131"/>
      <c r="C373" s="8"/>
      <c r="D373" s="9"/>
      <c r="E373" s="10"/>
      <c r="F373" s="11"/>
      <c r="G373" s="12"/>
    </row>
    <row r="374" spans="1:7" ht="14.25">
      <c r="A374" s="132"/>
      <c r="B374" s="131"/>
      <c r="C374" s="8"/>
      <c r="D374" s="9"/>
      <c r="E374" s="10"/>
      <c r="F374" s="11"/>
      <c r="G374" s="12"/>
    </row>
    <row r="375" spans="1:7" ht="14.25">
      <c r="A375" s="132"/>
      <c r="B375" s="131"/>
      <c r="C375" s="8"/>
      <c r="D375" s="9"/>
      <c r="E375" s="10"/>
      <c r="F375" s="11"/>
      <c r="G375" s="12"/>
    </row>
    <row r="376" spans="1:7" ht="14.25">
      <c r="A376" s="132"/>
      <c r="B376" s="131"/>
      <c r="C376" s="8"/>
      <c r="D376" s="9"/>
      <c r="E376" s="10"/>
      <c r="F376" s="11"/>
      <c r="G376" s="12"/>
    </row>
    <row r="377" spans="1:7" ht="14.25">
      <c r="A377" s="132"/>
      <c r="B377" s="131"/>
      <c r="C377" s="8"/>
      <c r="D377" s="9"/>
      <c r="E377" s="10"/>
      <c r="F377" s="11"/>
      <c r="G377" s="12"/>
    </row>
    <row r="378" spans="1:7" ht="14.25">
      <c r="A378" s="132"/>
      <c r="B378" s="131"/>
      <c r="C378" s="8"/>
      <c r="D378" s="9"/>
      <c r="E378" s="10"/>
      <c r="F378" s="11"/>
      <c r="G378" s="12"/>
    </row>
    <row r="379" spans="1:7" ht="14.25">
      <c r="A379" s="132"/>
      <c r="B379" s="131"/>
      <c r="C379" s="8"/>
      <c r="D379" s="9"/>
      <c r="E379" s="10"/>
      <c r="F379" s="11"/>
      <c r="G379" s="12"/>
    </row>
    <row r="380" spans="1:7" ht="14.25">
      <c r="A380" s="132"/>
      <c r="B380" s="131"/>
      <c r="C380" s="8"/>
      <c r="D380" s="9"/>
      <c r="E380" s="10"/>
      <c r="F380" s="11"/>
      <c r="G380" s="12"/>
    </row>
    <row r="381" spans="1:7" ht="14.25">
      <c r="A381" s="132"/>
      <c r="B381" s="131"/>
      <c r="C381" s="8"/>
      <c r="D381" s="9"/>
      <c r="E381" s="10"/>
      <c r="F381" s="11"/>
      <c r="G381" s="12"/>
    </row>
    <row r="382" spans="1:7" ht="14.25">
      <c r="A382" s="132"/>
      <c r="B382" s="131"/>
      <c r="C382" s="8"/>
      <c r="D382" s="9"/>
      <c r="E382" s="10"/>
      <c r="F382" s="11"/>
      <c r="G382" s="12"/>
    </row>
    <row r="383" spans="1:7" ht="14.25">
      <c r="A383" s="132"/>
      <c r="B383" s="131"/>
      <c r="C383" s="8"/>
      <c r="D383" s="9"/>
      <c r="E383" s="10"/>
      <c r="F383" s="11"/>
      <c r="G383" s="12"/>
    </row>
    <row r="384" spans="1:7" ht="14.25">
      <c r="A384" s="132"/>
      <c r="B384" s="131"/>
      <c r="C384" s="8"/>
      <c r="D384" s="9"/>
      <c r="E384" s="10"/>
      <c r="F384" s="11"/>
      <c r="G384" s="12"/>
    </row>
    <row r="385" spans="1:7" ht="14.25">
      <c r="A385" s="132"/>
      <c r="B385" s="131"/>
      <c r="C385" s="8"/>
      <c r="D385" s="9"/>
      <c r="E385" s="10"/>
      <c r="F385" s="11"/>
      <c r="G385" s="12"/>
    </row>
    <row r="386" spans="1:7" ht="14.25">
      <c r="A386" s="132"/>
      <c r="B386" s="131"/>
      <c r="C386" s="8"/>
      <c r="D386" s="9"/>
      <c r="E386" s="10"/>
      <c r="F386" s="11"/>
      <c r="G386" s="12"/>
    </row>
    <row r="387" spans="1:7" ht="14.25">
      <c r="A387" s="132"/>
      <c r="B387" s="131"/>
      <c r="C387" s="8"/>
      <c r="D387" s="9"/>
      <c r="E387" s="10"/>
      <c r="F387" s="11"/>
      <c r="G387" s="12"/>
    </row>
    <row r="388" spans="1:7" ht="14.25">
      <c r="A388" s="132"/>
      <c r="B388" s="131"/>
      <c r="C388" s="8"/>
      <c r="D388" s="9"/>
      <c r="E388" s="10"/>
      <c r="F388" s="11"/>
      <c r="G388" s="12"/>
    </row>
    <row r="389" spans="1:7" ht="14.25">
      <c r="A389" s="132"/>
      <c r="B389" s="131"/>
      <c r="C389" s="8"/>
      <c r="D389" s="9"/>
      <c r="E389" s="10"/>
      <c r="F389" s="11"/>
      <c r="G389" s="12"/>
    </row>
    <row r="390" spans="1:7" ht="14.25">
      <c r="A390" s="132"/>
      <c r="B390" s="131"/>
      <c r="C390" s="8"/>
      <c r="D390" s="9"/>
      <c r="E390" s="10"/>
      <c r="F390" s="11"/>
      <c r="G390" s="12"/>
    </row>
    <row r="391" spans="1:7" ht="14.25">
      <c r="A391" s="132"/>
      <c r="B391" s="131"/>
      <c r="C391" s="8"/>
      <c r="D391" s="9"/>
      <c r="E391" s="10"/>
      <c r="F391" s="11"/>
      <c r="G391" s="12"/>
    </row>
    <row r="392" spans="1:7" ht="14.25">
      <c r="A392" s="132"/>
      <c r="B392" s="131"/>
      <c r="C392" s="8"/>
      <c r="D392" s="9"/>
      <c r="E392" s="10"/>
      <c r="F392" s="11"/>
      <c r="G392" s="12"/>
    </row>
    <row r="393" spans="1:7" ht="14.25">
      <c r="A393" s="132"/>
      <c r="B393" s="131"/>
      <c r="C393" s="8"/>
      <c r="D393" s="9"/>
      <c r="E393" s="10"/>
      <c r="F393" s="11"/>
      <c r="G393" s="12"/>
    </row>
    <row r="394" spans="1:7" ht="14.25">
      <c r="A394" s="132"/>
      <c r="B394" s="131"/>
      <c r="C394" s="8"/>
      <c r="D394" s="9"/>
      <c r="E394" s="10"/>
      <c r="F394" s="11"/>
      <c r="G394" s="12"/>
    </row>
    <row r="395" spans="1:7" ht="14.25">
      <c r="A395" s="132"/>
      <c r="B395" s="131"/>
      <c r="C395" s="8"/>
      <c r="D395" s="9"/>
      <c r="E395" s="10"/>
      <c r="F395" s="11"/>
      <c r="G395" s="12"/>
    </row>
    <row r="396" spans="1:7" ht="14.25">
      <c r="A396" s="132"/>
      <c r="B396" s="131"/>
      <c r="C396" s="8"/>
      <c r="D396" s="9"/>
      <c r="E396" s="10"/>
      <c r="F396" s="11"/>
      <c r="G396" s="12"/>
    </row>
    <row r="397" spans="1:7" ht="14.25">
      <c r="A397" s="132"/>
      <c r="B397" s="131"/>
      <c r="C397" s="8"/>
      <c r="D397" s="9"/>
      <c r="E397" s="10"/>
      <c r="F397" s="11"/>
      <c r="G397" s="12"/>
    </row>
    <row r="398" spans="1:7" ht="14.25">
      <c r="A398" s="132"/>
      <c r="B398" s="131"/>
      <c r="C398" s="8"/>
      <c r="D398" s="9"/>
      <c r="E398" s="10"/>
      <c r="F398" s="11"/>
      <c r="G398" s="12"/>
    </row>
    <row r="399" spans="1:7" ht="14.25">
      <c r="A399" s="132"/>
      <c r="B399" s="131"/>
      <c r="C399" s="8"/>
      <c r="D399" s="9"/>
      <c r="E399" s="10"/>
      <c r="F399" s="11"/>
      <c r="G399" s="12"/>
    </row>
    <row r="400" spans="1:7" ht="14.25">
      <c r="A400" s="132"/>
      <c r="B400" s="131"/>
      <c r="C400" s="8"/>
      <c r="D400" s="9"/>
      <c r="E400" s="10"/>
      <c r="F400" s="11"/>
      <c r="G400" s="12"/>
    </row>
    <row r="401" spans="1:7" ht="14.25">
      <c r="A401" s="132"/>
      <c r="B401" s="131"/>
      <c r="C401" s="8"/>
      <c r="D401" s="9"/>
      <c r="E401" s="10"/>
      <c r="F401" s="11"/>
      <c r="G401" s="12"/>
    </row>
    <row r="402" spans="1:7" ht="14.25">
      <c r="A402" s="132"/>
      <c r="B402" s="131"/>
      <c r="C402" s="8"/>
      <c r="D402" s="9"/>
      <c r="E402" s="10"/>
      <c r="F402" s="11"/>
      <c r="G402" s="12"/>
    </row>
    <row r="403" spans="1:7" ht="14.25">
      <c r="A403" s="132"/>
      <c r="B403" s="131"/>
      <c r="C403" s="8"/>
      <c r="D403" s="9"/>
      <c r="E403" s="10"/>
      <c r="F403" s="11"/>
      <c r="G403" s="12"/>
    </row>
    <row r="404" spans="1:7" ht="14.25">
      <c r="A404" s="132"/>
      <c r="B404" s="131"/>
      <c r="C404" s="8"/>
      <c r="D404" s="9"/>
      <c r="E404" s="10"/>
      <c r="F404" s="11"/>
      <c r="G404" s="12"/>
    </row>
    <row r="405" spans="1:7" ht="14.25">
      <c r="A405" s="132"/>
      <c r="B405" s="131"/>
      <c r="C405" s="8"/>
      <c r="D405" s="9"/>
      <c r="E405" s="10"/>
      <c r="F405" s="11"/>
      <c r="G405" s="12"/>
    </row>
    <row r="406" spans="1:7" ht="14.25">
      <c r="A406" s="132"/>
      <c r="B406" s="131"/>
      <c r="C406" s="8"/>
      <c r="D406" s="9"/>
      <c r="E406" s="10"/>
      <c r="F406" s="11"/>
      <c r="G406" s="12"/>
    </row>
    <row r="407" spans="1:7" ht="14.25">
      <c r="A407" s="132"/>
      <c r="B407" s="131"/>
      <c r="C407" s="8"/>
      <c r="D407" s="9"/>
      <c r="E407" s="10"/>
      <c r="F407" s="11"/>
      <c r="G407" s="12"/>
    </row>
    <row r="408" spans="1:7" ht="14.25">
      <c r="A408" s="132"/>
      <c r="B408" s="131"/>
      <c r="C408" s="8"/>
      <c r="D408" s="9"/>
      <c r="E408" s="10"/>
      <c r="F408" s="11"/>
      <c r="G408" s="12"/>
    </row>
    <row r="409" spans="1:7" ht="14.25">
      <c r="A409" s="132"/>
      <c r="B409" s="131"/>
      <c r="C409" s="8"/>
      <c r="D409" s="9"/>
      <c r="E409" s="10"/>
      <c r="F409" s="11"/>
      <c r="G409" s="12"/>
    </row>
    <row r="410" spans="1:7" ht="14.25">
      <c r="A410" s="132"/>
      <c r="B410" s="131"/>
      <c r="C410" s="8"/>
      <c r="D410" s="9"/>
      <c r="E410" s="10"/>
      <c r="F410" s="11"/>
      <c r="G410" s="12"/>
    </row>
    <row r="411" spans="1:7" ht="14.25">
      <c r="A411" s="132"/>
      <c r="B411" s="131"/>
      <c r="C411" s="8"/>
      <c r="D411" s="9"/>
      <c r="E411" s="10"/>
      <c r="F411" s="11"/>
      <c r="G411" s="12"/>
    </row>
    <row r="412" spans="1:7" ht="14.25">
      <c r="A412" s="132"/>
      <c r="B412" s="131"/>
      <c r="C412" s="8"/>
      <c r="D412" s="9"/>
      <c r="E412" s="10"/>
      <c r="F412" s="11"/>
      <c r="G412" s="12"/>
    </row>
    <row r="413" spans="1:7" ht="14.25">
      <c r="A413" s="132"/>
      <c r="B413" s="131"/>
      <c r="C413" s="8"/>
      <c r="D413" s="9"/>
      <c r="E413" s="10"/>
      <c r="F413" s="11"/>
      <c r="G413" s="12"/>
    </row>
    <row r="414" spans="1:7" ht="14.25">
      <c r="A414" s="132"/>
      <c r="B414" s="131"/>
      <c r="C414" s="8"/>
      <c r="D414" s="9"/>
      <c r="E414" s="10"/>
      <c r="F414" s="11"/>
      <c r="G414" s="12"/>
    </row>
    <row r="415" spans="1:7" ht="14.25">
      <c r="A415" s="132"/>
      <c r="B415" s="131"/>
      <c r="C415" s="8"/>
      <c r="D415" s="9"/>
      <c r="E415" s="10"/>
      <c r="F415" s="11"/>
      <c r="G415" s="12"/>
    </row>
    <row r="416" spans="1:7" ht="14.25">
      <c r="A416" s="132"/>
      <c r="B416" s="131"/>
      <c r="C416" s="8"/>
      <c r="D416" s="9"/>
      <c r="E416" s="10"/>
      <c r="F416" s="11"/>
      <c r="G416" s="12"/>
    </row>
    <row r="417" spans="1:7" ht="14.25">
      <c r="A417" s="132"/>
      <c r="B417" s="131"/>
      <c r="C417" s="8"/>
      <c r="D417" s="9"/>
      <c r="E417" s="10"/>
      <c r="F417" s="11"/>
      <c r="G417" s="12"/>
    </row>
    <row r="418" spans="1:7" ht="14.25">
      <c r="A418" s="132"/>
      <c r="B418" s="131"/>
      <c r="C418" s="8"/>
      <c r="D418" s="9"/>
      <c r="E418" s="10"/>
      <c r="F418" s="11"/>
      <c r="G418" s="12"/>
    </row>
    <row r="419" spans="1:7" ht="14.25">
      <c r="A419" s="132"/>
      <c r="B419" s="131"/>
      <c r="C419" s="8"/>
      <c r="D419" s="9"/>
      <c r="E419" s="10"/>
      <c r="F419" s="11"/>
      <c r="G419" s="12"/>
    </row>
    <row r="420" spans="1:7" ht="14.25">
      <c r="A420" s="132"/>
      <c r="B420" s="131"/>
      <c r="C420" s="8"/>
      <c r="D420" s="9"/>
      <c r="E420" s="10"/>
      <c r="F420" s="11"/>
      <c r="G420" s="12"/>
    </row>
    <row r="421" spans="1:7" ht="14.25">
      <c r="A421" s="132"/>
      <c r="B421" s="131"/>
      <c r="C421" s="8"/>
      <c r="D421" s="9"/>
      <c r="E421" s="10"/>
      <c r="F421" s="11"/>
      <c r="G421" s="12"/>
    </row>
    <row r="422" spans="1:7" ht="14.25">
      <c r="A422" s="132"/>
      <c r="B422" s="131"/>
      <c r="C422" s="8"/>
      <c r="D422" s="9"/>
      <c r="E422" s="10"/>
      <c r="F422" s="11"/>
      <c r="G422" s="12"/>
    </row>
    <row r="423" spans="1:7" ht="14.25">
      <c r="A423" s="132"/>
      <c r="B423" s="131"/>
      <c r="C423" s="8"/>
      <c r="D423" s="9"/>
      <c r="E423" s="10"/>
      <c r="F423" s="11"/>
      <c r="G423" s="12"/>
    </row>
    <row r="424" spans="1:7" ht="14.25">
      <c r="A424" s="132"/>
      <c r="B424" s="131"/>
      <c r="C424" s="8"/>
      <c r="D424" s="9"/>
      <c r="E424" s="10"/>
      <c r="F424" s="11"/>
      <c r="G424" s="12"/>
    </row>
    <row r="425" spans="1:7" ht="14.25">
      <c r="A425" s="132"/>
      <c r="B425" s="131"/>
      <c r="C425" s="8"/>
      <c r="D425" s="9"/>
      <c r="E425" s="10"/>
      <c r="F425" s="11"/>
      <c r="G425" s="12"/>
    </row>
    <row r="426" spans="1:7" ht="14.25">
      <c r="A426" s="132"/>
      <c r="B426" s="131"/>
      <c r="C426" s="8"/>
      <c r="D426" s="9"/>
      <c r="E426" s="10"/>
      <c r="F426" s="11"/>
      <c r="G426" s="12"/>
    </row>
    <row r="427" spans="1:7" ht="14.25">
      <c r="A427" s="132"/>
      <c r="B427" s="131"/>
      <c r="C427" s="8"/>
      <c r="D427" s="9"/>
      <c r="E427" s="10"/>
      <c r="F427" s="11"/>
      <c r="G427" s="12"/>
    </row>
    <row r="428" spans="1:7" ht="14.25">
      <c r="A428" s="132"/>
      <c r="B428" s="131"/>
      <c r="C428" s="8"/>
      <c r="D428" s="9"/>
      <c r="E428" s="10"/>
      <c r="F428" s="11"/>
      <c r="G428" s="12"/>
    </row>
    <row r="429" spans="1:7" ht="14.25">
      <c r="A429" s="132"/>
      <c r="B429" s="131"/>
      <c r="C429" s="8"/>
      <c r="D429" s="9"/>
      <c r="E429" s="10"/>
      <c r="F429" s="11"/>
      <c r="G429" s="12"/>
    </row>
    <row r="430" spans="1:7" ht="14.25">
      <c r="A430" s="132"/>
      <c r="B430" s="131"/>
      <c r="C430" s="8"/>
      <c r="D430" s="9"/>
      <c r="E430" s="10"/>
      <c r="F430" s="11"/>
      <c r="G430" s="12"/>
    </row>
    <row r="431" spans="1:7" ht="14.25">
      <c r="A431" s="132"/>
      <c r="B431" s="131"/>
      <c r="C431" s="8"/>
      <c r="D431" s="9"/>
      <c r="E431" s="10"/>
      <c r="F431" s="11"/>
      <c r="G431" s="12"/>
    </row>
    <row r="432" spans="1:7" ht="14.25">
      <c r="A432" s="132"/>
      <c r="B432" s="131"/>
      <c r="C432" s="8"/>
      <c r="D432" s="9"/>
      <c r="E432" s="10"/>
      <c r="F432" s="11"/>
      <c r="G432" s="12"/>
    </row>
    <row r="433" spans="1:7" ht="14.25">
      <c r="A433" s="132"/>
      <c r="B433" s="131"/>
      <c r="C433" s="8"/>
      <c r="D433" s="9"/>
      <c r="E433" s="10"/>
      <c r="F433" s="11"/>
      <c r="G433" s="12"/>
    </row>
    <row r="434" spans="1:7" ht="14.25">
      <c r="A434" s="132"/>
      <c r="B434" s="131"/>
      <c r="C434" s="8"/>
      <c r="D434" s="9"/>
      <c r="E434" s="10"/>
      <c r="F434" s="11"/>
      <c r="G434" s="12"/>
    </row>
    <row r="435" spans="1:7" ht="14.25">
      <c r="A435" s="132"/>
      <c r="B435" s="131"/>
      <c r="C435" s="8"/>
      <c r="D435" s="9"/>
      <c r="E435" s="10"/>
      <c r="F435" s="11"/>
      <c r="G435" s="12"/>
    </row>
    <row r="436" spans="1:7" ht="14.25">
      <c r="A436" s="132"/>
      <c r="B436" s="131"/>
      <c r="C436" s="8"/>
      <c r="D436" s="9"/>
      <c r="E436" s="10"/>
      <c r="F436" s="11"/>
      <c r="G436" s="12"/>
    </row>
    <row r="437" spans="1:7" ht="14.25">
      <c r="A437" s="132"/>
      <c r="B437" s="131"/>
      <c r="C437" s="8"/>
      <c r="D437" s="9"/>
      <c r="E437" s="10"/>
      <c r="F437" s="11"/>
      <c r="G437" s="12"/>
    </row>
    <row r="438" spans="1:7" ht="14.25">
      <c r="A438" s="132"/>
      <c r="B438" s="131"/>
      <c r="C438" s="8"/>
      <c r="D438" s="9"/>
      <c r="E438" s="10"/>
      <c r="F438" s="11"/>
      <c r="G438" s="12"/>
    </row>
    <row r="439" spans="1:7" ht="14.25">
      <c r="A439" s="132"/>
      <c r="B439" s="131"/>
      <c r="C439" s="8"/>
      <c r="D439" s="9"/>
      <c r="E439" s="10"/>
      <c r="F439" s="11"/>
      <c r="G439" s="12"/>
    </row>
    <row r="440" spans="1:7" ht="14.25">
      <c r="A440" s="132"/>
      <c r="B440" s="131"/>
      <c r="C440" s="8"/>
      <c r="D440" s="9"/>
      <c r="E440" s="10"/>
      <c r="F440" s="11"/>
      <c r="G440" s="12"/>
    </row>
    <row r="441" spans="1:7" ht="14.25">
      <c r="A441" s="132"/>
      <c r="B441" s="131"/>
      <c r="C441" s="8"/>
      <c r="D441" s="9"/>
      <c r="E441" s="10"/>
      <c r="F441" s="11"/>
      <c r="G441" s="12"/>
    </row>
    <row r="442" spans="1:7" ht="14.25">
      <c r="A442" s="132"/>
      <c r="B442" s="131"/>
      <c r="C442" s="8"/>
      <c r="D442" s="9"/>
      <c r="E442" s="10"/>
      <c r="F442" s="11"/>
      <c r="G442" s="12"/>
    </row>
    <row r="443" spans="1:7" ht="14.25">
      <c r="A443" s="132"/>
      <c r="B443" s="131"/>
      <c r="C443" s="8"/>
      <c r="D443" s="9"/>
      <c r="E443" s="10"/>
      <c r="F443" s="11"/>
      <c r="G443" s="12"/>
    </row>
    <row r="444" spans="1:7" ht="14.25">
      <c r="A444" s="132"/>
      <c r="B444" s="131"/>
      <c r="C444" s="8"/>
      <c r="D444" s="9"/>
      <c r="E444" s="10"/>
      <c r="F444" s="11"/>
      <c r="G444" s="12"/>
    </row>
    <row r="445" spans="1:7" ht="14.25">
      <c r="A445" s="132"/>
      <c r="B445" s="131"/>
      <c r="C445" s="8"/>
      <c r="D445" s="9"/>
      <c r="E445" s="10"/>
      <c r="F445" s="11"/>
      <c r="G445" s="12"/>
    </row>
    <row r="446" spans="1:7" ht="14.25">
      <c r="A446" s="132"/>
      <c r="B446" s="131"/>
      <c r="C446" s="8"/>
      <c r="D446" s="9"/>
      <c r="E446" s="10"/>
      <c r="F446" s="11"/>
      <c r="G446" s="12"/>
    </row>
    <row r="447" spans="1:7" ht="14.25">
      <c r="A447" s="132"/>
      <c r="B447" s="131"/>
      <c r="C447" s="8"/>
      <c r="D447" s="9"/>
      <c r="E447" s="10"/>
      <c r="F447" s="11"/>
      <c r="G447" s="12"/>
    </row>
    <row r="448" spans="1:7" ht="14.25">
      <c r="A448" s="132"/>
      <c r="B448" s="131"/>
      <c r="C448" s="8"/>
      <c r="D448" s="9"/>
      <c r="E448" s="10"/>
      <c r="F448" s="11"/>
      <c r="G448" s="12"/>
    </row>
    <row r="449" spans="1:7" ht="14.25">
      <c r="A449" s="132"/>
      <c r="B449" s="131"/>
      <c r="C449" s="8"/>
      <c r="D449" s="9"/>
      <c r="E449" s="10"/>
      <c r="F449" s="11"/>
      <c r="G449" s="12"/>
    </row>
    <row r="450" spans="1:7" ht="14.25">
      <c r="A450" s="132"/>
      <c r="B450" s="131"/>
      <c r="C450" s="8"/>
      <c r="D450" s="9"/>
      <c r="E450" s="10"/>
      <c r="F450" s="11"/>
      <c r="G450" s="12"/>
    </row>
    <row r="451" spans="1:7" ht="14.25">
      <c r="A451" s="132"/>
      <c r="B451" s="131"/>
      <c r="C451" s="8"/>
      <c r="D451" s="9"/>
      <c r="E451" s="10"/>
      <c r="F451" s="11"/>
      <c r="G451" s="12"/>
    </row>
    <row r="452" spans="1:7" ht="14.25">
      <c r="A452" s="132"/>
      <c r="B452" s="131"/>
      <c r="C452" s="8"/>
      <c r="D452" s="9"/>
      <c r="E452" s="10"/>
      <c r="F452" s="11"/>
      <c r="G452" s="12"/>
    </row>
    <row r="453" spans="1:7" ht="14.25">
      <c r="A453" s="132"/>
      <c r="B453" s="131"/>
      <c r="C453" s="8"/>
      <c r="D453" s="9"/>
      <c r="E453" s="10"/>
      <c r="F453" s="11"/>
      <c r="G453" s="12"/>
    </row>
    <row r="454" spans="1:7" ht="14.25">
      <c r="A454" s="132"/>
      <c r="B454" s="131"/>
      <c r="C454" s="8"/>
      <c r="D454" s="9"/>
      <c r="E454" s="10"/>
      <c r="F454" s="11"/>
      <c r="G454" s="12"/>
    </row>
    <row r="455" spans="1:7" ht="14.25">
      <c r="A455" s="132"/>
      <c r="B455" s="131"/>
      <c r="C455" s="8"/>
      <c r="D455" s="9"/>
      <c r="E455" s="10"/>
      <c r="F455" s="11"/>
      <c r="G455" s="12"/>
    </row>
    <row r="456" spans="1:7" ht="14.25">
      <c r="A456" s="132"/>
      <c r="B456" s="131"/>
      <c r="C456" s="8"/>
      <c r="D456" s="9"/>
      <c r="E456" s="10"/>
      <c r="F456" s="11"/>
      <c r="G456" s="12"/>
    </row>
    <row r="457" spans="1:7" ht="14.25">
      <c r="A457" s="132"/>
      <c r="B457" s="131"/>
      <c r="C457" s="8"/>
      <c r="D457" s="9"/>
      <c r="E457" s="10"/>
      <c r="F457" s="11"/>
      <c r="G457" s="12"/>
    </row>
    <row r="458" spans="1:7" ht="14.25">
      <c r="A458" s="132"/>
      <c r="B458" s="131"/>
      <c r="C458" s="8"/>
      <c r="D458" s="9"/>
      <c r="E458" s="10"/>
      <c r="F458" s="11"/>
      <c r="G458" s="12"/>
    </row>
    <row r="459" spans="1:7" ht="14.25">
      <c r="A459" s="132"/>
      <c r="B459" s="131"/>
      <c r="C459" s="8"/>
      <c r="D459" s="9"/>
      <c r="E459" s="10"/>
      <c r="F459" s="11"/>
      <c r="G459" s="12"/>
    </row>
    <row r="460" spans="1:7" ht="14.25">
      <c r="A460" s="132"/>
      <c r="B460" s="131"/>
      <c r="C460" s="8"/>
      <c r="D460" s="9"/>
      <c r="E460" s="10"/>
      <c r="F460" s="11"/>
      <c r="G460" s="12"/>
    </row>
    <row r="461" spans="1:7" ht="14.25">
      <c r="A461" s="132"/>
      <c r="B461" s="131"/>
      <c r="C461" s="8"/>
      <c r="D461" s="9"/>
      <c r="E461" s="10"/>
      <c r="F461" s="11"/>
      <c r="G461" s="12"/>
    </row>
    <row r="462" spans="1:7" ht="14.25">
      <c r="A462" s="132"/>
      <c r="B462" s="131"/>
      <c r="C462" s="8"/>
      <c r="D462" s="9"/>
      <c r="E462" s="10"/>
      <c r="F462" s="11"/>
      <c r="G462" s="12"/>
    </row>
    <row r="463" spans="1:7" ht="14.25">
      <c r="A463" s="132"/>
      <c r="B463" s="131"/>
      <c r="C463" s="8"/>
      <c r="D463" s="9"/>
      <c r="E463" s="10"/>
      <c r="F463" s="11"/>
      <c r="G463" s="12"/>
    </row>
    <row r="464" spans="1:7" ht="14.25">
      <c r="A464" s="132"/>
      <c r="B464" s="131"/>
      <c r="C464" s="8"/>
      <c r="D464" s="9"/>
      <c r="E464" s="10"/>
      <c r="F464" s="11"/>
      <c r="G464" s="12"/>
    </row>
    <row r="465" spans="1:7" ht="14.25">
      <c r="A465" s="132"/>
      <c r="B465" s="131"/>
      <c r="C465" s="8"/>
      <c r="D465" s="9"/>
      <c r="E465" s="10"/>
      <c r="F465" s="11"/>
      <c r="G465" s="12"/>
    </row>
    <row r="466" spans="1:7" ht="14.25">
      <c r="A466" s="132"/>
      <c r="B466" s="131"/>
      <c r="C466" s="8"/>
      <c r="D466" s="9"/>
      <c r="E466" s="10"/>
      <c r="F466" s="11"/>
      <c r="G466" s="12"/>
    </row>
    <row r="467" spans="1:7" ht="14.25">
      <c r="A467" s="132"/>
      <c r="B467" s="131"/>
      <c r="C467" s="8"/>
      <c r="D467" s="9"/>
      <c r="E467" s="10"/>
      <c r="F467" s="11"/>
      <c r="G467" s="12"/>
    </row>
    <row r="468" spans="1:7" ht="14.25">
      <c r="A468" s="132"/>
      <c r="B468" s="131"/>
      <c r="C468" s="8"/>
      <c r="D468" s="9"/>
      <c r="E468" s="10"/>
      <c r="F468" s="11"/>
      <c r="G468" s="12"/>
    </row>
    <row r="469" spans="1:7" ht="14.25">
      <c r="A469" s="132"/>
      <c r="B469" s="131"/>
      <c r="C469" s="8"/>
      <c r="D469" s="9"/>
      <c r="E469" s="10"/>
      <c r="F469" s="11"/>
      <c r="G469" s="12"/>
    </row>
    <row r="470" spans="1:7" ht="14.25">
      <c r="A470" s="132"/>
      <c r="B470" s="131"/>
      <c r="C470" s="8"/>
      <c r="D470" s="9"/>
      <c r="E470" s="10"/>
      <c r="F470" s="11"/>
      <c r="G470" s="12"/>
    </row>
    <row r="471" spans="1:7" ht="14.25">
      <c r="A471" s="132"/>
      <c r="B471" s="131"/>
      <c r="C471" s="8"/>
      <c r="D471" s="9"/>
      <c r="E471" s="10"/>
      <c r="F471" s="11"/>
      <c r="G471" s="12"/>
    </row>
    <row r="472" spans="1:7" ht="14.25">
      <c r="A472" s="132"/>
      <c r="B472" s="131"/>
      <c r="C472" s="8"/>
      <c r="D472" s="9"/>
      <c r="E472" s="10"/>
      <c r="F472" s="11"/>
      <c r="G472" s="12"/>
    </row>
    <row r="473" spans="1:7" ht="14.25">
      <c r="A473" s="132"/>
      <c r="B473" s="131"/>
      <c r="C473" s="8"/>
      <c r="D473" s="9"/>
      <c r="E473" s="10"/>
      <c r="F473" s="11"/>
      <c r="G473" s="12"/>
    </row>
    <row r="474" spans="1:7" ht="14.25">
      <c r="A474" s="132"/>
      <c r="B474" s="131"/>
      <c r="C474" s="8"/>
      <c r="D474" s="9"/>
      <c r="E474" s="10"/>
      <c r="F474" s="11"/>
      <c r="G474" s="12"/>
    </row>
    <row r="475" spans="1:7" ht="14.25">
      <c r="A475" s="132"/>
      <c r="B475" s="131"/>
      <c r="C475" s="8"/>
      <c r="D475" s="9"/>
      <c r="E475" s="10"/>
      <c r="F475" s="11"/>
      <c r="G475" s="12"/>
    </row>
    <row r="476" spans="1:7" ht="14.25">
      <c r="A476" s="132"/>
      <c r="B476" s="131"/>
      <c r="C476" s="8"/>
      <c r="D476" s="9"/>
      <c r="E476" s="10"/>
      <c r="F476" s="11"/>
      <c r="G476" s="12"/>
    </row>
    <row r="477" spans="1:7" ht="14.25">
      <c r="A477" s="132"/>
      <c r="B477" s="131"/>
      <c r="C477" s="8"/>
      <c r="D477" s="9"/>
      <c r="E477" s="10"/>
      <c r="F477" s="11"/>
      <c r="G477" s="12"/>
    </row>
    <row r="478" spans="1:7" ht="14.25">
      <c r="A478" s="132"/>
      <c r="B478" s="131"/>
      <c r="C478" s="8"/>
      <c r="D478" s="9"/>
      <c r="E478" s="10"/>
      <c r="F478" s="11"/>
      <c r="G478" s="12"/>
    </row>
    <row r="479" spans="1:7" ht="14.25">
      <c r="A479" s="132"/>
      <c r="B479" s="131"/>
      <c r="C479" s="8"/>
      <c r="D479" s="9"/>
      <c r="E479" s="10"/>
      <c r="F479" s="11"/>
      <c r="G479" s="12"/>
    </row>
    <row r="480" spans="1:7" ht="14.25">
      <c r="A480" s="132"/>
      <c r="B480" s="131"/>
      <c r="C480" s="8"/>
      <c r="D480" s="9"/>
      <c r="E480" s="10"/>
      <c r="F480" s="11"/>
      <c r="G480" s="12"/>
    </row>
    <row r="481" spans="1:7" ht="14.25">
      <c r="A481" s="132"/>
      <c r="B481" s="131"/>
      <c r="C481" s="8"/>
      <c r="D481" s="9"/>
      <c r="E481" s="10"/>
      <c r="F481" s="11"/>
      <c r="G481" s="12"/>
    </row>
    <row r="482" spans="1:7" ht="14.25">
      <c r="A482" s="132"/>
      <c r="B482" s="131"/>
      <c r="C482" s="8"/>
      <c r="D482" s="9"/>
      <c r="E482" s="10"/>
      <c r="F482" s="11"/>
      <c r="G482" s="12"/>
    </row>
    <row r="483" spans="1:7" ht="14.25">
      <c r="A483" s="132"/>
      <c r="B483" s="131"/>
      <c r="C483" s="8"/>
      <c r="D483" s="9"/>
      <c r="E483" s="10"/>
      <c r="F483" s="11"/>
      <c r="G483" s="12"/>
    </row>
    <row r="484" spans="1:7" ht="14.25">
      <c r="A484" s="132"/>
      <c r="B484" s="131"/>
      <c r="C484" s="8"/>
      <c r="D484" s="9"/>
      <c r="E484" s="10"/>
      <c r="F484" s="11"/>
      <c r="G484" s="12"/>
    </row>
    <row r="485" spans="1:7" ht="14.25">
      <c r="A485" s="132"/>
      <c r="B485" s="131"/>
      <c r="C485" s="8"/>
      <c r="D485" s="9"/>
      <c r="E485" s="10"/>
      <c r="F485" s="11"/>
      <c r="G485" s="12"/>
    </row>
    <row r="486" spans="1:7" ht="14.25">
      <c r="A486" s="132"/>
      <c r="B486" s="131"/>
      <c r="C486" s="8"/>
      <c r="D486" s="9"/>
      <c r="E486" s="10"/>
      <c r="F486" s="11"/>
      <c r="G486" s="12"/>
    </row>
    <row r="487" spans="1:7" ht="14.25">
      <c r="A487" s="132"/>
      <c r="B487" s="131"/>
      <c r="C487" s="8"/>
      <c r="D487" s="9"/>
      <c r="E487" s="10"/>
      <c r="F487" s="11"/>
      <c r="G487" s="12"/>
    </row>
    <row r="488" spans="1:7" ht="14.25">
      <c r="A488" s="132"/>
      <c r="B488" s="131"/>
      <c r="C488" s="8"/>
      <c r="D488" s="9"/>
      <c r="E488" s="10"/>
      <c r="F488" s="11"/>
      <c r="G488" s="12"/>
    </row>
    <row r="489" spans="1:7" ht="14.25">
      <c r="A489" s="132"/>
      <c r="B489" s="131"/>
      <c r="C489" s="8"/>
      <c r="D489" s="9"/>
      <c r="E489" s="10"/>
      <c r="F489" s="11"/>
      <c r="G489" s="12"/>
    </row>
    <row r="490" spans="1:7" ht="14.25">
      <c r="A490" s="132"/>
      <c r="B490" s="131"/>
      <c r="C490" s="8"/>
      <c r="D490" s="9"/>
      <c r="E490" s="10"/>
      <c r="F490" s="11"/>
      <c r="G490" s="12"/>
    </row>
    <row r="491" spans="1:7" ht="14.25">
      <c r="A491" s="132"/>
      <c r="B491" s="131"/>
      <c r="C491" s="8"/>
      <c r="D491" s="9"/>
      <c r="E491" s="10"/>
      <c r="F491" s="11"/>
      <c r="G491" s="12"/>
    </row>
    <row r="492" spans="1:7" ht="14.25">
      <c r="A492" s="132"/>
      <c r="B492" s="131"/>
      <c r="C492" s="8"/>
      <c r="D492" s="9"/>
      <c r="E492" s="10"/>
      <c r="F492" s="11"/>
      <c r="G492" s="12"/>
    </row>
    <row r="493" spans="1:7" ht="14.25">
      <c r="A493" s="132"/>
      <c r="B493" s="131"/>
      <c r="C493" s="8"/>
      <c r="D493" s="9"/>
      <c r="E493" s="10"/>
      <c r="F493" s="11"/>
      <c r="G493" s="12"/>
    </row>
    <row r="494" spans="1:7" ht="14.25">
      <c r="A494" s="132"/>
      <c r="B494" s="131"/>
      <c r="C494" s="8"/>
      <c r="D494" s="9"/>
      <c r="E494" s="10"/>
      <c r="F494" s="11"/>
      <c r="G494" s="12"/>
    </row>
    <row r="495" spans="1:7" ht="14.25">
      <c r="A495" s="132"/>
      <c r="B495" s="131"/>
      <c r="C495" s="8"/>
      <c r="D495" s="9"/>
      <c r="E495" s="10"/>
      <c r="F495" s="11"/>
      <c r="G495" s="12"/>
    </row>
    <row r="496" spans="1:7" ht="14.25">
      <c r="A496" s="132"/>
      <c r="B496" s="131"/>
      <c r="C496" s="8"/>
      <c r="D496" s="9"/>
      <c r="E496" s="10"/>
      <c r="F496" s="11"/>
      <c r="G496" s="12"/>
    </row>
    <row r="497" spans="1:7" ht="14.25">
      <c r="A497" s="132"/>
      <c r="B497" s="131"/>
      <c r="C497" s="8"/>
      <c r="D497" s="9"/>
      <c r="E497" s="10"/>
      <c r="F497" s="11"/>
      <c r="G497" s="12"/>
    </row>
    <row r="498" spans="1:7" ht="14.25">
      <c r="A498" s="132"/>
      <c r="B498" s="131"/>
      <c r="C498" s="8"/>
      <c r="D498" s="9"/>
      <c r="E498" s="10"/>
      <c r="F498" s="11"/>
      <c r="G498" s="12"/>
    </row>
    <row r="499" spans="1:7" ht="14.25">
      <c r="A499" s="132"/>
      <c r="B499" s="131"/>
      <c r="C499" s="8"/>
      <c r="D499" s="9"/>
      <c r="E499" s="10"/>
      <c r="F499" s="11"/>
      <c r="G499" s="12"/>
    </row>
    <row r="500" spans="1:7" ht="14.25">
      <c r="A500" s="132"/>
      <c r="B500" s="131"/>
      <c r="C500" s="8"/>
      <c r="D500" s="9"/>
      <c r="E500" s="10"/>
      <c r="F500" s="11"/>
      <c r="G500" s="12"/>
    </row>
    <row r="501" spans="1:7" ht="14.25">
      <c r="A501" s="132"/>
      <c r="B501" s="131"/>
      <c r="C501" s="8"/>
      <c r="D501" s="9"/>
      <c r="E501" s="10"/>
      <c r="F501" s="11"/>
      <c r="G501" s="12"/>
    </row>
  </sheetData>
  <phoneticPr fontId="2" type="noConversion"/>
  <dataValidations count="2">
    <dataValidation type="list" allowBlank="1" showInputMessage="1" showErrorMessage="1" sqref="F2:F301" xr:uid="{00000000-0002-0000-0300-000000000000}">
      <formula1>#REF!</formula1>
    </dataValidation>
    <dataValidation type="list" allowBlank="1" showInputMessage="1" showErrorMessage="1" sqref="E2:E301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abSelected="1" workbookViewId="0">
      <selection activeCell="L6" sqref="L6"/>
    </sheetView>
  </sheetViews>
  <sheetFormatPr defaultRowHeight="12.75"/>
  <cols>
    <col min="1" max="1" width="4.125" style="2" customWidth="1"/>
    <col min="2" max="4" width="7" style="2" customWidth="1"/>
    <col min="5" max="5" width="9.625" style="2" customWidth="1"/>
    <col min="6" max="6" width="7" style="2" customWidth="1"/>
    <col min="7" max="10" width="7" style="1" customWidth="1"/>
    <col min="11" max="11" width="9.5" style="1" customWidth="1"/>
    <col min="12" max="12" width="10.125" style="2" customWidth="1"/>
    <col min="13" max="13" width="7.5" style="2" customWidth="1"/>
    <col min="14" max="14" width="9.125" style="2" customWidth="1"/>
    <col min="15" max="15" width="4.375" style="2" customWidth="1"/>
    <col min="16" max="16" width="5.5" style="2" customWidth="1"/>
    <col min="17" max="17" width="5.375" style="2" customWidth="1"/>
    <col min="18" max="18" width="9.5" style="2" customWidth="1"/>
    <col min="19" max="19" width="8" style="2" customWidth="1"/>
    <col min="20" max="22" width="5.375" style="2" customWidth="1"/>
    <col min="23" max="23" width="9.375" style="2" customWidth="1"/>
    <col min="24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0"/>
      <c r="C1" s="280"/>
      <c r="D1" s="1"/>
      <c r="E1" s="280"/>
      <c r="F1" s="280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83" t="s">
        <v>22</v>
      </c>
      <c r="B4" s="284"/>
      <c r="C4" s="284"/>
      <c r="D4" s="284"/>
      <c r="E4" s="284"/>
      <c r="F4" s="284"/>
      <c r="G4" s="284"/>
      <c r="H4" s="284"/>
      <c r="I4" s="284"/>
      <c r="J4" s="284"/>
      <c r="K4" s="285"/>
      <c r="L4" s="281"/>
      <c r="M4" s="282"/>
      <c r="O4" s="225" t="s">
        <v>94</v>
      </c>
      <c r="P4" s="2">
        <f>DIAG!W1</f>
        <v>10</v>
      </c>
    </row>
    <row r="5" spans="1:28" ht="14.25">
      <c r="A5" s="16" t="s">
        <v>23</v>
      </c>
      <c r="B5" s="17" t="str">
        <f>CONCATENATE(" 1-",'Entrada de Dados'!B2)</f>
        <v xml:space="preserve"> 1-Pedro</v>
      </c>
      <c r="C5" s="17" t="str">
        <f>CONCATENATE(" 2-",'Entrada de Dados'!B9)</f>
        <v xml:space="preserve"> 2-Andre</v>
      </c>
      <c r="D5" s="17" t="str">
        <f>CONCATENATE(" 3-",'Entrada de Dados'!B16)</f>
        <v xml:space="preserve"> 3-Henrique</v>
      </c>
      <c r="E5" s="17" t="str">
        <f>CONCATENATE(" 4-",'Entrada de Dados'!B23)</f>
        <v xml:space="preserve"> 4-Thayna</v>
      </c>
      <c r="F5" s="17" t="str">
        <f>CONCATENATE(" 5-",'Entrada de Dados'!B30)</f>
        <v xml:space="preserve"> 5-Vinicius</v>
      </c>
      <c r="G5" s="17" t="str">
        <f>CONCATENATE(" 6-",'Entrada de Dados'!B37)</f>
        <v xml:space="preserve"> 6-Diego</v>
      </c>
      <c r="H5" s="17" t="str">
        <f>CONCATENATE(" 7-",'Entrada de Dados'!B44)</f>
        <v xml:space="preserve"> 7-Cecilia</v>
      </c>
      <c r="I5" s="17" t="str">
        <f>CONCATENATE(" 8-",'Entrada de Dados'!B51)</f>
        <v xml:space="preserve"> 8-Antonio</v>
      </c>
      <c r="J5" s="17" t="str">
        <f>CONCATENATE(" 9-",'Entrada de Dados'!B58)</f>
        <v xml:space="preserve"> 9-Creide</v>
      </c>
      <c r="K5" s="17" t="str">
        <f>CONCATENATE("10-",'Entrada de Dados'!B65)</f>
        <v>10-Jasmin</v>
      </c>
      <c r="L5" s="17" t="s">
        <v>1</v>
      </c>
      <c r="O5" s="225" t="s">
        <v>92</v>
      </c>
      <c r="P5" s="260">
        <f ca="1">IF(P4=0,0,MAX(OFFSET(Q4,1,1,1,P4)))</f>
        <v>239606269</v>
      </c>
      <c r="R5" s="260">
        <f t="shared" ref="R5:AA5" si="0">B9</f>
        <v>14553</v>
      </c>
      <c r="S5" s="260">
        <f t="shared" si="0"/>
        <v>27413</v>
      </c>
      <c r="T5" s="260">
        <f t="shared" si="0"/>
        <v>10815</v>
      </c>
      <c r="U5" s="260">
        <f t="shared" si="0"/>
        <v>7674</v>
      </c>
      <c r="V5" s="260">
        <f t="shared" si="0"/>
        <v>6110</v>
      </c>
      <c r="W5" s="260">
        <f t="shared" si="0"/>
        <v>9442</v>
      </c>
      <c r="X5" s="260">
        <f t="shared" si="0"/>
        <v>243179</v>
      </c>
      <c r="Y5" s="260">
        <f t="shared" si="0"/>
        <v>2441157</v>
      </c>
      <c r="Z5" s="260">
        <f t="shared" si="0"/>
        <v>239606269</v>
      </c>
      <c r="AA5" s="260">
        <f t="shared" si="0"/>
        <v>2532565</v>
      </c>
    </row>
    <row r="6" spans="1:28">
      <c r="A6" s="18" t="s">
        <v>5</v>
      </c>
      <c r="B6" s="255">
        <f>'Entrada de Dados'!I5</f>
        <v>4554</v>
      </c>
      <c r="C6" s="255">
        <f>'Entrada de Dados'!I12</f>
        <v>21414</v>
      </c>
      <c r="D6" s="255">
        <f>'Entrada de Dados'!I19</f>
        <v>5454</v>
      </c>
      <c r="E6" s="255">
        <f>'Entrada de Dados'!I26</f>
        <v>2525</v>
      </c>
      <c r="F6" s="255">
        <f>'Entrada de Dados'!I33</f>
        <v>1020</v>
      </c>
      <c r="G6" s="255">
        <f>'Entrada de Dados'!I40</f>
        <v>4021</v>
      </c>
      <c r="H6" s="255">
        <f>'Entrada de Dados'!I47</f>
        <v>25624</v>
      </c>
      <c r="I6" s="255">
        <f>'Entrada de Dados'!I54</f>
        <v>246518</v>
      </c>
      <c r="J6" s="255">
        <f>'Entrada de Dados'!I61</f>
        <v>217517</v>
      </c>
      <c r="K6" s="255">
        <f>'Entrada de Dados'!I68</f>
        <v>128717</v>
      </c>
      <c r="L6" s="255">
        <f>SUMPRODUCT(B6:K6,DIAG!$W$21:$AF$21,DIAG!$W$31:$AF$31)</f>
        <v>0</v>
      </c>
      <c r="M6" s="19"/>
      <c r="N6" s="168"/>
      <c r="O6" s="225" t="s">
        <v>93</v>
      </c>
      <c r="P6" s="260">
        <f ca="1">IF(P4=0,0,MIN(OFFSET(Q4,1,1,1,P4)))</f>
        <v>6110</v>
      </c>
      <c r="R6" s="226">
        <f ca="1">IF(R5=0,0,LOG(R5/$P$6,10))</f>
        <v>0.37691131910317172</v>
      </c>
      <c r="S6" s="226">
        <f t="shared" ref="S6:AA6" ca="1" si="1">IF(S5=0,0,LOG(S5/$P$6,10))</f>
        <v>0.65191535583876081</v>
      </c>
      <c r="T6" s="226">
        <f t="shared" ca="1" si="1"/>
        <v>0.24798531353255601</v>
      </c>
      <c r="U6" s="226">
        <f t="shared" ca="1" si="1"/>
        <v>9.8980584619743323E-2</v>
      </c>
      <c r="V6" s="226">
        <f t="shared" ca="1" si="1"/>
        <v>0</v>
      </c>
      <c r="W6" s="226">
        <f t="shared" ca="1" si="1"/>
        <v>0.18902278585268184</v>
      </c>
      <c r="X6" s="226">
        <f t="shared" ca="1" si="1"/>
        <v>1.5998848579819069</v>
      </c>
      <c r="Y6" s="226">
        <f t="shared" ca="1" si="1"/>
        <v>2.6015545011865222</v>
      </c>
      <c r="Z6" s="226">
        <f t="shared" ca="1" si="1"/>
        <v>4.5934569663983007</v>
      </c>
      <c r="AA6" s="226">
        <f t="shared" ca="1" si="1"/>
        <v>2.617519390395513</v>
      </c>
    </row>
    <row r="7" spans="1:28">
      <c r="A7" s="18" t="s">
        <v>6</v>
      </c>
      <c r="B7" s="255">
        <f>'Entrada de Dados'!I6</f>
        <v>4545</v>
      </c>
      <c r="C7" s="255">
        <f>'Entrada de Dados'!I13</f>
        <v>5454</v>
      </c>
      <c r="D7" s="255">
        <f>'Entrada de Dados'!I20</f>
        <v>2145</v>
      </c>
      <c r="E7" s="255">
        <f>'Entrada de Dados'!I27</f>
        <v>3637</v>
      </c>
      <c r="F7" s="255">
        <f>'Entrada de Dados'!I34</f>
        <v>3040</v>
      </c>
      <c r="G7" s="255">
        <f>'Entrada de Dados'!I41</f>
        <v>2910</v>
      </c>
      <c r="H7" s="255">
        <f>'Entrada de Dados'!I48</f>
        <v>215421</v>
      </c>
      <c r="I7" s="255">
        <f>'Entrada de Dados'!I55</f>
        <v>27512</v>
      </c>
      <c r="J7" s="255">
        <f>'Entrada de Dados'!I62</f>
        <v>217517465</v>
      </c>
      <c r="K7" s="255">
        <f>'Entrada de Dados'!I69</f>
        <v>218721</v>
      </c>
      <c r="L7" s="255">
        <f>SUMPRODUCT(B7:K7,DIAG!$W$21:$AF$21,DIAG!$W$31:$AF$31)</f>
        <v>0</v>
      </c>
      <c r="M7" s="20"/>
      <c r="N7" s="168"/>
      <c r="P7" s="224"/>
    </row>
    <row r="8" spans="1:28">
      <c r="A8" s="21" t="s">
        <v>7</v>
      </c>
      <c r="B8" s="256">
        <f>'Entrada de Dados'!I7</f>
        <v>5454</v>
      </c>
      <c r="C8" s="256">
        <f>'Entrada de Dados'!I14</f>
        <v>545</v>
      </c>
      <c r="D8" s="256">
        <f>'Entrada de Dados'!I21</f>
        <v>3216</v>
      </c>
      <c r="E8" s="256">
        <f>'Entrada de Dados'!I28</f>
        <v>1512</v>
      </c>
      <c r="F8" s="256">
        <f>'Entrada de Dados'!I35</f>
        <v>2050</v>
      </c>
      <c r="G8" s="256">
        <f>'Entrada de Dados'!I42</f>
        <v>2511</v>
      </c>
      <c r="H8" s="255">
        <f>'Entrada de Dados'!I49</f>
        <v>2134</v>
      </c>
      <c r="I8" s="255">
        <f>'Entrada de Dados'!I56</f>
        <v>2167127</v>
      </c>
      <c r="J8" s="255">
        <f>'Entrada de Dados'!I63</f>
        <v>21871287</v>
      </c>
      <c r="K8" s="255">
        <f>'Entrada de Dados'!I70</f>
        <v>2185127</v>
      </c>
      <c r="L8" s="255">
        <f>SUMPRODUCT(B8:K8,DIAG!$W$21:$AF$21,DIAG!$W$31:$AF$31)</f>
        <v>0</v>
      </c>
      <c r="M8" s="20"/>
      <c r="N8" s="168"/>
      <c r="O8" s="2" t="s">
        <v>95</v>
      </c>
      <c r="P8" s="260">
        <f ca="1">IF(OR(P4=0,P5=P6),1,LOG(P5/P6,10))</f>
        <v>4.5934569663983007</v>
      </c>
      <c r="R8" s="260">
        <f ca="1">R6/$P$8</f>
        <v>8.2053956717201032E-2</v>
      </c>
      <c r="S8" s="226">
        <f t="shared" ref="S8:AA8" ca="1" si="2">S6/$P$8</f>
        <v>0.14192260003905585</v>
      </c>
      <c r="T8" s="226">
        <f t="shared" ca="1" si="2"/>
        <v>5.3986641291427981E-2</v>
      </c>
      <c r="U8" s="226">
        <f t="shared" ca="1" si="2"/>
        <v>2.1548168480470895E-2</v>
      </c>
      <c r="V8" s="226">
        <f t="shared" ca="1" si="2"/>
        <v>0</v>
      </c>
      <c r="W8" s="226">
        <f t="shared" ca="1" si="2"/>
        <v>4.1150442299864053E-2</v>
      </c>
      <c r="X8" s="226">
        <f t="shared" ca="1" si="2"/>
        <v>0.348296472501051</v>
      </c>
      <c r="Y8" s="226">
        <f t="shared" ca="1" si="2"/>
        <v>0.5663609173259293</v>
      </c>
      <c r="Z8" s="226">
        <f t="shared" ca="1" si="2"/>
        <v>1</v>
      </c>
      <c r="AA8" s="226">
        <f t="shared" ca="1" si="2"/>
        <v>0.56983648906324524</v>
      </c>
    </row>
    <row r="9" spans="1:28">
      <c r="A9" s="21" t="s">
        <v>20</v>
      </c>
      <c r="B9" s="257">
        <f>'Entrada de Dados'!I8</f>
        <v>14553</v>
      </c>
      <c r="C9" s="257">
        <f>'Entrada de Dados'!I15</f>
        <v>27413</v>
      </c>
      <c r="D9" s="257">
        <f>'Entrada de Dados'!I22</f>
        <v>10815</v>
      </c>
      <c r="E9" s="257">
        <f>'Entrada de Dados'!I29</f>
        <v>7674</v>
      </c>
      <c r="F9" s="257">
        <f>'Entrada de Dados'!I36</f>
        <v>6110</v>
      </c>
      <c r="G9" s="257">
        <f>'Entrada de Dados'!I43</f>
        <v>9442</v>
      </c>
      <c r="H9" s="258">
        <f>'Entrada de Dados'!I50</f>
        <v>243179</v>
      </c>
      <c r="I9" s="259">
        <f>'Entrada de Dados'!I57</f>
        <v>2441157</v>
      </c>
      <c r="J9" s="259">
        <f>'Entrada de Dados'!I64</f>
        <v>239606269</v>
      </c>
      <c r="K9" s="259">
        <f>'Entrada de Dados'!I71</f>
        <v>2532565</v>
      </c>
      <c r="L9" s="259">
        <f>SUM(L6:L8)</f>
        <v>0</v>
      </c>
      <c r="M9" s="20"/>
      <c r="N9" s="168"/>
      <c r="Q9" s="226"/>
      <c r="R9" s="226"/>
      <c r="S9" s="226"/>
      <c r="T9" s="226"/>
      <c r="U9" s="226"/>
      <c r="V9" s="226"/>
      <c r="W9" s="226"/>
      <c r="X9" s="226"/>
      <c r="Y9" s="226"/>
      <c r="Z9" s="226"/>
    </row>
    <row r="10" spans="1:28" ht="14.25">
      <c r="A10" s="22" t="s">
        <v>24</v>
      </c>
      <c r="B10" s="287">
        <f>B20/B22</f>
        <v>1.2152730124497599</v>
      </c>
      <c r="C10" s="288">
        <f>C20/C22</f>
        <v>179.54735024644788</v>
      </c>
      <c r="D10" s="288">
        <f>D20/D22</f>
        <v>3.4212106089585652</v>
      </c>
      <c r="E10" s="288">
        <f>E20/E22</f>
        <v>2.488905998082537</v>
      </c>
      <c r="F10" s="288">
        <f>F20/F22</f>
        <v>0.59726867602664246</v>
      </c>
      <c r="G10" s="288">
        <f>G20/G22</f>
        <v>2.7891505011228586</v>
      </c>
      <c r="H10" s="288">
        <f>H20/H22</f>
        <v>13.421761268310417</v>
      </c>
      <c r="I10" s="288">
        <f>I20/I22</f>
        <v>0.12653098575591332</v>
      </c>
      <c r="J10" s="288">
        <f>J20/J22</f>
        <v>9.9543590443717505E-3</v>
      </c>
      <c r="K10" s="288">
        <f>K20/K22</f>
        <v>6.2060150370998927E-2</v>
      </c>
      <c r="L10" s="288" t="e">
        <f>L20/L22</f>
        <v>#DIV/0!</v>
      </c>
      <c r="N10" s="168"/>
      <c r="O10" s="2" t="s">
        <v>14</v>
      </c>
      <c r="R10" s="226">
        <f ca="1">ROUND(10*R8,0)</f>
        <v>1</v>
      </c>
      <c r="S10" s="226">
        <f t="shared" ref="S10:AA10" ca="1" si="3">ROUND(10*S8,0)</f>
        <v>1</v>
      </c>
      <c r="T10" s="226">
        <f t="shared" ca="1" si="3"/>
        <v>1</v>
      </c>
      <c r="U10" s="226">
        <f t="shared" ca="1" si="3"/>
        <v>0</v>
      </c>
      <c r="V10" s="226">
        <f t="shared" ca="1" si="3"/>
        <v>0</v>
      </c>
      <c r="W10" s="226">
        <f t="shared" ca="1" si="3"/>
        <v>0</v>
      </c>
      <c r="X10" s="226">
        <f t="shared" ca="1" si="3"/>
        <v>3</v>
      </c>
      <c r="Y10" s="226">
        <f t="shared" ca="1" si="3"/>
        <v>6</v>
      </c>
      <c r="Z10" s="226">
        <f t="shared" ca="1" si="3"/>
        <v>10</v>
      </c>
      <c r="AA10" s="226">
        <f t="shared" ca="1" si="3"/>
        <v>6</v>
      </c>
      <c r="AB10" s="224"/>
    </row>
    <row r="11" spans="1:28" ht="14.25">
      <c r="A11" s="22" t="s">
        <v>16</v>
      </c>
      <c r="B11" s="286">
        <f>B6/B$9</f>
        <v>0.31292517006802723</v>
      </c>
      <c r="C11" s="286">
        <f t="shared" ref="C11:L11" si="4">C6/C$9</f>
        <v>0.7811622223032868</v>
      </c>
      <c r="D11" s="286">
        <f t="shared" si="4"/>
        <v>0.50429958391123442</v>
      </c>
      <c r="E11" s="286">
        <f t="shared" si="4"/>
        <v>0.32903309877508469</v>
      </c>
      <c r="F11" s="286">
        <f t="shared" si="4"/>
        <v>0.16693944353518822</v>
      </c>
      <c r="G11" s="286">
        <f t="shared" si="4"/>
        <v>0.4258631645837746</v>
      </c>
      <c r="H11" s="286">
        <f t="shared" ref="H11:K13" si="5">H6/H$9</f>
        <v>0.10537094074735072</v>
      </c>
      <c r="I11" s="286">
        <f t="shared" si="5"/>
        <v>0.10098408254774273</v>
      </c>
      <c r="J11" s="286">
        <f t="shared" si="5"/>
        <v>9.0781013747182049E-4</v>
      </c>
      <c r="K11" s="286">
        <f t="shared" si="5"/>
        <v>5.0824756718978584E-2</v>
      </c>
      <c r="L11" s="286" t="e">
        <f t="shared" si="4"/>
        <v>#DIV/0!</v>
      </c>
      <c r="N11" s="168"/>
    </row>
    <row r="12" spans="1:28" ht="14.25">
      <c r="A12" s="22" t="s">
        <v>18</v>
      </c>
      <c r="B12" s="286">
        <f t="shared" ref="B12:L13" si="6">B7/B$9</f>
        <v>0.31230674087816945</v>
      </c>
      <c r="C12" s="286">
        <f t="shared" si="6"/>
        <v>0.19895669937620836</v>
      </c>
      <c r="D12" s="286">
        <f t="shared" si="6"/>
        <v>0.19833564493758668</v>
      </c>
      <c r="E12" s="286">
        <f t="shared" si="6"/>
        <v>0.47393797237425073</v>
      </c>
      <c r="F12" s="286">
        <f t="shared" si="6"/>
        <v>0.49754500818330605</v>
      </c>
      <c r="G12" s="286">
        <f t="shared" si="6"/>
        <v>0.30819741580173693</v>
      </c>
      <c r="H12" s="286">
        <f t="shared" si="5"/>
        <v>0.88585363045328747</v>
      </c>
      <c r="I12" s="286">
        <f t="shared" si="5"/>
        <v>1.1270065792572947E-2</v>
      </c>
      <c r="J12" s="286">
        <f t="shared" si="5"/>
        <v>0.90781207815560117</v>
      </c>
      <c r="K12" s="286">
        <f t="shared" si="5"/>
        <v>8.636342996132379E-2</v>
      </c>
      <c r="L12" s="286" t="e">
        <f t="shared" si="6"/>
        <v>#DIV/0!</v>
      </c>
    </row>
    <row r="13" spans="1:28" ht="14.25">
      <c r="A13" s="22" t="s">
        <v>17</v>
      </c>
      <c r="B13" s="286">
        <f t="shared" si="6"/>
        <v>0.37476808905380332</v>
      </c>
      <c r="C13" s="286">
        <f t="shared" si="6"/>
        <v>1.9881078320504869E-2</v>
      </c>
      <c r="D13" s="286">
        <f t="shared" si="6"/>
        <v>0.29736477115117893</v>
      </c>
      <c r="E13" s="286">
        <f t="shared" si="6"/>
        <v>0.19702892885066459</v>
      </c>
      <c r="F13" s="286">
        <f t="shared" si="6"/>
        <v>0.3355155482815057</v>
      </c>
      <c r="G13" s="286">
        <f t="shared" si="6"/>
        <v>0.26593941961448847</v>
      </c>
      <c r="H13" s="286">
        <f t="shared" si="5"/>
        <v>8.7754287993617869E-3</v>
      </c>
      <c r="I13" s="286">
        <f t="shared" si="5"/>
        <v>0.88774585165968434</v>
      </c>
      <c r="J13" s="286">
        <f t="shared" si="5"/>
        <v>9.1280111706927E-2</v>
      </c>
      <c r="K13" s="286">
        <f t="shared" si="5"/>
        <v>0.86281181331969758</v>
      </c>
      <c r="L13" s="286" t="e">
        <f t="shared" si="6"/>
        <v>#DIV/0!</v>
      </c>
    </row>
    <row r="14" spans="1:28" ht="14.25">
      <c r="A14" s="277" t="s">
        <v>25</v>
      </c>
      <c r="B14" s="278"/>
      <c r="C14" s="278"/>
      <c r="D14" s="278"/>
      <c r="E14" s="278"/>
      <c r="F14" s="278"/>
      <c r="G14" s="278"/>
      <c r="H14" s="278"/>
      <c r="I14" s="278"/>
      <c r="J14" s="278"/>
      <c r="K14" s="278"/>
      <c r="L14" s="279"/>
      <c r="V14" s="2" t="s">
        <v>106</v>
      </c>
      <c r="Y14" s="1" t="s">
        <v>114</v>
      </c>
      <c r="Z14" s="1" t="s">
        <v>115</v>
      </c>
      <c r="AA14" s="1" t="s">
        <v>116</v>
      </c>
    </row>
    <row r="15" spans="1:28" ht="16.5">
      <c r="A15" s="24" t="s">
        <v>26</v>
      </c>
      <c r="B15" s="25">
        <f t="shared" ref="B15:L15" si="7">B6/B9</f>
        <v>0.31292517006802723</v>
      </c>
      <c r="C15" s="26">
        <f t="shared" si="7"/>
        <v>0.7811622223032868</v>
      </c>
      <c r="D15" s="26">
        <f t="shared" si="7"/>
        <v>0.50429958391123442</v>
      </c>
      <c r="E15" s="26">
        <f t="shared" si="7"/>
        <v>0.32903309877508469</v>
      </c>
      <c r="F15" s="26">
        <f t="shared" si="7"/>
        <v>0.16693944353518822</v>
      </c>
      <c r="G15" s="26">
        <f t="shared" si="7"/>
        <v>0.4258631645837746</v>
      </c>
      <c r="H15" s="26">
        <f>H6/H9</f>
        <v>0.10537094074735072</v>
      </c>
      <c r="I15" s="26">
        <f>I6/I9</f>
        <v>0.10098408254774273</v>
      </c>
      <c r="J15" s="26">
        <f>J6/J9</f>
        <v>9.0781013747182049E-4</v>
      </c>
      <c r="K15" s="26">
        <f>K6/K9</f>
        <v>5.0824756718978584E-2</v>
      </c>
      <c r="L15" s="26" t="e">
        <f t="shared" si="7"/>
        <v>#DIV/0!</v>
      </c>
      <c r="S15" s="2" t="s">
        <v>49</v>
      </c>
      <c r="T15" s="96">
        <f t="shared" ref="T15:X16" si="8">T18*$Y$15+T20*$Z$15+T22*$AA$15</f>
        <v>-0.57999999999999996</v>
      </c>
      <c r="U15" s="96">
        <f t="shared" si="8"/>
        <v>0.57999999999999996</v>
      </c>
      <c r="V15" s="96">
        <f t="shared" si="8"/>
        <v>0.57999999999999996</v>
      </c>
      <c r="W15" s="96">
        <f t="shared" si="8"/>
        <v>-0.57999999999999996</v>
      </c>
      <c r="X15" s="96">
        <f t="shared" si="8"/>
        <v>-0.57999999999999996</v>
      </c>
      <c r="Y15" s="263" t="b">
        <v>1</v>
      </c>
      <c r="Z15" s="263" t="b">
        <v>0</v>
      </c>
      <c r="AA15" s="263" t="b">
        <v>0</v>
      </c>
    </row>
    <row r="16" spans="1:28" ht="16.5">
      <c r="A16" s="24" t="s">
        <v>27</v>
      </c>
      <c r="B16" s="25">
        <f t="shared" ref="B16:L16" si="9">B7/B9</f>
        <v>0.31230674087816945</v>
      </c>
      <c r="C16" s="26">
        <f t="shared" si="9"/>
        <v>0.19895669937620836</v>
      </c>
      <c r="D16" s="26">
        <f t="shared" si="9"/>
        <v>0.19833564493758668</v>
      </c>
      <c r="E16" s="26">
        <f t="shared" si="9"/>
        <v>0.47393797237425073</v>
      </c>
      <c r="F16" s="26">
        <f t="shared" si="9"/>
        <v>0.49754500818330605</v>
      </c>
      <c r="G16" s="26">
        <f t="shared" si="9"/>
        <v>0.30819741580173693</v>
      </c>
      <c r="H16" s="26">
        <f>H7/H9</f>
        <v>0.88585363045328747</v>
      </c>
      <c r="I16" s="26">
        <f>I7/I9</f>
        <v>1.1270065792572947E-2</v>
      </c>
      <c r="J16" s="26">
        <f>J7/J9</f>
        <v>0.90781207815560117</v>
      </c>
      <c r="K16" s="26">
        <f>K7/K9</f>
        <v>8.636342996132379E-2</v>
      </c>
      <c r="L16" s="26" t="e">
        <f t="shared" si="9"/>
        <v>#DIV/0!</v>
      </c>
      <c r="S16" s="2" t="s">
        <v>58</v>
      </c>
      <c r="T16" s="96">
        <f t="shared" si="8"/>
        <v>-0.1</v>
      </c>
      <c r="U16" s="96">
        <f t="shared" si="8"/>
        <v>-0.1</v>
      </c>
      <c r="V16" s="96">
        <f t="shared" si="8"/>
        <v>1.1000000000000001</v>
      </c>
      <c r="W16" s="96">
        <f t="shared" si="8"/>
        <v>1.1000000000000001</v>
      </c>
      <c r="X16" s="96">
        <f t="shared" si="8"/>
        <v>-0.1</v>
      </c>
    </row>
    <row r="17" spans="1:51" ht="16.5">
      <c r="A17" s="27" t="s">
        <v>28</v>
      </c>
      <c r="B17" s="28">
        <f t="shared" ref="B17:L17" si="10">B8/B9</f>
        <v>0.37476808905380332</v>
      </c>
      <c r="C17" s="29">
        <f t="shared" si="10"/>
        <v>1.9881078320504869E-2</v>
      </c>
      <c r="D17" s="29">
        <f t="shared" si="10"/>
        <v>0.29736477115117893</v>
      </c>
      <c r="E17" s="29">
        <f t="shared" si="10"/>
        <v>0.19702892885066459</v>
      </c>
      <c r="F17" s="29">
        <f t="shared" si="10"/>
        <v>0.3355155482815057</v>
      </c>
      <c r="G17" s="29">
        <f t="shared" si="10"/>
        <v>0.26593941961448847</v>
      </c>
      <c r="H17" s="29">
        <f>H8/H9</f>
        <v>8.7754287993617869E-3</v>
      </c>
      <c r="I17" s="29">
        <f>I8/I9</f>
        <v>0.88774585165968434</v>
      </c>
      <c r="J17" s="29">
        <f>J8/J9</f>
        <v>9.1280111706927E-2</v>
      </c>
      <c r="K17" s="29">
        <f>K8/K9</f>
        <v>0.86281181331969758</v>
      </c>
      <c r="L17" s="29" t="e">
        <f t="shared" si="10"/>
        <v>#DIV/0!</v>
      </c>
      <c r="Y17" s="82"/>
      <c r="Z17" s="82" t="s">
        <v>113</v>
      </c>
      <c r="AA17" s="82"/>
      <c r="AB17" s="82"/>
      <c r="AC17" s="82"/>
      <c r="AP17" s="15"/>
      <c r="AQ17" s="15"/>
      <c r="AR17" s="15"/>
      <c r="AS17" s="15"/>
      <c r="AT17" s="15"/>
      <c r="AU17" s="15"/>
    </row>
    <row r="18" spans="1:51">
      <c r="A18" s="30" t="s">
        <v>29</v>
      </c>
      <c r="B18" s="31">
        <f t="shared" ref="B18:L18" si="11">B15+B16</f>
        <v>0.62523191094619668</v>
      </c>
      <c r="C18" s="32">
        <f t="shared" si="11"/>
        <v>0.98011892167949521</v>
      </c>
      <c r="D18" s="32">
        <f t="shared" si="11"/>
        <v>0.70263522884882113</v>
      </c>
      <c r="E18" s="32">
        <f t="shared" si="11"/>
        <v>0.80297107114933541</v>
      </c>
      <c r="F18" s="32">
        <f t="shared" si="11"/>
        <v>0.66448445171849424</v>
      </c>
      <c r="G18" s="32">
        <f t="shared" si="11"/>
        <v>0.73406058038551159</v>
      </c>
      <c r="H18" s="32">
        <f>H15+H16</f>
        <v>0.99122457120063823</v>
      </c>
      <c r="I18" s="32">
        <f>I15+I16</f>
        <v>0.11225414834031568</v>
      </c>
      <c r="J18" s="32">
        <f>J15+J16</f>
        <v>0.90871988829307293</v>
      </c>
      <c r="K18" s="32">
        <f>K15+K16</f>
        <v>0.13718818668030236</v>
      </c>
      <c r="L18" s="32" t="e">
        <f t="shared" si="11"/>
        <v>#DIV/0!</v>
      </c>
      <c r="M18" s="33" t="s">
        <v>30</v>
      </c>
      <c r="N18" s="34"/>
      <c r="S18" s="2" t="s">
        <v>108</v>
      </c>
      <c r="T18" s="96">
        <v>-0.57999999999999996</v>
      </c>
      <c r="U18" s="96">
        <v>0.57999999999999996</v>
      </c>
      <c r="V18" s="96">
        <v>0.57999999999999996</v>
      </c>
      <c r="W18" s="96">
        <v>-0.57999999999999996</v>
      </c>
      <c r="X18" s="96">
        <v>-0.57999999999999996</v>
      </c>
      <c r="Y18" s="96">
        <v>-0.57999999999999996</v>
      </c>
      <c r="Z18" s="96">
        <v>0.57999999999999996</v>
      </c>
      <c r="AA18" s="96">
        <v>0.57999999999999996</v>
      </c>
      <c r="AB18" s="96">
        <v>-0.57999999999999996</v>
      </c>
      <c r="AC18" s="96">
        <v>-0.57999999999999996</v>
      </c>
      <c r="AO18" s="15"/>
      <c r="AP18" s="15"/>
      <c r="AQ18" s="15"/>
      <c r="AR18" s="15"/>
      <c r="AS18" s="15"/>
      <c r="AT18" s="15"/>
      <c r="AU18" s="15"/>
    </row>
    <row r="19" spans="1:51">
      <c r="A19" s="30" t="s">
        <v>31</v>
      </c>
      <c r="B19" s="31">
        <f t="shared" ref="B19:L19" si="12">B15+B16+B17</f>
        <v>1</v>
      </c>
      <c r="C19" s="32">
        <f t="shared" si="12"/>
        <v>1</v>
      </c>
      <c r="D19" s="32">
        <f t="shared" si="12"/>
        <v>1</v>
      </c>
      <c r="E19" s="32">
        <f t="shared" si="12"/>
        <v>1</v>
      </c>
      <c r="F19" s="32">
        <f t="shared" si="12"/>
        <v>1</v>
      </c>
      <c r="G19" s="32">
        <f t="shared" si="12"/>
        <v>1</v>
      </c>
      <c r="H19" s="32">
        <f>H15+H16+H17</f>
        <v>1</v>
      </c>
      <c r="I19" s="32">
        <f>I15+I16+I17</f>
        <v>1</v>
      </c>
      <c r="J19" s="32">
        <f>J15+J16+J17</f>
        <v>0.99999999999999989</v>
      </c>
      <c r="K19" s="32">
        <f>K15+K16+K17</f>
        <v>1</v>
      </c>
      <c r="L19" s="32" t="e">
        <f t="shared" si="12"/>
        <v>#DIV/0!</v>
      </c>
      <c r="M19" s="35" t="s">
        <v>32</v>
      </c>
      <c r="N19" s="35" t="s">
        <v>33</v>
      </c>
      <c r="S19" s="2" t="s">
        <v>109</v>
      </c>
      <c r="T19" s="96">
        <v>-0.1</v>
      </c>
      <c r="U19" s="96">
        <v>-0.1</v>
      </c>
      <c r="V19" s="96">
        <v>1.1000000000000001</v>
      </c>
      <c r="W19" s="96">
        <v>1.1000000000000001</v>
      </c>
      <c r="X19" s="96">
        <v>-0.1</v>
      </c>
      <c r="Y19" s="96">
        <v>-0.1</v>
      </c>
      <c r="Z19" s="96">
        <v>-0.1</v>
      </c>
      <c r="AA19" s="96">
        <v>1.1000000000000001</v>
      </c>
      <c r="AB19" s="96">
        <v>1.1000000000000001</v>
      </c>
      <c r="AC19" s="96">
        <v>-0.1</v>
      </c>
      <c r="AO19" s="15"/>
      <c r="AQ19" s="15"/>
      <c r="AR19" s="15"/>
      <c r="AS19" s="15"/>
      <c r="AT19" s="15"/>
      <c r="AU19" s="15"/>
    </row>
    <row r="20" spans="1:51">
      <c r="A20" s="36" t="s">
        <v>34</v>
      </c>
      <c r="B20" s="37">
        <f t="shared" ref="B20:L20" si="13">1/B17</f>
        <v>2.6683168316831685</v>
      </c>
      <c r="C20" s="38">
        <f t="shared" si="13"/>
        <v>50.299082568807343</v>
      </c>
      <c r="D20" s="38">
        <f t="shared" si="13"/>
        <v>3.3628731343283582</v>
      </c>
      <c r="E20" s="38">
        <f t="shared" si="13"/>
        <v>5.0753968253968251</v>
      </c>
      <c r="F20" s="38">
        <f t="shared" si="13"/>
        <v>2.9804878048780492</v>
      </c>
      <c r="G20" s="38">
        <f t="shared" si="13"/>
        <v>3.7602548785344481</v>
      </c>
      <c r="H20" s="38">
        <f>1/H17</f>
        <v>113.95454545454545</v>
      </c>
      <c r="I20" s="38">
        <f>1/I17</f>
        <v>1.1264485191684659</v>
      </c>
      <c r="J20" s="38">
        <f>1/J17</f>
        <v>10.955288959447151</v>
      </c>
      <c r="K20" s="38">
        <f>1/K17</f>
        <v>1.1590012845935271</v>
      </c>
      <c r="L20" s="38" t="e">
        <f t="shared" si="13"/>
        <v>#DIV/0!</v>
      </c>
      <c r="M20" s="39">
        <v>5</v>
      </c>
      <c r="N20" s="40">
        <v>2</v>
      </c>
      <c r="S20" s="2" t="s">
        <v>107</v>
      </c>
      <c r="T20" s="96">
        <v>-0.57999999999999996</v>
      </c>
      <c r="U20" s="96">
        <v>0</v>
      </c>
      <c r="V20" s="96">
        <v>0</v>
      </c>
      <c r="W20" s="96">
        <v>-0.57999999999999996</v>
      </c>
      <c r="X20" s="96">
        <v>-0.57999999999999996</v>
      </c>
      <c r="Y20" s="96">
        <v>-0.57999999999999996</v>
      </c>
      <c r="Z20" s="96">
        <v>0</v>
      </c>
      <c r="AA20" s="96">
        <v>0</v>
      </c>
      <c r="AB20" s="96">
        <v>-0.57999999999999996</v>
      </c>
      <c r="AC20" s="96">
        <v>-0.57999999999999996</v>
      </c>
      <c r="AO20" s="15"/>
      <c r="AR20" s="15"/>
      <c r="AS20" s="15"/>
      <c r="AT20" s="15"/>
      <c r="AU20" s="15"/>
    </row>
    <row r="21" spans="1:51">
      <c r="A21" s="41" t="s">
        <v>35</v>
      </c>
      <c r="B21" s="42">
        <f t="shared" ref="B21:L21" si="14">B17/(1-B17)</f>
        <v>0.59940652818991091</v>
      </c>
      <c r="C21" s="43">
        <f t="shared" si="14"/>
        <v>2.028435313383951E-2</v>
      </c>
      <c r="D21" s="43">
        <f t="shared" si="14"/>
        <v>0.42321358073430715</v>
      </c>
      <c r="E21" s="43">
        <f t="shared" si="14"/>
        <v>0.24537487828627069</v>
      </c>
      <c r="F21" s="43">
        <f t="shared" si="14"/>
        <v>0.50492610837438423</v>
      </c>
      <c r="G21" s="43">
        <f t="shared" si="14"/>
        <v>0.36228538450440051</v>
      </c>
      <c r="H21" s="43">
        <f>H17/(1-H17)</f>
        <v>8.8531187122736412E-3</v>
      </c>
      <c r="I21" s="43">
        <f>I17/(1-I17)</f>
        <v>7.9083567492610314</v>
      </c>
      <c r="J21" s="43">
        <f>J17/(1-J17)</f>
        <v>0.10044911846090032</v>
      </c>
      <c r="K21" s="43">
        <f>K17/(1-K17)</f>
        <v>6.2892573639037739</v>
      </c>
      <c r="L21" s="43" t="e">
        <f t="shared" si="14"/>
        <v>#DIV/0!</v>
      </c>
      <c r="M21" s="44">
        <v>0.25</v>
      </c>
      <c r="N21" s="45">
        <v>1</v>
      </c>
      <c r="S21" s="2" t="s">
        <v>110</v>
      </c>
      <c r="T21" s="96">
        <v>0</v>
      </c>
      <c r="U21" s="96">
        <v>0</v>
      </c>
      <c r="V21" s="96">
        <v>0.5</v>
      </c>
      <c r="W21" s="96">
        <v>0.5</v>
      </c>
      <c r="X21" s="96">
        <v>0</v>
      </c>
      <c r="Y21" s="96">
        <v>0</v>
      </c>
      <c r="Z21" s="96">
        <v>0</v>
      </c>
      <c r="AA21" s="96">
        <v>0.5</v>
      </c>
      <c r="AB21" s="96">
        <v>0.5</v>
      </c>
      <c r="AC21" s="96">
        <v>0</v>
      </c>
      <c r="AO21" s="15"/>
      <c r="AS21" s="15"/>
      <c r="AT21" s="15"/>
      <c r="AU21" s="15"/>
    </row>
    <row r="22" spans="1:51">
      <c r="A22" s="41" t="s">
        <v>36</v>
      </c>
      <c r="B22" s="43">
        <f t="shared" ref="B22:L22" si="15">(1-B15)/B15</f>
        <v>2.1956521739130435</v>
      </c>
      <c r="C22" s="43">
        <f t="shared" si="15"/>
        <v>0.28014383113850744</v>
      </c>
      <c r="D22" s="43">
        <f t="shared" si="15"/>
        <v>0.98294829482948287</v>
      </c>
      <c r="E22" s="43">
        <f t="shared" si="15"/>
        <v>2.0392079207920792</v>
      </c>
      <c r="F22" s="43">
        <f t="shared" si="15"/>
        <v>4.9901960784313726</v>
      </c>
      <c r="G22" s="43">
        <f t="shared" si="15"/>
        <v>1.3481720964934096</v>
      </c>
      <c r="H22" s="43">
        <f>(1-H15)/H15</f>
        <v>8.4902825476116135</v>
      </c>
      <c r="I22" s="43">
        <f>(1-I15)/I15</f>
        <v>8.9025507265189567</v>
      </c>
      <c r="J22" s="43">
        <f>(1-J15)/J15</f>
        <v>1100.5519200798099</v>
      </c>
      <c r="K22" s="43">
        <f>(1-K15)/K15</f>
        <v>18.675450795155264</v>
      </c>
      <c r="L22" s="43" t="e">
        <f t="shared" si="15"/>
        <v>#DIV/0!</v>
      </c>
      <c r="M22" s="44">
        <v>2</v>
      </c>
      <c r="N22" s="45">
        <v>10</v>
      </c>
      <c r="S22" s="2" t="s">
        <v>111</v>
      </c>
      <c r="T22" s="96">
        <v>-0.57999999999999996</v>
      </c>
      <c r="U22" s="96">
        <v>-0.28999999999999998</v>
      </c>
      <c r="V22" s="96">
        <v>-0.28999999999999998</v>
      </c>
      <c r="W22" s="96">
        <v>-0.57999999999999996</v>
      </c>
      <c r="X22" s="96">
        <v>-0.57999999999999996</v>
      </c>
      <c r="Y22" s="96">
        <v>-0.57999999999999996</v>
      </c>
      <c r="Z22" s="96">
        <v>-0.28999999999999998</v>
      </c>
      <c r="AA22" s="96">
        <v>-0.28999999999999998</v>
      </c>
      <c r="AB22" s="96">
        <v>-0.57999999999999996</v>
      </c>
      <c r="AC22" s="96">
        <v>-0.57999999999999996</v>
      </c>
      <c r="AO22" s="15"/>
      <c r="AT22" s="15"/>
      <c r="AU22" s="15"/>
    </row>
    <row r="23" spans="1:51">
      <c r="A23" s="46" t="s">
        <v>24</v>
      </c>
      <c r="B23" s="47">
        <f t="shared" ref="B23:L23" si="16">B20/B22</f>
        <v>1.2152730124497599</v>
      </c>
      <c r="C23" s="47">
        <f t="shared" si="16"/>
        <v>179.54735024644788</v>
      </c>
      <c r="D23" s="47">
        <f t="shared" si="16"/>
        <v>3.4212106089585652</v>
      </c>
      <c r="E23" s="47">
        <f t="shared" si="16"/>
        <v>2.488905998082537</v>
      </c>
      <c r="F23" s="47">
        <f t="shared" si="16"/>
        <v>0.59726867602664246</v>
      </c>
      <c r="G23" s="47">
        <f t="shared" si="16"/>
        <v>2.7891505011228586</v>
      </c>
      <c r="H23" s="47">
        <f>H20/H22</f>
        <v>13.421761268310417</v>
      </c>
      <c r="I23" s="47">
        <f>I20/I22</f>
        <v>0.12653098575591332</v>
      </c>
      <c r="J23" s="47">
        <f>J20/J22</f>
        <v>9.9543590443717505E-3</v>
      </c>
      <c r="K23" s="47">
        <f>K20/K22</f>
        <v>6.2060150370998927E-2</v>
      </c>
      <c r="L23" s="47" t="e">
        <f t="shared" si="16"/>
        <v>#DIV/0!</v>
      </c>
      <c r="M23" s="48">
        <v>5</v>
      </c>
      <c r="N23" s="49">
        <v>1</v>
      </c>
      <c r="S23" s="2" t="s">
        <v>112</v>
      </c>
      <c r="T23" s="96">
        <v>0</v>
      </c>
      <c r="U23" s="96">
        <v>0</v>
      </c>
      <c r="V23" s="96">
        <v>0.25</v>
      </c>
      <c r="W23" s="96">
        <v>0.25</v>
      </c>
      <c r="X23" s="96">
        <v>0</v>
      </c>
      <c r="Y23" s="96">
        <v>0</v>
      </c>
      <c r="Z23" s="96">
        <v>0</v>
      </c>
      <c r="AA23" s="96">
        <v>0.25</v>
      </c>
      <c r="AB23" s="96">
        <v>0.25</v>
      </c>
      <c r="AC23" s="96">
        <v>0</v>
      </c>
      <c r="AO23" s="15"/>
      <c r="AU23" s="15"/>
    </row>
    <row r="24" spans="1:51" ht="14.25">
      <c r="A24" s="277" t="s">
        <v>37</v>
      </c>
      <c r="B24" s="278"/>
      <c r="C24" s="278"/>
      <c r="D24" s="278"/>
      <c r="E24" s="278"/>
      <c r="F24" s="278"/>
      <c r="G24" s="278"/>
      <c r="H24" s="278"/>
      <c r="I24" s="278"/>
      <c r="J24" s="278"/>
      <c r="K24" s="278"/>
      <c r="L24" s="279"/>
    </row>
    <row r="25" spans="1:51" ht="14.25">
      <c r="A25" s="50" t="s">
        <v>38</v>
      </c>
      <c r="B25" s="51" t="str">
        <f t="shared" ref="B25:L25" si="17">B5</f>
        <v xml:space="preserve"> 1-Pedro</v>
      </c>
      <c r="C25" s="17" t="str">
        <f t="shared" si="17"/>
        <v xml:space="preserve"> 2-Andre</v>
      </c>
      <c r="D25" s="17" t="str">
        <f t="shared" si="17"/>
        <v xml:space="preserve"> 3-Henrique</v>
      </c>
      <c r="E25" s="17" t="str">
        <f t="shared" si="17"/>
        <v xml:space="preserve"> 4-Thayna</v>
      </c>
      <c r="F25" s="17" t="str">
        <f t="shared" si="17"/>
        <v xml:space="preserve"> 5-Vinicius</v>
      </c>
      <c r="G25" s="17" t="str">
        <f t="shared" si="17"/>
        <v xml:space="preserve"> 6-Diego</v>
      </c>
      <c r="H25" s="17" t="str">
        <f>H5</f>
        <v xml:space="preserve"> 7-Cecilia</v>
      </c>
      <c r="I25" s="17" t="str">
        <f>I5</f>
        <v xml:space="preserve"> 8-Antonio</v>
      </c>
      <c r="J25" s="17" t="str">
        <f>J5</f>
        <v xml:space="preserve"> 9-Creide</v>
      </c>
      <c r="K25" s="17" t="str">
        <f>K5</f>
        <v>10-Jasmin</v>
      </c>
      <c r="L25" s="17" t="str">
        <f t="shared" si="17"/>
        <v>Simergia</v>
      </c>
    </row>
    <row r="26" spans="1:51">
      <c r="A26" s="156" t="s">
        <v>71</v>
      </c>
      <c r="B26" s="138">
        <f t="shared" ref="B26:L26" si="18">(2*B17+B15-1)/SQRT(3)</f>
        <v>3.6062076183149223E-2</v>
      </c>
      <c r="C26" s="139">
        <f t="shared" si="18"/>
        <v>-0.10338935802180978</v>
      </c>
      <c r="D26" s="139">
        <f t="shared" si="18"/>
        <v>5.7174492677030932E-2</v>
      </c>
      <c r="E26" s="139">
        <f t="shared" si="18"/>
        <v>-0.15987351081938425</v>
      </c>
      <c r="F26" s="139">
        <f t="shared" si="18"/>
        <v>-9.3547752290954134E-2</v>
      </c>
      <c r="G26" s="139">
        <f t="shared" si="18"/>
        <v>-2.4397665474122077E-2</v>
      </c>
      <c r="H26" s="139">
        <f>(2*H17+H15-1)/SQRT(3)</f>
        <v>-0.50638133582524691</v>
      </c>
      <c r="I26" s="139">
        <f>(2*I17+I15-1)/SQRT(3)</f>
        <v>0.50603353090856562</v>
      </c>
      <c r="J26" s="139">
        <f>(2*J17+J15-1)/SQRT(3)</f>
        <v>-0.47142495063107653</v>
      </c>
      <c r="K26" s="139">
        <f>(2*K17+K15-1)/SQRT(3)</f>
        <v>0.44828268314380687</v>
      </c>
      <c r="L26" s="32" t="e">
        <f t="shared" si="18"/>
        <v>#DIV/0!</v>
      </c>
      <c r="AN26" s="2" t="s">
        <v>39</v>
      </c>
      <c r="AP26" s="52">
        <f>IF(DIAG!T21,$L$26,-1)</f>
        <v>-1</v>
      </c>
      <c r="AQ26" s="53">
        <f>AP26+(AY26-AP26)/9</f>
        <v>-1</v>
      </c>
      <c r="AR26" s="53">
        <f>AQ26+(AY26-AQ26)/8</f>
        <v>-1</v>
      </c>
      <c r="AS26" s="53">
        <f>AR26+(AY26-AR26)/7</f>
        <v>-1</v>
      </c>
      <c r="AT26" s="53">
        <f>AS26+(AY26-AS26)/6</f>
        <v>-1</v>
      </c>
      <c r="AU26" s="53">
        <f>AT26+(AY26-AT26)/5</f>
        <v>-1</v>
      </c>
      <c r="AV26" s="53">
        <f>AU26+(AY26-AU26)/4</f>
        <v>-1</v>
      </c>
      <c r="AW26" s="53">
        <f>AV26+(AY26-AV26)/3</f>
        <v>-1</v>
      </c>
      <c r="AX26" s="53">
        <f>AW26+(AY26-AW26)/2</f>
        <v>-1</v>
      </c>
      <c r="AY26" s="54">
        <f>IF(DIAG!T21,$B$26,-1)</f>
        <v>-1</v>
      </c>
    </row>
    <row r="27" spans="1:51">
      <c r="A27" s="157" t="s">
        <v>72</v>
      </c>
      <c r="B27" s="140">
        <f>IF(DIAG!T11,B15,-1)</f>
        <v>0.31292517006802723</v>
      </c>
      <c r="C27" s="141">
        <f>IF(DIAG!T12,C15,-1)</f>
        <v>0.7811622223032868</v>
      </c>
      <c r="D27" s="141">
        <f>IF(DIAG!T13,D15,-1)</f>
        <v>0.50429958391123442</v>
      </c>
      <c r="E27" s="141">
        <f>IF(DIAG!T14,E15,-1)</f>
        <v>0.32903309877508469</v>
      </c>
      <c r="F27" s="141">
        <f>IF(DIAG!T15,F15,-1)</f>
        <v>0.16693944353518822</v>
      </c>
      <c r="G27" s="139">
        <f>IF(DIAG!T16,G15,-1)</f>
        <v>0.4258631645837746</v>
      </c>
      <c r="H27" s="139">
        <f>IF(DIAG!T17,H15,-1)</f>
        <v>0.10537094074735072</v>
      </c>
      <c r="I27" s="139">
        <f>IF(DIAG!T18,I15,-1)</f>
        <v>0.10098408254774273</v>
      </c>
      <c r="J27" s="139">
        <f>IF(DIAG!T19,J15,-1)</f>
        <v>9.0781013747182049E-4</v>
      </c>
      <c r="K27" s="139">
        <f>IF(DIAG!T20,K15,-1)</f>
        <v>5.0824756718978584E-2</v>
      </c>
      <c r="L27" s="32">
        <f>IF(OR(DIAG!T21,DIAG!T22,DIAG!T23,DIAG!T24,DIAG!T25,DIAG!T26,DIAG!T27,DIAG!T28,DIAG!T29,DIAG!T30),L15,-1)</f>
        <v>-1</v>
      </c>
      <c r="AP27" s="56">
        <f>IF(DIAG!T21,$L$27,-1)</f>
        <v>-1</v>
      </c>
      <c r="AQ27" s="57">
        <f>AP27+(AY27-AP27)/9</f>
        <v>-1</v>
      </c>
      <c r="AR27" s="57">
        <f>AQ27+(AY27-AQ27)/8</f>
        <v>-1</v>
      </c>
      <c r="AS27" s="57">
        <f>AR27+(AY27-AR27)/7</f>
        <v>-1</v>
      </c>
      <c r="AT27" s="57">
        <f>AS27+(AY27-AS27)/6</f>
        <v>-1</v>
      </c>
      <c r="AU27" s="57">
        <f>AT27+(AY27-AT27)/5</f>
        <v>-1</v>
      </c>
      <c r="AV27" s="57">
        <f>AU27+(AY27-AU27)/4</f>
        <v>-1</v>
      </c>
      <c r="AW27" s="57">
        <f>AV27+(AY27-AV27)/3</f>
        <v>-1</v>
      </c>
      <c r="AX27" s="57">
        <f>AW27+(AY27-AW27)/2</f>
        <v>-1</v>
      </c>
      <c r="AY27" s="58">
        <f>IF(DIAG!T21,$B$27,-1)</f>
        <v>-1</v>
      </c>
    </row>
    <row r="28" spans="1:51" ht="15" customHeight="1">
      <c r="A28" s="274" t="s">
        <v>38</v>
      </c>
      <c r="B28" s="275"/>
      <c r="C28" s="276"/>
      <c r="D28" s="17" t="s">
        <v>40</v>
      </c>
      <c r="E28" s="17" t="s">
        <v>41</v>
      </c>
      <c r="F28" s="17" t="s">
        <v>42</v>
      </c>
      <c r="G28" s="59"/>
      <c r="H28" s="59"/>
      <c r="I28" s="59"/>
      <c r="J28" s="59"/>
      <c r="K28" s="59"/>
      <c r="L28" s="60"/>
      <c r="M28" s="61"/>
      <c r="AO28" s="15"/>
      <c r="AP28" s="15"/>
      <c r="AQ28" s="15"/>
      <c r="AR28" s="15"/>
      <c r="AS28" s="15"/>
      <c r="AT28" s="15"/>
      <c r="AU28" s="15"/>
    </row>
    <row r="29" spans="1:51" ht="16.5" customHeight="1">
      <c r="A29" s="62"/>
      <c r="B29" s="63" t="str">
        <f>VLOOKUP(A28,A25:G25,A83,0)</f>
        <v xml:space="preserve"> 1-Pedro</v>
      </c>
      <c r="C29" s="64"/>
      <c r="D29" s="23" t="e">
        <f ca="1">D103</f>
        <v>#DIV/0!</v>
      </c>
      <c r="E29" s="23" t="e">
        <f ca="1">D100</f>
        <v>#DIV/0!</v>
      </c>
      <c r="F29" s="23" t="e">
        <f ca="1">E103</f>
        <v>#DIV/0!</v>
      </c>
      <c r="G29" s="65" t="s">
        <v>43</v>
      </c>
      <c r="H29" s="66"/>
      <c r="I29" s="66"/>
      <c r="J29" s="66"/>
      <c r="K29" s="66"/>
      <c r="L29" s="66"/>
      <c r="M29" s="67"/>
      <c r="AN29" s="2" t="s">
        <v>44</v>
      </c>
      <c r="AO29" s="15"/>
      <c r="AP29" s="52">
        <f>IF(DIAG!$T$22,$L$26,-1)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IF(DIAG!$T$22,$C$26,-1)</f>
        <v>-1</v>
      </c>
    </row>
    <row r="30" spans="1:51" ht="16.5" customHeight="1">
      <c r="A30" s="68"/>
      <c r="B30" s="69"/>
      <c r="C30" s="9"/>
      <c r="D30" s="23" t="e">
        <f ca="1">N103</f>
        <v>#DIV/0!</v>
      </c>
      <c r="E30" s="23" t="e">
        <f ca="1">M100</f>
        <v>#DIV/0!</v>
      </c>
      <c r="F30" s="23" t="e">
        <f ca="1">M103</f>
        <v>#DIV/0!</v>
      </c>
      <c r="G30" s="65" t="s">
        <v>45</v>
      </c>
      <c r="H30" s="66"/>
      <c r="I30" s="66"/>
      <c r="J30" s="66"/>
      <c r="K30" s="66"/>
      <c r="L30" s="66"/>
      <c r="M30" s="67"/>
      <c r="AO30" s="15"/>
      <c r="AP30" s="56">
        <f>IF(DIAG!$T$22,$L$27,-1)</f>
        <v>-1</v>
      </c>
      <c r="AQ30" s="57">
        <f>AP30+(AY30-AP30)/9</f>
        <v>-1</v>
      </c>
      <c r="AR30" s="57">
        <f>AQ30+(AY30-AQ30)/8</f>
        <v>-1</v>
      </c>
      <c r="AS30" s="57">
        <f>AR30+(AY30-AR30)/7</f>
        <v>-1</v>
      </c>
      <c r="AT30" s="57">
        <f>AS30+(AY30-AS30)/6</f>
        <v>-1</v>
      </c>
      <c r="AU30" s="57">
        <f>AT30+(AY30-AT30)/5</f>
        <v>-1</v>
      </c>
      <c r="AV30" s="57">
        <f>AU30+(AY30-AU30)/4</f>
        <v>-1</v>
      </c>
      <c r="AW30" s="57">
        <f>AV30+(AY30-AV30)/3</f>
        <v>-1</v>
      </c>
      <c r="AX30" s="57">
        <f>AW30+(AY30-AW30)/2</f>
        <v>-1</v>
      </c>
      <c r="AY30" s="58">
        <f>IF(DIAG!$T$22,$C$27,-1)</f>
        <v>-1</v>
      </c>
    </row>
    <row r="31" spans="1:51" ht="16.5" customHeight="1">
      <c r="A31" s="70"/>
      <c r="B31" s="71"/>
      <c r="D31" s="72"/>
      <c r="E31" s="72"/>
      <c r="F31" s="72"/>
      <c r="G31" s="73"/>
      <c r="H31" s="73"/>
      <c r="I31" s="73"/>
      <c r="J31" s="73"/>
      <c r="K31" s="73"/>
      <c r="S31" s="15"/>
      <c r="T31" s="15"/>
      <c r="U31" s="15"/>
      <c r="V31" s="15"/>
      <c r="W31" s="15"/>
      <c r="X31" s="15"/>
      <c r="Y31" s="15"/>
      <c r="Z31" s="15"/>
      <c r="AA31" s="15"/>
      <c r="AB31" s="15"/>
      <c r="AO31" s="15"/>
      <c r="AS31" s="15"/>
      <c r="AT31" s="15"/>
      <c r="AU31" s="15"/>
    </row>
    <row r="32" spans="1:51" ht="16.5" customHeight="1">
      <c r="A32" s="70"/>
      <c r="B32" s="71"/>
      <c r="D32" s="72"/>
      <c r="E32" s="72"/>
      <c r="F32" s="72"/>
      <c r="G32" s="73"/>
      <c r="H32" s="73"/>
      <c r="I32" s="73"/>
      <c r="J32" s="73"/>
      <c r="K32" s="73"/>
      <c r="S32" s="15"/>
      <c r="T32" s="15"/>
      <c r="U32" s="15"/>
      <c r="V32" s="15"/>
      <c r="W32" s="15"/>
      <c r="X32" s="15"/>
      <c r="Y32" s="15"/>
      <c r="Z32" s="15"/>
      <c r="AA32" s="15"/>
      <c r="AB32" s="15"/>
      <c r="AN32" s="2" t="s">
        <v>46</v>
      </c>
      <c r="AO32" s="15"/>
      <c r="AP32" s="52">
        <f>IF(DIAG!$T$23,$L$26,-1)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IF(DIAG!$T$23,$D$26,-1)</f>
        <v>-1</v>
      </c>
    </row>
    <row r="33" spans="1:73" ht="16.5" customHeight="1">
      <c r="B33" s="71"/>
      <c r="D33" s="72"/>
      <c r="E33" s="72"/>
      <c r="F33" s="72"/>
      <c r="G33" s="73"/>
      <c r="H33" s="73"/>
      <c r="I33" s="73"/>
      <c r="J33" s="73"/>
      <c r="K33" s="73"/>
      <c r="S33" s="15"/>
      <c r="T33" s="15"/>
      <c r="U33" s="15"/>
      <c r="V33" s="15"/>
      <c r="W33" s="15"/>
      <c r="X33" s="15"/>
      <c r="Y33" s="15"/>
      <c r="Z33" s="15"/>
      <c r="AA33" s="15"/>
      <c r="AB33" s="15"/>
      <c r="AO33" s="15"/>
      <c r="AP33" s="56">
        <f>IF(DIAG!$T$23,$L$27,-1)</f>
        <v>-1</v>
      </c>
      <c r="AQ33" s="57">
        <f>AP33+(AY33-AP33)/9</f>
        <v>-1</v>
      </c>
      <c r="AR33" s="57">
        <f>AQ33+(AY33-AQ33)/8</f>
        <v>-1</v>
      </c>
      <c r="AS33" s="57">
        <f>AR33+(AY33-AR33)/7</f>
        <v>-1</v>
      </c>
      <c r="AT33" s="57">
        <f>AS33+(AY33-AS33)/6</f>
        <v>-1</v>
      </c>
      <c r="AU33" s="57">
        <f>AT33+(AY33-AT33)/5</f>
        <v>-1</v>
      </c>
      <c r="AV33" s="57">
        <f>AU33+(AY33-AU33)/4</f>
        <v>-1</v>
      </c>
      <c r="AW33" s="57">
        <f>AV33+(AY33-AV33)/3</f>
        <v>-1</v>
      </c>
      <c r="AX33" s="57">
        <f>AW33+(AY33-AW33)/2</f>
        <v>-1</v>
      </c>
      <c r="AY33" s="58">
        <f>IF(DIAG!$T$23,$D$27,-1)</f>
        <v>-1</v>
      </c>
    </row>
    <row r="34" spans="1:73" ht="14.25">
      <c r="A34" s="152" t="s">
        <v>47</v>
      </c>
      <c r="B34" s="153"/>
      <c r="C34" s="153"/>
      <c r="D34" s="153"/>
      <c r="E34" s="153"/>
      <c r="F34" s="142"/>
      <c r="G34" s="143"/>
      <c r="H34" s="143"/>
      <c r="I34" s="143"/>
      <c r="J34" s="143"/>
      <c r="K34" s="143"/>
      <c r="L34" s="76"/>
      <c r="M34" s="76"/>
      <c r="N34" s="76"/>
      <c r="O34" s="76">
        <v>0</v>
      </c>
      <c r="P34" s="13">
        <v>1</v>
      </c>
      <c r="Q34" s="13">
        <v>2</v>
      </c>
      <c r="R34" s="13">
        <v>3</v>
      </c>
      <c r="S34" s="13">
        <v>4</v>
      </c>
      <c r="T34" s="13">
        <v>5</v>
      </c>
      <c r="U34" s="13">
        <v>6</v>
      </c>
      <c r="V34" s="13">
        <v>7</v>
      </c>
      <c r="W34" s="13">
        <v>8</v>
      </c>
      <c r="X34" s="13">
        <v>9</v>
      </c>
      <c r="Y34" s="76">
        <v>10</v>
      </c>
      <c r="Z34" s="13">
        <v>9</v>
      </c>
      <c r="AA34" s="13">
        <v>8</v>
      </c>
      <c r="AB34" s="13">
        <v>7</v>
      </c>
      <c r="AC34" s="13">
        <v>6</v>
      </c>
      <c r="AD34" s="13">
        <v>5</v>
      </c>
      <c r="AE34" s="13">
        <v>4</v>
      </c>
      <c r="AF34" s="13">
        <v>3</v>
      </c>
      <c r="AG34" s="13">
        <v>2</v>
      </c>
      <c r="AH34" s="13">
        <v>1</v>
      </c>
      <c r="AI34" s="78">
        <v>0</v>
      </c>
    </row>
    <row r="35" spans="1:73">
      <c r="A35" s="154" t="s">
        <v>48</v>
      </c>
      <c r="B35" s="146"/>
      <c r="C35" s="146"/>
      <c r="D35" s="146" t="s">
        <v>49</v>
      </c>
      <c r="E35" s="134">
        <f>-1/SQRT(3)</f>
        <v>-0.57735026918962584</v>
      </c>
      <c r="F35" s="134">
        <v>0</v>
      </c>
      <c r="G35" s="135">
        <f>1/SQRT(3)</f>
        <v>0.57735026918962584</v>
      </c>
      <c r="H35" s="135"/>
      <c r="I35" s="135"/>
      <c r="J35" s="135"/>
      <c r="K35" s="135"/>
      <c r="O35" s="15">
        <f>-1/SQRT(3)</f>
        <v>-0.57735026918962584</v>
      </c>
      <c r="P35" s="133">
        <f t="shared" ref="P35:X35" si="19">-1/SQRT(3)+P34*(1/SQRT(3)/10)</f>
        <v>-0.51961524227066325</v>
      </c>
      <c r="Q35" s="133">
        <f t="shared" si="19"/>
        <v>-0.46188021535170065</v>
      </c>
      <c r="R35" s="133">
        <f t="shared" si="19"/>
        <v>-0.40414518843273811</v>
      </c>
      <c r="S35" s="133">
        <f t="shared" si="19"/>
        <v>-0.34641016151377552</v>
      </c>
      <c r="T35" s="133">
        <f t="shared" si="19"/>
        <v>-0.28867513459481292</v>
      </c>
      <c r="U35" s="133">
        <f t="shared" si="19"/>
        <v>-0.23094010767585038</v>
      </c>
      <c r="V35" s="133">
        <f t="shared" si="19"/>
        <v>-0.17320508075688779</v>
      </c>
      <c r="W35" s="133">
        <f t="shared" si="19"/>
        <v>-0.11547005383792519</v>
      </c>
      <c r="X35" s="133">
        <f t="shared" si="19"/>
        <v>-5.7735026918962595E-2</v>
      </c>
      <c r="Y35" s="15">
        <f>-1/SQRT(3)+Y34*(1/SQRT(3)/10)</f>
        <v>0</v>
      </c>
      <c r="Z35" s="133">
        <f t="shared" ref="Z35:AH35" si="20">1/SQRT(3)-Z34*1/SQRT(3)/10</f>
        <v>5.7735026918962595E-2</v>
      </c>
      <c r="AA35" s="133">
        <f t="shared" si="20"/>
        <v>0.11547005383792519</v>
      </c>
      <c r="AB35" s="133">
        <f t="shared" si="20"/>
        <v>0.17320508075688779</v>
      </c>
      <c r="AC35" s="133">
        <f t="shared" si="20"/>
        <v>0.23094010767585038</v>
      </c>
      <c r="AD35" s="133">
        <f t="shared" si="20"/>
        <v>0.28867513459481292</v>
      </c>
      <c r="AE35" s="133">
        <f t="shared" si="20"/>
        <v>0.34641016151377552</v>
      </c>
      <c r="AF35" s="133">
        <f t="shared" si="20"/>
        <v>0.40414518843273811</v>
      </c>
      <c r="AG35" s="133">
        <f t="shared" si="20"/>
        <v>0.46188021535170065</v>
      </c>
      <c r="AH35" s="133">
        <f t="shared" si="20"/>
        <v>0.51961524227066325</v>
      </c>
      <c r="AI35" s="80">
        <f>1/SQRT(3)</f>
        <v>0.57735026918962584</v>
      </c>
      <c r="AN35" s="2" t="s">
        <v>50</v>
      </c>
      <c r="AP35" s="52">
        <f>IF(DIAG!$T$24,$L$26,-1)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IF(DIAG!$T$24,$E$26,-1)</f>
        <v>-1</v>
      </c>
    </row>
    <row r="36" spans="1:73">
      <c r="A36" s="154" t="s">
        <v>51</v>
      </c>
      <c r="B36" s="146"/>
      <c r="C36" s="146"/>
      <c r="D36" s="146"/>
      <c r="E36" s="134">
        <v>0</v>
      </c>
      <c r="F36" s="134">
        <v>0</v>
      </c>
      <c r="G36" s="135">
        <v>0</v>
      </c>
      <c r="H36" s="135"/>
      <c r="I36" s="135"/>
      <c r="J36" s="135"/>
      <c r="K36" s="135"/>
      <c r="O36" s="15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5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80">
        <v>0</v>
      </c>
      <c r="AJ36" s="15"/>
      <c r="AK36" s="1"/>
      <c r="AL36" s="1"/>
      <c r="AM36" s="1"/>
      <c r="AP36" s="56">
        <f>IF(DIAG!$T$24,$L$27,-1)</f>
        <v>-1</v>
      </c>
      <c r="AQ36" s="57">
        <f>AP36+(AY36-AP36)/9</f>
        <v>-1</v>
      </c>
      <c r="AR36" s="57">
        <f>AQ36+(AY36-AQ36)/8</f>
        <v>-1</v>
      </c>
      <c r="AS36" s="57">
        <f>AR36+(AY36-AR36)/7</f>
        <v>-1</v>
      </c>
      <c r="AT36" s="57">
        <f>AS36+(AY36-AS36)/6</f>
        <v>-1</v>
      </c>
      <c r="AU36" s="57">
        <f>AT36+(AY36-AT36)/5</f>
        <v>-1</v>
      </c>
      <c r="AV36" s="57">
        <f>AU36+(AY36-AU36)/4</f>
        <v>-1</v>
      </c>
      <c r="AW36" s="57">
        <f>AV36+(AY36-AV36)/3</f>
        <v>-1</v>
      </c>
      <c r="AX36" s="57">
        <f>AW36+(AY36-AW36)/2</f>
        <v>-1</v>
      </c>
      <c r="AY36" s="58">
        <f>IF(DIAG!$T$24,$E$27,-1)</f>
        <v>-1</v>
      </c>
    </row>
    <row r="37" spans="1:73">
      <c r="A37" s="155" t="s">
        <v>52</v>
      </c>
      <c r="B37" s="149"/>
      <c r="C37" s="149"/>
      <c r="D37" s="149"/>
      <c r="E37" s="136">
        <v>0</v>
      </c>
      <c r="F37" s="136">
        <v>1</v>
      </c>
      <c r="G37" s="137">
        <v>0</v>
      </c>
      <c r="H37" s="137"/>
      <c r="I37" s="137"/>
      <c r="J37" s="137"/>
      <c r="K37" s="137"/>
      <c r="L37" s="82"/>
      <c r="M37" s="82"/>
      <c r="N37" s="82"/>
      <c r="O37" s="82">
        <f>SQRT(3)*O35+1</f>
        <v>0</v>
      </c>
      <c r="P37" s="14">
        <f t="shared" ref="P37:X37" si="21">SQRT(3)*P35+1</f>
        <v>9.9999999999999978E-2</v>
      </c>
      <c r="Q37" s="14">
        <f t="shared" si="21"/>
        <v>0.19999999999999996</v>
      </c>
      <c r="R37" s="14">
        <f t="shared" si="21"/>
        <v>0.29999999999999993</v>
      </c>
      <c r="S37" s="14">
        <f t="shared" si="21"/>
        <v>0.39999999999999991</v>
      </c>
      <c r="T37" s="14">
        <f t="shared" si="21"/>
        <v>0.5</v>
      </c>
      <c r="U37" s="14">
        <f t="shared" si="21"/>
        <v>0.59999999999999987</v>
      </c>
      <c r="V37" s="14">
        <f t="shared" si="21"/>
        <v>0.7</v>
      </c>
      <c r="W37" s="14">
        <f t="shared" si="21"/>
        <v>0.79999999999999993</v>
      </c>
      <c r="X37" s="14">
        <f t="shared" si="21"/>
        <v>0.89999999999999991</v>
      </c>
      <c r="Y37" s="82">
        <f>SQRT(3)*Y35+1</f>
        <v>1</v>
      </c>
      <c r="Z37" s="14">
        <f t="shared" ref="Z37:AH37" si="22">1-SQRT(3)*Z35</f>
        <v>0.89999999999999991</v>
      </c>
      <c r="AA37" s="14">
        <f t="shared" si="22"/>
        <v>0.79999999999999993</v>
      </c>
      <c r="AB37" s="14">
        <f t="shared" si="22"/>
        <v>0.7</v>
      </c>
      <c r="AC37" s="14">
        <f t="shared" si="22"/>
        <v>0.59999999999999987</v>
      </c>
      <c r="AD37" s="14">
        <f t="shared" si="22"/>
        <v>0.5</v>
      </c>
      <c r="AE37" s="14">
        <f t="shared" si="22"/>
        <v>0.39999999999999991</v>
      </c>
      <c r="AF37" s="14">
        <f t="shared" si="22"/>
        <v>0.29999999999999993</v>
      </c>
      <c r="AG37" s="14">
        <f t="shared" si="22"/>
        <v>0.19999999999999996</v>
      </c>
      <c r="AH37" s="14">
        <f t="shared" si="22"/>
        <v>9.9999999999999978E-2</v>
      </c>
      <c r="AI37" s="84">
        <f>1-SQRT(3)*AI35</f>
        <v>0</v>
      </c>
      <c r="AK37" s="1"/>
      <c r="AL37" s="1"/>
      <c r="AM37" s="1"/>
    </row>
    <row r="38" spans="1:73" ht="16.5" customHeight="1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15"/>
      <c r="T38" s="15"/>
      <c r="U38" s="15"/>
      <c r="V38" s="15"/>
      <c r="W38" s="15"/>
      <c r="X38" s="15"/>
      <c r="Y38" s="15"/>
      <c r="Z38" s="15"/>
      <c r="AA38" s="15"/>
      <c r="AB38" s="15"/>
      <c r="AK38" s="1"/>
      <c r="AL38" s="1"/>
      <c r="AM38" s="1"/>
      <c r="AN38" s="2" t="s">
        <v>53</v>
      </c>
      <c r="AP38" s="52">
        <f>IF(DIAG!$T$25,$L$26,-1)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IF(DIAG!$T$25,$F$26,-1)</f>
        <v>-1</v>
      </c>
    </row>
    <row r="39" spans="1:73" ht="16.5" customHeight="1">
      <c r="A39" s="74" t="s">
        <v>54</v>
      </c>
      <c r="B39" s="75"/>
      <c r="C39" s="75"/>
      <c r="D39" s="85"/>
      <c r="E39" s="85"/>
      <c r="F39" s="85"/>
      <c r="G39" s="86"/>
      <c r="H39" s="86"/>
      <c r="I39" s="86"/>
      <c r="J39" s="86"/>
      <c r="K39" s="86"/>
      <c r="L39" s="76"/>
      <c r="M39" s="76"/>
      <c r="N39" s="142" t="s">
        <v>49</v>
      </c>
      <c r="O39" s="143">
        <v>0</v>
      </c>
      <c r="P39" s="144">
        <f>AI35</f>
        <v>0.57735026918962584</v>
      </c>
      <c r="Q39" s="145">
        <f>O35</f>
        <v>-0.57735026918962584</v>
      </c>
      <c r="S39" s="15"/>
      <c r="T39" s="15"/>
      <c r="U39" s="15"/>
      <c r="V39" s="15"/>
      <c r="W39" s="15"/>
      <c r="X39" s="15"/>
      <c r="Y39" s="15"/>
      <c r="Z39" s="15"/>
      <c r="AA39" s="15"/>
      <c r="AB39" s="15"/>
      <c r="AK39" s="1"/>
      <c r="AL39" s="1"/>
      <c r="AM39" s="1"/>
      <c r="AP39" s="56">
        <f>IF(DIAG!$T$25,$L$27,-1)</f>
        <v>-1</v>
      </c>
      <c r="AQ39" s="57">
        <f>AP39+(AY39-AP39)/9</f>
        <v>-1</v>
      </c>
      <c r="AR39" s="57">
        <f>AQ39+(AY39-AQ39)/8</f>
        <v>-1</v>
      </c>
      <c r="AS39" s="57">
        <f>AR39+(AY39-AR39)/7</f>
        <v>-1</v>
      </c>
      <c r="AT39" s="57">
        <f>AS39+(AY39-AS39)/6</f>
        <v>-1</v>
      </c>
      <c r="AU39" s="57">
        <f>AT39+(AY39-AT39)/5</f>
        <v>-1</v>
      </c>
      <c r="AV39" s="57">
        <f>AU39+(AY39-AU39)/4</f>
        <v>-1</v>
      </c>
      <c r="AW39" s="57">
        <f>AV39+(AY39-AV39)/3</f>
        <v>-1</v>
      </c>
      <c r="AX39" s="57">
        <f>AW39+(AY39-AW39)/2</f>
        <v>-1</v>
      </c>
      <c r="AY39" s="58">
        <f>IF(DIAG!$T$25,$F$27,-1)</f>
        <v>-1</v>
      </c>
    </row>
    <row r="40" spans="1:73">
      <c r="A40" s="79"/>
      <c r="N40" s="146" t="s">
        <v>5</v>
      </c>
      <c r="O40" s="147">
        <v>1</v>
      </c>
      <c r="P40" s="147"/>
      <c r="Q40" s="148"/>
    </row>
    <row r="41" spans="1:73">
      <c r="A41" s="79"/>
      <c r="N41" s="146" t="s">
        <v>7</v>
      </c>
      <c r="O41" s="147"/>
      <c r="P41" s="147">
        <v>0</v>
      </c>
      <c r="Q41" s="148"/>
      <c r="S41" s="2" t="s">
        <v>104</v>
      </c>
      <c r="Z41" s="2" t="s">
        <v>105</v>
      </c>
      <c r="AN41" s="2" t="s">
        <v>55</v>
      </c>
      <c r="AP41" s="52">
        <f>IF(DIAG!$T$26,$L$26,-1)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IF(DIAG!$T$26,$G$26,-1)</f>
        <v>-1</v>
      </c>
    </row>
    <row r="42" spans="1:73">
      <c r="A42" s="81"/>
      <c r="B42" s="82"/>
      <c r="C42" s="82"/>
      <c r="D42" s="82"/>
      <c r="E42" s="82"/>
      <c r="F42" s="82"/>
      <c r="G42" s="83"/>
      <c r="H42" s="83"/>
      <c r="I42" s="83"/>
      <c r="J42" s="83"/>
      <c r="K42" s="83"/>
      <c r="L42" s="82"/>
      <c r="M42" s="82"/>
      <c r="N42" s="149" t="s">
        <v>6</v>
      </c>
      <c r="O42" s="150"/>
      <c r="P42" s="150"/>
      <c r="Q42" s="151">
        <v>0</v>
      </c>
      <c r="S42" s="129">
        <v>-0.35799999999999998</v>
      </c>
      <c r="T42" s="129">
        <f>-S42</f>
        <v>0.35799999999999998</v>
      </c>
      <c r="Z42" s="2">
        <v>0</v>
      </c>
      <c r="AA42" s="2">
        <v>0</v>
      </c>
      <c r="AP42" s="56">
        <f>IF(DIAG!$T$26,$L$27,-1)</f>
        <v>-1</v>
      </c>
      <c r="AQ42" s="57">
        <f>AP42+(AY42-AP42)/9</f>
        <v>-1</v>
      </c>
      <c r="AR42" s="57">
        <f>AQ42+(AY42-AQ42)/8</f>
        <v>-1</v>
      </c>
      <c r="AS42" s="57">
        <f>AR42+(AY42-AR42)/7</f>
        <v>-1</v>
      </c>
      <c r="AT42" s="57">
        <f>AS42+(AY42-AS42)/6</f>
        <v>-1</v>
      </c>
      <c r="AU42" s="57">
        <f>AT42+(AY42-AT42)/5</f>
        <v>-1</v>
      </c>
      <c r="AV42" s="57">
        <f>AU42+(AY42-AU42)/4</f>
        <v>-1</v>
      </c>
      <c r="AW42" s="57">
        <f>AV42+(AY42-AV42)/3</f>
        <v>-1</v>
      </c>
      <c r="AX42" s="57">
        <f>AW42+(AY42-AW42)/2</f>
        <v>-1</v>
      </c>
      <c r="AY42" s="58">
        <f>IF(DIAG!$T$26,$G$27,-1)</f>
        <v>-1</v>
      </c>
      <c r="BI42" s="1"/>
      <c r="BU42" s="1"/>
    </row>
    <row r="43" spans="1:73" ht="16.5" customHeight="1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15">
        <f>IF(DIAG!$X$42,0.5,-1)</f>
        <v>-1</v>
      </c>
      <c r="T43" s="15">
        <f>IF(DIAG!$X$42,0.5,-1)</f>
        <v>-1</v>
      </c>
      <c r="U43" s="15"/>
      <c r="V43" s="15"/>
      <c r="W43" s="15"/>
      <c r="X43" s="15"/>
      <c r="Y43" s="15"/>
      <c r="Z43" s="129">
        <f>IF(DIAG!$X$42,-0.027,-1)</f>
        <v>-1</v>
      </c>
      <c r="AA43" s="129">
        <f>IF(DIAG!$X$42,1.02,-1)</f>
        <v>-1</v>
      </c>
      <c r="AB43" s="15"/>
      <c r="AC43" s="15"/>
      <c r="AD43" s="15"/>
      <c r="AE43" s="15"/>
    </row>
    <row r="44" spans="1:73" ht="16.5" customHeight="1">
      <c r="A44" s="70"/>
      <c r="B44" s="71"/>
      <c r="D44" s="72"/>
      <c r="E44" s="72"/>
      <c r="F44" s="72"/>
      <c r="G44" s="73"/>
      <c r="H44" s="73"/>
      <c r="I44" s="73" t="str">
        <f>CONCATENATE("texto1",CHAR(10),"texto2")</f>
        <v>texto1
texto2</v>
      </c>
      <c r="J44" s="73"/>
      <c r="K44" s="73"/>
      <c r="N44" s="82"/>
      <c r="S44" s="15"/>
      <c r="T44" s="15"/>
      <c r="U44" s="15"/>
      <c r="V44" s="15"/>
      <c r="W44" s="15"/>
      <c r="X44" s="15"/>
      <c r="Y44" s="15"/>
      <c r="Z44" s="15"/>
      <c r="AA44" s="15"/>
      <c r="AB44" s="15"/>
      <c r="AN44" s="2" t="s">
        <v>82</v>
      </c>
      <c r="AP44" s="52">
        <f>IF(DIAG!$T$27,$L$26,-1)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IF(DIAG!$T$27,$H$26,-1)</f>
        <v>-1</v>
      </c>
    </row>
    <row r="45" spans="1:73" ht="14.25">
      <c r="A45" s="87" t="s">
        <v>56</v>
      </c>
      <c r="B45" s="88"/>
      <c r="C45" s="88"/>
      <c r="D45" s="88"/>
      <c r="E45" s="88"/>
      <c r="F45" s="76" t="s">
        <v>6</v>
      </c>
      <c r="G45" s="77"/>
      <c r="H45" s="77"/>
      <c r="I45" s="77"/>
      <c r="J45" s="77"/>
      <c r="K45" s="77"/>
      <c r="L45" s="158">
        <f>DIAG!$T$46*2/100</f>
        <v>0.2</v>
      </c>
      <c r="M45" s="142"/>
      <c r="N45" s="146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59">
        <f>IF(DIAG!$T$43,IF(1-$L$45-SQRT(3)*(AI35)&gt;1,1,1-$L$45-SQRT(3)*(AI35)),-1)</f>
        <v>-1</v>
      </c>
      <c r="AP45" s="56">
        <f>IF(DIAG!$T$27,$L$27,-1)</f>
        <v>-1</v>
      </c>
      <c r="AQ45" s="57">
        <f>AP45+(AY45-AP45)/9</f>
        <v>-1</v>
      </c>
      <c r="AR45" s="57">
        <f>AQ45+(AY45-AQ45)/8</f>
        <v>-1</v>
      </c>
      <c r="AS45" s="57">
        <f>AR45+(AY45-AR45)/7</f>
        <v>-1</v>
      </c>
      <c r="AT45" s="57">
        <f>AS45+(AY45-AS45)/6</f>
        <v>-1</v>
      </c>
      <c r="AU45" s="57">
        <f>AT45+(AY45-AT45)/5</f>
        <v>-1</v>
      </c>
      <c r="AV45" s="57">
        <f>AU45+(AY45-AU45)/4</f>
        <v>-1</v>
      </c>
      <c r="AW45" s="57">
        <f>AV45+(AY45-AV45)/3</f>
        <v>-1</v>
      </c>
      <c r="AX45" s="57">
        <f>AW45+(AY45-AW45)/2</f>
        <v>-1</v>
      </c>
      <c r="AY45" s="58">
        <f>IF(DIAG!$T$27,$H$27,-1)</f>
        <v>-1</v>
      </c>
    </row>
    <row r="46" spans="1:73">
      <c r="A46" s="79"/>
      <c r="F46" s="2" t="s">
        <v>7</v>
      </c>
      <c r="L46" s="160">
        <f>DIAG!$T$47*2/100</f>
        <v>0.2</v>
      </c>
      <c r="M46" s="146"/>
      <c r="N46" s="146" t="str">
        <f>IF(DIAG!$T$44,CONCATENATE("F=",TRUNC(L46/2,2),CHAR(10),"EYR=",TRUNC(2/L46,2),CHAR(10),"EIR= ",TRUNC(L46/(2*(1-L46/2)),2)),"")</f>
        <v/>
      </c>
      <c r="O46" s="146">
        <f>IF(DIAG!$T$44,IF(1-$L$46+SQRT(3)*(O35)&gt;1,1,1-$L$46+SQRT(3)*(O35)),-1)</f>
        <v>-1</v>
      </c>
      <c r="P46" s="146">
        <f>IF(DIAG!$T$44,IF(1-$L$46+SQRT(3)*(P35)&gt;1,1,1-$L$46+SQRT(3)*(P35)),-1)</f>
        <v>-1</v>
      </c>
      <c r="Q46" s="146">
        <f>IF(DIAG!$T$44,IF(1-$L$46+SQRT(3)*(Q35)&gt;1,1,1-$L$46+SQRT(3)*(Q35)),-1)</f>
        <v>-1</v>
      </c>
      <c r="R46" s="146">
        <f>IF(DIAG!$T$44,IF(1-$L$46+SQRT(3)*(R35)&gt;1,1,1-$L$46+SQRT(3)*(R35)),-1)</f>
        <v>-1</v>
      </c>
      <c r="S46" s="146">
        <f>IF(DIAG!$T$44,IF(1-$L$46+SQRT(3)*(S35)&gt;1,1,1-$L$46+SQRT(3)*(S35)),-1)</f>
        <v>-1</v>
      </c>
      <c r="T46" s="146">
        <f>IF(DIAG!$T$44,IF(1-$L$46+SQRT(3)*(T35)&gt;1,1,1-$L$46+SQRT(3)*(T35)),-1)</f>
        <v>-1</v>
      </c>
      <c r="U46" s="146">
        <f>IF(DIAG!$T$44,IF(1-$L$46+SQRT(3)*(U35)&gt;1,1,1-$L$46+SQRT(3)*(U35)),-1)</f>
        <v>-1</v>
      </c>
      <c r="V46" s="146">
        <f>IF(DIAG!$T$44,IF(1-$L$46+SQRT(3)*(V35)&gt;1,1,1-$L$46+SQRT(3)*(V35)),-1)</f>
        <v>-1</v>
      </c>
      <c r="W46" s="146">
        <f>IF(DIAG!$T$44,IF(1-$L$46+SQRT(3)*(W35)&gt;1,1,1-$L$46+SQRT(3)*(W35)),-1)</f>
        <v>-1</v>
      </c>
      <c r="X46" s="146">
        <f>IF(DIAG!$T$44,IF(1-$L$46+SQRT(3)*(X35)&gt;1,1,1-$L$46+SQRT(3)*(X35)),-1)</f>
        <v>-1</v>
      </c>
      <c r="Y46" s="146">
        <f>IF(DIAG!$T$44,IF(1-$L$46+SQRT(3)*(Y35)&gt;1,1,1-$L$46+SQRT(3)*(Y35)),-1)</f>
        <v>-1</v>
      </c>
      <c r="Z46" s="146">
        <f>IF(DIAG!$T$44,IF(1-$L$46+SQRT(3)*(Z35)&gt;1,1,1-$L$46+SQRT(3)*(Z35)),-1)</f>
        <v>-1</v>
      </c>
      <c r="AA46" s="146">
        <f>IF(DIAG!$T$44,IF(1-$L$46+SQRT(3)*(AA35)&gt;1,1,1-$L$46+SQRT(3)*(AA35)),-1)</f>
        <v>-1</v>
      </c>
      <c r="AB46" s="146">
        <f>IF(DIAG!$T$44,IF(1-$L$46+SQRT(3)*(AB35)&gt;1,1,1-$L$46+SQRT(3)*(AB35)),-1)</f>
        <v>-1</v>
      </c>
      <c r="AC46" s="146">
        <f>IF(DIAG!$T$44,IF(1-$L$46+SQRT(3)*(AC35)&gt;1,1,1-$L$46+SQRT(3)*(AC35)),-1)</f>
        <v>-1</v>
      </c>
      <c r="AD46" s="146">
        <f>IF(DIAG!$T$44,IF(1-$L$46+SQRT(3)*(AD35)&gt;1,1,1-$L$46+SQRT(3)*(AD35)),-1)</f>
        <v>-1</v>
      </c>
      <c r="AE46" s="146">
        <f>IF(DIAG!$T$44,IF(1-$L$46+SQRT(3)*(AE35)&gt;1,1,1-$L$46+SQRT(3)*(AE35)),-1)</f>
        <v>-1</v>
      </c>
      <c r="AF46" s="146">
        <f>IF(DIAG!$T$44,IF(1-$L$46+SQRT(3)*(AF35)&gt;1,1,1-$L$46+SQRT(3)*(AF35)),-1)</f>
        <v>-1</v>
      </c>
      <c r="AG46" s="146">
        <f>IF(DIAG!$T$44,IF(1-$L$46+SQRT(3)*(AG35)&gt;1,1,1-$L$46+SQRT(3)*(AG35)),-1)</f>
        <v>-1</v>
      </c>
      <c r="AH46" s="146">
        <f>IF(DIAG!$T$44,IF(1-$L$46+SQRT(3)*(AH35)&gt;1,1,1-$L$46+SQRT(3)*(AH35)),-1)</f>
        <v>-1</v>
      </c>
      <c r="AI46" s="161">
        <f>IF(DIAG!$T$44,IF(1-$L$46+SQRT(3)*(AI35)&gt;1,1,1-$L$46+SQRT(3)*(AI35)),-1)</f>
        <v>-1</v>
      </c>
    </row>
    <row r="47" spans="1:73">
      <c r="A47" s="81"/>
      <c r="B47" s="82"/>
      <c r="C47" s="82"/>
      <c r="D47" s="82"/>
      <c r="E47" s="82"/>
      <c r="F47" s="82" t="s">
        <v>5</v>
      </c>
      <c r="G47" s="83"/>
      <c r="H47" s="83"/>
      <c r="I47" s="83"/>
      <c r="J47" s="83"/>
      <c r="K47" s="83"/>
      <c r="L47" s="162">
        <f>DIAG!$T$45/100</f>
        <v>0.1</v>
      </c>
      <c r="M47" s="149"/>
      <c r="N47" s="149" t="str">
        <f>IF(DIAG!$T$42,CONCATENATE("R = ",L47,CHAR(10),"ELR=",TRUNC((1-L47)/(L47),2)),"")</f>
        <v/>
      </c>
      <c r="O47" s="149">
        <f>IF(DIAG!$T$42,$L$47,-1)</f>
        <v>-1</v>
      </c>
      <c r="P47" s="149">
        <f>IF(DIAG!$T$42,$L$47,-1)</f>
        <v>-1</v>
      </c>
      <c r="Q47" s="149">
        <f>IF(DIAG!$T$42,$L$47,-1)</f>
        <v>-1</v>
      </c>
      <c r="R47" s="149">
        <f>IF(DIAG!$T$42,$L$47,-1)</f>
        <v>-1</v>
      </c>
      <c r="S47" s="149">
        <f>IF(DIAG!$T$42,$L$47,-1)</f>
        <v>-1</v>
      </c>
      <c r="T47" s="149">
        <f>IF(DIAG!$T$42,$L$47,-1)</f>
        <v>-1</v>
      </c>
      <c r="U47" s="149">
        <f>IF(DIAG!$T$42,$L$47,-1)</f>
        <v>-1</v>
      </c>
      <c r="V47" s="149">
        <f>IF(DIAG!$T$42,$L$47,-1)</f>
        <v>-1</v>
      </c>
      <c r="W47" s="149">
        <f>IF(DIAG!$T$42,$L$47,-1)</f>
        <v>-1</v>
      </c>
      <c r="X47" s="149">
        <f>IF(DIAG!$T$42,$L$47,-1)</f>
        <v>-1</v>
      </c>
      <c r="Y47" s="149">
        <f>IF(DIAG!$T$42,$L$47,-1)</f>
        <v>-1</v>
      </c>
      <c r="Z47" s="149">
        <f>IF(DIAG!$T$42,$L$47,-1)</f>
        <v>-1</v>
      </c>
      <c r="AA47" s="149">
        <f>IF(DIAG!$T$42,$L$47,-1)</f>
        <v>-1</v>
      </c>
      <c r="AB47" s="149">
        <f>IF(DIAG!$T$42,$L$47,-1)</f>
        <v>-1</v>
      </c>
      <c r="AC47" s="149">
        <f>IF(DIAG!$T$42,$L$47,-1)</f>
        <v>-1</v>
      </c>
      <c r="AD47" s="149">
        <f>IF(DIAG!$T$42,$L$47,-1)</f>
        <v>-1</v>
      </c>
      <c r="AE47" s="149">
        <f>IF(DIAG!$T$42,$L$47,-1)</f>
        <v>-1</v>
      </c>
      <c r="AF47" s="149">
        <f>IF(DIAG!$T$42,$L$47,-1)</f>
        <v>-1</v>
      </c>
      <c r="AG47" s="149">
        <f>IF(DIAG!$T$42,$L$47,-1)</f>
        <v>-1</v>
      </c>
      <c r="AH47" s="149">
        <f>IF(DIAG!$T$42,$L$47,-1)</f>
        <v>-1</v>
      </c>
      <c r="AI47" s="163">
        <f>IF(DIAG!$T$42,$L$47,-1)</f>
        <v>-1</v>
      </c>
      <c r="AN47" s="2" t="s">
        <v>83</v>
      </c>
      <c r="AP47" s="52">
        <f>IF(DIAG!$T$28,$L$26,-1)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IF(DIAG!$T$28,$I$26,-1)</f>
        <v>-1</v>
      </c>
    </row>
    <row r="48" spans="1:73" ht="16.5" customHeight="1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15"/>
      <c r="T48" s="15"/>
      <c r="U48" s="15"/>
      <c r="V48" s="15"/>
      <c r="W48" s="15"/>
      <c r="X48" s="15"/>
      <c r="Y48" s="15"/>
      <c r="Z48" s="15"/>
      <c r="AA48" s="15"/>
      <c r="AB48" s="15"/>
      <c r="AP48" s="56">
        <f>IF(DIAG!$T$28,$L$27,-1)</f>
        <v>-1</v>
      </c>
      <c r="AQ48" s="57">
        <f>AP48+(AY48-AP48)/9</f>
        <v>-1</v>
      </c>
      <c r="AR48" s="57">
        <f>AQ48+(AY48-AQ48)/8</f>
        <v>-1</v>
      </c>
      <c r="AS48" s="57">
        <f>AR48+(AY48-AR48)/7</f>
        <v>-1</v>
      </c>
      <c r="AT48" s="57">
        <f>AS48+(AY48-AS48)/6</f>
        <v>-1</v>
      </c>
      <c r="AU48" s="57">
        <f>AT48+(AY48-AT48)/5</f>
        <v>-1</v>
      </c>
      <c r="AV48" s="57">
        <f>AU48+(AY48-AU48)/4</f>
        <v>-1</v>
      </c>
      <c r="AW48" s="57">
        <f>AV48+(AY48-AV48)/3</f>
        <v>-1</v>
      </c>
      <c r="AX48" s="57">
        <f>AW48+(AY48-AW48)/2</f>
        <v>-1</v>
      </c>
      <c r="AY48" s="58">
        <f>IF(DIAG!$T$28,$I$27,-1)</f>
        <v>-1</v>
      </c>
    </row>
    <row r="49" spans="1:59" ht="16.5" customHeight="1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1:59" ht="16.5" customHeight="1">
      <c r="A50" s="74" t="s">
        <v>86</v>
      </c>
      <c r="B50" s="75"/>
      <c r="C50" s="75"/>
      <c r="D50" s="75"/>
      <c r="E50" s="85"/>
      <c r="F50" s="85"/>
      <c r="G50" s="86"/>
      <c r="H50" s="86"/>
      <c r="I50" s="86"/>
      <c r="J50" s="86"/>
      <c r="K50" s="86"/>
      <c r="L50" s="76"/>
      <c r="M50" s="76"/>
      <c r="N50" s="142"/>
      <c r="O50" s="142"/>
      <c r="P50" s="165">
        <f t="shared" ref="P50:U50" si="23">B26</f>
        <v>3.6062076183149223E-2</v>
      </c>
      <c r="Q50" s="165">
        <f t="shared" si="23"/>
        <v>-0.10338935802180978</v>
      </c>
      <c r="R50" s="165">
        <f t="shared" si="23"/>
        <v>5.7174492677030932E-2</v>
      </c>
      <c r="S50" s="165">
        <f t="shared" si="23"/>
        <v>-0.15987351081938425</v>
      </c>
      <c r="T50" s="165">
        <f t="shared" si="23"/>
        <v>-9.3547752290954134E-2</v>
      </c>
      <c r="U50" s="165">
        <f t="shared" si="23"/>
        <v>-2.4397665474122077E-2</v>
      </c>
      <c r="V50" s="165">
        <f>H26</f>
        <v>-0.50638133582524691</v>
      </c>
      <c r="W50" s="165">
        <f>I26</f>
        <v>0.50603353090856562</v>
      </c>
      <c r="X50" s="165">
        <f>J26</f>
        <v>-0.47142495063107653</v>
      </c>
      <c r="Y50" s="166">
        <f>K26</f>
        <v>0.44828268314380687</v>
      </c>
      <c r="Z50" s="15"/>
      <c r="AA50" s="15"/>
      <c r="AB50" s="15"/>
      <c r="AN50" s="2" t="s">
        <v>84</v>
      </c>
      <c r="AP50" s="52">
        <f>IF(DIAG!$T$29,$L$26,-1)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IF(DIAG!$T$29,$J$26,-1)</f>
        <v>-1</v>
      </c>
    </row>
    <row r="51" spans="1:59">
      <c r="A51" s="79"/>
      <c r="N51" s="146" t="str">
        <f>B5</f>
        <v xml:space="preserve"> 1-Pedro</v>
      </c>
      <c r="O51" s="146"/>
      <c r="P51" s="134">
        <f>B27</f>
        <v>0.31292517006802723</v>
      </c>
      <c r="Q51" s="146"/>
      <c r="R51" s="146"/>
      <c r="S51" s="146"/>
      <c r="T51" s="146"/>
      <c r="U51" s="146"/>
      <c r="V51" s="146"/>
      <c r="W51" s="146"/>
      <c r="X51" s="146"/>
      <c r="Y51" s="161"/>
      <c r="AP51" s="56">
        <f>IF(DIAG!$T$29,$L$27,-1)</f>
        <v>-1</v>
      </c>
      <c r="AQ51" s="57">
        <f>AP51+(AY51-AP51)/9</f>
        <v>-1</v>
      </c>
      <c r="AR51" s="57">
        <f>AQ51+(AY51-AQ51)/8</f>
        <v>-1</v>
      </c>
      <c r="AS51" s="57">
        <f>AR51+(AY51-AR51)/7</f>
        <v>-1</v>
      </c>
      <c r="AT51" s="57">
        <f>AS51+(AY51-AS51)/6</f>
        <v>-1</v>
      </c>
      <c r="AU51" s="57">
        <f>AT51+(AY51-AT51)/5</f>
        <v>-1</v>
      </c>
      <c r="AV51" s="57">
        <f>AU51+(AY51-AU51)/4</f>
        <v>-1</v>
      </c>
      <c r="AW51" s="57">
        <f>AV51+(AY51-AV51)/3</f>
        <v>-1</v>
      </c>
      <c r="AX51" s="57">
        <f>AW51+(AY51-AW51)/2</f>
        <v>-1</v>
      </c>
      <c r="AY51" s="58">
        <f>IF(DIAG!$T$29,$J$27,-1)</f>
        <v>-1</v>
      </c>
    </row>
    <row r="52" spans="1:59">
      <c r="A52" s="79"/>
      <c r="N52" s="146" t="str">
        <f>C5</f>
        <v xml:space="preserve"> 2-Andre</v>
      </c>
      <c r="O52" s="146"/>
      <c r="P52" s="146"/>
      <c r="Q52" s="134">
        <f>C27</f>
        <v>0.7811622223032868</v>
      </c>
      <c r="R52" s="146"/>
      <c r="S52" s="146"/>
      <c r="T52" s="146"/>
      <c r="U52" s="146"/>
      <c r="V52" s="146"/>
      <c r="W52" s="146"/>
      <c r="X52" s="146"/>
      <c r="Y52" s="161"/>
    </row>
    <row r="53" spans="1:59">
      <c r="A53" s="79"/>
      <c r="N53" s="146" t="str">
        <f>D5</f>
        <v xml:space="preserve"> 3-Henrique</v>
      </c>
      <c r="O53" s="146"/>
      <c r="P53" s="146"/>
      <c r="Q53" s="146"/>
      <c r="R53" s="134">
        <f>D27</f>
        <v>0.50429958391123442</v>
      </c>
      <c r="S53" s="146"/>
      <c r="T53" s="146"/>
      <c r="U53" s="146"/>
      <c r="V53" s="146"/>
      <c r="W53" s="146"/>
      <c r="X53" s="146"/>
      <c r="Y53" s="161"/>
      <c r="AN53" s="2" t="s">
        <v>85</v>
      </c>
      <c r="AP53" s="52">
        <f>IF(DIAG!$T$30,$L$26,-1)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IF(DIAG!$T$30,$K$26,-1)</f>
        <v>-1</v>
      </c>
    </row>
    <row r="54" spans="1:59">
      <c r="A54" s="79"/>
      <c r="N54" s="146" t="str">
        <f>E5</f>
        <v xml:space="preserve"> 4-Thayna</v>
      </c>
      <c r="O54" s="146"/>
      <c r="P54" s="146"/>
      <c r="Q54" s="146"/>
      <c r="R54" s="146"/>
      <c r="S54" s="134">
        <f>E27</f>
        <v>0.32903309877508469</v>
      </c>
      <c r="T54" s="146"/>
      <c r="U54" s="146"/>
      <c r="V54" s="146"/>
      <c r="W54" s="146"/>
      <c r="X54" s="146"/>
      <c r="Y54" s="161"/>
      <c r="AP54" s="56">
        <f>IF(DIAG!$T$30,$L$27,-1)</f>
        <v>-1</v>
      </c>
      <c r="AQ54" s="57">
        <f>AP54+(AY54-AP54)/9</f>
        <v>-1</v>
      </c>
      <c r="AR54" s="57">
        <f>AQ54+(AY54-AQ54)/8</f>
        <v>-1</v>
      </c>
      <c r="AS54" s="57">
        <f>AR54+(AY54-AR54)/7</f>
        <v>-1</v>
      </c>
      <c r="AT54" s="57">
        <f>AS54+(AY54-AS54)/6</f>
        <v>-1</v>
      </c>
      <c r="AU54" s="57">
        <f>AT54+(AY54-AT54)/5</f>
        <v>-1</v>
      </c>
      <c r="AV54" s="57">
        <f>AU54+(AY54-AU54)/4</f>
        <v>-1</v>
      </c>
      <c r="AW54" s="57">
        <f>AV54+(AY54-AV54)/3</f>
        <v>-1</v>
      </c>
      <c r="AX54" s="57">
        <f>AW54+(AY54-AW54)/2</f>
        <v>-1</v>
      </c>
      <c r="AY54" s="58">
        <f>IF(DIAG!$T$30,$K$27,-1)</f>
        <v>-1</v>
      </c>
    </row>
    <row r="55" spans="1:59">
      <c r="A55" s="79"/>
      <c r="N55" s="146" t="str">
        <f>F5</f>
        <v xml:space="preserve"> 5-Vinicius</v>
      </c>
      <c r="O55" s="146"/>
      <c r="P55" s="146"/>
      <c r="Q55" s="146"/>
      <c r="R55" s="146"/>
      <c r="S55" s="146"/>
      <c r="T55" s="134">
        <f>F27</f>
        <v>0.16693944353518822</v>
      </c>
      <c r="U55" s="146"/>
      <c r="V55" s="146"/>
      <c r="W55" s="146"/>
      <c r="X55" s="146"/>
      <c r="Y55" s="161"/>
    </row>
    <row r="56" spans="1:59">
      <c r="A56" s="79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46" t="str">
        <f>G5</f>
        <v xml:space="preserve"> 6-Diego</v>
      </c>
      <c r="O56" s="146"/>
      <c r="P56" s="146"/>
      <c r="Q56" s="146"/>
      <c r="R56" s="146"/>
      <c r="S56" s="146"/>
      <c r="T56" s="146"/>
      <c r="U56" s="134">
        <f>G27</f>
        <v>0.4258631645837746</v>
      </c>
      <c r="V56" s="146"/>
      <c r="W56" s="146"/>
      <c r="X56" s="146"/>
      <c r="Y56" s="161"/>
    </row>
    <row r="57" spans="1:59">
      <c r="A57" s="79"/>
      <c r="B57" s="1"/>
      <c r="C57" s="1"/>
      <c r="D57" s="1"/>
      <c r="E57" s="1"/>
      <c r="F57" s="1"/>
      <c r="N57" s="146" t="str">
        <f>H5</f>
        <v xml:space="preserve"> 7-Cecilia</v>
      </c>
      <c r="O57" s="146"/>
      <c r="P57" s="146"/>
      <c r="Q57" s="146"/>
      <c r="R57" s="146"/>
      <c r="S57" s="146"/>
      <c r="T57" s="146"/>
      <c r="U57" s="134"/>
      <c r="V57" s="134">
        <f>H27</f>
        <v>0.10537094074735072</v>
      </c>
      <c r="W57" s="146"/>
      <c r="X57" s="146"/>
      <c r="Y57" s="161"/>
    </row>
    <row r="58" spans="1:59">
      <c r="A58" s="79"/>
      <c r="B58" s="1"/>
      <c r="C58" s="1"/>
      <c r="D58" s="1"/>
      <c r="E58" s="1"/>
      <c r="F58" s="1"/>
      <c r="N58" s="146" t="str">
        <f>I5</f>
        <v xml:space="preserve"> 8-Antonio</v>
      </c>
      <c r="O58" s="146"/>
      <c r="P58" s="146"/>
      <c r="Q58" s="146"/>
      <c r="R58" s="146"/>
      <c r="S58" s="146"/>
      <c r="T58" s="146"/>
      <c r="U58" s="134"/>
      <c r="V58" s="146"/>
      <c r="W58" s="134">
        <f>I27</f>
        <v>0.10098408254774273</v>
      </c>
      <c r="X58" s="146"/>
      <c r="Y58" s="161"/>
    </row>
    <row r="59" spans="1:59">
      <c r="A59" s="79"/>
      <c r="B59" s="1"/>
      <c r="C59" s="1"/>
      <c r="D59" s="1"/>
      <c r="E59" s="1"/>
      <c r="F59" s="1"/>
      <c r="N59" s="146" t="str">
        <f>J5</f>
        <v xml:space="preserve"> 9-Creide</v>
      </c>
      <c r="O59" s="146"/>
      <c r="P59" s="146"/>
      <c r="Q59" s="146"/>
      <c r="R59" s="146"/>
      <c r="S59" s="146"/>
      <c r="T59" s="146"/>
      <c r="U59" s="134"/>
      <c r="V59" s="146"/>
      <c r="W59" s="146"/>
      <c r="X59" s="134">
        <f>J27</f>
        <v>9.0781013747182049E-4</v>
      </c>
      <c r="Y59" s="161"/>
    </row>
    <row r="60" spans="1:59">
      <c r="A60" s="81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2"/>
      <c r="M60" s="82"/>
      <c r="N60" s="149" t="str">
        <f>K5</f>
        <v>10-Jasmin</v>
      </c>
      <c r="O60" s="149"/>
      <c r="P60" s="149"/>
      <c r="Q60" s="149"/>
      <c r="R60" s="149"/>
      <c r="S60" s="149"/>
      <c r="T60" s="149"/>
      <c r="U60" s="136"/>
      <c r="V60" s="149"/>
      <c r="W60" s="149"/>
      <c r="X60" s="149"/>
      <c r="Y60" s="167">
        <f>K27</f>
        <v>5.0824756718978584E-2</v>
      </c>
    </row>
    <row r="61" spans="1:59" ht="16.5" customHeight="1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15"/>
      <c r="T61" s="15"/>
      <c r="U61" s="15"/>
      <c r="V61" s="15"/>
      <c r="W61" s="15"/>
      <c r="X61" s="15"/>
      <c r="Y61" s="15"/>
      <c r="Z61" s="15"/>
      <c r="AA61" s="15"/>
      <c r="AB61" s="15"/>
      <c r="AM61" s="2" t="s">
        <v>119</v>
      </c>
    </row>
    <row r="62" spans="1:59" ht="16.5" customHeight="1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59" ht="16.5" customHeight="1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74" t="s">
        <v>4</v>
      </c>
      <c r="B64" s="75"/>
      <c r="C64" s="75"/>
      <c r="D64" s="85"/>
      <c r="E64" s="85"/>
      <c r="F64" s="72"/>
      <c r="G64" s="73"/>
      <c r="H64" s="73"/>
      <c r="I64" s="73"/>
      <c r="J64" s="73"/>
      <c r="K64" s="73"/>
      <c r="M64" s="146"/>
      <c r="N64" s="146" t="s">
        <v>87</v>
      </c>
      <c r="O64" s="147">
        <f>DIAG!$T$51</f>
        <v>1</v>
      </c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34"/>
      <c r="AA64" s="134"/>
      <c r="AB64" s="134"/>
      <c r="AC64" s="146"/>
      <c r="AD64" s="146"/>
      <c r="AE64" s="146"/>
      <c r="AF64" s="146"/>
      <c r="AG64" s="146"/>
      <c r="AM64" s="146"/>
      <c r="AN64" s="146" t="s">
        <v>87</v>
      </c>
      <c r="AO64" s="147">
        <v>1</v>
      </c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34"/>
      <c r="BA64" s="134"/>
      <c r="BB64" s="134"/>
      <c r="BC64" s="146"/>
      <c r="BD64" s="146"/>
      <c r="BE64" s="146"/>
      <c r="BF64" s="146"/>
      <c r="BG64" s="146"/>
    </row>
    <row r="65" spans="1:59" ht="16.5" customHeight="1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156">
        <f>O64</f>
        <v>1</v>
      </c>
      <c r="N65" s="142" t="s">
        <v>57</v>
      </c>
      <c r="O65" s="143">
        <f t="shared" ref="O65:AG65" si="24">(2*O66*($M65+1)-$M65-$M65*O66^2)/(SQRT(3)*$M65*(1-O66))</f>
        <v>-1.7320508075688774</v>
      </c>
      <c r="P65" s="143">
        <f t="shared" si="24"/>
        <v>-1.7320508075688774</v>
      </c>
      <c r="Q65" s="143">
        <f t="shared" si="24"/>
        <v>-1.7320508075688774</v>
      </c>
      <c r="R65" s="143">
        <f t="shared" si="24"/>
        <v>-1.7320508075688774</v>
      </c>
      <c r="S65" s="143">
        <f t="shared" si="24"/>
        <v>-1.7320508075688774</v>
      </c>
      <c r="T65" s="143">
        <f t="shared" si="24"/>
        <v>-1.7320508075688774</v>
      </c>
      <c r="U65" s="143">
        <f t="shared" si="24"/>
        <v>-1.7320508075688774</v>
      </c>
      <c r="V65" s="143">
        <f t="shared" si="24"/>
        <v>-1.7320508075688774</v>
      </c>
      <c r="W65" s="143">
        <f t="shared" si="24"/>
        <v>-1.7320508075688774</v>
      </c>
      <c r="X65" s="143">
        <f t="shared" si="24"/>
        <v>-1.7320508075688774</v>
      </c>
      <c r="Y65" s="143">
        <f t="shared" si="24"/>
        <v>-1.7320508075688774</v>
      </c>
      <c r="Z65" s="143">
        <f t="shared" si="24"/>
        <v>-1.7320508075688774</v>
      </c>
      <c r="AA65" s="143">
        <f t="shared" si="24"/>
        <v>-1.7320508075688774</v>
      </c>
      <c r="AB65" s="143">
        <f t="shared" si="24"/>
        <v>-1.7320508075688774</v>
      </c>
      <c r="AC65" s="143">
        <f t="shared" si="24"/>
        <v>-1.7320508075688774</v>
      </c>
      <c r="AD65" s="143">
        <f t="shared" si="24"/>
        <v>-1.7320508075688774</v>
      </c>
      <c r="AE65" s="143">
        <f t="shared" si="24"/>
        <v>-1.7320508075688774</v>
      </c>
      <c r="AF65" s="143">
        <f t="shared" si="24"/>
        <v>-1.7320508075688774</v>
      </c>
      <c r="AG65" s="164">
        <f t="shared" si="24"/>
        <v>-1.7320508075688774</v>
      </c>
      <c r="AM65" s="156">
        <f>AO64</f>
        <v>1</v>
      </c>
      <c r="AN65" s="142" t="s">
        <v>57</v>
      </c>
      <c r="AO65" s="143">
        <f t="shared" ref="AO65:BG65" si="25">(2*AO66*($M65+1)-$M65-$M65*AO66^2)/(SQRT(3)*$M65*(1-AO66))</f>
        <v>-1.7320508075688774</v>
      </c>
      <c r="AP65" s="143">
        <f t="shared" si="25"/>
        <v>-1.7320508075688774</v>
      </c>
      <c r="AQ65" s="143">
        <f t="shared" si="25"/>
        <v>-1.7320508075688774</v>
      </c>
      <c r="AR65" s="143">
        <f t="shared" si="25"/>
        <v>-1.7320508075688774</v>
      </c>
      <c r="AS65" s="143">
        <f t="shared" si="25"/>
        <v>-1.7320508075688774</v>
      </c>
      <c r="AT65" s="143">
        <f t="shared" si="25"/>
        <v>-1.7320508075688774</v>
      </c>
      <c r="AU65" s="143">
        <f t="shared" si="25"/>
        <v>-1.7320508075688774</v>
      </c>
      <c r="AV65" s="143">
        <f t="shared" si="25"/>
        <v>-1.7320508075688774</v>
      </c>
      <c r="AW65" s="143">
        <f t="shared" si="25"/>
        <v>-1.7320508075688774</v>
      </c>
      <c r="AX65" s="143">
        <f t="shared" si="25"/>
        <v>-1.7320508075688774</v>
      </c>
      <c r="AY65" s="143">
        <f t="shared" si="25"/>
        <v>-1.7320508075688774</v>
      </c>
      <c r="AZ65" s="143">
        <f t="shared" si="25"/>
        <v>-1.7320508075688774</v>
      </c>
      <c r="BA65" s="143">
        <f t="shared" si="25"/>
        <v>-1.7320508075688774</v>
      </c>
      <c r="BB65" s="143">
        <f t="shared" si="25"/>
        <v>-1.7320508075688774</v>
      </c>
      <c r="BC65" s="143">
        <f t="shared" si="25"/>
        <v>-1.7320508075688774</v>
      </c>
      <c r="BD65" s="143">
        <f t="shared" si="25"/>
        <v>-1.7320508075688774</v>
      </c>
      <c r="BE65" s="143">
        <f t="shared" si="25"/>
        <v>-1.7320508075688774</v>
      </c>
      <c r="BF65" s="143">
        <f t="shared" si="25"/>
        <v>-1.7320508075688774</v>
      </c>
      <c r="BG65" s="164">
        <f t="shared" si="25"/>
        <v>-1.7320508075688774</v>
      </c>
    </row>
    <row r="66" spans="1:59" ht="16.5" customHeight="1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155" t="str">
        <f>CONCATENATE("SI=",O64)</f>
        <v>SI=1</v>
      </c>
      <c r="N66" s="149" t="s">
        <v>58</v>
      </c>
      <c r="O66" s="150">
        <f>IF(DIAG!T48,0,-1)</f>
        <v>-1</v>
      </c>
      <c r="P66" s="150">
        <f>IF(DIAG!$T$48,$AG$67*P75,-1)</f>
        <v>-1</v>
      </c>
      <c r="Q66" s="150">
        <f>IF(DIAG!$T$48,$AG$67*Q75,-1)</f>
        <v>-1</v>
      </c>
      <c r="R66" s="150">
        <f>IF(DIAG!$T$48,$AG$67*R75,-1)</f>
        <v>-1</v>
      </c>
      <c r="S66" s="150">
        <f>IF(DIAG!$T$48,$AG$67*S75,-1)</f>
        <v>-1</v>
      </c>
      <c r="T66" s="150">
        <f>IF(DIAG!$T$48,$AG$67*T75,-1)</f>
        <v>-1</v>
      </c>
      <c r="U66" s="150">
        <f>IF(DIAG!$T$48,$AG$67*U75,-1)</f>
        <v>-1</v>
      </c>
      <c r="V66" s="150">
        <f>IF(DIAG!$T$48,$AG$67*V75,-1)</f>
        <v>-1</v>
      </c>
      <c r="W66" s="150">
        <f>IF(DIAG!$T$48,$AG$67*W75,-1)</f>
        <v>-1</v>
      </c>
      <c r="X66" s="150">
        <f>IF(DIAG!$T$48,$AG$67*X75,-1)</f>
        <v>-1</v>
      </c>
      <c r="Y66" s="150">
        <f>IF(DIAG!$T$48,$AG$67*Y75,-1)</f>
        <v>-1</v>
      </c>
      <c r="Z66" s="150">
        <f>IF(DIAG!$T$48,$AG$67*Z75,-1)</f>
        <v>-1</v>
      </c>
      <c r="AA66" s="150">
        <f>IF(DIAG!$T$48,$AG$67*AA75,-1)</f>
        <v>-1</v>
      </c>
      <c r="AB66" s="150">
        <f>IF(DIAG!$T$48,$AG$67*AB75,-1)</f>
        <v>-1</v>
      </c>
      <c r="AC66" s="150">
        <f>IF(DIAG!$T$48,$AG$67*AC75,-1)</f>
        <v>-1</v>
      </c>
      <c r="AD66" s="150">
        <f>IF(DIAG!$T$48,$AG$67*AD75,-1)</f>
        <v>-1</v>
      </c>
      <c r="AE66" s="150">
        <f>IF(DIAG!$T$48,$AG$67*AE75,-1)</f>
        <v>-1</v>
      </c>
      <c r="AF66" s="150">
        <f>IF(DIAG!$T$48,$AG$67*AF75,-1)</f>
        <v>-1</v>
      </c>
      <c r="AG66" s="214">
        <f>IF(DIAG!T48,((2*$M$65+1-SQRT(4*$M$65+1))/($M$65*2))*DIAG!$T$48,-1)</f>
        <v>-1</v>
      </c>
      <c r="AM66" s="155" t="str">
        <f>CONCATENATE("SI=",AO64)</f>
        <v>SI=1</v>
      </c>
      <c r="AN66" s="149" t="s">
        <v>58</v>
      </c>
      <c r="AO66" s="137">
        <f>IF(DIAG!X44,0,-1)</f>
        <v>-1</v>
      </c>
      <c r="AP66" s="137">
        <f>IF(DIAG!$X44,$BG$67*AP73,-1)</f>
        <v>-1</v>
      </c>
      <c r="AQ66" s="137">
        <f>IF(DIAG!$X44,$BG$67*AQ73,-1)</f>
        <v>-1</v>
      </c>
      <c r="AR66" s="137">
        <f>IF(DIAG!$X44,$BG$67*AR73,-1)</f>
        <v>-1</v>
      </c>
      <c r="AS66" s="137">
        <f>IF(DIAG!$X44,$BG$67*AS73,-1)</f>
        <v>-1</v>
      </c>
      <c r="AT66" s="137">
        <f>IF(DIAG!$X44,$BG$67*AT73,-1)</f>
        <v>-1</v>
      </c>
      <c r="AU66" s="137">
        <f>IF(DIAG!$X44,$BG$67*AU73,-1)</f>
        <v>-1</v>
      </c>
      <c r="AV66" s="137">
        <f>IF(DIAG!$X44,$BG$67*AV73,-1)</f>
        <v>-1</v>
      </c>
      <c r="AW66" s="137">
        <f>IF(DIAG!$X44,$BG$67*AW73,-1)</f>
        <v>-1</v>
      </c>
      <c r="AX66" s="137">
        <f>IF(DIAG!$X44,$BG$67*AX73,-1)</f>
        <v>-1</v>
      </c>
      <c r="AY66" s="137">
        <f>IF(DIAG!$X44,$BG$67*AY73,-1)</f>
        <v>-1</v>
      </c>
      <c r="AZ66" s="137">
        <f>IF(DIAG!$X44,$BG$67*AZ73,-1)</f>
        <v>-1</v>
      </c>
      <c r="BA66" s="137">
        <f>IF(DIAG!$X44,$BG$67*BA73,-1)</f>
        <v>-1</v>
      </c>
      <c r="BB66" s="137">
        <f>IF(DIAG!$X44,$BG$67*BB73,-1)</f>
        <v>-1</v>
      </c>
      <c r="BC66" s="137">
        <f>IF(DIAG!$X44,$BG$67*BC73,-1)</f>
        <v>-1</v>
      </c>
      <c r="BD66" s="137">
        <f>IF(DIAG!$X44,$BG$67*BD73,-1)</f>
        <v>-1</v>
      </c>
      <c r="BE66" s="137">
        <f>IF(DIAG!$X44,$BG$67*BE73,-1)</f>
        <v>-1</v>
      </c>
      <c r="BF66" s="137">
        <f>IF(DIAG!$X44,$BG$67*BF73,-1)</f>
        <v>-1</v>
      </c>
      <c r="BG66" s="100">
        <f>IF(DIAG!X44,((2*$M$65+1-SQRT(4*$M$65+1))/($M$65*2))*DIAG!$X44,-1)</f>
        <v>-1</v>
      </c>
    </row>
    <row r="67" spans="1:59" ht="16.5" customHeight="1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15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15">
        <f>(BG66-AO66)/18</f>
        <v>0</v>
      </c>
    </row>
    <row r="68" spans="1:59" ht="16.5" customHeight="1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146"/>
      <c r="N68" s="146" t="s">
        <v>88</v>
      </c>
      <c r="O68" s="147">
        <f>DIAG!$T$52</f>
        <v>5</v>
      </c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34"/>
      <c r="AA68" s="134"/>
      <c r="AB68" s="134"/>
      <c r="AC68" s="146"/>
      <c r="AD68" s="146"/>
      <c r="AE68" s="146"/>
      <c r="AF68" s="146"/>
      <c r="AG68" s="146"/>
      <c r="AM68" s="146"/>
      <c r="AN68" s="146" t="s">
        <v>88</v>
      </c>
      <c r="AO68" s="147">
        <v>5</v>
      </c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34"/>
      <c r="BA68" s="134"/>
      <c r="BB68" s="134"/>
      <c r="BC68" s="146"/>
      <c r="BD68" s="146"/>
      <c r="BE68" s="146"/>
      <c r="BF68" s="146"/>
      <c r="BG68" s="146"/>
    </row>
    <row r="69" spans="1:59" ht="16.5" customHeight="1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156">
        <f>O68</f>
        <v>5</v>
      </c>
      <c r="N69" s="142" t="s">
        <v>57</v>
      </c>
      <c r="O69" s="143">
        <f t="shared" ref="O69:AG69" si="26">(2*O70*($M69+1)-$M69-$M69*O70^2)/(SQRT(3)*$M69*(1-O70))</f>
        <v>-1.2701705922171769</v>
      </c>
      <c r="P69" s="143">
        <f t="shared" si="26"/>
        <v>-1.2701705922171769</v>
      </c>
      <c r="Q69" s="143">
        <f t="shared" si="26"/>
        <v>-1.2701705922171769</v>
      </c>
      <c r="R69" s="143">
        <f t="shared" si="26"/>
        <v>-1.2701705922171769</v>
      </c>
      <c r="S69" s="143">
        <f t="shared" si="26"/>
        <v>-1.2701705922171769</v>
      </c>
      <c r="T69" s="143">
        <f t="shared" si="26"/>
        <v>-1.2701705922171769</v>
      </c>
      <c r="U69" s="143">
        <f t="shared" si="26"/>
        <v>-1.2701705922171769</v>
      </c>
      <c r="V69" s="143">
        <f t="shared" si="26"/>
        <v>-1.2701705922171769</v>
      </c>
      <c r="W69" s="143">
        <f t="shared" si="26"/>
        <v>-1.2701705922171769</v>
      </c>
      <c r="X69" s="143">
        <f t="shared" si="26"/>
        <v>-1.2701705922171769</v>
      </c>
      <c r="Y69" s="143">
        <f t="shared" si="26"/>
        <v>-1.2701705922171769</v>
      </c>
      <c r="Z69" s="143">
        <f t="shared" si="26"/>
        <v>-1.2701705922171769</v>
      </c>
      <c r="AA69" s="143">
        <f t="shared" si="26"/>
        <v>-1.2701705922171769</v>
      </c>
      <c r="AB69" s="143">
        <f t="shared" si="26"/>
        <v>-1.2701705922171769</v>
      </c>
      <c r="AC69" s="143">
        <f t="shared" si="26"/>
        <v>-1.2701705922171769</v>
      </c>
      <c r="AD69" s="143">
        <f t="shared" si="26"/>
        <v>-1.2701705922171769</v>
      </c>
      <c r="AE69" s="143">
        <f t="shared" si="26"/>
        <v>-1.2701705922171769</v>
      </c>
      <c r="AF69" s="143">
        <f t="shared" si="26"/>
        <v>-1.2701705922171769</v>
      </c>
      <c r="AG69" s="164">
        <f t="shared" si="26"/>
        <v>-1.2701705922171769</v>
      </c>
      <c r="AM69" s="156">
        <f>AO68</f>
        <v>5</v>
      </c>
      <c r="AN69" s="142" t="s">
        <v>57</v>
      </c>
      <c r="AO69" s="143">
        <f t="shared" ref="AO69:BG69" si="27">(2*AO70*($M69+1)-$M69-$M69*AO70^2)/(SQRT(3)*$M69*(1-AO70))</f>
        <v>-1.2701705922171769</v>
      </c>
      <c r="AP69" s="143">
        <f t="shared" si="27"/>
        <v>-1.2701705922171769</v>
      </c>
      <c r="AQ69" s="143">
        <f t="shared" si="27"/>
        <v>-1.2701705922171769</v>
      </c>
      <c r="AR69" s="143">
        <f t="shared" si="27"/>
        <v>-1.2701705922171769</v>
      </c>
      <c r="AS69" s="143">
        <f t="shared" si="27"/>
        <v>-1.2701705922171769</v>
      </c>
      <c r="AT69" s="143">
        <f t="shared" si="27"/>
        <v>-1.2701705922171769</v>
      </c>
      <c r="AU69" s="143">
        <f t="shared" si="27"/>
        <v>-1.2701705922171769</v>
      </c>
      <c r="AV69" s="143">
        <f t="shared" si="27"/>
        <v>-1.2701705922171769</v>
      </c>
      <c r="AW69" s="143">
        <f t="shared" si="27"/>
        <v>-1.2701705922171769</v>
      </c>
      <c r="AX69" s="143">
        <f t="shared" si="27"/>
        <v>-1.2701705922171769</v>
      </c>
      <c r="AY69" s="143">
        <f t="shared" si="27"/>
        <v>-1.2701705922171769</v>
      </c>
      <c r="AZ69" s="143">
        <f t="shared" si="27"/>
        <v>-1.2701705922171769</v>
      </c>
      <c r="BA69" s="143">
        <f t="shared" si="27"/>
        <v>-1.2701705922171769</v>
      </c>
      <c r="BB69" s="143">
        <f t="shared" si="27"/>
        <v>-1.2701705922171769</v>
      </c>
      <c r="BC69" s="143">
        <f t="shared" si="27"/>
        <v>-1.2701705922171769</v>
      </c>
      <c r="BD69" s="143">
        <f t="shared" si="27"/>
        <v>-1.2701705922171769</v>
      </c>
      <c r="BE69" s="143">
        <f t="shared" si="27"/>
        <v>-1.2701705922171769</v>
      </c>
      <c r="BF69" s="143">
        <f t="shared" si="27"/>
        <v>-1.2701705922171769</v>
      </c>
      <c r="BG69" s="164">
        <f t="shared" si="27"/>
        <v>-1.2701705922171769</v>
      </c>
    </row>
    <row r="70" spans="1:59" ht="16.5" customHeight="1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155" t="str">
        <f>CONCATENATE("SI=",O68)</f>
        <v>SI=5</v>
      </c>
      <c r="N70" s="149" t="s">
        <v>58</v>
      </c>
      <c r="O70" s="150">
        <f>IF(DIAG!T49,0,-1)</f>
        <v>-1</v>
      </c>
      <c r="P70" s="150">
        <f>IF(DIAG!$T$49,$AG$71*P75,-1)</f>
        <v>-1</v>
      </c>
      <c r="Q70" s="150">
        <f>IF(DIAG!$T$49,$AG$71*Q75,-1)</f>
        <v>-1</v>
      </c>
      <c r="R70" s="150">
        <f>IF(DIAG!$T$49,$AG$71*R75,-1)</f>
        <v>-1</v>
      </c>
      <c r="S70" s="150">
        <f>IF(DIAG!$T$49,$AG$71*S75,-1)</f>
        <v>-1</v>
      </c>
      <c r="T70" s="150">
        <f>IF(DIAG!$T$49,$AG$71*T75,-1)</f>
        <v>-1</v>
      </c>
      <c r="U70" s="150">
        <f>IF(DIAG!$T$49,$AG$71*U75,-1)</f>
        <v>-1</v>
      </c>
      <c r="V70" s="150">
        <f>IF(DIAG!$T$49,$AG$71*V75,-1)</f>
        <v>-1</v>
      </c>
      <c r="W70" s="150">
        <f>IF(DIAG!$T$49,$AG$71*W75,-1)</f>
        <v>-1</v>
      </c>
      <c r="X70" s="150">
        <f>IF(DIAG!$T$49,$AG$71*X75,-1)</f>
        <v>-1</v>
      </c>
      <c r="Y70" s="150">
        <f>IF(DIAG!$T$49,$AG$71*Y75,-1)</f>
        <v>-1</v>
      </c>
      <c r="Z70" s="150">
        <f>IF(DIAG!$T$49,$AG$71*Z75,-1)</f>
        <v>-1</v>
      </c>
      <c r="AA70" s="150">
        <f>IF(DIAG!$T$49,$AG$71*AA75,-1)</f>
        <v>-1</v>
      </c>
      <c r="AB70" s="150">
        <f>IF(DIAG!$T$49,$AG$71*AB75,-1)</f>
        <v>-1</v>
      </c>
      <c r="AC70" s="150">
        <f>IF(DIAG!$T$49,$AG$71*AC75,-1)</f>
        <v>-1</v>
      </c>
      <c r="AD70" s="150">
        <f>IF(DIAG!$T$49,$AG$71*AD75,-1)</f>
        <v>-1</v>
      </c>
      <c r="AE70" s="150">
        <f>IF(DIAG!$T$49,$AG$71*AE75,-1)</f>
        <v>-1</v>
      </c>
      <c r="AF70" s="150">
        <f>IF(DIAG!$T$49,$AG$71*AF75,-1)</f>
        <v>-1</v>
      </c>
      <c r="AG70" s="214">
        <f>IF(DIAG!T49,((2*$M$69+1-SQRT(4*$M$69+1))/($M$69*2))*DIAG!$T$49,-1)</f>
        <v>-1</v>
      </c>
      <c r="AM70" s="155" t="str">
        <f>CONCATENATE("SI=",AO68)</f>
        <v>SI=5</v>
      </c>
      <c r="AN70" s="149" t="s">
        <v>58</v>
      </c>
      <c r="AO70" s="137">
        <f>IF(DIAG!X44,0,-1)</f>
        <v>-1</v>
      </c>
      <c r="AP70" s="137">
        <f>IF(DIAG!$X44,$BG$71*AP73,-1)</f>
        <v>-1</v>
      </c>
      <c r="AQ70" s="137">
        <f>IF(DIAG!$X44,$BG$71*AQ73,-1)</f>
        <v>-1</v>
      </c>
      <c r="AR70" s="137">
        <f>IF(DIAG!$X44,$BG$71*AR73,-1)</f>
        <v>-1</v>
      </c>
      <c r="AS70" s="137">
        <f>IF(DIAG!$X44,$BG$71*AS73,-1)</f>
        <v>-1</v>
      </c>
      <c r="AT70" s="137">
        <f>IF(DIAG!$X44,$BG$71*AT73,-1)</f>
        <v>-1</v>
      </c>
      <c r="AU70" s="137">
        <f>IF(DIAG!$X44,$BG$71*AU73,-1)</f>
        <v>-1</v>
      </c>
      <c r="AV70" s="137">
        <f>IF(DIAG!$X44,$BG$71*AV73,-1)</f>
        <v>-1</v>
      </c>
      <c r="AW70" s="137">
        <f>IF(DIAG!$X44,$BG$71*AW73,-1)</f>
        <v>-1</v>
      </c>
      <c r="AX70" s="137">
        <f>IF(DIAG!$X44,$BG$71*AX73,-1)</f>
        <v>-1</v>
      </c>
      <c r="AY70" s="137">
        <f>IF(DIAG!$X44,$BG$71*AY73,-1)</f>
        <v>-1</v>
      </c>
      <c r="AZ70" s="137">
        <f>IF(DIAG!$X44,$BG$71*AZ73,-1)</f>
        <v>-1</v>
      </c>
      <c r="BA70" s="137">
        <f>IF(DIAG!$X44,$BG$71*BA73,-1)</f>
        <v>-1</v>
      </c>
      <c r="BB70" s="137">
        <f>IF(DIAG!$X44,$BG$71*BB73,-1)</f>
        <v>-1</v>
      </c>
      <c r="BC70" s="137">
        <f>IF(DIAG!$X44,$BG$71*BC73,-1)</f>
        <v>-1</v>
      </c>
      <c r="BD70" s="137">
        <f>IF(DIAG!$X44,$BG$71*BD73,-1)</f>
        <v>-1</v>
      </c>
      <c r="BE70" s="137">
        <f>IF(DIAG!$X44,$BG$71*BE73,-1)</f>
        <v>-1</v>
      </c>
      <c r="BF70" s="137">
        <f>IF(DIAG!$X44,$BG$71*BF73,-1)</f>
        <v>-1</v>
      </c>
      <c r="BG70" s="100">
        <f>IF(DIAG!X44,((2*$M$69+1-SQRT(4*$M$69+1))/($M$69*2))*DIAG!$X44,-1)</f>
        <v>-1</v>
      </c>
    </row>
    <row r="71" spans="1:59" ht="16.5" customHeight="1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15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15">
        <f>(BG70-AO70)/18</f>
        <v>0</v>
      </c>
    </row>
    <row r="72" spans="1:59" ht="16.5" customHeight="1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146"/>
      <c r="N72" s="147" t="s">
        <v>89</v>
      </c>
      <c r="O72" s="147">
        <f>DIAG!$T$53</f>
        <v>2</v>
      </c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34"/>
      <c r="AA72" s="134"/>
      <c r="AB72" s="134"/>
      <c r="AC72" s="146"/>
      <c r="AD72" s="146"/>
      <c r="AE72" s="146"/>
      <c r="AF72" s="146"/>
      <c r="AG72" s="146"/>
    </row>
    <row r="73" spans="1:59" ht="16.5" customHeight="1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156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8">(2*P74*($M73+1)-$M73-$M73*P74^2)/(SQRT(3)*$M73*(1-P74))</f>
        <v>-1.4433756729740645</v>
      </c>
      <c r="Q73" s="143">
        <f t="shared" si="28"/>
        <v>-1.4433756729740645</v>
      </c>
      <c r="R73" s="143">
        <f t="shared" si="28"/>
        <v>-1.4433756729740645</v>
      </c>
      <c r="S73" s="143">
        <f t="shared" si="28"/>
        <v>-1.4433756729740645</v>
      </c>
      <c r="T73" s="143">
        <f t="shared" si="28"/>
        <v>-1.4433756729740645</v>
      </c>
      <c r="U73" s="143">
        <f t="shared" si="28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8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8"/>
        <v>-1.4433756729740645</v>
      </c>
      <c r="AF73" s="143">
        <f t="shared" si="28"/>
        <v>-1.4433756729740645</v>
      </c>
      <c r="AG73" s="164">
        <f t="shared" si="28"/>
        <v>-1.4433756729740645</v>
      </c>
      <c r="AH73" s="15"/>
      <c r="AI73" s="15"/>
      <c r="AJ73" s="15"/>
      <c r="AP73" s="150">
        <v>1</v>
      </c>
      <c r="AQ73" s="150">
        <v>2</v>
      </c>
      <c r="AR73" s="150">
        <v>3</v>
      </c>
      <c r="AS73" s="150">
        <v>4</v>
      </c>
      <c r="AT73" s="150">
        <v>5</v>
      </c>
      <c r="AU73" s="150">
        <v>6</v>
      </c>
      <c r="AV73" s="150">
        <v>7</v>
      </c>
      <c r="AW73" s="150">
        <v>8</v>
      </c>
      <c r="AX73" s="150">
        <v>9</v>
      </c>
      <c r="AY73" s="150">
        <v>10</v>
      </c>
      <c r="AZ73" s="150">
        <v>11</v>
      </c>
      <c r="BA73" s="150">
        <v>12</v>
      </c>
      <c r="BB73" s="150">
        <v>13</v>
      </c>
      <c r="BC73" s="150">
        <v>14</v>
      </c>
      <c r="BD73" s="150">
        <v>15</v>
      </c>
      <c r="BE73" s="150">
        <v>16</v>
      </c>
      <c r="BF73" s="150">
        <v>17</v>
      </c>
      <c r="BG73" s="215">
        <f>(BG74-AO74)/18</f>
        <v>0</v>
      </c>
    </row>
    <row r="74" spans="1:59" ht="16.5" customHeight="1">
      <c r="A74" s="92"/>
      <c r="B74" s="93"/>
      <c r="C74" s="82"/>
      <c r="D74" s="94"/>
      <c r="E74" s="94"/>
      <c r="F74" s="72"/>
      <c r="G74" s="73"/>
      <c r="H74" s="73"/>
      <c r="I74" s="73"/>
      <c r="J74" s="73"/>
      <c r="K74" s="73"/>
      <c r="M74" s="155" t="str">
        <f>CONCATENATE("SI=",O72)</f>
        <v>SI=2</v>
      </c>
      <c r="N74" s="146" t="s">
        <v>58</v>
      </c>
      <c r="O74" s="147">
        <f>IF(DIAG!T50,0,-1)</f>
        <v>-1</v>
      </c>
      <c r="P74" s="147">
        <f>IF(DIAG!$T$50,$AG$75*P75,-1)</f>
        <v>-1</v>
      </c>
      <c r="Q74" s="147">
        <f>IF(DIAG!$T$50,$AG$75*Q75,-1)</f>
        <v>-1</v>
      </c>
      <c r="R74" s="147">
        <f>IF(DIAG!$T$50,$AG$75*R75,-1)</f>
        <v>-1</v>
      </c>
      <c r="S74" s="147">
        <f>IF(DIAG!$T$50,$AG$75*S75,-1)</f>
        <v>-1</v>
      </c>
      <c r="T74" s="147">
        <f>IF(DIAG!$T$50,$AG$75*T75,-1)</f>
        <v>-1</v>
      </c>
      <c r="U74" s="147">
        <f>IF(DIAG!$T$50,$AG$75*U75,-1)</f>
        <v>-1</v>
      </c>
      <c r="V74" s="147">
        <f>IF(DIAG!$T$50,$AG$75*V75,-1)</f>
        <v>-1</v>
      </c>
      <c r="W74" s="147">
        <f>IF(DIAG!$T$50,$AG$75*W75,-1)</f>
        <v>-1</v>
      </c>
      <c r="X74" s="147">
        <f>IF(DIAG!$T$50,$AG$75*X75,-1)</f>
        <v>-1</v>
      </c>
      <c r="Y74" s="147">
        <f>IF(DIAG!$T$50,$AG$75*Y75,-1)</f>
        <v>-1</v>
      </c>
      <c r="Z74" s="147">
        <f>IF(DIAG!$T$50,$AG$75*Z75,-1)</f>
        <v>-1</v>
      </c>
      <c r="AA74" s="147">
        <f>IF(DIAG!$T$50,$AG$75*AA75,-1)</f>
        <v>-1</v>
      </c>
      <c r="AB74" s="147">
        <f>IF(DIAG!$T$50,$AG$75*AB75,-1)</f>
        <v>-1</v>
      </c>
      <c r="AC74" s="147">
        <f>IF(DIAG!$T$50,$AG$75*AC75,-1)</f>
        <v>-1</v>
      </c>
      <c r="AD74" s="147">
        <f>IF(DIAG!$T$50,$AG$75*AD75,-1)</f>
        <v>-1</v>
      </c>
      <c r="AE74" s="147">
        <f>IF(DIAG!$T$50,$AG$75*AE75,-1)</f>
        <v>-1</v>
      </c>
      <c r="AF74" s="147">
        <f>IF(DIAG!$T$50,$AG$75*AF75,-1)</f>
        <v>-1</v>
      </c>
      <c r="AG74" s="214">
        <f>IF(DIAG!T50,((2*$M$73+1-SQRT(4*$M$73+1))/($M$73*2))*DIAG!$T$50,-1)</f>
        <v>-1</v>
      </c>
      <c r="AH74" s="15"/>
      <c r="AI74" s="15"/>
      <c r="AJ74" s="15"/>
    </row>
    <row r="75" spans="1:59" ht="16.5" customHeight="1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155"/>
      <c r="N75" s="149"/>
      <c r="O75" s="150"/>
      <c r="P75" s="150">
        <v>1</v>
      </c>
      <c r="Q75" s="150">
        <v>2</v>
      </c>
      <c r="R75" s="150">
        <v>3</v>
      </c>
      <c r="S75" s="150">
        <v>4</v>
      </c>
      <c r="T75" s="150">
        <v>5</v>
      </c>
      <c r="U75" s="150">
        <v>6</v>
      </c>
      <c r="V75" s="150">
        <v>7</v>
      </c>
      <c r="W75" s="150">
        <v>8</v>
      </c>
      <c r="X75" s="150">
        <v>9</v>
      </c>
      <c r="Y75" s="150">
        <v>10</v>
      </c>
      <c r="Z75" s="150">
        <v>11</v>
      </c>
      <c r="AA75" s="150">
        <v>12</v>
      </c>
      <c r="AB75" s="150">
        <v>13</v>
      </c>
      <c r="AC75" s="150">
        <v>14</v>
      </c>
      <c r="AD75" s="150">
        <v>15</v>
      </c>
      <c r="AE75" s="150">
        <v>16</v>
      </c>
      <c r="AF75" s="150">
        <v>17</v>
      </c>
      <c r="AG75" s="215">
        <f>(AG74-O74)/18</f>
        <v>0</v>
      </c>
    </row>
    <row r="76" spans="1:59" ht="16.5" customHeight="1">
      <c r="A76" s="70" t="s">
        <v>6</v>
      </c>
      <c r="B76" s="71"/>
      <c r="D76" s="72"/>
      <c r="E76" s="72"/>
      <c r="F76" s="72" t="s">
        <v>5</v>
      </c>
      <c r="G76" s="73"/>
      <c r="H76" s="252" t="s">
        <v>7</v>
      </c>
      <c r="I76" s="73"/>
      <c r="J76" s="73"/>
      <c r="K76" s="73"/>
      <c r="Z76" s="15"/>
      <c r="AA76" s="15"/>
      <c r="AB76" s="15"/>
      <c r="AO76" s="2" t="s">
        <v>49</v>
      </c>
      <c r="AP76" s="264">
        <v>-0.52500000000000002</v>
      </c>
      <c r="AQ76" s="264">
        <v>0.52500000000000002</v>
      </c>
      <c r="AR76" s="133">
        <v>-0.38700000000000001</v>
      </c>
      <c r="AS76" s="133">
        <v>0.38700000000000001</v>
      </c>
      <c r="AT76" s="133">
        <v>0</v>
      </c>
      <c r="AU76" s="133">
        <v>0.28999999999999998</v>
      </c>
      <c r="AV76" s="133">
        <v>-0.34639999999999999</v>
      </c>
      <c r="AW76" s="133">
        <v>0.11700000000000001</v>
      </c>
    </row>
    <row r="77" spans="1:59" ht="16.5" customHeight="1">
      <c r="A77" s="74" t="s">
        <v>59</v>
      </c>
      <c r="B77" s="75"/>
      <c r="C77" s="75"/>
      <c r="D77" s="75"/>
      <c r="E77" s="75"/>
      <c r="F77" s="85"/>
      <c r="G77" s="86"/>
      <c r="H77" s="86"/>
      <c r="I77" s="86"/>
      <c r="J77" s="86"/>
      <c r="K77" s="86"/>
      <c r="L77" s="76"/>
      <c r="M77" s="76"/>
      <c r="N77" s="76"/>
      <c r="O77" s="76"/>
      <c r="P77" s="76"/>
      <c r="Q77" s="76"/>
      <c r="R77" s="76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76"/>
      <c r="AD77" s="76"/>
      <c r="AE77" s="76"/>
      <c r="AF77" s="76"/>
      <c r="AG77" s="76"/>
      <c r="AH77" s="76"/>
      <c r="AI77" s="78"/>
      <c r="AM77" s="160">
        <v>1</v>
      </c>
      <c r="AN77" s="146"/>
      <c r="AO77" s="146" t="str">
        <f>IF(DIAG!X44,CONCATENATE("F=",TRUNC(AM77/2,2)),"")</f>
        <v/>
      </c>
      <c r="AP77" s="146"/>
      <c r="AQ77" s="146"/>
      <c r="AR77" s="146"/>
      <c r="AS77" s="146"/>
      <c r="AT77" s="146">
        <f>IF(DIAG!X44,IF(1-$AM$77+SQRT(3)*(AT76)&gt;1,1,1-$AM$77+SQRT(3)*(AT76)),-1)</f>
        <v>-1</v>
      </c>
      <c r="AU77" s="146">
        <f>IF(DIAG!X44,IF(1-$AM$77+SQRT(3)*(AU76)&gt;1,1,1-$AM$77+SQRT(3)*(AU76)),-1)</f>
        <v>-1</v>
      </c>
      <c r="AV77" s="146"/>
      <c r="AW77" s="146"/>
    </row>
    <row r="78" spans="1:59">
      <c r="A78" s="30" t="s">
        <v>71</v>
      </c>
      <c r="B78" s="95" t="s">
        <v>72</v>
      </c>
      <c r="C78" s="1" t="s">
        <v>60</v>
      </c>
      <c r="D78" s="1" t="s">
        <v>61</v>
      </c>
      <c r="E78" s="30" t="s">
        <v>71</v>
      </c>
      <c r="F78" s="95" t="s">
        <v>72</v>
      </c>
      <c r="G78" s="30" t="s">
        <v>71</v>
      </c>
      <c r="H78" s="95" t="s">
        <v>72</v>
      </c>
      <c r="N78" s="1" t="s">
        <v>49</v>
      </c>
      <c r="O78" s="96">
        <f>O35</f>
        <v>-0.57735026918962584</v>
      </c>
      <c r="P78" s="96">
        <f t="shared" ref="P78:AH78" si="29">P35</f>
        <v>-0.51961524227066325</v>
      </c>
      <c r="Q78" s="96">
        <f t="shared" si="29"/>
        <v>-0.46188021535170065</v>
      </c>
      <c r="R78" s="96">
        <f t="shared" si="29"/>
        <v>-0.40414518843273811</v>
      </c>
      <c r="S78" s="96">
        <f t="shared" si="29"/>
        <v>-0.34641016151377552</v>
      </c>
      <c r="T78" s="96">
        <f t="shared" si="29"/>
        <v>-0.28867513459481292</v>
      </c>
      <c r="U78" s="96">
        <f t="shared" si="29"/>
        <v>-0.23094010767585038</v>
      </c>
      <c r="V78" s="96">
        <f t="shared" si="29"/>
        <v>-0.17320508075688779</v>
      </c>
      <c r="W78" s="96">
        <f t="shared" si="29"/>
        <v>-0.11547005383792519</v>
      </c>
      <c r="X78" s="96">
        <f t="shared" si="29"/>
        <v>-5.7735026918962595E-2</v>
      </c>
      <c r="Y78" s="96">
        <f>Y35</f>
        <v>0</v>
      </c>
      <c r="Z78" s="96">
        <f t="shared" si="29"/>
        <v>5.7735026918962595E-2</v>
      </c>
      <c r="AA78" s="96">
        <f t="shared" si="29"/>
        <v>0.11547005383792519</v>
      </c>
      <c r="AB78" s="96">
        <f t="shared" si="29"/>
        <v>0.17320508075688779</v>
      </c>
      <c r="AC78" s="96">
        <f t="shared" si="29"/>
        <v>0.23094010767585038</v>
      </c>
      <c r="AD78" s="96">
        <f t="shared" si="29"/>
        <v>0.28867513459481292</v>
      </c>
      <c r="AE78" s="96">
        <f t="shared" si="29"/>
        <v>0.34641016151377552</v>
      </c>
      <c r="AF78" s="96">
        <f t="shared" si="29"/>
        <v>0.40414518843273811</v>
      </c>
      <c r="AG78" s="96">
        <f t="shared" si="29"/>
        <v>0.46188021535170065</v>
      </c>
      <c r="AH78" s="96">
        <f t="shared" si="29"/>
        <v>0.51961524227066325</v>
      </c>
      <c r="AI78" s="97">
        <f>AI35</f>
        <v>0.57735026918962584</v>
      </c>
      <c r="AM78" s="160">
        <v>0.4</v>
      </c>
      <c r="AN78" s="146"/>
      <c r="AO78" s="146" t="str">
        <f>IF(DIAG!X44,CONCATENATE("F=",TRUNC(AM78/2,2)),"")</f>
        <v/>
      </c>
      <c r="AP78" s="146"/>
      <c r="AQ78" s="146"/>
      <c r="AR78" s="146"/>
      <c r="AS78" s="146"/>
      <c r="AT78" s="146"/>
      <c r="AU78" s="146"/>
      <c r="AV78" s="146">
        <f>IF(DIAG!X44,IF(1-$AM$78+SQRT(3)*(AV76)&gt;1,1,1-$AM$78+SQRT(3)*(AV76)),-1)</f>
        <v>-1</v>
      </c>
      <c r="AW78" s="146">
        <f>IF(DIAG!X44,IF(1-$AM$78+SQRT(3)*(AW67)&gt;1,1,1-$AM$78+SQRT(3)*(AW76)),-1)</f>
        <v>-1</v>
      </c>
    </row>
    <row r="79" spans="1:59">
      <c r="A79" s="98">
        <f>VLOOKUP(A78,A26:K26,DIAG!$T$58+1,0)</f>
        <v>3.6062076183149223E-2</v>
      </c>
      <c r="B79" s="55">
        <f>VLOOKUP(B78,A27:K27,DIAG!$T$58+1,0)</f>
        <v>0.31292517006802723</v>
      </c>
      <c r="E79" s="98">
        <f>VLOOKUP(E78,A26:K26,DIAG!$W$56+1,0)</f>
        <v>3.6062076183149223E-2</v>
      </c>
      <c r="F79" s="55">
        <f>VLOOKUP(F78,A27:K27,DIAG!$W$56+1,0)</f>
        <v>0.31292517006802723</v>
      </c>
      <c r="G79" s="98">
        <f>VLOOKUP(G78,A26:K26,DIAG!$W$58+1,0)</f>
        <v>3.6062076183149223E-2</v>
      </c>
      <c r="H79" s="55">
        <f>VLOOKUP(H78,A27:K27,DIAG!$W$58+1,0)</f>
        <v>0.31292517006802723</v>
      </c>
      <c r="AI79" s="90"/>
      <c r="AM79" s="162">
        <v>9.0909000000000004E-2</v>
      </c>
      <c r="AN79" s="149"/>
      <c r="AO79" s="149" t="str">
        <f>IF(DIAG!X44,CONCATENATE("R = ",TRUNC(AM79,2)),"")</f>
        <v/>
      </c>
      <c r="AP79" s="149">
        <f>IF(DIAG!X44,$AM$79,-1)</f>
        <v>-1</v>
      </c>
      <c r="AQ79" s="149">
        <f>IF(DIAG!X44,$AM$79,-1)</f>
        <v>-1</v>
      </c>
      <c r="AR79" s="149"/>
      <c r="AS79" s="149"/>
      <c r="AT79" s="149"/>
      <c r="AU79" s="149"/>
      <c r="AV79" s="149"/>
      <c r="AW79" s="149"/>
    </row>
    <row r="80" spans="1:59">
      <c r="A80" s="99">
        <f>-1/SQRT(3)</f>
        <v>-0.57735026918962584</v>
      </c>
      <c r="B80" s="100">
        <v>0</v>
      </c>
      <c r="C80" s="96">
        <f>(B80-$F$79)/(A80-$E$79)</f>
        <v>0.51013836357965758</v>
      </c>
      <c r="D80" s="96">
        <f>(B80*(A80-$E$79)-A80*(B80-$F$79))/(A80-$E$79)</f>
        <v>0.29452852153667053</v>
      </c>
      <c r="E80" s="96" t="s">
        <v>5</v>
      </c>
      <c r="F80" s="96"/>
      <c r="N80" s="1" t="s">
        <v>100</v>
      </c>
      <c r="O80" s="96">
        <f>IF(DIAG!$T$55,($C$80*O35+$D$80),-1)</f>
        <v>-1</v>
      </c>
      <c r="P80" s="96">
        <f>IF(DIAG!$T$55,($C$80*P35+$D$80),-1)</f>
        <v>-1</v>
      </c>
      <c r="Q80" s="96">
        <f>IF(DIAG!$T$55,($C$80*Q35+$D$80),-1)</f>
        <v>-1</v>
      </c>
      <c r="R80" s="96">
        <f>IF(DIAG!$T$55,($C$80*R35+$D$80),-1)</f>
        <v>-1</v>
      </c>
      <c r="S80" s="96">
        <f>IF(DIAG!$T$55,($C$80*S35+$D$80),-1)</f>
        <v>-1</v>
      </c>
      <c r="T80" s="96">
        <f>IF(DIAG!$T$55,($C$80*T35+$D$80),-1)</f>
        <v>-1</v>
      </c>
      <c r="U80" s="96">
        <f>IF(DIAG!$T$55,($C$80*U35+$D$80),-1)</f>
        <v>-1</v>
      </c>
      <c r="V80" s="96">
        <f>IF(DIAG!$T$55,($C$80*V35+$D$80),-1)</f>
        <v>-1</v>
      </c>
      <c r="W80" s="96">
        <f>IF(DIAG!$T$55,($C$80*W35+$D$80),-1)</f>
        <v>-1</v>
      </c>
      <c r="X80" s="96">
        <f>IF(DIAG!$T$55,($C$80*X35+$D$80),-1)</f>
        <v>-1</v>
      </c>
      <c r="Y80" s="96">
        <f>IF(DIAG!$T$55,($C$80*Y35+$D$80),-1)</f>
        <v>-1</v>
      </c>
      <c r="Z80" s="96">
        <f>IF(DIAG!$T$55,($C$80*Z35+$D$80),-1)</f>
        <v>-1</v>
      </c>
      <c r="AA80" s="96">
        <f>IF(DIAG!$T$55,($C$80*AA35+$D$80),-1)</f>
        <v>-1</v>
      </c>
      <c r="AB80" s="96">
        <f>IF(DIAG!$T$55,($C$80*AB35+$D$80),-1)</f>
        <v>-1</v>
      </c>
      <c r="AC80" s="96">
        <f>IF(DIAG!$T$55,($C$80*AC35+$D$80),-1)</f>
        <v>-1</v>
      </c>
      <c r="AD80" s="96">
        <f>IF(DIAG!$T$55,($C$80*AD35+$D$80),-1)</f>
        <v>-1</v>
      </c>
      <c r="AE80" s="96">
        <f>IF(DIAG!$T$55,($C$80*AE35+$D$80),-1)</f>
        <v>-1</v>
      </c>
      <c r="AF80" s="96">
        <f>IF(DIAG!$T$55,($C$80*AF35+$D$80),-1)</f>
        <v>-1</v>
      </c>
      <c r="AG80" s="96">
        <f>IF(DIAG!$T$55,($C$80*AG35+$D$80),-1)</f>
        <v>-1</v>
      </c>
      <c r="AH80" s="96">
        <f>IF(DIAG!$T$55,($C$80*AH35+$D$80),-1)</f>
        <v>-1</v>
      </c>
      <c r="AI80" s="97">
        <f>IF(DIAG!$T$55,($C$80*AI35+$D$80),-1)</f>
        <v>-1</v>
      </c>
      <c r="AM80" s="162">
        <v>0.33333000000000002</v>
      </c>
      <c r="AN80" s="149"/>
      <c r="AO80" s="149" t="str">
        <f>IF(DIAG!X44,CONCATENATE("R = ",TRUNC(AM80,2)),"")</f>
        <v/>
      </c>
      <c r="AP80" s="149"/>
      <c r="AQ80" s="149"/>
      <c r="AR80" s="149">
        <f>IF(DIAG!X44,$AM$80,-1)</f>
        <v>-1</v>
      </c>
      <c r="AS80" s="149">
        <f>IF(DIAG!X44,$AM$80,-1)</f>
        <v>-1</v>
      </c>
      <c r="AT80" s="149"/>
      <c r="AU80" s="149"/>
      <c r="AV80" s="149"/>
      <c r="AW80" s="149"/>
    </row>
    <row r="81" spans="1:35">
      <c r="A81" s="99">
        <f>1/SQRT(3)</f>
        <v>0.57735026918962584</v>
      </c>
      <c r="B81" s="100">
        <v>0</v>
      </c>
      <c r="C81" s="96">
        <f>(B81-$H$79)/(A81-$G$79)</f>
        <v>-0.57811194500649865</v>
      </c>
      <c r="D81" s="96">
        <f>(B81*(A81-$G$79)-A81*(B81-$H$79))/(A81-$G$79)</f>
        <v>0.33377308707124015</v>
      </c>
      <c r="E81" s="96" t="s">
        <v>7</v>
      </c>
      <c r="N81" s="1" t="s">
        <v>101</v>
      </c>
      <c r="O81" s="96">
        <f>IF(DIAG!$T$56,($C$81*O35+$D$81),-1)</f>
        <v>-1</v>
      </c>
      <c r="P81" s="96">
        <f>IF(DIAG!$T$56,($C$81*P35+$D$81),-1)</f>
        <v>-1</v>
      </c>
      <c r="Q81" s="96">
        <f>IF(DIAG!$T$56,($C$81*Q35+$D$81),-1)</f>
        <v>-1</v>
      </c>
      <c r="R81" s="96">
        <f>IF(DIAG!$T$56,($C$81*R35+$D$81),-1)</f>
        <v>-1</v>
      </c>
      <c r="S81" s="96">
        <f>IF(DIAG!$T$56,($C$81*S35+$D$81),-1)</f>
        <v>-1</v>
      </c>
      <c r="T81" s="96">
        <f>IF(DIAG!$T$56,($C$81*T35+$D$81),-1)</f>
        <v>-1</v>
      </c>
      <c r="U81" s="96">
        <f>IF(DIAG!$T$56,($C$81*U35+$D$81),-1)</f>
        <v>-1</v>
      </c>
      <c r="V81" s="96">
        <f>IF(DIAG!$T$56,($C$81*V35+$D$81),-1)</f>
        <v>-1</v>
      </c>
      <c r="W81" s="96">
        <f>IF(DIAG!$T$56,($C$81*W35+$D$81),-1)</f>
        <v>-1</v>
      </c>
      <c r="X81" s="96">
        <f>IF(DIAG!$T$56,($C$81*X35+$D$81),-1)</f>
        <v>-1</v>
      </c>
      <c r="Y81" s="96">
        <f>IF(DIAG!$T$56,($C$81*Y35+$D$81),-1)</f>
        <v>-1</v>
      </c>
      <c r="Z81" s="96">
        <f>IF(DIAG!$T$56,($C$81*Z35+$D$81),-1)</f>
        <v>-1</v>
      </c>
      <c r="AA81" s="96">
        <f>IF(DIAG!$T$56,($C$81*AA35+$D$81),-1)</f>
        <v>-1</v>
      </c>
      <c r="AB81" s="96">
        <f>IF(DIAG!$T$56,($C$81*AB35+$D$81),-1)</f>
        <v>-1</v>
      </c>
      <c r="AC81" s="96">
        <f>IF(DIAG!$T$56,($C$81*AC35+$D$81),-1)</f>
        <v>-1</v>
      </c>
      <c r="AD81" s="96">
        <f>IF(DIAG!$T$56,($C$81*AD35+$D$81),-1)</f>
        <v>-1</v>
      </c>
      <c r="AE81" s="96">
        <f>IF(DIAG!$T$56,($C$81*AE35+$D$81),-1)</f>
        <v>-1</v>
      </c>
      <c r="AF81" s="96">
        <f>IF(DIAG!$T$56,($C$81*AF35+$D$81),-1)</f>
        <v>-1</v>
      </c>
      <c r="AG81" s="96">
        <f>IF(DIAG!$T$56,($C$81*AG35+$D$81),-1)</f>
        <v>-1</v>
      </c>
      <c r="AH81" s="96">
        <f>IF(DIAG!$T$56,($C$81*AH35+$D$81),-1)</f>
        <v>-1</v>
      </c>
      <c r="AI81" s="97">
        <f>IF(DIAG!$T$56,($C$81*AI35+$D$81),-1)</f>
        <v>-1</v>
      </c>
    </row>
    <row r="82" spans="1:35">
      <c r="A82" s="101">
        <v>0</v>
      </c>
      <c r="B82" s="102">
        <v>1</v>
      </c>
      <c r="C82" s="96">
        <f>(B82-$B$79)/(A82-$A$79)</f>
        <v>-19.052558883257621</v>
      </c>
      <c r="D82" s="96">
        <f>(B82*(A82-$A$79)-A82*(B82-$B$79))/(A82-$A$79)</f>
        <v>1</v>
      </c>
      <c r="E82" s="96" t="s">
        <v>6</v>
      </c>
      <c r="N82" s="1" t="s">
        <v>102</v>
      </c>
      <c r="O82" s="96">
        <f>IF(DIAG!$T$54,($C$82*O35+$D$82),-1)</f>
        <v>-1</v>
      </c>
      <c r="P82" s="96">
        <f>IF(DIAG!$T$54,($C$82*P35+$D$82),-1)</f>
        <v>-1</v>
      </c>
      <c r="Q82" s="96">
        <f>IF(DIAG!$T$54,($C$82*Q35+$D$82),-1)</f>
        <v>-1</v>
      </c>
      <c r="R82" s="96">
        <f>IF(DIAG!$T$54,($C$82*R35+$D$82),-1)</f>
        <v>-1</v>
      </c>
      <c r="S82" s="96">
        <f>IF(DIAG!$T$54,($C$82*S35+$D$82),-1)</f>
        <v>-1</v>
      </c>
      <c r="T82" s="96">
        <f>IF(DIAG!$T$54,($C$82*T35+$D$82),-1)</f>
        <v>-1</v>
      </c>
      <c r="U82" s="96">
        <f>IF(DIAG!$T$54,($C$82*U35+$D$82),-1)</f>
        <v>-1</v>
      </c>
      <c r="V82" s="96">
        <f>IF(DIAG!$T$54,($C$82*V35+$D$82),-1)</f>
        <v>-1</v>
      </c>
      <c r="W82" s="96">
        <f>IF(DIAG!$T$54,($C$82*W35+$D$82),-1)</f>
        <v>-1</v>
      </c>
      <c r="X82" s="96">
        <f>IF(DIAG!$T$54,($C$82*X35+$D$82),-1)</f>
        <v>-1</v>
      </c>
      <c r="Y82" s="96">
        <f>IF(DIAG!$T$54,($C$82*Y35+$D$82),-1)</f>
        <v>-1</v>
      </c>
      <c r="Z82" s="96">
        <f>IF(DIAG!$T$54,($C$82*Z35+$D$82),-1)</f>
        <v>-1</v>
      </c>
      <c r="AA82" s="96">
        <f>IF(DIAG!$T$54,($C$82*AA35+$D$82),-1)</f>
        <v>-1</v>
      </c>
      <c r="AB82" s="96">
        <f>IF(DIAG!$T$54,($C$82*AB35+$D$82),-1)</f>
        <v>-1</v>
      </c>
      <c r="AC82" s="96">
        <f>IF(DIAG!$T$54,($C$82*AC35+$D$82),-1)</f>
        <v>-1</v>
      </c>
      <c r="AD82" s="96">
        <f>IF(DIAG!$T$54,($C$82*AD35+$D$82),-1)</f>
        <v>-1</v>
      </c>
      <c r="AE82" s="96">
        <f>IF(DIAG!$T$54,($C$82*AE35+$D$82),-1)</f>
        <v>-1</v>
      </c>
      <c r="AF82" s="96">
        <f>IF(DIAG!$T$54,($C$82*AF35+$D$82),-1)</f>
        <v>-1</v>
      </c>
      <c r="AG82" s="96">
        <f>IF(DIAG!$T$54,($C$82*AG35+$D$82),-1)</f>
        <v>-1</v>
      </c>
      <c r="AH82" s="96">
        <f>IF(DIAG!$T$54,($C$82*AH35+$D$82),-1)</f>
        <v>-1</v>
      </c>
      <c r="AI82" s="97">
        <f>IF(DIAG!$T$54,($C$82*AI35+$D$82),-1)</f>
        <v>-1</v>
      </c>
    </row>
    <row r="83" spans="1:35">
      <c r="A83" s="103">
        <f>B83+1</f>
        <v>2</v>
      </c>
      <c r="B83" s="1">
        <v>1</v>
      </c>
      <c r="E83" s="96"/>
      <c r="AI83" s="90"/>
    </row>
    <row r="84" spans="1:35">
      <c r="A84" s="79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0"/>
    </row>
    <row r="85" spans="1:35">
      <c r="A85" s="79"/>
      <c r="AI85" s="90"/>
    </row>
    <row r="86" spans="1:35">
      <c r="A86" s="79"/>
      <c r="D86" s="2">
        <v>1</v>
      </c>
      <c r="E86" s="2">
        <v>2</v>
      </c>
      <c r="AI86" s="90"/>
    </row>
    <row r="87" spans="1:35">
      <c r="A87" s="79"/>
      <c r="B87" s="104" t="s">
        <v>5</v>
      </c>
      <c r="C87" s="105" t="s">
        <v>57</v>
      </c>
      <c r="D87" s="106" t="e">
        <f ca="1">D90</f>
        <v>#DIV/0!</v>
      </c>
      <c r="E87" s="107" t="e">
        <f ca="1">E91</f>
        <v>#DIV/0!</v>
      </c>
      <c r="G87" s="104" t="s">
        <v>7</v>
      </c>
      <c r="H87" s="105"/>
      <c r="I87" s="105"/>
      <c r="J87" s="105"/>
      <c r="K87" s="105"/>
      <c r="L87" s="105" t="s">
        <v>57</v>
      </c>
      <c r="M87" s="106" t="e">
        <f ca="1">M90</f>
        <v>#DIV/0!</v>
      </c>
      <c r="N87" s="107" t="e">
        <f ca="1">N91</f>
        <v>#DIV/0!</v>
      </c>
      <c r="P87" s="108" t="s">
        <v>6</v>
      </c>
      <c r="Q87" s="76" t="s">
        <v>57</v>
      </c>
      <c r="R87" s="91" t="e">
        <f ca="1">R90</f>
        <v>#DIV/0!</v>
      </c>
      <c r="S87" s="54" t="e">
        <f ca="1">S91</f>
        <v>#DIV/0!</v>
      </c>
      <c r="AI87" s="90"/>
    </row>
    <row r="88" spans="1:35">
      <c r="A88" s="79"/>
      <c r="B88" s="109"/>
      <c r="C88" s="110" t="s">
        <v>58</v>
      </c>
      <c r="D88" s="111" t="e">
        <f ca="1">C80*D87+D80</f>
        <v>#DIV/0!</v>
      </c>
      <c r="E88" s="112" t="e">
        <f ca="1">C80*E87+D80</f>
        <v>#DIV/0!</v>
      </c>
      <c r="G88" s="109"/>
      <c r="H88" s="110"/>
      <c r="I88" s="110"/>
      <c r="J88" s="110"/>
      <c r="K88" s="110"/>
      <c r="L88" s="110" t="s">
        <v>58</v>
      </c>
      <c r="M88" s="111" t="e">
        <f ca="1">C81*M87+D81</f>
        <v>#DIV/0!</v>
      </c>
      <c r="N88" s="112" t="e">
        <f ca="1">C81*N87+D81</f>
        <v>#DIV/0!</v>
      </c>
      <c r="P88" s="79"/>
      <c r="Q88" s="2" t="s">
        <v>58</v>
      </c>
      <c r="R88" s="15" t="e">
        <f ca="1">C82*R87+D82</f>
        <v>#DIV/0!</v>
      </c>
      <c r="S88" s="80" t="e">
        <f ca="1">C82*S87+D82</f>
        <v>#DIV/0!</v>
      </c>
      <c r="AI88" s="90"/>
    </row>
    <row r="89" spans="1:35">
      <c r="A89" s="79"/>
      <c r="B89" s="109"/>
      <c r="C89" s="110"/>
      <c r="D89" s="111"/>
      <c r="E89" s="112"/>
      <c r="G89" s="109"/>
      <c r="H89" s="110"/>
      <c r="I89" s="110"/>
      <c r="J89" s="110"/>
      <c r="K89" s="110"/>
      <c r="L89" s="110"/>
      <c r="M89" s="111"/>
      <c r="N89" s="112"/>
      <c r="P89" s="79"/>
      <c r="S89" s="90"/>
      <c r="AI89" s="90"/>
    </row>
    <row r="90" spans="1:35">
      <c r="A90" s="79"/>
      <c r="B90" s="109" t="s">
        <v>8</v>
      </c>
      <c r="C90" s="110" t="s">
        <v>62</v>
      </c>
      <c r="D90" s="111" t="e">
        <f ca="1">(SQRT(D88^2-2*D88+5)-2)/SQRT(3)</f>
        <v>#DIV/0!</v>
      </c>
      <c r="E90" s="112"/>
      <c r="G90" s="109" t="s">
        <v>8</v>
      </c>
      <c r="H90" s="110"/>
      <c r="I90" s="110"/>
      <c r="J90" s="110"/>
      <c r="K90" s="110"/>
      <c r="L90" s="110" t="s">
        <v>62</v>
      </c>
      <c r="M90" s="111" t="e">
        <f ca="1">(SQRT(M88^2-2*M88+5)-2)/SQRT(3)</f>
        <v>#DIV/0!</v>
      </c>
      <c r="N90" s="112"/>
      <c r="P90" s="79" t="s">
        <v>8</v>
      </c>
      <c r="Q90" s="2" t="s">
        <v>62</v>
      </c>
      <c r="R90" s="15" t="e">
        <f ca="1">(SQRT(R88^2-2*R88+5)-2)/SQRT(3)</f>
        <v>#DIV/0!</v>
      </c>
      <c r="S90" s="80"/>
      <c r="AI90" s="90"/>
    </row>
    <row r="91" spans="1:35">
      <c r="A91" s="79"/>
      <c r="B91" s="109" t="s">
        <v>9</v>
      </c>
      <c r="C91" s="110" t="s">
        <v>63</v>
      </c>
      <c r="D91" s="111"/>
      <c r="E91" s="112" t="e">
        <f ca="1">(SQRT(25*E88^2-10*E88+21)-6)/(5*SQRT(3))</f>
        <v>#DIV/0!</v>
      </c>
      <c r="G91" s="109" t="s">
        <v>9</v>
      </c>
      <c r="H91" s="110"/>
      <c r="I91" s="110"/>
      <c r="J91" s="110"/>
      <c r="K91" s="110"/>
      <c r="L91" s="110" t="s">
        <v>63</v>
      </c>
      <c r="M91" s="111"/>
      <c r="N91" s="112" t="e">
        <f ca="1">(SQRT(25*N88*N88-10*N88+21)-6)/(5*SQRT(3))</f>
        <v>#DIV/0!</v>
      </c>
      <c r="P91" s="79" t="s">
        <v>9</v>
      </c>
      <c r="Q91" s="2" t="s">
        <v>63</v>
      </c>
      <c r="R91" s="15"/>
      <c r="S91" s="80" t="e">
        <f ca="1">(SQRT(25*S88*S88-10*S88+21)-6)/(5*SQRT(3))</f>
        <v>#DIV/0!</v>
      </c>
      <c r="AI91" s="90"/>
    </row>
    <row r="92" spans="1:35">
      <c r="A92" s="79"/>
      <c r="B92" s="113" t="s">
        <v>64</v>
      </c>
      <c r="C92" s="114"/>
      <c r="D92" s="115" t="e">
        <f ca="1">SQRT((D87-E87)^2+(D88-E88)^2)</f>
        <v>#DIV/0!</v>
      </c>
      <c r="E92" s="116"/>
      <c r="G92" s="113" t="s">
        <v>64</v>
      </c>
      <c r="H92" s="114"/>
      <c r="I92" s="114"/>
      <c r="J92" s="114"/>
      <c r="K92" s="114"/>
      <c r="L92" s="114"/>
      <c r="M92" s="115" t="e">
        <f ca="1">SQRT((M87-N87)^2+(M88-N88)^2)</f>
        <v>#DIV/0!</v>
      </c>
      <c r="N92" s="116"/>
      <c r="P92" s="81" t="s">
        <v>64</v>
      </c>
      <c r="Q92" s="82"/>
      <c r="R92" s="117" t="e">
        <f ca="1">SQRT((R87-S87)^2+(R88-S88)^2)</f>
        <v>#DIV/0!</v>
      </c>
      <c r="S92" s="58"/>
      <c r="AI92" s="90"/>
    </row>
    <row r="93" spans="1:35">
      <c r="A93" s="79"/>
      <c r="D93" s="2">
        <v>3</v>
      </c>
      <c r="E93" s="2">
        <v>0</v>
      </c>
      <c r="AI93" s="90"/>
    </row>
    <row r="94" spans="1:35">
      <c r="A94" s="79"/>
      <c r="B94" s="104" t="s">
        <v>5</v>
      </c>
      <c r="C94" s="105" t="s">
        <v>57</v>
      </c>
      <c r="D94" s="106" t="e">
        <f ca="1">D97</f>
        <v>#DIV/0!</v>
      </c>
      <c r="E94" s="107">
        <f>-1/SQRT(3)</f>
        <v>-0.57735026918962584</v>
      </c>
      <c r="G94" s="104" t="s">
        <v>7</v>
      </c>
      <c r="H94" s="105"/>
      <c r="I94" s="105"/>
      <c r="J94" s="105"/>
      <c r="K94" s="105"/>
      <c r="L94" s="105" t="s">
        <v>57</v>
      </c>
      <c r="M94" s="106" t="e">
        <f ca="1">M97</f>
        <v>#DIV/0!</v>
      </c>
      <c r="N94" s="107">
        <f>1/SQRT(3)</f>
        <v>0.57735026918962584</v>
      </c>
      <c r="P94" s="108" t="s">
        <v>6</v>
      </c>
      <c r="Q94" s="76" t="s">
        <v>57</v>
      </c>
      <c r="R94" s="91">
        <f>(R95-D82)/C82</f>
        <v>5.2486388108147874E-2</v>
      </c>
      <c r="S94" s="54">
        <v>0</v>
      </c>
      <c r="AI94" s="90"/>
    </row>
    <row r="95" spans="1:35">
      <c r="A95" s="79"/>
      <c r="B95" s="109"/>
      <c r="C95" s="110" t="s">
        <v>58</v>
      </c>
      <c r="D95" s="111" t="e">
        <f ca="1">C80*D94+D80</f>
        <v>#DIV/0!</v>
      </c>
      <c r="E95" s="112">
        <v>0</v>
      </c>
      <c r="G95" s="109"/>
      <c r="H95" s="110"/>
      <c r="I95" s="110"/>
      <c r="J95" s="110"/>
      <c r="K95" s="110"/>
      <c r="L95" s="110" t="s">
        <v>58</v>
      </c>
      <c r="M95" s="111" t="e">
        <f ca="1">C81*M94+D81</f>
        <v>#DIV/0!</v>
      </c>
      <c r="N95" s="112">
        <v>0</v>
      </c>
      <c r="P95" s="79"/>
      <c r="Q95" s="2" t="s">
        <v>58</v>
      </c>
      <c r="R95" s="15">
        <f>R97</f>
        <v>0</v>
      </c>
      <c r="S95" s="80">
        <v>1</v>
      </c>
      <c r="AI95" s="90"/>
    </row>
    <row r="96" spans="1:35">
      <c r="A96" s="79"/>
      <c r="B96" s="109"/>
      <c r="C96" s="110"/>
      <c r="D96" s="111"/>
      <c r="E96" s="112"/>
      <c r="G96" s="109"/>
      <c r="H96" s="110"/>
      <c r="I96" s="110"/>
      <c r="J96" s="110"/>
      <c r="K96" s="110"/>
      <c r="L96" s="110"/>
      <c r="M96" s="111"/>
      <c r="N96" s="112"/>
      <c r="P96" s="79"/>
      <c r="R96" s="15"/>
      <c r="S96" s="80"/>
      <c r="AI96" s="90"/>
    </row>
    <row r="97" spans="1:35">
      <c r="A97" s="79"/>
      <c r="B97" s="109" t="s">
        <v>5</v>
      </c>
      <c r="C97" s="110" t="s">
        <v>62</v>
      </c>
      <c r="D97" s="111" t="e">
        <f ca="1">(1-D95)/SQRT(3)</f>
        <v>#DIV/0!</v>
      </c>
      <c r="E97" s="112"/>
      <c r="G97" s="109" t="s">
        <v>7</v>
      </c>
      <c r="H97" s="110"/>
      <c r="I97" s="110"/>
      <c r="J97" s="110"/>
      <c r="K97" s="110"/>
      <c r="L97" s="110" t="s">
        <v>62</v>
      </c>
      <c r="M97" s="111" t="e">
        <f ca="1">-(1-M95)/SQRT(3)</f>
        <v>#DIV/0!</v>
      </c>
      <c r="N97" s="112"/>
      <c r="P97" s="79" t="s">
        <v>6</v>
      </c>
      <c r="Q97" s="2" t="s">
        <v>65</v>
      </c>
      <c r="R97" s="15">
        <v>0</v>
      </c>
      <c r="S97" s="80"/>
      <c r="AI97" s="90"/>
    </row>
    <row r="98" spans="1:35">
      <c r="A98" s="79"/>
      <c r="B98" s="113" t="s">
        <v>64</v>
      </c>
      <c r="C98" s="114"/>
      <c r="D98" s="115" t="e">
        <f ca="1">SQRT((D94-E94)^2+(D95-E95)^2)</f>
        <v>#DIV/0!</v>
      </c>
      <c r="E98" s="116"/>
      <c r="G98" s="113" t="s">
        <v>64</v>
      </c>
      <c r="H98" s="114"/>
      <c r="I98" s="114"/>
      <c r="J98" s="114"/>
      <c r="K98" s="114"/>
      <c r="L98" s="114"/>
      <c r="M98" s="115" t="e">
        <f ca="1">SQRT((M94-N94)^2+(M95-N95)^2)</f>
        <v>#DIV/0!</v>
      </c>
      <c r="N98" s="116"/>
      <c r="P98" s="81" t="s">
        <v>64</v>
      </c>
      <c r="Q98" s="82"/>
      <c r="R98" s="117">
        <f>SQRT((R94-S94)^2+(R95-S95)^2)</f>
        <v>1.0013764631429276</v>
      </c>
      <c r="S98" s="58"/>
      <c r="W98" s="2" t="e">
        <f ca="1">(SQRT(25*E88^2-10*E88+21)-6)/(5*SQRT(3))</f>
        <v>#DIV/0!</v>
      </c>
      <c r="AI98" s="90"/>
    </row>
    <row r="99" spans="1:35">
      <c r="A99" s="79"/>
      <c r="G99" s="2"/>
      <c r="H99" s="2"/>
      <c r="I99" s="2"/>
      <c r="J99" s="2"/>
      <c r="K99" s="2"/>
      <c r="AI99" s="90"/>
    </row>
    <row r="100" spans="1:35">
      <c r="A100" s="79"/>
      <c r="B100" s="104" t="s">
        <v>66</v>
      </c>
      <c r="C100" s="105"/>
      <c r="D100" s="118" t="e">
        <f ca="1">D92/D98</f>
        <v>#DIV/0!</v>
      </c>
      <c r="E100" s="119"/>
      <c r="G100" s="104" t="s">
        <v>67</v>
      </c>
      <c r="H100" s="105"/>
      <c r="I100" s="105"/>
      <c r="J100" s="105"/>
      <c r="K100" s="105"/>
      <c r="L100" s="105"/>
      <c r="M100" s="118" t="e">
        <f ca="1">M92/M98</f>
        <v>#DIV/0!</v>
      </c>
      <c r="N100" s="119"/>
      <c r="P100" s="2" t="s">
        <v>68</v>
      </c>
      <c r="R100" s="120" t="e">
        <f ca="1">R92/R98</f>
        <v>#DIV/0!</v>
      </c>
      <c r="AI100" s="90"/>
    </row>
    <row r="101" spans="1:35">
      <c r="A101" s="79"/>
      <c r="B101" s="109"/>
      <c r="C101" s="110"/>
      <c r="D101" s="121" t="s">
        <v>40</v>
      </c>
      <c r="E101" s="122" t="s">
        <v>42</v>
      </c>
      <c r="G101" s="123"/>
      <c r="H101" s="121"/>
      <c r="I101" s="121"/>
      <c r="J101" s="121"/>
      <c r="K101" s="121"/>
      <c r="L101" s="110"/>
      <c r="M101" s="121" t="s">
        <v>42</v>
      </c>
      <c r="N101" s="122" t="s">
        <v>40</v>
      </c>
      <c r="R101" s="1"/>
      <c r="S101" s="1"/>
      <c r="AI101" s="90"/>
    </row>
    <row r="102" spans="1:35">
      <c r="A102" s="79"/>
      <c r="B102" s="109"/>
      <c r="C102" s="110"/>
      <c r="D102" s="110" t="e">
        <f ca="1">SQRT((E87-E94)^2+(E88-E95)^2)</f>
        <v>#DIV/0!</v>
      </c>
      <c r="E102" s="124" t="e">
        <f ca="1">SQRT((D87-D94)^2+(D88-D95)^2)</f>
        <v>#DIV/0!</v>
      </c>
      <c r="G102" s="123"/>
      <c r="H102" s="121"/>
      <c r="I102" s="121"/>
      <c r="J102" s="121"/>
      <c r="K102" s="121"/>
      <c r="L102" s="110"/>
      <c r="M102" s="110" t="e">
        <f ca="1">SQRT((M87-N94)^2+(M88-N95)^2)</f>
        <v>#DIV/0!</v>
      </c>
      <c r="N102" s="124" t="e">
        <f ca="1">SQRT((N87-M94)^2+(N88-M95)^2)</f>
        <v>#DIV/0!</v>
      </c>
      <c r="AI102" s="90"/>
    </row>
    <row r="103" spans="1:35">
      <c r="A103" s="79"/>
      <c r="B103" s="113"/>
      <c r="C103" s="114"/>
      <c r="D103" s="125" t="e">
        <f ca="1">D102/D98</f>
        <v>#DIV/0!</v>
      </c>
      <c r="E103" s="126" t="e">
        <f ca="1">E102/D98</f>
        <v>#DIV/0!</v>
      </c>
      <c r="G103" s="127"/>
      <c r="H103" s="189"/>
      <c r="I103" s="189"/>
      <c r="J103" s="189"/>
      <c r="K103" s="189"/>
      <c r="L103" s="114"/>
      <c r="M103" s="125" t="e">
        <f ca="1">M102/M98</f>
        <v>#DIV/0!</v>
      </c>
      <c r="N103" s="126" t="e">
        <f ca="1">N102/M98</f>
        <v>#DIV/0!</v>
      </c>
      <c r="R103" s="128"/>
      <c r="S103" s="128"/>
      <c r="AI103" s="90"/>
    </row>
    <row r="104" spans="1:35">
      <c r="A104" s="79"/>
      <c r="AI104" s="90"/>
    </row>
    <row r="105" spans="1:35">
      <c r="A105" s="79"/>
      <c r="D105" s="89" t="e">
        <f ca="1">D100+D103+E103</f>
        <v>#DIV/0!</v>
      </c>
      <c r="M105" s="89" t="e">
        <f ca="1">M100+M103+N103</f>
        <v>#DIV/0!</v>
      </c>
      <c r="R105" s="89"/>
      <c r="AI105" s="90"/>
    </row>
    <row r="106" spans="1:35">
      <c r="A106" s="79"/>
      <c r="AI106" s="90"/>
    </row>
    <row r="107" spans="1:35">
      <c r="A107" s="79"/>
      <c r="AI107" s="90"/>
    </row>
    <row r="108" spans="1:35">
      <c r="A108" s="79"/>
      <c r="D108" s="129" t="e">
        <f ca="1">LOG(100*E103)</f>
        <v>#DIV/0!</v>
      </c>
      <c r="M108" s="129" t="e">
        <f ca="1">LOG(100*N103)</f>
        <v>#DIV/0!</v>
      </c>
      <c r="AI108" s="90"/>
    </row>
    <row r="109" spans="1:35">
      <c r="A109" s="79"/>
      <c r="D109" s="129" t="e">
        <f ca="1">LOG(100*D100)</f>
        <v>#DIV/0!</v>
      </c>
      <c r="M109" s="129" t="e">
        <f ca="1">LOG(100*M100)</f>
        <v>#DIV/0!</v>
      </c>
      <c r="AI109" s="90"/>
    </row>
    <row r="110" spans="1:35">
      <c r="A110" s="81"/>
      <c r="B110" s="82"/>
      <c r="C110" s="82"/>
      <c r="D110" s="130" t="e">
        <f ca="1">LOG(100*D103)</f>
        <v>#DIV/0!</v>
      </c>
      <c r="E110" s="82"/>
      <c r="F110" s="82"/>
      <c r="G110" s="83"/>
      <c r="H110" s="83"/>
      <c r="I110" s="83"/>
      <c r="J110" s="83"/>
      <c r="K110" s="83"/>
      <c r="L110" s="82"/>
      <c r="M110" s="130" t="e">
        <f ca="1">LOG(100*M103)</f>
        <v>#DIV/0!</v>
      </c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4" priority="1" stopIfTrue="1" operator="greaterThanOrEqual">
      <formula>5</formula>
    </cfRule>
    <cfRule type="cellIs" dxfId="13" priority="2" stopIfTrue="1" operator="between">
      <formula>2</formula>
      <formula>5</formula>
    </cfRule>
    <cfRule type="cellIs" dxfId="12" priority="3" stopIfTrue="1" operator="lessThan">
      <formula>2</formula>
    </cfRule>
  </conditionalFormatting>
  <conditionalFormatting sqref="B21:L21">
    <cfRule type="cellIs" dxfId="11" priority="4" stopIfTrue="1" operator="lessThanOrEqual">
      <formula>0.25</formula>
    </cfRule>
    <cfRule type="cellIs" dxfId="10" priority="5" stopIfTrue="1" operator="between">
      <formula>0.25</formula>
      <formula>1</formula>
    </cfRule>
    <cfRule type="cellIs" dxfId="9" priority="6" stopIfTrue="1" operator="greaterThan">
      <formula>1</formula>
    </cfRule>
  </conditionalFormatting>
  <conditionalFormatting sqref="B22:L22">
    <cfRule type="cellIs" dxfId="8" priority="7" stopIfTrue="1" operator="lessThanOrEqual">
      <formula>2</formula>
    </cfRule>
    <cfRule type="cellIs" dxfId="7" priority="8" stopIfTrue="1" operator="between">
      <formula>2</formula>
      <formula>10</formula>
    </cfRule>
    <cfRule type="cellIs" dxfId="6" priority="9" stopIfTrue="1" operator="greaterThan">
      <formula>10</formula>
    </cfRule>
  </conditionalFormatting>
  <conditionalFormatting sqref="B23:L23">
    <cfRule type="cellIs" dxfId="5" priority="10" stopIfTrue="1" operator="greaterThanOrEqual">
      <formula>5</formula>
    </cfRule>
    <cfRule type="cellIs" dxfId="4" priority="11" stopIfTrue="1" operator="between">
      <formula>1</formula>
      <formula>5</formula>
    </cfRule>
    <cfRule type="cellIs" dxfId="3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E12" sqref="E12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69</v>
      </c>
    </row>
    <row r="2" spans="1:1">
      <c r="A2" t="s">
        <v>70</v>
      </c>
    </row>
    <row r="20" spans="5:5">
      <c r="E20" s="21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Entrada de Dados</vt:lpstr>
      <vt:lpstr>Entrada_de_Dados_2</vt:lpstr>
      <vt:lpstr>Diagrama</vt:lpstr>
      <vt:lpstr>Espelho</vt:lpstr>
      <vt:lpstr>CAPA!Area_de_impressao</vt:lpstr>
      <vt:lpstr>Diagrama!Area_de_impressao</vt:lpstr>
      <vt:lpstr>'Entrada de Dados'!Titulos_de_impressao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2003-11-20T14:54:09Z</cp:lastPrinted>
  <dcterms:created xsi:type="dcterms:W3CDTF">2003-07-04T14:12:44Z</dcterms:created>
  <dcterms:modified xsi:type="dcterms:W3CDTF">2023-02-20T20:06:22Z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