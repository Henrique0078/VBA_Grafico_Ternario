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011F4D13-F752-4FAE-B4A4-3B587EAD5FF1}" xr6:coauthVersionLast="47" xr6:coauthVersionMax="47" xr10:uidLastSave="{00000000-0000-0000-0000-000000000000}"/>
  <workbookProtection lockWindows="1"/>
  <bookViews>
    <workbookView xWindow="-120" yWindow="-120" windowWidth="20730" windowHeight="11310" firstSheet="1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35" i="6" l="1"/>
  <c r="T37" i="6" s="1"/>
  <c r="U35" i="6"/>
  <c r="U37" i="6" s="1"/>
  <c r="BF41" i="6"/>
  <c r="BG41" i="6"/>
  <c r="BF40" i="6"/>
  <c r="BG40" i="6"/>
  <c r="T78" i="6" l="1"/>
  <c r="U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O37" i="6"/>
  <c r="Q37" i="6"/>
  <c r="S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37" i="6" l="1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U57" i="6" s="1"/>
  <c r="K9" i="6"/>
  <c r="BM30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BI30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W58" i="6" s="1"/>
  <c r="AD64" i="1"/>
  <c r="AD69" i="1" s="1"/>
  <c r="I102" i="4" s="1"/>
  <c r="K13" i="6"/>
  <c r="I16" i="6"/>
  <c r="K15" i="6"/>
  <c r="K27" i="6" s="1"/>
  <c r="AF64" i="1"/>
  <c r="AF69" i="1" s="1"/>
  <c r="I109" i="4" s="1"/>
  <c r="BK30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BJ30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D9" i="6"/>
  <c r="W63" i="1"/>
  <c r="W61" i="1"/>
  <c r="L6" i="6"/>
  <c r="AC61" i="1"/>
  <c r="H11" i="6"/>
  <c r="H15" i="6"/>
  <c r="H27" i="6" s="1"/>
  <c r="H12" i="6"/>
  <c r="AC62" i="1"/>
  <c r="H16" i="6"/>
  <c r="X62" i="1"/>
  <c r="D15" i="6" l="1"/>
  <c r="D22" i="6" s="1"/>
  <c r="Y67" i="1" s="1"/>
  <c r="G86" i="4" s="1"/>
  <c r="BF30" i="6"/>
  <c r="E16" i="6"/>
  <c r="BG30" i="6"/>
  <c r="G64" i="4"/>
  <c r="F17" i="6"/>
  <c r="F21" i="6" s="1"/>
  <c r="AA66" i="1" s="1"/>
  <c r="G92" i="4" s="1"/>
  <c r="F13" i="6"/>
  <c r="F12" i="6"/>
  <c r="F11" i="6"/>
  <c r="AA64" i="1"/>
  <c r="AA69" i="1" s="1"/>
  <c r="G95" i="4" s="1"/>
  <c r="BH30" i="6"/>
  <c r="F15" i="6"/>
  <c r="F27" i="6" s="1"/>
  <c r="T5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BD30" i="6"/>
  <c r="B12" i="6"/>
  <c r="B16" i="6"/>
  <c r="I18" i="6"/>
  <c r="I26" i="6"/>
  <c r="G26" i="6"/>
  <c r="U50" i="6" s="1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H19" i="6"/>
  <c r="H18" i="6"/>
  <c r="H22" i="6"/>
  <c r="AC67" i="1" s="1"/>
  <c r="G100" i="4" s="1"/>
  <c r="AF65" i="1"/>
  <c r="I105" i="4" s="1"/>
  <c r="J21" i="6"/>
  <c r="AE66" i="1" s="1"/>
  <c r="G106" i="4" s="1"/>
  <c r="J20" i="6"/>
  <c r="BL30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G62" i="1"/>
  <c r="BE30" i="6"/>
  <c r="X64" i="1"/>
  <c r="X69" i="1" s="1"/>
  <c r="I81" i="4" s="1"/>
  <c r="C13" i="6"/>
  <c r="C11" i="6"/>
  <c r="C15" i="6"/>
  <c r="C27" i="6" s="1"/>
  <c r="AY30" i="6" s="1"/>
  <c r="C17" i="6"/>
  <c r="J13" i="6"/>
  <c r="D17" i="6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2" i="6" l="1"/>
  <c r="AA67" i="1" s="1"/>
  <c r="G93" i="4" s="1"/>
  <c r="F20" i="6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BB31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BB30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F10" i="6" l="1"/>
  <c r="F23" i="6"/>
  <c r="AA68" i="1" s="1"/>
  <c r="G94" i="4" s="1"/>
  <c r="BG31" i="6"/>
  <c r="BF31" i="6"/>
  <c r="BK31" i="6"/>
  <c r="C10" i="6"/>
  <c r="BB33" i="6"/>
  <c r="BI31" i="6"/>
  <c r="BH31" i="6"/>
  <c r="BE31" i="6"/>
  <c r="BM31" i="6"/>
  <c r="G79" i="6"/>
  <c r="D81" i="6" s="1"/>
  <c r="AY26" i="6"/>
  <c r="J10" i="6"/>
  <c r="X59" i="6"/>
  <c r="AY51" i="6"/>
  <c r="S50" i="6"/>
  <c r="AY35" i="6"/>
  <c r="X50" i="6"/>
  <c r="AY50" i="6"/>
  <c r="E10" i="6"/>
  <c r="BL31" i="6"/>
  <c r="BD31" i="6"/>
  <c r="R50" i="6"/>
  <c r="AY32" i="6"/>
  <c r="Q50" i="6"/>
  <c r="AY29" i="6"/>
  <c r="BJ31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BF33" i="6" l="1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<sst xmlns="http://schemas.openxmlformats.org/spreadsheetml/2006/main" count="976" uniqueCount="128">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</sst>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11" fontId="7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right"/>
    </xf>
    <xf numFmtId="165" fontId="8" fillId="0" borderId="0" xfId="2" applyNumberFormat="1" applyFont="1" applyFill="1" applyBorder="1" applyAlignment="1">
      <alignment horizontal="center"/>
    </xf>
    <xf numFmtId="11" fontId="8" fillId="0" borderId="0" xfId="0" applyNumberFormat="1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0" borderId="4" xfId="0" applyFont="1" applyBorder="1" applyAlignment="1">
      <alignment horizontal="right"/>
    </xf>
    <xf numFmtId="165" fontId="8" fillId="0" borderId="4" xfId="2" applyNumberFormat="1" applyFont="1" applyFill="1" applyBorder="1" applyAlignment="1">
      <alignment horizontal="center"/>
    </xf>
    <xf numFmtId="11" fontId="8" fillId="0" borderId="4" xfId="0" applyNumberFormat="1" applyFont="1" applyBorder="1"/>
    <xf numFmtId="0" fontId="9" fillId="3" borderId="8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1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2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2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9" fontId="13" fillId="5" borderId="1" xfId="2" applyFont="1" applyFill="1" applyBorder="1" applyAlignment="1">
      <alignment horizontal="center"/>
    </xf>
    <xf numFmtId="2" fontId="9" fillId="3" borderId="5" xfId="0" applyNumberFormat="1" applyFont="1" applyFill="1" applyBorder="1" applyAlignment="1">
      <alignment horizontal="center"/>
    </xf>
    <xf numFmtId="2" fontId="9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9" fillId="3" borderId="1" xfId="0" applyNumberFormat="1" applyFont="1" applyFill="1" applyBorder="1" applyAlignment="1">
      <alignment horizontal="center"/>
    </xf>
    <xf numFmtId="2" fontId="9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2" fontId="12" fillId="5" borderId="12" xfId="0" applyNumberFormat="1" applyFont="1" applyFill="1" applyBorder="1" applyAlignment="1">
      <alignment horizontal="center"/>
    </xf>
    <xf numFmtId="2" fontId="12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12" fillId="5" borderId="5" xfId="0" applyNumberFormat="1" applyFont="1" applyFill="1" applyBorder="1" applyAlignment="1">
      <alignment horizontal="center"/>
    </xf>
    <xf numFmtId="2" fontId="12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1" fillId="3" borderId="0" xfId="0" applyFont="1" applyFill="1" applyAlignment="1">
      <alignment horizontal="center"/>
    </xf>
    <xf numFmtId="0" fontId="6" fillId="3" borderId="9" xfId="0" applyFont="1" applyFill="1" applyBorder="1"/>
    <xf numFmtId="165" fontId="17" fillId="5" borderId="2" xfId="2" applyNumberFormat="1" applyFont="1" applyFill="1" applyBorder="1" applyAlignment="1">
      <alignment horizontal="center"/>
    </xf>
    <xf numFmtId="0" fontId="12" fillId="5" borderId="15" xfId="0" applyFont="1" applyFill="1" applyBorder="1"/>
    <xf numFmtId="0" fontId="12" fillId="5" borderId="14" xfId="0" applyFont="1" applyFill="1" applyBorder="1"/>
    <xf numFmtId="0" fontId="12" fillId="5" borderId="16" xfId="0" applyFont="1" applyFill="1" applyBorder="1"/>
    <xf numFmtId="0" fontId="9" fillId="3" borderId="7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9" fillId="0" borderId="8" xfId="0" applyFont="1" applyBorder="1" applyAlignment="1">
      <alignment horizontal="left"/>
    </xf>
    <xf numFmtId="0" fontId="11" fillId="0" borderId="0" xfId="0" applyFont="1" applyAlignment="1">
      <alignment horizontal="center"/>
    </xf>
    <xf numFmtId="165" fontId="17" fillId="0" borderId="0" xfId="2" applyNumberFormat="1" applyFont="1" applyBorder="1" applyAlignment="1">
      <alignment horizontal="center"/>
    </xf>
    <xf numFmtId="0" fontId="12" fillId="0" borderId="0" xfId="0" applyFont="1"/>
    <xf numFmtId="0" fontId="9" fillId="11" borderId="10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9" fillId="0" borderId="10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165" fontId="17" fillId="0" borderId="3" xfId="2" applyNumberFormat="1" applyFont="1" applyBorder="1" applyAlignment="1">
      <alignment horizontal="center"/>
    </xf>
    <xf numFmtId="0" fontId="12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9" fillId="0" borderId="10" xfId="0" applyFont="1" applyBorder="1"/>
    <xf numFmtId="0" fontId="9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9" fillId="0" borderId="7" xfId="0" applyFont="1" applyBorder="1" applyAlignment="1">
      <alignment horizontal="left"/>
    </xf>
    <xf numFmtId="0" fontId="11" fillId="0" borderId="4" xfId="0" applyFont="1" applyBorder="1" applyAlignment="1">
      <alignment horizontal="center"/>
    </xf>
    <xf numFmtId="165" fontId="17" fillId="0" borderId="4" xfId="2" applyNumberFormat="1" applyFont="1" applyBorder="1" applyAlignment="1">
      <alignment horizontal="center"/>
    </xf>
    <xf numFmtId="0" fontId="17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8" fillId="12" borderId="0" xfId="0" applyFont="1" applyFill="1"/>
    <xf numFmtId="0" fontId="18" fillId="12" borderId="0" xfId="0" applyFont="1" applyFill="1" applyAlignment="1">
      <alignment horizontal="center"/>
    </xf>
    <xf numFmtId="0" fontId="19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9" fillId="12" borderId="0" xfId="0" applyNumberFormat="1" applyFont="1" applyFill="1" applyAlignment="1">
      <alignment horizontal="center"/>
    </xf>
    <xf numFmtId="11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2" fontId="19" fillId="12" borderId="0" xfId="0" applyNumberFormat="1" applyFont="1" applyFill="1"/>
    <xf numFmtId="164" fontId="19" fillId="12" borderId="0" xfId="0" applyNumberFormat="1" applyFont="1" applyFill="1" applyAlignment="1">
      <alignment horizontal="center"/>
    </xf>
    <xf numFmtId="164" fontId="19" fillId="12" borderId="0" xfId="0" applyNumberFormat="1" applyFont="1" applyFill="1"/>
    <xf numFmtId="168" fontId="19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0" xfId="0" applyFont="1" applyAlignment="1">
      <alignment horizontal="center"/>
    </xf>
    <xf numFmtId="2" fontId="7" fillId="0" borderId="0" xfId="0" applyNumberFormat="1" applyFont="1"/>
    <xf numFmtId="0" fontId="7" fillId="0" borderId="0" xfId="0" applyFont="1" applyAlignment="1">
      <alignment wrapText="1"/>
    </xf>
    <xf numFmtId="165" fontId="7" fillId="0" borderId="0" xfId="2" applyNumberFormat="1" applyFont="1" applyFill="1" applyBorder="1"/>
    <xf numFmtId="0" fontId="7" fillId="0" borderId="1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9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9" fillId="3" borderId="10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1.2310240281228364E-3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0.3326226012793177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A3" sqref="A3"/>
    </sheetView>
  </sheetViews>
  <sheetFormatPr defaultRowHeight="12.75" x14ac:dyDescent="0.2"/>
  <cols>
    <col min="1" max="1" width="8.875" style="203" customWidth="1"/>
    <col min="2" max="9" width="9" style="203"/>
    <col min="10" max="10" width="11.875" style="203" customWidth="1"/>
    <col min="11" max="11" width="9" style="203"/>
    <col min="12" max="12" width="11.125" style="203" bestFit="1" customWidth="1"/>
    <col min="13" max="14" width="12.5" style="203" customWidth="1"/>
    <col min="15" max="15" width="9" style="203"/>
    <col min="16" max="16" width="15.375" style="203" customWidth="1"/>
    <col min="17" max="17" width="7" style="203" customWidth="1"/>
    <col min="18" max="18" width="15.25" style="203" bestFit="1" customWidth="1"/>
    <col min="19" max="19" width="3.625" style="219" customWidth="1"/>
    <col min="20" max="22" width="13.25" style="219" customWidth="1"/>
    <col min="23" max="23" width="9.5" style="203" customWidth="1"/>
    <col min="24" max="25" width="10.25" style="203" customWidth="1"/>
    <col min="26" max="26" width="12.625" style="203" customWidth="1"/>
    <col min="27" max="27" width="11.25" style="203" customWidth="1"/>
    <col min="28" max="28" width="10.75" style="203" customWidth="1"/>
    <col min="29" max="29" width="9.75" style="203" customWidth="1"/>
    <col min="30" max="30" width="10.25" style="203" customWidth="1"/>
    <col min="31" max="31" width="11.375" style="203" customWidth="1"/>
    <col min="32" max="32" width="11.25" style="203" customWidth="1"/>
    <col min="33" max="33" width="7.375" style="203" customWidth="1"/>
    <col min="34" max="34" width="6.125" style="203" customWidth="1"/>
    <col min="35" max="45" width="2.75" style="203" customWidth="1"/>
    <col min="46" max="16384" width="9" style="203"/>
  </cols>
  <sheetData>
    <row r="1" spans="8:46" ht="27" customHeight="1" x14ac:dyDescent="0.2">
      <c r="O1" s="204"/>
      <c r="P1" s="204" t="s">
        <v>68</v>
      </c>
      <c r="Q1" s="204" t="s">
        <v>0</v>
      </c>
      <c r="R1" s="204" t="s">
        <v>19</v>
      </c>
      <c r="S1" s="205">
        <v>1</v>
      </c>
      <c r="T1" s="205" t="s">
        <v>121</v>
      </c>
      <c r="U1" s="205" t="s">
        <v>121</v>
      </c>
      <c r="V1" s="205" t="s">
        <v>121</v>
      </c>
      <c r="W1" s="204">
        <v>4</v>
      </c>
      <c r="X1" s="206" t="b">
        <v>0</v>
      </c>
      <c r="Y1" s="206" t="b">
        <v>1</v>
      </c>
      <c r="Z1" s="204" t="b">
        <v>0</v>
      </c>
      <c r="AA1" s="204">
        <f>X1+Y1+Z1</f>
        <v>1</v>
      </c>
      <c r="AB1" s="204"/>
      <c r="AC1" s="204"/>
      <c r="AD1" s="204" t="s">
        <v>125</v>
      </c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 t="s">
        <v>5</v>
      </c>
    </row>
    <row r="2" spans="8:46" x14ac:dyDescent="0.2">
      <c r="O2" s="204"/>
      <c r="P2" s="204"/>
      <c r="Q2" s="204"/>
      <c r="R2" s="204"/>
      <c r="S2" s="205">
        <v>2</v>
      </c>
      <c r="T2" s="205" t="s">
        <v>126</v>
      </c>
      <c r="U2" s="205" t="s">
        <v>126</v>
      </c>
      <c r="V2" s="205" t="s">
        <v>126</v>
      </c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 t="s">
        <v>7</v>
      </c>
    </row>
    <row r="3" spans="8:46" x14ac:dyDescent="0.2">
      <c r="O3" s="204"/>
      <c r="P3" s="204"/>
      <c r="Q3" s="204"/>
      <c r="R3" s="204" t="s">
        <v>84</v>
      </c>
      <c r="S3" s="205">
        <v>3</v>
      </c>
      <c r="T3" s="205" t="s">
        <v>122</v>
      </c>
      <c r="U3" s="205" t="s">
        <v>122</v>
      </c>
      <c r="V3" s="205" t="s">
        <v>122</v>
      </c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 t="s">
        <v>6</v>
      </c>
    </row>
    <row r="4" spans="8:46" x14ac:dyDescent="0.2">
      <c r="O4" s="204"/>
      <c r="P4" s="204"/>
      <c r="Q4" s="204"/>
      <c r="R4" s="204"/>
      <c r="S4" s="205">
        <v>4</v>
      </c>
      <c r="T4" s="205" t="s">
        <v>127</v>
      </c>
      <c r="U4" s="205" t="s">
        <v>127</v>
      </c>
      <c r="V4" s="205" t="s">
        <v>127</v>
      </c>
      <c r="W4" s="204"/>
      <c r="X4" s="204" t="s">
        <v>96</v>
      </c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 t="s">
        <v>90</v>
      </c>
    </row>
    <row r="5" spans="8:46" x14ac:dyDescent="0.2">
      <c r="O5" s="204"/>
      <c r="P5" s="204"/>
      <c r="Q5" s="204"/>
      <c r="R5" s="204"/>
      <c r="S5" s="205">
        <v>5</v>
      </c>
      <c r="T5" s="205">
        <v>0</v>
      </c>
      <c r="U5" s="205">
        <v>0</v>
      </c>
      <c r="V5" s="205">
        <v>0</v>
      </c>
      <c r="W5" s="204"/>
      <c r="X5" s="204" t="s">
        <v>104</v>
      </c>
      <c r="Y5" s="204" t="s">
        <v>107</v>
      </c>
      <c r="Z5" s="204" t="s">
        <v>106</v>
      </c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</row>
    <row r="6" spans="8:46" x14ac:dyDescent="0.2">
      <c r="O6" s="204"/>
      <c r="P6" s="204"/>
      <c r="Q6" s="204"/>
      <c r="R6" s="204"/>
      <c r="S6" s="205">
        <v>6</v>
      </c>
      <c r="T6" s="205">
        <v>0</v>
      </c>
      <c r="U6" s="205">
        <v>0</v>
      </c>
      <c r="V6" s="205">
        <v>0</v>
      </c>
      <c r="W6" s="204"/>
      <c r="X6" s="204" t="b">
        <v>0</v>
      </c>
      <c r="Y6" s="204" t="b">
        <v>0</v>
      </c>
      <c r="Z6" s="204" t="b">
        <v>0</v>
      </c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</row>
    <row r="7" spans="8:46" x14ac:dyDescent="0.2">
      <c r="O7" s="204"/>
      <c r="P7" s="204"/>
      <c r="Q7" s="204"/>
      <c r="R7" s="204"/>
      <c r="S7" s="205">
        <v>7</v>
      </c>
      <c r="T7" s="205">
        <v>0</v>
      </c>
      <c r="U7" s="205">
        <v>0</v>
      </c>
      <c r="V7" s="205">
        <v>0</v>
      </c>
      <c r="W7" s="204"/>
      <c r="X7" s="204"/>
      <c r="Y7" s="204"/>
      <c r="Z7" s="204"/>
      <c r="AA7" s="204"/>
      <c r="AB7" s="204"/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  <c r="AP7" s="204"/>
      <c r="AQ7" s="204"/>
      <c r="AR7" s="204"/>
      <c r="AS7" s="204"/>
      <c r="AT7" s="204"/>
    </row>
    <row r="8" spans="8:46" x14ac:dyDescent="0.2">
      <c r="O8" s="204"/>
      <c r="P8" s="204"/>
      <c r="Q8" s="204"/>
      <c r="R8" s="204"/>
      <c r="S8" s="205">
        <v>8</v>
      </c>
      <c r="T8" s="205">
        <v>0</v>
      </c>
      <c r="U8" s="205">
        <v>0</v>
      </c>
      <c r="V8" s="205">
        <v>0</v>
      </c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  <c r="AP8" s="204"/>
      <c r="AQ8" s="204"/>
      <c r="AR8" s="204"/>
      <c r="AS8" s="204"/>
      <c r="AT8" s="204"/>
    </row>
    <row r="9" spans="8:46" x14ac:dyDescent="0.2">
      <c r="O9" s="204"/>
      <c r="P9" s="204"/>
      <c r="Q9" s="204"/>
      <c r="R9" s="204"/>
      <c r="S9" s="205">
        <v>9</v>
      </c>
      <c r="T9" s="205">
        <v>0</v>
      </c>
      <c r="U9" s="205">
        <v>0</v>
      </c>
      <c r="V9" s="205">
        <v>0</v>
      </c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</row>
    <row r="10" spans="8:46" x14ac:dyDescent="0.2">
      <c r="O10" s="204"/>
      <c r="P10" s="204"/>
      <c r="Q10" s="204"/>
      <c r="R10" s="204"/>
      <c r="S10" s="205">
        <v>10</v>
      </c>
      <c r="T10" s="205">
        <v>0</v>
      </c>
      <c r="U10" s="205">
        <v>0</v>
      </c>
      <c r="V10" s="205">
        <v>0</v>
      </c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  <c r="AP10" s="204"/>
      <c r="AQ10" s="204"/>
      <c r="AR10" s="204"/>
      <c r="AS10" s="204"/>
      <c r="AT10" s="204"/>
    </row>
    <row r="11" spans="8:46" x14ac:dyDescent="0.2">
      <c r="O11" s="204"/>
      <c r="P11" s="204"/>
      <c r="Q11" s="204"/>
      <c r="R11" s="204" t="s">
        <v>67</v>
      </c>
      <c r="S11" s="205">
        <v>1</v>
      </c>
      <c r="T11" s="205" t="b">
        <v>1</v>
      </c>
      <c r="U11" s="205" t="b">
        <v>1</v>
      </c>
      <c r="V11" s="205" t="b">
        <v>1</v>
      </c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</row>
    <row r="12" spans="8:46" x14ac:dyDescent="0.2">
      <c r="O12" s="204"/>
      <c r="P12" s="204"/>
      <c r="Q12" s="204"/>
      <c r="R12" s="204"/>
      <c r="S12" s="205">
        <v>2</v>
      </c>
      <c r="T12" s="205" t="b">
        <v>1</v>
      </c>
      <c r="U12" s="205" t="b">
        <v>1</v>
      </c>
      <c r="V12" s="205" t="b">
        <v>1</v>
      </c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</row>
    <row r="13" spans="8:46" x14ac:dyDescent="0.2">
      <c r="H13" s="207"/>
      <c r="I13" s="207"/>
      <c r="O13" s="204"/>
      <c r="P13" s="204"/>
      <c r="Q13" s="204"/>
      <c r="R13" s="204"/>
      <c r="S13" s="205">
        <v>3</v>
      </c>
      <c r="T13" s="205" t="b">
        <v>1</v>
      </c>
      <c r="U13" s="205" t="b">
        <v>1</v>
      </c>
      <c r="V13" s="205" t="b">
        <v>1</v>
      </c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</row>
    <row r="14" spans="8:46" x14ac:dyDescent="0.2">
      <c r="O14" s="204"/>
      <c r="P14" s="204"/>
      <c r="Q14" s="204"/>
      <c r="R14" s="204"/>
      <c r="S14" s="205">
        <v>4</v>
      </c>
      <c r="T14" s="205" t="b">
        <v>1</v>
      </c>
      <c r="U14" s="205" t="b">
        <v>1</v>
      </c>
      <c r="V14" s="205" t="b">
        <v>1</v>
      </c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</row>
    <row r="15" spans="8:46" x14ac:dyDescent="0.2">
      <c r="O15" s="204"/>
      <c r="P15" s="204"/>
      <c r="Q15" s="204"/>
      <c r="R15" s="204"/>
      <c r="S15" s="205">
        <v>5</v>
      </c>
      <c r="T15" s="205" t="b">
        <v>0</v>
      </c>
      <c r="U15" s="205" t="b">
        <v>0</v>
      </c>
      <c r="V15" s="205" t="b">
        <v>0</v>
      </c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</row>
    <row r="16" spans="8:46" x14ac:dyDescent="0.2">
      <c r="O16" s="204"/>
      <c r="P16" s="204"/>
      <c r="Q16" s="204"/>
      <c r="R16" s="204"/>
      <c r="S16" s="205">
        <v>6</v>
      </c>
      <c r="T16" s="205" t="b">
        <v>0</v>
      </c>
      <c r="U16" s="205" t="b">
        <v>0</v>
      </c>
      <c r="V16" s="205" t="b">
        <v>0</v>
      </c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</row>
    <row r="17" spans="1:46" x14ac:dyDescent="0.2">
      <c r="O17" s="204"/>
      <c r="P17" s="204"/>
      <c r="Q17" s="204"/>
      <c r="R17" s="204"/>
      <c r="S17" s="205">
        <v>7</v>
      </c>
      <c r="T17" s="205" t="b">
        <v>0</v>
      </c>
      <c r="U17" s="205" t="b">
        <v>0</v>
      </c>
      <c r="V17" s="205" t="b">
        <v>0</v>
      </c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</row>
    <row r="18" spans="1:46" x14ac:dyDescent="0.2">
      <c r="O18" s="204"/>
      <c r="P18" s="204"/>
      <c r="Q18" s="204"/>
      <c r="R18" s="204"/>
      <c r="S18" s="205">
        <v>8</v>
      </c>
      <c r="T18" s="205" t="b">
        <v>0</v>
      </c>
      <c r="U18" s="205" t="b">
        <v>0</v>
      </c>
      <c r="V18" s="205" t="b">
        <v>0</v>
      </c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</row>
    <row r="19" spans="1:46" x14ac:dyDescent="0.2">
      <c r="O19" s="204"/>
      <c r="P19" s="204"/>
      <c r="Q19" s="204"/>
      <c r="R19" s="204"/>
      <c r="S19" s="205">
        <v>9</v>
      </c>
      <c r="T19" s="205" t="b">
        <v>0</v>
      </c>
      <c r="U19" s="205" t="b">
        <v>0</v>
      </c>
      <c r="V19" s="205" t="b">
        <v>0</v>
      </c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</row>
    <row r="20" spans="1:46" x14ac:dyDescent="0.2">
      <c r="O20" s="204"/>
      <c r="P20" s="204"/>
      <c r="Q20" s="204"/>
      <c r="R20" s="204"/>
      <c r="S20" s="205">
        <v>10</v>
      </c>
      <c r="T20" s="205" t="b">
        <v>0</v>
      </c>
      <c r="U20" s="205" t="b">
        <v>0</v>
      </c>
      <c r="V20" s="205" t="b">
        <v>0</v>
      </c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</row>
    <row r="21" spans="1:46" x14ac:dyDescent="0.2">
      <c r="O21" s="204"/>
      <c r="P21" s="204"/>
      <c r="Q21" s="204"/>
      <c r="R21" s="204" t="s">
        <v>1</v>
      </c>
      <c r="S21" s="205">
        <v>1</v>
      </c>
      <c r="T21" s="205" t="b">
        <v>0</v>
      </c>
      <c r="U21" s="205" t="b">
        <v>0</v>
      </c>
      <c r="V21" s="205" t="b">
        <v>0</v>
      </c>
      <c r="W21" s="204">
        <f>IF(T21,1,0)</f>
        <v>0</v>
      </c>
      <c r="X21" s="204">
        <f>IF(T22,1,0)</f>
        <v>0</v>
      </c>
      <c r="Y21" s="204">
        <f>IF(T23,1,0)</f>
        <v>0</v>
      </c>
      <c r="Z21" s="204">
        <f>IF(T24,1,0)</f>
        <v>0</v>
      </c>
      <c r="AA21" s="204">
        <f>IF(T25,1,0)</f>
        <v>0</v>
      </c>
      <c r="AB21" s="204">
        <f>IF(T26,1,0)</f>
        <v>0</v>
      </c>
      <c r="AC21" s="204">
        <f>IF(T27,1,0)</f>
        <v>0</v>
      </c>
      <c r="AD21" s="204">
        <f>IF(T28,1,0)</f>
        <v>0</v>
      </c>
      <c r="AE21" s="204">
        <f>IF(T29,1,0)</f>
        <v>0</v>
      </c>
      <c r="AF21" s="204">
        <f>IF(T30,1,0)</f>
        <v>0</v>
      </c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</row>
    <row r="22" spans="1:46" x14ac:dyDescent="0.2">
      <c r="B22" s="208"/>
      <c r="O22" s="204"/>
      <c r="P22" s="204"/>
      <c r="Q22" s="204"/>
      <c r="R22" s="204"/>
      <c r="S22" s="205">
        <v>2</v>
      </c>
      <c r="T22" s="205" t="b">
        <v>0</v>
      </c>
      <c r="U22" s="205" t="b">
        <v>0</v>
      </c>
      <c r="V22" s="205" t="b">
        <v>0</v>
      </c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</row>
    <row r="23" spans="1:46" x14ac:dyDescent="0.2">
      <c r="B23" s="208"/>
      <c r="O23" s="204"/>
      <c r="P23" s="204"/>
      <c r="Q23" s="204"/>
      <c r="R23" s="204"/>
      <c r="S23" s="205">
        <v>3</v>
      </c>
      <c r="T23" s="205" t="b">
        <v>0</v>
      </c>
      <c r="U23" s="205" t="b">
        <v>0</v>
      </c>
      <c r="V23" s="205" t="b">
        <v>0</v>
      </c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</row>
    <row r="24" spans="1:46" x14ac:dyDescent="0.2">
      <c r="B24" s="208"/>
      <c r="O24" s="204"/>
      <c r="P24" s="204"/>
      <c r="Q24" s="204"/>
      <c r="R24" s="204"/>
      <c r="S24" s="205">
        <v>4</v>
      </c>
      <c r="T24" s="205" t="b">
        <v>0</v>
      </c>
      <c r="U24" s="205" t="b">
        <v>0</v>
      </c>
      <c r="V24" s="205" t="b">
        <v>0</v>
      </c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</row>
    <row r="25" spans="1:46" x14ac:dyDescent="0.2">
      <c r="A25" s="208"/>
      <c r="B25" s="208"/>
      <c r="O25" s="204"/>
      <c r="P25" s="204"/>
      <c r="Q25" s="204"/>
      <c r="R25" s="204"/>
      <c r="S25" s="205">
        <v>5</v>
      </c>
      <c r="T25" s="205" t="b">
        <v>0</v>
      </c>
      <c r="U25" s="205" t="b">
        <v>0</v>
      </c>
      <c r="V25" s="205" t="b">
        <v>0</v>
      </c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</row>
    <row r="26" spans="1:46" x14ac:dyDescent="0.2">
      <c r="A26" s="209"/>
      <c r="B26" s="209"/>
      <c r="C26" s="209"/>
      <c r="D26" s="209"/>
      <c r="E26" s="209"/>
      <c r="O26" s="204"/>
      <c r="P26" s="204"/>
      <c r="Q26" s="204"/>
      <c r="R26" s="204"/>
      <c r="S26" s="205">
        <v>6</v>
      </c>
      <c r="T26" s="205" t="b">
        <v>0</v>
      </c>
      <c r="U26" s="205" t="b">
        <v>0</v>
      </c>
      <c r="V26" s="205" t="b">
        <v>0</v>
      </c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</row>
    <row r="27" spans="1:46" x14ac:dyDescent="0.2">
      <c r="A27" s="209"/>
      <c r="B27" s="209"/>
      <c r="C27" s="209"/>
      <c r="D27" s="209"/>
      <c r="E27" s="209"/>
      <c r="O27" s="204"/>
      <c r="P27" s="204"/>
      <c r="Q27" s="204"/>
      <c r="R27" s="204"/>
      <c r="S27" s="205">
        <v>7</v>
      </c>
      <c r="T27" s="205" t="b">
        <v>0</v>
      </c>
      <c r="U27" s="205" t="b">
        <v>0</v>
      </c>
      <c r="V27" s="205" t="b">
        <v>0</v>
      </c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</row>
    <row r="28" spans="1:46" x14ac:dyDescent="0.2">
      <c r="A28" s="209"/>
      <c r="B28" s="209"/>
      <c r="C28" s="209"/>
      <c r="D28" s="209"/>
      <c r="E28" s="209"/>
      <c r="O28" s="204"/>
      <c r="P28" s="204"/>
      <c r="Q28" s="204"/>
      <c r="R28" s="204"/>
      <c r="S28" s="205">
        <v>8</v>
      </c>
      <c r="T28" s="205" t="b">
        <v>0</v>
      </c>
      <c r="U28" s="205" t="b">
        <v>0</v>
      </c>
      <c r="V28" s="205" t="b">
        <v>0</v>
      </c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</row>
    <row r="29" spans="1:46" x14ac:dyDescent="0.2">
      <c r="A29" s="209"/>
      <c r="B29" s="209"/>
      <c r="C29" s="209"/>
      <c r="D29" s="209"/>
      <c r="E29" s="209"/>
      <c r="O29" s="204"/>
      <c r="P29" s="204"/>
      <c r="Q29" s="204"/>
      <c r="R29" s="204"/>
      <c r="S29" s="205">
        <v>9</v>
      </c>
      <c r="T29" s="205" t="b">
        <v>0</v>
      </c>
      <c r="U29" s="205" t="b">
        <v>0</v>
      </c>
      <c r="V29" s="205" t="b">
        <v>0</v>
      </c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</row>
    <row r="30" spans="1:46" x14ac:dyDescent="0.2">
      <c r="A30" s="210"/>
      <c r="B30" s="210"/>
      <c r="C30" s="210"/>
      <c r="O30" s="204"/>
      <c r="P30" s="204"/>
      <c r="Q30" s="204"/>
      <c r="R30" s="204"/>
      <c r="S30" s="205">
        <v>10</v>
      </c>
      <c r="T30" s="205" t="b">
        <v>0</v>
      </c>
      <c r="U30" s="205" t="b">
        <v>0</v>
      </c>
      <c r="V30" s="205" t="b">
        <v>0</v>
      </c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</row>
    <row r="31" spans="1:46" x14ac:dyDescent="0.2">
      <c r="O31" s="204"/>
      <c r="P31" s="204"/>
      <c r="Q31" s="204"/>
      <c r="R31" s="204" t="s">
        <v>2</v>
      </c>
      <c r="S31" s="205">
        <v>1</v>
      </c>
      <c r="T31" s="205">
        <v>1</v>
      </c>
      <c r="U31" s="205">
        <v>1</v>
      </c>
      <c r="V31" s="205">
        <v>1</v>
      </c>
      <c r="W31" s="204">
        <f>IF($T$41,T31,1)</f>
        <v>1</v>
      </c>
      <c r="X31" s="204">
        <f>IF($T$41,T32,1)</f>
        <v>1</v>
      </c>
      <c r="Y31" s="204">
        <f>IF($T$41,T33,1)</f>
        <v>1</v>
      </c>
      <c r="Z31" s="204">
        <f>IF($T$41,T34,1)</f>
        <v>1</v>
      </c>
      <c r="AA31" s="204">
        <f>IF($T$41,T35,1)</f>
        <v>1</v>
      </c>
      <c r="AB31" s="204">
        <f>IF($T$41,T36,1)</f>
        <v>1</v>
      </c>
      <c r="AC31" s="204">
        <f>IF($T$41,T37,1)</f>
        <v>1</v>
      </c>
      <c r="AD31" s="204">
        <f>IF($T$41,T38,1)</f>
        <v>1</v>
      </c>
      <c r="AE31" s="204">
        <f>IF($T$41,T39,1)</f>
        <v>1</v>
      </c>
      <c r="AF31" s="204">
        <f>IF($T$41,T40,1)</f>
        <v>1</v>
      </c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</row>
    <row r="32" spans="1:46" x14ac:dyDescent="0.2">
      <c r="O32" s="204"/>
      <c r="P32" s="204"/>
      <c r="Q32" s="204"/>
      <c r="R32" s="204"/>
      <c r="S32" s="205">
        <v>2</v>
      </c>
      <c r="T32" s="205">
        <v>1</v>
      </c>
      <c r="U32" s="205">
        <v>1</v>
      </c>
      <c r="V32" s="205">
        <v>1</v>
      </c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</row>
    <row r="33" spans="15:46" x14ac:dyDescent="0.2">
      <c r="O33" s="204"/>
      <c r="P33" s="204"/>
      <c r="Q33" s="204"/>
      <c r="R33" s="204"/>
      <c r="S33" s="205">
        <v>3</v>
      </c>
      <c r="T33" s="205">
        <v>1</v>
      </c>
      <c r="U33" s="205">
        <v>1</v>
      </c>
      <c r="V33" s="205">
        <v>1</v>
      </c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</row>
    <row r="34" spans="15:46" x14ac:dyDescent="0.2">
      <c r="O34" s="204"/>
      <c r="P34" s="204"/>
      <c r="Q34" s="204"/>
      <c r="R34" s="204"/>
      <c r="S34" s="205">
        <v>4</v>
      </c>
      <c r="T34" s="205">
        <v>1</v>
      </c>
      <c r="U34" s="205">
        <v>1</v>
      </c>
      <c r="V34" s="205">
        <v>1</v>
      </c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</row>
    <row r="35" spans="15:46" x14ac:dyDescent="0.2">
      <c r="O35" s="204"/>
      <c r="P35" s="204"/>
      <c r="Q35" s="204"/>
      <c r="R35" s="204"/>
      <c r="S35" s="205">
        <v>5</v>
      </c>
      <c r="T35" s="205">
        <v>1</v>
      </c>
      <c r="U35" s="205">
        <v>1</v>
      </c>
      <c r="V35" s="205">
        <v>1</v>
      </c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</row>
    <row r="36" spans="15:46" x14ac:dyDescent="0.2">
      <c r="O36" s="204"/>
      <c r="P36" s="204"/>
      <c r="Q36" s="204"/>
      <c r="R36" s="204"/>
      <c r="S36" s="205">
        <v>6</v>
      </c>
      <c r="T36" s="205">
        <v>1</v>
      </c>
      <c r="U36" s="205">
        <v>1</v>
      </c>
      <c r="V36" s="205">
        <v>1</v>
      </c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</row>
    <row r="37" spans="15:46" x14ac:dyDescent="0.2">
      <c r="O37" s="204"/>
      <c r="P37" s="204"/>
      <c r="Q37" s="204"/>
      <c r="R37" s="204"/>
      <c r="S37" s="205">
        <v>7</v>
      </c>
      <c r="T37" s="205">
        <v>1</v>
      </c>
      <c r="U37" s="205">
        <v>1</v>
      </c>
      <c r="V37" s="205">
        <v>1</v>
      </c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</row>
    <row r="38" spans="15:46" x14ac:dyDescent="0.2">
      <c r="O38" s="204"/>
      <c r="P38" s="204"/>
      <c r="Q38" s="204"/>
      <c r="R38" s="204"/>
      <c r="S38" s="205">
        <v>8</v>
      </c>
      <c r="T38" s="205">
        <v>1</v>
      </c>
      <c r="U38" s="205">
        <v>1</v>
      </c>
      <c r="V38" s="205">
        <v>1</v>
      </c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</row>
    <row r="39" spans="15:46" x14ac:dyDescent="0.2">
      <c r="O39" s="204"/>
      <c r="P39" s="204"/>
      <c r="Q39" s="204"/>
      <c r="R39" s="204"/>
      <c r="S39" s="205">
        <v>9</v>
      </c>
      <c r="T39" s="205">
        <v>1</v>
      </c>
      <c r="U39" s="205">
        <v>1</v>
      </c>
      <c r="V39" s="205">
        <v>1</v>
      </c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</row>
    <row r="40" spans="15:46" x14ac:dyDescent="0.2">
      <c r="O40" s="204"/>
      <c r="P40" s="204"/>
      <c r="Q40" s="204"/>
      <c r="R40" s="204"/>
      <c r="S40" s="205">
        <v>10</v>
      </c>
      <c r="T40" s="205">
        <v>1</v>
      </c>
      <c r="U40" s="205">
        <v>1</v>
      </c>
      <c r="V40" s="205">
        <v>1</v>
      </c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</row>
    <row r="41" spans="15:46" x14ac:dyDescent="0.2">
      <c r="O41" s="204"/>
      <c r="P41" s="204"/>
      <c r="Q41" s="204"/>
      <c r="R41" s="204" t="s">
        <v>72</v>
      </c>
      <c r="S41" s="205">
        <v>0</v>
      </c>
      <c r="T41" s="205" t="b">
        <v>0</v>
      </c>
      <c r="U41" s="205" t="b">
        <v>0</v>
      </c>
      <c r="V41" s="205" t="b">
        <v>0</v>
      </c>
      <c r="W41" s="204"/>
      <c r="X41" s="205" t="s">
        <v>93</v>
      </c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</row>
    <row r="42" spans="15:46" x14ac:dyDescent="0.2">
      <c r="O42" s="204"/>
      <c r="P42" s="204"/>
      <c r="Q42" s="204" t="s">
        <v>3</v>
      </c>
      <c r="R42" s="204" t="s">
        <v>70</v>
      </c>
      <c r="S42" s="205" t="s">
        <v>5</v>
      </c>
      <c r="T42" s="205" t="b">
        <v>0</v>
      </c>
      <c r="U42" s="205" t="b">
        <v>0</v>
      </c>
      <c r="V42" s="205" t="b">
        <v>0</v>
      </c>
      <c r="W42" s="204"/>
      <c r="X42" s="206" t="b">
        <v>0</v>
      </c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  <c r="AP42" s="204"/>
      <c r="AQ42" s="204"/>
      <c r="AR42" s="204"/>
      <c r="AS42" s="204"/>
      <c r="AT42" s="204"/>
    </row>
    <row r="43" spans="15:46" x14ac:dyDescent="0.2">
      <c r="O43" s="204"/>
      <c r="P43" s="204"/>
      <c r="Q43" s="204"/>
      <c r="R43" s="204"/>
      <c r="S43" s="205" t="s">
        <v>6</v>
      </c>
      <c r="T43" s="205" t="b">
        <v>0</v>
      </c>
      <c r="U43" s="205" t="b">
        <v>0</v>
      </c>
      <c r="V43" s="205" t="b">
        <v>0</v>
      </c>
      <c r="W43" s="204"/>
      <c r="X43" s="205" t="s">
        <v>108</v>
      </c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204"/>
      <c r="AT43" s="204"/>
    </row>
    <row r="44" spans="15:46" x14ac:dyDescent="0.2">
      <c r="O44" s="204"/>
      <c r="P44" s="204"/>
      <c r="Q44" s="204"/>
      <c r="R44" s="204"/>
      <c r="S44" s="205" t="s">
        <v>7</v>
      </c>
      <c r="T44" s="205" t="b">
        <v>0</v>
      </c>
      <c r="U44" s="205" t="b">
        <v>0</v>
      </c>
      <c r="V44" s="205" t="b">
        <v>0</v>
      </c>
      <c r="W44" s="204"/>
      <c r="X44" s="206" t="b">
        <v>0</v>
      </c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</row>
    <row r="45" spans="15:46" x14ac:dyDescent="0.2">
      <c r="O45" s="204"/>
      <c r="P45" s="204"/>
      <c r="Q45" s="204"/>
      <c r="R45" s="204" t="s">
        <v>69</v>
      </c>
      <c r="S45" s="205" t="s">
        <v>5</v>
      </c>
      <c r="T45" s="205">
        <v>10</v>
      </c>
      <c r="U45" s="205">
        <v>10</v>
      </c>
      <c r="V45" s="205">
        <v>10</v>
      </c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</row>
    <row r="46" spans="15:46" x14ac:dyDescent="0.2">
      <c r="O46" s="204"/>
      <c r="P46" s="204"/>
      <c r="Q46" s="204"/>
      <c r="R46" s="204"/>
      <c r="S46" s="205" t="s">
        <v>6</v>
      </c>
      <c r="T46" s="205">
        <v>10</v>
      </c>
      <c r="U46" s="205">
        <v>10</v>
      </c>
      <c r="V46" s="205">
        <v>10</v>
      </c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</row>
    <row r="47" spans="15:46" x14ac:dyDescent="0.2">
      <c r="O47" s="204"/>
      <c r="P47" s="204"/>
      <c r="Q47" s="204"/>
      <c r="R47" s="204"/>
      <c r="S47" s="205" t="s">
        <v>7</v>
      </c>
      <c r="T47" s="205">
        <v>10</v>
      </c>
      <c r="U47" s="205">
        <v>10</v>
      </c>
      <c r="V47" s="205">
        <v>10</v>
      </c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</row>
    <row r="48" spans="15:46" x14ac:dyDescent="0.2">
      <c r="O48" s="204"/>
      <c r="P48" s="204"/>
      <c r="Q48" s="204" t="s">
        <v>20</v>
      </c>
      <c r="R48" s="204" t="s">
        <v>67</v>
      </c>
      <c r="S48" s="205">
        <v>1</v>
      </c>
      <c r="T48" s="205" t="b">
        <v>0</v>
      </c>
      <c r="U48" s="205" t="b">
        <v>0</v>
      </c>
      <c r="V48" s="205" t="b">
        <v>0</v>
      </c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</row>
    <row r="49" spans="15:46" x14ac:dyDescent="0.2">
      <c r="O49" s="204"/>
      <c r="P49" s="204"/>
      <c r="Q49" s="204"/>
      <c r="R49" s="204"/>
      <c r="S49" s="205">
        <v>5</v>
      </c>
      <c r="T49" s="205" t="b">
        <v>0</v>
      </c>
      <c r="U49" s="205" t="b">
        <v>0</v>
      </c>
      <c r="V49" s="205" t="b">
        <v>0</v>
      </c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</row>
    <row r="50" spans="15:46" x14ac:dyDescent="0.2">
      <c r="O50" s="204"/>
      <c r="P50" s="204"/>
      <c r="Q50" s="204"/>
      <c r="R50" s="204"/>
      <c r="S50" s="205" t="s">
        <v>17</v>
      </c>
      <c r="T50" s="205" t="b">
        <v>0</v>
      </c>
      <c r="U50" s="205" t="b">
        <v>0</v>
      </c>
      <c r="V50" s="205" t="b">
        <v>0</v>
      </c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</row>
    <row r="51" spans="15:46" x14ac:dyDescent="0.2">
      <c r="O51" s="204"/>
      <c r="P51" s="204"/>
      <c r="Q51" s="204"/>
      <c r="R51" s="204" t="s">
        <v>11</v>
      </c>
      <c r="S51" s="205">
        <v>1</v>
      </c>
      <c r="T51" s="205">
        <v>1</v>
      </c>
      <c r="U51" s="205">
        <v>1</v>
      </c>
      <c r="V51" s="205">
        <v>1</v>
      </c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</row>
    <row r="52" spans="15:46" x14ac:dyDescent="0.2">
      <c r="O52" s="204"/>
      <c r="P52" s="204"/>
      <c r="Q52" s="204"/>
      <c r="R52" s="204"/>
      <c r="S52" s="205">
        <v>5</v>
      </c>
      <c r="T52" s="205">
        <v>5</v>
      </c>
      <c r="U52" s="205">
        <v>5</v>
      </c>
      <c r="V52" s="205">
        <v>5</v>
      </c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</row>
    <row r="53" spans="15:46" x14ac:dyDescent="0.2">
      <c r="O53" s="204"/>
      <c r="P53" s="204"/>
      <c r="Q53" s="204"/>
      <c r="R53" s="204"/>
      <c r="S53" s="205" t="s">
        <v>17</v>
      </c>
      <c r="T53" s="205">
        <v>2</v>
      </c>
      <c r="U53" s="205">
        <v>2</v>
      </c>
      <c r="V53" s="205">
        <v>2</v>
      </c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</row>
    <row r="54" spans="15:46" x14ac:dyDescent="0.2">
      <c r="O54" s="204"/>
      <c r="P54" s="204"/>
      <c r="Q54" s="204" t="s">
        <v>71</v>
      </c>
      <c r="R54" s="204" t="s">
        <v>67</v>
      </c>
      <c r="S54" s="205" t="s">
        <v>5</v>
      </c>
      <c r="T54" s="205" t="b">
        <v>0</v>
      </c>
      <c r="U54" s="205" t="b">
        <v>0</v>
      </c>
      <c r="V54" s="205" t="b">
        <v>0</v>
      </c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</row>
    <row r="55" spans="15:46" x14ac:dyDescent="0.2">
      <c r="O55" s="204"/>
      <c r="P55" s="204"/>
      <c r="Q55" s="204"/>
      <c r="R55" s="204"/>
      <c r="S55" s="205" t="s">
        <v>6</v>
      </c>
      <c r="T55" s="205" t="b">
        <v>0</v>
      </c>
      <c r="U55" s="205" t="b">
        <v>0</v>
      </c>
      <c r="V55" s="205" t="b">
        <v>0</v>
      </c>
      <c r="W55" s="204" t="s">
        <v>121</v>
      </c>
      <c r="X55" s="204" t="s">
        <v>121</v>
      </c>
      <c r="Y55" s="204" t="s">
        <v>121</v>
      </c>
      <c r="Z55" s="204"/>
      <c r="AA55" s="204" t="s">
        <v>6</v>
      </c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</row>
    <row r="56" spans="15:46" x14ac:dyDescent="0.2">
      <c r="O56" s="204"/>
      <c r="P56" s="204"/>
      <c r="Q56" s="204"/>
      <c r="R56" s="204"/>
      <c r="S56" s="205" t="s">
        <v>7</v>
      </c>
      <c r="T56" s="205" t="b">
        <v>0</v>
      </c>
      <c r="U56" s="205" t="b">
        <v>0</v>
      </c>
      <c r="V56" s="205" t="b">
        <v>0</v>
      </c>
      <c r="W56" s="204">
        <v>1</v>
      </c>
      <c r="X56" s="204">
        <v>1</v>
      </c>
      <c r="Y56" s="204">
        <v>1</v>
      </c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</row>
    <row r="57" spans="15:46" x14ac:dyDescent="0.2">
      <c r="O57" s="204"/>
      <c r="P57" s="204"/>
      <c r="Q57" s="204"/>
      <c r="R57" s="204" t="s">
        <v>91</v>
      </c>
      <c r="S57" s="205">
        <v>0</v>
      </c>
      <c r="T57" s="205" t="s">
        <v>121</v>
      </c>
      <c r="U57" s="205" t="s">
        <v>121</v>
      </c>
      <c r="V57" s="205" t="s">
        <v>121</v>
      </c>
      <c r="W57" s="204" t="s">
        <v>122</v>
      </c>
      <c r="X57" s="204" t="s">
        <v>122</v>
      </c>
      <c r="Y57" s="204" t="s">
        <v>122</v>
      </c>
      <c r="Z57" s="204" t="s">
        <v>5</v>
      </c>
      <c r="AA57" s="204" t="s">
        <v>7</v>
      </c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</row>
    <row r="58" spans="15:46" x14ac:dyDescent="0.2">
      <c r="O58" s="204"/>
      <c r="P58" s="204"/>
      <c r="Q58" s="204"/>
      <c r="R58" s="204" t="s">
        <v>92</v>
      </c>
      <c r="S58" s="205">
        <v>0</v>
      </c>
      <c r="T58" s="205">
        <v>1</v>
      </c>
      <c r="U58" s="205">
        <v>1</v>
      </c>
      <c r="V58" s="205">
        <v>1</v>
      </c>
      <c r="W58" s="204">
        <v>3</v>
      </c>
      <c r="X58" s="204">
        <v>3</v>
      </c>
      <c r="Y58" s="204">
        <v>3</v>
      </c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</row>
    <row r="59" spans="15:46" x14ac:dyDescent="0.2">
      <c r="O59" s="204"/>
      <c r="P59" s="204"/>
      <c r="Q59" s="204"/>
      <c r="R59" s="204" t="s">
        <v>73</v>
      </c>
      <c r="S59" s="205">
        <v>0</v>
      </c>
      <c r="T59" s="205" t="s">
        <v>121</v>
      </c>
      <c r="U59" s="205" t="s">
        <v>121</v>
      </c>
      <c r="V59" s="205" t="s">
        <v>121</v>
      </c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 t="s">
        <v>1</v>
      </c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</row>
    <row r="60" spans="15:46" x14ac:dyDescent="0.2">
      <c r="O60" s="204"/>
      <c r="P60" s="204"/>
      <c r="Q60" s="204"/>
      <c r="R60" s="204"/>
      <c r="S60" s="205">
        <v>0</v>
      </c>
      <c r="T60" s="205">
        <v>1</v>
      </c>
      <c r="U60" s="205">
        <v>1</v>
      </c>
      <c r="V60" s="205">
        <v>1</v>
      </c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</row>
    <row r="61" spans="15:46" x14ac:dyDescent="0.2">
      <c r="O61" s="204"/>
      <c r="P61" s="204"/>
      <c r="Q61" s="204"/>
      <c r="R61" s="204"/>
      <c r="S61" s="205" t="s">
        <v>5</v>
      </c>
      <c r="T61" s="211">
        <v>156</v>
      </c>
      <c r="U61" s="211">
        <v>156</v>
      </c>
      <c r="V61" s="211">
        <v>156</v>
      </c>
      <c r="W61" s="212">
        <f>Diagrama!B6</f>
        <v>156</v>
      </c>
      <c r="X61" s="212">
        <f>Diagrama!C6</f>
        <v>156</v>
      </c>
      <c r="Y61" s="212">
        <f>Diagrama!D6</f>
        <v>156</v>
      </c>
      <c r="Z61" s="212">
        <f>Diagrama!E6</f>
        <v>154</v>
      </c>
      <c r="AA61" s="212">
        <f>Diagrama!F6</f>
        <v>0</v>
      </c>
      <c r="AB61" s="212">
        <f>Diagrama!G6</f>
        <v>0</v>
      </c>
      <c r="AC61" s="212">
        <f>Diagrama!H6</f>
        <v>0</v>
      </c>
      <c r="AD61" s="212">
        <f>Diagrama!I6</f>
        <v>0</v>
      </c>
      <c r="AE61" s="212">
        <f>Diagrama!J6</f>
        <v>0</v>
      </c>
      <c r="AF61" s="212">
        <f>Diagrama!K6</f>
        <v>0</v>
      </c>
      <c r="AG61" s="212">
        <f>Diagrama!L6</f>
        <v>0</v>
      </c>
      <c r="AH61" s="206">
        <v>0.25</v>
      </c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</row>
    <row r="62" spans="15:46" x14ac:dyDescent="0.2">
      <c r="O62" s="204"/>
      <c r="P62" s="204"/>
      <c r="Q62" s="204"/>
      <c r="R62" s="204"/>
      <c r="S62" s="205" t="s">
        <v>6</v>
      </c>
      <c r="T62" s="211">
        <v>156</v>
      </c>
      <c r="U62" s="211">
        <v>156</v>
      </c>
      <c r="V62" s="211">
        <v>156</v>
      </c>
      <c r="W62" s="212">
        <f>Diagrama!B7</f>
        <v>156</v>
      </c>
      <c r="X62" s="212">
        <f>Diagrama!C7</f>
        <v>156</v>
      </c>
      <c r="Y62" s="212">
        <f>Diagrama!D7</f>
        <v>156</v>
      </c>
      <c r="Z62" s="212">
        <f>Diagrama!E7</f>
        <v>14786</v>
      </c>
      <c r="AA62" s="212">
        <f>Diagrama!F7</f>
        <v>0</v>
      </c>
      <c r="AB62" s="212">
        <f>Diagrama!G7</f>
        <v>0</v>
      </c>
      <c r="AC62" s="212">
        <f>Diagrama!H7</f>
        <v>0</v>
      </c>
      <c r="AD62" s="212">
        <f>Diagrama!I7</f>
        <v>0</v>
      </c>
      <c r="AE62" s="212">
        <f>Diagrama!J7</f>
        <v>0</v>
      </c>
      <c r="AF62" s="212">
        <f>Diagrama!K7</f>
        <v>0</v>
      </c>
      <c r="AG62" s="212">
        <f>Diagrama!L7</f>
        <v>0</v>
      </c>
      <c r="AH62" s="206">
        <v>0</v>
      </c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</row>
    <row r="63" spans="15:46" x14ac:dyDescent="0.2">
      <c r="O63" s="204"/>
      <c r="P63" s="204"/>
      <c r="Q63" s="204"/>
      <c r="R63" s="204"/>
      <c r="S63" s="205" t="s">
        <v>7</v>
      </c>
      <c r="T63" s="211">
        <v>156</v>
      </c>
      <c r="U63" s="211">
        <v>156</v>
      </c>
      <c r="V63" s="211">
        <v>156</v>
      </c>
      <c r="W63" s="212">
        <f>Diagrama!B8</f>
        <v>156</v>
      </c>
      <c r="X63" s="212">
        <f>Diagrama!C8</f>
        <v>157</v>
      </c>
      <c r="Y63" s="212">
        <f>Diagrama!D8</f>
        <v>1563</v>
      </c>
      <c r="Z63" s="212">
        <f>Diagrama!E8</f>
        <v>1865</v>
      </c>
      <c r="AA63" s="212">
        <f>Diagrama!F8</f>
        <v>0</v>
      </c>
      <c r="AB63" s="212">
        <f>Diagrama!G8</f>
        <v>0</v>
      </c>
      <c r="AC63" s="212">
        <f>Diagrama!H8</f>
        <v>0</v>
      </c>
      <c r="AD63" s="212">
        <f>Diagrama!I8</f>
        <v>0</v>
      </c>
      <c r="AE63" s="212">
        <f>Diagrama!J8</f>
        <v>0</v>
      </c>
      <c r="AF63" s="212">
        <f>Diagrama!K8</f>
        <v>0</v>
      </c>
      <c r="AG63" s="212">
        <f>Diagrama!L8</f>
        <v>0</v>
      </c>
      <c r="AH63" s="206">
        <v>0.75</v>
      </c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</row>
    <row r="64" spans="15:46" x14ac:dyDescent="0.2">
      <c r="O64" s="204"/>
      <c r="P64" s="204"/>
      <c r="Q64" s="204"/>
      <c r="R64" s="204"/>
      <c r="S64" s="205" t="s">
        <v>16</v>
      </c>
      <c r="T64" s="211">
        <v>468</v>
      </c>
      <c r="U64" s="211">
        <v>468</v>
      </c>
      <c r="V64" s="211">
        <v>468</v>
      </c>
      <c r="W64" s="212">
        <f>Diagrama!B9</f>
        <v>468</v>
      </c>
      <c r="X64" s="212">
        <f>Diagrama!C9</f>
        <v>469</v>
      </c>
      <c r="Y64" s="212">
        <f>Diagrama!D9</f>
        <v>1875</v>
      </c>
      <c r="Z64" s="212">
        <f>Diagrama!E9</f>
        <v>16805</v>
      </c>
      <c r="AA64" s="212">
        <f>Diagrama!F9</f>
        <v>0</v>
      </c>
      <c r="AB64" s="212">
        <f>Diagrama!G9</f>
        <v>0</v>
      </c>
      <c r="AC64" s="212">
        <f>Diagrama!H9</f>
        <v>0</v>
      </c>
      <c r="AD64" s="212">
        <f>Diagrama!I9</f>
        <v>0</v>
      </c>
      <c r="AE64" s="212">
        <f>Diagrama!J9</f>
        <v>0</v>
      </c>
      <c r="AF64" s="212">
        <f>Diagrama!K9</f>
        <v>0</v>
      </c>
      <c r="AG64" s="212">
        <f>Diagrama!L9</f>
        <v>0</v>
      </c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</row>
    <row r="65" spans="15:46" x14ac:dyDescent="0.2">
      <c r="O65" s="204"/>
      <c r="P65" s="204"/>
      <c r="Q65" s="204"/>
      <c r="R65" s="204"/>
      <c r="S65" s="205" t="s">
        <v>30</v>
      </c>
      <c r="T65" s="213">
        <v>3</v>
      </c>
      <c r="U65" s="214">
        <v>3</v>
      </c>
      <c r="V65" s="213">
        <v>3</v>
      </c>
      <c r="W65" s="215">
        <f>Diagrama!B20</f>
        <v>3</v>
      </c>
      <c r="X65" s="215">
        <f>Diagrama!C20</f>
        <v>2.9872611464968153</v>
      </c>
      <c r="Y65" s="215">
        <f>Diagrama!D20</f>
        <v>1.199616122840691</v>
      </c>
      <c r="Z65" s="215">
        <f>Diagrama!E20</f>
        <v>9.0107238605898115</v>
      </c>
      <c r="AA65" s="215" t="e">
        <f>Diagrama!F20</f>
        <v>#DIV/0!</v>
      </c>
      <c r="AB65" s="215" t="e">
        <f>Diagrama!G20</f>
        <v>#DIV/0!</v>
      </c>
      <c r="AC65" s="215" t="e">
        <f>Diagrama!H20</f>
        <v>#DIV/0!</v>
      </c>
      <c r="AD65" s="215" t="e">
        <f>Diagrama!I20</f>
        <v>#DIV/0!</v>
      </c>
      <c r="AE65" s="215" t="e">
        <f>Diagrama!J20</f>
        <v>#DIV/0!</v>
      </c>
      <c r="AF65" s="215" t="e">
        <f>Diagrama!K20</f>
        <v>#DIV/0!</v>
      </c>
      <c r="AG65" s="215" t="e">
        <f>Diagrama!L20</f>
        <v>#DIV/0!</v>
      </c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</row>
    <row r="66" spans="15:46" x14ac:dyDescent="0.2">
      <c r="O66" s="204"/>
      <c r="P66" s="204"/>
      <c r="Q66" s="204"/>
      <c r="R66" s="204"/>
      <c r="S66" s="205" t="s">
        <v>31</v>
      </c>
      <c r="T66" s="213">
        <v>0.49999999999999989</v>
      </c>
      <c r="U66" s="214">
        <v>0.49999999999999989</v>
      </c>
      <c r="V66" s="213">
        <v>0.49999999999999989</v>
      </c>
      <c r="W66" s="215">
        <f>Diagrama!B21</f>
        <v>0.49999999999999994</v>
      </c>
      <c r="X66" s="215">
        <f>Diagrama!C21</f>
        <v>0.50320512820512819</v>
      </c>
      <c r="Y66" s="215">
        <f>Diagrama!D21</f>
        <v>5.009615384615385</v>
      </c>
      <c r="Z66" s="215">
        <f>Diagrama!E21</f>
        <v>0.12483266398929051</v>
      </c>
      <c r="AA66" s="215" t="e">
        <f>Diagrama!F21</f>
        <v>#DIV/0!</v>
      </c>
      <c r="AB66" s="215" t="e">
        <f>Diagrama!G21</f>
        <v>#DIV/0!</v>
      </c>
      <c r="AC66" s="215" t="e">
        <f>Diagrama!H21</f>
        <v>#DIV/0!</v>
      </c>
      <c r="AD66" s="215" t="e">
        <f>Diagrama!I21</f>
        <v>#DIV/0!</v>
      </c>
      <c r="AE66" s="215" t="e">
        <f>Diagrama!J21</f>
        <v>#DIV/0!</v>
      </c>
      <c r="AF66" s="215" t="e">
        <f>Diagrama!K21</f>
        <v>#DIV/0!</v>
      </c>
      <c r="AG66" s="215" t="e">
        <f>Diagrama!L21</f>
        <v>#DIV/0!</v>
      </c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</row>
    <row r="67" spans="15:46" x14ac:dyDescent="0.2">
      <c r="O67" s="204"/>
      <c r="P67" s="204"/>
      <c r="Q67" s="204"/>
      <c r="R67" s="204"/>
      <c r="S67" s="205" t="s">
        <v>32</v>
      </c>
      <c r="T67" s="213">
        <v>2.0000000000000004</v>
      </c>
      <c r="U67" s="214">
        <v>2.0000000000000004</v>
      </c>
      <c r="V67" s="213">
        <v>2.0000000000000004</v>
      </c>
      <c r="W67" s="215">
        <f>Diagrama!B22</f>
        <v>2.0000000000000004</v>
      </c>
      <c r="X67" s="215">
        <f>Diagrama!C22</f>
        <v>2.0064102564102564</v>
      </c>
      <c r="Y67" s="215">
        <f>Diagrama!D22</f>
        <v>11.01923076923077</v>
      </c>
      <c r="Z67" s="215">
        <f>Diagrama!E22</f>
        <v>108.12337662337661</v>
      </c>
      <c r="AA67" s="215" t="e">
        <f>Diagrama!F22</f>
        <v>#DIV/0!</v>
      </c>
      <c r="AB67" s="215" t="e">
        <f>Diagrama!G22</f>
        <v>#DIV/0!</v>
      </c>
      <c r="AC67" s="215" t="e">
        <f>Diagrama!H22</f>
        <v>#DIV/0!</v>
      </c>
      <c r="AD67" s="215" t="e">
        <f>Diagrama!I22</f>
        <v>#DIV/0!</v>
      </c>
      <c r="AE67" s="215" t="e">
        <f>Diagrama!J22</f>
        <v>#DIV/0!</v>
      </c>
      <c r="AF67" s="215" t="e">
        <f>Diagrama!K22</f>
        <v>#DIV/0!</v>
      </c>
      <c r="AG67" s="215" t="e">
        <f>Diagrama!L22</f>
        <v>#DIV/0!</v>
      </c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</row>
    <row r="68" spans="15:46" x14ac:dyDescent="0.2">
      <c r="O68" s="204"/>
      <c r="P68" s="204"/>
      <c r="Q68" s="204"/>
      <c r="R68" s="204"/>
      <c r="S68" s="205" t="s">
        <v>20</v>
      </c>
      <c r="T68" s="213">
        <v>1.4999999999999996</v>
      </c>
      <c r="U68" s="214">
        <v>1.4999999999999996</v>
      </c>
      <c r="V68" s="213">
        <v>1.4999999999999996</v>
      </c>
      <c r="W68" s="215">
        <f>Diagrama!B23</f>
        <v>1.4999999999999998</v>
      </c>
      <c r="X68" s="215">
        <f>Diagrama!C23</f>
        <v>1.4888585905862721</v>
      </c>
      <c r="Y68" s="215">
        <f>Diagrama!D23</f>
        <v>0.10886568654051645</v>
      </c>
      <c r="Z68" s="215">
        <f>Diagrama!E23</f>
        <v>8.3337425651962713E-2</v>
      </c>
      <c r="AA68" s="215" t="e">
        <f>Diagrama!F23</f>
        <v>#DIV/0!</v>
      </c>
      <c r="AB68" s="215" t="e">
        <f>Diagrama!G23</f>
        <v>#DIV/0!</v>
      </c>
      <c r="AC68" s="215" t="e">
        <f>Diagrama!H23</f>
        <v>#DIV/0!</v>
      </c>
      <c r="AD68" s="215" t="e">
        <f>Diagrama!I23</f>
        <v>#DIV/0!</v>
      </c>
      <c r="AE68" s="215" t="e">
        <f>Diagrama!J23</f>
        <v>#DIV/0!</v>
      </c>
      <c r="AF68" s="215" t="e">
        <f>Diagrama!K23</f>
        <v>#DIV/0!</v>
      </c>
      <c r="AG68" s="215" t="e">
        <f>Diagrama!L23</f>
        <v>#DIV/0!</v>
      </c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</row>
    <row r="69" spans="15:46" x14ac:dyDescent="0.2">
      <c r="O69" s="204"/>
      <c r="P69" s="204"/>
      <c r="Q69" s="204"/>
      <c r="R69" s="204"/>
      <c r="S69" s="205" t="s">
        <v>12</v>
      </c>
      <c r="T69" s="216">
        <v>33.333333333333336</v>
      </c>
      <c r="U69" s="214">
        <v>33.333333333333336</v>
      </c>
      <c r="V69" s="216">
        <v>33.333333333333336</v>
      </c>
      <c r="W69" s="217">
        <f t="shared" ref="W69:AB69" si="0">100*W61/W64</f>
        <v>33.333333333333336</v>
      </c>
      <c r="X69" s="217">
        <f t="shared" si="0"/>
        <v>33.262260127931768</v>
      </c>
      <c r="Y69" s="217">
        <f t="shared" si="0"/>
        <v>8.32</v>
      </c>
      <c r="Z69" s="217">
        <f t="shared" si="0"/>
        <v>0.91639393037786376</v>
      </c>
      <c r="AA69" s="217" t="e">
        <f t="shared" si="0"/>
        <v>#DIV/0!</v>
      </c>
      <c r="AB69" s="217" t="e">
        <f t="shared" si="0"/>
        <v>#DIV/0!</v>
      </c>
      <c r="AC69" s="217" t="e">
        <f>100*AC61/AC64</f>
        <v>#DIV/0!</v>
      </c>
      <c r="AD69" s="217" t="e">
        <f>100*AD61/AD64</f>
        <v>#DIV/0!</v>
      </c>
      <c r="AE69" s="217" t="e">
        <f>100*AE61/AE64</f>
        <v>#DIV/0!</v>
      </c>
      <c r="AF69" s="217" t="e">
        <f>100*AF61/AF64</f>
        <v>#DIV/0!</v>
      </c>
      <c r="AG69" s="217" t="e">
        <f>100*AG61/AG64</f>
        <v>#DIV/0!</v>
      </c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</row>
    <row r="70" spans="15:46" x14ac:dyDescent="0.2">
      <c r="O70" s="204"/>
      <c r="P70" s="204"/>
      <c r="Q70" s="204"/>
      <c r="R70" s="204"/>
      <c r="S70" s="205" t="s">
        <v>74</v>
      </c>
      <c r="T70" s="211">
        <v>0</v>
      </c>
      <c r="U70" s="211">
        <v>0</v>
      </c>
      <c r="V70" s="211">
        <v>0</v>
      </c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</row>
    <row r="71" spans="15:46" x14ac:dyDescent="0.2">
      <c r="O71" s="204"/>
      <c r="P71" s="204"/>
      <c r="Q71" s="204"/>
      <c r="R71" s="204"/>
      <c r="S71" s="205" t="s">
        <v>75</v>
      </c>
      <c r="T71" s="205"/>
      <c r="U71" s="205"/>
      <c r="V71" s="205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</row>
    <row r="72" spans="15:46" x14ac:dyDescent="0.2">
      <c r="O72" s="204"/>
      <c r="P72" s="204"/>
      <c r="Q72" s="204"/>
      <c r="R72" s="204" t="s">
        <v>89</v>
      </c>
      <c r="S72" s="205">
        <v>0</v>
      </c>
      <c r="T72" s="205" t="b">
        <v>0</v>
      </c>
      <c r="U72" s="205" t="b">
        <v>0</v>
      </c>
      <c r="V72" s="205" t="b">
        <v>0</v>
      </c>
      <c r="W72" s="205">
        <f>IF(T72,1,0)</f>
        <v>0</v>
      </c>
      <c r="X72" s="206"/>
      <c r="Y72" s="206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</row>
    <row r="73" spans="15:46" x14ac:dyDescent="0.2">
      <c r="O73" s="204"/>
      <c r="P73" s="204"/>
      <c r="Q73" s="204"/>
      <c r="R73" s="204"/>
      <c r="S73" s="205"/>
      <c r="T73" s="218"/>
      <c r="U73" s="205"/>
      <c r="V73" s="205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</row>
    <row r="74" spans="15:46" x14ac:dyDescent="0.2">
      <c r="O74" s="204"/>
      <c r="P74" s="204"/>
      <c r="Q74" s="204"/>
      <c r="R74" s="204"/>
      <c r="S74" s="205"/>
      <c r="T74" s="218"/>
      <c r="U74" s="205"/>
      <c r="V74" s="205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</row>
    <row r="75" spans="15:46" x14ac:dyDescent="0.2">
      <c r="O75" s="204"/>
      <c r="P75" s="204"/>
      <c r="Q75" s="204"/>
      <c r="R75" s="204"/>
      <c r="S75" s="205"/>
      <c r="T75" s="218"/>
      <c r="U75" s="205"/>
      <c r="V75" s="205"/>
      <c r="W75" s="204"/>
      <c r="X75" s="204"/>
      <c r="Y75" s="204"/>
      <c r="Z75" s="204"/>
      <c r="AA75" s="204"/>
      <c r="AB75" s="204"/>
      <c r="AC75" s="204"/>
      <c r="AD75" s="204"/>
      <c r="AE75" s="204"/>
      <c r="AF75" s="204"/>
      <c r="AG75" s="204"/>
      <c r="AH75" s="204"/>
      <c r="AI75" s="204"/>
      <c r="AJ75" s="204"/>
      <c r="AK75" s="204"/>
      <c r="AL75" s="204"/>
      <c r="AM75" s="204"/>
      <c r="AN75" s="204"/>
      <c r="AO75" s="204"/>
      <c r="AP75" s="204"/>
      <c r="AQ75" s="204"/>
      <c r="AR75" s="204"/>
      <c r="AS75" s="204"/>
      <c r="AT75" s="204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J28" sqref="J28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1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</row>
    <row r="2" spans="1:11" x14ac:dyDescent="0.25">
      <c r="A2" s="20">
        <v>1</v>
      </c>
      <c r="B2" s="21" t="str">
        <f>Entrada_de_Dados_2!B2</f>
        <v>henrqiue</v>
      </c>
      <c r="C2" s="22"/>
      <c r="D2" s="21"/>
      <c r="E2" s="21" t="str">
        <f>Entrada_de_Dados_2!C2</f>
        <v>Renewable</v>
      </c>
      <c r="F2" s="22"/>
      <c r="G2" s="23">
        <f>Entrada_de_Dados_2!D2</f>
        <v>156</v>
      </c>
      <c r="H2" s="23"/>
      <c r="I2" s="23"/>
    </row>
    <row r="3" spans="1:11" x14ac:dyDescent="0.25">
      <c r="A3" s="20">
        <v>1</v>
      </c>
      <c r="B3" s="21" t="str">
        <f>$B$2</f>
        <v>henrqiue</v>
      </c>
      <c r="C3" s="22"/>
      <c r="D3" s="21"/>
      <c r="E3" s="21" t="str">
        <f>Entrada_de_Dados_2!C3</f>
        <v>Non-renewable</v>
      </c>
      <c r="F3" s="22"/>
      <c r="G3" s="23">
        <f>Entrada_de_Dados_2!D3</f>
        <v>156</v>
      </c>
      <c r="H3" s="23"/>
      <c r="I3" s="23"/>
    </row>
    <row r="4" spans="1:11" x14ac:dyDescent="0.25">
      <c r="A4" s="20">
        <v>1</v>
      </c>
      <c r="B4" s="21" t="str">
        <f t="shared" ref="B4" si="0">$B$2</f>
        <v>henrqiue</v>
      </c>
      <c r="C4" s="22"/>
      <c r="D4" s="21"/>
      <c r="E4" s="21" t="str">
        <f>Entrada_de_Dados_2!C4</f>
        <v>Purchased</v>
      </c>
      <c r="F4" s="22"/>
      <c r="G4" s="23">
        <f>Entrada_de_Dados_2!D4</f>
        <v>156</v>
      </c>
      <c r="H4" s="23"/>
      <c r="I4" s="23"/>
    </row>
    <row r="5" spans="1:11" x14ac:dyDescent="0.25">
      <c r="A5" s="20"/>
      <c r="B5" s="21"/>
      <c r="C5" s="22"/>
      <c r="D5" s="24"/>
      <c r="E5" s="24"/>
      <c r="F5" s="25" t="s">
        <v>12</v>
      </c>
      <c r="G5" s="26">
        <f>I5/I8</f>
        <v>0.33333333333333331</v>
      </c>
      <c r="H5" s="25" t="s">
        <v>5</v>
      </c>
      <c r="I5" s="27">
        <f>IF(E2="Renewable",G2,IF(E3="Renewable",G3,IF(E4="Renewable",G4,)))</f>
        <v>156</v>
      </c>
    </row>
    <row r="6" spans="1:11" x14ac:dyDescent="0.25">
      <c r="A6" s="20"/>
      <c r="B6" s="21"/>
      <c r="C6" s="22"/>
      <c r="D6" s="24"/>
      <c r="E6" s="24"/>
      <c r="F6" s="25" t="s">
        <v>13</v>
      </c>
      <c r="G6" s="26">
        <f>I6/I8</f>
        <v>0.33333333333333331</v>
      </c>
      <c r="H6" s="25" t="s">
        <v>6</v>
      </c>
      <c r="I6" s="27">
        <f>IF(E2="Non-renewable",G2,IF(E3="Non-renewable",G3,IF(E4="Non-renewable",G4,)))</f>
        <v>156</v>
      </c>
    </row>
    <row r="7" spans="1:11" x14ac:dyDescent="0.25">
      <c r="A7" s="20"/>
      <c r="B7" s="21"/>
      <c r="C7" s="22"/>
      <c r="D7" s="24"/>
      <c r="E7" s="24"/>
      <c r="F7" s="25" t="s">
        <v>14</v>
      </c>
      <c r="G7" s="26">
        <f>I7/I8</f>
        <v>0.33333333333333331</v>
      </c>
      <c r="H7" s="25" t="s">
        <v>7</v>
      </c>
      <c r="I7" s="27">
        <f>IF(E2="Purchased",G2,IF(E3="Purchased",G3,IF(E4="Purchased",G4,)))</f>
        <v>156</v>
      </c>
    </row>
    <row r="8" spans="1:11" x14ac:dyDescent="0.25">
      <c r="A8" s="18"/>
      <c r="B8" s="19"/>
      <c r="C8" s="28"/>
      <c r="D8" s="29"/>
      <c r="E8" s="29"/>
      <c r="F8" s="30" t="s">
        <v>15</v>
      </c>
      <c r="G8" s="31">
        <f>SUM(G5:G7)</f>
        <v>1</v>
      </c>
      <c r="H8" s="30" t="s">
        <v>16</v>
      </c>
      <c r="I8" s="32">
        <f>SUM(I5:I7)</f>
        <v>468</v>
      </c>
    </row>
    <row r="9" spans="1:11" x14ac:dyDescent="0.25">
      <c r="A9" s="20">
        <v>2</v>
      </c>
      <c r="B9" s="21" t="str">
        <f>Entrada_de_Dados_2!B5</f>
        <v>guilherme</v>
      </c>
      <c r="C9" s="22"/>
      <c r="D9" s="21"/>
      <c r="E9" s="21" t="str">
        <f>Entrada_de_Dados_2!C5</f>
        <v>Renewable</v>
      </c>
      <c r="F9" s="22"/>
      <c r="G9" s="23">
        <f>Entrada_de_Dados_2!D5</f>
        <v>156</v>
      </c>
      <c r="H9" s="23"/>
      <c r="I9" s="23"/>
      <c r="K9" s="11"/>
    </row>
    <row r="10" spans="1:11" x14ac:dyDescent="0.25">
      <c r="A10" s="20">
        <v>2</v>
      </c>
      <c r="B10" s="21" t="str">
        <f>$B$9</f>
        <v>guilherme</v>
      </c>
      <c r="C10" s="22"/>
      <c r="D10" s="21"/>
      <c r="E10" s="21" t="str">
        <f>Entrada_de_Dados_2!C6</f>
        <v>Non-renewable</v>
      </c>
      <c r="F10" s="22"/>
      <c r="G10" s="23">
        <f>Entrada_de_Dados_2!D6</f>
        <v>156</v>
      </c>
      <c r="H10" s="23"/>
      <c r="I10" s="23"/>
      <c r="K10" s="11"/>
    </row>
    <row r="11" spans="1:11" x14ac:dyDescent="0.25">
      <c r="A11" s="20">
        <v>2</v>
      </c>
      <c r="B11" s="21" t="str">
        <f>$B$9</f>
        <v>guilherme</v>
      </c>
      <c r="C11" s="22"/>
      <c r="D11" s="21"/>
      <c r="E11" s="21" t="str">
        <f>Entrada_de_Dados_2!C7</f>
        <v>Purchased</v>
      </c>
      <c r="F11" s="22"/>
      <c r="G11" s="23">
        <f>Entrada_de_Dados_2!D7</f>
        <v>157</v>
      </c>
      <c r="H11" s="23"/>
      <c r="I11" s="23"/>
    </row>
    <row r="12" spans="1:11" x14ac:dyDescent="0.25">
      <c r="A12" s="20"/>
      <c r="B12" s="21"/>
      <c r="C12" s="22"/>
      <c r="D12" s="24"/>
      <c r="E12" s="24"/>
      <c r="F12" s="25" t="s">
        <v>12</v>
      </c>
      <c r="G12" s="26">
        <f>I12/I15</f>
        <v>0.3326226012793177</v>
      </c>
      <c r="H12" s="25" t="s">
        <v>5</v>
      </c>
      <c r="I12" s="27">
        <f>IF(E9="Renewable",G9,IF(E10="Renewable",G10,IF(E11="Renewable",G11,)))</f>
        <v>156</v>
      </c>
    </row>
    <row r="13" spans="1:11" x14ac:dyDescent="0.25">
      <c r="A13" s="20"/>
      <c r="B13" s="21"/>
      <c r="C13" s="22"/>
      <c r="D13" s="24"/>
      <c r="E13" s="24"/>
      <c r="F13" s="25" t="s">
        <v>13</v>
      </c>
      <c r="G13" s="26">
        <f>I13/I15</f>
        <v>0.3326226012793177</v>
      </c>
      <c r="H13" s="25" t="s">
        <v>6</v>
      </c>
      <c r="I13" s="27">
        <f>IF(E9="Non-renewable",G9,IF(E10="Non-renewable",G10,IF(E11="Non-renewable",G11,)))</f>
        <v>156</v>
      </c>
    </row>
    <row r="14" spans="1:11" x14ac:dyDescent="0.25">
      <c r="A14" s="20"/>
      <c r="B14" s="21"/>
      <c r="C14" s="22"/>
      <c r="D14" s="24"/>
      <c r="E14" s="24"/>
      <c r="F14" s="25" t="s">
        <v>14</v>
      </c>
      <c r="G14" s="26">
        <f>I14/I15</f>
        <v>0.3347547974413646</v>
      </c>
      <c r="H14" s="25" t="s">
        <v>7</v>
      </c>
      <c r="I14" s="27">
        <f>IF(E9="Purchased",G9,IF(E10="Purchased",G10,IF(E11="Purchased",G11,)))</f>
        <v>157</v>
      </c>
    </row>
    <row r="15" spans="1:11" x14ac:dyDescent="0.25">
      <c r="A15" s="18"/>
      <c r="B15" s="19"/>
      <c r="C15" s="28"/>
      <c r="D15" s="29"/>
      <c r="E15" s="29"/>
      <c r="F15" s="30" t="s">
        <v>15</v>
      </c>
      <c r="G15" s="31">
        <f>SUM(G12:G14)</f>
        <v>1</v>
      </c>
      <c r="H15" s="30" t="s">
        <v>16</v>
      </c>
      <c r="I15" s="32">
        <f>SUM(I12:I14)</f>
        <v>469</v>
      </c>
    </row>
    <row r="16" spans="1:11" x14ac:dyDescent="0.25">
      <c r="A16" s="20">
        <v>3</v>
      </c>
      <c r="B16" s="21" t="str">
        <f>Entrada_de_Dados_2!B8</f>
        <v>andre</v>
      </c>
      <c r="C16" s="22"/>
      <c r="D16" s="21"/>
      <c r="E16" s="21" t="str">
        <f>Entrada_de_Dados_2!C8</f>
        <v>Renewable</v>
      </c>
      <c r="F16" s="22"/>
      <c r="G16" s="23">
        <f>Entrada_de_Dados_2!D8</f>
        <v>156</v>
      </c>
      <c r="H16" s="23"/>
      <c r="I16" s="23"/>
      <c r="K16" s="11"/>
    </row>
    <row r="17" spans="1:11" x14ac:dyDescent="0.25">
      <c r="A17" s="20">
        <v>3</v>
      </c>
      <c r="B17" s="21" t="str">
        <f>$B$16</f>
        <v>andre</v>
      </c>
      <c r="C17" s="22"/>
      <c r="D17" s="21"/>
      <c r="E17" s="21" t="str">
        <f>Entrada_de_Dados_2!C9</f>
        <v>Non-renewable</v>
      </c>
      <c r="F17" s="22"/>
      <c r="G17" s="23">
        <f>Entrada_de_Dados_2!D9</f>
        <v>156</v>
      </c>
      <c r="H17" s="23"/>
      <c r="I17" s="23"/>
      <c r="K17" s="11"/>
    </row>
    <row r="18" spans="1:11" x14ac:dyDescent="0.25">
      <c r="A18" s="20">
        <v>3</v>
      </c>
      <c r="B18" s="21" t="str">
        <f>$B$16</f>
        <v>andre</v>
      </c>
      <c r="C18" s="22"/>
      <c r="D18" s="21"/>
      <c r="E18" s="21" t="str">
        <f>Entrada_de_Dados_2!C10</f>
        <v>Purchased</v>
      </c>
      <c r="F18" s="22"/>
      <c r="G18" s="23">
        <f>Entrada_de_Dados_2!D10</f>
        <v>1563</v>
      </c>
      <c r="H18" s="23"/>
      <c r="I18" s="23"/>
    </row>
    <row r="19" spans="1:11" x14ac:dyDescent="0.25">
      <c r="A19" s="20"/>
      <c r="B19" s="21"/>
      <c r="C19" s="22"/>
      <c r="D19" s="24"/>
      <c r="E19" s="24"/>
      <c r="F19" s="25" t="s">
        <v>12</v>
      </c>
      <c r="G19" s="26">
        <f>I19/I22</f>
        <v>8.3199999999999996E-2</v>
      </c>
      <c r="H19" s="25" t="s">
        <v>5</v>
      </c>
      <c r="I19" s="27">
        <f>IF(E16="Renewable",G16,IF(E17="Renewable",G17,IF(E18="Renewable",G18,)))</f>
        <v>156</v>
      </c>
    </row>
    <row r="20" spans="1:11" x14ac:dyDescent="0.25">
      <c r="A20" s="20"/>
      <c r="B20" s="21"/>
      <c r="C20" s="22"/>
      <c r="D20" s="24"/>
      <c r="E20" s="24"/>
      <c r="F20" s="25" t="s">
        <v>13</v>
      </c>
      <c r="G20" s="26">
        <f>I20/I22</f>
        <v>8.3199999999999996E-2</v>
      </c>
      <c r="H20" s="25" t="s">
        <v>6</v>
      </c>
      <c r="I20" s="27">
        <f>IF(E16="Non-renewable",G16,IF(E17="Non-renewable",G17,IF(E18="Non-renewable",G18,)))</f>
        <v>156</v>
      </c>
    </row>
    <row r="21" spans="1:11" x14ac:dyDescent="0.25">
      <c r="A21" s="20"/>
      <c r="B21" s="21"/>
      <c r="C21" s="22"/>
      <c r="D21" s="24"/>
      <c r="E21" s="24"/>
      <c r="F21" s="25" t="s">
        <v>14</v>
      </c>
      <c r="G21" s="26">
        <f>I21/I22</f>
        <v>0.83360000000000001</v>
      </c>
      <c r="H21" s="25" t="s">
        <v>7</v>
      </c>
      <c r="I21" s="27">
        <f>IF(E16="Purchased",G16,IF(E17="Purchased",G17,IF(E18="Purchased",G18,)))</f>
        <v>1563</v>
      </c>
    </row>
    <row r="22" spans="1:11" x14ac:dyDescent="0.25">
      <c r="A22" s="18"/>
      <c r="B22" s="19"/>
      <c r="C22" s="28"/>
      <c r="D22" s="29"/>
      <c r="E22" s="29"/>
      <c r="F22" s="30" t="s">
        <v>15</v>
      </c>
      <c r="G22" s="31">
        <f>SUM(G19:G21)</f>
        <v>1</v>
      </c>
      <c r="H22" s="30" t="s">
        <v>16</v>
      </c>
      <c r="I22" s="32">
        <f>SUM(I19:I21)</f>
        <v>1875</v>
      </c>
    </row>
    <row r="23" spans="1:11" x14ac:dyDescent="0.25">
      <c r="A23" s="20">
        <v>4</v>
      </c>
      <c r="B23" s="21" t="str">
        <f>Entrada_de_Dados_2!B11</f>
        <v>eu</v>
      </c>
      <c r="C23" s="22"/>
      <c r="D23" s="21"/>
      <c r="E23" s="21" t="str">
        <f>Entrada_de_Dados_2!C11</f>
        <v>Renewable</v>
      </c>
      <c r="F23" s="22"/>
      <c r="G23" s="23">
        <f>Entrada_de_Dados_2!D11</f>
        <v>154</v>
      </c>
      <c r="H23" s="23"/>
      <c r="I23" s="23"/>
      <c r="K23" s="11"/>
    </row>
    <row r="24" spans="1:11" x14ac:dyDescent="0.25">
      <c r="A24" s="20">
        <v>4</v>
      </c>
      <c r="B24" s="21" t="str">
        <f>$B$23</f>
        <v>eu</v>
      </c>
      <c r="C24" s="22"/>
      <c r="D24" s="21"/>
      <c r="E24" s="21" t="str">
        <f>Entrada_de_Dados_2!C12</f>
        <v>Non-renewable</v>
      </c>
      <c r="F24" s="22"/>
      <c r="G24" s="23">
        <f>Entrada_de_Dados_2!D12</f>
        <v>14786</v>
      </c>
      <c r="H24" s="23"/>
      <c r="I24" s="23"/>
      <c r="K24" s="11"/>
    </row>
    <row r="25" spans="1:11" x14ac:dyDescent="0.25">
      <c r="A25" s="20">
        <v>4</v>
      </c>
      <c r="B25" s="21" t="str">
        <f>$B$23</f>
        <v>eu</v>
      </c>
      <c r="C25" s="22"/>
      <c r="D25" s="21"/>
      <c r="E25" s="21" t="str">
        <f>Entrada_de_Dados_2!C13</f>
        <v>Purchased</v>
      </c>
      <c r="F25" s="22"/>
      <c r="G25" s="23">
        <f>Entrada_de_Dados_2!D13</f>
        <v>1865</v>
      </c>
      <c r="H25" s="23"/>
      <c r="I25" s="23"/>
    </row>
    <row r="26" spans="1:11" x14ac:dyDescent="0.25">
      <c r="A26" s="20"/>
      <c r="B26" s="21"/>
      <c r="C26" s="22"/>
      <c r="D26" s="24"/>
      <c r="E26" s="24"/>
      <c r="F26" s="25" t="s">
        <v>12</v>
      </c>
      <c r="G26" s="26">
        <f>I26/I29</f>
        <v>9.1639393037786371E-3</v>
      </c>
      <c r="H26" s="25" t="s">
        <v>5</v>
      </c>
      <c r="I26" s="27">
        <f>IF(E23="Renewable",G23,IF(E24="Renewable",G24,IF(E25="Renewable",G25,)))</f>
        <v>154</v>
      </c>
    </row>
    <row r="27" spans="1:11" x14ac:dyDescent="0.25">
      <c r="A27" s="20"/>
      <c r="B27" s="21"/>
      <c r="C27" s="22"/>
      <c r="D27" s="24"/>
      <c r="E27" s="24"/>
      <c r="F27" s="25" t="s">
        <v>13</v>
      </c>
      <c r="G27" s="26">
        <f>I27/I29</f>
        <v>0.87985718536149959</v>
      </c>
      <c r="H27" s="25" t="s">
        <v>6</v>
      </c>
      <c r="I27" s="27">
        <f>IF(E23="Non-renewable",G23,IF(E24="Non-renewable",G24,IF(E25="Non-renewable",G25,)))</f>
        <v>14786</v>
      </c>
    </row>
    <row r="28" spans="1:11" x14ac:dyDescent="0.25">
      <c r="A28" s="20"/>
      <c r="B28" s="21"/>
      <c r="C28" s="22"/>
      <c r="D28" s="24"/>
      <c r="E28" s="24"/>
      <c r="F28" s="25" t="s">
        <v>14</v>
      </c>
      <c r="G28" s="26">
        <f>I28/I29</f>
        <v>0.11097887533472181</v>
      </c>
      <c r="H28" s="25" t="s">
        <v>7</v>
      </c>
      <c r="I28" s="27">
        <f>IF(E23="Purchased",G23,IF(E24="Purchased",G24,IF(E25="Purchased",G25,)))</f>
        <v>1865</v>
      </c>
    </row>
    <row r="29" spans="1:11" x14ac:dyDescent="0.25">
      <c r="A29" s="18"/>
      <c r="B29" s="19"/>
      <c r="C29" s="28"/>
      <c r="D29" s="29"/>
      <c r="E29" s="29"/>
      <c r="F29" s="30" t="s">
        <v>15</v>
      </c>
      <c r="G29" s="31">
        <f>SUM(G26:G28)</f>
        <v>1</v>
      </c>
      <c r="H29" s="30" t="s">
        <v>16</v>
      </c>
      <c r="I29" s="32">
        <f>SUM(I26:I28)</f>
        <v>16805</v>
      </c>
    </row>
    <row r="30" spans="1:11" x14ac:dyDescent="0.25">
      <c r="A30" s="20">
        <v>5</v>
      </c>
      <c r="B30" s="21">
        <f>Entrada_de_Dados_2!B14</f>
        <v>0</v>
      </c>
      <c r="C30" s="22"/>
      <c r="D30" s="21"/>
      <c r="E30" s="21" t="str">
        <f>Entrada_de_Dados_2!C14</f>
        <v>Renewable</v>
      </c>
      <c r="F30" s="22"/>
      <c r="G30" s="23">
        <f>Entrada_de_Dados_2!D14</f>
        <v>0</v>
      </c>
      <c r="H30" s="23"/>
      <c r="I30" s="23"/>
      <c r="K30" s="11"/>
    </row>
    <row r="31" spans="1:11" x14ac:dyDescent="0.25">
      <c r="A31" s="20">
        <v>5</v>
      </c>
      <c r="B31" s="21">
        <f>$B$30</f>
        <v>0</v>
      </c>
      <c r="C31" s="22"/>
      <c r="D31" s="21"/>
      <c r="E31" s="21" t="str">
        <f>Entrada_de_Dados_2!C15</f>
        <v>Non-renewable</v>
      </c>
      <c r="F31" s="22"/>
      <c r="G31" s="23">
        <f>Entrada_de_Dados_2!D15</f>
        <v>0</v>
      </c>
      <c r="H31" s="23"/>
      <c r="I31" s="23"/>
      <c r="K31" s="11"/>
    </row>
    <row r="32" spans="1:11" x14ac:dyDescent="0.25">
      <c r="A32" s="20">
        <v>5</v>
      </c>
      <c r="B32" s="21">
        <f>$B$30</f>
        <v>0</v>
      </c>
      <c r="C32" s="22"/>
      <c r="D32" s="21"/>
      <c r="E32" s="21" t="str">
        <f>Entrada_de_Dados_2!C16</f>
        <v>Purchased</v>
      </c>
      <c r="F32" s="22"/>
      <c r="G32" s="23">
        <f>Entrada_de_Dados_2!D16</f>
        <v>0</v>
      </c>
      <c r="H32" s="23"/>
      <c r="I32" s="23"/>
    </row>
    <row r="33" spans="1:11" x14ac:dyDescent="0.25">
      <c r="A33" s="20"/>
      <c r="B33" s="21"/>
      <c r="C33" s="22"/>
      <c r="D33" s="24"/>
      <c r="E33" s="24"/>
      <c r="F33" s="25" t="s">
        <v>12</v>
      </c>
      <c r="G33" s="26" t="e">
        <f>I33/I36</f>
        <v>#DIV/0!</v>
      </c>
      <c r="H33" s="25" t="s">
        <v>5</v>
      </c>
      <c r="I33" s="27">
        <f>IF(E30="Renewable",G30,IF(E31="Renewable",G31,IF(E32="Renewable",G32,)))</f>
        <v>0</v>
      </c>
    </row>
    <row r="34" spans="1:11" x14ac:dyDescent="0.25">
      <c r="A34" s="20"/>
      <c r="B34" s="21"/>
      <c r="C34" s="22"/>
      <c r="D34" s="24"/>
      <c r="E34" s="24"/>
      <c r="F34" s="25" t="s">
        <v>13</v>
      </c>
      <c r="G34" s="26" t="e">
        <f>I34/I36</f>
        <v>#DIV/0!</v>
      </c>
      <c r="H34" s="25" t="s">
        <v>6</v>
      </c>
      <c r="I34" s="27">
        <f>IF(E30="Non-renewable",G30,IF(E31="Non-renewable",G31,IF(E32="Non-renewable",G32,)))</f>
        <v>0</v>
      </c>
    </row>
    <row r="35" spans="1:11" x14ac:dyDescent="0.25">
      <c r="A35" s="20"/>
      <c r="B35" s="21"/>
      <c r="C35" s="22"/>
      <c r="D35" s="24"/>
      <c r="E35" s="24"/>
      <c r="F35" s="25" t="s">
        <v>14</v>
      </c>
      <c r="G35" s="26" t="e">
        <f>I35/I36</f>
        <v>#DIV/0!</v>
      </c>
      <c r="H35" s="25" t="s">
        <v>7</v>
      </c>
      <c r="I35" s="27">
        <f>IF(E30="Purchased",G30,IF(E31="Purchased",G31,IF(E32="Purchased",G32,)))</f>
        <v>0</v>
      </c>
    </row>
    <row r="36" spans="1:11" x14ac:dyDescent="0.25">
      <c r="A36" s="18"/>
      <c r="B36" s="19"/>
      <c r="C36" s="28"/>
      <c r="D36" s="29"/>
      <c r="E36" s="29"/>
      <c r="F36" s="30" t="s">
        <v>15</v>
      </c>
      <c r="G36" s="31" t="e">
        <f>SUM(G33:G35)</f>
        <v>#DIV/0!</v>
      </c>
      <c r="H36" s="30" t="s">
        <v>16</v>
      </c>
      <c r="I36" s="32">
        <f>SUM(I33:I35)</f>
        <v>0</v>
      </c>
    </row>
    <row r="37" spans="1:11" x14ac:dyDescent="0.25">
      <c r="A37" s="20">
        <v>6</v>
      </c>
      <c r="B37" s="21">
        <f>Entrada_de_Dados_2!B17</f>
        <v>0</v>
      </c>
      <c r="C37" s="22"/>
      <c r="D37" s="21"/>
      <c r="E37" s="21" t="str">
        <f>Entrada_de_Dados_2!C17</f>
        <v>Renewable</v>
      </c>
      <c r="F37" s="22"/>
      <c r="G37" s="23">
        <f>Entrada_de_Dados_2!D17</f>
        <v>0</v>
      </c>
      <c r="H37" s="23"/>
      <c r="I37" s="23"/>
      <c r="K37" s="11"/>
    </row>
    <row r="38" spans="1:11" x14ac:dyDescent="0.25">
      <c r="A38" s="20">
        <v>6</v>
      </c>
      <c r="B38" s="21">
        <f>$B$37</f>
        <v>0</v>
      </c>
      <c r="C38" s="22"/>
      <c r="D38" s="21"/>
      <c r="E38" s="21" t="str">
        <f>Entrada_de_Dados_2!C18</f>
        <v>Non-renewable</v>
      </c>
      <c r="F38" s="22"/>
      <c r="G38" s="23">
        <f>Entrada_de_Dados_2!D18</f>
        <v>0</v>
      </c>
      <c r="H38" s="23"/>
      <c r="I38" s="23"/>
      <c r="K38" s="11"/>
    </row>
    <row r="39" spans="1:11" x14ac:dyDescent="0.25">
      <c r="A39" s="20">
        <v>6</v>
      </c>
      <c r="B39" s="21">
        <f>$B$37</f>
        <v>0</v>
      </c>
      <c r="C39" s="22"/>
      <c r="D39" s="21"/>
      <c r="E39" s="21" t="str">
        <f>Entrada_de_Dados_2!C19</f>
        <v>Purchased</v>
      </c>
      <c r="F39" s="22"/>
      <c r="G39" s="23">
        <f>Entrada_de_Dados_2!D19</f>
        <v>0</v>
      </c>
      <c r="H39" s="23"/>
      <c r="I39" s="23"/>
    </row>
    <row r="40" spans="1:11" x14ac:dyDescent="0.25">
      <c r="A40" s="20"/>
      <c r="B40" s="21"/>
      <c r="C40" s="22"/>
      <c r="D40" s="24"/>
      <c r="E40" s="24"/>
      <c r="F40" s="25" t="s">
        <v>12</v>
      </c>
      <c r="G40" s="26" t="e">
        <f>I40/I43</f>
        <v>#DIV/0!</v>
      </c>
      <c r="H40" s="25" t="s">
        <v>5</v>
      </c>
      <c r="I40" s="27">
        <f>IF(E37="Renewable",G37,IF(E38="Renewable",G38,IF(E39="Renewable",G39,)))</f>
        <v>0</v>
      </c>
    </row>
    <row r="41" spans="1:11" x14ac:dyDescent="0.25">
      <c r="A41" s="20"/>
      <c r="B41" s="21"/>
      <c r="C41" s="22"/>
      <c r="D41" s="24"/>
      <c r="E41" s="24"/>
      <c r="F41" s="25" t="s">
        <v>13</v>
      </c>
      <c r="G41" s="26" t="e">
        <f>I41/I43</f>
        <v>#DIV/0!</v>
      </c>
      <c r="H41" s="25" t="s">
        <v>6</v>
      </c>
      <c r="I41" s="27">
        <f>IF(E37="Non-renewable",G37,IF(E38="Non-renewable",G38,IF(E39="Non-renewable",G39,)))</f>
        <v>0</v>
      </c>
    </row>
    <row r="42" spans="1:11" x14ac:dyDescent="0.25">
      <c r="A42" s="20"/>
      <c r="B42" s="21"/>
      <c r="C42" s="22"/>
      <c r="D42" s="24"/>
      <c r="E42" s="24"/>
      <c r="F42" s="25" t="s">
        <v>14</v>
      </c>
      <c r="G42" s="26" t="e">
        <f>I42/I43</f>
        <v>#DIV/0!</v>
      </c>
      <c r="H42" s="25" t="s">
        <v>7</v>
      </c>
      <c r="I42" s="27">
        <f>IF(E37="Purchased",G37,IF(E38="Purchased",G38,IF(E39="Purchased",G39,)))</f>
        <v>0</v>
      </c>
    </row>
    <row r="43" spans="1:11" x14ac:dyDescent="0.25">
      <c r="A43" s="18"/>
      <c r="B43" s="19"/>
      <c r="C43" s="28"/>
      <c r="D43" s="29"/>
      <c r="E43" s="29"/>
      <c r="F43" s="30" t="s">
        <v>15</v>
      </c>
      <c r="G43" s="31" t="e">
        <f>SUM(G40:G42)</f>
        <v>#DIV/0!</v>
      </c>
      <c r="H43" s="30" t="s">
        <v>16</v>
      </c>
      <c r="I43" s="32">
        <f>SUM(I40:I42)</f>
        <v>0</v>
      </c>
    </row>
    <row r="44" spans="1:11" x14ac:dyDescent="0.25">
      <c r="A44" s="20">
        <v>7</v>
      </c>
      <c r="B44" s="21">
        <f>Entrada_de_Dados_2!B20</f>
        <v>0</v>
      </c>
      <c r="C44" s="22"/>
      <c r="D44" s="21"/>
      <c r="E44" s="21" t="str">
        <f>Entrada_de_Dados_2!C20</f>
        <v>Renewable</v>
      </c>
      <c r="F44" s="22"/>
      <c r="G44" s="23">
        <f>Entrada_de_Dados_2!D20</f>
        <v>0</v>
      </c>
      <c r="H44" s="23"/>
      <c r="I44" s="23"/>
    </row>
    <row r="45" spans="1:11" x14ac:dyDescent="0.25">
      <c r="A45" s="20">
        <v>7</v>
      </c>
      <c r="B45" s="21">
        <f>$B$44</f>
        <v>0</v>
      </c>
      <c r="C45" s="22"/>
      <c r="D45" s="21"/>
      <c r="E45" s="21" t="str">
        <f>Entrada_de_Dados_2!C21</f>
        <v>Non-renewable</v>
      </c>
      <c r="F45" s="22"/>
      <c r="G45" s="23">
        <f>Entrada_de_Dados_2!D21</f>
        <v>0</v>
      </c>
      <c r="H45" s="23"/>
      <c r="I45" s="23"/>
    </row>
    <row r="46" spans="1:11" x14ac:dyDescent="0.25">
      <c r="A46" s="20">
        <v>7</v>
      </c>
      <c r="B46" s="21">
        <f>$B$44</f>
        <v>0</v>
      </c>
      <c r="C46" s="22"/>
      <c r="D46" s="21"/>
      <c r="E46" s="21" t="str">
        <f>Entrada_de_Dados_2!C22</f>
        <v>Purchased</v>
      </c>
      <c r="F46" s="22"/>
      <c r="G46" s="23">
        <f>Entrada_de_Dados_2!D22</f>
        <v>0</v>
      </c>
      <c r="H46" s="23"/>
      <c r="I46" s="23"/>
    </row>
    <row r="47" spans="1:11" x14ac:dyDescent="0.25">
      <c r="A47" s="20"/>
      <c r="B47" s="21"/>
      <c r="C47" s="22"/>
      <c r="D47" s="24"/>
      <c r="E47" s="24"/>
      <c r="F47" s="25" t="s">
        <v>12</v>
      </c>
      <c r="G47" s="26" t="e">
        <f>I47/I50</f>
        <v>#DIV/0!</v>
      </c>
      <c r="H47" s="25" t="s">
        <v>5</v>
      </c>
      <c r="I47" s="27">
        <f>IF(E44="Renewable",G44,IF(E45="Renewable",G45,IF(E46="Renewable",G46,)))</f>
        <v>0</v>
      </c>
    </row>
    <row r="48" spans="1:11" x14ac:dyDescent="0.25">
      <c r="A48" s="20"/>
      <c r="B48" s="21"/>
      <c r="C48" s="22"/>
      <c r="D48" s="24"/>
      <c r="E48" s="24"/>
      <c r="F48" s="25" t="s">
        <v>13</v>
      </c>
      <c r="G48" s="26" t="e">
        <f>I48/I50</f>
        <v>#DIV/0!</v>
      </c>
      <c r="H48" s="25" t="s">
        <v>6</v>
      </c>
      <c r="I48" s="27">
        <f>IF(E44="Non-renewable",G44,IF(E45="Non-renewable",G45,IF(E46="Non-renewable",G46,)))</f>
        <v>0</v>
      </c>
    </row>
    <row r="49" spans="1:9" x14ac:dyDescent="0.25">
      <c r="A49" s="20"/>
      <c r="B49" s="21"/>
      <c r="C49" s="22"/>
      <c r="D49" s="24"/>
      <c r="E49" s="24"/>
      <c r="F49" s="25" t="s">
        <v>14</v>
      </c>
      <c r="G49" s="26" t="e">
        <f>I49/I50</f>
        <v>#DIV/0!</v>
      </c>
      <c r="H49" s="25" t="s">
        <v>7</v>
      </c>
      <c r="I49" s="27">
        <f>IF(E44="Purchased",G44,IF(E45="Purchased",G45,IF(E46="Purchased",G46,)))</f>
        <v>0</v>
      </c>
    </row>
    <row r="50" spans="1:9" x14ac:dyDescent="0.25">
      <c r="A50" s="18"/>
      <c r="B50" s="19"/>
      <c r="C50" s="28"/>
      <c r="D50" s="29"/>
      <c r="E50" s="29"/>
      <c r="F50" s="30" t="s">
        <v>15</v>
      </c>
      <c r="G50" s="31" t="e">
        <f>SUM(G47:G49)</f>
        <v>#DIV/0!</v>
      </c>
      <c r="H50" s="30" t="s">
        <v>16</v>
      </c>
      <c r="I50" s="32">
        <f>SUM(I47:I49)</f>
        <v>0</v>
      </c>
    </row>
    <row r="51" spans="1:9" x14ac:dyDescent="0.25">
      <c r="A51" s="20">
        <v>8</v>
      </c>
      <c r="B51" s="21">
        <f>Entrada_de_Dados_2!B23</f>
        <v>0</v>
      </c>
      <c r="C51" s="22"/>
      <c r="D51" s="21"/>
      <c r="E51" s="21" t="str">
        <f>Entrada_de_Dados_2!C23</f>
        <v>Renewable</v>
      </c>
      <c r="F51" s="22"/>
      <c r="G51" s="23">
        <f>Entrada_de_Dados_2!D23</f>
        <v>0</v>
      </c>
      <c r="H51" s="23"/>
      <c r="I51" s="23"/>
    </row>
    <row r="52" spans="1:9" x14ac:dyDescent="0.25">
      <c r="A52" s="20">
        <v>8</v>
      </c>
      <c r="B52" s="21">
        <f>$B$51</f>
        <v>0</v>
      </c>
      <c r="C52" s="22"/>
      <c r="D52" s="21"/>
      <c r="E52" s="21" t="str">
        <f>Entrada_de_Dados_2!C24</f>
        <v>Non-renewable</v>
      </c>
      <c r="F52" s="22"/>
      <c r="G52" s="23">
        <f>Entrada_de_Dados_2!D24</f>
        <v>0</v>
      </c>
      <c r="H52" s="23"/>
      <c r="I52" s="23"/>
    </row>
    <row r="53" spans="1:9" x14ac:dyDescent="0.25">
      <c r="A53" s="20">
        <v>8</v>
      </c>
      <c r="B53" s="21">
        <f>$B$51</f>
        <v>0</v>
      </c>
      <c r="C53" s="22"/>
      <c r="D53" s="21"/>
      <c r="E53" s="21" t="str">
        <f>Entrada_de_Dados_2!C25</f>
        <v>Purchased</v>
      </c>
      <c r="F53" s="22"/>
      <c r="G53" s="23">
        <f>Entrada_de_Dados_2!D25</f>
        <v>0</v>
      </c>
      <c r="H53" s="23"/>
      <c r="I53" s="23"/>
    </row>
    <row r="54" spans="1:9" x14ac:dyDescent="0.25">
      <c r="A54" s="20"/>
      <c r="B54" s="21"/>
      <c r="C54" s="22"/>
      <c r="D54" s="24"/>
      <c r="E54" s="24"/>
      <c r="F54" s="25" t="s">
        <v>12</v>
      </c>
      <c r="G54" s="26" t="e">
        <f>I54/I57</f>
        <v>#DIV/0!</v>
      </c>
      <c r="H54" s="25" t="s">
        <v>5</v>
      </c>
      <c r="I54" s="27">
        <f>IF(E51="Renewable",G51,IF(E52="Renewable",G52,IF(E53="Renewable",G53,)))</f>
        <v>0</v>
      </c>
    </row>
    <row r="55" spans="1:9" x14ac:dyDescent="0.25">
      <c r="A55" s="20"/>
      <c r="B55" s="21"/>
      <c r="C55" s="22"/>
      <c r="D55" s="24"/>
      <c r="E55" s="24"/>
      <c r="F55" s="25" t="s">
        <v>13</v>
      </c>
      <c r="G55" s="26" t="e">
        <f>I55/I57</f>
        <v>#DIV/0!</v>
      </c>
      <c r="H55" s="25" t="s">
        <v>6</v>
      </c>
      <c r="I55" s="27">
        <f>IF(E51="Non-renewable",G51,IF(E52="Non-renewable",G52,IF(E53="Non-renewable",G53,)))</f>
        <v>0</v>
      </c>
    </row>
    <row r="56" spans="1:9" x14ac:dyDescent="0.25">
      <c r="A56" s="20"/>
      <c r="B56" s="21"/>
      <c r="C56" s="22"/>
      <c r="D56" s="24"/>
      <c r="E56" s="24"/>
      <c r="F56" s="25" t="s">
        <v>14</v>
      </c>
      <c r="G56" s="26" t="e">
        <f>I56/I57</f>
        <v>#DIV/0!</v>
      </c>
      <c r="H56" s="25" t="s">
        <v>7</v>
      </c>
      <c r="I56" s="27">
        <f>IF(E51="Purchased",G51,IF(E52="Purchased",G52,IF(E53="Purchased",G53,)))</f>
        <v>0</v>
      </c>
    </row>
    <row r="57" spans="1:9" x14ac:dyDescent="0.25">
      <c r="A57" s="18"/>
      <c r="B57" s="19"/>
      <c r="C57" s="28"/>
      <c r="D57" s="29"/>
      <c r="E57" s="29"/>
      <c r="F57" s="30" t="s">
        <v>15</v>
      </c>
      <c r="G57" s="31" t="e">
        <f>SUM(G54:G56)</f>
        <v>#DIV/0!</v>
      </c>
      <c r="H57" s="30" t="s">
        <v>16</v>
      </c>
      <c r="I57" s="32">
        <f>SUM(I54:I56)</f>
        <v>0</v>
      </c>
    </row>
    <row r="58" spans="1:9" x14ac:dyDescent="0.25">
      <c r="A58" s="20">
        <v>9</v>
      </c>
      <c r="B58" s="21">
        <f>Entrada_de_Dados_2!B26</f>
        <v>0</v>
      </c>
      <c r="C58" s="22"/>
      <c r="D58" s="21"/>
      <c r="E58" s="21" t="str">
        <f>Entrada_de_Dados_2!C26</f>
        <v>Renewable</v>
      </c>
      <c r="F58" s="22"/>
      <c r="G58" s="23">
        <f>Entrada_de_Dados_2!D26</f>
        <v>0</v>
      </c>
      <c r="H58" s="23"/>
      <c r="I58" s="23"/>
    </row>
    <row r="59" spans="1:9" x14ac:dyDescent="0.25">
      <c r="A59" s="20">
        <v>9</v>
      </c>
      <c r="B59" s="21">
        <f>$B$58</f>
        <v>0</v>
      </c>
      <c r="C59" s="22"/>
      <c r="D59" s="21"/>
      <c r="E59" s="21" t="str">
        <f>Entrada_de_Dados_2!C27</f>
        <v>Non-renewable</v>
      </c>
      <c r="F59" s="22"/>
      <c r="G59" s="23">
        <f>Entrada_de_Dados_2!D27</f>
        <v>0</v>
      </c>
      <c r="H59" s="23"/>
      <c r="I59" s="23"/>
    </row>
    <row r="60" spans="1:9" x14ac:dyDescent="0.25">
      <c r="A60" s="20">
        <v>9</v>
      </c>
      <c r="B60" s="21">
        <f>$B$58</f>
        <v>0</v>
      </c>
      <c r="C60" s="22"/>
      <c r="D60" s="21"/>
      <c r="E60" s="21" t="str">
        <f>Entrada_de_Dados_2!C28</f>
        <v>Purchased</v>
      </c>
      <c r="F60" s="22"/>
      <c r="G60" s="23">
        <f>Entrada_de_Dados_2!D28</f>
        <v>0</v>
      </c>
      <c r="H60" s="23"/>
      <c r="I60" s="23"/>
    </row>
    <row r="61" spans="1:9" x14ac:dyDescent="0.25">
      <c r="A61" s="20"/>
      <c r="B61" s="21"/>
      <c r="C61" s="22"/>
      <c r="D61" s="24"/>
      <c r="E61" s="24"/>
      <c r="F61" s="25" t="s">
        <v>12</v>
      </c>
      <c r="G61" s="26" t="e">
        <f>I61/I64</f>
        <v>#DIV/0!</v>
      </c>
      <c r="H61" s="25" t="s">
        <v>5</v>
      </c>
      <c r="I61" s="27">
        <f>IF(E58="Renewable",G58,IF(E59="Renewable",G59,IF(E60="Renewable",G60,)))</f>
        <v>0</v>
      </c>
    </row>
    <row r="62" spans="1:9" x14ac:dyDescent="0.25">
      <c r="A62" s="20"/>
      <c r="B62" s="21"/>
      <c r="C62" s="22"/>
      <c r="D62" s="24"/>
      <c r="E62" s="24"/>
      <c r="F62" s="25" t="s">
        <v>13</v>
      </c>
      <c r="G62" s="26" t="e">
        <f>I62/I64</f>
        <v>#DIV/0!</v>
      </c>
      <c r="H62" s="25" t="s">
        <v>6</v>
      </c>
      <c r="I62" s="27">
        <f>IF(E58="Non-renewable",G58,IF(E59="Non-renewable",G59,IF(E60="Non-renewable",G60,)))</f>
        <v>0</v>
      </c>
    </row>
    <row r="63" spans="1:9" x14ac:dyDescent="0.25">
      <c r="A63" s="20"/>
      <c r="B63" s="21"/>
      <c r="C63" s="22"/>
      <c r="D63" s="24"/>
      <c r="E63" s="24"/>
      <c r="F63" s="25" t="s">
        <v>14</v>
      </c>
      <c r="G63" s="26" t="e">
        <f>I63/I64</f>
        <v>#DIV/0!</v>
      </c>
      <c r="H63" s="25" t="s">
        <v>7</v>
      </c>
      <c r="I63" s="27">
        <f>IF(E58="Purchased",G58,IF(E59="Purchased",G59,IF(E60="Purchased",G60,)))</f>
        <v>0</v>
      </c>
    </row>
    <row r="64" spans="1:9" x14ac:dyDescent="0.25">
      <c r="A64" s="18"/>
      <c r="B64" s="19"/>
      <c r="C64" s="28"/>
      <c r="D64" s="29"/>
      <c r="E64" s="29"/>
      <c r="F64" s="30" t="s">
        <v>15</v>
      </c>
      <c r="G64" s="31" t="e">
        <f>SUM(G61:G63)</f>
        <v>#DIV/0!</v>
      </c>
      <c r="H64" s="30" t="s">
        <v>16</v>
      </c>
      <c r="I64" s="32">
        <f>SUM(I61:I63)</f>
        <v>0</v>
      </c>
    </row>
    <row r="65" spans="1:9" x14ac:dyDescent="0.25">
      <c r="A65" s="20">
        <v>10</v>
      </c>
      <c r="B65" s="21">
        <f>Entrada_de_Dados_2!B29</f>
        <v>0</v>
      </c>
      <c r="C65" s="22"/>
      <c r="D65" s="21"/>
      <c r="E65" s="21" t="str">
        <f>Entrada_de_Dados_2!C29</f>
        <v>Renewable</v>
      </c>
      <c r="F65" s="22"/>
      <c r="G65" s="23">
        <f>Entrada_de_Dados_2!D29</f>
        <v>0</v>
      </c>
      <c r="H65" s="23"/>
      <c r="I65" s="23"/>
    </row>
    <row r="66" spans="1:9" x14ac:dyDescent="0.25">
      <c r="A66" s="20">
        <v>10</v>
      </c>
      <c r="B66" s="21">
        <f>$B$65</f>
        <v>0</v>
      </c>
      <c r="C66" s="22"/>
      <c r="D66" s="21"/>
      <c r="E66" s="21" t="str">
        <f>Entrada_de_Dados_2!C30</f>
        <v>Non-renewable</v>
      </c>
      <c r="F66" s="22"/>
      <c r="G66" s="23">
        <f>Entrada_de_Dados_2!D30</f>
        <v>0</v>
      </c>
      <c r="H66" s="23"/>
      <c r="I66" s="23"/>
    </row>
    <row r="67" spans="1:9" x14ac:dyDescent="0.25">
      <c r="A67" s="20">
        <v>10</v>
      </c>
      <c r="B67" s="21">
        <f>$B$65</f>
        <v>0</v>
      </c>
      <c r="C67" s="22"/>
      <c r="D67" s="21"/>
      <c r="E67" s="21" t="str">
        <f>Entrada_de_Dados_2!C31</f>
        <v>Purchased</v>
      </c>
      <c r="F67" s="22"/>
      <c r="G67" s="23">
        <f>Entrada_de_Dados_2!D31</f>
        <v>0</v>
      </c>
      <c r="H67" s="23"/>
      <c r="I67" s="23"/>
    </row>
    <row r="68" spans="1:9" x14ac:dyDescent="0.25">
      <c r="A68" s="20"/>
      <c r="B68" s="21"/>
      <c r="C68" s="22"/>
      <c r="D68" s="24"/>
      <c r="E68" s="24"/>
      <c r="F68" s="25" t="s">
        <v>12</v>
      </c>
      <c r="G68" s="26" t="e">
        <f>I68/I71</f>
        <v>#DIV/0!</v>
      </c>
      <c r="H68" s="25" t="s">
        <v>5</v>
      </c>
      <c r="I68" s="27">
        <f>IF(E65="Renewable",G65,IF(E66="Renewable",G66,IF(E67="Renewable",G67,)))</f>
        <v>0</v>
      </c>
    </row>
    <row r="69" spans="1:9" x14ac:dyDescent="0.25">
      <c r="A69" s="20"/>
      <c r="B69" s="21"/>
      <c r="C69" s="22"/>
      <c r="D69" s="24"/>
      <c r="E69" s="24"/>
      <c r="F69" s="25" t="s">
        <v>13</v>
      </c>
      <c r="G69" s="26" t="e">
        <f>I69/I71</f>
        <v>#DIV/0!</v>
      </c>
      <c r="H69" s="25" t="s">
        <v>6</v>
      </c>
      <c r="I69" s="27">
        <f>IF(E65="Non-renewable",G65,IF(E66="Non-renewable",G66,IF(E67="Non-renewable",G67,)))</f>
        <v>0</v>
      </c>
    </row>
    <row r="70" spans="1:9" x14ac:dyDescent="0.25">
      <c r="A70" s="20"/>
      <c r="B70" s="21"/>
      <c r="C70" s="22"/>
      <c r="D70" s="24"/>
      <c r="E70" s="24"/>
      <c r="F70" s="25" t="s">
        <v>14</v>
      </c>
      <c r="G70" s="26" t="e">
        <f>I70/I71</f>
        <v>#DIV/0!</v>
      </c>
      <c r="H70" s="25" t="s">
        <v>7</v>
      </c>
      <c r="I70" s="27">
        <f>IF(E65="Purchased",G65,IF(E66="Purchased",G66,IF(E67="Purchased",G67,)))</f>
        <v>0</v>
      </c>
    </row>
    <row r="71" spans="1:9" x14ac:dyDescent="0.25">
      <c r="A71" s="18"/>
      <c r="B71" s="19"/>
      <c r="C71" s="28"/>
      <c r="D71" s="29"/>
      <c r="E71" s="29"/>
      <c r="F71" s="30" t="s">
        <v>15</v>
      </c>
      <c r="G71" s="31" t="e">
        <f>SUM(G68:G70)</f>
        <v>#DIV/0!</v>
      </c>
      <c r="H71" s="30" t="s">
        <v>16</v>
      </c>
      <c r="I71" s="32">
        <f>SUM(I68:I70)</f>
        <v>0</v>
      </c>
    </row>
    <row r="74" spans="1:9" x14ac:dyDescent="0.25">
      <c r="A74" s="22"/>
      <c r="B74" s="24"/>
      <c r="C74" s="22"/>
      <c r="D74" s="24"/>
      <c r="E74" s="24"/>
      <c r="F74" s="24"/>
      <c r="G74" s="24"/>
      <c r="H74" s="24"/>
      <c r="I74" s="24"/>
    </row>
    <row r="75" spans="1:9" x14ac:dyDescent="0.25">
      <c r="A75" s="22"/>
      <c r="B75" s="24"/>
      <c r="C75" s="22"/>
      <c r="D75" s="24"/>
      <c r="E75" s="24"/>
      <c r="F75" s="24"/>
      <c r="G75" s="24"/>
      <c r="H75" s="24"/>
      <c r="I75" s="24"/>
    </row>
    <row r="76" spans="1:9" ht="13.5" x14ac:dyDescent="0.25">
      <c r="A76" s="22"/>
      <c r="B76" s="24"/>
      <c r="C76" s="22"/>
      <c r="D76" s="24"/>
      <c r="E76" s="24"/>
      <c r="F76" s="29"/>
      <c r="G76" s="220" t="str">
        <f>DIAG!T1</f>
        <v>henrqiue</v>
      </c>
      <c r="H76" s="29"/>
      <c r="I76" s="220" t="str">
        <f>DIAG!T2</f>
        <v>guilherme</v>
      </c>
    </row>
    <row r="77" spans="1:9" ht="16.5" customHeight="1" x14ac:dyDescent="0.25">
      <c r="A77" s="22"/>
      <c r="B77" s="225" t="str">
        <f>CONCATENATE("Dados Carregados a partir do Arquivo de Dados: ",DIAG!AD1)</f>
        <v>Dados Carregados a partir do Arquivo de Dados: K:\André\testes\teste 4 pontos.eMe</v>
      </c>
      <c r="C77" s="226"/>
      <c r="D77" s="227"/>
      <c r="E77" s="221" t="s">
        <v>30</v>
      </c>
      <c r="F77" s="24"/>
      <c r="G77" s="222">
        <f>DIAG!W65</f>
        <v>3</v>
      </c>
      <c r="H77" s="222"/>
      <c r="I77" s="222">
        <f>DIAG!X65</f>
        <v>2.9872611464968153</v>
      </c>
    </row>
    <row r="78" spans="1:9" ht="13.5" x14ac:dyDescent="0.25">
      <c r="A78" s="223"/>
      <c r="B78" s="228"/>
      <c r="C78" s="229"/>
      <c r="D78" s="230"/>
      <c r="E78" s="221" t="s">
        <v>31</v>
      </c>
      <c r="F78" s="24"/>
      <c r="G78" s="222">
        <f>DIAG!W66</f>
        <v>0.49999999999999994</v>
      </c>
      <c r="H78" s="24"/>
      <c r="I78" s="222">
        <f>DIAG!X66</f>
        <v>0.50320512820512819</v>
      </c>
    </row>
    <row r="79" spans="1:9" ht="13.5" x14ac:dyDescent="0.25">
      <c r="A79" s="223"/>
      <c r="B79" s="228"/>
      <c r="C79" s="229"/>
      <c r="D79" s="230"/>
      <c r="E79" s="221" t="s">
        <v>32</v>
      </c>
      <c r="F79" s="24"/>
      <c r="G79" s="222">
        <f>DIAG!W67</f>
        <v>2.0000000000000004</v>
      </c>
      <c r="H79" s="24"/>
      <c r="I79" s="222">
        <f>DIAG!X67</f>
        <v>2.0064102564102564</v>
      </c>
    </row>
    <row r="80" spans="1:9" ht="13.5" x14ac:dyDescent="0.25">
      <c r="A80" s="223"/>
      <c r="B80" s="228"/>
      <c r="C80" s="229"/>
      <c r="D80" s="230"/>
      <c r="E80" s="221" t="s">
        <v>20</v>
      </c>
      <c r="F80" s="24"/>
      <c r="G80" s="222">
        <f>DIAG!W68</f>
        <v>1.4999999999999998</v>
      </c>
      <c r="H80" s="24"/>
      <c r="I80" s="222">
        <f>DIAG!X68</f>
        <v>1.4888585905862721</v>
      </c>
    </row>
    <row r="81" spans="1:9" ht="13.5" x14ac:dyDescent="0.25">
      <c r="A81" s="223"/>
      <c r="B81" s="231"/>
      <c r="C81" s="232"/>
      <c r="D81" s="233"/>
      <c r="E81" s="221" t="s">
        <v>12</v>
      </c>
      <c r="F81" s="24"/>
      <c r="G81" s="224">
        <f>DIAG!W69/100</f>
        <v>0.33333333333333337</v>
      </c>
      <c r="H81" s="24"/>
      <c r="I81" s="222">
        <f>DIAG!X69</f>
        <v>33.262260127931768</v>
      </c>
    </row>
    <row r="82" spans="1:9" x14ac:dyDescent="0.25">
      <c r="A82" s="22"/>
      <c r="B82" s="24"/>
      <c r="C82" s="22"/>
      <c r="D82" s="24"/>
      <c r="E82" s="24"/>
      <c r="F82" s="24"/>
      <c r="G82" s="24">
        <f>DIAG!W70</f>
        <v>0</v>
      </c>
      <c r="H82" s="24"/>
      <c r="I82" s="24"/>
    </row>
    <row r="83" spans="1:9" ht="13.5" x14ac:dyDescent="0.25">
      <c r="A83" s="22"/>
      <c r="B83" s="24"/>
      <c r="C83" s="22"/>
      <c r="D83" s="24"/>
      <c r="E83" s="24"/>
      <c r="F83" s="29"/>
      <c r="G83" s="220" t="str">
        <f>DIAG!T3</f>
        <v>andre</v>
      </c>
      <c r="H83" s="29"/>
      <c r="I83" s="220" t="str">
        <f>DIAG!T4</f>
        <v>eu</v>
      </c>
    </row>
    <row r="84" spans="1:9" ht="13.5" x14ac:dyDescent="0.25">
      <c r="A84" s="22"/>
      <c r="B84" s="24"/>
      <c r="C84" s="22"/>
      <c r="D84" s="24"/>
      <c r="E84" s="221" t="s">
        <v>30</v>
      </c>
      <c r="F84" s="24"/>
      <c r="G84" s="222">
        <f>DIAG!Y65</f>
        <v>1.199616122840691</v>
      </c>
      <c r="H84" s="222"/>
      <c r="I84" s="222">
        <f>DIAG!Z65</f>
        <v>9.0107238605898115</v>
      </c>
    </row>
    <row r="85" spans="1:9" ht="13.5" x14ac:dyDescent="0.25">
      <c r="A85" s="22"/>
      <c r="B85" s="24"/>
      <c r="C85" s="22"/>
      <c r="D85" s="24"/>
      <c r="E85" s="221" t="s">
        <v>31</v>
      </c>
      <c r="F85" s="24"/>
      <c r="G85" s="222">
        <f>DIAG!Y66</f>
        <v>5.009615384615385</v>
      </c>
      <c r="H85" s="222"/>
      <c r="I85" s="222">
        <f>DIAG!Z66</f>
        <v>0.12483266398929051</v>
      </c>
    </row>
    <row r="86" spans="1:9" ht="13.5" x14ac:dyDescent="0.25">
      <c r="A86" s="22"/>
      <c r="B86" s="24"/>
      <c r="C86" s="22"/>
      <c r="D86" s="24"/>
      <c r="E86" s="221" t="s">
        <v>32</v>
      </c>
      <c r="F86" s="24"/>
      <c r="G86" s="222">
        <f>DIAG!Y67</f>
        <v>11.01923076923077</v>
      </c>
      <c r="H86" s="222"/>
      <c r="I86" s="222">
        <f>DIAG!Z67</f>
        <v>108.12337662337661</v>
      </c>
    </row>
    <row r="87" spans="1:9" ht="13.5" x14ac:dyDescent="0.25">
      <c r="A87" s="22"/>
      <c r="B87" s="24"/>
      <c r="C87" s="22"/>
      <c r="D87" s="24"/>
      <c r="E87" s="221" t="s">
        <v>20</v>
      </c>
      <c r="F87" s="24"/>
      <c r="G87" s="222">
        <f>DIAG!Y68</f>
        <v>0.10886568654051645</v>
      </c>
      <c r="H87" s="222"/>
      <c r="I87" s="222">
        <f>DIAG!Z68</f>
        <v>8.3337425651962713E-2</v>
      </c>
    </row>
    <row r="88" spans="1:9" ht="13.5" x14ac:dyDescent="0.25">
      <c r="A88" s="22"/>
      <c r="B88" s="24"/>
      <c r="C88" s="22"/>
      <c r="D88" s="24"/>
      <c r="E88" s="221" t="s">
        <v>12</v>
      </c>
      <c r="F88" s="24"/>
      <c r="G88" s="224">
        <f>DIAG!Y69/100</f>
        <v>8.3199999999999996E-2</v>
      </c>
      <c r="H88" s="224"/>
      <c r="I88" s="224">
        <f>DIAG!Z69/100</f>
        <v>9.1639393037786371E-3</v>
      </c>
    </row>
    <row r="89" spans="1:9" x14ac:dyDescent="0.25">
      <c r="A89" s="22"/>
      <c r="B89" s="24"/>
      <c r="C89" s="22"/>
      <c r="D89" s="24"/>
      <c r="E89" s="24"/>
      <c r="F89" s="24"/>
      <c r="G89" s="222">
        <f>DIAG!Y70</f>
        <v>0</v>
      </c>
      <c r="H89" s="24"/>
      <c r="I89" s="24"/>
    </row>
    <row r="90" spans="1:9" ht="13.5" x14ac:dyDescent="0.25">
      <c r="A90" s="22"/>
      <c r="B90" s="24"/>
      <c r="C90" s="22"/>
      <c r="D90" s="24"/>
      <c r="E90" s="24"/>
      <c r="F90" s="29"/>
      <c r="G90" s="220">
        <f>DIAG!T5</f>
        <v>0</v>
      </c>
      <c r="H90" s="29"/>
      <c r="I90" s="220">
        <f>DIAG!T6</f>
        <v>0</v>
      </c>
    </row>
    <row r="91" spans="1:9" ht="13.5" x14ac:dyDescent="0.25">
      <c r="A91" s="22"/>
      <c r="B91" s="24"/>
      <c r="C91" s="22"/>
      <c r="D91" s="24"/>
      <c r="E91" s="221" t="s">
        <v>30</v>
      </c>
      <c r="F91" s="24"/>
      <c r="G91" s="222" t="e">
        <f>DIAG!AA65</f>
        <v>#DIV/0!</v>
      </c>
      <c r="H91" s="24"/>
      <c r="I91" s="222" t="e">
        <f>DIAG!AB65</f>
        <v>#DIV/0!</v>
      </c>
    </row>
    <row r="92" spans="1:9" ht="13.5" x14ac:dyDescent="0.25">
      <c r="A92" s="22"/>
      <c r="B92" s="24"/>
      <c r="C92" s="22"/>
      <c r="D92" s="24"/>
      <c r="E92" s="221" t="s">
        <v>31</v>
      </c>
      <c r="F92" s="24"/>
      <c r="G92" s="222" t="e">
        <f>DIAG!AA66</f>
        <v>#DIV/0!</v>
      </c>
      <c r="H92" s="24"/>
      <c r="I92" s="222" t="e">
        <f>DIAG!AB66</f>
        <v>#DIV/0!</v>
      </c>
    </row>
    <row r="93" spans="1:9" ht="13.5" x14ac:dyDescent="0.25">
      <c r="A93" s="22"/>
      <c r="B93" s="24"/>
      <c r="C93" s="22"/>
      <c r="D93" s="24"/>
      <c r="E93" s="221" t="s">
        <v>32</v>
      </c>
      <c r="F93" s="24"/>
      <c r="G93" s="222" t="e">
        <f>DIAG!AA67</f>
        <v>#DIV/0!</v>
      </c>
      <c r="H93" s="24"/>
      <c r="I93" s="222" t="e">
        <f>DIAG!AB67</f>
        <v>#DIV/0!</v>
      </c>
    </row>
    <row r="94" spans="1:9" ht="13.5" x14ac:dyDescent="0.25">
      <c r="A94" s="22"/>
      <c r="B94" s="24"/>
      <c r="C94" s="22"/>
      <c r="D94" s="24"/>
      <c r="E94" s="221" t="s">
        <v>20</v>
      </c>
      <c r="F94" s="24"/>
      <c r="G94" s="222" t="e">
        <f>DIAG!AA68</f>
        <v>#DIV/0!</v>
      </c>
      <c r="H94" s="24"/>
      <c r="I94" s="222" t="e">
        <f>DIAG!AB68</f>
        <v>#DIV/0!</v>
      </c>
    </row>
    <row r="95" spans="1:9" ht="13.5" x14ac:dyDescent="0.25">
      <c r="A95" s="22"/>
      <c r="B95" s="24"/>
      <c r="C95" s="22"/>
      <c r="D95" s="24"/>
      <c r="E95" s="221" t="s">
        <v>12</v>
      </c>
      <c r="F95" s="24"/>
      <c r="G95" s="224" t="e">
        <f>DIAG!AA69/100</f>
        <v>#DIV/0!</v>
      </c>
      <c r="H95" s="24"/>
      <c r="I95" s="224" t="e">
        <f>DIAG!AB69/100</f>
        <v>#DIV/0!</v>
      </c>
    </row>
    <row r="96" spans="1:9" x14ac:dyDescent="0.25">
      <c r="A96" s="22"/>
      <c r="B96" s="24"/>
      <c r="C96" s="22"/>
      <c r="D96" s="24"/>
      <c r="E96" s="24"/>
      <c r="F96" s="24"/>
      <c r="G96" s="24"/>
      <c r="H96" s="24"/>
      <c r="I96" s="24"/>
    </row>
    <row r="97" spans="1:9" ht="13.5" x14ac:dyDescent="0.25">
      <c r="A97" s="22"/>
      <c r="B97" s="24"/>
      <c r="C97" s="22"/>
      <c r="D97" s="24"/>
      <c r="E97" s="24"/>
      <c r="F97" s="29"/>
      <c r="G97" s="220">
        <f>DIAG!T7</f>
        <v>0</v>
      </c>
      <c r="H97" s="29"/>
      <c r="I97" s="220">
        <f>DIAG!T8</f>
        <v>0</v>
      </c>
    </row>
    <row r="98" spans="1:9" ht="13.5" x14ac:dyDescent="0.25">
      <c r="A98" s="22"/>
      <c r="B98" s="24"/>
      <c r="C98" s="22"/>
      <c r="D98" s="24"/>
      <c r="E98" s="221" t="s">
        <v>30</v>
      </c>
      <c r="F98" s="24"/>
      <c r="G98" s="222" t="e">
        <f>DIAG!AC65</f>
        <v>#DIV/0!</v>
      </c>
      <c r="H98" s="24"/>
      <c r="I98" s="222" t="e">
        <f>DIAG!AD65</f>
        <v>#DIV/0!</v>
      </c>
    </row>
    <row r="99" spans="1:9" ht="13.5" x14ac:dyDescent="0.25">
      <c r="A99" s="22"/>
      <c r="B99" s="24"/>
      <c r="C99" s="22"/>
      <c r="D99" s="24"/>
      <c r="E99" s="221" t="s">
        <v>31</v>
      </c>
      <c r="F99" s="24"/>
      <c r="G99" s="222" t="e">
        <f>DIAG!AC66</f>
        <v>#DIV/0!</v>
      </c>
      <c r="H99" s="24"/>
      <c r="I99" s="222" t="e">
        <f>DIAG!AD66</f>
        <v>#DIV/0!</v>
      </c>
    </row>
    <row r="100" spans="1:9" ht="13.5" x14ac:dyDescent="0.25">
      <c r="A100" s="22"/>
      <c r="B100" s="24"/>
      <c r="C100" s="22"/>
      <c r="D100" s="24"/>
      <c r="E100" s="221" t="s">
        <v>32</v>
      </c>
      <c r="F100" s="24"/>
      <c r="G100" s="222" t="e">
        <f>DIAG!AC67</f>
        <v>#DIV/0!</v>
      </c>
      <c r="H100" s="24"/>
      <c r="I100" s="222" t="e">
        <f>DIAG!AD67</f>
        <v>#DIV/0!</v>
      </c>
    </row>
    <row r="101" spans="1:9" ht="13.5" x14ac:dyDescent="0.25">
      <c r="A101" s="22"/>
      <c r="B101" s="24"/>
      <c r="C101" s="22"/>
      <c r="D101" s="24"/>
      <c r="E101" s="221" t="s">
        <v>20</v>
      </c>
      <c r="F101" s="24"/>
      <c r="G101" s="222" t="e">
        <f>DIAG!AC68</f>
        <v>#DIV/0!</v>
      </c>
      <c r="H101" s="24"/>
      <c r="I101" s="222" t="e">
        <f>DIAG!AD68</f>
        <v>#DIV/0!</v>
      </c>
    </row>
    <row r="102" spans="1:9" ht="13.5" x14ac:dyDescent="0.25">
      <c r="A102" s="22"/>
      <c r="B102" s="24"/>
      <c r="C102" s="22"/>
      <c r="D102" s="24"/>
      <c r="E102" s="221" t="s">
        <v>12</v>
      </c>
      <c r="F102" s="24"/>
      <c r="G102" s="224" t="e">
        <f>DIAG!AC69/100</f>
        <v>#DIV/0!</v>
      </c>
      <c r="H102" s="24"/>
      <c r="I102" s="224" t="e">
        <f>DIAG!AD69/100</f>
        <v>#DIV/0!</v>
      </c>
    </row>
    <row r="103" spans="1:9" x14ac:dyDescent="0.25">
      <c r="A103" s="22"/>
      <c r="B103" s="24"/>
      <c r="C103" s="22"/>
      <c r="D103" s="24"/>
      <c r="E103" s="24"/>
      <c r="F103" s="24"/>
      <c r="G103" s="24"/>
      <c r="H103" s="24"/>
      <c r="I103" s="24"/>
    </row>
    <row r="104" spans="1:9" ht="13.5" x14ac:dyDescent="0.25">
      <c r="A104" s="22"/>
      <c r="B104" s="24"/>
      <c r="C104" s="22"/>
      <c r="D104" s="24"/>
      <c r="E104" s="24"/>
      <c r="F104" s="29"/>
      <c r="G104" s="220">
        <f>DIAG!T9</f>
        <v>0</v>
      </c>
      <c r="H104" s="29"/>
      <c r="I104" s="220">
        <f>DIAG!T10</f>
        <v>0</v>
      </c>
    </row>
    <row r="105" spans="1:9" ht="13.5" x14ac:dyDescent="0.25">
      <c r="A105" s="22"/>
      <c r="B105" s="24"/>
      <c r="C105" s="22"/>
      <c r="D105" s="24"/>
      <c r="E105" s="221" t="s">
        <v>30</v>
      </c>
      <c r="F105" s="24"/>
      <c r="G105" s="222" t="e">
        <f>DIAG!AE65</f>
        <v>#DIV/0!</v>
      </c>
      <c r="H105" s="24"/>
      <c r="I105" s="222" t="e">
        <f>DIAG!AF65</f>
        <v>#DIV/0!</v>
      </c>
    </row>
    <row r="106" spans="1:9" ht="13.5" x14ac:dyDescent="0.25">
      <c r="A106" s="22"/>
      <c r="B106" s="24"/>
      <c r="C106" s="22"/>
      <c r="D106" s="24"/>
      <c r="E106" s="221" t="s">
        <v>31</v>
      </c>
      <c r="F106" s="24"/>
      <c r="G106" s="222" t="e">
        <f>DIAG!AE66</f>
        <v>#DIV/0!</v>
      </c>
      <c r="H106" s="24"/>
      <c r="I106" s="222" t="e">
        <f>DIAG!AF66</f>
        <v>#DIV/0!</v>
      </c>
    </row>
    <row r="107" spans="1:9" ht="13.5" x14ac:dyDescent="0.25">
      <c r="A107" s="22"/>
      <c r="B107" s="24"/>
      <c r="C107" s="22"/>
      <c r="D107" s="24"/>
      <c r="E107" s="221" t="s">
        <v>32</v>
      </c>
      <c r="F107" s="24"/>
      <c r="G107" s="222" t="e">
        <f>DIAG!AE67</f>
        <v>#DIV/0!</v>
      </c>
      <c r="H107" s="24"/>
      <c r="I107" s="222" t="e">
        <f>DIAG!AF67</f>
        <v>#DIV/0!</v>
      </c>
    </row>
    <row r="108" spans="1:9" ht="13.5" x14ac:dyDescent="0.25">
      <c r="A108" s="22"/>
      <c r="B108" s="24"/>
      <c r="C108" s="22"/>
      <c r="D108" s="24"/>
      <c r="E108" s="221" t="s">
        <v>20</v>
      </c>
      <c r="F108" s="24"/>
      <c r="G108" s="222" t="e">
        <f>DIAG!AE68</f>
        <v>#DIV/0!</v>
      </c>
      <c r="H108" s="24"/>
      <c r="I108" s="222" t="e">
        <f>DIAG!AF68</f>
        <v>#DIV/0!</v>
      </c>
    </row>
    <row r="109" spans="1:9" ht="13.5" x14ac:dyDescent="0.25">
      <c r="A109" s="22"/>
      <c r="B109" s="24"/>
      <c r="C109" s="22"/>
      <c r="D109" s="24"/>
      <c r="E109" s="221" t="s">
        <v>12</v>
      </c>
      <c r="F109" s="24"/>
      <c r="G109" s="224" t="e">
        <f>DIAG!AE69/100</f>
        <v>#DIV/0!</v>
      </c>
      <c r="H109" s="24"/>
      <c r="I109" s="224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023622047244095" right="0.98425196850393704" top="0.86614173228346458" bottom="0.86614173228346458" header="0.51181102362204722" footer="0.39370078740157483"/>
  <pageSetup scale="68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zoomScale="85" zoomScaleNormal="85" workbookViewId="0">
      <selection activeCell="F598" sqref="F59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/>
      <c r="C15" s="5" t="s">
        <v>119</v>
      </c>
      <c r="D15" s="6"/>
    </row>
    <row r="16" spans="1:4" ht="14.25" x14ac:dyDescent="0.3">
      <c r="A16" s="9">
        <v>5</v>
      </c>
      <c r="B16" s="8"/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/>
      <c r="C18" s="5" t="s">
        <v>119</v>
      </c>
      <c r="D18" s="6"/>
    </row>
    <row r="19" spans="1:9" ht="14.25" x14ac:dyDescent="0.3">
      <c r="A19" s="9">
        <v>6</v>
      </c>
      <c r="B19" s="8"/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/>
      <c r="C21" s="5" t="s">
        <v>119</v>
      </c>
      <c r="D21" s="6"/>
    </row>
    <row r="22" spans="1:9" ht="14.25" x14ac:dyDescent="0.3">
      <c r="A22" s="9">
        <v>7</v>
      </c>
      <c r="B22" s="8"/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/>
      <c r="C24" s="5" t="s">
        <v>119</v>
      </c>
      <c r="D24" s="6"/>
    </row>
    <row r="25" spans="1:9" ht="14.25" x14ac:dyDescent="0.3">
      <c r="A25" s="9">
        <v>8</v>
      </c>
      <c r="B25" s="8"/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/>
      <c r="C27" s="5" t="s">
        <v>119</v>
      </c>
      <c r="D27" s="6"/>
    </row>
    <row r="28" spans="1:9" ht="14.25" x14ac:dyDescent="0.3">
      <c r="A28" s="9">
        <v>9</v>
      </c>
      <c r="B28" s="8"/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/>
      <c r="C30" s="5" t="s">
        <v>119</v>
      </c>
      <c r="D30" s="6"/>
    </row>
    <row r="31" spans="1:9" ht="14.25" x14ac:dyDescent="0.3">
      <c r="A31" s="9">
        <v>10</v>
      </c>
      <c r="B31" s="8"/>
      <c r="C31" s="14" t="s">
        <v>120</v>
      </c>
      <c r="D31" s="7"/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topLeftCell="BB22" zoomScale="98" zoomScaleNormal="98" workbookViewId="0">
      <selection activeCell="BN28" sqref="BN28"/>
    </sheetView>
  </sheetViews>
  <sheetFormatPr defaultRowHeight="12.75" x14ac:dyDescent="0.2"/>
  <cols>
    <col min="1" max="1" width="7.875" style="35" customWidth="1"/>
    <col min="2" max="2" width="13.375" style="35" bestFit="1" customWidth="1"/>
    <col min="3" max="3" width="10.875" style="35" customWidth="1"/>
    <col min="4" max="4" width="10" style="35" bestFit="1" customWidth="1"/>
    <col min="5" max="5" width="8.625" style="35" bestFit="1" customWidth="1"/>
    <col min="6" max="6" width="9" style="35" bestFit="1" customWidth="1"/>
    <col min="7" max="7" width="14.5" style="36" bestFit="1" customWidth="1"/>
    <col min="8" max="8" width="8.25" style="36" bestFit="1" customWidth="1"/>
    <col min="9" max="9" width="11.125" style="36" bestFit="1" customWidth="1"/>
    <col min="10" max="10" width="8" style="36" bestFit="1" customWidth="1"/>
    <col min="11" max="11" width="8.75" style="36" bestFit="1" customWidth="1"/>
    <col min="12" max="12" width="8.125" style="35" bestFit="1" customWidth="1"/>
    <col min="13" max="13" width="6.125" style="35" bestFit="1" customWidth="1"/>
    <col min="14" max="14" width="9.125" style="35" customWidth="1"/>
    <col min="15" max="15" width="11" style="35" bestFit="1" customWidth="1"/>
    <col min="16" max="16" width="13.375" style="35" bestFit="1" customWidth="1"/>
    <col min="17" max="18" width="11" style="35" bestFit="1" customWidth="1"/>
    <col min="19" max="19" width="14.75" style="35" bestFit="1" customWidth="1"/>
    <col min="20" max="24" width="11" style="35" bestFit="1" customWidth="1"/>
    <col min="25" max="25" width="11.5" style="35" bestFit="1" customWidth="1"/>
    <col min="26" max="26" width="13" style="35" bestFit="1" customWidth="1"/>
    <col min="27" max="27" width="13.25" style="35" customWidth="1"/>
    <col min="28" max="33" width="11" style="35" bestFit="1" customWidth="1"/>
    <col min="34" max="34" width="6.875" style="35" customWidth="1"/>
    <col min="35" max="35" width="7.875" style="35" customWidth="1"/>
    <col min="36" max="36" width="4.25" style="35" customWidth="1"/>
    <col min="37" max="38" width="4.125" style="35" customWidth="1"/>
    <col min="39" max="39" width="8.25" style="35" bestFit="1" customWidth="1"/>
    <col min="40" max="40" width="7.375" style="35" bestFit="1" customWidth="1"/>
    <col min="41" max="59" width="11" style="35" bestFit="1" customWidth="1"/>
    <col min="60" max="60" width="7.875" style="35" customWidth="1"/>
    <col min="61" max="61" width="8.5" style="35" customWidth="1"/>
    <col min="62" max="62" width="9.5" style="35" customWidth="1"/>
    <col min="63" max="63" width="13" style="35" customWidth="1"/>
    <col min="64" max="64" width="10.375" style="35" customWidth="1"/>
    <col min="65" max="65" width="9.375" style="35" customWidth="1"/>
    <col min="66" max="72" width="7" style="35" customWidth="1"/>
    <col min="73" max="16384" width="9" style="35"/>
  </cols>
  <sheetData>
    <row r="1" spans="1:14" x14ac:dyDescent="0.2">
      <c r="B1" s="240"/>
      <c r="C1" s="240"/>
      <c r="D1" s="36"/>
      <c r="E1" s="240"/>
      <c r="F1" s="240"/>
    </row>
    <row r="4" spans="1:14" x14ac:dyDescent="0.2">
      <c r="A4" s="243" t="s">
        <v>18</v>
      </c>
      <c r="B4" s="244"/>
      <c r="C4" s="244"/>
      <c r="D4" s="244"/>
      <c r="E4" s="244"/>
      <c r="F4" s="244"/>
      <c r="G4" s="244"/>
      <c r="H4" s="244"/>
      <c r="I4" s="244"/>
      <c r="J4" s="244"/>
      <c r="K4" s="245"/>
      <c r="L4" s="241"/>
      <c r="M4" s="242"/>
    </row>
    <row r="5" spans="1:14" x14ac:dyDescent="0.2">
      <c r="A5" s="38" t="s">
        <v>19</v>
      </c>
      <c r="B5" s="39" t="str">
        <f>CONCATENATE(" 1-",Resumo!B2)</f>
        <v xml:space="preserve"> 1-henrqiue</v>
      </c>
      <c r="C5" s="39" t="str">
        <f>CONCATENATE(" 2-",Resumo!B9)</f>
        <v xml:space="preserve"> 2-guilherme</v>
      </c>
      <c r="D5" s="39" t="str">
        <f>CONCATENATE(" 3-",Resumo!B16)</f>
        <v xml:space="preserve"> 3-andre</v>
      </c>
      <c r="E5" s="39" t="str">
        <f>CONCATENATE(" 4-",Resumo!B23)</f>
        <v xml:space="preserve"> 4-eu</v>
      </c>
      <c r="F5" s="39" t="str">
        <f>CONCATENATE(" 5-",Resumo!B30)</f>
        <v xml:space="preserve"> 5-0</v>
      </c>
      <c r="G5" s="39" t="str">
        <f>CONCATENATE(" 6-",Resumo!B37)</f>
        <v xml:space="preserve"> 6-0</v>
      </c>
      <c r="H5" s="39" t="str">
        <f>CONCATENATE(" 7-",Resumo!B44)</f>
        <v xml:space="preserve"> 7-0</v>
      </c>
      <c r="I5" s="39" t="str">
        <f>CONCATENATE(" 8-",Resumo!B51)</f>
        <v xml:space="preserve"> 8-0</v>
      </c>
      <c r="J5" s="39" t="str">
        <f>CONCATENATE(" 9-",Resumo!B58)</f>
        <v xml:space="preserve"> 9-0</v>
      </c>
      <c r="K5" s="39" t="str">
        <f>CONCATENATE("10-",Resumo!B65)</f>
        <v>10-0</v>
      </c>
      <c r="L5" s="39" t="s">
        <v>1</v>
      </c>
    </row>
    <row r="6" spans="1:14" x14ac:dyDescent="0.2">
      <c r="A6" s="41" t="s">
        <v>5</v>
      </c>
      <c r="B6" s="42">
        <f>Resumo!I5</f>
        <v>156</v>
      </c>
      <c r="C6" s="42">
        <f>Resumo!I12</f>
        <v>156</v>
      </c>
      <c r="D6" s="42">
        <f>Resumo!I19</f>
        <v>156</v>
      </c>
      <c r="E6" s="42">
        <f>Resumo!I26</f>
        <v>154</v>
      </c>
      <c r="F6" s="42">
        <f>Resumo!I33</f>
        <v>0</v>
      </c>
      <c r="G6" s="42">
        <f>Resumo!I40</f>
        <v>0</v>
      </c>
      <c r="H6" s="42">
        <f>Resumo!I47</f>
        <v>0</v>
      </c>
      <c r="I6" s="42">
        <f>Resumo!I54</f>
        <v>0</v>
      </c>
      <c r="J6" s="42">
        <f>Resumo!I61</f>
        <v>0</v>
      </c>
      <c r="K6" s="42">
        <f>Resumo!I68</f>
        <v>0</v>
      </c>
      <c r="L6" s="42">
        <f>SUMPRODUCT(B6:K6,DIAG!$W$21:$AF$21,DIAG!$W$31:$AF$31)</f>
        <v>0</v>
      </c>
      <c r="M6" s="15"/>
      <c r="N6" s="43"/>
    </row>
    <row r="7" spans="1:14" x14ac:dyDescent="0.2">
      <c r="A7" s="41" t="s">
        <v>6</v>
      </c>
      <c r="B7" s="42">
        <f>Resumo!I6</f>
        <v>156</v>
      </c>
      <c r="C7" s="42">
        <f>Resumo!I13</f>
        <v>156</v>
      </c>
      <c r="D7" s="42">
        <f>Resumo!I20</f>
        <v>156</v>
      </c>
      <c r="E7" s="42">
        <f>Resumo!I27</f>
        <v>14786</v>
      </c>
      <c r="F7" s="42">
        <f>Resumo!I34</f>
        <v>0</v>
      </c>
      <c r="G7" s="42">
        <f>Resumo!I41</f>
        <v>0</v>
      </c>
      <c r="H7" s="42">
        <f>Resumo!I48</f>
        <v>0</v>
      </c>
      <c r="I7" s="42">
        <f>Resumo!I55</f>
        <v>0</v>
      </c>
      <c r="J7" s="42">
        <f>Resumo!I62</f>
        <v>0</v>
      </c>
      <c r="K7" s="42">
        <f>Resumo!I69</f>
        <v>0</v>
      </c>
      <c r="L7" s="42">
        <f>SUMPRODUCT(B7:K7,DIAG!$W$21:$AF$21,DIAG!$W$31:$AF$31)</f>
        <v>0</v>
      </c>
      <c r="M7" s="44"/>
      <c r="N7" s="43"/>
    </row>
    <row r="8" spans="1:14" x14ac:dyDescent="0.2">
      <c r="A8" s="45" t="s">
        <v>7</v>
      </c>
      <c r="B8" s="46">
        <f>Resumo!I7</f>
        <v>156</v>
      </c>
      <c r="C8" s="46">
        <f>Resumo!I14</f>
        <v>157</v>
      </c>
      <c r="D8" s="46">
        <f>Resumo!I21</f>
        <v>1563</v>
      </c>
      <c r="E8" s="46">
        <f>Resumo!I28</f>
        <v>1865</v>
      </c>
      <c r="F8" s="46">
        <f>Resumo!I35</f>
        <v>0</v>
      </c>
      <c r="G8" s="46">
        <f>Resumo!I42</f>
        <v>0</v>
      </c>
      <c r="H8" s="42">
        <f>Resumo!I49</f>
        <v>0</v>
      </c>
      <c r="I8" s="42">
        <f>Resumo!I56</f>
        <v>0</v>
      </c>
      <c r="J8" s="42">
        <f>Resumo!I63</f>
        <v>0</v>
      </c>
      <c r="K8" s="42">
        <f>Resumo!I70</f>
        <v>0</v>
      </c>
      <c r="L8" s="42">
        <f>SUMPRODUCT(B8:K8,DIAG!$W$21:$AF$21,DIAG!$W$31:$AF$31)</f>
        <v>0</v>
      </c>
      <c r="M8" s="44"/>
      <c r="N8" s="43"/>
    </row>
    <row r="9" spans="1:14" x14ac:dyDescent="0.2">
      <c r="A9" s="45" t="s">
        <v>16</v>
      </c>
      <c r="B9" s="47">
        <f>Resumo!I8</f>
        <v>468</v>
      </c>
      <c r="C9" s="47">
        <f>Resumo!I15</f>
        <v>469</v>
      </c>
      <c r="D9" s="47">
        <f>Resumo!I22</f>
        <v>1875</v>
      </c>
      <c r="E9" s="47">
        <f>Resumo!I29</f>
        <v>16805</v>
      </c>
      <c r="F9" s="47">
        <f>Resumo!I36</f>
        <v>0</v>
      </c>
      <c r="G9" s="47">
        <f>Resumo!I43</f>
        <v>0</v>
      </c>
      <c r="H9" s="48">
        <f>Resumo!I50</f>
        <v>0</v>
      </c>
      <c r="I9" s="49">
        <f>Resumo!I57</f>
        <v>0</v>
      </c>
      <c r="J9" s="49">
        <f>Resumo!I64</f>
        <v>0</v>
      </c>
      <c r="K9" s="49">
        <f>Resumo!I71</f>
        <v>0</v>
      </c>
      <c r="L9" s="49">
        <f>SUM(L6:L8)</f>
        <v>0</v>
      </c>
      <c r="M9" s="44"/>
      <c r="N9" s="43"/>
    </row>
    <row r="10" spans="1:14" x14ac:dyDescent="0.2">
      <c r="A10" s="50" t="s">
        <v>20</v>
      </c>
      <c r="B10" s="51">
        <f t="shared" ref="B10:L10" si="0">B20/B22</f>
        <v>1.4999999999999998</v>
      </c>
      <c r="C10" s="52">
        <f t="shared" si="0"/>
        <v>1.4888585905862721</v>
      </c>
      <c r="D10" s="52">
        <f t="shared" si="0"/>
        <v>0.10886568654051645</v>
      </c>
      <c r="E10" s="52">
        <f t="shared" si="0"/>
        <v>8.3337425651962713E-2</v>
      </c>
      <c r="F10" s="52" t="e">
        <f t="shared" si="0"/>
        <v>#DIV/0!</v>
      </c>
      <c r="G10" s="52" t="e">
        <f t="shared" si="0"/>
        <v>#DIV/0!</v>
      </c>
      <c r="H10" s="52" t="e">
        <f t="shared" si="0"/>
        <v>#DIV/0!</v>
      </c>
      <c r="I10" s="52" t="e">
        <f t="shared" si="0"/>
        <v>#DIV/0!</v>
      </c>
      <c r="J10" s="52" t="e">
        <f t="shared" si="0"/>
        <v>#DIV/0!</v>
      </c>
      <c r="K10" s="52" t="e">
        <f t="shared" si="0"/>
        <v>#DIV/0!</v>
      </c>
      <c r="L10" s="52" t="e">
        <f t="shared" si="0"/>
        <v>#DIV/0!</v>
      </c>
      <c r="N10" s="43"/>
    </row>
    <row r="11" spans="1:14" x14ac:dyDescent="0.2">
      <c r="A11" s="50" t="s">
        <v>12</v>
      </c>
      <c r="B11" s="53">
        <f>B6/B$9</f>
        <v>0.33333333333333331</v>
      </c>
      <c r="C11" s="53">
        <f t="shared" ref="C11:L11" si="1">C6/C$9</f>
        <v>0.3326226012793177</v>
      </c>
      <c r="D11" s="53">
        <f t="shared" si="1"/>
        <v>8.3199999999999996E-2</v>
      </c>
      <c r="E11" s="53">
        <f t="shared" si="1"/>
        <v>9.1639393037786371E-3</v>
      </c>
      <c r="F11" s="53" t="e">
        <f t="shared" si="1"/>
        <v>#DIV/0!</v>
      </c>
      <c r="G11" s="53" t="e">
        <f t="shared" si="1"/>
        <v>#DIV/0!</v>
      </c>
      <c r="H11" s="53" t="e">
        <f t="shared" ref="H11:K13" si="2">H6/H$9</f>
        <v>#DIV/0!</v>
      </c>
      <c r="I11" s="53" t="e">
        <f t="shared" si="2"/>
        <v>#DIV/0!</v>
      </c>
      <c r="J11" s="53" t="e">
        <f t="shared" si="2"/>
        <v>#DIV/0!</v>
      </c>
      <c r="K11" s="53" t="e">
        <f t="shared" si="2"/>
        <v>#DIV/0!</v>
      </c>
      <c r="L11" s="53" t="e">
        <f t="shared" si="1"/>
        <v>#DIV/0!</v>
      </c>
      <c r="N11" s="43"/>
    </row>
    <row r="12" spans="1:14" x14ac:dyDescent="0.2">
      <c r="A12" s="50" t="s">
        <v>14</v>
      </c>
      <c r="B12" s="53">
        <f t="shared" ref="B12:L13" si="3">B7/B$9</f>
        <v>0.33333333333333331</v>
      </c>
      <c r="C12" s="53">
        <f t="shared" si="3"/>
        <v>0.3326226012793177</v>
      </c>
      <c r="D12" s="53">
        <f t="shared" si="3"/>
        <v>8.3199999999999996E-2</v>
      </c>
      <c r="E12" s="53">
        <f t="shared" si="3"/>
        <v>0.87985718536149959</v>
      </c>
      <c r="F12" s="53" t="e">
        <f t="shared" si="3"/>
        <v>#DIV/0!</v>
      </c>
      <c r="G12" s="53" t="e">
        <f t="shared" si="3"/>
        <v>#DIV/0!</v>
      </c>
      <c r="H12" s="53" t="e">
        <f t="shared" si="2"/>
        <v>#DIV/0!</v>
      </c>
      <c r="I12" s="53" t="e">
        <f t="shared" si="2"/>
        <v>#DIV/0!</v>
      </c>
      <c r="J12" s="53" t="e">
        <f t="shared" si="2"/>
        <v>#DIV/0!</v>
      </c>
      <c r="K12" s="53" t="e">
        <f t="shared" si="2"/>
        <v>#DIV/0!</v>
      </c>
      <c r="L12" s="53" t="e">
        <f t="shared" si="3"/>
        <v>#DIV/0!</v>
      </c>
    </row>
    <row r="13" spans="1:14" x14ac:dyDescent="0.2">
      <c r="A13" s="50" t="s">
        <v>13</v>
      </c>
      <c r="B13" s="53">
        <f t="shared" si="3"/>
        <v>0.33333333333333331</v>
      </c>
      <c r="C13" s="53">
        <f t="shared" si="3"/>
        <v>0.3347547974413646</v>
      </c>
      <c r="D13" s="53">
        <f t="shared" si="3"/>
        <v>0.83360000000000001</v>
      </c>
      <c r="E13" s="53">
        <f t="shared" si="3"/>
        <v>0.11097887533472181</v>
      </c>
      <c r="F13" s="53" t="e">
        <f t="shared" si="3"/>
        <v>#DIV/0!</v>
      </c>
      <c r="G13" s="53" t="e">
        <f t="shared" si="3"/>
        <v>#DIV/0!</v>
      </c>
      <c r="H13" s="53" t="e">
        <f t="shared" si="2"/>
        <v>#DIV/0!</v>
      </c>
      <c r="I13" s="53" t="e">
        <f t="shared" si="2"/>
        <v>#DIV/0!</v>
      </c>
      <c r="J13" s="53" t="e">
        <f t="shared" si="2"/>
        <v>#DIV/0!</v>
      </c>
      <c r="K13" s="53" t="e">
        <f t="shared" si="2"/>
        <v>#DIV/0!</v>
      </c>
      <c r="L13" s="53" t="e">
        <f t="shared" si="3"/>
        <v>#DIV/0!</v>
      </c>
    </row>
    <row r="14" spans="1:14" x14ac:dyDescent="0.2">
      <c r="A14" s="237" t="s">
        <v>21</v>
      </c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239"/>
    </row>
    <row r="15" spans="1:14" x14ac:dyDescent="0.2">
      <c r="A15" s="33" t="s">
        <v>22</v>
      </c>
      <c r="B15" s="54">
        <f t="shared" ref="B15:L15" si="4">B6/B9</f>
        <v>0.33333333333333331</v>
      </c>
      <c r="C15" s="55">
        <f t="shared" si="4"/>
        <v>0.3326226012793177</v>
      </c>
      <c r="D15" s="55">
        <f t="shared" si="4"/>
        <v>8.3199999999999996E-2</v>
      </c>
      <c r="E15" s="55">
        <f t="shared" si="4"/>
        <v>9.1639393037786371E-3</v>
      </c>
      <c r="F15" s="55" t="e">
        <f t="shared" si="4"/>
        <v>#DIV/0!</v>
      </c>
      <c r="G15" s="55" t="e">
        <f t="shared" si="4"/>
        <v>#DIV/0!</v>
      </c>
      <c r="H15" s="55" t="e">
        <f>H6/H9</f>
        <v>#DIV/0!</v>
      </c>
      <c r="I15" s="55" t="e">
        <f>I6/I9</f>
        <v>#DIV/0!</v>
      </c>
      <c r="J15" s="55" t="e">
        <f>J6/J9</f>
        <v>#DIV/0!</v>
      </c>
      <c r="K15" s="55" t="e">
        <f>K6/K9</f>
        <v>#DIV/0!</v>
      </c>
      <c r="L15" s="55" t="e">
        <f t="shared" si="4"/>
        <v>#DIV/0!</v>
      </c>
    </row>
    <row r="16" spans="1:14" x14ac:dyDescent="0.2">
      <c r="A16" s="33" t="s">
        <v>23</v>
      </c>
      <c r="B16" s="54">
        <f t="shared" ref="B16:L16" si="5">B7/B9</f>
        <v>0.33333333333333331</v>
      </c>
      <c r="C16" s="55">
        <f t="shared" si="5"/>
        <v>0.3326226012793177</v>
      </c>
      <c r="D16" s="55">
        <f t="shared" si="5"/>
        <v>8.3199999999999996E-2</v>
      </c>
      <c r="E16" s="55">
        <f t="shared" si="5"/>
        <v>0.87985718536149959</v>
      </c>
      <c r="F16" s="55" t="e">
        <f t="shared" si="5"/>
        <v>#DIV/0!</v>
      </c>
      <c r="G16" s="55" t="e">
        <f t="shared" si="5"/>
        <v>#DIV/0!</v>
      </c>
      <c r="H16" s="55" t="e">
        <f>H7/H9</f>
        <v>#DIV/0!</v>
      </c>
      <c r="I16" s="55" t="e">
        <f>I7/I9</f>
        <v>#DIV/0!</v>
      </c>
      <c r="J16" s="55" t="e">
        <f>J7/J9</f>
        <v>#DIV/0!</v>
      </c>
      <c r="K16" s="55" t="e">
        <f>K7/K9</f>
        <v>#DIV/0!</v>
      </c>
      <c r="L16" s="55" t="e">
        <f t="shared" si="5"/>
        <v>#DIV/0!</v>
      </c>
    </row>
    <row r="17" spans="1:65" x14ac:dyDescent="0.2">
      <c r="A17" s="34" t="s">
        <v>24</v>
      </c>
      <c r="B17" s="58">
        <f t="shared" ref="B17:L17" si="6">B8/B9</f>
        <v>0.33333333333333331</v>
      </c>
      <c r="C17" s="59">
        <f t="shared" si="6"/>
        <v>0.3347547974413646</v>
      </c>
      <c r="D17" s="59">
        <f t="shared" si="6"/>
        <v>0.83360000000000001</v>
      </c>
      <c r="E17" s="59">
        <f t="shared" si="6"/>
        <v>0.11097887533472181</v>
      </c>
      <c r="F17" s="59" t="e">
        <f t="shared" si="6"/>
        <v>#DIV/0!</v>
      </c>
      <c r="G17" s="59" t="e">
        <f t="shared" si="6"/>
        <v>#DIV/0!</v>
      </c>
      <c r="H17" s="59" t="e">
        <f>H8/H9</f>
        <v>#DIV/0!</v>
      </c>
      <c r="I17" s="59" t="e">
        <f>I8/I9</f>
        <v>#DIV/0!</v>
      </c>
      <c r="J17" s="59" t="e">
        <f>J8/J9</f>
        <v>#DIV/0!</v>
      </c>
      <c r="K17" s="59" t="e">
        <f>K8/K9</f>
        <v>#DIV/0!</v>
      </c>
      <c r="L17" s="59" t="e">
        <f t="shared" si="6"/>
        <v>#DIV/0!</v>
      </c>
      <c r="AP17" s="61"/>
      <c r="AQ17" s="61"/>
      <c r="AR17" s="61"/>
      <c r="AS17" s="61"/>
      <c r="AT17" s="61"/>
      <c r="AU17" s="61"/>
    </row>
    <row r="18" spans="1:65" x14ac:dyDescent="0.2">
      <c r="A18" s="62" t="s">
        <v>25</v>
      </c>
      <c r="B18" s="63">
        <f t="shared" ref="B18:L18" si="7">B15+B16</f>
        <v>0.66666666666666663</v>
      </c>
      <c r="C18" s="64">
        <f t="shared" si="7"/>
        <v>0.6652452025586354</v>
      </c>
      <c r="D18" s="64">
        <f t="shared" si="7"/>
        <v>0.16639999999999999</v>
      </c>
      <c r="E18" s="64">
        <f t="shared" si="7"/>
        <v>0.88902112466527827</v>
      </c>
      <c r="F18" s="64" t="e">
        <f t="shared" si="7"/>
        <v>#DIV/0!</v>
      </c>
      <c r="G18" s="64" t="e">
        <f t="shared" si="7"/>
        <v>#DIV/0!</v>
      </c>
      <c r="H18" s="64" t="e">
        <f>H15+H16</f>
        <v>#DIV/0!</v>
      </c>
      <c r="I18" s="64" t="e">
        <f>I15+I16</f>
        <v>#DIV/0!</v>
      </c>
      <c r="J18" s="64" t="e">
        <f>J15+J16</f>
        <v>#DIV/0!</v>
      </c>
      <c r="K18" s="64" t="e">
        <f>K15+K16</f>
        <v>#DIV/0!</v>
      </c>
      <c r="L18" s="64" t="e">
        <f t="shared" si="7"/>
        <v>#DIV/0!</v>
      </c>
      <c r="M18" s="65" t="s">
        <v>26</v>
      </c>
      <c r="N18" s="66"/>
      <c r="AO18" s="61"/>
      <c r="AP18" s="61"/>
      <c r="AQ18" s="61"/>
      <c r="AR18" s="61"/>
      <c r="AS18" s="61"/>
      <c r="AT18" s="61"/>
      <c r="AU18" s="61"/>
    </row>
    <row r="19" spans="1:65" x14ac:dyDescent="0.2">
      <c r="A19" s="62" t="s">
        <v>27</v>
      </c>
      <c r="B19" s="63">
        <f t="shared" ref="B19:L19" si="8">B15+B16+B17</f>
        <v>1</v>
      </c>
      <c r="C19" s="64">
        <f t="shared" si="8"/>
        <v>1</v>
      </c>
      <c r="D19" s="64">
        <f t="shared" si="8"/>
        <v>1</v>
      </c>
      <c r="E19" s="64">
        <f t="shared" si="8"/>
        <v>1</v>
      </c>
      <c r="F19" s="64" t="e">
        <f t="shared" si="8"/>
        <v>#DIV/0!</v>
      </c>
      <c r="G19" s="64" t="e">
        <f t="shared" si="8"/>
        <v>#DIV/0!</v>
      </c>
      <c r="H19" s="64" t="e">
        <f>H15+H16+H17</f>
        <v>#DIV/0!</v>
      </c>
      <c r="I19" s="64" t="e">
        <f>I15+I16+I17</f>
        <v>#DIV/0!</v>
      </c>
      <c r="J19" s="64" t="e">
        <f>J15+J16+J17</f>
        <v>#DIV/0!</v>
      </c>
      <c r="K19" s="64" t="e">
        <f>K15+K16+K17</f>
        <v>#DIV/0!</v>
      </c>
      <c r="L19" s="64" t="e">
        <f t="shared" si="8"/>
        <v>#DIV/0!</v>
      </c>
      <c r="M19" s="67" t="s">
        <v>28</v>
      </c>
      <c r="N19" s="67" t="s">
        <v>29</v>
      </c>
      <c r="AO19" s="61"/>
      <c r="AQ19" s="61"/>
      <c r="AR19" s="61"/>
      <c r="AS19" s="61"/>
      <c r="AT19" s="61"/>
      <c r="AU19" s="61"/>
    </row>
    <row r="20" spans="1:65" x14ac:dyDescent="0.2">
      <c r="A20" s="68" t="s">
        <v>30</v>
      </c>
      <c r="B20" s="69">
        <f t="shared" ref="B20:L20" si="9">1/B17</f>
        <v>3</v>
      </c>
      <c r="C20" s="70">
        <f t="shared" si="9"/>
        <v>2.9872611464968153</v>
      </c>
      <c r="D20" s="70">
        <f t="shared" si="9"/>
        <v>1.199616122840691</v>
      </c>
      <c r="E20" s="70">
        <f t="shared" si="9"/>
        <v>9.0107238605898115</v>
      </c>
      <c r="F20" s="70" t="e">
        <f t="shared" si="9"/>
        <v>#DIV/0!</v>
      </c>
      <c r="G20" s="70" t="e">
        <f t="shared" si="9"/>
        <v>#DIV/0!</v>
      </c>
      <c r="H20" s="70" t="e">
        <f>1/H17</f>
        <v>#DIV/0!</v>
      </c>
      <c r="I20" s="70" t="e">
        <f>1/I17</f>
        <v>#DIV/0!</v>
      </c>
      <c r="J20" s="70" t="e">
        <f>1/J17</f>
        <v>#DIV/0!</v>
      </c>
      <c r="K20" s="70" t="e">
        <f>1/K17</f>
        <v>#DIV/0!</v>
      </c>
      <c r="L20" s="70" t="e">
        <f t="shared" si="9"/>
        <v>#DIV/0!</v>
      </c>
      <c r="M20" s="71">
        <v>5</v>
      </c>
      <c r="N20" s="72">
        <v>2</v>
      </c>
      <c r="AO20" s="61"/>
      <c r="AR20" s="61"/>
      <c r="AS20" s="61"/>
      <c r="AT20" s="61"/>
      <c r="AU20" s="61"/>
    </row>
    <row r="21" spans="1:65" x14ac:dyDescent="0.2">
      <c r="A21" s="73" t="s">
        <v>31</v>
      </c>
      <c r="B21" s="74">
        <f t="shared" ref="B21:L21" si="10">B17/(1-B17)</f>
        <v>0.49999999999999994</v>
      </c>
      <c r="C21" s="75">
        <f t="shared" si="10"/>
        <v>0.50320512820512819</v>
      </c>
      <c r="D21" s="75">
        <f t="shared" si="10"/>
        <v>5.009615384615385</v>
      </c>
      <c r="E21" s="75">
        <f t="shared" si="10"/>
        <v>0.12483266398929051</v>
      </c>
      <c r="F21" s="75" t="e">
        <f t="shared" si="10"/>
        <v>#DIV/0!</v>
      </c>
      <c r="G21" s="75" t="e">
        <f t="shared" si="10"/>
        <v>#DIV/0!</v>
      </c>
      <c r="H21" s="75" t="e">
        <f>H17/(1-H17)</f>
        <v>#DIV/0!</v>
      </c>
      <c r="I21" s="75" t="e">
        <f>I17/(1-I17)</f>
        <v>#DIV/0!</v>
      </c>
      <c r="J21" s="75" t="e">
        <f>J17/(1-J17)</f>
        <v>#DIV/0!</v>
      </c>
      <c r="K21" s="75" t="e">
        <f>K17/(1-K17)</f>
        <v>#DIV/0!</v>
      </c>
      <c r="L21" s="75" t="e">
        <f t="shared" si="10"/>
        <v>#DIV/0!</v>
      </c>
      <c r="M21" s="76">
        <v>0.25</v>
      </c>
      <c r="N21" s="77">
        <v>1</v>
      </c>
      <c r="AO21" s="61"/>
      <c r="AS21" s="61"/>
      <c r="AT21" s="61"/>
      <c r="AU21" s="61"/>
    </row>
    <row r="22" spans="1:65" x14ac:dyDescent="0.2">
      <c r="A22" s="73" t="s">
        <v>32</v>
      </c>
      <c r="B22" s="75">
        <f t="shared" ref="B22:L22" si="11">(1-B15)/B15</f>
        <v>2.0000000000000004</v>
      </c>
      <c r="C22" s="75">
        <f t="shared" si="11"/>
        <v>2.0064102564102564</v>
      </c>
      <c r="D22" s="75">
        <f t="shared" si="11"/>
        <v>11.01923076923077</v>
      </c>
      <c r="E22" s="75">
        <f t="shared" si="11"/>
        <v>108.12337662337661</v>
      </c>
      <c r="F22" s="75" t="e">
        <f t="shared" si="11"/>
        <v>#DIV/0!</v>
      </c>
      <c r="G22" s="75" t="e">
        <f t="shared" si="11"/>
        <v>#DIV/0!</v>
      </c>
      <c r="H22" s="75" t="e">
        <f>(1-H15)/H15</f>
        <v>#DIV/0!</v>
      </c>
      <c r="I22" s="75" t="e">
        <f>(1-I15)/I15</f>
        <v>#DIV/0!</v>
      </c>
      <c r="J22" s="75" t="e">
        <f>(1-J15)/J15</f>
        <v>#DIV/0!</v>
      </c>
      <c r="K22" s="75" t="e">
        <f>(1-K15)/K15</f>
        <v>#DIV/0!</v>
      </c>
      <c r="L22" s="75" t="e">
        <f t="shared" si="11"/>
        <v>#DIV/0!</v>
      </c>
      <c r="M22" s="76">
        <v>2</v>
      </c>
      <c r="N22" s="77">
        <v>10</v>
      </c>
      <c r="AO22" s="61"/>
      <c r="AT22" s="61"/>
      <c r="AU22" s="61"/>
    </row>
    <row r="23" spans="1:65" x14ac:dyDescent="0.2">
      <c r="A23" s="78" t="s">
        <v>20</v>
      </c>
      <c r="B23" s="79">
        <f t="shared" ref="B23:L23" si="12">B20/B22</f>
        <v>1.4999999999999998</v>
      </c>
      <c r="C23" s="79">
        <f t="shared" si="12"/>
        <v>1.4888585905862721</v>
      </c>
      <c r="D23" s="79">
        <f t="shared" si="12"/>
        <v>0.10886568654051645</v>
      </c>
      <c r="E23" s="79">
        <f t="shared" si="12"/>
        <v>8.3337425651962713E-2</v>
      </c>
      <c r="F23" s="79" t="e">
        <f t="shared" si="12"/>
        <v>#DIV/0!</v>
      </c>
      <c r="G23" s="79" t="e">
        <f t="shared" si="12"/>
        <v>#DIV/0!</v>
      </c>
      <c r="H23" s="79" t="e">
        <f>H20/H22</f>
        <v>#DIV/0!</v>
      </c>
      <c r="I23" s="79" t="e">
        <f>I20/I22</f>
        <v>#DIV/0!</v>
      </c>
      <c r="J23" s="79" t="e">
        <f>J20/J22</f>
        <v>#DIV/0!</v>
      </c>
      <c r="K23" s="79" t="e">
        <f>K20/K22</f>
        <v>#DIV/0!</v>
      </c>
      <c r="L23" s="79" t="e">
        <f t="shared" si="12"/>
        <v>#DIV/0!</v>
      </c>
      <c r="M23" s="80">
        <v>5</v>
      </c>
      <c r="N23" s="81">
        <v>1</v>
      </c>
      <c r="AO23" s="61"/>
      <c r="AU23" s="61"/>
    </row>
    <row r="24" spans="1:65" x14ac:dyDescent="0.2">
      <c r="A24" s="237" t="s">
        <v>33</v>
      </c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239"/>
    </row>
    <row r="25" spans="1:65" x14ac:dyDescent="0.2">
      <c r="A25" s="82" t="s">
        <v>34</v>
      </c>
      <c r="B25" s="83" t="str">
        <f t="shared" ref="B25:L25" si="13">B5</f>
        <v xml:space="preserve"> 1-henrqiue</v>
      </c>
      <c r="C25" s="39" t="str">
        <f t="shared" si="13"/>
        <v xml:space="preserve"> 2-guilherme</v>
      </c>
      <c r="D25" s="39" t="str">
        <f t="shared" si="13"/>
        <v xml:space="preserve"> 3-andre</v>
      </c>
      <c r="E25" s="39" t="str">
        <f t="shared" si="13"/>
        <v xml:space="preserve"> 4-eu</v>
      </c>
      <c r="F25" s="39" t="str">
        <f t="shared" si="13"/>
        <v xml:space="preserve"> 5-0</v>
      </c>
      <c r="G25" s="39" t="str">
        <f t="shared" si="13"/>
        <v xml:space="preserve"> 6-0</v>
      </c>
      <c r="H25" s="39" t="str">
        <f>H5</f>
        <v xml:space="preserve"> 7-0</v>
      </c>
      <c r="I25" s="39" t="str">
        <f>I5</f>
        <v xml:space="preserve"> 8-0</v>
      </c>
      <c r="J25" s="39" t="str">
        <f>J5</f>
        <v xml:space="preserve"> 9-0</v>
      </c>
      <c r="K25" s="39" t="str">
        <f>K5</f>
        <v>10-0</v>
      </c>
      <c r="L25" s="39" t="str">
        <f t="shared" si="13"/>
        <v>Simergia</v>
      </c>
    </row>
    <row r="26" spans="1:65" ht="15.75" x14ac:dyDescent="0.3">
      <c r="A26" s="84" t="s">
        <v>110</v>
      </c>
      <c r="B26" s="85">
        <f t="shared" ref="B26:L26" si="14">(2*B17+B15-1)/SQRT(3)</f>
        <v>0</v>
      </c>
      <c r="C26" s="86">
        <f t="shared" si="14"/>
        <v>1.2310240281228364E-3</v>
      </c>
      <c r="D26" s="86">
        <f t="shared" si="14"/>
        <v>0.43324364199989518</v>
      </c>
      <c r="E26" s="86">
        <f t="shared" si="14"/>
        <v>-0.44391209926802472</v>
      </c>
      <c r="F26" s="86" t="e">
        <f t="shared" si="14"/>
        <v>#DIV/0!</v>
      </c>
      <c r="G26" s="86" t="e">
        <f t="shared" si="14"/>
        <v>#DIV/0!</v>
      </c>
      <c r="H26" s="86" t="e">
        <f>(2*H17+H15-1)/SQRT(3)</f>
        <v>#DIV/0!</v>
      </c>
      <c r="I26" s="86" t="e">
        <f>(2*I17+I15-1)/SQRT(3)</f>
        <v>#DIV/0!</v>
      </c>
      <c r="J26" s="86" t="e">
        <f>(2*J17+J15-1)/SQRT(3)</f>
        <v>#DIV/0!</v>
      </c>
      <c r="K26" s="86" t="e">
        <f>(2*K17+K15-1)/SQRT(3)</f>
        <v>#DIV/0!</v>
      </c>
      <c r="L26" s="64" t="e">
        <f t="shared" si="14"/>
        <v>#DIV/0!</v>
      </c>
      <c r="AN26" s="35" t="s">
        <v>35</v>
      </c>
      <c r="AP26" s="87">
        <f>IF(DIAG!T21,$L$26,-1)</f>
        <v>-1</v>
      </c>
      <c r="AQ26" s="88">
        <f>AP26+(AY26-AP26)/9</f>
        <v>-1</v>
      </c>
      <c r="AR26" s="88">
        <f>AQ26+(AY26-AQ26)/8</f>
        <v>-1</v>
      </c>
      <c r="AS26" s="88">
        <f>AR26+(AY26-AR26)/7</f>
        <v>-1</v>
      </c>
      <c r="AT26" s="88">
        <f>AS26+(AY26-AS26)/6</f>
        <v>-1</v>
      </c>
      <c r="AU26" s="88">
        <f>AT26+(AY26-AT26)/5</f>
        <v>-1</v>
      </c>
      <c r="AV26" s="88">
        <f>AU26+(AY26-AU26)/4</f>
        <v>-1</v>
      </c>
      <c r="AW26" s="88">
        <f>AV26+(AY26-AV26)/3</f>
        <v>-1</v>
      </c>
      <c r="AX26" s="88">
        <f>AW26+(AY26-AW26)/2</f>
        <v>-1</v>
      </c>
      <c r="AY26" s="89">
        <f>IF(DIAG!T21,$B$26,-1)</f>
        <v>-1</v>
      </c>
    </row>
    <row r="27" spans="1:65" ht="15.75" x14ac:dyDescent="0.3">
      <c r="A27" s="90" t="s">
        <v>111</v>
      </c>
      <c r="B27" s="91">
        <f>IF(DIAG!T11,B15,-1)</f>
        <v>0.33333333333333331</v>
      </c>
      <c r="C27" s="92">
        <f>IF(DIAG!T12,C15,-1)</f>
        <v>0.3326226012793177</v>
      </c>
      <c r="D27" s="92">
        <f>IF(DIAG!T13,D15,-1)</f>
        <v>8.3199999999999996E-2</v>
      </c>
      <c r="E27" s="92">
        <f>IF(DIAG!T14,E15,-1)</f>
        <v>9.1639393037786371E-3</v>
      </c>
      <c r="F27" s="92">
        <f>IF(DIAG!T15,F15,-1)</f>
        <v>-1</v>
      </c>
      <c r="G27" s="86">
        <f>IF(DIAG!T16,G15,-1)</f>
        <v>-1</v>
      </c>
      <c r="H27" s="86">
        <f>IF(DIAG!T17,H15,-1)</f>
        <v>-1</v>
      </c>
      <c r="I27" s="86">
        <f>IF(DIAG!T18,I15,-1)</f>
        <v>-1</v>
      </c>
      <c r="J27" s="86">
        <f>IF(DIAG!T19,J15,-1)</f>
        <v>-1</v>
      </c>
      <c r="K27" s="86">
        <f>IF(DIAG!T20,K15,-1)</f>
        <v>-1</v>
      </c>
      <c r="L27" s="64">
        <f>IF(OR(DIAG!T21,DIAG!T22,DIAG!T23,DIAG!T24,DIAG!T25,DIAG!T26,DIAG!T27,DIAG!T28,DIAG!T29,DIAG!T30),L15,-1)</f>
        <v>-1</v>
      </c>
      <c r="AP27" s="93">
        <f>IF(DIAG!T21,$L$27,-1)</f>
        <v>-1</v>
      </c>
      <c r="AQ27" s="94">
        <f>AP27+(AY27-AP27)/9</f>
        <v>-1</v>
      </c>
      <c r="AR27" s="94">
        <f>AQ27+(AY27-AQ27)/8</f>
        <v>-1</v>
      </c>
      <c r="AS27" s="94">
        <f>AR27+(AY27-AR27)/7</f>
        <v>-1</v>
      </c>
      <c r="AT27" s="94">
        <f>AS27+(AY27-AS27)/6</f>
        <v>-1</v>
      </c>
      <c r="AU27" s="94">
        <f>AT27+(AY27-AT27)/5</f>
        <v>-1</v>
      </c>
      <c r="AV27" s="94">
        <f>AU27+(AY27-AU27)/4</f>
        <v>-1</v>
      </c>
      <c r="AW27" s="94">
        <f>AV27+(AY27-AV27)/3</f>
        <v>-1</v>
      </c>
      <c r="AX27" s="94">
        <f>AW27+(AY27-AW27)/2</f>
        <v>-1</v>
      </c>
      <c r="AY27" s="95">
        <f>IF(DIAG!T21,$B$27,-1)</f>
        <v>-1</v>
      </c>
    </row>
    <row r="28" spans="1:65" x14ac:dyDescent="0.2">
      <c r="A28" s="234" t="s">
        <v>34</v>
      </c>
      <c r="B28" s="235"/>
      <c r="C28" s="236"/>
      <c r="D28" s="39" t="s">
        <v>36</v>
      </c>
      <c r="E28" s="39" t="s">
        <v>37</v>
      </c>
      <c r="F28" s="39" t="s">
        <v>38</v>
      </c>
      <c r="G28" s="96"/>
      <c r="H28" s="96"/>
      <c r="I28" s="96"/>
      <c r="J28" s="96"/>
      <c r="K28" s="96"/>
      <c r="L28" s="97"/>
      <c r="M28" s="98"/>
      <c r="AO28" s="61"/>
      <c r="AP28" s="61"/>
      <c r="AQ28" s="61"/>
      <c r="AR28" s="61"/>
      <c r="AS28" s="61"/>
      <c r="AT28" s="61"/>
      <c r="AU28" s="61"/>
      <c r="BD28" s="36">
        <v>1</v>
      </c>
      <c r="BE28" s="36">
        <v>2</v>
      </c>
      <c r="BF28" s="36">
        <v>3</v>
      </c>
      <c r="BG28" s="36">
        <v>4</v>
      </c>
      <c r="BH28" s="36">
        <v>5</v>
      </c>
      <c r="BI28" s="36">
        <v>6</v>
      </c>
      <c r="BJ28" s="36">
        <v>7</v>
      </c>
      <c r="BK28" s="36">
        <v>8</v>
      </c>
      <c r="BL28" s="36">
        <v>9</v>
      </c>
      <c r="BM28" s="36">
        <v>10</v>
      </c>
    </row>
    <row r="29" spans="1:65" x14ac:dyDescent="0.2">
      <c r="A29" s="99"/>
      <c r="B29" s="100" t="str">
        <f>VLOOKUP(A28,A25:G25,A83,0)</f>
        <v xml:space="preserve"> 1-henrqiue</v>
      </c>
      <c r="C29" s="101"/>
      <c r="D29" s="102" t="e">
        <f ca="1">D103</f>
        <v>#DIV/0!</v>
      </c>
      <c r="E29" s="102" t="e">
        <f ca="1">D100</f>
        <v>#DIV/0!</v>
      </c>
      <c r="F29" s="102" t="e">
        <f ca="1">E103</f>
        <v>#DIV/0!</v>
      </c>
      <c r="G29" s="103" t="s">
        <v>39</v>
      </c>
      <c r="H29" s="104"/>
      <c r="I29" s="104"/>
      <c r="J29" s="104"/>
      <c r="K29" s="104"/>
      <c r="L29" s="104"/>
      <c r="M29" s="105"/>
      <c r="AN29" s="35" t="s">
        <v>40</v>
      </c>
      <c r="AO29" s="61"/>
      <c r="AP29" s="87">
        <f>IF(DIAG!$T$22,$L$26,-1)</f>
        <v>-1</v>
      </c>
      <c r="AQ29" s="88">
        <f>AP29+(AY29-AP29)/9</f>
        <v>-1</v>
      </c>
      <c r="AR29" s="88">
        <f>AQ29+(AY29-AQ29)/8</f>
        <v>-1</v>
      </c>
      <c r="AS29" s="88">
        <f>AR29+(AY29-AR29)/7</f>
        <v>-1</v>
      </c>
      <c r="AT29" s="88">
        <f>AS29+(AY29-AS29)/6</f>
        <v>-1</v>
      </c>
      <c r="AU29" s="88">
        <f>AT29+(AY29-AT29)/5</f>
        <v>-1</v>
      </c>
      <c r="AV29" s="88">
        <f>AU29+(AY29-AU29)/4</f>
        <v>-1</v>
      </c>
      <c r="AW29" s="88">
        <f>AV29+(AY29-AV29)/3</f>
        <v>-1</v>
      </c>
      <c r="AX29" s="88">
        <f>AW29+(AY29-AW29)/2</f>
        <v>-1</v>
      </c>
      <c r="AY29" s="89">
        <f>IF(DIAG!$T$22,$C$26,-1)</f>
        <v>-1</v>
      </c>
      <c r="BA29" s="37" t="s">
        <v>87</v>
      </c>
      <c r="BB29" s="35">
        <f>DIAG!W1</f>
        <v>4</v>
      </c>
    </row>
    <row r="30" spans="1:65" x14ac:dyDescent="0.2">
      <c r="A30" s="106"/>
      <c r="B30" s="107"/>
      <c r="C30" s="108"/>
      <c r="D30" s="102" t="e">
        <f ca="1">N103</f>
        <v>#DIV/0!</v>
      </c>
      <c r="E30" s="102" t="e">
        <f ca="1">M100</f>
        <v>#DIV/0!</v>
      </c>
      <c r="F30" s="102" t="e">
        <f ca="1">M103</f>
        <v>#DIV/0!</v>
      </c>
      <c r="G30" s="103" t="s">
        <v>41</v>
      </c>
      <c r="H30" s="104"/>
      <c r="I30" s="104"/>
      <c r="J30" s="104"/>
      <c r="K30" s="104"/>
      <c r="L30" s="104"/>
      <c r="M30" s="105"/>
      <c r="AO30" s="61"/>
      <c r="AP30" s="93">
        <f>IF(DIAG!$T$22,$L$27,-1)</f>
        <v>-1</v>
      </c>
      <c r="AQ30" s="94">
        <f>AP30+(AY30-AP30)/9</f>
        <v>-1</v>
      </c>
      <c r="AR30" s="94">
        <f>AQ30+(AY30-AQ30)/8</f>
        <v>-1</v>
      </c>
      <c r="AS30" s="94">
        <f>AR30+(AY30-AR30)/7</f>
        <v>-1</v>
      </c>
      <c r="AT30" s="94">
        <f>AS30+(AY30-AS30)/6</f>
        <v>-1</v>
      </c>
      <c r="AU30" s="94">
        <f>AT30+(AY30-AT30)/5</f>
        <v>-1</v>
      </c>
      <c r="AV30" s="94">
        <f>AU30+(AY30-AU30)/4</f>
        <v>-1</v>
      </c>
      <c r="AW30" s="94">
        <f>AV30+(AY30-AV30)/3</f>
        <v>-1</v>
      </c>
      <c r="AX30" s="94">
        <f>AW30+(AY30-AW30)/2</f>
        <v>-1</v>
      </c>
      <c r="AY30" s="95">
        <f>IF(DIAG!$T$22,$C$27,-1)</f>
        <v>-1</v>
      </c>
      <c r="BA30" s="37" t="s">
        <v>85</v>
      </c>
      <c r="BB30" s="40">
        <f ca="1">IF(BB29=0,0,MAX(OFFSET(BC29,1,1,1,BB29)))</f>
        <v>16805</v>
      </c>
      <c r="BD30" s="40">
        <f>B9</f>
        <v>468</v>
      </c>
      <c r="BE30" s="40">
        <f>C9</f>
        <v>469</v>
      </c>
      <c r="BF30" s="40">
        <f>D9</f>
        <v>1875</v>
      </c>
      <c r="BG30" s="40">
        <f>E9</f>
        <v>16805</v>
      </c>
      <c r="BH30" s="40">
        <f>F9</f>
        <v>0</v>
      </c>
      <c r="BI30" s="40">
        <f>G9</f>
        <v>0</v>
      </c>
      <c r="BJ30" s="40">
        <f>H9</f>
        <v>0</v>
      </c>
      <c r="BK30" s="40">
        <f>I9</f>
        <v>0</v>
      </c>
      <c r="BL30" s="40">
        <f>J9</f>
        <v>0</v>
      </c>
      <c r="BM30" s="40">
        <f>K9</f>
        <v>0</v>
      </c>
    </row>
    <row r="31" spans="1:65" x14ac:dyDescent="0.2">
      <c r="A31" s="109"/>
      <c r="B31" s="110"/>
      <c r="D31" s="111"/>
      <c r="E31" s="111"/>
      <c r="F31" s="111"/>
      <c r="G31" s="112"/>
      <c r="H31" s="112"/>
      <c r="I31" s="112"/>
      <c r="J31" s="112"/>
      <c r="K31" s="112"/>
      <c r="S31" s="61"/>
      <c r="T31" s="61"/>
      <c r="U31" s="61"/>
      <c r="V31" s="61"/>
      <c r="W31" s="61"/>
      <c r="X31" s="61"/>
      <c r="Y31" s="61"/>
      <c r="Z31" s="61"/>
      <c r="AA31" s="61"/>
      <c r="AB31" s="61"/>
      <c r="AO31" s="61"/>
      <c r="AS31" s="61"/>
      <c r="AT31" s="61"/>
      <c r="AU31" s="61"/>
      <c r="BA31" s="37" t="s">
        <v>86</v>
      </c>
      <c r="BB31" s="40">
        <f ca="1">IF(BB29=0,0,MIN(OFFSET(BC29,1,1,1,BB29)))</f>
        <v>468</v>
      </c>
      <c r="BD31" s="35">
        <f ca="1">IF(BD30=0,0,LOG(BD30/$BB$31,10))</f>
        <v>0</v>
      </c>
      <c r="BE31" s="35">
        <f ca="1">IF(BE30=0,0,LOG(BE30/$BB$31,10))</f>
        <v>9.2698964095922723E-4</v>
      </c>
      <c r="BF31" s="35">
        <f ca="1">IF(BF30=0,0,LOG(BF30/$BB$31,10))</f>
        <v>0.6027554189896136</v>
      </c>
      <c r="BG31" s="35">
        <f ca="1">IF(BG30=0,0,LOG(BG30/$BB$31,10))</f>
        <v>1.555192663731372</v>
      </c>
      <c r="BH31" s="35">
        <f>IF(BH30=0,0,LOG(BH30/$BB$31,10))</f>
        <v>0</v>
      </c>
      <c r="BI31" s="35">
        <f>IF(BI30=0,0,LOG(BI30/$BB$31,10))</f>
        <v>0</v>
      </c>
      <c r="BJ31" s="35">
        <f>IF(BJ30=0,0,LOG(BJ30/$BB$31,10))</f>
        <v>0</v>
      </c>
      <c r="BK31" s="35">
        <f>IF(BK30=0,0,LOG(BK30/$BB$31,10))</f>
        <v>0</v>
      </c>
      <c r="BL31" s="35">
        <f>IF(BL30=0,0,LOG(BL30/$BB$31,10))</f>
        <v>0</v>
      </c>
      <c r="BM31" s="35">
        <f>IF(BM30=0,0,LOG(BM30/$BB$31,10))</f>
        <v>0</v>
      </c>
    </row>
    <row r="32" spans="1:65" x14ac:dyDescent="0.2">
      <c r="A32" s="109"/>
      <c r="B32" s="110"/>
      <c r="D32" s="111"/>
      <c r="E32" s="111"/>
      <c r="F32" s="111"/>
      <c r="G32" s="112"/>
      <c r="H32" s="112"/>
      <c r="I32" s="112"/>
      <c r="J32" s="112"/>
      <c r="K32" s="112"/>
      <c r="S32" s="61"/>
      <c r="T32" s="61"/>
      <c r="U32" s="61"/>
      <c r="V32" s="61"/>
      <c r="W32" s="61"/>
      <c r="X32" s="61"/>
      <c r="Y32" s="61"/>
      <c r="Z32" s="61"/>
      <c r="AA32" s="61"/>
      <c r="AB32" s="61"/>
      <c r="AN32" s="35" t="s">
        <v>42</v>
      </c>
      <c r="AO32" s="61"/>
      <c r="AP32" s="87">
        <f>IF(DIAG!$T$23,$L$26,-1)</f>
        <v>-1</v>
      </c>
      <c r="AQ32" s="88">
        <f>AP32+(AY32-AP32)/9</f>
        <v>-1</v>
      </c>
      <c r="AR32" s="88">
        <f>AQ32+(AY32-AQ32)/8</f>
        <v>-1</v>
      </c>
      <c r="AS32" s="88">
        <f>AR32+(AY32-AR32)/7</f>
        <v>-1</v>
      </c>
      <c r="AT32" s="88">
        <f>AS32+(AY32-AS32)/6</f>
        <v>-1</v>
      </c>
      <c r="AU32" s="88">
        <f>AT32+(AY32-AT32)/5</f>
        <v>-1</v>
      </c>
      <c r="AV32" s="88">
        <f>AU32+(AY32-AU32)/4</f>
        <v>-1</v>
      </c>
      <c r="AW32" s="88">
        <f>AV32+(AY32-AV32)/3</f>
        <v>-1</v>
      </c>
      <c r="AX32" s="88">
        <f>AW32+(AY32-AW32)/2</f>
        <v>-1</v>
      </c>
      <c r="AY32" s="89">
        <f>IF(DIAG!$T$23,$D$26,-1)</f>
        <v>-1</v>
      </c>
      <c r="BB32" s="43"/>
    </row>
    <row r="33" spans="1:73" x14ac:dyDescent="0.2">
      <c r="B33" s="110"/>
      <c r="D33" s="111"/>
      <c r="E33" s="111"/>
      <c r="F33" s="111"/>
      <c r="G33" s="112"/>
      <c r="H33" s="112"/>
      <c r="I33" s="112"/>
      <c r="J33" s="112"/>
      <c r="K33" s="112"/>
      <c r="S33" s="61"/>
      <c r="T33" s="61"/>
      <c r="U33" s="61"/>
      <c r="V33" s="61"/>
      <c r="W33" s="61"/>
      <c r="X33" s="61"/>
      <c r="Y33" s="61"/>
      <c r="Z33" s="61"/>
      <c r="AA33" s="61"/>
      <c r="AB33" s="61"/>
      <c r="AO33" s="61"/>
      <c r="AP33" s="93">
        <f>IF(DIAG!$T$23,$L$27,-1)</f>
        <v>-1</v>
      </c>
      <c r="AQ33" s="94">
        <f>AP33+(AY33-AP33)/9</f>
        <v>-1</v>
      </c>
      <c r="AR33" s="94">
        <f>AQ33+(AY33-AQ33)/8</f>
        <v>-1</v>
      </c>
      <c r="AS33" s="94">
        <f>AR33+(AY33-AR33)/7</f>
        <v>-1</v>
      </c>
      <c r="AT33" s="94">
        <f>AS33+(AY33-AS33)/6</f>
        <v>-1</v>
      </c>
      <c r="AU33" s="94">
        <f>AT33+(AY33-AT33)/5</f>
        <v>-1</v>
      </c>
      <c r="AV33" s="94">
        <f>AU33+(AY33-AU33)/4</f>
        <v>-1</v>
      </c>
      <c r="AW33" s="94">
        <f>AV33+(AY33-AV33)/3</f>
        <v>-1</v>
      </c>
      <c r="AX33" s="94">
        <f>AW33+(AY33-AW33)/2</f>
        <v>-1</v>
      </c>
      <c r="AY33" s="95">
        <f>IF(DIAG!$T$23,$D$27,-1)</f>
        <v>-1</v>
      </c>
      <c r="BA33" s="35" t="s">
        <v>88</v>
      </c>
      <c r="BB33" s="40">
        <f ca="1">IF(OR(BB29=0,BB30=BB31),1,LOG(BB30/BB31,10))</f>
        <v>1.555192663731372</v>
      </c>
      <c r="BD33" s="40">
        <f ca="1">BD31/$BB$33</f>
        <v>0</v>
      </c>
      <c r="BE33" s="35">
        <f ca="1">BE31/$BB$33</f>
        <v>5.9606096567810577E-4</v>
      </c>
      <c r="BF33" s="40">
        <f ca="1">BF31/$BB$33</f>
        <v>0.38757604317874239</v>
      </c>
      <c r="BG33" s="35">
        <f ca="1">BG31/$BB$33</f>
        <v>1</v>
      </c>
      <c r="BH33" s="35">
        <f ca="1">BH31/$BB$33</f>
        <v>0</v>
      </c>
      <c r="BI33" s="35">
        <f ca="1">BI31/$BB$33</f>
        <v>0</v>
      </c>
      <c r="BJ33" s="35">
        <f ca="1">BJ31/$BB$33</f>
        <v>0</v>
      </c>
      <c r="BK33" s="35">
        <f ca="1">BK31/$BB$33</f>
        <v>0</v>
      </c>
      <c r="BL33" s="35">
        <f ca="1">BL31/$BB$33</f>
        <v>0</v>
      </c>
      <c r="BM33" s="35">
        <f ca="1">BM31/$BB$33</f>
        <v>0</v>
      </c>
    </row>
    <row r="34" spans="1:73" x14ac:dyDescent="0.2">
      <c r="A34" s="113" t="s">
        <v>43</v>
      </c>
      <c r="B34" s="114"/>
      <c r="C34" s="114"/>
      <c r="D34" s="114"/>
      <c r="E34" s="114"/>
      <c r="F34" s="115"/>
      <c r="G34" s="116"/>
      <c r="H34" s="116"/>
      <c r="I34" s="116"/>
      <c r="J34" s="116"/>
      <c r="K34" s="116"/>
      <c r="L34" s="117"/>
      <c r="M34" s="117"/>
      <c r="N34" s="117"/>
      <c r="O34" s="117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17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18">
        <v>0</v>
      </c>
    </row>
    <row r="35" spans="1:73" x14ac:dyDescent="0.2">
      <c r="A35" s="119" t="s">
        <v>44</v>
      </c>
      <c r="B35" s="120"/>
      <c r="C35" s="120"/>
      <c r="D35" s="120" t="s">
        <v>45</v>
      </c>
      <c r="E35" s="121">
        <f>-1/SQRT(3)</f>
        <v>-0.57735026918962584</v>
      </c>
      <c r="F35" s="121">
        <v>0</v>
      </c>
      <c r="G35" s="122">
        <f>1/SQRT(3)</f>
        <v>0.57735026918962584</v>
      </c>
      <c r="H35" s="122"/>
      <c r="I35" s="122"/>
      <c r="J35" s="122"/>
      <c r="K35" s="122"/>
      <c r="O35" s="61">
        <f>-1/SQRT(3)</f>
        <v>-0.57735026918962584</v>
      </c>
      <c r="P35" s="123">
        <f t="shared" ref="P35:X35" si="15">-1/SQRT(3)+P34*(1/SQRT(3)/10)</f>
        <v>-0.51961524227066325</v>
      </c>
      <c r="Q35" s="123">
        <f t="shared" si="15"/>
        <v>-0.46188021535170065</v>
      </c>
      <c r="R35" s="123">
        <f t="shared" si="15"/>
        <v>-0.40414518843273811</v>
      </c>
      <c r="S35" s="123">
        <f t="shared" si="15"/>
        <v>-0.34641016151377552</v>
      </c>
      <c r="T35" s="123">
        <f>-1/SQRT(3)+T34*(1/SQRT(3)/10)</f>
        <v>-0.17320508075688779</v>
      </c>
      <c r="U35" s="123">
        <f>-1/SQRT(3)+U34*(1/SQRT(3)/10)</f>
        <v>-0.17320508075688779</v>
      </c>
      <c r="V35" s="123">
        <f t="shared" si="15"/>
        <v>-0.17320508075688779</v>
      </c>
      <c r="W35" s="123">
        <f t="shared" si="15"/>
        <v>-0.11547005383792519</v>
      </c>
      <c r="X35" s="123">
        <f t="shared" si="15"/>
        <v>-5.7735026918962595E-2</v>
      </c>
      <c r="Y35" s="61">
        <f>-1/SQRT(3)+Y34*(1/SQRT(3)/10)</f>
        <v>0</v>
      </c>
      <c r="Z35" s="123">
        <f t="shared" ref="Z35:AH35" si="16">1/SQRT(3)-Z34*1/SQRT(3)/10</f>
        <v>5.7735026918962595E-2</v>
      </c>
      <c r="AA35" s="123">
        <f t="shared" si="16"/>
        <v>0.11547005383792519</v>
      </c>
      <c r="AB35" s="123">
        <f t="shared" si="16"/>
        <v>0.17320508075688779</v>
      </c>
      <c r="AC35" s="123">
        <f t="shared" si="16"/>
        <v>0.23094010767585038</v>
      </c>
      <c r="AD35" s="123">
        <f t="shared" si="16"/>
        <v>0.28867513459481292</v>
      </c>
      <c r="AE35" s="123">
        <f t="shared" si="16"/>
        <v>0.34641016151377552</v>
      </c>
      <c r="AF35" s="123">
        <f t="shared" si="16"/>
        <v>0.40414518843273811</v>
      </c>
      <c r="AG35" s="123">
        <f t="shared" si="16"/>
        <v>0.46188021535170065</v>
      </c>
      <c r="AH35" s="123">
        <f t="shared" si="16"/>
        <v>0.51961524227066325</v>
      </c>
      <c r="AI35" s="124">
        <f>1/SQRT(3)</f>
        <v>0.57735026918962584</v>
      </c>
      <c r="AN35" s="35" t="s">
        <v>46</v>
      </c>
      <c r="AP35" s="87">
        <f>IF(DIAG!$T$24,$L$26,-1)</f>
        <v>-1</v>
      </c>
      <c r="AQ35" s="88">
        <f>AP35+(AY35-AP35)/9</f>
        <v>-1</v>
      </c>
      <c r="AR35" s="88">
        <f>AQ35+(AY35-AQ35)/8</f>
        <v>-1</v>
      </c>
      <c r="AS35" s="88">
        <f>AR35+(AY35-AR35)/7</f>
        <v>-1</v>
      </c>
      <c r="AT35" s="88">
        <f>AS35+(AY35-AS35)/6</f>
        <v>-1</v>
      </c>
      <c r="AU35" s="88">
        <f>AT35+(AY35-AT35)/5</f>
        <v>-1</v>
      </c>
      <c r="AV35" s="88">
        <f>AU35+(AY35-AU35)/4</f>
        <v>-1</v>
      </c>
      <c r="AW35" s="88">
        <f>AV35+(AY35-AV35)/3</f>
        <v>-1</v>
      </c>
      <c r="AX35" s="88">
        <f>AW35+(AY35-AW35)/2</f>
        <v>-1</v>
      </c>
      <c r="AY35" s="89">
        <f>IF(DIAG!$T$24,$E$26,-1)</f>
        <v>-1</v>
      </c>
      <c r="BA35" s="35" t="s">
        <v>11</v>
      </c>
      <c r="BD35" s="35">
        <f ca="1">ROUND(10*BD33,0)</f>
        <v>0</v>
      </c>
      <c r="BE35" s="35">
        <f t="shared" ref="BE35:BM35" ca="1" si="17">ROUND(10*BE33,0)</f>
        <v>0</v>
      </c>
      <c r="BF35" s="35">
        <f ca="1">ROUND(10*BF33,0)</f>
        <v>4</v>
      </c>
      <c r="BG35" s="35">
        <f t="shared" ref="BG35" ca="1" si="18">ROUND(10*BG33,0)</f>
        <v>10</v>
      </c>
      <c r="BH35" s="35">
        <f t="shared" ca="1" si="17"/>
        <v>0</v>
      </c>
      <c r="BI35" s="35">
        <f t="shared" ca="1" si="17"/>
        <v>0</v>
      </c>
      <c r="BJ35" s="35">
        <f t="shared" ca="1" si="17"/>
        <v>0</v>
      </c>
      <c r="BK35" s="35">
        <f t="shared" ca="1" si="17"/>
        <v>0</v>
      </c>
      <c r="BL35" s="35">
        <f t="shared" ca="1" si="17"/>
        <v>0</v>
      </c>
      <c r="BM35" s="35">
        <f t="shared" ca="1" si="17"/>
        <v>0</v>
      </c>
      <c r="BN35" s="43"/>
    </row>
    <row r="36" spans="1:73" x14ac:dyDescent="0.2">
      <c r="A36" s="119" t="s">
        <v>47</v>
      </c>
      <c r="B36" s="120"/>
      <c r="C36" s="120"/>
      <c r="D36" s="120"/>
      <c r="E36" s="121">
        <v>0</v>
      </c>
      <c r="F36" s="121">
        <v>0</v>
      </c>
      <c r="G36" s="122">
        <v>0</v>
      </c>
      <c r="H36" s="122"/>
      <c r="I36" s="122"/>
      <c r="J36" s="122"/>
      <c r="K36" s="122"/>
      <c r="O36" s="61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61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4">
        <v>0</v>
      </c>
      <c r="AJ36" s="61"/>
      <c r="AK36" s="36"/>
      <c r="AL36" s="36"/>
      <c r="AM36" s="36"/>
      <c r="AP36" s="93">
        <f>IF(DIAG!$T$24,$L$27,-1)</f>
        <v>-1</v>
      </c>
      <c r="AQ36" s="94">
        <f>AP36+(AY36-AP36)/9</f>
        <v>-1</v>
      </c>
      <c r="AR36" s="94">
        <f>AQ36+(AY36-AQ36)/8</f>
        <v>-1</v>
      </c>
      <c r="AS36" s="94">
        <f>AR36+(AY36-AR36)/7</f>
        <v>-1</v>
      </c>
      <c r="AT36" s="94">
        <f>AS36+(AY36-AS36)/6</f>
        <v>-1</v>
      </c>
      <c r="AU36" s="94">
        <f>AT36+(AY36-AT36)/5</f>
        <v>-1</v>
      </c>
      <c r="AV36" s="94">
        <f>AU36+(AY36-AU36)/4</f>
        <v>-1</v>
      </c>
      <c r="AW36" s="94">
        <f>AV36+(AY36-AV36)/3</f>
        <v>-1</v>
      </c>
      <c r="AX36" s="94">
        <f>AW36+(AY36-AW36)/2</f>
        <v>-1</v>
      </c>
      <c r="AY36" s="95">
        <f>IF(DIAG!$T$24,$E$27,-1)</f>
        <v>-1</v>
      </c>
    </row>
    <row r="37" spans="1:73" x14ac:dyDescent="0.2">
      <c r="A37" s="125" t="s">
        <v>48</v>
      </c>
      <c r="B37" s="126"/>
      <c r="C37" s="126"/>
      <c r="D37" s="126"/>
      <c r="E37" s="127">
        <v>0</v>
      </c>
      <c r="F37" s="127">
        <v>1</v>
      </c>
      <c r="G37" s="128">
        <v>0</v>
      </c>
      <c r="H37" s="128"/>
      <c r="I37" s="128"/>
      <c r="J37" s="128"/>
      <c r="K37" s="128"/>
      <c r="L37" s="60"/>
      <c r="M37" s="60"/>
      <c r="N37" s="60"/>
      <c r="O37" s="60">
        <f>SQRT(3)*O35+1</f>
        <v>0</v>
      </c>
      <c r="P37" s="17">
        <f t="shared" ref="P37:X37" si="19">SQRT(3)*P35+1</f>
        <v>9.9999999999999978E-2</v>
      </c>
      <c r="Q37" s="17">
        <f t="shared" si="19"/>
        <v>0.19999999999999996</v>
      </c>
      <c r="R37" s="17">
        <f t="shared" si="19"/>
        <v>0.29999999999999993</v>
      </c>
      <c r="S37" s="17">
        <f t="shared" si="19"/>
        <v>0.39999999999999991</v>
      </c>
      <c r="T37" s="17">
        <f>SQRT(3)*T35+1</f>
        <v>0.7</v>
      </c>
      <c r="U37" s="17">
        <f>SQRT(3)*U35+1</f>
        <v>0.7</v>
      </c>
      <c r="V37" s="17">
        <f t="shared" si="19"/>
        <v>0.7</v>
      </c>
      <c r="W37" s="17">
        <f t="shared" si="19"/>
        <v>0.79999999999999993</v>
      </c>
      <c r="X37" s="17">
        <f t="shared" si="19"/>
        <v>0.89999999999999991</v>
      </c>
      <c r="Y37" s="60">
        <f>SQRT(3)*Y35+1</f>
        <v>1</v>
      </c>
      <c r="Z37" s="17">
        <f t="shared" ref="Z37:AH37" si="20">1-SQRT(3)*Z35</f>
        <v>0.89999999999999991</v>
      </c>
      <c r="AA37" s="17">
        <f t="shared" si="20"/>
        <v>0.79999999999999993</v>
      </c>
      <c r="AB37" s="17">
        <f t="shared" si="20"/>
        <v>0.7</v>
      </c>
      <c r="AC37" s="17">
        <f t="shared" si="20"/>
        <v>0.59999999999999987</v>
      </c>
      <c r="AD37" s="17">
        <f t="shared" si="20"/>
        <v>0.5</v>
      </c>
      <c r="AE37" s="17">
        <f t="shared" si="20"/>
        <v>0.39999999999999991</v>
      </c>
      <c r="AF37" s="17">
        <f t="shared" si="20"/>
        <v>0.29999999999999993</v>
      </c>
      <c r="AG37" s="17">
        <f t="shared" si="20"/>
        <v>0.19999999999999996</v>
      </c>
      <c r="AH37" s="17">
        <f t="shared" si="20"/>
        <v>9.9999999999999978E-2</v>
      </c>
      <c r="AI37" s="129">
        <f>1-SQRT(3)*AI35</f>
        <v>0</v>
      </c>
      <c r="AK37" s="36"/>
      <c r="AL37" s="36"/>
      <c r="AM37" s="36"/>
    </row>
    <row r="38" spans="1:73" x14ac:dyDescent="0.2">
      <c r="A38" s="109"/>
      <c r="B38" s="110"/>
      <c r="D38" s="111"/>
      <c r="E38" s="111"/>
      <c r="F38" s="111"/>
      <c r="G38" s="112"/>
      <c r="H38" s="112"/>
      <c r="I38" s="112"/>
      <c r="J38" s="112"/>
      <c r="K38" s="112"/>
      <c r="S38" s="61"/>
      <c r="T38" s="61"/>
      <c r="U38" s="61"/>
      <c r="V38" s="61"/>
      <c r="W38" s="61"/>
      <c r="X38" s="61"/>
      <c r="Y38" s="61"/>
      <c r="Z38" s="61"/>
      <c r="AA38" s="61"/>
      <c r="AB38" s="61"/>
      <c r="AK38" s="36"/>
      <c r="AL38" s="36"/>
      <c r="AM38" s="36"/>
      <c r="AN38" s="35" t="s">
        <v>49</v>
      </c>
      <c r="AP38" s="87">
        <f>IF(DIAG!$T$25,$L$26,-1)</f>
        <v>-1</v>
      </c>
      <c r="AQ38" s="88">
        <f>AP38+(AY38-AP38)/9</f>
        <v>-1</v>
      </c>
      <c r="AR38" s="88">
        <f>AQ38+(AY38-AQ38)/8</f>
        <v>-1</v>
      </c>
      <c r="AS38" s="88">
        <f>AR38+(AY38-AR38)/7</f>
        <v>-1</v>
      </c>
      <c r="AT38" s="88">
        <f>AS38+(AY38-AS38)/6</f>
        <v>-1</v>
      </c>
      <c r="AU38" s="88">
        <f>AT38+(AY38-AT38)/5</f>
        <v>-1</v>
      </c>
      <c r="AV38" s="88">
        <f>AU38+(AY38-AU38)/4</f>
        <v>-1</v>
      </c>
      <c r="AW38" s="88">
        <f>AV38+(AY38-AV38)/3</f>
        <v>-1</v>
      </c>
      <c r="AX38" s="88">
        <f>AW38+(AY38-AW38)/2</f>
        <v>-1</v>
      </c>
      <c r="AY38" s="89">
        <f>IF(DIAG!$T$25,$F$26,-1)</f>
        <v>-1</v>
      </c>
    </row>
    <row r="39" spans="1:73" x14ac:dyDescent="0.2">
      <c r="A39" s="130" t="s">
        <v>50</v>
      </c>
      <c r="B39" s="131"/>
      <c r="C39" s="131"/>
      <c r="D39" s="132"/>
      <c r="E39" s="132"/>
      <c r="F39" s="132"/>
      <c r="G39" s="133"/>
      <c r="H39" s="133"/>
      <c r="I39" s="133"/>
      <c r="J39" s="133"/>
      <c r="K39" s="133"/>
      <c r="L39" s="117"/>
      <c r="M39" s="117"/>
      <c r="N39" s="115" t="s">
        <v>45</v>
      </c>
      <c r="O39" s="116">
        <v>0</v>
      </c>
      <c r="P39" s="134">
        <f>AI35</f>
        <v>0.57735026918962584</v>
      </c>
      <c r="Q39" s="135">
        <f>O35</f>
        <v>-0.57735026918962584</v>
      </c>
      <c r="S39" s="61"/>
      <c r="T39" s="61"/>
      <c r="U39" s="61"/>
      <c r="V39" s="61"/>
      <c r="W39" s="61"/>
      <c r="X39" s="61"/>
      <c r="Y39" s="61"/>
      <c r="Z39" s="61"/>
      <c r="AA39" s="61"/>
      <c r="AB39" s="61"/>
      <c r="AK39" s="36"/>
      <c r="AL39" s="36"/>
      <c r="AM39" s="36"/>
      <c r="AP39" s="93">
        <f>IF(DIAG!$T$25,$L$27,-1)</f>
        <v>-1</v>
      </c>
      <c r="AQ39" s="94">
        <f>AP39+(AY39-AP39)/9</f>
        <v>-1</v>
      </c>
      <c r="AR39" s="94">
        <f>AQ39+(AY39-AQ39)/8</f>
        <v>-1</v>
      </c>
      <c r="AS39" s="94">
        <f>AR39+(AY39-AR39)/7</f>
        <v>-1</v>
      </c>
      <c r="AT39" s="94">
        <f>AS39+(AY39-AS39)/6</f>
        <v>-1</v>
      </c>
      <c r="AU39" s="94">
        <f>AT39+(AY39-AT39)/5</f>
        <v>-1</v>
      </c>
      <c r="AV39" s="94">
        <f>AU39+(AY39-AU39)/4</f>
        <v>-1</v>
      </c>
      <c r="AW39" s="94">
        <f>AV39+(AY39-AV39)/3</f>
        <v>-1</v>
      </c>
      <c r="AX39" s="94">
        <f>AW39+(AY39-AW39)/2</f>
        <v>-1</v>
      </c>
      <c r="AY39" s="95">
        <f>IF(DIAG!$T$25,$F$27,-1)</f>
        <v>-1</v>
      </c>
      <c r="BF39" s="35" t="s">
        <v>96</v>
      </c>
      <c r="BG39" s="35" t="s">
        <v>96</v>
      </c>
      <c r="BH39" s="35" t="s">
        <v>96</v>
      </c>
      <c r="BK39" s="36" t="s">
        <v>104</v>
      </c>
      <c r="BL39" s="36" t="s">
        <v>105</v>
      </c>
      <c r="BM39" s="36" t="s">
        <v>106</v>
      </c>
    </row>
    <row r="40" spans="1:73" x14ac:dyDescent="0.2">
      <c r="A40" s="136"/>
      <c r="N40" s="120" t="s">
        <v>5</v>
      </c>
      <c r="O40" s="137">
        <v>1</v>
      </c>
      <c r="P40" s="137"/>
      <c r="Q40" s="138"/>
      <c r="BE40" s="35" t="s">
        <v>45</v>
      </c>
      <c r="BF40" s="56">
        <f>BF43*$BK$40+BF45*$BL$40+BF47*$BM$40</f>
        <v>-0.57999999999999996</v>
      </c>
      <c r="BG40" s="56">
        <f>BG43*$BK$40+BG45*$BL$40+BG47*$BM$40</f>
        <v>0.57999999999999996</v>
      </c>
      <c r="BH40" s="56">
        <f>BH43*$BK$40+BH45*$BL$40+BH47*$BM$40</f>
        <v>0.57999999999999996</v>
      </c>
      <c r="BI40" s="56">
        <f>BI43*$BK$40+BI45*$BL$40+BI47*$BM$40</f>
        <v>-0.57999999999999996</v>
      </c>
      <c r="BJ40" s="56">
        <f>BJ43*$BK$40+BJ45*$BL$40+BJ47*$BM$40</f>
        <v>-0.57999999999999996</v>
      </c>
      <c r="BK40" s="57" t="b">
        <v>1</v>
      </c>
      <c r="BL40" s="57" t="b">
        <v>0</v>
      </c>
      <c r="BM40" s="57" t="b">
        <v>0</v>
      </c>
    </row>
    <row r="41" spans="1:73" x14ac:dyDescent="0.2">
      <c r="A41" s="136"/>
      <c r="N41" s="120" t="s">
        <v>7</v>
      </c>
      <c r="O41" s="137"/>
      <c r="P41" s="137">
        <v>0</v>
      </c>
      <c r="Q41" s="138"/>
      <c r="S41" s="35" t="s">
        <v>94</v>
      </c>
      <c r="Z41" s="35" t="s">
        <v>95</v>
      </c>
      <c r="AN41" s="35" t="s">
        <v>51</v>
      </c>
      <c r="AP41" s="87">
        <f>IF(DIAG!$T$26,$L$26,-1)</f>
        <v>-1</v>
      </c>
      <c r="AQ41" s="88">
        <f>AP41+(AY41-AP41)/9</f>
        <v>-1</v>
      </c>
      <c r="AR41" s="88">
        <f>AQ41+(AY41-AQ41)/8</f>
        <v>-1</v>
      </c>
      <c r="AS41" s="88">
        <f>AR41+(AY41-AR41)/7</f>
        <v>-1</v>
      </c>
      <c r="AT41" s="88">
        <f>AS41+(AY41-AS41)/6</f>
        <v>-1</v>
      </c>
      <c r="AU41" s="88">
        <f>AT41+(AY41-AT41)/5</f>
        <v>-1</v>
      </c>
      <c r="AV41" s="88">
        <f>AU41+(AY41-AU41)/4</f>
        <v>-1</v>
      </c>
      <c r="AW41" s="88">
        <f>AV41+(AY41-AV41)/3</f>
        <v>-1</v>
      </c>
      <c r="AX41" s="88">
        <f>AW41+(AY41-AW41)/2</f>
        <v>-1</v>
      </c>
      <c r="AY41" s="89">
        <f>IF(DIAG!$T$26,$G$26,-1)</f>
        <v>-1</v>
      </c>
      <c r="BE41" s="35" t="s">
        <v>54</v>
      </c>
      <c r="BF41" s="56">
        <f>BF44*$BK$40+BF46*$BL$40+BF48*$BM$40</f>
        <v>-0.1</v>
      </c>
      <c r="BG41" s="56">
        <f>BG44*$BK$40+BG46*$BL$40+BG48*$BM$40</f>
        <v>-0.1</v>
      </c>
      <c r="BH41" s="56">
        <f>BH44*$BK$40+BH46*$BL$40+BH48*$BM$40</f>
        <v>1.1000000000000001</v>
      </c>
      <c r="BI41" s="56">
        <f>BI44*$BK$40+BI46*$BL$40+BI48*$BM$40</f>
        <v>1.1000000000000001</v>
      </c>
      <c r="BJ41" s="56">
        <f>BJ44*$BK$40+BJ46*$BL$40+BJ48*$BM$40</f>
        <v>-0.1</v>
      </c>
    </row>
    <row r="42" spans="1:73" x14ac:dyDescent="0.2">
      <c r="A42" s="139"/>
      <c r="B42" s="60"/>
      <c r="C42" s="60"/>
      <c r="D42" s="60"/>
      <c r="E42" s="60"/>
      <c r="F42" s="60"/>
      <c r="G42" s="140"/>
      <c r="H42" s="140"/>
      <c r="I42" s="140"/>
      <c r="J42" s="140"/>
      <c r="K42" s="140"/>
      <c r="L42" s="60"/>
      <c r="M42" s="60"/>
      <c r="N42" s="126" t="s">
        <v>6</v>
      </c>
      <c r="O42" s="141"/>
      <c r="P42" s="141"/>
      <c r="Q42" s="142">
        <v>0</v>
      </c>
      <c r="S42" s="143">
        <v>-0.35799999999999998</v>
      </c>
      <c r="T42" s="143"/>
      <c r="Z42" s="35">
        <v>0</v>
      </c>
      <c r="AA42" s="35">
        <v>0</v>
      </c>
      <c r="AP42" s="93">
        <f>IF(DIAG!$T$26,$L$27,-1)</f>
        <v>-1</v>
      </c>
      <c r="AQ42" s="94">
        <f>AP42+(AY42-AP42)/9</f>
        <v>-1</v>
      </c>
      <c r="AR42" s="94">
        <f>AQ42+(AY42-AQ42)/8</f>
        <v>-1</v>
      </c>
      <c r="AS42" s="94">
        <f>AR42+(AY42-AR42)/7</f>
        <v>-1</v>
      </c>
      <c r="AT42" s="94">
        <f>AS42+(AY42-AS42)/6</f>
        <v>-1</v>
      </c>
      <c r="AU42" s="94">
        <f>AT42+(AY42-AT42)/5</f>
        <v>-1</v>
      </c>
      <c r="AV42" s="94">
        <f>AU42+(AY42-AU42)/4</f>
        <v>-1</v>
      </c>
      <c r="AW42" s="94">
        <f>AV42+(AY42-AV42)/3</f>
        <v>-1</v>
      </c>
      <c r="AX42" s="94">
        <f>AW42+(AY42-AW42)/2</f>
        <v>-1</v>
      </c>
      <c r="AY42" s="95">
        <f>IF(DIAG!$T$26,$G$27,-1)</f>
        <v>-1</v>
      </c>
      <c r="BK42" s="60"/>
      <c r="BL42" s="60" t="s">
        <v>103</v>
      </c>
      <c r="BM42" s="60"/>
      <c r="BN42" s="60"/>
      <c r="BO42" s="60"/>
      <c r="BU42" s="36"/>
    </row>
    <row r="43" spans="1:73" x14ac:dyDescent="0.2">
      <c r="A43" s="109"/>
      <c r="B43" s="110"/>
      <c r="D43" s="111"/>
      <c r="E43" s="111"/>
      <c r="F43" s="111"/>
      <c r="G43" s="112"/>
      <c r="H43" s="112"/>
      <c r="I43" s="112"/>
      <c r="J43" s="112"/>
      <c r="K43" s="112"/>
      <c r="S43" s="61">
        <f>IF(DIAG!$X$42,0.5,-1)</f>
        <v>-1</v>
      </c>
      <c r="T43" s="61"/>
      <c r="U43" s="61"/>
      <c r="V43" s="61"/>
      <c r="W43" s="61"/>
      <c r="X43" s="61"/>
      <c r="Y43" s="61"/>
      <c r="Z43" s="143">
        <f>IF(DIAG!$X$42,-0.027,-1)</f>
        <v>-1</v>
      </c>
      <c r="AA43" s="143">
        <f>IF(DIAG!$X$42,1.02,-1)</f>
        <v>-1</v>
      </c>
      <c r="AB43" s="61"/>
      <c r="AC43" s="61"/>
      <c r="AD43" s="61"/>
      <c r="AE43" s="61"/>
      <c r="BE43" s="35" t="s">
        <v>98</v>
      </c>
      <c r="BF43" s="56">
        <v>-0.57999999999999996</v>
      </c>
      <c r="BG43" s="56">
        <v>0.57999999999999996</v>
      </c>
      <c r="BH43" s="56">
        <v>0.57999999999999996</v>
      </c>
      <c r="BI43" s="56">
        <v>-0.57999999999999996</v>
      </c>
      <c r="BJ43" s="56">
        <v>-0.57999999999999996</v>
      </c>
      <c r="BK43" s="56">
        <v>-0.57999999999999996</v>
      </c>
      <c r="BL43" s="56">
        <v>0.57999999999999996</v>
      </c>
      <c r="BM43" s="56">
        <v>0.57999999999999996</v>
      </c>
      <c r="BN43" s="56">
        <v>-0.57999999999999996</v>
      </c>
      <c r="BO43" s="56">
        <v>-0.57999999999999996</v>
      </c>
    </row>
    <row r="44" spans="1:73" x14ac:dyDescent="0.2">
      <c r="A44" s="109"/>
      <c r="B44" s="110"/>
      <c r="D44" s="111"/>
      <c r="E44" s="111"/>
      <c r="F44" s="111"/>
      <c r="G44" s="112"/>
      <c r="H44" s="112"/>
      <c r="I44" s="112" t="str">
        <f>CONCATENATE("texto1",CHAR(10),"texto2")</f>
        <v>texto1
texto2</v>
      </c>
      <c r="J44" s="112"/>
      <c r="K44" s="112"/>
      <c r="N44" s="60"/>
      <c r="S44" s="61"/>
      <c r="T44" s="61"/>
      <c r="U44" s="61"/>
      <c r="V44" s="61"/>
      <c r="W44" s="61"/>
      <c r="X44" s="61"/>
      <c r="Y44" s="61"/>
      <c r="Z44" s="61"/>
      <c r="AA44" s="61"/>
      <c r="AB44" s="61"/>
      <c r="AN44" s="35" t="s">
        <v>76</v>
      </c>
      <c r="AP44" s="87">
        <f>IF(DIAG!$T$27,$L$26,-1)</f>
        <v>-1</v>
      </c>
      <c r="AQ44" s="88">
        <f>AP44+(AY44-AP44)/9</f>
        <v>-1</v>
      </c>
      <c r="AR44" s="88">
        <f>AQ44+(AY44-AQ44)/8</f>
        <v>-1</v>
      </c>
      <c r="AS44" s="88">
        <f>AR44+(AY44-AR44)/7</f>
        <v>-1</v>
      </c>
      <c r="AT44" s="88">
        <f>AS44+(AY44-AS44)/6</f>
        <v>-1</v>
      </c>
      <c r="AU44" s="88">
        <f>AT44+(AY44-AT44)/5</f>
        <v>-1</v>
      </c>
      <c r="AV44" s="88">
        <f>AU44+(AY44-AU44)/4</f>
        <v>-1</v>
      </c>
      <c r="AW44" s="88">
        <f>AV44+(AY44-AV44)/3</f>
        <v>-1</v>
      </c>
      <c r="AX44" s="88">
        <f>AW44+(AY44-AW44)/2</f>
        <v>-1</v>
      </c>
      <c r="AY44" s="89">
        <f>IF(DIAG!$T$27,$H$26,-1)</f>
        <v>-1</v>
      </c>
      <c r="BE44" s="35" t="s">
        <v>99</v>
      </c>
      <c r="BF44" s="56">
        <v>-0.1</v>
      </c>
      <c r="BG44" s="56">
        <v>-0.1</v>
      </c>
      <c r="BH44" s="56">
        <v>1.1000000000000001</v>
      </c>
      <c r="BI44" s="56">
        <v>1.1000000000000001</v>
      </c>
      <c r="BJ44" s="56">
        <v>-0.1</v>
      </c>
      <c r="BK44" s="56">
        <v>-0.1</v>
      </c>
      <c r="BL44" s="56">
        <v>-0.1</v>
      </c>
      <c r="BM44" s="56">
        <v>1.1000000000000001</v>
      </c>
      <c r="BN44" s="56">
        <v>1.1000000000000001</v>
      </c>
      <c r="BO44" s="56">
        <v>-0.1</v>
      </c>
    </row>
    <row r="45" spans="1:73" x14ac:dyDescent="0.2">
      <c r="A45" s="144" t="s">
        <v>52</v>
      </c>
      <c r="B45" s="145"/>
      <c r="C45" s="145"/>
      <c r="D45" s="145"/>
      <c r="E45" s="145"/>
      <c r="F45" s="117" t="s">
        <v>6</v>
      </c>
      <c r="G45" s="146"/>
      <c r="H45" s="146"/>
      <c r="I45" s="146"/>
      <c r="J45" s="146"/>
      <c r="K45" s="146"/>
      <c r="L45" s="147">
        <f>DIAG!$T$46*2/100</f>
        <v>0.2</v>
      </c>
      <c r="M45" s="115"/>
      <c r="N45" s="120" t="str">
        <f>IF(DIAG!$T$43,CONCATENATE("N=",TRUNC(L45/2,2)),"")</f>
        <v/>
      </c>
      <c r="O45" s="115">
        <f>IF(DIAG!$T$43,IF(1-$L$45-SQRT(3)*(O35)&gt;1,1,1-$L$45-SQRT(3)*(O35)),-1)</f>
        <v>-1</v>
      </c>
      <c r="P45" s="115">
        <f>IF(DIAG!$T$43,IF(1-$L$45-SQRT(3)*(P35)&gt;1,1,1-$L$45-SQRT(3)*(P35)),-1)</f>
        <v>-1</v>
      </c>
      <c r="Q45" s="115">
        <f>IF(DIAG!$T$43,IF(1-$L$45-SQRT(3)*(Q35)&gt;1,1,1-$L$45-SQRT(3)*(Q35)),-1)</f>
        <v>-1</v>
      </c>
      <c r="R45" s="115">
        <f>IF(DIAG!$T$43,IF(1-$L$45-SQRT(3)*(R35)&gt;1,1,1-$L$45-SQRT(3)*(R35)),-1)</f>
        <v>-1</v>
      </c>
      <c r="S45" s="115">
        <f>IF(DIAG!$T$43,IF(1-$L$45-SQRT(3)*(S35)&gt;1,1,1-$L$45-SQRT(3)*(S35)),-1)</f>
        <v>-1</v>
      </c>
      <c r="T45" s="115">
        <f>IF(DIAG!$T$43,IF(1-$L$45-SQRT(3)*(T35)&gt;1,1,1-$L$45-SQRT(3)*(T35)),-1)</f>
        <v>-1</v>
      </c>
      <c r="U45" s="115">
        <f>IF(DIAG!$T$43,IF(1-$L$45-SQRT(3)*(U35)&gt;1,1,1-$L$45-SQRT(3)*(U35)),-1)</f>
        <v>-1</v>
      </c>
      <c r="V45" s="115">
        <f>IF(DIAG!$T$43,IF(1-$L$45-SQRT(3)*(V35)&gt;1,1,1-$L$45-SQRT(3)*(V35)),-1)</f>
        <v>-1</v>
      </c>
      <c r="W45" s="115">
        <f>IF(DIAG!$T$43,IF(1-$L$45-SQRT(3)*(W35)&gt;1,1,1-$L$45-SQRT(3)*(W35)),-1)</f>
        <v>-1</v>
      </c>
      <c r="X45" s="115">
        <f>IF(DIAG!$T$43,IF(1-$L$45-SQRT(3)*(X35)&gt;1,1,1-$L$45-SQRT(3)*(X35)),-1)</f>
        <v>-1</v>
      </c>
      <c r="Y45" s="115">
        <f>IF(DIAG!$T$43,IF(1-$L$45-SQRT(3)*(Y35)&gt;1,1,1-$L$45-SQRT(3)*(Y35)),-1)</f>
        <v>-1</v>
      </c>
      <c r="Z45" s="115">
        <f>IF(DIAG!$T$43,IF(1-$L$45-SQRT(3)*(Z35)&gt;1,1,1-$L$45-SQRT(3)*(Z35)),-1)</f>
        <v>-1</v>
      </c>
      <c r="AA45" s="115">
        <f>IF(DIAG!$T$43,IF(1-$L$45-SQRT(3)*(AA35)&gt;1,1,1-$L$45-SQRT(3)*(AA35)),-1)</f>
        <v>-1</v>
      </c>
      <c r="AB45" s="115">
        <f>IF(DIAG!$T$43,IF(1-$L$45-SQRT(3)*(AB35)&gt;1,1,1-$L$45-SQRT(3)*(AB35)),-1)</f>
        <v>-1</v>
      </c>
      <c r="AC45" s="115">
        <f>IF(DIAG!$T$43,IF(1-$L$45-SQRT(3)*(AC35)&gt;1,1,1-$L$45-SQRT(3)*(AC35)),-1)</f>
        <v>-1</v>
      </c>
      <c r="AD45" s="115">
        <f>IF(DIAG!$T$43,IF(1-$L$45-SQRT(3)*(AD35)&gt;1,1,1-$L$45-SQRT(3)*(AD35)),-1)</f>
        <v>-1</v>
      </c>
      <c r="AE45" s="115">
        <f>IF(DIAG!$T$43,IF(1-$L$45-SQRT(3)*(AE35)&gt;1,1,1-$L$45-SQRT(3)*(AE35)),-1)</f>
        <v>-1</v>
      </c>
      <c r="AF45" s="115">
        <f>IF(DIAG!$T$43,IF(1-$L$45-SQRT(3)*(AF35)&gt;1,1,1-$L$45-SQRT(3)*(AF35)),-1)</f>
        <v>-1</v>
      </c>
      <c r="AG45" s="115">
        <f>IF(DIAG!$T$43,IF(1-$L$45-SQRT(3)*(AG35)&gt;1,1,1-$L$45-SQRT(3)*(AG35)),-1)</f>
        <v>-1</v>
      </c>
      <c r="AH45" s="115">
        <f>IF(DIAG!$T$43,IF(1-$L$45-SQRT(3)*(AH35)&gt;1,1,1-$L$45-SQRT(3)*(AH35)),-1)</f>
        <v>-1</v>
      </c>
      <c r="AI45" s="148">
        <f>IF(DIAG!$T$43,IF(1-$L$45-SQRT(3)*(AI35)&gt;1,1,1-$L$45-SQRT(3)*(AI35)),-1)</f>
        <v>-1</v>
      </c>
      <c r="AP45" s="93">
        <f>IF(DIAG!$T$27,$L$27,-1)</f>
        <v>-1</v>
      </c>
      <c r="AQ45" s="94">
        <f>AP45+(AY45-AP45)/9</f>
        <v>-1</v>
      </c>
      <c r="AR45" s="94">
        <f>AQ45+(AY45-AQ45)/8</f>
        <v>-1</v>
      </c>
      <c r="AS45" s="94">
        <f>AR45+(AY45-AR45)/7</f>
        <v>-1</v>
      </c>
      <c r="AT45" s="94">
        <f>AS45+(AY45-AS45)/6</f>
        <v>-1</v>
      </c>
      <c r="AU45" s="94">
        <f>AT45+(AY45-AT45)/5</f>
        <v>-1</v>
      </c>
      <c r="AV45" s="94">
        <f>AU45+(AY45-AU45)/4</f>
        <v>-1</v>
      </c>
      <c r="AW45" s="94">
        <f>AV45+(AY45-AV45)/3</f>
        <v>-1</v>
      </c>
      <c r="AX45" s="94">
        <f>AW45+(AY45-AW45)/2</f>
        <v>-1</v>
      </c>
      <c r="AY45" s="95">
        <f>IF(DIAG!$T$27,$H$27,-1)</f>
        <v>-1</v>
      </c>
      <c r="BE45" s="35" t="s">
        <v>97</v>
      </c>
      <c r="BF45" s="56">
        <v>-0.57999999999999996</v>
      </c>
      <c r="BG45" s="56">
        <v>0</v>
      </c>
      <c r="BH45" s="56">
        <v>0</v>
      </c>
      <c r="BI45" s="56">
        <v>-0.57999999999999996</v>
      </c>
      <c r="BJ45" s="56">
        <v>-0.57999999999999996</v>
      </c>
      <c r="BK45" s="56">
        <v>-0.57999999999999996</v>
      </c>
      <c r="BL45" s="56">
        <v>0</v>
      </c>
      <c r="BM45" s="56">
        <v>0</v>
      </c>
      <c r="BN45" s="56">
        <v>-0.57999999999999996</v>
      </c>
      <c r="BO45" s="56">
        <v>-0.57999999999999996</v>
      </c>
    </row>
    <row r="46" spans="1:73" x14ac:dyDescent="0.2">
      <c r="A46" s="136"/>
      <c r="F46" s="35" t="s">
        <v>7</v>
      </c>
      <c r="L46" s="149">
        <f>DIAG!$T$47*2/100</f>
        <v>0.2</v>
      </c>
      <c r="M46" s="120"/>
      <c r="N46" s="120" t="str">
        <f>IF(DIAG!$T$44,CONCATENATE("F=",TRUNC(L46/2,2),CHAR(10),"EYR=",TRUNC(2/L46,2),CHAR(10),"EIR= ",TRUNC(L46/(2*(1-L46/2)),2)),"")</f>
        <v/>
      </c>
      <c r="O46" s="120">
        <f>IF(DIAG!$T$44,IF(1-$L$46+SQRT(3)*(O35)&gt;1,1,1-$L$46+SQRT(3)*(O35)),-1)</f>
        <v>-1</v>
      </c>
      <c r="P46" s="120">
        <f>IF(DIAG!$T$44,IF(1-$L$46+SQRT(3)*(P35)&gt;1,1,1-$L$46+SQRT(3)*(P35)),-1)</f>
        <v>-1</v>
      </c>
      <c r="Q46" s="120">
        <f>IF(DIAG!$T$44,IF(1-$L$46+SQRT(3)*(Q35)&gt;1,1,1-$L$46+SQRT(3)*(Q35)),-1)</f>
        <v>-1</v>
      </c>
      <c r="R46" s="120">
        <f>IF(DIAG!$T$44,IF(1-$L$46+SQRT(3)*(R35)&gt;1,1,1-$L$46+SQRT(3)*(R35)),-1)</f>
        <v>-1</v>
      </c>
      <c r="S46" s="120">
        <f>IF(DIAG!$T$44,IF(1-$L$46+SQRT(3)*(S35)&gt;1,1,1-$L$46+SQRT(3)*(S35)),-1)</f>
        <v>-1</v>
      </c>
      <c r="T46" s="120">
        <f>IF(DIAG!$T$44,IF(1-$L$46+SQRT(3)*(T35)&gt;1,1,1-$L$46+SQRT(3)*(T35)),-1)</f>
        <v>-1</v>
      </c>
      <c r="U46" s="120">
        <f>IF(DIAG!$T$44,IF(1-$L$46+SQRT(3)*(U35)&gt;1,1,1-$L$46+SQRT(3)*(U35)),-1)</f>
        <v>-1</v>
      </c>
      <c r="V46" s="120">
        <f>IF(DIAG!$T$44,IF(1-$L$46+SQRT(3)*(V35)&gt;1,1,1-$L$46+SQRT(3)*(V35)),-1)</f>
        <v>-1</v>
      </c>
      <c r="W46" s="120">
        <f>IF(DIAG!$T$44,IF(1-$L$46+SQRT(3)*(W35)&gt;1,1,1-$L$46+SQRT(3)*(W35)),-1)</f>
        <v>-1</v>
      </c>
      <c r="X46" s="120">
        <f>IF(DIAG!$T$44,IF(1-$L$46+SQRT(3)*(X35)&gt;1,1,1-$L$46+SQRT(3)*(X35)),-1)</f>
        <v>-1</v>
      </c>
      <c r="Y46" s="120">
        <f>IF(DIAG!$T$44,IF(1-$L$46+SQRT(3)*(Y35)&gt;1,1,1-$L$46+SQRT(3)*(Y35)),-1)</f>
        <v>-1</v>
      </c>
      <c r="Z46" s="120">
        <f>IF(DIAG!$T$44,IF(1-$L$46+SQRT(3)*(Z35)&gt;1,1,1-$L$46+SQRT(3)*(Z35)),-1)</f>
        <v>-1</v>
      </c>
      <c r="AA46" s="120">
        <f>IF(DIAG!$T$44,IF(1-$L$46+SQRT(3)*(AA35)&gt;1,1,1-$L$46+SQRT(3)*(AA35)),-1)</f>
        <v>-1</v>
      </c>
      <c r="AB46" s="120">
        <f>IF(DIAG!$T$44,IF(1-$L$46+SQRT(3)*(AB35)&gt;1,1,1-$L$46+SQRT(3)*(AB35)),-1)</f>
        <v>-1</v>
      </c>
      <c r="AC46" s="120">
        <f>IF(DIAG!$T$44,IF(1-$L$46+SQRT(3)*(AC35)&gt;1,1,1-$L$46+SQRT(3)*(AC35)),-1)</f>
        <v>-1</v>
      </c>
      <c r="AD46" s="120">
        <f>IF(DIAG!$T$44,IF(1-$L$46+SQRT(3)*(AD35)&gt;1,1,1-$L$46+SQRT(3)*(AD35)),-1)</f>
        <v>-1</v>
      </c>
      <c r="AE46" s="120">
        <f>IF(DIAG!$T$44,IF(1-$L$46+SQRT(3)*(AE35)&gt;1,1,1-$L$46+SQRT(3)*(AE35)),-1)</f>
        <v>-1</v>
      </c>
      <c r="AF46" s="120">
        <f>IF(DIAG!$T$44,IF(1-$L$46+SQRT(3)*(AF35)&gt;1,1,1-$L$46+SQRT(3)*(AF35)),-1)</f>
        <v>-1</v>
      </c>
      <c r="AG46" s="120">
        <f>IF(DIAG!$T$44,IF(1-$L$46+SQRT(3)*(AG35)&gt;1,1,1-$L$46+SQRT(3)*(AG35)),-1)</f>
        <v>-1</v>
      </c>
      <c r="AH46" s="120">
        <f>IF(DIAG!$T$44,IF(1-$L$46+SQRT(3)*(AH35)&gt;1,1,1-$L$46+SQRT(3)*(AH35)),-1)</f>
        <v>-1</v>
      </c>
      <c r="AI46" s="150">
        <f>IF(DIAG!$T$44,IF(1-$L$46+SQRT(3)*(AI35)&gt;1,1,1-$L$46+SQRT(3)*(AI35)),-1)</f>
        <v>-1</v>
      </c>
      <c r="BE46" s="35" t="s">
        <v>100</v>
      </c>
      <c r="BF46" s="56">
        <v>0</v>
      </c>
      <c r="BG46" s="56">
        <v>0</v>
      </c>
      <c r="BH46" s="56">
        <v>0.5</v>
      </c>
      <c r="BI46" s="56">
        <v>0.5</v>
      </c>
      <c r="BJ46" s="56">
        <v>0</v>
      </c>
      <c r="BK46" s="56">
        <v>0</v>
      </c>
      <c r="BL46" s="56">
        <v>0</v>
      </c>
      <c r="BM46" s="56">
        <v>0.5</v>
      </c>
      <c r="BN46" s="56">
        <v>0.5</v>
      </c>
      <c r="BO46" s="56">
        <v>0</v>
      </c>
    </row>
    <row r="47" spans="1:73" x14ac:dyDescent="0.2">
      <c r="A47" s="139"/>
      <c r="B47" s="60"/>
      <c r="C47" s="60"/>
      <c r="D47" s="60"/>
      <c r="E47" s="60"/>
      <c r="F47" s="60" t="s">
        <v>5</v>
      </c>
      <c r="G47" s="140"/>
      <c r="H47" s="140"/>
      <c r="I47" s="140"/>
      <c r="J47" s="140"/>
      <c r="K47" s="140"/>
      <c r="L47" s="151">
        <f>DIAG!$T$45/100</f>
        <v>0.1</v>
      </c>
      <c r="M47" s="126"/>
      <c r="N47" s="126" t="str">
        <f>IF(DIAG!$T$42,CONCATENATE("R = ",L47,CHAR(10),"ELR=",TRUNC((1-L47)/(L47),2)),"")</f>
        <v/>
      </c>
      <c r="O47" s="126">
        <f>IF(DIAG!$T$42,$L$47,-1)</f>
        <v>-1</v>
      </c>
      <c r="P47" s="126">
        <f>IF(DIAG!$T$42,$L$47,-1)</f>
        <v>-1</v>
      </c>
      <c r="Q47" s="126">
        <f>IF(DIAG!$T$42,$L$47,-1)</f>
        <v>-1</v>
      </c>
      <c r="R47" s="126">
        <f>IF(DIAG!$T$42,$L$47,-1)</f>
        <v>-1</v>
      </c>
      <c r="S47" s="126">
        <f>IF(DIAG!$T$42,$L$47,-1)</f>
        <v>-1</v>
      </c>
      <c r="T47" s="126">
        <f>IF(DIAG!$T$42,$L$47,-1)</f>
        <v>-1</v>
      </c>
      <c r="U47" s="126">
        <f>IF(DIAG!$T$42,$L$47,-1)</f>
        <v>-1</v>
      </c>
      <c r="V47" s="126">
        <f>IF(DIAG!$T$42,$L$47,-1)</f>
        <v>-1</v>
      </c>
      <c r="W47" s="126">
        <f>IF(DIAG!$T$42,$L$47,-1)</f>
        <v>-1</v>
      </c>
      <c r="X47" s="126">
        <f>IF(DIAG!$T$42,$L$47,-1)</f>
        <v>-1</v>
      </c>
      <c r="Y47" s="126">
        <f>IF(DIAG!$T$42,$L$47,-1)</f>
        <v>-1</v>
      </c>
      <c r="Z47" s="126">
        <f>IF(DIAG!$T$42,$L$47,-1)</f>
        <v>-1</v>
      </c>
      <c r="AA47" s="126">
        <f>IF(DIAG!$T$42,$L$47,-1)</f>
        <v>-1</v>
      </c>
      <c r="AB47" s="126">
        <f>IF(DIAG!$T$42,$L$47,-1)</f>
        <v>-1</v>
      </c>
      <c r="AC47" s="126">
        <f>IF(DIAG!$T$42,$L$47,-1)</f>
        <v>-1</v>
      </c>
      <c r="AD47" s="126">
        <f>IF(DIAG!$T$42,$L$47,-1)</f>
        <v>-1</v>
      </c>
      <c r="AE47" s="126">
        <f>IF(DIAG!$T$42,$L$47,-1)</f>
        <v>-1</v>
      </c>
      <c r="AF47" s="126">
        <f>IF(DIAG!$T$42,$L$47,-1)</f>
        <v>-1</v>
      </c>
      <c r="AG47" s="126">
        <f>IF(DIAG!$T$42,$L$47,-1)</f>
        <v>-1</v>
      </c>
      <c r="AH47" s="126">
        <f>IF(DIAG!$T$42,$L$47,-1)</f>
        <v>-1</v>
      </c>
      <c r="AI47" s="152">
        <f>IF(DIAG!$T$42,$L$47,-1)</f>
        <v>-1</v>
      </c>
      <c r="AN47" s="35" t="s">
        <v>77</v>
      </c>
      <c r="AP47" s="87">
        <f>IF(DIAG!$T$28,$L$26,-1)</f>
        <v>-1</v>
      </c>
      <c r="AQ47" s="88">
        <f>AP47+(AY47-AP47)/9</f>
        <v>-1</v>
      </c>
      <c r="AR47" s="88">
        <f>AQ47+(AY47-AQ47)/8</f>
        <v>-1</v>
      </c>
      <c r="AS47" s="88">
        <f>AR47+(AY47-AR47)/7</f>
        <v>-1</v>
      </c>
      <c r="AT47" s="88">
        <f>AS47+(AY47-AS47)/6</f>
        <v>-1</v>
      </c>
      <c r="AU47" s="88">
        <f>AT47+(AY47-AT47)/5</f>
        <v>-1</v>
      </c>
      <c r="AV47" s="88">
        <f>AU47+(AY47-AU47)/4</f>
        <v>-1</v>
      </c>
      <c r="AW47" s="88">
        <f>AV47+(AY47-AV47)/3</f>
        <v>-1</v>
      </c>
      <c r="AX47" s="88">
        <f>AW47+(AY47-AW47)/2</f>
        <v>-1</v>
      </c>
      <c r="AY47" s="89">
        <f>IF(DIAG!$T$28,$I$26,-1)</f>
        <v>-1</v>
      </c>
      <c r="BE47" s="35" t="s">
        <v>101</v>
      </c>
      <c r="BF47" s="56">
        <v>-0.14499999999999991</v>
      </c>
      <c r="BG47" s="56">
        <v>0.14500000000000002</v>
      </c>
      <c r="BH47" s="56">
        <v>0.14500000000000002</v>
      </c>
      <c r="BI47" s="56">
        <v>-0.14499999999999991</v>
      </c>
      <c r="BJ47" s="56">
        <v>-0.14499999999999991</v>
      </c>
      <c r="BK47" s="56">
        <v>-0.57999999999999996</v>
      </c>
      <c r="BL47" s="56">
        <v>-0.28999999999999998</v>
      </c>
      <c r="BM47" s="56">
        <v>-0.28999999999999998</v>
      </c>
      <c r="BN47" s="56">
        <v>-0.57999999999999996</v>
      </c>
      <c r="BO47" s="56">
        <v>-0.57999999999999996</v>
      </c>
    </row>
    <row r="48" spans="1:73" x14ac:dyDescent="0.2">
      <c r="A48" s="109"/>
      <c r="B48" s="110"/>
      <c r="D48" s="111"/>
      <c r="E48" s="111"/>
      <c r="F48" s="111"/>
      <c r="G48" s="112"/>
      <c r="H48" s="112"/>
      <c r="I48" s="112"/>
      <c r="J48" s="112"/>
      <c r="K48" s="112"/>
      <c r="S48" s="61"/>
      <c r="T48" s="61"/>
      <c r="U48" s="61"/>
      <c r="V48" s="61"/>
      <c r="W48" s="61"/>
      <c r="X48" s="61"/>
      <c r="Y48" s="61"/>
      <c r="Z48" s="61"/>
      <c r="AA48" s="61"/>
      <c r="AB48" s="61"/>
      <c r="AP48" s="93">
        <f>IF(DIAG!$T$28,$L$27,-1)</f>
        <v>-1</v>
      </c>
      <c r="AQ48" s="94">
        <f>AP48+(AY48-AP48)/9</f>
        <v>-1</v>
      </c>
      <c r="AR48" s="94">
        <f>AQ48+(AY48-AQ48)/8</f>
        <v>-1</v>
      </c>
      <c r="AS48" s="94">
        <f>AR48+(AY48-AR48)/7</f>
        <v>-1</v>
      </c>
      <c r="AT48" s="94">
        <f>AS48+(AY48-AS48)/6</f>
        <v>-1</v>
      </c>
      <c r="AU48" s="94">
        <f>AT48+(AY48-AT48)/5</f>
        <v>-1</v>
      </c>
      <c r="AV48" s="94">
        <f>AU48+(AY48-AU48)/4</f>
        <v>-1</v>
      </c>
      <c r="AW48" s="94">
        <f>AV48+(AY48-AV48)/3</f>
        <v>-1</v>
      </c>
      <c r="AX48" s="94">
        <f>AW48+(AY48-AW48)/2</f>
        <v>-1</v>
      </c>
      <c r="AY48" s="95">
        <f>IF(DIAG!$T$28,$I$27,-1)</f>
        <v>-1</v>
      </c>
      <c r="BE48" s="35" t="s">
        <v>102</v>
      </c>
      <c r="BF48" s="56">
        <v>0.1875</v>
      </c>
      <c r="BG48" s="56">
        <v>0.1875</v>
      </c>
      <c r="BH48" s="56">
        <v>0.4375</v>
      </c>
      <c r="BI48" s="56">
        <v>0.4375</v>
      </c>
      <c r="BJ48" s="56">
        <v>0.1875</v>
      </c>
      <c r="BK48" s="56">
        <v>0</v>
      </c>
      <c r="BL48" s="56">
        <v>0</v>
      </c>
      <c r="BM48" s="56">
        <v>0.25</v>
      </c>
      <c r="BN48" s="56">
        <v>0.25</v>
      </c>
      <c r="BO48" s="56">
        <v>0</v>
      </c>
    </row>
    <row r="49" spans="1:59" x14ac:dyDescent="0.2">
      <c r="A49" s="109"/>
      <c r="B49" s="110"/>
      <c r="D49" s="111"/>
      <c r="E49" s="111"/>
      <c r="F49" s="111"/>
      <c r="G49" s="112"/>
      <c r="H49" s="112"/>
      <c r="I49" s="112"/>
      <c r="J49" s="112"/>
      <c r="K49" s="112"/>
      <c r="S49" s="61"/>
      <c r="T49" s="61"/>
      <c r="U49" s="61"/>
      <c r="V49" s="61"/>
      <c r="W49" s="61"/>
      <c r="X49" s="61"/>
      <c r="Y49" s="61"/>
      <c r="Z49" s="61"/>
      <c r="AA49" s="61"/>
      <c r="AB49" s="61"/>
    </row>
    <row r="50" spans="1:59" x14ac:dyDescent="0.2">
      <c r="A50" s="130" t="s">
        <v>80</v>
      </c>
      <c r="B50" s="131"/>
      <c r="C50" s="131"/>
      <c r="D50" s="131"/>
      <c r="E50" s="132"/>
      <c r="F50" s="132"/>
      <c r="G50" s="133"/>
      <c r="H50" s="133"/>
      <c r="I50" s="133"/>
      <c r="J50" s="133"/>
      <c r="K50" s="133"/>
      <c r="L50" s="117"/>
      <c r="M50" s="117"/>
      <c r="N50" s="115"/>
      <c r="O50" s="115"/>
      <c r="P50" s="153">
        <f t="shared" ref="P50:S50" si="21">B26</f>
        <v>0</v>
      </c>
      <c r="Q50" s="153">
        <f t="shared" si="21"/>
        <v>1.2310240281228364E-3</v>
      </c>
      <c r="R50" s="153">
        <f t="shared" si="21"/>
        <v>0.43324364199989518</v>
      </c>
      <c r="S50" s="153">
        <f t="shared" si="21"/>
        <v>-0.44391209926802472</v>
      </c>
      <c r="T50" s="153" t="e">
        <f t="shared" ref="T50:Y50" si="22">F26</f>
        <v>#DIV/0!</v>
      </c>
      <c r="U50" s="153" t="e">
        <f t="shared" si="22"/>
        <v>#DIV/0!</v>
      </c>
      <c r="V50" s="153" t="e">
        <f t="shared" si="22"/>
        <v>#DIV/0!</v>
      </c>
      <c r="W50" s="153" t="e">
        <f t="shared" si="22"/>
        <v>#DIV/0!</v>
      </c>
      <c r="X50" s="153" t="e">
        <f t="shared" si="22"/>
        <v>#DIV/0!</v>
      </c>
      <c r="Y50" s="154" t="e">
        <f t="shared" si="22"/>
        <v>#DIV/0!</v>
      </c>
      <c r="Z50" s="61"/>
      <c r="AA50" s="61"/>
      <c r="AB50" s="61"/>
      <c r="AN50" s="35" t="s">
        <v>78</v>
      </c>
      <c r="AP50" s="87">
        <f>IF(DIAG!$T$29,$L$26,-1)</f>
        <v>-1</v>
      </c>
      <c r="AQ50" s="88">
        <f>AP50+(AY50-AP50)/9</f>
        <v>-1</v>
      </c>
      <c r="AR50" s="88">
        <f>AQ50+(AY50-AQ50)/8</f>
        <v>-1</v>
      </c>
      <c r="AS50" s="88">
        <f>AR50+(AY50-AR50)/7</f>
        <v>-1</v>
      </c>
      <c r="AT50" s="88">
        <f>AS50+(AY50-AS50)/6</f>
        <v>-1</v>
      </c>
      <c r="AU50" s="88">
        <f>AT50+(AY50-AT50)/5</f>
        <v>-1</v>
      </c>
      <c r="AV50" s="88">
        <f>AU50+(AY50-AU50)/4</f>
        <v>-1</v>
      </c>
      <c r="AW50" s="88">
        <f>AV50+(AY50-AV50)/3</f>
        <v>-1</v>
      </c>
      <c r="AX50" s="88">
        <f>AW50+(AY50-AW50)/2</f>
        <v>-1</v>
      </c>
      <c r="AY50" s="89">
        <f>IF(DIAG!$T$29,$J$26,-1)</f>
        <v>-1</v>
      </c>
    </row>
    <row r="51" spans="1:59" x14ac:dyDescent="0.2">
      <c r="A51" s="136"/>
      <c r="N51" s="120" t="str">
        <f>B5</f>
        <v xml:space="preserve"> 1-henrqiue</v>
      </c>
      <c r="O51" s="120"/>
      <c r="P51" s="121">
        <f>B27</f>
        <v>0.33333333333333331</v>
      </c>
      <c r="Q51" s="120"/>
      <c r="R51" s="120"/>
      <c r="S51" s="120"/>
      <c r="T51" s="120"/>
      <c r="U51" s="120"/>
      <c r="V51" s="120"/>
      <c r="W51" s="120"/>
      <c r="X51" s="120"/>
      <c r="Y51" s="150"/>
      <c r="AP51" s="93">
        <f>IF(DIAG!$T$29,$L$27,-1)</f>
        <v>-1</v>
      </c>
      <c r="AQ51" s="94">
        <f>AP51+(AY51-AP51)/9</f>
        <v>-1</v>
      </c>
      <c r="AR51" s="94">
        <f>AQ51+(AY51-AQ51)/8</f>
        <v>-1</v>
      </c>
      <c r="AS51" s="94">
        <f>AR51+(AY51-AR51)/7</f>
        <v>-1</v>
      </c>
      <c r="AT51" s="94">
        <f>AS51+(AY51-AS51)/6</f>
        <v>-1</v>
      </c>
      <c r="AU51" s="94">
        <f>AT51+(AY51-AT51)/5</f>
        <v>-1</v>
      </c>
      <c r="AV51" s="94">
        <f>AU51+(AY51-AU51)/4</f>
        <v>-1</v>
      </c>
      <c r="AW51" s="94">
        <f>AV51+(AY51-AV51)/3</f>
        <v>-1</v>
      </c>
      <c r="AX51" s="94">
        <f>AW51+(AY51-AW51)/2</f>
        <v>-1</v>
      </c>
      <c r="AY51" s="95">
        <f>IF(DIAG!$T$29,$J$27,-1)</f>
        <v>-1</v>
      </c>
    </row>
    <row r="52" spans="1:59" x14ac:dyDescent="0.2">
      <c r="A52" s="136"/>
      <c r="N52" s="120" t="str">
        <f>C5</f>
        <v xml:space="preserve"> 2-guilherme</v>
      </c>
      <c r="O52" s="120"/>
      <c r="P52" s="120"/>
      <c r="Q52" s="121">
        <f>C27</f>
        <v>0.3326226012793177</v>
      </c>
      <c r="R52" s="120"/>
      <c r="S52" s="120"/>
      <c r="T52" s="120"/>
      <c r="U52" s="120"/>
      <c r="V52" s="120"/>
      <c r="W52" s="120"/>
      <c r="X52" s="120"/>
      <c r="Y52" s="150"/>
    </row>
    <row r="53" spans="1:59" x14ac:dyDescent="0.2">
      <c r="A53" s="136"/>
      <c r="N53" s="120" t="str">
        <f>D5</f>
        <v xml:space="preserve"> 3-andre</v>
      </c>
      <c r="O53" s="120"/>
      <c r="P53" s="120"/>
      <c r="Q53" s="120"/>
      <c r="R53" s="121">
        <f>D27</f>
        <v>8.3199999999999996E-2</v>
      </c>
      <c r="S53" s="120"/>
      <c r="T53" s="120"/>
      <c r="U53" s="120"/>
      <c r="V53" s="120"/>
      <c r="W53" s="120"/>
      <c r="X53" s="120"/>
      <c r="Y53" s="150"/>
      <c r="AN53" s="35" t="s">
        <v>79</v>
      </c>
      <c r="AP53" s="87">
        <f>IF(DIAG!$T$30,$L$26,-1)</f>
        <v>-1</v>
      </c>
      <c r="AQ53" s="88">
        <f>AP53+(AY53-AP53)/9</f>
        <v>-1</v>
      </c>
      <c r="AR53" s="88">
        <f>AQ53+(AY53-AQ53)/8</f>
        <v>-1</v>
      </c>
      <c r="AS53" s="88">
        <f>AR53+(AY53-AR53)/7</f>
        <v>-1</v>
      </c>
      <c r="AT53" s="88">
        <f>AS53+(AY53-AS53)/6</f>
        <v>-1</v>
      </c>
      <c r="AU53" s="88">
        <f>AT53+(AY53-AT53)/5</f>
        <v>-1</v>
      </c>
      <c r="AV53" s="88">
        <f>AU53+(AY53-AU53)/4</f>
        <v>-1</v>
      </c>
      <c r="AW53" s="88">
        <f>AV53+(AY53-AV53)/3</f>
        <v>-1</v>
      </c>
      <c r="AX53" s="88">
        <f>AW53+(AY53-AW53)/2</f>
        <v>-1</v>
      </c>
      <c r="AY53" s="89">
        <f>IF(DIAG!$T$30,$K$26,-1)</f>
        <v>-1</v>
      </c>
    </row>
    <row r="54" spans="1:59" x14ac:dyDescent="0.2">
      <c r="A54" s="136"/>
      <c r="N54" s="120" t="str">
        <f>E5</f>
        <v xml:space="preserve"> 4-eu</v>
      </c>
      <c r="O54" s="120"/>
      <c r="P54" s="120"/>
      <c r="Q54" s="120"/>
      <c r="R54" s="120"/>
      <c r="S54" s="121">
        <f>E27</f>
        <v>9.1639393037786371E-3</v>
      </c>
      <c r="T54" s="120"/>
      <c r="U54" s="120"/>
      <c r="V54" s="120"/>
      <c r="W54" s="120"/>
      <c r="X54" s="120"/>
      <c r="Y54" s="150"/>
      <c r="AP54" s="93">
        <f>IF(DIAG!$T$30,$L$27,-1)</f>
        <v>-1</v>
      </c>
      <c r="AQ54" s="94">
        <f>AP54+(AY54-AP54)/9</f>
        <v>-1</v>
      </c>
      <c r="AR54" s="94">
        <f>AQ54+(AY54-AQ54)/8</f>
        <v>-1</v>
      </c>
      <c r="AS54" s="94">
        <f>AR54+(AY54-AR54)/7</f>
        <v>-1</v>
      </c>
      <c r="AT54" s="94">
        <f>AS54+(AY54-AS54)/6</f>
        <v>-1</v>
      </c>
      <c r="AU54" s="94">
        <f>AT54+(AY54-AT54)/5</f>
        <v>-1</v>
      </c>
      <c r="AV54" s="94">
        <f>AU54+(AY54-AU54)/4</f>
        <v>-1</v>
      </c>
      <c r="AW54" s="94">
        <f>AV54+(AY54-AV54)/3</f>
        <v>-1</v>
      </c>
      <c r="AX54" s="94">
        <f>AW54+(AY54-AW54)/2</f>
        <v>-1</v>
      </c>
      <c r="AY54" s="95">
        <f>IF(DIAG!$T$30,$K$27,-1)</f>
        <v>-1</v>
      </c>
    </row>
    <row r="55" spans="1:59" x14ac:dyDescent="0.2">
      <c r="A55" s="136"/>
      <c r="N55" s="120" t="str">
        <f>F5</f>
        <v xml:space="preserve"> 5-0</v>
      </c>
      <c r="O55" s="120"/>
      <c r="P55" s="120"/>
      <c r="Q55" s="120"/>
      <c r="R55" s="120"/>
      <c r="S55" s="120"/>
      <c r="T55" s="121"/>
      <c r="U55" s="120"/>
      <c r="V55" s="120"/>
      <c r="W55" s="120"/>
      <c r="X55" s="120"/>
      <c r="Y55" s="150"/>
    </row>
    <row r="56" spans="1:59" x14ac:dyDescent="0.2">
      <c r="A56" s="136"/>
      <c r="B56" s="36">
        <v>1</v>
      </c>
      <c r="C56" s="36">
        <v>2</v>
      </c>
      <c r="D56" s="36">
        <v>3</v>
      </c>
      <c r="E56" s="36">
        <v>4</v>
      </c>
      <c r="F56" s="36">
        <v>5</v>
      </c>
      <c r="G56" s="36">
        <v>6</v>
      </c>
      <c r="N56" s="120" t="str">
        <f>G5</f>
        <v xml:space="preserve"> 6-0</v>
      </c>
      <c r="O56" s="120"/>
      <c r="P56" s="120"/>
      <c r="Q56" s="120"/>
      <c r="R56" s="120"/>
      <c r="S56" s="120"/>
      <c r="T56" s="120"/>
      <c r="U56" s="121"/>
      <c r="V56" s="120"/>
      <c r="W56" s="120"/>
      <c r="X56" s="120"/>
      <c r="Y56" s="150"/>
    </row>
    <row r="57" spans="1:59" x14ac:dyDescent="0.2">
      <c r="A57" s="136"/>
      <c r="B57" s="36"/>
      <c r="C57" s="36"/>
      <c r="D57" s="36"/>
      <c r="E57" s="36"/>
      <c r="F57" s="36"/>
      <c r="N57" s="120" t="str">
        <f>H5</f>
        <v xml:space="preserve"> 7-0</v>
      </c>
      <c r="O57" s="120"/>
      <c r="P57" s="120"/>
      <c r="Q57" s="120"/>
      <c r="R57" s="120"/>
      <c r="S57" s="120"/>
      <c r="T57" s="121">
        <f>F27</f>
        <v>-1</v>
      </c>
      <c r="U57" s="121">
        <f>G27</f>
        <v>-1</v>
      </c>
      <c r="V57" s="121">
        <f>H27</f>
        <v>-1</v>
      </c>
      <c r="W57" s="120"/>
      <c r="X57" s="120"/>
      <c r="Y57" s="150"/>
    </row>
    <row r="58" spans="1:59" x14ac:dyDescent="0.2">
      <c r="A58" s="136"/>
      <c r="B58" s="36"/>
      <c r="C58" s="36"/>
      <c r="D58" s="36"/>
      <c r="E58" s="36"/>
      <c r="F58" s="36"/>
      <c r="N58" s="120" t="str">
        <f>I5</f>
        <v xml:space="preserve"> 8-0</v>
      </c>
      <c r="O58" s="120"/>
      <c r="P58" s="120"/>
      <c r="Q58" s="120"/>
      <c r="R58" s="120"/>
      <c r="S58" s="120"/>
      <c r="T58" s="120"/>
      <c r="U58" s="121"/>
      <c r="V58" s="120"/>
      <c r="W58" s="121">
        <f>I27</f>
        <v>-1</v>
      </c>
      <c r="X58" s="120"/>
      <c r="Y58" s="150"/>
    </row>
    <row r="59" spans="1:59" x14ac:dyDescent="0.2">
      <c r="A59" s="136"/>
      <c r="B59" s="36"/>
      <c r="C59" s="36"/>
      <c r="D59" s="36"/>
      <c r="E59" s="36"/>
      <c r="F59" s="36"/>
      <c r="N59" s="120" t="str">
        <f>J5</f>
        <v xml:space="preserve"> 9-0</v>
      </c>
      <c r="O59" s="120"/>
      <c r="P59" s="120"/>
      <c r="Q59" s="120"/>
      <c r="R59" s="120"/>
      <c r="S59" s="120"/>
      <c r="T59" s="120"/>
      <c r="U59" s="121"/>
      <c r="V59" s="120"/>
      <c r="W59" s="120"/>
      <c r="X59" s="121">
        <f>J27</f>
        <v>-1</v>
      </c>
      <c r="Y59" s="150"/>
    </row>
    <row r="60" spans="1:59" x14ac:dyDescent="0.2">
      <c r="A60" s="139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60"/>
      <c r="M60" s="60"/>
      <c r="N60" s="126" t="str">
        <f>K5</f>
        <v>10-0</v>
      </c>
      <c r="O60" s="126"/>
      <c r="P60" s="126"/>
      <c r="Q60" s="126"/>
      <c r="R60" s="126"/>
      <c r="S60" s="126"/>
      <c r="T60" s="126"/>
      <c r="U60" s="127"/>
      <c r="V60" s="126"/>
      <c r="W60" s="126"/>
      <c r="X60" s="126"/>
      <c r="Y60" s="155">
        <f>K27</f>
        <v>-1</v>
      </c>
    </row>
    <row r="61" spans="1:59" x14ac:dyDescent="0.2">
      <c r="A61" s="109"/>
      <c r="B61" s="110"/>
      <c r="D61" s="111"/>
      <c r="E61" s="111"/>
      <c r="F61" s="111"/>
      <c r="G61" s="112"/>
      <c r="H61" s="112"/>
      <c r="I61" s="112"/>
      <c r="J61" s="112"/>
      <c r="K61" s="112"/>
      <c r="S61" s="61"/>
      <c r="T61" s="61"/>
      <c r="U61" s="61"/>
      <c r="V61" s="61"/>
      <c r="W61" s="61"/>
      <c r="X61" s="61"/>
      <c r="Y61" s="61"/>
      <c r="Z61" s="61"/>
      <c r="AA61" s="61"/>
      <c r="AB61" s="61"/>
      <c r="AM61" s="35" t="s">
        <v>109</v>
      </c>
    </row>
    <row r="62" spans="1:59" x14ac:dyDescent="0.2">
      <c r="A62" s="109"/>
      <c r="B62" s="110"/>
      <c r="D62" s="111"/>
      <c r="E62" s="111"/>
      <c r="F62" s="111"/>
      <c r="G62" s="112"/>
      <c r="H62" s="112"/>
      <c r="I62" s="112"/>
      <c r="J62" s="112"/>
      <c r="K62" s="112"/>
      <c r="S62" s="61"/>
      <c r="T62" s="61"/>
      <c r="U62" s="61"/>
      <c r="V62" s="61"/>
      <c r="W62" s="61"/>
      <c r="X62" s="61"/>
      <c r="Y62" s="61"/>
      <c r="Z62" s="61"/>
      <c r="AA62" s="61"/>
      <c r="AB62" s="61"/>
    </row>
    <row r="63" spans="1:59" x14ac:dyDescent="0.2">
      <c r="A63" s="109"/>
      <c r="B63" s="110"/>
      <c r="D63" s="111"/>
      <c r="E63" s="111"/>
      <c r="F63" s="111"/>
      <c r="G63" s="112"/>
      <c r="H63" s="112"/>
      <c r="I63" s="112"/>
      <c r="J63" s="112"/>
      <c r="K63" s="112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</row>
    <row r="64" spans="1:59" x14ac:dyDescent="0.2">
      <c r="A64" s="130" t="s">
        <v>4</v>
      </c>
      <c r="B64" s="131"/>
      <c r="C64" s="131"/>
      <c r="D64" s="132"/>
      <c r="E64" s="132"/>
      <c r="F64" s="111"/>
      <c r="G64" s="112"/>
      <c r="H64" s="112"/>
      <c r="I64" s="112"/>
      <c r="J64" s="112"/>
      <c r="K64" s="112"/>
      <c r="M64" s="120"/>
      <c r="N64" s="120" t="s">
        <v>81</v>
      </c>
      <c r="O64" s="137">
        <f>DIAG!$T$51</f>
        <v>1</v>
      </c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1"/>
      <c r="AA64" s="121"/>
      <c r="AB64" s="121"/>
      <c r="AC64" s="120"/>
      <c r="AD64" s="120"/>
      <c r="AE64" s="120"/>
      <c r="AF64" s="120"/>
      <c r="AG64" s="120"/>
      <c r="AM64" s="120"/>
      <c r="AN64" s="120" t="s">
        <v>81</v>
      </c>
      <c r="AO64" s="137">
        <v>1</v>
      </c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1"/>
      <c r="BA64" s="121"/>
      <c r="BB64" s="121"/>
      <c r="BC64" s="120"/>
      <c r="BD64" s="120"/>
      <c r="BE64" s="120"/>
      <c r="BF64" s="120"/>
      <c r="BG64" s="120"/>
    </row>
    <row r="65" spans="1:59" x14ac:dyDescent="0.2">
      <c r="A65" s="109"/>
      <c r="B65" s="110"/>
      <c r="D65" s="111"/>
      <c r="E65" s="111"/>
      <c r="F65" s="111"/>
      <c r="G65" s="112"/>
      <c r="H65" s="112"/>
      <c r="I65" s="112"/>
      <c r="J65" s="112"/>
      <c r="K65" s="112"/>
      <c r="M65" s="84">
        <f>O64</f>
        <v>1</v>
      </c>
      <c r="N65" s="115" t="s">
        <v>53</v>
      </c>
      <c r="O65" s="116">
        <f t="shared" ref="O65:AG65" si="23">(2*O66*($M65+1)-$M65-$M65*O66^2)/(SQRT(3)*$M65*(1-O66))</f>
        <v>-1.7320508075688774</v>
      </c>
      <c r="P65" s="116">
        <f t="shared" si="23"/>
        <v>-1.7320508075688774</v>
      </c>
      <c r="Q65" s="116">
        <f t="shared" si="23"/>
        <v>-1.7320508075688774</v>
      </c>
      <c r="R65" s="116">
        <f t="shared" si="23"/>
        <v>-1.7320508075688774</v>
      </c>
      <c r="S65" s="116">
        <f t="shared" si="23"/>
        <v>-1.7320508075688774</v>
      </c>
      <c r="T65" s="116">
        <f>(2*T66*($M65+1)-$M65-$M65*T66^2)/(SQRT(3)*$M65*(1-T66))</f>
        <v>-1.7320508075688774</v>
      </c>
      <c r="U65" s="116">
        <f>(2*U66*($M65+1)-$M65-$M65*U66^2)/(SQRT(3)*$M65*(1-U66))</f>
        <v>-1.7320508075688774</v>
      </c>
      <c r="V65" s="116">
        <f t="shared" si="23"/>
        <v>-1.7320508075688774</v>
      </c>
      <c r="W65" s="116">
        <f t="shared" si="23"/>
        <v>-1.7320508075688774</v>
      </c>
      <c r="X65" s="116">
        <f t="shared" si="23"/>
        <v>-1.7320508075688774</v>
      </c>
      <c r="Y65" s="116">
        <f t="shared" si="23"/>
        <v>-1.7320508075688774</v>
      </c>
      <c r="Z65" s="116">
        <f t="shared" si="23"/>
        <v>-1.7320508075688774</v>
      </c>
      <c r="AA65" s="116">
        <f t="shared" si="23"/>
        <v>-1.7320508075688774</v>
      </c>
      <c r="AB65" s="116">
        <f t="shared" si="23"/>
        <v>-1.7320508075688774</v>
      </c>
      <c r="AC65" s="116">
        <f t="shared" si="23"/>
        <v>-1.7320508075688774</v>
      </c>
      <c r="AD65" s="116">
        <f t="shared" si="23"/>
        <v>-1.7320508075688774</v>
      </c>
      <c r="AE65" s="116">
        <f t="shared" si="23"/>
        <v>-1.7320508075688774</v>
      </c>
      <c r="AF65" s="116">
        <f t="shared" si="23"/>
        <v>-1.7320508075688774</v>
      </c>
      <c r="AG65" s="156">
        <f t="shared" si="23"/>
        <v>-1.7320508075688774</v>
      </c>
      <c r="AM65" s="84">
        <f>AO64</f>
        <v>1</v>
      </c>
      <c r="AN65" s="115" t="s">
        <v>53</v>
      </c>
      <c r="AO65" s="116">
        <f t="shared" ref="AO65:BG65" si="24">(2*AO66*($M65+1)-$M65-$M65*AO66^2)/(SQRT(3)*$M65*(1-AO66))</f>
        <v>-1.7320508075688774</v>
      </c>
      <c r="AP65" s="116">
        <f t="shared" si="24"/>
        <v>-1.7320508075688774</v>
      </c>
      <c r="AQ65" s="116">
        <f t="shared" si="24"/>
        <v>-1.7320508075688774</v>
      </c>
      <c r="AR65" s="116">
        <f t="shared" si="24"/>
        <v>-1.7320508075688774</v>
      </c>
      <c r="AS65" s="116">
        <f t="shared" si="24"/>
        <v>-1.7320508075688774</v>
      </c>
      <c r="AT65" s="116">
        <f t="shared" si="24"/>
        <v>-1.7320508075688774</v>
      </c>
      <c r="AU65" s="116">
        <f t="shared" si="24"/>
        <v>-1.7320508075688774</v>
      </c>
      <c r="AV65" s="116">
        <f t="shared" si="24"/>
        <v>-1.7320508075688774</v>
      </c>
      <c r="AW65" s="116">
        <f t="shared" si="24"/>
        <v>-1.7320508075688774</v>
      </c>
      <c r="AX65" s="116">
        <f t="shared" si="24"/>
        <v>-1.7320508075688774</v>
      </c>
      <c r="AY65" s="116">
        <f t="shared" si="24"/>
        <v>-1.7320508075688774</v>
      </c>
      <c r="AZ65" s="116">
        <f t="shared" si="24"/>
        <v>-1.7320508075688774</v>
      </c>
      <c r="BA65" s="116">
        <f t="shared" si="24"/>
        <v>-1.7320508075688774</v>
      </c>
      <c r="BB65" s="116">
        <f t="shared" si="24"/>
        <v>-1.7320508075688774</v>
      </c>
      <c r="BC65" s="116">
        <f t="shared" si="24"/>
        <v>-1.7320508075688774</v>
      </c>
      <c r="BD65" s="116">
        <f t="shared" si="24"/>
        <v>-1.7320508075688774</v>
      </c>
      <c r="BE65" s="116">
        <f t="shared" si="24"/>
        <v>-1.7320508075688774</v>
      </c>
      <c r="BF65" s="116">
        <f t="shared" si="24"/>
        <v>-1.7320508075688774</v>
      </c>
      <c r="BG65" s="156">
        <f t="shared" si="24"/>
        <v>-1.7320508075688774</v>
      </c>
    </row>
    <row r="66" spans="1:59" x14ac:dyDescent="0.2">
      <c r="A66" s="109"/>
      <c r="B66" s="110"/>
      <c r="D66" s="111"/>
      <c r="E66" s="111"/>
      <c r="F66" s="111"/>
      <c r="G66" s="112"/>
      <c r="H66" s="112"/>
      <c r="I66" s="112"/>
      <c r="J66" s="112"/>
      <c r="K66" s="112"/>
      <c r="M66" s="125" t="str">
        <f>CONCATENATE("SI=",O64)</f>
        <v>SI=1</v>
      </c>
      <c r="N66" s="126" t="s">
        <v>54</v>
      </c>
      <c r="O66" s="141">
        <f>IF(DIAG!T48,0,-1)</f>
        <v>-1</v>
      </c>
      <c r="P66" s="141">
        <f>IF(DIAG!$T$48,$AG$67*P75,-1)</f>
        <v>-1</v>
      </c>
      <c r="Q66" s="141">
        <f>IF(DIAG!$T$48,$AG$67*Q75,-1)</f>
        <v>-1</v>
      </c>
      <c r="R66" s="141">
        <f>IF(DIAG!$T$48,$AG$67*R75,-1)</f>
        <v>-1</v>
      </c>
      <c r="S66" s="141">
        <f>IF(DIAG!$T$48,$AG$67*S75,-1)</f>
        <v>-1</v>
      </c>
      <c r="T66" s="141">
        <f>IF(DIAG!$T$48,$AG$67*T75,-1)</f>
        <v>-1</v>
      </c>
      <c r="U66" s="141">
        <f>IF(DIAG!$T$48,$AG$67*U75,-1)</f>
        <v>-1</v>
      </c>
      <c r="V66" s="141">
        <f>IF(DIAG!$T$48,$AG$67*V75,-1)</f>
        <v>-1</v>
      </c>
      <c r="W66" s="141">
        <f>IF(DIAG!$T$48,$AG$67*W75,-1)</f>
        <v>-1</v>
      </c>
      <c r="X66" s="141">
        <f>IF(DIAG!$T$48,$AG$67*X75,-1)</f>
        <v>-1</v>
      </c>
      <c r="Y66" s="141">
        <f>IF(DIAG!$T$48,$AG$67*Y75,-1)</f>
        <v>-1</v>
      </c>
      <c r="Z66" s="141">
        <f>IF(DIAG!$T$48,$AG$67*Z75,-1)</f>
        <v>-1</v>
      </c>
      <c r="AA66" s="141">
        <f>IF(DIAG!$T$48,$AG$67*AA75,-1)</f>
        <v>-1</v>
      </c>
      <c r="AB66" s="141">
        <f>IF(DIAG!$T$48,$AG$67*AB75,-1)</f>
        <v>-1</v>
      </c>
      <c r="AC66" s="141">
        <f>IF(DIAG!$T$48,$AG$67*AC75,-1)</f>
        <v>-1</v>
      </c>
      <c r="AD66" s="141">
        <f>IF(DIAG!$T$48,$AG$67*AD75,-1)</f>
        <v>-1</v>
      </c>
      <c r="AE66" s="141">
        <f>IF(DIAG!$T$48,$AG$67*AE75,-1)</f>
        <v>-1</v>
      </c>
      <c r="AF66" s="141">
        <f>IF(DIAG!$T$48,$AG$67*AF75,-1)</f>
        <v>-1</v>
      </c>
      <c r="AG66" s="157">
        <f>IF(DIAG!T48,((2*$M$65+1-SQRT(4*$M$65+1))/($M$65*2))*DIAG!$T$48,-1)</f>
        <v>-1</v>
      </c>
      <c r="AM66" s="125" t="str">
        <f>CONCATENATE("SI=",AO64)</f>
        <v>SI=1</v>
      </c>
      <c r="AN66" s="126" t="s">
        <v>54</v>
      </c>
      <c r="AO66" s="128">
        <f>IF(DIAG!X44,0,-1)</f>
        <v>-1</v>
      </c>
      <c r="AP66" s="128">
        <f>IF(DIAG!$X44,$BG$67*AP73,-1)</f>
        <v>-1</v>
      </c>
      <c r="AQ66" s="128">
        <f>IF(DIAG!$X44,$BG$67*AQ73,-1)</f>
        <v>-1</v>
      </c>
      <c r="AR66" s="128">
        <f>IF(DIAG!$X44,$BG$67*AR73,-1)</f>
        <v>-1</v>
      </c>
      <c r="AS66" s="128">
        <f>IF(DIAG!$X44,$BG$67*AS73,-1)</f>
        <v>-1</v>
      </c>
      <c r="AT66" s="128">
        <f>IF(DIAG!$X44,$BG$67*AT73,-1)</f>
        <v>-1</v>
      </c>
      <c r="AU66" s="128">
        <f>IF(DIAG!$X44,$BG$67*AU73,-1)</f>
        <v>-1</v>
      </c>
      <c r="AV66" s="128">
        <f>IF(DIAG!$X44,$BG$67*AV73,-1)</f>
        <v>-1</v>
      </c>
      <c r="AW66" s="128">
        <f>IF(DIAG!$X44,$BG$67*AW73,-1)</f>
        <v>-1</v>
      </c>
      <c r="AX66" s="128">
        <f>IF(DIAG!$X44,$BG$67*AX73,-1)</f>
        <v>-1</v>
      </c>
      <c r="AY66" s="128">
        <f>IF(DIAG!$X44,$BG$67*AY73,-1)</f>
        <v>-1</v>
      </c>
      <c r="AZ66" s="128">
        <f>IF(DIAG!$X44,$BG$67*AZ73,-1)</f>
        <v>-1</v>
      </c>
      <c r="BA66" s="128">
        <f>IF(DIAG!$X44,$BG$67*BA73,-1)</f>
        <v>-1</v>
      </c>
      <c r="BB66" s="128">
        <f>IF(DIAG!$X44,$BG$67*BB73,-1)</f>
        <v>-1</v>
      </c>
      <c r="BC66" s="128">
        <f>IF(DIAG!$X44,$BG$67*BC73,-1)</f>
        <v>-1</v>
      </c>
      <c r="BD66" s="128">
        <f>IF(DIAG!$X44,$BG$67*BD73,-1)</f>
        <v>-1</v>
      </c>
      <c r="BE66" s="128">
        <f>IF(DIAG!$X44,$BG$67*BE73,-1)</f>
        <v>-1</v>
      </c>
      <c r="BF66" s="128">
        <f>IF(DIAG!$X44,$BG$67*BF73,-1)</f>
        <v>-1</v>
      </c>
      <c r="BG66" s="158">
        <f>IF(DIAG!X44,((2*$M$65+1-SQRT(4*$M$65+1))/($M$65*2))*DIAG!$X44,-1)</f>
        <v>-1</v>
      </c>
    </row>
    <row r="67" spans="1:59" x14ac:dyDescent="0.2">
      <c r="A67" s="109"/>
      <c r="B67" s="110"/>
      <c r="D67" s="111"/>
      <c r="E67" s="111"/>
      <c r="F67" s="111"/>
      <c r="G67" s="112"/>
      <c r="H67" s="112"/>
      <c r="I67" s="112"/>
      <c r="J67" s="112"/>
      <c r="K67" s="112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159">
        <f>(AG66-O66)/18</f>
        <v>0</v>
      </c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159">
        <f>(BG66-AO66)/18</f>
        <v>0</v>
      </c>
    </row>
    <row r="68" spans="1:59" x14ac:dyDescent="0.2">
      <c r="A68" s="109"/>
      <c r="B68" s="110"/>
      <c r="D68" s="111"/>
      <c r="E68" s="111"/>
      <c r="F68" s="111"/>
      <c r="G68" s="112"/>
      <c r="H68" s="112"/>
      <c r="I68" s="112"/>
      <c r="J68" s="112"/>
      <c r="K68" s="112"/>
      <c r="M68" s="120"/>
      <c r="N68" s="120" t="s">
        <v>83</v>
      </c>
      <c r="O68" s="137">
        <f>DIAG!$T$52</f>
        <v>5</v>
      </c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1"/>
      <c r="AA68" s="121"/>
      <c r="AB68" s="121"/>
      <c r="AC68" s="120"/>
      <c r="AD68" s="120"/>
      <c r="AE68" s="120"/>
      <c r="AF68" s="120"/>
      <c r="AG68" s="120"/>
      <c r="AM68" s="120"/>
      <c r="AN68" s="120" t="s">
        <v>82</v>
      </c>
      <c r="AO68" s="137">
        <v>5</v>
      </c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1"/>
      <c r="BA68" s="121"/>
      <c r="BB68" s="121"/>
      <c r="BC68" s="120"/>
      <c r="BD68" s="120"/>
      <c r="BE68" s="120"/>
      <c r="BF68" s="120"/>
      <c r="BG68" s="120"/>
    </row>
    <row r="69" spans="1:59" x14ac:dyDescent="0.2">
      <c r="A69" s="109"/>
      <c r="B69" s="110"/>
      <c r="D69" s="111"/>
      <c r="E69" s="111"/>
      <c r="F69" s="111"/>
      <c r="G69" s="112"/>
      <c r="H69" s="112"/>
      <c r="I69" s="112"/>
      <c r="J69" s="112"/>
      <c r="K69" s="112"/>
      <c r="M69" s="84">
        <f>O68</f>
        <v>5</v>
      </c>
      <c r="N69" s="115" t="s">
        <v>53</v>
      </c>
      <c r="O69" s="116">
        <f t="shared" ref="O69:AG69" si="25">(2*O70*($M69+1)-$M69-$M69*O70^2)/(SQRT(3)*$M69*(1-O70))</f>
        <v>-1.2701705922171769</v>
      </c>
      <c r="P69" s="116">
        <f t="shared" si="25"/>
        <v>-1.2701705922171769</v>
      </c>
      <c r="Q69" s="116">
        <f t="shared" si="25"/>
        <v>-1.2701705922171769</v>
      </c>
      <c r="R69" s="116">
        <f t="shared" si="25"/>
        <v>-1.2701705922171769</v>
      </c>
      <c r="S69" s="116">
        <f t="shared" si="25"/>
        <v>-1.2701705922171769</v>
      </c>
      <c r="T69" s="116">
        <f t="shared" si="25"/>
        <v>-1.2701705922171769</v>
      </c>
      <c r="U69" s="116">
        <f t="shared" si="25"/>
        <v>-1.2701705922171769</v>
      </c>
      <c r="V69" s="116">
        <f t="shared" si="25"/>
        <v>-1.2701705922171769</v>
      </c>
      <c r="W69" s="116">
        <f t="shared" si="25"/>
        <v>-1.2701705922171769</v>
      </c>
      <c r="X69" s="116">
        <f t="shared" si="25"/>
        <v>-1.2701705922171769</v>
      </c>
      <c r="Y69" s="116">
        <f t="shared" si="25"/>
        <v>-1.2701705922171769</v>
      </c>
      <c r="Z69" s="116">
        <f t="shared" si="25"/>
        <v>-1.2701705922171769</v>
      </c>
      <c r="AA69" s="116">
        <f t="shared" si="25"/>
        <v>-1.2701705922171769</v>
      </c>
      <c r="AB69" s="116">
        <f t="shared" si="25"/>
        <v>-1.2701705922171769</v>
      </c>
      <c r="AC69" s="116">
        <f t="shared" si="25"/>
        <v>-1.2701705922171769</v>
      </c>
      <c r="AD69" s="116">
        <f t="shared" si="25"/>
        <v>-1.2701705922171769</v>
      </c>
      <c r="AE69" s="116">
        <f t="shared" si="25"/>
        <v>-1.2701705922171769</v>
      </c>
      <c r="AF69" s="116">
        <f t="shared" si="25"/>
        <v>-1.2701705922171769</v>
      </c>
      <c r="AG69" s="156">
        <f t="shared" si="25"/>
        <v>-1.2701705922171769</v>
      </c>
      <c r="AM69" s="84">
        <f>AO68</f>
        <v>5</v>
      </c>
      <c r="AN69" s="115" t="s">
        <v>53</v>
      </c>
      <c r="AO69" s="116">
        <f t="shared" ref="AO69:BG69" si="26">(2*AO70*($M69+1)-$M69-$M69*AO70^2)/(SQRT(3)*$M69*(1-AO70))</f>
        <v>-1.2701705922171769</v>
      </c>
      <c r="AP69" s="116">
        <f t="shared" si="26"/>
        <v>-1.2701705922171769</v>
      </c>
      <c r="AQ69" s="116">
        <f t="shared" si="26"/>
        <v>-1.2701705922171769</v>
      </c>
      <c r="AR69" s="116">
        <f t="shared" si="26"/>
        <v>-1.2701705922171769</v>
      </c>
      <c r="AS69" s="116">
        <f t="shared" si="26"/>
        <v>-1.2701705922171769</v>
      </c>
      <c r="AT69" s="116">
        <f t="shared" si="26"/>
        <v>-1.2701705922171769</v>
      </c>
      <c r="AU69" s="116">
        <f t="shared" si="26"/>
        <v>-1.2701705922171769</v>
      </c>
      <c r="AV69" s="116">
        <f t="shared" si="26"/>
        <v>-1.2701705922171769</v>
      </c>
      <c r="AW69" s="116">
        <f t="shared" si="26"/>
        <v>-1.2701705922171769</v>
      </c>
      <c r="AX69" s="116">
        <f t="shared" si="26"/>
        <v>-1.2701705922171769</v>
      </c>
      <c r="AY69" s="116">
        <f t="shared" si="26"/>
        <v>-1.2701705922171769</v>
      </c>
      <c r="AZ69" s="116">
        <f t="shared" si="26"/>
        <v>-1.2701705922171769</v>
      </c>
      <c r="BA69" s="116">
        <f t="shared" si="26"/>
        <v>-1.2701705922171769</v>
      </c>
      <c r="BB69" s="116">
        <f t="shared" si="26"/>
        <v>-1.2701705922171769</v>
      </c>
      <c r="BC69" s="116">
        <f t="shared" si="26"/>
        <v>-1.2701705922171769</v>
      </c>
      <c r="BD69" s="116">
        <f t="shared" si="26"/>
        <v>-1.2701705922171769</v>
      </c>
      <c r="BE69" s="116">
        <f t="shared" si="26"/>
        <v>-1.2701705922171769</v>
      </c>
      <c r="BF69" s="116">
        <f t="shared" si="26"/>
        <v>-1.2701705922171769</v>
      </c>
      <c r="BG69" s="156">
        <f t="shared" si="26"/>
        <v>-1.2701705922171769</v>
      </c>
    </row>
    <row r="70" spans="1:59" x14ac:dyDescent="0.2">
      <c r="A70" s="109"/>
      <c r="B70" s="110"/>
      <c r="D70" s="111"/>
      <c r="E70" s="111"/>
      <c r="F70" s="111"/>
      <c r="G70" s="112"/>
      <c r="H70" s="112"/>
      <c r="I70" s="112"/>
      <c r="J70" s="112"/>
      <c r="K70" s="112"/>
      <c r="M70" s="125" t="str">
        <f>CONCATENATE("SI=",O68)</f>
        <v>SI=5</v>
      </c>
      <c r="N70" s="126" t="s">
        <v>54</v>
      </c>
      <c r="O70" s="141">
        <f>IF(DIAG!T49,0,-1)</f>
        <v>-1</v>
      </c>
      <c r="P70" s="141">
        <f>IF(DIAG!$T$49,$AG$71*P75,-1)</f>
        <v>-1</v>
      </c>
      <c r="Q70" s="141">
        <f>IF(DIAG!$T$49,$AG$71*Q75,-1)</f>
        <v>-1</v>
      </c>
      <c r="R70" s="141">
        <f>IF(DIAG!$T$49,$AG$71*R75,-1)</f>
        <v>-1</v>
      </c>
      <c r="S70" s="141">
        <f>IF(DIAG!$T$49,$AG$71*S75,-1)</f>
        <v>-1</v>
      </c>
      <c r="T70" s="141">
        <f>IF(DIAG!$T$49,$AG$71*T75,-1)</f>
        <v>-1</v>
      </c>
      <c r="U70" s="141">
        <f>IF(DIAG!$T$49,$AG$71*U75,-1)</f>
        <v>-1</v>
      </c>
      <c r="V70" s="141">
        <f>IF(DIAG!$T$49,$AG$71*V75,-1)</f>
        <v>-1</v>
      </c>
      <c r="W70" s="141">
        <f>IF(DIAG!$T$49,$AG$71*W75,-1)</f>
        <v>-1</v>
      </c>
      <c r="X70" s="141">
        <f>IF(DIAG!$T$49,$AG$71*X75,-1)</f>
        <v>-1</v>
      </c>
      <c r="Y70" s="141">
        <f>IF(DIAG!$T$49,$AG$71*Y75,-1)</f>
        <v>-1</v>
      </c>
      <c r="Z70" s="141">
        <f>IF(DIAG!$T$49,$AG$71*Z75,-1)</f>
        <v>-1</v>
      </c>
      <c r="AA70" s="141">
        <f>IF(DIAG!$T$49,$AG$71*AA75,-1)</f>
        <v>-1</v>
      </c>
      <c r="AB70" s="141">
        <f>IF(DIAG!$T$49,$AG$71*AB75,-1)</f>
        <v>-1</v>
      </c>
      <c r="AC70" s="141">
        <f>IF(DIAG!$T$49,$AG$71*AC75,-1)</f>
        <v>-1</v>
      </c>
      <c r="AD70" s="141">
        <f>IF(DIAG!$T$49,$AG$71*AD75,-1)</f>
        <v>-1</v>
      </c>
      <c r="AE70" s="141">
        <f>IF(DIAG!$T$49,$AG$71*AE75,-1)</f>
        <v>-1</v>
      </c>
      <c r="AF70" s="141">
        <f>IF(DIAG!$T$49,$AG$71*AF75,-1)</f>
        <v>-1</v>
      </c>
      <c r="AG70" s="157">
        <f>IF(DIAG!T49,((2*$M$69+1-SQRT(4*$M$69+1))/($M$69*2))*DIAG!$T$49,-1)</f>
        <v>-1</v>
      </c>
      <c r="AM70" s="125" t="str">
        <f>CONCATENATE("SI=",AO68)</f>
        <v>SI=5</v>
      </c>
      <c r="AN70" s="126" t="s">
        <v>54</v>
      </c>
      <c r="AO70" s="128">
        <f>IF(DIAG!X44,0,-1)</f>
        <v>-1</v>
      </c>
      <c r="AP70" s="128">
        <f>IF(DIAG!$X44,$BG$71*AP73,-1)</f>
        <v>-1</v>
      </c>
      <c r="AQ70" s="128">
        <f>IF(DIAG!$X44,$BG$71*AQ73,-1)</f>
        <v>-1</v>
      </c>
      <c r="AR70" s="128">
        <f>IF(DIAG!$X44,$BG$71*AR73,-1)</f>
        <v>-1</v>
      </c>
      <c r="AS70" s="128">
        <f>IF(DIAG!$X44,$BG$71*AS73,-1)</f>
        <v>-1</v>
      </c>
      <c r="AT70" s="128">
        <f>IF(DIAG!$X44,$BG$71*AT73,-1)</f>
        <v>-1</v>
      </c>
      <c r="AU70" s="128">
        <f>IF(DIAG!$X44,$BG$71*AU73,-1)</f>
        <v>-1</v>
      </c>
      <c r="AV70" s="128">
        <f>IF(DIAG!$X44,$BG$71*AV73,-1)</f>
        <v>-1</v>
      </c>
      <c r="AW70" s="128">
        <f>IF(DIAG!$X44,$BG$71*AW73,-1)</f>
        <v>-1</v>
      </c>
      <c r="AX70" s="128">
        <f>IF(DIAG!$X44,$BG$71*AX73,-1)</f>
        <v>-1</v>
      </c>
      <c r="AY70" s="128">
        <f>IF(DIAG!$X44,$BG$71*AY73,-1)</f>
        <v>-1</v>
      </c>
      <c r="AZ70" s="128">
        <f>IF(DIAG!$X44,$BG$71*AZ73,-1)</f>
        <v>-1</v>
      </c>
      <c r="BA70" s="128">
        <f>IF(DIAG!$X44,$BG$71*BA73,-1)</f>
        <v>-1</v>
      </c>
      <c r="BB70" s="128">
        <f>IF(DIAG!$X44,$BG$71*BB73,-1)</f>
        <v>-1</v>
      </c>
      <c r="BC70" s="128">
        <f>IF(DIAG!$X44,$BG$71*BC73,-1)</f>
        <v>-1</v>
      </c>
      <c r="BD70" s="128">
        <f>IF(DIAG!$X44,$BG$71*BD73,-1)</f>
        <v>-1</v>
      </c>
      <c r="BE70" s="128">
        <f>IF(DIAG!$X44,$BG$71*BE73,-1)</f>
        <v>-1</v>
      </c>
      <c r="BF70" s="128">
        <f>IF(DIAG!$X44,$BG$71*BF73,-1)</f>
        <v>-1</v>
      </c>
      <c r="BG70" s="158">
        <f>IF(DIAG!X44,((2*$M$69+1-SQRT(4*$M$69+1))/($M$69*2))*DIAG!$X44,-1)</f>
        <v>-1</v>
      </c>
    </row>
    <row r="71" spans="1:59" x14ac:dyDescent="0.2">
      <c r="A71" s="109"/>
      <c r="B71" s="110"/>
      <c r="D71" s="111"/>
      <c r="E71" s="111"/>
      <c r="F71" s="111"/>
      <c r="G71" s="112"/>
      <c r="H71" s="112"/>
      <c r="I71" s="112"/>
      <c r="J71" s="112"/>
      <c r="K71" s="112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159">
        <f>(AG70-O70)/18</f>
        <v>0</v>
      </c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159">
        <f>(BG70-AO70)/18</f>
        <v>0</v>
      </c>
    </row>
    <row r="72" spans="1:59" x14ac:dyDescent="0.2">
      <c r="A72" s="109"/>
      <c r="B72" s="110"/>
      <c r="D72" s="111"/>
      <c r="E72" s="111"/>
      <c r="F72" s="111"/>
      <c r="G72" s="112"/>
      <c r="H72" s="112"/>
      <c r="I72" s="112"/>
      <c r="J72" s="112"/>
      <c r="K72" s="112"/>
      <c r="M72" s="120"/>
      <c r="N72" s="137" t="s">
        <v>124</v>
      </c>
      <c r="O72" s="137">
        <f>DIAG!$T$53</f>
        <v>2</v>
      </c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1"/>
      <c r="AA72" s="121"/>
      <c r="AB72" s="121"/>
      <c r="AC72" s="120"/>
      <c r="AD72" s="120"/>
      <c r="AE72" s="120"/>
      <c r="AF72" s="120"/>
      <c r="AG72" s="120"/>
    </row>
    <row r="73" spans="1:59" x14ac:dyDescent="0.2">
      <c r="A73" s="109"/>
      <c r="B73" s="110"/>
      <c r="D73" s="111"/>
      <c r="E73" s="111"/>
      <c r="F73" s="111"/>
      <c r="G73" s="112"/>
      <c r="H73" s="112"/>
      <c r="I73" s="112"/>
      <c r="J73" s="112"/>
      <c r="K73" s="112"/>
      <c r="M73" s="84">
        <f>O72</f>
        <v>2</v>
      </c>
      <c r="N73" s="115" t="s">
        <v>53</v>
      </c>
      <c r="O73" s="116">
        <f>(2*O74*($M73+1)-$M73-$M73*O74^2)/(SQRT(3)*$M73*(1-O74))</f>
        <v>-1.4433756729740645</v>
      </c>
      <c r="P73" s="116">
        <f t="shared" ref="P73:AG73" si="27">(2*P74*($M73+1)-$M73-$M73*P74^2)/(SQRT(3)*$M73*(1-P74))</f>
        <v>-1.4433756729740645</v>
      </c>
      <c r="Q73" s="116">
        <f t="shared" si="27"/>
        <v>-1.4433756729740645</v>
      </c>
      <c r="R73" s="116">
        <f t="shared" si="27"/>
        <v>-1.4433756729740645</v>
      </c>
      <c r="S73" s="116">
        <f t="shared" si="27"/>
        <v>-1.4433756729740645</v>
      </c>
      <c r="T73" s="116">
        <f t="shared" si="27"/>
        <v>-1.4433756729740645</v>
      </c>
      <c r="U73" s="116">
        <f t="shared" si="27"/>
        <v>-1.4433756729740645</v>
      </c>
      <c r="V73" s="116">
        <f>(2*V74*($M73+1)-$M73-$M73*V74^2)/(SQRT(3)*$M73*(1-V74))</f>
        <v>-1.4433756729740645</v>
      </c>
      <c r="W73" s="116">
        <f>(2*W74*($M73+1)-$M73-$M73*W74^2)/(SQRT(3)*$M73*(1-W74))</f>
        <v>-1.4433756729740645</v>
      </c>
      <c r="X73" s="116">
        <f>(2*X74*($M73+1)-$M73-$M73*X74^2)/(SQRT(3)*$M73*(1-X74))</f>
        <v>-1.4433756729740645</v>
      </c>
      <c r="Y73" s="116">
        <f>(2*Y74*($M73+1)-$M73-$M73*Y74^2)/(SQRT(3)*$M73*(1-Y74))</f>
        <v>-1.4433756729740645</v>
      </c>
      <c r="Z73" s="116">
        <f t="shared" si="27"/>
        <v>-1.4433756729740645</v>
      </c>
      <c r="AA73" s="116">
        <f>(2*AA74*($M73+1)-$M73-$M73*AA74^2)/(SQRT(3)*$M73*(1-AA74))</f>
        <v>-1.4433756729740645</v>
      </c>
      <c r="AB73" s="116">
        <f>(2*AB74*($M73+1)-$M73-$M73*AB74^2)/(SQRT(3)*$M73*(1-AB74))</f>
        <v>-1.4433756729740645</v>
      </c>
      <c r="AC73" s="116">
        <f>(2*AC74*($M73+1)-$M73-$M73*AC74^2)/(SQRT(3)*$M73*(1-AC74))</f>
        <v>-1.4433756729740645</v>
      </c>
      <c r="AD73" s="116">
        <f>(2*AD74*($M73+1)-$M73-$M73*AD74^2)/(SQRT(3)*$M73*(1-AD74))</f>
        <v>-1.4433756729740645</v>
      </c>
      <c r="AE73" s="116">
        <f t="shared" si="27"/>
        <v>-1.4433756729740645</v>
      </c>
      <c r="AF73" s="116">
        <f t="shared" si="27"/>
        <v>-1.4433756729740645</v>
      </c>
      <c r="AG73" s="156">
        <f t="shared" si="27"/>
        <v>-1.4433756729740645</v>
      </c>
      <c r="AH73" s="61"/>
      <c r="AI73" s="61"/>
      <c r="AJ73" s="61"/>
      <c r="AP73" s="141">
        <v>1</v>
      </c>
      <c r="AQ73" s="141">
        <v>2</v>
      </c>
      <c r="AR73" s="141">
        <v>3</v>
      </c>
      <c r="AS73" s="141">
        <v>4</v>
      </c>
      <c r="AT73" s="141">
        <v>5</v>
      </c>
      <c r="AU73" s="141">
        <v>6</v>
      </c>
      <c r="AV73" s="141">
        <v>7</v>
      </c>
      <c r="AW73" s="141">
        <v>8</v>
      </c>
      <c r="AX73" s="141">
        <v>9</v>
      </c>
      <c r="AY73" s="141">
        <v>10</v>
      </c>
      <c r="AZ73" s="141">
        <v>11</v>
      </c>
      <c r="BA73" s="141">
        <v>12</v>
      </c>
      <c r="BB73" s="141">
        <v>13</v>
      </c>
      <c r="BC73" s="141">
        <v>14</v>
      </c>
      <c r="BD73" s="141">
        <v>15</v>
      </c>
      <c r="BE73" s="141">
        <v>16</v>
      </c>
      <c r="BF73" s="141">
        <v>17</v>
      </c>
      <c r="BG73" s="159">
        <f>(BG74-AO74)/18</f>
        <v>0</v>
      </c>
    </row>
    <row r="74" spans="1:59" x14ac:dyDescent="0.2">
      <c r="A74" s="160"/>
      <c r="B74" s="161"/>
      <c r="C74" s="60"/>
      <c r="D74" s="162"/>
      <c r="E74" s="162"/>
      <c r="F74" s="111"/>
      <c r="G74" s="112"/>
      <c r="H74" s="112"/>
      <c r="I74" s="112"/>
      <c r="J74" s="112"/>
      <c r="K74" s="112"/>
      <c r="M74" s="125" t="str">
        <f>CONCATENATE("SI=",O72)</f>
        <v>SI=2</v>
      </c>
      <c r="N74" s="120" t="s">
        <v>54</v>
      </c>
      <c r="O74" s="137">
        <f>IF(DIAG!T50,0,-1)</f>
        <v>-1</v>
      </c>
      <c r="P74" s="137">
        <f>IF(DIAG!$T$50,$AG$75*P75,-1)</f>
        <v>-1</v>
      </c>
      <c r="Q74" s="137">
        <f>IF(DIAG!$T$50,$AG$75*Q75,-1)</f>
        <v>-1</v>
      </c>
      <c r="R74" s="137">
        <f>IF(DIAG!$T$50,$AG$75*R75,-1)</f>
        <v>-1</v>
      </c>
      <c r="S74" s="137">
        <f>IF(DIAG!$T$50,$AG$75*S75,-1)</f>
        <v>-1</v>
      </c>
      <c r="T74" s="137">
        <f>IF(DIAG!$T$50,$AG$75*T75,-1)</f>
        <v>-1</v>
      </c>
      <c r="U74" s="137">
        <f>IF(DIAG!$T$50,$AG$75*U75,-1)</f>
        <v>-1</v>
      </c>
      <c r="V74" s="137">
        <f>IF(DIAG!$T$50,$AG$75*V75,-1)</f>
        <v>-1</v>
      </c>
      <c r="W74" s="137">
        <f>IF(DIAG!$T$50,$AG$75*W75,-1)</f>
        <v>-1</v>
      </c>
      <c r="X74" s="137">
        <f>IF(DIAG!$T$50,$AG$75*X75,-1)</f>
        <v>-1</v>
      </c>
      <c r="Y74" s="137">
        <f>IF(DIAG!$T$50,$AG$75*Y75,-1)</f>
        <v>-1</v>
      </c>
      <c r="Z74" s="137">
        <f>IF(DIAG!$T$50,$AG$75*Z75,-1)</f>
        <v>-1</v>
      </c>
      <c r="AA74" s="137">
        <f>IF(DIAG!$T$50,$AG$75*AA75,-1)</f>
        <v>-1</v>
      </c>
      <c r="AB74" s="137">
        <f>IF(DIAG!$T$50,$AG$75*AB75,-1)</f>
        <v>-1</v>
      </c>
      <c r="AC74" s="137">
        <f>IF(DIAG!$T$50,$AG$75*AC75,-1)</f>
        <v>-1</v>
      </c>
      <c r="AD74" s="137">
        <f>IF(DIAG!$T$50,$AG$75*AD75,-1)</f>
        <v>-1</v>
      </c>
      <c r="AE74" s="137">
        <f>IF(DIAG!$T$50,$AG$75*AE75,-1)</f>
        <v>-1</v>
      </c>
      <c r="AF74" s="137">
        <f>IF(DIAG!$T$50,$AG$75*AF75,-1)</f>
        <v>-1</v>
      </c>
      <c r="AG74" s="157">
        <f>IF(DIAG!T50,((2*$M$73+1-SQRT(4*$M$73+1))/($M$73*2))*DIAG!$T$50,-1)</f>
        <v>-1</v>
      </c>
      <c r="AH74" s="61"/>
      <c r="AI74" s="61"/>
      <c r="AJ74" s="61"/>
    </row>
    <row r="75" spans="1:59" x14ac:dyDescent="0.2">
      <c r="A75" s="109"/>
      <c r="B75" s="110"/>
      <c r="D75" s="111"/>
      <c r="E75" s="111"/>
      <c r="F75" s="111"/>
      <c r="G75" s="112"/>
      <c r="H75" s="112"/>
      <c r="I75" s="112"/>
      <c r="J75" s="112"/>
      <c r="K75" s="112"/>
      <c r="M75" s="125"/>
      <c r="N75" s="126"/>
      <c r="O75" s="141"/>
      <c r="P75" s="141">
        <v>1</v>
      </c>
      <c r="Q75" s="141">
        <v>2</v>
      </c>
      <c r="R75" s="141">
        <v>3</v>
      </c>
      <c r="S75" s="141">
        <v>4</v>
      </c>
      <c r="T75" s="141">
        <v>5</v>
      </c>
      <c r="U75" s="141">
        <v>6</v>
      </c>
      <c r="V75" s="141">
        <v>7</v>
      </c>
      <c r="W75" s="141">
        <v>8</v>
      </c>
      <c r="X75" s="141">
        <v>9</v>
      </c>
      <c r="Y75" s="141">
        <v>10</v>
      </c>
      <c r="Z75" s="141">
        <v>11</v>
      </c>
      <c r="AA75" s="141">
        <v>12</v>
      </c>
      <c r="AB75" s="141">
        <v>13</v>
      </c>
      <c r="AC75" s="141">
        <v>14</v>
      </c>
      <c r="AD75" s="141">
        <v>15</v>
      </c>
      <c r="AE75" s="141">
        <v>16</v>
      </c>
      <c r="AF75" s="141">
        <v>17</v>
      </c>
      <c r="AG75" s="159">
        <f>(AG74-O74)/18</f>
        <v>0</v>
      </c>
    </row>
    <row r="76" spans="1:59" x14ac:dyDescent="0.2">
      <c r="A76" s="109" t="s">
        <v>6</v>
      </c>
      <c r="B76" s="110"/>
      <c r="D76" s="111"/>
      <c r="E76" s="111"/>
      <c r="F76" s="111" t="s">
        <v>5</v>
      </c>
      <c r="G76" s="112"/>
      <c r="H76" s="163" t="s">
        <v>7</v>
      </c>
      <c r="I76" s="112"/>
      <c r="J76" s="112"/>
      <c r="K76" s="112"/>
      <c r="Z76" s="61"/>
      <c r="AA76" s="61"/>
      <c r="AB76" s="61"/>
      <c r="AO76" s="35" t="s">
        <v>45</v>
      </c>
      <c r="AP76" s="164">
        <v>-0.52500000000000002</v>
      </c>
      <c r="AQ76" s="164">
        <v>0.52500000000000002</v>
      </c>
      <c r="AR76" s="123">
        <v>-0.38700000000000001</v>
      </c>
      <c r="AS76" s="123">
        <v>0.38700000000000001</v>
      </c>
      <c r="AT76" s="123">
        <v>0</v>
      </c>
      <c r="AU76" s="123">
        <v>0.28999999999999998</v>
      </c>
      <c r="AV76" s="123">
        <v>-0.34639999999999999</v>
      </c>
      <c r="AW76" s="123">
        <v>0.11700000000000001</v>
      </c>
    </row>
    <row r="77" spans="1:59" x14ac:dyDescent="0.2">
      <c r="A77" s="130" t="s">
        <v>55</v>
      </c>
      <c r="B77" s="131"/>
      <c r="C77" s="131"/>
      <c r="D77" s="131"/>
      <c r="E77" s="131"/>
      <c r="F77" s="132"/>
      <c r="G77" s="133"/>
      <c r="H77" s="133"/>
      <c r="I77" s="133"/>
      <c r="J77" s="133"/>
      <c r="K77" s="133"/>
      <c r="L77" s="117"/>
      <c r="M77" s="117"/>
      <c r="N77" s="117"/>
      <c r="O77" s="117"/>
      <c r="P77" s="117"/>
      <c r="Q77" s="117"/>
      <c r="R77" s="117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17"/>
      <c r="AD77" s="117"/>
      <c r="AE77" s="117"/>
      <c r="AF77" s="117"/>
      <c r="AG77" s="117"/>
      <c r="AH77" s="117"/>
      <c r="AI77" s="118"/>
      <c r="AM77" s="149">
        <v>1</v>
      </c>
      <c r="AN77" s="120"/>
      <c r="AO77" s="120" t="str">
        <f>IF(DIAG!X44,CONCATENATE("F=",TRUNC(AM77/2,2)),"")</f>
        <v/>
      </c>
      <c r="AP77" s="120"/>
      <c r="AQ77" s="120"/>
      <c r="AR77" s="120"/>
      <c r="AS77" s="120"/>
      <c r="AT77" s="120">
        <f>IF(DIAG!X44,IF(1-$AM$77+SQRT(3)*(AT76)&gt;1,1,1-$AM$77+SQRT(3)*(AT76)),-1)</f>
        <v>-1</v>
      </c>
      <c r="AU77" s="120">
        <f>IF(DIAG!X44,IF(1-$AM$77+SQRT(3)*(AU76)&gt;1,1,1-$AM$77+SQRT(3)*(AU76)),-1)</f>
        <v>-1</v>
      </c>
      <c r="AV77" s="120"/>
      <c r="AW77" s="120"/>
    </row>
    <row r="78" spans="1:59" ht="15.75" x14ac:dyDescent="0.3">
      <c r="A78" s="62" t="s">
        <v>110</v>
      </c>
      <c r="B78" s="166" t="s">
        <v>111</v>
      </c>
      <c r="C78" s="36" t="s">
        <v>56</v>
      </c>
      <c r="D78" s="36" t="s">
        <v>57</v>
      </c>
      <c r="E78" s="62" t="s">
        <v>110</v>
      </c>
      <c r="F78" s="166" t="s">
        <v>111</v>
      </c>
      <c r="G78" s="62" t="s">
        <v>110</v>
      </c>
      <c r="H78" s="166" t="s">
        <v>111</v>
      </c>
      <c r="N78" s="36" t="s">
        <v>45</v>
      </c>
      <c r="O78" s="56">
        <f>O35</f>
        <v>-0.57735026918962584</v>
      </c>
      <c r="P78" s="56">
        <f>P35</f>
        <v>-0.51961524227066325</v>
      </c>
      <c r="Q78" s="56">
        <f t="shared" ref="Q78:AI78" si="28">Q35</f>
        <v>-0.46188021535170065</v>
      </c>
      <c r="R78" s="56">
        <f t="shared" si="28"/>
        <v>-0.40414518843273811</v>
      </c>
      <c r="S78" s="56">
        <f t="shared" si="28"/>
        <v>-0.34641016151377552</v>
      </c>
      <c r="T78" s="56">
        <f t="shared" si="28"/>
        <v>-0.17320508075688779</v>
      </c>
      <c r="U78" s="56">
        <f t="shared" si="28"/>
        <v>-0.17320508075688779</v>
      </c>
      <c r="V78" s="56">
        <f t="shared" si="28"/>
        <v>-0.17320508075688779</v>
      </c>
      <c r="W78" s="56">
        <f t="shared" si="28"/>
        <v>-0.11547005383792519</v>
      </c>
      <c r="X78" s="56">
        <f t="shared" si="28"/>
        <v>-5.7735026918962595E-2</v>
      </c>
      <c r="Y78" s="56">
        <f t="shared" si="28"/>
        <v>0</v>
      </c>
      <c r="Z78" s="56">
        <f t="shared" si="28"/>
        <v>5.7735026918962595E-2</v>
      </c>
      <c r="AA78" s="56">
        <f t="shared" si="28"/>
        <v>0.11547005383792519</v>
      </c>
      <c r="AB78" s="56">
        <f t="shared" si="28"/>
        <v>0.17320508075688779</v>
      </c>
      <c r="AC78" s="56">
        <f t="shared" si="28"/>
        <v>0.23094010767585038</v>
      </c>
      <c r="AD78" s="56">
        <f t="shared" si="28"/>
        <v>0.28867513459481292</v>
      </c>
      <c r="AE78" s="56">
        <f t="shared" si="28"/>
        <v>0.34641016151377552</v>
      </c>
      <c r="AF78" s="56">
        <f t="shared" si="28"/>
        <v>0.40414518843273811</v>
      </c>
      <c r="AG78" s="56">
        <f t="shared" si="28"/>
        <v>0.46188021535170065</v>
      </c>
      <c r="AH78" s="56">
        <f t="shared" si="28"/>
        <v>0.51961524227066325</v>
      </c>
      <c r="AI78" s="56">
        <f t="shared" si="28"/>
        <v>0.57735026918962584</v>
      </c>
      <c r="AM78" s="149">
        <v>0.4</v>
      </c>
      <c r="AN78" s="120"/>
      <c r="AO78" s="120" t="str">
        <f>IF(DIAG!X44,CONCATENATE("F=",TRUNC(AM78/2,2)),"")</f>
        <v/>
      </c>
      <c r="AP78" s="120"/>
      <c r="AQ78" s="120"/>
      <c r="AR78" s="120"/>
      <c r="AS78" s="120"/>
      <c r="AT78" s="120"/>
      <c r="AU78" s="120"/>
      <c r="AV78" s="120">
        <f>IF(DIAG!X44,IF(1-$AM$78+SQRT(3)*(AV76)&gt;1,1,1-$AM$78+SQRT(3)*(AV76)),-1)</f>
        <v>-1</v>
      </c>
      <c r="AW78" s="120">
        <f>IF(DIAG!X44,IF(1-$AM$78+SQRT(3)*(AW67)&gt;1,1,1-$AM$78+SQRT(3)*(AW76)),-1)</f>
        <v>-1</v>
      </c>
    </row>
    <row r="79" spans="1:59" x14ac:dyDescent="0.2">
      <c r="A79" s="168">
        <f>VLOOKUP(A78,A26:K26,DIAG!$T$58+1,0)</f>
        <v>0</v>
      </c>
      <c r="B79" s="169">
        <f>VLOOKUP(B78,A27:K27,DIAG!$T$58+1,0)</f>
        <v>0.33333333333333331</v>
      </c>
      <c r="E79" s="168">
        <f>VLOOKUP(E78,A26:K26,DIAG!$W$56+1,0)</f>
        <v>0</v>
      </c>
      <c r="F79" s="169">
        <f>VLOOKUP(F78,A27:K27,DIAG!$W$56+1,0)</f>
        <v>0.33333333333333331</v>
      </c>
      <c r="G79" s="168">
        <f>VLOOKUP(G78,A26:K26,DIAG!$W$58+1,0)</f>
        <v>0.43324364199989518</v>
      </c>
      <c r="H79" s="169">
        <f>VLOOKUP(H78,A27:K27,DIAG!$W$58+1,0)</f>
        <v>8.3199999999999996E-2</v>
      </c>
      <c r="N79" s="36" t="s">
        <v>123</v>
      </c>
      <c r="O79" s="56">
        <f>IF(A79&lt;&gt;0,O35,0)</f>
        <v>0</v>
      </c>
      <c r="P79" s="56">
        <f>IF(A79&lt;&gt;0,P35,0)</f>
        <v>0</v>
      </c>
      <c r="Q79" s="56">
        <f>IF(A79&lt;&gt;0,Q35,0)</f>
        <v>0</v>
      </c>
      <c r="R79" s="56">
        <f>IF(A79&lt;&gt;0,R35,0)</f>
        <v>0</v>
      </c>
      <c r="S79" s="56">
        <f>IF(A79&lt;&gt;0,S35,0)</f>
        <v>0</v>
      </c>
      <c r="T79" s="56">
        <f>IF(A79&lt;&gt;0,T35,0)</f>
        <v>0</v>
      </c>
      <c r="U79" s="56">
        <f>IF(A79&lt;&gt;0,U35,0)</f>
        <v>0</v>
      </c>
      <c r="V79" s="56">
        <f>IF(A79&lt;&gt;0,V35,0)</f>
        <v>0</v>
      </c>
      <c r="W79" s="56">
        <f>IF(A79&lt;&gt;0,W35,0)</f>
        <v>0</v>
      </c>
      <c r="X79" s="56">
        <f>IF(A79&lt;&gt;0,X35,0)</f>
        <v>0</v>
      </c>
      <c r="Y79" s="56">
        <f>IF(A79&lt;&gt;0,Y35,0)</f>
        <v>0</v>
      </c>
      <c r="Z79" s="56">
        <f>IF(A79&lt;&gt;0,Z35,0)</f>
        <v>0</v>
      </c>
      <c r="AA79" s="56">
        <f>IF(A79&lt;&gt;0,AA35,0)</f>
        <v>0</v>
      </c>
      <c r="AB79" s="56">
        <f>IF(A79&lt;&gt;0,AB35,0)</f>
        <v>0</v>
      </c>
      <c r="AC79" s="56">
        <f>IF(A79&lt;&gt;0,AC35,0)</f>
        <v>0</v>
      </c>
      <c r="AD79" s="56">
        <f>IF(A79&lt;&gt;0,AD35,0)</f>
        <v>0</v>
      </c>
      <c r="AE79" s="56">
        <f>IF(A79&lt;&gt;0,AE35,0)</f>
        <v>0</v>
      </c>
      <c r="AF79" s="56">
        <f>IF(A79&lt;&gt;0,AF35,0)</f>
        <v>0</v>
      </c>
      <c r="AG79" s="56">
        <f>IF(A79&lt;&gt;0,AG35,0)</f>
        <v>0</v>
      </c>
      <c r="AH79" s="56">
        <f>IF(A79&lt;&gt;0,AH35,0)</f>
        <v>0</v>
      </c>
      <c r="AI79" s="167">
        <f>IF(A79&lt;&gt;0,AI35,0)</f>
        <v>0</v>
      </c>
      <c r="AM79" s="151">
        <v>9.0909000000000004E-2</v>
      </c>
      <c r="AN79" s="126"/>
      <c r="AO79" s="126" t="str">
        <f>IF(DIAG!X44,CONCATENATE("R = ",TRUNC(AM79,2)),"")</f>
        <v/>
      </c>
      <c r="AP79" s="126">
        <f>IF(DIAG!X44,$AM$79,-1)</f>
        <v>-1</v>
      </c>
      <c r="AQ79" s="126">
        <f>IF(DIAG!X44,$AM$79,-1)</f>
        <v>-1</v>
      </c>
      <c r="AR79" s="126"/>
      <c r="AS79" s="126"/>
      <c r="AT79" s="126"/>
      <c r="AU79" s="126"/>
      <c r="AV79" s="126"/>
      <c r="AW79" s="126"/>
    </row>
    <row r="80" spans="1:59" ht="15.75" x14ac:dyDescent="0.3">
      <c r="A80" s="171">
        <f>-1/SQRT(3)</f>
        <v>-0.57735026918962584</v>
      </c>
      <c r="B80" s="158">
        <v>0</v>
      </c>
      <c r="C80" s="56">
        <f>(B80-$F$79)/(A80-$E$79)</f>
        <v>0.57735026918962562</v>
      </c>
      <c r="D80" s="56">
        <f>(B80*(A80-$E$79)-A80*(B80-$F$79))/(A80-$E$79)</f>
        <v>0.33333333333333331</v>
      </c>
      <c r="E80" s="56" t="s">
        <v>5</v>
      </c>
      <c r="F80" s="56"/>
      <c r="N80" s="36" t="s">
        <v>112</v>
      </c>
      <c r="O80" s="56">
        <f>IF(DIAG!$T$55,($C$80*O35+$D$80),-1)</f>
        <v>-1</v>
      </c>
      <c r="P80" s="56">
        <f>IF(DIAG!$T$55,($C$80*P35+$D$80),-1)</f>
        <v>-1</v>
      </c>
      <c r="Q80" s="56">
        <f>IF(DIAG!$T$55,($C$80*Q35+$D$80),-1)</f>
        <v>-1</v>
      </c>
      <c r="R80" s="56">
        <f>IF(DIAG!$T$55,($C$80*R35+$D$80),-1)</f>
        <v>-1</v>
      </c>
      <c r="S80" s="56">
        <f>IF(DIAG!$T$55,($C$80*S35+$D$80),-1)</f>
        <v>-1</v>
      </c>
      <c r="T80" s="56">
        <f>IF(DIAG!$T$55,($C$80*T35+$D$80),-1)</f>
        <v>-1</v>
      </c>
      <c r="U80" s="56">
        <f>IF(DIAG!$T$55,($C$80*U35+$D$80),-1)</f>
        <v>-1</v>
      </c>
      <c r="V80" s="56">
        <f>IF(DIAG!$T$55,($C$80*V35+$D$80),-1)</f>
        <v>-1</v>
      </c>
      <c r="W80" s="56">
        <f>IF(DIAG!$T$55,($C$80*W35+$D$80),-1)</f>
        <v>-1</v>
      </c>
      <c r="X80" s="56">
        <f>IF(DIAG!$T$55,($C$80*X35+$D$80),-1)</f>
        <v>-1</v>
      </c>
      <c r="Y80" s="56">
        <f>IF(DIAG!$T$55,($C$80*Y35+$D$80),-1)</f>
        <v>-1</v>
      </c>
      <c r="Z80" s="56">
        <f>IF(DIAG!$T$55,($C$80*Z35+$D$80),-1)</f>
        <v>-1</v>
      </c>
      <c r="AA80" s="56">
        <f>IF(DIAG!$T$55,($C$80*AA35+$D$80),-1)</f>
        <v>-1</v>
      </c>
      <c r="AB80" s="56">
        <f>IF(DIAG!$T$55,($C$80*AB35+$D$80),-1)</f>
        <v>-1</v>
      </c>
      <c r="AC80" s="56">
        <f>IF(DIAG!$T$55,($C$80*AC35+$D$80),-1)</f>
        <v>-1</v>
      </c>
      <c r="AD80" s="56">
        <f>IF(DIAG!$T$55,($C$80*AD35+$D$80),-1)</f>
        <v>-1</v>
      </c>
      <c r="AE80" s="56">
        <f>IF(DIAG!$T$55,($C$80*AE35+$D$80),-1)</f>
        <v>-1</v>
      </c>
      <c r="AF80" s="56">
        <f>IF(DIAG!$T$55,($C$80*AF35+$D$80),-1)</f>
        <v>-1</v>
      </c>
      <c r="AG80" s="56">
        <f>IF(DIAG!$T$55,($C$80*AG35+$D$80),-1)</f>
        <v>-1</v>
      </c>
      <c r="AH80" s="56">
        <f>IF(DIAG!$T$55,($C$80*AH35+$D$80),-1)</f>
        <v>-1</v>
      </c>
      <c r="AI80" s="167">
        <f>IF(DIAG!$T$55,($C$80*AI35+$D$80),-1)</f>
        <v>-1</v>
      </c>
      <c r="AM80" s="151">
        <v>0.33333000000000002</v>
      </c>
      <c r="AN80" s="126"/>
      <c r="AO80" s="126" t="str">
        <f>IF(DIAG!X44,CONCATENATE("R = ",TRUNC(AM80,2)),"")</f>
        <v/>
      </c>
      <c r="AP80" s="126"/>
      <c r="AQ80" s="126"/>
      <c r="AR80" s="126">
        <f>IF(DIAG!X44,$AM$80,-1)</f>
        <v>-1</v>
      </c>
      <c r="AS80" s="126">
        <f>IF(DIAG!X44,$AM$80,-1)</f>
        <v>-1</v>
      </c>
      <c r="AT80" s="126"/>
      <c r="AU80" s="126"/>
      <c r="AV80" s="126"/>
      <c r="AW80" s="126"/>
    </row>
    <row r="81" spans="1:35" ht="15.75" x14ac:dyDescent="0.3">
      <c r="A81" s="171">
        <f>1/SQRT(3)</f>
        <v>0.57735026918962584</v>
      </c>
      <c r="B81" s="158">
        <v>0</v>
      </c>
      <c r="C81" s="56">
        <f>(B81-$H$79)/(A81-$G$79)</f>
        <v>-0.5773502691896254</v>
      </c>
      <c r="D81" s="56">
        <f>(B81*(A81-$G$79)-A81*(B81-$H$79))/(A81-$G$79)</f>
        <v>0.3333333333333332</v>
      </c>
      <c r="E81" s="56" t="s">
        <v>7</v>
      </c>
      <c r="N81" s="36" t="s">
        <v>113</v>
      </c>
      <c r="O81" s="56">
        <f>IF(DIAG!$T$56,($C$81*O35+$D$81),-1)</f>
        <v>-1</v>
      </c>
      <c r="P81" s="56">
        <f>IF(DIAG!$T$56,($C$81*P35+$D$81),-1)</f>
        <v>-1</v>
      </c>
      <c r="Q81" s="56">
        <f>IF(DIAG!$T$56,($C$81*Q35+$D$81),-1)</f>
        <v>-1</v>
      </c>
      <c r="R81" s="56">
        <f>IF(DIAG!$T$56,($C$81*R35+$D$81),-1)</f>
        <v>-1</v>
      </c>
      <c r="S81" s="56">
        <f>IF(DIAG!$T$56,($C$81*S35+$D$81),-1)</f>
        <v>-1</v>
      </c>
      <c r="T81" s="56">
        <f>IF(DIAG!$T$56,($C$81*T35+$D$81),-1)</f>
        <v>-1</v>
      </c>
      <c r="U81" s="56">
        <f>IF(DIAG!$T$56,($C$81*U35+$D$81),-1)</f>
        <v>-1</v>
      </c>
      <c r="V81" s="56">
        <f>IF(DIAG!$T$56,($C$81*V35+$D$81),-1)</f>
        <v>-1</v>
      </c>
      <c r="W81" s="56">
        <f>IF(DIAG!$T$56,($C$81*W35+$D$81),-1)</f>
        <v>-1</v>
      </c>
      <c r="X81" s="56">
        <f>IF(DIAG!$T$56,($C$81*X35+$D$81),-1)</f>
        <v>-1</v>
      </c>
      <c r="Y81" s="56">
        <f>IF(DIAG!$T$56,($C$81*Y35+$D$81),-1)</f>
        <v>-1</v>
      </c>
      <c r="Z81" s="56">
        <f>IF(DIAG!$T$56,($C$81*Z35+$D$81),-1)</f>
        <v>-1</v>
      </c>
      <c r="AA81" s="56">
        <f>IF(DIAG!$T$56,($C$81*AA35+$D$81),-1)</f>
        <v>-1</v>
      </c>
      <c r="AB81" s="56">
        <f>IF(DIAG!$T$56,($C$81*AB35+$D$81),-1)</f>
        <v>-1</v>
      </c>
      <c r="AC81" s="56">
        <f>IF(DIAG!$T$56,($C$81*AC35+$D$81),-1)</f>
        <v>-1</v>
      </c>
      <c r="AD81" s="56">
        <f>IF(DIAG!$T$56,($C$81*AD35+$D$81),-1)</f>
        <v>-1</v>
      </c>
      <c r="AE81" s="56">
        <f>IF(DIAG!$T$56,($C$81*AE35+$D$81),-1)</f>
        <v>-1</v>
      </c>
      <c r="AF81" s="56">
        <f>IF(DIAG!$T$56,($C$81*AF35+$D$81),-1)</f>
        <v>-1</v>
      </c>
      <c r="AG81" s="56">
        <f>IF(DIAG!$T$56,($C$81*AG35+$D$81),-1)</f>
        <v>-1</v>
      </c>
      <c r="AH81" s="56">
        <f>IF(DIAG!$T$56,($C$81*AH35+$D$81),-1)</f>
        <v>-1</v>
      </c>
      <c r="AI81" s="167">
        <f>IF(DIAG!$T$56,($C$81*AI35+$D$81),-1)</f>
        <v>-1</v>
      </c>
    </row>
    <row r="82" spans="1:35" ht="15.75" x14ac:dyDescent="0.3">
      <c r="A82" s="172">
        <v>0</v>
      </c>
      <c r="B82" s="173">
        <v>1</v>
      </c>
      <c r="C82" s="56" t="e">
        <f>(B82-$B$79)/(A82-$A$79)</f>
        <v>#DIV/0!</v>
      </c>
      <c r="D82" s="56" t="e">
        <f>(B82*(A82-$A$79)-A82*(B82-$B$79))/(A82-$A$79)</f>
        <v>#DIV/0!</v>
      </c>
      <c r="E82" s="56" t="s">
        <v>6</v>
      </c>
      <c r="N82" s="36" t="s">
        <v>114</v>
      </c>
      <c r="O82" s="56">
        <f>IFERROR(IF(DIAG!$T$54,($C$82*O35+$D$82),-1),-3)</f>
        <v>-1</v>
      </c>
      <c r="P82" s="56">
        <f>IFERROR(IF(DIAG!$T$54,($C$82*P35+$D$82),-1),-2.66)</f>
        <v>-1</v>
      </c>
      <c r="Q82" s="56">
        <f>IFERROR(IF(DIAG!$T$54,($C$82*Q35+$D$82),-1),-2.33)</f>
        <v>-1</v>
      </c>
      <c r="R82" s="56">
        <f>IFERROR(IF(DIAG!$T$54,($C$82*R35+$D$82),-1),-2)</f>
        <v>-1</v>
      </c>
      <c r="S82" s="56">
        <f>IFERROR(IF(DIAG!$T$54,($C$82*S35+$D$82),-1),-1.66)</f>
        <v>-1</v>
      </c>
      <c r="T82" s="56">
        <f>IFERROR(IF(DIAG!$T$54,($C$82*T35+$D$82),-1),-1.33)</f>
        <v>-1</v>
      </c>
      <c r="U82" s="56">
        <f>IFERROR(IF(DIAG!$T$54,($C$82*U35+$D$82),-1),-1)</f>
        <v>-1</v>
      </c>
      <c r="V82" s="56">
        <f>IFERROR(IF(DIAG!$T$54,($C$82*V35+$D$82),-1),-0.66)</f>
        <v>-1</v>
      </c>
      <c r="W82" s="56">
        <f>IFERROR(IF(DIAG!$T$54,($C$82*W35+$D$82),-1),-0.33)</f>
        <v>-1</v>
      </c>
      <c r="X82" s="56">
        <f>IFERROR(IF(DIAG!$T$54,($C$82*X35+$D$82),-1),0)</f>
        <v>-1</v>
      </c>
      <c r="Y82" s="56">
        <f>IFERROR(IF(DIAG!$T$54,($C$82*Y35+$D$82),-1),1)</f>
        <v>-1</v>
      </c>
      <c r="Z82" s="56">
        <f>IFERROR(IF(DIAG!$T$54,($C$82*Z35+$D$82),-1),1.33)</f>
        <v>-1</v>
      </c>
      <c r="AA82" s="56">
        <f>IFERROR(IF(DIAG!$T$54,($C$82*AA35+$D$82),-1),1.66)</f>
        <v>-1</v>
      </c>
      <c r="AB82" s="56">
        <f>IFERROR(IF(DIAG!$T$54,($C$82*AB35+$D$82),-1),2)</f>
        <v>-1</v>
      </c>
      <c r="AC82" s="56">
        <f>IFERROR(IF(DIAG!$T$54,($C$82*AC35+$D$82),-1),2.33)</f>
        <v>-1</v>
      </c>
      <c r="AD82" s="56">
        <f>IFERROR(IF(DIAG!$T$54,($C$82*AD35+$D$82),-1),2.66)</f>
        <v>-1</v>
      </c>
      <c r="AE82" s="56">
        <f>IFERROR(IF(DIAG!$T$54,($C$82*AE35+$D$82),-1),3)</f>
        <v>-1</v>
      </c>
      <c r="AF82" s="56">
        <f>IFERROR(IF(DIAG!$T$54,($C$82*AF35+$D$82),-1),3.33)</f>
        <v>-1</v>
      </c>
      <c r="AG82" s="56">
        <f>IFERROR(IF(DIAG!$T$54,($C$82*AG35+$D$82),-1),3.66)</f>
        <v>-1</v>
      </c>
      <c r="AH82" s="56">
        <f>IFERROR(IF(DIAG!$T$54,($C$82*AH35+$D$82),-1),4)</f>
        <v>-1</v>
      </c>
      <c r="AI82" s="167">
        <f>IFERROR(IF(DIAG!$T$54,($C$82*AI35+$D$82),-1),4.33)</f>
        <v>-1</v>
      </c>
    </row>
    <row r="83" spans="1:35" x14ac:dyDescent="0.2">
      <c r="A83" s="174">
        <f>B83+1</f>
        <v>2</v>
      </c>
      <c r="B83" s="36">
        <v>1</v>
      </c>
      <c r="E83" s="56"/>
      <c r="AI83" s="170"/>
    </row>
    <row r="84" spans="1:35" x14ac:dyDescent="0.2">
      <c r="A84" s="136"/>
      <c r="B84" s="36">
        <v>2</v>
      </c>
      <c r="C84" s="36">
        <v>3</v>
      </c>
      <c r="D84" s="36">
        <v>4</v>
      </c>
      <c r="E84" s="36">
        <v>5</v>
      </c>
      <c r="F84" s="36">
        <v>6</v>
      </c>
      <c r="G84" s="36">
        <v>7</v>
      </c>
      <c r="L84" s="36">
        <v>8</v>
      </c>
      <c r="AI84" s="170"/>
    </row>
    <row r="85" spans="1:35" x14ac:dyDescent="0.2">
      <c r="A85" s="136"/>
      <c r="AI85" s="170"/>
    </row>
    <row r="86" spans="1:35" x14ac:dyDescent="0.2">
      <c r="A86" s="136"/>
      <c r="D86" s="35">
        <v>1</v>
      </c>
      <c r="E86" s="35">
        <v>2</v>
      </c>
      <c r="AI86" s="170"/>
    </row>
    <row r="87" spans="1:35" x14ac:dyDescent="0.2">
      <c r="A87" s="136"/>
      <c r="B87" s="175" t="s">
        <v>5</v>
      </c>
      <c r="C87" s="176" t="s">
        <v>53</v>
      </c>
      <c r="D87" s="177" t="e">
        <f ca="1">D90</f>
        <v>#DIV/0!</v>
      </c>
      <c r="E87" s="178" t="e">
        <f ca="1">E91</f>
        <v>#DIV/0!</v>
      </c>
      <c r="G87" s="175" t="s">
        <v>7</v>
      </c>
      <c r="H87" s="176"/>
      <c r="I87" s="176"/>
      <c r="J87" s="176"/>
      <c r="K87" s="176"/>
      <c r="L87" s="176" t="s">
        <v>53</v>
      </c>
      <c r="M87" s="177" t="e">
        <f ca="1">M90</f>
        <v>#DIV/0!</v>
      </c>
      <c r="N87" s="178" t="e">
        <f ca="1">N91</f>
        <v>#DIV/0!</v>
      </c>
      <c r="P87" s="179" t="s">
        <v>6</v>
      </c>
      <c r="Q87" s="117" t="s">
        <v>53</v>
      </c>
      <c r="R87" s="165" t="e">
        <f ca="1">R90</f>
        <v>#DIV/0!</v>
      </c>
      <c r="S87" s="89" t="e">
        <f ca="1">S91</f>
        <v>#DIV/0!</v>
      </c>
      <c r="AI87" s="170"/>
    </row>
    <row r="88" spans="1:35" x14ac:dyDescent="0.2">
      <c r="A88" s="136"/>
      <c r="B88" s="180"/>
      <c r="C88" s="181" t="s">
        <v>54</v>
      </c>
      <c r="D88" s="182" t="e">
        <f ca="1">C80*D87+D80</f>
        <v>#DIV/0!</v>
      </c>
      <c r="E88" s="183" t="e">
        <f ca="1">C80*E87+D80</f>
        <v>#DIV/0!</v>
      </c>
      <c r="G88" s="180"/>
      <c r="H88" s="181"/>
      <c r="I88" s="181"/>
      <c r="J88" s="181"/>
      <c r="K88" s="181"/>
      <c r="L88" s="181" t="s">
        <v>54</v>
      </c>
      <c r="M88" s="182" t="e">
        <f ca="1">C81*M87+D81</f>
        <v>#DIV/0!</v>
      </c>
      <c r="N88" s="183" t="e">
        <f ca="1">C81*N87+D81</f>
        <v>#DIV/0!</v>
      </c>
      <c r="P88" s="136"/>
      <c r="Q88" s="35" t="s">
        <v>54</v>
      </c>
      <c r="R88" s="61" t="e">
        <f ca="1">C82*R87+D82</f>
        <v>#DIV/0!</v>
      </c>
      <c r="S88" s="124" t="e">
        <f ca="1">C82*S87+D82</f>
        <v>#DIV/0!</v>
      </c>
      <c r="AI88" s="170"/>
    </row>
    <row r="89" spans="1:35" x14ac:dyDescent="0.2">
      <c r="A89" s="136"/>
      <c r="B89" s="180"/>
      <c r="C89" s="181"/>
      <c r="D89" s="182"/>
      <c r="E89" s="183"/>
      <c r="G89" s="180"/>
      <c r="H89" s="181"/>
      <c r="I89" s="181"/>
      <c r="J89" s="181"/>
      <c r="K89" s="181"/>
      <c r="L89" s="181"/>
      <c r="M89" s="182"/>
      <c r="N89" s="183"/>
      <c r="P89" s="136"/>
      <c r="S89" s="170"/>
      <c r="AI89" s="170"/>
    </row>
    <row r="90" spans="1:35" x14ac:dyDescent="0.2">
      <c r="A90" s="136"/>
      <c r="B90" s="180" t="s">
        <v>8</v>
      </c>
      <c r="C90" s="181" t="s">
        <v>58</v>
      </c>
      <c r="D90" s="182" t="e">
        <f ca="1">(SQRT(D88^2-2*D88+5)-2)/SQRT(3)</f>
        <v>#DIV/0!</v>
      </c>
      <c r="E90" s="183"/>
      <c r="G90" s="180" t="s">
        <v>8</v>
      </c>
      <c r="H90" s="181"/>
      <c r="I90" s="181"/>
      <c r="J90" s="181"/>
      <c r="K90" s="181"/>
      <c r="L90" s="181" t="s">
        <v>58</v>
      </c>
      <c r="M90" s="182" t="e">
        <f ca="1">(SQRT(M88^2-2*M88+5)-2)/SQRT(3)</f>
        <v>#DIV/0!</v>
      </c>
      <c r="N90" s="183"/>
      <c r="P90" s="136" t="s">
        <v>8</v>
      </c>
      <c r="Q90" s="35" t="s">
        <v>58</v>
      </c>
      <c r="R90" s="61" t="e">
        <f ca="1">(SQRT(R88^2-2*R88+5)-2)/SQRT(3)</f>
        <v>#DIV/0!</v>
      </c>
      <c r="S90" s="124"/>
      <c r="AI90" s="170"/>
    </row>
    <row r="91" spans="1:35" x14ac:dyDescent="0.2">
      <c r="A91" s="136"/>
      <c r="B91" s="180" t="s">
        <v>9</v>
      </c>
      <c r="C91" s="181" t="s">
        <v>59</v>
      </c>
      <c r="D91" s="182"/>
      <c r="E91" s="183" t="e">
        <f ca="1">(SQRT(25*E88^2-10*E88+21)-6)/(5*SQRT(3))</f>
        <v>#DIV/0!</v>
      </c>
      <c r="G91" s="180" t="s">
        <v>9</v>
      </c>
      <c r="H91" s="181"/>
      <c r="I91" s="181"/>
      <c r="J91" s="181"/>
      <c r="K91" s="181"/>
      <c r="L91" s="181" t="s">
        <v>59</v>
      </c>
      <c r="M91" s="182"/>
      <c r="N91" s="183" t="e">
        <f ca="1">(SQRT(25*N88*N88-10*N88+21)-6)/(5*SQRT(3))</f>
        <v>#DIV/0!</v>
      </c>
      <c r="P91" s="136" t="s">
        <v>9</v>
      </c>
      <c r="Q91" s="35" t="s">
        <v>59</v>
      </c>
      <c r="R91" s="61"/>
      <c r="S91" s="124" t="e">
        <f ca="1">(SQRT(25*S88*S88-10*S88+21)-6)/(5*SQRT(3))</f>
        <v>#DIV/0!</v>
      </c>
      <c r="AI91" s="170"/>
    </row>
    <row r="92" spans="1:35" x14ac:dyDescent="0.2">
      <c r="A92" s="136"/>
      <c r="B92" s="184" t="s">
        <v>60</v>
      </c>
      <c r="C92" s="185"/>
      <c r="D92" s="186" t="e">
        <f ca="1">SQRT((D87-E87)^2+(D88-E88)^2)</f>
        <v>#DIV/0!</v>
      </c>
      <c r="E92" s="187"/>
      <c r="G92" s="184" t="s">
        <v>60</v>
      </c>
      <c r="H92" s="185"/>
      <c r="I92" s="185"/>
      <c r="J92" s="185"/>
      <c r="K92" s="185"/>
      <c r="L92" s="185"/>
      <c r="M92" s="186" t="e">
        <f ca="1">SQRT((M87-N87)^2+(M88-N88)^2)</f>
        <v>#DIV/0!</v>
      </c>
      <c r="N92" s="187"/>
      <c r="P92" s="139" t="s">
        <v>60</v>
      </c>
      <c r="Q92" s="60"/>
      <c r="R92" s="188" t="e">
        <f ca="1">SQRT((R87-S87)^2+(R88-S88)^2)</f>
        <v>#DIV/0!</v>
      </c>
      <c r="S92" s="95"/>
      <c r="AI92" s="170"/>
    </row>
    <row r="93" spans="1:35" x14ac:dyDescent="0.2">
      <c r="A93" s="136"/>
      <c r="D93" s="35">
        <v>3</v>
      </c>
      <c r="E93" s="35">
        <v>0</v>
      </c>
      <c r="AI93" s="170"/>
    </row>
    <row r="94" spans="1:35" x14ac:dyDescent="0.2">
      <c r="A94" s="136"/>
      <c r="B94" s="175" t="s">
        <v>5</v>
      </c>
      <c r="C94" s="176" t="s">
        <v>53</v>
      </c>
      <c r="D94" s="177" t="e">
        <f ca="1">D97</f>
        <v>#DIV/0!</v>
      </c>
      <c r="E94" s="178">
        <f>-1/SQRT(3)</f>
        <v>-0.57735026918962584</v>
      </c>
      <c r="G94" s="175" t="s">
        <v>7</v>
      </c>
      <c r="H94" s="176"/>
      <c r="I94" s="176"/>
      <c r="J94" s="176"/>
      <c r="K94" s="176"/>
      <c r="L94" s="176" t="s">
        <v>53</v>
      </c>
      <c r="M94" s="177" t="e">
        <f ca="1">M97</f>
        <v>#DIV/0!</v>
      </c>
      <c r="N94" s="178">
        <f>1/SQRT(3)</f>
        <v>0.57735026918962584</v>
      </c>
      <c r="P94" s="179" t="s">
        <v>6</v>
      </c>
      <c r="Q94" s="117" t="s">
        <v>53</v>
      </c>
      <c r="R94" s="165" t="e">
        <f>(R95-D82)/C82</f>
        <v>#DIV/0!</v>
      </c>
      <c r="S94" s="89">
        <v>0</v>
      </c>
      <c r="AI94" s="170"/>
    </row>
    <row r="95" spans="1:35" x14ac:dyDescent="0.2">
      <c r="A95" s="136"/>
      <c r="B95" s="180"/>
      <c r="C95" s="181" t="s">
        <v>54</v>
      </c>
      <c r="D95" s="182" t="e">
        <f ca="1">C80*D94+D80</f>
        <v>#DIV/0!</v>
      </c>
      <c r="E95" s="183">
        <v>0</v>
      </c>
      <c r="G95" s="180"/>
      <c r="H95" s="181"/>
      <c r="I95" s="181"/>
      <c r="J95" s="181"/>
      <c r="K95" s="181"/>
      <c r="L95" s="181" t="s">
        <v>54</v>
      </c>
      <c r="M95" s="182" t="e">
        <f ca="1">C81*M94+D81</f>
        <v>#DIV/0!</v>
      </c>
      <c r="N95" s="183">
        <v>0</v>
      </c>
      <c r="P95" s="136"/>
      <c r="Q95" s="35" t="s">
        <v>54</v>
      </c>
      <c r="R95" s="61">
        <f>R97</f>
        <v>0</v>
      </c>
      <c r="S95" s="124">
        <v>1</v>
      </c>
      <c r="AI95" s="170"/>
    </row>
    <row r="96" spans="1:35" x14ac:dyDescent="0.2">
      <c r="A96" s="136"/>
      <c r="B96" s="180"/>
      <c r="C96" s="181"/>
      <c r="D96" s="182"/>
      <c r="E96" s="183"/>
      <c r="G96" s="180"/>
      <c r="H96" s="181"/>
      <c r="I96" s="181"/>
      <c r="J96" s="181"/>
      <c r="K96" s="181"/>
      <c r="L96" s="181"/>
      <c r="M96" s="182"/>
      <c r="N96" s="183"/>
      <c r="P96" s="136"/>
      <c r="R96" s="61"/>
      <c r="S96" s="124"/>
      <c r="AI96" s="170"/>
    </row>
    <row r="97" spans="1:35" x14ac:dyDescent="0.2">
      <c r="A97" s="136"/>
      <c r="B97" s="180" t="s">
        <v>5</v>
      </c>
      <c r="C97" s="181" t="s">
        <v>58</v>
      </c>
      <c r="D97" s="182" t="e">
        <f ca="1">(1-D95)/SQRT(3)</f>
        <v>#DIV/0!</v>
      </c>
      <c r="E97" s="183"/>
      <c r="G97" s="180" t="s">
        <v>7</v>
      </c>
      <c r="H97" s="181"/>
      <c r="I97" s="181"/>
      <c r="J97" s="181"/>
      <c r="K97" s="181"/>
      <c r="L97" s="181" t="s">
        <v>58</v>
      </c>
      <c r="M97" s="182" t="e">
        <f ca="1">-(1-M95)/SQRT(3)</f>
        <v>#DIV/0!</v>
      </c>
      <c r="N97" s="183"/>
      <c r="P97" s="136" t="s">
        <v>6</v>
      </c>
      <c r="Q97" s="35" t="s">
        <v>61</v>
      </c>
      <c r="R97" s="61">
        <v>0</v>
      </c>
      <c r="S97" s="124"/>
      <c r="AI97" s="170"/>
    </row>
    <row r="98" spans="1:35" x14ac:dyDescent="0.2">
      <c r="A98" s="136"/>
      <c r="B98" s="184" t="s">
        <v>60</v>
      </c>
      <c r="C98" s="185"/>
      <c r="D98" s="186" t="e">
        <f ca="1">SQRT((D94-E94)^2+(D95-E95)^2)</f>
        <v>#DIV/0!</v>
      </c>
      <c r="E98" s="187"/>
      <c r="G98" s="184" t="s">
        <v>60</v>
      </c>
      <c r="H98" s="185"/>
      <c r="I98" s="185"/>
      <c r="J98" s="185"/>
      <c r="K98" s="185"/>
      <c r="L98" s="185"/>
      <c r="M98" s="186" t="e">
        <f ca="1">SQRT((M94-N94)^2+(M95-N95)^2)</f>
        <v>#DIV/0!</v>
      </c>
      <c r="N98" s="187"/>
      <c r="P98" s="139" t="s">
        <v>60</v>
      </c>
      <c r="Q98" s="60"/>
      <c r="R98" s="188" t="e">
        <f>SQRT((R94-S94)^2+(R95-S95)^2)</f>
        <v>#DIV/0!</v>
      </c>
      <c r="S98" s="95"/>
      <c r="W98" s="35" t="e">
        <f ca="1">(SQRT(25*E88^2-10*E88+21)-6)/(5*SQRT(3))</f>
        <v>#DIV/0!</v>
      </c>
      <c r="AI98" s="170"/>
    </row>
    <row r="99" spans="1:35" x14ac:dyDescent="0.2">
      <c r="A99" s="136"/>
      <c r="G99" s="35"/>
      <c r="H99" s="35"/>
      <c r="I99" s="35"/>
      <c r="J99" s="35"/>
      <c r="K99" s="35"/>
      <c r="AI99" s="170"/>
    </row>
    <row r="100" spans="1:35" x14ac:dyDescent="0.2">
      <c r="A100" s="136"/>
      <c r="B100" s="175" t="s">
        <v>62</v>
      </c>
      <c r="C100" s="176"/>
      <c r="D100" s="189" t="e">
        <f ca="1">D92/D98</f>
        <v>#DIV/0!</v>
      </c>
      <c r="E100" s="190"/>
      <c r="G100" s="175" t="s">
        <v>63</v>
      </c>
      <c r="H100" s="176"/>
      <c r="I100" s="176"/>
      <c r="J100" s="176"/>
      <c r="K100" s="176"/>
      <c r="L100" s="176"/>
      <c r="M100" s="189" t="e">
        <f ca="1">M92/M98</f>
        <v>#DIV/0!</v>
      </c>
      <c r="N100" s="190"/>
      <c r="P100" s="35" t="s">
        <v>64</v>
      </c>
      <c r="R100" s="191" t="e">
        <f ca="1">R92/R98</f>
        <v>#DIV/0!</v>
      </c>
      <c r="AI100" s="170"/>
    </row>
    <row r="101" spans="1:35" x14ac:dyDescent="0.2">
      <c r="A101" s="136"/>
      <c r="B101" s="180"/>
      <c r="C101" s="181"/>
      <c r="D101" s="192" t="s">
        <v>36</v>
      </c>
      <c r="E101" s="193" t="s">
        <v>38</v>
      </c>
      <c r="G101" s="194"/>
      <c r="H101" s="192"/>
      <c r="I101" s="192"/>
      <c r="J101" s="192"/>
      <c r="K101" s="192"/>
      <c r="L101" s="181"/>
      <c r="M101" s="192" t="s">
        <v>38</v>
      </c>
      <c r="N101" s="193" t="s">
        <v>36</v>
      </c>
      <c r="R101" s="36"/>
      <c r="S101" s="36"/>
      <c r="AI101" s="170"/>
    </row>
    <row r="102" spans="1:35" x14ac:dyDescent="0.2">
      <c r="A102" s="136"/>
      <c r="B102" s="180"/>
      <c r="C102" s="181"/>
      <c r="D102" s="181" t="e">
        <f ca="1">SQRT((E87-E94)^2+(E88-E95)^2)</f>
        <v>#DIV/0!</v>
      </c>
      <c r="E102" s="195" t="e">
        <f ca="1">SQRT((D87-D94)^2+(D88-D95)^2)</f>
        <v>#DIV/0!</v>
      </c>
      <c r="G102" s="194"/>
      <c r="H102" s="192"/>
      <c r="I102" s="192"/>
      <c r="J102" s="192"/>
      <c r="K102" s="192"/>
      <c r="L102" s="181"/>
      <c r="M102" s="181" t="e">
        <f ca="1">SQRT((M87-N94)^2+(M88-N95)^2)</f>
        <v>#DIV/0!</v>
      </c>
      <c r="N102" s="195" t="e">
        <f ca="1">SQRT((N87-M94)^2+(N88-M95)^2)</f>
        <v>#DIV/0!</v>
      </c>
      <c r="AI102" s="170"/>
    </row>
    <row r="103" spans="1:35" x14ac:dyDescent="0.2">
      <c r="A103" s="136"/>
      <c r="B103" s="184"/>
      <c r="C103" s="185"/>
      <c r="D103" s="196" t="e">
        <f ca="1">D102/D98</f>
        <v>#DIV/0!</v>
      </c>
      <c r="E103" s="197" t="e">
        <f ca="1">E102/D98</f>
        <v>#DIV/0!</v>
      </c>
      <c r="G103" s="198"/>
      <c r="H103" s="199"/>
      <c r="I103" s="199"/>
      <c r="J103" s="199"/>
      <c r="K103" s="199"/>
      <c r="L103" s="185"/>
      <c r="M103" s="196" t="e">
        <f ca="1">M102/M98</f>
        <v>#DIV/0!</v>
      </c>
      <c r="N103" s="197" t="e">
        <f ca="1">N102/M98</f>
        <v>#DIV/0!</v>
      </c>
      <c r="R103" s="200"/>
      <c r="S103" s="200"/>
      <c r="AI103" s="170"/>
    </row>
    <row r="104" spans="1:35" x14ac:dyDescent="0.2">
      <c r="A104" s="136"/>
      <c r="AI104" s="170"/>
    </row>
    <row r="105" spans="1:35" x14ac:dyDescent="0.2">
      <c r="A105" s="136"/>
      <c r="D105" s="201" t="e">
        <f ca="1">D100+D103+E103</f>
        <v>#DIV/0!</v>
      </c>
      <c r="M105" s="201" t="e">
        <f ca="1">M100+M103+N103</f>
        <v>#DIV/0!</v>
      </c>
      <c r="R105" s="201"/>
      <c r="AI105" s="170"/>
    </row>
    <row r="106" spans="1:35" x14ac:dyDescent="0.2">
      <c r="A106" s="136"/>
      <c r="AI106" s="170"/>
    </row>
    <row r="107" spans="1:35" x14ac:dyDescent="0.2">
      <c r="A107" s="136"/>
      <c r="AI107" s="170"/>
    </row>
    <row r="108" spans="1:35" x14ac:dyDescent="0.2">
      <c r="A108" s="136"/>
      <c r="D108" s="143" t="e">
        <f ca="1">LOG(100*E103)</f>
        <v>#DIV/0!</v>
      </c>
      <c r="M108" s="143" t="e">
        <f ca="1">LOG(100*N103)</f>
        <v>#DIV/0!</v>
      </c>
      <c r="AI108" s="170"/>
    </row>
    <row r="109" spans="1:35" x14ac:dyDescent="0.2">
      <c r="A109" s="136"/>
      <c r="D109" s="143" t="e">
        <f ca="1">LOG(100*D100)</f>
        <v>#DIV/0!</v>
      </c>
      <c r="M109" s="143" t="e">
        <f ca="1">LOG(100*M100)</f>
        <v>#DIV/0!</v>
      </c>
      <c r="AI109" s="170"/>
    </row>
    <row r="110" spans="1:35" x14ac:dyDescent="0.2">
      <c r="A110" s="139"/>
      <c r="B110" s="60"/>
      <c r="C110" s="60"/>
      <c r="D110" s="202" t="e">
        <f ca="1">LOG(100*D103)</f>
        <v>#DIV/0!</v>
      </c>
      <c r="E110" s="60"/>
      <c r="F110" s="60"/>
      <c r="G110" s="140"/>
      <c r="H110" s="140"/>
      <c r="I110" s="140"/>
      <c r="J110" s="140"/>
      <c r="K110" s="140"/>
      <c r="L110" s="60"/>
      <c r="M110" s="202" t="e">
        <f ca="1">LOG(100*M103)</f>
        <v>#DIV/0!</v>
      </c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129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2023-04-15T00:39:12Z</cp:lastPrinted>
  <dcterms:created xsi:type="dcterms:W3CDTF">2003-07-04T14:12:44Z</dcterms:created>
  <dcterms:modified xsi:type="dcterms:W3CDTF">2023-04-17T21:19:46Z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