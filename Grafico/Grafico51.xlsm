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98D82F44-A19E-49CF-AB70-87C2C7D2F107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<sst xmlns="http://schemas.openxmlformats.org/spreadsheetml/2006/main" count="1211" uniqueCount="253">
  <si>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</si>
  <si>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</si>
  <si>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</si>
  <si>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</si>
  <si>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</si>
  <si>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</si>
  <si>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</si>
  <si>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</si>
  <si>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</si>
  <si>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</si>
  <si>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</si>
  <si>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</si>
  <si>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</si>
  <si>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</si>
  <si>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</si>
  <si>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</si>
  <si>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</si>
  <si>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</si>
  <si>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</si>
  <si>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</si>
  <si>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</si>
  <si>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</si>
  <si>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</si>
  <si>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</si>
  <si>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</si>
  <si>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</si>
  <si>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</si>
  <si>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</si>
  <si>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</si>
  <si>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</si>
  <si>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</si>
  <si>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</si>
  <si>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</si>
  <si>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</si>
  <si>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</si>
  <si>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</si>
  <si>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</si>
  <si>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</si>
  <si>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</si>
  <si>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</si>
  <si>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</si>
  <si>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</si>
  <si>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</si>
  <si>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</si>
  <si>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</si>
  <si>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</si>
  <si>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</si>
  <si>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</si>
  <si>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</si>
  <si>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</si>
  <si>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</si>
  <si>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</si>
  <si>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</si>
  <si>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</si>
  <si>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</si>
  <si>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</si>
  <si>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</si>
  <si>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</si>
  <si>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</si>
  <si>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</si>
  <si>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</si>
  <si>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</si>
  <si>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</si>
  <si>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</si>
  <si>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</si>
  <si>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</si>
  <si>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</si>
  <si>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</si>
  <si>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</si>
  <si>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</si>
  <si>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</si>
  <si>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</si>
  <si>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</si>
  <si>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</si>
  <si>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</si>
  <si>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</si>
  <si>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</si>
  <si>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</si>
  <si>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</si>
  <si>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</si>
  <si>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</si>
  <si>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</si>
  <si>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</si>
  <si>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</si>
  <si>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</si>
  <si>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</si>
  <si>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</si>
  <si>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</si>
  <si>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</si>
  <si>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</si>
  <si>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</si>
  <si>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</si>
  <si>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</si>
  <si>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</si>
  <si>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</si>
  <si>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</si>
  <si>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</si>
  <si>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</si>
  <si>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</si>
  <si>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</si>
  <si>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</si>
  <si>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</si>
  <si>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</si>
  <si>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</si>
  <si>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</si>
  <si>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</si>
  <si>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</si>
  <si>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</si>
  <si>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</si>
  <si>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</si>
  <si>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</si>
  <si>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</si>
  <si>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</si>
  <si>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</si>
  <si>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</si>
  <si>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</si>
  <si>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</si>
  <si>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</si>
  <si>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</si>
  <si>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</si>
  <si>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</si>
  <si>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</si>
  <si>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</si>
  <si>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</si>
  <si>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</si>
  <si>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</si>
  <si>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</si>
  <si>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</si>
  <si>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</si>
  <si>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</si>
  <si>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</si>
  <si>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</si>
  <si>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</si>
  <si>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</si>
  <si>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</si>
  <si>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</si>
  <si>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</si>
  <si>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</si>
  <si>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Ponto 11</t>
  </si>
  <si>
    <t>Ponto 12</t>
  </si>
  <si>
    <t>Ponto 13</t>
  </si>
  <si>
    <t>Ponto 14</t>
  </si>
  <si>
    <t>Ponto 15</t>
  </si>
  <si>
    <t>Ponto 16</t>
  </si>
  <si>
    <t>Ponto 17</t>
  </si>
  <si>
    <t>Ponto 18</t>
  </si>
  <si>
    <t>Ponto 19</t>
  </si>
  <si>
    <t>Ponto 20</t>
  </si>
  <si>
    <t>Ponto 21</t>
  </si>
  <si>
    <t>Ponto 22</t>
  </si>
  <si>
    <t>Ponto 23</t>
  </si>
  <si>
    <t>Ponto 24</t>
  </si>
  <si>
    <t>Ponto 25</t>
  </si>
  <si>
    <t>Ponto 26</t>
  </si>
  <si>
    <t>Ponto 27</t>
  </si>
  <si>
    <t>Ponto 28</t>
  </si>
  <si>
    <t>Ponto 29</t>
  </si>
  <si>
    <t>Ponto 30</t>
  </si>
  <si>
    <t>Ponto 31</t>
  </si>
  <si>
    <t>Ponto 32</t>
  </si>
  <si>
    <t>Ponto 33</t>
  </si>
  <si>
    <t>Ponto 34</t>
  </si>
  <si>
    <t>Ponto 35</t>
  </si>
  <si>
    <t>Ponto 36</t>
  </si>
  <si>
    <t>Ponto 37</t>
  </si>
  <si>
    <t>Ponto 38</t>
  </si>
  <si>
    <t>Ponto 39</t>
  </si>
  <si>
    <t>Ponto 40</t>
  </si>
  <si>
    <t>Ponto 41</t>
  </si>
  <si>
    <t>Ponto 42</t>
  </si>
  <si>
    <t>Ponto 43</t>
  </si>
  <si>
    <t>Ponto 44</t>
  </si>
  <si>
    <t>Ponto 45</t>
  </si>
  <si>
    <t>Ponto 46</t>
  </si>
  <si>
    <t>Ponto 47</t>
  </si>
  <si>
    <t>Ponto 48</t>
  </si>
  <si>
    <t>Ponto 49</t>
  </si>
  <si>
    <t>Ponto 50</t>
  </si>
  <si>
    <t>Ponto 51</t>
  </si>
  <si>
    <t>Ponto 52</t>
  </si>
  <si>
    <t>Ponto 53</t>
  </si>
  <si>
    <t>Ponto 54</t>
  </si>
  <si>
    <t>Ponto 55</t>
  </si>
  <si>
    <t>Ponto 56</t>
  </si>
  <si>
    <t>Ponto 57</t>
  </si>
  <si>
    <t>Ponto 58</t>
  </si>
  <si>
    <t>Ponto 59</t>
  </si>
  <si>
    <t>Ponto 60</t>
  </si>
  <si>
    <t>Ponto 61</t>
  </si>
  <si>
    <t>Ponto 62</t>
  </si>
  <si>
    <t>Ponto 63</t>
  </si>
  <si>
    <t>Ponto 64</t>
  </si>
  <si>
    <t>Ponto 65</t>
  </si>
  <si>
    <t>Ponto 66</t>
  </si>
  <si>
    <t>Ponto 67</t>
  </si>
  <si>
    <t>Ponto 68</t>
  </si>
  <si>
    <t>Ponto 69</t>
  </si>
  <si>
    <t>Ponto 70</t>
  </si>
  <si>
    <t>Ponto 71</t>
  </si>
  <si>
    <t>Ponto 72</t>
  </si>
  <si>
    <t>Ponto 73</t>
  </si>
  <si>
    <t>Ponto 74</t>
  </si>
  <si>
    <t>Ponto 75</t>
  </si>
  <si>
    <t>Ponto 76</t>
  </si>
  <si>
    <t>Ponto 77</t>
  </si>
  <si>
    <t>Ponto 78</t>
  </si>
  <si>
    <t>Ponto 79</t>
  </si>
  <si>
    <t>Ponto 80</t>
  </si>
  <si>
    <t>Ponto 81</t>
  </si>
  <si>
    <t>Ponto 82</t>
  </si>
  <si>
    <t>Ponto 83</t>
  </si>
  <si>
    <t>Ponto 84</t>
  </si>
  <si>
    <t>Ponto 85</t>
  </si>
  <si>
    <t>Ponto 86</t>
  </si>
  <si>
    <t>Ponto 87</t>
  </si>
  <si>
    <t>Ponto 88</t>
  </si>
  <si>
    <t>Ponto 89</t>
  </si>
  <si>
    <t>Ponto 90</t>
  </si>
  <si>
    <t>Ponto 91</t>
  </si>
  <si>
    <t>Ponto 92</t>
  </si>
  <si>
    <t>Ponto 93</t>
  </si>
  <si>
    <t>Ponto 94</t>
  </si>
  <si>
    <t>Ponto 95</t>
  </si>
  <si>
    <t>Ponto 96</t>
  </si>
  <si>
    <t>Ponto 97</t>
  </si>
  <si>
    <t>Ponto 98</t>
  </si>
  <si>
    <t>Ponto 99</t>
  </si>
  <si>
    <t>Ponto 100</t>
  </si>
  <si>
    <t>K:\André\testes\NOVO\teste 12 pontos.eMe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</si>
  <si>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</si>
  <si>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</si>
  <si>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</si>
  <si>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</si>
  <si>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</si>
  <si>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</si>
  <si>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</si>
  <si>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</si>
  <si>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</si>
  <si>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</si>
  <si>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</si>
  <si>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</si>
  <si>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1-Thayna</t>
  </si>
  <si>
    <t>2-Henrique</t>
  </si>
  <si>
    <t>3-Andre</t>
  </si>
  <si>
    <t>4-Atala</t>
  </si>
  <si>
    <t>5-Bianca</t>
  </si>
  <si>
    <t>6-Guilherme</t>
  </si>
  <si>
    <t>7-Joao</t>
  </si>
  <si>
    <t>8-Biagio</t>
  </si>
  <si>
    <t>9-Cecilia</t>
  </si>
  <si>
    <t>10-Feni</t>
  </si>
  <si>
    <t>11-Mirela</t>
  </si>
  <si>
    <t>12-Antunes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</si>
</sst>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11-Mirela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-3.4035932899825087E-2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0.33476394849785407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12-Antunes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-3.4035932899825087E-2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0.32096069868995636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topLeftCell="A4" zoomScale="75" zoomScaleNormal="75" workbookViewId="0">
      <selection activeCell="O22" sqref="O22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12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229</v>
      </c>
      <c r="M37" s="207" t="s">
        <v>229</v>
      </c>
      <c r="N37" s="207" t="s">
        <v>229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230</v>
      </c>
      <c r="M38" s="207" t="s">
        <v>230</v>
      </c>
      <c r="N38" s="207" t="s">
        <v>230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231</v>
      </c>
      <c r="M39" s="207" t="s">
        <v>231</v>
      </c>
      <c r="N39" s="207" t="s">
        <v>231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232</v>
      </c>
      <c r="M40" s="207" t="s">
        <v>232</v>
      </c>
      <c r="N40" s="207" t="s">
        <v>232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233</v>
      </c>
      <c r="M41" s="207" t="s">
        <v>233</v>
      </c>
      <c r="N41" s="207" t="s">
        <v>233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234</v>
      </c>
      <c r="M42" s="207" t="s">
        <v>234</v>
      </c>
      <c r="N42" s="207" t="s">
        <v>234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235</v>
      </c>
      <c r="M43" s="207" t="s">
        <v>235</v>
      </c>
      <c r="N43" s="207" t="s">
        <v>235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236</v>
      </c>
      <c r="M44" s="207" t="s">
        <v>236</v>
      </c>
      <c r="N44" s="207" t="s">
        <v>236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237</v>
      </c>
      <c r="M45" s="207" t="s">
        <v>237</v>
      </c>
      <c r="N45" s="207" t="s">
        <v>237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238</v>
      </c>
      <c r="M46" s="207" t="s">
        <v>238</v>
      </c>
      <c r="N46" s="207" t="s">
        <v>238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228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239</v>
      </c>
      <c r="M47" s="207" t="s">
        <v>239</v>
      </c>
      <c r="N47" s="207" t="s">
        <v>239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240</v>
      </c>
      <c r="M48" s="207" t="s">
        <v>240</v>
      </c>
      <c r="N48" s="207" t="s">
        <v>240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0</v>
      </c>
      <c r="H49" s="174" t="b">
        <v>0</v>
      </c>
      <c r="I49" s="174" t="b">
        <v>0</v>
      </c>
      <c r="K49" s="207">
        <v>13</v>
      </c>
      <c r="L49" s="207"/>
      <c r="M49" s="207"/>
      <c r="N49" s="207"/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0</v>
      </c>
      <c r="H50" s="174" t="b">
        <v>0</v>
      </c>
      <c r="I50" s="174" t="b">
        <v>0</v>
      </c>
      <c r="K50" s="207">
        <v>14</v>
      </c>
      <c r="L50" s="207"/>
      <c r="M50" s="207"/>
      <c r="N50" s="207"/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0</v>
      </c>
      <c r="H51" s="174" t="b">
        <v>0</v>
      </c>
      <c r="I51" s="174" t="b">
        <v>0</v>
      </c>
      <c r="K51" s="207">
        <v>15</v>
      </c>
      <c r="L51" s="207"/>
      <c r="M51" s="207"/>
      <c r="N51" s="207"/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0</v>
      </c>
      <c r="H52" s="174" t="b">
        <v>0</v>
      </c>
      <c r="I52" s="174" t="b">
        <v>0</v>
      </c>
      <c r="K52" s="207">
        <v>16</v>
      </c>
      <c r="L52" s="207"/>
      <c r="M52" s="207"/>
      <c r="N52" s="207"/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0</v>
      </c>
      <c r="H53" s="174" t="b">
        <v>0</v>
      </c>
      <c r="I53" s="174" t="b">
        <v>0</v>
      </c>
      <c r="K53" s="207">
        <v>17</v>
      </c>
      <c r="L53" s="207"/>
      <c r="M53" s="207"/>
      <c r="N53" s="207"/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0</v>
      </c>
      <c r="H54" s="174" t="b">
        <v>0</v>
      </c>
      <c r="I54" s="174" t="b">
        <v>0</v>
      </c>
      <c r="K54" s="207">
        <v>18</v>
      </c>
      <c r="L54" s="207"/>
      <c r="M54" s="207"/>
      <c r="N54" s="207"/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0</v>
      </c>
      <c r="H55" s="174" t="b">
        <v>0</v>
      </c>
      <c r="I55" s="174" t="b">
        <v>0</v>
      </c>
      <c r="K55" s="207">
        <v>19</v>
      </c>
      <c r="L55" s="207"/>
      <c r="M55" s="207"/>
      <c r="N55" s="207"/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137</v>
      </c>
      <c r="X55" s="174" t="s">
        <v>137</v>
      </c>
      <c r="Y55" s="174" t="s">
        <v>137</v>
      </c>
      <c r="AA55" s="174" t="s">
        <v>6</v>
      </c>
    </row>
    <row r="56" spans="6:33" x14ac:dyDescent="0.2">
      <c r="F56" s="175">
        <v>20</v>
      </c>
      <c r="G56" s="174" t="b">
        <v>0</v>
      </c>
      <c r="H56" s="174" t="b">
        <v>0</v>
      </c>
      <c r="I56" s="174" t="b">
        <v>0</v>
      </c>
      <c r="K56" s="207">
        <v>20</v>
      </c>
      <c r="L56" s="207"/>
      <c r="M56" s="207"/>
      <c r="N56" s="207"/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0</v>
      </c>
      <c r="H57" s="174" t="b">
        <v>0</v>
      </c>
      <c r="I57" s="174" t="b">
        <v>0</v>
      </c>
      <c r="K57" s="207">
        <v>21</v>
      </c>
      <c r="L57" s="207"/>
      <c r="M57" s="207"/>
      <c r="N57" s="207"/>
      <c r="R57" s="174" t="s">
        <v>90</v>
      </c>
      <c r="S57" s="175">
        <v>0</v>
      </c>
      <c r="T57" s="175" t="s">
        <v>229</v>
      </c>
      <c r="U57" s="175" t="s">
        <v>229</v>
      </c>
      <c r="V57" s="175" t="s">
        <v>229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0</v>
      </c>
      <c r="H58" s="174" t="b">
        <v>0</v>
      </c>
      <c r="I58" s="174" t="b">
        <v>0</v>
      </c>
      <c r="K58" s="207">
        <v>22</v>
      </c>
      <c r="L58" s="207"/>
      <c r="M58" s="207"/>
      <c r="N58" s="207"/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0</v>
      </c>
      <c r="H59" s="174" t="b">
        <v>0</v>
      </c>
      <c r="I59" s="174" t="b">
        <v>0</v>
      </c>
      <c r="K59" s="207">
        <v>23</v>
      </c>
      <c r="L59" s="207"/>
      <c r="M59" s="207"/>
      <c r="N59" s="207"/>
      <c r="R59" s="174" t="s">
        <v>72</v>
      </c>
      <c r="S59" s="175">
        <v>0</v>
      </c>
      <c r="T59" s="175" t="s">
        <v>229</v>
      </c>
      <c r="U59" s="175" t="s">
        <v>229</v>
      </c>
      <c r="V59" s="175" t="s">
        <v>229</v>
      </c>
      <c r="AG59" s="174" t="s">
        <v>1</v>
      </c>
    </row>
    <row r="60" spans="6:33" x14ac:dyDescent="0.2">
      <c r="F60" s="175">
        <v>24</v>
      </c>
      <c r="G60" s="174" t="b">
        <v>0</v>
      </c>
      <c r="H60" s="174" t="b">
        <v>0</v>
      </c>
      <c r="I60" s="174" t="b">
        <v>0</v>
      </c>
      <c r="K60" s="207">
        <v>24</v>
      </c>
      <c r="L60" s="207"/>
      <c r="M60" s="207"/>
      <c r="N60" s="207"/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0</v>
      </c>
      <c r="H61" s="174" t="b">
        <v>0</v>
      </c>
      <c r="I61" s="174" t="b">
        <v>0</v>
      </c>
      <c r="K61" s="207">
        <v>25</v>
      </c>
      <c r="L61" s="207"/>
      <c r="M61" s="207"/>
      <c r="N61" s="207"/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1235</v>
      </c>
      <c r="X61" s="178">
        <f>Diagrama!C6</f>
        <v>145</v>
      </c>
      <c r="Y61" s="178">
        <f>Diagrama!D6</f>
        <v>129876</v>
      </c>
      <c r="Z61" s="178">
        <f>Diagrama!E6</f>
        <v>2987</v>
      </c>
      <c r="AA61" s="178">
        <f>Diagrama!F6</f>
        <v>5297</v>
      </c>
      <c r="AB61" s="178">
        <f>Diagrama!G6</f>
        <v>127496</v>
      </c>
      <c r="AC61" s="178">
        <f>Diagrama!H6</f>
        <v>17429</v>
      </c>
      <c r="AD61" s="178">
        <f>Diagrama!I6</f>
        <v>179</v>
      </c>
      <c r="AE61" s="178">
        <f>Diagrama!J6</f>
        <v>4176</v>
      </c>
      <c r="AF61" s="178">
        <f>Diagrama!K6</f>
        <v>1728</v>
      </c>
      <c r="AG61" s="178">
        <f>Diagrama!L6</f>
        <v>156</v>
      </c>
    </row>
    <row r="62" spans="6:33" x14ac:dyDescent="0.2">
      <c r="F62" s="175">
        <v>26</v>
      </c>
      <c r="G62" s="174" t="b">
        <v>0</v>
      </c>
      <c r="H62" s="174" t="b">
        <v>0</v>
      </c>
      <c r="I62" s="174" t="b">
        <v>0</v>
      </c>
      <c r="K62" s="207">
        <v>26</v>
      </c>
      <c r="L62" s="207"/>
      <c r="M62" s="207"/>
      <c r="N62" s="207"/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18</v>
      </c>
      <c r="X62" s="178">
        <f>Diagrama!C7</f>
        <v>179</v>
      </c>
      <c r="Y62" s="178">
        <f>Diagrama!D7</f>
        <v>1297</v>
      </c>
      <c r="Z62" s="178">
        <f>Diagrama!E7</f>
        <v>2185</v>
      </c>
      <c r="AA62" s="178">
        <f>Diagrama!F7</f>
        <v>217</v>
      </c>
      <c r="AB62" s="178">
        <f>Diagrama!G7</f>
        <v>1742</v>
      </c>
      <c r="AC62" s="178">
        <f>Diagrama!H7</f>
        <v>76</v>
      </c>
      <c r="AD62" s="178">
        <f>Diagrama!I7</f>
        <v>17529</v>
      </c>
      <c r="AE62" s="178">
        <f>Diagrama!J7</f>
        <v>47126</v>
      </c>
      <c r="AF62" s="178">
        <f>Diagrama!K7</f>
        <v>1726</v>
      </c>
      <c r="AG62" s="178">
        <f>Diagrama!L7</f>
        <v>158</v>
      </c>
    </row>
    <row r="63" spans="6:33" x14ac:dyDescent="0.2">
      <c r="F63" s="175">
        <v>27</v>
      </c>
      <c r="G63" s="174" t="b">
        <v>0</v>
      </c>
      <c r="H63" s="174" t="b">
        <v>0</v>
      </c>
      <c r="I63" s="174" t="b">
        <v>0</v>
      </c>
      <c r="K63" s="207">
        <v>27</v>
      </c>
      <c r="L63" s="207"/>
      <c r="M63" s="207"/>
      <c r="N63" s="207"/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15263</v>
      </c>
      <c r="X63" s="178">
        <f>Diagrama!C8</f>
        <v>12543</v>
      </c>
      <c r="Y63" s="178">
        <f>Diagrama!D8</f>
        <v>2163</v>
      </c>
      <c r="Z63" s="178">
        <f>Diagrama!E8</f>
        <v>2196</v>
      </c>
      <c r="AA63" s="178">
        <f>Diagrama!F8</f>
        <v>217496</v>
      </c>
      <c r="AB63" s="178">
        <f>Diagrama!G8</f>
        <v>41297</v>
      </c>
      <c r="AC63" s="178">
        <f>Diagrama!H8</f>
        <v>24961</v>
      </c>
      <c r="AD63" s="178">
        <f>Diagrama!I8</f>
        <v>17952</v>
      </c>
      <c r="AE63" s="178">
        <f>Diagrama!J8</f>
        <v>1728</v>
      </c>
      <c r="AF63" s="178">
        <f>Diagrama!K8</f>
        <v>1296</v>
      </c>
      <c r="AG63" s="178">
        <f>Diagrama!L8</f>
        <v>152</v>
      </c>
    </row>
    <row r="64" spans="6:33" x14ac:dyDescent="0.2">
      <c r="F64" s="175">
        <v>28</v>
      </c>
      <c r="G64" s="174" t="b">
        <v>0</v>
      </c>
      <c r="H64" s="174" t="b">
        <v>0</v>
      </c>
      <c r="I64" s="174" t="b">
        <v>0</v>
      </c>
      <c r="K64" s="207">
        <v>28</v>
      </c>
      <c r="L64" s="207"/>
      <c r="M64" s="207"/>
      <c r="N64" s="207"/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16516</v>
      </c>
      <c r="X64" s="178">
        <f>Diagrama!C9</f>
        <v>12867</v>
      </c>
      <c r="Y64" s="178">
        <f>Diagrama!D9</f>
        <v>133336</v>
      </c>
      <c r="Z64" s="178">
        <f>Diagrama!E9</f>
        <v>7368</v>
      </c>
      <c r="AA64" s="178">
        <f>Diagrama!F9</f>
        <v>223010</v>
      </c>
      <c r="AB64" s="178">
        <f>Diagrama!G9</f>
        <v>170535</v>
      </c>
      <c r="AC64" s="178">
        <f>Diagrama!H9</f>
        <v>42466</v>
      </c>
      <c r="AD64" s="178">
        <f>Diagrama!I9</f>
        <v>35660</v>
      </c>
      <c r="AE64" s="178">
        <f>Diagrama!J9</f>
        <v>53030</v>
      </c>
      <c r="AF64" s="178">
        <f>Diagrama!K9</f>
        <v>4750</v>
      </c>
      <c r="AG64" s="178">
        <f>Diagrama!L9</f>
        <v>466</v>
      </c>
    </row>
    <row r="65" spans="6:33" x14ac:dyDescent="0.2">
      <c r="F65" s="175">
        <v>29</v>
      </c>
      <c r="G65" s="174" t="b">
        <v>0</v>
      </c>
      <c r="H65" s="174" t="b">
        <v>0</v>
      </c>
      <c r="I65" s="174" t="b">
        <v>0</v>
      </c>
      <c r="K65" s="207">
        <v>29</v>
      </c>
      <c r="L65" s="207"/>
      <c r="M65" s="207"/>
      <c r="N65" s="207"/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1.0820939526960625</v>
      </c>
      <c r="X65" s="181">
        <f>Diagrama!C20</f>
        <v>1.0258311408753886</v>
      </c>
      <c r="Y65" s="181">
        <f>Diagrama!D20</f>
        <v>61.644012944983814</v>
      </c>
      <c r="Z65" s="181">
        <f>Diagrama!E20</f>
        <v>3.3551912568306008</v>
      </c>
      <c r="AA65" s="181">
        <f>Diagrama!F20</f>
        <v>1.0253521903851106</v>
      </c>
      <c r="AB65" s="181">
        <f>Diagrama!G20</f>
        <v>4.1294767174371021</v>
      </c>
      <c r="AC65" s="181">
        <f>Diagrama!H20</f>
        <v>1.7012940186691237</v>
      </c>
      <c r="AD65" s="181">
        <f>Diagrama!I20</f>
        <v>1.9864081996434937</v>
      </c>
      <c r="AE65" s="181">
        <f>Diagrama!J20</f>
        <v>30.688657407407408</v>
      </c>
      <c r="AF65" s="181">
        <f>Diagrama!K20</f>
        <v>3.6651234567901234</v>
      </c>
      <c r="AG65" s="181">
        <f>Diagrama!L20</f>
        <v>3.0657894736842106</v>
      </c>
    </row>
    <row r="66" spans="6:33" x14ac:dyDescent="0.2">
      <c r="F66" s="175">
        <v>30</v>
      </c>
      <c r="G66" s="174" t="b">
        <v>0</v>
      </c>
      <c r="H66" s="174" t="b">
        <v>0</v>
      </c>
      <c r="I66" s="174" t="b">
        <v>0</v>
      </c>
      <c r="K66" s="207">
        <v>30</v>
      </c>
      <c r="L66" s="207"/>
      <c r="M66" s="207"/>
      <c r="N66" s="207"/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12.181165203511574</v>
      </c>
      <c r="X66" s="181">
        <f>Diagrama!C21</f>
        <v>38.712962962962891</v>
      </c>
      <c r="Y66" s="181">
        <f>Diagrama!D21</f>
        <v>1.6489673942046E-2</v>
      </c>
      <c r="Z66" s="181">
        <f>Diagrama!E21</f>
        <v>0.42459396751740142</v>
      </c>
      <c r="AA66" s="181">
        <f>Diagrama!F21</f>
        <v>39.444323540079772</v>
      </c>
      <c r="AB66" s="181">
        <f>Diagrama!G21</f>
        <v>0.31954223989848191</v>
      </c>
      <c r="AC66" s="181">
        <f>Diagrama!H21</f>
        <v>1.4259354470151389</v>
      </c>
      <c r="AD66" s="181">
        <f>Diagrama!I21</f>
        <v>1.0137790829003841</v>
      </c>
      <c r="AE66" s="181">
        <f>Diagrama!J21</f>
        <v>3.368289735292971E-2</v>
      </c>
      <c r="AF66" s="181">
        <f>Diagrama!K21</f>
        <v>0.37521713954834973</v>
      </c>
      <c r="AG66" s="181">
        <f>Diagrama!L21</f>
        <v>0.48407643312101906</v>
      </c>
    </row>
    <row r="67" spans="6:33" x14ac:dyDescent="0.2">
      <c r="F67" s="175">
        <v>31</v>
      </c>
      <c r="G67" s="174" t="b">
        <v>0</v>
      </c>
      <c r="H67" s="174" t="b">
        <v>0</v>
      </c>
      <c r="I67" s="174" t="b">
        <v>0</v>
      </c>
      <c r="K67" s="207">
        <v>31</v>
      </c>
      <c r="L67" s="207"/>
      <c r="M67" s="207"/>
      <c r="N67" s="207"/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12.373279352226721</v>
      </c>
      <c r="X67" s="181">
        <f>Diagrama!C22</f>
        <v>87.737931034482756</v>
      </c>
      <c r="Y67" s="181">
        <f>Diagrama!D22</f>
        <v>2.6640795836028165E-2</v>
      </c>
      <c r="Z67" s="181">
        <f>Diagrama!E22</f>
        <v>1.4666889856042851</v>
      </c>
      <c r="AA67" s="181">
        <f>Diagrama!F22</f>
        <v>41.101189352463656</v>
      </c>
      <c r="AB67" s="181">
        <f>Diagrama!G22</f>
        <v>0.33757137478822857</v>
      </c>
      <c r="AC67" s="181">
        <f>Diagrama!H22</f>
        <v>1.4365138562166504</v>
      </c>
      <c r="AD67" s="181">
        <f>Diagrama!I22</f>
        <v>198.21787709497207</v>
      </c>
      <c r="AE67" s="181">
        <f>Diagrama!J22</f>
        <v>11.69875478927203</v>
      </c>
      <c r="AF67" s="181">
        <f>Diagrama!K22</f>
        <v>1.7488425925925923</v>
      </c>
      <c r="AG67" s="181">
        <f>Diagrama!L22</f>
        <v>1.9871794871794872</v>
      </c>
    </row>
    <row r="68" spans="6:33" x14ac:dyDescent="0.2">
      <c r="F68" s="175">
        <v>32</v>
      </c>
      <c r="G68" s="174" t="b">
        <v>0</v>
      </c>
      <c r="H68" s="174" t="b">
        <v>0</v>
      </c>
      <c r="I68" s="174" t="b">
        <v>0</v>
      </c>
      <c r="K68" s="207">
        <v>32</v>
      </c>
      <c r="L68" s="207"/>
      <c r="M68" s="207"/>
      <c r="N68" s="207"/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8.7454095385095021E-2</v>
      </c>
      <c r="X68" s="181">
        <f>Diagrama!C23</f>
        <v>1.1691991465723263E-2</v>
      </c>
      <c r="Y68" s="181">
        <f>Diagrama!D23</f>
        <v>2313.8953252146625</v>
      </c>
      <c r="Z68" s="181">
        <f>Diagrama!E23</f>
        <v>2.2875955909958927</v>
      </c>
      <c r="AA68" s="181">
        <f>Diagrama!F23</f>
        <v>2.4947019941252618E-2</v>
      </c>
      <c r="AB68" s="181">
        <f>Diagrama!G23</f>
        <v>12.232899546140963</v>
      </c>
      <c r="AC68" s="181">
        <f>Diagrama!H23</f>
        <v>1.1843213424685128</v>
      </c>
      <c r="AD68" s="181">
        <f>Diagrama!I23</f>
        <v>1.0021337271671751E-2</v>
      </c>
      <c r="AE68" s="181">
        <f>Diagrama!J23</f>
        <v>2.6232413586059145</v>
      </c>
      <c r="AF68" s="181">
        <f>Diagrama!K23</f>
        <v>2.0957423339951471</v>
      </c>
      <c r="AG68" s="181">
        <f>Diagrama!L23</f>
        <v>1.5427843803056027</v>
      </c>
    </row>
    <row r="69" spans="6:33" x14ac:dyDescent="0.2">
      <c r="F69" s="175">
        <v>33</v>
      </c>
      <c r="G69" s="174" t="b">
        <v>0</v>
      </c>
      <c r="H69" s="174" t="b">
        <v>0</v>
      </c>
      <c r="I69" s="174" t="b">
        <v>0</v>
      </c>
      <c r="K69" s="207">
        <v>33</v>
      </c>
      <c r="L69" s="207"/>
      <c r="M69" s="207"/>
      <c r="N69" s="207"/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7.4775974812303225</v>
      </c>
      <c r="X69" s="183">
        <f t="shared" si="0"/>
        <v>1.1269138105230434</v>
      </c>
      <c r="Y69" s="183">
        <f t="shared" si="0"/>
        <v>97.405051898962014</v>
      </c>
      <c r="Z69" s="183">
        <f t="shared" si="0"/>
        <v>40.540173724212814</v>
      </c>
      <c r="AA69" s="183">
        <f t="shared" si="0"/>
        <v>2.375229810322407</v>
      </c>
      <c r="AB69" s="183">
        <f t="shared" si="0"/>
        <v>74.76236549681883</v>
      </c>
      <c r="AC69" s="183">
        <f>100*AC61/AC64</f>
        <v>41.042245561154807</v>
      </c>
      <c r="AD69" s="183">
        <f>100*AD61/AD64</f>
        <v>0.50196298373527759</v>
      </c>
      <c r="AE69" s="183">
        <f>100*AE61/AE64</f>
        <v>7.874787855930605</v>
      </c>
      <c r="AF69" s="183">
        <f>100*AF61/AF64</f>
        <v>36.378947368421052</v>
      </c>
      <c r="AG69" s="183">
        <f>100*AG61/AG64</f>
        <v>33.476394849785407</v>
      </c>
    </row>
    <row r="70" spans="6:33" x14ac:dyDescent="0.2">
      <c r="F70" s="175">
        <v>34</v>
      </c>
      <c r="G70" s="174" t="b">
        <v>0</v>
      </c>
      <c r="H70" s="174" t="b">
        <v>0</v>
      </c>
      <c r="I70" s="174" t="b">
        <v>0</v>
      </c>
      <c r="K70" s="207">
        <v>34</v>
      </c>
      <c r="L70" s="207"/>
      <c r="M70" s="207"/>
      <c r="N70" s="207"/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0</v>
      </c>
      <c r="H71" s="174" t="b">
        <v>0</v>
      </c>
      <c r="I71" s="174" t="b">
        <v>0</v>
      </c>
      <c r="K71" s="207">
        <v>35</v>
      </c>
      <c r="L71" s="207"/>
      <c r="M71" s="207"/>
      <c r="N71" s="207"/>
      <c r="S71" s="175" t="s">
        <v>74</v>
      </c>
    </row>
    <row r="72" spans="6:33" x14ac:dyDescent="0.2">
      <c r="F72" s="175">
        <v>36</v>
      </c>
      <c r="G72" s="174" t="b">
        <v>0</v>
      </c>
      <c r="H72" s="174" t="b">
        <v>0</v>
      </c>
      <c r="I72" s="174" t="b">
        <v>0</v>
      </c>
      <c r="K72" s="207">
        <v>36</v>
      </c>
      <c r="L72" s="207"/>
      <c r="M72" s="207"/>
      <c r="N72" s="207"/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0</v>
      </c>
      <c r="H73" s="174" t="b">
        <v>0</v>
      </c>
      <c r="I73" s="174" t="b">
        <v>0</v>
      </c>
      <c r="K73" s="207">
        <v>37</v>
      </c>
      <c r="L73" s="207"/>
      <c r="M73" s="207"/>
      <c r="N73" s="207"/>
      <c r="T73" s="184"/>
      <c r="W73" s="176">
        <v>0</v>
      </c>
    </row>
    <row r="74" spans="6:33" x14ac:dyDescent="0.2">
      <c r="F74" s="175">
        <v>38</v>
      </c>
      <c r="G74" s="174" t="b">
        <v>0</v>
      </c>
      <c r="H74" s="174" t="b">
        <v>0</v>
      </c>
      <c r="I74" s="174" t="b">
        <v>0</v>
      </c>
      <c r="K74" s="207">
        <v>38</v>
      </c>
      <c r="L74" s="207"/>
      <c r="M74" s="207"/>
      <c r="N74" s="207"/>
      <c r="T74" s="184"/>
      <c r="W74" s="176">
        <v>0.75</v>
      </c>
    </row>
    <row r="75" spans="6:33" x14ac:dyDescent="0.2">
      <c r="F75" s="175">
        <v>39</v>
      </c>
      <c r="G75" s="174" t="b">
        <v>0</v>
      </c>
      <c r="H75" s="174" t="b">
        <v>0</v>
      </c>
      <c r="I75" s="174" t="b">
        <v>0</v>
      </c>
      <c r="K75" s="207">
        <v>39</v>
      </c>
      <c r="L75" s="207"/>
      <c r="M75" s="207"/>
      <c r="N75" s="207"/>
      <c r="T75" s="184"/>
    </row>
    <row r="76" spans="6:33" x14ac:dyDescent="0.2">
      <c r="F76" s="175">
        <v>40</v>
      </c>
      <c r="G76" s="174" t="b">
        <v>0</v>
      </c>
      <c r="H76" s="174" t="b">
        <v>0</v>
      </c>
      <c r="I76" s="174" t="b">
        <v>0</v>
      </c>
      <c r="K76" s="207">
        <v>40</v>
      </c>
      <c r="L76" s="207"/>
      <c r="M76" s="207"/>
      <c r="N76" s="207"/>
    </row>
    <row r="77" spans="6:33" x14ac:dyDescent="0.2">
      <c r="F77" s="175">
        <v>41</v>
      </c>
      <c r="G77" s="174" t="b">
        <v>0</v>
      </c>
      <c r="H77" s="174" t="b">
        <v>0</v>
      </c>
      <c r="I77" s="174" t="b">
        <v>0</v>
      </c>
      <c r="K77" s="207">
        <v>41</v>
      </c>
      <c r="L77" s="207"/>
      <c r="M77" s="207"/>
      <c r="N77" s="207"/>
    </row>
    <row r="78" spans="6:33" x14ac:dyDescent="0.2">
      <c r="F78" s="175">
        <v>42</v>
      </c>
      <c r="G78" s="174" t="b">
        <v>0</v>
      </c>
      <c r="H78" s="174" t="b">
        <v>0</v>
      </c>
      <c r="I78" s="174" t="b">
        <v>0</v>
      </c>
      <c r="K78" s="207">
        <v>42</v>
      </c>
      <c r="L78" s="207"/>
      <c r="M78" s="207"/>
      <c r="N78" s="207"/>
    </row>
    <row r="79" spans="6:33" x14ac:dyDescent="0.2">
      <c r="F79" s="175">
        <v>43</v>
      </c>
      <c r="G79" s="174" t="b">
        <v>0</v>
      </c>
      <c r="H79" s="174" t="b">
        <v>0</v>
      </c>
      <c r="I79" s="174" t="b">
        <v>0</v>
      </c>
      <c r="K79" s="207">
        <v>43</v>
      </c>
      <c r="L79" s="207"/>
      <c r="M79" s="207"/>
      <c r="N79" s="207"/>
    </row>
    <row r="80" spans="6:33" x14ac:dyDescent="0.2">
      <c r="F80" s="175">
        <v>44</v>
      </c>
      <c r="G80" s="174" t="b">
        <v>0</v>
      </c>
      <c r="H80" s="174" t="b">
        <v>0</v>
      </c>
      <c r="I80" s="174" t="b">
        <v>0</v>
      </c>
      <c r="K80" s="207">
        <v>44</v>
      </c>
      <c r="L80" s="207"/>
      <c r="M80" s="207"/>
      <c r="N80" s="207"/>
    </row>
    <row r="81" spans="6:14" x14ac:dyDescent="0.2">
      <c r="F81" s="175">
        <v>45</v>
      </c>
      <c r="G81" s="174" t="b">
        <v>0</v>
      </c>
      <c r="H81" s="174" t="b">
        <v>0</v>
      </c>
      <c r="I81" s="174" t="b">
        <v>0</v>
      </c>
      <c r="K81" s="207">
        <v>45</v>
      </c>
      <c r="L81" s="207"/>
      <c r="M81" s="207"/>
      <c r="N81" s="207"/>
    </row>
    <row r="82" spans="6:14" x14ac:dyDescent="0.2">
      <c r="F82" s="175">
        <v>46</v>
      </c>
      <c r="G82" s="174" t="b">
        <v>0</v>
      </c>
      <c r="H82" s="174" t="b">
        <v>0</v>
      </c>
      <c r="I82" s="174" t="b">
        <v>0</v>
      </c>
      <c r="K82" s="207">
        <v>46</v>
      </c>
      <c r="L82" s="207"/>
      <c r="M82" s="207"/>
      <c r="N82" s="207"/>
    </row>
    <row r="83" spans="6:14" x14ac:dyDescent="0.2">
      <c r="F83" s="175">
        <v>47</v>
      </c>
      <c r="G83" s="174" t="b">
        <v>0</v>
      </c>
      <c r="H83" s="174" t="b">
        <v>0</v>
      </c>
      <c r="I83" s="174" t="b">
        <v>0</v>
      </c>
      <c r="K83" s="207">
        <v>47</v>
      </c>
      <c r="L83" s="207"/>
      <c r="M83" s="207"/>
      <c r="N83" s="207"/>
    </row>
    <row r="84" spans="6:14" x14ac:dyDescent="0.2">
      <c r="F84" s="175">
        <v>48</v>
      </c>
      <c r="G84" s="174" t="b">
        <v>0</v>
      </c>
      <c r="H84" s="174" t="b">
        <v>0</v>
      </c>
      <c r="I84" s="174" t="b">
        <v>0</v>
      </c>
      <c r="K84" s="207">
        <v>48</v>
      </c>
      <c r="L84" s="207"/>
      <c r="M84" s="207"/>
      <c r="N84" s="207"/>
    </row>
    <row r="85" spans="6:14" x14ac:dyDescent="0.2">
      <c r="F85" s="175">
        <v>49</v>
      </c>
      <c r="G85" s="174" t="b">
        <v>0</v>
      </c>
      <c r="H85" s="174" t="b">
        <v>0</v>
      </c>
      <c r="I85" s="174" t="b">
        <v>0</v>
      </c>
      <c r="K85" s="207">
        <v>49</v>
      </c>
      <c r="L85" s="207"/>
      <c r="M85" s="207"/>
      <c r="N85" s="207"/>
    </row>
    <row r="86" spans="6:14" x14ac:dyDescent="0.2">
      <c r="F86" s="175">
        <v>50</v>
      </c>
      <c r="G86" s="174" t="b">
        <v>0</v>
      </c>
      <c r="H86" s="174" t="b">
        <v>0</v>
      </c>
      <c r="I86" s="174" t="b">
        <v>0</v>
      </c>
      <c r="K86" s="207">
        <v>50</v>
      </c>
      <c r="L86" s="207"/>
      <c r="M86" s="207"/>
      <c r="N86" s="207"/>
    </row>
    <row r="87" spans="6:14" x14ac:dyDescent="0.2">
      <c r="F87" s="175">
        <v>51</v>
      </c>
      <c r="G87" s="174" t="b">
        <v>0</v>
      </c>
      <c r="H87" s="174" t="b">
        <v>0</v>
      </c>
      <c r="I87" s="174" t="b">
        <v>0</v>
      </c>
      <c r="K87" s="207">
        <v>51</v>
      </c>
      <c r="L87" s="207"/>
      <c r="M87" s="207"/>
      <c r="N87" s="207"/>
    </row>
    <row r="88" spans="6:14" x14ac:dyDescent="0.2">
      <c r="F88" s="175">
        <v>52</v>
      </c>
      <c r="G88" s="174" t="b">
        <v>0</v>
      </c>
      <c r="H88" s="174" t="b">
        <v>0</v>
      </c>
      <c r="I88" s="174" t="b">
        <v>0</v>
      </c>
      <c r="K88" s="207">
        <v>52</v>
      </c>
      <c r="L88" s="207"/>
      <c r="M88" s="207"/>
      <c r="N88" s="207"/>
    </row>
    <row r="89" spans="6:14" x14ac:dyDescent="0.2">
      <c r="F89" s="175">
        <v>53</v>
      </c>
      <c r="G89" s="174" t="b">
        <v>0</v>
      </c>
      <c r="H89" s="174" t="b">
        <v>0</v>
      </c>
      <c r="I89" s="174" t="b">
        <v>0</v>
      </c>
      <c r="K89" s="207">
        <v>53</v>
      </c>
      <c r="L89" s="207"/>
      <c r="M89" s="207"/>
      <c r="N89" s="207"/>
    </row>
    <row r="90" spans="6:14" x14ac:dyDescent="0.2">
      <c r="F90" s="175">
        <v>54</v>
      </c>
      <c r="G90" s="174" t="b">
        <v>0</v>
      </c>
      <c r="H90" s="174" t="b">
        <v>0</v>
      </c>
      <c r="I90" s="174" t="b">
        <v>0</v>
      </c>
      <c r="K90" s="207">
        <v>54</v>
      </c>
      <c r="L90" s="207"/>
      <c r="M90" s="207"/>
      <c r="N90" s="207"/>
    </row>
    <row r="91" spans="6:14" x14ac:dyDescent="0.2">
      <c r="F91" s="175">
        <v>55</v>
      </c>
      <c r="G91" s="174" t="b">
        <v>0</v>
      </c>
      <c r="H91" s="174" t="b">
        <v>0</v>
      </c>
      <c r="I91" s="174" t="b">
        <v>0</v>
      </c>
      <c r="K91" s="207">
        <v>55</v>
      </c>
      <c r="L91" s="207"/>
      <c r="M91" s="207"/>
      <c r="N91" s="207"/>
    </row>
    <row r="92" spans="6:14" x14ac:dyDescent="0.2">
      <c r="F92" s="175">
        <v>56</v>
      </c>
      <c r="G92" s="174" t="b">
        <v>0</v>
      </c>
      <c r="H92" s="174" t="b">
        <v>0</v>
      </c>
      <c r="I92" s="174" t="b">
        <v>0</v>
      </c>
      <c r="K92" s="207">
        <v>56</v>
      </c>
      <c r="L92" s="207"/>
      <c r="M92" s="207"/>
      <c r="N92" s="207"/>
    </row>
    <row r="93" spans="6:14" x14ac:dyDescent="0.2">
      <c r="F93" s="175">
        <v>57</v>
      </c>
      <c r="G93" s="174" t="b">
        <v>0</v>
      </c>
      <c r="H93" s="174" t="b">
        <v>0</v>
      </c>
      <c r="I93" s="174" t="b">
        <v>0</v>
      </c>
      <c r="K93" s="207">
        <v>57</v>
      </c>
      <c r="L93" s="207"/>
      <c r="M93" s="207"/>
      <c r="N93" s="207"/>
    </row>
    <row r="94" spans="6:14" x14ac:dyDescent="0.2">
      <c r="F94" s="175">
        <v>58</v>
      </c>
      <c r="G94" s="174" t="b">
        <v>0</v>
      </c>
      <c r="H94" s="174" t="b">
        <v>0</v>
      </c>
      <c r="I94" s="174" t="b">
        <v>0</v>
      </c>
      <c r="K94" s="207">
        <v>58</v>
      </c>
      <c r="L94" s="207"/>
      <c r="M94" s="207"/>
      <c r="N94" s="207"/>
    </row>
    <row r="95" spans="6:14" x14ac:dyDescent="0.2">
      <c r="F95" s="175">
        <v>59</v>
      </c>
      <c r="G95" s="174" t="b">
        <v>0</v>
      </c>
      <c r="H95" s="174" t="b">
        <v>0</v>
      </c>
      <c r="I95" s="174" t="b">
        <v>0</v>
      </c>
      <c r="K95" s="207">
        <v>59</v>
      </c>
      <c r="L95" s="207"/>
      <c r="M95" s="207"/>
      <c r="N95" s="207"/>
    </row>
    <row r="96" spans="6:14" x14ac:dyDescent="0.2">
      <c r="F96" s="175">
        <v>60</v>
      </c>
      <c r="G96" s="174" t="b">
        <v>0</v>
      </c>
      <c r="H96" s="174" t="b">
        <v>0</v>
      </c>
      <c r="I96" s="174" t="b">
        <v>0</v>
      </c>
      <c r="K96" s="207">
        <v>60</v>
      </c>
      <c r="L96" s="207"/>
      <c r="M96" s="207"/>
      <c r="N96" s="207"/>
    </row>
    <row r="97" spans="6:14" x14ac:dyDescent="0.2">
      <c r="F97" s="175">
        <v>61</v>
      </c>
      <c r="G97" s="174" t="b">
        <v>0</v>
      </c>
      <c r="H97" s="174" t="b">
        <v>0</v>
      </c>
      <c r="I97" s="174" t="b">
        <v>0</v>
      </c>
      <c r="K97" s="207">
        <v>61</v>
      </c>
      <c r="L97" s="207"/>
      <c r="M97" s="207"/>
      <c r="N97" s="207"/>
    </row>
    <row r="98" spans="6:14" x14ac:dyDescent="0.2">
      <c r="F98" s="175">
        <v>62</v>
      </c>
      <c r="G98" s="174" t="b">
        <v>0</v>
      </c>
      <c r="H98" s="174" t="b">
        <v>0</v>
      </c>
      <c r="I98" s="174" t="b">
        <v>0</v>
      </c>
      <c r="K98" s="207">
        <v>62</v>
      </c>
      <c r="L98" s="207"/>
      <c r="M98" s="207"/>
      <c r="N98" s="207"/>
    </row>
    <row r="99" spans="6:14" x14ac:dyDescent="0.2">
      <c r="F99" s="175">
        <v>63</v>
      </c>
      <c r="G99" s="174" t="b">
        <v>0</v>
      </c>
      <c r="H99" s="174" t="b">
        <v>0</v>
      </c>
      <c r="I99" s="174" t="b">
        <v>0</v>
      </c>
      <c r="K99" s="207">
        <v>63</v>
      </c>
      <c r="L99" s="207"/>
      <c r="M99" s="207"/>
      <c r="N99" s="207"/>
    </row>
    <row r="100" spans="6:14" x14ac:dyDescent="0.2">
      <c r="F100" s="175">
        <v>64</v>
      </c>
      <c r="G100" s="174" t="b">
        <v>0</v>
      </c>
      <c r="H100" s="174" t="b">
        <v>0</v>
      </c>
      <c r="I100" s="174" t="b">
        <v>0</v>
      </c>
      <c r="K100" s="207">
        <v>64</v>
      </c>
      <c r="L100" s="207"/>
      <c r="M100" s="207"/>
      <c r="N100" s="207"/>
    </row>
    <row r="101" spans="6:14" x14ac:dyDescent="0.2">
      <c r="F101" s="175">
        <v>65</v>
      </c>
      <c r="G101" s="174" t="b">
        <v>0</v>
      </c>
      <c r="H101" s="174" t="b">
        <v>0</v>
      </c>
      <c r="I101" s="174" t="b">
        <v>0</v>
      </c>
      <c r="K101" s="207">
        <v>65</v>
      </c>
      <c r="L101" s="207"/>
      <c r="M101" s="207"/>
      <c r="N101" s="207"/>
    </row>
    <row r="102" spans="6:14" x14ac:dyDescent="0.2">
      <c r="F102" s="175">
        <v>66</v>
      </c>
      <c r="G102" s="174" t="b">
        <v>0</v>
      </c>
      <c r="H102" s="174" t="b">
        <v>0</v>
      </c>
      <c r="I102" s="174" t="b">
        <v>0</v>
      </c>
      <c r="K102" s="207">
        <v>66</v>
      </c>
      <c r="L102" s="207"/>
      <c r="M102" s="207"/>
      <c r="N102" s="207"/>
    </row>
    <row r="103" spans="6:14" x14ac:dyDescent="0.2">
      <c r="F103" s="175">
        <v>67</v>
      </c>
      <c r="G103" s="174" t="b">
        <v>0</v>
      </c>
      <c r="H103" s="174" t="b">
        <v>0</v>
      </c>
      <c r="I103" s="174" t="b">
        <v>0</v>
      </c>
      <c r="K103" s="207">
        <v>67</v>
      </c>
      <c r="L103" s="207"/>
      <c r="M103" s="207"/>
      <c r="N103" s="207"/>
    </row>
    <row r="104" spans="6:14" x14ac:dyDescent="0.2">
      <c r="F104" s="175">
        <v>68</v>
      </c>
      <c r="G104" s="174" t="b">
        <v>0</v>
      </c>
      <c r="H104" s="174" t="b">
        <v>0</v>
      </c>
      <c r="I104" s="174" t="b">
        <v>0</v>
      </c>
      <c r="K104" s="207">
        <v>68</v>
      </c>
      <c r="L104" s="207"/>
      <c r="M104" s="207"/>
      <c r="N104" s="207"/>
    </row>
    <row r="105" spans="6:14" x14ac:dyDescent="0.2">
      <c r="F105" s="175">
        <v>69</v>
      </c>
      <c r="G105" s="174" t="b">
        <v>0</v>
      </c>
      <c r="H105" s="174" t="b">
        <v>0</v>
      </c>
      <c r="I105" s="174" t="b">
        <v>0</v>
      </c>
      <c r="K105" s="207">
        <v>69</v>
      </c>
      <c r="L105" s="207"/>
      <c r="M105" s="207"/>
      <c r="N105" s="207"/>
    </row>
    <row r="106" spans="6:14" x14ac:dyDescent="0.2">
      <c r="F106" s="175">
        <v>70</v>
      </c>
      <c r="G106" s="174" t="b">
        <v>0</v>
      </c>
      <c r="H106" s="174" t="b">
        <v>0</v>
      </c>
      <c r="I106" s="174" t="b">
        <v>0</v>
      </c>
      <c r="K106" s="207">
        <v>70</v>
      </c>
      <c r="L106" s="207"/>
      <c r="M106" s="207"/>
      <c r="N106" s="207"/>
    </row>
    <row r="107" spans="6:14" x14ac:dyDescent="0.2">
      <c r="F107" s="175">
        <v>71</v>
      </c>
      <c r="G107" s="174" t="b">
        <v>0</v>
      </c>
      <c r="H107" s="174" t="b">
        <v>0</v>
      </c>
      <c r="I107" s="174" t="b">
        <v>0</v>
      </c>
      <c r="K107" s="207">
        <v>71</v>
      </c>
      <c r="L107" s="207"/>
      <c r="M107" s="207"/>
      <c r="N107" s="207"/>
    </row>
    <row r="108" spans="6:14" x14ac:dyDescent="0.2">
      <c r="F108" s="175">
        <v>72</v>
      </c>
      <c r="G108" s="174" t="b">
        <v>0</v>
      </c>
      <c r="H108" s="174" t="b">
        <v>0</v>
      </c>
      <c r="I108" s="174" t="b">
        <v>0</v>
      </c>
      <c r="K108" s="207">
        <v>72</v>
      </c>
      <c r="L108" s="207"/>
      <c r="M108" s="207"/>
      <c r="N108" s="207"/>
    </row>
    <row r="109" spans="6:14" x14ac:dyDescent="0.2">
      <c r="F109" s="175">
        <v>73</v>
      </c>
      <c r="G109" s="174" t="b">
        <v>0</v>
      </c>
      <c r="H109" s="174" t="b">
        <v>0</v>
      </c>
      <c r="I109" s="174" t="b">
        <v>0</v>
      </c>
      <c r="K109" s="207">
        <v>73</v>
      </c>
      <c r="L109" s="207"/>
      <c r="M109" s="207"/>
      <c r="N109" s="207"/>
    </row>
    <row r="110" spans="6:14" x14ac:dyDescent="0.2">
      <c r="F110" s="175">
        <v>74</v>
      </c>
      <c r="G110" s="174" t="b">
        <v>0</v>
      </c>
      <c r="H110" s="174" t="b">
        <v>0</v>
      </c>
      <c r="I110" s="174" t="b">
        <v>0</v>
      </c>
      <c r="K110" s="207">
        <v>74</v>
      </c>
      <c r="L110" s="207"/>
      <c r="M110" s="207"/>
      <c r="N110" s="207"/>
    </row>
    <row r="111" spans="6:14" x14ac:dyDescent="0.2">
      <c r="F111" s="175">
        <v>75</v>
      </c>
      <c r="G111" s="174" t="b">
        <v>0</v>
      </c>
      <c r="H111" s="174" t="b">
        <v>0</v>
      </c>
      <c r="I111" s="174" t="b">
        <v>0</v>
      </c>
      <c r="K111" s="207">
        <v>75</v>
      </c>
      <c r="L111" s="207"/>
      <c r="M111" s="207"/>
      <c r="N111" s="207"/>
    </row>
    <row r="112" spans="6:14" x14ac:dyDescent="0.2">
      <c r="F112" s="175">
        <v>76</v>
      </c>
      <c r="G112" s="174" t="b">
        <v>0</v>
      </c>
      <c r="H112" s="174" t="b">
        <v>0</v>
      </c>
      <c r="I112" s="174" t="b">
        <v>0</v>
      </c>
      <c r="K112" s="207">
        <v>76</v>
      </c>
      <c r="L112" s="207"/>
      <c r="M112" s="207"/>
      <c r="N112" s="207"/>
    </row>
    <row r="113" spans="6:14" x14ac:dyDescent="0.2">
      <c r="F113" s="175">
        <v>77</v>
      </c>
      <c r="G113" s="174" t="b">
        <v>0</v>
      </c>
      <c r="H113" s="174" t="b">
        <v>0</v>
      </c>
      <c r="I113" s="174" t="b">
        <v>0</v>
      </c>
      <c r="K113" s="207">
        <v>77</v>
      </c>
      <c r="L113" s="207"/>
      <c r="M113" s="207"/>
      <c r="N113" s="207"/>
    </row>
    <row r="114" spans="6:14" x14ac:dyDescent="0.2">
      <c r="F114" s="175">
        <v>78</v>
      </c>
      <c r="G114" s="174" t="b">
        <v>0</v>
      </c>
      <c r="H114" s="174" t="b">
        <v>0</v>
      </c>
      <c r="I114" s="174" t="b">
        <v>0</v>
      </c>
      <c r="K114" s="207">
        <v>78</v>
      </c>
      <c r="L114" s="207"/>
      <c r="M114" s="207"/>
      <c r="N114" s="207"/>
    </row>
    <row r="115" spans="6:14" x14ac:dyDescent="0.2">
      <c r="F115" s="175">
        <v>79</v>
      </c>
      <c r="G115" s="174" t="b">
        <v>0</v>
      </c>
      <c r="H115" s="174" t="b">
        <v>0</v>
      </c>
      <c r="I115" s="174" t="b">
        <v>0</v>
      </c>
      <c r="K115" s="207">
        <v>79</v>
      </c>
      <c r="L115" s="207"/>
      <c r="M115" s="207"/>
      <c r="N115" s="207"/>
    </row>
    <row r="116" spans="6:14" x14ac:dyDescent="0.2">
      <c r="F116" s="175">
        <v>80</v>
      </c>
      <c r="G116" s="174" t="b">
        <v>0</v>
      </c>
      <c r="H116" s="174" t="b">
        <v>0</v>
      </c>
      <c r="I116" s="174" t="b">
        <v>0</v>
      </c>
      <c r="K116" s="207">
        <v>80</v>
      </c>
      <c r="L116" s="207"/>
      <c r="M116" s="207"/>
      <c r="N116" s="207"/>
    </row>
    <row r="117" spans="6:14" x14ac:dyDescent="0.2">
      <c r="F117" s="175">
        <v>81</v>
      </c>
      <c r="G117" s="174" t="b">
        <v>0</v>
      </c>
      <c r="H117" s="174" t="b">
        <v>0</v>
      </c>
      <c r="I117" s="174" t="b">
        <v>0</v>
      </c>
      <c r="K117" s="207">
        <v>81</v>
      </c>
      <c r="L117" s="207"/>
      <c r="M117" s="207"/>
      <c r="N117" s="207"/>
    </row>
    <row r="118" spans="6:14" x14ac:dyDescent="0.2">
      <c r="F118" s="175">
        <v>82</v>
      </c>
      <c r="G118" s="174" t="b">
        <v>0</v>
      </c>
      <c r="H118" s="174" t="b">
        <v>0</v>
      </c>
      <c r="I118" s="174" t="b">
        <v>0</v>
      </c>
      <c r="K118" s="207">
        <v>82</v>
      </c>
      <c r="L118" s="207"/>
      <c r="M118" s="207"/>
      <c r="N118" s="207"/>
    </row>
    <row r="119" spans="6:14" x14ac:dyDescent="0.2">
      <c r="F119" s="175">
        <v>83</v>
      </c>
      <c r="G119" s="174" t="b">
        <v>0</v>
      </c>
      <c r="H119" s="174" t="b">
        <v>0</v>
      </c>
      <c r="I119" s="174" t="b">
        <v>0</v>
      </c>
      <c r="K119" s="207">
        <v>83</v>
      </c>
      <c r="L119" s="207"/>
      <c r="M119" s="207"/>
      <c r="N119" s="207"/>
    </row>
    <row r="120" spans="6:14" x14ac:dyDescent="0.2">
      <c r="F120" s="175">
        <v>84</v>
      </c>
      <c r="G120" s="174" t="b">
        <v>0</v>
      </c>
      <c r="H120" s="174" t="b">
        <v>0</v>
      </c>
      <c r="I120" s="174" t="b">
        <v>0</v>
      </c>
      <c r="K120" s="207">
        <v>84</v>
      </c>
      <c r="L120" s="207"/>
      <c r="M120" s="207"/>
      <c r="N120" s="207"/>
    </row>
    <row r="121" spans="6:14" x14ac:dyDescent="0.2">
      <c r="F121" s="175">
        <v>85</v>
      </c>
      <c r="G121" s="174" t="b">
        <v>0</v>
      </c>
      <c r="H121" s="174" t="b">
        <v>0</v>
      </c>
      <c r="I121" s="174" t="b">
        <v>0</v>
      </c>
      <c r="K121" s="207">
        <v>85</v>
      </c>
      <c r="L121" s="207"/>
      <c r="M121" s="207"/>
      <c r="N121" s="207"/>
    </row>
    <row r="122" spans="6:14" x14ac:dyDescent="0.2">
      <c r="F122" s="175">
        <v>86</v>
      </c>
      <c r="G122" s="174" t="b">
        <v>0</v>
      </c>
      <c r="H122" s="174" t="b">
        <v>0</v>
      </c>
      <c r="I122" s="174" t="b">
        <v>0</v>
      </c>
      <c r="K122" s="207">
        <v>86</v>
      </c>
      <c r="L122" s="207"/>
      <c r="M122" s="207"/>
      <c r="N122" s="207"/>
    </row>
    <row r="123" spans="6:14" x14ac:dyDescent="0.2">
      <c r="F123" s="175">
        <v>87</v>
      </c>
      <c r="G123" s="174" t="b">
        <v>0</v>
      </c>
      <c r="H123" s="174" t="b">
        <v>0</v>
      </c>
      <c r="I123" s="174" t="b">
        <v>0</v>
      </c>
      <c r="K123" s="207">
        <v>87</v>
      </c>
      <c r="L123" s="207"/>
      <c r="M123" s="207"/>
      <c r="N123" s="207"/>
    </row>
    <row r="124" spans="6:14" x14ac:dyDescent="0.2">
      <c r="F124" s="175">
        <v>88</v>
      </c>
      <c r="G124" s="174" t="b">
        <v>0</v>
      </c>
      <c r="H124" s="174" t="b">
        <v>0</v>
      </c>
      <c r="I124" s="174" t="b">
        <v>0</v>
      </c>
      <c r="K124" s="207">
        <v>88</v>
      </c>
      <c r="L124" s="207"/>
      <c r="M124" s="207"/>
      <c r="N124" s="207"/>
    </row>
    <row r="125" spans="6:14" x14ac:dyDescent="0.2">
      <c r="F125" s="175">
        <v>89</v>
      </c>
      <c r="G125" s="174" t="b">
        <v>0</v>
      </c>
      <c r="H125" s="174" t="b">
        <v>0</v>
      </c>
      <c r="I125" s="174" t="b">
        <v>0</v>
      </c>
      <c r="K125" s="207">
        <v>89</v>
      </c>
      <c r="L125" s="207"/>
      <c r="M125" s="207"/>
      <c r="N125" s="207"/>
    </row>
    <row r="126" spans="6:14" x14ac:dyDescent="0.2">
      <c r="F126" s="175">
        <v>90</v>
      </c>
      <c r="G126" s="174" t="b">
        <v>0</v>
      </c>
      <c r="H126" s="174" t="b">
        <v>0</v>
      </c>
      <c r="I126" s="174" t="b">
        <v>0</v>
      </c>
      <c r="K126" s="207">
        <v>90</v>
      </c>
      <c r="L126" s="207"/>
      <c r="M126" s="207"/>
      <c r="N126" s="207"/>
    </row>
    <row r="127" spans="6:14" x14ac:dyDescent="0.2">
      <c r="F127" s="175">
        <v>91</v>
      </c>
      <c r="G127" s="174" t="b">
        <v>0</v>
      </c>
      <c r="H127" s="174" t="b">
        <v>0</v>
      </c>
      <c r="I127" s="174" t="b">
        <v>0</v>
      </c>
      <c r="K127" s="207">
        <v>91</v>
      </c>
      <c r="L127" s="207"/>
      <c r="M127" s="207"/>
      <c r="N127" s="207"/>
    </row>
    <row r="128" spans="6:14" x14ac:dyDescent="0.2">
      <c r="F128" s="175">
        <v>92</v>
      </c>
      <c r="G128" s="174" t="b">
        <v>0</v>
      </c>
      <c r="H128" s="174" t="b">
        <v>0</v>
      </c>
      <c r="I128" s="174" t="b">
        <v>0</v>
      </c>
      <c r="K128" s="207">
        <v>92</v>
      </c>
      <c r="L128" s="207"/>
      <c r="M128" s="207"/>
      <c r="N128" s="207"/>
    </row>
    <row r="129" spans="6:14" x14ac:dyDescent="0.2">
      <c r="F129" s="175">
        <v>93</v>
      </c>
      <c r="G129" s="174" t="b">
        <v>0</v>
      </c>
      <c r="H129" s="174" t="b">
        <v>0</v>
      </c>
      <c r="I129" s="174" t="b">
        <v>0</v>
      </c>
      <c r="K129" s="207">
        <v>93</v>
      </c>
      <c r="L129" s="207"/>
      <c r="M129" s="207"/>
      <c r="N129" s="207"/>
    </row>
    <row r="130" spans="6:14" x14ac:dyDescent="0.2">
      <c r="F130" s="175">
        <v>94</v>
      </c>
      <c r="G130" s="174" t="b">
        <v>0</v>
      </c>
      <c r="H130" s="174" t="b">
        <v>0</v>
      </c>
      <c r="I130" s="174" t="b">
        <v>0</v>
      </c>
      <c r="K130" s="207">
        <v>94</v>
      </c>
      <c r="L130" s="207"/>
      <c r="M130" s="207"/>
      <c r="N130" s="207"/>
    </row>
    <row r="131" spans="6:14" x14ac:dyDescent="0.2">
      <c r="F131" s="175">
        <v>95</v>
      </c>
      <c r="G131" s="174" t="b">
        <v>0</v>
      </c>
      <c r="H131" s="174" t="b">
        <v>0</v>
      </c>
      <c r="I131" s="174" t="b">
        <v>0</v>
      </c>
      <c r="K131" s="207">
        <v>95</v>
      </c>
      <c r="L131" s="207"/>
      <c r="M131" s="207"/>
      <c r="N131" s="207"/>
    </row>
    <row r="132" spans="6:14" x14ac:dyDescent="0.2">
      <c r="F132" s="175">
        <v>96</v>
      </c>
      <c r="G132" s="174" t="b">
        <v>0</v>
      </c>
      <c r="H132" s="174" t="b">
        <v>0</v>
      </c>
      <c r="I132" s="174" t="b">
        <v>0</v>
      </c>
      <c r="K132" s="207">
        <v>96</v>
      </c>
      <c r="L132" s="207"/>
      <c r="M132" s="207"/>
      <c r="N132" s="207"/>
    </row>
    <row r="133" spans="6:14" x14ac:dyDescent="0.2">
      <c r="F133" s="175">
        <v>97</v>
      </c>
      <c r="G133" s="174" t="b">
        <v>0</v>
      </c>
      <c r="H133" s="174" t="b">
        <v>0</v>
      </c>
      <c r="I133" s="174" t="b">
        <v>0</v>
      </c>
      <c r="K133" s="207">
        <v>97</v>
      </c>
      <c r="L133" s="207"/>
      <c r="M133" s="207"/>
      <c r="N133" s="207"/>
    </row>
    <row r="134" spans="6:14" x14ac:dyDescent="0.2">
      <c r="F134" s="175">
        <v>98</v>
      </c>
      <c r="G134" s="174" t="b">
        <v>0</v>
      </c>
      <c r="H134" s="174" t="b">
        <v>0</v>
      </c>
      <c r="I134" s="174" t="b">
        <v>0</v>
      </c>
      <c r="K134" s="207">
        <v>98</v>
      </c>
      <c r="L134" s="207"/>
      <c r="M134" s="207"/>
      <c r="N134" s="207"/>
    </row>
    <row r="135" spans="6:14" x14ac:dyDescent="0.2">
      <c r="F135" s="175">
        <v>99</v>
      </c>
      <c r="G135" s="174" t="b">
        <v>0</v>
      </c>
      <c r="H135" s="174" t="b">
        <v>0</v>
      </c>
      <c r="I135" s="174" t="b">
        <v>0</v>
      </c>
      <c r="K135" s="207">
        <v>99</v>
      </c>
      <c r="L135" s="207"/>
      <c r="M135" s="207"/>
      <c r="N135" s="207"/>
    </row>
    <row r="136" spans="6:14" x14ac:dyDescent="0.2">
      <c r="F136" s="175">
        <v>100</v>
      </c>
      <c r="G136" s="174" t="b">
        <v>0</v>
      </c>
      <c r="H136" s="174" t="b">
        <v>0</v>
      </c>
      <c r="I136" s="174" t="b">
        <v>0</v>
      </c>
      <c r="K136" s="207">
        <v>100</v>
      </c>
      <c r="L136" s="207"/>
      <c r="M136" s="207"/>
      <c r="N136" s="207"/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229</v>
      </c>
      <c r="C2" s="203"/>
      <c r="E2" s="203" t="s">
        <v>117</v>
      </c>
      <c r="G2" s="203">
        <v>1235</v>
      </c>
      <c r="H2" s="203" t="s">
        <v>12</v>
      </c>
      <c r="I2" s="203">
        <v>7.477597481230322E-2</v>
      </c>
    </row>
    <row r="3" spans="1:14" x14ac:dyDescent="0.2">
      <c r="A3" s="203">
        <v>1</v>
      </c>
      <c r="B3" s="203" t="s">
        <v>229</v>
      </c>
      <c r="C3" s="203"/>
      <c r="E3" s="203" t="s">
        <v>118</v>
      </c>
      <c r="G3" s="203">
        <v>18</v>
      </c>
      <c r="H3" s="203" t="s">
        <v>13</v>
      </c>
      <c r="I3" s="203">
        <v>1.0898522644708162E-3</v>
      </c>
    </row>
    <row r="4" spans="1:14" x14ac:dyDescent="0.2">
      <c r="A4" s="203">
        <v>1</v>
      </c>
      <c r="B4" s="203" t="s">
        <v>229</v>
      </c>
      <c r="C4" s="203"/>
      <c r="E4" s="203" t="s">
        <v>119</v>
      </c>
      <c r="G4" s="203">
        <v>15263</v>
      </c>
      <c r="H4" s="203" t="s">
        <v>14</v>
      </c>
      <c r="I4" s="203">
        <v>0.92413417292322597</v>
      </c>
    </row>
    <row r="5" spans="1:14" x14ac:dyDescent="0.2">
      <c r="A5" s="203"/>
      <c r="C5" s="203"/>
      <c r="E5" s="203" t="s">
        <v>122</v>
      </c>
      <c r="G5" s="203">
        <v>16516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230</v>
      </c>
      <c r="C7" s="203"/>
      <c r="E7" s="203" t="s">
        <v>117</v>
      </c>
      <c r="G7" s="203">
        <v>145</v>
      </c>
      <c r="H7" s="203" t="s">
        <v>12</v>
      </c>
      <c r="I7" s="203">
        <v>1.1269138105230435E-2</v>
      </c>
    </row>
    <row r="8" spans="1:14" x14ac:dyDescent="0.2">
      <c r="A8" s="203">
        <v>2</v>
      </c>
      <c r="B8" s="203" t="s">
        <v>230</v>
      </c>
      <c r="C8" s="203"/>
      <c r="E8" s="203" t="s">
        <v>118</v>
      </c>
      <c r="G8" s="203">
        <v>179</v>
      </c>
      <c r="H8" s="203" t="s">
        <v>13</v>
      </c>
      <c r="I8" s="203">
        <v>1.3911556695422399E-2</v>
      </c>
    </row>
    <row r="9" spans="1:14" x14ac:dyDescent="0.2">
      <c r="A9" s="203">
        <v>2</v>
      </c>
      <c r="B9" s="203" t="s">
        <v>230</v>
      </c>
      <c r="C9" s="203"/>
      <c r="E9" s="203" t="s">
        <v>119</v>
      </c>
      <c r="G9" s="203">
        <v>12543</v>
      </c>
      <c r="H9" s="203" t="s">
        <v>14</v>
      </c>
      <c r="I9" s="203">
        <v>0.97481930519934712</v>
      </c>
    </row>
    <row r="10" spans="1:14" x14ac:dyDescent="0.2">
      <c r="A10" s="203"/>
      <c r="C10" s="203"/>
      <c r="E10" s="203" t="s">
        <v>122</v>
      </c>
      <c r="G10" s="203">
        <v>12867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231</v>
      </c>
      <c r="C12" s="203"/>
      <c r="E12" s="203" t="s">
        <v>117</v>
      </c>
      <c r="G12" s="203">
        <v>129876</v>
      </c>
      <c r="H12" s="203" t="s">
        <v>12</v>
      </c>
      <c r="I12" s="203">
        <v>0.97405051898962025</v>
      </c>
    </row>
    <row r="13" spans="1:14" x14ac:dyDescent="0.2">
      <c r="A13" s="203">
        <v>3</v>
      </c>
      <c r="B13" s="203" t="s">
        <v>231</v>
      </c>
      <c r="C13" s="203"/>
      <c r="E13" s="203" t="s">
        <v>118</v>
      </c>
      <c r="G13" s="203">
        <v>1297</v>
      </c>
      <c r="H13" s="203" t="s">
        <v>13</v>
      </c>
      <c r="I13" s="203">
        <v>9.7273054538909217E-3</v>
      </c>
    </row>
    <row r="14" spans="1:14" x14ac:dyDescent="0.2">
      <c r="A14" s="203">
        <v>3</v>
      </c>
      <c r="B14" s="203" t="s">
        <v>231</v>
      </c>
      <c r="C14" s="203"/>
      <c r="E14" s="203" t="s">
        <v>119</v>
      </c>
      <c r="G14" s="203">
        <v>2163</v>
      </c>
      <c r="H14" s="203" t="s">
        <v>14</v>
      </c>
      <c r="I14" s="203">
        <v>1.6222175556488871E-2</v>
      </c>
    </row>
    <row r="15" spans="1:14" x14ac:dyDescent="0.2">
      <c r="A15" s="203"/>
      <c r="C15" s="203"/>
      <c r="E15" s="203" t="s">
        <v>122</v>
      </c>
      <c r="G15" s="203">
        <v>133336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232</v>
      </c>
      <c r="C17" s="203"/>
      <c r="E17" s="203" t="s">
        <v>117</v>
      </c>
      <c r="G17" s="203">
        <v>2987</v>
      </c>
      <c r="H17" s="203" t="s">
        <v>12</v>
      </c>
      <c r="I17" s="203">
        <v>0.40540173724212814</v>
      </c>
    </row>
    <row r="18" spans="1:9" x14ac:dyDescent="0.2">
      <c r="A18" s="203">
        <v>4</v>
      </c>
      <c r="B18" s="203" t="s">
        <v>232</v>
      </c>
      <c r="C18" s="203"/>
      <c r="E18" s="203" t="s">
        <v>118</v>
      </c>
      <c r="G18" s="203">
        <v>2185</v>
      </c>
      <c r="H18" s="203" t="s">
        <v>13</v>
      </c>
      <c r="I18" s="203">
        <v>0.29655266015200871</v>
      </c>
    </row>
    <row r="19" spans="1:9" x14ac:dyDescent="0.2">
      <c r="A19" s="203">
        <v>4</v>
      </c>
      <c r="B19" s="203" t="s">
        <v>232</v>
      </c>
      <c r="C19" s="203"/>
      <c r="E19" s="203" t="s">
        <v>119</v>
      </c>
      <c r="G19" s="203">
        <v>2196</v>
      </c>
      <c r="H19" s="203" t="s">
        <v>14</v>
      </c>
      <c r="I19" s="203">
        <v>0.29804560260586321</v>
      </c>
    </row>
    <row r="20" spans="1:9" x14ac:dyDescent="0.2">
      <c r="A20" s="203"/>
      <c r="C20" s="203"/>
      <c r="E20" s="203" t="s">
        <v>122</v>
      </c>
      <c r="G20" s="203">
        <v>7368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233</v>
      </c>
      <c r="C22" s="203"/>
      <c r="E22" s="203" t="s">
        <v>117</v>
      </c>
      <c r="G22" s="203">
        <v>5297</v>
      </c>
      <c r="H22" s="203" t="s">
        <v>12</v>
      </c>
      <c r="I22" s="203">
        <v>2.375229810322407E-2</v>
      </c>
    </row>
    <row r="23" spans="1:9" x14ac:dyDescent="0.2">
      <c r="A23" s="203">
        <v>5</v>
      </c>
      <c r="B23" s="203" t="s">
        <v>233</v>
      </c>
      <c r="C23" s="203"/>
      <c r="E23" s="203" t="s">
        <v>118</v>
      </c>
      <c r="G23" s="203">
        <v>217</v>
      </c>
      <c r="H23" s="203" t="s">
        <v>13</v>
      </c>
      <c r="I23" s="203">
        <v>9.7305053585041031E-4</v>
      </c>
    </row>
    <row r="24" spans="1:9" x14ac:dyDescent="0.2">
      <c r="A24" s="203">
        <v>5</v>
      </c>
      <c r="B24" s="203" t="s">
        <v>233</v>
      </c>
      <c r="C24" s="203"/>
      <c r="E24" s="203" t="s">
        <v>119</v>
      </c>
      <c r="G24" s="203">
        <v>217496</v>
      </c>
      <c r="H24" s="203" t="s">
        <v>14</v>
      </c>
      <c r="I24" s="203">
        <v>0.9752746513609255</v>
      </c>
    </row>
    <row r="25" spans="1:9" x14ac:dyDescent="0.2">
      <c r="A25" s="203"/>
      <c r="C25" s="203"/>
      <c r="E25" s="203" t="s">
        <v>122</v>
      </c>
      <c r="G25" s="203">
        <v>223010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234</v>
      </c>
      <c r="C27" s="203"/>
      <c r="E27" s="203" t="s">
        <v>117</v>
      </c>
      <c r="G27" s="203">
        <v>127496</v>
      </c>
      <c r="H27" s="203" t="s">
        <v>12</v>
      </c>
      <c r="I27" s="203">
        <v>0.74762365496818839</v>
      </c>
    </row>
    <row r="28" spans="1:9" x14ac:dyDescent="0.2">
      <c r="A28" s="203">
        <v>6</v>
      </c>
      <c r="B28" s="203" t="s">
        <v>234</v>
      </c>
      <c r="C28" s="203"/>
      <c r="E28" s="203" t="s">
        <v>118</v>
      </c>
      <c r="G28" s="203">
        <v>1742</v>
      </c>
      <c r="H28" s="203" t="s">
        <v>13</v>
      </c>
      <c r="I28" s="203">
        <v>1.0214911894918931E-2</v>
      </c>
    </row>
    <row r="29" spans="1:9" x14ac:dyDescent="0.2">
      <c r="A29" s="203">
        <v>6</v>
      </c>
      <c r="B29" s="203" t="s">
        <v>234</v>
      </c>
      <c r="C29" s="203"/>
      <c r="E29" s="203" t="s">
        <v>119</v>
      </c>
      <c r="G29" s="203">
        <v>41297</v>
      </c>
      <c r="H29" s="203" t="s">
        <v>14</v>
      </c>
      <c r="I29" s="203">
        <v>0.24216143313689273</v>
      </c>
    </row>
    <row r="30" spans="1:9" x14ac:dyDescent="0.2">
      <c r="A30" s="203"/>
      <c r="C30" s="203"/>
      <c r="E30" s="203" t="s">
        <v>122</v>
      </c>
      <c r="G30" s="203">
        <v>170535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235</v>
      </c>
      <c r="C32" s="203"/>
      <c r="E32" s="203" t="s">
        <v>117</v>
      </c>
      <c r="G32" s="203">
        <v>17429</v>
      </c>
      <c r="H32" s="203" t="s">
        <v>12</v>
      </c>
      <c r="I32" s="203">
        <v>0.41042245561154805</v>
      </c>
    </row>
    <row r="33" spans="1:9" x14ac:dyDescent="0.2">
      <c r="A33" s="203">
        <v>7</v>
      </c>
      <c r="B33" s="203" t="s">
        <v>235</v>
      </c>
      <c r="C33" s="203"/>
      <c r="E33" s="203" t="s">
        <v>118</v>
      </c>
      <c r="G33" s="203">
        <v>76</v>
      </c>
      <c r="H33" s="203" t="s">
        <v>13</v>
      </c>
      <c r="I33" s="203">
        <v>1.7896670277398388E-3</v>
      </c>
    </row>
    <row r="34" spans="1:9" x14ac:dyDescent="0.2">
      <c r="A34" s="203">
        <v>7</v>
      </c>
      <c r="B34" s="203" t="s">
        <v>235</v>
      </c>
      <c r="C34" s="203"/>
      <c r="E34" s="203" t="s">
        <v>119</v>
      </c>
      <c r="G34" s="203">
        <v>24961</v>
      </c>
      <c r="H34" s="203" t="s">
        <v>14</v>
      </c>
      <c r="I34" s="203">
        <v>0.58778787736071214</v>
      </c>
    </row>
    <row r="35" spans="1:9" x14ac:dyDescent="0.2">
      <c r="A35" s="203"/>
      <c r="C35" s="203"/>
      <c r="E35" s="203" t="s">
        <v>122</v>
      </c>
      <c r="G35" s="203">
        <v>42466</v>
      </c>
      <c r="H35" s="203" t="s">
        <v>15</v>
      </c>
      <c r="I35" s="203">
        <v>1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236</v>
      </c>
      <c r="C37" s="203"/>
      <c r="E37" s="203" t="s">
        <v>117</v>
      </c>
      <c r="G37" s="203">
        <v>179</v>
      </c>
      <c r="H37" s="203" t="s">
        <v>12</v>
      </c>
      <c r="I37" s="203">
        <v>5.0196298373527759E-3</v>
      </c>
    </row>
    <row r="38" spans="1:9" x14ac:dyDescent="0.2">
      <c r="A38" s="203">
        <v>8</v>
      </c>
      <c r="B38" s="203" t="s">
        <v>236</v>
      </c>
      <c r="C38" s="203"/>
      <c r="E38" s="203" t="s">
        <v>118</v>
      </c>
      <c r="G38" s="203">
        <v>17529</v>
      </c>
      <c r="H38" s="203" t="s">
        <v>13</v>
      </c>
      <c r="I38" s="203">
        <v>0.49155916993830623</v>
      </c>
    </row>
    <row r="39" spans="1:9" x14ac:dyDescent="0.2">
      <c r="A39" s="203">
        <v>8</v>
      </c>
      <c r="B39" s="203" t="s">
        <v>236</v>
      </c>
      <c r="C39" s="203"/>
      <c r="E39" s="203" t="s">
        <v>119</v>
      </c>
      <c r="G39" s="203">
        <v>17952</v>
      </c>
      <c r="H39" s="203" t="s">
        <v>14</v>
      </c>
      <c r="I39" s="203">
        <v>0.503421200224341</v>
      </c>
    </row>
    <row r="40" spans="1:9" x14ac:dyDescent="0.2">
      <c r="A40" s="203"/>
      <c r="C40" s="203"/>
      <c r="E40" s="203" t="s">
        <v>122</v>
      </c>
      <c r="G40" s="203">
        <v>35660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237</v>
      </c>
      <c r="C42" s="203"/>
      <c r="E42" s="203" t="s">
        <v>117</v>
      </c>
      <c r="G42" s="203">
        <v>4176</v>
      </c>
      <c r="H42" s="203" t="s">
        <v>12</v>
      </c>
      <c r="I42" s="203">
        <v>7.8747878559306053E-2</v>
      </c>
    </row>
    <row r="43" spans="1:9" x14ac:dyDescent="0.2">
      <c r="A43" s="203">
        <v>9</v>
      </c>
      <c r="B43" s="203" t="s">
        <v>237</v>
      </c>
      <c r="C43" s="203"/>
      <c r="E43" s="203" t="s">
        <v>118</v>
      </c>
      <c r="G43" s="203">
        <v>47126</v>
      </c>
      <c r="H43" s="203" t="s">
        <v>13</v>
      </c>
      <c r="I43" s="203">
        <v>0.88866679238167079</v>
      </c>
    </row>
    <row r="44" spans="1:9" x14ac:dyDescent="0.2">
      <c r="A44" s="203">
        <v>9</v>
      </c>
      <c r="B44" s="203" t="s">
        <v>237</v>
      </c>
      <c r="C44" s="203"/>
      <c r="E44" s="203" t="s">
        <v>119</v>
      </c>
      <c r="G44" s="203">
        <v>1728</v>
      </c>
      <c r="H44" s="203" t="s">
        <v>14</v>
      </c>
      <c r="I44" s="203">
        <v>3.2585329059023192E-2</v>
      </c>
    </row>
    <row r="45" spans="1:9" x14ac:dyDescent="0.2">
      <c r="A45" s="203"/>
      <c r="C45" s="203"/>
      <c r="E45" s="203" t="s">
        <v>122</v>
      </c>
      <c r="G45" s="203">
        <v>53030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238</v>
      </c>
      <c r="C47" s="203"/>
      <c r="E47" s="203" t="s">
        <v>117</v>
      </c>
      <c r="G47" s="203">
        <v>1728</v>
      </c>
      <c r="H47" s="203" t="s">
        <v>12</v>
      </c>
      <c r="I47" s="203">
        <v>0.36378947368421055</v>
      </c>
    </row>
    <row r="48" spans="1:9" x14ac:dyDescent="0.2">
      <c r="A48" s="203">
        <v>10</v>
      </c>
      <c r="B48" s="203" t="s">
        <v>238</v>
      </c>
      <c r="C48" s="203"/>
      <c r="E48" s="203" t="s">
        <v>118</v>
      </c>
      <c r="G48" s="203">
        <v>1726</v>
      </c>
      <c r="H48" s="203" t="s">
        <v>13</v>
      </c>
      <c r="I48" s="203">
        <v>0.36336842105263156</v>
      </c>
    </row>
    <row r="49" spans="1:9" x14ac:dyDescent="0.2">
      <c r="A49" s="203">
        <v>10</v>
      </c>
      <c r="B49" s="203" t="s">
        <v>238</v>
      </c>
      <c r="C49" s="203"/>
      <c r="E49" s="203" t="s">
        <v>119</v>
      </c>
      <c r="G49" s="203">
        <v>1296</v>
      </c>
      <c r="H49" s="203" t="s">
        <v>14</v>
      </c>
      <c r="I49" s="203">
        <v>0.27284210526315789</v>
      </c>
    </row>
    <row r="50" spans="1:9" x14ac:dyDescent="0.2">
      <c r="A50" s="203"/>
      <c r="C50" s="203"/>
      <c r="E50" s="203" t="s">
        <v>122</v>
      </c>
      <c r="G50" s="203">
        <v>4750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239</v>
      </c>
      <c r="C52" s="203"/>
      <c r="E52" s="203" t="s">
        <v>117</v>
      </c>
      <c r="G52" s="203">
        <v>156</v>
      </c>
      <c r="H52" s="203" t="s">
        <v>12</v>
      </c>
      <c r="I52" s="203">
        <v>0.33476394849785407</v>
      </c>
    </row>
    <row r="53" spans="1:9" x14ac:dyDescent="0.2">
      <c r="A53" s="203">
        <v>11</v>
      </c>
      <c r="B53" s="203" t="s">
        <v>239</v>
      </c>
      <c r="C53" s="203"/>
      <c r="E53" s="203" t="s">
        <v>118</v>
      </c>
      <c r="G53" s="203">
        <v>158</v>
      </c>
      <c r="H53" s="203" t="s">
        <v>13</v>
      </c>
      <c r="I53" s="203">
        <v>0.33905579399141633</v>
      </c>
    </row>
    <row r="54" spans="1:9" x14ac:dyDescent="0.2">
      <c r="A54" s="203">
        <v>11</v>
      </c>
      <c r="B54" s="203" t="s">
        <v>239</v>
      </c>
      <c r="C54" s="203"/>
      <c r="E54" s="203" t="s">
        <v>119</v>
      </c>
      <c r="G54" s="203">
        <v>152</v>
      </c>
      <c r="H54" s="203" t="s">
        <v>14</v>
      </c>
      <c r="I54" s="203">
        <v>0.3261802575107296</v>
      </c>
    </row>
    <row r="55" spans="1:9" x14ac:dyDescent="0.2">
      <c r="A55" s="203"/>
      <c r="C55" s="203"/>
      <c r="E55" s="203" t="s">
        <v>122</v>
      </c>
      <c r="G55" s="203">
        <v>466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240</v>
      </c>
      <c r="C57" s="203"/>
      <c r="E57" s="203" t="s">
        <v>117</v>
      </c>
      <c r="G57" s="203">
        <v>147</v>
      </c>
      <c r="H57" s="203" t="s">
        <v>12</v>
      </c>
      <c r="I57" s="203">
        <v>0.32096069868995636</v>
      </c>
    </row>
    <row r="58" spans="1:9" x14ac:dyDescent="0.2">
      <c r="A58" s="203">
        <v>12</v>
      </c>
      <c r="B58" s="203" t="s">
        <v>240</v>
      </c>
      <c r="C58" s="203"/>
      <c r="E58" s="203" t="s">
        <v>118</v>
      </c>
      <c r="G58" s="203">
        <v>169</v>
      </c>
      <c r="H58" s="203" t="s">
        <v>13</v>
      </c>
      <c r="I58" s="203">
        <v>0.36899563318777295</v>
      </c>
    </row>
    <row r="59" spans="1:9" x14ac:dyDescent="0.2">
      <c r="A59" s="203">
        <v>12</v>
      </c>
      <c r="B59" s="203" t="s">
        <v>240</v>
      </c>
      <c r="C59" s="203"/>
      <c r="E59" s="203" t="s">
        <v>119</v>
      </c>
      <c r="G59" s="203">
        <v>142</v>
      </c>
      <c r="H59" s="203" t="s">
        <v>14</v>
      </c>
      <c r="I59" s="203">
        <v>0.31004366812227074</v>
      </c>
    </row>
    <row r="60" spans="1:9" x14ac:dyDescent="0.2">
      <c r="A60" s="203"/>
      <c r="C60" s="203"/>
      <c r="E60" s="203" t="s">
        <v>122</v>
      </c>
      <c r="G60" s="203">
        <v>458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/>
      <c r="C62" s="203"/>
    </row>
    <row r="63" spans="1:9" x14ac:dyDescent="0.2">
      <c r="A63" s="203"/>
      <c r="C63" s="203"/>
    </row>
    <row r="64" spans="1:9" x14ac:dyDescent="0.2">
      <c r="A64" s="203"/>
      <c r="C64" s="203"/>
    </row>
    <row r="65" s="203" customFormat="1" x14ac:dyDescent="0.2"/>
    <row r="66" s="203" customFormat="1" x14ac:dyDescent="0.2"/>
    <row r="67" s="203" customFormat="1" x14ac:dyDescent="0.2"/>
    <row r="68" s="203" customFormat="1" x14ac:dyDescent="0.2"/>
    <row r="69" s="203" customFormat="1" x14ac:dyDescent="0.2"/>
    <row r="70" s="203" customFormat="1" x14ac:dyDescent="0.2"/>
    <row r="71" s="203" customFormat="1" x14ac:dyDescent="0.2"/>
    <row r="72" s="203" customFormat="1" x14ac:dyDescent="0.2"/>
    <row r="73" s="203" customFormat="1" x14ac:dyDescent="0.2"/>
    <row r="74" s="203" customFormat="1" x14ac:dyDescent="0.2"/>
    <row r="75" s="203" customFormat="1" x14ac:dyDescent="0.2"/>
    <row r="76" s="203" customFormat="1" x14ac:dyDescent="0.2"/>
    <row r="77" s="203" customFormat="1" ht="16.5" customHeight="1" x14ac:dyDescent="0.2"/>
    <row r="78" s="203" customFormat="1" x14ac:dyDescent="0.2"/>
    <row r="79" s="203" customFormat="1" x14ac:dyDescent="0.2"/>
    <row r="80" s="203" customFormat="1" x14ac:dyDescent="0.2"/>
    <row r="81" s="203" customFormat="1" x14ac:dyDescent="0.2"/>
    <row r="82" s="203" customFormat="1" x14ac:dyDescent="0.2"/>
    <row r="83" s="203" customFormat="1" x14ac:dyDescent="0.2"/>
    <row r="84" s="203" customFormat="1" x14ac:dyDescent="0.2"/>
    <row r="85" s="203" customFormat="1" x14ac:dyDescent="0.2"/>
    <row r="86" s="203" customFormat="1" x14ac:dyDescent="0.2"/>
    <row r="87" s="203" customFormat="1" x14ac:dyDescent="0.2"/>
    <row r="88" s="203" customFormat="1" x14ac:dyDescent="0.2"/>
    <row r="89" s="203" customFormat="1" x14ac:dyDescent="0.2"/>
    <row r="90" s="203" customFormat="1" x14ac:dyDescent="0.2"/>
    <row r="91" s="203" customFormat="1" x14ac:dyDescent="0.2"/>
    <row r="92" s="203" customFormat="1" x14ac:dyDescent="0.2"/>
    <row r="93" s="203" customFormat="1" x14ac:dyDescent="0.2"/>
    <row r="94" s="203" customFormat="1" x14ac:dyDescent="0.2"/>
    <row r="95" s="203" customFormat="1" x14ac:dyDescent="0.2"/>
    <row r="96" s="203" customFormat="1" x14ac:dyDescent="0.2"/>
    <row r="97" s="203" customFormat="1" x14ac:dyDescent="0.2"/>
    <row r="98" s="203" customFormat="1" x14ac:dyDescent="0.2"/>
    <row r="99" s="203" customFormat="1" x14ac:dyDescent="0.2"/>
    <row r="100" s="203" customFormat="1" x14ac:dyDescent="0.2"/>
    <row r="101" s="203" customFormat="1" x14ac:dyDescent="0.2"/>
    <row r="102" s="203" customFormat="1" x14ac:dyDescent="0.2"/>
    <row r="103" s="203" customFormat="1" x14ac:dyDescent="0.2"/>
    <row r="104" s="203" customFormat="1" x14ac:dyDescent="0.2"/>
    <row r="105" s="203" customFormat="1" x14ac:dyDescent="0.2"/>
    <row r="106" s="203" customFormat="1" x14ac:dyDescent="0.2"/>
    <row r="107" s="203" customFormat="1" x14ac:dyDescent="0.2"/>
    <row r="108" s="203" customFormat="1" x14ac:dyDescent="0.2"/>
    <row r="109" s="203" customFormat="1" x14ac:dyDescent="0.2"/>
    <row r="110" s="203" customFormat="1" x14ac:dyDescent="0.2"/>
    <row r="111" s="203" customFormat="1" x14ac:dyDescent="0.2"/>
    <row r="112" s="203" customFormat="1" x14ac:dyDescent="0.2"/>
    <row r="113" s="203" customFormat="1" x14ac:dyDescent="0.2"/>
    <row r="114" s="203" customFormat="1" x14ac:dyDescent="0.2"/>
    <row r="115" s="203" customFormat="1" x14ac:dyDescent="0.2"/>
    <row r="116" s="203" customFormat="1" x14ac:dyDescent="0.2"/>
    <row r="117" s="203" customFormat="1" x14ac:dyDescent="0.2"/>
    <row r="118" s="203" customFormat="1" x14ac:dyDescent="0.2"/>
    <row r="119" s="203" customFormat="1" x14ac:dyDescent="0.2"/>
    <row r="120" s="203" customFormat="1" x14ac:dyDescent="0.2"/>
    <row r="121" s="203" customFormat="1" x14ac:dyDescent="0.2"/>
    <row r="122" s="203" customFormat="1" x14ac:dyDescent="0.2"/>
    <row r="123" s="203" customFormat="1" x14ac:dyDescent="0.2"/>
    <row r="124" s="203" customFormat="1" x14ac:dyDescent="0.2"/>
    <row r="125" s="203" customFormat="1" x14ac:dyDescent="0.2"/>
    <row r="126" s="203" customFormat="1" x14ac:dyDescent="0.2"/>
    <row r="127" s="203" customFormat="1" x14ac:dyDescent="0.2"/>
    <row r="128" s="203" customFormat="1" x14ac:dyDescent="0.2"/>
    <row r="129" s="203" customFormat="1" x14ac:dyDescent="0.2"/>
    <row r="130" s="203" customFormat="1" x14ac:dyDescent="0.2"/>
    <row r="131" s="203" customFormat="1" x14ac:dyDescent="0.2"/>
    <row r="132" s="203" customFormat="1" x14ac:dyDescent="0.2"/>
    <row r="133" s="203" customFormat="1" x14ac:dyDescent="0.2"/>
    <row r="134" s="203" customFormat="1" x14ac:dyDescent="0.2"/>
    <row r="135" s="203" customFormat="1" x14ac:dyDescent="0.2"/>
    <row r="136" s="203" customFormat="1" x14ac:dyDescent="0.2"/>
    <row r="137" s="203" customFormat="1" x14ac:dyDescent="0.2"/>
    <row r="138" s="203" customFormat="1" x14ac:dyDescent="0.2"/>
    <row r="139" s="203" customFormat="1" x14ac:dyDescent="0.2"/>
    <row r="140" s="203" customFormat="1" x14ac:dyDescent="0.2"/>
    <row r="141" s="203" customFormat="1" x14ac:dyDescent="0.2"/>
    <row r="142" s="203" customFormat="1" x14ac:dyDescent="0.2"/>
    <row r="143" s="203" customFormat="1" x14ac:dyDescent="0.2"/>
    <row r="144" s="203" customFormat="1" x14ac:dyDescent="0.2"/>
    <row r="145" s="203" customFormat="1" x14ac:dyDescent="0.2"/>
    <row r="146" s="203" customFormat="1" x14ac:dyDescent="0.2"/>
    <row r="147" s="203" customFormat="1" x14ac:dyDescent="0.2"/>
    <row r="148" s="203" customFormat="1" x14ac:dyDescent="0.2"/>
    <row r="149" s="203" customFormat="1" x14ac:dyDescent="0.2"/>
    <row r="150" s="203" customFormat="1" x14ac:dyDescent="0.2"/>
    <row r="151" s="203" customFormat="1" x14ac:dyDescent="0.2"/>
    <row r="152" s="203" customFormat="1" x14ac:dyDescent="0.2"/>
    <row r="153" s="203" customFormat="1" x14ac:dyDescent="0.2"/>
    <row r="154" s="203" customFormat="1" x14ac:dyDescent="0.2"/>
    <row r="155" s="203" customFormat="1" x14ac:dyDescent="0.2"/>
    <row r="156" s="203" customFormat="1" x14ac:dyDescent="0.2"/>
    <row r="157" s="203" customFormat="1" x14ac:dyDescent="0.2"/>
    <row r="158" s="203" customFormat="1" x14ac:dyDescent="0.2"/>
    <row r="159" s="203" customFormat="1" x14ac:dyDescent="0.2"/>
    <row r="160" s="203" customFormat="1" x14ac:dyDescent="0.2"/>
    <row r="161" s="203" customFormat="1" x14ac:dyDescent="0.2"/>
    <row r="162" s="203" customFormat="1" x14ac:dyDescent="0.2"/>
    <row r="163" s="203" customFormat="1" x14ac:dyDescent="0.2"/>
    <row r="164" s="203" customFormat="1" x14ac:dyDescent="0.2"/>
    <row r="165" s="203" customFormat="1" x14ac:dyDescent="0.2"/>
    <row r="166" s="203" customFormat="1" x14ac:dyDescent="0.2"/>
    <row r="167" s="203" customFormat="1" x14ac:dyDescent="0.2"/>
    <row r="168" s="203" customFormat="1" x14ac:dyDescent="0.2"/>
    <row r="169" s="203" customFormat="1" x14ac:dyDescent="0.2"/>
    <row r="170" s="203" customFormat="1" x14ac:dyDescent="0.2"/>
    <row r="171" s="203" customFormat="1" x14ac:dyDescent="0.2"/>
    <row r="172" s="203" customFormat="1" x14ac:dyDescent="0.2"/>
    <row r="173" s="203" customFormat="1" x14ac:dyDescent="0.2"/>
    <row r="174" s="203" customFormat="1" x14ac:dyDescent="0.2"/>
    <row r="175" s="203" customFormat="1" x14ac:dyDescent="0.2"/>
    <row r="176" s="203" customFormat="1" x14ac:dyDescent="0.2"/>
    <row r="177" s="203" customFormat="1" x14ac:dyDescent="0.2"/>
    <row r="178" s="203" customFormat="1" x14ac:dyDescent="0.2"/>
    <row r="179" s="203" customFormat="1" x14ac:dyDescent="0.2"/>
    <row r="180" s="203" customFormat="1" x14ac:dyDescent="0.2"/>
    <row r="181" s="203" customFormat="1" x14ac:dyDescent="0.2"/>
    <row r="182" s="203" customFormat="1" x14ac:dyDescent="0.2"/>
    <row r="183" s="203" customFormat="1" x14ac:dyDescent="0.2"/>
    <row r="184" s="203" customFormat="1" x14ac:dyDescent="0.2"/>
    <row r="185" s="203" customFormat="1" x14ac:dyDescent="0.2"/>
    <row r="186" s="203" customFormat="1" x14ac:dyDescent="0.2"/>
    <row r="187" s="203" customFormat="1" x14ac:dyDescent="0.2"/>
    <row r="188" s="203" customFormat="1" x14ac:dyDescent="0.2"/>
    <row r="189" s="203" customFormat="1" x14ac:dyDescent="0.2"/>
    <row r="190" s="203" customFormat="1" x14ac:dyDescent="0.2"/>
    <row r="191" s="203" customFormat="1" x14ac:dyDescent="0.2"/>
    <row r="192" s="203" customFormat="1" x14ac:dyDescent="0.2"/>
    <row r="193" s="203" customFormat="1" x14ac:dyDescent="0.2"/>
    <row r="194" s="203" customFormat="1" x14ac:dyDescent="0.2"/>
    <row r="195" s="203" customFormat="1" x14ac:dyDescent="0.2"/>
    <row r="196" s="203" customFormat="1" x14ac:dyDescent="0.2"/>
    <row r="197" s="203" customFormat="1" x14ac:dyDescent="0.2"/>
    <row r="198" s="203" customFormat="1" x14ac:dyDescent="0.2"/>
    <row r="199" s="203" customFormat="1" x14ac:dyDescent="0.2"/>
    <row r="200" s="203" customFormat="1" x14ac:dyDescent="0.2"/>
    <row r="201" s="203" customFormat="1" x14ac:dyDescent="0.2"/>
    <row r="202" s="203" customFormat="1" x14ac:dyDescent="0.2"/>
    <row r="203" s="203" customFormat="1" x14ac:dyDescent="0.2"/>
    <row r="204" s="203" customFormat="1" x14ac:dyDescent="0.2"/>
    <row r="205" s="203" customFormat="1" x14ac:dyDescent="0.2"/>
    <row r="206" s="203" customFormat="1" x14ac:dyDescent="0.2"/>
    <row r="207" s="203" customFormat="1" x14ac:dyDescent="0.2"/>
    <row r="208" s="203" customFormat="1" x14ac:dyDescent="0.2"/>
    <row r="209" s="203" customFormat="1" x14ac:dyDescent="0.2"/>
    <row r="210" s="203" customFormat="1" x14ac:dyDescent="0.2"/>
    <row r="211" s="203" customFormat="1" x14ac:dyDescent="0.2"/>
    <row r="212" s="203" customFormat="1" x14ac:dyDescent="0.2"/>
    <row r="213" s="203" customFormat="1" x14ac:dyDescent="0.2"/>
    <row r="214" s="203" customFormat="1" x14ac:dyDescent="0.2"/>
    <row r="215" s="203" customFormat="1" x14ac:dyDescent="0.2"/>
    <row r="216" s="203" customFormat="1" x14ac:dyDescent="0.2"/>
    <row r="217" s="203" customFormat="1" x14ac:dyDescent="0.2"/>
    <row r="218" s="203" customFormat="1" x14ac:dyDescent="0.2"/>
    <row r="219" s="203" customFormat="1" x14ac:dyDescent="0.2"/>
    <row r="220" s="203" customFormat="1" x14ac:dyDescent="0.2"/>
    <row r="221" s="203" customFormat="1" x14ac:dyDescent="0.2"/>
    <row r="222" s="203" customFormat="1" x14ac:dyDescent="0.2"/>
    <row r="223" s="203" customFormat="1" x14ac:dyDescent="0.2"/>
    <row r="224" s="203" customFormat="1" x14ac:dyDescent="0.2"/>
    <row r="225" s="203" customFormat="1" x14ac:dyDescent="0.2"/>
    <row r="226" s="203" customFormat="1" x14ac:dyDescent="0.2"/>
    <row r="227" s="203" customFormat="1" x14ac:dyDescent="0.2"/>
    <row r="228" s="203" customFormat="1" x14ac:dyDescent="0.2"/>
    <row r="229" s="203" customFormat="1" x14ac:dyDescent="0.2"/>
    <row r="230" s="203" customFormat="1" x14ac:dyDescent="0.2"/>
    <row r="231" s="203" customFormat="1" x14ac:dyDescent="0.2"/>
    <row r="232" s="203" customFormat="1" x14ac:dyDescent="0.2"/>
    <row r="233" s="203" customFormat="1" x14ac:dyDescent="0.2"/>
    <row r="234" s="203" customFormat="1" x14ac:dyDescent="0.2"/>
    <row r="235" s="203" customFormat="1" x14ac:dyDescent="0.2"/>
    <row r="236" s="203" customFormat="1" x14ac:dyDescent="0.2"/>
    <row r="237" s="203" customFormat="1" x14ac:dyDescent="0.2"/>
    <row r="238" s="203" customFormat="1" x14ac:dyDescent="0.2"/>
    <row r="239" s="203" customFormat="1" x14ac:dyDescent="0.2"/>
    <row r="240" s="203" customFormat="1" x14ac:dyDescent="0.2"/>
    <row r="241" s="203" customFormat="1" x14ac:dyDescent="0.2"/>
    <row r="242" s="203" customFormat="1" x14ac:dyDescent="0.2"/>
    <row r="243" s="203" customFormat="1" x14ac:dyDescent="0.2"/>
    <row r="244" s="203" customFormat="1" x14ac:dyDescent="0.2"/>
    <row r="245" s="203" customFormat="1" x14ac:dyDescent="0.2"/>
    <row r="246" s="203" customFormat="1" x14ac:dyDescent="0.2"/>
    <row r="247" s="203" customFormat="1" x14ac:dyDescent="0.2"/>
    <row r="248" s="203" customFormat="1" x14ac:dyDescent="0.2"/>
    <row r="249" s="203" customFormat="1" x14ac:dyDescent="0.2"/>
    <row r="250" s="203" customFormat="1" x14ac:dyDescent="0.2"/>
    <row r="251" s="203" customFormat="1" x14ac:dyDescent="0.2"/>
    <row r="252" s="203" customFormat="1" x14ac:dyDescent="0.2"/>
    <row r="253" s="203" customFormat="1" x14ac:dyDescent="0.2"/>
    <row r="254" s="203" customFormat="1" x14ac:dyDescent="0.2"/>
    <row r="255" s="203" customFormat="1" x14ac:dyDescent="0.2"/>
    <row r="256" s="203" customFormat="1" x14ac:dyDescent="0.2"/>
    <row r="257" s="203" customFormat="1" x14ac:dyDescent="0.2"/>
    <row r="258" s="203" customFormat="1" x14ac:dyDescent="0.2"/>
    <row r="259" s="203" customFormat="1" x14ac:dyDescent="0.2"/>
    <row r="260" s="203" customFormat="1" x14ac:dyDescent="0.2"/>
    <row r="261" s="203" customFormat="1" x14ac:dyDescent="0.2"/>
    <row r="262" s="203" customFormat="1" x14ac:dyDescent="0.2"/>
    <row r="263" s="203" customFormat="1" x14ac:dyDescent="0.2"/>
    <row r="264" s="203" customFormat="1" x14ac:dyDescent="0.2"/>
    <row r="265" s="203" customFormat="1" x14ac:dyDescent="0.2"/>
    <row r="266" s="203" customFormat="1" x14ac:dyDescent="0.2"/>
    <row r="267" s="203" customFormat="1" x14ac:dyDescent="0.2"/>
    <row r="268" s="203" customFormat="1" x14ac:dyDescent="0.2"/>
    <row r="269" s="203" customFormat="1" x14ac:dyDescent="0.2"/>
    <row r="270" s="203" customFormat="1" x14ac:dyDescent="0.2"/>
    <row r="271" s="203" customFormat="1" x14ac:dyDescent="0.2"/>
    <row r="272" s="203" customFormat="1" x14ac:dyDescent="0.2"/>
    <row r="273" s="203" customFormat="1" x14ac:dyDescent="0.2"/>
    <row r="274" s="203" customFormat="1" x14ac:dyDescent="0.2"/>
    <row r="275" s="203" customFormat="1" x14ac:dyDescent="0.2"/>
    <row r="276" s="203" customFormat="1" x14ac:dyDescent="0.2"/>
    <row r="277" s="203" customFormat="1" x14ac:dyDescent="0.2"/>
    <row r="278" s="203" customFormat="1" x14ac:dyDescent="0.2"/>
    <row r="279" s="203" customFormat="1" x14ac:dyDescent="0.2"/>
    <row r="280" s="203" customFormat="1" x14ac:dyDescent="0.2"/>
    <row r="281" s="203" customFormat="1" x14ac:dyDescent="0.2"/>
    <row r="282" s="203" customFormat="1" x14ac:dyDescent="0.2"/>
    <row r="283" s="203" customFormat="1" x14ac:dyDescent="0.2"/>
    <row r="284" s="203" customFormat="1" x14ac:dyDescent="0.2"/>
    <row r="285" s="203" customFormat="1" x14ac:dyDescent="0.2"/>
    <row r="286" s="203" customFormat="1" x14ac:dyDescent="0.2"/>
    <row r="287" s="203" customFormat="1" x14ac:dyDescent="0.2"/>
    <row r="288" s="203" customFormat="1" x14ac:dyDescent="0.2"/>
    <row r="289" s="203" customFormat="1" x14ac:dyDescent="0.2"/>
    <row r="290" s="203" customFormat="1" x14ac:dyDescent="0.2"/>
    <row r="291" s="203" customFormat="1" x14ac:dyDescent="0.2"/>
    <row r="292" s="203" customFormat="1" x14ac:dyDescent="0.2"/>
    <row r="293" s="203" customFormat="1" x14ac:dyDescent="0.2"/>
    <row r="294" s="203" customFormat="1" x14ac:dyDescent="0.2"/>
    <row r="295" s="203" customFormat="1" x14ac:dyDescent="0.2"/>
    <row r="296" s="203" customFormat="1" x14ac:dyDescent="0.2"/>
    <row r="297" s="203" customFormat="1" x14ac:dyDescent="0.2"/>
    <row r="298" s="203" customFormat="1" x14ac:dyDescent="0.2"/>
    <row r="299" s="203" customFormat="1" x14ac:dyDescent="0.2"/>
    <row r="300" s="203" customFormat="1" x14ac:dyDescent="0.2"/>
    <row r="301" s="203" customFormat="1" x14ac:dyDescent="0.2"/>
    <row r="302" s="203" customFormat="1" x14ac:dyDescent="0.2"/>
    <row r="303" s="203" customFormat="1" x14ac:dyDescent="0.2"/>
    <row r="304" s="203" customFormat="1" x14ac:dyDescent="0.2"/>
    <row r="305" s="203" customFormat="1" x14ac:dyDescent="0.2"/>
    <row r="306" s="203" customFormat="1" x14ac:dyDescent="0.2"/>
    <row r="307" s="203" customFormat="1" x14ac:dyDescent="0.2"/>
    <row r="308" s="203" customFormat="1" x14ac:dyDescent="0.2"/>
    <row r="309" s="203" customFormat="1" x14ac:dyDescent="0.2"/>
    <row r="310" s="203" customFormat="1" x14ac:dyDescent="0.2"/>
    <row r="311" s="203" customFormat="1" x14ac:dyDescent="0.2"/>
    <row r="312" s="203" customFormat="1" x14ac:dyDescent="0.2"/>
    <row r="313" s="203" customFormat="1" x14ac:dyDescent="0.2"/>
    <row r="314" s="203" customFormat="1" x14ac:dyDescent="0.2"/>
    <row r="315" s="203" customFormat="1" x14ac:dyDescent="0.2"/>
    <row r="316" s="203" customFormat="1" x14ac:dyDescent="0.2"/>
    <row r="317" s="203" customFormat="1" x14ac:dyDescent="0.2"/>
    <row r="318" s="203" customFormat="1" x14ac:dyDescent="0.2"/>
    <row r="319" s="203" customFormat="1" x14ac:dyDescent="0.2"/>
    <row r="320" s="203" customFormat="1" x14ac:dyDescent="0.2"/>
    <row r="321" s="203" customFormat="1" x14ac:dyDescent="0.2"/>
    <row r="322" s="203" customFormat="1" x14ac:dyDescent="0.2"/>
    <row r="323" s="203" customFormat="1" x14ac:dyDescent="0.2"/>
    <row r="324" s="203" customFormat="1" x14ac:dyDescent="0.2"/>
    <row r="325" s="203" customFormat="1" x14ac:dyDescent="0.2"/>
    <row r="326" s="203" customFormat="1" x14ac:dyDescent="0.2"/>
    <row r="327" s="203" customFormat="1" x14ac:dyDescent="0.2"/>
    <row r="328" s="203" customFormat="1" x14ac:dyDescent="0.2"/>
    <row r="329" s="203" customFormat="1" x14ac:dyDescent="0.2"/>
    <row r="330" s="203" customFormat="1" x14ac:dyDescent="0.2"/>
    <row r="331" s="203" customFormat="1" x14ac:dyDescent="0.2"/>
    <row r="332" s="203" customFormat="1" x14ac:dyDescent="0.2"/>
    <row r="333" s="203" customFormat="1" x14ac:dyDescent="0.2"/>
    <row r="334" s="203" customFormat="1" x14ac:dyDescent="0.2"/>
    <row r="335" s="203" customFormat="1" x14ac:dyDescent="0.2"/>
    <row r="336" s="203" customFormat="1" x14ac:dyDescent="0.2"/>
    <row r="337" s="203" customFormat="1" x14ac:dyDescent="0.2"/>
    <row r="338" s="203" customFormat="1" x14ac:dyDescent="0.2"/>
    <row r="339" s="203" customFormat="1" x14ac:dyDescent="0.2"/>
    <row r="340" s="203" customFormat="1" x14ac:dyDescent="0.2"/>
    <row r="341" s="203" customFormat="1" x14ac:dyDescent="0.2"/>
    <row r="342" s="203" customFormat="1" x14ac:dyDescent="0.2"/>
    <row r="343" s="203" customFormat="1" x14ac:dyDescent="0.2"/>
    <row r="344" s="203" customFormat="1" x14ac:dyDescent="0.2"/>
    <row r="345" s="203" customFormat="1" x14ac:dyDescent="0.2"/>
    <row r="346" s="203" customFormat="1" x14ac:dyDescent="0.2"/>
    <row r="347" s="203" customFormat="1" x14ac:dyDescent="0.2"/>
    <row r="348" s="203" customFormat="1" x14ac:dyDescent="0.2"/>
    <row r="349" s="203" customFormat="1" x14ac:dyDescent="0.2"/>
    <row r="350" s="203" customFormat="1" x14ac:dyDescent="0.2"/>
    <row r="351" s="203" customFormat="1" x14ac:dyDescent="0.2"/>
    <row r="352" s="203" customFormat="1" x14ac:dyDescent="0.2"/>
    <row r="353" s="203" customFormat="1" x14ac:dyDescent="0.2"/>
    <row r="354" s="203" customFormat="1" x14ac:dyDescent="0.2"/>
    <row r="355" s="203" customFormat="1" x14ac:dyDescent="0.2"/>
    <row r="356" s="203" customFormat="1" x14ac:dyDescent="0.2"/>
    <row r="357" s="203" customFormat="1" x14ac:dyDescent="0.2"/>
    <row r="358" s="203" customFormat="1" x14ac:dyDescent="0.2"/>
    <row r="359" s="203" customFormat="1" x14ac:dyDescent="0.2"/>
    <row r="360" s="203" customFormat="1" x14ac:dyDescent="0.2"/>
    <row r="361" s="203" customFormat="1" x14ac:dyDescent="0.2"/>
    <row r="362" s="203" customFormat="1" x14ac:dyDescent="0.2"/>
    <row r="363" s="203" customFormat="1" x14ac:dyDescent="0.2"/>
    <row r="364" s="203" customFormat="1" x14ac:dyDescent="0.2"/>
    <row r="365" s="203" customFormat="1" x14ac:dyDescent="0.2"/>
    <row r="366" s="203" customFormat="1" x14ac:dyDescent="0.2"/>
    <row r="367" s="203" customFormat="1" x14ac:dyDescent="0.2"/>
    <row r="368" s="203" customFormat="1" x14ac:dyDescent="0.2"/>
    <row r="369" s="203" customFormat="1" x14ac:dyDescent="0.2"/>
    <row r="370" s="203" customFormat="1" x14ac:dyDescent="0.2"/>
    <row r="371" s="203" customFormat="1" x14ac:dyDescent="0.2"/>
    <row r="372" s="203" customFormat="1" x14ac:dyDescent="0.2"/>
    <row r="373" s="203" customFormat="1" x14ac:dyDescent="0.2"/>
    <row r="374" s="203" customFormat="1" x14ac:dyDescent="0.2"/>
    <row r="375" s="203" customFormat="1" x14ac:dyDescent="0.2"/>
    <row r="376" s="203" customFormat="1" x14ac:dyDescent="0.2"/>
    <row r="377" s="203" customFormat="1" x14ac:dyDescent="0.2"/>
    <row r="378" s="203" customFormat="1" x14ac:dyDescent="0.2"/>
    <row r="379" s="203" customFormat="1" x14ac:dyDescent="0.2"/>
    <row r="380" s="203" customFormat="1" x14ac:dyDescent="0.2"/>
    <row r="381" s="203" customFormat="1" x14ac:dyDescent="0.2"/>
    <row r="382" s="203" customFormat="1" x14ac:dyDescent="0.2"/>
    <row r="383" s="203" customFormat="1" x14ac:dyDescent="0.2"/>
    <row r="384" s="203" customFormat="1" x14ac:dyDescent="0.2"/>
    <row r="385" s="203" customFormat="1" x14ac:dyDescent="0.2"/>
    <row r="386" s="203" customFormat="1" x14ac:dyDescent="0.2"/>
    <row r="387" s="203" customFormat="1" x14ac:dyDescent="0.2"/>
    <row r="388" s="203" customFormat="1" x14ac:dyDescent="0.2"/>
    <row r="389" s="203" customFormat="1" x14ac:dyDescent="0.2"/>
    <row r="390" s="203" customFormat="1" x14ac:dyDescent="0.2"/>
    <row r="391" s="203" customFormat="1" x14ac:dyDescent="0.2"/>
    <row r="392" s="203" customFormat="1" x14ac:dyDescent="0.2"/>
    <row r="393" s="203" customFormat="1" x14ac:dyDescent="0.2"/>
    <row r="394" s="203" customFormat="1" x14ac:dyDescent="0.2"/>
    <row r="395" s="203" customFormat="1" x14ac:dyDescent="0.2"/>
    <row r="396" s="203" customFormat="1" x14ac:dyDescent="0.2"/>
    <row r="397" s="203" customFormat="1" x14ac:dyDescent="0.2"/>
    <row r="398" s="203" customFormat="1" x14ac:dyDescent="0.2"/>
    <row r="399" s="203" customFormat="1" x14ac:dyDescent="0.2"/>
    <row r="400" s="203" customFormat="1" x14ac:dyDescent="0.2"/>
    <row r="401" s="203" customFormat="1" x14ac:dyDescent="0.2"/>
    <row r="402" s="203" customFormat="1" x14ac:dyDescent="0.2"/>
    <row r="403" s="203" customFormat="1" x14ac:dyDescent="0.2"/>
    <row r="404" s="203" customFormat="1" x14ac:dyDescent="0.2"/>
    <row r="405" s="203" customFormat="1" x14ac:dyDescent="0.2"/>
    <row r="406" s="203" customFormat="1" x14ac:dyDescent="0.2"/>
    <row r="407" s="203" customFormat="1" x14ac:dyDescent="0.2"/>
    <row r="408" s="203" customFormat="1" x14ac:dyDescent="0.2"/>
    <row r="409" s="203" customFormat="1" x14ac:dyDescent="0.2"/>
    <row r="410" s="203" customFormat="1" x14ac:dyDescent="0.2"/>
    <row r="411" s="203" customFormat="1" x14ac:dyDescent="0.2"/>
    <row r="412" s="203" customFormat="1" x14ac:dyDescent="0.2"/>
    <row r="413" s="203" customFormat="1" x14ac:dyDescent="0.2"/>
    <row r="414" s="203" customFormat="1" x14ac:dyDescent="0.2"/>
    <row r="415" s="203" customFormat="1" x14ac:dyDescent="0.2"/>
    <row r="416" s="203" customFormat="1" x14ac:dyDescent="0.2"/>
    <row r="417" s="203" customFormat="1" x14ac:dyDescent="0.2"/>
    <row r="418" s="203" customFormat="1" x14ac:dyDescent="0.2"/>
    <row r="419" s="203" customFormat="1" x14ac:dyDescent="0.2"/>
    <row r="420" s="203" customFormat="1" x14ac:dyDescent="0.2"/>
    <row r="421" s="203" customFormat="1" x14ac:dyDescent="0.2"/>
    <row r="422" s="203" customFormat="1" x14ac:dyDescent="0.2"/>
    <row r="423" s="203" customFormat="1" x14ac:dyDescent="0.2"/>
    <row r="424" s="203" customFormat="1" x14ac:dyDescent="0.2"/>
    <row r="425" s="203" customFormat="1" x14ac:dyDescent="0.2"/>
    <row r="426" s="203" customFormat="1" x14ac:dyDescent="0.2"/>
    <row r="427" s="203" customFormat="1" x14ac:dyDescent="0.2"/>
    <row r="428" s="203" customFormat="1" x14ac:dyDescent="0.2"/>
    <row r="429" s="203" customFormat="1" x14ac:dyDescent="0.2"/>
    <row r="430" s="203" customFormat="1" x14ac:dyDescent="0.2"/>
    <row r="431" s="203" customFormat="1" x14ac:dyDescent="0.2"/>
    <row r="432" s="203" customFormat="1" x14ac:dyDescent="0.2"/>
    <row r="433" s="203" customFormat="1" x14ac:dyDescent="0.2"/>
    <row r="434" s="203" customFormat="1" x14ac:dyDescent="0.2"/>
    <row r="435" s="203" customFormat="1" x14ac:dyDescent="0.2"/>
    <row r="436" s="203" customFormat="1" x14ac:dyDescent="0.2"/>
    <row r="437" s="203" customFormat="1" x14ac:dyDescent="0.2"/>
    <row r="438" s="203" customFormat="1" x14ac:dyDescent="0.2"/>
    <row r="439" s="203" customFormat="1" x14ac:dyDescent="0.2"/>
    <row r="440" s="203" customFormat="1" x14ac:dyDescent="0.2"/>
    <row r="441" s="203" customFormat="1" x14ac:dyDescent="0.2"/>
    <row r="442" s="203" customFormat="1" x14ac:dyDescent="0.2"/>
    <row r="443" s="203" customFormat="1" x14ac:dyDescent="0.2"/>
    <row r="444" s="203" customFormat="1" x14ac:dyDescent="0.2"/>
    <row r="445" s="203" customFormat="1" x14ac:dyDescent="0.2"/>
    <row r="446" s="203" customFormat="1" x14ac:dyDescent="0.2"/>
    <row r="447" s="203" customFormat="1" x14ac:dyDescent="0.2"/>
    <row r="448" s="203" customFormat="1" x14ac:dyDescent="0.2"/>
    <row r="449" s="203" customFormat="1" x14ac:dyDescent="0.2"/>
    <row r="450" s="203" customFormat="1" x14ac:dyDescent="0.2"/>
    <row r="451" s="203" customFormat="1" x14ac:dyDescent="0.2"/>
    <row r="452" s="203" customFormat="1" x14ac:dyDescent="0.2"/>
    <row r="453" s="203" customFormat="1" x14ac:dyDescent="0.2"/>
    <row r="454" s="203" customFormat="1" x14ac:dyDescent="0.2"/>
    <row r="455" s="203" customFormat="1" x14ac:dyDescent="0.2"/>
    <row r="456" s="203" customFormat="1" x14ac:dyDescent="0.2"/>
    <row r="457" s="203" customFormat="1" x14ac:dyDescent="0.2"/>
    <row r="458" s="203" customFormat="1" x14ac:dyDescent="0.2"/>
    <row r="459" s="203" customFormat="1" x14ac:dyDescent="0.2"/>
    <row r="460" s="203" customFormat="1" x14ac:dyDescent="0.2"/>
    <row r="461" s="203" customFormat="1" x14ac:dyDescent="0.2"/>
    <row r="462" s="203" customFormat="1" x14ac:dyDescent="0.2"/>
    <row r="463" s="203" customFormat="1" x14ac:dyDescent="0.2"/>
    <row r="464" s="203" customFormat="1" x14ac:dyDescent="0.2"/>
    <row r="465" s="203" customFormat="1" x14ac:dyDescent="0.2"/>
    <row r="466" s="203" customFormat="1" x14ac:dyDescent="0.2"/>
    <row r="467" s="203" customFormat="1" x14ac:dyDescent="0.2"/>
    <row r="468" s="203" customFormat="1" x14ac:dyDescent="0.2"/>
    <row r="469" s="203" customFormat="1" x14ac:dyDescent="0.2"/>
    <row r="470" s="203" customFormat="1" x14ac:dyDescent="0.2"/>
    <row r="471" s="203" customFormat="1" x14ac:dyDescent="0.2"/>
    <row r="472" s="203" customFormat="1" x14ac:dyDescent="0.2"/>
    <row r="473" s="203" customFormat="1" x14ac:dyDescent="0.2"/>
    <row r="474" s="203" customFormat="1" x14ac:dyDescent="0.2"/>
    <row r="475" s="203" customFormat="1" x14ac:dyDescent="0.2"/>
    <row r="476" s="203" customFormat="1" x14ac:dyDescent="0.2"/>
    <row r="477" s="203" customFormat="1" x14ac:dyDescent="0.2"/>
    <row r="478" s="203" customFormat="1" x14ac:dyDescent="0.2"/>
    <row r="479" s="203" customFormat="1" x14ac:dyDescent="0.2"/>
    <row r="480" s="203" customFormat="1" x14ac:dyDescent="0.2"/>
    <row r="481" s="203" customFormat="1" x14ac:dyDescent="0.2"/>
    <row r="482" s="203" customFormat="1" x14ac:dyDescent="0.2"/>
    <row r="483" s="203" customFormat="1" x14ac:dyDescent="0.2"/>
    <row r="484" s="203" customFormat="1" x14ac:dyDescent="0.2"/>
    <row r="485" s="203" customFormat="1" x14ac:dyDescent="0.2"/>
    <row r="486" s="203" customFormat="1" x14ac:dyDescent="0.2"/>
    <row r="487" s="203" customFormat="1" x14ac:dyDescent="0.2"/>
    <row r="488" s="203" customFormat="1" x14ac:dyDescent="0.2"/>
    <row r="489" s="203" customFormat="1" x14ac:dyDescent="0.2"/>
    <row r="490" s="203" customFormat="1" x14ac:dyDescent="0.2"/>
    <row r="491" s="203" customFormat="1" x14ac:dyDescent="0.2"/>
    <row r="492" s="203" customFormat="1" x14ac:dyDescent="0.2"/>
    <row r="493" s="203" customFormat="1" x14ac:dyDescent="0.2"/>
    <row r="494" s="203" customFormat="1" x14ac:dyDescent="0.2"/>
    <row r="495" s="203" customFormat="1" x14ac:dyDescent="0.2"/>
    <row r="496" s="203" customFormat="1" x14ac:dyDescent="0.2"/>
    <row r="497" s="203" customFormat="1" x14ac:dyDescent="0.2"/>
    <row r="498" s="203" customFormat="1" x14ac:dyDescent="0.2"/>
    <row r="499" s="203" customFormat="1" x14ac:dyDescent="0.2"/>
    <row r="500" s="203" customFormat="1" x14ac:dyDescent="0.2"/>
    <row r="501" s="203" customFormat="1" x14ac:dyDescent="0.2"/>
    <row r="502" s="203" customFormat="1" x14ac:dyDescent="0.2"/>
    <row r="503" s="203" customFormat="1" x14ac:dyDescent="0.2"/>
    <row r="504" s="203" customFormat="1" x14ac:dyDescent="0.2"/>
    <row r="505" s="203" customFormat="1" x14ac:dyDescent="0.2"/>
    <row r="506" s="203" customFormat="1" x14ac:dyDescent="0.2"/>
    <row r="507" s="203" customFormat="1" x14ac:dyDescent="0.2"/>
    <row r="508" s="203" customFormat="1" x14ac:dyDescent="0.2"/>
    <row r="509" s="203" customFormat="1" x14ac:dyDescent="0.2"/>
    <row r="510" s="203" customFormat="1" x14ac:dyDescent="0.2"/>
    <row r="511" s="203" customFormat="1" x14ac:dyDescent="0.2"/>
    <row r="512" s="203" customFormat="1" x14ac:dyDescent="0.2"/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8" sqref="B3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229</v>
      </c>
      <c r="C2" s="196" t="s">
        <v>117</v>
      </c>
      <c r="D2" s="197">
        <v>1235</v>
      </c>
    </row>
    <row r="3" spans="1:4" x14ac:dyDescent="0.25">
      <c r="A3" s="198">
        <f>$A$2+0</f>
        <v>1</v>
      </c>
      <c r="B3" s="190" t="str">
        <f t="shared" ref="B3:B4" si="0">$B$2</f>
        <v>Thayna</v>
      </c>
      <c r="C3" s="196" t="s">
        <v>118</v>
      </c>
      <c r="D3" s="197">
        <v>18</v>
      </c>
    </row>
    <row r="4" spans="1:4" x14ac:dyDescent="0.25">
      <c r="A4" s="198">
        <f>$A$2+0</f>
        <v>1</v>
      </c>
      <c r="B4" s="190" t="str">
        <f t="shared" si="0"/>
        <v>Thayna</v>
      </c>
      <c r="C4" s="196" t="s">
        <v>119</v>
      </c>
      <c r="D4" s="197">
        <v>15263</v>
      </c>
    </row>
    <row r="5" spans="1:4" x14ac:dyDescent="0.25">
      <c r="A5" s="195">
        <f>2</f>
        <v>2</v>
      </c>
      <c r="B5" s="189" t="s">
        <v>230</v>
      </c>
      <c r="C5" s="196" t="s">
        <v>117</v>
      </c>
      <c r="D5" s="197">
        <v>145</v>
      </c>
    </row>
    <row r="6" spans="1:4" x14ac:dyDescent="0.25">
      <c r="A6" s="198">
        <f>$A$5</f>
        <v>2</v>
      </c>
      <c r="B6" s="190" t="str">
        <f t="shared" ref="B6:B7" si="1">$B$5</f>
        <v>Henrique</v>
      </c>
      <c r="C6" s="196" t="s">
        <v>118</v>
      </c>
      <c r="D6" s="197">
        <v>179</v>
      </c>
    </row>
    <row r="7" spans="1:4" x14ac:dyDescent="0.25">
      <c r="A7" s="198">
        <f>$A$5</f>
        <v>2</v>
      </c>
      <c r="B7" s="190" t="str">
        <f t="shared" si="1"/>
        <v>Henrique</v>
      </c>
      <c r="C7" s="196" t="s">
        <v>119</v>
      </c>
      <c r="D7" s="197">
        <v>12543</v>
      </c>
    </row>
    <row r="8" spans="1:4" x14ac:dyDescent="0.25">
      <c r="A8" s="195">
        <f>3</f>
        <v>3</v>
      </c>
      <c r="B8" s="189" t="s">
        <v>231</v>
      </c>
      <c r="C8" s="196" t="s">
        <v>117</v>
      </c>
      <c r="D8" s="197">
        <v>129876</v>
      </c>
    </row>
    <row r="9" spans="1:4" x14ac:dyDescent="0.25">
      <c r="A9" s="198">
        <f>$A$8</f>
        <v>3</v>
      </c>
      <c r="B9" s="190" t="str">
        <f t="shared" ref="B9:B10" si="2">$B$8</f>
        <v>Andre</v>
      </c>
      <c r="C9" s="196" t="s">
        <v>118</v>
      </c>
      <c r="D9" s="197">
        <v>1297</v>
      </c>
    </row>
    <row r="10" spans="1:4" x14ac:dyDescent="0.25">
      <c r="A10" s="198">
        <f>$A$8</f>
        <v>3</v>
      </c>
      <c r="B10" s="190" t="str">
        <f t="shared" si="2"/>
        <v>Andre</v>
      </c>
      <c r="C10" s="196" t="s">
        <v>119</v>
      </c>
      <c r="D10" s="197">
        <v>2163</v>
      </c>
    </row>
    <row r="11" spans="1:4" x14ac:dyDescent="0.25">
      <c r="A11" s="195">
        <f>4</f>
        <v>4</v>
      </c>
      <c r="B11" s="189" t="s">
        <v>232</v>
      </c>
      <c r="C11" s="196" t="s">
        <v>117</v>
      </c>
      <c r="D11" s="197">
        <v>2987</v>
      </c>
    </row>
    <row r="12" spans="1:4" x14ac:dyDescent="0.25">
      <c r="A12" s="198">
        <f>$A$11</f>
        <v>4</v>
      </c>
      <c r="B12" s="190" t="str">
        <f t="shared" ref="B12:B13" si="3">$B$11</f>
        <v>Atala</v>
      </c>
      <c r="C12" s="196" t="s">
        <v>118</v>
      </c>
      <c r="D12" s="197">
        <v>2185</v>
      </c>
    </row>
    <row r="13" spans="1:4" x14ac:dyDescent="0.25">
      <c r="A13" s="198">
        <f>$A$11</f>
        <v>4</v>
      </c>
      <c r="B13" s="190" t="str">
        <f t="shared" si="3"/>
        <v>Atala</v>
      </c>
      <c r="C13" s="196" t="s">
        <v>119</v>
      </c>
      <c r="D13" s="197">
        <v>2196</v>
      </c>
    </row>
    <row r="14" spans="1:4" x14ac:dyDescent="0.25">
      <c r="A14" s="195">
        <f>5</f>
        <v>5</v>
      </c>
      <c r="B14" s="189" t="s">
        <v>233</v>
      </c>
      <c r="C14" s="196" t="s">
        <v>117</v>
      </c>
      <c r="D14" s="197">
        <v>5297</v>
      </c>
    </row>
    <row r="15" spans="1:4" x14ac:dyDescent="0.25">
      <c r="A15" s="198">
        <f>$A$14</f>
        <v>5</v>
      </c>
      <c r="B15" s="190" t="str">
        <f t="shared" ref="B15:B16" si="4">$B$14</f>
        <v>Bianca</v>
      </c>
      <c r="C15" s="196" t="s">
        <v>118</v>
      </c>
      <c r="D15" s="197">
        <v>217</v>
      </c>
    </row>
    <row r="16" spans="1:4" x14ac:dyDescent="0.25">
      <c r="A16" s="198">
        <f>$A$14</f>
        <v>5</v>
      </c>
      <c r="B16" s="190" t="str">
        <f t="shared" si="4"/>
        <v>Bianca</v>
      </c>
      <c r="C16" s="196" t="s">
        <v>119</v>
      </c>
      <c r="D16" s="197">
        <v>217496</v>
      </c>
    </row>
    <row r="17" spans="1:9" x14ac:dyDescent="0.25">
      <c r="A17" s="195">
        <f>6</f>
        <v>6</v>
      </c>
      <c r="B17" s="189" t="s">
        <v>234</v>
      </c>
      <c r="C17" s="196" t="s">
        <v>117</v>
      </c>
      <c r="D17" s="197">
        <v>127496</v>
      </c>
    </row>
    <row r="18" spans="1:9" x14ac:dyDescent="0.25">
      <c r="A18" s="198">
        <f>$A$17</f>
        <v>6</v>
      </c>
      <c r="B18" s="190" t="str">
        <f t="shared" ref="B18:B19" si="5">$B$17</f>
        <v>Guilherme</v>
      </c>
      <c r="C18" s="196" t="s">
        <v>118</v>
      </c>
      <c r="D18" s="197">
        <v>1742</v>
      </c>
    </row>
    <row r="19" spans="1:9" x14ac:dyDescent="0.25">
      <c r="A19" s="198">
        <f>$A$17</f>
        <v>6</v>
      </c>
      <c r="B19" s="190" t="str">
        <f t="shared" si="5"/>
        <v>Guilherme</v>
      </c>
      <c r="C19" s="196" t="s">
        <v>119</v>
      </c>
      <c r="D19" s="197">
        <v>41297</v>
      </c>
    </row>
    <row r="20" spans="1:9" x14ac:dyDescent="0.25">
      <c r="A20" s="195">
        <f>7</f>
        <v>7</v>
      </c>
      <c r="B20" s="189" t="s">
        <v>235</v>
      </c>
      <c r="C20" s="196" t="s">
        <v>117</v>
      </c>
      <c r="D20" s="197">
        <v>17429</v>
      </c>
    </row>
    <row r="21" spans="1:9" x14ac:dyDescent="0.25">
      <c r="A21" s="198">
        <f>$A$20</f>
        <v>7</v>
      </c>
      <c r="B21" s="190" t="str">
        <f t="shared" ref="B21:B22" si="6">$B$20</f>
        <v>Joao</v>
      </c>
      <c r="C21" s="196" t="s">
        <v>118</v>
      </c>
      <c r="D21" s="197">
        <v>76</v>
      </c>
    </row>
    <row r="22" spans="1:9" x14ac:dyDescent="0.25">
      <c r="A22" s="198">
        <f>$A$20</f>
        <v>7</v>
      </c>
      <c r="B22" s="190" t="str">
        <f t="shared" si="6"/>
        <v>Joao</v>
      </c>
      <c r="C22" s="196" t="s">
        <v>119</v>
      </c>
      <c r="D22" s="197">
        <v>24961</v>
      </c>
    </row>
    <row r="23" spans="1:9" x14ac:dyDescent="0.25">
      <c r="A23" s="195">
        <f>8</f>
        <v>8</v>
      </c>
      <c r="B23" s="189" t="s">
        <v>236</v>
      </c>
      <c r="C23" s="196" t="s">
        <v>117</v>
      </c>
      <c r="D23" s="197">
        <v>179</v>
      </c>
    </row>
    <row r="24" spans="1:9" x14ac:dyDescent="0.25">
      <c r="A24" s="198">
        <f>$A$23</f>
        <v>8</v>
      </c>
      <c r="B24" s="190" t="str">
        <f t="shared" ref="B24:B25" si="7">$B$23</f>
        <v>Biagio</v>
      </c>
      <c r="C24" s="196" t="s">
        <v>118</v>
      </c>
      <c r="D24" s="197">
        <v>17529</v>
      </c>
    </row>
    <row r="25" spans="1:9" x14ac:dyDescent="0.25">
      <c r="A25" s="198">
        <f>$A$23</f>
        <v>8</v>
      </c>
      <c r="B25" s="190" t="str">
        <f t="shared" si="7"/>
        <v>Biagio</v>
      </c>
      <c r="C25" s="196" t="s">
        <v>119</v>
      </c>
      <c r="D25" s="197">
        <v>17952</v>
      </c>
    </row>
    <row r="26" spans="1:9" x14ac:dyDescent="0.25">
      <c r="A26" s="195">
        <f>9</f>
        <v>9</v>
      </c>
      <c r="B26" s="189" t="s">
        <v>237</v>
      </c>
      <c r="C26" s="196" t="s">
        <v>117</v>
      </c>
      <c r="D26" s="197">
        <v>4176</v>
      </c>
    </row>
    <row r="27" spans="1:9" x14ac:dyDescent="0.25">
      <c r="A27" s="198">
        <f>$A$26</f>
        <v>9</v>
      </c>
      <c r="B27" s="190" t="str">
        <f t="shared" ref="B27:B28" si="8">$B$26</f>
        <v>Cecilia</v>
      </c>
      <c r="C27" s="196" t="s">
        <v>118</v>
      </c>
      <c r="D27" s="197">
        <v>47126</v>
      </c>
    </row>
    <row r="28" spans="1:9" x14ac:dyDescent="0.25">
      <c r="A28" s="198">
        <f>$A$26</f>
        <v>9</v>
      </c>
      <c r="B28" s="190" t="str">
        <f t="shared" si="8"/>
        <v>Cecilia</v>
      </c>
      <c r="C28" s="196" t="s">
        <v>119</v>
      </c>
      <c r="D28" s="197">
        <v>1728</v>
      </c>
    </row>
    <row r="29" spans="1:9" x14ac:dyDescent="0.25">
      <c r="A29" s="199">
        <v>10</v>
      </c>
      <c r="B29" s="189" t="s">
        <v>238</v>
      </c>
      <c r="C29" s="196" t="s">
        <v>117</v>
      </c>
      <c r="D29" s="197">
        <v>1728</v>
      </c>
    </row>
    <row r="30" spans="1:9" x14ac:dyDescent="0.25">
      <c r="A30" s="198">
        <f>$A$29</f>
        <v>10</v>
      </c>
      <c r="B30" s="190" t="str">
        <f t="shared" ref="B30:B31" si="9">$B$29</f>
        <v>Feni</v>
      </c>
      <c r="C30" s="196" t="s">
        <v>118</v>
      </c>
      <c r="D30" s="197">
        <v>1726</v>
      </c>
    </row>
    <row r="31" spans="1:9" x14ac:dyDescent="0.25">
      <c r="A31" s="198">
        <f>$A$29</f>
        <v>10</v>
      </c>
      <c r="B31" s="190" t="str">
        <f t="shared" si="9"/>
        <v>Feni</v>
      </c>
      <c r="C31" s="196" t="s">
        <v>119</v>
      </c>
      <c r="D31" s="197">
        <v>1296</v>
      </c>
    </row>
    <row r="32" spans="1:9" ht="13.5" x14ac:dyDescent="0.25">
      <c r="A32" s="200">
        <v>11</v>
      </c>
      <c r="B32" s="189" t="s">
        <v>239</v>
      </c>
      <c r="C32" s="196" t="s">
        <v>117</v>
      </c>
      <c r="D32" s="197">
        <v>156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Mirela</v>
      </c>
      <c r="C33" s="196" t="s">
        <v>118</v>
      </c>
      <c r="D33" s="197">
        <v>158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Mirela</v>
      </c>
      <c r="C34" s="196" t="s">
        <v>119</v>
      </c>
      <c r="D34" s="197">
        <v>152</v>
      </c>
      <c r="E34" s="1"/>
      <c r="F34" s="1"/>
      <c r="G34" s="4"/>
    </row>
    <row r="35" spans="1:9" ht="13.5" x14ac:dyDescent="0.25">
      <c r="A35" s="200">
        <v>12</v>
      </c>
      <c r="B35" s="189" t="s">
        <v>240</v>
      </c>
      <c r="C35" s="196" t="s">
        <v>117</v>
      </c>
      <c r="D35" s="197">
        <v>147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Antunes</v>
      </c>
      <c r="C36" s="196" t="s">
        <v>118</v>
      </c>
      <c r="D36" s="197">
        <v>169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Antunes</v>
      </c>
      <c r="C37" s="196" t="s">
        <v>119</v>
      </c>
      <c r="D37" s="197">
        <v>142</v>
      </c>
      <c r="E37" s="1"/>
      <c r="F37" s="1"/>
      <c r="G37" s="4"/>
    </row>
    <row r="38" spans="1:9" ht="13.5" x14ac:dyDescent="0.25">
      <c r="A38" s="200">
        <v>13</v>
      </c>
      <c r="B38" s="189"/>
      <c r="C38" s="196" t="s">
        <v>117</v>
      </c>
      <c r="D38" s="197"/>
      <c r="E38" s="1"/>
      <c r="F38" s="1"/>
      <c r="G38" s="4"/>
    </row>
    <row r="39" spans="1:9" ht="13.5" x14ac:dyDescent="0.25">
      <c r="A39" s="200">
        <v>13</v>
      </c>
      <c r="B39" s="190">
        <f t="shared" ref="B39:B40" si="12">$B$38</f>
        <v>0</v>
      </c>
      <c r="C39" s="196" t="s">
        <v>118</v>
      </c>
      <c r="D39" s="197"/>
      <c r="E39" s="1"/>
      <c r="F39" s="1"/>
      <c r="G39" s="4"/>
    </row>
    <row r="40" spans="1:9" ht="13.5" x14ac:dyDescent="0.25">
      <c r="A40" s="200">
        <v>13</v>
      </c>
      <c r="B40" s="190">
        <f t="shared" si="12"/>
        <v>0</v>
      </c>
      <c r="C40" s="196" t="s">
        <v>119</v>
      </c>
      <c r="D40" s="197"/>
    </row>
    <row r="41" spans="1:9" ht="13.5" x14ac:dyDescent="0.25">
      <c r="A41" s="200">
        <v>14</v>
      </c>
      <c r="B41" s="189"/>
      <c r="C41" s="196" t="s">
        <v>117</v>
      </c>
      <c r="D41" s="197"/>
    </row>
    <row r="42" spans="1:9" ht="13.5" x14ac:dyDescent="0.25">
      <c r="A42" s="200">
        <v>14</v>
      </c>
      <c r="B42" s="190">
        <f t="shared" ref="B42:B43" si="13">$B$41</f>
        <v>0</v>
      </c>
      <c r="C42" s="196" t="s">
        <v>118</v>
      </c>
      <c r="D42" s="197"/>
    </row>
    <row r="43" spans="1:9" ht="13.5" x14ac:dyDescent="0.25">
      <c r="A43" s="200">
        <v>14</v>
      </c>
      <c r="B43" s="190">
        <f t="shared" si="13"/>
        <v>0</v>
      </c>
      <c r="C43" s="196" t="s">
        <v>119</v>
      </c>
      <c r="D43" s="197"/>
    </row>
    <row r="44" spans="1:9" ht="13.5" x14ac:dyDescent="0.25">
      <c r="A44" s="200">
        <v>15</v>
      </c>
      <c r="B44" s="189"/>
      <c r="C44" s="196" t="s">
        <v>117</v>
      </c>
      <c r="D44" s="197"/>
    </row>
    <row r="45" spans="1:9" ht="13.5" x14ac:dyDescent="0.25">
      <c r="A45" s="200">
        <v>15</v>
      </c>
      <c r="B45" s="190">
        <f t="shared" ref="B45:B46" si="14">$B$44</f>
        <v>0</v>
      </c>
      <c r="C45" s="196" t="s">
        <v>118</v>
      </c>
      <c r="D45" s="197"/>
    </row>
    <row r="46" spans="1:9" ht="13.5" x14ac:dyDescent="0.25">
      <c r="A46" s="200">
        <v>15</v>
      </c>
      <c r="B46" s="190">
        <f t="shared" si="14"/>
        <v>0</v>
      </c>
      <c r="C46" s="196" t="s">
        <v>119</v>
      </c>
      <c r="D46" s="197"/>
    </row>
    <row r="47" spans="1:9" ht="13.5" x14ac:dyDescent="0.25">
      <c r="A47" s="200">
        <v>16</v>
      </c>
      <c r="B47" s="189"/>
      <c r="C47" s="196" t="s">
        <v>117</v>
      </c>
      <c r="D47" s="197"/>
    </row>
    <row r="48" spans="1:9" ht="13.5" x14ac:dyDescent="0.25">
      <c r="A48" s="200">
        <v>16</v>
      </c>
      <c r="B48" s="190">
        <f t="shared" ref="B48:B49" si="15">$B$47</f>
        <v>0</v>
      </c>
      <c r="C48" s="196" t="s">
        <v>118</v>
      </c>
      <c r="D48" s="197"/>
    </row>
    <row r="49" spans="1:4" ht="13.5" x14ac:dyDescent="0.25">
      <c r="A49" s="200">
        <v>16</v>
      </c>
      <c r="B49" s="190">
        <f t="shared" si="15"/>
        <v>0</v>
      </c>
      <c r="C49" s="196" t="s">
        <v>119</v>
      </c>
      <c r="D49" s="197"/>
    </row>
    <row r="50" spans="1:4" ht="13.5" x14ac:dyDescent="0.25">
      <c r="A50" s="200">
        <v>17</v>
      </c>
      <c r="B50" s="189"/>
      <c r="C50" s="196" t="s">
        <v>117</v>
      </c>
      <c r="D50" s="197"/>
    </row>
    <row r="51" spans="1:4" ht="13.5" x14ac:dyDescent="0.25">
      <c r="A51" s="200">
        <v>17</v>
      </c>
      <c r="B51" s="190">
        <f t="shared" ref="B51:B52" si="16">$B$50</f>
        <v>0</v>
      </c>
      <c r="C51" s="196" t="s">
        <v>118</v>
      </c>
      <c r="D51" s="197"/>
    </row>
    <row r="52" spans="1:4" ht="13.5" x14ac:dyDescent="0.25">
      <c r="A52" s="200">
        <v>17</v>
      </c>
      <c r="B52" s="190">
        <f t="shared" si="16"/>
        <v>0</v>
      </c>
      <c r="C52" s="196" t="s">
        <v>119</v>
      </c>
      <c r="D52" s="197"/>
    </row>
    <row r="53" spans="1:4" ht="13.5" x14ac:dyDescent="0.25">
      <c r="A53" s="200">
        <v>18</v>
      </c>
      <c r="B53" s="189"/>
      <c r="C53" s="196" t="s">
        <v>117</v>
      </c>
      <c r="D53" s="197"/>
    </row>
    <row r="54" spans="1:4" ht="13.5" x14ac:dyDescent="0.25">
      <c r="A54" s="200">
        <v>18</v>
      </c>
      <c r="B54" s="190">
        <f t="shared" ref="B54:B55" si="17">$B$53</f>
        <v>0</v>
      </c>
      <c r="C54" s="196" t="s">
        <v>118</v>
      </c>
      <c r="D54" s="197"/>
    </row>
    <row r="55" spans="1:4" ht="13.5" x14ac:dyDescent="0.25">
      <c r="A55" s="200">
        <v>18</v>
      </c>
      <c r="B55" s="190">
        <f t="shared" si="17"/>
        <v>0</v>
      </c>
      <c r="C55" s="196" t="s">
        <v>119</v>
      </c>
      <c r="D55" s="197"/>
    </row>
    <row r="56" spans="1:4" ht="13.5" x14ac:dyDescent="0.25">
      <c r="A56" s="200">
        <v>19</v>
      </c>
      <c r="B56" s="189"/>
      <c r="C56" s="196" t="s">
        <v>117</v>
      </c>
      <c r="D56" s="197"/>
    </row>
    <row r="57" spans="1:4" ht="13.5" x14ac:dyDescent="0.25">
      <c r="A57" s="200">
        <v>19</v>
      </c>
      <c r="B57" s="190">
        <f t="shared" ref="B57:B58" si="18">$B$56</f>
        <v>0</v>
      </c>
      <c r="C57" s="196" t="s">
        <v>118</v>
      </c>
      <c r="D57" s="197"/>
    </row>
    <row r="58" spans="1:4" ht="13.5" x14ac:dyDescent="0.25">
      <c r="A58" s="200">
        <v>19</v>
      </c>
      <c r="B58" s="190">
        <f t="shared" si="18"/>
        <v>0</v>
      </c>
      <c r="C58" s="196" t="s">
        <v>119</v>
      </c>
      <c r="D58" s="197"/>
    </row>
    <row r="59" spans="1:4" ht="13.5" x14ac:dyDescent="0.25">
      <c r="A59" s="200">
        <v>20</v>
      </c>
      <c r="B59" s="189"/>
      <c r="C59" s="196" t="s">
        <v>117</v>
      </c>
      <c r="D59" s="197"/>
    </row>
    <row r="60" spans="1:4" ht="13.5" x14ac:dyDescent="0.25">
      <c r="A60" s="200">
        <v>20</v>
      </c>
      <c r="B60" s="190">
        <f t="shared" ref="B60:B61" si="19">$B$59</f>
        <v>0</v>
      </c>
      <c r="C60" s="196" t="s">
        <v>118</v>
      </c>
      <c r="D60" s="197"/>
    </row>
    <row r="61" spans="1:4" ht="13.5" x14ac:dyDescent="0.25">
      <c r="A61" s="200">
        <v>20</v>
      </c>
      <c r="B61" s="190">
        <f t="shared" si="19"/>
        <v>0</v>
      </c>
      <c r="C61" s="196" t="s">
        <v>119</v>
      </c>
      <c r="D61" s="197"/>
    </row>
    <row r="62" spans="1:4" ht="13.5" x14ac:dyDescent="0.25">
      <c r="A62" s="200">
        <v>21</v>
      </c>
      <c r="B62" s="189"/>
      <c r="C62" s="196" t="s">
        <v>117</v>
      </c>
      <c r="D62" s="197"/>
    </row>
    <row r="63" spans="1:4" ht="13.5" x14ac:dyDescent="0.25">
      <c r="A63" s="200">
        <v>21</v>
      </c>
      <c r="B63" s="190">
        <f t="shared" ref="B63:B64" si="20">$B$62</f>
        <v>0</v>
      </c>
      <c r="C63" s="196" t="s">
        <v>118</v>
      </c>
      <c r="D63" s="197"/>
    </row>
    <row r="64" spans="1:4" ht="13.5" x14ac:dyDescent="0.25">
      <c r="A64" s="200">
        <v>21</v>
      </c>
      <c r="B64" s="190">
        <f t="shared" si="20"/>
        <v>0</v>
      </c>
      <c r="C64" s="196" t="s">
        <v>119</v>
      </c>
      <c r="D64" s="197"/>
    </row>
    <row r="65" spans="1:4" ht="13.5" x14ac:dyDescent="0.25">
      <c r="A65" s="200">
        <v>22</v>
      </c>
      <c r="B65" s="189"/>
      <c r="C65" s="196" t="s">
        <v>117</v>
      </c>
      <c r="D65" s="197"/>
    </row>
    <row r="66" spans="1:4" ht="13.5" x14ac:dyDescent="0.25">
      <c r="A66" s="200">
        <v>22</v>
      </c>
      <c r="B66" s="190">
        <f t="shared" ref="B66:B67" si="21">$B$65</f>
        <v>0</v>
      </c>
      <c r="C66" s="196" t="s">
        <v>118</v>
      </c>
      <c r="D66" s="197"/>
    </row>
    <row r="67" spans="1:4" ht="13.5" x14ac:dyDescent="0.25">
      <c r="A67" s="200">
        <v>22</v>
      </c>
      <c r="B67" s="190">
        <f t="shared" si="21"/>
        <v>0</v>
      </c>
      <c r="C67" s="196" t="s">
        <v>119</v>
      </c>
      <c r="D67" s="197"/>
    </row>
    <row r="68" spans="1:4" ht="13.5" x14ac:dyDescent="0.25">
      <c r="A68" s="200">
        <v>23</v>
      </c>
      <c r="B68" s="189"/>
      <c r="C68" s="196" t="s">
        <v>117</v>
      </c>
      <c r="D68" s="197"/>
    </row>
    <row r="69" spans="1:4" ht="13.5" x14ac:dyDescent="0.25">
      <c r="A69" s="200">
        <v>23</v>
      </c>
      <c r="B69" s="190">
        <f t="shared" ref="B69:B70" si="22">$B$68</f>
        <v>0</v>
      </c>
      <c r="C69" s="196" t="s">
        <v>118</v>
      </c>
      <c r="D69" s="197"/>
    </row>
    <row r="70" spans="1:4" ht="13.5" x14ac:dyDescent="0.25">
      <c r="A70" s="200">
        <v>23</v>
      </c>
      <c r="B70" s="190">
        <f t="shared" si="22"/>
        <v>0</v>
      </c>
      <c r="C70" s="196" t="s">
        <v>119</v>
      </c>
      <c r="D70" s="197"/>
    </row>
    <row r="71" spans="1:4" ht="13.5" x14ac:dyDescent="0.25">
      <c r="A71" s="200">
        <v>24</v>
      </c>
      <c r="B71" s="189"/>
      <c r="C71" s="196" t="s">
        <v>117</v>
      </c>
      <c r="D71" s="197"/>
    </row>
    <row r="72" spans="1:4" ht="13.5" x14ac:dyDescent="0.25">
      <c r="A72" s="200">
        <v>24</v>
      </c>
      <c r="B72" s="190">
        <f t="shared" ref="B72:B73" si="23">$B$71</f>
        <v>0</v>
      </c>
      <c r="C72" s="196" t="s">
        <v>118</v>
      </c>
      <c r="D72" s="197"/>
    </row>
    <row r="73" spans="1:4" ht="13.5" x14ac:dyDescent="0.25">
      <c r="A73" s="200">
        <v>24</v>
      </c>
      <c r="B73" s="190">
        <f t="shared" si="23"/>
        <v>0</v>
      </c>
      <c r="C73" s="196" t="s">
        <v>119</v>
      </c>
      <c r="D73" s="197"/>
    </row>
    <row r="74" spans="1:4" ht="13.5" x14ac:dyDescent="0.25">
      <c r="A74" s="200">
        <v>25</v>
      </c>
      <c r="B74" s="189"/>
      <c r="C74" s="196" t="s">
        <v>117</v>
      </c>
      <c r="D74" s="197"/>
    </row>
    <row r="75" spans="1:4" ht="13.5" x14ac:dyDescent="0.25">
      <c r="A75" s="200">
        <v>25</v>
      </c>
      <c r="B75" s="190">
        <f t="shared" ref="B75:B76" si="24">$B$74</f>
        <v>0</v>
      </c>
      <c r="C75" s="196" t="s">
        <v>118</v>
      </c>
      <c r="D75" s="197"/>
    </row>
    <row r="76" spans="1:4" ht="13.5" x14ac:dyDescent="0.25">
      <c r="A76" s="200">
        <v>25</v>
      </c>
      <c r="B76" s="190">
        <f t="shared" si="24"/>
        <v>0</v>
      </c>
      <c r="C76" s="196" t="s">
        <v>119</v>
      </c>
      <c r="D76" s="197"/>
    </row>
    <row r="77" spans="1:4" ht="13.5" x14ac:dyDescent="0.25">
      <c r="A77" s="200">
        <v>26</v>
      </c>
      <c r="B77" s="189"/>
      <c r="C77" s="196" t="s">
        <v>117</v>
      </c>
      <c r="D77" s="197"/>
    </row>
    <row r="78" spans="1:4" ht="13.5" x14ac:dyDescent="0.25">
      <c r="A78" s="200">
        <v>26</v>
      </c>
      <c r="B78" s="190">
        <f t="shared" ref="B78:B79" si="25">$B$77</f>
        <v>0</v>
      </c>
      <c r="C78" s="196" t="s">
        <v>118</v>
      </c>
      <c r="D78" s="197"/>
    </row>
    <row r="79" spans="1:4" ht="13.5" x14ac:dyDescent="0.25">
      <c r="A79" s="200">
        <v>26</v>
      </c>
      <c r="B79" s="190">
        <f t="shared" si="25"/>
        <v>0</v>
      </c>
      <c r="C79" s="196" t="s">
        <v>119</v>
      </c>
      <c r="D79" s="197"/>
    </row>
    <row r="80" spans="1:4" ht="13.5" x14ac:dyDescent="0.25">
      <c r="A80" s="200">
        <v>27</v>
      </c>
      <c r="B80" s="189"/>
      <c r="C80" s="196" t="s">
        <v>117</v>
      </c>
      <c r="D80" s="197"/>
    </row>
    <row r="81" spans="1:4" ht="13.5" x14ac:dyDescent="0.25">
      <c r="A81" s="200">
        <v>27</v>
      </c>
      <c r="B81" s="190">
        <f t="shared" ref="B81:B82" si="26">$B$80</f>
        <v>0</v>
      </c>
      <c r="C81" s="196" t="s">
        <v>118</v>
      </c>
      <c r="D81" s="197"/>
    </row>
    <row r="82" spans="1:4" ht="13.5" x14ac:dyDescent="0.25">
      <c r="A82" s="200">
        <v>27</v>
      </c>
      <c r="B82" s="190">
        <f t="shared" si="26"/>
        <v>0</v>
      </c>
      <c r="C82" s="196" t="s">
        <v>119</v>
      </c>
      <c r="D82" s="197"/>
    </row>
    <row r="83" spans="1:4" ht="13.5" x14ac:dyDescent="0.25">
      <c r="A83" s="200">
        <v>28</v>
      </c>
      <c r="B83" s="189"/>
      <c r="C83" s="196" t="s">
        <v>117</v>
      </c>
      <c r="D83" s="197"/>
    </row>
    <row r="84" spans="1:4" ht="13.5" x14ac:dyDescent="0.25">
      <c r="A84" s="200">
        <v>28</v>
      </c>
      <c r="B84" s="190">
        <f t="shared" ref="B84:B85" si="27">$B$83</f>
        <v>0</v>
      </c>
      <c r="C84" s="196" t="s">
        <v>118</v>
      </c>
      <c r="D84" s="197"/>
    </row>
    <row r="85" spans="1:4" ht="13.5" x14ac:dyDescent="0.25">
      <c r="A85" s="200">
        <v>28</v>
      </c>
      <c r="B85" s="190">
        <f t="shared" si="27"/>
        <v>0</v>
      </c>
      <c r="C85" s="196" t="s">
        <v>119</v>
      </c>
      <c r="D85" s="197"/>
    </row>
    <row r="86" spans="1:4" ht="13.5" x14ac:dyDescent="0.25">
      <c r="A86" s="200">
        <v>29</v>
      </c>
      <c r="B86" s="189"/>
      <c r="C86" s="196" t="s">
        <v>117</v>
      </c>
      <c r="D86" s="197"/>
    </row>
    <row r="87" spans="1:4" ht="13.5" x14ac:dyDescent="0.25">
      <c r="A87" s="200">
        <v>29</v>
      </c>
      <c r="B87" s="190">
        <f t="shared" ref="B87:B88" si="28">$B$86</f>
        <v>0</v>
      </c>
      <c r="C87" s="196" t="s">
        <v>118</v>
      </c>
      <c r="D87" s="197"/>
    </row>
    <row r="88" spans="1:4" ht="13.5" x14ac:dyDescent="0.25">
      <c r="A88" s="200">
        <v>29</v>
      </c>
      <c r="B88" s="190">
        <f t="shared" si="28"/>
        <v>0</v>
      </c>
      <c r="C88" s="196" t="s">
        <v>119</v>
      </c>
      <c r="D88" s="197"/>
    </row>
    <row r="89" spans="1:4" ht="13.5" x14ac:dyDescent="0.25">
      <c r="A89" s="200">
        <v>30</v>
      </c>
      <c r="B89" s="189"/>
      <c r="C89" s="196" t="s">
        <v>117</v>
      </c>
      <c r="D89" s="197"/>
    </row>
    <row r="90" spans="1:4" ht="13.5" x14ac:dyDescent="0.25">
      <c r="A90" s="200">
        <v>30</v>
      </c>
      <c r="B90" s="190">
        <f t="shared" ref="B90:B91" si="29">$B$89</f>
        <v>0</v>
      </c>
      <c r="C90" s="196" t="s">
        <v>118</v>
      </c>
      <c r="D90" s="197"/>
    </row>
    <row r="91" spans="1:4" ht="13.5" x14ac:dyDescent="0.25">
      <c r="A91" s="200">
        <v>30</v>
      </c>
      <c r="B91" s="190">
        <f t="shared" si="29"/>
        <v>0</v>
      </c>
      <c r="C91" s="196" t="s">
        <v>119</v>
      </c>
      <c r="D91" s="197"/>
    </row>
    <row r="92" spans="1:4" ht="13.5" x14ac:dyDescent="0.25">
      <c r="A92" s="200">
        <v>31</v>
      </c>
      <c r="B92" s="189"/>
      <c r="C92" s="196" t="s">
        <v>117</v>
      </c>
      <c r="D92" s="197"/>
    </row>
    <row r="93" spans="1:4" ht="13.5" x14ac:dyDescent="0.25">
      <c r="A93" s="200">
        <v>31</v>
      </c>
      <c r="B93" s="190">
        <f t="shared" ref="B93:B94" si="30">$B$92</f>
        <v>0</v>
      </c>
      <c r="C93" s="196" t="s">
        <v>118</v>
      </c>
      <c r="D93" s="197"/>
    </row>
    <row r="94" spans="1:4" ht="13.5" x14ac:dyDescent="0.25">
      <c r="A94" s="200">
        <v>31</v>
      </c>
      <c r="B94" s="190">
        <f t="shared" si="30"/>
        <v>0</v>
      </c>
      <c r="C94" s="196" t="s">
        <v>119</v>
      </c>
      <c r="D94" s="197"/>
    </row>
    <row r="95" spans="1:4" ht="13.5" x14ac:dyDescent="0.25">
      <c r="A95" s="200">
        <v>32</v>
      </c>
      <c r="B95" s="189"/>
      <c r="C95" s="196" t="s">
        <v>117</v>
      </c>
      <c r="D95" s="197"/>
    </row>
    <row r="96" spans="1:4" ht="13.5" x14ac:dyDescent="0.25">
      <c r="A96" s="200">
        <v>32</v>
      </c>
      <c r="B96" s="190">
        <f t="shared" ref="B96:B97" si="31">$B$95</f>
        <v>0</v>
      </c>
      <c r="C96" s="196" t="s">
        <v>118</v>
      </c>
      <c r="D96" s="197"/>
    </row>
    <row r="97" spans="1:4" ht="13.5" x14ac:dyDescent="0.25">
      <c r="A97" s="200">
        <v>32</v>
      </c>
      <c r="B97" s="190">
        <f t="shared" si="31"/>
        <v>0</v>
      </c>
      <c r="C97" s="196" t="s">
        <v>119</v>
      </c>
      <c r="D97" s="197"/>
    </row>
    <row r="98" spans="1:4" ht="13.5" x14ac:dyDescent="0.25">
      <c r="A98" s="200">
        <v>33</v>
      </c>
      <c r="B98" s="189"/>
      <c r="C98" s="196" t="s">
        <v>117</v>
      </c>
      <c r="D98" s="197"/>
    </row>
    <row r="99" spans="1:4" ht="13.5" x14ac:dyDescent="0.25">
      <c r="A99" s="200">
        <v>33</v>
      </c>
      <c r="B99" s="190">
        <f t="shared" ref="B99:B100" si="32">$B$98</f>
        <v>0</v>
      </c>
      <c r="C99" s="196" t="s">
        <v>118</v>
      </c>
      <c r="D99" s="197"/>
    </row>
    <row r="100" spans="1:4" ht="13.5" x14ac:dyDescent="0.25">
      <c r="A100" s="200">
        <v>33</v>
      </c>
      <c r="B100" s="190">
        <f t="shared" si="32"/>
        <v>0</v>
      </c>
      <c r="C100" s="196" t="s">
        <v>119</v>
      </c>
      <c r="D100" s="197"/>
    </row>
    <row r="101" spans="1:4" ht="13.5" x14ac:dyDescent="0.25">
      <c r="A101" s="200">
        <v>34</v>
      </c>
      <c r="B101" s="189"/>
      <c r="C101" s="196" t="s">
        <v>117</v>
      </c>
      <c r="D101" s="197"/>
    </row>
    <row r="102" spans="1:4" ht="13.5" x14ac:dyDescent="0.25">
      <c r="A102" s="200">
        <v>34</v>
      </c>
      <c r="B102" s="190">
        <f t="shared" ref="B102:B103" si="33">$B$101</f>
        <v>0</v>
      </c>
      <c r="C102" s="196" t="s">
        <v>118</v>
      </c>
      <c r="D102" s="197"/>
    </row>
    <row r="103" spans="1:4" ht="13.5" x14ac:dyDescent="0.25">
      <c r="A103" s="200">
        <v>34</v>
      </c>
      <c r="B103" s="190">
        <f t="shared" si="33"/>
        <v>0</v>
      </c>
      <c r="C103" s="196" t="s">
        <v>119</v>
      </c>
      <c r="D103" s="197"/>
    </row>
    <row r="104" spans="1:4" ht="13.5" x14ac:dyDescent="0.25">
      <c r="A104" s="200">
        <v>35</v>
      </c>
      <c r="B104" s="189"/>
      <c r="C104" s="196" t="s">
        <v>117</v>
      </c>
      <c r="D104" s="197"/>
    </row>
    <row r="105" spans="1:4" ht="13.5" x14ac:dyDescent="0.25">
      <c r="A105" s="200">
        <v>35</v>
      </c>
      <c r="B105" s="190">
        <f t="shared" ref="B105:B106" si="34">$B$104</f>
        <v>0</v>
      </c>
      <c r="C105" s="196" t="s">
        <v>118</v>
      </c>
      <c r="D105" s="197"/>
    </row>
    <row r="106" spans="1:4" ht="13.5" x14ac:dyDescent="0.25">
      <c r="A106" s="200">
        <v>35</v>
      </c>
      <c r="B106" s="190">
        <f t="shared" si="34"/>
        <v>0</v>
      </c>
      <c r="C106" s="196" t="s">
        <v>119</v>
      </c>
      <c r="D106" s="197"/>
    </row>
    <row r="107" spans="1:4" ht="13.5" x14ac:dyDescent="0.25">
      <c r="A107" s="200">
        <v>36</v>
      </c>
      <c r="B107" s="189"/>
      <c r="C107" s="196" t="s">
        <v>117</v>
      </c>
      <c r="D107" s="197"/>
    </row>
    <row r="108" spans="1:4" ht="13.5" x14ac:dyDescent="0.25">
      <c r="A108" s="200">
        <v>36</v>
      </c>
      <c r="B108" s="190">
        <f t="shared" ref="B108:B109" si="35">$B$107</f>
        <v>0</v>
      </c>
      <c r="C108" s="196" t="s">
        <v>118</v>
      </c>
      <c r="D108" s="197"/>
    </row>
    <row r="109" spans="1:4" ht="13.5" x14ac:dyDescent="0.25">
      <c r="A109" s="200">
        <v>36</v>
      </c>
      <c r="B109" s="190">
        <f t="shared" si="35"/>
        <v>0</v>
      </c>
      <c r="C109" s="196" t="s">
        <v>119</v>
      </c>
      <c r="D109" s="197"/>
    </row>
    <row r="110" spans="1:4" ht="13.5" x14ac:dyDescent="0.25">
      <c r="A110" s="200">
        <v>37</v>
      </c>
      <c r="B110" s="189"/>
      <c r="C110" s="196" t="s">
        <v>117</v>
      </c>
      <c r="D110" s="197"/>
    </row>
    <row r="111" spans="1:4" ht="13.5" x14ac:dyDescent="0.25">
      <c r="A111" s="200">
        <v>37</v>
      </c>
      <c r="B111" s="190">
        <f t="shared" ref="B111:B112" si="36">$B$110</f>
        <v>0</v>
      </c>
      <c r="C111" s="196" t="s">
        <v>118</v>
      </c>
      <c r="D111" s="197"/>
    </row>
    <row r="112" spans="1:4" ht="13.5" x14ac:dyDescent="0.25">
      <c r="A112" s="200">
        <v>37</v>
      </c>
      <c r="B112" s="190">
        <f t="shared" si="36"/>
        <v>0</v>
      </c>
      <c r="C112" s="196" t="s">
        <v>119</v>
      </c>
      <c r="D112" s="197"/>
    </row>
    <row r="113" spans="1:4" ht="13.5" x14ac:dyDescent="0.25">
      <c r="A113" s="200">
        <v>38</v>
      </c>
      <c r="B113" s="189"/>
      <c r="C113" s="196" t="s">
        <v>117</v>
      </c>
      <c r="D113" s="197"/>
    </row>
    <row r="114" spans="1:4" ht="13.5" x14ac:dyDescent="0.25">
      <c r="A114" s="200">
        <v>38</v>
      </c>
      <c r="B114" s="190">
        <f t="shared" ref="B114:B115" si="37">$B$113</f>
        <v>0</v>
      </c>
      <c r="C114" s="196" t="s">
        <v>118</v>
      </c>
      <c r="D114" s="197"/>
    </row>
    <row r="115" spans="1:4" ht="13.5" x14ac:dyDescent="0.25">
      <c r="A115" s="200">
        <v>38</v>
      </c>
      <c r="B115" s="190">
        <f t="shared" si="37"/>
        <v>0</v>
      </c>
      <c r="C115" s="196" t="s">
        <v>119</v>
      </c>
      <c r="D115" s="197"/>
    </row>
    <row r="116" spans="1:4" ht="13.5" x14ac:dyDescent="0.25">
      <c r="A116" s="200">
        <v>39</v>
      </c>
      <c r="B116" s="189"/>
      <c r="C116" s="196" t="s">
        <v>117</v>
      </c>
      <c r="D116" s="197"/>
    </row>
    <row r="117" spans="1:4" ht="13.5" x14ac:dyDescent="0.25">
      <c r="A117" s="200">
        <v>39</v>
      </c>
      <c r="B117" s="190">
        <f t="shared" ref="B117:B118" si="38">$B$116</f>
        <v>0</v>
      </c>
      <c r="C117" s="196" t="s">
        <v>118</v>
      </c>
      <c r="D117" s="197"/>
    </row>
    <row r="118" spans="1:4" ht="13.5" x14ac:dyDescent="0.25">
      <c r="A118" s="200">
        <v>39</v>
      </c>
      <c r="B118" s="190">
        <f t="shared" si="38"/>
        <v>0</v>
      </c>
      <c r="C118" s="196" t="s">
        <v>119</v>
      </c>
      <c r="D118" s="197"/>
    </row>
    <row r="119" spans="1:4" ht="13.5" x14ac:dyDescent="0.25">
      <c r="A119" s="200">
        <v>40</v>
      </c>
      <c r="B119" s="189"/>
      <c r="C119" s="196" t="s">
        <v>117</v>
      </c>
      <c r="D119" s="197"/>
    </row>
    <row r="120" spans="1:4" ht="13.5" x14ac:dyDescent="0.25">
      <c r="A120" s="200">
        <v>40</v>
      </c>
      <c r="B120" s="190">
        <f t="shared" ref="B120:B121" si="39">$B$119</f>
        <v>0</v>
      </c>
      <c r="C120" s="196" t="s">
        <v>118</v>
      </c>
      <c r="D120" s="197"/>
    </row>
    <row r="121" spans="1:4" ht="13.5" x14ac:dyDescent="0.25">
      <c r="A121" s="200">
        <v>40</v>
      </c>
      <c r="B121" s="190">
        <f t="shared" si="39"/>
        <v>0</v>
      </c>
      <c r="C121" s="196" t="s">
        <v>119</v>
      </c>
      <c r="D121" s="197"/>
    </row>
    <row r="122" spans="1:4" ht="13.5" x14ac:dyDescent="0.25">
      <c r="A122" s="200">
        <v>41</v>
      </c>
      <c r="B122" s="189"/>
      <c r="C122" s="196" t="s">
        <v>117</v>
      </c>
      <c r="D122" s="197"/>
    </row>
    <row r="123" spans="1:4" ht="13.5" x14ac:dyDescent="0.25">
      <c r="A123" s="200">
        <v>41</v>
      </c>
      <c r="B123" s="190">
        <f t="shared" ref="B123:B124" si="40">$B$122</f>
        <v>0</v>
      </c>
      <c r="C123" s="196" t="s">
        <v>118</v>
      </c>
      <c r="D123" s="197"/>
    </row>
    <row r="124" spans="1:4" ht="13.5" x14ac:dyDescent="0.25">
      <c r="A124" s="200">
        <v>41</v>
      </c>
      <c r="B124" s="190">
        <f t="shared" si="40"/>
        <v>0</v>
      </c>
      <c r="C124" s="196" t="s">
        <v>119</v>
      </c>
      <c r="D124" s="197"/>
    </row>
    <row r="125" spans="1:4" ht="13.5" x14ac:dyDescent="0.25">
      <c r="A125" s="200">
        <v>42</v>
      </c>
      <c r="B125" s="189"/>
      <c r="C125" s="196" t="s">
        <v>117</v>
      </c>
      <c r="D125" s="197"/>
    </row>
    <row r="126" spans="1:4" ht="13.5" x14ac:dyDescent="0.25">
      <c r="A126" s="200">
        <v>42</v>
      </c>
      <c r="B126" s="190">
        <f t="shared" ref="B126:B127" si="41">$B$125</f>
        <v>0</v>
      </c>
      <c r="C126" s="196" t="s">
        <v>118</v>
      </c>
      <c r="D126" s="197"/>
    </row>
    <row r="127" spans="1:4" ht="13.5" x14ac:dyDescent="0.25">
      <c r="A127" s="200">
        <v>42</v>
      </c>
      <c r="B127" s="190">
        <f t="shared" si="41"/>
        <v>0</v>
      </c>
      <c r="C127" s="196" t="s">
        <v>119</v>
      </c>
      <c r="D127" s="197"/>
    </row>
    <row r="128" spans="1:4" ht="13.5" x14ac:dyDescent="0.25">
      <c r="A128" s="200">
        <v>43</v>
      </c>
      <c r="B128" s="189"/>
      <c r="C128" s="196" t="s">
        <v>117</v>
      </c>
      <c r="D128" s="197"/>
    </row>
    <row r="129" spans="1:4" ht="13.5" x14ac:dyDescent="0.25">
      <c r="A129" s="200">
        <v>43</v>
      </c>
      <c r="B129" s="190">
        <f t="shared" ref="B129:B130" si="42">$B$128</f>
        <v>0</v>
      </c>
      <c r="C129" s="196" t="s">
        <v>118</v>
      </c>
      <c r="D129" s="197"/>
    </row>
    <row r="130" spans="1:4" ht="13.5" x14ac:dyDescent="0.25">
      <c r="A130" s="200">
        <v>43</v>
      </c>
      <c r="B130" s="190">
        <f t="shared" si="42"/>
        <v>0</v>
      </c>
      <c r="C130" s="196" t="s">
        <v>119</v>
      </c>
      <c r="D130" s="197"/>
    </row>
    <row r="131" spans="1:4" ht="13.5" x14ac:dyDescent="0.25">
      <c r="A131" s="200">
        <v>44</v>
      </c>
      <c r="B131" s="189"/>
      <c r="C131" s="196" t="s">
        <v>117</v>
      </c>
      <c r="D131" s="197"/>
    </row>
    <row r="132" spans="1:4" ht="13.5" x14ac:dyDescent="0.25">
      <c r="A132" s="200">
        <v>44</v>
      </c>
      <c r="B132" s="190">
        <f t="shared" ref="B132:B133" si="43">$B$131</f>
        <v>0</v>
      </c>
      <c r="C132" s="196" t="s">
        <v>118</v>
      </c>
      <c r="D132" s="197"/>
    </row>
    <row r="133" spans="1:4" ht="13.5" x14ac:dyDescent="0.25">
      <c r="A133" s="200">
        <v>44</v>
      </c>
      <c r="B133" s="190">
        <f t="shared" si="43"/>
        <v>0</v>
      </c>
      <c r="C133" s="196" t="s">
        <v>119</v>
      </c>
      <c r="D133" s="197"/>
    </row>
    <row r="134" spans="1:4" ht="13.5" x14ac:dyDescent="0.25">
      <c r="A134" s="200">
        <v>45</v>
      </c>
      <c r="B134" s="189"/>
      <c r="C134" s="196" t="s">
        <v>117</v>
      </c>
      <c r="D134" s="197"/>
    </row>
    <row r="135" spans="1:4" ht="13.5" x14ac:dyDescent="0.25">
      <c r="A135" s="200">
        <v>45</v>
      </c>
      <c r="B135" s="190">
        <f t="shared" ref="B135:B136" si="44">$B$134</f>
        <v>0</v>
      </c>
      <c r="C135" s="196" t="s">
        <v>118</v>
      </c>
      <c r="D135" s="197"/>
    </row>
    <row r="136" spans="1:4" ht="13.5" x14ac:dyDescent="0.25">
      <c r="A136" s="200">
        <v>45</v>
      </c>
      <c r="B136" s="190">
        <f t="shared" si="44"/>
        <v>0</v>
      </c>
      <c r="C136" s="196" t="s">
        <v>119</v>
      </c>
      <c r="D136" s="197"/>
    </row>
    <row r="137" spans="1:4" ht="13.5" x14ac:dyDescent="0.25">
      <c r="A137" s="200">
        <v>46</v>
      </c>
      <c r="B137" s="189"/>
      <c r="C137" s="196" t="s">
        <v>117</v>
      </c>
      <c r="D137" s="197"/>
    </row>
    <row r="138" spans="1:4" ht="13.5" x14ac:dyDescent="0.25">
      <c r="A138" s="200">
        <v>46</v>
      </c>
      <c r="B138" s="190">
        <f t="shared" ref="B138:B139" si="45">$B$137</f>
        <v>0</v>
      </c>
      <c r="C138" s="196" t="s">
        <v>118</v>
      </c>
      <c r="D138" s="197"/>
    </row>
    <row r="139" spans="1:4" ht="13.5" x14ac:dyDescent="0.25">
      <c r="A139" s="200">
        <v>46</v>
      </c>
      <c r="B139" s="190">
        <f t="shared" si="45"/>
        <v>0</v>
      </c>
      <c r="C139" s="196" t="s">
        <v>119</v>
      </c>
      <c r="D139" s="197"/>
    </row>
    <row r="140" spans="1:4" ht="13.5" x14ac:dyDescent="0.25">
      <c r="A140" s="200">
        <v>47</v>
      </c>
      <c r="B140" s="189"/>
      <c r="C140" s="196" t="s">
        <v>117</v>
      </c>
      <c r="D140" s="197"/>
    </row>
    <row r="141" spans="1:4" ht="13.5" x14ac:dyDescent="0.25">
      <c r="A141" s="200">
        <v>47</v>
      </c>
      <c r="B141" s="190">
        <f t="shared" ref="B141:B142" si="46">$B$140</f>
        <v>0</v>
      </c>
      <c r="C141" s="196" t="s">
        <v>118</v>
      </c>
      <c r="D141" s="197"/>
    </row>
    <row r="142" spans="1:4" ht="13.5" x14ac:dyDescent="0.25">
      <c r="A142" s="200">
        <v>47</v>
      </c>
      <c r="B142" s="190">
        <f t="shared" si="46"/>
        <v>0</v>
      </c>
      <c r="C142" s="196" t="s">
        <v>119</v>
      </c>
      <c r="D142" s="197"/>
    </row>
    <row r="143" spans="1:4" ht="13.5" x14ac:dyDescent="0.25">
      <c r="A143" s="200">
        <v>48</v>
      </c>
      <c r="B143" s="189"/>
      <c r="C143" s="196" t="s">
        <v>117</v>
      </c>
      <c r="D143" s="197"/>
    </row>
    <row r="144" spans="1:4" ht="13.5" x14ac:dyDescent="0.25">
      <c r="A144" s="200">
        <v>48</v>
      </c>
      <c r="B144" s="190">
        <f t="shared" ref="B144:B145" si="47">$B$143</f>
        <v>0</v>
      </c>
      <c r="C144" s="196" t="s">
        <v>118</v>
      </c>
      <c r="D144" s="197"/>
    </row>
    <row r="145" spans="1:4" ht="13.5" x14ac:dyDescent="0.25">
      <c r="A145" s="200">
        <v>48</v>
      </c>
      <c r="B145" s="190">
        <f t="shared" si="47"/>
        <v>0</v>
      </c>
      <c r="C145" s="196" t="s">
        <v>119</v>
      </c>
      <c r="D145" s="197"/>
    </row>
    <row r="146" spans="1:4" ht="13.5" x14ac:dyDescent="0.25">
      <c r="A146" s="200">
        <v>49</v>
      </c>
      <c r="B146" s="189"/>
      <c r="C146" s="196" t="s">
        <v>117</v>
      </c>
      <c r="D146" s="197"/>
    </row>
    <row r="147" spans="1:4" ht="13.5" x14ac:dyDescent="0.25">
      <c r="A147" s="200">
        <v>49</v>
      </c>
      <c r="B147" s="190">
        <f t="shared" ref="B147:B148" si="48">$B$146</f>
        <v>0</v>
      </c>
      <c r="C147" s="196" t="s">
        <v>118</v>
      </c>
      <c r="D147" s="197"/>
    </row>
    <row r="148" spans="1:4" ht="13.5" x14ac:dyDescent="0.25">
      <c r="A148" s="200">
        <v>49</v>
      </c>
      <c r="B148" s="190">
        <f t="shared" si="48"/>
        <v>0</v>
      </c>
      <c r="C148" s="196" t="s">
        <v>119</v>
      </c>
      <c r="D148" s="197"/>
    </row>
    <row r="149" spans="1:4" ht="13.5" x14ac:dyDescent="0.25">
      <c r="A149" s="200">
        <v>50</v>
      </c>
      <c r="B149" s="189"/>
      <c r="C149" s="196" t="s">
        <v>117</v>
      </c>
      <c r="D149" s="197"/>
    </row>
    <row r="150" spans="1:4" ht="13.5" x14ac:dyDescent="0.25">
      <c r="A150" s="200">
        <v>50</v>
      </c>
      <c r="B150" s="190">
        <f t="shared" ref="B150:B151" si="49">$B$149</f>
        <v>0</v>
      </c>
      <c r="C150" s="196" t="s">
        <v>118</v>
      </c>
      <c r="D150" s="197"/>
    </row>
    <row r="151" spans="1:4" ht="13.5" x14ac:dyDescent="0.25">
      <c r="A151" s="200">
        <v>50</v>
      </c>
      <c r="B151" s="190">
        <f t="shared" si="49"/>
        <v>0</v>
      </c>
      <c r="C151" s="196" t="s">
        <v>119</v>
      </c>
      <c r="D151" s="197"/>
    </row>
    <row r="152" spans="1:4" ht="13.5" x14ac:dyDescent="0.25">
      <c r="A152" s="200">
        <v>51</v>
      </c>
      <c r="B152" s="189"/>
      <c r="C152" s="196" t="s">
        <v>117</v>
      </c>
      <c r="D152" s="197"/>
    </row>
    <row r="153" spans="1:4" ht="13.5" x14ac:dyDescent="0.25">
      <c r="A153" s="200">
        <v>51</v>
      </c>
      <c r="B153" s="190">
        <f t="shared" ref="B153:B154" si="50">$B$152</f>
        <v>0</v>
      </c>
      <c r="C153" s="196" t="s">
        <v>118</v>
      </c>
      <c r="D153" s="197"/>
    </row>
    <row r="154" spans="1:4" ht="13.5" x14ac:dyDescent="0.25">
      <c r="A154" s="200">
        <v>51</v>
      </c>
      <c r="B154" s="190">
        <f t="shared" si="50"/>
        <v>0</v>
      </c>
      <c r="C154" s="196" t="s">
        <v>119</v>
      </c>
      <c r="D154" s="197"/>
    </row>
    <row r="155" spans="1:4" ht="13.5" x14ac:dyDescent="0.25">
      <c r="A155" s="200">
        <v>52</v>
      </c>
      <c r="B155" s="189"/>
      <c r="C155" s="196" t="s">
        <v>117</v>
      </c>
      <c r="D155" s="197"/>
    </row>
    <row r="156" spans="1:4" ht="13.5" x14ac:dyDescent="0.25">
      <c r="A156" s="200">
        <v>52</v>
      </c>
      <c r="B156" s="190">
        <f t="shared" ref="B156:B157" si="51">$B$155</f>
        <v>0</v>
      </c>
      <c r="C156" s="196" t="s">
        <v>118</v>
      </c>
      <c r="D156" s="197"/>
    </row>
    <row r="157" spans="1:4" ht="13.5" x14ac:dyDescent="0.25">
      <c r="A157" s="200">
        <v>52</v>
      </c>
      <c r="B157" s="190">
        <f t="shared" si="51"/>
        <v>0</v>
      </c>
      <c r="C157" s="196" t="s">
        <v>119</v>
      </c>
      <c r="D157" s="197"/>
    </row>
    <row r="158" spans="1:4" ht="13.5" x14ac:dyDescent="0.25">
      <c r="A158" s="200">
        <v>53</v>
      </c>
      <c r="B158" s="189"/>
      <c r="C158" s="196" t="s">
        <v>117</v>
      </c>
      <c r="D158" s="197"/>
    </row>
    <row r="159" spans="1:4" ht="13.5" x14ac:dyDescent="0.25">
      <c r="A159" s="200">
        <v>53</v>
      </c>
      <c r="B159" s="190">
        <f t="shared" ref="B159:B160" si="52">$B$158</f>
        <v>0</v>
      </c>
      <c r="C159" s="196" t="s">
        <v>118</v>
      </c>
      <c r="D159" s="197"/>
    </row>
    <row r="160" spans="1:4" ht="13.5" x14ac:dyDescent="0.25">
      <c r="A160" s="200">
        <v>53</v>
      </c>
      <c r="B160" s="190">
        <f t="shared" si="52"/>
        <v>0</v>
      </c>
      <c r="C160" s="196" t="s">
        <v>119</v>
      </c>
      <c r="D160" s="197"/>
    </row>
    <row r="161" spans="1:4" ht="13.5" x14ac:dyDescent="0.25">
      <c r="A161" s="200">
        <v>54</v>
      </c>
      <c r="B161" s="189"/>
      <c r="C161" s="196" t="s">
        <v>117</v>
      </c>
      <c r="D161" s="197"/>
    </row>
    <row r="162" spans="1:4" ht="13.5" x14ac:dyDescent="0.25">
      <c r="A162" s="200">
        <v>54</v>
      </c>
      <c r="B162" s="190">
        <f t="shared" ref="B162:B163" si="53">$B$161</f>
        <v>0</v>
      </c>
      <c r="C162" s="196" t="s">
        <v>118</v>
      </c>
      <c r="D162" s="197"/>
    </row>
    <row r="163" spans="1:4" ht="13.5" x14ac:dyDescent="0.25">
      <c r="A163" s="200">
        <v>54</v>
      </c>
      <c r="B163" s="190">
        <f t="shared" si="53"/>
        <v>0</v>
      </c>
      <c r="C163" s="196" t="s">
        <v>119</v>
      </c>
      <c r="D163" s="197"/>
    </row>
    <row r="164" spans="1:4" ht="13.5" x14ac:dyDescent="0.25">
      <c r="A164" s="200">
        <v>55</v>
      </c>
      <c r="B164" s="189"/>
      <c r="C164" s="196" t="s">
        <v>117</v>
      </c>
      <c r="D164" s="197"/>
    </row>
    <row r="165" spans="1:4" ht="13.5" x14ac:dyDescent="0.25">
      <c r="A165" s="200">
        <v>55</v>
      </c>
      <c r="B165" s="190">
        <f t="shared" ref="B165:B166" si="54">$B$164</f>
        <v>0</v>
      </c>
      <c r="C165" s="196" t="s">
        <v>118</v>
      </c>
      <c r="D165" s="197"/>
    </row>
    <row r="166" spans="1:4" ht="13.5" x14ac:dyDescent="0.25">
      <c r="A166" s="200">
        <v>55</v>
      </c>
      <c r="B166" s="190">
        <f t="shared" si="54"/>
        <v>0</v>
      </c>
      <c r="C166" s="196" t="s">
        <v>119</v>
      </c>
      <c r="D166" s="197"/>
    </row>
    <row r="167" spans="1:4" ht="13.5" x14ac:dyDescent="0.25">
      <c r="A167" s="200">
        <v>56</v>
      </c>
      <c r="B167" s="189"/>
      <c r="C167" s="196" t="s">
        <v>117</v>
      </c>
      <c r="D167" s="197"/>
    </row>
    <row r="168" spans="1:4" ht="13.5" x14ac:dyDescent="0.25">
      <c r="A168" s="200">
        <v>56</v>
      </c>
      <c r="B168" s="190">
        <f t="shared" ref="B168:B169" si="55">$B$167</f>
        <v>0</v>
      </c>
      <c r="C168" s="196" t="s">
        <v>118</v>
      </c>
      <c r="D168" s="197"/>
    </row>
    <row r="169" spans="1:4" ht="13.5" x14ac:dyDescent="0.25">
      <c r="A169" s="200">
        <v>56</v>
      </c>
      <c r="B169" s="190">
        <f t="shared" si="55"/>
        <v>0</v>
      </c>
      <c r="C169" s="196" t="s">
        <v>119</v>
      </c>
      <c r="D169" s="197"/>
    </row>
    <row r="170" spans="1:4" ht="13.5" x14ac:dyDescent="0.25">
      <c r="A170" s="200">
        <v>57</v>
      </c>
      <c r="B170" s="189"/>
      <c r="C170" s="196" t="s">
        <v>117</v>
      </c>
      <c r="D170" s="197"/>
    </row>
    <row r="171" spans="1:4" ht="13.5" x14ac:dyDescent="0.25">
      <c r="A171" s="200">
        <v>57</v>
      </c>
      <c r="B171" s="190">
        <f t="shared" ref="B171:B172" si="56">$B$170</f>
        <v>0</v>
      </c>
      <c r="C171" s="196" t="s">
        <v>118</v>
      </c>
      <c r="D171" s="197"/>
    </row>
    <row r="172" spans="1:4" ht="13.5" x14ac:dyDescent="0.25">
      <c r="A172" s="200">
        <v>57</v>
      </c>
      <c r="B172" s="190">
        <f t="shared" si="56"/>
        <v>0</v>
      </c>
      <c r="C172" s="196" t="s">
        <v>119</v>
      </c>
      <c r="D172" s="197"/>
    </row>
    <row r="173" spans="1:4" ht="13.5" x14ac:dyDescent="0.25">
      <c r="A173" s="200">
        <v>58</v>
      </c>
      <c r="B173" s="189"/>
      <c r="C173" s="196" t="s">
        <v>117</v>
      </c>
      <c r="D173" s="197"/>
    </row>
    <row r="174" spans="1:4" ht="13.5" x14ac:dyDescent="0.25">
      <c r="A174" s="200">
        <v>58</v>
      </c>
      <c r="B174" s="190">
        <f t="shared" ref="B174:B175" si="57">$B$173</f>
        <v>0</v>
      </c>
      <c r="C174" s="196" t="s">
        <v>118</v>
      </c>
      <c r="D174" s="197"/>
    </row>
    <row r="175" spans="1:4" ht="13.5" x14ac:dyDescent="0.25">
      <c r="A175" s="200">
        <v>58</v>
      </c>
      <c r="B175" s="190">
        <f t="shared" si="57"/>
        <v>0</v>
      </c>
      <c r="C175" s="196" t="s">
        <v>119</v>
      </c>
      <c r="D175" s="197"/>
    </row>
    <row r="176" spans="1:4" ht="13.5" x14ac:dyDescent="0.25">
      <c r="A176" s="200">
        <v>59</v>
      </c>
      <c r="B176" s="189"/>
      <c r="C176" s="196" t="s">
        <v>117</v>
      </c>
      <c r="D176" s="197"/>
    </row>
    <row r="177" spans="1:4" ht="13.5" x14ac:dyDescent="0.25">
      <c r="A177" s="200">
        <v>59</v>
      </c>
      <c r="B177" s="190">
        <f t="shared" ref="B177:B178" si="58">$B$176</f>
        <v>0</v>
      </c>
      <c r="C177" s="196" t="s">
        <v>118</v>
      </c>
      <c r="D177" s="197"/>
    </row>
    <row r="178" spans="1:4" ht="13.5" x14ac:dyDescent="0.25">
      <c r="A178" s="200">
        <v>59</v>
      </c>
      <c r="B178" s="190">
        <f t="shared" si="58"/>
        <v>0</v>
      </c>
      <c r="C178" s="196" t="s">
        <v>119</v>
      </c>
      <c r="D178" s="197"/>
    </row>
    <row r="179" spans="1:4" ht="13.5" x14ac:dyDescent="0.25">
      <c r="A179" s="200">
        <v>60</v>
      </c>
      <c r="B179" s="189"/>
      <c r="C179" s="196" t="s">
        <v>117</v>
      </c>
      <c r="D179" s="197"/>
    </row>
    <row r="180" spans="1:4" ht="13.5" x14ac:dyDescent="0.25">
      <c r="A180" s="200">
        <v>60</v>
      </c>
      <c r="B180" s="190">
        <f t="shared" ref="B180:B181" si="59">$B$179</f>
        <v>0</v>
      </c>
      <c r="C180" s="196" t="s">
        <v>118</v>
      </c>
      <c r="D180" s="197"/>
    </row>
    <row r="181" spans="1:4" ht="13.5" x14ac:dyDescent="0.25">
      <c r="A181" s="200">
        <v>60</v>
      </c>
      <c r="B181" s="190">
        <f t="shared" si="59"/>
        <v>0</v>
      </c>
      <c r="C181" s="196" t="s">
        <v>119</v>
      </c>
      <c r="D181" s="197"/>
    </row>
    <row r="182" spans="1:4" ht="13.5" x14ac:dyDescent="0.25">
      <c r="A182" s="200">
        <v>61</v>
      </c>
      <c r="B182" s="189"/>
      <c r="C182" s="196" t="s">
        <v>117</v>
      </c>
      <c r="D182" s="197"/>
    </row>
    <row r="183" spans="1:4" ht="13.5" x14ac:dyDescent="0.25">
      <c r="A183" s="200">
        <v>61</v>
      </c>
      <c r="B183" s="190">
        <f t="shared" ref="B183:B184" si="60">$B$182</f>
        <v>0</v>
      </c>
      <c r="C183" s="196" t="s">
        <v>118</v>
      </c>
      <c r="D183" s="197"/>
    </row>
    <row r="184" spans="1:4" ht="13.5" x14ac:dyDescent="0.25">
      <c r="A184" s="200">
        <v>61</v>
      </c>
      <c r="B184" s="190">
        <f t="shared" si="60"/>
        <v>0</v>
      </c>
      <c r="C184" s="196" t="s">
        <v>119</v>
      </c>
      <c r="D184" s="197"/>
    </row>
    <row r="185" spans="1:4" ht="13.5" x14ac:dyDescent="0.25">
      <c r="A185" s="200">
        <v>62</v>
      </c>
      <c r="B185" s="189"/>
      <c r="C185" s="196" t="s">
        <v>117</v>
      </c>
      <c r="D185" s="197"/>
    </row>
    <row r="186" spans="1:4" ht="13.5" x14ac:dyDescent="0.25">
      <c r="A186" s="200">
        <v>62</v>
      </c>
      <c r="B186" s="190">
        <f t="shared" ref="B186:B187" si="61">$B$185</f>
        <v>0</v>
      </c>
      <c r="C186" s="196" t="s">
        <v>118</v>
      </c>
      <c r="D186" s="197"/>
    </row>
    <row r="187" spans="1:4" ht="13.5" x14ac:dyDescent="0.25">
      <c r="A187" s="200">
        <v>62</v>
      </c>
      <c r="B187" s="190">
        <f t="shared" si="61"/>
        <v>0</v>
      </c>
      <c r="C187" s="196" t="s">
        <v>119</v>
      </c>
      <c r="D187" s="197"/>
    </row>
    <row r="188" spans="1:4" ht="13.5" x14ac:dyDescent="0.25">
      <c r="A188" s="200">
        <v>63</v>
      </c>
      <c r="B188" s="189"/>
      <c r="C188" s="196" t="s">
        <v>117</v>
      </c>
      <c r="D188" s="197"/>
    </row>
    <row r="189" spans="1:4" ht="13.5" x14ac:dyDescent="0.25">
      <c r="A189" s="200">
        <v>63</v>
      </c>
      <c r="B189" s="190">
        <f t="shared" ref="B189:B190" si="62">$B$188</f>
        <v>0</v>
      </c>
      <c r="C189" s="196" t="s">
        <v>118</v>
      </c>
      <c r="D189" s="197"/>
    </row>
    <row r="190" spans="1:4" ht="13.5" x14ac:dyDescent="0.25">
      <c r="A190" s="200">
        <v>63</v>
      </c>
      <c r="B190" s="190">
        <f t="shared" si="62"/>
        <v>0</v>
      </c>
      <c r="C190" s="196" t="s">
        <v>119</v>
      </c>
      <c r="D190" s="197"/>
    </row>
    <row r="191" spans="1:4" ht="13.5" x14ac:dyDescent="0.25">
      <c r="A191" s="200">
        <v>64</v>
      </c>
      <c r="B191" s="189"/>
      <c r="C191" s="196" t="s">
        <v>117</v>
      </c>
      <c r="D191" s="197"/>
    </row>
    <row r="192" spans="1:4" ht="13.5" x14ac:dyDescent="0.25">
      <c r="A192" s="200">
        <v>64</v>
      </c>
      <c r="B192" s="190">
        <f t="shared" ref="B192:B193" si="63">$B$191</f>
        <v>0</v>
      </c>
      <c r="C192" s="196" t="s">
        <v>118</v>
      </c>
      <c r="D192" s="197"/>
    </row>
    <row r="193" spans="1:4" ht="13.5" x14ac:dyDescent="0.25">
      <c r="A193" s="200">
        <v>64</v>
      </c>
      <c r="B193" s="190">
        <f t="shared" si="63"/>
        <v>0</v>
      </c>
      <c r="C193" s="196" t="s">
        <v>119</v>
      </c>
      <c r="D193" s="197"/>
    </row>
    <row r="194" spans="1:4" ht="13.5" x14ac:dyDescent="0.25">
      <c r="A194" s="200">
        <v>65</v>
      </c>
      <c r="B194" s="189"/>
      <c r="C194" s="196" t="s">
        <v>117</v>
      </c>
      <c r="D194" s="197"/>
    </row>
    <row r="195" spans="1:4" ht="13.5" x14ac:dyDescent="0.25">
      <c r="A195" s="200">
        <v>65</v>
      </c>
      <c r="B195" s="190">
        <f t="shared" ref="B195:B196" si="64">$B$194</f>
        <v>0</v>
      </c>
      <c r="C195" s="196" t="s">
        <v>118</v>
      </c>
      <c r="D195" s="197"/>
    </row>
    <row r="196" spans="1:4" ht="13.5" x14ac:dyDescent="0.25">
      <c r="A196" s="200">
        <v>65</v>
      </c>
      <c r="B196" s="190">
        <f t="shared" si="64"/>
        <v>0</v>
      </c>
      <c r="C196" s="196" t="s">
        <v>119</v>
      </c>
      <c r="D196" s="197"/>
    </row>
    <row r="197" spans="1:4" ht="13.5" x14ac:dyDescent="0.25">
      <c r="A197" s="200">
        <v>66</v>
      </c>
      <c r="B197" s="189"/>
      <c r="C197" s="196" t="s">
        <v>117</v>
      </c>
      <c r="D197" s="197"/>
    </row>
    <row r="198" spans="1:4" ht="13.5" x14ac:dyDescent="0.25">
      <c r="A198" s="200">
        <v>66</v>
      </c>
      <c r="B198" s="190">
        <f t="shared" ref="B198:B199" si="65">$B$197</f>
        <v>0</v>
      </c>
      <c r="C198" s="196" t="s">
        <v>118</v>
      </c>
      <c r="D198" s="197"/>
    </row>
    <row r="199" spans="1:4" ht="13.5" x14ac:dyDescent="0.25">
      <c r="A199" s="200">
        <v>66</v>
      </c>
      <c r="B199" s="190">
        <f t="shared" si="65"/>
        <v>0</v>
      </c>
      <c r="C199" s="196" t="s">
        <v>119</v>
      </c>
      <c r="D199" s="197"/>
    </row>
    <row r="200" spans="1:4" ht="13.5" x14ac:dyDescent="0.25">
      <c r="A200" s="200">
        <v>67</v>
      </c>
      <c r="B200" s="189"/>
      <c r="C200" s="196" t="s">
        <v>117</v>
      </c>
      <c r="D200" s="197"/>
    </row>
    <row r="201" spans="1:4" ht="13.5" x14ac:dyDescent="0.25">
      <c r="A201" s="200">
        <v>67</v>
      </c>
      <c r="B201" s="190">
        <f t="shared" ref="B201:B202" si="66">$B$200</f>
        <v>0</v>
      </c>
      <c r="C201" s="196" t="s">
        <v>118</v>
      </c>
      <c r="D201" s="197"/>
    </row>
    <row r="202" spans="1:4" ht="13.5" x14ac:dyDescent="0.25">
      <c r="A202" s="200">
        <v>67</v>
      </c>
      <c r="B202" s="190">
        <f t="shared" si="66"/>
        <v>0</v>
      </c>
      <c r="C202" s="196" t="s">
        <v>119</v>
      </c>
      <c r="D202" s="197"/>
    </row>
    <row r="203" spans="1:4" ht="13.5" x14ac:dyDescent="0.25">
      <c r="A203" s="200">
        <v>68</v>
      </c>
      <c r="B203" s="189"/>
      <c r="C203" s="196" t="s">
        <v>117</v>
      </c>
      <c r="D203" s="197"/>
    </row>
    <row r="204" spans="1:4" ht="13.5" x14ac:dyDescent="0.25">
      <c r="A204" s="200">
        <v>68</v>
      </c>
      <c r="B204" s="190">
        <f t="shared" ref="B204:B205" si="67">$B$203</f>
        <v>0</v>
      </c>
      <c r="C204" s="196" t="s">
        <v>118</v>
      </c>
      <c r="D204" s="197"/>
    </row>
    <row r="205" spans="1:4" ht="13.5" x14ac:dyDescent="0.25">
      <c r="A205" s="200">
        <v>68</v>
      </c>
      <c r="B205" s="190">
        <f t="shared" si="67"/>
        <v>0</v>
      </c>
      <c r="C205" s="196" t="s">
        <v>119</v>
      </c>
      <c r="D205" s="197"/>
    </row>
    <row r="206" spans="1:4" ht="13.5" x14ac:dyDescent="0.25">
      <c r="A206" s="200">
        <v>69</v>
      </c>
      <c r="B206" s="189"/>
      <c r="C206" s="196" t="s">
        <v>117</v>
      </c>
      <c r="D206" s="197"/>
    </row>
    <row r="207" spans="1:4" ht="13.5" x14ac:dyDescent="0.25">
      <c r="A207" s="200">
        <v>69</v>
      </c>
      <c r="B207" s="190">
        <f t="shared" ref="B207:B208" si="68">$B$206</f>
        <v>0</v>
      </c>
      <c r="C207" s="196" t="s">
        <v>118</v>
      </c>
      <c r="D207" s="197"/>
    </row>
    <row r="208" spans="1:4" ht="13.5" x14ac:dyDescent="0.25">
      <c r="A208" s="200">
        <v>69</v>
      </c>
      <c r="B208" s="190">
        <f t="shared" si="68"/>
        <v>0</v>
      </c>
      <c r="C208" s="196" t="s">
        <v>119</v>
      </c>
      <c r="D208" s="197"/>
    </row>
    <row r="209" spans="1:4" ht="13.5" x14ac:dyDescent="0.25">
      <c r="A209" s="200">
        <v>70</v>
      </c>
      <c r="B209" s="189"/>
      <c r="C209" s="196" t="s">
        <v>117</v>
      </c>
      <c r="D209" s="197"/>
    </row>
    <row r="210" spans="1:4" ht="13.5" x14ac:dyDescent="0.25">
      <c r="A210" s="200">
        <v>70</v>
      </c>
      <c r="B210" s="190">
        <f t="shared" ref="B210:B211" si="69">$B$209</f>
        <v>0</v>
      </c>
      <c r="C210" s="196" t="s">
        <v>118</v>
      </c>
      <c r="D210" s="197"/>
    </row>
    <row r="211" spans="1:4" ht="13.5" x14ac:dyDescent="0.25">
      <c r="A211" s="200">
        <v>70</v>
      </c>
      <c r="B211" s="190">
        <f t="shared" si="69"/>
        <v>0</v>
      </c>
      <c r="C211" s="196" t="s">
        <v>119</v>
      </c>
      <c r="D211" s="197"/>
    </row>
    <row r="212" spans="1:4" ht="13.5" x14ac:dyDescent="0.25">
      <c r="A212" s="200">
        <v>71</v>
      </c>
      <c r="B212" s="189"/>
      <c r="C212" s="196" t="s">
        <v>117</v>
      </c>
      <c r="D212" s="197"/>
    </row>
    <row r="213" spans="1:4" ht="13.5" x14ac:dyDescent="0.25">
      <c r="A213" s="200">
        <v>71</v>
      </c>
      <c r="B213" s="190">
        <f t="shared" ref="B213:B214" si="70">$B$212</f>
        <v>0</v>
      </c>
      <c r="C213" s="196" t="s">
        <v>118</v>
      </c>
      <c r="D213" s="197"/>
    </row>
    <row r="214" spans="1:4" ht="13.5" x14ac:dyDescent="0.25">
      <c r="A214" s="200">
        <v>71</v>
      </c>
      <c r="B214" s="190">
        <f t="shared" si="70"/>
        <v>0</v>
      </c>
      <c r="C214" s="196" t="s">
        <v>119</v>
      </c>
      <c r="D214" s="197"/>
    </row>
    <row r="215" spans="1:4" ht="13.5" x14ac:dyDescent="0.25">
      <c r="A215" s="200">
        <v>72</v>
      </c>
      <c r="B215" s="189"/>
      <c r="C215" s="196" t="s">
        <v>117</v>
      </c>
      <c r="D215" s="197"/>
    </row>
    <row r="216" spans="1:4" ht="13.5" x14ac:dyDescent="0.25">
      <c r="A216" s="200">
        <v>72</v>
      </c>
      <c r="B216" s="190">
        <f t="shared" ref="B216:B217" si="71">$B$215</f>
        <v>0</v>
      </c>
      <c r="C216" s="196" t="s">
        <v>118</v>
      </c>
      <c r="D216" s="197"/>
    </row>
    <row r="217" spans="1:4" ht="13.5" x14ac:dyDescent="0.25">
      <c r="A217" s="200">
        <v>72</v>
      </c>
      <c r="B217" s="190">
        <f t="shared" si="71"/>
        <v>0</v>
      </c>
      <c r="C217" s="196" t="s">
        <v>119</v>
      </c>
      <c r="D217" s="197"/>
    </row>
    <row r="218" spans="1:4" ht="13.5" x14ac:dyDescent="0.25">
      <c r="A218" s="200">
        <v>73</v>
      </c>
      <c r="B218" s="189"/>
      <c r="C218" s="196" t="s">
        <v>117</v>
      </c>
      <c r="D218" s="197"/>
    </row>
    <row r="219" spans="1:4" ht="13.5" x14ac:dyDescent="0.25">
      <c r="A219" s="200">
        <v>73</v>
      </c>
      <c r="B219" s="190">
        <f t="shared" ref="B219:B220" si="72">$B$218</f>
        <v>0</v>
      </c>
      <c r="C219" s="196" t="s">
        <v>118</v>
      </c>
      <c r="D219" s="197"/>
    </row>
    <row r="220" spans="1:4" ht="13.5" x14ac:dyDescent="0.25">
      <c r="A220" s="200">
        <v>73</v>
      </c>
      <c r="B220" s="190">
        <f t="shared" si="72"/>
        <v>0</v>
      </c>
      <c r="C220" s="196" t="s">
        <v>119</v>
      </c>
      <c r="D220" s="197"/>
    </row>
    <row r="221" spans="1:4" ht="13.5" x14ac:dyDescent="0.25">
      <c r="A221" s="200">
        <v>74</v>
      </c>
      <c r="B221" s="189"/>
      <c r="C221" s="196" t="s">
        <v>117</v>
      </c>
      <c r="D221" s="197"/>
    </row>
    <row r="222" spans="1:4" ht="13.5" x14ac:dyDescent="0.25">
      <c r="A222" s="200">
        <v>74</v>
      </c>
      <c r="B222" s="190">
        <f t="shared" ref="B222:B223" si="73">$B$221</f>
        <v>0</v>
      </c>
      <c r="C222" s="196" t="s">
        <v>118</v>
      </c>
      <c r="D222" s="197"/>
    </row>
    <row r="223" spans="1:4" ht="13.5" x14ac:dyDescent="0.25">
      <c r="A223" s="200">
        <v>74</v>
      </c>
      <c r="B223" s="190">
        <f t="shared" si="73"/>
        <v>0</v>
      </c>
      <c r="C223" s="196" t="s">
        <v>119</v>
      </c>
      <c r="D223" s="197"/>
    </row>
    <row r="224" spans="1:4" ht="13.5" x14ac:dyDescent="0.25">
      <c r="A224" s="200">
        <v>75</v>
      </c>
      <c r="B224" s="189"/>
      <c r="C224" s="196" t="s">
        <v>117</v>
      </c>
      <c r="D224" s="197"/>
    </row>
    <row r="225" spans="1:4" ht="13.5" x14ac:dyDescent="0.25">
      <c r="A225" s="200">
        <v>75</v>
      </c>
      <c r="B225" s="190">
        <f t="shared" ref="B225:B226" si="74">$B$224</f>
        <v>0</v>
      </c>
      <c r="C225" s="196" t="s">
        <v>118</v>
      </c>
      <c r="D225" s="197"/>
    </row>
    <row r="226" spans="1:4" ht="13.5" x14ac:dyDescent="0.25">
      <c r="A226" s="200">
        <v>75</v>
      </c>
      <c r="B226" s="190">
        <f t="shared" si="74"/>
        <v>0</v>
      </c>
      <c r="C226" s="196" t="s">
        <v>119</v>
      </c>
      <c r="D226" s="197"/>
    </row>
    <row r="227" spans="1:4" ht="13.5" x14ac:dyDescent="0.25">
      <c r="A227" s="200">
        <v>76</v>
      </c>
      <c r="B227" s="189"/>
      <c r="C227" s="196" t="s">
        <v>117</v>
      </c>
      <c r="D227" s="197"/>
    </row>
    <row r="228" spans="1:4" ht="13.5" x14ac:dyDescent="0.25">
      <c r="A228" s="200">
        <v>76</v>
      </c>
      <c r="B228" s="190">
        <f t="shared" ref="B228:B229" si="75">$B$227</f>
        <v>0</v>
      </c>
      <c r="C228" s="196" t="s">
        <v>118</v>
      </c>
      <c r="D228" s="197"/>
    </row>
    <row r="229" spans="1:4" ht="13.5" x14ac:dyDescent="0.25">
      <c r="A229" s="200">
        <v>76</v>
      </c>
      <c r="B229" s="190">
        <f t="shared" si="75"/>
        <v>0</v>
      </c>
      <c r="C229" s="196" t="s">
        <v>119</v>
      </c>
      <c r="D229" s="197"/>
    </row>
    <row r="230" spans="1:4" ht="13.5" x14ac:dyDescent="0.25">
      <c r="A230" s="200">
        <v>77</v>
      </c>
      <c r="B230" s="189"/>
      <c r="C230" s="196" t="s">
        <v>117</v>
      </c>
      <c r="D230" s="197"/>
    </row>
    <row r="231" spans="1:4" ht="13.5" x14ac:dyDescent="0.25">
      <c r="A231" s="200">
        <v>77</v>
      </c>
      <c r="B231" s="190">
        <f t="shared" ref="B231:B232" si="76">$B$230</f>
        <v>0</v>
      </c>
      <c r="C231" s="196" t="s">
        <v>118</v>
      </c>
      <c r="D231" s="197"/>
    </row>
    <row r="232" spans="1:4" ht="13.5" x14ac:dyDescent="0.25">
      <c r="A232" s="200">
        <v>77</v>
      </c>
      <c r="B232" s="190">
        <f t="shared" si="76"/>
        <v>0</v>
      </c>
      <c r="C232" s="196" t="s">
        <v>119</v>
      </c>
      <c r="D232" s="197"/>
    </row>
    <row r="233" spans="1:4" ht="13.5" x14ac:dyDescent="0.25">
      <c r="A233" s="200">
        <v>78</v>
      </c>
      <c r="B233" s="189"/>
      <c r="C233" s="196" t="s">
        <v>117</v>
      </c>
      <c r="D233" s="197"/>
    </row>
    <row r="234" spans="1:4" ht="13.5" x14ac:dyDescent="0.25">
      <c r="A234" s="200">
        <v>78</v>
      </c>
      <c r="B234" s="190">
        <f t="shared" ref="B234:B235" si="77">$B$233</f>
        <v>0</v>
      </c>
      <c r="C234" s="196" t="s">
        <v>118</v>
      </c>
      <c r="D234" s="197"/>
    </row>
    <row r="235" spans="1:4" ht="13.5" x14ac:dyDescent="0.25">
      <c r="A235" s="200">
        <v>78</v>
      </c>
      <c r="B235" s="190">
        <f t="shared" si="77"/>
        <v>0</v>
      </c>
      <c r="C235" s="196" t="s">
        <v>119</v>
      </c>
      <c r="D235" s="197"/>
    </row>
    <row r="236" spans="1:4" ht="13.5" x14ac:dyDescent="0.25">
      <c r="A236" s="200">
        <v>79</v>
      </c>
      <c r="B236" s="189"/>
      <c r="C236" s="196" t="s">
        <v>117</v>
      </c>
      <c r="D236" s="197"/>
    </row>
    <row r="237" spans="1:4" ht="13.5" x14ac:dyDescent="0.25">
      <c r="A237" s="200">
        <v>79</v>
      </c>
      <c r="B237" s="190">
        <f t="shared" ref="B237:B238" si="78">$B$236</f>
        <v>0</v>
      </c>
      <c r="C237" s="196" t="s">
        <v>118</v>
      </c>
      <c r="D237" s="197"/>
    </row>
    <row r="238" spans="1:4" ht="13.5" x14ac:dyDescent="0.25">
      <c r="A238" s="200">
        <v>79</v>
      </c>
      <c r="B238" s="190">
        <f t="shared" si="78"/>
        <v>0</v>
      </c>
      <c r="C238" s="196" t="s">
        <v>119</v>
      </c>
      <c r="D238" s="197"/>
    </row>
    <row r="239" spans="1:4" ht="13.5" x14ac:dyDescent="0.25">
      <c r="A239" s="200">
        <v>80</v>
      </c>
      <c r="B239" s="189"/>
      <c r="C239" s="196" t="s">
        <v>117</v>
      </c>
      <c r="D239" s="197"/>
    </row>
    <row r="240" spans="1:4" ht="13.5" x14ac:dyDescent="0.25">
      <c r="A240" s="200">
        <v>80</v>
      </c>
      <c r="B240" s="190">
        <f t="shared" ref="B240:B241" si="79">$B$239</f>
        <v>0</v>
      </c>
      <c r="C240" s="196" t="s">
        <v>118</v>
      </c>
      <c r="D240" s="197"/>
    </row>
    <row r="241" spans="1:4" ht="13.5" x14ac:dyDescent="0.25">
      <c r="A241" s="200">
        <v>80</v>
      </c>
      <c r="B241" s="190">
        <f t="shared" si="79"/>
        <v>0</v>
      </c>
      <c r="C241" s="196" t="s">
        <v>119</v>
      </c>
      <c r="D241" s="197"/>
    </row>
    <row r="242" spans="1:4" ht="13.5" x14ac:dyDescent="0.25">
      <c r="A242" s="200">
        <v>81</v>
      </c>
      <c r="B242" s="189"/>
      <c r="C242" s="196" t="s">
        <v>117</v>
      </c>
      <c r="D242" s="197"/>
    </row>
    <row r="243" spans="1:4" ht="13.5" x14ac:dyDescent="0.25">
      <c r="A243" s="200">
        <v>81</v>
      </c>
      <c r="B243" s="190">
        <f t="shared" ref="B243:B244" si="80">$B$242</f>
        <v>0</v>
      </c>
      <c r="C243" s="196" t="s">
        <v>118</v>
      </c>
      <c r="D243" s="197"/>
    </row>
    <row r="244" spans="1:4" ht="13.5" x14ac:dyDescent="0.25">
      <c r="A244" s="200">
        <v>81</v>
      </c>
      <c r="B244" s="190">
        <f t="shared" si="80"/>
        <v>0</v>
      </c>
      <c r="C244" s="196" t="s">
        <v>119</v>
      </c>
      <c r="D244" s="197"/>
    </row>
    <row r="245" spans="1:4" ht="13.5" x14ac:dyDescent="0.25">
      <c r="A245" s="200">
        <v>82</v>
      </c>
      <c r="B245" s="189"/>
      <c r="C245" s="196" t="s">
        <v>117</v>
      </c>
      <c r="D245" s="197"/>
    </row>
    <row r="246" spans="1:4" ht="13.5" x14ac:dyDescent="0.25">
      <c r="A246" s="200">
        <v>82</v>
      </c>
      <c r="B246" s="190">
        <f t="shared" ref="B246:B247" si="81">$B$245</f>
        <v>0</v>
      </c>
      <c r="C246" s="196" t="s">
        <v>118</v>
      </c>
      <c r="D246" s="197"/>
    </row>
    <row r="247" spans="1:4" ht="13.5" x14ac:dyDescent="0.25">
      <c r="A247" s="200">
        <v>82</v>
      </c>
      <c r="B247" s="190">
        <f t="shared" si="81"/>
        <v>0</v>
      </c>
      <c r="C247" s="196" t="s">
        <v>119</v>
      </c>
      <c r="D247" s="197"/>
    </row>
    <row r="248" spans="1:4" ht="13.5" x14ac:dyDescent="0.25">
      <c r="A248" s="200">
        <v>83</v>
      </c>
      <c r="B248" s="189"/>
      <c r="C248" s="196" t="s">
        <v>117</v>
      </c>
      <c r="D248" s="197"/>
    </row>
    <row r="249" spans="1:4" ht="13.5" x14ac:dyDescent="0.25">
      <c r="A249" s="200">
        <v>83</v>
      </c>
      <c r="B249" s="190">
        <f t="shared" ref="B249:B250" si="82">$B$248</f>
        <v>0</v>
      </c>
      <c r="C249" s="196" t="s">
        <v>118</v>
      </c>
      <c r="D249" s="197"/>
    </row>
    <row r="250" spans="1:4" ht="13.5" x14ac:dyDescent="0.25">
      <c r="A250" s="200">
        <v>83</v>
      </c>
      <c r="B250" s="190">
        <f t="shared" si="82"/>
        <v>0</v>
      </c>
      <c r="C250" s="196" t="s">
        <v>119</v>
      </c>
      <c r="D250" s="197"/>
    </row>
    <row r="251" spans="1:4" ht="13.5" x14ac:dyDescent="0.25">
      <c r="A251" s="200">
        <v>84</v>
      </c>
      <c r="B251" s="189"/>
      <c r="C251" s="196" t="s">
        <v>117</v>
      </c>
      <c r="D251" s="197"/>
    </row>
    <row r="252" spans="1:4" ht="13.5" x14ac:dyDescent="0.25">
      <c r="A252" s="200">
        <v>84</v>
      </c>
      <c r="B252" s="190">
        <f t="shared" ref="B252:B253" si="83">$B$251</f>
        <v>0</v>
      </c>
      <c r="C252" s="196" t="s">
        <v>118</v>
      </c>
      <c r="D252" s="197"/>
    </row>
    <row r="253" spans="1:4" ht="13.5" x14ac:dyDescent="0.25">
      <c r="A253" s="200">
        <v>84</v>
      </c>
      <c r="B253" s="190">
        <f t="shared" si="83"/>
        <v>0</v>
      </c>
      <c r="C253" s="196" t="s">
        <v>119</v>
      </c>
      <c r="D253" s="197"/>
    </row>
    <row r="254" spans="1:4" ht="13.5" x14ac:dyDescent="0.25">
      <c r="A254" s="200">
        <v>85</v>
      </c>
      <c r="B254" s="189"/>
      <c r="C254" s="196" t="s">
        <v>117</v>
      </c>
      <c r="D254" s="197"/>
    </row>
    <row r="255" spans="1:4" ht="13.5" x14ac:dyDescent="0.25">
      <c r="A255" s="200">
        <v>85</v>
      </c>
      <c r="B255" s="190">
        <f t="shared" ref="B255:B256" si="84">$B$254</f>
        <v>0</v>
      </c>
      <c r="C255" s="196" t="s">
        <v>118</v>
      </c>
      <c r="D255" s="197"/>
    </row>
    <row r="256" spans="1:4" ht="13.5" x14ac:dyDescent="0.25">
      <c r="A256" s="200">
        <v>85</v>
      </c>
      <c r="B256" s="190">
        <f t="shared" si="84"/>
        <v>0</v>
      </c>
      <c r="C256" s="196" t="s">
        <v>119</v>
      </c>
      <c r="D256" s="197"/>
    </row>
    <row r="257" spans="1:4" ht="13.5" x14ac:dyDescent="0.25">
      <c r="A257" s="200">
        <v>86</v>
      </c>
      <c r="B257" s="189"/>
      <c r="C257" s="196" t="s">
        <v>117</v>
      </c>
      <c r="D257" s="197"/>
    </row>
    <row r="258" spans="1:4" ht="13.5" x14ac:dyDescent="0.25">
      <c r="A258" s="200">
        <v>86</v>
      </c>
      <c r="B258" s="190">
        <f t="shared" ref="B258:B259" si="85">$B$257</f>
        <v>0</v>
      </c>
      <c r="C258" s="196" t="s">
        <v>118</v>
      </c>
      <c r="D258" s="197"/>
    </row>
    <row r="259" spans="1:4" ht="13.5" x14ac:dyDescent="0.25">
      <c r="A259" s="200">
        <v>86</v>
      </c>
      <c r="B259" s="190">
        <f t="shared" si="85"/>
        <v>0</v>
      </c>
      <c r="C259" s="196" t="s">
        <v>119</v>
      </c>
      <c r="D259" s="197"/>
    </row>
    <row r="260" spans="1:4" ht="13.5" x14ac:dyDescent="0.25">
      <c r="A260" s="200">
        <v>87</v>
      </c>
      <c r="B260" s="189"/>
      <c r="C260" s="196" t="s">
        <v>117</v>
      </c>
      <c r="D260" s="197"/>
    </row>
    <row r="261" spans="1:4" ht="13.5" x14ac:dyDescent="0.25">
      <c r="A261" s="200">
        <v>87</v>
      </c>
      <c r="B261" s="190">
        <f t="shared" ref="B261:B262" si="86">$B$260</f>
        <v>0</v>
      </c>
      <c r="C261" s="196" t="s">
        <v>118</v>
      </c>
      <c r="D261" s="197"/>
    </row>
    <row r="262" spans="1:4" ht="13.5" x14ac:dyDescent="0.25">
      <c r="A262" s="200">
        <v>87</v>
      </c>
      <c r="B262" s="190">
        <f t="shared" si="86"/>
        <v>0</v>
      </c>
      <c r="C262" s="196" t="s">
        <v>119</v>
      </c>
      <c r="D262" s="197"/>
    </row>
    <row r="263" spans="1:4" ht="13.5" x14ac:dyDescent="0.25">
      <c r="A263" s="200">
        <v>88</v>
      </c>
      <c r="B263" s="189"/>
      <c r="C263" s="196" t="s">
        <v>117</v>
      </c>
      <c r="D263" s="197"/>
    </row>
    <row r="264" spans="1:4" ht="13.5" x14ac:dyDescent="0.25">
      <c r="A264" s="200">
        <v>88</v>
      </c>
      <c r="B264" s="190">
        <f t="shared" ref="B264:B265" si="87">$B$263</f>
        <v>0</v>
      </c>
      <c r="C264" s="196" t="s">
        <v>118</v>
      </c>
      <c r="D264" s="197"/>
    </row>
    <row r="265" spans="1:4" ht="13.5" x14ac:dyDescent="0.25">
      <c r="A265" s="200">
        <v>88</v>
      </c>
      <c r="B265" s="190">
        <f t="shared" si="87"/>
        <v>0</v>
      </c>
      <c r="C265" s="196" t="s">
        <v>119</v>
      </c>
      <c r="D265" s="197"/>
    </row>
    <row r="266" spans="1:4" ht="13.5" x14ac:dyDescent="0.25">
      <c r="A266" s="200">
        <v>89</v>
      </c>
      <c r="B266" s="189"/>
      <c r="C266" s="196" t="s">
        <v>117</v>
      </c>
      <c r="D266" s="197"/>
    </row>
    <row r="267" spans="1:4" ht="13.5" x14ac:dyDescent="0.25">
      <c r="A267" s="200">
        <v>89</v>
      </c>
      <c r="B267" s="190">
        <f t="shared" ref="B267:B268" si="88">$B$266</f>
        <v>0</v>
      </c>
      <c r="C267" s="196" t="s">
        <v>118</v>
      </c>
      <c r="D267" s="197"/>
    </row>
    <row r="268" spans="1:4" ht="13.5" x14ac:dyDescent="0.25">
      <c r="A268" s="200">
        <v>89</v>
      </c>
      <c r="B268" s="190">
        <f t="shared" si="88"/>
        <v>0</v>
      </c>
      <c r="C268" s="196" t="s">
        <v>119</v>
      </c>
      <c r="D268" s="197"/>
    </row>
    <row r="269" spans="1:4" ht="13.5" x14ac:dyDescent="0.25">
      <c r="A269" s="200">
        <v>90</v>
      </c>
      <c r="B269" s="189"/>
      <c r="C269" s="196" t="s">
        <v>117</v>
      </c>
      <c r="D269" s="197"/>
    </row>
    <row r="270" spans="1:4" ht="13.5" x14ac:dyDescent="0.25">
      <c r="A270" s="200">
        <v>90</v>
      </c>
      <c r="B270" s="190">
        <f t="shared" ref="B270:B271" si="89">$B$269</f>
        <v>0</v>
      </c>
      <c r="C270" s="196" t="s">
        <v>118</v>
      </c>
      <c r="D270" s="197"/>
    </row>
    <row r="271" spans="1:4" ht="13.5" x14ac:dyDescent="0.25">
      <c r="A271" s="200">
        <v>90</v>
      </c>
      <c r="B271" s="190">
        <f t="shared" si="89"/>
        <v>0</v>
      </c>
      <c r="C271" s="196" t="s">
        <v>119</v>
      </c>
      <c r="D271" s="197"/>
    </row>
    <row r="272" spans="1:4" ht="13.5" x14ac:dyDescent="0.25">
      <c r="A272" s="200">
        <v>91</v>
      </c>
      <c r="B272" s="189"/>
      <c r="C272" s="196" t="s">
        <v>117</v>
      </c>
      <c r="D272" s="197"/>
    </row>
    <row r="273" spans="1:4" ht="13.5" x14ac:dyDescent="0.25">
      <c r="A273" s="200">
        <v>91</v>
      </c>
      <c r="B273" s="190">
        <f t="shared" ref="B273:B274" si="90">$B$272</f>
        <v>0</v>
      </c>
      <c r="C273" s="196" t="s">
        <v>118</v>
      </c>
      <c r="D273" s="197"/>
    </row>
    <row r="274" spans="1:4" ht="13.5" x14ac:dyDescent="0.25">
      <c r="A274" s="200">
        <v>91</v>
      </c>
      <c r="B274" s="190">
        <f t="shared" si="90"/>
        <v>0</v>
      </c>
      <c r="C274" s="196" t="s">
        <v>119</v>
      </c>
      <c r="D274" s="197"/>
    </row>
    <row r="275" spans="1:4" ht="13.5" x14ac:dyDescent="0.25">
      <c r="A275" s="200">
        <v>92</v>
      </c>
      <c r="B275" s="189"/>
      <c r="C275" s="196" t="s">
        <v>117</v>
      </c>
      <c r="D275" s="197"/>
    </row>
    <row r="276" spans="1:4" ht="13.5" x14ac:dyDescent="0.25">
      <c r="A276" s="200">
        <v>92</v>
      </c>
      <c r="B276" s="190">
        <f t="shared" ref="B276:B277" si="91">$B$275</f>
        <v>0</v>
      </c>
      <c r="C276" s="196" t="s">
        <v>118</v>
      </c>
      <c r="D276" s="197"/>
    </row>
    <row r="277" spans="1:4" ht="13.5" x14ac:dyDescent="0.25">
      <c r="A277" s="200">
        <v>92</v>
      </c>
      <c r="B277" s="190">
        <f t="shared" si="91"/>
        <v>0</v>
      </c>
      <c r="C277" s="196" t="s">
        <v>119</v>
      </c>
      <c r="D277" s="197"/>
    </row>
    <row r="278" spans="1:4" ht="13.5" x14ac:dyDescent="0.25">
      <c r="A278" s="200">
        <v>93</v>
      </c>
      <c r="B278" s="189"/>
      <c r="C278" s="196" t="s">
        <v>117</v>
      </c>
      <c r="D278" s="197"/>
    </row>
    <row r="279" spans="1:4" ht="13.5" x14ac:dyDescent="0.25">
      <c r="A279" s="200">
        <v>93</v>
      </c>
      <c r="B279" s="190">
        <f t="shared" ref="B279:B280" si="92">$B$278</f>
        <v>0</v>
      </c>
      <c r="C279" s="196" t="s">
        <v>118</v>
      </c>
      <c r="D279" s="197"/>
    </row>
    <row r="280" spans="1:4" ht="13.5" x14ac:dyDescent="0.25">
      <c r="A280" s="200">
        <v>93</v>
      </c>
      <c r="B280" s="190">
        <f t="shared" si="92"/>
        <v>0</v>
      </c>
      <c r="C280" s="196" t="s">
        <v>119</v>
      </c>
      <c r="D280" s="197"/>
    </row>
    <row r="281" spans="1:4" ht="13.5" x14ac:dyDescent="0.25">
      <c r="A281" s="200">
        <v>94</v>
      </c>
      <c r="B281" s="189"/>
      <c r="C281" s="196" t="s">
        <v>117</v>
      </c>
      <c r="D281" s="197"/>
    </row>
    <row r="282" spans="1:4" ht="13.5" x14ac:dyDescent="0.25">
      <c r="A282" s="200">
        <v>94</v>
      </c>
      <c r="B282" s="190">
        <f t="shared" ref="B282:B283" si="93">$B$281</f>
        <v>0</v>
      </c>
      <c r="C282" s="196" t="s">
        <v>118</v>
      </c>
      <c r="D282" s="197"/>
    </row>
    <row r="283" spans="1:4" ht="13.5" x14ac:dyDescent="0.25">
      <c r="A283" s="200">
        <v>94</v>
      </c>
      <c r="B283" s="190">
        <f t="shared" si="93"/>
        <v>0</v>
      </c>
      <c r="C283" s="196" t="s">
        <v>119</v>
      </c>
      <c r="D283" s="197"/>
    </row>
    <row r="284" spans="1:4" ht="13.5" x14ac:dyDescent="0.25">
      <c r="A284" s="200">
        <v>95</v>
      </c>
      <c r="B284" s="189"/>
      <c r="C284" s="196" t="s">
        <v>117</v>
      </c>
      <c r="D284" s="197"/>
    </row>
    <row r="285" spans="1:4" ht="13.5" x14ac:dyDescent="0.25">
      <c r="A285" s="200">
        <v>95</v>
      </c>
      <c r="B285" s="190">
        <f t="shared" ref="B285:B286" si="94">$B$284</f>
        <v>0</v>
      </c>
      <c r="C285" s="196" t="s">
        <v>118</v>
      </c>
      <c r="D285" s="197"/>
    </row>
    <row r="286" spans="1:4" ht="13.5" x14ac:dyDescent="0.25">
      <c r="A286" s="200">
        <v>95</v>
      </c>
      <c r="B286" s="190">
        <f t="shared" si="94"/>
        <v>0</v>
      </c>
      <c r="C286" s="196" t="s">
        <v>119</v>
      </c>
      <c r="D286" s="197"/>
    </row>
    <row r="287" spans="1:4" ht="13.5" x14ac:dyDescent="0.25">
      <c r="A287" s="200">
        <v>96</v>
      </c>
      <c r="B287" s="189"/>
      <c r="C287" s="196" t="s">
        <v>117</v>
      </c>
      <c r="D287" s="197"/>
    </row>
    <row r="288" spans="1:4" ht="13.5" x14ac:dyDescent="0.25">
      <c r="A288" s="200">
        <v>96</v>
      </c>
      <c r="B288" s="190">
        <f t="shared" ref="B288:B289" si="95">$B$287</f>
        <v>0</v>
      </c>
      <c r="C288" s="196" t="s">
        <v>118</v>
      </c>
      <c r="D288" s="197"/>
    </row>
    <row r="289" spans="1:4" ht="13.5" x14ac:dyDescent="0.25">
      <c r="A289" s="200">
        <v>96</v>
      </c>
      <c r="B289" s="190">
        <f t="shared" si="95"/>
        <v>0</v>
      </c>
      <c r="C289" s="196" t="s">
        <v>119</v>
      </c>
      <c r="D289" s="197"/>
    </row>
    <row r="290" spans="1:4" ht="13.5" x14ac:dyDescent="0.25">
      <c r="A290" s="200">
        <v>97</v>
      </c>
      <c r="B290" s="189"/>
      <c r="C290" s="196" t="s">
        <v>117</v>
      </c>
      <c r="D290" s="197"/>
    </row>
    <row r="291" spans="1:4" ht="13.5" x14ac:dyDescent="0.25">
      <c r="A291" s="200">
        <v>97</v>
      </c>
      <c r="B291" s="190">
        <f t="shared" ref="B291:B292" si="96">$B$290</f>
        <v>0</v>
      </c>
      <c r="C291" s="196" t="s">
        <v>118</v>
      </c>
      <c r="D291" s="197"/>
    </row>
    <row r="292" spans="1:4" ht="13.5" x14ac:dyDescent="0.25">
      <c r="A292" s="200">
        <v>97</v>
      </c>
      <c r="B292" s="190">
        <f t="shared" si="96"/>
        <v>0</v>
      </c>
      <c r="C292" s="196" t="s">
        <v>119</v>
      </c>
      <c r="D292" s="197"/>
    </row>
    <row r="293" spans="1:4" ht="13.5" x14ac:dyDescent="0.25">
      <c r="A293" s="200">
        <v>98</v>
      </c>
      <c r="B293" s="189"/>
      <c r="C293" s="196" t="s">
        <v>117</v>
      </c>
      <c r="D293" s="197"/>
    </row>
    <row r="294" spans="1:4" ht="13.5" x14ac:dyDescent="0.25">
      <c r="A294" s="200">
        <v>98</v>
      </c>
      <c r="B294" s="190">
        <f t="shared" ref="B294:B295" si="97">$B$293</f>
        <v>0</v>
      </c>
      <c r="C294" s="196" t="s">
        <v>118</v>
      </c>
      <c r="D294" s="197"/>
    </row>
    <row r="295" spans="1:4" ht="13.5" x14ac:dyDescent="0.25">
      <c r="A295" s="200">
        <v>98</v>
      </c>
      <c r="B295" s="190">
        <f t="shared" si="97"/>
        <v>0</v>
      </c>
      <c r="C295" s="196" t="s">
        <v>119</v>
      </c>
      <c r="D295" s="197"/>
    </row>
    <row r="296" spans="1:4" ht="13.5" x14ac:dyDescent="0.25">
      <c r="A296" s="200">
        <v>99</v>
      </c>
      <c r="B296" s="189"/>
      <c r="C296" s="196" t="s">
        <v>117</v>
      </c>
      <c r="D296" s="197"/>
    </row>
    <row r="297" spans="1:4" ht="13.5" x14ac:dyDescent="0.25">
      <c r="A297" s="200">
        <v>99</v>
      </c>
      <c r="B297" s="190">
        <f t="shared" ref="B297:B298" si="98">$B$296</f>
        <v>0</v>
      </c>
      <c r="C297" s="196" t="s">
        <v>118</v>
      </c>
      <c r="D297" s="197"/>
    </row>
    <row r="298" spans="1:4" ht="13.5" x14ac:dyDescent="0.25">
      <c r="A298" s="200">
        <v>99</v>
      </c>
      <c r="B298" s="190">
        <f t="shared" si="98"/>
        <v>0</v>
      </c>
      <c r="C298" s="196" t="s">
        <v>119</v>
      </c>
      <c r="D298" s="197"/>
    </row>
    <row r="299" spans="1:4" ht="13.5" x14ac:dyDescent="0.25">
      <c r="A299" s="200">
        <v>100</v>
      </c>
      <c r="B299" s="189"/>
      <c r="C299" s="196" t="s">
        <v>117</v>
      </c>
      <c r="D299" s="197"/>
    </row>
    <row r="300" spans="1:4" ht="13.5" x14ac:dyDescent="0.25">
      <c r="A300" s="200">
        <v>100</v>
      </c>
      <c r="B300" s="190">
        <f t="shared" ref="B300:B301" si="99">$B$299</f>
        <v>0</v>
      </c>
      <c r="C300" s="196" t="s">
        <v>118</v>
      </c>
      <c r="D300" s="197"/>
    </row>
    <row r="301" spans="1:4" ht="13.5" x14ac:dyDescent="0.25">
      <c r="A301" s="200">
        <v>100</v>
      </c>
      <c r="B301" s="190">
        <f t="shared" si="99"/>
        <v>0</v>
      </c>
      <c r="C301" s="196" t="s">
        <v>119</v>
      </c>
      <c r="D301" s="197"/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0"/>
  <sheetViews>
    <sheetView windowProtection="1" showGridLines="0" topLeftCell="A4" zoomScale="98" zoomScaleNormal="98" workbookViewId="0">
      <selection activeCell="F33" sqref="F33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12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241</v>
      </c>
      <c r="C5" s="13" t="s">
        <v>242</v>
      </c>
      <c r="D5" s="13" t="s">
        <v>243</v>
      </c>
      <c r="E5" s="13" t="s">
        <v>244</v>
      </c>
      <c r="F5" s="13" t="s">
        <v>245</v>
      </c>
      <c r="G5" s="13" t="s">
        <v>246</v>
      </c>
      <c r="H5" s="13" t="s">
        <v>247</v>
      </c>
      <c r="I5" s="13" t="s">
        <v>248</v>
      </c>
      <c r="J5" s="13" t="s">
        <v>249</v>
      </c>
      <c r="K5" s="13" t="s">
        <v>250</v>
      </c>
      <c r="L5" s="13" t="s">
        <v>251</v>
      </c>
      <c r="M5" s="13" t="s">
        <v>252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1235</v>
      </c>
      <c r="C6" s="16">
        <v>145</v>
      </c>
      <c r="D6" s="16">
        <v>129876</v>
      </c>
      <c r="E6" s="16">
        <v>2987</v>
      </c>
      <c r="F6" s="16">
        <v>5297</v>
      </c>
      <c r="G6" s="16">
        <v>127496</v>
      </c>
      <c r="H6" s="16">
        <v>17429</v>
      </c>
      <c r="I6" s="16">
        <v>179</v>
      </c>
      <c r="J6" s="16">
        <v>4176</v>
      </c>
      <c r="K6" s="16">
        <v>1728</v>
      </c>
      <c r="L6" s="16">
        <v>156</v>
      </c>
      <c r="M6" s="16">
        <v>147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18</v>
      </c>
      <c r="C7" s="16">
        <v>179</v>
      </c>
      <c r="D7" s="16">
        <v>1297</v>
      </c>
      <c r="E7" s="16">
        <v>2185</v>
      </c>
      <c r="F7" s="16">
        <v>217</v>
      </c>
      <c r="G7" s="16">
        <v>1742</v>
      </c>
      <c r="H7" s="16">
        <v>76</v>
      </c>
      <c r="I7" s="16">
        <v>17529</v>
      </c>
      <c r="J7" s="16">
        <v>47126</v>
      </c>
      <c r="K7" s="16">
        <v>1726</v>
      </c>
      <c r="L7" s="16">
        <v>158</v>
      </c>
      <c r="M7" s="16">
        <v>169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15263</v>
      </c>
      <c r="C8" s="19">
        <v>12543</v>
      </c>
      <c r="D8" s="19">
        <v>2163</v>
      </c>
      <c r="E8" s="19">
        <v>2196</v>
      </c>
      <c r="F8" s="19">
        <v>217496</v>
      </c>
      <c r="G8" s="19">
        <v>41297</v>
      </c>
      <c r="H8" s="16">
        <v>24961</v>
      </c>
      <c r="I8" s="16">
        <v>17952</v>
      </c>
      <c r="J8" s="16">
        <v>1728</v>
      </c>
      <c r="K8" s="16">
        <v>1296</v>
      </c>
      <c r="L8" s="16">
        <v>152</v>
      </c>
      <c r="M8" s="16">
        <v>142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16516</v>
      </c>
      <c r="C9" s="20">
        <v>12867</v>
      </c>
      <c r="D9" s="20">
        <v>133336</v>
      </c>
      <c r="E9" s="20">
        <v>7368</v>
      </c>
      <c r="F9" s="20">
        <v>223010</v>
      </c>
      <c r="G9" s="20">
        <v>170535</v>
      </c>
      <c r="H9" s="21">
        <v>42466</v>
      </c>
      <c r="I9" s="22">
        <v>35660</v>
      </c>
      <c r="J9" s="22">
        <v>53030</v>
      </c>
      <c r="K9" s="22">
        <v>4750</v>
      </c>
      <c r="L9" s="22">
        <v>466</v>
      </c>
      <c r="M9" s="22">
        <v>458</v>
      </c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8.7454095385095021E-2</v>
      </c>
      <c r="C10" s="25">
        <v>1.1691991465723263E-2</v>
      </c>
      <c r="D10" s="25">
        <v>2313.8953252146625</v>
      </c>
      <c r="E10" s="25">
        <v>2.2875955909958927</v>
      </c>
      <c r="F10" s="25">
        <v>2.4947019941252618E-2</v>
      </c>
      <c r="G10" s="25">
        <v>12.232899546140963</v>
      </c>
      <c r="H10" s="25">
        <v>1.1843213424685128</v>
      </c>
      <c r="I10" s="25">
        <v>1.0021337271671751E-2</v>
      </c>
      <c r="J10" s="25">
        <v>2.6232413586059145</v>
      </c>
      <c r="K10" s="25">
        <v>2.0957423339951471</v>
      </c>
      <c r="L10" s="25">
        <v>1.5427843803056027</v>
      </c>
      <c r="M10" s="25">
        <v>1.5245233458629592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7.477597481230322E-2</v>
      </c>
      <c r="C11" s="26">
        <v>1.1269138105230435E-2</v>
      </c>
      <c r="D11" s="26">
        <v>0.97405051898962025</v>
      </c>
      <c r="E11" s="26">
        <v>0.40540173724212814</v>
      </c>
      <c r="F11" s="26">
        <v>2.375229810322407E-2</v>
      </c>
      <c r="G11" s="26">
        <v>0.74762365496818839</v>
      </c>
      <c r="H11" s="26">
        <v>0.41042245561154805</v>
      </c>
      <c r="I11" s="26">
        <v>5.0196298373527759E-3</v>
      </c>
      <c r="J11" s="26">
        <v>7.8747878559306053E-2</v>
      </c>
      <c r="K11" s="26">
        <v>0.36378947368421055</v>
      </c>
      <c r="L11" s="26">
        <v>0.33476394849785407</v>
      </c>
      <c r="M11" s="26">
        <v>0.32096069868995636</v>
      </c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1.0898522644708162E-3</v>
      </c>
      <c r="C12" s="26">
        <v>1.3911556695422399E-2</v>
      </c>
      <c r="D12" s="26">
        <v>9.7273054538909217E-3</v>
      </c>
      <c r="E12" s="26">
        <v>0.29655266015200871</v>
      </c>
      <c r="F12" s="26">
        <v>9.7305053585041031E-4</v>
      </c>
      <c r="G12" s="26">
        <v>1.0214911894918931E-2</v>
      </c>
      <c r="H12" s="26">
        <v>1.7896670277398388E-3</v>
      </c>
      <c r="I12" s="26">
        <v>0.49155916993830623</v>
      </c>
      <c r="J12" s="26">
        <v>0.88866679238167079</v>
      </c>
      <c r="K12" s="26">
        <v>0.36336842105263156</v>
      </c>
      <c r="L12" s="26">
        <v>0.33905579399141633</v>
      </c>
      <c r="M12" s="26">
        <v>0.36899563318777295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0.92413417292322597</v>
      </c>
      <c r="C13" s="26">
        <v>0.97481930519934712</v>
      </c>
      <c r="D13" s="26">
        <v>1.6222175556488871E-2</v>
      </c>
      <c r="E13" s="26">
        <v>0.29804560260586321</v>
      </c>
      <c r="F13" s="26">
        <v>0.9752746513609255</v>
      </c>
      <c r="G13" s="26">
        <v>0.24216143313689273</v>
      </c>
      <c r="H13" s="26">
        <v>0.58778787736071214</v>
      </c>
      <c r="I13" s="26">
        <v>0.503421200224341</v>
      </c>
      <c r="J13" s="26">
        <v>3.2585329059023192E-2</v>
      </c>
      <c r="K13" s="26">
        <v>0.27284210526315789</v>
      </c>
      <c r="L13" s="26">
        <v>0.3261802575107296</v>
      </c>
      <c r="M13" s="26">
        <v>0.31004366812227074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7.477597481230322E-2</v>
      </c>
      <c r="C15" s="28">
        <v>1.1269138105230435E-2</v>
      </c>
      <c r="D15" s="28">
        <v>0.97405051898962025</v>
      </c>
      <c r="E15" s="28">
        <v>0.40540173724212814</v>
      </c>
      <c r="F15" s="28">
        <v>2.375229810322407E-2</v>
      </c>
      <c r="G15" s="28">
        <v>0.74762365496818839</v>
      </c>
      <c r="H15" s="28">
        <v>0.41042245561154805</v>
      </c>
      <c r="I15" s="28">
        <v>5.0196298373527759E-3</v>
      </c>
      <c r="J15" s="28">
        <v>7.8747878559306053E-2</v>
      </c>
      <c r="K15" s="28">
        <v>0.36378947368421055</v>
      </c>
      <c r="L15" s="28">
        <v>0.33476394849785407</v>
      </c>
      <c r="M15" s="27">
        <v>0.32096069868995636</v>
      </c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1.0898522644708162E-3</v>
      </c>
      <c r="C16" s="28">
        <v>1.3911556695422399E-2</v>
      </c>
      <c r="D16" s="28">
        <v>9.7273054538909217E-3</v>
      </c>
      <c r="E16" s="28">
        <v>0.29655266015200871</v>
      </c>
      <c r="F16" s="28">
        <v>9.7305053585041031E-4</v>
      </c>
      <c r="G16" s="28">
        <v>1.0214911894918931E-2</v>
      </c>
      <c r="H16" s="28">
        <v>1.7896670277398388E-3</v>
      </c>
      <c r="I16" s="28">
        <v>0.49155916993830623</v>
      </c>
      <c r="J16" s="28">
        <v>0.88866679238167079</v>
      </c>
      <c r="K16" s="28">
        <v>0.36336842105263156</v>
      </c>
      <c r="L16" s="28">
        <v>0.33905579399141633</v>
      </c>
      <c r="M16" s="27">
        <v>0.36899563318777295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0.92413417292322597</v>
      </c>
      <c r="C17" s="32">
        <v>0.97481930519934712</v>
      </c>
      <c r="D17" s="32">
        <v>1.6222175556488871E-2</v>
      </c>
      <c r="E17" s="32">
        <v>0.29804560260586321</v>
      </c>
      <c r="F17" s="32">
        <v>0.9752746513609255</v>
      </c>
      <c r="G17" s="32">
        <v>0.24216143313689273</v>
      </c>
      <c r="H17" s="32">
        <v>0.58778787736071214</v>
      </c>
      <c r="I17" s="32">
        <v>0.503421200224341</v>
      </c>
      <c r="J17" s="32">
        <v>3.2585329059023192E-2</v>
      </c>
      <c r="K17" s="32">
        <v>0.27284210526315789</v>
      </c>
      <c r="L17" s="32">
        <v>0.3261802575107296</v>
      </c>
      <c r="M17" s="31">
        <v>0.31004366812227074</v>
      </c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7.5865827076774042E-2</v>
      </c>
      <c r="C18" s="37">
        <v>2.5180694800652832E-2</v>
      </c>
      <c r="D18" s="37">
        <v>0.98377782444351114</v>
      </c>
      <c r="E18" s="37">
        <v>0.7019543973941369</v>
      </c>
      <c r="F18" s="37">
        <v>2.4725348639074479E-2</v>
      </c>
      <c r="G18" s="37">
        <v>0.75783856686310735</v>
      </c>
      <c r="H18" s="37">
        <v>0.41221212263928791</v>
      </c>
      <c r="I18" s="37">
        <v>0.496578799775659</v>
      </c>
      <c r="J18" s="37">
        <v>0.96741467094097688</v>
      </c>
      <c r="K18" s="37">
        <v>0.72715789473684211</v>
      </c>
      <c r="L18" s="37">
        <v>0.67381974248927046</v>
      </c>
      <c r="M18" s="36">
        <v>0.68995633187772931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1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1.0820939526960625</v>
      </c>
      <c r="C20" s="43">
        <v>1.0258311408753886</v>
      </c>
      <c r="D20" s="43">
        <v>61.644012944983814</v>
      </c>
      <c r="E20" s="43">
        <v>3.3551912568306008</v>
      </c>
      <c r="F20" s="43">
        <v>1.0253521903851106</v>
      </c>
      <c r="G20" s="43">
        <v>4.1294767174371021</v>
      </c>
      <c r="H20" s="43">
        <v>1.7012940186691237</v>
      </c>
      <c r="I20" s="43">
        <v>1.9864081996434937</v>
      </c>
      <c r="J20" s="43">
        <v>30.688657407407408</v>
      </c>
      <c r="K20" s="43">
        <v>3.6651234567901234</v>
      </c>
      <c r="L20" s="43">
        <v>3.0657894736842106</v>
      </c>
      <c r="M20" s="43">
        <v>3.2253521126760565</v>
      </c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12.181165203511574</v>
      </c>
      <c r="C21" s="48">
        <v>38.712962962962891</v>
      </c>
      <c r="D21" s="48">
        <v>1.6489673942046E-2</v>
      </c>
      <c r="E21" s="48">
        <v>0.42459396751740142</v>
      </c>
      <c r="F21" s="48">
        <v>39.444323540079772</v>
      </c>
      <c r="G21" s="48">
        <v>0.31954223989848191</v>
      </c>
      <c r="H21" s="48">
        <v>1.4259354470151389</v>
      </c>
      <c r="I21" s="48">
        <v>1.0137790829003841</v>
      </c>
      <c r="J21" s="48">
        <v>3.368289735292971E-2</v>
      </c>
      <c r="K21" s="48">
        <v>0.37521713954834973</v>
      </c>
      <c r="L21" s="48">
        <v>0.48407643312101906</v>
      </c>
      <c r="M21" s="48">
        <v>0.44936708860759489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12.373279352226721</v>
      </c>
      <c r="C22" s="48">
        <v>87.737931034482756</v>
      </c>
      <c r="D22" s="48">
        <v>2.6640795836028165E-2</v>
      </c>
      <c r="E22" s="48">
        <v>1.4666889856042851</v>
      </c>
      <c r="F22" s="48">
        <v>41.101189352463656</v>
      </c>
      <c r="G22" s="48">
        <v>0.33757137478822857</v>
      </c>
      <c r="H22" s="48">
        <v>1.4365138562166504</v>
      </c>
      <c r="I22" s="48">
        <v>198.21787709497207</v>
      </c>
      <c r="J22" s="48">
        <v>11.69875478927203</v>
      </c>
      <c r="K22" s="48">
        <v>1.7488425925925923</v>
      </c>
      <c r="L22" s="48">
        <v>1.9871794871794872</v>
      </c>
      <c r="M22" s="48">
        <v>2.1156462585034013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8.7454095385095021E-2</v>
      </c>
      <c r="C23" s="52">
        <v>1.1691991465723263E-2</v>
      </c>
      <c r="D23" s="52">
        <v>2313.8953252146625</v>
      </c>
      <c r="E23" s="52">
        <v>2.2875955909958927</v>
      </c>
      <c r="F23" s="52">
        <v>2.4947019941252618E-2</v>
      </c>
      <c r="G23" s="52">
        <v>12.232899546140963</v>
      </c>
      <c r="H23" s="52">
        <v>1.1843213424685128</v>
      </c>
      <c r="I23" s="52">
        <v>1.0021337271671751E-2</v>
      </c>
      <c r="J23" s="52">
        <v>2.6232413586059145</v>
      </c>
      <c r="K23" s="52">
        <v>2.0957423339951471</v>
      </c>
      <c r="L23" s="52">
        <v>1.5427843803056027</v>
      </c>
      <c r="M23" s="52">
        <v>1.5245233458629592</v>
      </c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241</v>
      </c>
      <c r="C25" s="13" t="s">
        <v>242</v>
      </c>
      <c r="D25" s="13" t="s">
        <v>243</v>
      </c>
      <c r="E25" s="13" t="s">
        <v>244</v>
      </c>
      <c r="F25" s="13" t="s">
        <v>245</v>
      </c>
      <c r="G25" s="13" t="s">
        <v>246</v>
      </c>
      <c r="H25" s="13" t="s">
        <v>247</v>
      </c>
      <c r="I25" s="13" t="s">
        <v>248</v>
      </c>
      <c r="J25" s="13" t="s">
        <v>249</v>
      </c>
      <c r="K25" s="13" t="s">
        <v>250</v>
      </c>
      <c r="L25" s="13" t="s">
        <v>251</v>
      </c>
      <c r="M25" s="13" t="s">
        <v>252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0.53291988700628756</v>
      </c>
      <c r="C26" s="59">
        <v>0.55478034726513814</v>
      </c>
      <c r="D26" s="59">
        <v>3.7498150020865914E-3</v>
      </c>
      <c r="E26" s="59">
        <v>8.6195072761755193E-4</v>
      </c>
      <c r="F26" s="59">
        <v>0.56251329150824048</v>
      </c>
      <c r="G26" s="59">
        <v>0.13391438647665083</v>
      </c>
      <c r="H26" s="59">
        <v>0.33832622448038058</v>
      </c>
      <c r="I26" s="59">
        <v>6.8485463787777033E-3</v>
      </c>
      <c r="J26" s="59">
        <v>-0.49425886329757934</v>
      </c>
      <c r="K26" s="59">
        <v>-5.22653927897977E-2</v>
      </c>
      <c r="L26" s="59">
        <v>-7.4336944530853325E-3</v>
      </c>
      <c r="M26" s="59">
        <v>-3.4035932899825087E-2</v>
      </c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7.477597481230322E-2</v>
      </c>
      <c r="C27" s="65">
        <v>1.1269138105230435E-2</v>
      </c>
      <c r="D27" s="65">
        <v>0.97405051898962025</v>
      </c>
      <c r="E27" s="65">
        <v>0.40540173724212814</v>
      </c>
      <c r="F27" s="65">
        <v>2.375229810322407E-2</v>
      </c>
      <c r="G27" s="59">
        <v>0.74762365496818839</v>
      </c>
      <c r="H27" s="59">
        <v>0.41042245561154805</v>
      </c>
      <c r="I27" s="59">
        <v>5.0196298373527759E-3</v>
      </c>
      <c r="J27" s="59">
        <v>7.8747878559306053E-2</v>
      </c>
      <c r="K27" s="59">
        <v>0.36378947368421055</v>
      </c>
      <c r="L27" s="59">
        <v>0.33476394849785407</v>
      </c>
      <c r="M27" s="59">
        <v>0.32096069868995636</v>
      </c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4-Atala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86</v>
      </c>
      <c r="BB29" s="9">
        <f>DIAG!W1</f>
        <v>12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84</v>
      </c>
      <c r="BB30" s="14">
        <f ca="1">IF(BB29=0,0,MAX(OFFSET(BC29,1,1,1,BB29)))</f>
        <v>223010</v>
      </c>
      <c r="BD30" s="14">
        <f t="shared" ref="BD30:BM30" si="0">B9</f>
        <v>16516</v>
      </c>
      <c r="BE30" s="14">
        <f t="shared" si="0"/>
        <v>12867</v>
      </c>
      <c r="BF30" s="14">
        <f t="shared" si="0"/>
        <v>133336</v>
      </c>
      <c r="BG30" s="14">
        <f t="shared" si="0"/>
        <v>7368</v>
      </c>
      <c r="BH30" s="14">
        <f t="shared" si="0"/>
        <v>223010</v>
      </c>
      <c r="BI30" s="14">
        <f t="shared" si="0"/>
        <v>170535</v>
      </c>
      <c r="BJ30" s="14">
        <f t="shared" si="0"/>
        <v>42466</v>
      </c>
      <c r="BK30" s="14">
        <f t="shared" si="0"/>
        <v>35660</v>
      </c>
      <c r="BL30" s="14">
        <f t="shared" si="0"/>
        <v>53030</v>
      </c>
      <c r="BM30" s="14">
        <f t="shared" si="0"/>
        <v>4750</v>
      </c>
      <c r="BN30" s="14">
        <f t="shared" ref="BN30" si="1">L9</f>
        <v>466</v>
      </c>
      <c r="BO30" s="14">
        <f t="shared" ref="BO30" si="2">M9</f>
        <v>458</v>
      </c>
      <c r="BP30" s="14">
        <f t="shared" ref="BP30" si="3">N9</f>
        <v>0</v>
      </c>
      <c r="BQ30" s="14">
        <f t="shared" ref="BQ30" si="4">O9</f>
        <v>0</v>
      </c>
      <c r="BR30" s="14">
        <f t="shared" ref="BR30" si="5">P9</f>
        <v>0</v>
      </c>
      <c r="BS30" s="14">
        <f t="shared" ref="BS30" si="6">Q9</f>
        <v>0</v>
      </c>
      <c r="BT30" s="14">
        <f t="shared" ref="BT30" si="7">R9</f>
        <v>0</v>
      </c>
      <c r="BU30" s="14">
        <f t="shared" ref="BU30" si="8">S9</f>
        <v>0</v>
      </c>
      <c r="BV30" s="14">
        <f t="shared" ref="BV30" si="9">T9</f>
        <v>0</v>
      </c>
      <c r="BW30" s="14">
        <f t="shared" ref="BW30" si="10">U9</f>
        <v>0</v>
      </c>
      <c r="BX30" s="14">
        <f t="shared" ref="BX30" si="11">V9</f>
        <v>0</v>
      </c>
      <c r="BY30" s="14">
        <f t="shared" ref="BY30" si="12">W9</f>
        <v>0</v>
      </c>
      <c r="BZ30" s="14">
        <f t="shared" ref="BZ30" si="13">X9</f>
        <v>0</v>
      </c>
      <c r="CA30" s="14">
        <f t="shared" ref="CA30" si="14">Y9</f>
        <v>0</v>
      </c>
      <c r="CB30" s="14">
        <f t="shared" ref="CB30" si="15">Z9</f>
        <v>0</v>
      </c>
      <c r="CC30" s="14">
        <f t="shared" ref="CC30" si="16">AA9</f>
        <v>0</v>
      </c>
      <c r="CD30" s="14">
        <f t="shared" ref="CD30" si="17">AB9</f>
        <v>0</v>
      </c>
      <c r="CE30" s="14">
        <f t="shared" ref="CE30" si="18">AC9</f>
        <v>0</v>
      </c>
      <c r="CF30" s="14">
        <f t="shared" ref="CF30" si="19">AD9</f>
        <v>0</v>
      </c>
      <c r="CG30" s="14">
        <f t="shared" ref="CG30" si="20">AE9</f>
        <v>0</v>
      </c>
      <c r="CH30" s="14">
        <f t="shared" ref="CH30" si="21">AF9</f>
        <v>0</v>
      </c>
      <c r="CI30" s="14">
        <f t="shared" ref="CI30" si="22">AG9</f>
        <v>0</v>
      </c>
      <c r="CJ30" s="14">
        <f t="shared" ref="CJ30" si="23">AH9</f>
        <v>0</v>
      </c>
      <c r="CK30" s="14">
        <f t="shared" ref="CK30" si="24">AI9</f>
        <v>0</v>
      </c>
      <c r="CL30" s="14">
        <f t="shared" ref="CL30" si="25">AJ9</f>
        <v>0</v>
      </c>
      <c r="CM30" s="14">
        <f t="shared" ref="CM30" si="26">AK9</f>
        <v>0</v>
      </c>
      <c r="CN30" s="14">
        <f t="shared" ref="CN30" si="27">AL9</f>
        <v>0</v>
      </c>
      <c r="CO30" s="14">
        <f t="shared" ref="CO30" si="28">AM9</f>
        <v>0</v>
      </c>
      <c r="CP30" s="14">
        <f t="shared" ref="CP30" si="29">AN9</f>
        <v>0</v>
      </c>
      <c r="CQ30" s="14">
        <f t="shared" ref="CQ30" si="30">AO9</f>
        <v>0</v>
      </c>
      <c r="CR30" s="14">
        <f t="shared" ref="CR30" si="31">AP9</f>
        <v>0</v>
      </c>
      <c r="CS30" s="14">
        <f t="shared" ref="CS30" si="32">AQ9</f>
        <v>0</v>
      </c>
      <c r="CT30" s="14">
        <f t="shared" ref="CT30" si="33">AR9</f>
        <v>0</v>
      </c>
      <c r="CU30" s="14">
        <f t="shared" ref="CU30" si="34">AS9</f>
        <v>0</v>
      </c>
      <c r="CV30" s="14">
        <f t="shared" ref="CV30" si="35">AT9</f>
        <v>0</v>
      </c>
      <c r="CW30" s="14">
        <f t="shared" ref="CW30" si="36">AU9</f>
        <v>0</v>
      </c>
      <c r="CX30" s="14">
        <f t="shared" ref="CX30" si="37">AV9</f>
        <v>0</v>
      </c>
      <c r="CY30" s="14">
        <f t="shared" ref="CY30" si="38">AW9</f>
        <v>0</v>
      </c>
      <c r="CZ30" s="14">
        <f t="shared" ref="CZ30" si="39">AX9</f>
        <v>0</v>
      </c>
      <c r="DA30" s="14">
        <f t="shared" ref="DA30" si="40">AY9</f>
        <v>0</v>
      </c>
      <c r="DB30" s="14">
        <f t="shared" ref="DB30" si="41">AZ9</f>
        <v>0</v>
      </c>
      <c r="DC30" s="14">
        <f t="shared" ref="DC30" si="42">BA9</f>
        <v>0</v>
      </c>
      <c r="DD30" s="14">
        <f t="shared" ref="DD30" si="43">BB9</f>
        <v>0</v>
      </c>
      <c r="DE30" s="14">
        <f t="shared" ref="DE30" si="44">BC9</f>
        <v>0</v>
      </c>
      <c r="DF30" s="14">
        <f t="shared" ref="DF30" si="45">BD9</f>
        <v>0</v>
      </c>
      <c r="DG30" s="14">
        <f t="shared" ref="DG30" si="46">BE9</f>
        <v>0</v>
      </c>
      <c r="DH30" s="14">
        <f t="shared" ref="DH30" si="47">BF9</f>
        <v>0</v>
      </c>
      <c r="DI30" s="14">
        <f t="shared" ref="DI30" si="48">BG9</f>
        <v>0</v>
      </c>
      <c r="DJ30" s="14">
        <f t="shared" ref="DJ30" si="49">BH9</f>
        <v>0</v>
      </c>
      <c r="DK30" s="14">
        <f t="shared" ref="DK30" si="50">BI9</f>
        <v>0</v>
      </c>
      <c r="DL30" s="14">
        <f t="shared" ref="DL30" si="51">BJ9</f>
        <v>0</v>
      </c>
      <c r="DM30" s="14">
        <f t="shared" ref="DM30" si="52">BK9</f>
        <v>0</v>
      </c>
      <c r="DN30" s="14">
        <f t="shared" ref="DN30" si="53">BL9</f>
        <v>0</v>
      </c>
      <c r="DO30" s="14">
        <f t="shared" ref="DO30" si="54">BM9</f>
        <v>0</v>
      </c>
      <c r="DP30" s="14">
        <f t="shared" ref="DP30" si="55">BN9</f>
        <v>0</v>
      </c>
      <c r="DQ30" s="14">
        <f t="shared" ref="DQ30" si="56">BO9</f>
        <v>0</v>
      </c>
      <c r="DR30" s="14">
        <f t="shared" ref="DR30" si="57">BP9</f>
        <v>0</v>
      </c>
      <c r="DS30" s="14">
        <f t="shared" ref="DS30" si="58">BQ9</f>
        <v>0</v>
      </c>
      <c r="DT30" s="14">
        <f t="shared" ref="DT30" si="59">BR9</f>
        <v>0</v>
      </c>
      <c r="DU30" s="14">
        <f t="shared" ref="DU30" si="60">BS9</f>
        <v>0</v>
      </c>
      <c r="DV30" s="14">
        <f t="shared" ref="DV30" si="61">BT9</f>
        <v>0</v>
      </c>
      <c r="DW30" s="14">
        <f t="shared" ref="DW30" si="62">BU9</f>
        <v>0</v>
      </c>
      <c r="DX30" s="14">
        <f t="shared" ref="DX30" si="63">BV9</f>
        <v>0</v>
      </c>
      <c r="DY30" s="14">
        <f t="shared" ref="DY30" si="64">BW9</f>
        <v>0</v>
      </c>
      <c r="DZ30" s="14">
        <f t="shared" ref="DZ30" si="65">BX9</f>
        <v>0</v>
      </c>
      <c r="EA30" s="14">
        <f t="shared" ref="EA30" si="66">BY9</f>
        <v>0</v>
      </c>
      <c r="EB30" s="14">
        <f t="shared" ref="EB30" si="67">BZ9</f>
        <v>0</v>
      </c>
      <c r="EC30" s="14">
        <f t="shared" ref="EC30" si="68">CA9</f>
        <v>0</v>
      </c>
      <c r="ED30" s="14">
        <f t="shared" ref="ED30" si="69">CB9</f>
        <v>0</v>
      </c>
      <c r="EE30" s="14">
        <f t="shared" ref="EE30" si="70">CC9</f>
        <v>0</v>
      </c>
      <c r="EF30" s="14">
        <f t="shared" ref="EF30" si="71">CD9</f>
        <v>0</v>
      </c>
      <c r="EG30" s="14">
        <f t="shared" ref="EG30" si="72">CE9</f>
        <v>0</v>
      </c>
      <c r="EH30" s="14">
        <f t="shared" ref="EH30" si="73">CF9</f>
        <v>0</v>
      </c>
      <c r="EI30" s="14">
        <f t="shared" ref="EI30" si="74">CG9</f>
        <v>0</v>
      </c>
      <c r="EJ30" s="14">
        <f t="shared" ref="EJ30" si="75">CH9</f>
        <v>0</v>
      </c>
      <c r="EK30" s="14">
        <f t="shared" ref="EK30" si="76">CI9</f>
        <v>0</v>
      </c>
      <c r="EL30" s="14">
        <f t="shared" ref="EL30" si="77">CJ9</f>
        <v>0</v>
      </c>
      <c r="EM30" s="14">
        <f t="shared" ref="EM30" si="78">CK9</f>
        <v>0</v>
      </c>
      <c r="EN30" s="14">
        <f t="shared" ref="EN30" si="79">CL9</f>
        <v>0</v>
      </c>
      <c r="EO30" s="14">
        <f t="shared" ref="EO30" si="80">CM9</f>
        <v>0</v>
      </c>
      <c r="EP30" s="14">
        <f t="shared" ref="EP30" si="81">CN9</f>
        <v>0</v>
      </c>
      <c r="EQ30" s="14">
        <f t="shared" ref="EQ30" si="82">CO9</f>
        <v>0</v>
      </c>
      <c r="ER30" s="14">
        <f t="shared" ref="ER30" si="83">CP9</f>
        <v>0</v>
      </c>
      <c r="ES30" s="14">
        <f t="shared" ref="ES30" si="84">CQ9</f>
        <v>0</v>
      </c>
      <c r="ET30" s="14">
        <f t="shared" ref="ET30" si="85">CR9</f>
        <v>0</v>
      </c>
      <c r="EU30" s="14">
        <f t="shared" ref="EU30" si="86">CS9</f>
        <v>0</v>
      </c>
      <c r="EV30" s="14">
        <f t="shared" ref="EV30" si="87">CT9</f>
        <v>0</v>
      </c>
      <c r="EW30" s="14">
        <f t="shared" ref="EW30" si="88">CU9</f>
        <v>0</v>
      </c>
      <c r="EX30" s="14">
        <f t="shared" ref="EX30" si="89">CV9</f>
        <v>0</v>
      </c>
      <c r="EY30" s="14">
        <f t="shared" ref="EY30" si="90">CW9</f>
        <v>0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458</v>
      </c>
      <c r="BD31" s="9">
        <f t="shared" ref="BD31:DO31" ca="1" si="191">IF(BD30=0,0,LOG(BD30/$BB$31,10))</f>
        <v>1.5570393961987954</v>
      </c>
      <c r="BE31" s="9">
        <f t="shared" ca="1" si="191"/>
        <v>1.4486118229548663</v>
      </c>
      <c r="BF31" s="9">
        <f t="shared" ca="1" si="191"/>
        <v>2.4640819444072108</v>
      </c>
      <c r="BG31" s="9">
        <f t="shared" ca="1" si="191"/>
        <v>1.2064841391849233</v>
      </c>
      <c r="BH31" s="9">
        <f t="shared" ca="1" si="191"/>
        <v>2.6874588596965174</v>
      </c>
      <c r="BI31" s="9">
        <f t="shared" ca="1" si="191"/>
        <v>2.5709480475353881</v>
      </c>
      <c r="BJ31" s="9">
        <f t="shared" ca="1" si="191"/>
        <v>1.9671758774125212</v>
      </c>
      <c r="BK31" s="9">
        <f t="shared" ca="1" si="191"/>
        <v>1.8913158608354663</v>
      </c>
      <c r="BL31" s="9">
        <f t="shared" ca="1" si="191"/>
        <v>2.0636561491146934</v>
      </c>
      <c r="BM31" s="9">
        <f t="shared" ca="1" si="191"/>
        <v>1.0158281316209972</v>
      </c>
      <c r="BN31" s="9">
        <f t="shared" ca="1" si="191"/>
        <v>7.5204386861309949E-3</v>
      </c>
      <c r="BO31" s="9">
        <f t="shared" ca="1" si="191"/>
        <v>0</v>
      </c>
      <c r="BP31" s="9">
        <f t="shared" si="191"/>
        <v>0</v>
      </c>
      <c r="BQ31" s="9">
        <f t="shared" si="191"/>
        <v>0</v>
      </c>
      <c r="BR31" s="9">
        <f t="shared" si="191"/>
        <v>0</v>
      </c>
      <c r="BS31" s="9">
        <f t="shared" si="191"/>
        <v>0</v>
      </c>
      <c r="BT31" s="9">
        <f t="shared" si="191"/>
        <v>0</v>
      </c>
      <c r="BU31" s="9">
        <f t="shared" si="191"/>
        <v>0</v>
      </c>
      <c r="BV31" s="9">
        <f t="shared" si="191"/>
        <v>0</v>
      </c>
      <c r="BW31" s="9">
        <f t="shared" si="191"/>
        <v>0</v>
      </c>
      <c r="BX31" s="9">
        <f t="shared" si="191"/>
        <v>0</v>
      </c>
      <c r="BY31" s="9">
        <f t="shared" si="191"/>
        <v>0</v>
      </c>
      <c r="BZ31" s="9">
        <f t="shared" si="191"/>
        <v>0</v>
      </c>
      <c r="CA31" s="9">
        <f t="shared" si="191"/>
        <v>0</v>
      </c>
      <c r="CB31" s="9">
        <f t="shared" si="191"/>
        <v>0</v>
      </c>
      <c r="CC31" s="9">
        <f t="shared" si="191"/>
        <v>0</v>
      </c>
      <c r="CD31" s="9">
        <f t="shared" si="191"/>
        <v>0</v>
      </c>
      <c r="CE31" s="9">
        <f t="shared" si="191"/>
        <v>0</v>
      </c>
      <c r="CF31" s="9">
        <f t="shared" si="191"/>
        <v>0</v>
      </c>
      <c r="CG31" s="9">
        <f t="shared" si="191"/>
        <v>0</v>
      </c>
      <c r="CH31" s="9">
        <f t="shared" si="191"/>
        <v>0</v>
      </c>
      <c r="CI31" s="9">
        <f t="shared" si="191"/>
        <v>0</v>
      </c>
      <c r="CJ31" s="9">
        <f t="shared" si="191"/>
        <v>0</v>
      </c>
      <c r="CK31" s="9">
        <f t="shared" si="191"/>
        <v>0</v>
      </c>
      <c r="CL31" s="9">
        <f t="shared" si="191"/>
        <v>0</v>
      </c>
      <c r="CM31" s="9">
        <f t="shared" si="191"/>
        <v>0</v>
      </c>
      <c r="CN31" s="9">
        <f t="shared" si="191"/>
        <v>0</v>
      </c>
      <c r="CO31" s="9">
        <f t="shared" si="191"/>
        <v>0</v>
      </c>
      <c r="CP31" s="9">
        <f t="shared" si="191"/>
        <v>0</v>
      </c>
      <c r="CQ31" s="9">
        <f t="shared" si="191"/>
        <v>0</v>
      </c>
      <c r="CR31" s="9">
        <f t="shared" si="191"/>
        <v>0</v>
      </c>
      <c r="CS31" s="9">
        <f t="shared" si="191"/>
        <v>0</v>
      </c>
      <c r="CT31" s="9">
        <f t="shared" si="191"/>
        <v>0</v>
      </c>
      <c r="CU31" s="9">
        <f t="shared" si="191"/>
        <v>0</v>
      </c>
      <c r="CV31" s="9">
        <f t="shared" si="191"/>
        <v>0</v>
      </c>
      <c r="CW31" s="9">
        <f t="shared" si="191"/>
        <v>0</v>
      </c>
      <c r="CX31" s="9">
        <f t="shared" si="191"/>
        <v>0</v>
      </c>
      <c r="CY31" s="9">
        <f t="shared" si="191"/>
        <v>0</v>
      </c>
      <c r="CZ31" s="9">
        <f t="shared" si="191"/>
        <v>0</v>
      </c>
      <c r="DA31" s="9">
        <f t="shared" si="191"/>
        <v>0</v>
      </c>
      <c r="DB31" s="9">
        <f t="shared" si="191"/>
        <v>0</v>
      </c>
      <c r="DC31" s="9">
        <f t="shared" si="191"/>
        <v>0</v>
      </c>
      <c r="DD31" s="9">
        <f t="shared" si="191"/>
        <v>0</v>
      </c>
      <c r="DE31" s="9">
        <f t="shared" si="191"/>
        <v>0</v>
      </c>
      <c r="DF31" s="9">
        <f t="shared" si="191"/>
        <v>0</v>
      </c>
      <c r="DG31" s="9">
        <f t="shared" si="191"/>
        <v>0</v>
      </c>
      <c r="DH31" s="9">
        <f t="shared" si="191"/>
        <v>0</v>
      </c>
      <c r="DI31" s="9">
        <f t="shared" si="191"/>
        <v>0</v>
      </c>
      <c r="DJ31" s="9">
        <f t="shared" si="191"/>
        <v>0</v>
      </c>
      <c r="DK31" s="9">
        <f t="shared" si="191"/>
        <v>0</v>
      </c>
      <c r="DL31" s="9">
        <f t="shared" si="191"/>
        <v>0</v>
      </c>
      <c r="DM31" s="9">
        <f t="shared" si="191"/>
        <v>0</v>
      </c>
      <c r="DN31" s="9">
        <f t="shared" si="191"/>
        <v>0</v>
      </c>
      <c r="DO31" s="9">
        <f t="shared" si="191"/>
        <v>0</v>
      </c>
      <c r="DP31" s="9">
        <f t="shared" ref="DP31:GA31" si="192">IF(DP30=0,0,LOG(DP30/$BB$31,10))</f>
        <v>0</v>
      </c>
      <c r="DQ31" s="9">
        <f t="shared" si="192"/>
        <v>0</v>
      </c>
      <c r="DR31" s="9">
        <f t="shared" si="192"/>
        <v>0</v>
      </c>
      <c r="DS31" s="9">
        <f t="shared" si="192"/>
        <v>0</v>
      </c>
      <c r="DT31" s="9">
        <f t="shared" si="192"/>
        <v>0</v>
      </c>
      <c r="DU31" s="9">
        <f t="shared" si="192"/>
        <v>0</v>
      </c>
      <c r="DV31" s="9">
        <f t="shared" si="192"/>
        <v>0</v>
      </c>
      <c r="DW31" s="9">
        <f t="shared" si="192"/>
        <v>0</v>
      </c>
      <c r="DX31" s="9">
        <f t="shared" si="192"/>
        <v>0</v>
      </c>
      <c r="DY31" s="9">
        <f t="shared" si="192"/>
        <v>0</v>
      </c>
      <c r="DZ31" s="9">
        <f t="shared" si="192"/>
        <v>0</v>
      </c>
      <c r="EA31" s="9">
        <f t="shared" si="192"/>
        <v>0</v>
      </c>
      <c r="EB31" s="9">
        <f t="shared" si="192"/>
        <v>0</v>
      </c>
      <c r="EC31" s="9">
        <f t="shared" si="192"/>
        <v>0</v>
      </c>
      <c r="ED31" s="9">
        <f t="shared" si="192"/>
        <v>0</v>
      </c>
      <c r="EE31" s="9">
        <f t="shared" si="192"/>
        <v>0</v>
      </c>
      <c r="EF31" s="9">
        <f t="shared" si="192"/>
        <v>0</v>
      </c>
      <c r="EG31" s="9">
        <f t="shared" si="192"/>
        <v>0</v>
      </c>
      <c r="EH31" s="9">
        <f t="shared" si="192"/>
        <v>0</v>
      </c>
      <c r="EI31" s="9">
        <f t="shared" si="192"/>
        <v>0</v>
      </c>
      <c r="EJ31" s="9">
        <f t="shared" si="192"/>
        <v>0</v>
      </c>
      <c r="EK31" s="9">
        <f t="shared" si="192"/>
        <v>0</v>
      </c>
      <c r="EL31" s="9">
        <f t="shared" si="192"/>
        <v>0</v>
      </c>
      <c r="EM31" s="9">
        <f t="shared" si="192"/>
        <v>0</v>
      </c>
      <c r="EN31" s="9">
        <f t="shared" si="192"/>
        <v>0</v>
      </c>
      <c r="EO31" s="9">
        <f t="shared" si="192"/>
        <v>0</v>
      </c>
      <c r="EP31" s="9">
        <f t="shared" si="192"/>
        <v>0</v>
      </c>
      <c r="EQ31" s="9">
        <f t="shared" si="192"/>
        <v>0</v>
      </c>
      <c r="ER31" s="9">
        <f t="shared" si="192"/>
        <v>0</v>
      </c>
      <c r="ES31" s="9">
        <f t="shared" si="192"/>
        <v>0</v>
      </c>
      <c r="ET31" s="9">
        <f t="shared" si="192"/>
        <v>0</v>
      </c>
      <c r="EU31" s="9">
        <f t="shared" si="192"/>
        <v>0</v>
      </c>
      <c r="EV31" s="9">
        <f t="shared" si="192"/>
        <v>0</v>
      </c>
      <c r="EW31" s="9">
        <f t="shared" si="192"/>
        <v>0</v>
      </c>
      <c r="EX31" s="9">
        <f t="shared" si="192"/>
        <v>0</v>
      </c>
      <c r="EY31" s="9">
        <f t="shared" si="192"/>
        <v>0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87</v>
      </c>
      <c r="BB33" s="14">
        <f ca="1">IF(OR(BB29=0,BB30=BB31),1,LOG(BB30/BB31,10))</f>
        <v>2.6874588596965174</v>
      </c>
      <c r="BD33" s="14">
        <f t="shared" ref="BD33:DO33" ca="1" si="195">BD31/$BB$33</f>
        <v>0.57937236530371472</v>
      </c>
      <c r="BE33" s="9">
        <f t="shared" ca="1" si="195"/>
        <v>0.53902660415737547</v>
      </c>
      <c r="BF33" s="14">
        <f t="shared" ca="1" si="195"/>
        <v>0.91688173588840294</v>
      </c>
      <c r="BG33" s="9">
        <f t="shared" ca="1" si="195"/>
        <v>0.44893120310729745</v>
      </c>
      <c r="BH33" s="9">
        <f t="shared" ca="1" si="195"/>
        <v>1</v>
      </c>
      <c r="BI33" s="9">
        <f t="shared" ca="1" si="195"/>
        <v>0.95664647600436703</v>
      </c>
      <c r="BJ33" s="9">
        <f t="shared" ca="1" si="195"/>
        <v>0.73198362472222755</v>
      </c>
      <c r="BK33" s="9">
        <f t="shared" ca="1" si="195"/>
        <v>0.70375620970400421</v>
      </c>
      <c r="BL33" s="9">
        <f t="shared" ca="1" si="195"/>
        <v>0.76788381026518593</v>
      </c>
      <c r="BM33" s="9">
        <f t="shared" ca="1" si="195"/>
        <v>0.37798834685629756</v>
      </c>
      <c r="BN33" s="14">
        <f t="shared" ca="1" si="195"/>
        <v>2.7983456040626587E-3</v>
      </c>
      <c r="BO33" s="9">
        <f t="shared" ca="1" si="195"/>
        <v>0</v>
      </c>
      <c r="BP33" s="14">
        <f t="shared" ca="1" si="195"/>
        <v>0</v>
      </c>
      <c r="BQ33" s="9">
        <f t="shared" ca="1" si="195"/>
        <v>0</v>
      </c>
      <c r="BR33" s="9">
        <f t="shared" ca="1" si="195"/>
        <v>0</v>
      </c>
      <c r="BS33" s="9">
        <f t="shared" ca="1" si="195"/>
        <v>0</v>
      </c>
      <c r="BT33" s="9">
        <f t="shared" ca="1" si="195"/>
        <v>0</v>
      </c>
      <c r="BU33" s="9">
        <f t="shared" ca="1" si="195"/>
        <v>0</v>
      </c>
      <c r="BV33" s="9">
        <f t="shared" ca="1" si="195"/>
        <v>0</v>
      </c>
      <c r="BW33" s="9">
        <f t="shared" ca="1" si="195"/>
        <v>0</v>
      </c>
      <c r="BX33" s="14">
        <f t="shared" ca="1" si="195"/>
        <v>0</v>
      </c>
      <c r="BY33" s="9">
        <f t="shared" ca="1" si="195"/>
        <v>0</v>
      </c>
      <c r="BZ33" s="14">
        <f t="shared" ca="1" si="195"/>
        <v>0</v>
      </c>
      <c r="CA33" s="9">
        <f t="shared" ca="1" si="195"/>
        <v>0</v>
      </c>
      <c r="CB33" s="9">
        <f t="shared" ca="1" si="195"/>
        <v>0</v>
      </c>
      <c r="CC33" s="9">
        <f t="shared" ca="1" si="195"/>
        <v>0</v>
      </c>
      <c r="CD33" s="9">
        <f t="shared" ca="1" si="195"/>
        <v>0</v>
      </c>
      <c r="CE33" s="9">
        <f t="shared" ca="1" si="195"/>
        <v>0</v>
      </c>
      <c r="CF33" s="9">
        <f t="shared" ca="1" si="195"/>
        <v>0</v>
      </c>
      <c r="CG33" s="9">
        <f t="shared" ca="1" si="195"/>
        <v>0</v>
      </c>
      <c r="CH33" s="14">
        <f t="shared" ca="1" si="195"/>
        <v>0</v>
      </c>
      <c r="CI33" s="9">
        <f t="shared" ca="1" si="195"/>
        <v>0</v>
      </c>
      <c r="CJ33" s="14">
        <f t="shared" ca="1" si="195"/>
        <v>0</v>
      </c>
      <c r="CK33" s="9">
        <f t="shared" ca="1" si="195"/>
        <v>0</v>
      </c>
      <c r="CL33" s="9">
        <f t="shared" ca="1" si="195"/>
        <v>0</v>
      </c>
      <c r="CM33" s="9">
        <f t="shared" ca="1" si="195"/>
        <v>0</v>
      </c>
      <c r="CN33" s="9">
        <f t="shared" ca="1" si="195"/>
        <v>0</v>
      </c>
      <c r="CO33" s="9">
        <f t="shared" ca="1" si="195"/>
        <v>0</v>
      </c>
      <c r="CP33" s="9">
        <f t="shared" ca="1" si="195"/>
        <v>0</v>
      </c>
      <c r="CQ33" s="9">
        <f t="shared" ca="1" si="195"/>
        <v>0</v>
      </c>
      <c r="CR33" s="14">
        <f t="shared" ca="1" si="195"/>
        <v>0</v>
      </c>
      <c r="CS33" s="9">
        <f t="shared" ca="1" si="195"/>
        <v>0</v>
      </c>
      <c r="CT33" s="14">
        <f t="shared" ca="1" si="195"/>
        <v>0</v>
      </c>
      <c r="CU33" s="9">
        <f t="shared" ca="1" si="195"/>
        <v>0</v>
      </c>
      <c r="CV33" s="9">
        <f t="shared" ca="1" si="195"/>
        <v>0</v>
      </c>
      <c r="CW33" s="9">
        <f t="shared" ca="1" si="195"/>
        <v>0</v>
      </c>
      <c r="CX33" s="9">
        <f t="shared" ca="1" si="195"/>
        <v>0</v>
      </c>
      <c r="CY33" s="9">
        <f t="shared" ca="1" si="195"/>
        <v>0</v>
      </c>
      <c r="CZ33" s="9">
        <f t="shared" ca="1" si="195"/>
        <v>0</v>
      </c>
      <c r="DA33" s="9">
        <f t="shared" ca="1" si="195"/>
        <v>0</v>
      </c>
      <c r="DB33" s="14">
        <f t="shared" ca="1" si="195"/>
        <v>0</v>
      </c>
      <c r="DC33" s="9">
        <f t="shared" ca="1" si="195"/>
        <v>0</v>
      </c>
      <c r="DD33" s="14">
        <f t="shared" ca="1" si="195"/>
        <v>0</v>
      </c>
      <c r="DE33" s="9">
        <f t="shared" ca="1" si="195"/>
        <v>0</v>
      </c>
      <c r="DF33" s="9">
        <f t="shared" ca="1" si="195"/>
        <v>0</v>
      </c>
      <c r="DG33" s="9">
        <f t="shared" ca="1" si="195"/>
        <v>0</v>
      </c>
      <c r="DH33" s="9">
        <f t="shared" ca="1" si="195"/>
        <v>0</v>
      </c>
      <c r="DI33" s="9">
        <f t="shared" ca="1" si="195"/>
        <v>0</v>
      </c>
      <c r="DJ33" s="9">
        <f t="shared" ca="1" si="195"/>
        <v>0</v>
      </c>
      <c r="DK33" s="9">
        <f t="shared" ca="1" si="195"/>
        <v>0</v>
      </c>
      <c r="DL33" s="14">
        <f t="shared" ca="1" si="195"/>
        <v>0</v>
      </c>
      <c r="DM33" s="9">
        <f t="shared" ca="1" si="195"/>
        <v>0</v>
      </c>
      <c r="DN33" s="14">
        <f t="shared" ca="1" si="195"/>
        <v>0</v>
      </c>
      <c r="DO33" s="9">
        <f t="shared" ca="1" si="195"/>
        <v>0</v>
      </c>
      <c r="DP33" s="9">
        <f t="shared" ref="DP33:GA33" ca="1" si="196">DP31/$BB$33</f>
        <v>0</v>
      </c>
      <c r="DQ33" s="9">
        <f t="shared" ca="1" si="196"/>
        <v>0</v>
      </c>
      <c r="DR33" s="9">
        <f t="shared" ca="1" si="196"/>
        <v>0</v>
      </c>
      <c r="DS33" s="9">
        <f t="shared" ca="1" si="196"/>
        <v>0</v>
      </c>
      <c r="DT33" s="9">
        <f t="shared" ca="1" si="196"/>
        <v>0</v>
      </c>
      <c r="DU33" s="9">
        <f t="shared" ca="1" si="196"/>
        <v>0</v>
      </c>
      <c r="DV33" s="14">
        <f t="shared" ca="1" si="196"/>
        <v>0</v>
      </c>
      <c r="DW33" s="9">
        <f t="shared" ca="1" si="196"/>
        <v>0</v>
      </c>
      <c r="DX33" s="14">
        <f t="shared" ca="1" si="196"/>
        <v>0</v>
      </c>
      <c r="DY33" s="9">
        <f t="shared" ca="1" si="196"/>
        <v>0</v>
      </c>
      <c r="DZ33" s="9">
        <f t="shared" ca="1" si="196"/>
        <v>0</v>
      </c>
      <c r="EA33" s="9">
        <f t="shared" ca="1" si="196"/>
        <v>0</v>
      </c>
      <c r="EB33" s="9">
        <f t="shared" ca="1" si="196"/>
        <v>0</v>
      </c>
      <c r="EC33" s="9">
        <f t="shared" ca="1" si="196"/>
        <v>0</v>
      </c>
      <c r="ED33" s="9">
        <f t="shared" ca="1" si="196"/>
        <v>0</v>
      </c>
      <c r="EE33" s="9">
        <f t="shared" ca="1" si="196"/>
        <v>0</v>
      </c>
      <c r="EF33" s="14">
        <f t="shared" ca="1" si="196"/>
        <v>0</v>
      </c>
      <c r="EG33" s="9">
        <f t="shared" ca="1" si="196"/>
        <v>0</v>
      </c>
      <c r="EH33" s="14">
        <f t="shared" ca="1" si="196"/>
        <v>0</v>
      </c>
      <c r="EI33" s="9">
        <f t="shared" ca="1" si="196"/>
        <v>0</v>
      </c>
      <c r="EJ33" s="9">
        <f t="shared" ca="1" si="196"/>
        <v>0</v>
      </c>
      <c r="EK33" s="9">
        <f t="shared" ca="1" si="196"/>
        <v>0</v>
      </c>
      <c r="EL33" s="9">
        <f t="shared" ca="1" si="196"/>
        <v>0</v>
      </c>
      <c r="EM33" s="9">
        <f t="shared" ca="1" si="196"/>
        <v>0</v>
      </c>
      <c r="EN33" s="9">
        <f t="shared" ca="1" si="196"/>
        <v>0</v>
      </c>
      <c r="EO33" s="9">
        <f t="shared" ca="1" si="196"/>
        <v>0</v>
      </c>
      <c r="EP33" s="14">
        <f t="shared" ca="1" si="196"/>
        <v>0</v>
      </c>
      <c r="EQ33" s="9">
        <f t="shared" ca="1" si="196"/>
        <v>0</v>
      </c>
      <c r="ER33" s="14">
        <f t="shared" ca="1" si="196"/>
        <v>0</v>
      </c>
      <c r="ES33" s="9">
        <f t="shared" ca="1" si="196"/>
        <v>0</v>
      </c>
      <c r="ET33" s="9">
        <f t="shared" ca="1" si="196"/>
        <v>0</v>
      </c>
      <c r="EU33" s="9">
        <f t="shared" ca="1" si="196"/>
        <v>0</v>
      </c>
      <c r="EV33" s="9">
        <f t="shared" ca="1" si="196"/>
        <v>0</v>
      </c>
      <c r="EW33" s="9">
        <f t="shared" ca="1" si="196"/>
        <v>0</v>
      </c>
      <c r="EX33" s="9">
        <f t="shared" ca="1" si="196"/>
        <v>0</v>
      </c>
      <c r="EY33" s="9">
        <f t="shared" ca="1" si="196"/>
        <v>0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6</v>
      </c>
      <c r="BE35" s="9">
        <f t="shared" ref="BE35:DP35" ca="1" si="201">ROUND(10*BE33,0)</f>
        <v>5</v>
      </c>
      <c r="BF35" s="9">
        <f ca="1">ROUND(10*BF33,0)</f>
        <v>9</v>
      </c>
      <c r="BG35" s="9">
        <f t="shared" ref="BG35" ca="1" si="202">ROUND(10*BG33,0)</f>
        <v>4</v>
      </c>
      <c r="BH35" s="9">
        <f t="shared" ca="1" si="201"/>
        <v>10</v>
      </c>
      <c r="BI35" s="9">
        <f t="shared" ca="1" si="201"/>
        <v>10</v>
      </c>
      <c r="BJ35" s="9">
        <f t="shared" ca="1" si="201"/>
        <v>7</v>
      </c>
      <c r="BK35" s="9">
        <f t="shared" ca="1" si="201"/>
        <v>7</v>
      </c>
      <c r="BL35" s="9">
        <f t="shared" ca="1" si="201"/>
        <v>8</v>
      </c>
      <c r="BM35" s="9">
        <f t="shared" ca="1" si="201"/>
        <v>4</v>
      </c>
      <c r="BN35" s="9">
        <f t="shared" ca="1" si="201"/>
        <v>0</v>
      </c>
      <c r="BO35" s="9">
        <f t="shared" ca="1" si="201"/>
        <v>0</v>
      </c>
      <c r="BP35" s="9">
        <f t="shared" ca="1" si="201"/>
        <v>0</v>
      </c>
      <c r="BQ35" s="9">
        <f t="shared" ca="1" si="201"/>
        <v>0</v>
      </c>
      <c r="BR35" s="9">
        <f t="shared" ca="1" si="201"/>
        <v>0</v>
      </c>
      <c r="BS35" s="9">
        <f t="shared" ca="1" si="201"/>
        <v>0</v>
      </c>
      <c r="BT35" s="9">
        <f t="shared" ca="1" si="201"/>
        <v>0</v>
      </c>
      <c r="BU35" s="9">
        <f t="shared" ca="1" si="201"/>
        <v>0</v>
      </c>
      <c r="BV35" s="9">
        <f t="shared" ca="1" si="201"/>
        <v>0</v>
      </c>
      <c r="BW35" s="9">
        <f t="shared" ca="1" si="201"/>
        <v>0</v>
      </c>
      <c r="BX35" s="9">
        <f t="shared" ca="1" si="201"/>
        <v>0</v>
      </c>
      <c r="BY35" s="9">
        <f t="shared" ca="1" si="201"/>
        <v>0</v>
      </c>
      <c r="BZ35" s="9">
        <f t="shared" ca="1" si="201"/>
        <v>0</v>
      </c>
      <c r="CA35" s="9">
        <f t="shared" ca="1" si="201"/>
        <v>0</v>
      </c>
      <c r="CB35" s="9">
        <f t="shared" ca="1" si="201"/>
        <v>0</v>
      </c>
      <c r="CC35" s="9">
        <f t="shared" ca="1" si="201"/>
        <v>0</v>
      </c>
      <c r="CD35" s="9">
        <f t="shared" ca="1" si="201"/>
        <v>0</v>
      </c>
      <c r="CE35" s="9">
        <f t="shared" ca="1" si="201"/>
        <v>0</v>
      </c>
      <c r="CF35" s="9">
        <f t="shared" ca="1" si="201"/>
        <v>0</v>
      </c>
      <c r="CG35" s="9">
        <f t="shared" ca="1" si="201"/>
        <v>0</v>
      </c>
      <c r="CH35" s="9">
        <f t="shared" ca="1" si="201"/>
        <v>0</v>
      </c>
      <c r="CI35" s="9">
        <f t="shared" ca="1" si="201"/>
        <v>0</v>
      </c>
      <c r="CJ35" s="9">
        <f t="shared" ca="1" si="201"/>
        <v>0</v>
      </c>
      <c r="CK35" s="9">
        <f t="shared" ca="1" si="201"/>
        <v>0</v>
      </c>
      <c r="CL35" s="9">
        <f t="shared" ca="1" si="201"/>
        <v>0</v>
      </c>
      <c r="CM35" s="9">
        <f t="shared" ca="1" si="201"/>
        <v>0</v>
      </c>
      <c r="CN35" s="9">
        <f t="shared" ca="1" si="201"/>
        <v>0</v>
      </c>
      <c r="CO35" s="9">
        <f t="shared" ca="1" si="201"/>
        <v>0</v>
      </c>
      <c r="CP35" s="9">
        <f t="shared" ca="1" si="201"/>
        <v>0</v>
      </c>
      <c r="CQ35" s="9">
        <f t="shared" ca="1" si="201"/>
        <v>0</v>
      </c>
      <c r="CR35" s="9">
        <f t="shared" ca="1" si="201"/>
        <v>0</v>
      </c>
      <c r="CS35" s="9">
        <f t="shared" ca="1" si="201"/>
        <v>0</v>
      </c>
      <c r="CT35" s="9">
        <f t="shared" ca="1" si="201"/>
        <v>0</v>
      </c>
      <c r="CU35" s="9">
        <f t="shared" ca="1" si="201"/>
        <v>0</v>
      </c>
      <c r="CV35" s="9">
        <f t="shared" ca="1" si="201"/>
        <v>0</v>
      </c>
      <c r="CW35" s="9">
        <f t="shared" ca="1" si="201"/>
        <v>0</v>
      </c>
      <c r="CX35" s="9">
        <f t="shared" ca="1" si="201"/>
        <v>0</v>
      </c>
      <c r="CY35" s="9">
        <f t="shared" ca="1" si="201"/>
        <v>0</v>
      </c>
      <c r="CZ35" s="9">
        <f t="shared" ca="1" si="201"/>
        <v>0</v>
      </c>
      <c r="DA35" s="9">
        <f t="shared" ca="1" si="201"/>
        <v>0</v>
      </c>
      <c r="DB35" s="9">
        <f t="shared" ca="1" si="201"/>
        <v>0</v>
      </c>
      <c r="DC35" s="9">
        <f t="shared" ca="1" si="201"/>
        <v>0</v>
      </c>
      <c r="DD35" s="9">
        <f t="shared" ca="1" si="201"/>
        <v>0</v>
      </c>
      <c r="DE35" s="9">
        <f t="shared" ca="1" si="201"/>
        <v>0</v>
      </c>
      <c r="DF35" s="9">
        <f t="shared" ca="1" si="201"/>
        <v>0</v>
      </c>
      <c r="DG35" s="9">
        <f t="shared" ca="1" si="201"/>
        <v>0</v>
      </c>
      <c r="DH35" s="9">
        <f t="shared" ca="1" si="201"/>
        <v>0</v>
      </c>
      <c r="DI35" s="9">
        <f t="shared" ca="1" si="201"/>
        <v>0</v>
      </c>
      <c r="DJ35" s="9">
        <f t="shared" ca="1" si="201"/>
        <v>0</v>
      </c>
      <c r="DK35" s="9">
        <f t="shared" ca="1" si="201"/>
        <v>0</v>
      </c>
      <c r="DL35" s="9">
        <f t="shared" ca="1" si="201"/>
        <v>0</v>
      </c>
      <c r="DM35" s="9">
        <f t="shared" ca="1" si="201"/>
        <v>0</v>
      </c>
      <c r="DN35" s="9">
        <f t="shared" ca="1" si="201"/>
        <v>0</v>
      </c>
      <c r="DO35" s="9">
        <f t="shared" ca="1" si="201"/>
        <v>0</v>
      </c>
      <c r="DP35" s="9">
        <f t="shared" ca="1" si="201"/>
        <v>0</v>
      </c>
      <c r="DQ35" s="9">
        <f t="shared" ref="DQ35:GB35" ca="1" si="203">ROUND(10*DQ33,0)</f>
        <v>0</v>
      </c>
      <c r="DR35" s="9">
        <f t="shared" ca="1" si="203"/>
        <v>0</v>
      </c>
      <c r="DS35" s="9">
        <f t="shared" ca="1" si="203"/>
        <v>0</v>
      </c>
      <c r="DT35" s="9">
        <f t="shared" ca="1" si="203"/>
        <v>0</v>
      </c>
      <c r="DU35" s="9">
        <f t="shared" ca="1" si="203"/>
        <v>0</v>
      </c>
      <c r="DV35" s="9">
        <f t="shared" ca="1" si="203"/>
        <v>0</v>
      </c>
      <c r="DW35" s="9">
        <f t="shared" ca="1" si="203"/>
        <v>0</v>
      </c>
      <c r="DX35" s="9">
        <f t="shared" ca="1" si="203"/>
        <v>0</v>
      </c>
      <c r="DY35" s="9">
        <f t="shared" ca="1" si="203"/>
        <v>0</v>
      </c>
      <c r="DZ35" s="9">
        <f t="shared" ca="1" si="203"/>
        <v>0</v>
      </c>
      <c r="EA35" s="9">
        <f t="shared" ca="1" si="203"/>
        <v>0</v>
      </c>
      <c r="EB35" s="9">
        <f t="shared" ca="1" si="203"/>
        <v>0</v>
      </c>
      <c r="EC35" s="9">
        <f t="shared" ca="1" si="203"/>
        <v>0</v>
      </c>
      <c r="ED35" s="9">
        <f t="shared" ca="1" si="203"/>
        <v>0</v>
      </c>
      <c r="EE35" s="9">
        <f t="shared" ca="1" si="203"/>
        <v>0</v>
      </c>
      <c r="EF35" s="9">
        <f t="shared" ca="1" si="203"/>
        <v>0</v>
      </c>
      <c r="EG35" s="9">
        <f t="shared" ca="1" si="203"/>
        <v>0</v>
      </c>
      <c r="EH35" s="9">
        <f t="shared" ca="1" si="203"/>
        <v>0</v>
      </c>
      <c r="EI35" s="9">
        <f t="shared" ca="1" si="203"/>
        <v>0</v>
      </c>
      <c r="EJ35" s="9">
        <f t="shared" ca="1" si="203"/>
        <v>0</v>
      </c>
      <c r="EK35" s="9">
        <f t="shared" ca="1" si="203"/>
        <v>0</v>
      </c>
      <c r="EL35" s="9">
        <f t="shared" ca="1" si="203"/>
        <v>0</v>
      </c>
      <c r="EM35" s="9">
        <f t="shared" ca="1" si="203"/>
        <v>0</v>
      </c>
      <c r="EN35" s="9">
        <f t="shared" ca="1" si="203"/>
        <v>0</v>
      </c>
      <c r="EO35" s="9">
        <f t="shared" ca="1" si="203"/>
        <v>0</v>
      </c>
      <c r="EP35" s="9">
        <f t="shared" ca="1" si="203"/>
        <v>0</v>
      </c>
      <c r="EQ35" s="9">
        <f t="shared" ca="1" si="203"/>
        <v>0</v>
      </c>
      <c r="ER35" s="9">
        <f t="shared" ca="1" si="203"/>
        <v>0</v>
      </c>
      <c r="ES35" s="9">
        <f t="shared" ca="1" si="203"/>
        <v>0</v>
      </c>
      <c r="ET35" s="9">
        <f t="shared" ca="1" si="203"/>
        <v>0</v>
      </c>
      <c r="EU35" s="9">
        <f t="shared" ca="1" si="203"/>
        <v>0</v>
      </c>
      <c r="EV35" s="9">
        <f t="shared" ca="1" si="203"/>
        <v>0</v>
      </c>
      <c r="EW35" s="9">
        <f t="shared" ca="1" si="203"/>
        <v>0</v>
      </c>
      <c r="EX35" s="9">
        <f t="shared" ca="1" si="203"/>
        <v>0</v>
      </c>
      <c r="EY35" s="9">
        <f t="shared" ca="1" si="203"/>
        <v>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0.53291988700628756</v>
      </c>
      <c r="Q50" s="124">
        <f t="shared" si="216"/>
        <v>0.55478034726513814</v>
      </c>
      <c r="R50" s="124">
        <f t="shared" si="216"/>
        <v>3.7498150020865914E-3</v>
      </c>
      <c r="S50" s="124">
        <f t="shared" si="216"/>
        <v>8.6195072761755193E-4</v>
      </c>
      <c r="T50" s="124">
        <f t="shared" ref="T50" si="217">F26</f>
        <v>0.56251329150824048</v>
      </c>
      <c r="U50" s="124">
        <f t="shared" ref="U50" si="218">G26</f>
        <v>0.13391438647665083</v>
      </c>
      <c r="V50" s="124">
        <f t="shared" ref="V50" si="219">H26</f>
        <v>0.33832622448038058</v>
      </c>
      <c r="W50" s="124">
        <f t="shared" ref="W50:Y50" si="220">I26</f>
        <v>6.8485463787777033E-3</v>
      </c>
      <c r="X50" s="124">
        <f t="shared" si="220"/>
        <v>-0.49425886329757934</v>
      </c>
      <c r="Y50" s="125">
        <f t="shared" si="220"/>
        <v>-5.22653927897977E-2</v>
      </c>
      <c r="Z50" s="34"/>
      <c r="AA50" s="34"/>
      <c r="AB50" s="34"/>
      <c r="AN50" s="9" t="s">
        <v>76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1-Thayna</v>
      </c>
      <c r="O51" s="93"/>
      <c r="P51" s="94">
        <f>B27</f>
        <v>7.477597481230322E-2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2-Henrique</v>
      </c>
      <c r="O52" s="93"/>
      <c r="P52" s="93"/>
      <c r="Q52" s="94">
        <f>C27</f>
        <v>1.1269138105230435E-2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3-Andre</v>
      </c>
      <c r="O53" s="93"/>
      <c r="P53" s="93"/>
      <c r="Q53" s="93"/>
      <c r="R53" s="94">
        <f>D27</f>
        <v>0.97405051898962025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4-Atala</v>
      </c>
      <c r="O54" s="93"/>
      <c r="P54" s="93"/>
      <c r="Q54" s="93"/>
      <c r="R54" s="93"/>
      <c r="S54" s="94">
        <f>E27</f>
        <v>0.40540173724212814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5-Bianca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6-Guilherme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7-Joao</v>
      </c>
      <c r="O57" s="93"/>
      <c r="P57" s="93"/>
      <c r="Q57" s="93"/>
      <c r="R57" s="93"/>
      <c r="S57" s="93"/>
      <c r="T57" s="94">
        <f>F27</f>
        <v>2.375229810322407E-2</v>
      </c>
      <c r="U57" s="94">
        <v>0.31372549019607798</v>
      </c>
      <c r="V57" s="94">
        <f>H27</f>
        <v>0.41042245561154805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8-Biagio</v>
      </c>
      <c r="O58" s="93"/>
      <c r="P58" s="93"/>
      <c r="Q58" s="93"/>
      <c r="R58" s="93"/>
      <c r="S58" s="93"/>
      <c r="T58" s="93"/>
      <c r="U58" s="94"/>
      <c r="V58" s="93"/>
      <c r="W58" s="94">
        <f>I27</f>
        <v>5.0196298373527759E-3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9-Cecilia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7.8747878559306053E-2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10-Feni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0.36378947368421055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0.53291988700628756</v>
      </c>
      <c r="B79" s="140">
        <f>VLOOKUP(B78,A27:GS27,DIAG!$T$58+1,0)</f>
        <v>7.477597481230322E-2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-5.22653927897977E-2</v>
      </c>
      <c r="H79" s="140">
        <f>VLOOKUP(H78,A27:GS27,DIAG!$W$58+1,0)</f>
        <v>0.36378947368421055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-0.57779609951332433</v>
      </c>
      <c r="D81" s="29">
        <f>(B81*(A81-$G$79)-A81*(B81-$H$79))/(A81-$G$79)</f>
        <v>0.3335907335907336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-1.7361409242676296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0.57599010888003699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1.1540210593952074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35</v>
      </c>
      <c r="E113" s="60"/>
      <c r="F113" s="61"/>
      <c r="G113" s="61"/>
      <c r="H113" s="61"/>
      <c r="I113" s="61"/>
      <c r="J113" s="61"/>
      <c r="K113" s="61"/>
      <c r="L113" s="61"/>
      <c r="M113" s="61"/>
      <c r="N113" s="62"/>
    </row>
    <row r="114" spans="3:14" x14ac:dyDescent="0.2">
      <c r="E114" s="66"/>
      <c r="F114" s="67"/>
      <c r="G114" s="67"/>
      <c r="H114" s="67"/>
      <c r="I114" s="67"/>
      <c r="J114" s="67"/>
      <c r="K114" s="67"/>
      <c r="L114" s="67"/>
      <c r="M114" s="67"/>
      <c r="N114" s="68"/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40</v>
      </c>
      <c r="D116" s="34"/>
      <c r="E116" s="60"/>
      <c r="F116" s="61"/>
      <c r="G116" s="61"/>
      <c r="H116" s="61"/>
      <c r="I116" s="61"/>
      <c r="J116" s="61"/>
      <c r="K116" s="61"/>
      <c r="L116" s="61"/>
      <c r="M116" s="61"/>
      <c r="N116" s="62"/>
    </row>
    <row r="117" spans="3:14" x14ac:dyDescent="0.2">
      <c r="D117" s="34"/>
      <c r="E117" s="66"/>
      <c r="F117" s="67"/>
      <c r="G117" s="67"/>
      <c r="H117" s="67"/>
      <c r="I117" s="67"/>
      <c r="J117" s="67"/>
      <c r="K117" s="67"/>
      <c r="L117" s="67"/>
      <c r="M117" s="67"/>
      <c r="N117" s="68"/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42</v>
      </c>
      <c r="D119" s="34"/>
      <c r="E119" s="60"/>
      <c r="F119" s="61"/>
      <c r="G119" s="61"/>
      <c r="H119" s="61"/>
      <c r="I119" s="61"/>
      <c r="J119" s="61"/>
      <c r="K119" s="61"/>
      <c r="L119" s="61"/>
      <c r="M119" s="61"/>
      <c r="N119" s="62"/>
    </row>
    <row r="120" spans="3:14" x14ac:dyDescent="0.2">
      <c r="D120" s="34"/>
      <c r="E120" s="66"/>
      <c r="F120" s="67"/>
      <c r="G120" s="67"/>
      <c r="H120" s="67"/>
      <c r="I120" s="67"/>
      <c r="J120" s="67"/>
      <c r="K120" s="67"/>
      <c r="L120" s="67"/>
      <c r="M120" s="67"/>
      <c r="N120" s="68"/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46</v>
      </c>
      <c r="E122" s="60"/>
      <c r="F122" s="61"/>
      <c r="G122" s="61"/>
      <c r="H122" s="61"/>
      <c r="I122" s="61"/>
      <c r="J122" s="61"/>
      <c r="K122" s="61"/>
      <c r="L122" s="61"/>
      <c r="M122" s="61"/>
      <c r="N122" s="62"/>
    </row>
    <row r="123" spans="3:14" x14ac:dyDescent="0.2">
      <c r="E123" s="66"/>
      <c r="F123" s="67"/>
      <c r="G123" s="67"/>
      <c r="H123" s="67"/>
      <c r="I123" s="67"/>
      <c r="J123" s="67"/>
      <c r="K123" s="67"/>
      <c r="L123" s="67"/>
      <c r="M123" s="67"/>
      <c r="N123" s="68"/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49</v>
      </c>
      <c r="E125" s="60"/>
      <c r="F125" s="61"/>
      <c r="G125" s="61"/>
      <c r="H125" s="61"/>
      <c r="I125" s="61"/>
      <c r="J125" s="61"/>
      <c r="K125" s="61"/>
      <c r="L125" s="61"/>
      <c r="M125" s="61"/>
      <c r="N125" s="62"/>
    </row>
    <row r="126" spans="3:14" x14ac:dyDescent="0.2">
      <c r="E126" s="66"/>
      <c r="F126" s="67"/>
      <c r="G126" s="67"/>
      <c r="H126" s="67"/>
      <c r="I126" s="67"/>
      <c r="J126" s="67"/>
      <c r="K126" s="67"/>
      <c r="L126" s="67"/>
      <c r="M126" s="67"/>
      <c r="N126" s="68"/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51</v>
      </c>
      <c r="E128" s="60"/>
      <c r="F128" s="61"/>
      <c r="G128" s="61"/>
      <c r="H128" s="61"/>
      <c r="I128" s="61"/>
      <c r="J128" s="61"/>
      <c r="K128" s="61"/>
      <c r="L128" s="61"/>
      <c r="M128" s="61"/>
      <c r="N128" s="62"/>
    </row>
    <row r="129" spans="3:14" x14ac:dyDescent="0.2">
      <c r="E129" s="66"/>
      <c r="F129" s="67"/>
      <c r="G129" s="67"/>
      <c r="H129" s="67"/>
      <c r="I129" s="67"/>
      <c r="J129" s="67"/>
      <c r="K129" s="67"/>
      <c r="L129" s="67"/>
      <c r="M129" s="67"/>
      <c r="N129" s="68"/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75</v>
      </c>
      <c r="E131" s="60"/>
      <c r="F131" s="61"/>
      <c r="G131" s="61"/>
      <c r="H131" s="61"/>
      <c r="I131" s="61"/>
      <c r="J131" s="61"/>
      <c r="K131" s="61"/>
      <c r="L131" s="61"/>
      <c r="M131" s="61"/>
      <c r="N131" s="62"/>
    </row>
    <row r="132" spans="3:14" x14ac:dyDescent="0.2">
      <c r="E132" s="66"/>
      <c r="F132" s="67"/>
      <c r="G132" s="67"/>
      <c r="H132" s="67"/>
      <c r="I132" s="67"/>
      <c r="J132" s="67"/>
      <c r="K132" s="67"/>
      <c r="L132" s="67"/>
      <c r="M132" s="67"/>
      <c r="N132" s="68"/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76</v>
      </c>
      <c r="E134" s="60"/>
      <c r="F134" s="61"/>
      <c r="G134" s="61"/>
      <c r="H134" s="61"/>
      <c r="I134" s="61"/>
      <c r="J134" s="61"/>
      <c r="K134" s="61"/>
      <c r="L134" s="61"/>
      <c r="M134" s="61"/>
      <c r="N134" s="62"/>
    </row>
    <row r="135" spans="3:14" x14ac:dyDescent="0.2">
      <c r="E135" s="66"/>
      <c r="F135" s="67"/>
      <c r="G135" s="67"/>
      <c r="H135" s="67"/>
      <c r="I135" s="67"/>
      <c r="J135" s="67"/>
      <c r="K135" s="67"/>
      <c r="L135" s="67"/>
      <c r="M135" s="67"/>
      <c r="N135" s="68"/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77</v>
      </c>
      <c r="E137" s="60"/>
      <c r="F137" s="61"/>
      <c r="G137" s="61"/>
      <c r="H137" s="61"/>
      <c r="I137" s="61"/>
      <c r="J137" s="61"/>
      <c r="K137" s="61"/>
      <c r="L137" s="61"/>
      <c r="M137" s="61"/>
      <c r="N137" s="62"/>
    </row>
    <row r="138" spans="3:14" x14ac:dyDescent="0.2">
      <c r="E138" s="66"/>
      <c r="F138" s="67"/>
      <c r="G138" s="67"/>
      <c r="H138" s="67"/>
      <c r="I138" s="67"/>
      <c r="J138" s="67"/>
      <c r="K138" s="67"/>
      <c r="L138" s="67"/>
      <c r="M138" s="67"/>
      <c r="N138" s="68"/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78</v>
      </c>
      <c r="E140" s="60"/>
      <c r="F140" s="61"/>
      <c r="G140" s="61"/>
      <c r="H140" s="61"/>
      <c r="I140" s="61"/>
      <c r="J140" s="61"/>
      <c r="K140" s="61"/>
      <c r="L140" s="61"/>
      <c r="M140" s="61"/>
      <c r="N140" s="62"/>
    </row>
    <row r="141" spans="3:14" x14ac:dyDescent="0.2">
      <c r="E141" s="66"/>
      <c r="F141" s="67"/>
      <c r="G141" s="67"/>
      <c r="H141" s="67"/>
      <c r="I141" s="67"/>
      <c r="J141" s="67"/>
      <c r="K141" s="67"/>
      <c r="L141" s="67"/>
      <c r="M141" s="67"/>
      <c r="N141" s="68"/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138</v>
      </c>
      <c r="E143" s="150"/>
      <c r="F143" s="90"/>
      <c r="G143" s="90"/>
      <c r="H143" s="90"/>
      <c r="I143" s="90"/>
      <c r="J143" s="90"/>
      <c r="K143" s="90"/>
      <c r="L143" s="90"/>
      <c r="M143" s="90"/>
      <c r="N143" s="91"/>
    </row>
    <row r="144" spans="3:14" x14ac:dyDescent="0.2">
      <c r="E144" s="112"/>
      <c r="F144" s="33"/>
      <c r="G144" s="33"/>
      <c r="H144" s="33"/>
      <c r="I144" s="33"/>
      <c r="J144" s="33"/>
      <c r="K144" s="33"/>
      <c r="L144" s="33"/>
      <c r="M144" s="33"/>
      <c r="N144" s="102"/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139</v>
      </c>
      <c r="E146" s="150"/>
      <c r="F146" s="90"/>
      <c r="G146" s="90"/>
      <c r="H146" s="90"/>
      <c r="I146" s="90"/>
      <c r="J146" s="90"/>
      <c r="K146" s="90"/>
      <c r="L146" s="90"/>
      <c r="M146" s="90"/>
      <c r="N146" s="91"/>
    </row>
    <row r="147" spans="3:14" x14ac:dyDescent="0.2">
      <c r="E147" s="112"/>
      <c r="F147" s="33"/>
      <c r="G147" s="33"/>
      <c r="H147" s="33"/>
      <c r="I147" s="33"/>
      <c r="J147" s="33"/>
      <c r="K147" s="33"/>
      <c r="L147" s="33"/>
      <c r="M147" s="33"/>
      <c r="N147" s="102"/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140</v>
      </c>
      <c r="E149" s="150"/>
      <c r="F149" s="90"/>
      <c r="G149" s="90"/>
      <c r="H149" s="90"/>
      <c r="I149" s="90"/>
      <c r="J149" s="90"/>
      <c r="K149" s="90"/>
      <c r="L149" s="90"/>
      <c r="M149" s="90"/>
      <c r="N149" s="91"/>
    </row>
    <row r="150" spans="3:14" x14ac:dyDescent="0.2">
      <c r="E150" s="112"/>
      <c r="F150" s="33"/>
      <c r="G150" s="33"/>
      <c r="H150" s="33"/>
      <c r="I150" s="33"/>
      <c r="J150" s="33"/>
      <c r="K150" s="33"/>
      <c r="L150" s="33"/>
      <c r="M150" s="33"/>
      <c r="N150" s="102"/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141</v>
      </c>
      <c r="E152" s="150"/>
      <c r="F152" s="90"/>
      <c r="G152" s="90"/>
      <c r="H152" s="90"/>
      <c r="I152" s="90"/>
      <c r="J152" s="90"/>
      <c r="K152" s="90"/>
      <c r="L152" s="90"/>
      <c r="M152" s="90"/>
      <c r="N152" s="91"/>
    </row>
    <row r="153" spans="3:14" x14ac:dyDescent="0.2">
      <c r="E153" s="112"/>
      <c r="F153" s="33"/>
      <c r="G153" s="33"/>
      <c r="H153" s="33"/>
      <c r="I153" s="33"/>
      <c r="J153" s="33"/>
      <c r="K153" s="33"/>
      <c r="L153" s="33"/>
      <c r="M153" s="33"/>
      <c r="N153" s="102"/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142</v>
      </c>
      <c r="G155" s="9"/>
      <c r="H155" s="9"/>
      <c r="I155" s="9"/>
      <c r="J155" s="9"/>
      <c r="K155" s="9"/>
    </row>
    <row r="156" spans="3:14" x14ac:dyDescent="0.2">
      <c r="G156" s="9"/>
      <c r="H156" s="9"/>
      <c r="I156" s="9"/>
      <c r="J156" s="9"/>
      <c r="K156" s="9"/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143</v>
      </c>
      <c r="G158" s="9"/>
      <c r="H158" s="9"/>
      <c r="I158" s="9"/>
      <c r="J158" s="9"/>
      <c r="K158" s="9"/>
    </row>
    <row r="159" spans="3:14" x14ac:dyDescent="0.2">
      <c r="G159" s="9"/>
      <c r="H159" s="9"/>
      <c r="I159" s="9"/>
      <c r="J159" s="9"/>
      <c r="K159" s="9"/>
    </row>
    <row r="160" spans="3:14" x14ac:dyDescent="0.2">
      <c r="G160" s="9"/>
      <c r="H160" s="9"/>
      <c r="I160" s="9"/>
      <c r="J160" s="9"/>
      <c r="K160" s="9"/>
    </row>
    <row r="161" spans="3:11" x14ac:dyDescent="0.2">
      <c r="C161" s="9" t="s">
        <v>144</v>
      </c>
      <c r="G161" s="9"/>
      <c r="H161" s="9"/>
      <c r="I161" s="9"/>
      <c r="J161" s="9"/>
      <c r="K161" s="9"/>
    </row>
    <row r="162" spans="3:11" x14ac:dyDescent="0.2">
      <c r="G162" s="9"/>
      <c r="H162" s="9"/>
      <c r="I162" s="9"/>
      <c r="J162" s="9"/>
      <c r="K162" s="9"/>
    </row>
    <row r="163" spans="3:11" x14ac:dyDescent="0.2">
      <c r="G163" s="9"/>
      <c r="H163" s="9"/>
      <c r="I163" s="9"/>
      <c r="J163" s="9"/>
      <c r="K163" s="9"/>
    </row>
    <row r="164" spans="3:11" x14ac:dyDescent="0.2">
      <c r="C164" s="9" t="s">
        <v>145</v>
      </c>
      <c r="G164" s="9"/>
      <c r="H164" s="9"/>
      <c r="I164" s="9"/>
      <c r="J164" s="9"/>
      <c r="K164" s="9"/>
    </row>
    <row r="165" spans="3:11" x14ac:dyDescent="0.2">
      <c r="G165" s="9"/>
      <c r="H165" s="9"/>
      <c r="I165" s="9"/>
      <c r="J165" s="9"/>
      <c r="K165" s="9"/>
    </row>
    <row r="166" spans="3:11" x14ac:dyDescent="0.2">
      <c r="G166" s="9"/>
      <c r="H166" s="9"/>
      <c r="I166" s="9"/>
      <c r="J166" s="9"/>
      <c r="K166" s="9"/>
    </row>
    <row r="167" spans="3:11" x14ac:dyDescent="0.2">
      <c r="C167" s="9" t="s">
        <v>146</v>
      </c>
      <c r="G167" s="9"/>
      <c r="H167" s="9"/>
      <c r="I167" s="9"/>
      <c r="J167" s="9"/>
      <c r="K167" s="9"/>
    </row>
    <row r="168" spans="3:11" x14ac:dyDescent="0.2">
      <c r="G168" s="9"/>
      <c r="H168" s="9"/>
      <c r="I168" s="9"/>
      <c r="J168" s="9"/>
      <c r="K168" s="9"/>
    </row>
    <row r="169" spans="3:11" x14ac:dyDescent="0.2">
      <c r="G169" s="9"/>
      <c r="H169" s="9"/>
      <c r="I169" s="9"/>
      <c r="J169" s="9"/>
      <c r="K169" s="9"/>
    </row>
    <row r="170" spans="3:11" x14ac:dyDescent="0.2">
      <c r="C170" s="9" t="s">
        <v>147</v>
      </c>
      <c r="G170" s="9"/>
      <c r="H170" s="9"/>
      <c r="I170" s="9"/>
      <c r="J170" s="9"/>
      <c r="K170" s="9"/>
    </row>
    <row r="171" spans="3:11" x14ac:dyDescent="0.2">
      <c r="G171" s="9"/>
      <c r="H171" s="9"/>
      <c r="I171" s="9"/>
      <c r="J171" s="9"/>
      <c r="K171" s="9"/>
    </row>
    <row r="172" spans="3:11" x14ac:dyDescent="0.2">
      <c r="G172" s="9"/>
      <c r="H172" s="9"/>
      <c r="I172" s="9"/>
      <c r="J172" s="9"/>
      <c r="K172" s="9"/>
    </row>
    <row r="173" spans="3:11" x14ac:dyDescent="0.2">
      <c r="C173" s="9" t="s">
        <v>148</v>
      </c>
      <c r="G173" s="9"/>
      <c r="H173" s="9"/>
      <c r="I173" s="9"/>
      <c r="J173" s="9"/>
      <c r="K173" s="9"/>
    </row>
    <row r="174" spans="3:11" x14ac:dyDescent="0.2">
      <c r="G174" s="9"/>
      <c r="H174" s="9"/>
      <c r="I174" s="9"/>
      <c r="J174" s="9"/>
      <c r="K174" s="9"/>
    </row>
    <row r="175" spans="3:11" x14ac:dyDescent="0.2">
      <c r="G175" s="9"/>
      <c r="H175" s="9"/>
      <c r="I175" s="9"/>
      <c r="J175" s="9"/>
      <c r="K175" s="9"/>
    </row>
    <row r="176" spans="3:11" x14ac:dyDescent="0.2">
      <c r="C176" s="9" t="s">
        <v>149</v>
      </c>
      <c r="G176" s="9"/>
      <c r="H176" s="9"/>
      <c r="I176" s="9"/>
      <c r="J176" s="9"/>
      <c r="K176" s="9"/>
    </row>
    <row r="177" spans="3:11" x14ac:dyDescent="0.2">
      <c r="G177" s="9"/>
      <c r="H177" s="9"/>
      <c r="I177" s="9"/>
      <c r="J177" s="9"/>
      <c r="K177" s="9"/>
    </row>
    <row r="178" spans="3:11" x14ac:dyDescent="0.2">
      <c r="G178" s="9"/>
      <c r="H178" s="9"/>
      <c r="I178" s="9"/>
      <c r="J178" s="9"/>
      <c r="K178" s="9"/>
    </row>
    <row r="179" spans="3:11" x14ac:dyDescent="0.2">
      <c r="C179" s="9" t="s">
        <v>150</v>
      </c>
      <c r="G179" s="9"/>
      <c r="H179" s="9"/>
      <c r="I179" s="9"/>
      <c r="J179" s="9"/>
      <c r="K179" s="9"/>
    </row>
    <row r="180" spans="3:11" x14ac:dyDescent="0.2">
      <c r="G180" s="9"/>
      <c r="H180" s="9"/>
      <c r="I180" s="9"/>
      <c r="J180" s="9"/>
      <c r="K180" s="9"/>
    </row>
    <row r="181" spans="3:11" x14ac:dyDescent="0.2">
      <c r="G181" s="9"/>
      <c r="H181" s="9"/>
      <c r="I181" s="9"/>
      <c r="J181" s="9"/>
      <c r="K181" s="9"/>
    </row>
    <row r="182" spans="3:11" x14ac:dyDescent="0.2">
      <c r="C182" s="9" t="s">
        <v>151</v>
      </c>
      <c r="G182" s="9"/>
      <c r="H182" s="9"/>
      <c r="I182" s="9"/>
      <c r="J182" s="9"/>
      <c r="K182" s="9"/>
    </row>
    <row r="183" spans="3:11" x14ac:dyDescent="0.2">
      <c r="G183" s="9"/>
      <c r="H183" s="9"/>
      <c r="I183" s="9"/>
      <c r="J183" s="9"/>
      <c r="K183" s="9"/>
    </row>
    <row r="184" spans="3:11" x14ac:dyDescent="0.2">
      <c r="G184" s="9"/>
      <c r="H184" s="9"/>
      <c r="I184" s="9"/>
      <c r="J184" s="9"/>
      <c r="K184" s="9"/>
    </row>
    <row r="185" spans="3:11" x14ac:dyDescent="0.2">
      <c r="C185" s="9" t="s">
        <v>152</v>
      </c>
      <c r="G185" s="9"/>
      <c r="H185" s="9"/>
      <c r="I185" s="9"/>
      <c r="J185" s="9"/>
      <c r="K185" s="9"/>
    </row>
    <row r="186" spans="3:11" x14ac:dyDescent="0.2">
      <c r="G186" s="9"/>
      <c r="H186" s="9"/>
      <c r="I186" s="9"/>
      <c r="J186" s="9"/>
      <c r="K186" s="9"/>
    </row>
    <row r="187" spans="3:11" x14ac:dyDescent="0.2">
      <c r="G187" s="9"/>
      <c r="H187" s="9"/>
      <c r="I187" s="9"/>
      <c r="J187" s="9"/>
      <c r="K187" s="9"/>
    </row>
    <row r="188" spans="3:11" x14ac:dyDescent="0.2">
      <c r="C188" s="9" t="s">
        <v>153</v>
      </c>
      <c r="G188" s="9"/>
      <c r="H188" s="9"/>
      <c r="I188" s="9"/>
      <c r="J188" s="9"/>
      <c r="K188" s="9"/>
    </row>
    <row r="189" spans="3:11" x14ac:dyDescent="0.2">
      <c r="G189" s="9"/>
      <c r="H189" s="9"/>
      <c r="I189" s="9"/>
      <c r="J189" s="9"/>
      <c r="K189" s="9"/>
    </row>
    <row r="190" spans="3:11" x14ac:dyDescent="0.2">
      <c r="G190" s="9"/>
      <c r="H190" s="9"/>
      <c r="I190" s="9"/>
      <c r="J190" s="9"/>
      <c r="K190" s="9"/>
    </row>
    <row r="191" spans="3:11" x14ac:dyDescent="0.2">
      <c r="C191" s="9" t="s">
        <v>154</v>
      </c>
      <c r="G191" s="9"/>
      <c r="H191" s="9"/>
      <c r="I191" s="9"/>
      <c r="J191" s="9"/>
      <c r="K191" s="9"/>
    </row>
    <row r="192" spans="3:11" x14ac:dyDescent="0.2">
      <c r="G192" s="9"/>
      <c r="H192" s="9"/>
      <c r="I192" s="9"/>
      <c r="J192" s="9"/>
      <c r="K192" s="9"/>
    </row>
    <row r="193" spans="3:11" x14ac:dyDescent="0.2">
      <c r="G193" s="9"/>
      <c r="H193" s="9"/>
      <c r="I193" s="9"/>
      <c r="J193" s="9"/>
      <c r="K193" s="9"/>
    </row>
    <row r="194" spans="3:11" x14ac:dyDescent="0.2">
      <c r="C194" s="9" t="s">
        <v>155</v>
      </c>
      <c r="G194" s="9"/>
      <c r="H194" s="9"/>
      <c r="I194" s="9"/>
      <c r="J194" s="9"/>
      <c r="K194" s="9"/>
    </row>
    <row r="195" spans="3:11" x14ac:dyDescent="0.2">
      <c r="G195" s="9"/>
      <c r="H195" s="9"/>
      <c r="I195" s="9"/>
      <c r="J195" s="9"/>
      <c r="K195" s="9"/>
    </row>
    <row r="196" spans="3:11" x14ac:dyDescent="0.2">
      <c r="G196" s="9"/>
      <c r="H196" s="9"/>
      <c r="I196" s="9"/>
      <c r="J196" s="9"/>
      <c r="K196" s="9"/>
    </row>
    <row r="197" spans="3:11" x14ac:dyDescent="0.2">
      <c r="C197" s="9" t="s">
        <v>156</v>
      </c>
      <c r="G197" s="9"/>
      <c r="H197" s="9"/>
      <c r="I197" s="9"/>
      <c r="J197" s="9"/>
      <c r="K197" s="9"/>
    </row>
    <row r="198" spans="3:11" x14ac:dyDescent="0.2">
      <c r="G198" s="9"/>
      <c r="H198" s="9"/>
      <c r="I198" s="9"/>
      <c r="J198" s="9"/>
      <c r="K198" s="9"/>
    </row>
    <row r="199" spans="3:11" x14ac:dyDescent="0.2">
      <c r="G199" s="9"/>
      <c r="H199" s="9"/>
      <c r="I199" s="9"/>
      <c r="J199" s="9"/>
      <c r="K199" s="9"/>
    </row>
    <row r="200" spans="3:11" x14ac:dyDescent="0.2">
      <c r="C200" s="9" t="s">
        <v>157</v>
      </c>
      <c r="G200" s="9"/>
      <c r="H200" s="9"/>
      <c r="I200" s="9"/>
      <c r="J200" s="9"/>
      <c r="K200" s="9"/>
    </row>
    <row r="201" spans="3:11" x14ac:dyDescent="0.2">
      <c r="G201" s="9"/>
      <c r="H201" s="9"/>
      <c r="I201" s="9"/>
      <c r="J201" s="9"/>
      <c r="K201" s="9"/>
    </row>
    <row r="202" spans="3:11" x14ac:dyDescent="0.2">
      <c r="G202" s="9"/>
      <c r="H202" s="9"/>
      <c r="I202" s="9"/>
      <c r="J202" s="9"/>
      <c r="K202" s="9"/>
    </row>
    <row r="203" spans="3:11" x14ac:dyDescent="0.2">
      <c r="C203" s="9" t="s">
        <v>158</v>
      </c>
      <c r="G203" s="9"/>
      <c r="H203" s="9"/>
      <c r="I203" s="9"/>
      <c r="J203" s="9"/>
      <c r="K203" s="9"/>
    </row>
    <row r="204" spans="3:11" x14ac:dyDescent="0.2">
      <c r="G204" s="9"/>
      <c r="H204" s="9"/>
      <c r="I204" s="9"/>
      <c r="J204" s="9"/>
      <c r="K204" s="9"/>
    </row>
    <row r="205" spans="3:11" x14ac:dyDescent="0.2">
      <c r="G205" s="9"/>
      <c r="H205" s="9"/>
      <c r="I205" s="9"/>
      <c r="J205" s="9"/>
      <c r="K205" s="9"/>
    </row>
    <row r="206" spans="3:11" x14ac:dyDescent="0.2">
      <c r="C206" s="9" t="s">
        <v>159</v>
      </c>
      <c r="G206" s="9"/>
      <c r="H206" s="9"/>
      <c r="I206" s="9"/>
      <c r="J206" s="9"/>
      <c r="K206" s="9"/>
    </row>
    <row r="207" spans="3:11" x14ac:dyDescent="0.2">
      <c r="G207" s="9"/>
      <c r="H207" s="9"/>
      <c r="I207" s="9"/>
      <c r="J207" s="9"/>
      <c r="K207" s="9"/>
    </row>
    <row r="208" spans="3:11" x14ac:dyDescent="0.2">
      <c r="G208" s="9"/>
      <c r="H208" s="9"/>
      <c r="I208" s="9"/>
      <c r="J208" s="9"/>
      <c r="K208" s="9"/>
    </row>
    <row r="209" spans="3:11" x14ac:dyDescent="0.2">
      <c r="C209" s="9" t="s">
        <v>160</v>
      </c>
      <c r="G209" s="9"/>
      <c r="H209" s="9"/>
      <c r="I209" s="9"/>
      <c r="J209" s="9"/>
      <c r="K209" s="9"/>
    </row>
    <row r="210" spans="3:11" x14ac:dyDescent="0.2">
      <c r="G210" s="9"/>
      <c r="H210" s="9"/>
      <c r="I210" s="9"/>
      <c r="J210" s="9"/>
      <c r="K210" s="9"/>
    </row>
    <row r="211" spans="3:11" x14ac:dyDescent="0.2">
      <c r="G211" s="9"/>
      <c r="H211" s="9"/>
      <c r="I211" s="9"/>
      <c r="J211" s="9"/>
      <c r="K211" s="9"/>
    </row>
    <row r="212" spans="3:11" x14ac:dyDescent="0.2">
      <c r="C212" s="9" t="s">
        <v>161</v>
      </c>
      <c r="G212" s="9"/>
      <c r="H212" s="9"/>
      <c r="I212" s="9"/>
      <c r="J212" s="9"/>
      <c r="K212" s="9"/>
    </row>
    <row r="213" spans="3:11" x14ac:dyDescent="0.2">
      <c r="G213" s="9"/>
      <c r="H213" s="9"/>
      <c r="I213" s="9"/>
      <c r="J213" s="9"/>
      <c r="K213" s="9"/>
    </row>
    <row r="214" spans="3:11" x14ac:dyDescent="0.2">
      <c r="G214" s="9"/>
      <c r="H214" s="9"/>
      <c r="I214" s="9"/>
      <c r="J214" s="9"/>
      <c r="K214" s="9"/>
    </row>
    <row r="215" spans="3:11" x14ac:dyDescent="0.2">
      <c r="C215" s="9" t="s">
        <v>162</v>
      </c>
      <c r="G215" s="9"/>
      <c r="H215" s="9"/>
      <c r="I215" s="9"/>
      <c r="J215" s="9"/>
      <c r="K215" s="9"/>
    </row>
    <row r="216" spans="3:11" x14ac:dyDescent="0.2">
      <c r="G216" s="9"/>
      <c r="H216" s="9"/>
      <c r="I216" s="9"/>
      <c r="J216" s="9"/>
      <c r="K216" s="9"/>
    </row>
    <row r="217" spans="3:11" x14ac:dyDescent="0.2">
      <c r="G217" s="9"/>
      <c r="H217" s="9"/>
      <c r="I217" s="9"/>
      <c r="J217" s="9"/>
      <c r="K217" s="9"/>
    </row>
    <row r="218" spans="3:11" x14ac:dyDescent="0.2">
      <c r="C218" s="9" t="s">
        <v>163</v>
      </c>
      <c r="G218" s="9"/>
      <c r="H218" s="9"/>
      <c r="I218" s="9"/>
      <c r="J218" s="9"/>
      <c r="K218" s="9"/>
    </row>
    <row r="219" spans="3:11" x14ac:dyDescent="0.2">
      <c r="G219" s="9"/>
      <c r="H219" s="9"/>
      <c r="I219" s="9"/>
      <c r="J219" s="9"/>
      <c r="K219" s="9"/>
    </row>
    <row r="220" spans="3:11" x14ac:dyDescent="0.2">
      <c r="G220" s="9"/>
      <c r="H220" s="9"/>
      <c r="I220" s="9"/>
      <c r="J220" s="9"/>
      <c r="K220" s="9"/>
    </row>
    <row r="221" spans="3:11" x14ac:dyDescent="0.2">
      <c r="C221" s="9" t="s">
        <v>164</v>
      </c>
      <c r="G221" s="9"/>
      <c r="H221" s="9"/>
      <c r="I221" s="9"/>
      <c r="J221" s="9"/>
      <c r="K221" s="9"/>
    </row>
    <row r="222" spans="3:11" x14ac:dyDescent="0.2">
      <c r="G222" s="9"/>
      <c r="H222" s="9"/>
      <c r="I222" s="9"/>
      <c r="J222" s="9"/>
      <c r="K222" s="9"/>
    </row>
    <row r="223" spans="3:11" x14ac:dyDescent="0.2">
      <c r="G223" s="9"/>
      <c r="H223" s="9"/>
      <c r="I223" s="9"/>
      <c r="J223" s="9"/>
      <c r="K223" s="9"/>
    </row>
    <row r="224" spans="3:11" x14ac:dyDescent="0.2">
      <c r="C224" s="9" t="s">
        <v>165</v>
      </c>
      <c r="G224" s="9"/>
      <c r="H224" s="9"/>
      <c r="I224" s="9"/>
      <c r="J224" s="9"/>
      <c r="K224" s="9"/>
    </row>
    <row r="225" spans="3:11" x14ac:dyDescent="0.2">
      <c r="G225" s="9"/>
      <c r="H225" s="9"/>
      <c r="I225" s="9"/>
      <c r="J225" s="9"/>
      <c r="K225" s="9"/>
    </row>
    <row r="226" spans="3:11" x14ac:dyDescent="0.2">
      <c r="G226" s="9"/>
      <c r="H226" s="9"/>
      <c r="I226" s="9"/>
      <c r="J226" s="9"/>
      <c r="K226" s="9"/>
    </row>
    <row r="227" spans="3:11" x14ac:dyDescent="0.2">
      <c r="C227" s="9" t="s">
        <v>166</v>
      </c>
      <c r="G227" s="9"/>
      <c r="H227" s="9"/>
      <c r="I227" s="9"/>
      <c r="J227" s="9"/>
      <c r="K227" s="9"/>
    </row>
    <row r="228" spans="3:11" x14ac:dyDescent="0.2">
      <c r="G228" s="9"/>
      <c r="H228" s="9"/>
      <c r="I228" s="9"/>
      <c r="J228" s="9"/>
      <c r="K228" s="9"/>
    </row>
    <row r="229" spans="3:11" x14ac:dyDescent="0.2">
      <c r="G229" s="9"/>
      <c r="H229" s="9"/>
      <c r="I229" s="9"/>
      <c r="J229" s="9"/>
      <c r="K229" s="9"/>
    </row>
    <row r="230" spans="3:11" x14ac:dyDescent="0.2">
      <c r="C230" s="9" t="s">
        <v>167</v>
      </c>
      <c r="G230" s="9"/>
      <c r="H230" s="9"/>
      <c r="I230" s="9"/>
      <c r="J230" s="9"/>
      <c r="K230" s="9"/>
    </row>
    <row r="231" spans="3:11" x14ac:dyDescent="0.2">
      <c r="G231" s="9"/>
      <c r="H231" s="9"/>
      <c r="I231" s="9"/>
      <c r="J231" s="9"/>
      <c r="K231" s="9"/>
    </row>
    <row r="232" spans="3:11" x14ac:dyDescent="0.2">
      <c r="G232" s="9"/>
      <c r="H232" s="9"/>
      <c r="I232" s="9"/>
      <c r="J232" s="9"/>
      <c r="K232" s="9"/>
    </row>
    <row r="233" spans="3:11" x14ac:dyDescent="0.2">
      <c r="C233" s="9" t="s">
        <v>168</v>
      </c>
      <c r="G233" s="9"/>
      <c r="H233" s="9"/>
      <c r="I233" s="9"/>
      <c r="J233" s="9"/>
      <c r="K233" s="9"/>
    </row>
    <row r="234" spans="3:11" x14ac:dyDescent="0.2">
      <c r="G234" s="9"/>
      <c r="H234" s="9"/>
      <c r="I234" s="9"/>
      <c r="J234" s="9"/>
      <c r="K234" s="9"/>
    </row>
    <row r="235" spans="3:11" x14ac:dyDescent="0.2">
      <c r="G235" s="9"/>
      <c r="H235" s="9"/>
      <c r="I235" s="9"/>
      <c r="J235" s="9"/>
      <c r="K235" s="9"/>
    </row>
    <row r="236" spans="3:11" x14ac:dyDescent="0.2">
      <c r="C236" s="9" t="s">
        <v>169</v>
      </c>
      <c r="G236" s="9"/>
      <c r="H236" s="9"/>
      <c r="I236" s="9"/>
      <c r="J236" s="9"/>
      <c r="K236" s="9"/>
    </row>
    <row r="237" spans="3:11" x14ac:dyDescent="0.2">
      <c r="G237" s="9"/>
      <c r="H237" s="9"/>
      <c r="I237" s="9"/>
      <c r="J237" s="9"/>
      <c r="K237" s="9"/>
    </row>
    <row r="238" spans="3:11" x14ac:dyDescent="0.2">
      <c r="G238" s="9"/>
      <c r="H238" s="9"/>
      <c r="I238" s="9"/>
      <c r="J238" s="9"/>
      <c r="K238" s="9"/>
    </row>
    <row r="239" spans="3:11" x14ac:dyDescent="0.2">
      <c r="C239" s="9" t="s">
        <v>170</v>
      </c>
      <c r="G239" s="9"/>
      <c r="H239" s="9"/>
      <c r="I239" s="9"/>
      <c r="J239" s="9"/>
      <c r="K239" s="9"/>
    </row>
    <row r="240" spans="3:11" x14ac:dyDescent="0.2">
      <c r="G240" s="9"/>
      <c r="H240" s="9"/>
      <c r="I240" s="9"/>
      <c r="J240" s="9"/>
      <c r="K240" s="9"/>
    </row>
    <row r="241" spans="3:11" x14ac:dyDescent="0.2">
      <c r="G241" s="9"/>
      <c r="H241" s="9"/>
      <c r="I241" s="9"/>
      <c r="J241" s="9"/>
      <c r="K241" s="9"/>
    </row>
    <row r="242" spans="3:11" x14ac:dyDescent="0.2">
      <c r="C242" s="9" t="s">
        <v>171</v>
      </c>
      <c r="G242" s="9"/>
      <c r="H242" s="9"/>
      <c r="I242" s="9"/>
      <c r="J242" s="9"/>
      <c r="K242" s="9"/>
    </row>
    <row r="243" spans="3:11" x14ac:dyDescent="0.2">
      <c r="G243" s="9"/>
      <c r="H243" s="9"/>
      <c r="I243" s="9"/>
      <c r="J243" s="9"/>
      <c r="K243" s="9"/>
    </row>
    <row r="244" spans="3:11" x14ac:dyDescent="0.2">
      <c r="G244" s="9"/>
      <c r="H244" s="9"/>
      <c r="I244" s="9"/>
      <c r="J244" s="9"/>
      <c r="K244" s="9"/>
    </row>
    <row r="245" spans="3:11" x14ac:dyDescent="0.2">
      <c r="C245" s="9" t="s">
        <v>172</v>
      </c>
      <c r="G245" s="9"/>
      <c r="H245" s="9"/>
      <c r="I245" s="9"/>
      <c r="J245" s="9"/>
      <c r="K245" s="9"/>
    </row>
    <row r="246" spans="3:11" x14ac:dyDescent="0.2">
      <c r="G246" s="9"/>
      <c r="H246" s="9"/>
      <c r="I246" s="9"/>
      <c r="J246" s="9"/>
      <c r="K246" s="9"/>
    </row>
    <row r="247" spans="3:11" x14ac:dyDescent="0.2">
      <c r="G247" s="9"/>
      <c r="H247" s="9"/>
      <c r="I247" s="9"/>
      <c r="J247" s="9"/>
      <c r="K247" s="9"/>
    </row>
    <row r="248" spans="3:11" x14ac:dyDescent="0.2">
      <c r="C248" s="9" t="s">
        <v>173</v>
      </c>
      <c r="G248" s="9"/>
      <c r="H248" s="9"/>
      <c r="I248" s="9"/>
      <c r="J248" s="9"/>
      <c r="K248" s="9"/>
    </row>
    <row r="249" spans="3:11" x14ac:dyDescent="0.2">
      <c r="G249" s="9"/>
      <c r="H249" s="9"/>
      <c r="I249" s="9"/>
      <c r="J249" s="9"/>
      <c r="K249" s="9"/>
    </row>
    <row r="250" spans="3:11" x14ac:dyDescent="0.2">
      <c r="G250" s="9"/>
      <c r="H250" s="9"/>
      <c r="I250" s="9"/>
      <c r="J250" s="9"/>
      <c r="K250" s="9"/>
    </row>
    <row r="251" spans="3:11" x14ac:dyDescent="0.2">
      <c r="C251" s="9" t="s">
        <v>174</v>
      </c>
      <c r="G251" s="9"/>
      <c r="H251" s="9"/>
      <c r="I251" s="9"/>
      <c r="J251" s="9"/>
      <c r="K251" s="9"/>
    </row>
    <row r="252" spans="3:11" x14ac:dyDescent="0.2">
      <c r="G252" s="9"/>
      <c r="H252" s="9"/>
      <c r="I252" s="9"/>
      <c r="J252" s="9"/>
      <c r="K252" s="9"/>
    </row>
    <row r="253" spans="3:11" x14ac:dyDescent="0.2">
      <c r="G253" s="9"/>
      <c r="H253" s="9"/>
      <c r="I253" s="9"/>
      <c r="J253" s="9"/>
      <c r="K253" s="9"/>
    </row>
    <row r="254" spans="3:11" x14ac:dyDescent="0.2">
      <c r="C254" s="9" t="s">
        <v>175</v>
      </c>
      <c r="G254" s="9"/>
      <c r="H254" s="9"/>
      <c r="I254" s="9"/>
      <c r="J254" s="9"/>
      <c r="K254" s="9"/>
    </row>
    <row r="255" spans="3:11" x14ac:dyDescent="0.2">
      <c r="G255" s="9"/>
      <c r="H255" s="9"/>
      <c r="I255" s="9"/>
      <c r="J255" s="9"/>
      <c r="K255" s="9"/>
    </row>
    <row r="256" spans="3:11" x14ac:dyDescent="0.2">
      <c r="G256" s="9"/>
      <c r="H256" s="9"/>
      <c r="I256" s="9"/>
      <c r="J256" s="9"/>
      <c r="K256" s="9"/>
    </row>
    <row r="257" spans="3:11" x14ac:dyDescent="0.2">
      <c r="C257" s="9" t="s">
        <v>176</v>
      </c>
      <c r="G257" s="9"/>
      <c r="H257" s="9"/>
      <c r="I257" s="9"/>
      <c r="J257" s="9"/>
      <c r="K257" s="9"/>
    </row>
    <row r="258" spans="3:11" x14ac:dyDescent="0.2">
      <c r="G258" s="9"/>
      <c r="H258" s="9"/>
      <c r="I258" s="9"/>
      <c r="J258" s="9"/>
      <c r="K258" s="9"/>
    </row>
    <row r="259" spans="3:11" x14ac:dyDescent="0.2">
      <c r="G259" s="9"/>
      <c r="H259" s="9"/>
      <c r="I259" s="9"/>
      <c r="J259" s="9"/>
      <c r="K259" s="9"/>
    </row>
    <row r="260" spans="3:11" x14ac:dyDescent="0.2">
      <c r="C260" s="9" t="s">
        <v>177</v>
      </c>
      <c r="G260" s="9"/>
      <c r="H260" s="9"/>
      <c r="I260" s="9"/>
      <c r="J260" s="9"/>
      <c r="K260" s="9"/>
    </row>
    <row r="261" spans="3:11" x14ac:dyDescent="0.2">
      <c r="G261" s="9"/>
      <c r="H261" s="9"/>
      <c r="I261" s="9"/>
      <c r="J261" s="9"/>
      <c r="K261" s="9"/>
    </row>
    <row r="262" spans="3:11" x14ac:dyDescent="0.2">
      <c r="G262" s="9"/>
      <c r="H262" s="9"/>
      <c r="I262" s="9"/>
      <c r="J262" s="9"/>
      <c r="K262" s="9"/>
    </row>
    <row r="263" spans="3:11" x14ac:dyDescent="0.2">
      <c r="C263" s="9" t="s">
        <v>178</v>
      </c>
      <c r="G263" s="9"/>
      <c r="H263" s="9"/>
      <c r="I263" s="9"/>
      <c r="J263" s="9"/>
      <c r="K263" s="9"/>
    </row>
    <row r="264" spans="3:11" x14ac:dyDescent="0.2">
      <c r="G264" s="9"/>
      <c r="H264" s="9"/>
      <c r="I264" s="9"/>
      <c r="J264" s="9"/>
      <c r="K264" s="9"/>
    </row>
    <row r="265" spans="3:11" x14ac:dyDescent="0.2">
      <c r="G265" s="9"/>
      <c r="H265" s="9"/>
      <c r="I265" s="9"/>
      <c r="J265" s="9"/>
      <c r="K265" s="9"/>
    </row>
    <row r="266" spans="3:11" x14ac:dyDescent="0.2">
      <c r="C266" s="9" t="s">
        <v>179</v>
      </c>
      <c r="G266" s="9"/>
      <c r="H266" s="9"/>
      <c r="I266" s="9"/>
      <c r="J266" s="9"/>
      <c r="K266" s="9"/>
    </row>
    <row r="267" spans="3:11" x14ac:dyDescent="0.2">
      <c r="G267" s="9"/>
      <c r="H267" s="9"/>
      <c r="I267" s="9"/>
      <c r="J267" s="9"/>
      <c r="K267" s="9"/>
    </row>
    <row r="268" spans="3:11" x14ac:dyDescent="0.2">
      <c r="G268" s="9"/>
      <c r="H268" s="9"/>
      <c r="I268" s="9"/>
      <c r="J268" s="9"/>
      <c r="K268" s="9"/>
    </row>
    <row r="269" spans="3:11" x14ac:dyDescent="0.2">
      <c r="C269" s="9" t="s">
        <v>180</v>
      </c>
      <c r="G269" s="9"/>
      <c r="H269" s="9"/>
      <c r="I269" s="9"/>
      <c r="J269" s="9"/>
      <c r="K269" s="9"/>
    </row>
    <row r="270" spans="3:11" x14ac:dyDescent="0.2">
      <c r="G270" s="9"/>
      <c r="H270" s="9"/>
      <c r="I270" s="9"/>
      <c r="J270" s="9"/>
      <c r="K270" s="9"/>
    </row>
    <row r="271" spans="3:11" x14ac:dyDescent="0.2">
      <c r="G271" s="9"/>
      <c r="H271" s="9"/>
      <c r="I271" s="9"/>
      <c r="J271" s="9"/>
      <c r="K271" s="9"/>
    </row>
    <row r="272" spans="3:11" x14ac:dyDescent="0.2">
      <c r="C272" s="9" t="s">
        <v>181</v>
      </c>
      <c r="G272" s="9"/>
      <c r="H272" s="9"/>
      <c r="I272" s="9"/>
      <c r="J272" s="9"/>
      <c r="K272" s="9"/>
    </row>
    <row r="273" spans="3:11" x14ac:dyDescent="0.2">
      <c r="G273" s="9"/>
      <c r="H273" s="9"/>
      <c r="I273" s="9"/>
      <c r="J273" s="9"/>
      <c r="K273" s="9"/>
    </row>
    <row r="274" spans="3:11" x14ac:dyDescent="0.2">
      <c r="G274" s="9"/>
      <c r="H274" s="9"/>
      <c r="I274" s="9"/>
      <c r="J274" s="9"/>
      <c r="K274" s="9"/>
    </row>
    <row r="275" spans="3:11" x14ac:dyDescent="0.2">
      <c r="C275" s="9" t="s">
        <v>182</v>
      </c>
      <c r="G275" s="9"/>
      <c r="H275" s="9"/>
      <c r="I275" s="9"/>
      <c r="J275" s="9"/>
      <c r="K275" s="9"/>
    </row>
    <row r="276" spans="3:11" x14ac:dyDescent="0.2">
      <c r="G276" s="9"/>
      <c r="H276" s="9"/>
      <c r="I276" s="9"/>
      <c r="J276" s="9"/>
      <c r="K276" s="9"/>
    </row>
    <row r="277" spans="3:11" x14ac:dyDescent="0.2">
      <c r="G277" s="9"/>
      <c r="H277" s="9"/>
      <c r="I277" s="9"/>
      <c r="J277" s="9"/>
      <c r="K277" s="9"/>
    </row>
    <row r="278" spans="3:11" x14ac:dyDescent="0.2">
      <c r="C278" s="9" t="s">
        <v>183</v>
      </c>
      <c r="G278" s="9"/>
      <c r="H278" s="9"/>
      <c r="I278" s="9"/>
      <c r="J278" s="9"/>
      <c r="K278" s="9"/>
    </row>
    <row r="279" spans="3:11" x14ac:dyDescent="0.2">
      <c r="G279" s="9"/>
      <c r="H279" s="9"/>
      <c r="I279" s="9"/>
      <c r="J279" s="9"/>
      <c r="K279" s="9"/>
    </row>
    <row r="280" spans="3:11" x14ac:dyDescent="0.2">
      <c r="G280" s="9"/>
      <c r="H280" s="9"/>
      <c r="I280" s="9"/>
      <c r="J280" s="9"/>
      <c r="K280" s="9"/>
    </row>
    <row r="281" spans="3:11" x14ac:dyDescent="0.2">
      <c r="C281" s="9" t="s">
        <v>184</v>
      </c>
      <c r="G281" s="9"/>
      <c r="H281" s="9"/>
      <c r="I281" s="9"/>
      <c r="J281" s="9"/>
      <c r="K281" s="9"/>
    </row>
    <row r="282" spans="3:11" x14ac:dyDescent="0.2">
      <c r="G282" s="9"/>
      <c r="H282" s="9"/>
      <c r="I282" s="9"/>
      <c r="J282" s="9"/>
      <c r="K282" s="9"/>
    </row>
    <row r="283" spans="3:11" x14ac:dyDescent="0.2">
      <c r="G283" s="9"/>
      <c r="H283" s="9"/>
      <c r="I283" s="9"/>
      <c r="J283" s="9"/>
      <c r="K283" s="9"/>
    </row>
    <row r="284" spans="3:11" x14ac:dyDescent="0.2">
      <c r="C284" s="9" t="s">
        <v>185</v>
      </c>
      <c r="G284" s="9"/>
      <c r="H284" s="9"/>
      <c r="I284" s="9"/>
      <c r="J284" s="9"/>
      <c r="K284" s="9"/>
    </row>
    <row r="285" spans="3:11" x14ac:dyDescent="0.2">
      <c r="G285" s="9"/>
      <c r="H285" s="9"/>
      <c r="I285" s="9"/>
      <c r="J285" s="9"/>
      <c r="K285" s="9"/>
    </row>
    <row r="286" spans="3:11" x14ac:dyDescent="0.2">
      <c r="G286" s="9"/>
      <c r="H286" s="9"/>
      <c r="I286" s="9"/>
      <c r="J286" s="9"/>
      <c r="K286" s="9"/>
    </row>
    <row r="287" spans="3:11" x14ac:dyDescent="0.2">
      <c r="C287" s="9" t="s">
        <v>186</v>
      </c>
      <c r="G287" s="9"/>
      <c r="H287" s="9"/>
      <c r="I287" s="9"/>
      <c r="J287" s="9"/>
      <c r="K287" s="9"/>
    </row>
    <row r="288" spans="3:11" x14ac:dyDescent="0.2">
      <c r="G288" s="9"/>
      <c r="H288" s="9"/>
      <c r="I288" s="9"/>
      <c r="J288" s="9"/>
      <c r="K288" s="9"/>
    </row>
    <row r="289" spans="3:11" x14ac:dyDescent="0.2">
      <c r="G289" s="9"/>
      <c r="H289" s="9"/>
      <c r="I289" s="9"/>
      <c r="J289" s="9"/>
      <c r="K289" s="9"/>
    </row>
    <row r="290" spans="3:11" x14ac:dyDescent="0.2">
      <c r="C290" s="9" t="s">
        <v>187</v>
      </c>
      <c r="G290" s="9"/>
      <c r="H290" s="9"/>
      <c r="I290" s="9"/>
      <c r="J290" s="9"/>
      <c r="K290" s="9"/>
    </row>
    <row r="291" spans="3:11" x14ac:dyDescent="0.2">
      <c r="G291" s="9"/>
      <c r="H291" s="9"/>
      <c r="I291" s="9"/>
      <c r="J291" s="9"/>
      <c r="K291" s="9"/>
    </row>
    <row r="292" spans="3:11" x14ac:dyDescent="0.2">
      <c r="G292" s="9"/>
      <c r="H292" s="9"/>
      <c r="I292" s="9"/>
      <c r="J292" s="9"/>
      <c r="K292" s="9"/>
    </row>
    <row r="293" spans="3:11" x14ac:dyDescent="0.2">
      <c r="C293" s="9" t="s">
        <v>188</v>
      </c>
      <c r="G293" s="9"/>
      <c r="H293" s="9"/>
      <c r="I293" s="9"/>
      <c r="J293" s="9"/>
      <c r="K293" s="9"/>
    </row>
    <row r="294" spans="3:11" x14ac:dyDescent="0.2">
      <c r="G294" s="9"/>
      <c r="H294" s="9"/>
      <c r="I294" s="9"/>
      <c r="J294" s="9"/>
      <c r="K294" s="9"/>
    </row>
    <row r="295" spans="3:11" x14ac:dyDescent="0.2">
      <c r="G295" s="9"/>
      <c r="H295" s="9"/>
      <c r="I295" s="9"/>
      <c r="J295" s="9"/>
      <c r="K295" s="9"/>
    </row>
    <row r="296" spans="3:11" x14ac:dyDescent="0.2">
      <c r="C296" s="9" t="s">
        <v>189</v>
      </c>
      <c r="G296" s="9"/>
      <c r="H296" s="9"/>
      <c r="I296" s="9"/>
      <c r="J296" s="9"/>
      <c r="K296" s="9"/>
    </row>
    <row r="297" spans="3:11" x14ac:dyDescent="0.2">
      <c r="G297" s="9"/>
      <c r="H297" s="9"/>
      <c r="I297" s="9"/>
      <c r="J297" s="9"/>
      <c r="K297" s="9"/>
    </row>
    <row r="298" spans="3:11" x14ac:dyDescent="0.2">
      <c r="G298" s="9"/>
      <c r="H298" s="9"/>
      <c r="I298" s="9"/>
      <c r="J298" s="9"/>
      <c r="K298" s="9"/>
    </row>
    <row r="299" spans="3:11" x14ac:dyDescent="0.2">
      <c r="C299" s="9" t="s">
        <v>190</v>
      </c>
      <c r="G299" s="9"/>
      <c r="H299" s="9"/>
      <c r="I299" s="9"/>
      <c r="J299" s="9"/>
      <c r="K299" s="9"/>
    </row>
    <row r="300" spans="3:11" x14ac:dyDescent="0.2">
      <c r="G300" s="9"/>
      <c r="H300" s="9"/>
      <c r="I300" s="9"/>
      <c r="J300" s="9"/>
      <c r="K300" s="9"/>
    </row>
    <row r="301" spans="3:11" x14ac:dyDescent="0.2">
      <c r="G301" s="9"/>
      <c r="H301" s="9"/>
      <c r="I301" s="9"/>
      <c r="J301" s="9"/>
      <c r="K301" s="9"/>
    </row>
    <row r="302" spans="3:11" x14ac:dyDescent="0.2">
      <c r="C302" s="9" t="s">
        <v>191</v>
      </c>
      <c r="G302" s="9"/>
      <c r="H302" s="9"/>
      <c r="I302" s="9"/>
      <c r="J302" s="9"/>
      <c r="K302" s="9"/>
    </row>
    <row r="303" spans="3:11" x14ac:dyDescent="0.2">
      <c r="G303" s="9"/>
      <c r="H303" s="9"/>
      <c r="I303" s="9"/>
      <c r="J303" s="9"/>
      <c r="K303" s="9"/>
    </row>
    <row r="304" spans="3:11" x14ac:dyDescent="0.2">
      <c r="G304" s="9"/>
      <c r="H304" s="9"/>
      <c r="I304" s="9"/>
      <c r="J304" s="9"/>
      <c r="K304" s="9"/>
    </row>
    <row r="305" spans="3:11" x14ac:dyDescent="0.2">
      <c r="C305" s="9" t="s">
        <v>192</v>
      </c>
      <c r="G305" s="9"/>
      <c r="H305" s="9"/>
      <c r="I305" s="9"/>
      <c r="J305" s="9"/>
      <c r="K305" s="9"/>
    </row>
    <row r="306" spans="3:11" x14ac:dyDescent="0.2">
      <c r="G306" s="9"/>
      <c r="H306" s="9"/>
      <c r="I306" s="9"/>
      <c r="J306" s="9"/>
      <c r="K306" s="9"/>
    </row>
    <row r="307" spans="3:11" x14ac:dyDescent="0.2">
      <c r="G307" s="9"/>
      <c r="H307" s="9"/>
      <c r="I307" s="9"/>
      <c r="J307" s="9"/>
      <c r="K307" s="9"/>
    </row>
    <row r="308" spans="3:11" x14ac:dyDescent="0.2">
      <c r="C308" s="9" t="s">
        <v>193</v>
      </c>
      <c r="G308" s="9"/>
      <c r="H308" s="9"/>
      <c r="I308" s="9"/>
      <c r="J308" s="9"/>
      <c r="K308" s="9"/>
    </row>
    <row r="309" spans="3:11" x14ac:dyDescent="0.2">
      <c r="G309" s="9"/>
      <c r="H309" s="9"/>
      <c r="I309" s="9"/>
      <c r="J309" s="9"/>
      <c r="K309" s="9"/>
    </row>
    <row r="310" spans="3:11" x14ac:dyDescent="0.2">
      <c r="G310" s="9"/>
      <c r="H310" s="9"/>
      <c r="I310" s="9"/>
      <c r="J310" s="9"/>
      <c r="K310" s="9"/>
    </row>
    <row r="311" spans="3:11" x14ac:dyDescent="0.2">
      <c r="C311" s="9" t="s">
        <v>194</v>
      </c>
      <c r="G311" s="9"/>
      <c r="H311" s="9"/>
      <c r="I311" s="9"/>
      <c r="J311" s="9"/>
      <c r="K311" s="9"/>
    </row>
    <row r="314" spans="3:11" x14ac:dyDescent="0.2">
      <c r="C314" s="9" t="s">
        <v>195</v>
      </c>
    </row>
    <row r="317" spans="3:11" x14ac:dyDescent="0.2">
      <c r="C317" s="9" t="s">
        <v>196</v>
      </c>
    </row>
    <row r="320" spans="3:11" x14ac:dyDescent="0.2">
      <c r="C320" s="9" t="s">
        <v>197</v>
      </c>
    </row>
    <row r="323" spans="3:3" x14ac:dyDescent="0.2">
      <c r="C323" s="9" t="s">
        <v>198</v>
      </c>
    </row>
    <row r="326" spans="3:3" x14ac:dyDescent="0.2">
      <c r="C326" s="9" t="s">
        <v>199</v>
      </c>
    </row>
    <row r="329" spans="3:3" x14ac:dyDescent="0.2">
      <c r="C329" s="9" t="s">
        <v>200</v>
      </c>
    </row>
    <row r="332" spans="3:3" x14ac:dyDescent="0.2">
      <c r="C332" s="9" t="s">
        <v>201</v>
      </c>
    </row>
    <row r="335" spans="3:3" x14ac:dyDescent="0.2">
      <c r="C335" s="9" t="s">
        <v>202</v>
      </c>
    </row>
    <row r="338" spans="3:3" x14ac:dyDescent="0.2">
      <c r="C338" s="9" t="s">
        <v>203</v>
      </c>
    </row>
    <row r="341" spans="3:3" x14ac:dyDescent="0.2">
      <c r="C341" s="9" t="s">
        <v>204</v>
      </c>
    </row>
    <row r="344" spans="3:3" x14ac:dyDescent="0.2">
      <c r="C344" s="9" t="s">
        <v>205</v>
      </c>
    </row>
    <row r="347" spans="3:3" x14ac:dyDescent="0.2">
      <c r="C347" s="9" t="s">
        <v>206</v>
      </c>
    </row>
    <row r="350" spans="3:3" x14ac:dyDescent="0.2">
      <c r="C350" s="9" t="s">
        <v>207</v>
      </c>
    </row>
    <row r="353" spans="3:3" x14ac:dyDescent="0.2">
      <c r="C353" s="9" t="s">
        <v>208</v>
      </c>
    </row>
    <row r="356" spans="3:3" x14ac:dyDescent="0.2">
      <c r="C356" s="9" t="s">
        <v>209</v>
      </c>
    </row>
    <row r="359" spans="3:3" x14ac:dyDescent="0.2">
      <c r="C359" s="9" t="s">
        <v>210</v>
      </c>
    </row>
    <row r="362" spans="3:3" x14ac:dyDescent="0.2">
      <c r="C362" s="9" t="s">
        <v>211</v>
      </c>
    </row>
    <row r="365" spans="3:3" x14ac:dyDescent="0.2">
      <c r="C365" s="9" t="s">
        <v>212</v>
      </c>
    </row>
    <row r="368" spans="3:3" x14ac:dyDescent="0.2">
      <c r="C368" s="9" t="s">
        <v>213</v>
      </c>
    </row>
    <row r="371" spans="3:3" x14ac:dyDescent="0.2">
      <c r="C371" s="9" t="s">
        <v>214</v>
      </c>
    </row>
    <row r="374" spans="3:3" x14ac:dyDescent="0.2">
      <c r="C374" s="9" t="s">
        <v>215</v>
      </c>
    </row>
    <row r="377" spans="3:3" x14ac:dyDescent="0.2">
      <c r="C377" s="9" t="s">
        <v>216</v>
      </c>
    </row>
    <row r="380" spans="3:3" x14ac:dyDescent="0.2">
      <c r="C380" s="9" t="s">
        <v>217</v>
      </c>
    </row>
    <row r="383" spans="3:3" x14ac:dyDescent="0.2">
      <c r="C383" s="9" t="s">
        <v>218</v>
      </c>
    </row>
    <row r="386" spans="3:3" x14ac:dyDescent="0.2">
      <c r="C386" s="9" t="s">
        <v>219</v>
      </c>
    </row>
    <row r="389" spans="3:3" x14ac:dyDescent="0.2">
      <c r="C389" s="9" t="s">
        <v>220</v>
      </c>
    </row>
    <row r="392" spans="3:3" x14ac:dyDescent="0.2">
      <c r="C392" s="9" t="s">
        <v>221</v>
      </c>
    </row>
    <row r="395" spans="3:3" x14ac:dyDescent="0.2">
      <c r="C395" s="9" t="s">
        <v>222</v>
      </c>
    </row>
    <row r="398" spans="3:3" x14ac:dyDescent="0.2">
      <c r="C398" s="9" t="s">
        <v>223</v>
      </c>
    </row>
    <row r="401" spans="3:3" x14ac:dyDescent="0.2">
      <c r="C401" s="9" t="s">
        <v>224</v>
      </c>
    </row>
    <row r="404" spans="3:3" x14ac:dyDescent="0.2">
      <c r="C404" s="9" t="s">
        <v>225</v>
      </c>
    </row>
    <row r="407" spans="3:3" x14ac:dyDescent="0.2">
      <c r="C407" s="9" t="s">
        <v>226</v>
      </c>
    </row>
    <row r="410" spans="3:3" x14ac:dyDescent="0.2">
      <c r="C410" s="9" t="s">
        <v>227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2023-05-10T01:51:18Z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