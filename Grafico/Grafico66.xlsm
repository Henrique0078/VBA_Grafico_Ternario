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K:\André\Grafico\"/>
    </mc:Choice>
  </mc:AlternateContent>
  <xr:revisionPtr revIDLastSave="0" documentId="13_ncr:1_{B5D89479-0AD5-44A4-B140-B6C15522116A}" xr6:coauthVersionLast="47" xr6:coauthVersionMax="47" xr10:uidLastSave="{00000000-0000-0000-0000-000000000000}"/>
  <workbookProtection lockWindows="1"/>
  <bookViews>
    <workbookView xWindow="-120" yWindow="-120" windowWidth="20730" windowHeight="11160" activeTab="1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externalReferences>
    <externalReference r:id="rId6"/>
  </externalReferences>
  <definedNames>
    <definedName name="_xlnm.Print_Area" localSheetId="3">Diagrama!$A$4:$AD$30</definedName>
    <definedName name="_xlnm.Print_Titles" localSheetId="1">Resumo!$1:$1</definedName>
  </definedNames>
  <calcPr calcId="191029" iterate="1"/>
</workbook>
</file>

<file path=xl/calcChain.xml><?xml version="1.0" encoding="utf-8"?>
<calcChain xmlns="http://schemas.openxmlformats.org/spreadsheetml/2006/main">
  <c r="O64" i="6" l="1"/>
  <c r="O68" i="6"/>
  <c r="O72" i="6"/>
  <c r="BA68" i="1"/>
  <c r="BA67" i="1"/>
  <c r="BA66" i="1"/>
  <c r="BA65" i="1"/>
  <c r="BA64" i="1"/>
  <c r="BA63" i="1"/>
  <c r="BA62" i="1"/>
  <c r="BA61" i="1"/>
  <c r="BF5" i="6" l="1"/>
  <c r="BF25" i="6" s="1"/>
  <c r="AX5" i="6"/>
  <c r="AX25" i="6" s="1"/>
  <c r="Z5" i="6"/>
  <c r="Z25" i="6" s="1"/>
  <c r="I5" i="6"/>
  <c r="I25" i="6" s="1"/>
  <c r="G5" i="6"/>
  <c r="G25" i="6" s="1"/>
  <c r="D5" i="6"/>
  <c r="D25" i="6" s="1"/>
  <c r="C5" i="6"/>
  <c r="C25" i="6" s="1"/>
  <c r="CV8" i="6"/>
  <c r="CU7" i="6"/>
  <c r="CP7" i="6"/>
  <c r="CN8" i="6"/>
  <c r="CM9" i="6"/>
  <c r="CG7" i="6"/>
  <c r="CE8" i="6"/>
  <c r="CC7" i="6"/>
  <c r="CB6" i="6"/>
  <c r="CA8" i="6"/>
  <c r="BV8" i="6"/>
  <c r="BT6" i="6"/>
  <c r="BR7" i="6"/>
  <c r="BQ7" i="6"/>
  <c r="BN7" i="6"/>
  <c r="BM7" i="6"/>
  <c r="BJ7" i="6"/>
  <c r="BH6" i="6"/>
  <c r="BG9" i="6"/>
  <c r="BF8" i="6"/>
  <c r="BE7" i="6"/>
  <c r="BD6" i="6"/>
  <c r="BC8" i="6"/>
  <c r="BB7" i="6"/>
  <c r="AZ6" i="6"/>
  <c r="AY9" i="6"/>
  <c r="AX8" i="6"/>
  <c r="AU8" i="6"/>
  <c r="AT8" i="6"/>
  <c r="AT7" i="6"/>
  <c r="AS7" i="6"/>
  <c r="AQ8" i="6"/>
  <c r="AM8" i="6"/>
  <c r="AL7" i="6"/>
  <c r="AK7" i="6"/>
  <c r="AH8" i="6"/>
  <c r="AG7" i="6"/>
  <c r="AD8" i="6"/>
  <c r="AY63" i="1" s="1"/>
  <c r="W8" i="6"/>
  <c r="AR63" i="1" s="1"/>
  <c r="V8" i="6"/>
  <c r="AQ63" i="1" s="1"/>
  <c r="T6" i="6"/>
  <c r="AO61" i="1" s="1"/>
  <c r="R7" i="6"/>
  <c r="AM62" i="1" s="1"/>
  <c r="P6" i="6"/>
  <c r="AK61" i="1" s="1"/>
  <c r="N7" i="6"/>
  <c r="AI62" i="1" s="1"/>
  <c r="M8" i="6"/>
  <c r="AH63" i="1" s="1"/>
  <c r="J8" i="6"/>
  <c r="J7" i="6"/>
  <c r="H6" i="6"/>
  <c r="G8" i="6"/>
  <c r="F8" i="6"/>
  <c r="F7" i="6"/>
  <c r="E7" i="6"/>
  <c r="CI7" i="6"/>
  <c r="CE7" i="6"/>
  <c r="X7" i="6"/>
  <c r="AS62" i="1" s="1"/>
  <c r="S9" i="6"/>
  <c r="AN64" i="1" s="1"/>
  <c r="Q8" i="6"/>
  <c r="AL63" i="1" s="1"/>
  <c r="U8" i="6"/>
  <c r="AP63" i="1" s="1"/>
  <c r="AB7" i="6"/>
  <c r="AW62" i="1" s="1"/>
  <c r="AM6" i="6"/>
  <c r="K7" i="6"/>
  <c r="I7" i="6"/>
  <c r="B7" i="6"/>
  <c r="CW5" i="6"/>
  <c r="CW25" i="6" s="1"/>
  <c r="CV5" i="6"/>
  <c r="CV25" i="6" s="1"/>
  <c r="CU5" i="6"/>
  <c r="CU25" i="6" s="1"/>
  <c r="CT5" i="6"/>
  <c r="CT25" i="6" s="1"/>
  <c r="CS5" i="6"/>
  <c r="CS25" i="6" s="1"/>
  <c r="CR5" i="6"/>
  <c r="CR25" i="6" s="1"/>
  <c r="CQ5" i="6"/>
  <c r="CQ25" i="6" s="1"/>
  <c r="CP5" i="6"/>
  <c r="CP25" i="6" s="1"/>
  <c r="CO5" i="6"/>
  <c r="CO25" i="6" s="1"/>
  <c r="CN5" i="6"/>
  <c r="CN25" i="6" s="1"/>
  <c r="CM5" i="6"/>
  <c r="CM25" i="6" s="1"/>
  <c r="CL5" i="6"/>
  <c r="CL25" i="6" s="1"/>
  <c r="CK5" i="6"/>
  <c r="CK25" i="6" s="1"/>
  <c r="CJ5" i="6"/>
  <c r="CJ25" i="6" s="1"/>
  <c r="CI5" i="6"/>
  <c r="CI25" i="6" s="1"/>
  <c r="CH5" i="6"/>
  <c r="CH25" i="6" s="1"/>
  <c r="CG5" i="6"/>
  <c r="CG25" i="6" s="1"/>
  <c r="CF5" i="6"/>
  <c r="CF25" i="6" s="1"/>
  <c r="CE5" i="6"/>
  <c r="CE25" i="6" s="1"/>
  <c r="CD5" i="6"/>
  <c r="CD25" i="6" s="1"/>
  <c r="CC5" i="6"/>
  <c r="CC25" i="6" s="1"/>
  <c r="CB5" i="6"/>
  <c r="CB25" i="6" s="1"/>
  <c r="CA5" i="6"/>
  <c r="CA25" i="6" s="1"/>
  <c r="BZ5" i="6"/>
  <c r="BZ25" i="6" s="1"/>
  <c r="BY5" i="6"/>
  <c r="BY25" i="6" s="1"/>
  <c r="BX5" i="6"/>
  <c r="BX25" i="6" s="1"/>
  <c r="BW5" i="6"/>
  <c r="BW25" i="6" s="1"/>
  <c r="BV5" i="6"/>
  <c r="BV25" i="6" s="1"/>
  <c r="BU5" i="6"/>
  <c r="BU25" i="6" s="1"/>
  <c r="BT5" i="6"/>
  <c r="BT25" i="6" s="1"/>
  <c r="BS5" i="6"/>
  <c r="BS25" i="6" s="1"/>
  <c r="BR5" i="6"/>
  <c r="BR25" i="6" s="1"/>
  <c r="BQ5" i="6"/>
  <c r="BQ25" i="6" s="1"/>
  <c r="BP5" i="6"/>
  <c r="BP25" i="6" s="1"/>
  <c r="BO5" i="6"/>
  <c r="BO25" i="6" s="1"/>
  <c r="BN5" i="6"/>
  <c r="BN25" i="6" s="1"/>
  <c r="BM5" i="6"/>
  <c r="BM25" i="6" s="1"/>
  <c r="BL5" i="6"/>
  <c r="BL25" i="6" s="1"/>
  <c r="BK5" i="6"/>
  <c r="BK25" i="6" s="1"/>
  <c r="BJ5" i="6"/>
  <c r="BJ25" i="6" s="1"/>
  <c r="BI5" i="6"/>
  <c r="BI25" i="6" s="1"/>
  <c r="BH5" i="6"/>
  <c r="BH25" i="6" s="1"/>
  <c r="BG5" i="6"/>
  <c r="BG25" i="6" s="1"/>
  <c r="BE5" i="6"/>
  <c r="BE25" i="6" s="1"/>
  <c r="BD5" i="6"/>
  <c r="BD25" i="6" s="1"/>
  <c r="BC5" i="6"/>
  <c r="BC25" i="6" s="1"/>
  <c r="BB5" i="6"/>
  <c r="BB25" i="6" s="1"/>
  <c r="BA5" i="6"/>
  <c r="BA25" i="6" s="1"/>
  <c r="AZ5" i="6"/>
  <c r="AZ25" i="6" s="1"/>
  <c r="AY5" i="6"/>
  <c r="AY25" i="6" s="1"/>
  <c r="AW5" i="6"/>
  <c r="AW25" i="6" s="1"/>
  <c r="AV5" i="6"/>
  <c r="AV25" i="6" s="1"/>
  <c r="AU5" i="6"/>
  <c r="AU25" i="6" s="1"/>
  <c r="AT5" i="6"/>
  <c r="AT25" i="6" s="1"/>
  <c r="AS5" i="6"/>
  <c r="AS25" i="6" s="1"/>
  <c r="AR5" i="6"/>
  <c r="AR25" i="6" s="1"/>
  <c r="AQ5" i="6"/>
  <c r="AQ25" i="6" s="1"/>
  <c r="AP5" i="6"/>
  <c r="AP25" i="6" s="1"/>
  <c r="AO5" i="6"/>
  <c r="AO25" i="6" s="1"/>
  <c r="AN5" i="6"/>
  <c r="AN25" i="6" s="1"/>
  <c r="AM5" i="6"/>
  <c r="AM25" i="6" s="1"/>
  <c r="AL5" i="6"/>
  <c r="AL25" i="6" s="1"/>
  <c r="AK5" i="6"/>
  <c r="AK25" i="6" s="1"/>
  <c r="AJ5" i="6"/>
  <c r="AJ25" i="6" s="1"/>
  <c r="AI5" i="6"/>
  <c r="AI25" i="6" s="1"/>
  <c r="AH5" i="6"/>
  <c r="AH25" i="6" s="1"/>
  <c r="AG5" i="6"/>
  <c r="AG25" i="6" s="1"/>
  <c r="AF5" i="6"/>
  <c r="AF25" i="6" s="1"/>
  <c r="AE5" i="6"/>
  <c r="AE25" i="6" s="1"/>
  <c r="AD5" i="6"/>
  <c r="AD25" i="6" s="1"/>
  <c r="AC5" i="6"/>
  <c r="AC25" i="6" s="1"/>
  <c r="AB5" i="6"/>
  <c r="AB25" i="6" s="1"/>
  <c r="AA5" i="6"/>
  <c r="AA25" i="6" s="1"/>
  <c r="Y5" i="6"/>
  <c r="Y25" i="6" s="1"/>
  <c r="X5" i="6"/>
  <c r="X25" i="6" s="1"/>
  <c r="W5" i="6"/>
  <c r="W25" i="6" s="1"/>
  <c r="V5" i="6"/>
  <c r="V25" i="6" s="1"/>
  <c r="U5" i="6"/>
  <c r="U25" i="6" s="1"/>
  <c r="T5" i="6"/>
  <c r="T25" i="6" s="1"/>
  <c r="S5" i="6"/>
  <c r="S25" i="6" s="1"/>
  <c r="R5" i="6"/>
  <c r="R25" i="6" s="1"/>
  <c r="Q5" i="6"/>
  <c r="Q25" i="6" s="1"/>
  <c r="P5" i="6"/>
  <c r="P25" i="6" s="1"/>
  <c r="O5" i="6"/>
  <c r="O25" i="6" s="1"/>
  <c r="N5" i="6"/>
  <c r="N25" i="6" s="1"/>
  <c r="M5" i="6"/>
  <c r="M25" i="6" s="1"/>
  <c r="L5" i="6"/>
  <c r="L25" i="6" s="1"/>
  <c r="K5" i="6"/>
  <c r="K25" i="6" s="1"/>
  <c r="J5" i="6"/>
  <c r="J25" i="6" s="1"/>
  <c r="H5" i="6"/>
  <c r="H25" i="6" s="1"/>
  <c r="F5" i="6"/>
  <c r="F25" i="6" s="1"/>
  <c r="E5" i="6"/>
  <c r="E25" i="6" s="1"/>
  <c r="N411" i="6"/>
  <c r="N410" i="6"/>
  <c r="N408" i="6"/>
  <c r="N407" i="6"/>
  <c r="N405" i="6"/>
  <c r="N404" i="6"/>
  <c r="N402" i="6"/>
  <c r="N401" i="6"/>
  <c r="N399" i="6"/>
  <c r="N398" i="6"/>
  <c r="N396" i="6"/>
  <c r="N395" i="6"/>
  <c r="N393" i="6"/>
  <c r="N392" i="6"/>
  <c r="N390" i="6"/>
  <c r="N389" i="6"/>
  <c r="N387" i="6"/>
  <c r="N386" i="6"/>
  <c r="N384" i="6"/>
  <c r="N383" i="6"/>
  <c r="N381" i="6"/>
  <c r="N380" i="6"/>
  <c r="N378" i="6"/>
  <c r="N377" i="6"/>
  <c r="N375" i="6"/>
  <c r="N374" i="6"/>
  <c r="N372" i="6"/>
  <c r="N371" i="6"/>
  <c r="N369" i="6"/>
  <c r="N368" i="6"/>
  <c r="N366" i="6"/>
  <c r="N365" i="6"/>
  <c r="N363" i="6"/>
  <c r="N362" i="6"/>
  <c r="N360" i="6"/>
  <c r="N359" i="6"/>
  <c r="N357" i="6"/>
  <c r="N356" i="6"/>
  <c r="N354" i="6"/>
  <c r="N353" i="6"/>
  <c r="N351" i="6"/>
  <c r="N350" i="6"/>
  <c r="N348" i="6"/>
  <c r="N347" i="6"/>
  <c r="N345" i="6"/>
  <c r="N344" i="6"/>
  <c r="N342" i="6"/>
  <c r="N341" i="6"/>
  <c r="N339" i="6"/>
  <c r="N338" i="6"/>
  <c r="N336" i="6"/>
  <c r="N335" i="6"/>
  <c r="N333" i="6"/>
  <c r="N332" i="6"/>
  <c r="N330" i="6"/>
  <c r="N329" i="6"/>
  <c r="N327" i="6"/>
  <c r="N326" i="6"/>
  <c r="N324" i="6"/>
  <c r="N323" i="6"/>
  <c r="N321" i="6"/>
  <c r="N320" i="6"/>
  <c r="N318" i="6"/>
  <c r="N317" i="6"/>
  <c r="N315" i="6"/>
  <c r="N314" i="6"/>
  <c r="N312" i="6"/>
  <c r="N311" i="6"/>
  <c r="N309" i="6"/>
  <c r="N308" i="6"/>
  <c r="N306" i="6"/>
  <c r="N305" i="6"/>
  <c r="N303" i="6"/>
  <c r="N302" i="6"/>
  <c r="N300" i="6"/>
  <c r="N299" i="6"/>
  <c r="N297" i="6"/>
  <c r="N296" i="6"/>
  <c r="N294" i="6"/>
  <c r="N293" i="6"/>
  <c r="N291" i="6"/>
  <c r="N290" i="6"/>
  <c r="N288" i="6"/>
  <c r="N287" i="6"/>
  <c r="N285" i="6"/>
  <c r="N284" i="6"/>
  <c r="N282" i="6"/>
  <c r="N281" i="6"/>
  <c r="N279" i="6"/>
  <c r="N278" i="6"/>
  <c r="N276" i="6"/>
  <c r="N275" i="6"/>
  <c r="N273" i="6"/>
  <c r="N272" i="6"/>
  <c r="N270" i="6"/>
  <c r="N269" i="6"/>
  <c r="N267" i="6"/>
  <c r="N266" i="6"/>
  <c r="N264" i="6"/>
  <c r="N263" i="6"/>
  <c r="N261" i="6"/>
  <c r="N260" i="6"/>
  <c r="N258" i="6"/>
  <c r="N257" i="6"/>
  <c r="N255" i="6"/>
  <c r="N254" i="6"/>
  <c r="N252" i="6"/>
  <c r="N251" i="6"/>
  <c r="N249" i="6"/>
  <c r="N248" i="6"/>
  <c r="N246" i="6"/>
  <c r="N245" i="6"/>
  <c r="N243" i="6"/>
  <c r="N242" i="6"/>
  <c r="N240" i="6"/>
  <c r="N239" i="6"/>
  <c r="N237" i="6"/>
  <c r="N236" i="6"/>
  <c r="N234" i="6"/>
  <c r="N233" i="6"/>
  <c r="N231" i="6"/>
  <c r="N230" i="6"/>
  <c r="N228" i="6"/>
  <c r="N227" i="6"/>
  <c r="N225" i="6"/>
  <c r="N224" i="6"/>
  <c r="N222" i="6"/>
  <c r="N221" i="6"/>
  <c r="N219" i="6"/>
  <c r="N218" i="6"/>
  <c r="N216" i="6"/>
  <c r="N215" i="6"/>
  <c r="N213" i="6"/>
  <c r="N212" i="6"/>
  <c r="N210" i="6"/>
  <c r="N209" i="6"/>
  <c r="N207" i="6"/>
  <c r="N206" i="6"/>
  <c r="N204" i="6"/>
  <c r="N203" i="6"/>
  <c r="N201" i="6"/>
  <c r="N200" i="6"/>
  <c r="N198" i="6"/>
  <c r="N197" i="6"/>
  <c r="N195" i="6"/>
  <c r="N194" i="6"/>
  <c r="N192" i="6"/>
  <c r="N191" i="6"/>
  <c r="N189" i="6"/>
  <c r="N188" i="6"/>
  <c r="N186" i="6"/>
  <c r="N185" i="6"/>
  <c r="N183" i="6"/>
  <c r="N182" i="6"/>
  <c r="N180" i="6"/>
  <c r="N179" i="6"/>
  <c r="N177" i="6"/>
  <c r="N176" i="6"/>
  <c r="N174" i="6"/>
  <c r="N173" i="6"/>
  <c r="E411" i="6"/>
  <c r="E410" i="6"/>
  <c r="E408" i="6"/>
  <c r="E407" i="6"/>
  <c r="E405" i="6"/>
  <c r="E404" i="6"/>
  <c r="E402" i="6"/>
  <c r="E401" i="6"/>
  <c r="E399" i="6"/>
  <c r="E398" i="6"/>
  <c r="E396" i="6"/>
  <c r="E395" i="6"/>
  <c r="E393" i="6"/>
  <c r="E392" i="6"/>
  <c r="E390" i="6"/>
  <c r="E389" i="6"/>
  <c r="E387" i="6"/>
  <c r="E386" i="6"/>
  <c r="E384" i="6"/>
  <c r="E383" i="6"/>
  <c r="E381" i="6"/>
  <c r="E380" i="6"/>
  <c r="E378" i="6"/>
  <c r="E377" i="6"/>
  <c r="E375" i="6"/>
  <c r="E374" i="6"/>
  <c r="E372" i="6"/>
  <c r="E371" i="6"/>
  <c r="E369" i="6"/>
  <c r="E368" i="6"/>
  <c r="E366" i="6"/>
  <c r="E365" i="6"/>
  <c r="E363" i="6"/>
  <c r="E362" i="6"/>
  <c r="E360" i="6"/>
  <c r="E359" i="6"/>
  <c r="E357" i="6"/>
  <c r="E356" i="6"/>
  <c r="E354" i="6"/>
  <c r="E353" i="6"/>
  <c r="E351" i="6"/>
  <c r="E350" i="6"/>
  <c r="E348" i="6"/>
  <c r="E347" i="6"/>
  <c r="E345" i="6"/>
  <c r="E344" i="6"/>
  <c r="E342" i="6"/>
  <c r="E341" i="6"/>
  <c r="E339" i="6"/>
  <c r="E338" i="6"/>
  <c r="E336" i="6"/>
  <c r="E335" i="6"/>
  <c r="E333" i="6"/>
  <c r="E332" i="6"/>
  <c r="E330" i="6"/>
  <c r="E329" i="6"/>
  <c r="E327" i="6"/>
  <c r="E326" i="6"/>
  <c r="E324" i="6"/>
  <c r="E323" i="6"/>
  <c r="E321" i="6"/>
  <c r="E320" i="6"/>
  <c r="E318" i="6"/>
  <c r="E317" i="6"/>
  <c r="E315" i="6"/>
  <c r="E314" i="6"/>
  <c r="E312" i="6"/>
  <c r="E311" i="6"/>
  <c r="E309" i="6"/>
  <c r="E308" i="6"/>
  <c r="E306" i="6"/>
  <c r="E305" i="6"/>
  <c r="E303" i="6"/>
  <c r="E302" i="6"/>
  <c r="E300" i="6"/>
  <c r="E299" i="6"/>
  <c r="E297" i="6"/>
  <c r="E296" i="6"/>
  <c r="E294" i="6"/>
  <c r="E293" i="6"/>
  <c r="E291" i="6"/>
  <c r="E290" i="6"/>
  <c r="E288" i="6"/>
  <c r="E287" i="6"/>
  <c r="E285" i="6"/>
  <c r="E284" i="6"/>
  <c r="E282" i="6"/>
  <c r="E281" i="6"/>
  <c r="E279" i="6"/>
  <c r="E278" i="6"/>
  <c r="E276" i="6"/>
  <c r="E275" i="6"/>
  <c r="E273" i="6"/>
  <c r="E272" i="6"/>
  <c r="E270" i="6"/>
  <c r="E269" i="6"/>
  <c r="E267" i="6"/>
  <c r="F267" i="6" s="1"/>
  <c r="G267" i="6" s="1"/>
  <c r="H267" i="6" s="1"/>
  <c r="I267" i="6" s="1"/>
  <c r="J267" i="6" s="1"/>
  <c r="K267" i="6" s="1"/>
  <c r="L267" i="6" s="1"/>
  <c r="M267" i="6" s="1"/>
  <c r="E266" i="6"/>
  <c r="E264" i="6"/>
  <c r="E263" i="6"/>
  <c r="E261" i="6"/>
  <c r="E260" i="6"/>
  <c r="E258" i="6"/>
  <c r="E257" i="6"/>
  <c r="E255" i="6"/>
  <c r="E254" i="6"/>
  <c r="E252" i="6"/>
  <c r="E251" i="6"/>
  <c r="E249" i="6"/>
  <c r="E248" i="6"/>
  <c r="E246" i="6"/>
  <c r="E245" i="6"/>
  <c r="E243" i="6"/>
  <c r="E242" i="6"/>
  <c r="E240" i="6"/>
  <c r="E239" i="6"/>
  <c r="E237" i="6"/>
  <c r="E236" i="6"/>
  <c r="E234" i="6"/>
  <c r="E233" i="6"/>
  <c r="E231" i="6"/>
  <c r="E230" i="6"/>
  <c r="E228" i="6"/>
  <c r="E227" i="6"/>
  <c r="E225" i="6"/>
  <c r="E224" i="6"/>
  <c r="E222" i="6"/>
  <c r="E221" i="6"/>
  <c r="E219" i="6"/>
  <c r="E218" i="6"/>
  <c r="E216" i="6"/>
  <c r="E215" i="6"/>
  <c r="E213" i="6"/>
  <c r="E212" i="6"/>
  <c r="E210" i="6"/>
  <c r="E209" i="6"/>
  <c r="E207" i="6"/>
  <c r="E206" i="6"/>
  <c r="E204" i="6"/>
  <c r="E203" i="6"/>
  <c r="E201" i="6"/>
  <c r="E200" i="6"/>
  <c r="E198" i="6"/>
  <c r="E197" i="6"/>
  <c r="E195" i="6"/>
  <c r="E194" i="6"/>
  <c r="E192" i="6"/>
  <c r="E191" i="6"/>
  <c r="E189" i="6"/>
  <c r="E188" i="6"/>
  <c r="E186" i="6"/>
  <c r="E185" i="6"/>
  <c r="E183" i="6"/>
  <c r="E182" i="6"/>
  <c r="E180" i="6"/>
  <c r="E179" i="6"/>
  <c r="E177" i="6"/>
  <c r="E176" i="6"/>
  <c r="E174" i="6"/>
  <c r="E173" i="6"/>
  <c r="BL7" i="6"/>
  <c r="BO7" i="6"/>
  <c r="BP7" i="6"/>
  <c r="BU7" i="6"/>
  <c r="CF7" i="6"/>
  <c r="CJ7" i="6"/>
  <c r="CK7" i="6"/>
  <c r="CN7" i="6"/>
  <c r="CO7" i="6"/>
  <c r="CQ7" i="6"/>
  <c r="CR7" i="6"/>
  <c r="CS7" i="6"/>
  <c r="CT7" i="6"/>
  <c r="CV7" i="6"/>
  <c r="CW7" i="6"/>
  <c r="BS8" i="6"/>
  <c r="BT8" i="6"/>
  <c r="BU8" i="6"/>
  <c r="BX8" i="6"/>
  <c r="BY8" i="6"/>
  <c r="CB8" i="6"/>
  <c r="CC8" i="6"/>
  <c r="CF8" i="6"/>
  <c r="CG8" i="6"/>
  <c r="CI8" i="6"/>
  <c r="CJ8" i="6"/>
  <c r="CK8" i="6"/>
  <c r="CL8" i="6"/>
  <c r="CM8" i="6"/>
  <c r="CO8" i="6"/>
  <c r="CP8" i="6"/>
  <c r="CR8" i="6"/>
  <c r="CS8" i="6"/>
  <c r="CT8" i="6"/>
  <c r="CU8" i="6"/>
  <c r="CW8" i="6"/>
  <c r="CW6" i="6"/>
  <c r="CS6" i="6"/>
  <c r="CM6" i="6"/>
  <c r="BK7" i="6"/>
  <c r="BI7" i="6"/>
  <c r="BH7" i="6"/>
  <c r="BH8" i="6"/>
  <c r="BG7" i="6"/>
  <c r="BF7" i="6"/>
  <c r="BE8" i="6"/>
  <c r="BD7" i="6"/>
  <c r="BD8" i="6"/>
  <c r="BC7" i="6"/>
  <c r="BA8" i="6"/>
  <c r="AZ7" i="6"/>
  <c r="AZ8" i="6"/>
  <c r="AY7" i="6"/>
  <c r="AX7" i="6"/>
  <c r="AW8" i="6"/>
  <c r="AV7" i="6"/>
  <c r="AV8" i="6"/>
  <c r="AU7" i="6"/>
  <c r="AS8" i="6"/>
  <c r="AR7" i="6"/>
  <c r="AR8" i="6"/>
  <c r="AQ7" i="6"/>
  <c r="AP7" i="6"/>
  <c r="AO8" i="6"/>
  <c r="AN7" i="6"/>
  <c r="AN8" i="6"/>
  <c r="AM7" i="6"/>
  <c r="AK8" i="6"/>
  <c r="AJ7" i="6"/>
  <c r="AJ8" i="6"/>
  <c r="AI7" i="6"/>
  <c r="AH7" i="6"/>
  <c r="AG8" i="6"/>
  <c r="AF7" i="6"/>
  <c r="AF8" i="6"/>
  <c r="AE8" i="6"/>
  <c r="AZ63" i="1" s="1"/>
  <c r="AB8" i="6"/>
  <c r="AW63" i="1" s="1"/>
  <c r="Y8" i="6"/>
  <c r="AT63" i="1" s="1"/>
  <c r="X8" i="6"/>
  <c r="AS63" i="1" s="1"/>
  <c r="T7" i="6"/>
  <c r="AO62" i="1" s="1"/>
  <c r="P7" i="6"/>
  <c r="AK62" i="1" s="1"/>
  <c r="P8" i="6"/>
  <c r="AK63" i="1" s="1"/>
  <c r="L7" i="6"/>
  <c r="AG62" i="1" s="1"/>
  <c r="L8" i="6"/>
  <c r="AG63" i="1" s="1"/>
  <c r="K8" i="6"/>
  <c r="I8" i="6"/>
  <c r="H7" i="6"/>
  <c r="H8" i="6"/>
  <c r="G7" i="6"/>
  <c r="E8" i="6"/>
  <c r="D7" i="6"/>
  <c r="D8" i="6"/>
  <c r="C7" i="6"/>
  <c r="C8" i="6"/>
  <c r="BZ6" i="6"/>
  <c r="BV6" i="6"/>
  <c r="BR6" i="6"/>
  <c r="BN6" i="6"/>
  <c r="BJ6" i="6"/>
  <c r="AY6" i="6"/>
  <c r="AU6" i="6"/>
  <c r="AQ6" i="6"/>
  <c r="AD6" i="6"/>
  <c r="AY61" i="1" s="1"/>
  <c r="Z6" i="6"/>
  <c r="AU61" i="1" s="1"/>
  <c r="V6" i="6"/>
  <c r="AQ61" i="1" s="1"/>
  <c r="K6" i="6"/>
  <c r="F6" i="6"/>
  <c r="B8" i="6"/>
  <c r="B6" i="6"/>
  <c r="F173" i="6" l="1"/>
  <c r="G173" i="6" s="1"/>
  <c r="H173" i="6" s="1"/>
  <c r="I173" i="6" s="1"/>
  <c r="J173" i="6" s="1"/>
  <c r="K173" i="6" s="1"/>
  <c r="L173" i="6" s="1"/>
  <c r="M173" i="6" s="1"/>
  <c r="F209" i="6"/>
  <c r="G209" i="6" s="1"/>
  <c r="H209" i="6" s="1"/>
  <c r="I209" i="6" s="1"/>
  <c r="J209" i="6" s="1"/>
  <c r="K209" i="6" s="1"/>
  <c r="L209" i="6" s="1"/>
  <c r="M209" i="6" s="1"/>
  <c r="F227" i="6"/>
  <c r="G227" i="6" s="1"/>
  <c r="H227" i="6" s="1"/>
  <c r="I227" i="6" s="1"/>
  <c r="J227" i="6" s="1"/>
  <c r="K227" i="6" s="1"/>
  <c r="L227" i="6" s="1"/>
  <c r="M227" i="6" s="1"/>
  <c r="F251" i="6"/>
  <c r="G251" i="6" s="1"/>
  <c r="H251" i="6" s="1"/>
  <c r="I251" i="6" s="1"/>
  <c r="J251" i="6" s="1"/>
  <c r="K251" i="6" s="1"/>
  <c r="L251" i="6" s="1"/>
  <c r="M251" i="6" s="1"/>
  <c r="F275" i="6"/>
  <c r="G275" i="6" s="1"/>
  <c r="H275" i="6" s="1"/>
  <c r="I275" i="6" s="1"/>
  <c r="J275" i="6" s="1"/>
  <c r="K275" i="6" s="1"/>
  <c r="L275" i="6" s="1"/>
  <c r="M275" i="6" s="1"/>
  <c r="F299" i="6"/>
  <c r="G299" i="6" s="1"/>
  <c r="H299" i="6" s="1"/>
  <c r="I299" i="6" s="1"/>
  <c r="J299" i="6" s="1"/>
  <c r="K299" i="6" s="1"/>
  <c r="L299" i="6" s="1"/>
  <c r="M299" i="6" s="1"/>
  <c r="F323" i="6"/>
  <c r="G323" i="6" s="1"/>
  <c r="H323" i="6" s="1"/>
  <c r="I323" i="6" s="1"/>
  <c r="J323" i="6" s="1"/>
  <c r="K323" i="6" s="1"/>
  <c r="L323" i="6" s="1"/>
  <c r="M323" i="6" s="1"/>
  <c r="F347" i="6"/>
  <c r="G347" i="6" s="1"/>
  <c r="H347" i="6" s="1"/>
  <c r="I347" i="6" s="1"/>
  <c r="J347" i="6" s="1"/>
  <c r="K347" i="6" s="1"/>
  <c r="L347" i="6" s="1"/>
  <c r="M347" i="6" s="1"/>
  <c r="F365" i="6"/>
  <c r="G365" i="6" s="1"/>
  <c r="H365" i="6" s="1"/>
  <c r="I365" i="6" s="1"/>
  <c r="J365" i="6" s="1"/>
  <c r="K365" i="6" s="1"/>
  <c r="L365" i="6" s="1"/>
  <c r="M365" i="6" s="1"/>
  <c r="F371" i="6"/>
  <c r="G371" i="6" s="1"/>
  <c r="H371" i="6" s="1"/>
  <c r="I371" i="6" s="1"/>
  <c r="J371" i="6" s="1"/>
  <c r="K371" i="6" s="1"/>
  <c r="L371" i="6" s="1"/>
  <c r="M371" i="6" s="1"/>
  <c r="F389" i="6"/>
  <c r="G389" i="6" s="1"/>
  <c r="H389" i="6" s="1"/>
  <c r="I389" i="6" s="1"/>
  <c r="J389" i="6" s="1"/>
  <c r="K389" i="6" s="1"/>
  <c r="L389" i="6" s="1"/>
  <c r="M389" i="6" s="1"/>
  <c r="F407" i="6"/>
  <c r="G407" i="6" s="1"/>
  <c r="H407" i="6" s="1"/>
  <c r="I407" i="6" s="1"/>
  <c r="J407" i="6" s="1"/>
  <c r="K407" i="6" s="1"/>
  <c r="L407" i="6" s="1"/>
  <c r="M407" i="6" s="1"/>
  <c r="F185" i="6"/>
  <c r="G185" i="6" s="1"/>
  <c r="H185" i="6" s="1"/>
  <c r="I185" i="6" s="1"/>
  <c r="J185" i="6" s="1"/>
  <c r="K185" i="6" s="1"/>
  <c r="L185" i="6" s="1"/>
  <c r="M185" i="6" s="1"/>
  <c r="F197" i="6"/>
  <c r="G197" i="6" s="1"/>
  <c r="H197" i="6" s="1"/>
  <c r="I197" i="6" s="1"/>
  <c r="J197" i="6" s="1"/>
  <c r="K197" i="6" s="1"/>
  <c r="L197" i="6" s="1"/>
  <c r="M197" i="6" s="1"/>
  <c r="F221" i="6"/>
  <c r="G221" i="6" s="1"/>
  <c r="H221" i="6" s="1"/>
  <c r="I221" i="6" s="1"/>
  <c r="J221" i="6" s="1"/>
  <c r="K221" i="6" s="1"/>
  <c r="L221" i="6" s="1"/>
  <c r="M221" i="6" s="1"/>
  <c r="F245" i="6"/>
  <c r="G245" i="6" s="1"/>
  <c r="H245" i="6" s="1"/>
  <c r="I245" i="6" s="1"/>
  <c r="J245" i="6" s="1"/>
  <c r="K245" i="6" s="1"/>
  <c r="L245" i="6" s="1"/>
  <c r="M245" i="6" s="1"/>
  <c r="F281" i="6"/>
  <c r="G281" i="6" s="1"/>
  <c r="H281" i="6" s="1"/>
  <c r="I281" i="6" s="1"/>
  <c r="J281" i="6" s="1"/>
  <c r="K281" i="6" s="1"/>
  <c r="L281" i="6" s="1"/>
  <c r="M281" i="6" s="1"/>
  <c r="F311" i="6"/>
  <c r="G311" i="6" s="1"/>
  <c r="H311" i="6" s="1"/>
  <c r="I311" i="6" s="1"/>
  <c r="J311" i="6" s="1"/>
  <c r="K311" i="6" s="1"/>
  <c r="L311" i="6" s="1"/>
  <c r="M311" i="6" s="1"/>
  <c r="F329" i="6"/>
  <c r="G329" i="6" s="1"/>
  <c r="H329" i="6" s="1"/>
  <c r="I329" i="6" s="1"/>
  <c r="J329" i="6" s="1"/>
  <c r="K329" i="6" s="1"/>
  <c r="L329" i="6" s="1"/>
  <c r="M329" i="6" s="1"/>
  <c r="F353" i="6"/>
  <c r="G353" i="6" s="1"/>
  <c r="H353" i="6" s="1"/>
  <c r="I353" i="6" s="1"/>
  <c r="J353" i="6" s="1"/>
  <c r="K353" i="6" s="1"/>
  <c r="L353" i="6" s="1"/>
  <c r="M353" i="6" s="1"/>
  <c r="F395" i="6"/>
  <c r="G395" i="6" s="1"/>
  <c r="H395" i="6" s="1"/>
  <c r="I395" i="6" s="1"/>
  <c r="J395" i="6" s="1"/>
  <c r="K395" i="6" s="1"/>
  <c r="L395" i="6" s="1"/>
  <c r="M395" i="6" s="1"/>
  <c r="F191" i="6"/>
  <c r="G191" i="6" s="1"/>
  <c r="H191" i="6" s="1"/>
  <c r="I191" i="6" s="1"/>
  <c r="J191" i="6" s="1"/>
  <c r="K191" i="6" s="1"/>
  <c r="L191" i="6" s="1"/>
  <c r="M191" i="6" s="1"/>
  <c r="F215" i="6"/>
  <c r="G215" i="6" s="1"/>
  <c r="H215" i="6" s="1"/>
  <c r="I215" i="6" s="1"/>
  <c r="J215" i="6" s="1"/>
  <c r="K215" i="6" s="1"/>
  <c r="L215" i="6" s="1"/>
  <c r="M215" i="6" s="1"/>
  <c r="F233" i="6"/>
  <c r="G233" i="6" s="1"/>
  <c r="H233" i="6" s="1"/>
  <c r="I233" i="6" s="1"/>
  <c r="J233" i="6" s="1"/>
  <c r="K233" i="6" s="1"/>
  <c r="L233" i="6" s="1"/>
  <c r="M233" i="6" s="1"/>
  <c r="F269" i="6"/>
  <c r="G269" i="6" s="1"/>
  <c r="H269" i="6" s="1"/>
  <c r="I269" i="6" s="1"/>
  <c r="J269" i="6" s="1"/>
  <c r="K269" i="6" s="1"/>
  <c r="L269" i="6" s="1"/>
  <c r="M269" i="6" s="1"/>
  <c r="F287" i="6"/>
  <c r="G287" i="6" s="1"/>
  <c r="H287" i="6" s="1"/>
  <c r="I287" i="6" s="1"/>
  <c r="J287" i="6" s="1"/>
  <c r="K287" i="6" s="1"/>
  <c r="L287" i="6" s="1"/>
  <c r="M287" i="6" s="1"/>
  <c r="F317" i="6"/>
  <c r="G317" i="6" s="1"/>
  <c r="H317" i="6" s="1"/>
  <c r="I317" i="6" s="1"/>
  <c r="J317" i="6" s="1"/>
  <c r="K317" i="6" s="1"/>
  <c r="L317" i="6" s="1"/>
  <c r="M317" i="6" s="1"/>
  <c r="F335" i="6"/>
  <c r="G335" i="6" s="1"/>
  <c r="H335" i="6" s="1"/>
  <c r="I335" i="6" s="1"/>
  <c r="J335" i="6" s="1"/>
  <c r="K335" i="6" s="1"/>
  <c r="L335" i="6" s="1"/>
  <c r="M335" i="6" s="1"/>
  <c r="F359" i="6"/>
  <c r="G359" i="6" s="1"/>
  <c r="H359" i="6" s="1"/>
  <c r="I359" i="6" s="1"/>
  <c r="J359" i="6" s="1"/>
  <c r="K359" i="6" s="1"/>
  <c r="L359" i="6" s="1"/>
  <c r="M359" i="6" s="1"/>
  <c r="F401" i="6"/>
  <c r="G401" i="6" s="1"/>
  <c r="H401" i="6" s="1"/>
  <c r="I401" i="6" s="1"/>
  <c r="J401" i="6" s="1"/>
  <c r="K401" i="6" s="1"/>
  <c r="L401" i="6" s="1"/>
  <c r="M401" i="6" s="1"/>
  <c r="F188" i="6"/>
  <c r="G188" i="6" s="1"/>
  <c r="H188" i="6" s="1"/>
  <c r="I188" i="6" s="1"/>
  <c r="J188" i="6" s="1"/>
  <c r="K188" i="6" s="1"/>
  <c r="L188" i="6" s="1"/>
  <c r="M188" i="6" s="1"/>
  <c r="F194" i="6"/>
  <c r="G194" i="6" s="1"/>
  <c r="H194" i="6" s="1"/>
  <c r="I194" i="6" s="1"/>
  <c r="J194" i="6" s="1"/>
  <c r="K194" i="6" s="1"/>
  <c r="L194" i="6" s="1"/>
  <c r="M194" i="6" s="1"/>
  <c r="F200" i="6"/>
  <c r="G200" i="6" s="1"/>
  <c r="H200" i="6" s="1"/>
  <c r="I200" i="6" s="1"/>
  <c r="J200" i="6" s="1"/>
  <c r="K200" i="6" s="1"/>
  <c r="L200" i="6" s="1"/>
  <c r="M200" i="6" s="1"/>
  <c r="F212" i="6"/>
  <c r="G212" i="6" s="1"/>
  <c r="H212" i="6" s="1"/>
  <c r="I212" i="6" s="1"/>
  <c r="J212" i="6" s="1"/>
  <c r="K212" i="6" s="1"/>
  <c r="L212" i="6" s="1"/>
  <c r="M212" i="6" s="1"/>
  <c r="F218" i="6"/>
  <c r="G218" i="6" s="1"/>
  <c r="H218" i="6" s="1"/>
  <c r="I218" i="6" s="1"/>
  <c r="J218" i="6" s="1"/>
  <c r="K218" i="6" s="1"/>
  <c r="L218" i="6" s="1"/>
  <c r="M218" i="6" s="1"/>
  <c r="F224" i="6"/>
  <c r="G224" i="6" s="1"/>
  <c r="H224" i="6" s="1"/>
  <c r="I224" i="6" s="1"/>
  <c r="J224" i="6" s="1"/>
  <c r="K224" i="6" s="1"/>
  <c r="L224" i="6" s="1"/>
  <c r="M224" i="6" s="1"/>
  <c r="F230" i="6"/>
  <c r="G230" i="6" s="1"/>
  <c r="H230" i="6" s="1"/>
  <c r="I230" i="6" s="1"/>
  <c r="J230" i="6" s="1"/>
  <c r="K230" i="6" s="1"/>
  <c r="L230" i="6" s="1"/>
  <c r="M230" i="6" s="1"/>
  <c r="F248" i="6"/>
  <c r="G248" i="6" s="1"/>
  <c r="H248" i="6" s="1"/>
  <c r="I248" i="6" s="1"/>
  <c r="J248" i="6" s="1"/>
  <c r="K248" i="6" s="1"/>
  <c r="L248" i="6" s="1"/>
  <c r="M248" i="6" s="1"/>
  <c r="F254" i="6"/>
  <c r="G254" i="6" s="1"/>
  <c r="H254" i="6" s="1"/>
  <c r="I254" i="6" s="1"/>
  <c r="J254" i="6" s="1"/>
  <c r="K254" i="6" s="1"/>
  <c r="L254" i="6" s="1"/>
  <c r="M254" i="6" s="1"/>
  <c r="F266" i="6"/>
  <c r="G266" i="6" s="1"/>
  <c r="H266" i="6" s="1"/>
  <c r="I266" i="6" s="1"/>
  <c r="J266" i="6" s="1"/>
  <c r="K266" i="6" s="1"/>
  <c r="L266" i="6" s="1"/>
  <c r="M266" i="6" s="1"/>
  <c r="F272" i="6"/>
  <c r="G272" i="6" s="1"/>
  <c r="H272" i="6" s="1"/>
  <c r="I272" i="6" s="1"/>
  <c r="J272" i="6" s="1"/>
  <c r="K272" i="6" s="1"/>
  <c r="L272" i="6" s="1"/>
  <c r="M272" i="6" s="1"/>
  <c r="F284" i="6"/>
  <c r="G284" i="6" s="1"/>
  <c r="H284" i="6" s="1"/>
  <c r="I284" i="6" s="1"/>
  <c r="J284" i="6" s="1"/>
  <c r="K284" i="6" s="1"/>
  <c r="L284" i="6" s="1"/>
  <c r="M284" i="6" s="1"/>
  <c r="F290" i="6"/>
  <c r="G290" i="6" s="1"/>
  <c r="H290" i="6" s="1"/>
  <c r="I290" i="6" s="1"/>
  <c r="J290" i="6" s="1"/>
  <c r="K290" i="6" s="1"/>
  <c r="L290" i="6" s="1"/>
  <c r="M290" i="6" s="1"/>
  <c r="F296" i="6"/>
  <c r="G296" i="6" s="1"/>
  <c r="H296" i="6" s="1"/>
  <c r="I296" i="6" s="1"/>
  <c r="J296" i="6" s="1"/>
  <c r="K296" i="6" s="1"/>
  <c r="L296" i="6" s="1"/>
  <c r="M296" i="6" s="1"/>
  <c r="F302" i="6"/>
  <c r="G302" i="6" s="1"/>
  <c r="H302" i="6" s="1"/>
  <c r="I302" i="6" s="1"/>
  <c r="J302" i="6" s="1"/>
  <c r="K302" i="6" s="1"/>
  <c r="L302" i="6" s="1"/>
  <c r="M302" i="6" s="1"/>
  <c r="F308" i="6"/>
  <c r="G308" i="6" s="1"/>
  <c r="H308" i="6" s="1"/>
  <c r="I308" i="6" s="1"/>
  <c r="J308" i="6" s="1"/>
  <c r="K308" i="6" s="1"/>
  <c r="L308" i="6" s="1"/>
  <c r="M308" i="6" s="1"/>
  <c r="F314" i="6"/>
  <c r="G314" i="6" s="1"/>
  <c r="H314" i="6" s="1"/>
  <c r="I314" i="6" s="1"/>
  <c r="J314" i="6" s="1"/>
  <c r="K314" i="6" s="1"/>
  <c r="L314" i="6" s="1"/>
  <c r="M314" i="6" s="1"/>
  <c r="F326" i="6"/>
  <c r="G326" i="6" s="1"/>
  <c r="H326" i="6" s="1"/>
  <c r="I326" i="6" s="1"/>
  <c r="J326" i="6" s="1"/>
  <c r="K326" i="6" s="1"/>
  <c r="L326" i="6" s="1"/>
  <c r="M326" i="6" s="1"/>
  <c r="F332" i="6"/>
  <c r="G332" i="6" s="1"/>
  <c r="H332" i="6" s="1"/>
  <c r="I332" i="6" s="1"/>
  <c r="J332" i="6" s="1"/>
  <c r="K332" i="6" s="1"/>
  <c r="L332" i="6" s="1"/>
  <c r="M332" i="6" s="1"/>
  <c r="F338" i="6"/>
  <c r="G338" i="6" s="1"/>
  <c r="H338" i="6" s="1"/>
  <c r="I338" i="6" s="1"/>
  <c r="J338" i="6" s="1"/>
  <c r="K338" i="6" s="1"/>
  <c r="L338" i="6" s="1"/>
  <c r="M338" i="6" s="1"/>
  <c r="F344" i="6"/>
  <c r="G344" i="6" s="1"/>
  <c r="H344" i="6" s="1"/>
  <c r="I344" i="6" s="1"/>
  <c r="J344" i="6" s="1"/>
  <c r="K344" i="6" s="1"/>
  <c r="L344" i="6" s="1"/>
  <c r="M344" i="6" s="1"/>
  <c r="F350" i="6"/>
  <c r="G350" i="6" s="1"/>
  <c r="H350" i="6" s="1"/>
  <c r="I350" i="6" s="1"/>
  <c r="J350" i="6" s="1"/>
  <c r="K350" i="6" s="1"/>
  <c r="L350" i="6" s="1"/>
  <c r="M350" i="6" s="1"/>
  <c r="F356" i="6"/>
  <c r="G356" i="6" s="1"/>
  <c r="H356" i="6" s="1"/>
  <c r="I356" i="6" s="1"/>
  <c r="J356" i="6" s="1"/>
  <c r="K356" i="6" s="1"/>
  <c r="L356" i="6" s="1"/>
  <c r="M356" i="6" s="1"/>
  <c r="F368" i="6"/>
  <c r="G368" i="6" s="1"/>
  <c r="H368" i="6" s="1"/>
  <c r="I368" i="6" s="1"/>
  <c r="J368" i="6" s="1"/>
  <c r="K368" i="6" s="1"/>
  <c r="L368" i="6" s="1"/>
  <c r="M368" i="6" s="1"/>
  <c r="F374" i="6"/>
  <c r="G374" i="6" s="1"/>
  <c r="H374" i="6" s="1"/>
  <c r="I374" i="6" s="1"/>
  <c r="J374" i="6" s="1"/>
  <c r="K374" i="6" s="1"/>
  <c r="L374" i="6" s="1"/>
  <c r="M374" i="6" s="1"/>
  <c r="F380" i="6"/>
  <c r="G380" i="6" s="1"/>
  <c r="H380" i="6" s="1"/>
  <c r="I380" i="6" s="1"/>
  <c r="J380" i="6" s="1"/>
  <c r="K380" i="6" s="1"/>
  <c r="L380" i="6" s="1"/>
  <c r="M380" i="6" s="1"/>
  <c r="F386" i="6"/>
  <c r="G386" i="6" s="1"/>
  <c r="H386" i="6" s="1"/>
  <c r="I386" i="6" s="1"/>
  <c r="J386" i="6" s="1"/>
  <c r="K386" i="6" s="1"/>
  <c r="L386" i="6" s="1"/>
  <c r="M386" i="6" s="1"/>
  <c r="F392" i="6"/>
  <c r="G392" i="6" s="1"/>
  <c r="H392" i="6" s="1"/>
  <c r="I392" i="6" s="1"/>
  <c r="J392" i="6" s="1"/>
  <c r="K392" i="6" s="1"/>
  <c r="L392" i="6" s="1"/>
  <c r="M392" i="6" s="1"/>
  <c r="F398" i="6"/>
  <c r="G398" i="6" s="1"/>
  <c r="H398" i="6" s="1"/>
  <c r="I398" i="6" s="1"/>
  <c r="J398" i="6" s="1"/>
  <c r="K398" i="6" s="1"/>
  <c r="L398" i="6" s="1"/>
  <c r="M398" i="6" s="1"/>
  <c r="F404" i="6"/>
  <c r="G404" i="6" s="1"/>
  <c r="H404" i="6" s="1"/>
  <c r="I404" i="6" s="1"/>
  <c r="J404" i="6" s="1"/>
  <c r="K404" i="6" s="1"/>
  <c r="L404" i="6" s="1"/>
  <c r="M404" i="6" s="1"/>
  <c r="F410" i="6"/>
  <c r="G410" i="6" s="1"/>
  <c r="H410" i="6" s="1"/>
  <c r="I410" i="6" s="1"/>
  <c r="J410" i="6" s="1"/>
  <c r="K410" i="6" s="1"/>
  <c r="L410" i="6" s="1"/>
  <c r="M410" i="6" s="1"/>
  <c r="F174" i="6"/>
  <c r="G174" i="6" s="1"/>
  <c r="H174" i="6" s="1"/>
  <c r="I174" i="6" s="1"/>
  <c r="J174" i="6" s="1"/>
  <c r="K174" i="6" s="1"/>
  <c r="L174" i="6" s="1"/>
  <c r="M174" i="6" s="1"/>
  <c r="F192" i="6"/>
  <c r="G192" i="6" s="1"/>
  <c r="H192" i="6" s="1"/>
  <c r="I192" i="6" s="1"/>
  <c r="J192" i="6" s="1"/>
  <c r="K192" i="6" s="1"/>
  <c r="L192" i="6" s="1"/>
  <c r="M192" i="6" s="1"/>
  <c r="F210" i="6"/>
  <c r="G210" i="6" s="1"/>
  <c r="H210" i="6" s="1"/>
  <c r="I210" i="6" s="1"/>
  <c r="J210" i="6" s="1"/>
  <c r="K210" i="6" s="1"/>
  <c r="L210" i="6" s="1"/>
  <c r="M210" i="6" s="1"/>
  <c r="F222" i="6"/>
  <c r="G222" i="6" s="1"/>
  <c r="H222" i="6" s="1"/>
  <c r="I222" i="6" s="1"/>
  <c r="J222" i="6" s="1"/>
  <c r="K222" i="6" s="1"/>
  <c r="L222" i="6" s="1"/>
  <c r="M222" i="6" s="1"/>
  <c r="F234" i="6"/>
  <c r="G234" i="6" s="1"/>
  <c r="H234" i="6" s="1"/>
  <c r="I234" i="6" s="1"/>
  <c r="J234" i="6" s="1"/>
  <c r="K234" i="6" s="1"/>
  <c r="L234" i="6" s="1"/>
  <c r="M234" i="6" s="1"/>
  <c r="F246" i="6"/>
  <c r="G246" i="6" s="1"/>
  <c r="H246" i="6" s="1"/>
  <c r="I246" i="6" s="1"/>
  <c r="J246" i="6" s="1"/>
  <c r="K246" i="6" s="1"/>
  <c r="L246" i="6" s="1"/>
  <c r="M246" i="6" s="1"/>
  <c r="F258" i="6"/>
  <c r="G258" i="6" s="1"/>
  <c r="H258" i="6" s="1"/>
  <c r="I258" i="6" s="1"/>
  <c r="J258" i="6" s="1"/>
  <c r="K258" i="6" s="1"/>
  <c r="L258" i="6" s="1"/>
  <c r="M258" i="6" s="1"/>
  <c r="F270" i="6"/>
  <c r="G270" i="6" s="1"/>
  <c r="H270" i="6" s="1"/>
  <c r="I270" i="6" s="1"/>
  <c r="J270" i="6" s="1"/>
  <c r="K270" i="6" s="1"/>
  <c r="L270" i="6" s="1"/>
  <c r="M270" i="6" s="1"/>
  <c r="F288" i="6"/>
  <c r="G288" i="6" s="1"/>
  <c r="H288" i="6" s="1"/>
  <c r="I288" i="6" s="1"/>
  <c r="J288" i="6" s="1"/>
  <c r="K288" i="6" s="1"/>
  <c r="L288" i="6" s="1"/>
  <c r="M288" i="6" s="1"/>
  <c r="F300" i="6"/>
  <c r="G300" i="6" s="1"/>
  <c r="H300" i="6" s="1"/>
  <c r="I300" i="6" s="1"/>
  <c r="J300" i="6" s="1"/>
  <c r="K300" i="6" s="1"/>
  <c r="L300" i="6" s="1"/>
  <c r="M300" i="6" s="1"/>
  <c r="F324" i="6"/>
  <c r="G324" i="6" s="1"/>
  <c r="H324" i="6" s="1"/>
  <c r="I324" i="6" s="1"/>
  <c r="J324" i="6" s="1"/>
  <c r="K324" i="6" s="1"/>
  <c r="L324" i="6" s="1"/>
  <c r="M324" i="6" s="1"/>
  <c r="F342" i="6"/>
  <c r="G342" i="6" s="1"/>
  <c r="H342" i="6" s="1"/>
  <c r="I342" i="6" s="1"/>
  <c r="J342" i="6" s="1"/>
  <c r="K342" i="6" s="1"/>
  <c r="L342" i="6" s="1"/>
  <c r="M342" i="6" s="1"/>
  <c r="F354" i="6"/>
  <c r="G354" i="6" s="1"/>
  <c r="H354" i="6" s="1"/>
  <c r="I354" i="6" s="1"/>
  <c r="J354" i="6" s="1"/>
  <c r="K354" i="6" s="1"/>
  <c r="L354" i="6" s="1"/>
  <c r="M354" i="6" s="1"/>
  <c r="F366" i="6"/>
  <c r="G366" i="6" s="1"/>
  <c r="H366" i="6" s="1"/>
  <c r="I366" i="6" s="1"/>
  <c r="J366" i="6" s="1"/>
  <c r="K366" i="6" s="1"/>
  <c r="L366" i="6" s="1"/>
  <c r="M366" i="6" s="1"/>
  <c r="F378" i="6"/>
  <c r="G378" i="6" s="1"/>
  <c r="H378" i="6" s="1"/>
  <c r="I378" i="6" s="1"/>
  <c r="J378" i="6" s="1"/>
  <c r="K378" i="6" s="1"/>
  <c r="L378" i="6" s="1"/>
  <c r="M378" i="6" s="1"/>
  <c r="F390" i="6"/>
  <c r="G390" i="6" s="1"/>
  <c r="H390" i="6" s="1"/>
  <c r="I390" i="6" s="1"/>
  <c r="J390" i="6" s="1"/>
  <c r="K390" i="6" s="1"/>
  <c r="L390" i="6" s="1"/>
  <c r="M390" i="6" s="1"/>
  <c r="F396" i="6"/>
  <c r="G396" i="6" s="1"/>
  <c r="H396" i="6" s="1"/>
  <c r="I396" i="6" s="1"/>
  <c r="J396" i="6" s="1"/>
  <c r="K396" i="6" s="1"/>
  <c r="L396" i="6" s="1"/>
  <c r="M396" i="6" s="1"/>
  <c r="F408" i="6"/>
  <c r="G408" i="6" s="1"/>
  <c r="H408" i="6" s="1"/>
  <c r="I408" i="6" s="1"/>
  <c r="J408" i="6" s="1"/>
  <c r="K408" i="6" s="1"/>
  <c r="L408" i="6" s="1"/>
  <c r="M408" i="6" s="1"/>
  <c r="F180" i="6"/>
  <c r="G180" i="6" s="1"/>
  <c r="H180" i="6" s="1"/>
  <c r="I180" i="6" s="1"/>
  <c r="J180" i="6" s="1"/>
  <c r="K180" i="6" s="1"/>
  <c r="L180" i="6" s="1"/>
  <c r="M180" i="6" s="1"/>
  <c r="F204" i="6"/>
  <c r="G204" i="6" s="1"/>
  <c r="H204" i="6" s="1"/>
  <c r="I204" i="6" s="1"/>
  <c r="J204" i="6" s="1"/>
  <c r="K204" i="6" s="1"/>
  <c r="L204" i="6" s="1"/>
  <c r="M204" i="6" s="1"/>
  <c r="F216" i="6"/>
  <c r="G216" i="6" s="1"/>
  <c r="H216" i="6" s="1"/>
  <c r="I216" i="6" s="1"/>
  <c r="J216" i="6" s="1"/>
  <c r="K216" i="6" s="1"/>
  <c r="L216" i="6" s="1"/>
  <c r="M216" i="6" s="1"/>
  <c r="F228" i="6"/>
  <c r="G228" i="6" s="1"/>
  <c r="H228" i="6" s="1"/>
  <c r="I228" i="6" s="1"/>
  <c r="J228" i="6" s="1"/>
  <c r="K228" i="6" s="1"/>
  <c r="L228" i="6" s="1"/>
  <c r="M228" i="6" s="1"/>
  <c r="F240" i="6"/>
  <c r="G240" i="6" s="1"/>
  <c r="H240" i="6" s="1"/>
  <c r="I240" i="6" s="1"/>
  <c r="J240" i="6" s="1"/>
  <c r="K240" i="6" s="1"/>
  <c r="L240" i="6" s="1"/>
  <c r="M240" i="6" s="1"/>
  <c r="F252" i="6"/>
  <c r="G252" i="6" s="1"/>
  <c r="H252" i="6" s="1"/>
  <c r="I252" i="6" s="1"/>
  <c r="J252" i="6" s="1"/>
  <c r="K252" i="6" s="1"/>
  <c r="L252" i="6" s="1"/>
  <c r="M252" i="6" s="1"/>
  <c r="F264" i="6"/>
  <c r="G264" i="6" s="1"/>
  <c r="H264" i="6" s="1"/>
  <c r="I264" i="6" s="1"/>
  <c r="J264" i="6" s="1"/>
  <c r="K264" i="6" s="1"/>
  <c r="L264" i="6" s="1"/>
  <c r="M264" i="6" s="1"/>
  <c r="F276" i="6"/>
  <c r="G276" i="6" s="1"/>
  <c r="H276" i="6" s="1"/>
  <c r="I276" i="6" s="1"/>
  <c r="J276" i="6" s="1"/>
  <c r="K276" i="6" s="1"/>
  <c r="L276" i="6" s="1"/>
  <c r="M276" i="6" s="1"/>
  <c r="F282" i="6"/>
  <c r="G282" i="6" s="1"/>
  <c r="H282" i="6" s="1"/>
  <c r="I282" i="6" s="1"/>
  <c r="J282" i="6" s="1"/>
  <c r="K282" i="6" s="1"/>
  <c r="L282" i="6" s="1"/>
  <c r="M282" i="6" s="1"/>
  <c r="F294" i="6"/>
  <c r="G294" i="6" s="1"/>
  <c r="H294" i="6" s="1"/>
  <c r="I294" i="6" s="1"/>
  <c r="J294" i="6" s="1"/>
  <c r="K294" i="6" s="1"/>
  <c r="L294" i="6" s="1"/>
  <c r="M294" i="6" s="1"/>
  <c r="F306" i="6"/>
  <c r="G306" i="6" s="1"/>
  <c r="H306" i="6" s="1"/>
  <c r="I306" i="6" s="1"/>
  <c r="J306" i="6" s="1"/>
  <c r="K306" i="6" s="1"/>
  <c r="L306" i="6" s="1"/>
  <c r="M306" i="6" s="1"/>
  <c r="F318" i="6"/>
  <c r="G318" i="6" s="1"/>
  <c r="H318" i="6" s="1"/>
  <c r="I318" i="6" s="1"/>
  <c r="J318" i="6" s="1"/>
  <c r="K318" i="6" s="1"/>
  <c r="L318" i="6" s="1"/>
  <c r="M318" i="6" s="1"/>
  <c r="F330" i="6"/>
  <c r="G330" i="6" s="1"/>
  <c r="H330" i="6" s="1"/>
  <c r="I330" i="6" s="1"/>
  <c r="J330" i="6" s="1"/>
  <c r="K330" i="6" s="1"/>
  <c r="L330" i="6" s="1"/>
  <c r="M330" i="6" s="1"/>
  <c r="F348" i="6"/>
  <c r="G348" i="6" s="1"/>
  <c r="H348" i="6" s="1"/>
  <c r="I348" i="6" s="1"/>
  <c r="J348" i="6" s="1"/>
  <c r="K348" i="6" s="1"/>
  <c r="L348" i="6" s="1"/>
  <c r="M348" i="6" s="1"/>
  <c r="F360" i="6"/>
  <c r="G360" i="6" s="1"/>
  <c r="H360" i="6" s="1"/>
  <c r="I360" i="6" s="1"/>
  <c r="J360" i="6" s="1"/>
  <c r="K360" i="6" s="1"/>
  <c r="L360" i="6" s="1"/>
  <c r="M360" i="6" s="1"/>
  <c r="F384" i="6"/>
  <c r="G384" i="6" s="1"/>
  <c r="H384" i="6" s="1"/>
  <c r="I384" i="6" s="1"/>
  <c r="J384" i="6" s="1"/>
  <c r="K384" i="6" s="1"/>
  <c r="L384" i="6" s="1"/>
  <c r="M384" i="6" s="1"/>
  <c r="F177" i="6"/>
  <c r="G177" i="6" s="1"/>
  <c r="H177" i="6" s="1"/>
  <c r="I177" i="6" s="1"/>
  <c r="J177" i="6" s="1"/>
  <c r="K177" i="6" s="1"/>
  <c r="L177" i="6" s="1"/>
  <c r="M177" i="6" s="1"/>
  <c r="F189" i="6"/>
  <c r="G189" i="6" s="1"/>
  <c r="H189" i="6" s="1"/>
  <c r="I189" i="6" s="1"/>
  <c r="J189" i="6" s="1"/>
  <c r="K189" i="6" s="1"/>
  <c r="L189" i="6" s="1"/>
  <c r="M189" i="6" s="1"/>
  <c r="F201" i="6"/>
  <c r="G201" i="6" s="1"/>
  <c r="H201" i="6" s="1"/>
  <c r="I201" i="6" s="1"/>
  <c r="J201" i="6" s="1"/>
  <c r="K201" i="6" s="1"/>
  <c r="L201" i="6" s="1"/>
  <c r="M201" i="6" s="1"/>
  <c r="F207" i="6"/>
  <c r="G207" i="6" s="1"/>
  <c r="H207" i="6" s="1"/>
  <c r="I207" i="6" s="1"/>
  <c r="J207" i="6" s="1"/>
  <c r="K207" i="6" s="1"/>
  <c r="L207" i="6" s="1"/>
  <c r="M207" i="6" s="1"/>
  <c r="F213" i="6"/>
  <c r="G213" i="6" s="1"/>
  <c r="H213" i="6" s="1"/>
  <c r="I213" i="6" s="1"/>
  <c r="J213" i="6" s="1"/>
  <c r="K213" i="6" s="1"/>
  <c r="L213" i="6" s="1"/>
  <c r="M213" i="6" s="1"/>
  <c r="F219" i="6"/>
  <c r="G219" i="6" s="1"/>
  <c r="H219" i="6" s="1"/>
  <c r="I219" i="6" s="1"/>
  <c r="J219" i="6" s="1"/>
  <c r="K219" i="6" s="1"/>
  <c r="L219" i="6" s="1"/>
  <c r="M219" i="6" s="1"/>
  <c r="F225" i="6"/>
  <c r="G225" i="6" s="1"/>
  <c r="H225" i="6" s="1"/>
  <c r="I225" i="6" s="1"/>
  <c r="J225" i="6" s="1"/>
  <c r="K225" i="6" s="1"/>
  <c r="L225" i="6" s="1"/>
  <c r="M225" i="6" s="1"/>
  <c r="F231" i="6"/>
  <c r="G231" i="6" s="1"/>
  <c r="H231" i="6" s="1"/>
  <c r="I231" i="6" s="1"/>
  <c r="J231" i="6" s="1"/>
  <c r="K231" i="6" s="1"/>
  <c r="L231" i="6" s="1"/>
  <c r="M231" i="6" s="1"/>
  <c r="F243" i="6"/>
  <c r="G243" i="6" s="1"/>
  <c r="H243" i="6" s="1"/>
  <c r="I243" i="6" s="1"/>
  <c r="J243" i="6" s="1"/>
  <c r="K243" i="6" s="1"/>
  <c r="L243" i="6" s="1"/>
  <c r="M243" i="6" s="1"/>
  <c r="F249" i="6"/>
  <c r="G249" i="6" s="1"/>
  <c r="H249" i="6" s="1"/>
  <c r="I249" i="6" s="1"/>
  <c r="J249" i="6" s="1"/>
  <c r="K249" i="6" s="1"/>
  <c r="L249" i="6" s="1"/>
  <c r="M249" i="6" s="1"/>
  <c r="F255" i="6"/>
  <c r="G255" i="6" s="1"/>
  <c r="H255" i="6" s="1"/>
  <c r="I255" i="6" s="1"/>
  <c r="J255" i="6" s="1"/>
  <c r="K255" i="6" s="1"/>
  <c r="L255" i="6" s="1"/>
  <c r="M255" i="6" s="1"/>
  <c r="F261" i="6"/>
  <c r="G261" i="6" s="1"/>
  <c r="H261" i="6" s="1"/>
  <c r="I261" i="6" s="1"/>
  <c r="J261" i="6" s="1"/>
  <c r="K261" i="6" s="1"/>
  <c r="L261" i="6" s="1"/>
  <c r="M261" i="6" s="1"/>
  <c r="F279" i="6"/>
  <c r="G279" i="6" s="1"/>
  <c r="H279" i="6" s="1"/>
  <c r="I279" i="6" s="1"/>
  <c r="J279" i="6" s="1"/>
  <c r="K279" i="6" s="1"/>
  <c r="L279" i="6" s="1"/>
  <c r="M279" i="6" s="1"/>
  <c r="F291" i="6"/>
  <c r="G291" i="6" s="1"/>
  <c r="H291" i="6" s="1"/>
  <c r="I291" i="6" s="1"/>
  <c r="J291" i="6" s="1"/>
  <c r="K291" i="6" s="1"/>
  <c r="L291" i="6" s="1"/>
  <c r="M291" i="6" s="1"/>
  <c r="F297" i="6"/>
  <c r="G297" i="6" s="1"/>
  <c r="H297" i="6" s="1"/>
  <c r="I297" i="6" s="1"/>
  <c r="J297" i="6" s="1"/>
  <c r="K297" i="6" s="1"/>
  <c r="L297" i="6" s="1"/>
  <c r="M297" i="6" s="1"/>
  <c r="F309" i="6"/>
  <c r="G309" i="6" s="1"/>
  <c r="H309" i="6" s="1"/>
  <c r="I309" i="6" s="1"/>
  <c r="J309" i="6" s="1"/>
  <c r="K309" i="6" s="1"/>
  <c r="L309" i="6" s="1"/>
  <c r="M309" i="6" s="1"/>
  <c r="F315" i="6"/>
  <c r="G315" i="6" s="1"/>
  <c r="H315" i="6" s="1"/>
  <c r="I315" i="6" s="1"/>
  <c r="J315" i="6" s="1"/>
  <c r="K315" i="6" s="1"/>
  <c r="L315" i="6" s="1"/>
  <c r="M315" i="6" s="1"/>
  <c r="F321" i="6"/>
  <c r="G321" i="6" s="1"/>
  <c r="H321" i="6" s="1"/>
  <c r="I321" i="6" s="1"/>
  <c r="J321" i="6" s="1"/>
  <c r="K321" i="6" s="1"/>
  <c r="L321" i="6" s="1"/>
  <c r="M321" i="6" s="1"/>
  <c r="F327" i="6"/>
  <c r="G327" i="6" s="1"/>
  <c r="H327" i="6" s="1"/>
  <c r="I327" i="6" s="1"/>
  <c r="J327" i="6" s="1"/>
  <c r="K327" i="6" s="1"/>
  <c r="L327" i="6" s="1"/>
  <c r="M327" i="6" s="1"/>
  <c r="F333" i="6"/>
  <c r="G333" i="6" s="1"/>
  <c r="H333" i="6" s="1"/>
  <c r="I333" i="6" s="1"/>
  <c r="J333" i="6" s="1"/>
  <c r="K333" i="6" s="1"/>
  <c r="L333" i="6" s="1"/>
  <c r="M333" i="6" s="1"/>
  <c r="F345" i="6"/>
  <c r="G345" i="6" s="1"/>
  <c r="H345" i="6" s="1"/>
  <c r="I345" i="6" s="1"/>
  <c r="J345" i="6" s="1"/>
  <c r="K345" i="6" s="1"/>
  <c r="L345" i="6" s="1"/>
  <c r="M345" i="6" s="1"/>
  <c r="F351" i="6"/>
  <c r="G351" i="6" s="1"/>
  <c r="H351" i="6" s="1"/>
  <c r="I351" i="6" s="1"/>
  <c r="J351" i="6" s="1"/>
  <c r="K351" i="6" s="1"/>
  <c r="L351" i="6" s="1"/>
  <c r="M351" i="6" s="1"/>
  <c r="F363" i="6"/>
  <c r="G363" i="6" s="1"/>
  <c r="H363" i="6" s="1"/>
  <c r="I363" i="6" s="1"/>
  <c r="J363" i="6" s="1"/>
  <c r="K363" i="6" s="1"/>
  <c r="L363" i="6" s="1"/>
  <c r="M363" i="6" s="1"/>
  <c r="F375" i="6"/>
  <c r="G375" i="6" s="1"/>
  <c r="H375" i="6" s="1"/>
  <c r="I375" i="6" s="1"/>
  <c r="J375" i="6" s="1"/>
  <c r="K375" i="6" s="1"/>
  <c r="L375" i="6" s="1"/>
  <c r="M375" i="6" s="1"/>
  <c r="F381" i="6"/>
  <c r="G381" i="6" s="1"/>
  <c r="H381" i="6" s="1"/>
  <c r="I381" i="6" s="1"/>
  <c r="J381" i="6" s="1"/>
  <c r="K381" i="6" s="1"/>
  <c r="L381" i="6" s="1"/>
  <c r="M381" i="6" s="1"/>
  <c r="F387" i="6"/>
  <c r="G387" i="6" s="1"/>
  <c r="H387" i="6" s="1"/>
  <c r="I387" i="6" s="1"/>
  <c r="J387" i="6" s="1"/>
  <c r="K387" i="6" s="1"/>
  <c r="L387" i="6" s="1"/>
  <c r="M387" i="6" s="1"/>
  <c r="F405" i="6"/>
  <c r="G405" i="6" s="1"/>
  <c r="H405" i="6" s="1"/>
  <c r="I405" i="6" s="1"/>
  <c r="J405" i="6" s="1"/>
  <c r="K405" i="6" s="1"/>
  <c r="L405" i="6" s="1"/>
  <c r="M405" i="6" s="1"/>
  <c r="F411" i="6"/>
  <c r="G411" i="6" s="1"/>
  <c r="H411" i="6" s="1"/>
  <c r="I411" i="6" s="1"/>
  <c r="J411" i="6" s="1"/>
  <c r="K411" i="6" s="1"/>
  <c r="L411" i="6" s="1"/>
  <c r="M411" i="6" s="1"/>
  <c r="AI8" i="6"/>
  <c r="AY8" i="6"/>
  <c r="AY17" i="6" s="1"/>
  <c r="BG8" i="6"/>
  <c r="BG17" i="6" s="1"/>
  <c r="CO6" i="6"/>
  <c r="BW8" i="6"/>
  <c r="M9" i="6"/>
  <c r="Q9" i="6"/>
  <c r="U9" i="6"/>
  <c r="AA8" i="6"/>
  <c r="AV63" i="1" s="1"/>
  <c r="F320" i="6"/>
  <c r="G320" i="6" s="1"/>
  <c r="H320" i="6" s="1"/>
  <c r="I320" i="6" s="1"/>
  <c r="J320" i="6" s="1"/>
  <c r="K320" i="6" s="1"/>
  <c r="L320" i="6" s="1"/>
  <c r="M320" i="6" s="1"/>
  <c r="B9" i="6"/>
  <c r="B17" i="6" s="1"/>
  <c r="BX6" i="6"/>
  <c r="AO7" i="6"/>
  <c r="AW7" i="6"/>
  <c r="BA7" i="6"/>
  <c r="CQ8" i="6"/>
  <c r="CH8" i="6"/>
  <c r="CD8" i="6"/>
  <c r="BZ8" i="6"/>
  <c r="Z8" i="6"/>
  <c r="AU63" i="1" s="1"/>
  <c r="AP8" i="6"/>
  <c r="BB8" i="6"/>
  <c r="AJ9" i="6"/>
  <c r="CH9" i="6"/>
  <c r="CE9" i="6"/>
  <c r="BK9" i="6"/>
  <c r="AX9" i="6"/>
  <c r="AV9" i="6"/>
  <c r="AL8" i="6"/>
  <c r="F206" i="6"/>
  <c r="G206" i="6" s="1"/>
  <c r="H206" i="6" s="1"/>
  <c r="I206" i="6" s="1"/>
  <c r="J206" i="6" s="1"/>
  <c r="K206" i="6" s="1"/>
  <c r="L206" i="6" s="1"/>
  <c r="M206" i="6" s="1"/>
  <c r="AD9" i="6"/>
  <c r="AY64" i="1" s="1"/>
  <c r="AY69" i="1" s="1"/>
  <c r="F198" i="6"/>
  <c r="G198" i="6" s="1"/>
  <c r="H198" i="6" s="1"/>
  <c r="I198" i="6" s="1"/>
  <c r="J198" i="6" s="1"/>
  <c r="K198" i="6" s="1"/>
  <c r="L198" i="6" s="1"/>
  <c r="M198" i="6" s="1"/>
  <c r="AC8" i="6"/>
  <c r="AX63" i="1" s="1"/>
  <c r="O9" i="6"/>
  <c r="AJ64" i="1" s="1"/>
  <c r="CP9" i="6"/>
  <c r="CP16" i="6" s="1"/>
  <c r="CT9" i="6"/>
  <c r="CT16" i="6" s="1"/>
  <c r="CO9" i="6"/>
  <c r="CO17" i="6" s="1"/>
  <c r="CO20" i="6" s="1"/>
  <c r="CS9" i="6"/>
  <c r="CS15" i="6" s="1"/>
  <c r="CR9" i="6"/>
  <c r="CR17" i="6" s="1"/>
  <c r="CR21" i="6" s="1"/>
  <c r="CQ9" i="6"/>
  <c r="CQ12" i="6" s="1"/>
  <c r="CU9" i="6"/>
  <c r="CU12" i="6" s="1"/>
  <c r="CP6" i="6"/>
  <c r="CT6" i="6"/>
  <c r="CQ6" i="6"/>
  <c r="CU6" i="6"/>
  <c r="CN6" i="6"/>
  <c r="CR6" i="6"/>
  <c r="CV6" i="6"/>
  <c r="CJ9" i="6"/>
  <c r="CJ12" i="6" s="1"/>
  <c r="CD9" i="6"/>
  <c r="CL9" i="6"/>
  <c r="CL13" i="6" s="1"/>
  <c r="CF9" i="6"/>
  <c r="CF12" i="6" s="1"/>
  <c r="CI9" i="6"/>
  <c r="CI12" i="6" s="1"/>
  <c r="CG9" i="6"/>
  <c r="CG12" i="6" s="1"/>
  <c r="CK9" i="6"/>
  <c r="CK12" i="6" s="1"/>
  <c r="CM7" i="6"/>
  <c r="CM12" i="6" s="1"/>
  <c r="CH6" i="6"/>
  <c r="CL7" i="6"/>
  <c r="CH7" i="6"/>
  <c r="CD7" i="6"/>
  <c r="BZ9" i="6"/>
  <c r="BU9" i="6"/>
  <c r="BU16" i="6" s="1"/>
  <c r="BY9" i="6"/>
  <c r="BY13" i="6" s="1"/>
  <c r="CC9" i="6"/>
  <c r="CC17" i="6" s="1"/>
  <c r="CC21" i="6" s="1"/>
  <c r="BX9" i="6"/>
  <c r="BX13" i="6" s="1"/>
  <c r="CB9" i="6"/>
  <c r="CB15" i="6" s="1"/>
  <c r="CB22" i="6" s="1"/>
  <c r="BW9" i="6"/>
  <c r="BU6" i="6"/>
  <c r="BY6" i="6"/>
  <c r="BW6" i="6"/>
  <c r="CA6" i="6"/>
  <c r="BP9" i="6"/>
  <c r="BP16" i="6" s="1"/>
  <c r="BO9" i="6"/>
  <c r="BO16" i="6" s="1"/>
  <c r="BJ9" i="6"/>
  <c r="BJ12" i="6" s="1"/>
  <c r="BN9" i="6"/>
  <c r="BN16" i="6" s="1"/>
  <c r="BR9" i="6"/>
  <c r="BR12" i="6" s="1"/>
  <c r="BM9" i="6"/>
  <c r="BK6" i="6"/>
  <c r="BO6" i="6"/>
  <c r="BS6" i="6"/>
  <c r="F312" i="6"/>
  <c r="G312" i="6" s="1"/>
  <c r="H312" i="6" s="1"/>
  <c r="I312" i="6" s="1"/>
  <c r="J312" i="6" s="1"/>
  <c r="K312" i="6" s="1"/>
  <c r="L312" i="6" s="1"/>
  <c r="M312" i="6" s="1"/>
  <c r="BL6" i="6"/>
  <c r="BP6" i="6"/>
  <c r="BM6" i="6"/>
  <c r="BQ6" i="6"/>
  <c r="BI9" i="6"/>
  <c r="BA6" i="6"/>
  <c r="BE6" i="6"/>
  <c r="BI6" i="6"/>
  <c r="BB6" i="6"/>
  <c r="BF6" i="6"/>
  <c r="BC6" i="6"/>
  <c r="BG6" i="6"/>
  <c r="BG11" i="6" s="1"/>
  <c r="AR9" i="6"/>
  <c r="AR16" i="6" s="1"/>
  <c r="AQ9" i="6"/>
  <c r="AQ16" i="6" s="1"/>
  <c r="AU9" i="6"/>
  <c r="AU17" i="6" s="1"/>
  <c r="AU20" i="6" s="1"/>
  <c r="AP9" i="6"/>
  <c r="AP12" i="6" s="1"/>
  <c r="AT9" i="6"/>
  <c r="AT17" i="6" s="1"/>
  <c r="AT20" i="6" s="1"/>
  <c r="AS9" i="6"/>
  <c r="AS13" i="6" s="1"/>
  <c r="AW9" i="6"/>
  <c r="AR6" i="6"/>
  <c r="AV6" i="6"/>
  <c r="AS6" i="6"/>
  <c r="AW6" i="6"/>
  <c r="AP6" i="6"/>
  <c r="AT6" i="6"/>
  <c r="AT11" i="6" s="1"/>
  <c r="AX6" i="6"/>
  <c r="AK9" i="6"/>
  <c r="AK12" i="6" s="1"/>
  <c r="AO9" i="6"/>
  <c r="AO17" i="6" s="1"/>
  <c r="AO20" i="6" s="1"/>
  <c r="AL9" i="6"/>
  <c r="AL16" i="6" s="1"/>
  <c r="AF9" i="6"/>
  <c r="AF12" i="6" s="1"/>
  <c r="AN9" i="6"/>
  <c r="AN12" i="6" s="1"/>
  <c r="AI9" i="6"/>
  <c r="AI16" i="6" s="1"/>
  <c r="AM9" i="6"/>
  <c r="AM16" i="6" s="1"/>
  <c r="AH6" i="6"/>
  <c r="AI6" i="6"/>
  <c r="AL6" i="6"/>
  <c r="X9" i="6"/>
  <c r="AB9" i="6"/>
  <c r="W9" i="6"/>
  <c r="AR64" i="1" s="1"/>
  <c r="AA9" i="6"/>
  <c r="AV64" i="1" s="1"/>
  <c r="AE9" i="6"/>
  <c r="AZ64" i="1" s="1"/>
  <c r="V9" i="6"/>
  <c r="Y9" i="6"/>
  <c r="AC9" i="6"/>
  <c r="AX64" i="1" s="1"/>
  <c r="W6" i="6"/>
  <c r="AR61" i="1" s="1"/>
  <c r="AE6" i="6"/>
  <c r="AZ61" i="1" s="1"/>
  <c r="X6" i="6"/>
  <c r="AS61" i="1" s="1"/>
  <c r="AB6" i="6"/>
  <c r="AW61" i="1" s="1"/>
  <c r="AC7" i="6"/>
  <c r="AX62" i="1" s="1"/>
  <c r="AA6" i="6"/>
  <c r="AV61" i="1" s="1"/>
  <c r="Y6" i="6"/>
  <c r="AT61" i="1" s="1"/>
  <c r="AC6" i="6"/>
  <c r="AX61" i="1" s="1"/>
  <c r="AX69" i="1" s="1"/>
  <c r="F176" i="6"/>
  <c r="G176" i="6" s="1"/>
  <c r="H176" i="6" s="1"/>
  <c r="I176" i="6" s="1"/>
  <c r="J176" i="6" s="1"/>
  <c r="K176" i="6" s="1"/>
  <c r="L176" i="6" s="1"/>
  <c r="M176" i="6" s="1"/>
  <c r="F182" i="6"/>
  <c r="G182" i="6" s="1"/>
  <c r="H182" i="6" s="1"/>
  <c r="I182" i="6" s="1"/>
  <c r="J182" i="6" s="1"/>
  <c r="K182" i="6" s="1"/>
  <c r="L182" i="6" s="1"/>
  <c r="M182" i="6" s="1"/>
  <c r="N9" i="6"/>
  <c r="R9" i="6"/>
  <c r="L9" i="6"/>
  <c r="P9" i="6"/>
  <c r="L6" i="6"/>
  <c r="AG61" i="1" s="1"/>
  <c r="U6" i="6"/>
  <c r="AP61" i="1" s="1"/>
  <c r="N6" i="6"/>
  <c r="AI61" i="1" s="1"/>
  <c r="M7" i="6"/>
  <c r="AH62" i="1" s="1"/>
  <c r="Q6" i="6"/>
  <c r="AL61" i="1" s="1"/>
  <c r="M6" i="6"/>
  <c r="AH61" i="1" s="1"/>
  <c r="R6" i="6"/>
  <c r="AM61" i="1" s="1"/>
  <c r="O7" i="6"/>
  <c r="AJ62" i="1" s="1"/>
  <c r="O6" i="6"/>
  <c r="AJ61" i="1" s="1"/>
  <c r="AJ69" i="1" s="1"/>
  <c r="S6" i="6"/>
  <c r="Q7" i="6"/>
  <c r="AL62" i="1" s="1"/>
  <c r="S7" i="6"/>
  <c r="U7" i="6"/>
  <c r="AP62" i="1" s="1"/>
  <c r="BG12" i="6"/>
  <c r="CW9" i="6"/>
  <c r="CW16" i="6" s="1"/>
  <c r="CV9" i="6"/>
  <c r="CV16" i="6" s="1"/>
  <c r="CL6" i="6"/>
  <c r="CK6" i="6"/>
  <c r="CJ6" i="6"/>
  <c r="CI6" i="6"/>
  <c r="CG6" i="6"/>
  <c r="CF6" i="6"/>
  <c r="CE6" i="6"/>
  <c r="CD6" i="6"/>
  <c r="CC6" i="6"/>
  <c r="CB7" i="6"/>
  <c r="CA7" i="6"/>
  <c r="BZ7" i="6"/>
  <c r="BY7" i="6"/>
  <c r="BX7" i="6"/>
  <c r="BW7" i="6"/>
  <c r="BV7" i="6"/>
  <c r="BT7" i="6"/>
  <c r="BS7" i="6"/>
  <c r="BR8" i="6"/>
  <c r="BQ8" i="6"/>
  <c r="BP8" i="6"/>
  <c r="BO8" i="6"/>
  <c r="BN8" i="6"/>
  <c r="BM8" i="6"/>
  <c r="BL8" i="6"/>
  <c r="BK8" i="6"/>
  <c r="BJ8" i="6"/>
  <c r="BI8" i="6"/>
  <c r="BH9" i="6"/>
  <c r="BF9" i="6"/>
  <c r="BD9" i="6"/>
  <c r="BD13" i="6" s="1"/>
  <c r="BC9" i="6"/>
  <c r="BB9" i="6"/>
  <c r="BA9" i="6"/>
  <c r="AZ9" i="6"/>
  <c r="AZ13" i="6" s="1"/>
  <c r="BG16" i="6"/>
  <c r="AY16" i="6"/>
  <c r="AY12" i="6"/>
  <c r="AY15" i="6"/>
  <c r="AY22" i="6" s="1"/>
  <c r="AO6" i="6"/>
  <c r="AN6" i="6"/>
  <c r="AK6" i="6"/>
  <c r="AJ6" i="6"/>
  <c r="AG6" i="6"/>
  <c r="AF6" i="6"/>
  <c r="AE7" i="6"/>
  <c r="AZ62" i="1" s="1"/>
  <c r="AD7" i="6"/>
  <c r="AY62" i="1" s="1"/>
  <c r="AA7" i="6"/>
  <c r="AV62" i="1" s="1"/>
  <c r="Z7" i="6"/>
  <c r="AU62" i="1" s="1"/>
  <c r="W7" i="6"/>
  <c r="AR62" i="1" s="1"/>
  <c r="V7" i="6"/>
  <c r="AQ62" i="1" s="1"/>
  <c r="S8" i="6"/>
  <c r="AN63" i="1" s="1"/>
  <c r="R8" i="6"/>
  <c r="AM63" i="1" s="1"/>
  <c r="O8" i="6"/>
  <c r="AJ63" i="1" s="1"/>
  <c r="N8" i="6"/>
  <c r="AI63" i="1" s="1"/>
  <c r="T8" i="6"/>
  <c r="AO63" i="1" s="1"/>
  <c r="Y7" i="6"/>
  <c r="AT62" i="1" s="1"/>
  <c r="F203" i="6"/>
  <c r="G203" i="6" s="1"/>
  <c r="H203" i="6" s="1"/>
  <c r="I203" i="6" s="1"/>
  <c r="J203" i="6" s="1"/>
  <c r="K203" i="6" s="1"/>
  <c r="L203" i="6" s="1"/>
  <c r="M203" i="6" s="1"/>
  <c r="F239" i="6"/>
  <c r="G239" i="6" s="1"/>
  <c r="H239" i="6" s="1"/>
  <c r="I239" i="6" s="1"/>
  <c r="J239" i="6" s="1"/>
  <c r="K239" i="6" s="1"/>
  <c r="L239" i="6" s="1"/>
  <c r="M239" i="6" s="1"/>
  <c r="F257" i="6"/>
  <c r="G257" i="6" s="1"/>
  <c r="H257" i="6" s="1"/>
  <c r="I257" i="6" s="1"/>
  <c r="J257" i="6" s="1"/>
  <c r="K257" i="6" s="1"/>
  <c r="L257" i="6" s="1"/>
  <c r="M257" i="6" s="1"/>
  <c r="F263" i="6"/>
  <c r="G263" i="6" s="1"/>
  <c r="H263" i="6" s="1"/>
  <c r="I263" i="6" s="1"/>
  <c r="J263" i="6" s="1"/>
  <c r="K263" i="6" s="1"/>
  <c r="L263" i="6" s="1"/>
  <c r="M263" i="6" s="1"/>
  <c r="F305" i="6"/>
  <c r="G305" i="6" s="1"/>
  <c r="H305" i="6" s="1"/>
  <c r="I305" i="6" s="1"/>
  <c r="J305" i="6" s="1"/>
  <c r="K305" i="6" s="1"/>
  <c r="L305" i="6" s="1"/>
  <c r="M305" i="6" s="1"/>
  <c r="F377" i="6"/>
  <c r="G377" i="6" s="1"/>
  <c r="H377" i="6" s="1"/>
  <c r="I377" i="6" s="1"/>
  <c r="J377" i="6" s="1"/>
  <c r="K377" i="6" s="1"/>
  <c r="L377" i="6" s="1"/>
  <c r="M377" i="6" s="1"/>
  <c r="F383" i="6"/>
  <c r="G383" i="6" s="1"/>
  <c r="H383" i="6" s="1"/>
  <c r="I383" i="6" s="1"/>
  <c r="J383" i="6" s="1"/>
  <c r="K383" i="6" s="1"/>
  <c r="L383" i="6" s="1"/>
  <c r="M383" i="6" s="1"/>
  <c r="K9" i="6"/>
  <c r="K17" i="6" s="1"/>
  <c r="K21" i="6" s="1"/>
  <c r="J9" i="6"/>
  <c r="J6" i="6"/>
  <c r="I9" i="6"/>
  <c r="I6" i="6"/>
  <c r="H9" i="6"/>
  <c r="H12" i="6" s="1"/>
  <c r="G6" i="6"/>
  <c r="E9" i="6"/>
  <c r="E6" i="6"/>
  <c r="D9" i="6"/>
  <c r="D6" i="6"/>
  <c r="C9" i="6"/>
  <c r="C13" i="6" s="1"/>
  <c r="C6" i="6"/>
  <c r="F336" i="6"/>
  <c r="G336" i="6" s="1"/>
  <c r="H336" i="6" s="1"/>
  <c r="I336" i="6" s="1"/>
  <c r="J336" i="6" s="1"/>
  <c r="K336" i="6" s="1"/>
  <c r="L336" i="6" s="1"/>
  <c r="M336" i="6" s="1"/>
  <c r="F260" i="6"/>
  <c r="G260" i="6" s="1"/>
  <c r="H260" i="6" s="1"/>
  <c r="I260" i="6" s="1"/>
  <c r="J260" i="6" s="1"/>
  <c r="K260" i="6" s="1"/>
  <c r="L260" i="6" s="1"/>
  <c r="M260" i="6" s="1"/>
  <c r="F186" i="6"/>
  <c r="G186" i="6" s="1"/>
  <c r="H186" i="6" s="1"/>
  <c r="I186" i="6" s="1"/>
  <c r="J186" i="6" s="1"/>
  <c r="K186" i="6" s="1"/>
  <c r="L186" i="6" s="1"/>
  <c r="M186" i="6" s="1"/>
  <c r="F402" i="6"/>
  <c r="G402" i="6" s="1"/>
  <c r="H402" i="6" s="1"/>
  <c r="I402" i="6" s="1"/>
  <c r="J402" i="6" s="1"/>
  <c r="K402" i="6" s="1"/>
  <c r="L402" i="6" s="1"/>
  <c r="M402" i="6" s="1"/>
  <c r="F372" i="6"/>
  <c r="G372" i="6" s="1"/>
  <c r="H372" i="6" s="1"/>
  <c r="I372" i="6" s="1"/>
  <c r="J372" i="6" s="1"/>
  <c r="K372" i="6" s="1"/>
  <c r="L372" i="6" s="1"/>
  <c r="M372" i="6" s="1"/>
  <c r="F362" i="6"/>
  <c r="G362" i="6" s="1"/>
  <c r="H362" i="6" s="1"/>
  <c r="I362" i="6" s="1"/>
  <c r="J362" i="6" s="1"/>
  <c r="K362" i="6" s="1"/>
  <c r="L362" i="6" s="1"/>
  <c r="M362" i="6" s="1"/>
  <c r="F341" i="6"/>
  <c r="G341" i="6" s="1"/>
  <c r="H341" i="6" s="1"/>
  <c r="I341" i="6" s="1"/>
  <c r="J341" i="6" s="1"/>
  <c r="K341" i="6" s="1"/>
  <c r="L341" i="6" s="1"/>
  <c r="M341" i="6" s="1"/>
  <c r="F293" i="6"/>
  <c r="G293" i="6" s="1"/>
  <c r="H293" i="6" s="1"/>
  <c r="I293" i="6" s="1"/>
  <c r="J293" i="6" s="1"/>
  <c r="K293" i="6" s="1"/>
  <c r="L293" i="6" s="1"/>
  <c r="M293" i="6" s="1"/>
  <c r="F278" i="6"/>
  <c r="G278" i="6" s="1"/>
  <c r="H278" i="6" s="1"/>
  <c r="I278" i="6" s="1"/>
  <c r="J278" i="6" s="1"/>
  <c r="K278" i="6" s="1"/>
  <c r="L278" i="6" s="1"/>
  <c r="M278" i="6" s="1"/>
  <c r="F242" i="6"/>
  <c r="G242" i="6" s="1"/>
  <c r="H242" i="6" s="1"/>
  <c r="I242" i="6" s="1"/>
  <c r="J242" i="6" s="1"/>
  <c r="K242" i="6" s="1"/>
  <c r="L242" i="6" s="1"/>
  <c r="M242" i="6" s="1"/>
  <c r="F236" i="6"/>
  <c r="G236" i="6" s="1"/>
  <c r="H236" i="6" s="1"/>
  <c r="I236" i="6" s="1"/>
  <c r="J236" i="6" s="1"/>
  <c r="K236" i="6" s="1"/>
  <c r="L236" i="6" s="1"/>
  <c r="M236" i="6" s="1"/>
  <c r="F179" i="6"/>
  <c r="G179" i="6" s="1"/>
  <c r="H179" i="6" s="1"/>
  <c r="I179" i="6" s="1"/>
  <c r="J179" i="6" s="1"/>
  <c r="K179" i="6" s="1"/>
  <c r="L179" i="6" s="1"/>
  <c r="M179" i="6" s="1"/>
  <c r="F183" i="6"/>
  <c r="G183" i="6" s="1"/>
  <c r="H183" i="6" s="1"/>
  <c r="I183" i="6" s="1"/>
  <c r="J183" i="6" s="1"/>
  <c r="K183" i="6" s="1"/>
  <c r="L183" i="6" s="1"/>
  <c r="M183" i="6" s="1"/>
  <c r="F195" i="6"/>
  <c r="G195" i="6" s="1"/>
  <c r="H195" i="6" s="1"/>
  <c r="I195" i="6" s="1"/>
  <c r="J195" i="6" s="1"/>
  <c r="K195" i="6" s="1"/>
  <c r="L195" i="6" s="1"/>
  <c r="M195" i="6" s="1"/>
  <c r="F237" i="6"/>
  <c r="G237" i="6" s="1"/>
  <c r="H237" i="6" s="1"/>
  <c r="I237" i="6" s="1"/>
  <c r="J237" i="6" s="1"/>
  <c r="K237" i="6" s="1"/>
  <c r="L237" i="6" s="1"/>
  <c r="M237" i="6" s="1"/>
  <c r="F273" i="6"/>
  <c r="G273" i="6" s="1"/>
  <c r="H273" i="6" s="1"/>
  <c r="I273" i="6" s="1"/>
  <c r="J273" i="6" s="1"/>
  <c r="K273" i="6" s="1"/>
  <c r="L273" i="6" s="1"/>
  <c r="M273" i="6" s="1"/>
  <c r="F285" i="6"/>
  <c r="G285" i="6" s="1"/>
  <c r="H285" i="6" s="1"/>
  <c r="I285" i="6" s="1"/>
  <c r="J285" i="6" s="1"/>
  <c r="K285" i="6" s="1"/>
  <c r="L285" i="6" s="1"/>
  <c r="M285" i="6" s="1"/>
  <c r="F303" i="6"/>
  <c r="G303" i="6" s="1"/>
  <c r="H303" i="6" s="1"/>
  <c r="I303" i="6" s="1"/>
  <c r="J303" i="6" s="1"/>
  <c r="K303" i="6" s="1"/>
  <c r="L303" i="6" s="1"/>
  <c r="M303" i="6" s="1"/>
  <c r="F339" i="6"/>
  <c r="G339" i="6" s="1"/>
  <c r="H339" i="6" s="1"/>
  <c r="I339" i="6" s="1"/>
  <c r="J339" i="6" s="1"/>
  <c r="K339" i="6" s="1"/>
  <c r="L339" i="6" s="1"/>
  <c r="M339" i="6" s="1"/>
  <c r="F369" i="6"/>
  <c r="G369" i="6" s="1"/>
  <c r="H369" i="6" s="1"/>
  <c r="I369" i="6" s="1"/>
  <c r="J369" i="6" s="1"/>
  <c r="K369" i="6" s="1"/>
  <c r="L369" i="6" s="1"/>
  <c r="M369" i="6" s="1"/>
  <c r="F393" i="6"/>
  <c r="G393" i="6" s="1"/>
  <c r="H393" i="6" s="1"/>
  <c r="I393" i="6" s="1"/>
  <c r="J393" i="6" s="1"/>
  <c r="K393" i="6" s="1"/>
  <c r="L393" i="6" s="1"/>
  <c r="M393" i="6" s="1"/>
  <c r="F399" i="6"/>
  <c r="G399" i="6" s="1"/>
  <c r="H399" i="6" s="1"/>
  <c r="I399" i="6" s="1"/>
  <c r="J399" i="6" s="1"/>
  <c r="K399" i="6" s="1"/>
  <c r="L399" i="6" s="1"/>
  <c r="M399" i="6" s="1"/>
  <c r="F357" i="6"/>
  <c r="G357" i="6" s="1"/>
  <c r="H357" i="6" s="1"/>
  <c r="I357" i="6" s="1"/>
  <c r="J357" i="6" s="1"/>
  <c r="K357" i="6" s="1"/>
  <c r="L357" i="6" s="1"/>
  <c r="M357" i="6" s="1"/>
  <c r="CM11" i="6"/>
  <c r="CM13" i="6"/>
  <c r="CM17" i="6"/>
  <c r="CM15" i="6"/>
  <c r="CM27" i="6" s="1"/>
  <c r="AY11" i="6"/>
  <c r="AV69" i="1" l="1"/>
  <c r="N12" i="6"/>
  <c r="AI64" i="1"/>
  <c r="AI69" i="1" s="1"/>
  <c r="Y13" i="6"/>
  <c r="AT64" i="1"/>
  <c r="AT69" i="1" s="1"/>
  <c r="U13" i="6"/>
  <c r="AP64" i="1"/>
  <c r="AP69" i="1" s="1"/>
  <c r="S12" i="6"/>
  <c r="AN62" i="1"/>
  <c r="P17" i="6"/>
  <c r="P20" i="6" s="1"/>
  <c r="AK65" i="1" s="1"/>
  <c r="AK64" i="1"/>
  <c r="AK69" i="1" s="1"/>
  <c r="AZ69" i="1"/>
  <c r="V13" i="6"/>
  <c r="AQ64" i="1"/>
  <c r="AQ69" i="1" s="1"/>
  <c r="AB12" i="6"/>
  <c r="AW64" i="1"/>
  <c r="AW69" i="1" s="1"/>
  <c r="Q13" i="6"/>
  <c r="AL64" i="1"/>
  <c r="AL69" i="1" s="1"/>
  <c r="L13" i="6"/>
  <c r="AG64" i="1"/>
  <c r="AG69" i="1" s="1"/>
  <c r="AR69" i="1"/>
  <c r="X17" i="6"/>
  <c r="X20" i="6" s="1"/>
  <c r="AS65" i="1" s="1"/>
  <c r="AS64" i="1"/>
  <c r="AS69" i="1" s="1"/>
  <c r="M17" i="6"/>
  <c r="M20" i="6" s="1"/>
  <c r="AH65" i="1" s="1"/>
  <c r="AH64" i="1"/>
  <c r="AH69" i="1" s="1"/>
  <c r="S15" i="6"/>
  <c r="S27" i="6" s="1"/>
  <c r="N165" i="6" s="1"/>
  <c r="AN61" i="1"/>
  <c r="AN69" i="1" s="1"/>
  <c r="R12" i="6"/>
  <c r="AM64" i="1"/>
  <c r="AM69" i="1" s="1"/>
  <c r="CF13" i="6"/>
  <c r="BW13" i="6"/>
  <c r="M13" i="6"/>
  <c r="BU13" i="6"/>
  <c r="AY13" i="6"/>
  <c r="X16" i="6"/>
  <c r="AL15" i="6"/>
  <c r="AL22" i="6" s="1"/>
  <c r="CS17" i="6"/>
  <c r="CS20" i="6" s="1"/>
  <c r="CS13" i="6"/>
  <c r="CP17" i="6"/>
  <c r="CP21" i="6" s="1"/>
  <c r="BN17" i="6"/>
  <c r="BN21" i="6" s="1"/>
  <c r="AU11" i="6"/>
  <c r="AU16" i="6"/>
  <c r="AU12" i="6"/>
  <c r="AL12" i="6"/>
  <c r="AA13" i="6"/>
  <c r="Q17" i="6"/>
  <c r="Q21" i="6" s="1"/>
  <c r="AL66" i="1" s="1"/>
  <c r="B15" i="6"/>
  <c r="B27" i="6" s="1"/>
  <c r="N114" i="6" s="1"/>
  <c r="AT12" i="6"/>
  <c r="CG16" i="6"/>
  <c r="AT21" i="6"/>
  <c r="AW12" i="6"/>
  <c r="CU15" i="6"/>
  <c r="CU27" i="6" s="1"/>
  <c r="CG15" i="6"/>
  <c r="CG27" i="6" s="1"/>
  <c r="BR11" i="6"/>
  <c r="BG13" i="6"/>
  <c r="AY20" i="6"/>
  <c r="AY10" i="6" s="1"/>
  <c r="AY21" i="6"/>
  <c r="AX15" i="6"/>
  <c r="AX27" i="6" s="1"/>
  <c r="AU21" i="6"/>
  <c r="AS12" i="6"/>
  <c r="AR15" i="6"/>
  <c r="AR22" i="6" s="1"/>
  <c r="AB13" i="6"/>
  <c r="AB15" i="6"/>
  <c r="AB27" i="6" s="1"/>
  <c r="V15" i="6"/>
  <c r="V27" i="6" s="1"/>
  <c r="V11" i="6"/>
  <c r="M12" i="6"/>
  <c r="AY19" i="6"/>
  <c r="AP16" i="6"/>
  <c r="BG15" i="6"/>
  <c r="BG27" i="6" s="1"/>
  <c r="AY27" i="6"/>
  <c r="AP15" i="6"/>
  <c r="AP27" i="6" s="1"/>
  <c r="BO12" i="6"/>
  <c r="AF11" i="6"/>
  <c r="M16" i="6"/>
  <c r="AT13" i="6"/>
  <c r="U15" i="6"/>
  <c r="U22" i="6" s="1"/>
  <c r="AP67" i="1" s="1"/>
  <c r="CI17" i="6"/>
  <c r="CI21" i="6" s="1"/>
  <c r="AF15" i="6"/>
  <c r="AF22" i="6" s="1"/>
  <c r="N16" i="6"/>
  <c r="AU13" i="6"/>
  <c r="CU16" i="6"/>
  <c r="C12" i="6"/>
  <c r="U12" i="6"/>
  <c r="Q15" i="6"/>
  <c r="Q22" i="6" s="1"/>
  <c r="AL67" i="1" s="1"/>
  <c r="U11" i="6"/>
  <c r="CD12" i="6"/>
  <c r="B21" i="6"/>
  <c r="B20" i="6"/>
  <c r="B12" i="6"/>
  <c r="B13" i="6"/>
  <c r="AA17" i="6"/>
  <c r="AA21" i="6" s="1"/>
  <c r="AV66" i="1" s="1"/>
  <c r="BA16" i="6"/>
  <c r="Q11" i="6"/>
  <c r="X12" i="6"/>
  <c r="B16" i="6"/>
  <c r="U17" i="6"/>
  <c r="U20" i="6" s="1"/>
  <c r="AP65" i="1" s="1"/>
  <c r="BZ13" i="6"/>
  <c r="AP17" i="6"/>
  <c r="AP20" i="6" s="1"/>
  <c r="B11" i="6"/>
  <c r="AO21" i="6"/>
  <c r="BN12" i="6"/>
  <c r="H15" i="6"/>
  <c r="H22" i="6" s="1"/>
  <c r="U16" i="6"/>
  <c r="V17" i="6"/>
  <c r="V26" i="6" s="1"/>
  <c r="AC12" i="6"/>
  <c r="AF16" i="6"/>
  <c r="AF18" i="6" s="1"/>
  <c r="BU11" i="6"/>
  <c r="CD13" i="6"/>
  <c r="AC13" i="6"/>
  <c r="CQ17" i="6"/>
  <c r="K11" i="6"/>
  <c r="BD12" i="6"/>
  <c r="CD17" i="6"/>
  <c r="CB12" i="6"/>
  <c r="BU17" i="6"/>
  <c r="BU20" i="6" s="1"/>
  <c r="BJ15" i="6"/>
  <c r="BJ27" i="6" s="1"/>
  <c r="BR17" i="6"/>
  <c r="BR20" i="6" s="1"/>
  <c r="M15" i="6"/>
  <c r="Z9" i="6"/>
  <c r="AW16" i="6"/>
  <c r="CL16" i="6"/>
  <c r="AZ15" i="6"/>
  <c r="AZ27" i="6" s="1"/>
  <c r="I11" i="6"/>
  <c r="K13" i="6"/>
  <c r="BZ15" i="6"/>
  <c r="BZ22" i="6" s="1"/>
  <c r="BJ11" i="6"/>
  <c r="BB11" i="6"/>
  <c r="AP13" i="6"/>
  <c r="BJ16" i="6"/>
  <c r="BU12" i="6"/>
  <c r="BX11" i="6"/>
  <c r="BV9" i="6"/>
  <c r="BV16" i="6" s="1"/>
  <c r="AB17" i="6"/>
  <c r="CB17" i="6"/>
  <c r="CB26" i="6" s="1"/>
  <c r="AZ11" i="6"/>
  <c r="BR15" i="6"/>
  <c r="BR22" i="6" s="1"/>
  <c r="CD15" i="6"/>
  <c r="CI11" i="6"/>
  <c r="BQ9" i="6"/>
  <c r="BQ15" i="6" s="1"/>
  <c r="BQ22" i="6" s="1"/>
  <c r="BY15" i="6"/>
  <c r="BY27" i="6" s="1"/>
  <c r="AV16" i="6"/>
  <c r="AV12" i="6"/>
  <c r="AX17" i="6"/>
  <c r="AX21" i="6" s="1"/>
  <c r="AX16" i="6"/>
  <c r="CE12" i="6"/>
  <c r="CE13" i="6"/>
  <c r="CE17" i="6"/>
  <c r="CE21" i="6" s="1"/>
  <c r="CE11" i="6"/>
  <c r="CE16" i="6"/>
  <c r="AJ16" i="6"/>
  <c r="AJ12" i="6"/>
  <c r="AJ17" i="6"/>
  <c r="AJ20" i="6" s="1"/>
  <c r="AJ13" i="6"/>
  <c r="AE15" i="6"/>
  <c r="AE22" i="6" s="1"/>
  <c r="AZ67" i="1" s="1"/>
  <c r="S11" i="6"/>
  <c r="BU15" i="6"/>
  <c r="BU27" i="6" s="1"/>
  <c r="H11" i="6"/>
  <c r="CI16" i="6"/>
  <c r="CR13" i="6"/>
  <c r="CI13" i="6"/>
  <c r="BP12" i="6"/>
  <c r="F9" i="6"/>
  <c r="F12" i="6" s="1"/>
  <c r="AQ15" i="6"/>
  <c r="AQ22" i="6" s="1"/>
  <c r="BV15" i="6"/>
  <c r="BN13" i="6"/>
  <c r="Y15" i="6"/>
  <c r="BN15" i="6"/>
  <c r="O15" i="6"/>
  <c r="AK17" i="6"/>
  <c r="AK20" i="6" s="1"/>
  <c r="AP11" i="6"/>
  <c r="BO15" i="6"/>
  <c r="BO22" i="6" s="1"/>
  <c r="BS9" i="6"/>
  <c r="BS11" i="6" s="1"/>
  <c r="CA9" i="6"/>
  <c r="CA12" i="6" s="1"/>
  <c r="BT9" i="6"/>
  <c r="BT12" i="6" s="1"/>
  <c r="CQ11" i="6"/>
  <c r="CU11" i="6"/>
  <c r="AY26" i="6"/>
  <c r="AI15" i="6"/>
  <c r="AI27" i="6" s="1"/>
  <c r="AQ17" i="6"/>
  <c r="AQ20" i="6" s="1"/>
  <c r="CF15" i="6"/>
  <c r="CF22" i="6" s="1"/>
  <c r="G9" i="6"/>
  <c r="AQ13" i="6"/>
  <c r="N17" i="6"/>
  <c r="AJ15" i="6"/>
  <c r="AJ22" i="6" s="1"/>
  <c r="CE15" i="6"/>
  <c r="CE22" i="6" s="1"/>
  <c r="N15" i="6"/>
  <c r="N27" i="6" s="1"/>
  <c r="N150" i="6" s="1"/>
  <c r="T9" i="6"/>
  <c r="Y11" i="6"/>
  <c r="AA11" i="6"/>
  <c r="AG9" i="6"/>
  <c r="AG16" i="6" s="1"/>
  <c r="AT16" i="6"/>
  <c r="BM15" i="6"/>
  <c r="BL9" i="6"/>
  <c r="CD16" i="6"/>
  <c r="BC15" i="6"/>
  <c r="BC22" i="6" s="1"/>
  <c r="BE9" i="6"/>
  <c r="BE17" i="6" s="1"/>
  <c r="BE21" i="6" s="1"/>
  <c r="BO13" i="6"/>
  <c r="O16" i="6"/>
  <c r="AV15" i="6"/>
  <c r="BI15" i="6"/>
  <c r="BI27" i="6" s="1"/>
  <c r="CN9" i="6"/>
  <c r="CN13" i="6" s="1"/>
  <c r="CW17" i="6"/>
  <c r="CW21" i="6" s="1"/>
  <c r="CW15" i="6"/>
  <c r="CW27" i="6" s="1"/>
  <c r="CW11" i="6"/>
  <c r="CV11" i="6"/>
  <c r="CU17" i="6"/>
  <c r="CU21" i="6" s="1"/>
  <c r="CU13" i="6"/>
  <c r="CS11" i="6"/>
  <c r="CS12" i="6"/>
  <c r="CS16" i="6"/>
  <c r="CS18" i="6" s="1"/>
  <c r="CS22" i="6"/>
  <c r="CR11" i="6"/>
  <c r="CP12" i="6"/>
  <c r="CP13" i="6"/>
  <c r="CO21" i="6"/>
  <c r="CO16" i="6"/>
  <c r="CO12" i="6"/>
  <c r="CO13" i="6"/>
  <c r="CO11" i="6"/>
  <c r="CL17" i="6"/>
  <c r="CK17" i="6"/>
  <c r="CK20" i="6" s="1"/>
  <c r="CK16" i="6"/>
  <c r="CJ15" i="6"/>
  <c r="CJ11" i="6"/>
  <c r="CJ16" i="6"/>
  <c r="CJ13" i="6"/>
  <c r="CJ17" i="6"/>
  <c r="CJ20" i="6" s="1"/>
  <c r="CI15" i="6"/>
  <c r="CH16" i="6"/>
  <c r="CH13" i="6"/>
  <c r="CH11" i="6"/>
  <c r="CH17" i="6"/>
  <c r="CH21" i="6" s="1"/>
  <c r="CH15" i="6"/>
  <c r="CG13" i="6"/>
  <c r="CF11" i="6"/>
  <c r="CC20" i="6"/>
  <c r="CC13" i="6"/>
  <c r="CC12" i="6"/>
  <c r="CC16" i="6"/>
  <c r="CB13" i="6"/>
  <c r="CB11" i="6"/>
  <c r="CB16" i="6"/>
  <c r="CB18" i="6" s="1"/>
  <c r="BZ17" i="6"/>
  <c r="BZ20" i="6" s="1"/>
  <c r="BZ11" i="6"/>
  <c r="BZ16" i="6"/>
  <c r="BY17" i="6"/>
  <c r="BY20" i="6" s="1"/>
  <c r="BY11" i="6"/>
  <c r="BX15" i="6"/>
  <c r="BX17" i="6"/>
  <c r="BX21" i="6" s="1"/>
  <c r="BX16" i="6"/>
  <c r="BW15" i="6"/>
  <c r="BW27" i="6" s="1"/>
  <c r="BW12" i="6"/>
  <c r="BW11" i="6"/>
  <c r="BR27" i="6"/>
  <c r="BP13" i="6"/>
  <c r="BO11" i="6"/>
  <c r="BN11" i="6"/>
  <c r="BM16" i="6"/>
  <c r="BK13" i="6"/>
  <c r="BK16" i="6"/>
  <c r="BK11" i="6"/>
  <c r="BK17" i="6"/>
  <c r="BK20" i="6" s="1"/>
  <c r="BK12" i="6"/>
  <c r="BK15" i="6"/>
  <c r="BI12" i="6"/>
  <c r="BI11" i="6"/>
  <c r="BI16" i="6"/>
  <c r="BC12" i="6"/>
  <c r="AY18" i="6"/>
  <c r="AX11" i="6"/>
  <c r="AX12" i="6"/>
  <c r="AX13" i="6"/>
  <c r="AV17" i="6"/>
  <c r="AV21" i="6" s="1"/>
  <c r="AS16" i="6"/>
  <c r="AS17" i="6"/>
  <c r="AO16" i="6"/>
  <c r="AO12" i="6"/>
  <c r="AO13" i="6"/>
  <c r="AN13" i="6"/>
  <c r="AN17" i="6"/>
  <c r="AN20" i="6" s="1"/>
  <c r="AM17" i="6"/>
  <c r="AM21" i="6" s="1"/>
  <c r="AM12" i="6"/>
  <c r="AL27" i="6"/>
  <c r="AL11" i="6"/>
  <c r="AK15" i="6"/>
  <c r="AK22" i="6" s="1"/>
  <c r="AK13" i="6"/>
  <c r="AK16" i="6"/>
  <c r="AJ11" i="6"/>
  <c r="AI11" i="6"/>
  <c r="AI13" i="6"/>
  <c r="AH9" i="6"/>
  <c r="AH17" i="6" s="1"/>
  <c r="AF17" i="6"/>
  <c r="AF13" i="6"/>
  <c r="AD11" i="6"/>
  <c r="AD13" i="6"/>
  <c r="AD17" i="6"/>
  <c r="AD21" i="6" s="1"/>
  <c r="AY66" i="1" s="1"/>
  <c r="AD15" i="6"/>
  <c r="AD22" i="6" s="1"/>
  <c r="AY67" i="1" s="1"/>
  <c r="AD16" i="6"/>
  <c r="AC17" i="6"/>
  <c r="AC21" i="6" s="1"/>
  <c r="AX66" i="1" s="1"/>
  <c r="AC11" i="6"/>
  <c r="AA15" i="6"/>
  <c r="Y17" i="6"/>
  <c r="X11" i="6"/>
  <c r="X13" i="6"/>
  <c r="X21" i="6"/>
  <c r="AS66" i="1" s="1"/>
  <c r="X15" i="6"/>
  <c r="W11" i="6"/>
  <c r="R15" i="6"/>
  <c r="R22" i="6" s="1"/>
  <c r="AM67" i="1" s="1"/>
  <c r="R16" i="6"/>
  <c r="P12" i="6"/>
  <c r="O12" i="6"/>
  <c r="N13" i="6"/>
  <c r="N11" i="6"/>
  <c r="M11" i="6"/>
  <c r="K16" i="6"/>
  <c r="E11" i="6"/>
  <c r="C15" i="6"/>
  <c r="C22" i="6" s="1"/>
  <c r="C17" i="6"/>
  <c r="C21" i="6" s="1"/>
  <c r="C11" i="6"/>
  <c r="C16" i="6"/>
  <c r="CT12" i="6"/>
  <c r="CR16" i="6"/>
  <c r="CR15" i="6"/>
  <c r="CR27" i="6" s="1"/>
  <c r="CQ13" i="6"/>
  <c r="CQ15" i="6"/>
  <c r="CQ27" i="6" s="1"/>
  <c r="CT15" i="6"/>
  <c r="CO15" i="6"/>
  <c r="CS27" i="6"/>
  <c r="CT17" i="6"/>
  <c r="CT20" i="6" s="1"/>
  <c r="CQ16" i="6"/>
  <c r="CR20" i="6"/>
  <c r="CT13" i="6"/>
  <c r="CP11" i="6"/>
  <c r="CP15" i="6"/>
  <c r="CT11" i="6"/>
  <c r="CR12" i="6"/>
  <c r="CE27" i="6"/>
  <c r="CK13" i="6"/>
  <c r="CD11" i="6"/>
  <c r="CM16" i="6"/>
  <c r="CM19" i="6" s="1"/>
  <c r="CL12" i="6"/>
  <c r="CG11" i="6"/>
  <c r="CK11" i="6"/>
  <c r="CF16" i="6"/>
  <c r="CF17" i="6"/>
  <c r="CL11" i="6"/>
  <c r="CG17" i="6"/>
  <c r="CG21" i="6" s="1"/>
  <c r="CL15" i="6"/>
  <c r="CH12" i="6"/>
  <c r="BW17" i="6"/>
  <c r="BW21" i="6" s="1"/>
  <c r="BW16" i="6"/>
  <c r="BP11" i="6"/>
  <c r="BO17" i="6"/>
  <c r="BP15" i="6"/>
  <c r="BP27" i="6" s="1"/>
  <c r="BM12" i="6"/>
  <c r="BR16" i="6"/>
  <c r="BP17" i="6"/>
  <c r="BP20" i="6" s="1"/>
  <c r="BR13" i="6"/>
  <c r="BM11" i="6"/>
  <c r="BF11" i="6"/>
  <c r="AT15" i="6"/>
  <c r="AT22" i="6" s="1"/>
  <c r="AU15" i="6"/>
  <c r="AQ12" i="6"/>
  <c r="AR17" i="6"/>
  <c r="AR20" i="6" s="1"/>
  <c r="AV11" i="6"/>
  <c r="AR13" i="6"/>
  <c r="AW13" i="6"/>
  <c r="AR11" i="6"/>
  <c r="AW11" i="6"/>
  <c r="AW15" i="6"/>
  <c r="AQ11" i="6"/>
  <c r="AR12" i="6"/>
  <c r="AV13" i="6"/>
  <c r="AS11" i="6"/>
  <c r="AS15" i="6"/>
  <c r="AW17" i="6"/>
  <c r="AM13" i="6"/>
  <c r="AI12" i="6"/>
  <c r="AN16" i="6"/>
  <c r="AI17" i="6"/>
  <c r="AI20" i="6" s="1"/>
  <c r="AM15" i="6"/>
  <c r="AL13" i="6"/>
  <c r="AL17" i="6"/>
  <c r="AM11" i="6"/>
  <c r="AC15" i="6"/>
  <c r="AC27" i="6" s="1"/>
  <c r="AC16" i="6"/>
  <c r="AD12" i="6"/>
  <c r="AE16" i="6"/>
  <c r="AB11" i="6"/>
  <c r="W13" i="6"/>
  <c r="W17" i="6"/>
  <c r="AE11" i="6"/>
  <c r="W15" i="6"/>
  <c r="AB16" i="6"/>
  <c r="AE13" i="6"/>
  <c r="AE17" i="6"/>
  <c r="Q16" i="6"/>
  <c r="Q12" i="6"/>
  <c r="S16" i="6"/>
  <c r="S18" i="6" s="1"/>
  <c r="P21" i="6"/>
  <c r="AK66" i="1" s="1"/>
  <c r="O11" i="6"/>
  <c r="L15" i="6"/>
  <c r="L11" i="6"/>
  <c r="L17" i="6"/>
  <c r="L16" i="6"/>
  <c r="P15" i="6"/>
  <c r="P26" i="6" s="1"/>
  <c r="N155" i="6" s="1"/>
  <c r="P16" i="6"/>
  <c r="P13" i="6"/>
  <c r="R11" i="6"/>
  <c r="P11" i="6"/>
  <c r="L12" i="6"/>
  <c r="AO11" i="6"/>
  <c r="AO15" i="6"/>
  <c r="BI17" i="6"/>
  <c r="BI13" i="6"/>
  <c r="CK15" i="6"/>
  <c r="CK27" i="6" s="1"/>
  <c r="AK11" i="6"/>
  <c r="CV12" i="6"/>
  <c r="R13" i="6"/>
  <c r="R17" i="6"/>
  <c r="AN11" i="6"/>
  <c r="AN15" i="6"/>
  <c r="CW12" i="6"/>
  <c r="BB12" i="6"/>
  <c r="BB17" i="6"/>
  <c r="BB13" i="6"/>
  <c r="BB15" i="6"/>
  <c r="BB16" i="6"/>
  <c r="BC13" i="6"/>
  <c r="BC11" i="6"/>
  <c r="BC17" i="6"/>
  <c r="BC16" i="6"/>
  <c r="BH13" i="6"/>
  <c r="BH11" i="6"/>
  <c r="BH12" i="6"/>
  <c r="BH17" i="6"/>
  <c r="BH16" i="6"/>
  <c r="BH15" i="6"/>
  <c r="BJ13" i="6"/>
  <c r="BJ17" i="6"/>
  <c r="BY12" i="6"/>
  <c r="BY16" i="6"/>
  <c r="Y12" i="6"/>
  <c r="Y16" i="6"/>
  <c r="W12" i="6"/>
  <c r="W16" i="6"/>
  <c r="AA12" i="6"/>
  <c r="AA16" i="6"/>
  <c r="BF13" i="6"/>
  <c r="BF16" i="6"/>
  <c r="BF12" i="6"/>
  <c r="BF17" i="6"/>
  <c r="BM13" i="6"/>
  <c r="BM17" i="6"/>
  <c r="BF15" i="6"/>
  <c r="BF27" i="6" s="1"/>
  <c r="CV15" i="6"/>
  <c r="CV18" i="6" s="1"/>
  <c r="BX12" i="6"/>
  <c r="CV17" i="6"/>
  <c r="BZ12" i="6"/>
  <c r="CW13" i="6"/>
  <c r="V16" i="6"/>
  <c r="V12" i="6"/>
  <c r="BA13" i="6"/>
  <c r="BA11" i="6"/>
  <c r="BA15" i="6"/>
  <c r="BA17" i="6"/>
  <c r="BA12" i="6"/>
  <c r="CC11" i="6"/>
  <c r="CC15" i="6"/>
  <c r="M21" i="6"/>
  <c r="AH66" i="1" s="1"/>
  <c r="CV13" i="6"/>
  <c r="AE12" i="6"/>
  <c r="O17" i="6"/>
  <c r="O13" i="6"/>
  <c r="S17" i="6"/>
  <c r="S13" i="6"/>
  <c r="AZ12" i="6"/>
  <c r="AZ16" i="6"/>
  <c r="AZ17" i="6"/>
  <c r="BD15" i="6"/>
  <c r="BD11" i="6"/>
  <c r="BD16" i="6"/>
  <c r="BD17" i="6"/>
  <c r="BG21" i="6"/>
  <c r="BG20" i="6"/>
  <c r="K20" i="6"/>
  <c r="K15" i="6"/>
  <c r="K12" i="6"/>
  <c r="J13" i="6"/>
  <c r="J16" i="6"/>
  <c r="J12" i="6"/>
  <c r="J17" i="6"/>
  <c r="J11" i="6"/>
  <c r="J15" i="6"/>
  <c r="I12" i="6"/>
  <c r="I13" i="6"/>
  <c r="I17" i="6"/>
  <c r="I15" i="6"/>
  <c r="I16" i="6"/>
  <c r="H17" i="6"/>
  <c r="H13" i="6"/>
  <c r="H16" i="6"/>
  <c r="E15" i="6"/>
  <c r="E12" i="6"/>
  <c r="E13" i="6"/>
  <c r="E17" i="6"/>
  <c r="E16" i="6"/>
  <c r="D15" i="6"/>
  <c r="D11" i="6"/>
  <c r="D12" i="6"/>
  <c r="D13" i="6"/>
  <c r="D16" i="6"/>
  <c r="D17" i="6"/>
  <c r="CB27" i="6"/>
  <c r="CM22" i="6"/>
  <c r="CM21" i="6"/>
  <c r="CM20" i="6"/>
  <c r="CM26" i="6"/>
  <c r="AR27" i="6"/>
  <c r="U27" i="6"/>
  <c r="N171" i="6" s="1"/>
  <c r="M26" i="6" l="1"/>
  <c r="N146" i="6" s="1"/>
  <c r="T13" i="6"/>
  <c r="AO64" i="1"/>
  <c r="AO69" i="1" s="1"/>
  <c r="Z17" i="6"/>
  <c r="Z20" i="6" s="1"/>
  <c r="AU65" i="1" s="1"/>
  <c r="AU64" i="1"/>
  <c r="AU69" i="1" s="1"/>
  <c r="S22" i="6"/>
  <c r="AN67" i="1" s="1"/>
  <c r="CI20" i="6"/>
  <c r="Z13" i="6"/>
  <c r="B19" i="6"/>
  <c r="CP20" i="6"/>
  <c r="BO18" i="6"/>
  <c r="AQ18" i="6"/>
  <c r="Z11" i="6"/>
  <c r="B22" i="6"/>
  <c r="B10" i="6" s="1"/>
  <c r="AB22" i="6"/>
  <c r="AW67" i="1" s="1"/>
  <c r="CE20" i="6"/>
  <c r="CE10" i="6" s="1"/>
  <c r="AQ21" i="6"/>
  <c r="Z16" i="6"/>
  <c r="CP19" i="6"/>
  <c r="X19" i="6"/>
  <c r="BV11" i="6"/>
  <c r="B26" i="6"/>
  <c r="N113" i="6" s="1"/>
  <c r="BN20" i="6"/>
  <c r="AL18" i="6"/>
  <c r="CS26" i="6"/>
  <c r="CH18" i="6"/>
  <c r="AV19" i="6"/>
  <c r="BX20" i="6"/>
  <c r="AP18" i="6"/>
  <c r="CS10" i="6"/>
  <c r="CT21" i="6"/>
  <c r="BN26" i="6"/>
  <c r="AL19" i="6"/>
  <c r="BR18" i="6"/>
  <c r="BN19" i="6"/>
  <c r="B18" i="6"/>
  <c r="CW18" i="6"/>
  <c r="CW20" i="6"/>
  <c r="BJ22" i="6"/>
  <c r="BG19" i="6"/>
  <c r="Z12" i="6"/>
  <c r="BV12" i="6"/>
  <c r="BG22" i="6"/>
  <c r="BG10" i="6" s="1"/>
  <c r="BI18" i="6"/>
  <c r="BX26" i="6"/>
  <c r="CI26" i="6"/>
  <c r="BW20" i="6"/>
  <c r="BX27" i="6"/>
  <c r="BX22" i="6"/>
  <c r="M19" i="6"/>
  <c r="AZ22" i="6"/>
  <c r="F17" i="6"/>
  <c r="F21" i="6" s="1"/>
  <c r="AZ26" i="6"/>
  <c r="AX22" i="6"/>
  <c r="AG15" i="6"/>
  <c r="AG22" i="6" s="1"/>
  <c r="AG12" i="6"/>
  <c r="Q26" i="6"/>
  <c r="N158" i="6" s="1"/>
  <c r="AG11" i="6"/>
  <c r="Q20" i="6"/>
  <c r="CU19" i="6"/>
  <c r="CU22" i="6"/>
  <c r="CU26" i="6"/>
  <c r="CU20" i="6"/>
  <c r="CU18" i="6"/>
  <c r="CS21" i="6"/>
  <c r="CJ26" i="6"/>
  <c r="CG26" i="6"/>
  <c r="CG22" i="6"/>
  <c r="CG18" i="6"/>
  <c r="BM26" i="6"/>
  <c r="BI19" i="6"/>
  <c r="BG26" i="6"/>
  <c r="BG18" i="6"/>
  <c r="BE12" i="6"/>
  <c r="AU19" i="6"/>
  <c r="AQ26" i="6"/>
  <c r="AQ27" i="6"/>
  <c r="AQ19" i="6"/>
  <c r="AK27" i="6"/>
  <c r="AB26" i="6"/>
  <c r="V22" i="6"/>
  <c r="AQ67" i="1" s="1"/>
  <c r="N19" i="6"/>
  <c r="AV26" i="6"/>
  <c r="CI19" i="6"/>
  <c r="N26" i="6"/>
  <c r="N149" i="6" s="1"/>
  <c r="BX19" i="6"/>
  <c r="AR19" i="6"/>
  <c r="CS23" i="6"/>
  <c r="CQ18" i="6"/>
  <c r="CD18" i="6"/>
  <c r="BU21" i="6"/>
  <c r="BS15" i="6"/>
  <c r="BS22" i="6" s="1"/>
  <c r="BQ27" i="6"/>
  <c r="BQ13" i="6"/>
  <c r="BQ16" i="6"/>
  <c r="BQ18" i="6" s="1"/>
  <c r="BQ17" i="6"/>
  <c r="BQ20" i="6" s="1"/>
  <c r="BQ10" i="6" s="1"/>
  <c r="BQ12" i="6"/>
  <c r="BQ11" i="6"/>
  <c r="BM18" i="6"/>
  <c r="BI22" i="6"/>
  <c r="BE13" i="6"/>
  <c r="BE20" i="6"/>
  <c r="BE15" i="6"/>
  <c r="BE26" i="6" s="1"/>
  <c r="BE11" i="6"/>
  <c r="BE16" i="6"/>
  <c r="AY23" i="6"/>
  <c r="AX26" i="6"/>
  <c r="AX20" i="6"/>
  <c r="AX18" i="6"/>
  <c r="AT26" i="6"/>
  <c r="AT27" i="6"/>
  <c r="AR18" i="6"/>
  <c r="AP22" i="6"/>
  <c r="AP23" i="6" s="1"/>
  <c r="AF27" i="6"/>
  <c r="AD20" i="6"/>
  <c r="AB21" i="6"/>
  <c r="AW66" i="1" s="1"/>
  <c r="AA20" i="6"/>
  <c r="AV65" i="1" s="1"/>
  <c r="AA26" i="6"/>
  <c r="Z15" i="6"/>
  <c r="U26" i="6"/>
  <c r="N170" i="6" s="1"/>
  <c r="U19" i="6"/>
  <c r="U18" i="6"/>
  <c r="T16" i="6"/>
  <c r="R18" i="6"/>
  <c r="R26" i="6"/>
  <c r="N161" i="6" s="1"/>
  <c r="Q27" i="6"/>
  <c r="N159" i="6" s="1"/>
  <c r="Q18" i="6"/>
  <c r="CQ26" i="6"/>
  <c r="BW18" i="6"/>
  <c r="AZ18" i="6"/>
  <c r="AV20" i="6"/>
  <c r="AE27" i="6"/>
  <c r="CE26" i="6"/>
  <c r="CA11" i="6"/>
  <c r="AJ18" i="6"/>
  <c r="O18" i="6"/>
  <c r="CE19" i="6"/>
  <c r="C26" i="6"/>
  <c r="N116" i="6" s="1"/>
  <c r="CW19" i="6"/>
  <c r="CW22" i="6"/>
  <c r="CE18" i="6"/>
  <c r="BI26" i="6"/>
  <c r="CW26" i="6"/>
  <c r="CQ22" i="6"/>
  <c r="AE26" i="6"/>
  <c r="AF19" i="6"/>
  <c r="C27" i="6"/>
  <c r="N117" i="6" s="1"/>
  <c r="BM27" i="6"/>
  <c r="BU22" i="6"/>
  <c r="BU10" i="6" s="1"/>
  <c r="AR26" i="6"/>
  <c r="AB20" i="6"/>
  <c r="AW65" i="1" s="1"/>
  <c r="O27" i="6"/>
  <c r="N153" i="6" s="1"/>
  <c r="BS12" i="6"/>
  <c r="CL19" i="6"/>
  <c r="CH27" i="6"/>
  <c r="AT18" i="6"/>
  <c r="CD19" i="6"/>
  <c r="BM22" i="6"/>
  <c r="CF27" i="6"/>
  <c r="BZ21" i="6"/>
  <c r="CQ20" i="6"/>
  <c r="BS16" i="6"/>
  <c r="AP19" i="6"/>
  <c r="O22" i="6"/>
  <c r="AJ67" i="1" s="1"/>
  <c r="AB19" i="6"/>
  <c r="CF26" i="6"/>
  <c r="CH22" i="6"/>
  <c r="H27" i="6"/>
  <c r="N132" i="6" s="1"/>
  <c r="AJ19" i="6"/>
  <c r="CN16" i="6"/>
  <c r="V21" i="6"/>
  <c r="AQ66" i="1" s="1"/>
  <c r="V20" i="6"/>
  <c r="AQ65" i="1" s="1"/>
  <c r="BV18" i="6"/>
  <c r="CQ21" i="6"/>
  <c r="AP21" i="6"/>
  <c r="CF18" i="6"/>
  <c r="CQ19" i="6"/>
  <c r="CR18" i="6"/>
  <c r="AP26" i="6"/>
  <c r="BR26" i="6"/>
  <c r="CN17" i="6"/>
  <c r="U21" i="6"/>
  <c r="AP66" i="1" s="1"/>
  <c r="F13" i="6"/>
  <c r="BM19" i="6"/>
  <c r="BW19" i="6"/>
  <c r="CS19" i="6"/>
  <c r="BY22" i="6"/>
  <c r="BY10" i="6" s="1"/>
  <c r="BZ18" i="6"/>
  <c r="CJ19" i="6"/>
  <c r="CL26" i="6"/>
  <c r="BV13" i="6"/>
  <c r="BV17" i="6"/>
  <c r="BV26" i="6" s="1"/>
  <c r="Q19" i="6"/>
  <c r="CB20" i="6"/>
  <c r="CB10" i="6" s="1"/>
  <c r="BK19" i="6"/>
  <c r="CD21" i="6"/>
  <c r="CB21" i="6"/>
  <c r="BW26" i="6"/>
  <c r="CI18" i="6"/>
  <c r="BR21" i="6"/>
  <c r="BZ26" i="6"/>
  <c r="F11" i="6"/>
  <c r="AJ21" i="6"/>
  <c r="BC27" i="6"/>
  <c r="BZ27" i="6"/>
  <c r="R27" i="6"/>
  <c r="N162" i="6" s="1"/>
  <c r="CN15" i="6"/>
  <c r="CD27" i="6"/>
  <c r="CD22" i="6"/>
  <c r="CI22" i="6"/>
  <c r="CI23" i="6" s="1"/>
  <c r="BW22" i="6"/>
  <c r="BW10" i="6" s="1"/>
  <c r="CV27" i="6"/>
  <c r="CI27" i="6"/>
  <c r="AF26" i="6"/>
  <c r="CD20" i="6"/>
  <c r="CD26" i="6"/>
  <c r="CV22" i="6"/>
  <c r="AM26" i="6"/>
  <c r="M22" i="6"/>
  <c r="AH67" i="1" s="1"/>
  <c r="M27" i="6"/>
  <c r="N147" i="6" s="1"/>
  <c r="M18" i="6"/>
  <c r="BJ18" i="6"/>
  <c r="G16" i="6"/>
  <c r="G17" i="6"/>
  <c r="Y22" i="6"/>
  <c r="AT67" i="1" s="1"/>
  <c r="Y27" i="6"/>
  <c r="CJ22" i="6"/>
  <c r="CJ23" i="6" s="1"/>
  <c r="X18" i="6"/>
  <c r="CB19" i="6"/>
  <c r="G15" i="6"/>
  <c r="AN21" i="6"/>
  <c r="AI22" i="6"/>
  <c r="AI10" i="6" s="1"/>
  <c r="AI18" i="6"/>
  <c r="G13" i="6"/>
  <c r="AJ26" i="6"/>
  <c r="AJ27" i="6"/>
  <c r="CN12" i="6"/>
  <c r="CN11" i="6"/>
  <c r="CA13" i="6"/>
  <c r="CA16" i="6"/>
  <c r="CA17" i="6"/>
  <c r="BV22" i="6"/>
  <c r="BV27" i="6"/>
  <c r="F15" i="6"/>
  <c r="F26" i="6" s="1"/>
  <c r="N125" i="6" s="1"/>
  <c r="F16" i="6"/>
  <c r="CA15" i="6"/>
  <c r="BU26" i="6"/>
  <c r="BU18" i="6"/>
  <c r="CL21" i="6"/>
  <c r="AK26" i="6"/>
  <c r="BU19" i="6"/>
  <c r="CJ27" i="6"/>
  <c r="AF21" i="6"/>
  <c r="CL20" i="6"/>
  <c r="AU18" i="6"/>
  <c r="G11" i="6"/>
  <c r="AJ23" i="6"/>
  <c r="AX19" i="6"/>
  <c r="AT19" i="6"/>
  <c r="BO27" i="6"/>
  <c r="BO19" i="6"/>
  <c r="CG19" i="6"/>
  <c r="G12" i="6"/>
  <c r="AK21" i="6"/>
  <c r="CJ18" i="6"/>
  <c r="AG17" i="6"/>
  <c r="AG13" i="6"/>
  <c r="T11" i="6"/>
  <c r="T15" i="6"/>
  <c r="T12" i="6"/>
  <c r="N20" i="6"/>
  <c r="AI65" i="1" s="1"/>
  <c r="N21" i="6"/>
  <c r="AI66" i="1" s="1"/>
  <c r="T17" i="6"/>
  <c r="BL15" i="6"/>
  <c r="BL16" i="6"/>
  <c r="BL11" i="6"/>
  <c r="BL17" i="6"/>
  <c r="BL12" i="6"/>
  <c r="BL13" i="6"/>
  <c r="BT17" i="6"/>
  <c r="BT13" i="6"/>
  <c r="BT11" i="6"/>
  <c r="BT15" i="6"/>
  <c r="R19" i="6"/>
  <c r="AF20" i="6"/>
  <c r="AF23" i="6" s="1"/>
  <c r="CF19" i="6"/>
  <c r="CP26" i="6"/>
  <c r="BX18" i="6"/>
  <c r="AC18" i="6"/>
  <c r="CR19" i="6"/>
  <c r="AD26" i="6"/>
  <c r="AK18" i="6"/>
  <c r="AV27" i="6"/>
  <c r="AV18" i="6"/>
  <c r="AV22" i="6"/>
  <c r="N22" i="6"/>
  <c r="AI67" i="1" s="1"/>
  <c r="N18" i="6"/>
  <c r="BT16" i="6"/>
  <c r="BS17" i="6"/>
  <c r="BS13" i="6"/>
  <c r="BN22" i="6"/>
  <c r="BN27" i="6"/>
  <c r="BN18" i="6"/>
  <c r="CV19" i="6"/>
  <c r="CT26" i="6"/>
  <c r="CR26" i="6"/>
  <c r="CK21" i="6"/>
  <c r="CK22" i="6"/>
  <c r="CK10" i="6" s="1"/>
  <c r="CJ21" i="6"/>
  <c r="CH26" i="6"/>
  <c r="CH20" i="6"/>
  <c r="CH19" i="6"/>
  <c r="CG20" i="6"/>
  <c r="BZ19" i="6"/>
  <c r="BY21" i="6"/>
  <c r="BY26" i="6"/>
  <c r="BR19" i="6"/>
  <c r="BP22" i="6"/>
  <c r="BP23" i="6" s="1"/>
  <c r="BO26" i="6"/>
  <c r="BO21" i="6"/>
  <c r="BO20" i="6"/>
  <c r="BO23" i="6" s="1"/>
  <c r="BK26" i="6"/>
  <c r="BK21" i="6"/>
  <c r="BK22" i="6"/>
  <c r="BK23" i="6" s="1"/>
  <c r="BK27" i="6"/>
  <c r="BK18" i="6"/>
  <c r="BF26" i="6"/>
  <c r="AZ19" i="6"/>
  <c r="AS21" i="6"/>
  <c r="AS20" i="6"/>
  <c r="AR21" i="6"/>
  <c r="AM18" i="6"/>
  <c r="AM22" i="6"/>
  <c r="AM20" i="6"/>
  <c r="AK19" i="6"/>
  <c r="AJ10" i="6"/>
  <c r="AH12" i="6"/>
  <c r="AH16" i="6"/>
  <c r="AH15" i="6"/>
  <c r="AH13" i="6"/>
  <c r="AH11" i="6"/>
  <c r="AE19" i="6"/>
  <c r="AD27" i="6"/>
  <c r="AD18" i="6"/>
  <c r="AD19" i="6"/>
  <c r="AC20" i="6"/>
  <c r="AX65" i="1" s="1"/>
  <c r="AC26" i="6"/>
  <c r="AC19" i="6"/>
  <c r="AC22" i="6"/>
  <c r="AX67" i="1" s="1"/>
  <c r="AA22" i="6"/>
  <c r="AV67" i="1" s="1"/>
  <c r="AA27" i="6"/>
  <c r="Y21" i="6"/>
  <c r="AT66" i="1" s="1"/>
  <c r="Y20" i="6"/>
  <c r="AT65" i="1" s="1"/>
  <c r="Y26" i="6"/>
  <c r="X27" i="6"/>
  <c r="X22" i="6"/>
  <c r="AS67" i="1" s="1"/>
  <c r="X26" i="6"/>
  <c r="P27" i="6"/>
  <c r="N156" i="6" s="1"/>
  <c r="P22" i="6"/>
  <c r="C20" i="6"/>
  <c r="C10" i="6" s="1"/>
  <c r="C18" i="6"/>
  <c r="C19" i="6"/>
  <c r="CO22" i="6"/>
  <c r="CO26" i="6"/>
  <c r="CO19" i="6"/>
  <c r="CO18" i="6"/>
  <c r="CO27" i="6"/>
  <c r="CR22" i="6"/>
  <c r="CR10" i="6" s="1"/>
  <c r="CP22" i="6"/>
  <c r="CP18" i="6"/>
  <c r="CP27" i="6"/>
  <c r="CT22" i="6"/>
  <c r="CT10" i="6" s="1"/>
  <c r="CT27" i="6"/>
  <c r="CT18" i="6"/>
  <c r="CT19" i="6"/>
  <c r="CK26" i="6"/>
  <c r="CK18" i="6"/>
  <c r="CL18" i="6"/>
  <c r="CL22" i="6"/>
  <c r="CL27" i="6"/>
  <c r="CF20" i="6"/>
  <c r="CF23" i="6" s="1"/>
  <c r="CF21" i="6"/>
  <c r="CK19" i="6"/>
  <c r="CM18" i="6"/>
  <c r="BP26" i="6"/>
  <c r="BP21" i="6"/>
  <c r="BP18" i="6"/>
  <c r="BP19" i="6"/>
  <c r="BF19" i="6"/>
  <c r="AW18" i="6"/>
  <c r="AW27" i="6"/>
  <c r="AW22" i="6"/>
  <c r="AW19" i="6"/>
  <c r="AW21" i="6"/>
  <c r="AW20" i="6"/>
  <c r="AW26" i="6"/>
  <c r="AU22" i="6"/>
  <c r="AU27" i="6"/>
  <c r="AU26" i="6"/>
  <c r="AS26" i="6"/>
  <c r="AS27" i="6"/>
  <c r="AS19" i="6"/>
  <c r="AS18" i="6"/>
  <c r="AS22" i="6"/>
  <c r="AH20" i="6"/>
  <c r="AH21" i="6"/>
  <c r="AH26" i="6"/>
  <c r="AI21" i="6"/>
  <c r="AI19" i="6"/>
  <c r="AI26" i="6"/>
  <c r="AL26" i="6"/>
  <c r="AL21" i="6"/>
  <c r="AL20" i="6"/>
  <c r="AM27" i="6"/>
  <c r="AM19" i="6"/>
  <c r="AE18" i="6"/>
  <c r="W27" i="6"/>
  <c r="W22" i="6"/>
  <c r="AR67" i="1" s="1"/>
  <c r="AB18" i="6"/>
  <c r="AE21" i="6"/>
  <c r="AZ66" i="1" s="1"/>
  <c r="AE20" i="6"/>
  <c r="AZ65" i="1" s="1"/>
  <c r="W21" i="6"/>
  <c r="AR66" i="1" s="1"/>
  <c r="W20" i="6"/>
  <c r="AR65" i="1" s="1"/>
  <c r="W26" i="6"/>
  <c r="P19" i="6"/>
  <c r="P18" i="6"/>
  <c r="L20" i="6"/>
  <c r="AG65" i="1" s="1"/>
  <c r="L21" i="6"/>
  <c r="AG66" i="1" s="1"/>
  <c r="L26" i="6"/>
  <c r="N143" i="6" s="1"/>
  <c r="L27" i="6"/>
  <c r="N144" i="6" s="1"/>
  <c r="L19" i="6"/>
  <c r="L22" i="6"/>
  <c r="AG67" i="1" s="1"/>
  <c r="L18" i="6"/>
  <c r="BA19" i="6"/>
  <c r="BF22" i="6"/>
  <c r="BF18" i="6"/>
  <c r="CV26" i="6"/>
  <c r="CC22" i="6"/>
  <c r="CC26" i="6"/>
  <c r="CC27" i="6"/>
  <c r="CC19" i="6"/>
  <c r="CC18" i="6"/>
  <c r="BA27" i="6"/>
  <c r="BA18" i="6"/>
  <c r="BA22" i="6"/>
  <c r="BF20" i="6"/>
  <c r="BF21" i="6"/>
  <c r="BY18" i="6"/>
  <c r="BY19" i="6"/>
  <c r="BH18" i="6"/>
  <c r="BH22" i="6"/>
  <c r="BH19" i="6"/>
  <c r="BH27" i="6"/>
  <c r="BE27" i="6"/>
  <c r="BE22" i="6"/>
  <c r="BC20" i="6"/>
  <c r="BC21" i="6"/>
  <c r="BC26" i="6"/>
  <c r="BB22" i="6"/>
  <c r="BB27" i="6"/>
  <c r="BB19" i="6"/>
  <c r="BB18" i="6"/>
  <c r="AO22" i="6"/>
  <c r="AO19" i="6"/>
  <c r="AO27" i="6"/>
  <c r="AO26" i="6"/>
  <c r="AO18" i="6"/>
  <c r="BD18" i="6"/>
  <c r="BD19" i="6"/>
  <c r="BD22" i="6"/>
  <c r="BD27" i="6"/>
  <c r="S20" i="6"/>
  <c r="S21" i="6"/>
  <c r="AN66" i="1" s="1"/>
  <c r="S26" i="6"/>
  <c r="N164" i="6" s="1"/>
  <c r="CV20" i="6"/>
  <c r="CV21" i="6"/>
  <c r="S19" i="6"/>
  <c r="AA19" i="6"/>
  <c r="AA18" i="6"/>
  <c r="Y18" i="6"/>
  <c r="Y19" i="6"/>
  <c r="AN27" i="6"/>
  <c r="AN26" i="6"/>
  <c r="AN22" i="6"/>
  <c r="AN18" i="6"/>
  <c r="AN19" i="6"/>
  <c r="BD20" i="6"/>
  <c r="BD21" i="6"/>
  <c r="BD26" i="6"/>
  <c r="V18" i="6"/>
  <c r="V19" i="6"/>
  <c r="BM20" i="6"/>
  <c r="BM21" i="6"/>
  <c r="BJ20" i="6"/>
  <c r="BJ26" i="6"/>
  <c r="BJ21" i="6"/>
  <c r="BJ19" i="6"/>
  <c r="BH20" i="6"/>
  <c r="BH21" i="6"/>
  <c r="BH26" i="6"/>
  <c r="BB20" i="6"/>
  <c r="BB21" i="6"/>
  <c r="BB26" i="6"/>
  <c r="AZ20" i="6"/>
  <c r="AZ21" i="6"/>
  <c r="O21" i="6"/>
  <c r="AJ66" i="1" s="1"/>
  <c r="O20" i="6"/>
  <c r="AJ65" i="1" s="1"/>
  <c r="O26" i="6"/>
  <c r="N152" i="6" s="1"/>
  <c r="O19" i="6"/>
  <c r="BA20" i="6"/>
  <c r="BA21" i="6"/>
  <c r="BA26" i="6"/>
  <c r="AG27" i="6"/>
  <c r="W18" i="6"/>
  <c r="W19" i="6"/>
  <c r="BC19" i="6"/>
  <c r="BC18" i="6"/>
  <c r="R20" i="6"/>
  <c r="AM65" i="1" s="1"/>
  <c r="R21" i="6"/>
  <c r="AM66" i="1" s="1"/>
  <c r="BI20" i="6"/>
  <c r="BI21" i="6"/>
  <c r="K22" i="6"/>
  <c r="K27" i="6"/>
  <c r="N141" i="6" s="1"/>
  <c r="K19" i="6"/>
  <c r="K18" i="6"/>
  <c r="K26" i="6"/>
  <c r="N140" i="6" s="1"/>
  <c r="J20" i="6"/>
  <c r="J26" i="6"/>
  <c r="N137" i="6" s="1"/>
  <c r="J21" i="6"/>
  <c r="J22" i="6"/>
  <c r="J19" i="6"/>
  <c r="J18" i="6"/>
  <c r="J27" i="6"/>
  <c r="N138" i="6" s="1"/>
  <c r="I20" i="6"/>
  <c r="I21" i="6"/>
  <c r="I26" i="6"/>
  <c r="N134" i="6" s="1"/>
  <c r="I19" i="6"/>
  <c r="I22" i="6"/>
  <c r="I10" i="6" s="1"/>
  <c r="I18" i="6"/>
  <c r="I27" i="6"/>
  <c r="N135" i="6" s="1"/>
  <c r="H18" i="6"/>
  <c r="H19" i="6"/>
  <c r="H20" i="6"/>
  <c r="H21" i="6"/>
  <c r="H26" i="6"/>
  <c r="N131" i="6" s="1"/>
  <c r="E20" i="6"/>
  <c r="E21" i="6"/>
  <c r="E26" i="6"/>
  <c r="N122" i="6" s="1"/>
  <c r="E27" i="6"/>
  <c r="N123" i="6" s="1"/>
  <c r="E22" i="6"/>
  <c r="E10" i="6" s="1"/>
  <c r="E18" i="6"/>
  <c r="E19" i="6"/>
  <c r="D21" i="6"/>
  <c r="D20" i="6"/>
  <c r="D26" i="6"/>
  <c r="N119" i="6" s="1"/>
  <c r="D27" i="6"/>
  <c r="N120" i="6" s="1"/>
  <c r="D19" i="6"/>
  <c r="D22" i="6"/>
  <c r="D18" i="6"/>
  <c r="CM10" i="6"/>
  <c r="BZ23" i="6"/>
  <c r="BZ10" i="6"/>
  <c r="BR23" i="6"/>
  <c r="BR10" i="6"/>
  <c r="CM23" i="6"/>
  <c r="AQ10" i="6"/>
  <c r="AQ23" i="6"/>
  <c r="AR10" i="6"/>
  <c r="AR23" i="6"/>
  <c r="U10" i="6"/>
  <c r="U23" i="6"/>
  <c r="AP68" i="1" s="1"/>
  <c r="AT10" i="6"/>
  <c r="AT23" i="6"/>
  <c r="AK10" i="6"/>
  <c r="AK23" i="6"/>
  <c r="CP23" i="6" l="1"/>
  <c r="CE23" i="6"/>
  <c r="P10" i="6"/>
  <c r="AK67" i="1"/>
  <c r="AD23" i="6"/>
  <c r="AY68" i="1" s="1"/>
  <c r="AY65" i="1"/>
  <c r="Q10" i="6"/>
  <c r="AL65" i="1"/>
  <c r="S23" i="6"/>
  <c r="AN68" i="1" s="1"/>
  <c r="AN65" i="1"/>
  <c r="Z21" i="6"/>
  <c r="AU66" i="1" s="1"/>
  <c r="CT23" i="6"/>
  <c r="F20" i="6"/>
  <c r="B23" i="6"/>
  <c r="CW23" i="6"/>
  <c r="AB23" i="6"/>
  <c r="AW68" i="1" s="1"/>
  <c r="Z19" i="6"/>
  <c r="BI23" i="6"/>
  <c r="AG18" i="6"/>
  <c r="AB10" i="6"/>
  <c r="BG23" i="6"/>
  <c r="Q23" i="6"/>
  <c r="AL68" i="1" s="1"/>
  <c r="BN10" i="6"/>
  <c r="Z18" i="6"/>
  <c r="AD10" i="6"/>
  <c r="AZ10" i="6"/>
  <c r="CW10" i="6"/>
  <c r="BX23" i="6"/>
  <c r="CH23" i="6"/>
  <c r="BU23" i="6"/>
  <c r="BX10" i="6"/>
  <c r="AI23" i="6"/>
  <c r="AG26" i="6"/>
  <c r="G26" i="6"/>
  <c r="N128" i="6" s="1"/>
  <c r="AG19" i="6"/>
  <c r="V23" i="6"/>
  <c r="AQ68" i="1" s="1"/>
  <c r="AX10" i="6"/>
  <c r="P23" i="6"/>
  <c r="AK68" i="1" s="1"/>
  <c r="CU10" i="6"/>
  <c r="BE18" i="6"/>
  <c r="CU23" i="6"/>
  <c r="CK23" i="6"/>
  <c r="CI10" i="6"/>
  <c r="CG23" i="6"/>
  <c r="BW23" i="6"/>
  <c r="BS26" i="6"/>
  <c r="BS27" i="6"/>
  <c r="BS18" i="6"/>
  <c r="BQ21" i="6"/>
  <c r="BQ23" i="6"/>
  <c r="BQ26" i="6"/>
  <c r="BQ19" i="6"/>
  <c r="BP10" i="6"/>
  <c r="BN23" i="6"/>
  <c r="BE19" i="6"/>
  <c r="AP10" i="6"/>
  <c r="AF10" i="6"/>
  <c r="AA10" i="6"/>
  <c r="AA23" i="6"/>
  <c r="AV68" i="1" s="1"/>
  <c r="V10" i="6"/>
  <c r="BY23" i="6"/>
  <c r="CL23" i="6"/>
  <c r="CR23" i="6"/>
  <c r="CQ23" i="6"/>
  <c r="CQ10" i="6"/>
  <c r="CJ10" i="6"/>
  <c r="CD23" i="6"/>
  <c r="BI10" i="6"/>
  <c r="BE23" i="6"/>
  <c r="AX23" i="6"/>
  <c r="AV23" i="6"/>
  <c r="Z22" i="6"/>
  <c r="AU67" i="1" s="1"/>
  <c r="Z27" i="6"/>
  <c r="Z26" i="6"/>
  <c r="G19" i="6"/>
  <c r="G22" i="6"/>
  <c r="G27" i="6"/>
  <c r="N129" i="6" s="1"/>
  <c r="C23" i="6"/>
  <c r="CV10" i="6"/>
  <c r="AV10" i="6"/>
  <c r="F19" i="6"/>
  <c r="CN21" i="6"/>
  <c r="CN20" i="6"/>
  <c r="CB23" i="6"/>
  <c r="CD10" i="6"/>
  <c r="BA23" i="6"/>
  <c r="BM10" i="6"/>
  <c r="AC10" i="6"/>
  <c r="M23" i="6"/>
  <c r="AH68" i="1" s="1"/>
  <c r="M10" i="6"/>
  <c r="CN22" i="6"/>
  <c r="CN27" i="6"/>
  <c r="CN19" i="6"/>
  <c r="CN26" i="6"/>
  <c r="BV21" i="6"/>
  <c r="BV19" i="6"/>
  <c r="BV20" i="6"/>
  <c r="W23" i="6"/>
  <c r="AR68" i="1" s="1"/>
  <c r="G18" i="6"/>
  <c r="CN18" i="6"/>
  <c r="BL27" i="6"/>
  <c r="BL22" i="6"/>
  <c r="BL19" i="6"/>
  <c r="BL18" i="6"/>
  <c r="N23" i="6"/>
  <c r="AI68" i="1" s="1"/>
  <c r="N10" i="6"/>
  <c r="CA26" i="6"/>
  <c r="CA20" i="6"/>
  <c r="CA21" i="6"/>
  <c r="BS20" i="6"/>
  <c r="BS21" i="6"/>
  <c r="BL21" i="6"/>
  <c r="BL26" i="6"/>
  <c r="BL20" i="6"/>
  <c r="AG21" i="6"/>
  <c r="AG20" i="6"/>
  <c r="AG23" i="6" s="1"/>
  <c r="F18" i="6"/>
  <c r="F27" i="6"/>
  <c r="N126" i="6" s="1"/>
  <c r="F22" i="6"/>
  <c r="BF10" i="6"/>
  <c r="BT21" i="6"/>
  <c r="BT20" i="6"/>
  <c r="BT26" i="6"/>
  <c r="T20" i="6"/>
  <c r="AO65" i="1" s="1"/>
  <c r="T26" i="6"/>
  <c r="N167" i="6" s="1"/>
  <c r="T21" i="6"/>
  <c r="AO66" i="1" s="1"/>
  <c r="T27" i="6"/>
  <c r="N168" i="6" s="1"/>
  <c r="T22" i="6"/>
  <c r="AO67" i="1" s="1"/>
  <c r="T18" i="6"/>
  <c r="T19" i="6"/>
  <c r="G20" i="6"/>
  <c r="G21" i="6"/>
  <c r="BT27" i="6"/>
  <c r="BT22" i="6"/>
  <c r="BT18" i="6"/>
  <c r="BT19" i="6"/>
  <c r="BS19" i="6"/>
  <c r="CA22" i="6"/>
  <c r="CA19" i="6"/>
  <c r="CA18" i="6"/>
  <c r="CA27" i="6"/>
  <c r="CV23" i="6"/>
  <c r="CP10" i="6"/>
  <c r="CL10" i="6"/>
  <c r="CH10" i="6"/>
  <c r="CG10" i="6"/>
  <c r="BO10" i="6"/>
  <c r="BM23" i="6"/>
  <c r="BK10" i="6"/>
  <c r="BF23" i="6"/>
  <c r="AM10" i="6"/>
  <c r="AM23" i="6"/>
  <c r="AH18" i="6"/>
  <c r="AH22" i="6"/>
  <c r="AH23" i="6" s="1"/>
  <c r="AH27" i="6"/>
  <c r="AH19" i="6"/>
  <c r="AC23" i="6"/>
  <c r="AX68" i="1" s="1"/>
  <c r="Y23" i="6"/>
  <c r="AT68" i="1" s="1"/>
  <c r="Y10" i="6"/>
  <c r="X23" i="6"/>
  <c r="AS68" i="1" s="1"/>
  <c r="X10" i="6"/>
  <c r="CO10" i="6"/>
  <c r="CO23" i="6"/>
  <c r="CF10" i="6"/>
  <c r="BD10" i="6"/>
  <c r="AW23" i="6"/>
  <c r="AW10" i="6"/>
  <c r="AS10" i="6"/>
  <c r="AS23" i="6"/>
  <c r="AU10" i="6"/>
  <c r="AU23" i="6"/>
  <c r="AL23" i="6"/>
  <c r="AL10" i="6"/>
  <c r="W10" i="6"/>
  <c r="AE10" i="6"/>
  <c r="AE23" i="6"/>
  <c r="AZ68" i="1" s="1"/>
  <c r="L23" i="6"/>
  <c r="AG68" i="1" s="1"/>
  <c r="L10" i="6"/>
  <c r="BH23" i="6"/>
  <c r="BH10" i="6"/>
  <c r="BB23" i="6"/>
  <c r="BB10" i="6"/>
  <c r="BD23" i="6"/>
  <c r="AO10" i="6"/>
  <c r="AO23" i="6"/>
  <c r="BA10" i="6"/>
  <c r="BJ10" i="6"/>
  <c r="BJ23" i="6"/>
  <c r="AZ23" i="6"/>
  <c r="BC23" i="6"/>
  <c r="BC10" i="6"/>
  <c r="R10" i="6"/>
  <c r="R23" i="6"/>
  <c r="AM68" i="1" s="1"/>
  <c r="O10" i="6"/>
  <c r="O23" i="6"/>
  <c r="AJ68" i="1" s="1"/>
  <c r="AN23" i="6"/>
  <c r="AN10" i="6"/>
  <c r="S10" i="6"/>
  <c r="CC10" i="6"/>
  <c r="CC23" i="6"/>
  <c r="BE10" i="6"/>
  <c r="K23" i="6"/>
  <c r="K10" i="6"/>
  <c r="J23" i="6"/>
  <c r="J10" i="6"/>
  <c r="I23" i="6"/>
  <c r="H10" i="6"/>
  <c r="H23" i="6"/>
  <c r="E23" i="6"/>
  <c r="D23" i="6"/>
  <c r="D10" i="6"/>
  <c r="F10" i="6" l="1"/>
  <c r="AG10" i="6"/>
  <c r="G10" i="6"/>
  <c r="G23" i="6"/>
  <c r="F23" i="6"/>
  <c r="Z10" i="6"/>
  <c r="Z23" i="6"/>
  <c r="AU68" i="1" s="1"/>
  <c r="BV10" i="6"/>
  <c r="BV23" i="6"/>
  <c r="CN10" i="6"/>
  <c r="CN23" i="6"/>
  <c r="BT10" i="6"/>
  <c r="BT23" i="6"/>
  <c r="CA23" i="6"/>
  <c r="CA10" i="6"/>
  <c r="BL10" i="6"/>
  <c r="BL23" i="6"/>
  <c r="BS23" i="6"/>
  <c r="BS10" i="6"/>
  <c r="T23" i="6"/>
  <c r="AO68" i="1" s="1"/>
  <c r="T10" i="6"/>
  <c r="AH10" i="6"/>
  <c r="AY57" i="6" l="1"/>
  <c r="AY56" i="6"/>
  <c r="AY54" i="6"/>
  <c r="AY53" i="6"/>
  <c r="AY51" i="6"/>
  <c r="AY50" i="6"/>
  <c r="AY48" i="6"/>
  <c r="AY47" i="6"/>
  <c r="AY45" i="6"/>
  <c r="AY44" i="6"/>
  <c r="AY42" i="6"/>
  <c r="AY41" i="6"/>
  <c r="AY39" i="6"/>
  <c r="AY38" i="6"/>
  <c r="AY36" i="6"/>
  <c r="AY35" i="6"/>
  <c r="AY33" i="6"/>
  <c r="AY32" i="6"/>
  <c r="AY29" i="6"/>
  <c r="AY30" i="6"/>
  <c r="AA1" i="1" l="1"/>
  <c r="H79" i="6" l="1"/>
  <c r="G79" i="6"/>
  <c r="F79" i="6"/>
  <c r="E79" i="6"/>
  <c r="B79" i="6"/>
  <c r="A79" i="6"/>
  <c r="BN30" i="6"/>
  <c r="BO30" i="6"/>
  <c r="BP30" i="6"/>
  <c r="BQ30" i="6"/>
  <c r="BR30" i="6"/>
  <c r="BS30" i="6"/>
  <c r="BT30" i="6"/>
  <c r="BU30" i="6"/>
  <c r="BV30" i="6"/>
  <c r="BW30" i="6"/>
  <c r="BX30" i="6"/>
  <c r="BY30" i="6"/>
  <c r="BZ30" i="6"/>
  <c r="CA30" i="6"/>
  <c r="CB30" i="6"/>
  <c r="CC30" i="6"/>
  <c r="CD30" i="6"/>
  <c r="CE30" i="6"/>
  <c r="CF30" i="6"/>
  <c r="CG30" i="6"/>
  <c r="CH30" i="6"/>
  <c r="CI30" i="6"/>
  <c r="CJ30" i="6"/>
  <c r="CK30" i="6"/>
  <c r="CL30" i="6"/>
  <c r="CM30" i="6"/>
  <c r="CN30" i="6"/>
  <c r="CO30" i="6"/>
  <c r="CP30" i="6"/>
  <c r="CQ30" i="6"/>
  <c r="CR30" i="6"/>
  <c r="CS30" i="6"/>
  <c r="CT30" i="6"/>
  <c r="CU30" i="6"/>
  <c r="CV30" i="6"/>
  <c r="CW30" i="6"/>
  <c r="CX30" i="6"/>
  <c r="CY30" i="6"/>
  <c r="CZ30" i="6"/>
  <c r="DA30" i="6"/>
  <c r="DB30" i="6"/>
  <c r="DC30" i="6"/>
  <c r="DD30" i="6"/>
  <c r="DE30" i="6"/>
  <c r="DF30" i="6"/>
  <c r="DG30" i="6"/>
  <c r="DH30" i="6"/>
  <c r="DI30" i="6"/>
  <c r="DJ30" i="6"/>
  <c r="DK30" i="6"/>
  <c r="DL30" i="6"/>
  <c r="DM30" i="6"/>
  <c r="DN30" i="6"/>
  <c r="DO30" i="6"/>
  <c r="DP30" i="6"/>
  <c r="DQ30" i="6"/>
  <c r="DR30" i="6"/>
  <c r="DS30" i="6"/>
  <c r="DT30" i="6"/>
  <c r="DU30" i="6"/>
  <c r="DV30" i="6"/>
  <c r="DW30" i="6"/>
  <c r="DX30" i="6"/>
  <c r="DY30" i="6"/>
  <c r="DZ30" i="6"/>
  <c r="EA30" i="6"/>
  <c r="EB30" i="6"/>
  <c r="EC30" i="6"/>
  <c r="ED30" i="6"/>
  <c r="EE30" i="6"/>
  <c r="EF30" i="6"/>
  <c r="EG30" i="6"/>
  <c r="EH30" i="6"/>
  <c r="EI30" i="6"/>
  <c r="EJ30" i="6"/>
  <c r="EK30" i="6"/>
  <c r="EL30" i="6"/>
  <c r="EM30" i="6"/>
  <c r="EN30" i="6"/>
  <c r="EO30" i="6"/>
  <c r="EP30" i="6"/>
  <c r="EQ30" i="6"/>
  <c r="ER30" i="6"/>
  <c r="ES30" i="6"/>
  <c r="ET30" i="6"/>
  <c r="EU30" i="6"/>
  <c r="EV30" i="6"/>
  <c r="EW30" i="6"/>
  <c r="EX30" i="6"/>
  <c r="EY30" i="6"/>
  <c r="S35" i="6"/>
  <c r="S37" i="6" s="1"/>
  <c r="T35" i="6"/>
  <c r="T37" i="6" s="1"/>
  <c r="U35" i="6"/>
  <c r="U37" i="6" s="1"/>
  <c r="V35" i="6"/>
  <c r="V37" i="6" s="1"/>
  <c r="W35" i="6"/>
  <c r="T47" i="6" l="1"/>
  <c r="U47" i="6"/>
  <c r="T46" i="6"/>
  <c r="U46" i="6"/>
  <c r="T45" i="6"/>
  <c r="U45" i="6"/>
  <c r="GS440" i="1" l="1"/>
  <c r="GR440" i="1"/>
  <c r="GQ440" i="1"/>
  <c r="GP440" i="1"/>
  <c r="GO440" i="1"/>
  <c r="GN440" i="1"/>
  <c r="GM440" i="1"/>
  <c r="GL440" i="1"/>
  <c r="GK440" i="1"/>
  <c r="GJ440" i="1"/>
  <c r="GI440" i="1"/>
  <c r="GH440" i="1"/>
  <c r="GG440" i="1"/>
  <c r="GF440" i="1"/>
  <c r="GE440" i="1"/>
  <c r="GD440" i="1"/>
  <c r="GC440" i="1"/>
  <c r="GB440" i="1"/>
  <c r="GA440" i="1"/>
  <c r="FZ440" i="1"/>
  <c r="FY440" i="1"/>
  <c r="FX440" i="1"/>
  <c r="FW440" i="1"/>
  <c r="FV440" i="1"/>
  <c r="FU440" i="1"/>
  <c r="FT440" i="1"/>
  <c r="FS440" i="1"/>
  <c r="FR440" i="1"/>
  <c r="FQ440" i="1"/>
  <c r="FP440" i="1"/>
  <c r="FO440" i="1"/>
  <c r="FN440" i="1"/>
  <c r="FM440" i="1"/>
  <c r="FL440" i="1"/>
  <c r="FK440" i="1"/>
  <c r="FJ440" i="1"/>
  <c r="FI440" i="1"/>
  <c r="FH440" i="1"/>
  <c r="FG440" i="1"/>
  <c r="FF440" i="1"/>
  <c r="FE440" i="1"/>
  <c r="FD440" i="1"/>
  <c r="FC440" i="1"/>
  <c r="FB440" i="1"/>
  <c r="FA440" i="1"/>
  <c r="EZ440" i="1"/>
  <c r="EY440" i="1"/>
  <c r="EX440" i="1"/>
  <c r="EW440" i="1"/>
  <c r="EV440" i="1"/>
  <c r="EU440" i="1"/>
  <c r="ET440" i="1"/>
  <c r="ES440" i="1"/>
  <c r="ER440" i="1"/>
  <c r="EQ440" i="1"/>
  <c r="EP440" i="1"/>
  <c r="EO440" i="1"/>
  <c r="EN440" i="1"/>
  <c r="EM440" i="1"/>
  <c r="EL440" i="1"/>
  <c r="EK440" i="1"/>
  <c r="EJ440" i="1"/>
  <c r="EI440" i="1"/>
  <c r="EH440" i="1"/>
  <c r="EG440" i="1"/>
  <c r="EF440" i="1"/>
  <c r="EE440" i="1"/>
  <c r="ED440" i="1"/>
  <c r="EC440" i="1"/>
  <c r="EB440" i="1"/>
  <c r="EA440" i="1"/>
  <c r="DZ440" i="1"/>
  <c r="DY440" i="1"/>
  <c r="DX440" i="1"/>
  <c r="DW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G440" i="1"/>
  <c r="DF440" i="1"/>
  <c r="DE440" i="1"/>
  <c r="DD440" i="1"/>
  <c r="DC440" i="1"/>
  <c r="DB440" i="1"/>
  <c r="DA440" i="1"/>
  <c r="CZ440" i="1"/>
  <c r="CY440" i="1"/>
  <c r="CX440" i="1"/>
  <c r="CW440" i="1"/>
  <c r="CV440" i="1"/>
  <c r="CU440" i="1"/>
  <c r="CT440" i="1"/>
  <c r="CS440" i="1"/>
  <c r="CR440" i="1"/>
  <c r="CQ440" i="1"/>
  <c r="CP440" i="1"/>
  <c r="CO440" i="1"/>
  <c r="CN440" i="1"/>
  <c r="CM440" i="1"/>
  <c r="CL440" i="1"/>
  <c r="CK440" i="1"/>
  <c r="CJ440" i="1"/>
  <c r="CI440" i="1"/>
  <c r="CH440" i="1"/>
  <c r="CG440" i="1"/>
  <c r="CF440" i="1"/>
  <c r="CE440" i="1"/>
  <c r="CD440" i="1"/>
  <c r="CC440" i="1"/>
  <c r="CB440" i="1"/>
  <c r="CA440" i="1"/>
  <c r="BZ440" i="1"/>
  <c r="BY440" i="1"/>
  <c r="BX440" i="1"/>
  <c r="BW440" i="1"/>
  <c r="BV440" i="1"/>
  <c r="BU440" i="1"/>
  <c r="BT440" i="1"/>
  <c r="BS440" i="1"/>
  <c r="BR440" i="1"/>
  <c r="BQ440" i="1"/>
  <c r="BP440" i="1"/>
  <c r="BO440" i="1"/>
  <c r="BN440" i="1"/>
  <c r="BM440" i="1"/>
  <c r="BL440" i="1"/>
  <c r="BK440" i="1"/>
  <c r="BJ440" i="1"/>
  <c r="BI440" i="1"/>
  <c r="BH440" i="1"/>
  <c r="BG440" i="1"/>
  <c r="BF440" i="1"/>
  <c r="BE440" i="1"/>
  <c r="BD440" i="1"/>
  <c r="BC440" i="1"/>
  <c r="BB440" i="1"/>
  <c r="BA440" i="1"/>
  <c r="AZ440" i="1"/>
  <c r="AY440" i="1"/>
  <c r="AX440" i="1"/>
  <c r="AW440" i="1"/>
  <c r="AV440" i="1"/>
  <c r="AU440" i="1"/>
  <c r="AT440" i="1"/>
  <c r="AS440" i="1"/>
  <c r="AR440" i="1"/>
  <c r="AQ440" i="1"/>
  <c r="AP440" i="1"/>
  <c r="AO440" i="1"/>
  <c r="AN440" i="1"/>
  <c r="AM440" i="1"/>
  <c r="AL440" i="1"/>
  <c r="AK440" i="1"/>
  <c r="GS442" i="1"/>
  <c r="GR442" i="1"/>
  <c r="GQ442" i="1"/>
  <c r="GP442" i="1"/>
  <c r="GO442" i="1"/>
  <c r="GN442" i="1"/>
  <c r="GM442" i="1"/>
  <c r="GL442" i="1"/>
  <c r="GK442" i="1"/>
  <c r="GJ442" i="1"/>
  <c r="GI442" i="1"/>
  <c r="GH442" i="1"/>
  <c r="GG442" i="1"/>
  <c r="GF442" i="1"/>
  <c r="GE442" i="1"/>
  <c r="GD442" i="1"/>
  <c r="GC442" i="1"/>
  <c r="GB442" i="1"/>
  <c r="GA442" i="1"/>
  <c r="FZ442" i="1"/>
  <c r="FY442" i="1"/>
  <c r="FX442" i="1"/>
  <c r="FW442" i="1"/>
  <c r="FV442" i="1"/>
  <c r="FU442" i="1"/>
  <c r="FT442" i="1"/>
  <c r="FS442" i="1"/>
  <c r="FR442" i="1"/>
  <c r="FQ442" i="1"/>
  <c r="FP442" i="1"/>
  <c r="FO442" i="1"/>
  <c r="FN442" i="1"/>
  <c r="FM442" i="1"/>
  <c r="FL442" i="1"/>
  <c r="FK442" i="1"/>
  <c r="FJ442" i="1"/>
  <c r="FI442" i="1"/>
  <c r="FH442" i="1"/>
  <c r="FG442" i="1"/>
  <c r="FF442" i="1"/>
  <c r="FE442" i="1"/>
  <c r="FD442" i="1"/>
  <c r="FC442" i="1"/>
  <c r="FB442" i="1"/>
  <c r="FA442" i="1"/>
  <c r="EZ442" i="1"/>
  <c r="EY442" i="1"/>
  <c r="EX442" i="1"/>
  <c r="EW442" i="1"/>
  <c r="EV442" i="1"/>
  <c r="EU442" i="1"/>
  <c r="ET442" i="1"/>
  <c r="ES442" i="1"/>
  <c r="ER442" i="1"/>
  <c r="EQ442" i="1"/>
  <c r="EP442" i="1"/>
  <c r="EO442" i="1"/>
  <c r="EN442" i="1"/>
  <c r="EM442" i="1"/>
  <c r="EL442" i="1"/>
  <c r="EK442" i="1"/>
  <c r="EJ442" i="1"/>
  <c r="EI442" i="1"/>
  <c r="EH442" i="1"/>
  <c r="EG442" i="1"/>
  <c r="EF442" i="1"/>
  <c r="EE442" i="1"/>
  <c r="ED442" i="1"/>
  <c r="EC442" i="1"/>
  <c r="EB442" i="1"/>
  <c r="EA442" i="1"/>
  <c r="DZ442" i="1"/>
  <c r="DY442" i="1"/>
  <c r="DX442" i="1"/>
  <c r="DW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G442" i="1"/>
  <c r="DF442" i="1"/>
  <c r="DE442" i="1"/>
  <c r="DD442" i="1"/>
  <c r="DC442" i="1"/>
  <c r="DB442" i="1"/>
  <c r="DA442" i="1"/>
  <c r="CZ442" i="1"/>
  <c r="CY442" i="1"/>
  <c r="CX442" i="1"/>
  <c r="CW442" i="1"/>
  <c r="CV442" i="1"/>
  <c r="CU442" i="1"/>
  <c r="CT442" i="1"/>
  <c r="CS442" i="1"/>
  <c r="CR442" i="1"/>
  <c r="CQ442" i="1"/>
  <c r="CP442" i="1"/>
  <c r="CO442" i="1"/>
  <c r="CN442" i="1"/>
  <c r="CM442" i="1"/>
  <c r="CL442" i="1"/>
  <c r="CK442" i="1"/>
  <c r="CJ442" i="1"/>
  <c r="CI442" i="1"/>
  <c r="CH442" i="1"/>
  <c r="CG442" i="1"/>
  <c r="CF442" i="1"/>
  <c r="CE442" i="1"/>
  <c r="CD442" i="1"/>
  <c r="CC442" i="1"/>
  <c r="CB442" i="1"/>
  <c r="CA442" i="1"/>
  <c r="BZ442" i="1"/>
  <c r="BY442" i="1"/>
  <c r="BX442" i="1"/>
  <c r="BW442" i="1"/>
  <c r="BV442" i="1"/>
  <c r="BU442" i="1"/>
  <c r="BT442" i="1"/>
  <c r="BS442" i="1"/>
  <c r="BR442" i="1"/>
  <c r="BQ442" i="1"/>
  <c r="BP442" i="1"/>
  <c r="BO442" i="1"/>
  <c r="BN442" i="1"/>
  <c r="BM442" i="1"/>
  <c r="BL442" i="1"/>
  <c r="BK442" i="1"/>
  <c r="BJ442" i="1"/>
  <c r="BI442" i="1"/>
  <c r="BH442" i="1"/>
  <c r="BG442" i="1"/>
  <c r="BF442" i="1"/>
  <c r="BE442" i="1"/>
  <c r="BD442" i="1"/>
  <c r="BC442" i="1"/>
  <c r="BB442" i="1"/>
  <c r="BA442" i="1"/>
  <c r="AZ442" i="1"/>
  <c r="AY442" i="1"/>
  <c r="AX442" i="1"/>
  <c r="AW442" i="1"/>
  <c r="AV442" i="1"/>
  <c r="AU442" i="1"/>
  <c r="AT442" i="1"/>
  <c r="AS442" i="1"/>
  <c r="AR442" i="1"/>
  <c r="AQ442" i="1"/>
  <c r="AP442" i="1"/>
  <c r="AO442" i="1"/>
  <c r="AN442" i="1"/>
  <c r="AM442" i="1"/>
  <c r="AL442" i="1"/>
  <c r="AK442" i="1"/>
  <c r="AJ442" i="1"/>
  <c r="AI442" i="1"/>
  <c r="AH442" i="1"/>
  <c r="AG442" i="1"/>
  <c r="AF442" i="1"/>
  <c r="AE442" i="1"/>
  <c r="AD442" i="1"/>
  <c r="AC442" i="1"/>
  <c r="AB442" i="1"/>
  <c r="AA442" i="1"/>
  <c r="Z442" i="1"/>
  <c r="Y442" i="1"/>
  <c r="X442" i="1"/>
  <c r="W442" i="1"/>
  <c r="V442" i="1"/>
  <c r="U442" i="1"/>
  <c r="T442" i="1"/>
  <c r="S442" i="1"/>
  <c r="R442" i="1"/>
  <c r="Q442" i="1"/>
  <c r="P442" i="1"/>
  <c r="O442" i="1"/>
  <c r="N442" i="1"/>
  <c r="M442" i="1"/>
  <c r="L442" i="1"/>
  <c r="K442" i="1"/>
  <c r="J442" i="1"/>
  <c r="I442" i="1"/>
  <c r="H442" i="1"/>
  <c r="G442" i="1"/>
  <c r="F442" i="1"/>
  <c r="E442" i="1"/>
  <c r="D442" i="1"/>
  <c r="C442" i="1"/>
  <c r="B442" i="1"/>
  <c r="AJ440" i="1"/>
  <c r="AI440" i="1"/>
  <c r="AH440" i="1"/>
  <c r="AG440" i="1"/>
  <c r="AF440" i="1"/>
  <c r="AE440" i="1"/>
  <c r="AD440" i="1"/>
  <c r="AC440" i="1"/>
  <c r="AB440" i="1"/>
  <c r="AA440" i="1"/>
  <c r="Z440" i="1"/>
  <c r="Y440" i="1"/>
  <c r="W440" i="1"/>
  <c r="X440" i="1"/>
  <c r="V440" i="1"/>
  <c r="U440" i="1"/>
  <c r="T440" i="1"/>
  <c r="S440" i="1"/>
  <c r="R440" i="1"/>
  <c r="Q440" i="1"/>
  <c r="P440" i="1"/>
  <c r="O440" i="1"/>
  <c r="N440" i="1"/>
  <c r="M440" i="1"/>
  <c r="L440" i="1"/>
  <c r="K440" i="1"/>
  <c r="J440" i="1"/>
  <c r="I440" i="1"/>
  <c r="H440" i="1"/>
  <c r="G440" i="1"/>
  <c r="F440" i="1"/>
  <c r="E440" i="1"/>
  <c r="D440" i="1"/>
  <c r="C440" i="1"/>
  <c r="B440" i="1"/>
  <c r="GL54" i="6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241" i="1"/>
  <c r="A240" i="1"/>
  <c r="A239" i="1"/>
  <c r="W21" i="1"/>
  <c r="A242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241" i="1"/>
  <c r="C240" i="1"/>
  <c r="C239" i="1"/>
  <c r="GL35" i="6" l="1"/>
  <c r="GL37" i="6"/>
  <c r="GL36" i="6"/>
  <c r="S46" i="6"/>
  <c r="V46" i="6"/>
  <c r="W46" i="6"/>
  <c r="X46" i="6"/>
  <c r="Y46" i="6"/>
  <c r="Z46" i="6"/>
  <c r="AA46" i="6"/>
  <c r="AB46" i="6"/>
  <c r="AC46" i="6"/>
  <c r="AD46" i="6"/>
  <c r="AE46" i="6"/>
  <c r="AF46" i="6"/>
  <c r="AG46" i="6"/>
  <c r="AH46" i="6"/>
  <c r="AI46" i="6"/>
  <c r="R46" i="6"/>
  <c r="S47" i="6"/>
  <c r="V47" i="6"/>
  <c r="W47" i="6"/>
  <c r="X47" i="6"/>
  <c r="Y47" i="6"/>
  <c r="Z47" i="6"/>
  <c r="AA47" i="6"/>
  <c r="AB47" i="6"/>
  <c r="AC47" i="6"/>
  <c r="AD47" i="6"/>
  <c r="AE47" i="6"/>
  <c r="AF47" i="6"/>
  <c r="AG47" i="6"/>
  <c r="AH47" i="6"/>
  <c r="AI47" i="6"/>
  <c r="R47" i="6"/>
  <c r="N47" i="6"/>
  <c r="N46" i="6"/>
  <c r="N45" i="6"/>
  <c r="R45" i="6"/>
  <c r="S45" i="6"/>
  <c r="V45" i="6"/>
  <c r="W45" i="6"/>
  <c r="X45" i="6"/>
  <c r="Y45" i="6"/>
  <c r="Z45" i="6"/>
  <c r="AA45" i="6"/>
  <c r="AB45" i="6"/>
  <c r="AC45" i="6"/>
  <c r="AD45" i="6"/>
  <c r="AE45" i="6"/>
  <c r="AF45" i="6"/>
  <c r="AG45" i="6"/>
  <c r="AH45" i="6"/>
  <c r="AI45" i="6"/>
  <c r="Q47" i="6"/>
  <c r="Q46" i="6"/>
  <c r="Q45" i="6"/>
  <c r="P47" i="6"/>
  <c r="P46" i="6"/>
  <c r="P45" i="6"/>
  <c r="O47" i="6"/>
  <c r="O46" i="6"/>
  <c r="O45" i="6"/>
  <c r="L47" i="6"/>
  <c r="L46" i="6"/>
  <c r="L45" i="6"/>
  <c r="AX57" i="6"/>
  <c r="AX56" i="6"/>
  <c r="AW78" i="6"/>
  <c r="AV78" i="6"/>
  <c r="AU77" i="6"/>
  <c r="AT77" i="6"/>
  <c r="AS80" i="6"/>
  <c r="AR80" i="6"/>
  <c r="AQ79" i="6"/>
  <c r="AP79" i="6"/>
  <c r="AS70" i="6"/>
  <c r="AT70" i="6"/>
  <c r="AU70" i="6"/>
  <c r="AV70" i="6"/>
  <c r="AW70" i="6"/>
  <c r="AX70" i="6"/>
  <c r="AY70" i="6"/>
  <c r="AZ70" i="6"/>
  <c r="BA70" i="6"/>
  <c r="BB70" i="6"/>
  <c r="BC70" i="6"/>
  <c r="BD70" i="6"/>
  <c r="BE70" i="6"/>
  <c r="BF70" i="6"/>
  <c r="AR70" i="6"/>
  <c r="AQ70" i="6"/>
  <c r="AP70" i="6"/>
  <c r="AO70" i="6"/>
  <c r="BG70" i="6"/>
  <c r="BG66" i="6"/>
  <c r="AS66" i="6"/>
  <c r="AT66" i="6"/>
  <c r="AU66" i="6"/>
  <c r="AV66" i="6"/>
  <c r="AW66" i="6"/>
  <c r="AX66" i="6"/>
  <c r="AY66" i="6"/>
  <c r="AZ66" i="6"/>
  <c r="BA66" i="6"/>
  <c r="BB66" i="6"/>
  <c r="BC66" i="6"/>
  <c r="BD66" i="6"/>
  <c r="BE66" i="6"/>
  <c r="BF66" i="6"/>
  <c r="AR66" i="6"/>
  <c r="AQ66" i="6"/>
  <c r="AP66" i="6"/>
  <c r="AO66" i="6"/>
  <c r="AO80" i="6"/>
  <c r="AO79" i="6"/>
  <c r="AO78" i="6"/>
  <c r="AO77" i="6"/>
  <c r="BG73" i="6"/>
  <c r="AM70" i="6"/>
  <c r="AM69" i="6"/>
  <c r="AM66" i="6"/>
  <c r="AM65" i="6"/>
  <c r="O74" i="6"/>
  <c r="O70" i="6"/>
  <c r="O66" i="6"/>
  <c r="M74" i="6"/>
  <c r="M69" i="6"/>
  <c r="AG70" i="6" s="1"/>
  <c r="M66" i="6"/>
  <c r="M65" i="6" l="1"/>
  <c r="M70" i="6"/>
  <c r="BG69" i="6"/>
  <c r="M73" i="6"/>
  <c r="AG74" i="6" s="1"/>
  <c r="AG75" i="6" s="1"/>
  <c r="BF69" i="6"/>
  <c r="AZ69" i="6"/>
  <c r="AU69" i="6"/>
  <c r="AP69" i="6"/>
  <c r="BE69" i="6"/>
  <c r="BA69" i="6"/>
  <c r="AW69" i="6"/>
  <c r="AS69" i="6"/>
  <c r="AT69" i="6"/>
  <c r="AQ69" i="6"/>
  <c r="BD69" i="6"/>
  <c r="AV69" i="6"/>
  <c r="BB69" i="6"/>
  <c r="AR69" i="6"/>
  <c r="BC69" i="6"/>
  <c r="AY69" i="6"/>
  <c r="AX69" i="6"/>
  <c r="AO69" i="6"/>
  <c r="BG71" i="6"/>
  <c r="BG67" i="6"/>
  <c r="AG71" i="6"/>
  <c r="T74" i="6" l="1"/>
  <c r="T73" i="6" s="1"/>
  <c r="U74" i="6"/>
  <c r="U73" i="6" s="1"/>
  <c r="T70" i="6"/>
  <c r="T69" i="6" s="1"/>
  <c r="U70" i="6"/>
  <c r="U69" i="6" s="1"/>
  <c r="AG66" i="6"/>
  <c r="AG67" i="6" s="1"/>
  <c r="V66" i="6" s="1"/>
  <c r="V65" i="6" s="1"/>
  <c r="AG73" i="6"/>
  <c r="BC65" i="6"/>
  <c r="BB65" i="6"/>
  <c r="AW65" i="6"/>
  <c r="AX65" i="6"/>
  <c r="AZ65" i="6"/>
  <c r="BD65" i="6"/>
  <c r="AS65" i="6"/>
  <c r="BA65" i="6"/>
  <c r="O65" i="6"/>
  <c r="BE65" i="6"/>
  <c r="BF65" i="6"/>
  <c r="BG65" i="6"/>
  <c r="AQ65" i="6"/>
  <c r="AY65" i="6"/>
  <c r="O73" i="6"/>
  <c r="AP65" i="6"/>
  <c r="AT65" i="6"/>
  <c r="AO65" i="6"/>
  <c r="AV65" i="6"/>
  <c r="AU65" i="6"/>
  <c r="AR65" i="6"/>
  <c r="V70" i="6"/>
  <c r="V69" i="6" s="1"/>
  <c r="S74" i="6"/>
  <c r="S73" i="6" s="1"/>
  <c r="V74" i="6"/>
  <c r="V73" i="6" s="1"/>
  <c r="AA74" i="6"/>
  <c r="AA73" i="6" s="1"/>
  <c r="X74" i="6"/>
  <c r="X73" i="6" s="1"/>
  <c r="AB74" i="6"/>
  <c r="AB73" i="6" s="1"/>
  <c r="AF74" i="6"/>
  <c r="AF73" i="6" s="1"/>
  <c r="AE74" i="6"/>
  <c r="AE73" i="6" s="1"/>
  <c r="Y74" i="6"/>
  <c r="Y73" i="6" s="1"/>
  <c r="AC74" i="6"/>
  <c r="AC73" i="6" s="1"/>
  <c r="R74" i="6"/>
  <c r="R73" i="6" s="1"/>
  <c r="Z74" i="6"/>
  <c r="Z73" i="6" s="1"/>
  <c r="AD74" i="6"/>
  <c r="AD73" i="6" s="1"/>
  <c r="Q74" i="6"/>
  <c r="Q73" i="6" s="1"/>
  <c r="W74" i="6"/>
  <c r="W73" i="6" s="1"/>
  <c r="P74" i="6"/>
  <c r="P73" i="6" s="1"/>
  <c r="Y70" i="6"/>
  <c r="Y69" i="6" s="1"/>
  <c r="AC70" i="6"/>
  <c r="AC69" i="6" s="1"/>
  <c r="R70" i="6"/>
  <c r="R69" i="6" s="1"/>
  <c r="S70" i="6"/>
  <c r="S69" i="6" s="1"/>
  <c r="AE70" i="6"/>
  <c r="AE69" i="6" s="1"/>
  <c r="AB70" i="6"/>
  <c r="AB69" i="6" s="1"/>
  <c r="Z70" i="6"/>
  <c r="Z69" i="6" s="1"/>
  <c r="AD70" i="6"/>
  <c r="AD69" i="6" s="1"/>
  <c r="Q70" i="6"/>
  <c r="Q69" i="6" s="1"/>
  <c r="W70" i="6"/>
  <c r="W69" i="6" s="1"/>
  <c r="AA70" i="6"/>
  <c r="AA69" i="6" s="1"/>
  <c r="P70" i="6"/>
  <c r="P69" i="6" s="1"/>
  <c r="X70" i="6"/>
  <c r="X69" i="6" s="1"/>
  <c r="AF70" i="6"/>
  <c r="AF69" i="6" s="1"/>
  <c r="AA66" i="6"/>
  <c r="AA65" i="6" s="1"/>
  <c r="Q66" i="6"/>
  <c r="Q65" i="6" s="1"/>
  <c r="R66" i="6"/>
  <c r="R65" i="6" s="1"/>
  <c r="AE66" i="6"/>
  <c r="AE65" i="6" s="1"/>
  <c r="P66" i="6"/>
  <c r="P65" i="6" s="1"/>
  <c r="X66" i="6"/>
  <c r="X65" i="6" s="1"/>
  <c r="O69" i="6"/>
  <c r="AG69" i="6"/>
  <c r="AD66" i="6" l="1"/>
  <c r="AD65" i="6" s="1"/>
  <c r="AB66" i="6"/>
  <c r="AB65" i="6" s="1"/>
  <c r="AC66" i="6"/>
  <c r="AC65" i="6" s="1"/>
  <c r="AF66" i="6"/>
  <c r="AF65" i="6" s="1"/>
  <c r="Y66" i="6"/>
  <c r="Y65" i="6" s="1"/>
  <c r="W66" i="6"/>
  <c r="W65" i="6" s="1"/>
  <c r="S66" i="6"/>
  <c r="S65" i="6" s="1"/>
  <c r="Z66" i="6"/>
  <c r="Z65" i="6" s="1"/>
  <c r="T66" i="6"/>
  <c r="T65" i="6" s="1"/>
  <c r="U66" i="6"/>
  <c r="U65" i="6" s="1"/>
  <c r="AG65" i="6"/>
  <c r="B90" i="8"/>
  <c r="B91" i="8"/>
  <c r="B87" i="8"/>
  <c r="B88" i="8"/>
  <c r="B84" i="8"/>
  <c r="B85" i="8"/>
  <c r="B81" i="8"/>
  <c r="B82" i="8"/>
  <c r="B78" i="8"/>
  <c r="B79" i="8"/>
  <c r="B75" i="8"/>
  <c r="B76" i="8"/>
  <c r="B72" i="8"/>
  <c r="B73" i="8"/>
  <c r="B69" i="8"/>
  <c r="B70" i="8"/>
  <c r="B66" i="8"/>
  <c r="B67" i="8"/>
  <c r="B63" i="8"/>
  <c r="B64" i="8"/>
  <c r="B60" i="8"/>
  <c r="B61" i="8"/>
  <c r="B57" i="8"/>
  <c r="B58" i="8"/>
  <c r="B54" i="8"/>
  <c r="B55" i="8"/>
  <c r="B51" i="8"/>
  <c r="B52" i="8"/>
  <c r="B48" i="8"/>
  <c r="B49" i="8"/>
  <c r="B45" i="8"/>
  <c r="B46" i="8"/>
  <c r="B42" i="8"/>
  <c r="B43" i="8"/>
  <c r="B39" i="8"/>
  <c r="B40" i="8"/>
  <c r="B36" i="8"/>
  <c r="B37" i="8"/>
  <c r="B33" i="8"/>
  <c r="B34" i="8"/>
  <c r="B30" i="8"/>
  <c r="B31" i="8"/>
  <c r="B27" i="8"/>
  <c r="B28" i="8"/>
  <c r="B24" i="8"/>
  <c r="B25" i="8"/>
  <c r="B21" i="8"/>
  <c r="B22" i="8"/>
  <c r="B18" i="8"/>
  <c r="B19" i="8"/>
  <c r="B15" i="8"/>
  <c r="B16" i="8"/>
  <c r="B12" i="8"/>
  <c r="B13" i="8"/>
  <c r="B9" i="8"/>
  <c r="B10" i="8"/>
  <c r="B6" i="8"/>
  <c r="B7" i="8"/>
  <c r="B3" i="8"/>
  <c r="B4" i="8"/>
  <c r="A31" i="8"/>
  <c r="A30" i="8"/>
  <c r="A26" i="8"/>
  <c r="A27" i="8" s="1"/>
  <c r="A23" i="8"/>
  <c r="A25" i="8" s="1"/>
  <c r="A20" i="8"/>
  <c r="A21" i="8" s="1"/>
  <c r="A17" i="8"/>
  <c r="A18" i="8" s="1"/>
  <c r="A14" i="8"/>
  <c r="A15" i="8" s="1"/>
  <c r="A11" i="8"/>
  <c r="A13" i="8" s="1"/>
  <c r="A8" i="8"/>
  <c r="A10" i="8" s="1"/>
  <c r="A5" i="8"/>
  <c r="A6" i="8" s="1"/>
  <c r="A4" i="8"/>
  <c r="A3" i="8"/>
  <c r="A7" i="8" l="1"/>
  <c r="A28" i="8"/>
  <c r="A9" i="8"/>
  <c r="A16" i="8"/>
  <c r="A19" i="8"/>
  <c r="A22" i="8"/>
  <c r="A12" i="8"/>
  <c r="A24" i="8"/>
  <c r="BF41" i="6" l="1"/>
  <c r="BG41" i="6"/>
  <c r="BF40" i="6"/>
  <c r="BG40" i="6"/>
  <c r="T78" i="6" l="1"/>
  <c r="U78" i="6"/>
  <c r="X21" i="1" l="1"/>
  <c r="Y21" i="1"/>
  <c r="Z21" i="1"/>
  <c r="AA21" i="1"/>
  <c r="AB21" i="1"/>
  <c r="AC21" i="1"/>
  <c r="AD21" i="1"/>
  <c r="AE21" i="1"/>
  <c r="AF21" i="1"/>
  <c r="W31" i="1"/>
  <c r="X31" i="1"/>
  <c r="Y31" i="1"/>
  <c r="Z31" i="1"/>
  <c r="AA31" i="1"/>
  <c r="AB31" i="1"/>
  <c r="AC31" i="1"/>
  <c r="AD31" i="1"/>
  <c r="AE31" i="1"/>
  <c r="AF31" i="1"/>
  <c r="BB29" i="6"/>
  <c r="BH40" i="6"/>
  <c r="BI40" i="6"/>
  <c r="BJ40" i="6"/>
  <c r="BH41" i="6"/>
  <c r="BI41" i="6"/>
  <c r="BJ41" i="6"/>
  <c r="E35" i="6"/>
  <c r="G35" i="6"/>
  <c r="O35" i="6"/>
  <c r="O37" i="6" s="1"/>
  <c r="P35" i="6"/>
  <c r="P78" i="6" s="1"/>
  <c r="Q35" i="6"/>
  <c r="Q78" i="6" s="1"/>
  <c r="R35" i="6"/>
  <c r="R78" i="6" s="1"/>
  <c r="S78" i="6"/>
  <c r="W78" i="6"/>
  <c r="X35" i="6"/>
  <c r="X78" i="6" s="1"/>
  <c r="Y35" i="6"/>
  <c r="Z35" i="6"/>
  <c r="AA35" i="6"/>
  <c r="AB35" i="6"/>
  <c r="AB78" i="6" s="1"/>
  <c r="AC35" i="6"/>
  <c r="AD35" i="6"/>
  <c r="AE35" i="6"/>
  <c r="AF35" i="6"/>
  <c r="AF78" i="6" s="1"/>
  <c r="AG35" i="6"/>
  <c r="AG78" i="6" s="1"/>
  <c r="AH35" i="6"/>
  <c r="AH78" i="6" s="1"/>
  <c r="AI35" i="6"/>
  <c r="AI78" i="6" s="1"/>
  <c r="S43" i="6"/>
  <c r="Z43" i="6"/>
  <c r="AA43" i="6"/>
  <c r="I44" i="6"/>
  <c r="A80" i="6"/>
  <c r="A81" i="6"/>
  <c r="A83" i="6"/>
  <c r="E94" i="6"/>
  <c r="N94" i="6"/>
  <c r="R95" i="6"/>
  <c r="P39" i="6" l="1"/>
  <c r="Q37" i="6"/>
  <c r="AD37" i="6"/>
  <c r="AD78" i="6"/>
  <c r="AC37" i="6"/>
  <c r="AC78" i="6"/>
  <c r="Y37" i="6"/>
  <c r="Y78" i="6"/>
  <c r="Q39" i="6"/>
  <c r="O78" i="6"/>
  <c r="Z37" i="6"/>
  <c r="Z78" i="6"/>
  <c r="V78" i="6"/>
  <c r="AH37" i="6"/>
  <c r="AG37" i="6"/>
  <c r="AE37" i="6"/>
  <c r="AE78" i="6"/>
  <c r="AA37" i="6"/>
  <c r="AA78" i="6"/>
  <c r="R37" i="6"/>
  <c r="AE62" i="1"/>
  <c r="AF63" i="1"/>
  <c r="AD61" i="1"/>
  <c r="AF61" i="1"/>
  <c r="AI37" i="6"/>
  <c r="W37" i="6"/>
  <c r="AF37" i="6"/>
  <c r="AB37" i="6"/>
  <c r="X37" i="6"/>
  <c r="P37" i="6"/>
  <c r="AF62" i="1" l="1"/>
  <c r="AD63" i="1"/>
  <c r="Z63" i="1"/>
  <c r="BM30" i="6"/>
  <c r="AB61" i="1"/>
  <c r="AE61" i="1"/>
  <c r="Z61" i="1"/>
  <c r="X63" i="1"/>
  <c r="AB63" i="1"/>
  <c r="AD62" i="1"/>
  <c r="Y62" i="1"/>
  <c r="X61" i="1"/>
  <c r="B29" i="6" l="1"/>
  <c r="BI30" i="6"/>
  <c r="W64" i="1"/>
  <c r="AB66" i="1"/>
  <c r="AB64" i="1"/>
  <c r="AB69" i="1" s="1"/>
  <c r="AD64" i="1"/>
  <c r="AD69" i="1" s="1"/>
  <c r="AF64" i="1"/>
  <c r="AF69" i="1" s="1"/>
  <c r="BK30" i="6"/>
  <c r="AD66" i="1"/>
  <c r="Y61" i="1"/>
  <c r="Z62" i="1"/>
  <c r="AA61" i="1"/>
  <c r="AC64" i="1"/>
  <c r="BJ30" i="6"/>
  <c r="AC63" i="1"/>
  <c r="Y63" i="1"/>
  <c r="AE63" i="1"/>
  <c r="AB67" i="1"/>
  <c r="AA63" i="1"/>
  <c r="AB62" i="1"/>
  <c r="AA62" i="1"/>
  <c r="W62" i="1"/>
  <c r="W63" i="1"/>
  <c r="W61" i="1"/>
  <c r="AC61" i="1"/>
  <c r="AC62" i="1"/>
  <c r="X62" i="1"/>
  <c r="BF30" i="6" l="1"/>
  <c r="BG30" i="6"/>
  <c r="AA66" i="1"/>
  <c r="AA64" i="1"/>
  <c r="AA69" i="1" s="1"/>
  <c r="BH30" i="6"/>
  <c r="AF66" i="1"/>
  <c r="BD30" i="6"/>
  <c r="AD67" i="1"/>
  <c r="W69" i="1"/>
  <c r="AC69" i="1"/>
  <c r="AF67" i="1"/>
  <c r="AC67" i="1"/>
  <c r="AF65" i="1"/>
  <c r="AE66" i="1"/>
  <c r="BL30" i="6"/>
  <c r="AE64" i="1"/>
  <c r="AE69" i="1" s="1"/>
  <c r="AC66" i="1"/>
  <c r="BE30" i="6"/>
  <c r="X64" i="1"/>
  <c r="X69" i="1" s="1"/>
  <c r="Y64" i="1"/>
  <c r="Y69" i="1" s="1"/>
  <c r="Z64" i="1"/>
  <c r="Z69" i="1" s="1"/>
  <c r="Y67" i="1" l="1"/>
  <c r="AA67" i="1"/>
  <c r="AA65" i="1"/>
  <c r="AD65" i="1"/>
  <c r="BB31" i="6"/>
  <c r="AB68" i="1"/>
  <c r="W67" i="1"/>
  <c r="AB65" i="1"/>
  <c r="BB30" i="6"/>
  <c r="AF68" i="1"/>
  <c r="W66" i="1"/>
  <c r="AD68" i="1"/>
  <c r="Z66" i="1"/>
  <c r="X67" i="1"/>
  <c r="AE67" i="1"/>
  <c r="AE65" i="1"/>
  <c r="W65" i="1"/>
  <c r="Z67" i="1"/>
  <c r="BA69" i="1"/>
  <c r="Y66" i="1"/>
  <c r="AC68" i="1"/>
  <c r="AC65" i="1"/>
  <c r="X66" i="1"/>
  <c r="BN31" i="6" l="1"/>
  <c r="BR31" i="6"/>
  <c r="BV31" i="6"/>
  <c r="BZ31" i="6"/>
  <c r="CD31" i="6"/>
  <c r="CH31" i="6"/>
  <c r="CL31" i="6"/>
  <c r="CP31" i="6"/>
  <c r="CT31" i="6"/>
  <c r="CX31" i="6"/>
  <c r="DB31" i="6"/>
  <c r="DF31" i="6"/>
  <c r="DJ31" i="6"/>
  <c r="DN31" i="6"/>
  <c r="DR31" i="6"/>
  <c r="DV31" i="6"/>
  <c r="DZ31" i="6"/>
  <c r="ED31" i="6"/>
  <c r="EH31" i="6"/>
  <c r="EL31" i="6"/>
  <c r="EP31" i="6"/>
  <c r="ET31" i="6"/>
  <c r="EX31" i="6"/>
  <c r="BY31" i="6"/>
  <c r="CS31" i="6"/>
  <c r="DE31" i="6"/>
  <c r="DQ31" i="6"/>
  <c r="EC31" i="6"/>
  <c r="EO31" i="6"/>
  <c r="BO31" i="6"/>
  <c r="BS31" i="6"/>
  <c r="BW31" i="6"/>
  <c r="CA31" i="6"/>
  <c r="CE31" i="6"/>
  <c r="CI31" i="6"/>
  <c r="CM31" i="6"/>
  <c r="CQ31" i="6"/>
  <c r="CU31" i="6"/>
  <c r="CY31" i="6"/>
  <c r="DC31" i="6"/>
  <c r="DG31" i="6"/>
  <c r="DK31" i="6"/>
  <c r="DO31" i="6"/>
  <c r="DS31" i="6"/>
  <c r="DW31" i="6"/>
  <c r="EA31" i="6"/>
  <c r="EE31" i="6"/>
  <c r="EI31" i="6"/>
  <c r="EM31" i="6"/>
  <c r="EQ31" i="6"/>
  <c r="EU31" i="6"/>
  <c r="EY31" i="6"/>
  <c r="BU31" i="6"/>
  <c r="CC31" i="6"/>
  <c r="CG31" i="6"/>
  <c r="CO31" i="6"/>
  <c r="DA31" i="6"/>
  <c r="DM31" i="6"/>
  <c r="DY31" i="6"/>
  <c r="EK31" i="6"/>
  <c r="ES31" i="6"/>
  <c r="BP31" i="6"/>
  <c r="BT31" i="6"/>
  <c r="BX31" i="6"/>
  <c r="CB31" i="6"/>
  <c r="CF31" i="6"/>
  <c r="CJ31" i="6"/>
  <c r="CN31" i="6"/>
  <c r="CR31" i="6"/>
  <c r="CV31" i="6"/>
  <c r="CZ31" i="6"/>
  <c r="DD31" i="6"/>
  <c r="DH31" i="6"/>
  <c r="DL31" i="6"/>
  <c r="DP31" i="6"/>
  <c r="DT31" i="6"/>
  <c r="DX31" i="6"/>
  <c r="EB31" i="6"/>
  <c r="EF31" i="6"/>
  <c r="EJ31" i="6"/>
  <c r="EN31" i="6"/>
  <c r="ER31" i="6"/>
  <c r="EV31" i="6"/>
  <c r="BQ31" i="6"/>
  <c r="CK31" i="6"/>
  <c r="CW31" i="6"/>
  <c r="DI31" i="6"/>
  <c r="DU31" i="6"/>
  <c r="EG31" i="6"/>
  <c r="EW31" i="6"/>
  <c r="AA68" i="1"/>
  <c r="BG31" i="6"/>
  <c r="BF31" i="6"/>
  <c r="BK31" i="6"/>
  <c r="BB33" i="6"/>
  <c r="BI31" i="6"/>
  <c r="BH31" i="6"/>
  <c r="BE31" i="6"/>
  <c r="BM31" i="6"/>
  <c r="BL31" i="6"/>
  <c r="BD31" i="6"/>
  <c r="BJ31" i="6"/>
  <c r="C80" i="6"/>
  <c r="W68" i="1"/>
  <c r="AE68" i="1"/>
  <c r="Y68" i="1"/>
  <c r="Y65" i="1"/>
  <c r="Z65" i="1"/>
  <c r="Z68" i="1"/>
  <c r="X65" i="1"/>
  <c r="X68" i="1"/>
  <c r="DU33" i="6" l="1"/>
  <c r="DU35" i="6" s="1"/>
  <c r="BQ33" i="6"/>
  <c r="BQ35" i="6" s="1"/>
  <c r="EN33" i="6"/>
  <c r="EN35" i="6" s="1"/>
  <c r="DX33" i="6"/>
  <c r="DX35" i="6" s="1"/>
  <c r="DH33" i="6"/>
  <c r="DH35" i="6" s="1"/>
  <c r="CR33" i="6"/>
  <c r="CR35" i="6" s="1"/>
  <c r="CB33" i="6"/>
  <c r="CB35" i="6" s="1"/>
  <c r="ES33" i="6"/>
  <c r="ES35" i="6" s="1"/>
  <c r="DA33" i="6"/>
  <c r="DA35" i="6" s="1"/>
  <c r="BU33" i="6"/>
  <c r="BU35" i="6" s="1"/>
  <c r="EQ33" i="6"/>
  <c r="EQ35" i="6" s="1"/>
  <c r="EA33" i="6"/>
  <c r="EA35" i="6" s="1"/>
  <c r="DK33" i="6"/>
  <c r="DK35" i="6" s="1"/>
  <c r="CU33" i="6"/>
  <c r="CU35" i="6" s="1"/>
  <c r="CE33" i="6"/>
  <c r="CE35" i="6" s="1"/>
  <c r="BO33" i="6"/>
  <c r="BO35" i="6" s="1"/>
  <c r="DQ33" i="6"/>
  <c r="DQ35" i="6" s="1"/>
  <c r="EL33" i="6"/>
  <c r="EL35" i="6" s="1"/>
  <c r="DV33" i="6"/>
  <c r="DV35" i="6" s="1"/>
  <c r="DF33" i="6"/>
  <c r="DF35" i="6" s="1"/>
  <c r="CP33" i="6"/>
  <c r="CP35" i="6" s="1"/>
  <c r="BZ33" i="6"/>
  <c r="BZ35" i="6" s="1"/>
  <c r="DI33" i="6"/>
  <c r="DI35" i="6" s="1"/>
  <c r="EJ33" i="6"/>
  <c r="EJ35" i="6" s="1"/>
  <c r="DT33" i="6"/>
  <c r="DT35" i="6" s="1"/>
  <c r="DD33" i="6"/>
  <c r="DD35" i="6" s="1"/>
  <c r="CN33" i="6"/>
  <c r="CN35" i="6" s="1"/>
  <c r="BX33" i="6"/>
  <c r="BX35" i="6" s="1"/>
  <c r="EK33" i="6"/>
  <c r="EK35" i="6" s="1"/>
  <c r="CO33" i="6"/>
  <c r="CO35" i="6" s="1"/>
  <c r="EM33" i="6"/>
  <c r="EM35" i="6" s="1"/>
  <c r="DW33" i="6"/>
  <c r="DW35" i="6" s="1"/>
  <c r="DG33" i="6"/>
  <c r="DG35" i="6" s="1"/>
  <c r="CQ33" i="6"/>
  <c r="CQ35" i="6" s="1"/>
  <c r="CA33" i="6"/>
  <c r="CA35" i="6" s="1"/>
  <c r="DE33" i="6"/>
  <c r="DE35" i="6" s="1"/>
  <c r="EX33" i="6"/>
  <c r="EX35" i="6" s="1"/>
  <c r="EH33" i="6"/>
  <c r="EH35" i="6" s="1"/>
  <c r="DR33" i="6"/>
  <c r="DR35" i="6" s="1"/>
  <c r="DB33" i="6"/>
  <c r="DB35" i="6" s="1"/>
  <c r="CL33" i="6"/>
  <c r="CL35" i="6" s="1"/>
  <c r="BV33" i="6"/>
  <c r="BV35" i="6" s="1"/>
  <c r="EW33" i="6"/>
  <c r="EW35" i="6" s="1"/>
  <c r="CW33" i="6"/>
  <c r="CW35" i="6" s="1"/>
  <c r="EV33" i="6"/>
  <c r="EV35" i="6" s="1"/>
  <c r="EF33" i="6"/>
  <c r="EF35" i="6" s="1"/>
  <c r="DP33" i="6"/>
  <c r="DP35" i="6" s="1"/>
  <c r="CZ33" i="6"/>
  <c r="CZ35" i="6" s="1"/>
  <c r="CJ33" i="6"/>
  <c r="CJ35" i="6" s="1"/>
  <c r="BT33" i="6"/>
  <c r="BT35" i="6" s="1"/>
  <c r="DY33" i="6"/>
  <c r="DY35" i="6" s="1"/>
  <c r="CG33" i="6"/>
  <c r="CG35" i="6" s="1"/>
  <c r="EY33" i="6"/>
  <c r="EY35" i="6" s="1"/>
  <c r="EI33" i="6"/>
  <c r="EI35" i="6" s="1"/>
  <c r="DS33" i="6"/>
  <c r="DS35" i="6" s="1"/>
  <c r="DC33" i="6"/>
  <c r="DC35" i="6" s="1"/>
  <c r="CM33" i="6"/>
  <c r="CM35" i="6" s="1"/>
  <c r="BW33" i="6"/>
  <c r="BW35" i="6" s="1"/>
  <c r="EO33" i="6"/>
  <c r="EO35" i="6" s="1"/>
  <c r="CS33" i="6"/>
  <c r="CS35" i="6" s="1"/>
  <c r="ET33" i="6"/>
  <c r="ET35" i="6" s="1"/>
  <c r="ED33" i="6"/>
  <c r="ED35" i="6" s="1"/>
  <c r="DN33" i="6"/>
  <c r="DN35" i="6" s="1"/>
  <c r="CX33" i="6"/>
  <c r="CX35" i="6" s="1"/>
  <c r="CH33" i="6"/>
  <c r="CH35" i="6" s="1"/>
  <c r="BR33" i="6"/>
  <c r="BR35" i="6" s="1"/>
  <c r="EG33" i="6"/>
  <c r="EG35" i="6" s="1"/>
  <c r="CK33" i="6"/>
  <c r="CK35" i="6" s="1"/>
  <c r="ER33" i="6"/>
  <c r="ER35" i="6" s="1"/>
  <c r="EB33" i="6"/>
  <c r="EB35" i="6" s="1"/>
  <c r="DL33" i="6"/>
  <c r="DL35" i="6" s="1"/>
  <c r="CV33" i="6"/>
  <c r="CV35" i="6" s="1"/>
  <c r="CF33" i="6"/>
  <c r="CF35" i="6" s="1"/>
  <c r="BP33" i="6"/>
  <c r="BP35" i="6" s="1"/>
  <c r="DM33" i="6"/>
  <c r="DM35" i="6" s="1"/>
  <c r="CC33" i="6"/>
  <c r="CC35" i="6" s="1"/>
  <c r="EU33" i="6"/>
  <c r="EU35" i="6" s="1"/>
  <c r="EE33" i="6"/>
  <c r="EE35" i="6" s="1"/>
  <c r="DO33" i="6"/>
  <c r="DO35" i="6" s="1"/>
  <c r="CY33" i="6"/>
  <c r="CY35" i="6" s="1"/>
  <c r="CI33" i="6"/>
  <c r="CI35" i="6" s="1"/>
  <c r="BS33" i="6"/>
  <c r="BS35" i="6" s="1"/>
  <c r="EC33" i="6"/>
  <c r="EC35" i="6" s="1"/>
  <c r="BY33" i="6"/>
  <c r="BY35" i="6" s="1"/>
  <c r="EP33" i="6"/>
  <c r="EP35" i="6" s="1"/>
  <c r="DZ33" i="6"/>
  <c r="DZ35" i="6" s="1"/>
  <c r="DJ33" i="6"/>
  <c r="DJ35" i="6" s="1"/>
  <c r="CT33" i="6"/>
  <c r="CT35" i="6" s="1"/>
  <c r="CD33" i="6"/>
  <c r="CD35" i="6" s="1"/>
  <c r="BN33" i="6"/>
  <c r="BN35" i="6" s="1"/>
  <c r="D81" i="6"/>
  <c r="BF33" i="6"/>
  <c r="BF35" i="6" s="1"/>
  <c r="BG33" i="6"/>
  <c r="BG35" i="6" s="1"/>
  <c r="BK33" i="6"/>
  <c r="BK35" i="6" s="1"/>
  <c r="U79" i="6"/>
  <c r="AF79" i="6"/>
  <c r="AB79" i="6"/>
  <c r="X79" i="6"/>
  <c r="T79" i="6"/>
  <c r="P79" i="6"/>
  <c r="AI79" i="6"/>
  <c r="AE79" i="6"/>
  <c r="AA79" i="6"/>
  <c r="W79" i="6"/>
  <c r="S79" i="6"/>
  <c r="O79" i="6"/>
  <c r="AH79" i="6"/>
  <c r="AD79" i="6"/>
  <c r="Z79" i="6"/>
  <c r="V79" i="6"/>
  <c r="R79" i="6"/>
  <c r="AG79" i="6"/>
  <c r="AC79" i="6"/>
  <c r="Y79" i="6"/>
  <c r="Q79" i="6"/>
  <c r="D82" i="6"/>
  <c r="C81" i="6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D80" i="6"/>
  <c r="O80" i="6" s="1"/>
  <c r="C82" i="6"/>
  <c r="GL38" i="6" l="1"/>
  <c r="GL40" i="6" s="1"/>
  <c r="R81" i="6"/>
  <c r="Y82" i="6"/>
  <c r="Q82" i="6"/>
  <c r="U82" i="6"/>
  <c r="AF82" i="6"/>
  <c r="AB82" i="6"/>
  <c r="Z82" i="6"/>
  <c r="AI82" i="6"/>
  <c r="AE82" i="6"/>
  <c r="AC82" i="6"/>
  <c r="R82" i="6"/>
  <c r="O82" i="6"/>
  <c r="S82" i="6"/>
  <c r="AH82" i="6"/>
  <c r="AD82" i="6"/>
  <c r="V82" i="6"/>
  <c r="P82" i="6"/>
  <c r="T82" i="6"/>
  <c r="AG82" i="6"/>
  <c r="AA82" i="6"/>
  <c r="W82" i="6"/>
  <c r="X82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R94" i="6"/>
  <c r="R98" i="6" s="1"/>
  <c r="GL44" i="6" l="1"/>
  <c r="GL56" i="6" s="1"/>
  <c r="GL45" i="6"/>
  <c r="GL41" i="6"/>
  <c r="GL42" i="6"/>
  <c r="GL46" i="6"/>
  <c r="E171" i="6" l="1"/>
  <c r="F171" i="6" s="1"/>
  <c r="G171" i="6" s="1"/>
  <c r="H171" i="6" s="1"/>
  <c r="I171" i="6" s="1"/>
  <c r="J171" i="6" s="1"/>
  <c r="K171" i="6" s="1"/>
  <c r="L171" i="6" s="1"/>
  <c r="M171" i="6" s="1"/>
  <c r="E165" i="6"/>
  <c r="F165" i="6" s="1"/>
  <c r="G165" i="6" s="1"/>
  <c r="H165" i="6" s="1"/>
  <c r="I165" i="6" s="1"/>
  <c r="J165" i="6" s="1"/>
  <c r="K165" i="6" s="1"/>
  <c r="L165" i="6" s="1"/>
  <c r="M165" i="6" s="1"/>
  <c r="E159" i="6"/>
  <c r="F159" i="6" s="1"/>
  <c r="G159" i="6" s="1"/>
  <c r="H159" i="6" s="1"/>
  <c r="I159" i="6" s="1"/>
  <c r="J159" i="6" s="1"/>
  <c r="K159" i="6" s="1"/>
  <c r="L159" i="6" s="1"/>
  <c r="M159" i="6" s="1"/>
  <c r="E153" i="6"/>
  <c r="F153" i="6" s="1"/>
  <c r="G153" i="6" s="1"/>
  <c r="H153" i="6" s="1"/>
  <c r="I153" i="6" s="1"/>
  <c r="J153" i="6" s="1"/>
  <c r="K153" i="6" s="1"/>
  <c r="L153" i="6" s="1"/>
  <c r="M153" i="6" s="1"/>
  <c r="E168" i="6"/>
  <c r="F168" i="6" s="1"/>
  <c r="G168" i="6" s="1"/>
  <c r="H168" i="6" s="1"/>
  <c r="I168" i="6" s="1"/>
  <c r="J168" i="6" s="1"/>
  <c r="K168" i="6" s="1"/>
  <c r="L168" i="6" s="1"/>
  <c r="M168" i="6" s="1"/>
  <c r="E162" i="6"/>
  <c r="F162" i="6" s="1"/>
  <c r="G162" i="6" s="1"/>
  <c r="H162" i="6" s="1"/>
  <c r="I162" i="6" s="1"/>
  <c r="J162" i="6" s="1"/>
  <c r="K162" i="6" s="1"/>
  <c r="L162" i="6" s="1"/>
  <c r="M162" i="6" s="1"/>
  <c r="E156" i="6"/>
  <c r="F156" i="6" s="1"/>
  <c r="G156" i="6" s="1"/>
  <c r="H156" i="6" s="1"/>
  <c r="I156" i="6" s="1"/>
  <c r="J156" i="6" s="1"/>
  <c r="K156" i="6" s="1"/>
  <c r="L156" i="6" s="1"/>
  <c r="M156" i="6" s="1"/>
  <c r="E150" i="6"/>
  <c r="F150" i="6" s="1"/>
  <c r="G150" i="6" s="1"/>
  <c r="H150" i="6" s="1"/>
  <c r="I150" i="6" s="1"/>
  <c r="J150" i="6" s="1"/>
  <c r="K150" i="6" s="1"/>
  <c r="L150" i="6" s="1"/>
  <c r="M150" i="6" s="1"/>
  <c r="E138" i="6"/>
  <c r="F138" i="6" s="1"/>
  <c r="G138" i="6" s="1"/>
  <c r="H138" i="6" s="1"/>
  <c r="I138" i="6" s="1"/>
  <c r="J138" i="6" s="1"/>
  <c r="K138" i="6" s="1"/>
  <c r="L138" i="6" s="1"/>
  <c r="M138" i="6" s="1"/>
  <c r="E126" i="6"/>
  <c r="F126" i="6" s="1"/>
  <c r="G126" i="6" s="1"/>
  <c r="H126" i="6" s="1"/>
  <c r="I126" i="6" s="1"/>
  <c r="J126" i="6" s="1"/>
  <c r="K126" i="6" s="1"/>
  <c r="L126" i="6" s="1"/>
  <c r="M126" i="6" s="1"/>
  <c r="E114" i="6"/>
  <c r="F114" i="6" s="1"/>
  <c r="G114" i="6" s="1"/>
  <c r="H114" i="6" s="1"/>
  <c r="I114" i="6" s="1"/>
  <c r="J114" i="6" s="1"/>
  <c r="K114" i="6" s="1"/>
  <c r="L114" i="6" s="1"/>
  <c r="M114" i="6" s="1"/>
  <c r="E135" i="6"/>
  <c r="F135" i="6" s="1"/>
  <c r="G135" i="6" s="1"/>
  <c r="H135" i="6" s="1"/>
  <c r="I135" i="6" s="1"/>
  <c r="J135" i="6" s="1"/>
  <c r="K135" i="6" s="1"/>
  <c r="L135" i="6" s="1"/>
  <c r="M135" i="6" s="1"/>
  <c r="E123" i="6"/>
  <c r="F123" i="6" s="1"/>
  <c r="G123" i="6" s="1"/>
  <c r="H123" i="6" s="1"/>
  <c r="I123" i="6" s="1"/>
  <c r="J123" i="6" s="1"/>
  <c r="K123" i="6" s="1"/>
  <c r="L123" i="6" s="1"/>
  <c r="M123" i="6" s="1"/>
  <c r="E147" i="6"/>
  <c r="F147" i="6" s="1"/>
  <c r="G147" i="6" s="1"/>
  <c r="H147" i="6" s="1"/>
  <c r="I147" i="6" s="1"/>
  <c r="J147" i="6" s="1"/>
  <c r="K147" i="6" s="1"/>
  <c r="L147" i="6" s="1"/>
  <c r="M147" i="6" s="1"/>
  <c r="E129" i="6"/>
  <c r="F129" i="6" s="1"/>
  <c r="G129" i="6" s="1"/>
  <c r="H129" i="6" s="1"/>
  <c r="I129" i="6" s="1"/>
  <c r="J129" i="6" s="1"/>
  <c r="K129" i="6" s="1"/>
  <c r="L129" i="6" s="1"/>
  <c r="M129" i="6" s="1"/>
  <c r="E144" i="6"/>
  <c r="F144" i="6" s="1"/>
  <c r="G144" i="6" s="1"/>
  <c r="H144" i="6" s="1"/>
  <c r="I144" i="6" s="1"/>
  <c r="J144" i="6" s="1"/>
  <c r="K144" i="6" s="1"/>
  <c r="L144" i="6" s="1"/>
  <c r="M144" i="6" s="1"/>
  <c r="E132" i="6"/>
  <c r="F132" i="6" s="1"/>
  <c r="G132" i="6" s="1"/>
  <c r="H132" i="6" s="1"/>
  <c r="I132" i="6" s="1"/>
  <c r="J132" i="6" s="1"/>
  <c r="K132" i="6" s="1"/>
  <c r="L132" i="6" s="1"/>
  <c r="M132" i="6" s="1"/>
  <c r="E120" i="6"/>
  <c r="F120" i="6" s="1"/>
  <c r="G120" i="6" s="1"/>
  <c r="H120" i="6" s="1"/>
  <c r="I120" i="6" s="1"/>
  <c r="J120" i="6" s="1"/>
  <c r="K120" i="6" s="1"/>
  <c r="L120" i="6" s="1"/>
  <c r="M120" i="6" s="1"/>
  <c r="E141" i="6"/>
  <c r="F141" i="6" s="1"/>
  <c r="G141" i="6" s="1"/>
  <c r="H141" i="6" s="1"/>
  <c r="I141" i="6" s="1"/>
  <c r="J141" i="6" s="1"/>
  <c r="K141" i="6" s="1"/>
  <c r="L141" i="6" s="1"/>
  <c r="M141" i="6" s="1"/>
  <c r="E117" i="6"/>
  <c r="F117" i="6" s="1"/>
  <c r="G117" i="6" s="1"/>
  <c r="H117" i="6" s="1"/>
  <c r="I117" i="6" s="1"/>
  <c r="J117" i="6" s="1"/>
  <c r="K117" i="6" s="1"/>
  <c r="L117" i="6" s="1"/>
  <c r="M117" i="6" s="1"/>
  <c r="AP57" i="6"/>
  <c r="AQ57" i="6" s="1"/>
  <c r="AR57" i="6" s="1"/>
  <c r="AP51" i="6"/>
  <c r="AQ51" i="6" s="1"/>
  <c r="AR51" i="6" s="1"/>
  <c r="AS51" i="6" s="1"/>
  <c r="AT51" i="6" s="1"/>
  <c r="AU51" i="6" s="1"/>
  <c r="AV51" i="6" s="1"/>
  <c r="AW51" i="6" s="1"/>
  <c r="AX51" i="6" s="1"/>
  <c r="AP54" i="6"/>
  <c r="AQ54" i="6" s="1"/>
  <c r="AR54" i="6" s="1"/>
  <c r="AS54" i="6" s="1"/>
  <c r="AT54" i="6" s="1"/>
  <c r="AU54" i="6" s="1"/>
  <c r="AV54" i="6" s="1"/>
  <c r="AW54" i="6" s="1"/>
  <c r="AX54" i="6" s="1"/>
  <c r="AP45" i="6"/>
  <c r="AQ45" i="6" s="1"/>
  <c r="AR45" i="6" s="1"/>
  <c r="AS45" i="6" s="1"/>
  <c r="AT45" i="6" s="1"/>
  <c r="AU45" i="6" s="1"/>
  <c r="AV45" i="6" s="1"/>
  <c r="AW45" i="6" s="1"/>
  <c r="AX45" i="6" s="1"/>
  <c r="AP48" i="6"/>
  <c r="AQ48" i="6" s="1"/>
  <c r="AR48" i="6" s="1"/>
  <c r="AS48" i="6" s="1"/>
  <c r="AT48" i="6" s="1"/>
  <c r="AU48" i="6" s="1"/>
  <c r="AV48" i="6" s="1"/>
  <c r="AW48" i="6" s="1"/>
  <c r="AX48" i="6" s="1"/>
  <c r="AP39" i="6"/>
  <c r="AQ39" i="6" s="1"/>
  <c r="AR39" i="6" s="1"/>
  <c r="AS39" i="6" s="1"/>
  <c r="AT39" i="6" s="1"/>
  <c r="AU39" i="6" s="1"/>
  <c r="AV39" i="6" s="1"/>
  <c r="AW39" i="6" s="1"/>
  <c r="AX39" i="6" s="1"/>
  <c r="AP42" i="6"/>
  <c r="AQ42" i="6" s="1"/>
  <c r="AR42" i="6" s="1"/>
  <c r="AS42" i="6" s="1"/>
  <c r="AT42" i="6" s="1"/>
  <c r="AU42" i="6" s="1"/>
  <c r="AV42" i="6" s="1"/>
  <c r="AW42" i="6" s="1"/>
  <c r="AX42" i="6" s="1"/>
  <c r="AP33" i="6"/>
  <c r="AQ33" i="6" s="1"/>
  <c r="AR33" i="6" s="1"/>
  <c r="AS33" i="6" s="1"/>
  <c r="AT33" i="6" s="1"/>
  <c r="AU33" i="6" s="1"/>
  <c r="AV33" i="6" s="1"/>
  <c r="AW33" i="6" s="1"/>
  <c r="AX33" i="6" s="1"/>
  <c r="AP36" i="6"/>
  <c r="AQ36" i="6" s="1"/>
  <c r="AR36" i="6" s="1"/>
  <c r="AS36" i="6" s="1"/>
  <c r="AT36" i="6" s="1"/>
  <c r="AU36" i="6" s="1"/>
  <c r="AV36" i="6" s="1"/>
  <c r="AW36" i="6" s="1"/>
  <c r="AX36" i="6" s="1"/>
  <c r="AP30" i="6"/>
  <c r="AQ30" i="6" s="1"/>
  <c r="AR30" i="6" s="1"/>
  <c r="AS30" i="6" s="1"/>
  <c r="AT30" i="6" s="1"/>
  <c r="AU30" i="6" s="1"/>
  <c r="AV30" i="6" s="1"/>
  <c r="AW30" i="6" s="1"/>
  <c r="AX30" i="6" s="1"/>
  <c r="GL49" i="6"/>
  <c r="GL55" i="6"/>
  <c r="GL50" i="6"/>
  <c r="GL47" i="6"/>
  <c r="GL48" i="6"/>
  <c r="GL51" i="6"/>
  <c r="E170" i="6" l="1"/>
  <c r="F170" i="6" s="1"/>
  <c r="G170" i="6" s="1"/>
  <c r="H170" i="6" s="1"/>
  <c r="I170" i="6" s="1"/>
  <c r="J170" i="6" s="1"/>
  <c r="K170" i="6" s="1"/>
  <c r="L170" i="6" s="1"/>
  <c r="M170" i="6" s="1"/>
  <c r="E164" i="6"/>
  <c r="F164" i="6" s="1"/>
  <c r="G164" i="6" s="1"/>
  <c r="H164" i="6" s="1"/>
  <c r="I164" i="6" s="1"/>
  <c r="J164" i="6" s="1"/>
  <c r="K164" i="6" s="1"/>
  <c r="L164" i="6" s="1"/>
  <c r="M164" i="6" s="1"/>
  <c r="E158" i="6"/>
  <c r="F158" i="6" s="1"/>
  <c r="G158" i="6" s="1"/>
  <c r="H158" i="6" s="1"/>
  <c r="I158" i="6" s="1"/>
  <c r="J158" i="6" s="1"/>
  <c r="K158" i="6" s="1"/>
  <c r="L158" i="6" s="1"/>
  <c r="M158" i="6" s="1"/>
  <c r="E152" i="6"/>
  <c r="F152" i="6" s="1"/>
  <c r="G152" i="6" s="1"/>
  <c r="H152" i="6" s="1"/>
  <c r="I152" i="6" s="1"/>
  <c r="J152" i="6" s="1"/>
  <c r="K152" i="6" s="1"/>
  <c r="L152" i="6" s="1"/>
  <c r="M152" i="6" s="1"/>
  <c r="E161" i="6"/>
  <c r="F161" i="6" s="1"/>
  <c r="G161" i="6" s="1"/>
  <c r="H161" i="6" s="1"/>
  <c r="I161" i="6" s="1"/>
  <c r="J161" i="6" s="1"/>
  <c r="K161" i="6" s="1"/>
  <c r="L161" i="6" s="1"/>
  <c r="M161" i="6" s="1"/>
  <c r="E149" i="6"/>
  <c r="F149" i="6" s="1"/>
  <c r="G149" i="6" s="1"/>
  <c r="H149" i="6" s="1"/>
  <c r="I149" i="6" s="1"/>
  <c r="J149" i="6" s="1"/>
  <c r="K149" i="6" s="1"/>
  <c r="L149" i="6" s="1"/>
  <c r="M149" i="6" s="1"/>
  <c r="E167" i="6"/>
  <c r="F167" i="6" s="1"/>
  <c r="G167" i="6" s="1"/>
  <c r="H167" i="6" s="1"/>
  <c r="I167" i="6" s="1"/>
  <c r="J167" i="6" s="1"/>
  <c r="K167" i="6" s="1"/>
  <c r="L167" i="6" s="1"/>
  <c r="M167" i="6" s="1"/>
  <c r="E155" i="6"/>
  <c r="F155" i="6" s="1"/>
  <c r="G155" i="6" s="1"/>
  <c r="H155" i="6" s="1"/>
  <c r="I155" i="6" s="1"/>
  <c r="J155" i="6" s="1"/>
  <c r="K155" i="6" s="1"/>
  <c r="L155" i="6" s="1"/>
  <c r="M155" i="6" s="1"/>
  <c r="E137" i="6"/>
  <c r="F137" i="6" s="1"/>
  <c r="G137" i="6" s="1"/>
  <c r="H137" i="6" s="1"/>
  <c r="I137" i="6" s="1"/>
  <c r="J137" i="6" s="1"/>
  <c r="K137" i="6" s="1"/>
  <c r="L137" i="6" s="1"/>
  <c r="M137" i="6" s="1"/>
  <c r="E140" i="6"/>
  <c r="F140" i="6" s="1"/>
  <c r="G140" i="6" s="1"/>
  <c r="H140" i="6" s="1"/>
  <c r="I140" i="6" s="1"/>
  <c r="J140" i="6" s="1"/>
  <c r="K140" i="6" s="1"/>
  <c r="L140" i="6" s="1"/>
  <c r="M140" i="6" s="1"/>
  <c r="E131" i="6"/>
  <c r="F131" i="6" s="1"/>
  <c r="G131" i="6" s="1"/>
  <c r="H131" i="6" s="1"/>
  <c r="I131" i="6" s="1"/>
  <c r="J131" i="6" s="1"/>
  <c r="K131" i="6" s="1"/>
  <c r="L131" i="6" s="1"/>
  <c r="M131" i="6" s="1"/>
  <c r="E134" i="6"/>
  <c r="F134" i="6" s="1"/>
  <c r="G134" i="6" s="1"/>
  <c r="H134" i="6" s="1"/>
  <c r="I134" i="6" s="1"/>
  <c r="J134" i="6" s="1"/>
  <c r="K134" i="6" s="1"/>
  <c r="L134" i="6" s="1"/>
  <c r="M134" i="6" s="1"/>
  <c r="E125" i="6"/>
  <c r="F125" i="6" s="1"/>
  <c r="G125" i="6" s="1"/>
  <c r="H125" i="6" s="1"/>
  <c r="I125" i="6" s="1"/>
  <c r="J125" i="6" s="1"/>
  <c r="K125" i="6" s="1"/>
  <c r="L125" i="6" s="1"/>
  <c r="M125" i="6" s="1"/>
  <c r="E128" i="6"/>
  <c r="F128" i="6" s="1"/>
  <c r="G128" i="6" s="1"/>
  <c r="H128" i="6" s="1"/>
  <c r="I128" i="6" s="1"/>
  <c r="J128" i="6" s="1"/>
  <c r="K128" i="6" s="1"/>
  <c r="L128" i="6" s="1"/>
  <c r="M128" i="6" s="1"/>
  <c r="E119" i="6"/>
  <c r="F119" i="6" s="1"/>
  <c r="G119" i="6" s="1"/>
  <c r="H119" i="6" s="1"/>
  <c r="I119" i="6" s="1"/>
  <c r="J119" i="6" s="1"/>
  <c r="K119" i="6" s="1"/>
  <c r="L119" i="6" s="1"/>
  <c r="M119" i="6" s="1"/>
  <c r="E122" i="6"/>
  <c r="F122" i="6" s="1"/>
  <c r="G122" i="6" s="1"/>
  <c r="H122" i="6" s="1"/>
  <c r="I122" i="6" s="1"/>
  <c r="J122" i="6" s="1"/>
  <c r="K122" i="6" s="1"/>
  <c r="L122" i="6" s="1"/>
  <c r="M122" i="6" s="1"/>
  <c r="E116" i="6"/>
  <c r="F116" i="6" s="1"/>
  <c r="G116" i="6" s="1"/>
  <c r="H116" i="6" s="1"/>
  <c r="I116" i="6" s="1"/>
  <c r="J116" i="6" s="1"/>
  <c r="K116" i="6" s="1"/>
  <c r="L116" i="6" s="1"/>
  <c r="M116" i="6" s="1"/>
  <c r="E113" i="6"/>
  <c r="F113" i="6" s="1"/>
  <c r="G113" i="6" s="1"/>
  <c r="H113" i="6" s="1"/>
  <c r="I113" i="6" s="1"/>
  <c r="J113" i="6" s="1"/>
  <c r="K113" i="6" s="1"/>
  <c r="L113" i="6" s="1"/>
  <c r="M113" i="6" s="1"/>
  <c r="E143" i="6"/>
  <c r="F143" i="6" s="1"/>
  <c r="G143" i="6" s="1"/>
  <c r="H143" i="6" s="1"/>
  <c r="I143" i="6" s="1"/>
  <c r="J143" i="6" s="1"/>
  <c r="K143" i="6" s="1"/>
  <c r="L143" i="6" s="1"/>
  <c r="M143" i="6" s="1"/>
  <c r="E146" i="6"/>
  <c r="F146" i="6" s="1"/>
  <c r="G146" i="6" s="1"/>
  <c r="H146" i="6" s="1"/>
  <c r="I146" i="6" s="1"/>
  <c r="J146" i="6" s="1"/>
  <c r="K146" i="6" s="1"/>
  <c r="L146" i="6" s="1"/>
  <c r="M146" i="6" s="1"/>
  <c r="AP56" i="6"/>
  <c r="AQ56" i="6" s="1"/>
  <c r="AR56" i="6" s="1"/>
  <c r="AP50" i="6"/>
  <c r="AQ50" i="6" s="1"/>
  <c r="AR50" i="6" s="1"/>
  <c r="AS50" i="6" s="1"/>
  <c r="AT50" i="6" s="1"/>
  <c r="AU50" i="6" s="1"/>
  <c r="AV50" i="6" s="1"/>
  <c r="AW50" i="6" s="1"/>
  <c r="AX50" i="6" s="1"/>
  <c r="AP53" i="6"/>
  <c r="AQ53" i="6" s="1"/>
  <c r="AR53" i="6" s="1"/>
  <c r="AS53" i="6" s="1"/>
  <c r="AT53" i="6" s="1"/>
  <c r="AU53" i="6" s="1"/>
  <c r="AV53" i="6" s="1"/>
  <c r="AW53" i="6" s="1"/>
  <c r="AX53" i="6" s="1"/>
  <c r="AP44" i="6"/>
  <c r="AQ44" i="6" s="1"/>
  <c r="AR44" i="6" s="1"/>
  <c r="AS44" i="6" s="1"/>
  <c r="AT44" i="6" s="1"/>
  <c r="AU44" i="6" s="1"/>
  <c r="AV44" i="6" s="1"/>
  <c r="AW44" i="6" s="1"/>
  <c r="AX44" i="6" s="1"/>
  <c r="AP47" i="6"/>
  <c r="AQ47" i="6" s="1"/>
  <c r="AR47" i="6" s="1"/>
  <c r="AS47" i="6" s="1"/>
  <c r="AT47" i="6" s="1"/>
  <c r="AU47" i="6" s="1"/>
  <c r="AV47" i="6" s="1"/>
  <c r="AW47" i="6" s="1"/>
  <c r="AX47" i="6" s="1"/>
  <c r="AP38" i="6"/>
  <c r="AQ38" i="6" s="1"/>
  <c r="AR38" i="6" s="1"/>
  <c r="AS38" i="6" s="1"/>
  <c r="AT38" i="6" s="1"/>
  <c r="AU38" i="6" s="1"/>
  <c r="AV38" i="6" s="1"/>
  <c r="AW38" i="6" s="1"/>
  <c r="AX38" i="6" s="1"/>
  <c r="AP41" i="6"/>
  <c r="AQ41" i="6" s="1"/>
  <c r="AR41" i="6" s="1"/>
  <c r="AS41" i="6" s="1"/>
  <c r="AT41" i="6" s="1"/>
  <c r="AU41" i="6" s="1"/>
  <c r="AV41" i="6" s="1"/>
  <c r="AW41" i="6" s="1"/>
  <c r="AX41" i="6" s="1"/>
  <c r="AP32" i="6"/>
  <c r="AQ32" i="6" s="1"/>
  <c r="AR32" i="6" s="1"/>
  <c r="AS32" i="6" s="1"/>
  <c r="AT32" i="6" s="1"/>
  <c r="AU32" i="6" s="1"/>
  <c r="AV32" i="6" s="1"/>
  <c r="AW32" i="6" s="1"/>
  <c r="AX32" i="6" s="1"/>
  <c r="AP35" i="6"/>
  <c r="AQ35" i="6" s="1"/>
  <c r="AR35" i="6" s="1"/>
  <c r="AS35" i="6" s="1"/>
  <c r="AT35" i="6" s="1"/>
  <c r="AU35" i="6" s="1"/>
  <c r="AV35" i="6" s="1"/>
  <c r="AW35" i="6" s="1"/>
  <c r="AX35" i="6" s="1"/>
  <c r="AP29" i="6"/>
  <c r="AQ29" i="6" s="1"/>
  <c r="AR29" i="6" s="1"/>
  <c r="AS29" i="6" s="1"/>
  <c r="AT29" i="6" s="1"/>
  <c r="AU29" i="6" s="1"/>
  <c r="AV29" i="6" s="1"/>
  <c r="AW29" i="6" s="1"/>
  <c r="AX29" i="6" s="1"/>
  <c r="GL52" i="6"/>
  <c r="GL39" i="6"/>
  <c r="B5" i="6"/>
  <c r="B25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D95" i="6"/>
  <c r="M95" i="6"/>
  <c r="D97" i="6"/>
  <c r="M97" i="6"/>
  <c r="D98" i="6"/>
  <c r="M98" i="6"/>
  <c r="W98" i="6"/>
  <c r="D100" i="6"/>
  <c r="M100" i="6"/>
  <c r="R100" i="6"/>
  <c r="D102" i="6"/>
  <c r="E102" i="6"/>
  <c r="M102" i="6"/>
  <c r="N102" i="6"/>
  <c r="D103" i="6"/>
  <c r="E103" i="6"/>
  <c r="M103" i="6"/>
  <c r="N103" i="6"/>
  <c r="D105" i="6"/>
  <c r="M105" i="6"/>
  <c r="D108" i="6"/>
  <c r="M108" i="6"/>
  <c r="D109" i="6"/>
  <c r="M109" i="6"/>
  <c r="D110" i="6"/>
  <c r="M110" i="6"/>
</calcChain>
</file>

<file path=xl/sharedStrings.xml><?xml version="1.0" encoding="utf-8"?>
<sst xmlns="http://schemas.openxmlformats.org/spreadsheetml/2006/main" count="591" uniqueCount="243">
  <si>
    <t>Pontos</t>
  </si>
  <si>
    <t>Simergia</t>
  </si>
  <si>
    <t>Ponderação</t>
  </si>
  <si>
    <t>Linhas</t>
  </si>
  <si>
    <t>Sustentabilidade</t>
  </si>
  <si>
    <t>R</t>
  </si>
  <si>
    <t>N</t>
  </si>
  <si>
    <t>F</t>
  </si>
  <si>
    <t>SI=1</t>
  </si>
  <si>
    <t>SI=5</t>
  </si>
  <si>
    <t>Item</t>
  </si>
  <si>
    <t>Valor</t>
  </si>
  <si>
    <t>%R</t>
  </si>
  <si>
    <t>%N</t>
  </si>
  <si>
    <t>%F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</si>
  <si>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</si>
  <si>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</si>
  <si>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</si>
  <si>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</si>
  <si>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</si>
  <si>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</si>
  <si>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</si>
  <si>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</si>
  <si>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</si>
  <si>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</si>
  <si>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</si>
  <si>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</si>
  <si>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</si>
  <si>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</si>
  <si>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</si>
  <si>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</si>
  <si>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</si>
  <si>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</si>
  <si>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</si>
  <si>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</si>
  <si>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</si>
  <si>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</si>
  <si>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</si>
  <si>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</si>
  <si>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</si>
  <si>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</si>
  <si>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</si>
  <si>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</si>
  <si>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</si>
  <si>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</si>
  <si>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</si>
  <si>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</si>
  <si>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</si>
  <si>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</si>
  <si>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</si>
  <si>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</si>
  <si>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</si>
  <si>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</si>
  <si>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</si>
  <si>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</si>
  <si>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</si>
  <si>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</si>
  <si>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</si>
  <si>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</si>
  <si>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</si>
  <si>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</si>
  <si>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</si>
  <si>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</si>
  <si>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</si>
  <si>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</si>
  <si>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</si>
  <si>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</si>
  <si>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</si>
  <si>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</si>
  <si>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</si>
  <si>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</si>
  <si>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</si>
  <si>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</si>
  <si>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</si>
  <si>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</si>
  <si>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</si>
  <si>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</si>
  <si>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</si>
  <si>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SI=k1</t>
  </si>
  <si>
    <t>SI=k5</t>
  </si>
  <si>
    <t>SI=k2</t>
  </si>
  <si>
    <t>Legenda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</si>
  <si>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</si>
  <si>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</si>
  <si>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</si>
  <si>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</si>
  <si>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</si>
  <si>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</si>
  <si>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</si>
  <si>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</si>
  <si>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</si>
  <si>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</si>
  <si>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</si>
  <si>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</si>
  <si>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</si>
  <si>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</si>
  <si>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</si>
  <si>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</si>
  <si>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</si>
  <si>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</si>
  <si>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</si>
  <si>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</si>
  <si>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</si>
  <si>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</si>
  <si>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</si>
  <si>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</si>
  <si>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</si>
  <si>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</si>
  <si>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</si>
  <si>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</si>
  <si>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</si>
  <si>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</si>
  <si>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</si>
  <si>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</si>
  <si>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</si>
  <si>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Renewable</t>
  </si>
  <si>
    <t>Non-renewable</t>
  </si>
  <si>
    <t>Purchased</t>
  </si>
  <si>
    <t>Xsr</t>
  </si>
  <si>
    <t>SI=k3</t>
  </si>
  <si>
    <t>Ponto2</t>
  </si>
  <si>
    <t>Ponto3</t>
  </si>
  <si>
    <t>Ponto1</t>
  </si>
  <si>
    <t>Ponto4</t>
  </si>
  <si>
    <t>Ponto5</t>
  </si>
  <si>
    <t>Ponto6</t>
  </si>
  <si>
    <t>Ponto7</t>
  </si>
  <si>
    <t>Ponto8</t>
  </si>
  <si>
    <t>Ponto9</t>
  </si>
  <si>
    <t>Ponto10</t>
  </si>
  <si>
    <t>Simergy</t>
  </si>
  <si>
    <t>Weighting</t>
  </si>
  <si>
    <t>F entre SI1 e SI5</t>
  </si>
  <si>
    <t>Middle value</t>
  </si>
  <si>
    <t>Simergy 1</t>
  </si>
  <si>
    <t>Simergy 2</t>
  </si>
  <si>
    <t>Simergy 3</t>
  </si>
  <si>
    <t>Simergy 4</t>
  </si>
  <si>
    <t>Simergy 5</t>
  </si>
  <si>
    <t>Simergy 6</t>
  </si>
  <si>
    <t>Simergy 7</t>
  </si>
  <si>
    <t>Simergy 8</t>
  </si>
  <si>
    <t>Simergy 9</t>
  </si>
  <si>
    <t>Simergy 10</t>
  </si>
  <si>
    <t>Simergy 11</t>
  </si>
  <si>
    <t>Simergy 12</t>
  </si>
  <si>
    <t>Simergy 13</t>
  </si>
  <si>
    <t>Simergy 14</t>
  </si>
  <si>
    <t>Simergy 15</t>
  </si>
  <si>
    <t>Simergy 16</t>
  </si>
  <si>
    <t>Simergy 17</t>
  </si>
  <si>
    <t>Simergy 18</t>
  </si>
  <si>
    <t>Simergy 19</t>
  </si>
  <si>
    <t>Simergy 20</t>
  </si>
  <si>
    <t>Simergy 21</t>
  </si>
  <si>
    <t>Simergy 22</t>
  </si>
  <si>
    <t>Simergy 23</t>
  </si>
  <si>
    <t>Simergy 24</t>
  </si>
  <si>
    <t>Simergy 25</t>
  </si>
  <si>
    <t>Simergy 26</t>
  </si>
  <si>
    <t>Simergy 27</t>
  </si>
  <si>
    <t>Simergy 28</t>
  </si>
  <si>
    <t>Simergy 29</t>
  </si>
  <si>
    <t>Simergy 30</t>
  </si>
  <si>
    <t>Simergy 31</t>
  </si>
  <si>
    <t>Simergy 32</t>
  </si>
  <si>
    <t>Simergy 33</t>
  </si>
  <si>
    <t>Simergy 34</t>
  </si>
  <si>
    <t>Simergy 35</t>
  </si>
  <si>
    <t>Simergy 36</t>
  </si>
  <si>
    <t>Simergy 37</t>
  </si>
  <si>
    <t>Simergy 38</t>
  </si>
  <si>
    <t>Simergy 39</t>
  </si>
  <si>
    <t>Simergy 40</t>
  </si>
  <si>
    <t>Simergy 41</t>
  </si>
  <si>
    <t>Simergy 42</t>
  </si>
  <si>
    <t>Simergy 43</t>
  </si>
  <si>
    <t>Simergy 44</t>
  </si>
  <si>
    <t>Simergy 45</t>
  </si>
  <si>
    <t>Simergy 46</t>
  </si>
  <si>
    <t>Simergy 47</t>
  </si>
  <si>
    <t>Simergy 48</t>
  </si>
  <si>
    <t>Simergy 49</t>
  </si>
  <si>
    <t>Simergy 50</t>
  </si>
  <si>
    <t>Simergy 51</t>
  </si>
  <si>
    <t>Simergy 52</t>
  </si>
  <si>
    <t>Simergy 53</t>
  </si>
  <si>
    <t>Simergy 54</t>
  </si>
  <si>
    <t>Simergy 55</t>
  </si>
  <si>
    <t>Simergy 56</t>
  </si>
  <si>
    <t>Simergy 57</t>
  </si>
  <si>
    <t>Simergy 58</t>
  </si>
  <si>
    <t>Simergy 59</t>
  </si>
  <si>
    <t>Simergy 60</t>
  </si>
  <si>
    <t>Simergy 61</t>
  </si>
  <si>
    <t>Simergy 62</t>
  </si>
  <si>
    <t>Simergy 63</t>
  </si>
  <si>
    <t>Simergy 64</t>
  </si>
  <si>
    <t>Simergy 65</t>
  </si>
  <si>
    <t>Simergy 66</t>
  </si>
  <si>
    <t>Simergy 67</t>
  </si>
  <si>
    <t>Simergy 68</t>
  </si>
  <si>
    <t>Simergy 69</t>
  </si>
  <si>
    <t>Simergy 70</t>
  </si>
  <si>
    <t>Simergy 71</t>
  </si>
  <si>
    <t>Simergy 72</t>
  </si>
  <si>
    <t>Simergy 73</t>
  </si>
  <si>
    <t>Simergy 74</t>
  </si>
  <si>
    <t>Simergy 75</t>
  </si>
  <si>
    <t>Simergy 76</t>
  </si>
  <si>
    <t>Simergy 77</t>
  </si>
  <si>
    <t>Simergy 78</t>
  </si>
  <si>
    <t>Simergy 79</t>
  </si>
  <si>
    <t>Simergy 80</t>
  </si>
  <si>
    <t>Simergy 81</t>
  </si>
  <si>
    <t>Simergy 82</t>
  </si>
  <si>
    <t>Simergy 83</t>
  </si>
  <si>
    <t>Simergy 84</t>
  </si>
  <si>
    <t>Simergy 85</t>
  </si>
  <si>
    <t>Simergy 86</t>
  </si>
  <si>
    <t>Simergy 87</t>
  </si>
  <si>
    <t>Simergy 88</t>
  </si>
  <si>
    <t>Simergy 89</t>
  </si>
  <si>
    <t>Simergy 90</t>
  </si>
  <si>
    <t>Simergy 91</t>
  </si>
  <si>
    <t>Simergy 92</t>
  </si>
  <si>
    <t>Simergy 93</t>
  </si>
  <si>
    <t>Simergy 94</t>
  </si>
  <si>
    <t>Simergy 95</t>
  </si>
  <si>
    <t>Simergy 96</t>
  </si>
  <si>
    <t>Simergy 97</t>
  </si>
  <si>
    <t>Simergy 98</t>
  </si>
  <si>
    <t>Simergy 99</t>
  </si>
  <si>
    <t>Simergy 100</t>
  </si>
  <si>
    <t>K:\André\testes\NOVO\teste 20 pontos.eMe</t>
  </si>
  <si>
    <t>andre</t>
  </si>
  <si>
    <t>gasdhjasgjd</t>
  </si>
  <si>
    <t>dsad</t>
  </si>
  <si>
    <t>dsas</t>
  </si>
  <si>
    <t>fds</t>
  </si>
  <si>
    <t>gdfg</t>
  </si>
  <si>
    <t>Total</t>
  </si>
  <si>
    <t>Emergy indices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</si>
</sst>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%"/>
    <numFmt numFmtId="166" formatCode="0.0E+00"/>
    <numFmt numFmtId="167" formatCode="#,##0.0"/>
    <numFmt numFmtId="168" formatCode="0.000"/>
  </numFmts>
  <fonts count="24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b/>
      <sz val="9"/>
      <color theme="1"/>
      <name val="Times New Roman"/>
      <family val="1"/>
    </font>
    <font>
      <b/>
      <sz val="9"/>
      <name val="Times New Roman"/>
      <family val="1"/>
    </font>
    <font>
      <sz val="9"/>
      <name val="Times New Roman"/>
      <family val="1"/>
    </font>
    <font>
      <b/>
      <sz val="9"/>
      <name val="Comic Sans MS"/>
      <family val="4"/>
    </font>
    <font>
      <sz val="9"/>
      <color theme="1"/>
      <name val="Times New Roman"/>
      <family val="1"/>
    </font>
    <font>
      <u/>
      <sz val="8"/>
      <name val="Comic Sans MS"/>
      <family val="4"/>
    </font>
    <font>
      <u/>
      <sz val="10"/>
      <name val="Arial"/>
      <family val="2"/>
    </font>
    <font>
      <u/>
      <sz val="10"/>
      <color theme="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  <fill>
      <patternFill patternType="solid">
        <fgColor theme="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32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0" fillId="0" borderId="0" xfId="0" applyAlignment="1">
      <alignment wrapText="1"/>
    </xf>
    <xf numFmtId="11" fontId="2" fillId="0" borderId="0" xfId="0" applyNumberFormat="1" applyFont="1"/>
    <xf numFmtId="0" fontId="4" fillId="4" borderId="3" xfId="0" applyFont="1" applyFill="1" applyBorder="1"/>
    <xf numFmtId="0" fontId="4" fillId="4" borderId="4" xfId="0" applyFont="1" applyFill="1" applyBorder="1"/>
    <xf numFmtId="0" fontId="5" fillId="2" borderId="8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7" borderId="5" xfId="0" applyFont="1" applyFill="1" applyBorder="1"/>
    <xf numFmtId="0" fontId="7" fillId="3" borderId="2" xfId="0" applyFont="1" applyFill="1" applyBorder="1" applyAlignment="1">
      <alignment horizontal="center"/>
    </xf>
    <xf numFmtId="11" fontId="4" fillId="0" borderId="0" xfId="0" applyNumberFormat="1" applyFont="1"/>
    <xf numFmtId="0" fontId="4" fillId="7" borderId="5" xfId="0" applyFont="1" applyFill="1" applyBorder="1" applyAlignment="1">
      <alignment horizontal="center"/>
    </xf>
    <xf numFmtId="11" fontId="8" fillId="4" borderId="9" xfId="0" applyNumberFormat="1" applyFont="1" applyFill="1" applyBorder="1" applyAlignment="1">
      <alignment horizontal="center"/>
    </xf>
    <xf numFmtId="166" fontId="4" fillId="0" borderId="0" xfId="0" applyNumberFormat="1" applyFont="1"/>
    <xf numFmtId="0" fontId="4" fillId="7" borderId="1" xfId="0" applyFont="1" applyFill="1" applyBorder="1" applyAlignment="1">
      <alignment horizontal="center"/>
    </xf>
    <xf numFmtId="11" fontId="8" fillId="4" borderId="2" xfId="0" applyNumberFormat="1" applyFont="1" applyFill="1" applyBorder="1" applyAlignment="1">
      <alignment horizontal="center"/>
    </xf>
    <xf numFmtId="11" fontId="4" fillId="7" borderId="2" xfId="0" applyNumberFormat="1" applyFont="1" applyFill="1" applyBorder="1" applyAlignment="1">
      <alignment horizontal="center"/>
    </xf>
    <xf numFmtId="11" fontId="4" fillId="7" borderId="6" xfId="0" applyNumberFormat="1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2" fontId="9" fillId="4" borderId="1" xfId="0" applyNumberFormat="1" applyFont="1" applyFill="1" applyBorder="1" applyAlignment="1">
      <alignment horizontal="center"/>
    </xf>
    <xf numFmtId="2" fontId="9" fillId="4" borderId="2" xfId="0" applyNumberFormat="1" applyFont="1" applyFill="1" applyBorder="1" applyAlignment="1">
      <alignment horizontal="center"/>
    </xf>
    <xf numFmtId="9" fontId="9" fillId="4" borderId="1" xfId="2" applyFont="1" applyFill="1" applyBorder="1" applyAlignment="1">
      <alignment horizontal="center"/>
    </xf>
    <xf numFmtId="2" fontId="5" fillId="2" borderId="5" xfId="0" applyNumberFormat="1" applyFont="1" applyFill="1" applyBorder="1" applyAlignment="1">
      <alignment horizontal="center"/>
    </xf>
    <xf numFmtId="2" fontId="5" fillId="2" borderId="9" xfId="0" applyNumberFormat="1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17" xfId="0" applyFont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2" fontId="5" fillId="2" borderId="2" xfId="0" applyNumberFormat="1" applyFont="1" applyFill="1" applyBorder="1" applyAlignment="1">
      <alignment horizontal="center"/>
    </xf>
    <xf numFmtId="0" fontId="4" fillId="0" borderId="4" xfId="0" applyFont="1" applyBorder="1"/>
    <xf numFmtId="2" fontId="4" fillId="0" borderId="0" xfId="0" applyNumberFormat="1" applyFont="1"/>
    <xf numFmtId="0" fontId="4" fillId="2" borderId="8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/>
    </xf>
    <xf numFmtId="2" fontId="4" fillId="2" borderId="9" xfId="0" applyNumberFormat="1" applyFont="1" applyFill="1" applyBorder="1" applyAlignment="1">
      <alignment horizontal="center"/>
    </xf>
    <xf numFmtId="2" fontId="4" fillId="5" borderId="10" xfId="0" applyNumberFormat="1" applyFont="1" applyFill="1" applyBorder="1"/>
    <xf numFmtId="2" fontId="4" fillId="5" borderId="11" xfId="0" applyNumberFormat="1" applyFont="1" applyFill="1" applyBorder="1"/>
    <xf numFmtId="2" fontId="4" fillId="5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2" fontId="8" fillId="4" borderId="12" xfId="0" applyNumberFormat="1" applyFont="1" applyFill="1" applyBorder="1" applyAlignment="1">
      <alignment horizontal="center"/>
    </xf>
    <xf numFmtId="2" fontId="8" fillId="4" borderId="13" xfId="0" applyNumberFormat="1" applyFont="1" applyFill="1" applyBorder="1" applyAlignment="1">
      <alignment horizontal="center"/>
    </xf>
    <xf numFmtId="2" fontId="10" fillId="4" borderId="13" xfId="0" applyNumberFormat="1" applyFont="1" applyFill="1" applyBorder="1" applyAlignment="1">
      <alignment horizontal="center"/>
    </xf>
    <xf numFmtId="2" fontId="11" fillId="4" borderId="13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2" fontId="8" fillId="4" borderId="5" xfId="0" applyNumberFormat="1" applyFont="1" applyFill="1" applyBorder="1" applyAlignment="1">
      <alignment horizontal="center"/>
    </xf>
    <xf numFmtId="2" fontId="8" fillId="4" borderId="9" xfId="0" applyNumberFormat="1" applyFont="1" applyFill="1" applyBorder="1" applyAlignment="1">
      <alignment horizontal="center"/>
    </xf>
    <xf numFmtId="2" fontId="10" fillId="4" borderId="9" xfId="0" applyNumberFormat="1" applyFont="1" applyFill="1" applyBorder="1" applyAlignment="1">
      <alignment horizontal="center"/>
    </xf>
    <xf numFmtId="2" fontId="11" fillId="4" borderId="9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2" fontId="8" fillId="4" borderId="2" xfId="0" applyNumberFormat="1" applyFont="1" applyFill="1" applyBorder="1" applyAlignment="1">
      <alignment horizontal="center"/>
    </xf>
    <xf numFmtId="2" fontId="10" fillId="4" borderId="2" xfId="0" applyNumberFormat="1" applyFont="1" applyFill="1" applyBorder="1" applyAlignment="1">
      <alignment horizontal="center"/>
    </xf>
    <xf numFmtId="2" fontId="11" fillId="4" borderId="2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2" fontId="4" fillId="9" borderId="12" xfId="0" applyNumberFormat="1" applyFont="1" applyFill="1" applyBorder="1" applyAlignment="1">
      <alignment horizontal="center"/>
    </xf>
    <xf numFmtId="2" fontId="4" fillId="9" borderId="9" xfId="0" applyNumberFormat="1" applyFont="1" applyFill="1" applyBorder="1" applyAlignment="1">
      <alignment horizontal="center"/>
    </xf>
    <xf numFmtId="2" fontId="4" fillId="0" borderId="10" xfId="0" applyNumberFormat="1" applyFont="1" applyBorder="1"/>
    <xf numFmtId="2" fontId="4" fillId="6" borderId="3" xfId="0" applyNumberFormat="1" applyFont="1" applyFill="1" applyBorder="1"/>
    <xf numFmtId="2" fontId="4" fillId="0" borderId="13" xfId="0" applyNumberFormat="1" applyFont="1" applyBorder="1"/>
    <xf numFmtId="0" fontId="4" fillId="9" borderId="8" xfId="0" applyFont="1" applyFill="1" applyBorder="1" applyAlignment="1">
      <alignment horizontal="center"/>
    </xf>
    <xf numFmtId="2" fontId="4" fillId="9" borderId="1" xfId="0" applyNumberFormat="1" applyFont="1" applyFill="1" applyBorder="1" applyAlignment="1">
      <alignment horizontal="center"/>
    </xf>
    <xf numFmtId="2" fontId="4" fillId="0" borderId="7" xfId="0" applyNumberFormat="1" applyFont="1" applyBorder="1"/>
    <xf numFmtId="2" fontId="4" fillId="6" borderId="4" xfId="0" applyNumberFormat="1" applyFont="1" applyFill="1" applyBorder="1"/>
    <xf numFmtId="2" fontId="4" fillId="0" borderId="2" xfId="0" applyNumberFormat="1" applyFont="1" applyBorder="1"/>
    <xf numFmtId="2" fontId="4" fillId="2" borderId="14" xfId="0" applyNumberFormat="1" applyFont="1" applyFill="1" applyBorder="1"/>
    <xf numFmtId="0" fontId="4" fillId="2" borderId="14" xfId="0" applyFont="1" applyFill="1" applyBorder="1"/>
    <xf numFmtId="0" fontId="4" fillId="2" borderId="6" xfId="0" applyFont="1" applyFill="1" applyBorder="1"/>
    <xf numFmtId="0" fontId="4" fillId="2" borderId="8" xfId="0" applyFont="1" applyFill="1" applyBorder="1"/>
    <xf numFmtId="0" fontId="7" fillId="2" borderId="0" xfId="0" applyFont="1" applyFill="1" applyAlignment="1">
      <alignment horizontal="center"/>
    </xf>
    <xf numFmtId="0" fontId="4" fillId="2" borderId="9" xfId="0" applyFont="1" applyFill="1" applyBorder="1"/>
    <xf numFmtId="165" fontId="13" fillId="4" borderId="2" xfId="2" applyNumberFormat="1" applyFont="1" applyFill="1" applyBorder="1" applyAlignment="1">
      <alignment horizontal="center"/>
    </xf>
    <xf numFmtId="0" fontId="8" fillId="4" borderId="15" xfId="0" applyFont="1" applyFill="1" applyBorder="1"/>
    <xf numFmtId="0" fontId="8" fillId="4" borderId="14" xfId="0" applyFont="1" applyFill="1" applyBorder="1"/>
    <xf numFmtId="0" fontId="8" fillId="4" borderId="16" xfId="0" applyFont="1" applyFill="1" applyBorder="1"/>
    <xf numFmtId="0" fontId="5" fillId="2" borderId="7" xfId="0" applyFont="1" applyFill="1" applyBorder="1" applyAlignment="1">
      <alignment horizontal="left"/>
    </xf>
    <xf numFmtId="0" fontId="7" fillId="2" borderId="4" xfId="0" applyFont="1" applyFill="1" applyBorder="1" applyAlignment="1">
      <alignment horizontal="center"/>
    </xf>
    <xf numFmtId="0" fontId="4" fillId="2" borderId="2" xfId="0" applyFont="1" applyFill="1" applyBorder="1"/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13" fillId="0" borderId="0" xfId="2" applyNumberFormat="1" applyFont="1" applyBorder="1" applyAlignment="1">
      <alignment horizontal="center"/>
    </xf>
    <xf numFmtId="0" fontId="8" fillId="0" borderId="0" xfId="0" applyFont="1"/>
    <xf numFmtId="0" fontId="5" fillId="9" borderId="10" xfId="0" applyFont="1" applyFill="1" applyBorder="1" applyAlignment="1">
      <alignment horizontal="left"/>
    </xf>
    <xf numFmtId="0" fontId="5" fillId="9" borderId="3" xfId="0" applyFont="1" applyFill="1" applyBorder="1" applyAlignment="1">
      <alignment horizontal="left"/>
    </xf>
    <xf numFmtId="0" fontId="4" fillId="9" borderId="3" xfId="0" applyFont="1" applyFill="1" applyBorder="1"/>
    <xf numFmtId="0" fontId="4" fillId="9" borderId="3" xfId="0" applyFont="1" applyFill="1" applyBorder="1" applyAlignment="1">
      <alignment horizontal="center"/>
    </xf>
    <xf numFmtId="0" fontId="4" fillId="0" borderId="3" xfId="0" applyFont="1" applyBorder="1"/>
    <xf numFmtId="0" fontId="4" fillId="0" borderId="13" xfId="0" applyFont="1" applyBorder="1"/>
    <xf numFmtId="0" fontId="4" fillId="9" borderId="8" xfId="0" applyFont="1" applyFill="1" applyBorder="1"/>
    <xf numFmtId="0" fontId="4" fillId="9" borderId="0" xfId="0" applyFont="1" applyFill="1"/>
    <xf numFmtId="2" fontId="4" fillId="9" borderId="0" xfId="0" applyNumberFormat="1" applyFont="1" applyFill="1"/>
    <xf numFmtId="2" fontId="4" fillId="9" borderId="0" xfId="0" applyNumberFormat="1" applyFont="1" applyFill="1" applyAlignment="1">
      <alignment horizontal="center"/>
    </xf>
    <xf numFmtId="2" fontId="4" fillId="4" borderId="0" xfId="0" applyNumberFormat="1" applyFont="1" applyFill="1"/>
    <xf numFmtId="2" fontId="4" fillId="0" borderId="9" xfId="0" applyNumberFormat="1" applyFont="1" applyBorder="1"/>
    <xf numFmtId="0" fontId="4" fillId="9" borderId="7" xfId="0" applyFont="1" applyFill="1" applyBorder="1"/>
    <xf numFmtId="0" fontId="4" fillId="9" borderId="4" xfId="0" applyFont="1" applyFill="1" applyBorder="1"/>
    <xf numFmtId="2" fontId="4" fillId="9" borderId="4" xfId="0" applyNumberFormat="1" applyFont="1" applyFill="1" applyBorder="1"/>
    <xf numFmtId="2" fontId="4" fillId="9" borderId="4" xfId="0" applyNumberFormat="1" applyFont="1" applyFill="1" applyBorder="1" applyAlignment="1">
      <alignment horizontal="center"/>
    </xf>
    <xf numFmtId="0" fontId="4" fillId="0" borderId="2" xfId="0" applyFont="1" applyBorder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165" fontId="13" fillId="0" borderId="3" xfId="2" applyNumberFormat="1" applyFont="1" applyBorder="1" applyAlignment="1">
      <alignment horizontal="center"/>
    </xf>
    <xf numFmtId="0" fontId="8" fillId="0" borderId="3" xfId="0" applyFont="1" applyBorder="1"/>
    <xf numFmtId="2" fontId="4" fillId="9" borderId="3" xfId="0" applyNumberFormat="1" applyFont="1" applyFill="1" applyBorder="1" applyAlignment="1">
      <alignment horizontal="center"/>
    </xf>
    <xf numFmtId="2" fontId="4" fillId="9" borderId="13" xfId="0" applyNumberFormat="1" applyFont="1" applyFill="1" applyBorder="1" applyAlignment="1">
      <alignment horizontal="center"/>
    </xf>
    <xf numFmtId="0" fontId="4" fillId="0" borderId="8" xfId="0" applyFont="1" applyBorder="1"/>
    <xf numFmtId="0" fontId="4" fillId="9" borderId="0" xfId="0" applyFont="1" applyFill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4" fillId="0" borderId="7" xfId="0" applyFont="1" applyBorder="1"/>
    <xf numFmtId="0" fontId="4" fillId="0" borderId="4" xfId="0" applyFont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168" fontId="4" fillId="0" borderId="0" xfId="0" applyNumberFormat="1" applyFont="1"/>
    <xf numFmtId="0" fontId="5" fillId="0" borderId="10" xfId="0" applyFont="1" applyBorder="1"/>
    <xf numFmtId="0" fontId="5" fillId="0" borderId="3" xfId="0" applyFont="1" applyBorder="1"/>
    <xf numFmtId="0" fontId="4" fillId="0" borderId="3" xfId="0" applyFont="1" applyBorder="1" applyAlignment="1">
      <alignment horizontal="center"/>
    </xf>
    <xf numFmtId="9" fontId="4" fillId="9" borderId="3" xfId="0" applyNumberFormat="1" applyFont="1" applyFill="1" applyBorder="1"/>
    <xf numFmtId="9" fontId="4" fillId="9" borderId="0" xfId="0" applyNumberFormat="1" applyFont="1" applyFill="1"/>
    <xf numFmtId="9" fontId="4" fillId="9" borderId="4" xfId="0" applyNumberFormat="1" applyFont="1" applyFill="1" applyBorder="1"/>
    <xf numFmtId="0" fontId="4" fillId="9" borderId="13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2" fontId="4" fillId="8" borderId="9" xfId="0" applyNumberFormat="1" applyFont="1" applyFill="1" applyBorder="1" applyAlignment="1">
      <alignment horizontal="center"/>
    </xf>
    <xf numFmtId="164" fontId="4" fillId="9" borderId="2" xfId="0" applyNumberFormat="1" applyFont="1" applyFill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13" fillId="0" borderId="4" xfId="2" applyNumberFormat="1" applyFont="1" applyBorder="1" applyAlignment="1">
      <alignment horizontal="center"/>
    </xf>
    <xf numFmtId="0" fontId="13" fillId="0" borderId="0" xfId="0" applyFont="1"/>
    <xf numFmtId="168" fontId="4" fillId="4" borderId="0" xfId="0" applyNumberFormat="1" applyFont="1" applyFill="1"/>
    <xf numFmtId="2" fontId="4" fillId="0" borderId="3" xfId="0" applyNumberFormat="1" applyFont="1" applyBorder="1"/>
    <xf numFmtId="0" fontId="4" fillId="2" borderId="9" xfId="0" applyFont="1" applyFill="1" applyBorder="1" applyAlignment="1">
      <alignment horizontal="center"/>
    </xf>
    <xf numFmtId="2" fontId="4" fillId="0" borderId="9" xfId="0" applyNumberFormat="1" applyFont="1" applyBorder="1" applyAlignment="1">
      <alignment horizontal="center"/>
    </xf>
    <xf numFmtId="2" fontId="4" fillId="2" borderId="7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0" fontId="4" fillId="0" borderId="9" xfId="0" applyFont="1" applyBorder="1"/>
    <xf numFmtId="2" fontId="4" fillId="8" borderId="8" xfId="0" applyNumberFormat="1" applyFont="1" applyFill="1" applyBorder="1" applyAlignment="1">
      <alignment horizontal="center"/>
    </xf>
    <xf numFmtId="2" fontId="4" fillId="8" borderId="7" xfId="0" applyNumberFormat="1" applyFont="1" applyFill="1" applyBorder="1" applyAlignment="1">
      <alignment horizontal="center"/>
    </xf>
    <xf numFmtId="2" fontId="4" fillId="8" borderId="2" xfId="0" applyNumberFormat="1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5" borderId="10" xfId="0" applyFont="1" applyFill="1" applyBorder="1"/>
    <xf numFmtId="0" fontId="4" fillId="5" borderId="3" xfId="0" applyFont="1" applyFill="1" applyBorder="1"/>
    <xf numFmtId="2" fontId="4" fillId="5" borderId="3" xfId="0" applyNumberFormat="1" applyFont="1" applyFill="1" applyBorder="1"/>
    <xf numFmtId="2" fontId="4" fillId="5" borderId="13" xfId="0" applyNumberFormat="1" applyFont="1" applyFill="1" applyBorder="1"/>
    <xf numFmtId="0" fontId="4" fillId="0" borderId="10" xfId="0" applyFont="1" applyBorder="1"/>
    <xf numFmtId="0" fontId="4" fillId="5" borderId="8" xfId="0" applyFont="1" applyFill="1" applyBorder="1"/>
    <xf numFmtId="0" fontId="4" fillId="5" borderId="0" xfId="0" applyFont="1" applyFill="1"/>
    <xf numFmtId="2" fontId="4" fillId="5" borderId="0" xfId="0" applyNumberFormat="1" applyFont="1" applyFill="1"/>
    <xf numFmtId="2" fontId="4" fillId="5" borderId="9" xfId="0" applyNumberFormat="1" applyFont="1" applyFill="1" applyBorder="1"/>
    <xf numFmtId="0" fontId="4" fillId="5" borderId="7" xfId="0" applyFont="1" applyFill="1" applyBorder="1"/>
    <xf numFmtId="0" fontId="4" fillId="5" borderId="4" xfId="0" applyFont="1" applyFill="1" applyBorder="1"/>
    <xf numFmtId="2" fontId="4" fillId="5" borderId="4" xfId="0" applyNumberFormat="1" applyFont="1" applyFill="1" applyBorder="1"/>
    <xf numFmtId="2" fontId="4" fillId="5" borderId="2" xfId="0" applyNumberFormat="1" applyFont="1" applyFill="1" applyBorder="1"/>
    <xf numFmtId="2" fontId="4" fillId="0" borderId="4" xfId="0" applyNumberFormat="1" applyFont="1" applyBorder="1"/>
    <xf numFmtId="9" fontId="4" fillId="5" borderId="3" xfId="2" applyFont="1" applyFill="1" applyBorder="1"/>
    <xf numFmtId="0" fontId="4" fillId="5" borderId="13" xfId="0" applyFont="1" applyFill="1" applyBorder="1"/>
    <xf numFmtId="9" fontId="4" fillId="0" borderId="0" xfId="2" applyFont="1"/>
    <xf numFmtId="0" fontId="4" fillId="5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/>
    <xf numFmtId="9" fontId="4" fillId="5" borderId="4" xfId="2" applyFont="1" applyFill="1" applyBorder="1"/>
    <xf numFmtId="9" fontId="4" fillId="5" borderId="2" xfId="2" applyFont="1" applyFill="1" applyBorder="1"/>
    <xf numFmtId="0" fontId="4" fillId="5" borderId="7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9" fontId="4" fillId="0" borderId="0" xfId="2" applyFont="1" applyBorder="1"/>
    <xf numFmtId="9" fontId="4" fillId="0" borderId="0" xfId="0" applyNumberFormat="1" applyFont="1"/>
    <xf numFmtId="168" fontId="4" fillId="0" borderId="4" xfId="0" applyNumberFormat="1" applyFont="1" applyBorder="1"/>
    <xf numFmtId="0" fontId="16" fillId="10" borderId="1" xfId="0" applyFont="1" applyFill="1" applyBorder="1" applyProtection="1">
      <protection locked="0"/>
    </xf>
    <xf numFmtId="0" fontId="16" fillId="11" borderId="17" xfId="0" applyFont="1" applyFill="1" applyBorder="1"/>
    <xf numFmtId="0" fontId="17" fillId="10" borderId="18" xfId="0" applyFont="1" applyFill="1" applyBorder="1" applyAlignment="1">
      <alignment horizontal="center"/>
    </xf>
    <xf numFmtId="0" fontId="17" fillId="11" borderId="19" xfId="0" applyFont="1" applyFill="1" applyBorder="1"/>
    <xf numFmtId="0" fontId="17" fillId="10" borderId="7" xfId="0" applyFont="1" applyFill="1" applyBorder="1" applyAlignment="1">
      <alignment horizontal="center"/>
    </xf>
    <xf numFmtId="0" fontId="18" fillId="12" borderId="2" xfId="0" applyFont="1" applyFill="1" applyBorder="1" applyAlignment="1">
      <alignment horizontal="center"/>
    </xf>
    <xf numFmtId="11" fontId="18" fillId="10" borderId="2" xfId="0" applyNumberFormat="1" applyFont="1" applyFill="1" applyBorder="1" applyProtection="1">
      <protection locked="0"/>
    </xf>
    <xf numFmtId="0" fontId="17" fillId="10" borderId="15" xfId="0" applyFont="1" applyFill="1" applyBorder="1" applyAlignment="1">
      <alignment horizontal="center"/>
    </xf>
    <xf numFmtId="0" fontId="17" fillId="10" borderId="7" xfId="0" applyFont="1" applyFill="1" applyBorder="1" applyAlignment="1" applyProtection="1">
      <alignment horizontal="center"/>
      <protection locked="0"/>
    </xf>
    <xf numFmtId="0" fontId="19" fillId="10" borderId="15" xfId="0" applyFont="1" applyFill="1" applyBorder="1" applyAlignment="1">
      <alignment horizontal="center"/>
    </xf>
    <xf numFmtId="0" fontId="17" fillId="0" borderId="4" xfId="0" applyFont="1" applyBorder="1" applyAlignment="1">
      <alignment horizontal="center"/>
    </xf>
    <xf numFmtId="0" fontId="17" fillId="0" borderId="4" xfId="0" applyFont="1" applyBorder="1"/>
    <xf numFmtId="0" fontId="18" fillId="0" borderId="0" xfId="0" applyFont="1"/>
    <xf numFmtId="0" fontId="18" fillId="0" borderId="0" xfId="0" applyFont="1" applyAlignment="1">
      <alignment horizontal="center"/>
    </xf>
    <xf numFmtId="0" fontId="8" fillId="0" borderId="0" xfId="0" applyFont="1" applyAlignment="1">
      <alignment wrapText="1"/>
    </xf>
    <xf numFmtId="0" fontId="5" fillId="2" borderId="16" xfId="0" applyFont="1" applyFill="1" applyBorder="1"/>
    <xf numFmtId="0" fontId="5" fillId="2" borderId="15" xfId="0" applyFont="1" applyFill="1" applyBorder="1"/>
    <xf numFmtId="0" fontId="5" fillId="2" borderId="0" xfId="0" applyFont="1" applyFill="1"/>
    <xf numFmtId="0" fontId="5" fillId="0" borderId="0" xfId="0" applyFont="1" applyAlignment="1">
      <alignment horizontal="left"/>
    </xf>
    <xf numFmtId="165" fontId="13" fillId="0" borderId="0" xfId="2" applyNumberFormat="1" applyFont="1" applyFill="1" applyBorder="1" applyAlignment="1">
      <alignment horizontal="center"/>
    </xf>
    <xf numFmtId="11" fontId="18" fillId="0" borderId="0" xfId="0" applyNumberFormat="1" applyFont="1"/>
    <xf numFmtId="0" fontId="20" fillId="0" borderId="0" xfId="0" applyFont="1"/>
    <xf numFmtId="0" fontId="20" fillId="0" borderId="0" xfId="0" applyFont="1" applyProtection="1">
      <protection locked="0"/>
    </xf>
    <xf numFmtId="0" fontId="21" fillId="0" borderId="0" xfId="0" applyFont="1"/>
    <xf numFmtId="0" fontId="19" fillId="0" borderId="0" xfId="0" applyFont="1" applyAlignment="1">
      <alignment horizontal="center"/>
    </xf>
    <xf numFmtId="0" fontId="16" fillId="0" borderId="0" xfId="0" applyFont="1" applyProtection="1">
      <protection locked="0"/>
    </xf>
    <xf numFmtId="11" fontId="18" fillId="0" borderId="0" xfId="0" applyNumberFormat="1" applyFont="1" applyProtection="1">
      <protection locked="0"/>
    </xf>
    <xf numFmtId="0" fontId="16" fillId="0" borderId="0" xfId="0" applyFont="1"/>
    <xf numFmtId="0" fontId="17" fillId="12" borderId="20" xfId="0" applyFont="1" applyFill="1" applyBorder="1" applyAlignment="1">
      <alignment horizontal="center" wrapText="1"/>
    </xf>
    <xf numFmtId="0" fontId="17" fillId="10" borderId="20" xfId="0" applyFont="1" applyFill="1" applyBorder="1" applyAlignment="1">
      <alignment horizontal="center" wrapText="1"/>
    </xf>
    <xf numFmtId="2" fontId="22" fillId="2" borderId="5" xfId="0" applyNumberFormat="1" applyFont="1" applyFill="1" applyBorder="1" applyAlignment="1">
      <alignment horizontal="center"/>
    </xf>
    <xf numFmtId="0" fontId="22" fillId="0" borderId="0" xfId="0" applyFont="1"/>
    <xf numFmtId="2" fontId="18" fillId="0" borderId="0" xfId="0" applyNumberFormat="1" applyFont="1"/>
    <xf numFmtId="10" fontId="17" fillId="0" borderId="4" xfId="0" applyNumberFormat="1" applyFont="1" applyBorder="1" applyAlignment="1">
      <alignment horizontal="center"/>
    </xf>
    <xf numFmtId="10" fontId="18" fillId="0" borderId="0" xfId="0" applyNumberFormat="1" applyFont="1"/>
    <xf numFmtId="0" fontId="18" fillId="0" borderId="4" xfId="0" applyFont="1" applyBorder="1"/>
    <xf numFmtId="0" fontId="14" fillId="13" borderId="0" xfId="0" applyFont="1" applyFill="1"/>
    <xf numFmtId="0" fontId="14" fillId="13" borderId="0" xfId="0" applyFont="1" applyFill="1" applyAlignment="1">
      <alignment horizontal="center"/>
    </xf>
    <xf numFmtId="0" fontId="15" fillId="13" borderId="0" xfId="0" applyFont="1" applyFill="1"/>
    <xf numFmtId="0" fontId="23" fillId="13" borderId="0" xfId="0" applyFont="1" applyFill="1"/>
    <xf numFmtId="0" fontId="14" fillId="13" borderId="0" xfId="0" applyFont="1" applyFill="1" applyAlignment="1">
      <alignment horizontal="right"/>
    </xf>
    <xf numFmtId="164" fontId="14" fillId="13" borderId="0" xfId="0" applyNumberFormat="1" applyFont="1" applyFill="1"/>
    <xf numFmtId="11" fontId="14" fillId="13" borderId="0" xfId="0" applyNumberFormat="1" applyFont="1" applyFill="1"/>
    <xf numFmtId="2" fontId="14" fillId="13" borderId="0" xfId="0" applyNumberFormat="1" applyFont="1" applyFill="1"/>
    <xf numFmtId="167" fontId="14" fillId="13" borderId="0" xfId="2" applyNumberFormat="1" applyFont="1" applyFill="1" applyBorder="1"/>
    <xf numFmtId="0" fontId="14" fillId="13" borderId="0" xfId="0" applyFont="1" applyFill="1" applyAlignment="1">
      <alignment horizontal="center" vertical="center"/>
    </xf>
    <xf numFmtId="11" fontId="15" fillId="13" borderId="0" xfId="0" applyNumberFormat="1" applyFont="1" applyFill="1" applyAlignment="1">
      <alignment horizontal="center"/>
    </xf>
    <xf numFmtId="11" fontId="15" fillId="13" borderId="0" xfId="0" applyNumberFormat="1" applyFont="1" applyFill="1"/>
    <xf numFmtId="2" fontId="15" fillId="13" borderId="0" xfId="0" applyNumberFormat="1" applyFont="1" applyFill="1" applyAlignment="1">
      <alignment horizontal="center"/>
    </xf>
    <xf numFmtId="0" fontId="15" fillId="13" borderId="0" xfId="0" applyFont="1" applyFill="1" applyAlignment="1">
      <alignment horizontal="center"/>
    </xf>
    <xf numFmtId="2" fontId="15" fillId="13" borderId="0" xfId="0" applyNumberFormat="1" applyFont="1" applyFill="1"/>
    <xf numFmtId="164" fontId="15" fillId="13" borderId="0" xfId="0" applyNumberFormat="1" applyFont="1" applyFill="1" applyAlignment="1">
      <alignment horizontal="center"/>
    </xf>
    <xf numFmtId="164" fontId="15" fillId="13" borderId="0" xfId="0" applyNumberFormat="1" applyFont="1" applyFill="1"/>
    <xf numFmtId="168" fontId="15" fillId="13" borderId="0" xfId="2" applyNumberFormat="1" applyFont="1" applyFill="1" applyBorder="1" applyAlignment="1">
      <alignment horizontal="center"/>
    </xf>
    <xf numFmtId="0" fontId="5" fillId="7" borderId="15" xfId="0" applyFont="1" applyFill="1" applyBorder="1" applyAlignment="1">
      <alignment horizontal="left"/>
    </xf>
    <xf numFmtId="0" fontId="5" fillId="7" borderId="14" xfId="0" applyFont="1" applyFill="1" applyBorder="1" applyAlignment="1">
      <alignment horizontal="left"/>
    </xf>
    <xf numFmtId="0" fontId="5" fillId="2" borderId="1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6" fillId="0" borderId="0" xfId="1" applyFont="1" applyBorder="1" applyAlignment="1" applyProtection="1">
      <alignment horizontal="center"/>
    </xf>
    <xf numFmtId="0" fontId="5" fillId="2" borderId="15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/>
    </xf>
    <xf numFmtId="2" fontId="17" fillId="0" borderId="4" xfId="0" applyNumberFormat="1" applyFont="1" applyBorder="1"/>
    <xf numFmtId="0" fontId="18" fillId="0" borderId="0" xfId="0" applyFont="1" applyAlignment="1">
      <alignment horizontal="right"/>
    </xf>
  </cellXfs>
  <cellStyles count="3">
    <cellStyle name="Hiperlink" xfId="1" builtinId="8"/>
    <cellStyle name="Normal" xfId="0" builtinId="0"/>
    <cellStyle name="Porcentagem" xfId="2" builtinId="5"/>
  </cellStyles>
  <dxfs count="36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369286356249939E-2"/>
          <c:y val="3.4883786949996498E-2"/>
          <c:w val="0.84329458636104848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Diagrama!$B$5</c:f>
              <c:strCache>
                <c:ptCount val="1"/>
                <c:pt idx="0">
                  <c:v> 1-gasdhjasgjd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Diagrama!$B$26</c:f>
              <c:numCache>
                <c:formatCode>0.00</c:formatCode>
                <c:ptCount val="1"/>
                <c:pt idx="0">
                  <c:v>0.10420468273178621</c:v>
                </c:pt>
              </c:numCache>
            </c:numRef>
          </c:xVal>
          <c:yVal>
            <c:numRef>
              <c:f>Diagrama!$B$27</c:f>
              <c:numCache>
                <c:formatCode>0.00</c:formatCode>
                <c:ptCount val="1"/>
                <c:pt idx="0">
                  <c:v>0.25365853658536586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4.2512452466391834E-2"/>
                  <c:y val="-6.6663133446477604E-2"/>
                </c:manualLayout>
              </c:layout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F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SI=1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SI=5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kern="0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kern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i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3.0831576519389128E-2"/>
                  <c:y val="0.8634708733283639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90334177946954186"/>
                  <c:y val="-6.72888277480892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Diagrama!$C$5</c:f>
              <c:strCache>
                <c:ptCount val="1"/>
                <c:pt idx="0">
                  <c:v> 2-dsad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Diagrama!$C$27</c:f>
              <c:numCache>
                <c:formatCode>0.00</c:formatCode>
                <c:ptCount val="1"/>
                <c:pt idx="0">
                  <c:v>0.52795031055900621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Diagrama!$D$5</c:f>
              <c:strCache>
                <c:ptCount val="1"/>
                <c:pt idx="0">
                  <c:v> 3-dsas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="0" baseline="0">
                        <a:latin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Diagrama!$D$26</c:f>
              <c:numCache>
                <c:formatCode>0.00</c:formatCode>
                <c:ptCount val="1"/>
                <c:pt idx="0">
                  <c:v>-0.51100996102273233</c:v>
                </c:pt>
              </c:numCache>
            </c:numRef>
          </c:xVal>
          <c:yVal>
            <c:numRef>
              <c:f>Diagrama!$D$27</c:f>
              <c:numCache>
                <c:formatCode>0.00</c:formatCode>
                <c:ptCount val="1"/>
                <c:pt idx="0">
                  <c:v>0.11261691676199448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Diagrama!$E$5</c:f>
              <c:strCache>
                <c:ptCount val="1"/>
                <c:pt idx="0">
                  <c:v> 4-fds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Diagrama!$E$26</c:f>
              <c:numCache>
                <c:formatCode>0.00</c:formatCode>
                <c:ptCount val="1"/>
                <c:pt idx="0">
                  <c:v>1.3931812817057109E-4</c:v>
                </c:pt>
              </c:numCache>
            </c:numRef>
          </c:xVal>
          <c:yVal>
            <c:numRef>
              <c:f>Diagrama!$E$27</c:f>
              <c:numCache>
                <c:formatCode>0.00</c:formatCode>
                <c:ptCount val="1"/>
                <c:pt idx="0">
                  <c:v>0.99776428466558031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Diagrama!$F$5</c:f>
              <c:strCache>
                <c:ptCount val="1"/>
                <c:pt idx="0">
                  <c:v> 5-gdfg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Diagrama!$F$27</c:f>
              <c:numCache>
                <c:formatCode>0.00</c:formatCode>
                <c:ptCount val="1"/>
                <c:pt idx="0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Diagrama!$G$5</c:f>
              <c:strCache>
                <c:ptCount val="1"/>
                <c:pt idx="0">
                  <c:v> 6-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Diagrama!$G$27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9"/>
              <c:layout>
                <c:manualLayout>
                  <c:x val="-4.8177854460817238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0"/>
              <c:layout>
                <c:manualLayout>
                  <c:x val="-2.7667256146187591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Diagrama!$O$79:$AI$79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Diagrama!$GL$34</c:f>
              <c:strCache>
                <c:ptCount val="1"/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Comic Sans MS"/>
                    <a:cs typeface="Comic Sans M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Diagrama!$GL$55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Diagrama!$GL$56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tx>
            <c:strRef>
              <c:f>Diagrama!$C$113</c:f>
              <c:strCache>
                <c:ptCount val="1"/>
                <c:pt idx="0">
                  <c:v>Simergy 1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(Diagrama!$E$113,Diagrama!$N$113)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(Diagrama!$E$114,Diagrama!$N$114)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tx>
            <c:strRef>
              <c:f>Diagrama!$C$116</c:f>
              <c:strCache>
                <c:ptCount val="1"/>
                <c:pt idx="0">
                  <c:v>Simergy 2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(Diagrama!$E$116,Diagrama!$N$116)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(Diagrama!$E$117,Diagrama!$N$117)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tx>
            <c:strRef>
              <c:f>Diagrama!$C$119</c:f>
              <c:strCache>
                <c:ptCount val="1"/>
                <c:pt idx="0">
                  <c:v>Simergy 3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(Diagrama!$E$119,Diagrama!$N$119)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(Diagrama!$E$120,Diagrama!$N$120)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tx>
            <c:strRef>
              <c:f>Diagrama!$C$122</c:f>
              <c:strCache>
                <c:ptCount val="1"/>
                <c:pt idx="0">
                  <c:v>Simergy 4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(Diagrama!$E$122,Diagrama!$N$122)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(Diagrama!$E$123,Diagrama!$N$123)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tx>
            <c:strRef>
              <c:f>Diagrama!$C$125</c:f>
              <c:strCache>
                <c:ptCount val="1"/>
                <c:pt idx="0">
                  <c:v>Simergy 5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(Diagrama!$E$125,Diagrama!$N$125)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(Diagrama!$E$126,Diagrama!$N$126)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tx>
            <c:strRef>
              <c:f>Diagrama!$C$128</c:f>
              <c:strCache>
                <c:ptCount val="1"/>
                <c:pt idx="0">
                  <c:v>Simergy 6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(Diagrama!$E$128,Diagrama!$N$128)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(Diagrama!$E$129,Diagrama!$N$129)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Diagrama!$H$5</c:f>
              <c:strCache>
                <c:ptCount val="1"/>
                <c:pt idx="0">
                  <c:v> 7-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Diagrama!$H$26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Diagrama!$H$27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Diagrama!$I$5</c:f>
              <c:strCache>
                <c:ptCount val="1"/>
                <c:pt idx="0">
                  <c:v> 8-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Diagrama!$I$26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Diagrama!$I$27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Diagrama!$J$5</c:f>
              <c:strCache>
                <c:ptCount val="1"/>
                <c:pt idx="0">
                  <c:v> 9-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Diagrama!$J$26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Diagrama!$J$27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Diagrama!$K$5</c:f>
              <c:strCache>
                <c:ptCount val="1"/>
                <c:pt idx="0">
                  <c:v> 10-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Diagrama!$K$26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Diagrama!$K$27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tx>
            <c:strRef>
              <c:f>Diagrama!$C$131</c:f>
              <c:strCache>
                <c:ptCount val="1"/>
                <c:pt idx="0">
                  <c:v>Simergy 7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(Diagrama!$E$131,Diagrama!$N$131)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(Diagrama!$E$132,Diagrama!$N$132)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tx>
            <c:strRef>
              <c:f>Diagrama!$C$134</c:f>
              <c:strCache>
                <c:ptCount val="1"/>
                <c:pt idx="0">
                  <c:v>Simergy 8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(Diagrama!$E$134,Diagrama!$N$134)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(Diagrama!$E$135,Diagrama!$N$135)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tx>
            <c:strRef>
              <c:f>Diagrama!$C$137</c:f>
              <c:strCache>
                <c:ptCount val="1"/>
                <c:pt idx="0">
                  <c:v>Simergy 9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(Diagrama!$E$137,Diagrama!$N$137)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(Diagrama!$E$138,Diagrama!$N$138)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tx>
            <c:strRef>
              <c:f>Diagrama!$C$140</c:f>
              <c:strCache>
                <c:ptCount val="1"/>
                <c:pt idx="0">
                  <c:v>Simergy 10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(Diagrama!$E$140,Diagrama!$N$140)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(Diagrama!$E$141,Diagrama!$N$141)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dPt>
            <c:idx val="1"/>
            <c:bubble3D val="0"/>
            <c:spPr>
              <a:ln w="25400">
                <a:solidFill>
                  <a:srgbClr val="000000"/>
                </a:solidFill>
                <a:prstDash val="lgDashDot"/>
              </a:ln>
            </c:spPr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Diagrama!$S$42:$U$42</c:f>
              <c:numCache>
                <c:formatCode>0.000</c:formatCode>
                <c:ptCount val="3"/>
                <c:pt idx="0">
                  <c:v>-0.35799999999999998</c:v>
                </c:pt>
              </c:numCache>
            </c:numRef>
          </c:xVal>
          <c:yVal>
            <c:numRef>
              <c:f>Diagrama!$S$43:$T$43</c:f>
              <c:numCache>
                <c:formatCode>0.00</c:formatCode>
                <c:ptCount val="2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 w="12700">
              <a:solidFill>
                <a:srgbClr val="FFFFFF"/>
              </a:solidFill>
              <a:prstDash val="lgDash"/>
            </a:ln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ser>
          <c:idx val="44"/>
          <c:order val="44"/>
          <c:tx>
            <c:strRef>
              <c:f>Diagrama!$L$25</c:f>
              <c:strCache>
                <c:ptCount val="1"/>
                <c:pt idx="0">
                  <c:v>11-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0"/>
            <c:marker>
              <c:symbol val="circle"/>
              <c:size val="8"/>
              <c:spPr>
                <a:solidFill>
                  <a:srgbClr val="64FF1E"/>
                </a:solidFill>
                <a:ln>
                  <a:solidFill>
                    <a:schemeClr val="tx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C-976A-483C-A942-96C3E782DD4F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C-976A-483C-A942-96C3E782DD4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Diagrama!$L$27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2AB-976A-483C-A942-96C3E782DD4F}"/>
            </c:ext>
          </c:extLst>
        </c:ser>
        <c:ser>
          <c:idx val="45"/>
          <c:order val="45"/>
          <c:tx>
            <c:strRef>
              <c:f>Diagrama!$M$25</c:f>
              <c:strCache>
                <c:ptCount val="1"/>
                <c:pt idx="0">
                  <c:v> 12-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Diagrama!$M$27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250-4AB7-85F0-9E4846E1EDB9}"/>
            </c:ext>
          </c:extLst>
        </c:ser>
        <c:ser>
          <c:idx val="46"/>
          <c:order val="46"/>
          <c:tx>
            <c:strRef>
              <c:f>Diagrama!$N$25</c:f>
              <c:strCache>
                <c:ptCount val="1"/>
                <c:pt idx="0">
                  <c:v> 13-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Diagrama!$N$26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Diagrama!$N$27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250-4AB7-85F0-9E4846E1EDB9}"/>
            </c:ext>
          </c:extLst>
        </c:ser>
        <c:ser>
          <c:idx val="47"/>
          <c:order val="47"/>
          <c:tx>
            <c:strRef>
              <c:f>Diagrama!$O$25</c:f>
              <c:strCache>
                <c:ptCount val="1"/>
                <c:pt idx="0">
                  <c:v> 14-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250-4AB7-85F0-9E4846E1EDB9}"/>
            </c:ext>
          </c:extLst>
        </c:ser>
        <c:ser>
          <c:idx val="48"/>
          <c:order val="48"/>
          <c:tx>
            <c:strRef>
              <c:f>Diagrama!$P$25</c:f>
              <c:strCache>
                <c:ptCount val="1"/>
                <c:pt idx="0">
                  <c:v> 15-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Diagrama!$P$27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250-4AB7-85F0-9E4846E1EDB9}"/>
            </c:ext>
          </c:extLst>
        </c:ser>
        <c:ser>
          <c:idx val="49"/>
          <c:order val="49"/>
          <c:tx>
            <c:strRef>
              <c:f>Diagrama!$Q$25</c:f>
              <c:strCache>
                <c:ptCount val="1"/>
                <c:pt idx="0">
                  <c:v> 16-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Diagrama!$Q$27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250-4AB7-85F0-9E4846E1EDB9}"/>
            </c:ext>
          </c:extLst>
        </c:ser>
        <c:ser>
          <c:idx val="50"/>
          <c:order val="50"/>
          <c:tx>
            <c:strRef>
              <c:f>Diagrama!$R$25</c:f>
              <c:strCache>
                <c:ptCount val="1"/>
                <c:pt idx="0">
                  <c:v> 17-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Diagrama!$R$27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250-4AB7-85F0-9E4846E1EDB9}"/>
            </c:ext>
          </c:extLst>
        </c:ser>
        <c:ser>
          <c:idx val="51"/>
          <c:order val="51"/>
          <c:tx>
            <c:strRef>
              <c:f>Diagrama!$S$25</c:f>
              <c:strCache>
                <c:ptCount val="1"/>
                <c:pt idx="0">
                  <c:v> 18-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Diagrama!$S$27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250-4AB7-85F0-9E4846E1EDB9}"/>
            </c:ext>
          </c:extLst>
        </c:ser>
        <c:ser>
          <c:idx val="52"/>
          <c:order val="52"/>
          <c:tx>
            <c:strRef>
              <c:f>Diagrama!$T$25</c:f>
              <c:strCache>
                <c:ptCount val="1"/>
                <c:pt idx="0">
                  <c:v> 19-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Diagrama!$T$27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250-4AB7-85F0-9E4846E1EDB9}"/>
            </c:ext>
          </c:extLst>
        </c:ser>
        <c:ser>
          <c:idx val="53"/>
          <c:order val="53"/>
          <c:tx>
            <c:strRef>
              <c:f>Diagrama!$U$25</c:f>
              <c:strCache>
                <c:ptCount val="1"/>
                <c:pt idx="0">
                  <c:v> 20-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Diagrama!$U$27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250-4AB7-85F0-9E4846E1EDB9}"/>
            </c:ext>
          </c:extLst>
        </c:ser>
        <c:ser>
          <c:idx val="54"/>
          <c:order val="54"/>
          <c:tx>
            <c:strRef>
              <c:f>Diagrama!$V$25</c:f>
              <c:strCache>
                <c:ptCount val="1"/>
                <c:pt idx="0">
                  <c:v> 21-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Diagrama!$V$27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250-4AB7-85F0-9E4846E1EDB9}"/>
            </c:ext>
          </c:extLst>
        </c:ser>
        <c:ser>
          <c:idx val="55"/>
          <c:order val="55"/>
          <c:tx>
            <c:strRef>
              <c:f>Diagrama!$W$25</c:f>
              <c:strCache>
                <c:ptCount val="1"/>
                <c:pt idx="0">
                  <c:v> 22-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Diagrama!$W$27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250-4AB7-85F0-9E4846E1EDB9}"/>
            </c:ext>
          </c:extLst>
        </c:ser>
        <c:ser>
          <c:idx val="56"/>
          <c:order val="56"/>
          <c:tx>
            <c:strRef>
              <c:f>Diagrama!$X$25</c:f>
              <c:strCache>
                <c:ptCount val="1"/>
                <c:pt idx="0">
                  <c:v> 23-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Diagrama!$X$27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250-4AB7-85F0-9E4846E1EDB9}"/>
            </c:ext>
          </c:extLst>
        </c:ser>
        <c:ser>
          <c:idx val="57"/>
          <c:order val="57"/>
          <c:tx>
            <c:strRef>
              <c:f>Diagrama!$Y$25</c:f>
              <c:strCache>
                <c:ptCount val="1"/>
                <c:pt idx="0">
                  <c:v> 24-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Diagrama!$Y$27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250-4AB7-85F0-9E4846E1EDB9}"/>
            </c:ext>
          </c:extLst>
        </c:ser>
        <c:ser>
          <c:idx val="58"/>
          <c:order val="58"/>
          <c:tx>
            <c:strRef>
              <c:f>Diagrama!$Z$25</c:f>
              <c:strCache>
                <c:ptCount val="1"/>
                <c:pt idx="0">
                  <c:v> 25-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Diagrama!$Z$26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Diagrama!$Z$27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E250-4AB7-85F0-9E4846E1EDB9}"/>
            </c:ext>
          </c:extLst>
        </c:ser>
        <c:ser>
          <c:idx val="59"/>
          <c:order val="59"/>
          <c:tx>
            <c:strRef>
              <c:f>Diagrama!$AA$25</c:f>
              <c:strCache>
                <c:ptCount val="1"/>
                <c:pt idx="0">
                  <c:v> 26-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Diagrama!$AA$26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Diagrama!$AA$27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E250-4AB7-85F0-9E4846E1EDB9}"/>
            </c:ext>
          </c:extLst>
        </c:ser>
        <c:ser>
          <c:idx val="60"/>
          <c:order val="60"/>
          <c:tx>
            <c:strRef>
              <c:f>Diagrama!$AB$25</c:f>
              <c:strCache>
                <c:ptCount val="1"/>
                <c:pt idx="0">
                  <c:v> 27-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Diagrama!$AB$26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Diagrama!$AB$27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E250-4AB7-85F0-9E4846E1EDB9}"/>
            </c:ext>
          </c:extLst>
        </c:ser>
        <c:ser>
          <c:idx val="61"/>
          <c:order val="61"/>
          <c:tx>
            <c:strRef>
              <c:f>Diagrama!$AC$25</c:f>
              <c:strCache>
                <c:ptCount val="1"/>
                <c:pt idx="0">
                  <c:v> 28-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Diagrama!$AC$26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Diagrama!$AC$27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E250-4AB7-85F0-9E4846E1EDB9}"/>
            </c:ext>
          </c:extLst>
        </c:ser>
        <c:ser>
          <c:idx val="62"/>
          <c:order val="62"/>
          <c:tx>
            <c:strRef>
              <c:f>Diagrama!$AD$25</c:f>
              <c:strCache>
                <c:ptCount val="1"/>
                <c:pt idx="0">
                  <c:v> 29-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Diagrama!$AD$26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Diagrama!$AD$27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E250-4AB7-85F0-9E4846E1EDB9}"/>
            </c:ext>
          </c:extLst>
        </c:ser>
        <c:ser>
          <c:idx val="63"/>
          <c:order val="63"/>
          <c:tx>
            <c:strRef>
              <c:f>Diagrama!$AE$25</c:f>
              <c:strCache>
                <c:ptCount val="1"/>
                <c:pt idx="0">
                  <c:v> 30-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Diagrama!$AE$26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Diagrama!$AE$27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E250-4AB7-85F0-9E4846E1EDB9}"/>
            </c:ext>
          </c:extLst>
        </c:ser>
        <c:ser>
          <c:idx val="64"/>
          <c:order val="64"/>
          <c:tx>
            <c:strRef>
              <c:f>Diagrama!$AF$25</c:f>
              <c:strCache>
                <c:ptCount val="1"/>
                <c:pt idx="0">
                  <c:v> 31-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Diagrama!$AF$26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Diagrama!$AF$27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E250-4AB7-85F0-9E4846E1EDB9}"/>
            </c:ext>
          </c:extLst>
        </c:ser>
        <c:ser>
          <c:idx val="65"/>
          <c:order val="65"/>
          <c:tx>
            <c:strRef>
              <c:f>Diagrama!$AG$25</c:f>
              <c:strCache>
                <c:ptCount val="1"/>
                <c:pt idx="0">
                  <c:v> 32-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Diagrama!$AG$26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Diagrama!$AG$27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E250-4AB7-85F0-9E4846E1EDB9}"/>
            </c:ext>
          </c:extLst>
        </c:ser>
        <c:ser>
          <c:idx val="66"/>
          <c:order val="66"/>
          <c:tx>
            <c:strRef>
              <c:f>Diagrama!$AH$25</c:f>
              <c:strCache>
                <c:ptCount val="1"/>
                <c:pt idx="0">
                  <c:v> 33-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Diagrama!$AH$26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Diagrama!$AH$27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E250-4AB7-85F0-9E4846E1EDB9}"/>
            </c:ext>
          </c:extLst>
        </c:ser>
        <c:ser>
          <c:idx val="67"/>
          <c:order val="67"/>
          <c:tx>
            <c:strRef>
              <c:f>Diagrama!$AI$25</c:f>
              <c:strCache>
                <c:ptCount val="1"/>
                <c:pt idx="0">
                  <c:v> 34-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Diagrama!$AI$26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Diagrama!$AI$27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E250-4AB7-85F0-9E4846E1EDB9}"/>
            </c:ext>
          </c:extLst>
        </c:ser>
        <c:ser>
          <c:idx val="68"/>
          <c:order val="68"/>
          <c:tx>
            <c:strRef>
              <c:f>Diagrama!$AJ$25</c:f>
              <c:strCache>
                <c:ptCount val="1"/>
                <c:pt idx="0">
                  <c:v> 35-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Diagrama!$AJ$26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Diagrama!$AJ$27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E250-4AB7-85F0-9E4846E1EDB9}"/>
            </c:ext>
          </c:extLst>
        </c:ser>
        <c:ser>
          <c:idx val="69"/>
          <c:order val="69"/>
          <c:tx>
            <c:strRef>
              <c:f>Diagrama!$AK$25</c:f>
              <c:strCache>
                <c:ptCount val="1"/>
                <c:pt idx="0">
                  <c:v> 36-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Diagrama!$AK$26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Diagrama!$AK$27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E250-4AB7-85F0-9E4846E1EDB9}"/>
            </c:ext>
          </c:extLst>
        </c:ser>
        <c:ser>
          <c:idx val="70"/>
          <c:order val="70"/>
          <c:tx>
            <c:strRef>
              <c:f>Diagrama!$AL$25</c:f>
              <c:strCache>
                <c:ptCount val="1"/>
                <c:pt idx="0">
                  <c:v> 37-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Diagrama!$AL$26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Diagrama!$AL$27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E250-4AB7-85F0-9E4846E1EDB9}"/>
            </c:ext>
          </c:extLst>
        </c:ser>
        <c:ser>
          <c:idx val="71"/>
          <c:order val="71"/>
          <c:tx>
            <c:strRef>
              <c:f>Diagrama!$AM$25</c:f>
              <c:strCache>
                <c:ptCount val="1"/>
                <c:pt idx="0">
                  <c:v> 38-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Diagrama!$AM$26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Diagrama!$AM$27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E250-4AB7-85F0-9E4846E1EDB9}"/>
            </c:ext>
          </c:extLst>
        </c:ser>
        <c:ser>
          <c:idx val="72"/>
          <c:order val="72"/>
          <c:tx>
            <c:strRef>
              <c:f>Diagrama!$AN$25</c:f>
              <c:strCache>
                <c:ptCount val="1"/>
                <c:pt idx="0">
                  <c:v> 39-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Diagrama!$AN$26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Diagrama!$AN$27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E250-4AB7-85F0-9E4846E1EDB9}"/>
            </c:ext>
          </c:extLst>
        </c:ser>
        <c:ser>
          <c:idx val="73"/>
          <c:order val="73"/>
          <c:tx>
            <c:strRef>
              <c:f>Diagrama!$AO$25</c:f>
              <c:strCache>
                <c:ptCount val="1"/>
                <c:pt idx="0">
                  <c:v> 40-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Diagrama!$AO$26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Diagrama!$AO$27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E250-4AB7-85F0-9E4846E1EDB9}"/>
            </c:ext>
          </c:extLst>
        </c:ser>
        <c:ser>
          <c:idx val="74"/>
          <c:order val="74"/>
          <c:tx>
            <c:strRef>
              <c:f>Diagrama!$AP$25</c:f>
              <c:strCache>
                <c:ptCount val="1"/>
                <c:pt idx="0">
                  <c:v> 41-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Diagrama!$AP$26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Diagrama!$AP$27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E250-4AB7-85F0-9E4846E1EDB9}"/>
            </c:ext>
          </c:extLst>
        </c:ser>
        <c:ser>
          <c:idx val="75"/>
          <c:order val="75"/>
          <c:tx>
            <c:strRef>
              <c:f>Diagrama!$AQ$25</c:f>
              <c:strCache>
                <c:ptCount val="1"/>
                <c:pt idx="0">
                  <c:v> 42-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Diagrama!$AQ$26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Diagrama!$AQ$27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E250-4AB7-85F0-9E4846E1EDB9}"/>
            </c:ext>
          </c:extLst>
        </c:ser>
        <c:ser>
          <c:idx val="76"/>
          <c:order val="76"/>
          <c:tx>
            <c:strRef>
              <c:f>Diagrama!$AR$25</c:f>
              <c:strCache>
                <c:ptCount val="1"/>
                <c:pt idx="0">
                  <c:v> 43-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Diagrama!$AR$26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Diagrama!$AR$27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E250-4AB7-85F0-9E4846E1EDB9}"/>
            </c:ext>
          </c:extLst>
        </c:ser>
        <c:ser>
          <c:idx val="77"/>
          <c:order val="77"/>
          <c:tx>
            <c:strRef>
              <c:f>Diagrama!$AS$25</c:f>
              <c:strCache>
                <c:ptCount val="1"/>
                <c:pt idx="0">
                  <c:v> 44-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Diagrama!$AS$26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Diagrama!$AS$27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E250-4AB7-85F0-9E4846E1EDB9}"/>
            </c:ext>
          </c:extLst>
        </c:ser>
        <c:ser>
          <c:idx val="78"/>
          <c:order val="78"/>
          <c:tx>
            <c:strRef>
              <c:f>Diagrama!$AT$25</c:f>
              <c:strCache>
                <c:ptCount val="1"/>
                <c:pt idx="0">
                  <c:v> 45-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Diagrama!$AT$26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Diagrama!$AT$27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E250-4AB7-85F0-9E4846E1EDB9}"/>
            </c:ext>
          </c:extLst>
        </c:ser>
        <c:ser>
          <c:idx val="79"/>
          <c:order val="79"/>
          <c:tx>
            <c:strRef>
              <c:f>Diagrama!$AU$25</c:f>
              <c:strCache>
                <c:ptCount val="1"/>
                <c:pt idx="0">
                  <c:v> 46-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Diagrama!$AU$26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Diagrama!$AU$27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E250-4AB7-85F0-9E4846E1EDB9}"/>
            </c:ext>
          </c:extLst>
        </c:ser>
        <c:ser>
          <c:idx val="80"/>
          <c:order val="80"/>
          <c:tx>
            <c:strRef>
              <c:f>Diagrama!$AV$25</c:f>
              <c:strCache>
                <c:ptCount val="1"/>
                <c:pt idx="0">
                  <c:v> 47-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Diagrama!$AV$26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Diagrama!$AV$27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E250-4AB7-85F0-9E4846E1EDB9}"/>
            </c:ext>
          </c:extLst>
        </c:ser>
        <c:ser>
          <c:idx val="81"/>
          <c:order val="81"/>
          <c:tx>
            <c:strRef>
              <c:f>Diagrama!$AW$25</c:f>
              <c:strCache>
                <c:ptCount val="1"/>
                <c:pt idx="0">
                  <c:v> 48-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Diagrama!$AW$26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Diagrama!$AW$27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E250-4AB7-85F0-9E4846E1EDB9}"/>
            </c:ext>
          </c:extLst>
        </c:ser>
        <c:ser>
          <c:idx val="82"/>
          <c:order val="82"/>
          <c:tx>
            <c:strRef>
              <c:f>Diagrama!$AX$25</c:f>
              <c:strCache>
                <c:ptCount val="1"/>
                <c:pt idx="0">
                  <c:v> 49-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Diagrama!$AX$26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Diagrama!$AX$27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E250-4AB7-85F0-9E4846E1EDB9}"/>
            </c:ext>
          </c:extLst>
        </c:ser>
        <c:ser>
          <c:idx val="83"/>
          <c:order val="83"/>
          <c:tx>
            <c:strRef>
              <c:f>Diagrama!$AY$25</c:f>
              <c:strCache>
                <c:ptCount val="1"/>
                <c:pt idx="0">
                  <c:v> 50-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Diagrama!$AY$26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Diagrama!$AY$27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E250-4AB7-85F0-9E4846E1EDB9}"/>
            </c:ext>
          </c:extLst>
        </c:ser>
        <c:ser>
          <c:idx val="84"/>
          <c:order val="84"/>
          <c:tx>
            <c:strRef>
              <c:f>Diagrama!$AZ$25</c:f>
              <c:strCache>
                <c:ptCount val="1"/>
                <c:pt idx="0">
                  <c:v> 51-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Diagrama!$AZ$26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Diagrama!$AZ$27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E250-4AB7-85F0-9E4846E1EDB9}"/>
            </c:ext>
          </c:extLst>
        </c:ser>
        <c:ser>
          <c:idx val="85"/>
          <c:order val="85"/>
          <c:tx>
            <c:strRef>
              <c:f>Diagrama!$BA$25</c:f>
              <c:strCache>
                <c:ptCount val="1"/>
                <c:pt idx="0">
                  <c:v> 52-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Diagrama!$BA$26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Diagrama!$BA$27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E250-4AB7-85F0-9E4846E1EDB9}"/>
            </c:ext>
          </c:extLst>
        </c:ser>
        <c:ser>
          <c:idx val="86"/>
          <c:order val="86"/>
          <c:tx>
            <c:strRef>
              <c:f>Diagrama!$BB$25</c:f>
              <c:strCache>
                <c:ptCount val="1"/>
                <c:pt idx="0">
                  <c:v> 53-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Diagrama!$BB$26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Diagrama!$BB$27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E250-4AB7-85F0-9E4846E1EDB9}"/>
            </c:ext>
          </c:extLst>
        </c:ser>
        <c:ser>
          <c:idx val="87"/>
          <c:order val="87"/>
          <c:tx>
            <c:strRef>
              <c:f>Diagrama!$BC$25</c:f>
              <c:strCache>
                <c:ptCount val="1"/>
                <c:pt idx="0">
                  <c:v> 54-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Diagrama!$BC$26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Diagrama!$BC$27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E250-4AB7-85F0-9E4846E1EDB9}"/>
            </c:ext>
          </c:extLst>
        </c:ser>
        <c:ser>
          <c:idx val="88"/>
          <c:order val="88"/>
          <c:tx>
            <c:strRef>
              <c:f>Diagrama!$BD$25</c:f>
              <c:strCache>
                <c:ptCount val="1"/>
                <c:pt idx="0">
                  <c:v> 55-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Diagrama!$BD$26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Diagrama!$BD$27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E250-4AB7-85F0-9E4846E1EDB9}"/>
            </c:ext>
          </c:extLst>
        </c:ser>
        <c:ser>
          <c:idx val="89"/>
          <c:order val="89"/>
          <c:tx>
            <c:strRef>
              <c:f>Diagrama!$BE$25</c:f>
              <c:strCache>
                <c:ptCount val="1"/>
                <c:pt idx="0">
                  <c:v> 56-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Diagrama!$BE$26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Diagrama!$BE$27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E250-4AB7-85F0-9E4846E1EDB9}"/>
            </c:ext>
          </c:extLst>
        </c:ser>
        <c:ser>
          <c:idx val="90"/>
          <c:order val="90"/>
          <c:tx>
            <c:strRef>
              <c:f>Diagrama!$BF$25</c:f>
              <c:strCache>
                <c:ptCount val="1"/>
                <c:pt idx="0">
                  <c:v> 57-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Diagrama!$BF$26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Diagrama!$BF$27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E250-4AB7-85F0-9E4846E1EDB9}"/>
            </c:ext>
          </c:extLst>
        </c:ser>
        <c:ser>
          <c:idx val="91"/>
          <c:order val="91"/>
          <c:tx>
            <c:strRef>
              <c:f>Diagrama!$BG$25</c:f>
              <c:strCache>
                <c:ptCount val="1"/>
                <c:pt idx="0">
                  <c:v> 58-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Diagrama!$BG$26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Diagrama!$BG$27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E250-4AB7-85F0-9E4846E1EDB9}"/>
            </c:ext>
          </c:extLst>
        </c:ser>
        <c:ser>
          <c:idx val="92"/>
          <c:order val="92"/>
          <c:tx>
            <c:strRef>
              <c:f>Diagrama!$BH$25</c:f>
              <c:strCache>
                <c:ptCount val="1"/>
                <c:pt idx="0">
                  <c:v> 59-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Diagrama!$BH$26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Diagrama!$BH$27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E250-4AB7-85F0-9E4846E1EDB9}"/>
            </c:ext>
          </c:extLst>
        </c:ser>
        <c:ser>
          <c:idx val="93"/>
          <c:order val="93"/>
          <c:tx>
            <c:strRef>
              <c:f>Diagrama!$BI$25</c:f>
              <c:strCache>
                <c:ptCount val="1"/>
                <c:pt idx="0">
                  <c:v> 60-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Diagrama!$BI$26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Diagrama!$BI$27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E250-4AB7-85F0-9E4846E1EDB9}"/>
            </c:ext>
          </c:extLst>
        </c:ser>
        <c:ser>
          <c:idx val="94"/>
          <c:order val="94"/>
          <c:tx>
            <c:strRef>
              <c:f>Diagrama!$BJ$25</c:f>
              <c:strCache>
                <c:ptCount val="1"/>
                <c:pt idx="0">
                  <c:v> 61-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Diagrama!$BJ$26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Diagrama!$BJ$27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E250-4AB7-85F0-9E4846E1EDB9}"/>
            </c:ext>
          </c:extLst>
        </c:ser>
        <c:ser>
          <c:idx val="95"/>
          <c:order val="95"/>
          <c:tx>
            <c:strRef>
              <c:f>Diagrama!$BK$25</c:f>
              <c:strCache>
                <c:ptCount val="1"/>
                <c:pt idx="0">
                  <c:v> 62-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Diagrama!$BK$26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Diagrama!$BK$27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E250-4AB7-85F0-9E4846E1EDB9}"/>
            </c:ext>
          </c:extLst>
        </c:ser>
        <c:ser>
          <c:idx val="96"/>
          <c:order val="96"/>
          <c:tx>
            <c:strRef>
              <c:f>Diagrama!$BL$25</c:f>
              <c:strCache>
                <c:ptCount val="1"/>
                <c:pt idx="0">
                  <c:v> 63-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Diagrama!$BL$26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Diagrama!$BL$27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E250-4AB7-85F0-9E4846E1EDB9}"/>
            </c:ext>
          </c:extLst>
        </c:ser>
        <c:ser>
          <c:idx val="97"/>
          <c:order val="97"/>
          <c:tx>
            <c:strRef>
              <c:f>Diagrama!$BM$25</c:f>
              <c:strCache>
                <c:ptCount val="1"/>
                <c:pt idx="0">
                  <c:v> 64-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Diagrama!$BM$26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Diagrama!$BM$27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E250-4AB7-85F0-9E4846E1EDB9}"/>
            </c:ext>
          </c:extLst>
        </c:ser>
        <c:ser>
          <c:idx val="98"/>
          <c:order val="98"/>
          <c:tx>
            <c:strRef>
              <c:f>Diagrama!$BN$25</c:f>
              <c:strCache>
                <c:ptCount val="1"/>
                <c:pt idx="0">
                  <c:v> 65-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Diagrama!$BN$26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Diagrama!$BN$27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E250-4AB7-85F0-9E4846E1EDB9}"/>
            </c:ext>
          </c:extLst>
        </c:ser>
        <c:ser>
          <c:idx val="99"/>
          <c:order val="99"/>
          <c:tx>
            <c:strRef>
              <c:f>Diagrama!$BO$25</c:f>
              <c:strCache>
                <c:ptCount val="1"/>
                <c:pt idx="0">
                  <c:v> 66-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Diagrama!$BO$26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Diagrama!$BO$27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E250-4AB7-85F0-9E4846E1EDB9}"/>
            </c:ext>
          </c:extLst>
        </c:ser>
        <c:ser>
          <c:idx val="100"/>
          <c:order val="100"/>
          <c:tx>
            <c:strRef>
              <c:f>Diagrama!$BP$25</c:f>
              <c:strCache>
                <c:ptCount val="1"/>
                <c:pt idx="0">
                  <c:v> 67-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Diagrama!$BP$26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Diagrama!$BP$27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E250-4AB7-85F0-9E4846E1EDB9}"/>
            </c:ext>
          </c:extLst>
        </c:ser>
        <c:ser>
          <c:idx val="101"/>
          <c:order val="101"/>
          <c:tx>
            <c:strRef>
              <c:f>Diagrama!$BQ$25</c:f>
              <c:strCache>
                <c:ptCount val="1"/>
                <c:pt idx="0">
                  <c:v> 68-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Diagrama!$BQ$26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Diagrama!$BQ$27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E250-4AB7-85F0-9E4846E1EDB9}"/>
            </c:ext>
          </c:extLst>
        </c:ser>
        <c:ser>
          <c:idx val="102"/>
          <c:order val="102"/>
          <c:tx>
            <c:strRef>
              <c:f>Diagrama!$BR$25</c:f>
              <c:strCache>
                <c:ptCount val="1"/>
                <c:pt idx="0">
                  <c:v> 69-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Diagrama!$BR$26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Diagrama!$BR$27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E250-4AB7-85F0-9E4846E1EDB9}"/>
            </c:ext>
          </c:extLst>
        </c:ser>
        <c:ser>
          <c:idx val="103"/>
          <c:order val="103"/>
          <c:tx>
            <c:strRef>
              <c:f>Diagrama!$BS$25</c:f>
              <c:strCache>
                <c:ptCount val="1"/>
                <c:pt idx="0">
                  <c:v> 70-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Diagrama!$BS$26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Diagrama!$BS$27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E250-4AB7-85F0-9E4846E1EDB9}"/>
            </c:ext>
          </c:extLst>
        </c:ser>
        <c:ser>
          <c:idx val="104"/>
          <c:order val="104"/>
          <c:tx>
            <c:strRef>
              <c:f>Diagrama!$BT$25</c:f>
              <c:strCache>
                <c:ptCount val="1"/>
                <c:pt idx="0">
                  <c:v> 71-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Diagrama!$BT$26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Diagrama!$BT$27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E250-4AB7-85F0-9E4846E1EDB9}"/>
            </c:ext>
          </c:extLst>
        </c:ser>
        <c:ser>
          <c:idx val="105"/>
          <c:order val="105"/>
          <c:tx>
            <c:strRef>
              <c:f>Diagrama!$BU$25</c:f>
              <c:strCache>
                <c:ptCount val="1"/>
                <c:pt idx="0">
                  <c:v> 72-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Diagrama!$BU$26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Diagrama!$BU$27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E250-4AB7-85F0-9E4846E1EDB9}"/>
            </c:ext>
          </c:extLst>
        </c:ser>
        <c:ser>
          <c:idx val="106"/>
          <c:order val="106"/>
          <c:tx>
            <c:strRef>
              <c:f>Diagrama!$BV$25</c:f>
              <c:strCache>
                <c:ptCount val="1"/>
                <c:pt idx="0">
                  <c:v> 73-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Diagrama!$BV$26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Diagrama!$BV$27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E250-4AB7-85F0-9E4846E1EDB9}"/>
            </c:ext>
          </c:extLst>
        </c:ser>
        <c:ser>
          <c:idx val="107"/>
          <c:order val="107"/>
          <c:tx>
            <c:strRef>
              <c:f>Diagrama!$BW$25</c:f>
              <c:strCache>
                <c:ptCount val="1"/>
                <c:pt idx="0">
                  <c:v> 74-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Diagrama!$BW$26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Diagrama!$BW$27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E250-4AB7-85F0-9E4846E1EDB9}"/>
            </c:ext>
          </c:extLst>
        </c:ser>
        <c:ser>
          <c:idx val="108"/>
          <c:order val="108"/>
          <c:tx>
            <c:strRef>
              <c:f>Diagrama!$BX$25</c:f>
              <c:strCache>
                <c:ptCount val="1"/>
                <c:pt idx="0">
                  <c:v> 75-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Diagrama!$BX$26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Diagrama!$BX$27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E250-4AB7-85F0-9E4846E1EDB9}"/>
            </c:ext>
          </c:extLst>
        </c:ser>
        <c:ser>
          <c:idx val="109"/>
          <c:order val="109"/>
          <c:tx>
            <c:strRef>
              <c:f>Diagrama!$BY$25</c:f>
              <c:strCache>
                <c:ptCount val="1"/>
                <c:pt idx="0">
                  <c:v> 76-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Diagrama!$BY$26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Diagrama!$BY$27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E250-4AB7-85F0-9E4846E1EDB9}"/>
            </c:ext>
          </c:extLst>
        </c:ser>
        <c:ser>
          <c:idx val="110"/>
          <c:order val="110"/>
          <c:tx>
            <c:strRef>
              <c:f>Diagrama!$BZ$25</c:f>
              <c:strCache>
                <c:ptCount val="1"/>
                <c:pt idx="0">
                  <c:v> 77-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Diagrama!$BZ$26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Diagrama!$BZ$27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E250-4AB7-85F0-9E4846E1EDB9}"/>
            </c:ext>
          </c:extLst>
        </c:ser>
        <c:ser>
          <c:idx val="111"/>
          <c:order val="111"/>
          <c:tx>
            <c:strRef>
              <c:f>Diagrama!$CA$25</c:f>
              <c:strCache>
                <c:ptCount val="1"/>
                <c:pt idx="0">
                  <c:v> 78-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Diagrama!$CA$26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Diagrama!$CA$27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E250-4AB7-85F0-9E4846E1EDB9}"/>
            </c:ext>
          </c:extLst>
        </c:ser>
        <c:ser>
          <c:idx val="112"/>
          <c:order val="112"/>
          <c:tx>
            <c:strRef>
              <c:f>Diagrama!$CB$25</c:f>
              <c:strCache>
                <c:ptCount val="1"/>
                <c:pt idx="0">
                  <c:v> 79-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Diagrama!$CB$26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Diagrama!$CB$27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E250-4AB7-85F0-9E4846E1EDB9}"/>
            </c:ext>
          </c:extLst>
        </c:ser>
        <c:ser>
          <c:idx val="113"/>
          <c:order val="113"/>
          <c:tx>
            <c:strRef>
              <c:f>Diagrama!$CC$25</c:f>
              <c:strCache>
                <c:ptCount val="1"/>
                <c:pt idx="0">
                  <c:v> 80-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Diagrama!$CC$26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Diagrama!$CC$27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E250-4AB7-85F0-9E4846E1EDB9}"/>
            </c:ext>
          </c:extLst>
        </c:ser>
        <c:ser>
          <c:idx val="114"/>
          <c:order val="114"/>
          <c:tx>
            <c:strRef>
              <c:f>Diagrama!$CD$25</c:f>
              <c:strCache>
                <c:ptCount val="1"/>
                <c:pt idx="0">
                  <c:v> 81-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Diagrama!$CD$26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Diagrama!$CD$27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E250-4AB7-85F0-9E4846E1EDB9}"/>
            </c:ext>
          </c:extLst>
        </c:ser>
        <c:ser>
          <c:idx val="115"/>
          <c:order val="115"/>
          <c:tx>
            <c:strRef>
              <c:f>Diagrama!$CE$25</c:f>
              <c:strCache>
                <c:ptCount val="1"/>
                <c:pt idx="0">
                  <c:v> 82-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Diagrama!$CE$26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Diagrama!$CE$27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E250-4AB7-85F0-9E4846E1EDB9}"/>
            </c:ext>
          </c:extLst>
        </c:ser>
        <c:ser>
          <c:idx val="116"/>
          <c:order val="116"/>
          <c:tx>
            <c:strRef>
              <c:f>Diagrama!$CF$25</c:f>
              <c:strCache>
                <c:ptCount val="1"/>
                <c:pt idx="0">
                  <c:v> 83-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Diagrama!$CF$26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Diagrama!$CF$27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E250-4AB7-85F0-9E4846E1EDB9}"/>
            </c:ext>
          </c:extLst>
        </c:ser>
        <c:ser>
          <c:idx val="117"/>
          <c:order val="117"/>
          <c:tx>
            <c:strRef>
              <c:f>Diagrama!$CG$25</c:f>
              <c:strCache>
                <c:ptCount val="1"/>
                <c:pt idx="0">
                  <c:v> 84-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Diagrama!$CG$26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Diagrama!$CG$27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E250-4AB7-85F0-9E4846E1EDB9}"/>
            </c:ext>
          </c:extLst>
        </c:ser>
        <c:ser>
          <c:idx val="118"/>
          <c:order val="118"/>
          <c:tx>
            <c:strRef>
              <c:f>Diagrama!$CH$25</c:f>
              <c:strCache>
                <c:ptCount val="1"/>
                <c:pt idx="0">
                  <c:v> 85-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Diagrama!$CH$26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Diagrama!$CH$27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E250-4AB7-85F0-9E4846E1EDB9}"/>
            </c:ext>
          </c:extLst>
        </c:ser>
        <c:ser>
          <c:idx val="119"/>
          <c:order val="119"/>
          <c:tx>
            <c:strRef>
              <c:f>Diagrama!$CI$25</c:f>
              <c:strCache>
                <c:ptCount val="1"/>
                <c:pt idx="0">
                  <c:v> 86-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Diagrama!$CI$26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Diagrama!$CI$27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E250-4AB7-85F0-9E4846E1EDB9}"/>
            </c:ext>
          </c:extLst>
        </c:ser>
        <c:ser>
          <c:idx val="120"/>
          <c:order val="120"/>
          <c:tx>
            <c:strRef>
              <c:f>Diagrama!$CJ$25</c:f>
              <c:strCache>
                <c:ptCount val="1"/>
                <c:pt idx="0">
                  <c:v> 87-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Diagrama!$CJ$26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Diagrama!$CJ$27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E250-4AB7-85F0-9E4846E1EDB9}"/>
            </c:ext>
          </c:extLst>
        </c:ser>
        <c:ser>
          <c:idx val="121"/>
          <c:order val="121"/>
          <c:tx>
            <c:strRef>
              <c:f>Diagrama!$CK$25</c:f>
              <c:strCache>
                <c:ptCount val="1"/>
                <c:pt idx="0">
                  <c:v> 88-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Diagrama!$CK$26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Diagrama!$CK$27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E250-4AB7-85F0-9E4846E1EDB9}"/>
            </c:ext>
          </c:extLst>
        </c:ser>
        <c:ser>
          <c:idx val="122"/>
          <c:order val="122"/>
          <c:tx>
            <c:strRef>
              <c:f>Diagrama!$CL$25</c:f>
              <c:strCache>
                <c:ptCount val="1"/>
                <c:pt idx="0">
                  <c:v> 89-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Diagrama!$CL$26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Diagrama!$CL$27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E250-4AB7-85F0-9E4846E1EDB9}"/>
            </c:ext>
          </c:extLst>
        </c:ser>
        <c:ser>
          <c:idx val="123"/>
          <c:order val="123"/>
          <c:tx>
            <c:strRef>
              <c:f>Diagrama!$CM$25</c:f>
              <c:strCache>
                <c:ptCount val="1"/>
                <c:pt idx="0">
                  <c:v> 90-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Diagrama!$CM$26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Diagrama!$CM$27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E250-4AB7-85F0-9E4846E1EDB9}"/>
            </c:ext>
          </c:extLst>
        </c:ser>
        <c:ser>
          <c:idx val="124"/>
          <c:order val="124"/>
          <c:tx>
            <c:strRef>
              <c:f>Diagrama!$CN$25</c:f>
              <c:strCache>
                <c:ptCount val="1"/>
                <c:pt idx="0">
                  <c:v> 91-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Diagrama!$CN$26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Diagrama!$CN$27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E250-4AB7-85F0-9E4846E1EDB9}"/>
            </c:ext>
          </c:extLst>
        </c:ser>
        <c:ser>
          <c:idx val="125"/>
          <c:order val="125"/>
          <c:tx>
            <c:strRef>
              <c:f>Diagrama!$CO$25</c:f>
              <c:strCache>
                <c:ptCount val="1"/>
                <c:pt idx="0">
                  <c:v> 92-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Diagrama!$CO$26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Diagrama!$CO$27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E250-4AB7-85F0-9E4846E1EDB9}"/>
            </c:ext>
          </c:extLst>
        </c:ser>
        <c:ser>
          <c:idx val="126"/>
          <c:order val="126"/>
          <c:tx>
            <c:strRef>
              <c:f>Diagrama!$CP$25</c:f>
              <c:strCache>
                <c:ptCount val="1"/>
                <c:pt idx="0">
                  <c:v> 93-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Diagrama!$CP$26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Diagrama!$CP$27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E250-4AB7-85F0-9E4846E1EDB9}"/>
            </c:ext>
          </c:extLst>
        </c:ser>
        <c:ser>
          <c:idx val="127"/>
          <c:order val="127"/>
          <c:tx>
            <c:strRef>
              <c:f>Diagrama!$CQ$25</c:f>
              <c:strCache>
                <c:ptCount val="1"/>
                <c:pt idx="0">
                  <c:v> 94-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Diagrama!$CQ$26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Diagrama!$CQ$27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E250-4AB7-85F0-9E4846E1EDB9}"/>
            </c:ext>
          </c:extLst>
        </c:ser>
        <c:ser>
          <c:idx val="128"/>
          <c:order val="128"/>
          <c:tx>
            <c:strRef>
              <c:f>Diagrama!$CR$25</c:f>
              <c:strCache>
                <c:ptCount val="1"/>
                <c:pt idx="0">
                  <c:v> 95-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Diagrama!$CR$26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Diagrama!$CR$27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E250-4AB7-85F0-9E4846E1EDB9}"/>
            </c:ext>
          </c:extLst>
        </c:ser>
        <c:ser>
          <c:idx val="129"/>
          <c:order val="129"/>
          <c:tx>
            <c:strRef>
              <c:f>Diagrama!$CS$25</c:f>
              <c:strCache>
                <c:ptCount val="1"/>
                <c:pt idx="0">
                  <c:v> 96-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Diagrama!$CS$26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Diagrama!$CS$27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E250-4AB7-85F0-9E4846E1EDB9}"/>
            </c:ext>
          </c:extLst>
        </c:ser>
        <c:ser>
          <c:idx val="130"/>
          <c:order val="130"/>
          <c:tx>
            <c:strRef>
              <c:f>Diagrama!$CT$25</c:f>
              <c:strCache>
                <c:ptCount val="1"/>
                <c:pt idx="0">
                  <c:v> 97-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Diagrama!$CT$26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Diagrama!$CT$27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E250-4AB7-85F0-9E4846E1EDB9}"/>
            </c:ext>
          </c:extLst>
        </c:ser>
        <c:ser>
          <c:idx val="131"/>
          <c:order val="131"/>
          <c:tx>
            <c:strRef>
              <c:f>Diagrama!$CU$25</c:f>
              <c:strCache>
                <c:ptCount val="1"/>
                <c:pt idx="0">
                  <c:v> 98-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Diagrama!$CU$26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Diagrama!$CU$27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E250-4AB7-85F0-9E4846E1EDB9}"/>
            </c:ext>
          </c:extLst>
        </c:ser>
        <c:ser>
          <c:idx val="132"/>
          <c:order val="132"/>
          <c:tx>
            <c:strRef>
              <c:f>Diagrama!$CV$25</c:f>
              <c:strCache>
                <c:ptCount val="1"/>
                <c:pt idx="0">
                  <c:v> 99-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Diagrama!$CV$26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Diagrama!$CV$27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E250-4AB7-85F0-9E4846E1EDB9}"/>
            </c:ext>
          </c:extLst>
        </c:ser>
        <c:ser>
          <c:idx val="133"/>
          <c:order val="133"/>
          <c:tx>
            <c:strRef>
              <c:f>Diagrama!$CW$25</c:f>
              <c:strCache>
                <c:ptCount val="1"/>
                <c:pt idx="0">
                  <c:v> 100-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Diagrama!$CW$26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Diagrama!$CW$27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E250-4AB7-85F0-9E4846E1EDB9}"/>
            </c:ext>
          </c:extLst>
        </c:ser>
        <c:ser>
          <c:idx val="134"/>
          <c:order val="134"/>
          <c:tx>
            <c:strRef>
              <c:f>Diagrama!$C$143</c:f>
              <c:strCache>
                <c:ptCount val="1"/>
                <c:pt idx="0">
                  <c:v>Simergy 11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(Diagrama!$E$143,Diagrama!$N$143)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(Diagrama!$E$144,Diagrama!$N$144)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4-402B-4E2A-A43C-705970DF1C7B}"/>
            </c:ext>
          </c:extLst>
        </c:ser>
        <c:ser>
          <c:idx val="135"/>
          <c:order val="135"/>
          <c:tx>
            <c:strRef>
              <c:f>Diagrama!$C$146</c:f>
              <c:strCache>
                <c:ptCount val="1"/>
                <c:pt idx="0">
                  <c:v>Simergy 12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(Diagrama!$E$146,Diagrama!$N$146)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(Diagrama!$E$147,Diagrama!$N$147)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5-402B-4E2A-A43C-705970DF1C7B}"/>
            </c:ext>
          </c:extLst>
        </c:ser>
        <c:ser>
          <c:idx val="136"/>
          <c:order val="136"/>
          <c:tx>
            <c:strRef>
              <c:f>Diagrama!$C$149</c:f>
              <c:strCache>
                <c:ptCount val="1"/>
                <c:pt idx="0">
                  <c:v>Simergy 13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(Diagrama!$E$149,Diagrama!$N$149)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(Diagrama!$E$150,Diagrama!$N$150)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6-402B-4E2A-A43C-705970DF1C7B}"/>
            </c:ext>
          </c:extLst>
        </c:ser>
        <c:ser>
          <c:idx val="137"/>
          <c:order val="137"/>
          <c:tx>
            <c:strRef>
              <c:f>Diagrama!$C$152</c:f>
              <c:strCache>
                <c:ptCount val="1"/>
                <c:pt idx="0">
                  <c:v>Simergy 14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(Diagrama!$E$152,Diagrama!$N$152)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(Diagrama!$E$153,Diagrama!$N$153)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7-402B-4E2A-A43C-705970DF1C7B}"/>
            </c:ext>
          </c:extLst>
        </c:ser>
        <c:ser>
          <c:idx val="138"/>
          <c:order val="138"/>
          <c:tx>
            <c:strRef>
              <c:f>Diagrama!$C$155</c:f>
              <c:strCache>
                <c:ptCount val="1"/>
                <c:pt idx="0">
                  <c:v>Simergy 15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(Diagrama!$E$155,Diagrama!$N$155)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(Diagrama!$E$156,Diagrama!$N$156)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8-402B-4E2A-A43C-705970DF1C7B}"/>
            </c:ext>
          </c:extLst>
        </c:ser>
        <c:ser>
          <c:idx val="139"/>
          <c:order val="139"/>
          <c:tx>
            <c:strRef>
              <c:f>Diagrama!$C$158</c:f>
              <c:strCache>
                <c:ptCount val="1"/>
                <c:pt idx="0">
                  <c:v>Simergy 16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(Diagrama!$E$158,Diagrama!$N$158)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(Diagrama!$E$159,Diagrama!$N$159)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9-402B-4E2A-A43C-705970DF1C7B}"/>
            </c:ext>
          </c:extLst>
        </c:ser>
        <c:ser>
          <c:idx val="140"/>
          <c:order val="140"/>
          <c:tx>
            <c:strRef>
              <c:f>Diagrama!$C$161</c:f>
              <c:strCache>
                <c:ptCount val="1"/>
                <c:pt idx="0">
                  <c:v>Simergy 17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(Diagrama!$E$161,Diagrama!$N$161)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(Diagrama!$E$162,Diagrama!$N$162)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402B-4E2A-A43C-705970DF1C7B}"/>
            </c:ext>
          </c:extLst>
        </c:ser>
        <c:ser>
          <c:idx val="141"/>
          <c:order val="141"/>
          <c:tx>
            <c:strRef>
              <c:f>Diagrama!$C$164</c:f>
              <c:strCache>
                <c:ptCount val="1"/>
                <c:pt idx="0">
                  <c:v>Simergy 18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(Diagrama!$E$164,Diagrama!$N$164)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(Diagrama!$E$165,Diagrama!$N$165)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402B-4E2A-A43C-705970DF1C7B}"/>
            </c:ext>
          </c:extLst>
        </c:ser>
        <c:ser>
          <c:idx val="142"/>
          <c:order val="142"/>
          <c:tx>
            <c:strRef>
              <c:f>Diagrama!$C$167</c:f>
              <c:strCache>
                <c:ptCount val="1"/>
                <c:pt idx="0">
                  <c:v>Simergy 19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(Diagrama!$E$167,Diagrama!$N$167)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(Diagrama!$E$168,Diagrama!$N$168)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402B-4E2A-A43C-705970DF1C7B}"/>
            </c:ext>
          </c:extLst>
        </c:ser>
        <c:ser>
          <c:idx val="143"/>
          <c:order val="143"/>
          <c:tx>
            <c:strRef>
              <c:f>Diagrama!$C$170</c:f>
              <c:strCache>
                <c:ptCount val="1"/>
                <c:pt idx="0">
                  <c:v>Simergy 20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(Diagrama!$E$170,Diagrama!$N$170)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(Diagrama!$E$171,Diagrama!$N$171)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D-402B-4E2A-A43C-705970DF1C7B}"/>
            </c:ext>
          </c:extLst>
        </c:ser>
        <c:ser>
          <c:idx val="144"/>
          <c:order val="144"/>
          <c:tx>
            <c:strRef>
              <c:f>Diagrama!$C$173</c:f>
              <c:strCache>
                <c:ptCount val="1"/>
                <c:pt idx="0">
                  <c:v>Simergy 21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(Diagrama!$E$173,Diagrama!$N$173)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(Diagrama!$E$174,Diagrama!$N$174)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402B-4E2A-A43C-705970DF1C7B}"/>
            </c:ext>
          </c:extLst>
        </c:ser>
        <c:ser>
          <c:idx val="145"/>
          <c:order val="145"/>
          <c:tx>
            <c:strRef>
              <c:f>Diagrama!$C$176</c:f>
              <c:strCache>
                <c:ptCount val="1"/>
                <c:pt idx="0">
                  <c:v>Simergy 22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(Diagrama!$E$176,Diagrama!$N$176)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(Diagrama!$E$177,Diagrama!$N$177)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F-402B-4E2A-A43C-705970DF1C7B}"/>
            </c:ext>
          </c:extLst>
        </c:ser>
        <c:ser>
          <c:idx val="146"/>
          <c:order val="146"/>
          <c:tx>
            <c:strRef>
              <c:f>Diagrama!$C$179</c:f>
              <c:strCache>
                <c:ptCount val="1"/>
                <c:pt idx="0">
                  <c:v>Simergy 23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(Diagrama!$E$179,Diagrama!$N$179)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(Diagrama!$E$180,Diagrama!$N$180)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0-402B-4E2A-A43C-705970DF1C7B}"/>
            </c:ext>
          </c:extLst>
        </c:ser>
        <c:ser>
          <c:idx val="147"/>
          <c:order val="147"/>
          <c:tx>
            <c:strRef>
              <c:f>Diagrama!$C$182</c:f>
              <c:strCache>
                <c:ptCount val="1"/>
                <c:pt idx="0">
                  <c:v>Simergy 24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(Diagrama!$E$182,Diagrama!$N$182)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(Diagrama!$E$183,Diagrama!$N$183)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1-402B-4E2A-A43C-705970DF1C7B}"/>
            </c:ext>
          </c:extLst>
        </c:ser>
        <c:ser>
          <c:idx val="148"/>
          <c:order val="148"/>
          <c:tx>
            <c:strRef>
              <c:f>Diagrama!$C$185</c:f>
              <c:strCache>
                <c:ptCount val="1"/>
                <c:pt idx="0">
                  <c:v>Simergy 25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(Diagrama!$E$185,Diagrama!$N$185)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(Diagrama!$E$186,Diagrama!$N$186)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2-402B-4E2A-A43C-705970DF1C7B}"/>
            </c:ext>
          </c:extLst>
        </c:ser>
        <c:ser>
          <c:idx val="149"/>
          <c:order val="149"/>
          <c:tx>
            <c:strRef>
              <c:f>Diagrama!$C$188</c:f>
              <c:strCache>
                <c:ptCount val="1"/>
                <c:pt idx="0">
                  <c:v>Simergy 26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(Diagrama!$E$188,Diagrama!$N$188)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(Diagrama!$E$189,Diagrama!$N$189)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3-402B-4E2A-A43C-705970DF1C7B}"/>
            </c:ext>
          </c:extLst>
        </c:ser>
        <c:ser>
          <c:idx val="150"/>
          <c:order val="150"/>
          <c:tx>
            <c:strRef>
              <c:f>Diagrama!$C$191</c:f>
              <c:strCache>
                <c:ptCount val="1"/>
                <c:pt idx="0">
                  <c:v>Simergy 27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(Diagrama!$E$191,Diagrama!$N$191)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(Diagrama!$E$192,Diagrama!$N$192)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4-402B-4E2A-A43C-705970DF1C7B}"/>
            </c:ext>
          </c:extLst>
        </c:ser>
        <c:ser>
          <c:idx val="151"/>
          <c:order val="151"/>
          <c:tx>
            <c:strRef>
              <c:f>Diagrama!$C$194</c:f>
              <c:strCache>
                <c:ptCount val="1"/>
                <c:pt idx="0">
                  <c:v>Simergy 28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(Diagrama!$E$194,Diagrama!$N$194)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(Diagrama!$E$195,Diagrama!$N$195)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5-402B-4E2A-A43C-705970DF1C7B}"/>
            </c:ext>
          </c:extLst>
        </c:ser>
        <c:ser>
          <c:idx val="152"/>
          <c:order val="152"/>
          <c:tx>
            <c:strRef>
              <c:f>Diagrama!$C$197</c:f>
              <c:strCache>
                <c:ptCount val="1"/>
                <c:pt idx="0">
                  <c:v>Simergy 29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(Diagrama!$E$197,Diagrama!$N$197)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(Diagrama!$E$198,Diagrama!$N$198)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6-402B-4E2A-A43C-705970DF1C7B}"/>
            </c:ext>
          </c:extLst>
        </c:ser>
        <c:ser>
          <c:idx val="153"/>
          <c:order val="153"/>
          <c:tx>
            <c:strRef>
              <c:f>Diagrama!$C$200</c:f>
              <c:strCache>
                <c:ptCount val="1"/>
                <c:pt idx="0">
                  <c:v>Simergy 30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(Diagrama!$E$200,Diagrama!$N$200)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(Diagrama!$E$201,Diagrama!$N$201)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7-402B-4E2A-A43C-705970DF1C7B}"/>
            </c:ext>
          </c:extLst>
        </c:ser>
        <c:ser>
          <c:idx val="154"/>
          <c:order val="154"/>
          <c:tx>
            <c:strRef>
              <c:f>Diagrama!$C$203</c:f>
              <c:strCache>
                <c:ptCount val="1"/>
                <c:pt idx="0">
                  <c:v>Simergy 31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(Diagrama!$E$203,Diagrama!$N$203)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(Diagrama!$E$204,Diagrama!$N$204)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8-402B-4E2A-A43C-705970DF1C7B}"/>
            </c:ext>
          </c:extLst>
        </c:ser>
        <c:ser>
          <c:idx val="155"/>
          <c:order val="155"/>
          <c:tx>
            <c:strRef>
              <c:f>Diagrama!$C$206</c:f>
              <c:strCache>
                <c:ptCount val="1"/>
                <c:pt idx="0">
                  <c:v>Simergy 32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(Diagrama!$E$206,Diagrama!$N$206)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(Diagrama!$E$207,Diagrama!$N$207)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9-402B-4E2A-A43C-705970DF1C7B}"/>
            </c:ext>
          </c:extLst>
        </c:ser>
        <c:ser>
          <c:idx val="156"/>
          <c:order val="156"/>
          <c:tx>
            <c:strRef>
              <c:f>Diagrama!$C$209</c:f>
              <c:strCache>
                <c:ptCount val="1"/>
                <c:pt idx="0">
                  <c:v>Simergy 33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(Diagrama!$E$209,Diagrama!$N$209)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(Diagrama!$E$210,Diagrama!$N$210)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A-402B-4E2A-A43C-705970DF1C7B}"/>
            </c:ext>
          </c:extLst>
        </c:ser>
        <c:ser>
          <c:idx val="157"/>
          <c:order val="157"/>
          <c:tx>
            <c:strRef>
              <c:f>Diagrama!$C$212</c:f>
              <c:strCache>
                <c:ptCount val="1"/>
                <c:pt idx="0">
                  <c:v>Simergy 34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(Diagrama!$E$212,Diagrama!$N$212)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(Diagrama!$E$213,Diagrama!$N$213)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B-402B-4E2A-A43C-705970DF1C7B}"/>
            </c:ext>
          </c:extLst>
        </c:ser>
        <c:ser>
          <c:idx val="158"/>
          <c:order val="158"/>
          <c:tx>
            <c:strRef>
              <c:f>Diagrama!$C$215</c:f>
              <c:strCache>
                <c:ptCount val="1"/>
                <c:pt idx="0">
                  <c:v>Simergy 35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(Diagrama!$E$215,Diagrama!$N$215)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(Diagrama!$E$216,Diagrama!$N$216)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C-402B-4E2A-A43C-705970DF1C7B}"/>
            </c:ext>
          </c:extLst>
        </c:ser>
        <c:ser>
          <c:idx val="159"/>
          <c:order val="159"/>
          <c:tx>
            <c:strRef>
              <c:f>Diagrama!$C$218</c:f>
              <c:strCache>
                <c:ptCount val="1"/>
                <c:pt idx="0">
                  <c:v>Simergy 36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(Diagrama!$E$218,Diagrama!$N$218)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(Diagrama!$E$219,Diagrama!$N$219)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D-402B-4E2A-A43C-705970DF1C7B}"/>
            </c:ext>
          </c:extLst>
        </c:ser>
        <c:ser>
          <c:idx val="160"/>
          <c:order val="160"/>
          <c:tx>
            <c:strRef>
              <c:f>Diagrama!$C$221</c:f>
              <c:strCache>
                <c:ptCount val="1"/>
                <c:pt idx="0">
                  <c:v>Simergy 37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(Diagrama!$E$221,Diagrama!$N$221)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(Diagrama!$E$222,Diagrama!$N$222)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E-402B-4E2A-A43C-705970DF1C7B}"/>
            </c:ext>
          </c:extLst>
        </c:ser>
        <c:ser>
          <c:idx val="161"/>
          <c:order val="161"/>
          <c:tx>
            <c:strRef>
              <c:f>Diagrama!$C$224</c:f>
              <c:strCache>
                <c:ptCount val="1"/>
                <c:pt idx="0">
                  <c:v>Simergy 38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(Diagrama!$E$224,Diagrama!$N$224)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(Diagrama!$E$225,Diagrama!$N$225)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F-402B-4E2A-A43C-705970DF1C7B}"/>
            </c:ext>
          </c:extLst>
        </c:ser>
        <c:ser>
          <c:idx val="162"/>
          <c:order val="162"/>
          <c:tx>
            <c:strRef>
              <c:f>Diagrama!$C$227</c:f>
              <c:strCache>
                <c:ptCount val="1"/>
                <c:pt idx="0">
                  <c:v>Simergy 39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(Diagrama!$E$227,Diagrama!$N$227)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(Diagrama!$E$228,Diagrama!$N$228)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0-402B-4E2A-A43C-705970DF1C7B}"/>
            </c:ext>
          </c:extLst>
        </c:ser>
        <c:ser>
          <c:idx val="163"/>
          <c:order val="163"/>
          <c:tx>
            <c:strRef>
              <c:f>Diagrama!$C$230</c:f>
              <c:strCache>
                <c:ptCount val="1"/>
                <c:pt idx="0">
                  <c:v>Simergy 40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(Diagrama!$E$230,Diagrama!$N$230)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(Diagrama!$E$231,Diagrama!$N$231)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1-402B-4E2A-A43C-705970DF1C7B}"/>
            </c:ext>
          </c:extLst>
        </c:ser>
        <c:ser>
          <c:idx val="164"/>
          <c:order val="164"/>
          <c:tx>
            <c:strRef>
              <c:f>Diagrama!$C$233</c:f>
              <c:strCache>
                <c:ptCount val="1"/>
                <c:pt idx="0">
                  <c:v>Simergy 41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(Diagrama!$E$233,Diagrama!$N$233)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(Diagrama!$E$234,Diagrama!$N$234)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2-402B-4E2A-A43C-705970DF1C7B}"/>
            </c:ext>
          </c:extLst>
        </c:ser>
        <c:ser>
          <c:idx val="165"/>
          <c:order val="165"/>
          <c:tx>
            <c:strRef>
              <c:f>Diagrama!$C$236</c:f>
              <c:strCache>
                <c:ptCount val="1"/>
                <c:pt idx="0">
                  <c:v>Simergy 42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(Diagrama!$E$236,Diagrama!$N$236)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(Diagrama!$E$237,Diagrama!$N$237)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3-402B-4E2A-A43C-705970DF1C7B}"/>
            </c:ext>
          </c:extLst>
        </c:ser>
        <c:ser>
          <c:idx val="166"/>
          <c:order val="166"/>
          <c:tx>
            <c:strRef>
              <c:f>Diagrama!$C$239</c:f>
              <c:strCache>
                <c:ptCount val="1"/>
                <c:pt idx="0">
                  <c:v>Simergy 43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(Diagrama!$E$239,Diagrama!$N$239)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(Diagrama!$E$240,Diagrama!$N$240)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4-402B-4E2A-A43C-705970DF1C7B}"/>
            </c:ext>
          </c:extLst>
        </c:ser>
        <c:ser>
          <c:idx val="167"/>
          <c:order val="167"/>
          <c:tx>
            <c:strRef>
              <c:f>Diagrama!$C$242</c:f>
              <c:strCache>
                <c:ptCount val="1"/>
                <c:pt idx="0">
                  <c:v>Simergy 44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(Diagrama!$E$242,Diagrama!$N$242)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(Diagrama!$E$243,Diagrama!$N$243)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5-402B-4E2A-A43C-705970DF1C7B}"/>
            </c:ext>
          </c:extLst>
        </c:ser>
        <c:ser>
          <c:idx val="168"/>
          <c:order val="168"/>
          <c:tx>
            <c:strRef>
              <c:f>Diagrama!$C$245</c:f>
              <c:strCache>
                <c:ptCount val="1"/>
                <c:pt idx="0">
                  <c:v>Simergy 45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(Diagrama!$E$245,Diagrama!$N$245)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(Diagrama!$E$246,Diagrama!$N$246)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6-402B-4E2A-A43C-705970DF1C7B}"/>
            </c:ext>
          </c:extLst>
        </c:ser>
        <c:ser>
          <c:idx val="169"/>
          <c:order val="169"/>
          <c:tx>
            <c:strRef>
              <c:f>Diagrama!$C$248</c:f>
              <c:strCache>
                <c:ptCount val="1"/>
                <c:pt idx="0">
                  <c:v>Simergy 46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(Diagrama!$E$248,Diagrama!$N$248)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(Diagrama!$E$249,Diagrama!$N$249)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7-402B-4E2A-A43C-705970DF1C7B}"/>
            </c:ext>
          </c:extLst>
        </c:ser>
        <c:ser>
          <c:idx val="170"/>
          <c:order val="170"/>
          <c:tx>
            <c:strRef>
              <c:f>Diagrama!$C$251</c:f>
              <c:strCache>
                <c:ptCount val="1"/>
                <c:pt idx="0">
                  <c:v>Simergy 47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(Diagrama!$E$251,Diagrama!$N$251)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(Diagrama!$E$252,Diagrama!$N$252)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8-402B-4E2A-A43C-705970DF1C7B}"/>
            </c:ext>
          </c:extLst>
        </c:ser>
        <c:ser>
          <c:idx val="171"/>
          <c:order val="171"/>
          <c:tx>
            <c:strRef>
              <c:f>Diagrama!$C$254</c:f>
              <c:strCache>
                <c:ptCount val="1"/>
                <c:pt idx="0">
                  <c:v>Simergy 48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(Diagrama!$E$254,Diagrama!$N$254)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(Diagrama!$E$255,Diagrama!$N$255)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9-402B-4E2A-A43C-705970DF1C7B}"/>
            </c:ext>
          </c:extLst>
        </c:ser>
        <c:ser>
          <c:idx val="172"/>
          <c:order val="172"/>
          <c:tx>
            <c:strRef>
              <c:f>Diagrama!$C$257</c:f>
              <c:strCache>
                <c:ptCount val="1"/>
                <c:pt idx="0">
                  <c:v>Simergy 49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(Diagrama!$E$257,Diagrama!$N$257)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(Diagrama!$E$258,Diagrama!$N$258)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A-402B-4E2A-A43C-705970DF1C7B}"/>
            </c:ext>
          </c:extLst>
        </c:ser>
        <c:ser>
          <c:idx val="173"/>
          <c:order val="173"/>
          <c:tx>
            <c:strRef>
              <c:f>Diagrama!$C$260</c:f>
              <c:strCache>
                <c:ptCount val="1"/>
                <c:pt idx="0">
                  <c:v>Simergy 50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(Diagrama!$E$260,Diagrama!$N$260)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(Diagrama!$E$261,Diagrama!$N$261)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B-402B-4E2A-A43C-705970DF1C7B}"/>
            </c:ext>
          </c:extLst>
        </c:ser>
        <c:ser>
          <c:idx val="174"/>
          <c:order val="174"/>
          <c:tx>
            <c:strRef>
              <c:f>Diagrama!$C$263</c:f>
              <c:strCache>
                <c:ptCount val="1"/>
                <c:pt idx="0">
                  <c:v>Simergy 51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(Diagrama!$E$263,Diagrama!$N$263)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(Diagrama!$E$264,Diagrama!$N$264)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C-402B-4E2A-A43C-705970DF1C7B}"/>
            </c:ext>
          </c:extLst>
        </c:ser>
        <c:ser>
          <c:idx val="175"/>
          <c:order val="175"/>
          <c:tx>
            <c:strRef>
              <c:f>Diagrama!$C$266</c:f>
              <c:strCache>
                <c:ptCount val="1"/>
                <c:pt idx="0">
                  <c:v>Simergy 52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(Diagrama!$E$266,Diagrama!$N$266)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(Diagrama!$E$267,Diagrama!$N$267)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D-402B-4E2A-A43C-705970DF1C7B}"/>
            </c:ext>
          </c:extLst>
        </c:ser>
        <c:ser>
          <c:idx val="176"/>
          <c:order val="176"/>
          <c:tx>
            <c:strRef>
              <c:f>Diagrama!$C$269</c:f>
              <c:strCache>
                <c:ptCount val="1"/>
                <c:pt idx="0">
                  <c:v>Simergy 53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(Diagrama!$E$269,Diagrama!$N$269)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(Diagrama!$E$270,Diagrama!$N$270)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E-402B-4E2A-A43C-705970DF1C7B}"/>
            </c:ext>
          </c:extLst>
        </c:ser>
        <c:ser>
          <c:idx val="177"/>
          <c:order val="177"/>
          <c:tx>
            <c:strRef>
              <c:f>Diagrama!$C$272</c:f>
              <c:strCache>
                <c:ptCount val="1"/>
                <c:pt idx="0">
                  <c:v>Simergy 54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(Diagrama!$E$272,Diagrama!$N$272)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(Diagrama!$E$273,Diagrama!$N$273)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F-402B-4E2A-A43C-705970DF1C7B}"/>
            </c:ext>
          </c:extLst>
        </c:ser>
        <c:ser>
          <c:idx val="178"/>
          <c:order val="178"/>
          <c:tx>
            <c:strRef>
              <c:f>Diagrama!$C$275</c:f>
              <c:strCache>
                <c:ptCount val="1"/>
                <c:pt idx="0">
                  <c:v>Simergy 55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(Diagrama!$E$275,Diagrama!$N$275)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(Diagrama!$E$276,Diagrama!$N$276)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0-402B-4E2A-A43C-705970DF1C7B}"/>
            </c:ext>
          </c:extLst>
        </c:ser>
        <c:ser>
          <c:idx val="179"/>
          <c:order val="179"/>
          <c:tx>
            <c:strRef>
              <c:f>Diagrama!$C$278</c:f>
              <c:strCache>
                <c:ptCount val="1"/>
                <c:pt idx="0">
                  <c:v>Simergy 56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(Diagrama!$E$278,Diagrama!$N$278)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(Diagrama!$E$279,Diagrama!$N$279)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1-402B-4E2A-A43C-705970DF1C7B}"/>
            </c:ext>
          </c:extLst>
        </c:ser>
        <c:ser>
          <c:idx val="180"/>
          <c:order val="180"/>
          <c:tx>
            <c:strRef>
              <c:f>Diagrama!$C$281</c:f>
              <c:strCache>
                <c:ptCount val="1"/>
                <c:pt idx="0">
                  <c:v>Simergy 57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(Diagrama!$E$281,Diagrama!$N$281)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(Diagrama!$E$282,Diagrama!$N$282)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2-402B-4E2A-A43C-705970DF1C7B}"/>
            </c:ext>
          </c:extLst>
        </c:ser>
        <c:ser>
          <c:idx val="181"/>
          <c:order val="181"/>
          <c:tx>
            <c:strRef>
              <c:f>Diagrama!$C$284</c:f>
              <c:strCache>
                <c:ptCount val="1"/>
                <c:pt idx="0">
                  <c:v>Simergy 58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(Diagrama!$E$284,Diagrama!$N$284)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(Diagrama!$E$285,Diagrama!$N$285)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3-402B-4E2A-A43C-705970DF1C7B}"/>
            </c:ext>
          </c:extLst>
        </c:ser>
        <c:ser>
          <c:idx val="182"/>
          <c:order val="182"/>
          <c:tx>
            <c:strRef>
              <c:f>Diagrama!$C$287</c:f>
              <c:strCache>
                <c:ptCount val="1"/>
                <c:pt idx="0">
                  <c:v>Simergy 59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(Diagrama!$E$287,Diagrama!$N$287)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(Diagrama!$E$288,Diagrama!$N$288)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4-402B-4E2A-A43C-705970DF1C7B}"/>
            </c:ext>
          </c:extLst>
        </c:ser>
        <c:ser>
          <c:idx val="183"/>
          <c:order val="183"/>
          <c:tx>
            <c:strRef>
              <c:f>Diagrama!$C$290</c:f>
              <c:strCache>
                <c:ptCount val="1"/>
                <c:pt idx="0">
                  <c:v>Simergy 60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(Diagrama!$E$290,Diagrama!$N$290)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(Diagrama!$E$291,Diagrama!$N$291)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5-402B-4E2A-A43C-705970DF1C7B}"/>
            </c:ext>
          </c:extLst>
        </c:ser>
        <c:ser>
          <c:idx val="184"/>
          <c:order val="184"/>
          <c:tx>
            <c:strRef>
              <c:f>Diagrama!$C$293</c:f>
              <c:strCache>
                <c:ptCount val="1"/>
                <c:pt idx="0">
                  <c:v>Simergy 61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(Diagrama!$E$293,Diagrama!$N$293)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(Diagrama!$E$294,Diagrama!$N$294)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6-402B-4E2A-A43C-705970DF1C7B}"/>
            </c:ext>
          </c:extLst>
        </c:ser>
        <c:ser>
          <c:idx val="185"/>
          <c:order val="185"/>
          <c:tx>
            <c:strRef>
              <c:f>Diagrama!$C$296</c:f>
              <c:strCache>
                <c:ptCount val="1"/>
                <c:pt idx="0">
                  <c:v>Simergy 62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(Diagrama!$E$296,Diagrama!$N$296)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(Diagrama!$E$297,Diagrama!$N$297)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7-402B-4E2A-A43C-705970DF1C7B}"/>
            </c:ext>
          </c:extLst>
        </c:ser>
        <c:ser>
          <c:idx val="186"/>
          <c:order val="186"/>
          <c:tx>
            <c:strRef>
              <c:f>Diagrama!$C$299</c:f>
              <c:strCache>
                <c:ptCount val="1"/>
                <c:pt idx="0">
                  <c:v>Simergy 63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(Diagrama!$E$299,Diagrama!$N$299)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(Diagrama!$E$300,Diagrama!$N$300)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8-402B-4E2A-A43C-705970DF1C7B}"/>
            </c:ext>
          </c:extLst>
        </c:ser>
        <c:ser>
          <c:idx val="187"/>
          <c:order val="187"/>
          <c:tx>
            <c:strRef>
              <c:f>Diagrama!$C$302</c:f>
              <c:strCache>
                <c:ptCount val="1"/>
                <c:pt idx="0">
                  <c:v>Simergy 64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(Diagrama!$E$302,Diagrama!$N$302)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(Diagrama!$E$303,Diagrama!$N$303)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9-402B-4E2A-A43C-705970DF1C7B}"/>
            </c:ext>
          </c:extLst>
        </c:ser>
        <c:ser>
          <c:idx val="188"/>
          <c:order val="188"/>
          <c:tx>
            <c:strRef>
              <c:f>Diagrama!$C$305</c:f>
              <c:strCache>
                <c:ptCount val="1"/>
                <c:pt idx="0">
                  <c:v>Simergy 65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(Diagrama!$E$305,Diagrama!$N$305)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(Diagrama!$E$306,Diagrama!$N$306)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A-402B-4E2A-A43C-705970DF1C7B}"/>
            </c:ext>
          </c:extLst>
        </c:ser>
        <c:ser>
          <c:idx val="189"/>
          <c:order val="189"/>
          <c:tx>
            <c:strRef>
              <c:f>Diagrama!$C$308</c:f>
              <c:strCache>
                <c:ptCount val="1"/>
                <c:pt idx="0">
                  <c:v>Simergy 66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(Diagrama!$E$308,Diagrama!$N$308)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(Diagrama!$E$309,Diagrama!$N$309)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B-402B-4E2A-A43C-705970DF1C7B}"/>
            </c:ext>
          </c:extLst>
        </c:ser>
        <c:ser>
          <c:idx val="190"/>
          <c:order val="190"/>
          <c:tx>
            <c:strRef>
              <c:f>Diagrama!$C$311</c:f>
              <c:strCache>
                <c:ptCount val="1"/>
                <c:pt idx="0">
                  <c:v>Simergy 67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(Diagrama!$E$311,Diagrama!$N$311)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(Diagrama!$E$312,Diagrama!$N$312)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C-402B-4E2A-A43C-705970DF1C7B}"/>
            </c:ext>
          </c:extLst>
        </c:ser>
        <c:ser>
          <c:idx val="191"/>
          <c:order val="191"/>
          <c:tx>
            <c:strRef>
              <c:f>Diagrama!$C$314</c:f>
              <c:strCache>
                <c:ptCount val="1"/>
                <c:pt idx="0">
                  <c:v>Simergy 68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(Diagrama!$E$314,Diagrama!$N$314)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(Diagrama!$E$315,Diagrama!$N$315)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D-402B-4E2A-A43C-705970DF1C7B}"/>
            </c:ext>
          </c:extLst>
        </c:ser>
        <c:ser>
          <c:idx val="192"/>
          <c:order val="192"/>
          <c:tx>
            <c:strRef>
              <c:f>Diagrama!$C$317</c:f>
              <c:strCache>
                <c:ptCount val="1"/>
                <c:pt idx="0">
                  <c:v>Simergy 69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(Diagrama!$E$317,Diagrama!$N$317)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(Diagrama!$E$318,Diagrama!$N$318)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E-402B-4E2A-A43C-705970DF1C7B}"/>
            </c:ext>
          </c:extLst>
        </c:ser>
        <c:ser>
          <c:idx val="193"/>
          <c:order val="193"/>
          <c:tx>
            <c:strRef>
              <c:f>Diagrama!$C$320</c:f>
              <c:strCache>
                <c:ptCount val="1"/>
                <c:pt idx="0">
                  <c:v>Simergy 70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(Diagrama!$E$320,Diagrama!$N$320)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(Diagrama!$E$321,Diagrama!$N$321)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F-402B-4E2A-A43C-705970DF1C7B}"/>
            </c:ext>
          </c:extLst>
        </c:ser>
        <c:ser>
          <c:idx val="194"/>
          <c:order val="194"/>
          <c:tx>
            <c:strRef>
              <c:f>Diagrama!$C$323</c:f>
              <c:strCache>
                <c:ptCount val="1"/>
                <c:pt idx="0">
                  <c:v>Simergy 71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(Diagrama!$E$323,Diagrama!$N$323)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(Diagrama!$E$324,Diagrama!$N$324)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0-402B-4E2A-A43C-705970DF1C7B}"/>
            </c:ext>
          </c:extLst>
        </c:ser>
        <c:ser>
          <c:idx val="195"/>
          <c:order val="195"/>
          <c:tx>
            <c:strRef>
              <c:f>Diagrama!$C$326</c:f>
              <c:strCache>
                <c:ptCount val="1"/>
                <c:pt idx="0">
                  <c:v>Simergy 72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(Diagrama!$E$326,Diagrama!$N$326)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(Diagrama!$E$327,Diagrama!$N$327)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1-402B-4E2A-A43C-705970DF1C7B}"/>
            </c:ext>
          </c:extLst>
        </c:ser>
        <c:ser>
          <c:idx val="196"/>
          <c:order val="196"/>
          <c:tx>
            <c:strRef>
              <c:f>Diagrama!$C$329</c:f>
              <c:strCache>
                <c:ptCount val="1"/>
                <c:pt idx="0">
                  <c:v>Simergy 73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(Diagrama!$E$329,Diagrama!$N$329)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(Diagrama!$E$330,Diagrama!$N$330)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3-402B-4E2A-A43C-705970DF1C7B}"/>
            </c:ext>
          </c:extLst>
        </c:ser>
        <c:ser>
          <c:idx val="197"/>
          <c:order val="197"/>
          <c:tx>
            <c:strRef>
              <c:f>Diagrama!$C$332</c:f>
              <c:strCache>
                <c:ptCount val="1"/>
                <c:pt idx="0">
                  <c:v>Simergy 74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(Diagrama!$E$332,Diagrama!$N$332)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(Diagrama!$E$333,Diagrama!$N$333)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4-402B-4E2A-A43C-705970DF1C7B}"/>
            </c:ext>
          </c:extLst>
        </c:ser>
        <c:ser>
          <c:idx val="198"/>
          <c:order val="198"/>
          <c:tx>
            <c:strRef>
              <c:f>Diagrama!$C$335</c:f>
              <c:strCache>
                <c:ptCount val="1"/>
                <c:pt idx="0">
                  <c:v>Simergy 75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(Diagrama!$E$335,Diagrama!$N$335)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(Diagrama!$E$336,Diagrama!$N$336)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5-402B-4E2A-A43C-705970DF1C7B}"/>
            </c:ext>
          </c:extLst>
        </c:ser>
        <c:ser>
          <c:idx val="199"/>
          <c:order val="199"/>
          <c:tx>
            <c:strRef>
              <c:f>Diagrama!$C$338</c:f>
              <c:strCache>
                <c:ptCount val="1"/>
                <c:pt idx="0">
                  <c:v>Simergy 76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(Diagrama!$E$338,Diagrama!$N$338)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(Diagrama!$E$339,Diagrama!$N$339)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6-402B-4E2A-A43C-705970DF1C7B}"/>
            </c:ext>
          </c:extLst>
        </c:ser>
        <c:ser>
          <c:idx val="200"/>
          <c:order val="200"/>
          <c:tx>
            <c:strRef>
              <c:f>Diagrama!$C$341</c:f>
              <c:strCache>
                <c:ptCount val="1"/>
                <c:pt idx="0">
                  <c:v>Simergy 77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(Diagrama!$E$341,Diagrama!$N$341)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(Diagrama!$E$342,Diagrama!$N$342)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7-402B-4E2A-A43C-705970DF1C7B}"/>
            </c:ext>
          </c:extLst>
        </c:ser>
        <c:ser>
          <c:idx val="201"/>
          <c:order val="201"/>
          <c:tx>
            <c:strRef>
              <c:f>Diagrama!$C$344</c:f>
              <c:strCache>
                <c:ptCount val="1"/>
                <c:pt idx="0">
                  <c:v>Simergy 78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(Diagrama!$E$344,Diagrama!$N$344)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(Diagrama!$E$345,Diagrama!$N$345)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8-402B-4E2A-A43C-705970DF1C7B}"/>
            </c:ext>
          </c:extLst>
        </c:ser>
        <c:ser>
          <c:idx val="202"/>
          <c:order val="202"/>
          <c:tx>
            <c:strRef>
              <c:f>Diagrama!$C$347</c:f>
              <c:strCache>
                <c:ptCount val="1"/>
                <c:pt idx="0">
                  <c:v>Simergy 79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(Diagrama!$E$347,Diagrama!$N$347)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(Diagrama!$E$348,Diagrama!$N$348)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9-402B-4E2A-A43C-705970DF1C7B}"/>
            </c:ext>
          </c:extLst>
        </c:ser>
        <c:ser>
          <c:idx val="203"/>
          <c:order val="203"/>
          <c:tx>
            <c:strRef>
              <c:f>Diagrama!$C$350</c:f>
              <c:strCache>
                <c:ptCount val="1"/>
                <c:pt idx="0">
                  <c:v>Simergy 80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(Diagrama!$E$350,Diagrama!$N$350)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(Diagrama!$E$351,Diagrama!$N$351)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A-402B-4E2A-A43C-705970DF1C7B}"/>
            </c:ext>
          </c:extLst>
        </c:ser>
        <c:ser>
          <c:idx val="204"/>
          <c:order val="204"/>
          <c:tx>
            <c:strRef>
              <c:f>Diagrama!$C$353</c:f>
              <c:strCache>
                <c:ptCount val="1"/>
                <c:pt idx="0">
                  <c:v>Simergy 81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(Diagrama!$E$353,Diagrama!$N$353)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(Diagrama!$E$354,Diagrama!$N$354)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B-402B-4E2A-A43C-705970DF1C7B}"/>
            </c:ext>
          </c:extLst>
        </c:ser>
        <c:ser>
          <c:idx val="205"/>
          <c:order val="205"/>
          <c:tx>
            <c:strRef>
              <c:f>Diagrama!$C$356</c:f>
              <c:strCache>
                <c:ptCount val="1"/>
                <c:pt idx="0">
                  <c:v>Simergy 82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(Diagrama!$E$356,Diagrama!$N$356)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(Diagrama!$E$357,Diagrama!$N$357)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C-402B-4E2A-A43C-705970DF1C7B}"/>
            </c:ext>
          </c:extLst>
        </c:ser>
        <c:ser>
          <c:idx val="206"/>
          <c:order val="206"/>
          <c:tx>
            <c:strRef>
              <c:f>Diagrama!$C$359</c:f>
              <c:strCache>
                <c:ptCount val="1"/>
                <c:pt idx="0">
                  <c:v>Simergy 83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(Diagrama!$E$359,Diagrama!$N$359)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(Diagrama!$E$360,Diagrama!$N$360)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D-402B-4E2A-A43C-705970DF1C7B}"/>
            </c:ext>
          </c:extLst>
        </c:ser>
        <c:ser>
          <c:idx val="207"/>
          <c:order val="207"/>
          <c:tx>
            <c:strRef>
              <c:f>Diagrama!$C$362</c:f>
              <c:strCache>
                <c:ptCount val="1"/>
                <c:pt idx="0">
                  <c:v>Simergy 84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(Diagrama!$E$362,Diagrama!$N$362)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(Diagrama!$E$363,Diagrama!$N$363)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E-402B-4E2A-A43C-705970DF1C7B}"/>
            </c:ext>
          </c:extLst>
        </c:ser>
        <c:ser>
          <c:idx val="208"/>
          <c:order val="208"/>
          <c:tx>
            <c:strRef>
              <c:f>Diagrama!$C$365</c:f>
              <c:strCache>
                <c:ptCount val="1"/>
                <c:pt idx="0">
                  <c:v>Simergy 85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(Diagrama!$E$365,Diagrama!$N$365)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(Diagrama!$E$366,Diagrama!$N$366)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F-402B-4E2A-A43C-705970DF1C7B}"/>
            </c:ext>
          </c:extLst>
        </c:ser>
        <c:ser>
          <c:idx val="209"/>
          <c:order val="209"/>
          <c:tx>
            <c:strRef>
              <c:f>Diagrama!$C$368</c:f>
              <c:strCache>
                <c:ptCount val="1"/>
                <c:pt idx="0">
                  <c:v>Simergy 86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(Diagrama!$E$368,Diagrama!$N$368)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(Diagrama!$E$369,Diagrama!$N$369)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0-402B-4E2A-A43C-705970DF1C7B}"/>
            </c:ext>
          </c:extLst>
        </c:ser>
        <c:ser>
          <c:idx val="210"/>
          <c:order val="210"/>
          <c:tx>
            <c:strRef>
              <c:f>Diagrama!$C$371</c:f>
              <c:strCache>
                <c:ptCount val="1"/>
                <c:pt idx="0">
                  <c:v>Simergy 87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(Diagrama!$E$371,Diagrama!$N$371)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(Diagrama!$E$372,Diagrama!$N$372)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1-402B-4E2A-A43C-705970DF1C7B}"/>
            </c:ext>
          </c:extLst>
        </c:ser>
        <c:ser>
          <c:idx val="211"/>
          <c:order val="211"/>
          <c:tx>
            <c:strRef>
              <c:f>Diagrama!$C$374</c:f>
              <c:strCache>
                <c:ptCount val="1"/>
                <c:pt idx="0">
                  <c:v>Simergy 88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(Diagrama!$E$374,Diagrama!$N$374)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(Diagrama!$E$375,Diagrama!$N$375)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2-402B-4E2A-A43C-705970DF1C7B}"/>
            </c:ext>
          </c:extLst>
        </c:ser>
        <c:ser>
          <c:idx val="212"/>
          <c:order val="212"/>
          <c:tx>
            <c:strRef>
              <c:f>Diagrama!$C$377</c:f>
              <c:strCache>
                <c:ptCount val="1"/>
                <c:pt idx="0">
                  <c:v>Simergy 89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(Diagrama!$E$377,Diagrama!$N$377)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(Diagrama!$E$378,Diagrama!$N$378)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3-402B-4E2A-A43C-705970DF1C7B}"/>
            </c:ext>
          </c:extLst>
        </c:ser>
        <c:ser>
          <c:idx val="213"/>
          <c:order val="213"/>
          <c:tx>
            <c:strRef>
              <c:f>Diagrama!$C$380</c:f>
              <c:strCache>
                <c:ptCount val="1"/>
                <c:pt idx="0">
                  <c:v>Simergy 90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(Diagrama!$E$380,Diagrama!$N$380)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(Diagrama!$E$381,Diagrama!$N$381)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4-402B-4E2A-A43C-705970DF1C7B}"/>
            </c:ext>
          </c:extLst>
        </c:ser>
        <c:ser>
          <c:idx val="214"/>
          <c:order val="214"/>
          <c:tx>
            <c:strRef>
              <c:f>Diagrama!$C$383</c:f>
              <c:strCache>
                <c:ptCount val="1"/>
                <c:pt idx="0">
                  <c:v>Simergy 91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(Diagrama!$E$383,Diagrama!$N$383)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(Diagrama!$E$384,Diagrama!$N$384)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5-402B-4E2A-A43C-705970DF1C7B}"/>
            </c:ext>
          </c:extLst>
        </c:ser>
        <c:ser>
          <c:idx val="215"/>
          <c:order val="215"/>
          <c:tx>
            <c:strRef>
              <c:f>Diagrama!$C$386</c:f>
              <c:strCache>
                <c:ptCount val="1"/>
                <c:pt idx="0">
                  <c:v>Simergy 92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(Diagrama!$E$386,Diagrama!$N$386)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(Diagrama!$E$387,Diagrama!$N$387)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6-402B-4E2A-A43C-705970DF1C7B}"/>
            </c:ext>
          </c:extLst>
        </c:ser>
        <c:ser>
          <c:idx val="216"/>
          <c:order val="216"/>
          <c:tx>
            <c:strRef>
              <c:f>Diagrama!$C$389</c:f>
              <c:strCache>
                <c:ptCount val="1"/>
                <c:pt idx="0">
                  <c:v>Simergy 93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(Diagrama!$E$389,Diagrama!$N$389)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(Diagrama!$E$390,Diagrama!$N$390)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7-402B-4E2A-A43C-705970DF1C7B}"/>
            </c:ext>
          </c:extLst>
        </c:ser>
        <c:ser>
          <c:idx val="217"/>
          <c:order val="217"/>
          <c:tx>
            <c:strRef>
              <c:f>Diagrama!$C$392</c:f>
              <c:strCache>
                <c:ptCount val="1"/>
                <c:pt idx="0">
                  <c:v>Simergy 94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(Diagrama!$E$392,Diagrama!$N$392)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(Diagrama!$E$393,Diagrama!$N$393)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8-402B-4E2A-A43C-705970DF1C7B}"/>
            </c:ext>
          </c:extLst>
        </c:ser>
        <c:ser>
          <c:idx val="218"/>
          <c:order val="218"/>
          <c:tx>
            <c:strRef>
              <c:f>Diagrama!$C$395</c:f>
              <c:strCache>
                <c:ptCount val="1"/>
                <c:pt idx="0">
                  <c:v>Simergy 95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(Diagrama!$E$395,Diagrama!$N$395)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(Diagrama!$E$396,Diagrama!$N$396)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9-402B-4E2A-A43C-705970DF1C7B}"/>
            </c:ext>
          </c:extLst>
        </c:ser>
        <c:ser>
          <c:idx val="219"/>
          <c:order val="219"/>
          <c:tx>
            <c:strRef>
              <c:f>Diagrama!$C$398</c:f>
              <c:strCache>
                <c:ptCount val="1"/>
                <c:pt idx="0">
                  <c:v>Simergy 96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(Diagrama!$E$398,Diagrama!$N$398)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(Diagrama!$E$399,Diagrama!$N$399)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A-402B-4E2A-A43C-705970DF1C7B}"/>
            </c:ext>
          </c:extLst>
        </c:ser>
        <c:ser>
          <c:idx val="220"/>
          <c:order val="220"/>
          <c:tx>
            <c:strRef>
              <c:f>Diagrama!$C$401</c:f>
              <c:strCache>
                <c:ptCount val="1"/>
                <c:pt idx="0">
                  <c:v>Simergy 97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(Diagrama!$E$401,Diagrama!$N$401)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(Diagrama!$E$402,Diagrama!$N$402)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B-402B-4E2A-A43C-705970DF1C7B}"/>
            </c:ext>
          </c:extLst>
        </c:ser>
        <c:ser>
          <c:idx val="221"/>
          <c:order val="221"/>
          <c:tx>
            <c:strRef>
              <c:f>Diagrama!$C$404</c:f>
              <c:strCache>
                <c:ptCount val="1"/>
                <c:pt idx="0">
                  <c:v>Simergy 98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(Diagrama!$E$404,Diagrama!$N$404)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(Diagrama!$E$405,Diagrama!$N$405)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C-402B-4E2A-A43C-705970DF1C7B}"/>
            </c:ext>
          </c:extLst>
        </c:ser>
        <c:ser>
          <c:idx val="222"/>
          <c:order val="222"/>
          <c:tx>
            <c:strRef>
              <c:f>Diagrama!$C$407</c:f>
              <c:strCache>
                <c:ptCount val="1"/>
                <c:pt idx="0">
                  <c:v>Simergy 99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(Diagrama!$E$407,Diagrama!$N$407)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(Diagrama!$E$408,Diagrama!$N$408)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D-402B-4E2A-A43C-705970DF1C7B}"/>
            </c:ext>
          </c:extLst>
        </c:ser>
        <c:ser>
          <c:idx val="223"/>
          <c:order val="223"/>
          <c:tx>
            <c:strRef>
              <c:f>Diagrama!$C$410</c:f>
              <c:strCache>
                <c:ptCount val="1"/>
                <c:pt idx="0">
                  <c:v>Simergy 100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(Diagrama!$E$410,Diagrama!$N$410)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(Diagrama!$E$411,Diagrama!$N$411)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E-402B-4E2A-A43C-705970DF1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2111791"/>
        <c:axId val="1"/>
      </c:scatterChart>
      <c:valAx>
        <c:axId val="2042111791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1"/>
        <c:crosses val="autoZero"/>
        <c:crossBetween val="midCat"/>
        <c:majorUnit val="0.1"/>
      </c:valAx>
      <c:valAx>
        <c:axId val="1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2042111791"/>
        <c:crosses val="autoZero"/>
        <c:crossBetween val="midCat"/>
        <c:majorUnit val="0.1"/>
      </c:valAx>
      <c:spPr>
        <a:solidFill>
          <a:schemeClr val="bg1"/>
        </a:solidFill>
      </c:spPr>
    </c:plotArea>
    <c:plotVisOnly val="1"/>
    <c:dispBlanksAs val="gap"/>
    <c:showDLblsOverMax val="0"/>
  </c:chart>
  <c:spPr>
    <a:solidFill>
      <a:srgbClr val="FFFFFF"/>
    </a:solidFill>
    <a:ln w="38100">
      <a:solidFill>
        <a:schemeClr val="bg1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Comic Sans MS"/>
          <a:ea typeface="Comic Sans MS"/>
          <a:cs typeface="Comic Sans M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257176</xdr:colOff>
      <xdr:row>3</xdr:row>
      <xdr:rowOff>94205</xdr:rowOff>
    </xdr:from>
    <xdr:to>
      <xdr:col>11</xdr:col>
      <xdr:colOff>445196</xdr:colOff>
      <xdr:row>35</xdr:row>
      <xdr:rowOff>8480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393700</xdr:colOff>
      <xdr:row>0</xdr:row>
      <xdr:rowOff>176306</xdr:rowOff>
    </xdr:from>
    <xdr:to>
      <xdr:col>2</xdr:col>
      <xdr:colOff>368300</xdr:colOff>
      <xdr:row>2</xdr:row>
      <xdr:rowOff>89641</xdr:rowOff>
    </xdr:to>
    <xdr:sp macro="[0]!entradadad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93700" y="176306"/>
          <a:ext cx="1333500" cy="4213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Data Input</a:t>
          </a:r>
        </a:p>
      </xdr:txBody>
    </xdr:sp>
    <xdr:clientData/>
  </xdr:twoCellAnchor>
  <xdr:twoCellAnchor>
    <xdr:from>
      <xdr:col>2</xdr:col>
      <xdr:colOff>448236</xdr:colOff>
      <xdr:row>0</xdr:row>
      <xdr:rowOff>168096</xdr:rowOff>
    </xdr:from>
    <xdr:to>
      <xdr:col>4</xdr:col>
      <xdr:colOff>410136</xdr:colOff>
      <xdr:row>2</xdr:row>
      <xdr:rowOff>102349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18670" y="168096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Points</a:t>
          </a:r>
        </a:p>
      </xdr:txBody>
    </xdr:sp>
    <xdr:clientData/>
  </xdr:twoCellAnchor>
  <xdr:twoCellAnchor>
    <xdr:from>
      <xdr:col>4</xdr:col>
      <xdr:colOff>480359</xdr:colOff>
      <xdr:row>0</xdr:row>
      <xdr:rowOff>164353</xdr:rowOff>
    </xdr:from>
    <xdr:to>
      <xdr:col>6</xdr:col>
      <xdr:colOff>442259</xdr:colOff>
      <xdr:row>2</xdr:row>
      <xdr:rowOff>90388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210859" y="164353"/>
          <a:ext cx="1333500" cy="4340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Lines</a:t>
          </a:r>
        </a:p>
      </xdr:txBody>
    </xdr:sp>
    <xdr:clientData/>
  </xdr:twoCellAnchor>
  <xdr:twoCellAnchor>
    <xdr:from>
      <xdr:col>6</xdr:col>
      <xdr:colOff>510996</xdr:colOff>
      <xdr:row>0</xdr:row>
      <xdr:rowOff>160617</xdr:rowOff>
    </xdr:from>
    <xdr:to>
      <xdr:col>8</xdr:col>
      <xdr:colOff>472896</xdr:colOff>
      <xdr:row>2</xdr:row>
      <xdr:rowOff>94870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641736" y="160617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Information</a:t>
          </a:r>
        </a:p>
      </xdr:txBody>
    </xdr:sp>
    <xdr:clientData/>
  </xdr:twoCellAnchor>
  <xdr:twoCellAnchor>
    <xdr:from>
      <xdr:col>8</xdr:col>
      <xdr:colOff>543112</xdr:colOff>
      <xdr:row>0</xdr:row>
      <xdr:rowOff>156882</xdr:rowOff>
    </xdr:from>
    <xdr:to>
      <xdr:col>10</xdr:col>
      <xdr:colOff>289112</xdr:colOff>
      <xdr:row>2</xdr:row>
      <xdr:rowOff>82917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054005" y="156882"/>
          <a:ext cx="1339979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Appearance</a:t>
          </a:r>
        </a:p>
      </xdr:txBody>
    </xdr:sp>
    <xdr:clientData/>
  </xdr:twoCellAnchor>
  <xdr:twoCellAnchor>
    <xdr:from>
      <xdr:col>10</xdr:col>
      <xdr:colOff>353366</xdr:colOff>
      <xdr:row>0</xdr:row>
      <xdr:rowOff>155367</xdr:rowOff>
    </xdr:from>
    <xdr:to>
      <xdr:col>12</xdr:col>
      <xdr:colOff>150166</xdr:colOff>
      <xdr:row>2</xdr:row>
      <xdr:rowOff>81402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458238" y="155367"/>
          <a:ext cx="1332464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Print and 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179296</xdr:colOff>
      <xdr:row>1</xdr:row>
      <xdr:rowOff>11205</xdr:rowOff>
    </xdr:from>
    <xdr:to>
      <xdr:col>5</xdr:col>
      <xdr:colOff>616253</xdr:colOff>
      <xdr:row>3</xdr:row>
      <xdr:rowOff>61774</xdr:rowOff>
    </xdr:to>
    <xdr:sp macro="[0]!emergychart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12443" y="235323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  <xdr:twoCellAnchor>
    <xdr:from>
      <xdr:col>5</xdr:col>
      <xdr:colOff>701489</xdr:colOff>
      <xdr:row>1</xdr:row>
      <xdr:rowOff>17928</xdr:rowOff>
    </xdr:from>
    <xdr:to>
      <xdr:col>7</xdr:col>
      <xdr:colOff>544535</xdr:colOff>
      <xdr:row>3</xdr:row>
      <xdr:rowOff>68497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42313" y="242046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640977</xdr:colOff>
      <xdr:row>1</xdr:row>
      <xdr:rowOff>13447</xdr:rowOff>
    </xdr:from>
    <xdr:to>
      <xdr:col>9</xdr:col>
      <xdr:colOff>551258</xdr:colOff>
      <xdr:row>3</xdr:row>
      <xdr:rowOff>64016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283389" y="237565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Load Table</a:t>
          </a:r>
        </a:p>
      </xdr:txBody>
    </xdr:sp>
    <xdr:clientData/>
  </xdr:twoCellAnchor>
  <xdr:twoCellAnchor>
    <xdr:from>
      <xdr:col>9</xdr:col>
      <xdr:colOff>638736</xdr:colOff>
      <xdr:row>1</xdr:row>
      <xdr:rowOff>1</xdr:rowOff>
    </xdr:from>
    <xdr:to>
      <xdr:col>12</xdr:col>
      <xdr:colOff>392135</xdr:colOff>
      <xdr:row>3</xdr:row>
      <xdr:rowOff>50570</xdr:rowOff>
    </xdr:to>
    <xdr:sp macro="[0]!LimpaEntrad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9715501" y="526677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Clear</a:t>
          </a:r>
          <a:endParaRPr lang="pt-BR" sz="1100" b="1" baseline="0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174949</xdr:colOff>
      <xdr:row>0</xdr:row>
      <xdr:rowOff>68036</xdr:rowOff>
    </xdr:from>
    <xdr:to>
      <xdr:col>2</xdr:col>
      <xdr:colOff>499047</xdr:colOff>
      <xdr:row>2</xdr:row>
      <xdr:rowOff>101911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77551" y="68036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K:\Andr&#233;\Grafico\Grafico30.xlsm" TargetMode="External"/><Relationship Id="rId1" Type="http://schemas.openxmlformats.org/officeDocument/2006/relationships/externalLinkPath" Target="Grafico3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IAG"/>
      <sheetName val="Resumo"/>
      <sheetName val="Entrada_de_Dados_2"/>
      <sheetName val="Diagrama"/>
      <sheetName val="Espelho"/>
    </sheetNames>
    <sheetDataSet>
      <sheetData sheetId="0">
        <row r="44">
          <cell r="X44" t="b">
            <v>0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indexed="21"/>
  </sheetPr>
  <dimension ref="A1:GS442"/>
  <sheetViews>
    <sheetView windowProtection="1" showGridLines="0" showZeros="0" zoomScale="75" zoomScaleNormal="75" workbookViewId="0">
      <selection activeCell="N9" sqref="N9"/>
    </sheetView>
  </sheetViews>
  <sheetFormatPr defaultRowHeight="12.75" x14ac:dyDescent="0.2"/>
  <cols>
    <col min="1" max="1" width="8.875" style="204" customWidth="1"/>
    <col min="2" max="6" width="9" style="204"/>
    <col min="7" max="7" width="11.875" style="204" customWidth="1"/>
    <col min="8" max="8" width="13" style="204" customWidth="1"/>
    <col min="9" max="9" width="13.125" style="204" customWidth="1"/>
    <col min="10" max="10" width="11.875" style="204" customWidth="1"/>
    <col min="11" max="11" width="9" style="204"/>
    <col min="12" max="12" width="11.125" style="204" bestFit="1" customWidth="1"/>
    <col min="13" max="14" width="12.5" style="204" customWidth="1"/>
    <col min="15" max="15" width="10.75" style="204" customWidth="1"/>
    <col min="16" max="16" width="15.375" style="204" customWidth="1"/>
    <col min="17" max="17" width="7" style="204" customWidth="1"/>
    <col min="18" max="18" width="15.25" style="204" bestFit="1" customWidth="1"/>
    <col min="19" max="19" width="12.25" style="205" customWidth="1"/>
    <col min="20" max="22" width="13.25" style="205" customWidth="1"/>
    <col min="23" max="23" width="13" style="204" customWidth="1"/>
    <col min="24" max="24" width="13.75" style="204" customWidth="1"/>
    <col min="25" max="25" width="12.75" style="204" customWidth="1"/>
    <col min="26" max="26" width="12.625" style="204" customWidth="1"/>
    <col min="27" max="27" width="13.5" style="204" customWidth="1"/>
    <col min="28" max="28" width="12.5" style="204" customWidth="1"/>
    <col min="29" max="29" width="9.75" style="204" customWidth="1"/>
    <col min="30" max="30" width="10.25" style="204" customWidth="1"/>
    <col min="31" max="31" width="11.375" style="204" customWidth="1"/>
    <col min="32" max="32" width="11.25" style="204" customWidth="1"/>
    <col min="33" max="33" width="9.625" style="204" customWidth="1"/>
    <col min="34" max="34" width="10.25" style="204" customWidth="1"/>
    <col min="35" max="35" width="7.75" style="204" customWidth="1"/>
    <col min="36" max="37" width="7.125" style="204" customWidth="1"/>
    <col min="38" max="38" width="8.375" style="204" customWidth="1"/>
    <col min="39" max="39" width="8.625" style="204" customWidth="1"/>
    <col min="40" max="40" width="16.125" style="204" customWidth="1"/>
    <col min="41" max="41" width="12.875" style="204" customWidth="1"/>
    <col min="42" max="42" width="13.375" style="204" customWidth="1"/>
    <col min="43" max="43" width="8.5" style="204" customWidth="1"/>
    <col min="44" max="44" width="9" style="204" customWidth="1"/>
    <col min="45" max="45" width="8.875" style="204" customWidth="1"/>
    <col min="46" max="46" width="11.875" style="204" customWidth="1"/>
    <col min="47" max="16384" width="9" style="204"/>
  </cols>
  <sheetData>
    <row r="1" spans="8:46" ht="30" customHeight="1" x14ac:dyDescent="0.2">
      <c r="P1" s="204" t="s">
        <v>66</v>
      </c>
      <c r="Q1" s="204" t="s">
        <v>0</v>
      </c>
      <c r="R1" s="204" t="s">
        <v>18</v>
      </c>
      <c r="T1" s="205" t="s">
        <v>122</v>
      </c>
      <c r="U1" s="205" t="s">
        <v>122</v>
      </c>
      <c r="V1" s="205" t="s">
        <v>122</v>
      </c>
      <c r="W1" s="204">
        <v>5</v>
      </c>
      <c r="X1" s="206"/>
      <c r="Y1" s="206"/>
      <c r="AA1" s="204">
        <f>N5+O5+P5</f>
        <v>1</v>
      </c>
      <c r="AM1" s="204">
        <v>1</v>
      </c>
      <c r="AT1" s="204" t="s">
        <v>5</v>
      </c>
    </row>
    <row r="2" spans="8:46" x14ac:dyDescent="0.2">
      <c r="T2" s="205" t="s">
        <v>120</v>
      </c>
      <c r="U2" s="205" t="s">
        <v>120</v>
      </c>
      <c r="V2" s="205" t="s">
        <v>120</v>
      </c>
      <c r="AM2" s="204">
        <v>2</v>
      </c>
      <c r="AT2" s="204" t="s">
        <v>7</v>
      </c>
    </row>
    <row r="3" spans="8:46" x14ac:dyDescent="0.2">
      <c r="R3" s="204" t="s">
        <v>81</v>
      </c>
      <c r="T3" s="205" t="s">
        <v>121</v>
      </c>
      <c r="U3" s="205" t="s">
        <v>121</v>
      </c>
      <c r="V3" s="205" t="s">
        <v>121</v>
      </c>
      <c r="AM3" s="204">
        <v>3</v>
      </c>
      <c r="AT3" s="204" t="s">
        <v>6</v>
      </c>
    </row>
    <row r="4" spans="8:46" x14ac:dyDescent="0.2">
      <c r="T4" s="205" t="s">
        <v>123</v>
      </c>
      <c r="U4" s="205" t="s">
        <v>123</v>
      </c>
      <c r="V4" s="205" t="s">
        <v>123</v>
      </c>
      <c r="X4" s="204" t="s">
        <v>93</v>
      </c>
      <c r="AM4" s="204">
        <v>4</v>
      </c>
      <c r="AT4" s="204" t="s">
        <v>87</v>
      </c>
    </row>
    <row r="5" spans="8:46" x14ac:dyDescent="0.2">
      <c r="N5" s="204" t="b">
        <v>0</v>
      </c>
      <c r="O5" s="204" t="b">
        <v>0</v>
      </c>
      <c r="P5" s="204" t="b">
        <v>1</v>
      </c>
      <c r="T5" s="205" t="s">
        <v>124</v>
      </c>
      <c r="U5" s="205" t="s">
        <v>124</v>
      </c>
      <c r="V5" s="205" t="s">
        <v>124</v>
      </c>
      <c r="X5" s="204" t="s">
        <v>101</v>
      </c>
      <c r="Y5" s="204" t="s">
        <v>104</v>
      </c>
      <c r="Z5" s="204" t="s">
        <v>103</v>
      </c>
      <c r="AM5" s="204">
        <v>5</v>
      </c>
    </row>
    <row r="6" spans="8:46" x14ac:dyDescent="0.2">
      <c r="T6" s="205" t="s">
        <v>125</v>
      </c>
      <c r="U6" s="205" t="s">
        <v>125</v>
      </c>
      <c r="V6" s="205" t="s">
        <v>125</v>
      </c>
      <c r="X6" s="204" t="b">
        <v>0</v>
      </c>
      <c r="Y6" s="204" t="b">
        <v>0</v>
      </c>
      <c r="Z6" s="204" t="b">
        <v>0</v>
      </c>
      <c r="AM6" s="204">
        <v>6</v>
      </c>
    </row>
    <row r="7" spans="8:46" x14ac:dyDescent="0.2">
      <c r="T7" s="205" t="s">
        <v>126</v>
      </c>
      <c r="U7" s="205" t="s">
        <v>126</v>
      </c>
      <c r="V7" s="205" t="s">
        <v>126</v>
      </c>
      <c r="AM7" s="204">
        <v>7</v>
      </c>
    </row>
    <row r="8" spans="8:46" x14ac:dyDescent="0.2">
      <c r="T8" s="205" t="s">
        <v>127</v>
      </c>
      <c r="U8" s="205" t="s">
        <v>127</v>
      </c>
      <c r="V8" s="205" t="s">
        <v>127</v>
      </c>
      <c r="AM8" s="204">
        <v>8</v>
      </c>
    </row>
    <row r="9" spans="8:46" x14ac:dyDescent="0.2">
      <c r="T9" s="205" t="s">
        <v>128</v>
      </c>
      <c r="U9" s="205" t="s">
        <v>128</v>
      </c>
      <c r="V9" s="205" t="s">
        <v>128</v>
      </c>
      <c r="AM9" s="204">
        <v>9</v>
      </c>
    </row>
    <row r="10" spans="8:46" x14ac:dyDescent="0.2">
      <c r="T10" s="205" t="s">
        <v>129</v>
      </c>
      <c r="U10" s="205" t="s">
        <v>129</v>
      </c>
      <c r="V10" s="205" t="s">
        <v>129</v>
      </c>
      <c r="AM10" s="204">
        <v>10</v>
      </c>
    </row>
    <row r="11" spans="8:46" x14ac:dyDescent="0.2">
      <c r="R11" s="204" t="s">
        <v>65</v>
      </c>
      <c r="S11" s="205">
        <v>1</v>
      </c>
      <c r="T11" s="205" t="b">
        <v>1</v>
      </c>
      <c r="U11" s="205" t="b">
        <v>1</v>
      </c>
      <c r="V11" s="205" t="b">
        <v>1</v>
      </c>
      <c r="W11" s="208"/>
      <c r="X11" s="208"/>
      <c r="Y11" s="208"/>
      <c r="Z11" s="208"/>
      <c r="AA11" s="208"/>
      <c r="AB11" s="208"/>
    </row>
    <row r="12" spans="8:46" x14ac:dyDescent="0.2">
      <c r="S12" s="205">
        <v>2</v>
      </c>
      <c r="T12" s="205" t="b">
        <v>1</v>
      </c>
      <c r="U12" s="205" t="b">
        <v>1</v>
      </c>
      <c r="V12" s="205" t="b">
        <v>1</v>
      </c>
    </row>
    <row r="13" spans="8:46" x14ac:dyDescent="0.2">
      <c r="H13" s="209"/>
      <c r="I13" s="209"/>
      <c r="S13" s="205">
        <v>3</v>
      </c>
      <c r="T13" s="205" t="b">
        <v>1</v>
      </c>
      <c r="U13" s="205" t="b">
        <v>1</v>
      </c>
      <c r="V13" s="205" t="b">
        <v>1</v>
      </c>
    </row>
    <row r="14" spans="8:46" x14ac:dyDescent="0.2">
      <c r="S14" s="205">
        <v>4</v>
      </c>
      <c r="T14" s="205" t="b">
        <v>1</v>
      </c>
      <c r="U14" s="205" t="b">
        <v>1</v>
      </c>
      <c r="V14" s="205" t="b">
        <v>1</v>
      </c>
    </row>
    <row r="15" spans="8:46" x14ac:dyDescent="0.2">
      <c r="S15" s="205">
        <v>5</v>
      </c>
      <c r="T15" s="205" t="b">
        <v>1</v>
      </c>
      <c r="U15" s="205" t="b">
        <v>1</v>
      </c>
      <c r="V15" s="205" t="b">
        <v>1</v>
      </c>
    </row>
    <row r="16" spans="8:46" x14ac:dyDescent="0.2">
      <c r="S16" s="205">
        <v>6</v>
      </c>
      <c r="T16" s="205" t="b">
        <v>1</v>
      </c>
      <c r="U16" s="205" t="b">
        <v>1</v>
      </c>
      <c r="V16" s="205" t="b">
        <v>1</v>
      </c>
    </row>
    <row r="17" spans="1:32" x14ac:dyDescent="0.2">
      <c r="S17" s="205">
        <v>7</v>
      </c>
      <c r="T17" s="205" t="b">
        <v>1</v>
      </c>
      <c r="U17" s="205" t="b">
        <v>1</v>
      </c>
      <c r="V17" s="205" t="b">
        <v>1</v>
      </c>
    </row>
    <row r="18" spans="1:32" x14ac:dyDescent="0.2">
      <c r="S18" s="205">
        <v>8</v>
      </c>
      <c r="T18" s="205" t="b">
        <v>1</v>
      </c>
      <c r="U18" s="205" t="b">
        <v>1</v>
      </c>
      <c r="V18" s="205" t="b">
        <v>1</v>
      </c>
    </row>
    <row r="19" spans="1:32" x14ac:dyDescent="0.2">
      <c r="S19" s="205">
        <v>9</v>
      </c>
      <c r="T19" s="205" t="b">
        <v>1</v>
      </c>
      <c r="U19" s="205" t="b">
        <v>1</v>
      </c>
      <c r="V19" s="205" t="b">
        <v>1</v>
      </c>
    </row>
    <row r="20" spans="1:32" x14ac:dyDescent="0.2">
      <c r="S20" s="205">
        <v>10</v>
      </c>
      <c r="T20" s="205" t="b">
        <v>1</v>
      </c>
      <c r="U20" s="205" t="b">
        <v>1</v>
      </c>
      <c r="V20" s="205" t="b">
        <v>1</v>
      </c>
    </row>
    <row r="21" spans="1:32" x14ac:dyDescent="0.2">
      <c r="R21" s="204" t="s">
        <v>1</v>
      </c>
      <c r="S21" s="205">
        <v>1</v>
      </c>
      <c r="T21" s="205" t="b">
        <v>0</v>
      </c>
      <c r="U21" s="205" t="b">
        <v>0</v>
      </c>
      <c r="V21" s="205" t="b">
        <v>0</v>
      </c>
      <c r="W21" s="204">
        <f>IF(T21,1,0)</f>
        <v>0</v>
      </c>
      <c r="X21" s="204">
        <f>IF(T22,1,0)</f>
        <v>0</v>
      </c>
      <c r="Y21" s="204">
        <f>IF(T23,1,0)</f>
        <v>0</v>
      </c>
      <c r="Z21" s="204">
        <f>IF(T24,1,0)</f>
        <v>0</v>
      </c>
      <c r="AA21" s="204">
        <f>IF(T25,1,0)</f>
        <v>0</v>
      </c>
      <c r="AB21" s="204">
        <f>IF(T26,1,0)</f>
        <v>0</v>
      </c>
      <c r="AC21" s="204">
        <f>IF(T27,1,0)</f>
        <v>0</v>
      </c>
      <c r="AD21" s="204">
        <f>IF(T28,1,0)</f>
        <v>0</v>
      </c>
      <c r="AE21" s="204">
        <f>IF(T29,1,0)</f>
        <v>0</v>
      </c>
      <c r="AF21" s="204">
        <f>IF(T30,1,0)</f>
        <v>0</v>
      </c>
    </row>
    <row r="22" spans="1:32" x14ac:dyDescent="0.2">
      <c r="B22" s="210"/>
      <c r="S22" s="205">
        <v>2</v>
      </c>
      <c r="T22" s="205" t="b">
        <v>0</v>
      </c>
      <c r="U22" s="205" t="b">
        <v>0</v>
      </c>
      <c r="V22" s="205" t="b">
        <v>0</v>
      </c>
    </row>
    <row r="23" spans="1:32" x14ac:dyDescent="0.2">
      <c r="B23" s="210"/>
      <c r="M23" s="207"/>
      <c r="S23" s="205">
        <v>3</v>
      </c>
      <c r="T23" s="205" t="b">
        <v>0</v>
      </c>
      <c r="U23" s="205" t="b">
        <v>0</v>
      </c>
      <c r="V23" s="205" t="b">
        <v>0</v>
      </c>
    </row>
    <row r="24" spans="1:32" x14ac:dyDescent="0.2">
      <c r="B24" s="210"/>
      <c r="S24" s="205">
        <v>4</v>
      </c>
      <c r="T24" s="205" t="b">
        <v>0</v>
      </c>
      <c r="U24" s="205" t="b">
        <v>0</v>
      </c>
      <c r="V24" s="205" t="b">
        <v>0</v>
      </c>
    </row>
    <row r="25" spans="1:32" x14ac:dyDescent="0.2">
      <c r="A25" s="210"/>
      <c r="B25" s="210"/>
      <c r="S25" s="205">
        <v>5</v>
      </c>
      <c r="T25" s="205" t="b">
        <v>0</v>
      </c>
      <c r="U25" s="205" t="b">
        <v>0</v>
      </c>
      <c r="V25" s="205" t="b">
        <v>0</v>
      </c>
    </row>
    <row r="26" spans="1:32" x14ac:dyDescent="0.2">
      <c r="A26" s="211"/>
      <c r="B26" s="211"/>
      <c r="C26" s="211"/>
      <c r="D26" s="211"/>
      <c r="E26" s="211"/>
      <c r="S26" s="205">
        <v>6</v>
      </c>
      <c r="T26" s="205" t="b">
        <v>0</v>
      </c>
      <c r="U26" s="205" t="b">
        <v>0</v>
      </c>
      <c r="V26" s="205" t="b">
        <v>0</v>
      </c>
    </row>
    <row r="27" spans="1:32" x14ac:dyDescent="0.2">
      <c r="A27" s="211"/>
      <c r="B27" s="211"/>
      <c r="C27" s="211"/>
      <c r="D27" s="211"/>
      <c r="E27" s="211"/>
      <c r="S27" s="205">
        <v>7</v>
      </c>
      <c r="T27" s="205" t="b">
        <v>0</v>
      </c>
      <c r="U27" s="205" t="b">
        <v>0</v>
      </c>
      <c r="V27" s="205" t="b">
        <v>0</v>
      </c>
    </row>
    <row r="28" spans="1:32" x14ac:dyDescent="0.2">
      <c r="A28" s="211"/>
      <c r="B28" s="211"/>
      <c r="C28" s="211"/>
      <c r="D28" s="211"/>
      <c r="E28" s="211"/>
      <c r="S28" s="205">
        <v>8</v>
      </c>
      <c r="T28" s="205" t="b">
        <v>0</v>
      </c>
      <c r="U28" s="205" t="b">
        <v>0</v>
      </c>
      <c r="V28" s="205" t="b">
        <v>0</v>
      </c>
    </row>
    <row r="29" spans="1:32" x14ac:dyDescent="0.2">
      <c r="A29" s="211"/>
      <c r="B29" s="211"/>
      <c r="C29" s="211"/>
      <c r="D29" s="211"/>
      <c r="E29" s="211"/>
      <c r="S29" s="205">
        <v>9</v>
      </c>
      <c r="T29" s="205" t="b">
        <v>0</v>
      </c>
      <c r="U29" s="205" t="b">
        <v>0</v>
      </c>
      <c r="V29" s="205" t="b">
        <v>0</v>
      </c>
    </row>
    <row r="30" spans="1:32" x14ac:dyDescent="0.2">
      <c r="A30" s="212"/>
      <c r="B30" s="212"/>
      <c r="C30" s="212"/>
      <c r="S30" s="205">
        <v>10</v>
      </c>
      <c r="T30" s="205" t="b">
        <v>0</v>
      </c>
      <c r="U30" s="205" t="b">
        <v>0</v>
      </c>
      <c r="V30" s="205" t="b">
        <v>0</v>
      </c>
    </row>
    <row r="31" spans="1:32" x14ac:dyDescent="0.2">
      <c r="R31" s="204" t="s">
        <v>2</v>
      </c>
      <c r="S31" s="205">
        <v>1</v>
      </c>
      <c r="T31" s="205">
        <v>1</v>
      </c>
      <c r="U31" s="205">
        <v>1</v>
      </c>
      <c r="V31" s="205">
        <v>1</v>
      </c>
      <c r="W31" s="204">
        <f>IF($T$41,T31,1)</f>
        <v>1</v>
      </c>
      <c r="X31" s="204">
        <f>IF($T$41,T32,1)</f>
        <v>1</v>
      </c>
      <c r="Y31" s="204">
        <f>IF($T$41,T33,1)</f>
        <v>1</v>
      </c>
      <c r="Z31" s="204">
        <f>IF($T$41,T34,1)</f>
        <v>1</v>
      </c>
      <c r="AA31" s="204">
        <f>IF($T$41,T35,1)</f>
        <v>1</v>
      </c>
      <c r="AB31" s="204">
        <f>IF($T$41,T36,1)</f>
        <v>1</v>
      </c>
      <c r="AC31" s="204">
        <f>IF($T$41,T37,1)</f>
        <v>1</v>
      </c>
      <c r="AD31" s="204">
        <f>IF($T$41,T38,1)</f>
        <v>1</v>
      </c>
      <c r="AE31" s="204">
        <f>IF($T$41,T39,1)</f>
        <v>1</v>
      </c>
      <c r="AF31" s="204">
        <f>IF($T$41,T40,1)</f>
        <v>1</v>
      </c>
    </row>
    <row r="32" spans="1:32" x14ac:dyDescent="0.2">
      <c r="S32" s="205">
        <v>2</v>
      </c>
      <c r="T32" s="205">
        <v>1</v>
      </c>
      <c r="U32" s="205">
        <v>1</v>
      </c>
      <c r="V32" s="205">
        <v>1</v>
      </c>
    </row>
    <row r="33" spans="1:24" x14ac:dyDescent="0.2">
      <c r="S33" s="205">
        <v>3</v>
      </c>
      <c r="T33" s="205">
        <v>1</v>
      </c>
      <c r="U33" s="205">
        <v>1</v>
      </c>
      <c r="V33" s="205">
        <v>1</v>
      </c>
    </row>
    <row r="34" spans="1:24" x14ac:dyDescent="0.2">
      <c r="S34" s="205">
        <v>4</v>
      </c>
      <c r="T34" s="205">
        <v>1</v>
      </c>
      <c r="U34" s="205">
        <v>1</v>
      </c>
      <c r="V34" s="205">
        <v>1</v>
      </c>
    </row>
    <row r="35" spans="1:24" x14ac:dyDescent="0.2">
      <c r="S35" s="205">
        <v>5</v>
      </c>
      <c r="T35" s="205">
        <v>1</v>
      </c>
      <c r="U35" s="205">
        <v>1</v>
      </c>
      <c r="V35" s="205">
        <v>1</v>
      </c>
    </row>
    <row r="36" spans="1:24" x14ac:dyDescent="0.2">
      <c r="S36" s="205">
        <v>6</v>
      </c>
      <c r="T36" s="205">
        <v>1</v>
      </c>
      <c r="U36" s="205">
        <v>1</v>
      </c>
      <c r="V36" s="205">
        <v>1</v>
      </c>
    </row>
    <row r="37" spans="1:24" x14ac:dyDescent="0.2">
      <c r="E37" s="205" t="s">
        <v>65</v>
      </c>
      <c r="F37" s="205">
        <v>1</v>
      </c>
      <c r="G37" s="205" t="b">
        <v>1</v>
      </c>
      <c r="H37" s="205" t="b">
        <v>1</v>
      </c>
      <c r="I37" s="205" t="b">
        <v>1</v>
      </c>
      <c r="K37" s="213">
        <v>1</v>
      </c>
      <c r="L37" s="213" t="s">
        <v>236</v>
      </c>
      <c r="M37" s="213" t="s">
        <v>236</v>
      </c>
      <c r="N37" s="213" t="s">
        <v>236</v>
      </c>
      <c r="O37" s="205" t="s">
        <v>18</v>
      </c>
      <c r="S37" s="205">
        <v>7</v>
      </c>
      <c r="T37" s="205">
        <v>1</v>
      </c>
      <c r="U37" s="205">
        <v>1</v>
      </c>
      <c r="V37" s="205">
        <v>1</v>
      </c>
    </row>
    <row r="38" spans="1:24" x14ac:dyDescent="0.2">
      <c r="F38" s="205">
        <v>2</v>
      </c>
      <c r="G38" s="205" t="b">
        <v>1</v>
      </c>
      <c r="H38" s="205" t="b">
        <v>1</v>
      </c>
      <c r="I38" s="205" t="b">
        <v>1</v>
      </c>
      <c r="K38" s="213">
        <v>2</v>
      </c>
      <c r="L38" s="213" t="s">
        <v>237</v>
      </c>
      <c r="M38" s="213" t="s">
        <v>237</v>
      </c>
      <c r="N38" s="213" t="s">
        <v>237</v>
      </c>
      <c r="S38" s="205">
        <v>8</v>
      </c>
      <c r="T38" s="205">
        <v>1</v>
      </c>
      <c r="U38" s="205">
        <v>1</v>
      </c>
      <c r="V38" s="205">
        <v>1</v>
      </c>
    </row>
    <row r="39" spans="1:24" x14ac:dyDescent="0.2">
      <c r="F39" s="205">
        <v>3</v>
      </c>
      <c r="G39" s="205" t="b">
        <v>1</v>
      </c>
      <c r="H39" s="205" t="b">
        <v>1</v>
      </c>
      <c r="I39" s="205" t="b">
        <v>1</v>
      </c>
      <c r="K39" s="213">
        <v>3</v>
      </c>
      <c r="L39" s="213" t="s">
        <v>238</v>
      </c>
      <c r="M39" s="213" t="s">
        <v>238</v>
      </c>
      <c r="N39" s="213" t="s">
        <v>238</v>
      </c>
      <c r="S39" s="205">
        <v>9</v>
      </c>
      <c r="T39" s="205">
        <v>1</v>
      </c>
      <c r="U39" s="205">
        <v>1</v>
      </c>
      <c r="V39" s="205">
        <v>1</v>
      </c>
    </row>
    <row r="40" spans="1:24" x14ac:dyDescent="0.2">
      <c r="F40" s="205">
        <v>4</v>
      </c>
      <c r="G40" s="205" t="b">
        <v>1</v>
      </c>
      <c r="H40" s="205" t="b">
        <v>1</v>
      </c>
      <c r="I40" s="205" t="b">
        <v>1</v>
      </c>
      <c r="K40" s="213">
        <v>4</v>
      </c>
      <c r="L40" s="213" t="s">
        <v>239</v>
      </c>
      <c r="M40" s="213" t="s">
        <v>239</v>
      </c>
      <c r="N40" s="213" t="s">
        <v>239</v>
      </c>
      <c r="S40" s="205">
        <v>10</v>
      </c>
      <c r="T40" s="205">
        <v>1</v>
      </c>
      <c r="U40" s="205">
        <v>1</v>
      </c>
      <c r="V40" s="205">
        <v>1</v>
      </c>
    </row>
    <row r="41" spans="1:24" x14ac:dyDescent="0.2">
      <c r="F41" s="205">
        <v>5</v>
      </c>
      <c r="G41" s="205" t="b">
        <v>1</v>
      </c>
      <c r="H41" s="205" t="b">
        <v>1</v>
      </c>
      <c r="I41" s="205" t="b">
        <v>1</v>
      </c>
      <c r="K41" s="213">
        <v>5</v>
      </c>
      <c r="L41" s="213" t="s">
        <v>240</v>
      </c>
      <c r="M41" s="213" t="s">
        <v>240</v>
      </c>
      <c r="N41" s="213" t="s">
        <v>240</v>
      </c>
      <c r="R41" s="204" t="s">
        <v>70</v>
      </c>
      <c r="S41" s="205">
        <v>0</v>
      </c>
      <c r="T41" s="205" t="b">
        <v>0</v>
      </c>
      <c r="U41" s="205" t="b">
        <v>0</v>
      </c>
      <c r="V41" s="205" t="b">
        <v>0</v>
      </c>
      <c r="X41" s="205" t="s">
        <v>90</v>
      </c>
    </row>
    <row r="42" spans="1:24" x14ac:dyDescent="0.2">
      <c r="F42" s="205">
        <v>6</v>
      </c>
      <c r="G42" s="205" t="b">
        <v>0</v>
      </c>
      <c r="H42" s="205" t="b">
        <v>0</v>
      </c>
      <c r="I42" s="205" t="b">
        <v>0</v>
      </c>
      <c r="K42" s="213">
        <v>6</v>
      </c>
      <c r="L42" s="213"/>
      <c r="M42" s="213"/>
      <c r="N42" s="213"/>
      <c r="Q42" s="204" t="s">
        <v>3</v>
      </c>
      <c r="R42" s="204" t="s">
        <v>68</v>
      </c>
      <c r="S42" s="205" t="s">
        <v>5</v>
      </c>
      <c r="T42" s="205" t="b">
        <v>0</v>
      </c>
      <c r="U42" s="205" t="b">
        <v>0</v>
      </c>
      <c r="V42" s="205" t="b">
        <v>0</v>
      </c>
      <c r="X42" s="206" t="b">
        <v>0</v>
      </c>
    </row>
    <row r="43" spans="1:24" x14ac:dyDescent="0.2">
      <c r="F43" s="205">
        <v>7</v>
      </c>
      <c r="G43" s="205" t="b">
        <v>0</v>
      </c>
      <c r="H43" s="205" t="b">
        <v>0</v>
      </c>
      <c r="I43" s="205" t="b">
        <v>0</v>
      </c>
      <c r="K43" s="213">
        <v>7</v>
      </c>
      <c r="L43" s="213"/>
      <c r="M43" s="213"/>
      <c r="N43" s="213"/>
      <c r="S43" s="205" t="s">
        <v>6</v>
      </c>
      <c r="T43" s="205" t="b">
        <v>0</v>
      </c>
      <c r="U43" s="205" t="b">
        <v>0</v>
      </c>
      <c r="V43" s="205" t="b">
        <v>0</v>
      </c>
      <c r="X43" s="205" t="s">
        <v>105</v>
      </c>
    </row>
    <row r="44" spans="1:24" x14ac:dyDescent="0.2">
      <c r="F44" s="205">
        <v>8</v>
      </c>
      <c r="G44" s="205" t="b">
        <v>0</v>
      </c>
      <c r="H44" s="205" t="b">
        <v>0</v>
      </c>
      <c r="I44" s="205" t="b">
        <v>0</v>
      </c>
      <c r="K44" s="213">
        <v>8</v>
      </c>
      <c r="L44" s="213"/>
      <c r="M44" s="213"/>
      <c r="N44" s="213"/>
      <c r="S44" s="205" t="s">
        <v>7</v>
      </c>
      <c r="T44" s="205" t="b">
        <v>0</v>
      </c>
      <c r="U44" s="205" t="b">
        <v>0</v>
      </c>
      <c r="V44" s="205" t="b">
        <v>0</v>
      </c>
      <c r="X44" s="206" t="b">
        <v>0</v>
      </c>
    </row>
    <row r="45" spans="1:24" x14ac:dyDescent="0.2">
      <c r="F45" s="205">
        <v>9</v>
      </c>
      <c r="G45" s="205" t="b">
        <v>0</v>
      </c>
      <c r="H45" s="205" t="b">
        <v>0</v>
      </c>
      <c r="I45" s="205" t="b">
        <v>0</v>
      </c>
      <c r="K45" s="213">
        <v>9</v>
      </c>
      <c r="L45" s="213"/>
      <c r="M45" s="213"/>
      <c r="N45" s="213"/>
      <c r="R45" s="204" t="s">
        <v>67</v>
      </c>
      <c r="S45" s="205" t="s">
        <v>5</v>
      </c>
      <c r="T45" s="205">
        <v>10</v>
      </c>
      <c r="U45" s="205">
        <v>10</v>
      </c>
      <c r="V45" s="205">
        <v>10</v>
      </c>
    </row>
    <row r="46" spans="1:24" x14ac:dyDescent="0.2">
      <c r="F46" s="205">
        <v>10</v>
      </c>
      <c r="G46" s="205" t="b">
        <v>0</v>
      </c>
      <c r="H46" s="205" t="b">
        <v>0</v>
      </c>
      <c r="I46" s="205" t="b">
        <v>0</v>
      </c>
      <c r="K46" s="213">
        <v>10</v>
      </c>
      <c r="L46" s="213"/>
      <c r="M46" s="213"/>
      <c r="N46" s="213"/>
      <c r="S46" s="205" t="s">
        <v>6</v>
      </c>
      <c r="T46" s="205">
        <v>10</v>
      </c>
      <c r="U46" s="205">
        <v>10</v>
      </c>
      <c r="V46" s="205">
        <v>10</v>
      </c>
    </row>
    <row r="47" spans="1:24" x14ac:dyDescent="0.2">
      <c r="A47" s="204" t="s">
        <v>234</v>
      </c>
      <c r="F47" s="205">
        <v>11</v>
      </c>
      <c r="G47" s="204" t="b">
        <v>0</v>
      </c>
      <c r="H47" s="204" t="b">
        <v>0</v>
      </c>
      <c r="I47" s="204" t="b">
        <v>0</v>
      </c>
      <c r="K47" s="213">
        <v>11</v>
      </c>
      <c r="L47" s="213"/>
      <c r="M47" s="213"/>
      <c r="N47" s="213"/>
      <c r="S47" s="205" t="s">
        <v>7</v>
      </c>
      <c r="T47" s="205">
        <v>10</v>
      </c>
      <c r="U47" s="205">
        <v>10</v>
      </c>
      <c r="V47" s="205">
        <v>10</v>
      </c>
    </row>
    <row r="48" spans="1:24" x14ac:dyDescent="0.2">
      <c r="F48" s="205">
        <v>12</v>
      </c>
      <c r="G48" s="204" t="b">
        <v>0</v>
      </c>
      <c r="H48" s="204" t="b">
        <v>0</v>
      </c>
      <c r="I48" s="204" t="b">
        <v>0</v>
      </c>
      <c r="K48" s="213">
        <v>12</v>
      </c>
      <c r="L48" s="213"/>
      <c r="M48" s="213"/>
      <c r="N48" s="213"/>
      <c r="Q48" s="204" t="s">
        <v>19</v>
      </c>
      <c r="R48" s="204" t="s">
        <v>65</v>
      </c>
      <c r="S48" s="205">
        <v>1</v>
      </c>
      <c r="T48" s="205" t="b">
        <v>0</v>
      </c>
      <c r="U48" s="205" t="b">
        <v>0</v>
      </c>
      <c r="V48" s="205" t="b">
        <v>0</v>
      </c>
    </row>
    <row r="49" spans="6:56" x14ac:dyDescent="0.2">
      <c r="F49" s="205">
        <v>13</v>
      </c>
      <c r="G49" s="204" t="b">
        <v>0</v>
      </c>
      <c r="H49" s="204" t="b">
        <v>0</v>
      </c>
      <c r="I49" s="204" t="b">
        <v>0</v>
      </c>
      <c r="K49" s="213">
        <v>13</v>
      </c>
      <c r="L49" s="213"/>
      <c r="M49" s="213"/>
      <c r="N49" s="213"/>
      <c r="S49" s="205">
        <v>5</v>
      </c>
      <c r="T49" s="205" t="b">
        <v>0</v>
      </c>
      <c r="U49" s="205" t="b">
        <v>0</v>
      </c>
      <c r="V49" s="205" t="b">
        <v>0</v>
      </c>
    </row>
    <row r="50" spans="6:56" x14ac:dyDescent="0.2">
      <c r="F50" s="205">
        <v>14</v>
      </c>
      <c r="G50" s="204" t="b">
        <v>0</v>
      </c>
      <c r="H50" s="204" t="b">
        <v>0</v>
      </c>
      <c r="I50" s="204" t="b">
        <v>0</v>
      </c>
      <c r="K50" s="213">
        <v>14</v>
      </c>
      <c r="L50" s="213"/>
      <c r="M50" s="213"/>
      <c r="N50" s="213"/>
      <c r="S50" s="205" t="s">
        <v>16</v>
      </c>
      <c r="T50" s="205" t="b">
        <v>0</v>
      </c>
      <c r="U50" s="205" t="b">
        <v>0</v>
      </c>
      <c r="V50" s="205" t="b">
        <v>0</v>
      </c>
    </row>
    <row r="51" spans="6:56" x14ac:dyDescent="0.2">
      <c r="F51" s="205">
        <v>15</v>
      </c>
      <c r="G51" s="204" t="b">
        <v>0</v>
      </c>
      <c r="H51" s="204" t="b">
        <v>0</v>
      </c>
      <c r="I51" s="204" t="b">
        <v>0</v>
      </c>
      <c r="K51" s="213">
        <v>15</v>
      </c>
      <c r="L51" s="213"/>
      <c r="M51" s="213"/>
      <c r="N51" s="213"/>
      <c r="R51" s="204" t="s">
        <v>11</v>
      </c>
      <c r="S51" s="205">
        <v>1</v>
      </c>
      <c r="T51" s="205">
        <v>1</v>
      </c>
      <c r="U51" s="205">
        <v>1</v>
      </c>
      <c r="V51" s="205">
        <v>1</v>
      </c>
    </row>
    <row r="52" spans="6:56" x14ac:dyDescent="0.2">
      <c r="F52" s="205">
        <v>16</v>
      </c>
      <c r="G52" s="204" t="b">
        <v>0</v>
      </c>
      <c r="H52" s="204" t="b">
        <v>0</v>
      </c>
      <c r="I52" s="204" t="b">
        <v>0</v>
      </c>
      <c r="K52" s="213">
        <v>16</v>
      </c>
      <c r="L52" s="213"/>
      <c r="M52" s="213"/>
      <c r="N52" s="213"/>
      <c r="S52" s="205">
        <v>5</v>
      </c>
      <c r="T52" s="205">
        <v>5</v>
      </c>
      <c r="U52" s="205">
        <v>5</v>
      </c>
      <c r="V52" s="205">
        <v>5</v>
      </c>
    </row>
    <row r="53" spans="6:56" x14ac:dyDescent="0.2">
      <c r="F53" s="205">
        <v>17</v>
      </c>
      <c r="G53" s="204" t="b">
        <v>0</v>
      </c>
      <c r="H53" s="204" t="b">
        <v>0</v>
      </c>
      <c r="I53" s="204" t="b">
        <v>0</v>
      </c>
      <c r="K53" s="213">
        <v>17</v>
      </c>
      <c r="L53" s="213"/>
      <c r="M53" s="213"/>
      <c r="N53" s="213"/>
      <c r="S53" s="205" t="s">
        <v>16</v>
      </c>
      <c r="T53" s="205">
        <v>2</v>
      </c>
      <c r="U53" s="205">
        <v>2</v>
      </c>
      <c r="V53" s="205">
        <v>2</v>
      </c>
    </row>
    <row r="54" spans="6:56" x14ac:dyDescent="0.2">
      <c r="F54" s="205">
        <v>18</v>
      </c>
      <c r="G54" s="204" t="b">
        <v>0</v>
      </c>
      <c r="H54" s="204" t="b">
        <v>0</v>
      </c>
      <c r="I54" s="204" t="b">
        <v>0</v>
      </c>
      <c r="K54" s="213">
        <v>18</v>
      </c>
      <c r="L54" s="213"/>
      <c r="M54" s="213"/>
      <c r="N54" s="213"/>
      <c r="Q54" s="204" t="s">
        <v>69</v>
      </c>
      <c r="R54" s="204" t="s">
        <v>65</v>
      </c>
      <c r="S54" s="205" t="s">
        <v>5</v>
      </c>
      <c r="T54" s="205" t="b">
        <v>0</v>
      </c>
      <c r="U54" s="205" t="b">
        <v>0</v>
      </c>
      <c r="V54" s="205" t="b">
        <v>0</v>
      </c>
    </row>
    <row r="55" spans="6:56" x14ac:dyDescent="0.2">
      <c r="F55" s="205">
        <v>19</v>
      </c>
      <c r="G55" s="204" t="b">
        <v>0</v>
      </c>
      <c r="H55" s="204" t="b">
        <v>0</v>
      </c>
      <c r="I55" s="204" t="b">
        <v>0</v>
      </c>
      <c r="K55" s="213">
        <v>19</v>
      </c>
      <c r="L55" s="213"/>
      <c r="M55" s="213"/>
      <c r="N55" s="213"/>
      <c r="S55" s="205" t="s">
        <v>6</v>
      </c>
      <c r="T55" s="205" t="b">
        <v>0</v>
      </c>
      <c r="U55" s="205" t="b">
        <v>0</v>
      </c>
      <c r="V55" s="205" t="b">
        <v>0</v>
      </c>
      <c r="W55" s="204" t="s">
        <v>235</v>
      </c>
      <c r="X55" s="204" t="s">
        <v>235</v>
      </c>
      <c r="Y55" s="204" t="s">
        <v>235</v>
      </c>
      <c r="AA55" s="204" t="s">
        <v>6</v>
      </c>
    </row>
    <row r="56" spans="6:56" x14ac:dyDescent="0.2">
      <c r="F56" s="205">
        <v>20</v>
      </c>
      <c r="G56" s="204" t="b">
        <v>0</v>
      </c>
      <c r="H56" s="204" t="b">
        <v>0</v>
      </c>
      <c r="I56" s="204" t="b">
        <v>0</v>
      </c>
      <c r="K56" s="213">
        <v>20</v>
      </c>
      <c r="L56" s="213"/>
      <c r="M56" s="213"/>
      <c r="N56" s="213"/>
      <c r="S56" s="205" t="s">
        <v>7</v>
      </c>
      <c r="T56" s="205" t="b">
        <v>0</v>
      </c>
      <c r="U56" s="205" t="b">
        <v>0</v>
      </c>
      <c r="V56" s="205" t="b">
        <v>0</v>
      </c>
      <c r="W56" s="204">
        <v>1</v>
      </c>
      <c r="X56" s="204">
        <v>1</v>
      </c>
      <c r="Y56" s="204">
        <v>1</v>
      </c>
    </row>
    <row r="57" spans="6:56" x14ac:dyDescent="0.2">
      <c r="F57" s="205">
        <v>21</v>
      </c>
      <c r="G57" s="204" t="b">
        <v>0</v>
      </c>
      <c r="H57" s="204" t="b">
        <v>0</v>
      </c>
      <c r="I57" s="204" t="b">
        <v>0</v>
      </c>
      <c r="K57" s="213">
        <v>21</v>
      </c>
      <c r="L57" s="213"/>
      <c r="M57" s="213"/>
      <c r="N57" s="213"/>
      <c r="R57" s="204" t="s">
        <v>88</v>
      </c>
      <c r="S57" s="205">
        <v>0</v>
      </c>
      <c r="T57" s="205" t="s">
        <v>236</v>
      </c>
      <c r="U57" s="205" t="s">
        <v>236</v>
      </c>
      <c r="V57" s="205" t="s">
        <v>236</v>
      </c>
      <c r="W57" s="204" t="s">
        <v>235</v>
      </c>
      <c r="X57" s="204" t="s">
        <v>235</v>
      </c>
      <c r="Y57" s="204" t="s">
        <v>235</v>
      </c>
      <c r="Z57" s="204" t="s">
        <v>5</v>
      </c>
      <c r="AA57" s="204" t="s">
        <v>7</v>
      </c>
    </row>
    <row r="58" spans="6:56" x14ac:dyDescent="0.2">
      <c r="F58" s="205">
        <v>22</v>
      </c>
      <c r="G58" s="204" t="b">
        <v>0</v>
      </c>
      <c r="H58" s="204" t="b">
        <v>0</v>
      </c>
      <c r="I58" s="204" t="b">
        <v>0</v>
      </c>
      <c r="K58" s="213">
        <v>22</v>
      </c>
      <c r="L58" s="213"/>
      <c r="M58" s="213"/>
      <c r="N58" s="213"/>
      <c r="R58" s="204" t="s">
        <v>89</v>
      </c>
      <c r="S58" s="205">
        <v>0</v>
      </c>
      <c r="T58" s="205">
        <v>1</v>
      </c>
      <c r="U58" s="205">
        <v>1</v>
      </c>
      <c r="V58" s="205">
        <v>1</v>
      </c>
      <c r="W58" s="204">
        <v>1</v>
      </c>
      <c r="X58" s="204">
        <v>1</v>
      </c>
      <c r="Y58" s="204">
        <v>1</v>
      </c>
    </row>
    <row r="59" spans="6:56" x14ac:dyDescent="0.2">
      <c r="F59" s="205">
        <v>23</v>
      </c>
      <c r="G59" s="204" t="b">
        <v>0</v>
      </c>
      <c r="H59" s="204" t="b">
        <v>0</v>
      </c>
      <c r="I59" s="204" t="b">
        <v>0</v>
      </c>
      <c r="K59" s="213">
        <v>23</v>
      </c>
      <c r="L59" s="213"/>
      <c r="M59" s="213"/>
      <c r="N59" s="213"/>
      <c r="R59" s="204" t="s">
        <v>71</v>
      </c>
      <c r="S59" s="205">
        <v>0</v>
      </c>
      <c r="T59" s="205" t="s">
        <v>236</v>
      </c>
      <c r="U59" s="205" t="s">
        <v>236</v>
      </c>
      <c r="V59" s="205" t="s">
        <v>236</v>
      </c>
      <c r="BA59" s="204" t="s">
        <v>1</v>
      </c>
    </row>
    <row r="60" spans="6:56" x14ac:dyDescent="0.2">
      <c r="F60" s="205">
        <v>24</v>
      </c>
      <c r="G60" s="204" t="b">
        <v>0</v>
      </c>
      <c r="H60" s="204" t="b">
        <v>0</v>
      </c>
      <c r="I60" s="204" t="b">
        <v>0</v>
      </c>
      <c r="K60" s="213">
        <v>24</v>
      </c>
      <c r="L60" s="213"/>
      <c r="M60" s="213"/>
      <c r="N60" s="213"/>
      <c r="S60" s="205">
        <v>0</v>
      </c>
      <c r="T60" s="205">
        <v>1</v>
      </c>
      <c r="U60" s="205">
        <v>1</v>
      </c>
      <c r="V60" s="205">
        <v>1</v>
      </c>
    </row>
    <row r="61" spans="6:56" x14ac:dyDescent="0.2">
      <c r="F61" s="205">
        <v>25</v>
      </c>
      <c r="G61" s="204" t="b">
        <v>0</v>
      </c>
      <c r="H61" s="204" t="b">
        <v>0</v>
      </c>
      <c r="I61" s="204" t="b">
        <v>0</v>
      </c>
      <c r="K61" s="213">
        <v>25</v>
      </c>
      <c r="L61" s="213"/>
      <c r="M61" s="213"/>
      <c r="N61" s="213"/>
      <c r="S61" s="205" t="s">
        <v>5</v>
      </c>
      <c r="T61" s="214">
        <v>156</v>
      </c>
      <c r="U61" s="214">
        <v>156</v>
      </c>
      <c r="V61" s="214">
        <v>156</v>
      </c>
      <c r="W61" s="215">
        <f>Diagrama!B6</f>
        <v>156</v>
      </c>
      <c r="X61" s="215">
        <f>Diagrama!C6</f>
        <v>85</v>
      </c>
      <c r="Y61" s="215">
        <f>Diagrama!D6</f>
        <v>8368</v>
      </c>
      <c r="Z61" s="215">
        <f>Diagrama!E6</f>
        <v>686385</v>
      </c>
      <c r="AA61" s="215">
        <f>Diagrama!F6</f>
        <v>852</v>
      </c>
      <c r="AB61" s="215">
        <f>Diagrama!G6</f>
        <v>0</v>
      </c>
      <c r="AC61" s="215">
        <f>Diagrama!H6</f>
        <v>0</v>
      </c>
      <c r="AD61" s="215">
        <f>Diagrama!I6</f>
        <v>0</v>
      </c>
      <c r="AE61" s="215">
        <f>Diagrama!J6</f>
        <v>0</v>
      </c>
      <c r="AF61" s="215">
        <f>Diagrama!K6</f>
        <v>0</v>
      </c>
      <c r="AG61" s="215">
        <f>Diagrama!L6</f>
        <v>0</v>
      </c>
      <c r="AH61" s="215">
        <f>Diagrama!M6</f>
        <v>0</v>
      </c>
      <c r="AI61" s="215">
        <f>Diagrama!N6</f>
        <v>0</v>
      </c>
      <c r="AJ61" s="215">
        <f>Diagrama!O6</f>
        <v>0</v>
      </c>
      <c r="AK61" s="215">
        <f>Diagrama!P6</f>
        <v>0</v>
      </c>
      <c r="AL61" s="215">
        <f>Diagrama!Q6</f>
        <v>0</v>
      </c>
      <c r="AM61" s="215">
        <f>Diagrama!R6</f>
        <v>0</v>
      </c>
      <c r="AN61" s="215">
        <f>Diagrama!S6</f>
        <v>0</v>
      </c>
      <c r="AO61" s="215">
        <f>Diagrama!T6</f>
        <v>0</v>
      </c>
      <c r="AP61" s="215">
        <f>Diagrama!U6</f>
        <v>0</v>
      </c>
      <c r="AQ61" s="215">
        <f>Diagrama!V6</f>
        <v>0</v>
      </c>
      <c r="AR61" s="215">
        <f>Diagrama!W6</f>
        <v>0</v>
      </c>
      <c r="AS61" s="215">
        <f>Diagrama!X6</f>
        <v>0</v>
      </c>
      <c r="AT61" s="215">
        <f>Diagrama!Y6</f>
        <v>0</v>
      </c>
      <c r="AU61" s="215">
        <f>Diagrama!Z6</f>
        <v>0</v>
      </c>
      <c r="AV61" s="215">
        <f>Diagrama!AA6</f>
        <v>0</v>
      </c>
      <c r="AW61" s="215">
        <f>Diagrama!AB6</f>
        <v>0</v>
      </c>
      <c r="AX61" s="215">
        <f>Diagrama!AC6</f>
        <v>0</v>
      </c>
      <c r="AY61" s="215">
        <f>Diagrama!AD6</f>
        <v>0</v>
      </c>
      <c r="AZ61" s="215">
        <f>Diagrama!AE6</f>
        <v>0</v>
      </c>
      <c r="BA61" s="215">
        <f>Diagrama!GL6</f>
        <v>0</v>
      </c>
      <c r="BB61" s="215"/>
      <c r="BC61" s="215"/>
      <c r="BD61" s="215"/>
    </row>
    <row r="62" spans="6:56" x14ac:dyDescent="0.2">
      <c r="F62" s="205">
        <v>26</v>
      </c>
      <c r="G62" s="204" t="b">
        <v>0</v>
      </c>
      <c r="H62" s="204" t="b">
        <v>0</v>
      </c>
      <c r="I62" s="204" t="b">
        <v>0</v>
      </c>
      <c r="K62" s="213">
        <v>26</v>
      </c>
      <c r="L62" s="213"/>
      <c r="M62" s="213"/>
      <c r="N62" s="213"/>
      <c r="S62" s="205" t="s">
        <v>6</v>
      </c>
      <c r="T62" s="214">
        <v>289</v>
      </c>
      <c r="U62" s="214">
        <v>289</v>
      </c>
      <c r="V62" s="214">
        <v>289</v>
      </c>
      <c r="W62" s="215">
        <f>Diagrama!B7</f>
        <v>174</v>
      </c>
      <c r="X62" s="215">
        <f>Diagrama!C7</f>
        <v>38</v>
      </c>
      <c r="Y62" s="215">
        <f>Diagrama!D7</f>
        <v>65852</v>
      </c>
      <c r="Z62" s="215">
        <f>Diagrama!E7</f>
        <v>686</v>
      </c>
      <c r="AA62" s="215">
        <f>Diagrama!F7</f>
        <v>852</v>
      </c>
      <c r="AB62" s="215">
        <f>Diagrama!G7</f>
        <v>0</v>
      </c>
      <c r="AC62" s="215">
        <f>Diagrama!H7</f>
        <v>0</v>
      </c>
      <c r="AD62" s="215">
        <f>Diagrama!I7</f>
        <v>0</v>
      </c>
      <c r="AE62" s="215">
        <f>Diagrama!J7</f>
        <v>0</v>
      </c>
      <c r="AF62" s="215">
        <f>Diagrama!K7</f>
        <v>0</v>
      </c>
      <c r="AG62" s="215">
        <f>Diagrama!L7</f>
        <v>0</v>
      </c>
      <c r="AH62" s="215">
        <f>Diagrama!M7</f>
        <v>0</v>
      </c>
      <c r="AI62" s="215">
        <f>Diagrama!N7</f>
        <v>0</v>
      </c>
      <c r="AJ62" s="215">
        <f>Diagrama!O7</f>
        <v>0</v>
      </c>
      <c r="AK62" s="215">
        <f>Diagrama!P7</f>
        <v>0</v>
      </c>
      <c r="AL62" s="215">
        <f>Diagrama!Q7</f>
        <v>0</v>
      </c>
      <c r="AM62" s="215">
        <f>Diagrama!R7</f>
        <v>0</v>
      </c>
      <c r="AN62" s="215">
        <f>Diagrama!S7</f>
        <v>0</v>
      </c>
      <c r="AO62" s="215">
        <f>Diagrama!T7</f>
        <v>0</v>
      </c>
      <c r="AP62" s="215">
        <f>Diagrama!U7</f>
        <v>0</v>
      </c>
      <c r="AQ62" s="215">
        <f>Diagrama!V7</f>
        <v>0</v>
      </c>
      <c r="AR62" s="215">
        <f>Diagrama!W7</f>
        <v>0</v>
      </c>
      <c r="AS62" s="215">
        <f>Diagrama!X7</f>
        <v>0</v>
      </c>
      <c r="AT62" s="215">
        <f>Diagrama!Y7</f>
        <v>0</v>
      </c>
      <c r="AU62" s="215">
        <f>Diagrama!Z7</f>
        <v>0</v>
      </c>
      <c r="AV62" s="215">
        <f>Diagrama!AA7</f>
        <v>0</v>
      </c>
      <c r="AW62" s="215">
        <f>Diagrama!AB7</f>
        <v>0</v>
      </c>
      <c r="AX62" s="215">
        <f>Diagrama!AC7</f>
        <v>0</v>
      </c>
      <c r="AY62" s="215">
        <f>Diagrama!AD7</f>
        <v>0</v>
      </c>
      <c r="AZ62" s="215">
        <f>Diagrama!AE7</f>
        <v>0</v>
      </c>
      <c r="BA62" s="215">
        <f>Diagrama!GL7</f>
        <v>0</v>
      </c>
    </row>
    <row r="63" spans="6:56" x14ac:dyDescent="0.2">
      <c r="F63" s="205">
        <v>27</v>
      </c>
      <c r="G63" s="204" t="b">
        <v>0</v>
      </c>
      <c r="H63" s="204" t="b">
        <v>0</v>
      </c>
      <c r="I63" s="204" t="b">
        <v>0</v>
      </c>
      <c r="K63" s="213">
        <v>27</v>
      </c>
      <c r="L63" s="213"/>
      <c r="M63" s="213"/>
      <c r="N63" s="213"/>
      <c r="S63" s="205" t="s">
        <v>7</v>
      </c>
      <c r="T63" s="214">
        <v>1554</v>
      </c>
      <c r="U63" s="214">
        <v>1554</v>
      </c>
      <c r="V63" s="214">
        <v>1554</v>
      </c>
      <c r="W63" s="215">
        <f>Diagrama!B8</f>
        <v>285</v>
      </c>
      <c r="X63" s="215">
        <f>Diagrama!C8</f>
        <v>38</v>
      </c>
      <c r="Y63" s="215">
        <f>Diagrama!D8</f>
        <v>85</v>
      </c>
      <c r="Z63" s="215">
        <f>Diagrama!E8</f>
        <v>852</v>
      </c>
      <c r="AA63" s="215">
        <f>Diagrama!F8</f>
        <v>852</v>
      </c>
      <c r="AB63" s="215">
        <f>Diagrama!G8</f>
        <v>0</v>
      </c>
      <c r="AC63" s="215">
        <f>Diagrama!H8</f>
        <v>0</v>
      </c>
      <c r="AD63" s="215">
        <f>Diagrama!I8</f>
        <v>0</v>
      </c>
      <c r="AE63" s="215">
        <f>Diagrama!J8</f>
        <v>0</v>
      </c>
      <c r="AF63" s="215">
        <f>Diagrama!K8</f>
        <v>0</v>
      </c>
      <c r="AG63" s="215">
        <f>Diagrama!L8</f>
        <v>0</v>
      </c>
      <c r="AH63" s="215">
        <f>Diagrama!M8</f>
        <v>0</v>
      </c>
      <c r="AI63" s="215">
        <f>Diagrama!N8</f>
        <v>0</v>
      </c>
      <c r="AJ63" s="215">
        <f>Diagrama!O8</f>
        <v>0</v>
      </c>
      <c r="AK63" s="215">
        <f>Diagrama!P8</f>
        <v>0</v>
      </c>
      <c r="AL63" s="215">
        <f>Diagrama!Q8</f>
        <v>0</v>
      </c>
      <c r="AM63" s="215">
        <f>Diagrama!R8</f>
        <v>0</v>
      </c>
      <c r="AN63" s="215">
        <f>Diagrama!S8</f>
        <v>0</v>
      </c>
      <c r="AO63" s="215">
        <f>Diagrama!T8</f>
        <v>0</v>
      </c>
      <c r="AP63" s="215">
        <f>Diagrama!U8</f>
        <v>0</v>
      </c>
      <c r="AQ63" s="215">
        <f>Diagrama!V8</f>
        <v>0</v>
      </c>
      <c r="AR63" s="215">
        <f>Diagrama!W8</f>
        <v>0</v>
      </c>
      <c r="AS63" s="215">
        <f>Diagrama!X8</f>
        <v>0</v>
      </c>
      <c r="AT63" s="215">
        <f>Diagrama!Y8</f>
        <v>0</v>
      </c>
      <c r="AU63" s="215">
        <f>Diagrama!Z8</f>
        <v>0</v>
      </c>
      <c r="AV63" s="215">
        <f>Diagrama!AA8</f>
        <v>0</v>
      </c>
      <c r="AW63" s="215">
        <f>Diagrama!AB8</f>
        <v>0</v>
      </c>
      <c r="AX63" s="215">
        <f>Diagrama!AC8</f>
        <v>0</v>
      </c>
      <c r="AY63" s="215">
        <f>Diagrama!AD8</f>
        <v>0</v>
      </c>
      <c r="AZ63" s="215">
        <f>Diagrama!AE8</f>
        <v>0</v>
      </c>
      <c r="BA63" s="215">
        <f>Diagrama!GL8</f>
        <v>0</v>
      </c>
    </row>
    <row r="64" spans="6:56" x14ac:dyDescent="0.2">
      <c r="F64" s="205">
        <v>28</v>
      </c>
      <c r="G64" s="204" t="b">
        <v>0</v>
      </c>
      <c r="H64" s="204" t="b">
        <v>0</v>
      </c>
      <c r="I64" s="204" t="b">
        <v>0</v>
      </c>
      <c r="K64" s="213">
        <v>28</v>
      </c>
      <c r="L64" s="213"/>
      <c r="M64" s="213"/>
      <c r="N64" s="213"/>
      <c r="S64" s="205" t="s">
        <v>15</v>
      </c>
      <c r="T64" s="214">
        <v>1999</v>
      </c>
      <c r="U64" s="214">
        <v>1999</v>
      </c>
      <c r="V64" s="214">
        <v>1999</v>
      </c>
      <c r="W64" s="215">
        <f>Diagrama!B9</f>
        <v>615</v>
      </c>
      <c r="X64" s="215">
        <f>Diagrama!C9</f>
        <v>161</v>
      </c>
      <c r="Y64" s="215">
        <f>Diagrama!D9</f>
        <v>74305</v>
      </c>
      <c r="Z64" s="215">
        <f>Diagrama!E9</f>
        <v>687923</v>
      </c>
      <c r="AA64" s="215">
        <f>Diagrama!F9</f>
        <v>2556</v>
      </c>
      <c r="AB64" s="215">
        <f>Diagrama!G9</f>
        <v>0</v>
      </c>
      <c r="AC64" s="215">
        <f>Diagrama!H9</f>
        <v>0</v>
      </c>
      <c r="AD64" s="215">
        <f>Diagrama!I9</f>
        <v>0</v>
      </c>
      <c r="AE64" s="215">
        <f>Diagrama!J9</f>
        <v>0</v>
      </c>
      <c r="AF64" s="215">
        <f>Diagrama!K9</f>
        <v>0</v>
      </c>
      <c r="AG64" s="215">
        <f>Diagrama!L9</f>
        <v>0</v>
      </c>
      <c r="AH64" s="215">
        <f>Diagrama!M9</f>
        <v>0</v>
      </c>
      <c r="AI64" s="215">
        <f>Diagrama!N9</f>
        <v>0</v>
      </c>
      <c r="AJ64" s="215">
        <f>Diagrama!O9</f>
        <v>0</v>
      </c>
      <c r="AK64" s="215">
        <f>Diagrama!P9</f>
        <v>0</v>
      </c>
      <c r="AL64" s="215">
        <f>Diagrama!Q9</f>
        <v>0</v>
      </c>
      <c r="AM64" s="215">
        <f>Diagrama!R9</f>
        <v>0</v>
      </c>
      <c r="AN64" s="215">
        <f>Diagrama!S9</f>
        <v>0</v>
      </c>
      <c r="AO64" s="215">
        <f>Diagrama!T9</f>
        <v>0</v>
      </c>
      <c r="AP64" s="215">
        <f>Diagrama!U9</f>
        <v>0</v>
      </c>
      <c r="AQ64" s="215">
        <f>Diagrama!V9</f>
        <v>0</v>
      </c>
      <c r="AR64" s="215">
        <f>Diagrama!W9</f>
        <v>0</v>
      </c>
      <c r="AS64" s="215">
        <f>Diagrama!X9</f>
        <v>0</v>
      </c>
      <c r="AT64" s="215">
        <f>Diagrama!Y9</f>
        <v>0</v>
      </c>
      <c r="AU64" s="215">
        <f>Diagrama!Z9</f>
        <v>0</v>
      </c>
      <c r="AV64" s="215">
        <f>Diagrama!AA9</f>
        <v>0</v>
      </c>
      <c r="AW64" s="215">
        <f>Diagrama!AB9</f>
        <v>0</v>
      </c>
      <c r="AX64" s="215">
        <f>Diagrama!AC9</f>
        <v>0</v>
      </c>
      <c r="AY64" s="215">
        <f>Diagrama!AD9</f>
        <v>0</v>
      </c>
      <c r="AZ64" s="215">
        <f>Diagrama!AE9</f>
        <v>0</v>
      </c>
      <c r="BA64" s="215">
        <f>Diagrama!GL9</f>
        <v>0</v>
      </c>
    </row>
    <row r="65" spans="6:53" x14ac:dyDescent="0.2">
      <c r="F65" s="205">
        <v>29</v>
      </c>
      <c r="G65" s="204" t="b">
        <v>0</v>
      </c>
      <c r="H65" s="204" t="b">
        <v>0</v>
      </c>
      <c r="I65" s="204" t="b">
        <v>0</v>
      </c>
      <c r="K65" s="213">
        <v>29</v>
      </c>
      <c r="L65" s="213"/>
      <c r="M65" s="213"/>
      <c r="N65" s="213"/>
      <c r="S65" s="205" t="s">
        <v>29</v>
      </c>
      <c r="T65" s="216">
        <v>1.2863577863577864</v>
      </c>
      <c r="U65" s="217">
        <v>1.2863577863577864</v>
      </c>
      <c r="V65" s="216">
        <v>1.2863577863577864</v>
      </c>
      <c r="W65" s="218">
        <f>Diagrama!B20</f>
        <v>2.1578947368421053</v>
      </c>
      <c r="X65" s="218">
        <f>Diagrama!C20</f>
        <v>4.2368421052631575</v>
      </c>
      <c r="Y65" s="218">
        <f>Diagrama!D20</f>
        <v>874.17647058823525</v>
      </c>
      <c r="Z65" s="218">
        <f>Diagrama!E20</f>
        <v>807.42136150234739</v>
      </c>
      <c r="AA65" s="218">
        <f>Diagrama!F20</f>
        <v>3</v>
      </c>
      <c r="AB65" s="218" t="e">
        <f>Diagrama!G20</f>
        <v>#DIV/0!</v>
      </c>
      <c r="AC65" s="218" t="e">
        <f>Diagrama!H20</f>
        <v>#DIV/0!</v>
      </c>
      <c r="AD65" s="218" t="e">
        <f>Diagrama!I20</f>
        <v>#DIV/0!</v>
      </c>
      <c r="AE65" s="218" t="e">
        <f>Diagrama!J20</f>
        <v>#DIV/0!</v>
      </c>
      <c r="AF65" s="218" t="e">
        <f>Diagrama!K20</f>
        <v>#DIV/0!</v>
      </c>
      <c r="AG65" s="218" t="e">
        <f>Diagrama!L20</f>
        <v>#DIV/0!</v>
      </c>
      <c r="AH65" s="218" t="e">
        <f>Diagrama!M20</f>
        <v>#DIV/0!</v>
      </c>
      <c r="AI65" s="218" t="e">
        <f>Diagrama!N20</f>
        <v>#DIV/0!</v>
      </c>
      <c r="AJ65" s="218" t="e">
        <f>Diagrama!O20</f>
        <v>#DIV/0!</v>
      </c>
      <c r="AK65" s="218" t="e">
        <f>Diagrama!P20</f>
        <v>#DIV/0!</v>
      </c>
      <c r="AL65" s="218" t="e">
        <f>Diagrama!Q20</f>
        <v>#DIV/0!</v>
      </c>
      <c r="AM65" s="218" t="e">
        <f>Diagrama!R20</f>
        <v>#DIV/0!</v>
      </c>
      <c r="AN65" s="218" t="e">
        <f>Diagrama!S20</f>
        <v>#DIV/0!</v>
      </c>
      <c r="AO65" s="218" t="e">
        <f>Diagrama!T20</f>
        <v>#DIV/0!</v>
      </c>
      <c r="AP65" s="218" t="e">
        <f>Diagrama!U20</f>
        <v>#DIV/0!</v>
      </c>
      <c r="AQ65" s="218" t="e">
        <f>Diagrama!V20</f>
        <v>#DIV/0!</v>
      </c>
      <c r="AR65" s="218" t="e">
        <f>Diagrama!W20</f>
        <v>#DIV/0!</v>
      </c>
      <c r="AS65" s="218" t="e">
        <f>Diagrama!X20</f>
        <v>#DIV/0!</v>
      </c>
      <c r="AT65" s="218" t="e">
        <f>Diagrama!Y20</f>
        <v>#DIV/0!</v>
      </c>
      <c r="AU65" s="218" t="e">
        <f>Diagrama!Z20</f>
        <v>#DIV/0!</v>
      </c>
      <c r="AV65" s="218" t="e">
        <f>Diagrama!AA20</f>
        <v>#DIV/0!</v>
      </c>
      <c r="AW65" s="218" t="e">
        <f>Diagrama!AB20</f>
        <v>#DIV/0!</v>
      </c>
      <c r="AX65" s="218" t="e">
        <f>Diagrama!AC20</f>
        <v>#DIV/0!</v>
      </c>
      <c r="AY65" s="218" t="e">
        <f>Diagrama!AD20</f>
        <v>#DIV/0!</v>
      </c>
      <c r="AZ65" s="218" t="e">
        <f>Diagrama!AE20</f>
        <v>#DIV/0!</v>
      </c>
      <c r="BA65" s="218">
        <f>Diagrama!GL20</f>
        <v>0</v>
      </c>
    </row>
    <row r="66" spans="6:53" x14ac:dyDescent="0.2">
      <c r="F66" s="205">
        <v>30</v>
      </c>
      <c r="G66" s="204" t="b">
        <v>0</v>
      </c>
      <c r="H66" s="204" t="b">
        <v>0</v>
      </c>
      <c r="I66" s="204" t="b">
        <v>0</v>
      </c>
      <c r="K66" s="213">
        <v>30</v>
      </c>
      <c r="L66" s="213"/>
      <c r="M66" s="213"/>
      <c r="N66" s="213"/>
      <c r="S66" s="205" t="s">
        <v>30</v>
      </c>
      <c r="T66" s="216">
        <v>3.4921348314606746</v>
      </c>
      <c r="U66" s="217">
        <v>3.4921348314606746</v>
      </c>
      <c r="V66" s="216">
        <v>3.4921348314606746</v>
      </c>
      <c r="W66" s="218">
        <f>Diagrama!B21</f>
        <v>0.86363636363636365</v>
      </c>
      <c r="X66" s="218">
        <f>Diagrama!C21</f>
        <v>0.30894308943089432</v>
      </c>
      <c r="Y66" s="218">
        <f>Diagrama!D21</f>
        <v>1.1452438695769337E-3</v>
      </c>
      <c r="Z66" s="218">
        <f>Diagrama!E21</f>
        <v>1.2400465162988978E-3</v>
      </c>
      <c r="AA66" s="218">
        <f>Diagrama!F21</f>
        <v>0.49999999999999989</v>
      </c>
      <c r="AB66" s="218" t="e">
        <f>Diagrama!G21</f>
        <v>#DIV/0!</v>
      </c>
      <c r="AC66" s="218" t="e">
        <f>Diagrama!H21</f>
        <v>#DIV/0!</v>
      </c>
      <c r="AD66" s="218" t="e">
        <f>Diagrama!I21</f>
        <v>#DIV/0!</v>
      </c>
      <c r="AE66" s="218" t="e">
        <f>Diagrama!J21</f>
        <v>#DIV/0!</v>
      </c>
      <c r="AF66" s="218" t="e">
        <f>Diagrama!K21</f>
        <v>#DIV/0!</v>
      </c>
      <c r="AG66" s="218" t="e">
        <f>Diagrama!L21</f>
        <v>#DIV/0!</v>
      </c>
      <c r="AH66" s="218" t="e">
        <f>Diagrama!M21</f>
        <v>#DIV/0!</v>
      </c>
      <c r="AI66" s="218" t="e">
        <f>Diagrama!N21</f>
        <v>#DIV/0!</v>
      </c>
      <c r="AJ66" s="218" t="e">
        <f>Diagrama!O21</f>
        <v>#DIV/0!</v>
      </c>
      <c r="AK66" s="218" t="e">
        <f>Diagrama!P21</f>
        <v>#DIV/0!</v>
      </c>
      <c r="AL66" s="218" t="e">
        <f>Diagrama!Q21</f>
        <v>#DIV/0!</v>
      </c>
      <c r="AM66" s="218" t="e">
        <f>Diagrama!R21</f>
        <v>#DIV/0!</v>
      </c>
      <c r="AN66" s="218" t="e">
        <f>Diagrama!S21</f>
        <v>#DIV/0!</v>
      </c>
      <c r="AO66" s="218" t="e">
        <f>Diagrama!T21</f>
        <v>#DIV/0!</v>
      </c>
      <c r="AP66" s="218" t="e">
        <f>Diagrama!U21</f>
        <v>#DIV/0!</v>
      </c>
      <c r="AQ66" s="218" t="e">
        <f>Diagrama!V21</f>
        <v>#DIV/0!</v>
      </c>
      <c r="AR66" s="218" t="e">
        <f>Diagrama!W21</f>
        <v>#DIV/0!</v>
      </c>
      <c r="AS66" s="218" t="e">
        <f>Diagrama!X21</f>
        <v>#DIV/0!</v>
      </c>
      <c r="AT66" s="218" t="e">
        <f>Diagrama!Y21</f>
        <v>#DIV/0!</v>
      </c>
      <c r="AU66" s="218" t="e">
        <f>Diagrama!Z21</f>
        <v>#DIV/0!</v>
      </c>
      <c r="AV66" s="218" t="e">
        <f>Diagrama!AA21</f>
        <v>#DIV/0!</v>
      </c>
      <c r="AW66" s="218" t="e">
        <f>Diagrama!AB21</f>
        <v>#DIV/0!</v>
      </c>
      <c r="AX66" s="218" t="e">
        <f>Diagrama!AC21</f>
        <v>#DIV/0!</v>
      </c>
      <c r="AY66" s="218" t="e">
        <f>Diagrama!AD21</f>
        <v>#DIV/0!</v>
      </c>
      <c r="AZ66" s="218" t="e">
        <f>Diagrama!AE21</f>
        <v>#DIV/0!</v>
      </c>
      <c r="BA66" s="218">
        <f>Diagrama!GL21</f>
        <v>0</v>
      </c>
    </row>
    <row r="67" spans="6:53" x14ac:dyDescent="0.2">
      <c r="F67" s="205">
        <v>31</v>
      </c>
      <c r="G67" s="204" t="b">
        <v>0</v>
      </c>
      <c r="H67" s="204" t="b">
        <v>0</v>
      </c>
      <c r="I67" s="204" t="b">
        <v>0</v>
      </c>
      <c r="K67" s="213">
        <v>31</v>
      </c>
      <c r="L67" s="213"/>
      <c r="M67" s="213"/>
      <c r="N67" s="213"/>
      <c r="S67" s="205" t="s">
        <v>31</v>
      </c>
      <c r="T67" s="216">
        <v>11.814102564102564</v>
      </c>
      <c r="U67" s="217">
        <v>11.814102564102564</v>
      </c>
      <c r="V67" s="216">
        <v>11.814102564102564</v>
      </c>
      <c r="W67" s="218">
        <f>Diagrama!B22</f>
        <v>2.9423076923076921</v>
      </c>
      <c r="X67" s="218">
        <f>Diagrama!C22</f>
        <v>0.89411764705882357</v>
      </c>
      <c r="Y67" s="218">
        <f>Diagrama!D22</f>
        <v>7.8796606118546846</v>
      </c>
      <c r="Z67" s="218">
        <f>Diagrama!E22</f>
        <v>2.240724957567536E-3</v>
      </c>
      <c r="AA67" s="218">
        <f>Diagrama!F22</f>
        <v>2.0000000000000004</v>
      </c>
      <c r="AB67" s="218" t="e">
        <f>Diagrama!G22</f>
        <v>#DIV/0!</v>
      </c>
      <c r="AC67" s="218" t="e">
        <f>Diagrama!H22</f>
        <v>#DIV/0!</v>
      </c>
      <c r="AD67" s="218" t="e">
        <f>Diagrama!I22</f>
        <v>#DIV/0!</v>
      </c>
      <c r="AE67" s="218" t="e">
        <f>Diagrama!J22</f>
        <v>#DIV/0!</v>
      </c>
      <c r="AF67" s="218" t="e">
        <f>Diagrama!K22</f>
        <v>#DIV/0!</v>
      </c>
      <c r="AG67" s="218" t="e">
        <f>Diagrama!L22</f>
        <v>#DIV/0!</v>
      </c>
      <c r="AH67" s="218" t="e">
        <f>Diagrama!M22</f>
        <v>#DIV/0!</v>
      </c>
      <c r="AI67" s="218" t="e">
        <f>Diagrama!N22</f>
        <v>#DIV/0!</v>
      </c>
      <c r="AJ67" s="218" t="e">
        <f>Diagrama!O22</f>
        <v>#DIV/0!</v>
      </c>
      <c r="AK67" s="218" t="e">
        <f>Diagrama!P22</f>
        <v>#DIV/0!</v>
      </c>
      <c r="AL67" s="218" t="e">
        <f>Diagrama!Q22</f>
        <v>#DIV/0!</v>
      </c>
      <c r="AM67" s="218" t="e">
        <f>Diagrama!R22</f>
        <v>#DIV/0!</v>
      </c>
      <c r="AN67" s="218" t="e">
        <f>Diagrama!S22</f>
        <v>#DIV/0!</v>
      </c>
      <c r="AO67" s="218" t="e">
        <f>Diagrama!T22</f>
        <v>#DIV/0!</v>
      </c>
      <c r="AP67" s="218" t="e">
        <f>Diagrama!U22</f>
        <v>#DIV/0!</v>
      </c>
      <c r="AQ67" s="218" t="e">
        <f>Diagrama!V22</f>
        <v>#DIV/0!</v>
      </c>
      <c r="AR67" s="218" t="e">
        <f>Diagrama!W22</f>
        <v>#DIV/0!</v>
      </c>
      <c r="AS67" s="218" t="e">
        <f>Diagrama!X22</f>
        <v>#DIV/0!</v>
      </c>
      <c r="AT67" s="218" t="e">
        <f>Diagrama!Y22</f>
        <v>#DIV/0!</v>
      </c>
      <c r="AU67" s="218" t="e">
        <f>Diagrama!Z22</f>
        <v>#DIV/0!</v>
      </c>
      <c r="AV67" s="218" t="e">
        <f>Diagrama!AA22</f>
        <v>#DIV/0!</v>
      </c>
      <c r="AW67" s="218" t="e">
        <f>Diagrama!AB22</f>
        <v>#DIV/0!</v>
      </c>
      <c r="AX67" s="218" t="e">
        <f>Diagrama!AC22</f>
        <v>#DIV/0!</v>
      </c>
      <c r="AY67" s="218" t="e">
        <f>Diagrama!AD22</f>
        <v>#DIV/0!</v>
      </c>
      <c r="AZ67" s="218" t="e">
        <f>Diagrama!AE22</f>
        <v>#DIV/0!</v>
      </c>
      <c r="BA67" s="218">
        <f>Diagrama!GL22</f>
        <v>0</v>
      </c>
    </row>
    <row r="68" spans="6:53" x14ac:dyDescent="0.2">
      <c r="F68" s="205">
        <v>32</v>
      </c>
      <c r="G68" s="204" t="b">
        <v>0</v>
      </c>
      <c r="H68" s="204" t="b">
        <v>0</v>
      </c>
      <c r="I68" s="204" t="b">
        <v>0</v>
      </c>
      <c r="K68" s="213">
        <v>32</v>
      </c>
      <c r="L68" s="213"/>
      <c r="M68" s="213"/>
      <c r="N68" s="213"/>
      <c r="S68" s="205" t="s">
        <v>19</v>
      </c>
      <c r="T68" s="216">
        <v>0.10888324181867319</v>
      </c>
      <c r="U68" s="217">
        <v>0.10888324181867319</v>
      </c>
      <c r="V68" s="216">
        <v>0.10888324181867319</v>
      </c>
      <c r="W68" s="218">
        <f>Diagrama!B23</f>
        <v>0.73340213278293787</v>
      </c>
      <c r="X68" s="218">
        <f>Diagrama!C23</f>
        <v>4.7385734072022156</v>
      </c>
      <c r="Y68" s="218">
        <f>Diagrama!D23</f>
        <v>110.94087850345561</v>
      </c>
      <c r="Z68" s="218">
        <f>Diagrama!E23</f>
        <v>360339.34409284213</v>
      </c>
      <c r="AA68" s="218">
        <f>Diagrama!F23</f>
        <v>1.4999999999999996</v>
      </c>
      <c r="AB68" s="218" t="e">
        <f>Diagrama!G23</f>
        <v>#DIV/0!</v>
      </c>
      <c r="AC68" s="218" t="e">
        <f>Diagrama!H23</f>
        <v>#DIV/0!</v>
      </c>
      <c r="AD68" s="218" t="e">
        <f>Diagrama!I23</f>
        <v>#DIV/0!</v>
      </c>
      <c r="AE68" s="218" t="e">
        <f>Diagrama!J23</f>
        <v>#DIV/0!</v>
      </c>
      <c r="AF68" s="218" t="e">
        <f>Diagrama!K23</f>
        <v>#DIV/0!</v>
      </c>
      <c r="AG68" s="218" t="e">
        <f>Diagrama!L23</f>
        <v>#DIV/0!</v>
      </c>
      <c r="AH68" s="218" t="e">
        <f>Diagrama!M23</f>
        <v>#DIV/0!</v>
      </c>
      <c r="AI68" s="218" t="e">
        <f>Diagrama!N23</f>
        <v>#DIV/0!</v>
      </c>
      <c r="AJ68" s="218" t="e">
        <f>Diagrama!O23</f>
        <v>#DIV/0!</v>
      </c>
      <c r="AK68" s="218" t="e">
        <f>Diagrama!P23</f>
        <v>#DIV/0!</v>
      </c>
      <c r="AL68" s="218" t="e">
        <f>Diagrama!Q23</f>
        <v>#DIV/0!</v>
      </c>
      <c r="AM68" s="218" t="e">
        <f>Diagrama!R23</f>
        <v>#DIV/0!</v>
      </c>
      <c r="AN68" s="218" t="e">
        <f>Diagrama!S23</f>
        <v>#DIV/0!</v>
      </c>
      <c r="AO68" s="218" t="e">
        <f>Diagrama!T23</f>
        <v>#DIV/0!</v>
      </c>
      <c r="AP68" s="218" t="e">
        <f>Diagrama!U23</f>
        <v>#DIV/0!</v>
      </c>
      <c r="AQ68" s="218" t="e">
        <f>Diagrama!V23</f>
        <v>#DIV/0!</v>
      </c>
      <c r="AR68" s="218" t="e">
        <f>Diagrama!W23</f>
        <v>#DIV/0!</v>
      </c>
      <c r="AS68" s="218" t="e">
        <f>Diagrama!X23</f>
        <v>#DIV/0!</v>
      </c>
      <c r="AT68" s="218" t="e">
        <f>Diagrama!Y23</f>
        <v>#DIV/0!</v>
      </c>
      <c r="AU68" s="218" t="e">
        <f>Diagrama!Z23</f>
        <v>#DIV/0!</v>
      </c>
      <c r="AV68" s="218" t="e">
        <f>Diagrama!AA23</f>
        <v>#DIV/0!</v>
      </c>
      <c r="AW68" s="218" t="e">
        <f>Diagrama!AB23</f>
        <v>#DIV/0!</v>
      </c>
      <c r="AX68" s="218" t="e">
        <f>Diagrama!AC23</f>
        <v>#DIV/0!</v>
      </c>
      <c r="AY68" s="218" t="e">
        <f>Diagrama!AD23</f>
        <v>#DIV/0!</v>
      </c>
      <c r="AZ68" s="218" t="e">
        <f>Diagrama!AE23</f>
        <v>#DIV/0!</v>
      </c>
      <c r="BA68" s="218">
        <f>Diagrama!GL23</f>
        <v>0</v>
      </c>
    </row>
    <row r="69" spans="6:53" x14ac:dyDescent="0.2">
      <c r="F69" s="205">
        <v>33</v>
      </c>
      <c r="G69" s="204" t="b">
        <v>0</v>
      </c>
      <c r="H69" s="204" t="b">
        <v>0</v>
      </c>
      <c r="I69" s="204" t="b">
        <v>0</v>
      </c>
      <c r="K69" s="213">
        <v>33</v>
      </c>
      <c r="L69" s="213"/>
      <c r="M69" s="213"/>
      <c r="N69" s="213"/>
      <c r="S69" s="205" t="s">
        <v>12</v>
      </c>
      <c r="T69" s="219">
        <v>7.8039019509754874</v>
      </c>
      <c r="U69" s="217">
        <v>7.8039019509754874</v>
      </c>
      <c r="V69" s="219">
        <v>7.8039019509754874</v>
      </c>
      <c r="W69" s="220">
        <f t="shared" ref="W69:AB69" si="0">100*W61/W64</f>
        <v>25.365853658536587</v>
      </c>
      <c r="X69" s="220">
        <f t="shared" si="0"/>
        <v>52.795031055900623</v>
      </c>
      <c r="Y69" s="220">
        <f t="shared" si="0"/>
        <v>11.261691676199447</v>
      </c>
      <c r="Z69" s="220">
        <f t="shared" si="0"/>
        <v>99.776428466558031</v>
      </c>
      <c r="AA69" s="220">
        <f t="shared" si="0"/>
        <v>33.333333333333336</v>
      </c>
      <c r="AB69" s="220" t="e">
        <f t="shared" si="0"/>
        <v>#DIV/0!</v>
      </c>
      <c r="AC69" s="220" t="e">
        <f>100*AC61/AC64</f>
        <v>#DIV/0!</v>
      </c>
      <c r="AD69" s="220" t="e">
        <f>100*AD61/AD64</f>
        <v>#DIV/0!</v>
      </c>
      <c r="AE69" s="220" t="e">
        <f>100*AE61/AE64</f>
        <v>#DIV/0!</v>
      </c>
      <c r="AF69" s="220" t="e">
        <f>100*AF61/AF64</f>
        <v>#DIV/0!</v>
      </c>
      <c r="AG69" s="220" t="e">
        <f t="shared" ref="AG69:AZ69" si="1">100*AG61/AG64</f>
        <v>#DIV/0!</v>
      </c>
      <c r="AH69" s="220" t="e">
        <f t="shared" si="1"/>
        <v>#DIV/0!</v>
      </c>
      <c r="AI69" s="220" t="e">
        <f t="shared" si="1"/>
        <v>#DIV/0!</v>
      </c>
      <c r="AJ69" s="220" t="e">
        <f t="shared" si="1"/>
        <v>#DIV/0!</v>
      </c>
      <c r="AK69" s="220" t="e">
        <f t="shared" si="1"/>
        <v>#DIV/0!</v>
      </c>
      <c r="AL69" s="220" t="e">
        <f t="shared" si="1"/>
        <v>#DIV/0!</v>
      </c>
      <c r="AM69" s="220" t="e">
        <f t="shared" si="1"/>
        <v>#DIV/0!</v>
      </c>
      <c r="AN69" s="220" t="e">
        <f t="shared" si="1"/>
        <v>#DIV/0!</v>
      </c>
      <c r="AO69" s="220" t="e">
        <f t="shared" si="1"/>
        <v>#DIV/0!</v>
      </c>
      <c r="AP69" s="220" t="e">
        <f t="shared" si="1"/>
        <v>#DIV/0!</v>
      </c>
      <c r="AQ69" s="220" t="e">
        <f t="shared" si="1"/>
        <v>#DIV/0!</v>
      </c>
      <c r="AR69" s="220" t="e">
        <f t="shared" si="1"/>
        <v>#DIV/0!</v>
      </c>
      <c r="AS69" s="220" t="e">
        <f t="shared" si="1"/>
        <v>#DIV/0!</v>
      </c>
      <c r="AT69" s="220" t="e">
        <f t="shared" si="1"/>
        <v>#DIV/0!</v>
      </c>
      <c r="AU69" s="220" t="e">
        <f t="shared" si="1"/>
        <v>#DIV/0!</v>
      </c>
      <c r="AV69" s="220" t="e">
        <f t="shared" si="1"/>
        <v>#DIV/0!</v>
      </c>
      <c r="AW69" s="220" t="e">
        <f t="shared" si="1"/>
        <v>#DIV/0!</v>
      </c>
      <c r="AX69" s="220" t="e">
        <f t="shared" si="1"/>
        <v>#DIV/0!</v>
      </c>
      <c r="AY69" s="220" t="e">
        <f t="shared" si="1"/>
        <v>#DIV/0!</v>
      </c>
      <c r="AZ69" s="220" t="e">
        <f t="shared" si="1"/>
        <v>#DIV/0!</v>
      </c>
      <c r="BA69" s="220" t="e">
        <f>100*BA61/BA64</f>
        <v>#DIV/0!</v>
      </c>
    </row>
    <row r="70" spans="6:53" x14ac:dyDescent="0.2">
      <c r="F70" s="205">
        <v>34</v>
      </c>
      <c r="G70" s="204" t="b">
        <v>0</v>
      </c>
      <c r="H70" s="204" t="b">
        <v>0</v>
      </c>
      <c r="I70" s="204" t="b">
        <v>0</v>
      </c>
      <c r="K70" s="213">
        <v>34</v>
      </c>
      <c r="L70" s="213"/>
      <c r="M70" s="213"/>
      <c r="N70" s="213"/>
      <c r="S70" s="205" t="s">
        <v>72</v>
      </c>
      <c r="T70" s="214">
        <v>0</v>
      </c>
      <c r="U70" s="214">
        <v>0</v>
      </c>
      <c r="V70" s="214">
        <v>0</v>
      </c>
    </row>
    <row r="71" spans="6:53" x14ac:dyDescent="0.2">
      <c r="F71" s="205">
        <v>35</v>
      </c>
      <c r="G71" s="204" t="b">
        <v>0</v>
      </c>
      <c r="H71" s="204" t="b">
        <v>0</v>
      </c>
      <c r="I71" s="204" t="b">
        <v>0</v>
      </c>
      <c r="K71" s="213">
        <v>35</v>
      </c>
      <c r="L71" s="213"/>
      <c r="M71" s="213"/>
      <c r="N71" s="213"/>
      <c r="S71" s="205" t="s">
        <v>73</v>
      </c>
    </row>
    <row r="72" spans="6:53" x14ac:dyDescent="0.2">
      <c r="F72" s="205">
        <v>36</v>
      </c>
      <c r="G72" s="204" t="b">
        <v>0</v>
      </c>
      <c r="H72" s="204" t="b">
        <v>0</v>
      </c>
      <c r="I72" s="204" t="b">
        <v>0</v>
      </c>
      <c r="K72" s="213">
        <v>36</v>
      </c>
      <c r="L72" s="213"/>
      <c r="M72" s="213"/>
      <c r="N72" s="213"/>
      <c r="R72" s="204" t="s">
        <v>86</v>
      </c>
      <c r="S72" s="205">
        <v>0</v>
      </c>
      <c r="T72" s="205" t="b">
        <v>0</v>
      </c>
      <c r="U72" s="205" t="b">
        <v>0</v>
      </c>
      <c r="V72" s="205" t="b">
        <v>0</v>
      </c>
      <c r="W72" s="206">
        <v>0.25</v>
      </c>
      <c r="X72" s="206"/>
      <c r="Y72" s="206"/>
    </row>
    <row r="73" spans="6:53" x14ac:dyDescent="0.2">
      <c r="F73" s="205">
        <v>37</v>
      </c>
      <c r="G73" s="204" t="b">
        <v>0</v>
      </c>
      <c r="H73" s="204" t="b">
        <v>0</v>
      </c>
      <c r="I73" s="204" t="b">
        <v>0</v>
      </c>
      <c r="K73" s="213">
        <v>37</v>
      </c>
      <c r="L73" s="213"/>
      <c r="M73" s="213"/>
      <c r="N73" s="213"/>
      <c r="T73" s="221"/>
      <c r="W73" s="206">
        <v>0</v>
      </c>
    </row>
    <row r="74" spans="6:53" x14ac:dyDescent="0.2">
      <c r="F74" s="205">
        <v>38</v>
      </c>
      <c r="G74" s="204" t="b">
        <v>0</v>
      </c>
      <c r="H74" s="204" t="b">
        <v>0</v>
      </c>
      <c r="I74" s="204" t="b">
        <v>0</v>
      </c>
      <c r="K74" s="213">
        <v>38</v>
      </c>
      <c r="L74" s="213"/>
      <c r="M74" s="213"/>
      <c r="N74" s="213"/>
      <c r="T74" s="221"/>
      <c r="W74" s="206">
        <v>0.75</v>
      </c>
    </row>
    <row r="75" spans="6:53" x14ac:dyDescent="0.2">
      <c r="F75" s="205">
        <v>39</v>
      </c>
      <c r="G75" s="204" t="b">
        <v>0</v>
      </c>
      <c r="H75" s="204" t="b">
        <v>0</v>
      </c>
      <c r="I75" s="204" t="b">
        <v>0</v>
      </c>
      <c r="K75" s="213">
        <v>39</v>
      </c>
      <c r="L75" s="213"/>
      <c r="M75" s="213"/>
      <c r="N75" s="213"/>
      <c r="T75" s="221"/>
    </row>
    <row r="76" spans="6:53" x14ac:dyDescent="0.2">
      <c r="F76" s="205">
        <v>40</v>
      </c>
      <c r="G76" s="204" t="b">
        <v>0</v>
      </c>
      <c r="H76" s="204" t="b">
        <v>0</v>
      </c>
      <c r="I76" s="204" t="b">
        <v>0</v>
      </c>
      <c r="K76" s="213">
        <v>40</v>
      </c>
      <c r="L76" s="213"/>
      <c r="M76" s="213"/>
      <c r="N76" s="213"/>
    </row>
    <row r="77" spans="6:53" x14ac:dyDescent="0.2">
      <c r="F77" s="205">
        <v>41</v>
      </c>
      <c r="G77" s="204" t="b">
        <v>0</v>
      </c>
      <c r="H77" s="204" t="b">
        <v>0</v>
      </c>
      <c r="I77" s="204" t="b">
        <v>0</v>
      </c>
      <c r="K77" s="213">
        <v>41</v>
      </c>
      <c r="L77" s="213"/>
      <c r="M77" s="213"/>
      <c r="N77" s="213"/>
    </row>
    <row r="78" spans="6:53" x14ac:dyDescent="0.2">
      <c r="F78" s="205">
        <v>42</v>
      </c>
      <c r="G78" s="204" t="b">
        <v>0</v>
      </c>
      <c r="H78" s="204" t="b">
        <v>0</v>
      </c>
      <c r="I78" s="204" t="b">
        <v>0</v>
      </c>
      <c r="K78" s="213">
        <v>42</v>
      </c>
      <c r="L78" s="213"/>
      <c r="M78" s="213"/>
      <c r="N78" s="213"/>
    </row>
    <row r="79" spans="6:53" x14ac:dyDescent="0.2">
      <c r="F79" s="205">
        <v>43</v>
      </c>
      <c r="G79" s="204" t="b">
        <v>0</v>
      </c>
      <c r="H79" s="204" t="b">
        <v>0</v>
      </c>
      <c r="I79" s="204" t="b">
        <v>0</v>
      </c>
      <c r="K79" s="213">
        <v>43</v>
      </c>
      <c r="L79" s="213"/>
      <c r="M79" s="213"/>
      <c r="N79" s="213"/>
    </row>
    <row r="80" spans="6:53" x14ac:dyDescent="0.2">
      <c r="F80" s="205">
        <v>44</v>
      </c>
      <c r="G80" s="204" t="b">
        <v>0</v>
      </c>
      <c r="H80" s="204" t="b">
        <v>0</v>
      </c>
      <c r="I80" s="204" t="b">
        <v>0</v>
      </c>
      <c r="K80" s="213">
        <v>44</v>
      </c>
      <c r="L80" s="213"/>
      <c r="M80" s="213"/>
      <c r="N80" s="213"/>
    </row>
    <row r="81" spans="6:14" x14ac:dyDescent="0.2">
      <c r="F81" s="205">
        <v>45</v>
      </c>
      <c r="G81" s="204" t="b">
        <v>0</v>
      </c>
      <c r="H81" s="204" t="b">
        <v>0</v>
      </c>
      <c r="I81" s="204" t="b">
        <v>0</v>
      </c>
      <c r="K81" s="213">
        <v>45</v>
      </c>
      <c r="L81" s="213"/>
      <c r="M81" s="213"/>
      <c r="N81" s="213"/>
    </row>
    <row r="82" spans="6:14" x14ac:dyDescent="0.2">
      <c r="F82" s="205">
        <v>46</v>
      </c>
      <c r="G82" s="204" t="b">
        <v>0</v>
      </c>
      <c r="H82" s="204" t="b">
        <v>0</v>
      </c>
      <c r="I82" s="204" t="b">
        <v>0</v>
      </c>
      <c r="K82" s="213">
        <v>46</v>
      </c>
      <c r="L82" s="213"/>
      <c r="M82" s="213"/>
      <c r="N82" s="213"/>
    </row>
    <row r="83" spans="6:14" x14ac:dyDescent="0.2">
      <c r="F83" s="205">
        <v>47</v>
      </c>
      <c r="G83" s="204" t="b">
        <v>0</v>
      </c>
      <c r="H83" s="204" t="b">
        <v>0</v>
      </c>
      <c r="I83" s="204" t="b">
        <v>0</v>
      </c>
      <c r="K83" s="213">
        <v>47</v>
      </c>
      <c r="L83" s="213"/>
      <c r="M83" s="213"/>
      <c r="N83" s="213"/>
    </row>
    <row r="84" spans="6:14" x14ac:dyDescent="0.2">
      <c r="F84" s="205">
        <v>48</v>
      </c>
      <c r="G84" s="204" t="b">
        <v>0</v>
      </c>
      <c r="H84" s="204" t="b">
        <v>0</v>
      </c>
      <c r="I84" s="204" t="b">
        <v>0</v>
      </c>
      <c r="K84" s="213">
        <v>48</v>
      </c>
      <c r="L84" s="213"/>
      <c r="M84" s="213"/>
      <c r="N84" s="213"/>
    </row>
    <row r="85" spans="6:14" x14ac:dyDescent="0.2">
      <c r="F85" s="205">
        <v>49</v>
      </c>
      <c r="G85" s="204" t="b">
        <v>0</v>
      </c>
      <c r="H85" s="204" t="b">
        <v>0</v>
      </c>
      <c r="I85" s="204" t="b">
        <v>0</v>
      </c>
      <c r="K85" s="213">
        <v>49</v>
      </c>
      <c r="L85" s="213"/>
      <c r="M85" s="213"/>
      <c r="N85" s="213"/>
    </row>
    <row r="86" spans="6:14" x14ac:dyDescent="0.2">
      <c r="F86" s="205">
        <v>50</v>
      </c>
      <c r="G86" s="204" t="b">
        <v>0</v>
      </c>
      <c r="H86" s="204" t="b">
        <v>0</v>
      </c>
      <c r="I86" s="204" t="b">
        <v>0</v>
      </c>
      <c r="K86" s="213">
        <v>50</v>
      </c>
      <c r="L86" s="213"/>
      <c r="M86" s="213"/>
      <c r="N86" s="213"/>
    </row>
    <row r="87" spans="6:14" x14ac:dyDescent="0.2">
      <c r="F87" s="205">
        <v>51</v>
      </c>
      <c r="G87" s="204" t="b">
        <v>0</v>
      </c>
      <c r="H87" s="204" t="b">
        <v>0</v>
      </c>
      <c r="I87" s="204" t="b">
        <v>0</v>
      </c>
      <c r="K87" s="213">
        <v>51</v>
      </c>
      <c r="L87" s="213"/>
      <c r="M87" s="213"/>
      <c r="N87" s="213"/>
    </row>
    <row r="88" spans="6:14" x14ac:dyDescent="0.2">
      <c r="F88" s="205">
        <v>52</v>
      </c>
      <c r="G88" s="204" t="b">
        <v>0</v>
      </c>
      <c r="H88" s="204" t="b">
        <v>0</v>
      </c>
      <c r="I88" s="204" t="b">
        <v>0</v>
      </c>
      <c r="K88" s="213">
        <v>52</v>
      </c>
      <c r="L88" s="213"/>
      <c r="M88" s="213"/>
      <c r="N88" s="213"/>
    </row>
    <row r="89" spans="6:14" x14ac:dyDescent="0.2">
      <c r="F89" s="205">
        <v>53</v>
      </c>
      <c r="G89" s="204" t="b">
        <v>0</v>
      </c>
      <c r="H89" s="204" t="b">
        <v>0</v>
      </c>
      <c r="I89" s="204" t="b">
        <v>0</v>
      </c>
      <c r="K89" s="213">
        <v>53</v>
      </c>
      <c r="L89" s="213"/>
      <c r="M89" s="213"/>
      <c r="N89" s="213"/>
    </row>
    <row r="90" spans="6:14" x14ac:dyDescent="0.2">
      <c r="F90" s="205">
        <v>54</v>
      </c>
      <c r="G90" s="204" t="b">
        <v>0</v>
      </c>
      <c r="H90" s="204" t="b">
        <v>0</v>
      </c>
      <c r="I90" s="204" t="b">
        <v>0</v>
      </c>
      <c r="K90" s="213">
        <v>54</v>
      </c>
      <c r="L90" s="213"/>
      <c r="M90" s="213"/>
      <c r="N90" s="213"/>
    </row>
    <row r="91" spans="6:14" x14ac:dyDescent="0.2">
      <c r="F91" s="205">
        <v>55</v>
      </c>
      <c r="G91" s="204" t="b">
        <v>0</v>
      </c>
      <c r="H91" s="204" t="b">
        <v>0</v>
      </c>
      <c r="I91" s="204" t="b">
        <v>0</v>
      </c>
      <c r="K91" s="213">
        <v>55</v>
      </c>
      <c r="L91" s="213"/>
      <c r="M91" s="213"/>
      <c r="N91" s="213"/>
    </row>
    <row r="92" spans="6:14" x14ac:dyDescent="0.2">
      <c r="F92" s="205">
        <v>56</v>
      </c>
      <c r="G92" s="204" t="b">
        <v>0</v>
      </c>
      <c r="H92" s="204" t="b">
        <v>0</v>
      </c>
      <c r="I92" s="204" t="b">
        <v>0</v>
      </c>
      <c r="K92" s="213">
        <v>56</v>
      </c>
      <c r="L92" s="213"/>
      <c r="M92" s="213"/>
      <c r="N92" s="213"/>
    </row>
    <row r="93" spans="6:14" x14ac:dyDescent="0.2">
      <c r="F93" s="205">
        <v>57</v>
      </c>
      <c r="G93" s="204" t="b">
        <v>0</v>
      </c>
      <c r="H93" s="204" t="b">
        <v>0</v>
      </c>
      <c r="I93" s="204" t="b">
        <v>0</v>
      </c>
      <c r="K93" s="213">
        <v>57</v>
      </c>
      <c r="L93" s="213"/>
      <c r="M93" s="213"/>
      <c r="N93" s="213"/>
    </row>
    <row r="94" spans="6:14" x14ac:dyDescent="0.2">
      <c r="F94" s="205">
        <v>58</v>
      </c>
      <c r="G94" s="204" t="b">
        <v>0</v>
      </c>
      <c r="H94" s="204" t="b">
        <v>0</v>
      </c>
      <c r="I94" s="204" t="b">
        <v>0</v>
      </c>
      <c r="K94" s="213">
        <v>58</v>
      </c>
      <c r="L94" s="213"/>
      <c r="M94" s="213"/>
      <c r="N94" s="213"/>
    </row>
    <row r="95" spans="6:14" x14ac:dyDescent="0.2">
      <c r="F95" s="205">
        <v>59</v>
      </c>
      <c r="G95" s="204" t="b">
        <v>0</v>
      </c>
      <c r="H95" s="204" t="b">
        <v>0</v>
      </c>
      <c r="I95" s="204" t="b">
        <v>0</v>
      </c>
      <c r="K95" s="213">
        <v>59</v>
      </c>
      <c r="L95" s="213"/>
      <c r="M95" s="213"/>
      <c r="N95" s="213"/>
    </row>
    <row r="96" spans="6:14" x14ac:dyDescent="0.2">
      <c r="F96" s="205">
        <v>60</v>
      </c>
      <c r="G96" s="204" t="b">
        <v>0</v>
      </c>
      <c r="H96" s="204" t="b">
        <v>0</v>
      </c>
      <c r="I96" s="204" t="b">
        <v>0</v>
      </c>
      <c r="K96" s="213">
        <v>60</v>
      </c>
      <c r="L96" s="213"/>
      <c r="M96" s="213"/>
      <c r="N96" s="213"/>
    </row>
    <row r="97" spans="6:14" x14ac:dyDescent="0.2">
      <c r="F97" s="205">
        <v>61</v>
      </c>
      <c r="G97" s="204" t="b">
        <v>0</v>
      </c>
      <c r="H97" s="204" t="b">
        <v>0</v>
      </c>
      <c r="I97" s="204" t="b">
        <v>0</v>
      </c>
      <c r="K97" s="213">
        <v>61</v>
      </c>
      <c r="L97" s="213"/>
      <c r="M97" s="213"/>
      <c r="N97" s="213"/>
    </row>
    <row r="98" spans="6:14" x14ac:dyDescent="0.2">
      <c r="F98" s="205">
        <v>62</v>
      </c>
      <c r="G98" s="204" t="b">
        <v>0</v>
      </c>
      <c r="H98" s="204" t="b">
        <v>0</v>
      </c>
      <c r="I98" s="204" t="b">
        <v>0</v>
      </c>
      <c r="K98" s="213">
        <v>62</v>
      </c>
      <c r="L98" s="213"/>
      <c r="M98" s="213"/>
      <c r="N98" s="213"/>
    </row>
    <row r="99" spans="6:14" x14ac:dyDescent="0.2">
      <c r="F99" s="205">
        <v>63</v>
      </c>
      <c r="G99" s="204" t="b">
        <v>0</v>
      </c>
      <c r="H99" s="204" t="b">
        <v>0</v>
      </c>
      <c r="I99" s="204" t="b">
        <v>0</v>
      </c>
      <c r="K99" s="213">
        <v>63</v>
      </c>
      <c r="L99" s="213"/>
      <c r="M99" s="213"/>
      <c r="N99" s="213"/>
    </row>
    <row r="100" spans="6:14" x14ac:dyDescent="0.2">
      <c r="F100" s="205">
        <v>64</v>
      </c>
      <c r="G100" s="204" t="b">
        <v>0</v>
      </c>
      <c r="H100" s="204" t="b">
        <v>0</v>
      </c>
      <c r="I100" s="204" t="b">
        <v>0</v>
      </c>
      <c r="K100" s="213">
        <v>64</v>
      </c>
      <c r="L100" s="213"/>
      <c r="M100" s="213"/>
      <c r="N100" s="213"/>
    </row>
    <row r="101" spans="6:14" x14ac:dyDescent="0.2">
      <c r="F101" s="205">
        <v>65</v>
      </c>
      <c r="G101" s="204" t="b">
        <v>0</v>
      </c>
      <c r="H101" s="204" t="b">
        <v>0</v>
      </c>
      <c r="I101" s="204" t="b">
        <v>0</v>
      </c>
      <c r="K101" s="213">
        <v>65</v>
      </c>
      <c r="L101" s="213"/>
      <c r="M101" s="213"/>
      <c r="N101" s="213"/>
    </row>
    <row r="102" spans="6:14" x14ac:dyDescent="0.2">
      <c r="F102" s="205">
        <v>66</v>
      </c>
      <c r="G102" s="204" t="b">
        <v>0</v>
      </c>
      <c r="H102" s="204" t="b">
        <v>0</v>
      </c>
      <c r="I102" s="204" t="b">
        <v>0</v>
      </c>
      <c r="K102" s="213">
        <v>66</v>
      </c>
      <c r="L102" s="213"/>
      <c r="M102" s="213"/>
      <c r="N102" s="213"/>
    </row>
    <row r="103" spans="6:14" x14ac:dyDescent="0.2">
      <c r="F103" s="205">
        <v>67</v>
      </c>
      <c r="G103" s="204" t="b">
        <v>0</v>
      </c>
      <c r="H103" s="204" t="b">
        <v>0</v>
      </c>
      <c r="I103" s="204" t="b">
        <v>0</v>
      </c>
      <c r="K103" s="213">
        <v>67</v>
      </c>
      <c r="L103" s="213"/>
      <c r="M103" s="213"/>
      <c r="N103" s="213"/>
    </row>
    <row r="104" spans="6:14" x14ac:dyDescent="0.2">
      <c r="F104" s="205">
        <v>68</v>
      </c>
      <c r="G104" s="204" t="b">
        <v>0</v>
      </c>
      <c r="H104" s="204" t="b">
        <v>0</v>
      </c>
      <c r="I104" s="204" t="b">
        <v>0</v>
      </c>
      <c r="K104" s="213">
        <v>68</v>
      </c>
      <c r="L104" s="213"/>
      <c r="M104" s="213"/>
      <c r="N104" s="213"/>
    </row>
    <row r="105" spans="6:14" x14ac:dyDescent="0.2">
      <c r="F105" s="205">
        <v>69</v>
      </c>
      <c r="G105" s="204" t="b">
        <v>0</v>
      </c>
      <c r="H105" s="204" t="b">
        <v>0</v>
      </c>
      <c r="I105" s="204" t="b">
        <v>0</v>
      </c>
      <c r="K105" s="213">
        <v>69</v>
      </c>
      <c r="L105" s="213"/>
      <c r="M105" s="213"/>
      <c r="N105" s="213"/>
    </row>
    <row r="106" spans="6:14" x14ac:dyDescent="0.2">
      <c r="F106" s="205">
        <v>70</v>
      </c>
      <c r="G106" s="204" t="b">
        <v>0</v>
      </c>
      <c r="H106" s="204" t="b">
        <v>0</v>
      </c>
      <c r="I106" s="204" t="b">
        <v>0</v>
      </c>
      <c r="K106" s="213">
        <v>70</v>
      </c>
      <c r="L106" s="213"/>
      <c r="M106" s="213"/>
      <c r="N106" s="213"/>
    </row>
    <row r="107" spans="6:14" x14ac:dyDescent="0.2">
      <c r="F107" s="205">
        <v>71</v>
      </c>
      <c r="G107" s="204" t="b">
        <v>0</v>
      </c>
      <c r="H107" s="204" t="b">
        <v>0</v>
      </c>
      <c r="I107" s="204" t="b">
        <v>0</v>
      </c>
      <c r="K107" s="213">
        <v>71</v>
      </c>
      <c r="L107" s="213"/>
      <c r="M107" s="213"/>
      <c r="N107" s="213"/>
    </row>
    <row r="108" spans="6:14" x14ac:dyDescent="0.2">
      <c r="F108" s="205">
        <v>72</v>
      </c>
      <c r="G108" s="204" t="b">
        <v>0</v>
      </c>
      <c r="H108" s="204" t="b">
        <v>0</v>
      </c>
      <c r="I108" s="204" t="b">
        <v>0</v>
      </c>
      <c r="K108" s="213">
        <v>72</v>
      </c>
      <c r="L108" s="213"/>
      <c r="M108" s="213"/>
      <c r="N108" s="213"/>
    </row>
    <row r="109" spans="6:14" x14ac:dyDescent="0.2">
      <c r="F109" s="205">
        <v>73</v>
      </c>
      <c r="G109" s="204" t="b">
        <v>0</v>
      </c>
      <c r="H109" s="204" t="b">
        <v>0</v>
      </c>
      <c r="I109" s="204" t="b">
        <v>0</v>
      </c>
      <c r="K109" s="213">
        <v>73</v>
      </c>
      <c r="L109" s="213"/>
      <c r="M109" s="213"/>
      <c r="N109" s="213"/>
    </row>
    <row r="110" spans="6:14" x14ac:dyDescent="0.2">
      <c r="F110" s="205">
        <v>74</v>
      </c>
      <c r="G110" s="204" t="b">
        <v>0</v>
      </c>
      <c r="H110" s="204" t="b">
        <v>0</v>
      </c>
      <c r="I110" s="204" t="b">
        <v>0</v>
      </c>
      <c r="K110" s="213">
        <v>74</v>
      </c>
      <c r="L110" s="213"/>
      <c r="M110" s="213"/>
      <c r="N110" s="213"/>
    </row>
    <row r="111" spans="6:14" x14ac:dyDescent="0.2">
      <c r="F111" s="205">
        <v>75</v>
      </c>
      <c r="G111" s="204" t="b">
        <v>0</v>
      </c>
      <c r="H111" s="204" t="b">
        <v>0</v>
      </c>
      <c r="I111" s="204" t="b">
        <v>0</v>
      </c>
      <c r="K111" s="213">
        <v>75</v>
      </c>
      <c r="L111" s="213"/>
      <c r="M111" s="213"/>
      <c r="N111" s="213"/>
    </row>
    <row r="112" spans="6:14" x14ac:dyDescent="0.2">
      <c r="F112" s="205">
        <v>76</v>
      </c>
      <c r="G112" s="204" t="b">
        <v>0</v>
      </c>
      <c r="H112" s="204" t="b">
        <v>0</v>
      </c>
      <c r="I112" s="204" t="b">
        <v>0</v>
      </c>
      <c r="K112" s="213">
        <v>76</v>
      </c>
      <c r="L112" s="213"/>
      <c r="M112" s="213"/>
      <c r="N112" s="213"/>
    </row>
    <row r="113" spans="6:14" x14ac:dyDescent="0.2">
      <c r="F113" s="205">
        <v>77</v>
      </c>
      <c r="G113" s="204" t="b">
        <v>0</v>
      </c>
      <c r="H113" s="204" t="b">
        <v>0</v>
      </c>
      <c r="I113" s="204" t="b">
        <v>0</v>
      </c>
      <c r="K113" s="213">
        <v>77</v>
      </c>
      <c r="L113" s="213"/>
      <c r="M113" s="213"/>
      <c r="N113" s="213"/>
    </row>
    <row r="114" spans="6:14" x14ac:dyDescent="0.2">
      <c r="F114" s="205">
        <v>78</v>
      </c>
      <c r="G114" s="204" t="b">
        <v>0</v>
      </c>
      <c r="H114" s="204" t="b">
        <v>0</v>
      </c>
      <c r="I114" s="204" t="b">
        <v>0</v>
      </c>
      <c r="K114" s="213">
        <v>78</v>
      </c>
      <c r="L114" s="213"/>
      <c r="M114" s="213"/>
      <c r="N114" s="213"/>
    </row>
    <row r="115" spans="6:14" x14ac:dyDescent="0.2">
      <c r="F115" s="205">
        <v>79</v>
      </c>
      <c r="G115" s="204" t="b">
        <v>0</v>
      </c>
      <c r="H115" s="204" t="b">
        <v>0</v>
      </c>
      <c r="I115" s="204" t="b">
        <v>0</v>
      </c>
      <c r="K115" s="213">
        <v>79</v>
      </c>
      <c r="L115" s="213"/>
      <c r="M115" s="213"/>
      <c r="N115" s="213"/>
    </row>
    <row r="116" spans="6:14" x14ac:dyDescent="0.2">
      <c r="F116" s="205">
        <v>80</v>
      </c>
      <c r="G116" s="204" t="b">
        <v>0</v>
      </c>
      <c r="H116" s="204" t="b">
        <v>0</v>
      </c>
      <c r="I116" s="204" t="b">
        <v>0</v>
      </c>
      <c r="K116" s="213">
        <v>80</v>
      </c>
      <c r="L116" s="213"/>
      <c r="M116" s="213"/>
      <c r="N116" s="213"/>
    </row>
    <row r="117" spans="6:14" x14ac:dyDescent="0.2">
      <c r="F117" s="205">
        <v>81</v>
      </c>
      <c r="G117" s="204" t="b">
        <v>0</v>
      </c>
      <c r="H117" s="204" t="b">
        <v>0</v>
      </c>
      <c r="I117" s="204" t="b">
        <v>0</v>
      </c>
      <c r="K117" s="213">
        <v>81</v>
      </c>
      <c r="L117" s="213"/>
      <c r="M117" s="213"/>
      <c r="N117" s="213"/>
    </row>
    <row r="118" spans="6:14" x14ac:dyDescent="0.2">
      <c r="F118" s="205">
        <v>82</v>
      </c>
      <c r="G118" s="204" t="b">
        <v>0</v>
      </c>
      <c r="H118" s="204" t="b">
        <v>0</v>
      </c>
      <c r="I118" s="204" t="b">
        <v>0</v>
      </c>
      <c r="K118" s="213">
        <v>82</v>
      </c>
      <c r="L118" s="213"/>
      <c r="M118" s="213"/>
      <c r="N118" s="213"/>
    </row>
    <row r="119" spans="6:14" x14ac:dyDescent="0.2">
      <c r="F119" s="205">
        <v>83</v>
      </c>
      <c r="G119" s="204" t="b">
        <v>0</v>
      </c>
      <c r="H119" s="204" t="b">
        <v>0</v>
      </c>
      <c r="I119" s="204" t="b">
        <v>0</v>
      </c>
      <c r="K119" s="213">
        <v>83</v>
      </c>
      <c r="L119" s="213"/>
      <c r="M119" s="213"/>
      <c r="N119" s="213"/>
    </row>
    <row r="120" spans="6:14" x14ac:dyDescent="0.2">
      <c r="F120" s="205">
        <v>84</v>
      </c>
      <c r="G120" s="204" t="b">
        <v>0</v>
      </c>
      <c r="H120" s="204" t="b">
        <v>0</v>
      </c>
      <c r="I120" s="204" t="b">
        <v>0</v>
      </c>
      <c r="K120" s="213">
        <v>84</v>
      </c>
      <c r="L120" s="213"/>
      <c r="M120" s="213"/>
      <c r="N120" s="213"/>
    </row>
    <row r="121" spans="6:14" x14ac:dyDescent="0.2">
      <c r="F121" s="205">
        <v>85</v>
      </c>
      <c r="G121" s="204" t="b">
        <v>0</v>
      </c>
      <c r="H121" s="204" t="b">
        <v>0</v>
      </c>
      <c r="I121" s="204" t="b">
        <v>0</v>
      </c>
      <c r="K121" s="213">
        <v>85</v>
      </c>
      <c r="L121" s="213"/>
      <c r="M121" s="213"/>
      <c r="N121" s="213"/>
    </row>
    <row r="122" spans="6:14" x14ac:dyDescent="0.2">
      <c r="F122" s="205">
        <v>86</v>
      </c>
      <c r="G122" s="204" t="b">
        <v>0</v>
      </c>
      <c r="H122" s="204" t="b">
        <v>0</v>
      </c>
      <c r="I122" s="204" t="b">
        <v>0</v>
      </c>
      <c r="K122" s="213">
        <v>86</v>
      </c>
      <c r="L122" s="213"/>
      <c r="M122" s="213"/>
      <c r="N122" s="213"/>
    </row>
    <row r="123" spans="6:14" x14ac:dyDescent="0.2">
      <c r="F123" s="205">
        <v>87</v>
      </c>
      <c r="G123" s="204" t="b">
        <v>0</v>
      </c>
      <c r="H123" s="204" t="b">
        <v>0</v>
      </c>
      <c r="I123" s="204" t="b">
        <v>0</v>
      </c>
      <c r="K123" s="213">
        <v>87</v>
      </c>
      <c r="L123" s="213"/>
      <c r="M123" s="213"/>
      <c r="N123" s="213"/>
    </row>
    <row r="124" spans="6:14" x14ac:dyDescent="0.2">
      <c r="F124" s="205">
        <v>88</v>
      </c>
      <c r="G124" s="204" t="b">
        <v>0</v>
      </c>
      <c r="H124" s="204" t="b">
        <v>0</v>
      </c>
      <c r="I124" s="204" t="b">
        <v>0</v>
      </c>
      <c r="K124" s="213">
        <v>88</v>
      </c>
      <c r="L124" s="213"/>
      <c r="M124" s="213"/>
      <c r="N124" s="213"/>
    </row>
    <row r="125" spans="6:14" x14ac:dyDescent="0.2">
      <c r="F125" s="205">
        <v>89</v>
      </c>
      <c r="G125" s="204" t="b">
        <v>0</v>
      </c>
      <c r="H125" s="204" t="b">
        <v>0</v>
      </c>
      <c r="I125" s="204" t="b">
        <v>0</v>
      </c>
      <c r="K125" s="213">
        <v>89</v>
      </c>
      <c r="L125" s="213"/>
      <c r="M125" s="213"/>
      <c r="N125" s="213"/>
    </row>
    <row r="126" spans="6:14" x14ac:dyDescent="0.2">
      <c r="F126" s="205">
        <v>90</v>
      </c>
      <c r="G126" s="204" t="b">
        <v>0</v>
      </c>
      <c r="H126" s="204" t="b">
        <v>0</v>
      </c>
      <c r="I126" s="204" t="b">
        <v>0</v>
      </c>
      <c r="K126" s="213">
        <v>90</v>
      </c>
      <c r="L126" s="213"/>
      <c r="M126" s="213"/>
      <c r="N126" s="213"/>
    </row>
    <row r="127" spans="6:14" x14ac:dyDescent="0.2">
      <c r="F127" s="205">
        <v>91</v>
      </c>
      <c r="G127" s="204" t="b">
        <v>0</v>
      </c>
      <c r="H127" s="204" t="b">
        <v>0</v>
      </c>
      <c r="I127" s="204" t="b">
        <v>0</v>
      </c>
      <c r="K127" s="213">
        <v>91</v>
      </c>
      <c r="L127" s="213"/>
      <c r="M127" s="213"/>
      <c r="N127" s="213"/>
    </row>
    <row r="128" spans="6:14" x14ac:dyDescent="0.2">
      <c r="F128" s="205">
        <v>92</v>
      </c>
      <c r="G128" s="204" t="b">
        <v>0</v>
      </c>
      <c r="H128" s="204" t="b">
        <v>0</v>
      </c>
      <c r="I128" s="204" t="b">
        <v>0</v>
      </c>
      <c r="K128" s="213">
        <v>92</v>
      </c>
      <c r="L128" s="213"/>
      <c r="M128" s="213"/>
      <c r="N128" s="213"/>
    </row>
    <row r="129" spans="6:14" x14ac:dyDescent="0.2">
      <c r="F129" s="205">
        <v>93</v>
      </c>
      <c r="G129" s="204" t="b">
        <v>0</v>
      </c>
      <c r="H129" s="204" t="b">
        <v>0</v>
      </c>
      <c r="I129" s="204" t="b">
        <v>0</v>
      </c>
      <c r="K129" s="213">
        <v>93</v>
      </c>
      <c r="L129" s="213"/>
      <c r="M129" s="213"/>
      <c r="N129" s="213"/>
    </row>
    <row r="130" spans="6:14" x14ac:dyDescent="0.2">
      <c r="F130" s="205">
        <v>94</v>
      </c>
      <c r="G130" s="204" t="b">
        <v>0</v>
      </c>
      <c r="H130" s="204" t="b">
        <v>0</v>
      </c>
      <c r="I130" s="204" t="b">
        <v>0</v>
      </c>
      <c r="K130" s="213">
        <v>94</v>
      </c>
      <c r="L130" s="213"/>
      <c r="M130" s="213"/>
      <c r="N130" s="213"/>
    </row>
    <row r="131" spans="6:14" x14ac:dyDescent="0.2">
      <c r="F131" s="205">
        <v>95</v>
      </c>
      <c r="G131" s="204" t="b">
        <v>0</v>
      </c>
      <c r="H131" s="204" t="b">
        <v>0</v>
      </c>
      <c r="I131" s="204" t="b">
        <v>0</v>
      </c>
      <c r="K131" s="213">
        <v>95</v>
      </c>
      <c r="L131" s="213"/>
      <c r="M131" s="213"/>
      <c r="N131" s="213"/>
    </row>
    <row r="132" spans="6:14" x14ac:dyDescent="0.2">
      <c r="F132" s="205">
        <v>96</v>
      </c>
      <c r="G132" s="204" t="b">
        <v>0</v>
      </c>
      <c r="H132" s="204" t="b">
        <v>0</v>
      </c>
      <c r="I132" s="204" t="b">
        <v>0</v>
      </c>
      <c r="K132" s="213">
        <v>96</v>
      </c>
      <c r="L132" s="213"/>
      <c r="M132" s="213"/>
      <c r="N132" s="213"/>
    </row>
    <row r="133" spans="6:14" x14ac:dyDescent="0.2">
      <c r="F133" s="205">
        <v>97</v>
      </c>
      <c r="G133" s="204" t="b">
        <v>0</v>
      </c>
      <c r="H133" s="204" t="b">
        <v>0</v>
      </c>
      <c r="I133" s="204" t="b">
        <v>0</v>
      </c>
      <c r="K133" s="213">
        <v>97</v>
      </c>
      <c r="L133" s="213"/>
      <c r="M133" s="213"/>
      <c r="N133" s="213"/>
    </row>
    <row r="134" spans="6:14" x14ac:dyDescent="0.2">
      <c r="F134" s="205">
        <v>98</v>
      </c>
      <c r="G134" s="204" t="b">
        <v>0</v>
      </c>
      <c r="H134" s="204" t="b">
        <v>0</v>
      </c>
      <c r="I134" s="204" t="b">
        <v>0</v>
      </c>
      <c r="K134" s="213">
        <v>98</v>
      </c>
      <c r="L134" s="213"/>
      <c r="M134" s="213"/>
      <c r="N134" s="213"/>
    </row>
    <row r="135" spans="6:14" x14ac:dyDescent="0.2">
      <c r="F135" s="205">
        <v>99</v>
      </c>
      <c r="G135" s="204" t="b">
        <v>0</v>
      </c>
      <c r="H135" s="204" t="b">
        <v>0</v>
      </c>
      <c r="I135" s="204" t="b">
        <v>0</v>
      </c>
      <c r="K135" s="213">
        <v>99</v>
      </c>
      <c r="L135" s="213"/>
      <c r="M135" s="213"/>
      <c r="N135" s="213"/>
    </row>
    <row r="136" spans="6:14" x14ac:dyDescent="0.2">
      <c r="F136" s="205">
        <v>100</v>
      </c>
      <c r="G136" s="204" t="b">
        <v>0</v>
      </c>
      <c r="H136" s="204" t="b">
        <v>0</v>
      </c>
      <c r="I136" s="204" t="b">
        <v>0</v>
      </c>
      <c r="K136" s="213">
        <v>100</v>
      </c>
      <c r="L136" s="213"/>
      <c r="M136" s="213"/>
      <c r="N136" s="213"/>
    </row>
    <row r="137" spans="6:14" x14ac:dyDescent="0.2">
      <c r="F137" s="205">
        <v>101</v>
      </c>
      <c r="G137" s="204" t="b">
        <v>0</v>
      </c>
      <c r="H137" s="204" t="b">
        <v>0</v>
      </c>
      <c r="I137" s="204" t="b">
        <v>0</v>
      </c>
      <c r="K137" s="213">
        <v>101</v>
      </c>
    </row>
    <row r="138" spans="6:14" x14ac:dyDescent="0.2">
      <c r="F138" s="205">
        <v>102</v>
      </c>
      <c r="G138" s="204" t="b">
        <v>0</v>
      </c>
      <c r="H138" s="204" t="b">
        <v>0</v>
      </c>
      <c r="I138" s="204" t="b">
        <v>0</v>
      </c>
      <c r="K138" s="213">
        <v>102</v>
      </c>
    </row>
    <row r="139" spans="6:14" x14ac:dyDescent="0.2">
      <c r="F139" s="205">
        <v>103</v>
      </c>
      <c r="G139" s="204" t="b">
        <v>0</v>
      </c>
      <c r="H139" s="204" t="b">
        <v>0</v>
      </c>
      <c r="I139" s="204" t="b">
        <v>0</v>
      </c>
      <c r="K139" s="213">
        <v>103</v>
      </c>
    </row>
    <row r="140" spans="6:14" x14ac:dyDescent="0.2">
      <c r="F140" s="205">
        <v>104</v>
      </c>
      <c r="G140" s="204" t="b">
        <v>0</v>
      </c>
      <c r="H140" s="204" t="b">
        <v>0</v>
      </c>
      <c r="I140" s="204" t="b">
        <v>0</v>
      </c>
      <c r="K140" s="213">
        <v>104</v>
      </c>
    </row>
    <row r="141" spans="6:14" x14ac:dyDescent="0.2">
      <c r="F141" s="205">
        <v>105</v>
      </c>
      <c r="G141" s="204" t="b">
        <v>0</v>
      </c>
      <c r="H141" s="204" t="b">
        <v>0</v>
      </c>
      <c r="I141" s="204" t="b">
        <v>0</v>
      </c>
      <c r="K141" s="213">
        <v>105</v>
      </c>
    </row>
    <row r="142" spans="6:14" x14ac:dyDescent="0.2">
      <c r="F142" s="205">
        <v>106</v>
      </c>
      <c r="G142" s="204" t="b">
        <v>0</v>
      </c>
      <c r="H142" s="204" t="b">
        <v>0</v>
      </c>
      <c r="I142" s="204" t="b">
        <v>0</v>
      </c>
      <c r="K142" s="213">
        <v>106</v>
      </c>
    </row>
    <row r="143" spans="6:14" x14ac:dyDescent="0.2">
      <c r="F143" s="205">
        <v>107</v>
      </c>
      <c r="G143" s="204" t="b">
        <v>0</v>
      </c>
      <c r="H143" s="204" t="b">
        <v>0</v>
      </c>
      <c r="I143" s="204" t="b">
        <v>0</v>
      </c>
      <c r="K143" s="213">
        <v>107</v>
      </c>
    </row>
    <row r="144" spans="6:14" x14ac:dyDescent="0.2">
      <c r="F144" s="205">
        <v>108</v>
      </c>
      <c r="G144" s="204" t="b">
        <v>0</v>
      </c>
      <c r="H144" s="204" t="b">
        <v>0</v>
      </c>
      <c r="I144" s="204" t="b">
        <v>0</v>
      </c>
      <c r="K144" s="213">
        <v>108</v>
      </c>
    </row>
    <row r="145" spans="6:11" x14ac:dyDescent="0.2">
      <c r="F145" s="205">
        <v>109</v>
      </c>
      <c r="G145" s="204" t="b">
        <v>0</v>
      </c>
      <c r="H145" s="204" t="b">
        <v>0</v>
      </c>
      <c r="I145" s="204" t="b">
        <v>0</v>
      </c>
      <c r="K145" s="213">
        <v>109</v>
      </c>
    </row>
    <row r="146" spans="6:11" x14ac:dyDescent="0.2">
      <c r="F146" s="205">
        <v>110</v>
      </c>
      <c r="G146" s="204" t="b">
        <v>0</v>
      </c>
      <c r="H146" s="204" t="b">
        <v>0</v>
      </c>
      <c r="I146" s="204" t="b">
        <v>0</v>
      </c>
      <c r="K146" s="213">
        <v>110</v>
      </c>
    </row>
    <row r="147" spans="6:11" x14ac:dyDescent="0.2">
      <c r="F147" s="205">
        <v>111</v>
      </c>
      <c r="G147" s="204" t="b">
        <v>0</v>
      </c>
      <c r="H147" s="204" t="b">
        <v>0</v>
      </c>
      <c r="I147" s="204" t="b">
        <v>0</v>
      </c>
      <c r="K147" s="213">
        <v>111</v>
      </c>
    </row>
    <row r="148" spans="6:11" x14ac:dyDescent="0.2">
      <c r="F148" s="205">
        <v>112</v>
      </c>
      <c r="G148" s="204" t="b">
        <v>0</v>
      </c>
      <c r="H148" s="204" t="b">
        <v>0</v>
      </c>
      <c r="I148" s="204" t="b">
        <v>0</v>
      </c>
      <c r="K148" s="213">
        <v>112</v>
      </c>
    </row>
    <row r="149" spans="6:11" x14ac:dyDescent="0.2">
      <c r="F149" s="205">
        <v>113</v>
      </c>
      <c r="G149" s="204" t="b">
        <v>0</v>
      </c>
      <c r="H149" s="204" t="b">
        <v>0</v>
      </c>
      <c r="I149" s="204" t="b">
        <v>0</v>
      </c>
      <c r="K149" s="213">
        <v>113</v>
      </c>
    </row>
    <row r="150" spans="6:11" x14ac:dyDescent="0.2">
      <c r="F150" s="205">
        <v>114</v>
      </c>
      <c r="G150" s="204" t="b">
        <v>0</v>
      </c>
      <c r="H150" s="204" t="b">
        <v>0</v>
      </c>
      <c r="I150" s="204" t="b">
        <v>0</v>
      </c>
      <c r="K150" s="213">
        <v>114</v>
      </c>
    </row>
    <row r="151" spans="6:11" x14ac:dyDescent="0.2">
      <c r="F151" s="205">
        <v>115</v>
      </c>
      <c r="G151" s="204" t="b">
        <v>0</v>
      </c>
      <c r="H151" s="204" t="b">
        <v>0</v>
      </c>
      <c r="I151" s="204" t="b">
        <v>0</v>
      </c>
      <c r="K151" s="213">
        <v>115</v>
      </c>
    </row>
    <row r="152" spans="6:11" x14ac:dyDescent="0.2">
      <c r="F152" s="205">
        <v>116</v>
      </c>
      <c r="G152" s="204" t="b">
        <v>0</v>
      </c>
      <c r="H152" s="204" t="b">
        <v>0</v>
      </c>
      <c r="I152" s="204" t="b">
        <v>0</v>
      </c>
      <c r="K152" s="213">
        <v>116</v>
      </c>
    </row>
    <row r="153" spans="6:11" x14ac:dyDescent="0.2">
      <c r="F153" s="205">
        <v>117</v>
      </c>
      <c r="G153" s="204" t="b">
        <v>0</v>
      </c>
      <c r="H153" s="204" t="b">
        <v>0</v>
      </c>
      <c r="I153" s="204" t="b">
        <v>0</v>
      </c>
      <c r="K153" s="213">
        <v>117</v>
      </c>
    </row>
    <row r="154" spans="6:11" x14ac:dyDescent="0.2">
      <c r="F154" s="205">
        <v>118</v>
      </c>
      <c r="G154" s="204" t="b">
        <v>0</v>
      </c>
      <c r="H154" s="204" t="b">
        <v>0</v>
      </c>
      <c r="I154" s="204" t="b">
        <v>0</v>
      </c>
      <c r="K154" s="213">
        <v>118</v>
      </c>
    </row>
    <row r="155" spans="6:11" x14ac:dyDescent="0.2">
      <c r="F155" s="205">
        <v>119</v>
      </c>
      <c r="G155" s="204" t="b">
        <v>0</v>
      </c>
      <c r="H155" s="204" t="b">
        <v>0</v>
      </c>
      <c r="I155" s="204" t="b">
        <v>0</v>
      </c>
      <c r="K155" s="213">
        <v>119</v>
      </c>
    </row>
    <row r="156" spans="6:11" x14ac:dyDescent="0.2">
      <c r="F156" s="205">
        <v>120</v>
      </c>
      <c r="G156" s="204" t="b">
        <v>0</v>
      </c>
      <c r="H156" s="204" t="b">
        <v>0</v>
      </c>
      <c r="I156" s="204" t="b">
        <v>0</v>
      </c>
      <c r="K156" s="213">
        <v>120</v>
      </c>
    </row>
    <row r="157" spans="6:11" x14ac:dyDescent="0.2">
      <c r="F157" s="205">
        <v>121</v>
      </c>
      <c r="G157" s="204" t="b">
        <v>0</v>
      </c>
      <c r="H157" s="204" t="b">
        <v>0</v>
      </c>
      <c r="I157" s="204" t="b">
        <v>0</v>
      </c>
      <c r="K157" s="213">
        <v>121</v>
      </c>
    </row>
    <row r="158" spans="6:11" x14ac:dyDescent="0.2">
      <c r="F158" s="205">
        <v>122</v>
      </c>
      <c r="G158" s="204" t="b">
        <v>0</v>
      </c>
      <c r="H158" s="204" t="b">
        <v>0</v>
      </c>
      <c r="I158" s="204" t="b">
        <v>0</v>
      </c>
      <c r="K158" s="213">
        <v>122</v>
      </c>
    </row>
    <row r="159" spans="6:11" x14ac:dyDescent="0.2">
      <c r="F159" s="205">
        <v>123</v>
      </c>
      <c r="G159" s="204" t="b">
        <v>0</v>
      </c>
      <c r="H159" s="204" t="b">
        <v>0</v>
      </c>
      <c r="I159" s="204" t="b">
        <v>0</v>
      </c>
      <c r="K159" s="213">
        <v>123</v>
      </c>
    </row>
    <row r="160" spans="6:11" x14ac:dyDescent="0.2">
      <c r="F160" s="205">
        <v>124</v>
      </c>
      <c r="G160" s="204" t="b">
        <v>0</v>
      </c>
      <c r="H160" s="204" t="b">
        <v>0</v>
      </c>
      <c r="I160" s="204" t="b">
        <v>0</v>
      </c>
      <c r="K160" s="213">
        <v>124</v>
      </c>
    </row>
    <row r="161" spans="6:11" x14ac:dyDescent="0.2">
      <c r="F161" s="205">
        <v>125</v>
      </c>
      <c r="G161" s="204" t="b">
        <v>0</v>
      </c>
      <c r="H161" s="204" t="b">
        <v>0</v>
      </c>
      <c r="I161" s="204" t="b">
        <v>0</v>
      </c>
      <c r="K161" s="213">
        <v>125</v>
      </c>
    </row>
    <row r="162" spans="6:11" x14ac:dyDescent="0.2">
      <c r="F162" s="205">
        <v>126</v>
      </c>
      <c r="G162" s="204" t="b">
        <v>0</v>
      </c>
      <c r="H162" s="204" t="b">
        <v>0</v>
      </c>
      <c r="I162" s="204" t="b">
        <v>0</v>
      </c>
      <c r="K162" s="213">
        <v>126</v>
      </c>
    </row>
    <row r="163" spans="6:11" x14ac:dyDescent="0.2">
      <c r="F163" s="205">
        <v>127</v>
      </c>
      <c r="G163" s="204" t="b">
        <v>0</v>
      </c>
      <c r="H163" s="204" t="b">
        <v>0</v>
      </c>
      <c r="I163" s="204" t="b">
        <v>0</v>
      </c>
      <c r="K163" s="213">
        <v>127</v>
      </c>
    </row>
    <row r="164" spans="6:11" x14ac:dyDescent="0.2">
      <c r="F164" s="205">
        <v>128</v>
      </c>
      <c r="G164" s="204" t="b">
        <v>0</v>
      </c>
      <c r="H164" s="204" t="b">
        <v>0</v>
      </c>
      <c r="I164" s="204" t="b">
        <v>0</v>
      </c>
      <c r="K164" s="213">
        <v>128</v>
      </c>
    </row>
    <row r="165" spans="6:11" x14ac:dyDescent="0.2">
      <c r="F165" s="205">
        <v>129</v>
      </c>
      <c r="G165" s="204" t="b">
        <v>0</v>
      </c>
      <c r="H165" s="204" t="b">
        <v>0</v>
      </c>
      <c r="I165" s="204" t="b">
        <v>0</v>
      </c>
      <c r="K165" s="213">
        <v>129</v>
      </c>
    </row>
    <row r="166" spans="6:11" x14ac:dyDescent="0.2">
      <c r="F166" s="205">
        <v>130</v>
      </c>
      <c r="G166" s="204" t="b">
        <v>0</v>
      </c>
      <c r="H166" s="204" t="b">
        <v>0</v>
      </c>
      <c r="I166" s="204" t="b">
        <v>0</v>
      </c>
      <c r="K166" s="213">
        <v>130</v>
      </c>
    </row>
    <row r="167" spans="6:11" x14ac:dyDescent="0.2">
      <c r="F167" s="205">
        <v>131</v>
      </c>
      <c r="G167" s="204" t="b">
        <v>0</v>
      </c>
      <c r="H167" s="204" t="b">
        <v>0</v>
      </c>
      <c r="I167" s="204" t="b">
        <v>0</v>
      </c>
      <c r="K167" s="213">
        <v>131</v>
      </c>
    </row>
    <row r="168" spans="6:11" x14ac:dyDescent="0.2">
      <c r="F168" s="205">
        <v>132</v>
      </c>
      <c r="G168" s="204" t="b">
        <v>0</v>
      </c>
      <c r="H168" s="204" t="b">
        <v>0</v>
      </c>
      <c r="I168" s="204" t="b">
        <v>0</v>
      </c>
      <c r="K168" s="213">
        <v>132</v>
      </c>
    </row>
    <row r="169" spans="6:11" x14ac:dyDescent="0.2">
      <c r="F169" s="205">
        <v>133</v>
      </c>
      <c r="G169" s="204" t="b">
        <v>0</v>
      </c>
      <c r="H169" s="204" t="b">
        <v>0</v>
      </c>
      <c r="I169" s="204" t="b">
        <v>0</v>
      </c>
      <c r="K169" s="213">
        <v>133</v>
      </c>
    </row>
    <row r="170" spans="6:11" x14ac:dyDescent="0.2">
      <c r="F170" s="205">
        <v>134</v>
      </c>
      <c r="G170" s="204" t="b">
        <v>0</v>
      </c>
      <c r="H170" s="204" t="b">
        <v>0</v>
      </c>
      <c r="I170" s="204" t="b">
        <v>0</v>
      </c>
      <c r="K170" s="213">
        <v>134</v>
      </c>
    </row>
    <row r="171" spans="6:11" x14ac:dyDescent="0.2">
      <c r="F171" s="205">
        <v>135</v>
      </c>
      <c r="G171" s="204" t="b">
        <v>0</v>
      </c>
      <c r="H171" s="204" t="b">
        <v>0</v>
      </c>
      <c r="I171" s="204" t="b">
        <v>0</v>
      </c>
      <c r="K171" s="213">
        <v>135</v>
      </c>
    </row>
    <row r="172" spans="6:11" x14ac:dyDescent="0.2">
      <c r="F172" s="205">
        <v>136</v>
      </c>
      <c r="G172" s="204" t="b">
        <v>0</v>
      </c>
      <c r="H172" s="204" t="b">
        <v>0</v>
      </c>
      <c r="I172" s="204" t="b">
        <v>0</v>
      </c>
      <c r="K172" s="213">
        <v>136</v>
      </c>
    </row>
    <row r="173" spans="6:11" x14ac:dyDescent="0.2">
      <c r="F173" s="205">
        <v>137</v>
      </c>
      <c r="G173" s="204" t="b">
        <v>0</v>
      </c>
      <c r="H173" s="204" t="b">
        <v>0</v>
      </c>
      <c r="I173" s="204" t="b">
        <v>0</v>
      </c>
      <c r="K173" s="213">
        <v>137</v>
      </c>
    </row>
    <row r="174" spans="6:11" x14ac:dyDescent="0.2">
      <c r="F174" s="205">
        <v>138</v>
      </c>
      <c r="G174" s="204" t="b">
        <v>0</v>
      </c>
      <c r="H174" s="204" t="b">
        <v>0</v>
      </c>
      <c r="I174" s="204" t="b">
        <v>0</v>
      </c>
      <c r="K174" s="213">
        <v>138</v>
      </c>
    </row>
    <row r="175" spans="6:11" x14ac:dyDescent="0.2">
      <c r="F175" s="205">
        <v>139</v>
      </c>
      <c r="G175" s="204" t="b">
        <v>0</v>
      </c>
      <c r="H175" s="204" t="b">
        <v>0</v>
      </c>
      <c r="I175" s="204" t="b">
        <v>0</v>
      </c>
      <c r="K175" s="213">
        <v>139</v>
      </c>
    </row>
    <row r="176" spans="6:11" x14ac:dyDescent="0.2">
      <c r="F176" s="205">
        <v>140</v>
      </c>
      <c r="G176" s="204" t="b">
        <v>0</v>
      </c>
      <c r="H176" s="204" t="b">
        <v>0</v>
      </c>
      <c r="I176" s="204" t="b">
        <v>0</v>
      </c>
      <c r="K176" s="213">
        <v>140</v>
      </c>
    </row>
    <row r="177" spans="6:11" x14ac:dyDescent="0.2">
      <c r="F177" s="205">
        <v>141</v>
      </c>
      <c r="G177" s="204" t="b">
        <v>0</v>
      </c>
      <c r="H177" s="204" t="b">
        <v>0</v>
      </c>
      <c r="I177" s="204" t="b">
        <v>0</v>
      </c>
      <c r="K177" s="213">
        <v>141</v>
      </c>
    </row>
    <row r="178" spans="6:11" x14ac:dyDescent="0.2">
      <c r="F178" s="205">
        <v>142</v>
      </c>
      <c r="G178" s="204" t="b">
        <v>0</v>
      </c>
      <c r="H178" s="204" t="b">
        <v>0</v>
      </c>
      <c r="I178" s="204" t="b">
        <v>0</v>
      </c>
      <c r="K178" s="213">
        <v>142</v>
      </c>
    </row>
    <row r="179" spans="6:11" x14ac:dyDescent="0.2">
      <c r="F179" s="205">
        <v>143</v>
      </c>
      <c r="G179" s="204" t="b">
        <v>0</v>
      </c>
      <c r="H179" s="204" t="b">
        <v>0</v>
      </c>
      <c r="I179" s="204" t="b">
        <v>0</v>
      </c>
      <c r="K179" s="213">
        <v>143</v>
      </c>
    </row>
    <row r="180" spans="6:11" x14ac:dyDescent="0.2">
      <c r="F180" s="205">
        <v>144</v>
      </c>
      <c r="G180" s="204" t="b">
        <v>0</v>
      </c>
      <c r="H180" s="204" t="b">
        <v>0</v>
      </c>
      <c r="I180" s="204" t="b">
        <v>0</v>
      </c>
      <c r="K180" s="213">
        <v>144</v>
      </c>
    </row>
    <row r="181" spans="6:11" x14ac:dyDescent="0.2">
      <c r="F181" s="205">
        <v>145</v>
      </c>
      <c r="G181" s="204" t="b">
        <v>0</v>
      </c>
      <c r="H181" s="204" t="b">
        <v>0</v>
      </c>
      <c r="I181" s="204" t="b">
        <v>0</v>
      </c>
      <c r="K181" s="213">
        <v>145</v>
      </c>
    </row>
    <row r="182" spans="6:11" x14ac:dyDescent="0.2">
      <c r="F182" s="205">
        <v>146</v>
      </c>
      <c r="G182" s="204" t="b">
        <v>0</v>
      </c>
      <c r="H182" s="204" t="b">
        <v>0</v>
      </c>
      <c r="I182" s="204" t="b">
        <v>0</v>
      </c>
      <c r="K182" s="213">
        <v>146</v>
      </c>
    </row>
    <row r="183" spans="6:11" x14ac:dyDescent="0.2">
      <c r="F183" s="205">
        <v>147</v>
      </c>
      <c r="G183" s="204" t="b">
        <v>0</v>
      </c>
      <c r="H183" s="204" t="b">
        <v>0</v>
      </c>
      <c r="I183" s="204" t="b">
        <v>0</v>
      </c>
      <c r="K183" s="213">
        <v>147</v>
      </c>
    </row>
    <row r="184" spans="6:11" x14ac:dyDescent="0.2">
      <c r="F184" s="205">
        <v>148</v>
      </c>
      <c r="G184" s="204" t="b">
        <v>0</v>
      </c>
      <c r="H184" s="204" t="b">
        <v>0</v>
      </c>
      <c r="I184" s="204" t="b">
        <v>0</v>
      </c>
      <c r="K184" s="213">
        <v>148</v>
      </c>
    </row>
    <row r="185" spans="6:11" x14ac:dyDescent="0.2">
      <c r="F185" s="205">
        <v>149</v>
      </c>
      <c r="G185" s="204" t="b">
        <v>0</v>
      </c>
      <c r="H185" s="204" t="b">
        <v>0</v>
      </c>
      <c r="I185" s="204" t="b">
        <v>0</v>
      </c>
      <c r="K185" s="213">
        <v>149</v>
      </c>
    </row>
    <row r="186" spans="6:11" x14ac:dyDescent="0.2">
      <c r="F186" s="205">
        <v>150</v>
      </c>
      <c r="G186" s="204" t="b">
        <v>0</v>
      </c>
      <c r="H186" s="204" t="b">
        <v>0</v>
      </c>
      <c r="I186" s="204" t="b">
        <v>0</v>
      </c>
      <c r="K186" s="213">
        <v>150</v>
      </c>
    </row>
    <row r="187" spans="6:11" x14ac:dyDescent="0.2">
      <c r="F187" s="205">
        <v>151</v>
      </c>
      <c r="G187" s="204" t="b">
        <v>0</v>
      </c>
      <c r="H187" s="204" t="b">
        <v>0</v>
      </c>
      <c r="I187" s="204" t="b">
        <v>0</v>
      </c>
      <c r="K187" s="213">
        <v>151</v>
      </c>
    </row>
    <row r="188" spans="6:11" x14ac:dyDescent="0.2">
      <c r="F188" s="205">
        <v>152</v>
      </c>
      <c r="G188" s="204" t="b">
        <v>0</v>
      </c>
      <c r="H188" s="204" t="b">
        <v>0</v>
      </c>
      <c r="I188" s="204" t="b">
        <v>0</v>
      </c>
      <c r="K188" s="213">
        <v>152</v>
      </c>
    </row>
    <row r="189" spans="6:11" x14ac:dyDescent="0.2">
      <c r="F189" s="205">
        <v>153</v>
      </c>
      <c r="G189" s="204" t="b">
        <v>0</v>
      </c>
      <c r="H189" s="204" t="b">
        <v>0</v>
      </c>
      <c r="I189" s="204" t="b">
        <v>0</v>
      </c>
      <c r="K189" s="213">
        <v>153</v>
      </c>
    </row>
    <row r="190" spans="6:11" x14ac:dyDescent="0.2">
      <c r="F190" s="205">
        <v>154</v>
      </c>
      <c r="G190" s="204" t="b">
        <v>0</v>
      </c>
      <c r="H190" s="204" t="b">
        <v>0</v>
      </c>
      <c r="I190" s="204" t="b">
        <v>0</v>
      </c>
      <c r="K190" s="213">
        <v>154</v>
      </c>
    </row>
    <row r="191" spans="6:11" x14ac:dyDescent="0.2">
      <c r="F191" s="205">
        <v>155</v>
      </c>
      <c r="G191" s="204" t="b">
        <v>0</v>
      </c>
      <c r="H191" s="204" t="b">
        <v>0</v>
      </c>
      <c r="I191" s="204" t="b">
        <v>0</v>
      </c>
      <c r="K191" s="213">
        <v>155</v>
      </c>
    </row>
    <row r="192" spans="6:11" x14ac:dyDescent="0.2">
      <c r="F192" s="205">
        <v>156</v>
      </c>
      <c r="G192" s="204" t="b">
        <v>0</v>
      </c>
      <c r="H192" s="204" t="b">
        <v>0</v>
      </c>
      <c r="I192" s="204" t="b">
        <v>0</v>
      </c>
      <c r="K192" s="213">
        <v>156</v>
      </c>
    </row>
    <row r="193" spans="6:11" x14ac:dyDescent="0.2">
      <c r="F193" s="205">
        <v>157</v>
      </c>
      <c r="G193" s="204" t="b">
        <v>0</v>
      </c>
      <c r="H193" s="204" t="b">
        <v>0</v>
      </c>
      <c r="I193" s="204" t="b">
        <v>0</v>
      </c>
      <c r="K193" s="213">
        <v>157</v>
      </c>
    </row>
    <row r="194" spans="6:11" x14ac:dyDescent="0.2">
      <c r="F194" s="205">
        <v>158</v>
      </c>
      <c r="G194" s="204" t="b">
        <v>0</v>
      </c>
      <c r="H194" s="204" t="b">
        <v>0</v>
      </c>
      <c r="I194" s="204" t="b">
        <v>0</v>
      </c>
      <c r="K194" s="213">
        <v>158</v>
      </c>
    </row>
    <row r="195" spans="6:11" x14ac:dyDescent="0.2">
      <c r="F195" s="205">
        <v>159</v>
      </c>
      <c r="G195" s="204" t="b">
        <v>0</v>
      </c>
      <c r="H195" s="204" t="b">
        <v>0</v>
      </c>
      <c r="I195" s="204" t="b">
        <v>0</v>
      </c>
      <c r="K195" s="213">
        <v>159</v>
      </c>
    </row>
    <row r="196" spans="6:11" x14ac:dyDescent="0.2">
      <c r="F196" s="205">
        <v>160</v>
      </c>
      <c r="G196" s="204" t="b">
        <v>0</v>
      </c>
      <c r="H196" s="204" t="b">
        <v>0</v>
      </c>
      <c r="I196" s="204" t="b">
        <v>0</v>
      </c>
      <c r="K196" s="213">
        <v>160</v>
      </c>
    </row>
    <row r="197" spans="6:11" x14ac:dyDescent="0.2">
      <c r="F197" s="205">
        <v>161</v>
      </c>
      <c r="G197" s="204" t="b">
        <v>0</v>
      </c>
      <c r="H197" s="204" t="b">
        <v>0</v>
      </c>
      <c r="I197" s="204" t="b">
        <v>0</v>
      </c>
      <c r="K197" s="213">
        <v>161</v>
      </c>
    </row>
    <row r="198" spans="6:11" x14ac:dyDescent="0.2">
      <c r="F198" s="205">
        <v>162</v>
      </c>
      <c r="G198" s="204" t="b">
        <v>0</v>
      </c>
      <c r="H198" s="204" t="b">
        <v>0</v>
      </c>
      <c r="I198" s="204" t="b">
        <v>0</v>
      </c>
      <c r="K198" s="213">
        <v>162</v>
      </c>
    </row>
    <row r="199" spans="6:11" x14ac:dyDescent="0.2">
      <c r="F199" s="205">
        <v>163</v>
      </c>
      <c r="G199" s="204" t="b">
        <v>0</v>
      </c>
      <c r="H199" s="204" t="b">
        <v>0</v>
      </c>
      <c r="I199" s="204" t="b">
        <v>0</v>
      </c>
      <c r="K199" s="213">
        <v>163</v>
      </c>
    </row>
    <row r="200" spans="6:11" x14ac:dyDescent="0.2">
      <c r="F200" s="205">
        <v>164</v>
      </c>
      <c r="G200" s="204" t="b">
        <v>0</v>
      </c>
      <c r="H200" s="204" t="b">
        <v>0</v>
      </c>
      <c r="I200" s="204" t="b">
        <v>0</v>
      </c>
      <c r="K200" s="213">
        <v>164</v>
      </c>
    </row>
    <row r="201" spans="6:11" x14ac:dyDescent="0.2">
      <c r="F201" s="205">
        <v>165</v>
      </c>
      <c r="G201" s="204" t="b">
        <v>0</v>
      </c>
      <c r="H201" s="204" t="b">
        <v>0</v>
      </c>
      <c r="I201" s="204" t="b">
        <v>0</v>
      </c>
      <c r="K201" s="213">
        <v>165</v>
      </c>
    </row>
    <row r="202" spans="6:11" x14ac:dyDescent="0.2">
      <c r="F202" s="205">
        <v>166</v>
      </c>
      <c r="G202" s="204" t="b">
        <v>0</v>
      </c>
      <c r="H202" s="204" t="b">
        <v>0</v>
      </c>
      <c r="I202" s="204" t="b">
        <v>0</v>
      </c>
      <c r="K202" s="213">
        <v>166</v>
      </c>
    </row>
    <row r="203" spans="6:11" x14ac:dyDescent="0.2">
      <c r="F203" s="205">
        <v>167</v>
      </c>
      <c r="G203" s="204" t="b">
        <v>0</v>
      </c>
      <c r="H203" s="204" t="b">
        <v>0</v>
      </c>
      <c r="I203" s="204" t="b">
        <v>0</v>
      </c>
      <c r="K203" s="213">
        <v>167</v>
      </c>
    </row>
    <row r="204" spans="6:11" x14ac:dyDescent="0.2">
      <c r="F204" s="205">
        <v>168</v>
      </c>
      <c r="G204" s="204" t="b">
        <v>0</v>
      </c>
      <c r="H204" s="204" t="b">
        <v>0</v>
      </c>
      <c r="I204" s="204" t="b">
        <v>0</v>
      </c>
      <c r="K204" s="213">
        <v>168</v>
      </c>
    </row>
    <row r="205" spans="6:11" x14ac:dyDescent="0.2">
      <c r="F205" s="205">
        <v>169</v>
      </c>
      <c r="G205" s="204" t="b">
        <v>0</v>
      </c>
      <c r="H205" s="204" t="b">
        <v>0</v>
      </c>
      <c r="I205" s="204" t="b">
        <v>0</v>
      </c>
      <c r="K205" s="213">
        <v>169</v>
      </c>
    </row>
    <row r="206" spans="6:11" x14ac:dyDescent="0.2">
      <c r="F206" s="205">
        <v>170</v>
      </c>
      <c r="G206" s="204" t="b">
        <v>0</v>
      </c>
      <c r="H206" s="204" t="b">
        <v>0</v>
      </c>
      <c r="I206" s="204" t="b">
        <v>0</v>
      </c>
      <c r="K206" s="213">
        <v>170</v>
      </c>
    </row>
    <row r="207" spans="6:11" x14ac:dyDescent="0.2">
      <c r="F207" s="205">
        <v>171</v>
      </c>
      <c r="G207" s="204" t="b">
        <v>0</v>
      </c>
      <c r="H207" s="204" t="b">
        <v>0</v>
      </c>
      <c r="I207" s="204" t="b">
        <v>0</v>
      </c>
      <c r="K207" s="213">
        <v>171</v>
      </c>
    </row>
    <row r="208" spans="6:11" x14ac:dyDescent="0.2">
      <c r="F208" s="205">
        <v>172</v>
      </c>
      <c r="G208" s="204" t="b">
        <v>0</v>
      </c>
      <c r="H208" s="204" t="b">
        <v>0</v>
      </c>
      <c r="I208" s="204" t="b">
        <v>0</v>
      </c>
      <c r="K208" s="213">
        <v>172</v>
      </c>
    </row>
    <row r="209" spans="6:11" x14ac:dyDescent="0.2">
      <c r="F209" s="205">
        <v>173</v>
      </c>
      <c r="G209" s="204" t="b">
        <v>0</v>
      </c>
      <c r="H209" s="204" t="b">
        <v>0</v>
      </c>
      <c r="I209" s="204" t="b">
        <v>0</v>
      </c>
      <c r="K209" s="213">
        <v>173</v>
      </c>
    </row>
    <row r="210" spans="6:11" x14ac:dyDescent="0.2">
      <c r="F210" s="205">
        <v>174</v>
      </c>
      <c r="G210" s="204" t="b">
        <v>0</v>
      </c>
      <c r="H210" s="204" t="b">
        <v>0</v>
      </c>
      <c r="I210" s="204" t="b">
        <v>0</v>
      </c>
      <c r="K210" s="213">
        <v>174</v>
      </c>
    </row>
    <row r="211" spans="6:11" x14ac:dyDescent="0.2">
      <c r="F211" s="205">
        <v>175</v>
      </c>
      <c r="G211" s="204" t="b">
        <v>0</v>
      </c>
      <c r="H211" s="204" t="b">
        <v>0</v>
      </c>
      <c r="I211" s="204" t="b">
        <v>0</v>
      </c>
      <c r="K211" s="213">
        <v>175</v>
      </c>
    </row>
    <row r="212" spans="6:11" x14ac:dyDescent="0.2">
      <c r="F212" s="205">
        <v>176</v>
      </c>
      <c r="G212" s="204" t="b">
        <v>0</v>
      </c>
      <c r="H212" s="204" t="b">
        <v>0</v>
      </c>
      <c r="I212" s="204" t="b">
        <v>0</v>
      </c>
      <c r="K212" s="213">
        <v>176</v>
      </c>
    </row>
    <row r="213" spans="6:11" x14ac:dyDescent="0.2">
      <c r="F213" s="205">
        <v>177</v>
      </c>
      <c r="G213" s="204" t="b">
        <v>0</v>
      </c>
      <c r="H213" s="204" t="b">
        <v>0</v>
      </c>
      <c r="I213" s="204" t="b">
        <v>0</v>
      </c>
      <c r="K213" s="213">
        <v>177</v>
      </c>
    </row>
    <row r="214" spans="6:11" x14ac:dyDescent="0.2">
      <c r="F214" s="205">
        <v>178</v>
      </c>
      <c r="G214" s="204" t="b">
        <v>0</v>
      </c>
      <c r="H214" s="204" t="b">
        <v>0</v>
      </c>
      <c r="I214" s="204" t="b">
        <v>0</v>
      </c>
      <c r="K214" s="213">
        <v>178</v>
      </c>
    </row>
    <row r="215" spans="6:11" x14ac:dyDescent="0.2">
      <c r="F215" s="205">
        <v>179</v>
      </c>
      <c r="G215" s="204" t="b">
        <v>0</v>
      </c>
      <c r="H215" s="204" t="b">
        <v>0</v>
      </c>
      <c r="I215" s="204" t="b">
        <v>0</v>
      </c>
      <c r="K215" s="213">
        <v>179</v>
      </c>
    </row>
    <row r="216" spans="6:11" x14ac:dyDescent="0.2">
      <c r="F216" s="205">
        <v>180</v>
      </c>
      <c r="G216" s="204" t="b">
        <v>0</v>
      </c>
      <c r="H216" s="204" t="b">
        <v>0</v>
      </c>
      <c r="I216" s="204" t="b">
        <v>0</v>
      </c>
      <c r="K216" s="213">
        <v>180</v>
      </c>
    </row>
    <row r="217" spans="6:11" x14ac:dyDescent="0.2">
      <c r="F217" s="205">
        <v>181</v>
      </c>
      <c r="G217" s="204" t="b">
        <v>0</v>
      </c>
      <c r="H217" s="204" t="b">
        <v>0</v>
      </c>
      <c r="I217" s="204" t="b">
        <v>0</v>
      </c>
      <c r="K217" s="213">
        <v>181</v>
      </c>
    </row>
    <row r="218" spans="6:11" x14ac:dyDescent="0.2">
      <c r="F218" s="205">
        <v>182</v>
      </c>
      <c r="G218" s="204" t="b">
        <v>0</v>
      </c>
      <c r="H218" s="204" t="b">
        <v>0</v>
      </c>
      <c r="I218" s="204" t="b">
        <v>0</v>
      </c>
      <c r="K218" s="213">
        <v>182</v>
      </c>
    </row>
    <row r="219" spans="6:11" x14ac:dyDescent="0.2">
      <c r="F219" s="205">
        <v>183</v>
      </c>
      <c r="G219" s="204" t="b">
        <v>0</v>
      </c>
      <c r="H219" s="204" t="b">
        <v>0</v>
      </c>
      <c r="I219" s="204" t="b">
        <v>0</v>
      </c>
      <c r="K219" s="213">
        <v>183</v>
      </c>
    </row>
    <row r="220" spans="6:11" x14ac:dyDescent="0.2">
      <c r="F220" s="205">
        <v>184</v>
      </c>
      <c r="G220" s="204" t="b">
        <v>0</v>
      </c>
      <c r="H220" s="204" t="b">
        <v>0</v>
      </c>
      <c r="I220" s="204" t="b">
        <v>0</v>
      </c>
      <c r="K220" s="213">
        <v>184</v>
      </c>
    </row>
    <row r="221" spans="6:11" x14ac:dyDescent="0.2">
      <c r="F221" s="205">
        <v>185</v>
      </c>
      <c r="G221" s="204" t="b">
        <v>0</v>
      </c>
      <c r="H221" s="204" t="b">
        <v>0</v>
      </c>
      <c r="I221" s="204" t="b">
        <v>0</v>
      </c>
      <c r="K221" s="213">
        <v>185</v>
      </c>
    </row>
    <row r="222" spans="6:11" x14ac:dyDescent="0.2">
      <c r="F222" s="205">
        <v>186</v>
      </c>
      <c r="G222" s="204" t="b">
        <v>0</v>
      </c>
      <c r="H222" s="204" t="b">
        <v>0</v>
      </c>
      <c r="I222" s="204" t="b">
        <v>0</v>
      </c>
      <c r="K222" s="213">
        <v>186</v>
      </c>
    </row>
    <row r="223" spans="6:11" x14ac:dyDescent="0.2">
      <c r="F223" s="205">
        <v>187</v>
      </c>
      <c r="G223" s="204" t="b">
        <v>0</v>
      </c>
      <c r="H223" s="204" t="b">
        <v>0</v>
      </c>
      <c r="I223" s="204" t="b">
        <v>0</v>
      </c>
      <c r="K223" s="213">
        <v>187</v>
      </c>
    </row>
    <row r="224" spans="6:11" x14ac:dyDescent="0.2">
      <c r="F224" s="205">
        <v>188</v>
      </c>
      <c r="G224" s="204" t="b">
        <v>0</v>
      </c>
      <c r="H224" s="204" t="b">
        <v>0</v>
      </c>
      <c r="I224" s="204" t="b">
        <v>0</v>
      </c>
      <c r="K224" s="213">
        <v>188</v>
      </c>
    </row>
    <row r="225" spans="1:15" x14ac:dyDescent="0.2">
      <c r="F225" s="205">
        <v>189</v>
      </c>
      <c r="G225" s="204" t="b">
        <v>0</v>
      </c>
      <c r="H225" s="204" t="b">
        <v>0</v>
      </c>
      <c r="I225" s="204" t="b">
        <v>0</v>
      </c>
      <c r="K225" s="213">
        <v>189</v>
      </c>
    </row>
    <row r="226" spans="1:15" x14ac:dyDescent="0.2">
      <c r="F226" s="205">
        <v>190</v>
      </c>
      <c r="G226" s="204" t="b">
        <v>0</v>
      </c>
      <c r="H226" s="204" t="b">
        <v>0</v>
      </c>
      <c r="I226" s="204" t="b">
        <v>0</v>
      </c>
      <c r="K226" s="213">
        <v>190</v>
      </c>
    </row>
    <row r="227" spans="1:15" x14ac:dyDescent="0.2">
      <c r="F227" s="205">
        <v>191</v>
      </c>
      <c r="G227" s="204" t="b">
        <v>0</v>
      </c>
      <c r="H227" s="204" t="b">
        <v>0</v>
      </c>
      <c r="I227" s="204" t="b">
        <v>0</v>
      </c>
      <c r="K227" s="213">
        <v>191</v>
      </c>
    </row>
    <row r="228" spans="1:15" x14ac:dyDescent="0.2">
      <c r="F228" s="205">
        <v>192</v>
      </c>
      <c r="G228" s="204" t="b">
        <v>0</v>
      </c>
      <c r="H228" s="204" t="b">
        <v>0</v>
      </c>
      <c r="I228" s="204" t="b">
        <v>0</v>
      </c>
      <c r="K228" s="213">
        <v>192</v>
      </c>
    </row>
    <row r="229" spans="1:15" x14ac:dyDescent="0.2">
      <c r="F229" s="205">
        <v>193</v>
      </c>
      <c r="G229" s="204" t="b">
        <v>0</v>
      </c>
      <c r="H229" s="204" t="b">
        <v>0</v>
      </c>
      <c r="I229" s="204" t="b">
        <v>0</v>
      </c>
      <c r="K229" s="213">
        <v>193</v>
      </c>
    </row>
    <row r="230" spans="1:15" x14ac:dyDescent="0.2">
      <c r="F230" s="205">
        <v>194</v>
      </c>
      <c r="G230" s="204" t="b">
        <v>0</v>
      </c>
      <c r="H230" s="204" t="b">
        <v>0</v>
      </c>
      <c r="I230" s="204" t="b">
        <v>0</v>
      </c>
      <c r="K230" s="213">
        <v>194</v>
      </c>
    </row>
    <row r="231" spans="1:15" x14ac:dyDescent="0.2">
      <c r="F231" s="205">
        <v>195</v>
      </c>
      <c r="G231" s="204" t="b">
        <v>0</v>
      </c>
      <c r="H231" s="204" t="b">
        <v>0</v>
      </c>
      <c r="I231" s="204" t="b">
        <v>0</v>
      </c>
      <c r="K231" s="213">
        <v>195</v>
      </c>
    </row>
    <row r="232" spans="1:15" x14ac:dyDescent="0.2">
      <c r="F232" s="205">
        <v>196</v>
      </c>
      <c r="G232" s="204" t="b">
        <v>0</v>
      </c>
      <c r="H232" s="204" t="b">
        <v>0</v>
      </c>
      <c r="I232" s="204" t="b">
        <v>0</v>
      </c>
      <c r="K232" s="213">
        <v>196</v>
      </c>
    </row>
    <row r="233" spans="1:15" x14ac:dyDescent="0.2">
      <c r="F233" s="205">
        <v>197</v>
      </c>
      <c r="G233" s="204" t="b">
        <v>0</v>
      </c>
      <c r="H233" s="204" t="b">
        <v>0</v>
      </c>
      <c r="I233" s="204" t="b">
        <v>0</v>
      </c>
      <c r="K233" s="213">
        <v>197</v>
      </c>
    </row>
    <row r="234" spans="1:15" x14ac:dyDescent="0.2">
      <c r="F234" s="205">
        <v>198</v>
      </c>
      <c r="G234" s="204" t="b">
        <v>0</v>
      </c>
      <c r="H234" s="204" t="b">
        <v>0</v>
      </c>
      <c r="I234" s="204" t="b">
        <v>0</v>
      </c>
      <c r="K234" s="213">
        <v>198</v>
      </c>
    </row>
    <row r="235" spans="1:15" x14ac:dyDescent="0.2">
      <c r="F235" s="205">
        <v>199</v>
      </c>
      <c r="G235" s="204" t="b">
        <v>0</v>
      </c>
      <c r="H235" s="204" t="b">
        <v>0</v>
      </c>
      <c r="I235" s="204" t="b">
        <v>0</v>
      </c>
      <c r="K235" s="213">
        <v>199</v>
      </c>
    </row>
    <row r="236" spans="1:15" x14ac:dyDescent="0.2">
      <c r="F236" s="205">
        <v>200</v>
      </c>
      <c r="G236" s="204" t="b">
        <v>0</v>
      </c>
      <c r="H236" s="204" t="b">
        <v>0</v>
      </c>
      <c r="I236" s="204" t="b">
        <v>0</v>
      </c>
      <c r="K236" s="213">
        <v>200</v>
      </c>
    </row>
    <row r="238" spans="1:15" x14ac:dyDescent="0.2">
      <c r="A238" s="204" t="s">
        <v>133</v>
      </c>
      <c r="C238" s="204" t="s">
        <v>131</v>
      </c>
    </row>
    <row r="239" spans="1:15" x14ac:dyDescent="0.2">
      <c r="A239" s="204">
        <f>IF(G239,1,0)</f>
        <v>0</v>
      </c>
      <c r="C239" s="204">
        <f>IF($T$41,L239,1)</f>
        <v>1</v>
      </c>
      <c r="E239" s="204" t="s">
        <v>130</v>
      </c>
      <c r="F239" s="205">
        <v>1</v>
      </c>
      <c r="G239" s="205" t="b">
        <v>0</v>
      </c>
      <c r="H239" s="205" t="b">
        <v>0</v>
      </c>
      <c r="I239" s="205" t="b">
        <v>0</v>
      </c>
      <c r="K239" s="205">
        <v>1</v>
      </c>
      <c r="L239" s="205">
        <v>1</v>
      </c>
      <c r="M239" s="205">
        <v>1</v>
      </c>
      <c r="N239" s="205">
        <v>1</v>
      </c>
      <c r="O239" s="204" t="s">
        <v>131</v>
      </c>
    </row>
    <row r="240" spans="1:15" x14ac:dyDescent="0.2">
      <c r="A240" s="204">
        <f>IF(G240,1,0)</f>
        <v>0</v>
      </c>
      <c r="C240" s="204">
        <f>IF($T$41,L240,1)</f>
        <v>1</v>
      </c>
      <c r="F240" s="205">
        <v>2</v>
      </c>
      <c r="G240" s="205" t="b">
        <v>0</v>
      </c>
      <c r="H240" s="205" t="b">
        <v>0</v>
      </c>
      <c r="I240" s="205" t="b">
        <v>0</v>
      </c>
      <c r="K240" s="205">
        <v>2</v>
      </c>
      <c r="L240" s="205">
        <v>1</v>
      </c>
      <c r="M240" s="205">
        <v>1</v>
      </c>
      <c r="N240" s="205">
        <v>1</v>
      </c>
    </row>
    <row r="241" spans="1:14" x14ac:dyDescent="0.2">
      <c r="A241" s="204">
        <f>IF(G241,1,0)</f>
        <v>0</v>
      </c>
      <c r="C241" s="204">
        <f>IF($T$41,L241,1)</f>
        <v>1</v>
      </c>
      <c r="F241" s="205">
        <v>3</v>
      </c>
      <c r="G241" s="205" t="b">
        <v>0</v>
      </c>
      <c r="H241" s="205" t="b">
        <v>0</v>
      </c>
      <c r="I241" s="205" t="b">
        <v>0</v>
      </c>
      <c r="K241" s="205">
        <v>3</v>
      </c>
      <c r="L241" s="205">
        <v>1</v>
      </c>
      <c r="M241" s="205">
        <v>1</v>
      </c>
      <c r="N241" s="205">
        <v>1</v>
      </c>
    </row>
    <row r="242" spans="1:14" x14ac:dyDescent="0.2">
      <c r="A242" s="204">
        <f>IF(G242,1,0)</f>
        <v>0</v>
      </c>
      <c r="C242" s="204">
        <f t="shared" ref="C242:C305" si="2">IF($T$41,L242,1)</f>
        <v>1</v>
      </c>
      <c r="F242" s="205">
        <v>4</v>
      </c>
      <c r="G242" s="205" t="b">
        <v>0</v>
      </c>
      <c r="H242" s="205" t="b">
        <v>0</v>
      </c>
      <c r="I242" s="205" t="b">
        <v>0</v>
      </c>
      <c r="K242" s="205">
        <v>4</v>
      </c>
      <c r="L242" s="205">
        <v>1</v>
      </c>
      <c r="M242" s="205">
        <v>1</v>
      </c>
      <c r="N242" s="205">
        <v>1</v>
      </c>
    </row>
    <row r="243" spans="1:14" x14ac:dyDescent="0.2">
      <c r="A243" s="204">
        <f t="shared" ref="A243:A306" si="3">IF(G243,1,0)</f>
        <v>0</v>
      </c>
      <c r="C243" s="204">
        <f t="shared" si="2"/>
        <v>1</v>
      </c>
      <c r="F243" s="205">
        <v>5</v>
      </c>
      <c r="G243" s="205" t="b">
        <v>0</v>
      </c>
      <c r="H243" s="205" t="b">
        <v>0</v>
      </c>
      <c r="I243" s="205" t="b">
        <v>0</v>
      </c>
      <c r="K243" s="205">
        <v>5</v>
      </c>
      <c r="L243" s="205">
        <v>1</v>
      </c>
      <c r="M243" s="205">
        <v>1</v>
      </c>
      <c r="N243" s="205">
        <v>1</v>
      </c>
    </row>
    <row r="244" spans="1:14" x14ac:dyDescent="0.2">
      <c r="A244" s="204">
        <f t="shared" si="3"/>
        <v>0</v>
      </c>
      <c r="C244" s="204">
        <f t="shared" si="2"/>
        <v>1</v>
      </c>
      <c r="F244" s="205">
        <v>6</v>
      </c>
      <c r="G244" s="205" t="b">
        <v>0</v>
      </c>
      <c r="H244" s="205" t="b">
        <v>0</v>
      </c>
      <c r="I244" s="205" t="b">
        <v>0</v>
      </c>
      <c r="K244" s="205">
        <v>6</v>
      </c>
      <c r="L244" s="205">
        <v>1</v>
      </c>
      <c r="M244" s="205">
        <v>1</v>
      </c>
      <c r="N244" s="205">
        <v>1</v>
      </c>
    </row>
    <row r="245" spans="1:14" x14ac:dyDescent="0.2">
      <c r="A245" s="204">
        <f t="shared" si="3"/>
        <v>0</v>
      </c>
      <c r="C245" s="204">
        <f t="shared" si="2"/>
        <v>1</v>
      </c>
      <c r="F245" s="205">
        <v>7</v>
      </c>
      <c r="G245" s="205" t="b">
        <v>0</v>
      </c>
      <c r="H245" s="205" t="b">
        <v>0</v>
      </c>
      <c r="I245" s="205" t="b">
        <v>0</v>
      </c>
      <c r="K245" s="205">
        <v>7</v>
      </c>
      <c r="L245" s="205">
        <v>1</v>
      </c>
      <c r="M245" s="205">
        <v>1</v>
      </c>
      <c r="N245" s="205">
        <v>1</v>
      </c>
    </row>
    <row r="246" spans="1:14" x14ac:dyDescent="0.2">
      <c r="A246" s="204">
        <f t="shared" si="3"/>
        <v>0</v>
      </c>
      <c r="C246" s="204">
        <f t="shared" si="2"/>
        <v>1</v>
      </c>
      <c r="F246" s="205">
        <v>8</v>
      </c>
      <c r="G246" s="205" t="b">
        <v>0</v>
      </c>
      <c r="H246" s="205" t="b">
        <v>0</v>
      </c>
      <c r="I246" s="205" t="b">
        <v>0</v>
      </c>
      <c r="K246" s="205">
        <v>8</v>
      </c>
      <c r="L246" s="205">
        <v>1</v>
      </c>
      <c r="M246" s="205">
        <v>1</v>
      </c>
      <c r="N246" s="205">
        <v>1</v>
      </c>
    </row>
    <row r="247" spans="1:14" x14ac:dyDescent="0.2">
      <c r="A247" s="204">
        <f t="shared" si="3"/>
        <v>0</v>
      </c>
      <c r="C247" s="204">
        <f t="shared" si="2"/>
        <v>1</v>
      </c>
      <c r="F247" s="205">
        <v>9</v>
      </c>
      <c r="G247" s="205" t="b">
        <v>0</v>
      </c>
      <c r="H247" s="205" t="b">
        <v>0</v>
      </c>
      <c r="I247" s="205" t="b">
        <v>0</v>
      </c>
      <c r="K247" s="205">
        <v>9</v>
      </c>
      <c r="L247" s="205">
        <v>1</v>
      </c>
      <c r="M247" s="205">
        <v>1</v>
      </c>
      <c r="N247" s="205">
        <v>1</v>
      </c>
    </row>
    <row r="248" spans="1:14" x14ac:dyDescent="0.2">
      <c r="A248" s="204">
        <f t="shared" si="3"/>
        <v>0</v>
      </c>
      <c r="C248" s="204">
        <f t="shared" si="2"/>
        <v>1</v>
      </c>
      <c r="F248" s="205">
        <v>10</v>
      </c>
      <c r="G248" s="205" t="b">
        <v>0</v>
      </c>
      <c r="H248" s="205" t="b">
        <v>0</v>
      </c>
      <c r="I248" s="205" t="b">
        <v>0</v>
      </c>
      <c r="K248" s="205">
        <v>10</v>
      </c>
      <c r="L248" s="205">
        <v>1</v>
      </c>
      <c r="M248" s="205">
        <v>1</v>
      </c>
      <c r="N248" s="205">
        <v>1</v>
      </c>
    </row>
    <row r="249" spans="1:14" x14ac:dyDescent="0.2">
      <c r="A249" s="204">
        <f t="shared" si="3"/>
        <v>0</v>
      </c>
      <c r="C249" s="204">
        <f t="shared" si="2"/>
        <v>1</v>
      </c>
      <c r="F249" s="205">
        <v>11</v>
      </c>
      <c r="G249" s="205" t="b">
        <v>0</v>
      </c>
      <c r="H249" s="205" t="b">
        <v>0</v>
      </c>
      <c r="I249" s="205" t="b">
        <v>0</v>
      </c>
      <c r="K249" s="205">
        <v>11</v>
      </c>
      <c r="L249" s="205">
        <v>1</v>
      </c>
      <c r="M249" s="205">
        <v>1</v>
      </c>
      <c r="N249" s="205">
        <v>1</v>
      </c>
    </row>
    <row r="250" spans="1:14" x14ac:dyDescent="0.2">
      <c r="A250" s="204">
        <f t="shared" si="3"/>
        <v>0</v>
      </c>
      <c r="C250" s="204">
        <f t="shared" si="2"/>
        <v>1</v>
      </c>
      <c r="F250" s="205">
        <v>12</v>
      </c>
      <c r="G250" s="205" t="b">
        <v>0</v>
      </c>
      <c r="H250" s="205" t="b">
        <v>0</v>
      </c>
      <c r="I250" s="205" t="b">
        <v>0</v>
      </c>
      <c r="K250" s="205">
        <v>12</v>
      </c>
      <c r="L250" s="205">
        <v>1</v>
      </c>
      <c r="M250" s="205">
        <v>1</v>
      </c>
      <c r="N250" s="205">
        <v>1</v>
      </c>
    </row>
    <row r="251" spans="1:14" x14ac:dyDescent="0.2">
      <c r="A251" s="204">
        <f t="shared" si="3"/>
        <v>0</v>
      </c>
      <c r="C251" s="204">
        <f t="shared" si="2"/>
        <v>1</v>
      </c>
      <c r="F251" s="205">
        <v>13</v>
      </c>
      <c r="G251" s="205" t="b">
        <v>0</v>
      </c>
      <c r="H251" s="205" t="b">
        <v>0</v>
      </c>
      <c r="I251" s="205" t="b">
        <v>0</v>
      </c>
      <c r="K251" s="205">
        <v>13</v>
      </c>
      <c r="L251" s="205">
        <v>1</v>
      </c>
      <c r="M251" s="205">
        <v>1</v>
      </c>
      <c r="N251" s="205">
        <v>1</v>
      </c>
    </row>
    <row r="252" spans="1:14" x14ac:dyDescent="0.2">
      <c r="A252" s="204">
        <f t="shared" si="3"/>
        <v>0</v>
      </c>
      <c r="C252" s="204">
        <f t="shared" si="2"/>
        <v>1</v>
      </c>
      <c r="F252" s="205">
        <v>14</v>
      </c>
      <c r="G252" s="205" t="b">
        <v>0</v>
      </c>
      <c r="H252" s="205" t="b">
        <v>0</v>
      </c>
      <c r="I252" s="205" t="b">
        <v>0</v>
      </c>
      <c r="K252" s="205">
        <v>14</v>
      </c>
      <c r="L252" s="205">
        <v>1</v>
      </c>
      <c r="M252" s="205">
        <v>1</v>
      </c>
      <c r="N252" s="205">
        <v>1</v>
      </c>
    </row>
    <row r="253" spans="1:14" x14ac:dyDescent="0.2">
      <c r="A253" s="204">
        <f t="shared" si="3"/>
        <v>0</v>
      </c>
      <c r="C253" s="204">
        <f t="shared" si="2"/>
        <v>1</v>
      </c>
      <c r="F253" s="205">
        <v>15</v>
      </c>
      <c r="G253" s="205" t="b">
        <v>0</v>
      </c>
      <c r="H253" s="205" t="b">
        <v>0</v>
      </c>
      <c r="I253" s="205" t="b">
        <v>0</v>
      </c>
      <c r="K253" s="205">
        <v>15</v>
      </c>
      <c r="L253" s="205">
        <v>1</v>
      </c>
      <c r="M253" s="205">
        <v>1</v>
      </c>
      <c r="N253" s="205">
        <v>1</v>
      </c>
    </row>
    <row r="254" spans="1:14" x14ac:dyDescent="0.2">
      <c r="A254" s="204">
        <f t="shared" si="3"/>
        <v>0</v>
      </c>
      <c r="C254" s="204">
        <f t="shared" si="2"/>
        <v>1</v>
      </c>
      <c r="F254" s="205">
        <v>16</v>
      </c>
      <c r="G254" s="205" t="b">
        <v>0</v>
      </c>
      <c r="H254" s="205" t="b">
        <v>0</v>
      </c>
      <c r="I254" s="205" t="b">
        <v>0</v>
      </c>
      <c r="K254" s="205">
        <v>16</v>
      </c>
      <c r="L254" s="205">
        <v>1</v>
      </c>
      <c r="M254" s="205">
        <v>1</v>
      </c>
      <c r="N254" s="205">
        <v>1</v>
      </c>
    </row>
    <row r="255" spans="1:14" x14ac:dyDescent="0.2">
      <c r="A255" s="204">
        <f t="shared" si="3"/>
        <v>0</v>
      </c>
      <c r="C255" s="204">
        <f t="shared" si="2"/>
        <v>1</v>
      </c>
      <c r="F255" s="205">
        <v>17</v>
      </c>
      <c r="G255" s="205" t="b">
        <v>0</v>
      </c>
      <c r="H255" s="205" t="b">
        <v>0</v>
      </c>
      <c r="I255" s="205" t="b">
        <v>0</v>
      </c>
      <c r="K255" s="205">
        <v>17</v>
      </c>
      <c r="L255" s="205">
        <v>1</v>
      </c>
      <c r="M255" s="205">
        <v>1</v>
      </c>
      <c r="N255" s="205">
        <v>1</v>
      </c>
    </row>
    <row r="256" spans="1:14" x14ac:dyDescent="0.2">
      <c r="A256" s="204">
        <f t="shared" si="3"/>
        <v>0</v>
      </c>
      <c r="C256" s="204">
        <f t="shared" si="2"/>
        <v>1</v>
      </c>
      <c r="F256" s="205">
        <v>18</v>
      </c>
      <c r="G256" s="205" t="b">
        <v>0</v>
      </c>
      <c r="H256" s="205" t="b">
        <v>0</v>
      </c>
      <c r="I256" s="205" t="b">
        <v>0</v>
      </c>
      <c r="K256" s="205">
        <v>18</v>
      </c>
      <c r="L256" s="205">
        <v>1</v>
      </c>
      <c r="M256" s="205">
        <v>1</v>
      </c>
      <c r="N256" s="205">
        <v>1</v>
      </c>
    </row>
    <row r="257" spans="1:14" x14ac:dyDescent="0.2">
      <c r="A257" s="204">
        <f t="shared" si="3"/>
        <v>0</v>
      </c>
      <c r="C257" s="204">
        <f t="shared" si="2"/>
        <v>1</v>
      </c>
      <c r="F257" s="205">
        <v>19</v>
      </c>
      <c r="G257" s="205" t="b">
        <v>0</v>
      </c>
      <c r="H257" s="205" t="b">
        <v>0</v>
      </c>
      <c r="I257" s="205" t="b">
        <v>0</v>
      </c>
      <c r="K257" s="205">
        <v>19</v>
      </c>
      <c r="L257" s="205">
        <v>1</v>
      </c>
      <c r="M257" s="205">
        <v>1</v>
      </c>
      <c r="N257" s="205">
        <v>1</v>
      </c>
    </row>
    <row r="258" spans="1:14" x14ac:dyDescent="0.2">
      <c r="A258" s="204">
        <f t="shared" si="3"/>
        <v>0</v>
      </c>
      <c r="C258" s="204">
        <f t="shared" si="2"/>
        <v>1</v>
      </c>
      <c r="F258" s="205">
        <v>20</v>
      </c>
      <c r="G258" s="205" t="b">
        <v>0</v>
      </c>
      <c r="H258" s="205" t="b">
        <v>0</v>
      </c>
      <c r="I258" s="205" t="b">
        <v>0</v>
      </c>
      <c r="K258" s="205">
        <v>20</v>
      </c>
      <c r="L258" s="205">
        <v>1</v>
      </c>
      <c r="M258" s="205">
        <v>1</v>
      </c>
      <c r="N258" s="205">
        <v>1</v>
      </c>
    </row>
    <row r="259" spans="1:14" x14ac:dyDescent="0.2">
      <c r="A259" s="204">
        <f t="shared" si="3"/>
        <v>0</v>
      </c>
      <c r="C259" s="204">
        <f t="shared" si="2"/>
        <v>1</v>
      </c>
      <c r="F259" s="205">
        <v>21</v>
      </c>
      <c r="G259" s="205" t="b">
        <v>0</v>
      </c>
      <c r="H259" s="205" t="b">
        <v>0</v>
      </c>
      <c r="I259" s="205" t="b">
        <v>0</v>
      </c>
      <c r="K259" s="205">
        <v>21</v>
      </c>
      <c r="L259" s="205">
        <v>1</v>
      </c>
      <c r="M259" s="205">
        <v>1</v>
      </c>
      <c r="N259" s="205">
        <v>1</v>
      </c>
    </row>
    <row r="260" spans="1:14" x14ac:dyDescent="0.2">
      <c r="A260" s="204">
        <f t="shared" si="3"/>
        <v>0</v>
      </c>
      <c r="C260" s="204">
        <f t="shared" si="2"/>
        <v>1</v>
      </c>
      <c r="F260" s="205">
        <v>22</v>
      </c>
      <c r="G260" s="205" t="b">
        <v>0</v>
      </c>
      <c r="H260" s="205" t="b">
        <v>0</v>
      </c>
      <c r="I260" s="205" t="b">
        <v>0</v>
      </c>
      <c r="K260" s="205">
        <v>22</v>
      </c>
      <c r="L260" s="205">
        <v>1</v>
      </c>
      <c r="M260" s="205">
        <v>1</v>
      </c>
      <c r="N260" s="205">
        <v>1</v>
      </c>
    </row>
    <row r="261" spans="1:14" x14ac:dyDescent="0.2">
      <c r="A261" s="204">
        <f t="shared" si="3"/>
        <v>0</v>
      </c>
      <c r="C261" s="204">
        <f t="shared" si="2"/>
        <v>1</v>
      </c>
      <c r="F261" s="205">
        <v>23</v>
      </c>
      <c r="G261" s="205" t="b">
        <v>0</v>
      </c>
      <c r="H261" s="205" t="b">
        <v>0</v>
      </c>
      <c r="I261" s="205" t="b">
        <v>0</v>
      </c>
      <c r="K261" s="205">
        <v>23</v>
      </c>
      <c r="L261" s="205">
        <v>1</v>
      </c>
      <c r="M261" s="205">
        <v>1</v>
      </c>
      <c r="N261" s="205">
        <v>1</v>
      </c>
    </row>
    <row r="262" spans="1:14" x14ac:dyDescent="0.2">
      <c r="A262" s="204">
        <f t="shared" si="3"/>
        <v>0</v>
      </c>
      <c r="C262" s="204">
        <f t="shared" si="2"/>
        <v>1</v>
      </c>
      <c r="F262" s="205">
        <v>24</v>
      </c>
      <c r="G262" s="205" t="b">
        <v>0</v>
      </c>
      <c r="H262" s="205" t="b">
        <v>0</v>
      </c>
      <c r="I262" s="205" t="b">
        <v>0</v>
      </c>
      <c r="K262" s="205">
        <v>24</v>
      </c>
      <c r="L262" s="205">
        <v>1</v>
      </c>
      <c r="M262" s="205">
        <v>1</v>
      </c>
      <c r="N262" s="205">
        <v>1</v>
      </c>
    </row>
    <row r="263" spans="1:14" x14ac:dyDescent="0.2">
      <c r="A263" s="204">
        <f t="shared" si="3"/>
        <v>0</v>
      </c>
      <c r="C263" s="204">
        <f t="shared" si="2"/>
        <v>1</v>
      </c>
      <c r="F263" s="205">
        <v>25</v>
      </c>
      <c r="G263" s="205" t="b">
        <v>0</v>
      </c>
      <c r="H263" s="205" t="b">
        <v>0</v>
      </c>
      <c r="I263" s="205" t="b">
        <v>0</v>
      </c>
      <c r="K263" s="205">
        <v>25</v>
      </c>
      <c r="L263" s="205">
        <v>1</v>
      </c>
      <c r="M263" s="205">
        <v>1</v>
      </c>
      <c r="N263" s="205">
        <v>1</v>
      </c>
    </row>
    <row r="264" spans="1:14" x14ac:dyDescent="0.2">
      <c r="A264" s="204">
        <f t="shared" si="3"/>
        <v>0</v>
      </c>
      <c r="C264" s="204">
        <f t="shared" si="2"/>
        <v>1</v>
      </c>
      <c r="F264" s="205">
        <v>26</v>
      </c>
      <c r="G264" s="205" t="b">
        <v>0</v>
      </c>
      <c r="H264" s="205" t="b">
        <v>0</v>
      </c>
      <c r="I264" s="205" t="b">
        <v>0</v>
      </c>
      <c r="K264" s="205">
        <v>26</v>
      </c>
      <c r="L264" s="205">
        <v>1</v>
      </c>
      <c r="M264" s="205">
        <v>1</v>
      </c>
      <c r="N264" s="205">
        <v>1</v>
      </c>
    </row>
    <row r="265" spans="1:14" x14ac:dyDescent="0.2">
      <c r="A265" s="204">
        <f t="shared" si="3"/>
        <v>0</v>
      </c>
      <c r="C265" s="204">
        <f t="shared" si="2"/>
        <v>1</v>
      </c>
      <c r="F265" s="205">
        <v>27</v>
      </c>
      <c r="G265" s="205" t="b">
        <v>0</v>
      </c>
      <c r="H265" s="205" t="b">
        <v>0</v>
      </c>
      <c r="I265" s="205" t="b">
        <v>0</v>
      </c>
      <c r="K265" s="205">
        <v>27</v>
      </c>
      <c r="L265" s="205">
        <v>1</v>
      </c>
      <c r="M265" s="205">
        <v>1</v>
      </c>
      <c r="N265" s="205">
        <v>1</v>
      </c>
    </row>
    <row r="266" spans="1:14" x14ac:dyDescent="0.2">
      <c r="A266" s="204">
        <f t="shared" si="3"/>
        <v>0</v>
      </c>
      <c r="C266" s="204">
        <f t="shared" si="2"/>
        <v>1</v>
      </c>
      <c r="F266" s="205">
        <v>28</v>
      </c>
      <c r="G266" s="205" t="b">
        <v>0</v>
      </c>
      <c r="H266" s="205" t="b">
        <v>0</v>
      </c>
      <c r="I266" s="205" t="b">
        <v>0</v>
      </c>
      <c r="K266" s="205">
        <v>28</v>
      </c>
      <c r="L266" s="205">
        <v>1</v>
      </c>
      <c r="M266" s="205">
        <v>1</v>
      </c>
      <c r="N266" s="205">
        <v>1</v>
      </c>
    </row>
    <row r="267" spans="1:14" x14ac:dyDescent="0.2">
      <c r="A267" s="204">
        <f t="shared" si="3"/>
        <v>0</v>
      </c>
      <c r="C267" s="204">
        <f t="shared" si="2"/>
        <v>1</v>
      </c>
      <c r="F267" s="205">
        <v>29</v>
      </c>
      <c r="G267" s="205" t="b">
        <v>0</v>
      </c>
      <c r="H267" s="205" t="b">
        <v>0</v>
      </c>
      <c r="I267" s="205" t="b">
        <v>0</v>
      </c>
      <c r="K267" s="205">
        <v>29</v>
      </c>
      <c r="L267" s="205">
        <v>1</v>
      </c>
      <c r="M267" s="205">
        <v>1</v>
      </c>
      <c r="N267" s="205">
        <v>1</v>
      </c>
    </row>
    <row r="268" spans="1:14" x14ac:dyDescent="0.2">
      <c r="A268" s="204">
        <f t="shared" si="3"/>
        <v>0</v>
      </c>
      <c r="C268" s="204">
        <f t="shared" si="2"/>
        <v>1</v>
      </c>
      <c r="F268" s="205">
        <v>30</v>
      </c>
      <c r="G268" s="205" t="b">
        <v>0</v>
      </c>
      <c r="H268" s="205" t="b">
        <v>0</v>
      </c>
      <c r="I268" s="205" t="b">
        <v>0</v>
      </c>
      <c r="K268" s="205">
        <v>30</v>
      </c>
      <c r="L268" s="205">
        <v>1</v>
      </c>
      <c r="M268" s="205">
        <v>1</v>
      </c>
      <c r="N268" s="205">
        <v>1</v>
      </c>
    </row>
    <row r="269" spans="1:14" x14ac:dyDescent="0.2">
      <c r="A269" s="204">
        <f t="shared" si="3"/>
        <v>0</v>
      </c>
      <c r="C269" s="204">
        <f t="shared" si="2"/>
        <v>1</v>
      </c>
      <c r="F269" s="205">
        <v>31</v>
      </c>
      <c r="G269" s="205" t="b">
        <v>0</v>
      </c>
      <c r="H269" s="205" t="b">
        <v>0</v>
      </c>
      <c r="I269" s="205" t="b">
        <v>0</v>
      </c>
      <c r="K269" s="205">
        <v>31</v>
      </c>
      <c r="L269" s="205">
        <v>1</v>
      </c>
      <c r="M269" s="205">
        <v>1</v>
      </c>
      <c r="N269" s="205">
        <v>1</v>
      </c>
    </row>
    <row r="270" spans="1:14" x14ac:dyDescent="0.2">
      <c r="A270" s="204">
        <f t="shared" si="3"/>
        <v>0</v>
      </c>
      <c r="C270" s="204">
        <f t="shared" si="2"/>
        <v>1</v>
      </c>
      <c r="F270" s="205">
        <v>32</v>
      </c>
      <c r="G270" s="205" t="b">
        <v>0</v>
      </c>
      <c r="H270" s="205" t="b">
        <v>0</v>
      </c>
      <c r="I270" s="205" t="b">
        <v>0</v>
      </c>
      <c r="K270" s="205">
        <v>32</v>
      </c>
      <c r="L270" s="205">
        <v>1</v>
      </c>
      <c r="M270" s="205">
        <v>1</v>
      </c>
      <c r="N270" s="205">
        <v>1</v>
      </c>
    </row>
    <row r="271" spans="1:14" x14ac:dyDescent="0.2">
      <c r="A271" s="204">
        <f t="shared" si="3"/>
        <v>0</v>
      </c>
      <c r="C271" s="204">
        <f t="shared" si="2"/>
        <v>1</v>
      </c>
      <c r="F271" s="205">
        <v>33</v>
      </c>
      <c r="G271" s="205" t="b">
        <v>0</v>
      </c>
      <c r="H271" s="205" t="b">
        <v>0</v>
      </c>
      <c r="I271" s="205" t="b">
        <v>0</v>
      </c>
      <c r="K271" s="205">
        <v>33</v>
      </c>
      <c r="L271" s="205">
        <v>1</v>
      </c>
      <c r="M271" s="205">
        <v>1</v>
      </c>
      <c r="N271" s="205">
        <v>1</v>
      </c>
    </row>
    <row r="272" spans="1:14" x14ac:dyDescent="0.2">
      <c r="A272" s="204">
        <f t="shared" si="3"/>
        <v>0</v>
      </c>
      <c r="C272" s="204">
        <f t="shared" si="2"/>
        <v>1</v>
      </c>
      <c r="F272" s="205">
        <v>34</v>
      </c>
      <c r="G272" s="205" t="b">
        <v>0</v>
      </c>
      <c r="H272" s="205" t="b">
        <v>0</v>
      </c>
      <c r="I272" s="205" t="b">
        <v>0</v>
      </c>
      <c r="K272" s="205">
        <v>34</v>
      </c>
      <c r="L272" s="205">
        <v>1</v>
      </c>
      <c r="M272" s="205">
        <v>1</v>
      </c>
      <c r="N272" s="205">
        <v>1</v>
      </c>
    </row>
    <row r="273" spans="1:14" x14ac:dyDescent="0.2">
      <c r="A273" s="204">
        <f t="shared" si="3"/>
        <v>0</v>
      </c>
      <c r="C273" s="204">
        <f t="shared" si="2"/>
        <v>1</v>
      </c>
      <c r="F273" s="205">
        <v>35</v>
      </c>
      <c r="G273" s="205" t="b">
        <v>0</v>
      </c>
      <c r="H273" s="205" t="b">
        <v>0</v>
      </c>
      <c r="I273" s="205" t="b">
        <v>0</v>
      </c>
      <c r="K273" s="205">
        <v>35</v>
      </c>
      <c r="L273" s="205">
        <v>1</v>
      </c>
      <c r="M273" s="205">
        <v>1</v>
      </c>
      <c r="N273" s="205">
        <v>1</v>
      </c>
    </row>
    <row r="274" spans="1:14" x14ac:dyDescent="0.2">
      <c r="A274" s="204">
        <f t="shared" si="3"/>
        <v>0</v>
      </c>
      <c r="C274" s="204">
        <f t="shared" si="2"/>
        <v>1</v>
      </c>
      <c r="F274" s="205">
        <v>36</v>
      </c>
      <c r="G274" s="205" t="b">
        <v>0</v>
      </c>
      <c r="H274" s="205" t="b">
        <v>0</v>
      </c>
      <c r="I274" s="205" t="b">
        <v>0</v>
      </c>
      <c r="K274" s="205">
        <v>36</v>
      </c>
      <c r="L274" s="205">
        <v>1</v>
      </c>
      <c r="M274" s="205">
        <v>1</v>
      </c>
      <c r="N274" s="205">
        <v>1</v>
      </c>
    </row>
    <row r="275" spans="1:14" x14ac:dyDescent="0.2">
      <c r="A275" s="204">
        <f t="shared" si="3"/>
        <v>0</v>
      </c>
      <c r="C275" s="204">
        <f t="shared" si="2"/>
        <v>1</v>
      </c>
      <c r="F275" s="205">
        <v>37</v>
      </c>
      <c r="G275" s="205" t="b">
        <v>0</v>
      </c>
      <c r="H275" s="205" t="b">
        <v>0</v>
      </c>
      <c r="I275" s="205" t="b">
        <v>0</v>
      </c>
      <c r="K275" s="205">
        <v>37</v>
      </c>
      <c r="L275" s="205">
        <v>1</v>
      </c>
      <c r="M275" s="205">
        <v>1</v>
      </c>
      <c r="N275" s="205">
        <v>1</v>
      </c>
    </row>
    <row r="276" spans="1:14" x14ac:dyDescent="0.2">
      <c r="A276" s="204">
        <f t="shared" si="3"/>
        <v>0</v>
      </c>
      <c r="C276" s="204">
        <f t="shared" si="2"/>
        <v>1</v>
      </c>
      <c r="F276" s="205">
        <v>38</v>
      </c>
      <c r="G276" s="205" t="b">
        <v>0</v>
      </c>
      <c r="H276" s="205" t="b">
        <v>0</v>
      </c>
      <c r="I276" s="205" t="b">
        <v>0</v>
      </c>
      <c r="K276" s="205">
        <v>38</v>
      </c>
      <c r="L276" s="205">
        <v>1</v>
      </c>
      <c r="M276" s="205">
        <v>1</v>
      </c>
      <c r="N276" s="205">
        <v>1</v>
      </c>
    </row>
    <row r="277" spans="1:14" x14ac:dyDescent="0.2">
      <c r="A277" s="204">
        <f t="shared" si="3"/>
        <v>0</v>
      </c>
      <c r="C277" s="204">
        <f t="shared" si="2"/>
        <v>1</v>
      </c>
      <c r="F277" s="205">
        <v>39</v>
      </c>
      <c r="G277" s="205" t="b">
        <v>0</v>
      </c>
      <c r="H277" s="205" t="b">
        <v>0</v>
      </c>
      <c r="I277" s="205" t="b">
        <v>0</v>
      </c>
      <c r="K277" s="205">
        <v>39</v>
      </c>
      <c r="L277" s="205">
        <v>1</v>
      </c>
      <c r="M277" s="205">
        <v>1</v>
      </c>
      <c r="N277" s="205">
        <v>1</v>
      </c>
    </row>
    <row r="278" spans="1:14" x14ac:dyDescent="0.2">
      <c r="A278" s="204">
        <f t="shared" si="3"/>
        <v>0</v>
      </c>
      <c r="C278" s="204">
        <f t="shared" si="2"/>
        <v>1</v>
      </c>
      <c r="F278" s="205">
        <v>40</v>
      </c>
      <c r="G278" s="205" t="b">
        <v>0</v>
      </c>
      <c r="H278" s="205" t="b">
        <v>0</v>
      </c>
      <c r="I278" s="205" t="b">
        <v>0</v>
      </c>
      <c r="K278" s="205">
        <v>40</v>
      </c>
      <c r="L278" s="205">
        <v>1</v>
      </c>
      <c r="M278" s="205">
        <v>1</v>
      </c>
      <c r="N278" s="205">
        <v>1</v>
      </c>
    </row>
    <row r="279" spans="1:14" x14ac:dyDescent="0.2">
      <c r="A279" s="204">
        <f t="shared" si="3"/>
        <v>0</v>
      </c>
      <c r="C279" s="204">
        <f t="shared" si="2"/>
        <v>1</v>
      </c>
      <c r="F279" s="205">
        <v>41</v>
      </c>
      <c r="G279" s="205" t="b">
        <v>0</v>
      </c>
      <c r="H279" s="205" t="b">
        <v>0</v>
      </c>
      <c r="I279" s="205" t="b">
        <v>0</v>
      </c>
      <c r="K279" s="205">
        <v>41</v>
      </c>
      <c r="L279" s="205">
        <v>1</v>
      </c>
      <c r="M279" s="205">
        <v>1</v>
      </c>
      <c r="N279" s="205">
        <v>1</v>
      </c>
    </row>
    <row r="280" spans="1:14" x14ac:dyDescent="0.2">
      <c r="A280" s="204">
        <f t="shared" si="3"/>
        <v>0</v>
      </c>
      <c r="C280" s="204">
        <f t="shared" si="2"/>
        <v>1</v>
      </c>
      <c r="F280" s="205">
        <v>42</v>
      </c>
      <c r="G280" s="205" t="b">
        <v>0</v>
      </c>
      <c r="H280" s="205" t="b">
        <v>0</v>
      </c>
      <c r="I280" s="205" t="b">
        <v>0</v>
      </c>
      <c r="K280" s="205">
        <v>42</v>
      </c>
      <c r="L280" s="205">
        <v>1</v>
      </c>
      <c r="M280" s="205">
        <v>1</v>
      </c>
      <c r="N280" s="205">
        <v>1</v>
      </c>
    </row>
    <row r="281" spans="1:14" x14ac:dyDescent="0.2">
      <c r="A281" s="204">
        <f t="shared" si="3"/>
        <v>0</v>
      </c>
      <c r="C281" s="204">
        <f t="shared" si="2"/>
        <v>1</v>
      </c>
      <c r="F281" s="205">
        <v>43</v>
      </c>
      <c r="G281" s="205" t="b">
        <v>0</v>
      </c>
      <c r="H281" s="205" t="b">
        <v>0</v>
      </c>
      <c r="I281" s="205" t="b">
        <v>0</v>
      </c>
      <c r="K281" s="205">
        <v>43</v>
      </c>
      <c r="L281" s="205">
        <v>1</v>
      </c>
      <c r="M281" s="205">
        <v>1</v>
      </c>
      <c r="N281" s="205">
        <v>1</v>
      </c>
    </row>
    <row r="282" spans="1:14" x14ac:dyDescent="0.2">
      <c r="A282" s="204">
        <f t="shared" si="3"/>
        <v>0</v>
      </c>
      <c r="C282" s="204">
        <f t="shared" si="2"/>
        <v>1</v>
      </c>
      <c r="F282" s="205">
        <v>44</v>
      </c>
      <c r="G282" s="205" t="b">
        <v>0</v>
      </c>
      <c r="H282" s="205" t="b">
        <v>0</v>
      </c>
      <c r="I282" s="205" t="b">
        <v>0</v>
      </c>
      <c r="K282" s="205">
        <v>44</v>
      </c>
      <c r="L282" s="205">
        <v>1</v>
      </c>
      <c r="M282" s="205">
        <v>1</v>
      </c>
      <c r="N282" s="205">
        <v>1</v>
      </c>
    </row>
    <row r="283" spans="1:14" x14ac:dyDescent="0.2">
      <c r="A283" s="204">
        <f t="shared" si="3"/>
        <v>0</v>
      </c>
      <c r="C283" s="204">
        <f t="shared" si="2"/>
        <v>1</v>
      </c>
      <c r="F283" s="205">
        <v>45</v>
      </c>
      <c r="G283" s="205" t="b">
        <v>0</v>
      </c>
      <c r="H283" s="205" t="b">
        <v>0</v>
      </c>
      <c r="I283" s="205" t="b">
        <v>0</v>
      </c>
      <c r="K283" s="205">
        <v>45</v>
      </c>
      <c r="L283" s="205">
        <v>1</v>
      </c>
      <c r="M283" s="205">
        <v>1</v>
      </c>
      <c r="N283" s="205">
        <v>1</v>
      </c>
    </row>
    <row r="284" spans="1:14" x14ac:dyDescent="0.2">
      <c r="A284" s="204">
        <f t="shared" si="3"/>
        <v>0</v>
      </c>
      <c r="C284" s="204">
        <f t="shared" si="2"/>
        <v>1</v>
      </c>
      <c r="F284" s="205">
        <v>46</v>
      </c>
      <c r="G284" s="205" t="b">
        <v>0</v>
      </c>
      <c r="H284" s="205" t="b">
        <v>0</v>
      </c>
      <c r="I284" s="205" t="b">
        <v>0</v>
      </c>
      <c r="K284" s="205">
        <v>46</v>
      </c>
      <c r="L284" s="205">
        <v>1</v>
      </c>
      <c r="M284" s="205">
        <v>1</v>
      </c>
      <c r="N284" s="205">
        <v>1</v>
      </c>
    </row>
    <row r="285" spans="1:14" x14ac:dyDescent="0.2">
      <c r="A285" s="204">
        <f t="shared" si="3"/>
        <v>0</v>
      </c>
      <c r="C285" s="204">
        <f t="shared" si="2"/>
        <v>1</v>
      </c>
      <c r="F285" s="205">
        <v>47</v>
      </c>
      <c r="G285" s="205" t="b">
        <v>0</v>
      </c>
      <c r="H285" s="205" t="b">
        <v>0</v>
      </c>
      <c r="I285" s="205" t="b">
        <v>0</v>
      </c>
      <c r="K285" s="205">
        <v>47</v>
      </c>
      <c r="L285" s="205">
        <v>1</v>
      </c>
      <c r="M285" s="205">
        <v>1</v>
      </c>
      <c r="N285" s="205">
        <v>1</v>
      </c>
    </row>
    <row r="286" spans="1:14" x14ac:dyDescent="0.2">
      <c r="A286" s="204">
        <f t="shared" si="3"/>
        <v>0</v>
      </c>
      <c r="C286" s="204">
        <f t="shared" si="2"/>
        <v>1</v>
      </c>
      <c r="F286" s="205">
        <v>48</v>
      </c>
      <c r="G286" s="205" t="b">
        <v>0</v>
      </c>
      <c r="H286" s="205" t="b">
        <v>0</v>
      </c>
      <c r="I286" s="205" t="b">
        <v>0</v>
      </c>
      <c r="K286" s="205">
        <v>48</v>
      </c>
      <c r="L286" s="205">
        <v>1</v>
      </c>
      <c r="M286" s="205">
        <v>1</v>
      </c>
      <c r="N286" s="205">
        <v>1</v>
      </c>
    </row>
    <row r="287" spans="1:14" x14ac:dyDescent="0.2">
      <c r="A287" s="204">
        <f t="shared" si="3"/>
        <v>0</v>
      </c>
      <c r="C287" s="204">
        <f t="shared" si="2"/>
        <v>1</v>
      </c>
      <c r="F287" s="205">
        <v>49</v>
      </c>
      <c r="G287" s="205" t="b">
        <v>0</v>
      </c>
      <c r="H287" s="205" t="b">
        <v>0</v>
      </c>
      <c r="I287" s="205" t="b">
        <v>0</v>
      </c>
      <c r="K287" s="205">
        <v>49</v>
      </c>
      <c r="L287" s="205">
        <v>1</v>
      </c>
      <c r="M287" s="205">
        <v>1</v>
      </c>
      <c r="N287" s="205">
        <v>1</v>
      </c>
    </row>
    <row r="288" spans="1:14" x14ac:dyDescent="0.2">
      <c r="A288" s="204">
        <f t="shared" si="3"/>
        <v>0</v>
      </c>
      <c r="C288" s="204">
        <f t="shared" si="2"/>
        <v>1</v>
      </c>
      <c r="F288" s="205">
        <v>50</v>
      </c>
      <c r="G288" s="205" t="b">
        <v>0</v>
      </c>
      <c r="H288" s="205" t="b">
        <v>0</v>
      </c>
      <c r="I288" s="205" t="b">
        <v>0</v>
      </c>
      <c r="K288" s="205">
        <v>50</v>
      </c>
      <c r="L288" s="205">
        <v>1</v>
      </c>
      <c r="M288" s="205">
        <v>1</v>
      </c>
      <c r="N288" s="205">
        <v>1</v>
      </c>
    </row>
    <row r="289" spans="1:14" x14ac:dyDescent="0.2">
      <c r="A289" s="204">
        <f t="shared" si="3"/>
        <v>0</v>
      </c>
      <c r="C289" s="204">
        <f t="shared" si="2"/>
        <v>1</v>
      </c>
      <c r="F289" s="205">
        <v>51</v>
      </c>
      <c r="G289" s="205" t="b">
        <v>0</v>
      </c>
      <c r="H289" s="205" t="b">
        <v>0</v>
      </c>
      <c r="I289" s="205" t="b">
        <v>0</v>
      </c>
      <c r="K289" s="205">
        <v>51</v>
      </c>
      <c r="L289" s="205">
        <v>1</v>
      </c>
      <c r="M289" s="205">
        <v>1</v>
      </c>
      <c r="N289" s="205">
        <v>1</v>
      </c>
    </row>
    <row r="290" spans="1:14" x14ac:dyDescent="0.2">
      <c r="A290" s="204">
        <f t="shared" si="3"/>
        <v>0</v>
      </c>
      <c r="C290" s="204">
        <f t="shared" si="2"/>
        <v>1</v>
      </c>
      <c r="F290" s="205">
        <v>52</v>
      </c>
      <c r="G290" s="205" t="b">
        <v>0</v>
      </c>
      <c r="H290" s="205" t="b">
        <v>0</v>
      </c>
      <c r="I290" s="205" t="b">
        <v>0</v>
      </c>
      <c r="K290" s="205">
        <v>52</v>
      </c>
      <c r="L290" s="205">
        <v>1</v>
      </c>
      <c r="M290" s="205">
        <v>1</v>
      </c>
      <c r="N290" s="205">
        <v>1</v>
      </c>
    </row>
    <row r="291" spans="1:14" x14ac:dyDescent="0.2">
      <c r="A291" s="204">
        <f t="shared" si="3"/>
        <v>0</v>
      </c>
      <c r="C291" s="204">
        <f t="shared" si="2"/>
        <v>1</v>
      </c>
      <c r="F291" s="205">
        <v>53</v>
      </c>
      <c r="G291" s="205" t="b">
        <v>0</v>
      </c>
      <c r="H291" s="205" t="b">
        <v>0</v>
      </c>
      <c r="I291" s="205" t="b">
        <v>0</v>
      </c>
      <c r="K291" s="205">
        <v>53</v>
      </c>
      <c r="L291" s="205">
        <v>1</v>
      </c>
      <c r="M291" s="205">
        <v>1</v>
      </c>
      <c r="N291" s="205">
        <v>1</v>
      </c>
    </row>
    <row r="292" spans="1:14" x14ac:dyDescent="0.2">
      <c r="A292" s="204">
        <f t="shared" si="3"/>
        <v>0</v>
      </c>
      <c r="C292" s="204">
        <f t="shared" si="2"/>
        <v>1</v>
      </c>
      <c r="F292" s="205">
        <v>54</v>
      </c>
      <c r="G292" s="205" t="b">
        <v>0</v>
      </c>
      <c r="H292" s="205" t="b">
        <v>0</v>
      </c>
      <c r="I292" s="205" t="b">
        <v>0</v>
      </c>
      <c r="K292" s="205">
        <v>54</v>
      </c>
      <c r="L292" s="205">
        <v>1</v>
      </c>
      <c r="M292" s="205">
        <v>1</v>
      </c>
      <c r="N292" s="205">
        <v>1</v>
      </c>
    </row>
    <row r="293" spans="1:14" x14ac:dyDescent="0.2">
      <c r="A293" s="204">
        <f t="shared" si="3"/>
        <v>0</v>
      </c>
      <c r="C293" s="204">
        <f t="shared" si="2"/>
        <v>1</v>
      </c>
      <c r="F293" s="205">
        <v>55</v>
      </c>
      <c r="G293" s="205" t="b">
        <v>0</v>
      </c>
      <c r="H293" s="205" t="b">
        <v>0</v>
      </c>
      <c r="I293" s="205" t="b">
        <v>0</v>
      </c>
      <c r="K293" s="205">
        <v>55</v>
      </c>
      <c r="L293" s="205">
        <v>1</v>
      </c>
      <c r="M293" s="205">
        <v>1</v>
      </c>
      <c r="N293" s="205">
        <v>1</v>
      </c>
    </row>
    <row r="294" spans="1:14" x14ac:dyDescent="0.2">
      <c r="A294" s="204">
        <f t="shared" si="3"/>
        <v>0</v>
      </c>
      <c r="C294" s="204">
        <f t="shared" si="2"/>
        <v>1</v>
      </c>
      <c r="F294" s="205">
        <v>56</v>
      </c>
      <c r="G294" s="205" t="b">
        <v>0</v>
      </c>
      <c r="H294" s="205" t="b">
        <v>0</v>
      </c>
      <c r="I294" s="205" t="b">
        <v>0</v>
      </c>
      <c r="K294" s="205">
        <v>56</v>
      </c>
      <c r="L294" s="205">
        <v>1</v>
      </c>
      <c r="M294" s="205">
        <v>1</v>
      </c>
      <c r="N294" s="205">
        <v>1</v>
      </c>
    </row>
    <row r="295" spans="1:14" x14ac:dyDescent="0.2">
      <c r="A295" s="204">
        <f t="shared" si="3"/>
        <v>0</v>
      </c>
      <c r="C295" s="204">
        <f t="shared" si="2"/>
        <v>1</v>
      </c>
      <c r="F295" s="205">
        <v>57</v>
      </c>
      <c r="G295" s="205" t="b">
        <v>0</v>
      </c>
      <c r="H295" s="205" t="b">
        <v>0</v>
      </c>
      <c r="I295" s="205" t="b">
        <v>0</v>
      </c>
      <c r="K295" s="205">
        <v>57</v>
      </c>
      <c r="L295" s="205">
        <v>1</v>
      </c>
      <c r="M295" s="205">
        <v>1</v>
      </c>
      <c r="N295" s="205">
        <v>1</v>
      </c>
    </row>
    <row r="296" spans="1:14" x14ac:dyDescent="0.2">
      <c r="A296" s="204">
        <f t="shared" si="3"/>
        <v>0</v>
      </c>
      <c r="C296" s="204">
        <f t="shared" si="2"/>
        <v>1</v>
      </c>
      <c r="F296" s="205">
        <v>58</v>
      </c>
      <c r="G296" s="205" t="b">
        <v>0</v>
      </c>
      <c r="H296" s="205" t="b">
        <v>0</v>
      </c>
      <c r="I296" s="205" t="b">
        <v>0</v>
      </c>
      <c r="K296" s="205">
        <v>58</v>
      </c>
      <c r="L296" s="205">
        <v>1</v>
      </c>
      <c r="M296" s="205">
        <v>1</v>
      </c>
      <c r="N296" s="205">
        <v>1</v>
      </c>
    </row>
    <row r="297" spans="1:14" x14ac:dyDescent="0.2">
      <c r="A297" s="204">
        <f t="shared" si="3"/>
        <v>0</v>
      </c>
      <c r="C297" s="204">
        <f t="shared" si="2"/>
        <v>1</v>
      </c>
      <c r="F297" s="205">
        <v>59</v>
      </c>
      <c r="G297" s="205" t="b">
        <v>0</v>
      </c>
      <c r="H297" s="205" t="b">
        <v>0</v>
      </c>
      <c r="I297" s="205" t="b">
        <v>0</v>
      </c>
      <c r="K297" s="205">
        <v>59</v>
      </c>
      <c r="L297" s="205">
        <v>1</v>
      </c>
      <c r="M297" s="205">
        <v>1</v>
      </c>
      <c r="N297" s="205">
        <v>1</v>
      </c>
    </row>
    <row r="298" spans="1:14" x14ac:dyDescent="0.2">
      <c r="A298" s="204">
        <f t="shared" si="3"/>
        <v>0</v>
      </c>
      <c r="C298" s="204">
        <f t="shared" si="2"/>
        <v>1</v>
      </c>
      <c r="F298" s="205">
        <v>60</v>
      </c>
      <c r="G298" s="205" t="b">
        <v>0</v>
      </c>
      <c r="H298" s="205" t="b">
        <v>0</v>
      </c>
      <c r="I298" s="205" t="b">
        <v>0</v>
      </c>
      <c r="K298" s="205">
        <v>60</v>
      </c>
      <c r="L298" s="205">
        <v>1</v>
      </c>
      <c r="M298" s="205">
        <v>1</v>
      </c>
      <c r="N298" s="205">
        <v>1</v>
      </c>
    </row>
    <row r="299" spans="1:14" x14ac:dyDescent="0.2">
      <c r="A299" s="204">
        <f t="shared" si="3"/>
        <v>0</v>
      </c>
      <c r="C299" s="204">
        <f t="shared" si="2"/>
        <v>1</v>
      </c>
      <c r="F299" s="205">
        <v>61</v>
      </c>
      <c r="G299" s="205" t="b">
        <v>0</v>
      </c>
      <c r="H299" s="205" t="b">
        <v>0</v>
      </c>
      <c r="I299" s="205" t="b">
        <v>0</v>
      </c>
      <c r="K299" s="205">
        <v>61</v>
      </c>
      <c r="L299" s="205">
        <v>1</v>
      </c>
      <c r="M299" s="205">
        <v>1</v>
      </c>
      <c r="N299" s="205">
        <v>1</v>
      </c>
    </row>
    <row r="300" spans="1:14" x14ac:dyDescent="0.2">
      <c r="A300" s="204">
        <f t="shared" si="3"/>
        <v>0</v>
      </c>
      <c r="C300" s="204">
        <f t="shared" si="2"/>
        <v>1</v>
      </c>
      <c r="F300" s="205">
        <v>62</v>
      </c>
      <c r="G300" s="205" t="b">
        <v>0</v>
      </c>
      <c r="H300" s="205" t="b">
        <v>0</v>
      </c>
      <c r="I300" s="205" t="b">
        <v>0</v>
      </c>
      <c r="K300" s="205">
        <v>62</v>
      </c>
      <c r="L300" s="205">
        <v>1</v>
      </c>
      <c r="M300" s="205">
        <v>1</v>
      </c>
      <c r="N300" s="205">
        <v>1</v>
      </c>
    </row>
    <row r="301" spans="1:14" x14ac:dyDescent="0.2">
      <c r="A301" s="204">
        <f t="shared" si="3"/>
        <v>0</v>
      </c>
      <c r="C301" s="204">
        <f t="shared" si="2"/>
        <v>1</v>
      </c>
      <c r="F301" s="205">
        <v>63</v>
      </c>
      <c r="G301" s="205" t="b">
        <v>0</v>
      </c>
      <c r="H301" s="205" t="b">
        <v>0</v>
      </c>
      <c r="I301" s="205" t="b">
        <v>0</v>
      </c>
      <c r="K301" s="205">
        <v>63</v>
      </c>
      <c r="L301" s="205">
        <v>1</v>
      </c>
      <c r="M301" s="205">
        <v>1</v>
      </c>
      <c r="N301" s="205">
        <v>1</v>
      </c>
    </row>
    <row r="302" spans="1:14" x14ac:dyDescent="0.2">
      <c r="A302" s="204">
        <f t="shared" si="3"/>
        <v>0</v>
      </c>
      <c r="C302" s="204">
        <f t="shared" si="2"/>
        <v>1</v>
      </c>
      <c r="F302" s="205">
        <v>64</v>
      </c>
      <c r="G302" s="205" t="b">
        <v>0</v>
      </c>
      <c r="H302" s="205" t="b">
        <v>0</v>
      </c>
      <c r="I302" s="205" t="b">
        <v>0</v>
      </c>
      <c r="K302" s="205">
        <v>64</v>
      </c>
      <c r="L302" s="205">
        <v>1</v>
      </c>
      <c r="M302" s="205">
        <v>1</v>
      </c>
      <c r="N302" s="205">
        <v>1</v>
      </c>
    </row>
    <row r="303" spans="1:14" x14ac:dyDescent="0.2">
      <c r="A303" s="204">
        <f t="shared" si="3"/>
        <v>0</v>
      </c>
      <c r="C303" s="204">
        <f t="shared" si="2"/>
        <v>1</v>
      </c>
      <c r="F303" s="205">
        <v>65</v>
      </c>
      <c r="G303" s="205" t="b">
        <v>0</v>
      </c>
      <c r="H303" s="205" t="b">
        <v>0</v>
      </c>
      <c r="I303" s="205" t="b">
        <v>0</v>
      </c>
      <c r="K303" s="205">
        <v>65</v>
      </c>
      <c r="L303" s="205">
        <v>1</v>
      </c>
      <c r="M303" s="205">
        <v>1</v>
      </c>
      <c r="N303" s="205">
        <v>1</v>
      </c>
    </row>
    <row r="304" spans="1:14" x14ac:dyDescent="0.2">
      <c r="A304" s="204">
        <f t="shared" si="3"/>
        <v>0</v>
      </c>
      <c r="C304" s="204">
        <f t="shared" si="2"/>
        <v>1</v>
      </c>
      <c r="F304" s="205">
        <v>66</v>
      </c>
      <c r="G304" s="205" t="b">
        <v>0</v>
      </c>
      <c r="H304" s="205" t="b">
        <v>0</v>
      </c>
      <c r="I304" s="205" t="b">
        <v>0</v>
      </c>
      <c r="K304" s="205">
        <v>66</v>
      </c>
      <c r="L304" s="205">
        <v>1</v>
      </c>
      <c r="M304" s="205">
        <v>1</v>
      </c>
      <c r="N304" s="205">
        <v>1</v>
      </c>
    </row>
    <row r="305" spans="1:14" x14ac:dyDescent="0.2">
      <c r="A305" s="204">
        <f t="shared" si="3"/>
        <v>0</v>
      </c>
      <c r="C305" s="204">
        <f t="shared" si="2"/>
        <v>1</v>
      </c>
      <c r="F305" s="205">
        <v>67</v>
      </c>
      <c r="G305" s="205" t="b">
        <v>0</v>
      </c>
      <c r="H305" s="205" t="b">
        <v>0</v>
      </c>
      <c r="I305" s="205" t="b">
        <v>0</v>
      </c>
      <c r="K305" s="205">
        <v>67</v>
      </c>
      <c r="L305" s="205">
        <v>1</v>
      </c>
      <c r="M305" s="205">
        <v>1</v>
      </c>
      <c r="N305" s="205">
        <v>1</v>
      </c>
    </row>
    <row r="306" spans="1:14" x14ac:dyDescent="0.2">
      <c r="A306" s="204">
        <f t="shared" si="3"/>
        <v>0</v>
      </c>
      <c r="C306" s="204">
        <f t="shared" ref="C306:C369" si="4">IF($T$41,L306,1)</f>
        <v>1</v>
      </c>
      <c r="F306" s="205">
        <v>68</v>
      </c>
      <c r="G306" s="205" t="b">
        <v>0</v>
      </c>
      <c r="H306" s="205" t="b">
        <v>0</v>
      </c>
      <c r="I306" s="205" t="b">
        <v>0</v>
      </c>
      <c r="K306" s="205">
        <v>68</v>
      </c>
      <c r="L306" s="205">
        <v>1</v>
      </c>
      <c r="M306" s="205">
        <v>1</v>
      </c>
      <c r="N306" s="205">
        <v>1</v>
      </c>
    </row>
    <row r="307" spans="1:14" x14ac:dyDescent="0.2">
      <c r="A307" s="204">
        <f t="shared" ref="A307:A370" si="5">IF(G307,1,0)</f>
        <v>0</v>
      </c>
      <c r="C307" s="204">
        <f t="shared" si="4"/>
        <v>1</v>
      </c>
      <c r="F307" s="205">
        <v>69</v>
      </c>
      <c r="G307" s="205" t="b">
        <v>0</v>
      </c>
      <c r="H307" s="205" t="b">
        <v>0</v>
      </c>
      <c r="I307" s="205" t="b">
        <v>0</v>
      </c>
      <c r="K307" s="205">
        <v>69</v>
      </c>
      <c r="L307" s="205">
        <v>1</v>
      </c>
      <c r="M307" s="205">
        <v>1</v>
      </c>
      <c r="N307" s="205">
        <v>1</v>
      </c>
    </row>
    <row r="308" spans="1:14" x14ac:dyDescent="0.2">
      <c r="A308" s="204">
        <f t="shared" si="5"/>
        <v>0</v>
      </c>
      <c r="C308" s="204">
        <f t="shared" si="4"/>
        <v>1</v>
      </c>
      <c r="F308" s="205">
        <v>70</v>
      </c>
      <c r="G308" s="205" t="b">
        <v>0</v>
      </c>
      <c r="H308" s="205" t="b">
        <v>0</v>
      </c>
      <c r="I308" s="205" t="b">
        <v>0</v>
      </c>
      <c r="K308" s="205">
        <v>70</v>
      </c>
      <c r="L308" s="205">
        <v>1</v>
      </c>
      <c r="M308" s="205">
        <v>1</v>
      </c>
      <c r="N308" s="205">
        <v>1</v>
      </c>
    </row>
    <row r="309" spans="1:14" x14ac:dyDescent="0.2">
      <c r="A309" s="204">
        <f t="shared" si="5"/>
        <v>0</v>
      </c>
      <c r="C309" s="204">
        <f t="shared" si="4"/>
        <v>1</v>
      </c>
      <c r="F309" s="205">
        <v>71</v>
      </c>
      <c r="G309" s="205" t="b">
        <v>0</v>
      </c>
      <c r="H309" s="205" t="b">
        <v>0</v>
      </c>
      <c r="I309" s="205" t="b">
        <v>0</v>
      </c>
      <c r="K309" s="205">
        <v>71</v>
      </c>
      <c r="L309" s="205">
        <v>1</v>
      </c>
      <c r="M309" s="205">
        <v>1</v>
      </c>
      <c r="N309" s="205">
        <v>1</v>
      </c>
    </row>
    <row r="310" spans="1:14" x14ac:dyDescent="0.2">
      <c r="A310" s="204">
        <f t="shared" si="5"/>
        <v>0</v>
      </c>
      <c r="C310" s="204">
        <f t="shared" si="4"/>
        <v>1</v>
      </c>
      <c r="F310" s="205">
        <v>72</v>
      </c>
      <c r="G310" s="205" t="b">
        <v>0</v>
      </c>
      <c r="H310" s="205" t="b">
        <v>0</v>
      </c>
      <c r="I310" s="205" t="b">
        <v>0</v>
      </c>
      <c r="K310" s="205">
        <v>72</v>
      </c>
      <c r="L310" s="205">
        <v>1</v>
      </c>
      <c r="M310" s="205">
        <v>1</v>
      </c>
      <c r="N310" s="205">
        <v>1</v>
      </c>
    </row>
    <row r="311" spans="1:14" x14ac:dyDescent="0.2">
      <c r="A311" s="204">
        <f t="shared" si="5"/>
        <v>0</v>
      </c>
      <c r="C311" s="204">
        <f t="shared" si="4"/>
        <v>1</v>
      </c>
      <c r="F311" s="205">
        <v>73</v>
      </c>
      <c r="G311" s="205" t="b">
        <v>0</v>
      </c>
      <c r="H311" s="205" t="b">
        <v>0</v>
      </c>
      <c r="I311" s="205" t="b">
        <v>0</v>
      </c>
      <c r="K311" s="205">
        <v>73</v>
      </c>
      <c r="L311" s="205">
        <v>1</v>
      </c>
      <c r="M311" s="205">
        <v>1</v>
      </c>
      <c r="N311" s="205">
        <v>1</v>
      </c>
    </row>
    <row r="312" spans="1:14" x14ac:dyDescent="0.2">
      <c r="A312" s="204">
        <f t="shared" si="5"/>
        <v>0</v>
      </c>
      <c r="C312" s="204">
        <f t="shared" si="4"/>
        <v>1</v>
      </c>
      <c r="F312" s="205">
        <v>74</v>
      </c>
      <c r="G312" s="205" t="b">
        <v>0</v>
      </c>
      <c r="H312" s="205" t="b">
        <v>0</v>
      </c>
      <c r="I312" s="205" t="b">
        <v>0</v>
      </c>
      <c r="K312" s="205">
        <v>74</v>
      </c>
      <c r="L312" s="205">
        <v>1</v>
      </c>
      <c r="M312" s="205">
        <v>1</v>
      </c>
      <c r="N312" s="205">
        <v>1</v>
      </c>
    </row>
    <row r="313" spans="1:14" x14ac:dyDescent="0.2">
      <c r="A313" s="204">
        <f t="shared" si="5"/>
        <v>0</v>
      </c>
      <c r="C313" s="204">
        <f t="shared" si="4"/>
        <v>1</v>
      </c>
      <c r="F313" s="205">
        <v>75</v>
      </c>
      <c r="G313" s="205" t="b">
        <v>0</v>
      </c>
      <c r="H313" s="205" t="b">
        <v>0</v>
      </c>
      <c r="I313" s="205" t="b">
        <v>0</v>
      </c>
      <c r="K313" s="205">
        <v>75</v>
      </c>
      <c r="L313" s="205">
        <v>1</v>
      </c>
      <c r="M313" s="205">
        <v>1</v>
      </c>
      <c r="N313" s="205">
        <v>1</v>
      </c>
    </row>
    <row r="314" spans="1:14" x14ac:dyDescent="0.2">
      <c r="A314" s="204">
        <f t="shared" si="5"/>
        <v>0</v>
      </c>
      <c r="C314" s="204">
        <f t="shared" si="4"/>
        <v>1</v>
      </c>
      <c r="F314" s="205">
        <v>76</v>
      </c>
      <c r="G314" s="205" t="b">
        <v>0</v>
      </c>
      <c r="H314" s="205" t="b">
        <v>0</v>
      </c>
      <c r="I314" s="205" t="b">
        <v>0</v>
      </c>
      <c r="K314" s="205">
        <v>76</v>
      </c>
      <c r="L314" s="205">
        <v>1</v>
      </c>
      <c r="M314" s="205">
        <v>1</v>
      </c>
      <c r="N314" s="205">
        <v>1</v>
      </c>
    </row>
    <row r="315" spans="1:14" x14ac:dyDescent="0.2">
      <c r="A315" s="204">
        <f t="shared" si="5"/>
        <v>0</v>
      </c>
      <c r="C315" s="204">
        <f t="shared" si="4"/>
        <v>1</v>
      </c>
      <c r="F315" s="205">
        <v>77</v>
      </c>
      <c r="G315" s="205" t="b">
        <v>0</v>
      </c>
      <c r="H315" s="205" t="b">
        <v>0</v>
      </c>
      <c r="I315" s="205" t="b">
        <v>0</v>
      </c>
      <c r="K315" s="205">
        <v>77</v>
      </c>
      <c r="L315" s="205">
        <v>1</v>
      </c>
      <c r="M315" s="205">
        <v>1</v>
      </c>
      <c r="N315" s="205">
        <v>1</v>
      </c>
    </row>
    <row r="316" spans="1:14" x14ac:dyDescent="0.2">
      <c r="A316" s="204">
        <f t="shared" si="5"/>
        <v>0</v>
      </c>
      <c r="C316" s="204">
        <f t="shared" si="4"/>
        <v>1</v>
      </c>
      <c r="F316" s="205">
        <v>78</v>
      </c>
      <c r="G316" s="205" t="b">
        <v>0</v>
      </c>
      <c r="H316" s="205" t="b">
        <v>0</v>
      </c>
      <c r="I316" s="205" t="b">
        <v>0</v>
      </c>
      <c r="K316" s="205">
        <v>78</v>
      </c>
      <c r="L316" s="205">
        <v>1</v>
      </c>
      <c r="M316" s="205">
        <v>1</v>
      </c>
      <c r="N316" s="205">
        <v>1</v>
      </c>
    </row>
    <row r="317" spans="1:14" x14ac:dyDescent="0.2">
      <c r="A317" s="204">
        <f t="shared" si="5"/>
        <v>0</v>
      </c>
      <c r="C317" s="204">
        <f t="shared" si="4"/>
        <v>1</v>
      </c>
      <c r="F317" s="205">
        <v>79</v>
      </c>
      <c r="G317" s="205" t="b">
        <v>0</v>
      </c>
      <c r="H317" s="205" t="b">
        <v>0</v>
      </c>
      <c r="I317" s="205" t="b">
        <v>0</v>
      </c>
      <c r="K317" s="205">
        <v>79</v>
      </c>
      <c r="L317" s="205">
        <v>1</v>
      </c>
      <c r="M317" s="205">
        <v>1</v>
      </c>
      <c r="N317" s="205">
        <v>1</v>
      </c>
    </row>
    <row r="318" spans="1:14" x14ac:dyDescent="0.2">
      <c r="A318" s="204">
        <f t="shared" si="5"/>
        <v>0</v>
      </c>
      <c r="C318" s="204">
        <f t="shared" si="4"/>
        <v>1</v>
      </c>
      <c r="F318" s="205">
        <v>80</v>
      </c>
      <c r="G318" s="205" t="b">
        <v>0</v>
      </c>
      <c r="H318" s="205" t="b">
        <v>0</v>
      </c>
      <c r="I318" s="205" t="b">
        <v>0</v>
      </c>
      <c r="K318" s="205">
        <v>80</v>
      </c>
      <c r="L318" s="205">
        <v>1</v>
      </c>
      <c r="M318" s="205">
        <v>1</v>
      </c>
      <c r="N318" s="205">
        <v>1</v>
      </c>
    </row>
    <row r="319" spans="1:14" x14ac:dyDescent="0.2">
      <c r="A319" s="204">
        <f t="shared" si="5"/>
        <v>0</v>
      </c>
      <c r="C319" s="204">
        <f t="shared" si="4"/>
        <v>1</v>
      </c>
      <c r="F319" s="205">
        <v>81</v>
      </c>
      <c r="G319" s="205" t="b">
        <v>0</v>
      </c>
      <c r="H319" s="205" t="b">
        <v>0</v>
      </c>
      <c r="I319" s="205" t="b">
        <v>0</v>
      </c>
      <c r="K319" s="205">
        <v>81</v>
      </c>
      <c r="L319" s="205">
        <v>1</v>
      </c>
      <c r="M319" s="205">
        <v>1</v>
      </c>
      <c r="N319" s="205">
        <v>1</v>
      </c>
    </row>
    <row r="320" spans="1:14" x14ac:dyDescent="0.2">
      <c r="A320" s="204">
        <f t="shared" si="5"/>
        <v>0</v>
      </c>
      <c r="C320" s="204">
        <f t="shared" si="4"/>
        <v>1</v>
      </c>
      <c r="F320" s="205">
        <v>82</v>
      </c>
      <c r="G320" s="205" t="b">
        <v>0</v>
      </c>
      <c r="H320" s="205" t="b">
        <v>0</v>
      </c>
      <c r="I320" s="205" t="b">
        <v>0</v>
      </c>
      <c r="K320" s="205">
        <v>82</v>
      </c>
      <c r="L320" s="205">
        <v>1</v>
      </c>
      <c r="M320" s="205">
        <v>1</v>
      </c>
      <c r="N320" s="205">
        <v>1</v>
      </c>
    </row>
    <row r="321" spans="1:14" x14ac:dyDescent="0.2">
      <c r="A321" s="204">
        <f t="shared" si="5"/>
        <v>0</v>
      </c>
      <c r="C321" s="204">
        <f t="shared" si="4"/>
        <v>1</v>
      </c>
      <c r="F321" s="205">
        <v>83</v>
      </c>
      <c r="G321" s="205" t="b">
        <v>0</v>
      </c>
      <c r="H321" s="205" t="b">
        <v>0</v>
      </c>
      <c r="I321" s="205" t="b">
        <v>0</v>
      </c>
      <c r="K321" s="205">
        <v>83</v>
      </c>
      <c r="L321" s="205">
        <v>1</v>
      </c>
      <c r="M321" s="205">
        <v>1</v>
      </c>
      <c r="N321" s="205">
        <v>1</v>
      </c>
    </row>
    <row r="322" spans="1:14" x14ac:dyDescent="0.2">
      <c r="A322" s="204">
        <f t="shared" si="5"/>
        <v>0</v>
      </c>
      <c r="C322" s="204">
        <f t="shared" si="4"/>
        <v>1</v>
      </c>
      <c r="F322" s="205">
        <v>84</v>
      </c>
      <c r="G322" s="205" t="b">
        <v>0</v>
      </c>
      <c r="H322" s="205" t="b">
        <v>0</v>
      </c>
      <c r="I322" s="205" t="b">
        <v>0</v>
      </c>
      <c r="K322" s="205">
        <v>84</v>
      </c>
      <c r="L322" s="205">
        <v>1</v>
      </c>
      <c r="M322" s="205">
        <v>1</v>
      </c>
      <c r="N322" s="205">
        <v>1</v>
      </c>
    </row>
    <row r="323" spans="1:14" x14ac:dyDescent="0.2">
      <c r="A323" s="204">
        <f t="shared" si="5"/>
        <v>0</v>
      </c>
      <c r="C323" s="204">
        <f t="shared" si="4"/>
        <v>1</v>
      </c>
      <c r="F323" s="205">
        <v>85</v>
      </c>
      <c r="G323" s="205" t="b">
        <v>0</v>
      </c>
      <c r="H323" s="205" t="b">
        <v>0</v>
      </c>
      <c r="I323" s="205" t="b">
        <v>0</v>
      </c>
      <c r="K323" s="205">
        <v>85</v>
      </c>
      <c r="L323" s="205">
        <v>1</v>
      </c>
      <c r="M323" s="205">
        <v>1</v>
      </c>
      <c r="N323" s="205">
        <v>1</v>
      </c>
    </row>
    <row r="324" spans="1:14" x14ac:dyDescent="0.2">
      <c r="A324" s="204">
        <f t="shared" si="5"/>
        <v>0</v>
      </c>
      <c r="C324" s="204">
        <f t="shared" si="4"/>
        <v>1</v>
      </c>
      <c r="F324" s="205">
        <v>86</v>
      </c>
      <c r="G324" s="205" t="b">
        <v>0</v>
      </c>
      <c r="H324" s="205" t="b">
        <v>0</v>
      </c>
      <c r="I324" s="205" t="b">
        <v>0</v>
      </c>
      <c r="K324" s="205">
        <v>86</v>
      </c>
      <c r="L324" s="205">
        <v>1</v>
      </c>
      <c r="M324" s="205">
        <v>1</v>
      </c>
      <c r="N324" s="205">
        <v>1</v>
      </c>
    </row>
    <row r="325" spans="1:14" x14ac:dyDescent="0.2">
      <c r="A325" s="204">
        <f t="shared" si="5"/>
        <v>0</v>
      </c>
      <c r="C325" s="204">
        <f t="shared" si="4"/>
        <v>1</v>
      </c>
      <c r="F325" s="205">
        <v>87</v>
      </c>
      <c r="G325" s="205" t="b">
        <v>0</v>
      </c>
      <c r="H325" s="205" t="b">
        <v>0</v>
      </c>
      <c r="I325" s="205" t="b">
        <v>0</v>
      </c>
      <c r="K325" s="205">
        <v>87</v>
      </c>
      <c r="L325" s="205">
        <v>1</v>
      </c>
      <c r="M325" s="205">
        <v>1</v>
      </c>
      <c r="N325" s="205">
        <v>1</v>
      </c>
    </row>
    <row r="326" spans="1:14" x14ac:dyDescent="0.2">
      <c r="A326" s="204">
        <f t="shared" si="5"/>
        <v>0</v>
      </c>
      <c r="C326" s="204">
        <f t="shared" si="4"/>
        <v>1</v>
      </c>
      <c r="F326" s="205">
        <v>88</v>
      </c>
      <c r="G326" s="205" t="b">
        <v>0</v>
      </c>
      <c r="H326" s="205" t="b">
        <v>0</v>
      </c>
      <c r="I326" s="205" t="b">
        <v>0</v>
      </c>
      <c r="K326" s="205">
        <v>88</v>
      </c>
      <c r="L326" s="205">
        <v>1</v>
      </c>
      <c r="M326" s="205">
        <v>1</v>
      </c>
      <c r="N326" s="205">
        <v>1</v>
      </c>
    </row>
    <row r="327" spans="1:14" x14ac:dyDescent="0.2">
      <c r="A327" s="204">
        <f t="shared" si="5"/>
        <v>0</v>
      </c>
      <c r="C327" s="204">
        <f t="shared" si="4"/>
        <v>1</v>
      </c>
      <c r="F327" s="205">
        <v>89</v>
      </c>
      <c r="G327" s="205" t="b">
        <v>0</v>
      </c>
      <c r="H327" s="205" t="b">
        <v>0</v>
      </c>
      <c r="I327" s="205" t="b">
        <v>0</v>
      </c>
      <c r="K327" s="205">
        <v>89</v>
      </c>
      <c r="L327" s="205">
        <v>1</v>
      </c>
      <c r="M327" s="205">
        <v>1</v>
      </c>
      <c r="N327" s="205">
        <v>1</v>
      </c>
    </row>
    <row r="328" spans="1:14" x14ac:dyDescent="0.2">
      <c r="A328" s="204">
        <f t="shared" si="5"/>
        <v>0</v>
      </c>
      <c r="C328" s="204">
        <f t="shared" si="4"/>
        <v>1</v>
      </c>
      <c r="F328" s="205">
        <v>90</v>
      </c>
      <c r="G328" s="205" t="b">
        <v>0</v>
      </c>
      <c r="H328" s="205" t="b">
        <v>0</v>
      </c>
      <c r="I328" s="205" t="b">
        <v>0</v>
      </c>
      <c r="K328" s="205">
        <v>90</v>
      </c>
      <c r="L328" s="205">
        <v>1</v>
      </c>
      <c r="M328" s="205">
        <v>1</v>
      </c>
      <c r="N328" s="205">
        <v>1</v>
      </c>
    </row>
    <row r="329" spans="1:14" x14ac:dyDescent="0.2">
      <c r="A329" s="204">
        <f t="shared" si="5"/>
        <v>0</v>
      </c>
      <c r="C329" s="204">
        <f t="shared" si="4"/>
        <v>1</v>
      </c>
      <c r="F329" s="205">
        <v>91</v>
      </c>
      <c r="G329" s="205" t="b">
        <v>0</v>
      </c>
      <c r="H329" s="205" t="b">
        <v>0</v>
      </c>
      <c r="I329" s="205" t="b">
        <v>0</v>
      </c>
      <c r="K329" s="205">
        <v>91</v>
      </c>
      <c r="L329" s="205">
        <v>1</v>
      </c>
      <c r="M329" s="205">
        <v>1</v>
      </c>
      <c r="N329" s="205">
        <v>1</v>
      </c>
    </row>
    <row r="330" spans="1:14" x14ac:dyDescent="0.2">
      <c r="A330" s="204">
        <f t="shared" si="5"/>
        <v>0</v>
      </c>
      <c r="C330" s="204">
        <f t="shared" si="4"/>
        <v>1</v>
      </c>
      <c r="F330" s="205">
        <v>92</v>
      </c>
      <c r="G330" s="205" t="b">
        <v>0</v>
      </c>
      <c r="H330" s="205" t="b">
        <v>0</v>
      </c>
      <c r="I330" s="205" t="b">
        <v>0</v>
      </c>
      <c r="K330" s="205">
        <v>92</v>
      </c>
      <c r="L330" s="205">
        <v>1</v>
      </c>
      <c r="M330" s="205">
        <v>1</v>
      </c>
      <c r="N330" s="205">
        <v>1</v>
      </c>
    </row>
    <row r="331" spans="1:14" x14ac:dyDescent="0.2">
      <c r="A331" s="204">
        <f t="shared" si="5"/>
        <v>0</v>
      </c>
      <c r="C331" s="204">
        <f t="shared" si="4"/>
        <v>1</v>
      </c>
      <c r="F331" s="205">
        <v>93</v>
      </c>
      <c r="G331" s="205" t="b">
        <v>0</v>
      </c>
      <c r="H331" s="205" t="b">
        <v>0</v>
      </c>
      <c r="I331" s="205" t="b">
        <v>0</v>
      </c>
      <c r="K331" s="205">
        <v>93</v>
      </c>
      <c r="L331" s="205">
        <v>1</v>
      </c>
      <c r="M331" s="205">
        <v>1</v>
      </c>
      <c r="N331" s="205">
        <v>1</v>
      </c>
    </row>
    <row r="332" spans="1:14" x14ac:dyDescent="0.2">
      <c r="A332" s="204">
        <f t="shared" si="5"/>
        <v>0</v>
      </c>
      <c r="C332" s="204">
        <f t="shared" si="4"/>
        <v>1</v>
      </c>
      <c r="F332" s="205">
        <v>94</v>
      </c>
      <c r="G332" s="205" t="b">
        <v>0</v>
      </c>
      <c r="H332" s="205" t="b">
        <v>0</v>
      </c>
      <c r="I332" s="205" t="b">
        <v>0</v>
      </c>
      <c r="K332" s="205">
        <v>94</v>
      </c>
      <c r="L332" s="205">
        <v>1</v>
      </c>
      <c r="M332" s="205">
        <v>1</v>
      </c>
      <c r="N332" s="205">
        <v>1</v>
      </c>
    </row>
    <row r="333" spans="1:14" x14ac:dyDescent="0.2">
      <c r="A333" s="204">
        <f t="shared" si="5"/>
        <v>0</v>
      </c>
      <c r="C333" s="204">
        <f t="shared" si="4"/>
        <v>1</v>
      </c>
      <c r="F333" s="205">
        <v>95</v>
      </c>
      <c r="G333" s="205" t="b">
        <v>0</v>
      </c>
      <c r="H333" s="205" t="b">
        <v>0</v>
      </c>
      <c r="I333" s="205" t="b">
        <v>0</v>
      </c>
      <c r="K333" s="205">
        <v>95</v>
      </c>
      <c r="L333" s="205">
        <v>1</v>
      </c>
      <c r="M333" s="205">
        <v>1</v>
      </c>
      <c r="N333" s="205">
        <v>1</v>
      </c>
    </row>
    <row r="334" spans="1:14" x14ac:dyDescent="0.2">
      <c r="A334" s="204">
        <f t="shared" si="5"/>
        <v>0</v>
      </c>
      <c r="C334" s="204">
        <f t="shared" si="4"/>
        <v>1</v>
      </c>
      <c r="F334" s="205">
        <v>96</v>
      </c>
      <c r="G334" s="205" t="b">
        <v>0</v>
      </c>
      <c r="H334" s="205" t="b">
        <v>0</v>
      </c>
      <c r="I334" s="205" t="b">
        <v>0</v>
      </c>
      <c r="K334" s="205">
        <v>96</v>
      </c>
      <c r="L334" s="205">
        <v>1</v>
      </c>
      <c r="M334" s="205">
        <v>1</v>
      </c>
      <c r="N334" s="205">
        <v>1</v>
      </c>
    </row>
    <row r="335" spans="1:14" x14ac:dyDescent="0.2">
      <c r="A335" s="204">
        <f t="shared" si="5"/>
        <v>0</v>
      </c>
      <c r="C335" s="204">
        <f t="shared" si="4"/>
        <v>1</v>
      </c>
      <c r="F335" s="205">
        <v>97</v>
      </c>
      <c r="G335" s="205" t="b">
        <v>0</v>
      </c>
      <c r="H335" s="205" t="b">
        <v>0</v>
      </c>
      <c r="I335" s="205" t="b">
        <v>0</v>
      </c>
      <c r="K335" s="205">
        <v>97</v>
      </c>
      <c r="L335" s="205">
        <v>1</v>
      </c>
      <c r="M335" s="205">
        <v>1</v>
      </c>
      <c r="N335" s="205">
        <v>1</v>
      </c>
    </row>
    <row r="336" spans="1:14" x14ac:dyDescent="0.2">
      <c r="A336" s="204">
        <f t="shared" si="5"/>
        <v>0</v>
      </c>
      <c r="C336" s="204">
        <f t="shared" si="4"/>
        <v>1</v>
      </c>
      <c r="F336" s="205">
        <v>98</v>
      </c>
      <c r="G336" s="205" t="b">
        <v>0</v>
      </c>
      <c r="H336" s="205" t="b">
        <v>0</v>
      </c>
      <c r="I336" s="205" t="b">
        <v>0</v>
      </c>
      <c r="K336" s="205">
        <v>98</v>
      </c>
      <c r="L336" s="205">
        <v>1</v>
      </c>
      <c r="M336" s="205">
        <v>1</v>
      </c>
      <c r="N336" s="205">
        <v>1</v>
      </c>
    </row>
    <row r="337" spans="1:14" x14ac:dyDescent="0.2">
      <c r="A337" s="204">
        <f t="shared" si="5"/>
        <v>0</v>
      </c>
      <c r="C337" s="204">
        <f t="shared" si="4"/>
        <v>1</v>
      </c>
      <c r="F337" s="205">
        <v>99</v>
      </c>
      <c r="G337" s="205" t="b">
        <v>0</v>
      </c>
      <c r="H337" s="205" t="b">
        <v>0</v>
      </c>
      <c r="I337" s="205" t="b">
        <v>0</v>
      </c>
      <c r="K337" s="205">
        <v>99</v>
      </c>
      <c r="L337" s="205">
        <v>1</v>
      </c>
      <c r="M337" s="205">
        <v>1</v>
      </c>
      <c r="N337" s="205">
        <v>1</v>
      </c>
    </row>
    <row r="338" spans="1:14" x14ac:dyDescent="0.2">
      <c r="A338" s="204">
        <f t="shared" si="5"/>
        <v>0</v>
      </c>
      <c r="C338" s="204">
        <f t="shared" si="4"/>
        <v>1</v>
      </c>
      <c r="F338" s="205">
        <v>100</v>
      </c>
      <c r="G338" s="205" t="b">
        <v>0</v>
      </c>
      <c r="H338" s="205" t="b">
        <v>0</v>
      </c>
      <c r="I338" s="205" t="b">
        <v>0</v>
      </c>
      <c r="K338" s="205">
        <v>100</v>
      </c>
      <c r="L338" s="205">
        <v>1</v>
      </c>
      <c r="M338" s="205">
        <v>1</v>
      </c>
      <c r="N338" s="205">
        <v>1</v>
      </c>
    </row>
    <row r="339" spans="1:14" x14ac:dyDescent="0.2">
      <c r="A339" s="204">
        <f t="shared" si="5"/>
        <v>0</v>
      </c>
      <c r="C339" s="204">
        <f t="shared" si="4"/>
        <v>1</v>
      </c>
      <c r="F339" s="205">
        <v>101</v>
      </c>
      <c r="G339" s="205" t="b">
        <v>0</v>
      </c>
      <c r="H339" s="205" t="b">
        <v>0</v>
      </c>
      <c r="I339" s="205" t="b">
        <v>0</v>
      </c>
      <c r="K339" s="205">
        <v>101</v>
      </c>
      <c r="L339" s="205">
        <v>1</v>
      </c>
      <c r="M339" s="205">
        <v>1</v>
      </c>
      <c r="N339" s="205">
        <v>1</v>
      </c>
    </row>
    <row r="340" spans="1:14" x14ac:dyDescent="0.2">
      <c r="A340" s="204">
        <f t="shared" si="5"/>
        <v>0</v>
      </c>
      <c r="C340" s="204">
        <f t="shared" si="4"/>
        <v>1</v>
      </c>
      <c r="F340" s="205">
        <v>102</v>
      </c>
      <c r="G340" s="205" t="b">
        <v>0</v>
      </c>
      <c r="H340" s="205" t="b">
        <v>0</v>
      </c>
      <c r="I340" s="205" t="b">
        <v>0</v>
      </c>
      <c r="K340" s="205">
        <v>102</v>
      </c>
      <c r="L340" s="205">
        <v>1</v>
      </c>
      <c r="M340" s="205">
        <v>1</v>
      </c>
      <c r="N340" s="205">
        <v>1</v>
      </c>
    </row>
    <row r="341" spans="1:14" x14ac:dyDescent="0.2">
      <c r="A341" s="204">
        <f t="shared" si="5"/>
        <v>0</v>
      </c>
      <c r="C341" s="204">
        <f t="shared" si="4"/>
        <v>1</v>
      </c>
      <c r="F341" s="205">
        <v>103</v>
      </c>
      <c r="G341" s="205" t="b">
        <v>0</v>
      </c>
      <c r="H341" s="205" t="b">
        <v>0</v>
      </c>
      <c r="I341" s="205" t="b">
        <v>0</v>
      </c>
      <c r="K341" s="205">
        <v>103</v>
      </c>
      <c r="L341" s="205">
        <v>1</v>
      </c>
      <c r="M341" s="205">
        <v>1</v>
      </c>
      <c r="N341" s="205">
        <v>1</v>
      </c>
    </row>
    <row r="342" spans="1:14" x14ac:dyDescent="0.2">
      <c r="A342" s="204">
        <f t="shared" si="5"/>
        <v>0</v>
      </c>
      <c r="C342" s="204">
        <f t="shared" si="4"/>
        <v>1</v>
      </c>
      <c r="F342" s="205">
        <v>104</v>
      </c>
      <c r="G342" s="205" t="b">
        <v>0</v>
      </c>
      <c r="H342" s="205" t="b">
        <v>0</v>
      </c>
      <c r="I342" s="205" t="b">
        <v>0</v>
      </c>
      <c r="K342" s="205">
        <v>104</v>
      </c>
      <c r="L342" s="205">
        <v>1</v>
      </c>
      <c r="M342" s="205">
        <v>1</v>
      </c>
      <c r="N342" s="205">
        <v>1</v>
      </c>
    </row>
    <row r="343" spans="1:14" x14ac:dyDescent="0.2">
      <c r="A343" s="204">
        <f t="shared" si="5"/>
        <v>0</v>
      </c>
      <c r="C343" s="204">
        <f t="shared" si="4"/>
        <v>1</v>
      </c>
      <c r="F343" s="205">
        <v>105</v>
      </c>
      <c r="G343" s="205" t="b">
        <v>0</v>
      </c>
      <c r="H343" s="205" t="b">
        <v>0</v>
      </c>
      <c r="I343" s="205" t="b">
        <v>0</v>
      </c>
      <c r="K343" s="205">
        <v>105</v>
      </c>
      <c r="L343" s="205">
        <v>1</v>
      </c>
      <c r="M343" s="205">
        <v>1</v>
      </c>
      <c r="N343" s="205">
        <v>1</v>
      </c>
    </row>
    <row r="344" spans="1:14" x14ac:dyDescent="0.2">
      <c r="A344" s="204">
        <f t="shared" si="5"/>
        <v>0</v>
      </c>
      <c r="C344" s="204">
        <f t="shared" si="4"/>
        <v>1</v>
      </c>
      <c r="F344" s="205">
        <v>106</v>
      </c>
      <c r="G344" s="205" t="b">
        <v>0</v>
      </c>
      <c r="H344" s="205" t="b">
        <v>0</v>
      </c>
      <c r="I344" s="205" t="b">
        <v>0</v>
      </c>
      <c r="K344" s="205">
        <v>106</v>
      </c>
      <c r="L344" s="205">
        <v>1</v>
      </c>
      <c r="M344" s="205">
        <v>1</v>
      </c>
      <c r="N344" s="205">
        <v>1</v>
      </c>
    </row>
    <row r="345" spans="1:14" x14ac:dyDescent="0.2">
      <c r="A345" s="204">
        <f t="shared" si="5"/>
        <v>0</v>
      </c>
      <c r="C345" s="204">
        <f t="shared" si="4"/>
        <v>1</v>
      </c>
      <c r="F345" s="205">
        <v>107</v>
      </c>
      <c r="G345" s="205" t="b">
        <v>0</v>
      </c>
      <c r="H345" s="205" t="b">
        <v>0</v>
      </c>
      <c r="I345" s="205" t="b">
        <v>0</v>
      </c>
      <c r="K345" s="205">
        <v>107</v>
      </c>
      <c r="L345" s="205">
        <v>1</v>
      </c>
      <c r="M345" s="205">
        <v>1</v>
      </c>
      <c r="N345" s="205">
        <v>1</v>
      </c>
    </row>
    <row r="346" spans="1:14" x14ac:dyDescent="0.2">
      <c r="A346" s="204">
        <f t="shared" si="5"/>
        <v>0</v>
      </c>
      <c r="C346" s="204">
        <f t="shared" si="4"/>
        <v>1</v>
      </c>
      <c r="F346" s="205">
        <v>108</v>
      </c>
      <c r="G346" s="205" t="b">
        <v>0</v>
      </c>
      <c r="H346" s="205" t="b">
        <v>0</v>
      </c>
      <c r="I346" s="205" t="b">
        <v>0</v>
      </c>
      <c r="K346" s="205">
        <v>108</v>
      </c>
      <c r="L346" s="205">
        <v>1</v>
      </c>
      <c r="M346" s="205">
        <v>1</v>
      </c>
      <c r="N346" s="205">
        <v>1</v>
      </c>
    </row>
    <row r="347" spans="1:14" x14ac:dyDescent="0.2">
      <c r="A347" s="204">
        <f t="shared" si="5"/>
        <v>0</v>
      </c>
      <c r="C347" s="204">
        <f t="shared" si="4"/>
        <v>1</v>
      </c>
      <c r="F347" s="205">
        <v>109</v>
      </c>
      <c r="G347" s="205" t="b">
        <v>0</v>
      </c>
      <c r="H347" s="205" t="b">
        <v>0</v>
      </c>
      <c r="I347" s="205" t="b">
        <v>0</v>
      </c>
      <c r="K347" s="205">
        <v>109</v>
      </c>
      <c r="L347" s="205">
        <v>1</v>
      </c>
      <c r="M347" s="205">
        <v>1</v>
      </c>
      <c r="N347" s="205">
        <v>1</v>
      </c>
    </row>
    <row r="348" spans="1:14" x14ac:dyDescent="0.2">
      <c r="A348" s="204">
        <f t="shared" si="5"/>
        <v>0</v>
      </c>
      <c r="C348" s="204">
        <f t="shared" si="4"/>
        <v>1</v>
      </c>
      <c r="F348" s="205">
        <v>110</v>
      </c>
      <c r="G348" s="205" t="b">
        <v>0</v>
      </c>
      <c r="H348" s="205" t="b">
        <v>0</v>
      </c>
      <c r="I348" s="205" t="b">
        <v>0</v>
      </c>
      <c r="K348" s="205">
        <v>110</v>
      </c>
      <c r="L348" s="205">
        <v>1</v>
      </c>
      <c r="M348" s="205">
        <v>1</v>
      </c>
      <c r="N348" s="205">
        <v>1</v>
      </c>
    </row>
    <row r="349" spans="1:14" x14ac:dyDescent="0.2">
      <c r="A349" s="204">
        <f t="shared" si="5"/>
        <v>0</v>
      </c>
      <c r="C349" s="204">
        <f t="shared" si="4"/>
        <v>1</v>
      </c>
      <c r="F349" s="205">
        <v>111</v>
      </c>
      <c r="G349" s="205" t="b">
        <v>0</v>
      </c>
      <c r="H349" s="205" t="b">
        <v>0</v>
      </c>
      <c r="I349" s="205" t="b">
        <v>0</v>
      </c>
      <c r="K349" s="205">
        <v>111</v>
      </c>
      <c r="L349" s="205">
        <v>1</v>
      </c>
      <c r="M349" s="205">
        <v>1</v>
      </c>
      <c r="N349" s="205">
        <v>1</v>
      </c>
    </row>
    <row r="350" spans="1:14" x14ac:dyDescent="0.2">
      <c r="A350" s="204">
        <f t="shared" si="5"/>
        <v>0</v>
      </c>
      <c r="C350" s="204">
        <f t="shared" si="4"/>
        <v>1</v>
      </c>
      <c r="F350" s="205">
        <v>112</v>
      </c>
      <c r="G350" s="205" t="b">
        <v>0</v>
      </c>
      <c r="H350" s="205" t="b">
        <v>0</v>
      </c>
      <c r="I350" s="205" t="b">
        <v>0</v>
      </c>
      <c r="K350" s="205">
        <v>112</v>
      </c>
      <c r="L350" s="205">
        <v>1</v>
      </c>
      <c r="M350" s="205">
        <v>1</v>
      </c>
      <c r="N350" s="205">
        <v>1</v>
      </c>
    </row>
    <row r="351" spans="1:14" x14ac:dyDescent="0.2">
      <c r="A351" s="204">
        <f t="shared" si="5"/>
        <v>0</v>
      </c>
      <c r="C351" s="204">
        <f t="shared" si="4"/>
        <v>1</v>
      </c>
      <c r="F351" s="205">
        <v>113</v>
      </c>
      <c r="G351" s="205" t="b">
        <v>0</v>
      </c>
      <c r="H351" s="205" t="b">
        <v>0</v>
      </c>
      <c r="I351" s="205" t="b">
        <v>0</v>
      </c>
      <c r="K351" s="205">
        <v>113</v>
      </c>
      <c r="L351" s="205">
        <v>1</v>
      </c>
      <c r="M351" s="205">
        <v>1</v>
      </c>
      <c r="N351" s="205">
        <v>1</v>
      </c>
    </row>
    <row r="352" spans="1:14" x14ac:dyDescent="0.2">
      <c r="A352" s="204">
        <f t="shared" si="5"/>
        <v>0</v>
      </c>
      <c r="C352" s="204">
        <f t="shared" si="4"/>
        <v>1</v>
      </c>
      <c r="F352" s="205">
        <v>114</v>
      </c>
      <c r="G352" s="205" t="b">
        <v>0</v>
      </c>
      <c r="H352" s="205" t="b">
        <v>0</v>
      </c>
      <c r="I352" s="205" t="b">
        <v>0</v>
      </c>
      <c r="K352" s="205">
        <v>114</v>
      </c>
      <c r="L352" s="205">
        <v>1</v>
      </c>
      <c r="M352" s="205">
        <v>1</v>
      </c>
      <c r="N352" s="205">
        <v>1</v>
      </c>
    </row>
    <row r="353" spans="1:14" x14ac:dyDescent="0.2">
      <c r="A353" s="204">
        <f t="shared" si="5"/>
        <v>0</v>
      </c>
      <c r="C353" s="204">
        <f t="shared" si="4"/>
        <v>1</v>
      </c>
      <c r="F353" s="205">
        <v>115</v>
      </c>
      <c r="G353" s="205" t="b">
        <v>0</v>
      </c>
      <c r="H353" s="205" t="b">
        <v>0</v>
      </c>
      <c r="I353" s="205" t="b">
        <v>0</v>
      </c>
      <c r="K353" s="205">
        <v>115</v>
      </c>
      <c r="L353" s="205">
        <v>1</v>
      </c>
      <c r="M353" s="205">
        <v>1</v>
      </c>
      <c r="N353" s="205">
        <v>1</v>
      </c>
    </row>
    <row r="354" spans="1:14" x14ac:dyDescent="0.2">
      <c r="A354" s="204">
        <f t="shared" si="5"/>
        <v>0</v>
      </c>
      <c r="C354" s="204">
        <f t="shared" si="4"/>
        <v>1</v>
      </c>
      <c r="F354" s="205">
        <v>116</v>
      </c>
      <c r="G354" s="205" t="b">
        <v>0</v>
      </c>
      <c r="H354" s="205" t="b">
        <v>0</v>
      </c>
      <c r="I354" s="205" t="b">
        <v>0</v>
      </c>
      <c r="K354" s="205">
        <v>116</v>
      </c>
      <c r="L354" s="205">
        <v>1</v>
      </c>
      <c r="M354" s="205">
        <v>1</v>
      </c>
      <c r="N354" s="205">
        <v>1</v>
      </c>
    </row>
    <row r="355" spans="1:14" x14ac:dyDescent="0.2">
      <c r="A355" s="204">
        <f t="shared" si="5"/>
        <v>0</v>
      </c>
      <c r="C355" s="204">
        <f t="shared" si="4"/>
        <v>1</v>
      </c>
      <c r="F355" s="205">
        <v>117</v>
      </c>
      <c r="G355" s="205" t="b">
        <v>0</v>
      </c>
      <c r="H355" s="205" t="b">
        <v>0</v>
      </c>
      <c r="I355" s="205" t="b">
        <v>0</v>
      </c>
      <c r="K355" s="205">
        <v>117</v>
      </c>
      <c r="L355" s="205">
        <v>1</v>
      </c>
      <c r="M355" s="205">
        <v>1</v>
      </c>
      <c r="N355" s="205">
        <v>1</v>
      </c>
    </row>
    <row r="356" spans="1:14" x14ac:dyDescent="0.2">
      <c r="A356" s="204">
        <f t="shared" si="5"/>
        <v>0</v>
      </c>
      <c r="C356" s="204">
        <f t="shared" si="4"/>
        <v>1</v>
      </c>
      <c r="F356" s="205">
        <v>118</v>
      </c>
      <c r="G356" s="205" t="b">
        <v>0</v>
      </c>
      <c r="H356" s="205" t="b">
        <v>0</v>
      </c>
      <c r="I356" s="205" t="b">
        <v>0</v>
      </c>
      <c r="K356" s="205">
        <v>118</v>
      </c>
      <c r="L356" s="205">
        <v>1</v>
      </c>
      <c r="M356" s="205">
        <v>1</v>
      </c>
      <c r="N356" s="205">
        <v>1</v>
      </c>
    </row>
    <row r="357" spans="1:14" x14ac:dyDescent="0.2">
      <c r="A357" s="204">
        <f t="shared" si="5"/>
        <v>0</v>
      </c>
      <c r="C357" s="204">
        <f t="shared" si="4"/>
        <v>1</v>
      </c>
      <c r="F357" s="205">
        <v>119</v>
      </c>
      <c r="G357" s="205" t="b">
        <v>0</v>
      </c>
      <c r="H357" s="205" t="b">
        <v>0</v>
      </c>
      <c r="I357" s="205" t="b">
        <v>0</v>
      </c>
      <c r="K357" s="205">
        <v>119</v>
      </c>
      <c r="L357" s="205">
        <v>1</v>
      </c>
      <c r="M357" s="205">
        <v>1</v>
      </c>
      <c r="N357" s="205">
        <v>1</v>
      </c>
    </row>
    <row r="358" spans="1:14" x14ac:dyDescent="0.2">
      <c r="A358" s="204">
        <f t="shared" si="5"/>
        <v>0</v>
      </c>
      <c r="C358" s="204">
        <f t="shared" si="4"/>
        <v>1</v>
      </c>
      <c r="F358" s="205">
        <v>120</v>
      </c>
      <c r="G358" s="205" t="b">
        <v>0</v>
      </c>
      <c r="H358" s="205" t="b">
        <v>0</v>
      </c>
      <c r="I358" s="205" t="b">
        <v>0</v>
      </c>
      <c r="K358" s="205">
        <v>120</v>
      </c>
      <c r="L358" s="205">
        <v>1</v>
      </c>
      <c r="M358" s="205">
        <v>1</v>
      </c>
      <c r="N358" s="205">
        <v>1</v>
      </c>
    </row>
    <row r="359" spans="1:14" x14ac:dyDescent="0.2">
      <c r="A359" s="204">
        <f t="shared" si="5"/>
        <v>0</v>
      </c>
      <c r="C359" s="204">
        <f t="shared" si="4"/>
        <v>1</v>
      </c>
      <c r="F359" s="205">
        <v>121</v>
      </c>
      <c r="G359" s="205" t="b">
        <v>0</v>
      </c>
      <c r="H359" s="205" t="b">
        <v>0</v>
      </c>
      <c r="I359" s="205" t="b">
        <v>0</v>
      </c>
      <c r="K359" s="205">
        <v>121</v>
      </c>
      <c r="L359" s="205">
        <v>1</v>
      </c>
      <c r="M359" s="205">
        <v>1</v>
      </c>
      <c r="N359" s="205">
        <v>1</v>
      </c>
    </row>
    <row r="360" spans="1:14" x14ac:dyDescent="0.2">
      <c r="A360" s="204">
        <f t="shared" si="5"/>
        <v>0</v>
      </c>
      <c r="C360" s="204">
        <f t="shared" si="4"/>
        <v>1</v>
      </c>
      <c r="F360" s="205">
        <v>122</v>
      </c>
      <c r="G360" s="205" t="b">
        <v>0</v>
      </c>
      <c r="H360" s="205" t="b">
        <v>0</v>
      </c>
      <c r="I360" s="205" t="b">
        <v>0</v>
      </c>
      <c r="K360" s="205">
        <v>122</v>
      </c>
      <c r="L360" s="205">
        <v>1</v>
      </c>
      <c r="M360" s="205">
        <v>1</v>
      </c>
      <c r="N360" s="205">
        <v>1</v>
      </c>
    </row>
    <row r="361" spans="1:14" x14ac:dyDescent="0.2">
      <c r="A361" s="204">
        <f t="shared" si="5"/>
        <v>0</v>
      </c>
      <c r="C361" s="204">
        <f t="shared" si="4"/>
        <v>1</v>
      </c>
      <c r="F361" s="205">
        <v>123</v>
      </c>
      <c r="G361" s="205" t="b">
        <v>0</v>
      </c>
      <c r="H361" s="205" t="b">
        <v>0</v>
      </c>
      <c r="I361" s="205" t="b">
        <v>0</v>
      </c>
      <c r="K361" s="205">
        <v>123</v>
      </c>
      <c r="L361" s="205">
        <v>1</v>
      </c>
      <c r="M361" s="205">
        <v>1</v>
      </c>
      <c r="N361" s="205">
        <v>1</v>
      </c>
    </row>
    <row r="362" spans="1:14" x14ac:dyDescent="0.2">
      <c r="A362" s="204">
        <f t="shared" si="5"/>
        <v>0</v>
      </c>
      <c r="C362" s="204">
        <f t="shared" si="4"/>
        <v>1</v>
      </c>
      <c r="F362" s="205">
        <v>124</v>
      </c>
      <c r="G362" s="205" t="b">
        <v>0</v>
      </c>
      <c r="H362" s="205" t="b">
        <v>0</v>
      </c>
      <c r="I362" s="205" t="b">
        <v>0</v>
      </c>
      <c r="K362" s="205">
        <v>124</v>
      </c>
      <c r="L362" s="205">
        <v>1</v>
      </c>
      <c r="M362" s="205">
        <v>1</v>
      </c>
      <c r="N362" s="205">
        <v>1</v>
      </c>
    </row>
    <row r="363" spans="1:14" x14ac:dyDescent="0.2">
      <c r="A363" s="204">
        <f t="shared" si="5"/>
        <v>0</v>
      </c>
      <c r="C363" s="204">
        <f t="shared" si="4"/>
        <v>1</v>
      </c>
      <c r="F363" s="205">
        <v>125</v>
      </c>
      <c r="G363" s="205" t="b">
        <v>0</v>
      </c>
      <c r="H363" s="205" t="b">
        <v>0</v>
      </c>
      <c r="I363" s="205" t="b">
        <v>0</v>
      </c>
      <c r="K363" s="205">
        <v>125</v>
      </c>
      <c r="L363" s="205">
        <v>1</v>
      </c>
      <c r="M363" s="205">
        <v>1</v>
      </c>
      <c r="N363" s="205">
        <v>1</v>
      </c>
    </row>
    <row r="364" spans="1:14" x14ac:dyDescent="0.2">
      <c r="A364" s="204">
        <f t="shared" si="5"/>
        <v>0</v>
      </c>
      <c r="C364" s="204">
        <f t="shared" si="4"/>
        <v>1</v>
      </c>
      <c r="F364" s="205">
        <v>126</v>
      </c>
      <c r="G364" s="205" t="b">
        <v>0</v>
      </c>
      <c r="H364" s="205" t="b">
        <v>0</v>
      </c>
      <c r="I364" s="205" t="b">
        <v>0</v>
      </c>
      <c r="K364" s="205">
        <v>126</v>
      </c>
      <c r="L364" s="205">
        <v>1</v>
      </c>
      <c r="M364" s="205">
        <v>1</v>
      </c>
      <c r="N364" s="205">
        <v>1</v>
      </c>
    </row>
    <row r="365" spans="1:14" x14ac:dyDescent="0.2">
      <c r="A365" s="204">
        <f t="shared" si="5"/>
        <v>0</v>
      </c>
      <c r="C365" s="204">
        <f t="shared" si="4"/>
        <v>1</v>
      </c>
      <c r="F365" s="205">
        <v>127</v>
      </c>
      <c r="G365" s="205" t="b">
        <v>0</v>
      </c>
      <c r="H365" s="205" t="b">
        <v>0</v>
      </c>
      <c r="I365" s="205" t="b">
        <v>0</v>
      </c>
      <c r="K365" s="205">
        <v>127</v>
      </c>
      <c r="L365" s="205">
        <v>1</v>
      </c>
      <c r="M365" s="205">
        <v>1</v>
      </c>
      <c r="N365" s="205">
        <v>1</v>
      </c>
    </row>
    <row r="366" spans="1:14" x14ac:dyDescent="0.2">
      <c r="A366" s="204">
        <f t="shared" si="5"/>
        <v>0</v>
      </c>
      <c r="C366" s="204">
        <f t="shared" si="4"/>
        <v>1</v>
      </c>
      <c r="F366" s="205">
        <v>128</v>
      </c>
      <c r="G366" s="205" t="b">
        <v>0</v>
      </c>
      <c r="H366" s="205" t="b">
        <v>0</v>
      </c>
      <c r="I366" s="205" t="b">
        <v>0</v>
      </c>
      <c r="K366" s="205">
        <v>128</v>
      </c>
      <c r="L366" s="205">
        <v>1</v>
      </c>
      <c r="M366" s="205">
        <v>1</v>
      </c>
      <c r="N366" s="205">
        <v>1</v>
      </c>
    </row>
    <row r="367" spans="1:14" x14ac:dyDescent="0.2">
      <c r="A367" s="204">
        <f t="shared" si="5"/>
        <v>0</v>
      </c>
      <c r="C367" s="204">
        <f t="shared" si="4"/>
        <v>1</v>
      </c>
      <c r="F367" s="205">
        <v>129</v>
      </c>
      <c r="G367" s="205" t="b">
        <v>0</v>
      </c>
      <c r="H367" s="205" t="b">
        <v>0</v>
      </c>
      <c r="I367" s="205" t="b">
        <v>0</v>
      </c>
      <c r="K367" s="205">
        <v>129</v>
      </c>
      <c r="L367" s="205">
        <v>1</v>
      </c>
      <c r="M367" s="205">
        <v>1</v>
      </c>
      <c r="N367" s="205">
        <v>1</v>
      </c>
    </row>
    <row r="368" spans="1:14" x14ac:dyDescent="0.2">
      <c r="A368" s="204">
        <f t="shared" si="5"/>
        <v>0</v>
      </c>
      <c r="C368" s="204">
        <f t="shared" si="4"/>
        <v>1</v>
      </c>
      <c r="F368" s="205">
        <v>130</v>
      </c>
      <c r="G368" s="205" t="b">
        <v>0</v>
      </c>
      <c r="H368" s="205" t="b">
        <v>0</v>
      </c>
      <c r="I368" s="205" t="b">
        <v>0</v>
      </c>
      <c r="K368" s="205">
        <v>130</v>
      </c>
      <c r="L368" s="205">
        <v>1</v>
      </c>
      <c r="M368" s="205">
        <v>1</v>
      </c>
      <c r="N368" s="205">
        <v>1</v>
      </c>
    </row>
    <row r="369" spans="1:14" x14ac:dyDescent="0.2">
      <c r="A369" s="204">
        <f t="shared" si="5"/>
        <v>0</v>
      </c>
      <c r="C369" s="204">
        <f t="shared" si="4"/>
        <v>1</v>
      </c>
      <c r="F369" s="205">
        <v>131</v>
      </c>
      <c r="G369" s="205" t="b">
        <v>0</v>
      </c>
      <c r="H369" s="205" t="b">
        <v>0</v>
      </c>
      <c r="I369" s="205" t="b">
        <v>0</v>
      </c>
      <c r="K369" s="205">
        <v>131</v>
      </c>
      <c r="L369" s="205">
        <v>1</v>
      </c>
      <c r="M369" s="205">
        <v>1</v>
      </c>
      <c r="N369" s="205">
        <v>1</v>
      </c>
    </row>
    <row r="370" spans="1:14" x14ac:dyDescent="0.2">
      <c r="A370" s="204">
        <f t="shared" si="5"/>
        <v>0</v>
      </c>
      <c r="C370" s="204">
        <f t="shared" ref="C370:C433" si="6">IF($T$41,L370,1)</f>
        <v>1</v>
      </c>
      <c r="F370" s="205">
        <v>132</v>
      </c>
      <c r="G370" s="205" t="b">
        <v>0</v>
      </c>
      <c r="H370" s="205" t="b">
        <v>0</v>
      </c>
      <c r="I370" s="205" t="b">
        <v>0</v>
      </c>
      <c r="K370" s="205">
        <v>132</v>
      </c>
      <c r="L370" s="205">
        <v>1</v>
      </c>
      <c r="M370" s="205">
        <v>1</v>
      </c>
      <c r="N370" s="205">
        <v>1</v>
      </c>
    </row>
    <row r="371" spans="1:14" x14ac:dyDescent="0.2">
      <c r="A371" s="204">
        <f t="shared" ref="A371:A434" si="7">IF(G371,1,0)</f>
        <v>0</v>
      </c>
      <c r="C371" s="204">
        <f t="shared" si="6"/>
        <v>1</v>
      </c>
      <c r="F371" s="205">
        <v>133</v>
      </c>
      <c r="G371" s="205" t="b">
        <v>0</v>
      </c>
      <c r="H371" s="205" t="b">
        <v>0</v>
      </c>
      <c r="I371" s="205" t="b">
        <v>0</v>
      </c>
      <c r="K371" s="205">
        <v>133</v>
      </c>
      <c r="L371" s="205">
        <v>1</v>
      </c>
      <c r="M371" s="205">
        <v>1</v>
      </c>
      <c r="N371" s="205">
        <v>1</v>
      </c>
    </row>
    <row r="372" spans="1:14" x14ac:dyDescent="0.2">
      <c r="A372" s="204">
        <f t="shared" si="7"/>
        <v>0</v>
      </c>
      <c r="C372" s="204">
        <f t="shared" si="6"/>
        <v>1</v>
      </c>
      <c r="F372" s="205">
        <v>134</v>
      </c>
      <c r="G372" s="205" t="b">
        <v>0</v>
      </c>
      <c r="H372" s="205" t="b">
        <v>0</v>
      </c>
      <c r="I372" s="205" t="b">
        <v>0</v>
      </c>
      <c r="K372" s="205">
        <v>134</v>
      </c>
      <c r="L372" s="205">
        <v>1</v>
      </c>
      <c r="M372" s="205">
        <v>1</v>
      </c>
      <c r="N372" s="205">
        <v>1</v>
      </c>
    </row>
    <row r="373" spans="1:14" x14ac:dyDescent="0.2">
      <c r="A373" s="204">
        <f t="shared" si="7"/>
        <v>0</v>
      </c>
      <c r="C373" s="204">
        <f t="shared" si="6"/>
        <v>1</v>
      </c>
      <c r="F373" s="205">
        <v>135</v>
      </c>
      <c r="G373" s="205" t="b">
        <v>0</v>
      </c>
      <c r="H373" s="205" t="b">
        <v>0</v>
      </c>
      <c r="I373" s="205" t="b">
        <v>0</v>
      </c>
      <c r="K373" s="205">
        <v>135</v>
      </c>
      <c r="L373" s="205">
        <v>1</v>
      </c>
      <c r="M373" s="205">
        <v>1</v>
      </c>
      <c r="N373" s="205">
        <v>1</v>
      </c>
    </row>
    <row r="374" spans="1:14" x14ac:dyDescent="0.2">
      <c r="A374" s="204">
        <f t="shared" si="7"/>
        <v>0</v>
      </c>
      <c r="C374" s="204">
        <f t="shared" si="6"/>
        <v>1</v>
      </c>
      <c r="F374" s="205">
        <v>136</v>
      </c>
      <c r="G374" s="205" t="b">
        <v>0</v>
      </c>
      <c r="H374" s="205" t="b">
        <v>0</v>
      </c>
      <c r="I374" s="205" t="b">
        <v>0</v>
      </c>
      <c r="K374" s="205">
        <v>136</v>
      </c>
      <c r="L374" s="205">
        <v>1</v>
      </c>
      <c r="M374" s="205">
        <v>1</v>
      </c>
      <c r="N374" s="205">
        <v>1</v>
      </c>
    </row>
    <row r="375" spans="1:14" x14ac:dyDescent="0.2">
      <c r="A375" s="204">
        <f t="shared" si="7"/>
        <v>0</v>
      </c>
      <c r="C375" s="204">
        <f t="shared" si="6"/>
        <v>1</v>
      </c>
      <c r="F375" s="205">
        <v>137</v>
      </c>
      <c r="G375" s="205" t="b">
        <v>0</v>
      </c>
      <c r="H375" s="205" t="b">
        <v>0</v>
      </c>
      <c r="I375" s="205" t="b">
        <v>0</v>
      </c>
      <c r="K375" s="205">
        <v>137</v>
      </c>
      <c r="L375" s="205">
        <v>1</v>
      </c>
      <c r="M375" s="205">
        <v>1</v>
      </c>
      <c r="N375" s="205">
        <v>1</v>
      </c>
    </row>
    <row r="376" spans="1:14" x14ac:dyDescent="0.2">
      <c r="A376" s="204">
        <f t="shared" si="7"/>
        <v>0</v>
      </c>
      <c r="C376" s="204">
        <f t="shared" si="6"/>
        <v>1</v>
      </c>
      <c r="F376" s="205">
        <v>138</v>
      </c>
      <c r="G376" s="205" t="b">
        <v>0</v>
      </c>
      <c r="H376" s="205" t="b">
        <v>0</v>
      </c>
      <c r="I376" s="205" t="b">
        <v>0</v>
      </c>
      <c r="K376" s="205">
        <v>138</v>
      </c>
      <c r="L376" s="205">
        <v>1</v>
      </c>
      <c r="M376" s="205">
        <v>1</v>
      </c>
      <c r="N376" s="205">
        <v>1</v>
      </c>
    </row>
    <row r="377" spans="1:14" x14ac:dyDescent="0.2">
      <c r="A377" s="204">
        <f t="shared" si="7"/>
        <v>0</v>
      </c>
      <c r="C377" s="204">
        <f t="shared" si="6"/>
        <v>1</v>
      </c>
      <c r="F377" s="205">
        <v>139</v>
      </c>
      <c r="G377" s="205" t="b">
        <v>0</v>
      </c>
      <c r="H377" s="205" t="b">
        <v>0</v>
      </c>
      <c r="I377" s="205" t="b">
        <v>0</v>
      </c>
      <c r="K377" s="205">
        <v>139</v>
      </c>
      <c r="L377" s="205">
        <v>1</v>
      </c>
      <c r="M377" s="205">
        <v>1</v>
      </c>
      <c r="N377" s="205">
        <v>1</v>
      </c>
    </row>
    <row r="378" spans="1:14" x14ac:dyDescent="0.2">
      <c r="A378" s="204">
        <f t="shared" si="7"/>
        <v>0</v>
      </c>
      <c r="C378" s="204">
        <f t="shared" si="6"/>
        <v>1</v>
      </c>
      <c r="F378" s="205">
        <v>140</v>
      </c>
      <c r="G378" s="205" t="b">
        <v>0</v>
      </c>
      <c r="H378" s="205" t="b">
        <v>0</v>
      </c>
      <c r="I378" s="205" t="b">
        <v>0</v>
      </c>
      <c r="K378" s="205">
        <v>140</v>
      </c>
      <c r="L378" s="205">
        <v>1</v>
      </c>
      <c r="M378" s="205">
        <v>1</v>
      </c>
      <c r="N378" s="205">
        <v>1</v>
      </c>
    </row>
    <row r="379" spans="1:14" x14ac:dyDescent="0.2">
      <c r="A379" s="204">
        <f t="shared" si="7"/>
        <v>0</v>
      </c>
      <c r="C379" s="204">
        <f t="shared" si="6"/>
        <v>1</v>
      </c>
      <c r="F379" s="205">
        <v>141</v>
      </c>
      <c r="G379" s="205" t="b">
        <v>0</v>
      </c>
      <c r="H379" s="205" t="b">
        <v>0</v>
      </c>
      <c r="I379" s="205" t="b">
        <v>0</v>
      </c>
      <c r="K379" s="205">
        <v>141</v>
      </c>
      <c r="L379" s="205">
        <v>1</v>
      </c>
      <c r="M379" s="205">
        <v>1</v>
      </c>
      <c r="N379" s="205">
        <v>1</v>
      </c>
    </row>
    <row r="380" spans="1:14" x14ac:dyDescent="0.2">
      <c r="A380" s="204">
        <f t="shared" si="7"/>
        <v>0</v>
      </c>
      <c r="C380" s="204">
        <f t="shared" si="6"/>
        <v>1</v>
      </c>
      <c r="F380" s="205">
        <v>142</v>
      </c>
      <c r="G380" s="205" t="b">
        <v>0</v>
      </c>
      <c r="H380" s="205" t="b">
        <v>0</v>
      </c>
      <c r="I380" s="205" t="b">
        <v>0</v>
      </c>
      <c r="K380" s="205">
        <v>142</v>
      </c>
      <c r="L380" s="205">
        <v>1</v>
      </c>
      <c r="M380" s="205">
        <v>1</v>
      </c>
      <c r="N380" s="205">
        <v>1</v>
      </c>
    </row>
    <row r="381" spans="1:14" x14ac:dyDescent="0.2">
      <c r="A381" s="204">
        <f t="shared" si="7"/>
        <v>0</v>
      </c>
      <c r="C381" s="204">
        <f t="shared" si="6"/>
        <v>1</v>
      </c>
      <c r="F381" s="205">
        <v>143</v>
      </c>
      <c r="G381" s="205" t="b">
        <v>0</v>
      </c>
      <c r="H381" s="205" t="b">
        <v>0</v>
      </c>
      <c r="I381" s="205" t="b">
        <v>0</v>
      </c>
      <c r="K381" s="205">
        <v>143</v>
      </c>
      <c r="L381" s="205">
        <v>1</v>
      </c>
      <c r="M381" s="205">
        <v>1</v>
      </c>
      <c r="N381" s="205">
        <v>1</v>
      </c>
    </row>
    <row r="382" spans="1:14" x14ac:dyDescent="0.2">
      <c r="A382" s="204">
        <f t="shared" si="7"/>
        <v>0</v>
      </c>
      <c r="C382" s="204">
        <f t="shared" si="6"/>
        <v>1</v>
      </c>
      <c r="F382" s="205">
        <v>144</v>
      </c>
      <c r="G382" s="205" t="b">
        <v>0</v>
      </c>
      <c r="H382" s="205" t="b">
        <v>0</v>
      </c>
      <c r="I382" s="205" t="b">
        <v>0</v>
      </c>
      <c r="K382" s="205">
        <v>144</v>
      </c>
      <c r="L382" s="205">
        <v>1</v>
      </c>
      <c r="M382" s="205">
        <v>1</v>
      </c>
      <c r="N382" s="205">
        <v>1</v>
      </c>
    </row>
    <row r="383" spans="1:14" x14ac:dyDescent="0.2">
      <c r="A383" s="204">
        <f t="shared" si="7"/>
        <v>0</v>
      </c>
      <c r="C383" s="204">
        <f t="shared" si="6"/>
        <v>1</v>
      </c>
      <c r="F383" s="205">
        <v>145</v>
      </c>
      <c r="G383" s="205" t="b">
        <v>0</v>
      </c>
      <c r="H383" s="205" t="b">
        <v>0</v>
      </c>
      <c r="I383" s="205" t="b">
        <v>0</v>
      </c>
      <c r="K383" s="205">
        <v>145</v>
      </c>
      <c r="L383" s="205">
        <v>1</v>
      </c>
      <c r="M383" s="205">
        <v>1</v>
      </c>
      <c r="N383" s="205">
        <v>1</v>
      </c>
    </row>
    <row r="384" spans="1:14" x14ac:dyDescent="0.2">
      <c r="A384" s="204">
        <f t="shared" si="7"/>
        <v>0</v>
      </c>
      <c r="C384" s="204">
        <f t="shared" si="6"/>
        <v>1</v>
      </c>
      <c r="F384" s="205">
        <v>146</v>
      </c>
      <c r="G384" s="205" t="b">
        <v>0</v>
      </c>
      <c r="H384" s="205" t="b">
        <v>0</v>
      </c>
      <c r="I384" s="205" t="b">
        <v>0</v>
      </c>
      <c r="K384" s="205">
        <v>146</v>
      </c>
      <c r="L384" s="205">
        <v>1</v>
      </c>
      <c r="M384" s="205">
        <v>1</v>
      </c>
      <c r="N384" s="205">
        <v>1</v>
      </c>
    </row>
    <row r="385" spans="1:14" x14ac:dyDescent="0.2">
      <c r="A385" s="204">
        <f t="shared" si="7"/>
        <v>0</v>
      </c>
      <c r="C385" s="204">
        <f t="shared" si="6"/>
        <v>1</v>
      </c>
      <c r="F385" s="205">
        <v>147</v>
      </c>
      <c r="G385" s="205" t="b">
        <v>0</v>
      </c>
      <c r="H385" s="205" t="b">
        <v>0</v>
      </c>
      <c r="I385" s="205" t="b">
        <v>0</v>
      </c>
      <c r="K385" s="205">
        <v>147</v>
      </c>
      <c r="L385" s="205">
        <v>1</v>
      </c>
      <c r="M385" s="205">
        <v>1</v>
      </c>
      <c r="N385" s="205">
        <v>1</v>
      </c>
    </row>
    <row r="386" spans="1:14" x14ac:dyDescent="0.2">
      <c r="A386" s="204">
        <f t="shared" si="7"/>
        <v>0</v>
      </c>
      <c r="C386" s="204">
        <f t="shared" si="6"/>
        <v>1</v>
      </c>
      <c r="F386" s="205">
        <v>148</v>
      </c>
      <c r="G386" s="205" t="b">
        <v>0</v>
      </c>
      <c r="H386" s="205" t="b">
        <v>0</v>
      </c>
      <c r="I386" s="205" t="b">
        <v>0</v>
      </c>
      <c r="K386" s="205">
        <v>148</v>
      </c>
      <c r="L386" s="205">
        <v>1</v>
      </c>
      <c r="M386" s="205">
        <v>1</v>
      </c>
      <c r="N386" s="205">
        <v>1</v>
      </c>
    </row>
    <row r="387" spans="1:14" x14ac:dyDescent="0.2">
      <c r="A387" s="204">
        <f t="shared" si="7"/>
        <v>0</v>
      </c>
      <c r="C387" s="204">
        <f t="shared" si="6"/>
        <v>1</v>
      </c>
      <c r="F387" s="205">
        <v>149</v>
      </c>
      <c r="G387" s="205" t="b">
        <v>0</v>
      </c>
      <c r="H387" s="205" t="b">
        <v>0</v>
      </c>
      <c r="I387" s="205" t="b">
        <v>0</v>
      </c>
      <c r="K387" s="205">
        <v>149</v>
      </c>
      <c r="L387" s="205">
        <v>1</v>
      </c>
      <c r="M387" s="205">
        <v>1</v>
      </c>
      <c r="N387" s="205">
        <v>1</v>
      </c>
    </row>
    <row r="388" spans="1:14" x14ac:dyDescent="0.2">
      <c r="A388" s="204">
        <f t="shared" si="7"/>
        <v>0</v>
      </c>
      <c r="C388" s="204">
        <f t="shared" si="6"/>
        <v>1</v>
      </c>
      <c r="F388" s="205">
        <v>150</v>
      </c>
      <c r="G388" s="205" t="b">
        <v>0</v>
      </c>
      <c r="H388" s="205" t="b">
        <v>0</v>
      </c>
      <c r="I388" s="205" t="b">
        <v>0</v>
      </c>
      <c r="K388" s="205">
        <v>150</v>
      </c>
      <c r="L388" s="205">
        <v>1</v>
      </c>
      <c r="M388" s="205">
        <v>1</v>
      </c>
      <c r="N388" s="205">
        <v>1</v>
      </c>
    </row>
    <row r="389" spans="1:14" x14ac:dyDescent="0.2">
      <c r="A389" s="204">
        <f t="shared" si="7"/>
        <v>0</v>
      </c>
      <c r="C389" s="204">
        <f t="shared" si="6"/>
        <v>1</v>
      </c>
      <c r="F389" s="205">
        <v>151</v>
      </c>
      <c r="G389" s="205" t="b">
        <v>0</v>
      </c>
      <c r="H389" s="205" t="b">
        <v>0</v>
      </c>
      <c r="I389" s="205" t="b">
        <v>0</v>
      </c>
      <c r="K389" s="205">
        <v>151</v>
      </c>
      <c r="L389" s="205">
        <v>1</v>
      </c>
      <c r="M389" s="205">
        <v>1</v>
      </c>
      <c r="N389" s="205">
        <v>1</v>
      </c>
    </row>
    <row r="390" spans="1:14" x14ac:dyDescent="0.2">
      <c r="A390" s="204">
        <f t="shared" si="7"/>
        <v>0</v>
      </c>
      <c r="C390" s="204">
        <f t="shared" si="6"/>
        <v>1</v>
      </c>
      <c r="F390" s="205">
        <v>152</v>
      </c>
      <c r="G390" s="205" t="b">
        <v>0</v>
      </c>
      <c r="H390" s="205" t="b">
        <v>0</v>
      </c>
      <c r="I390" s="205" t="b">
        <v>0</v>
      </c>
      <c r="K390" s="205">
        <v>152</v>
      </c>
      <c r="L390" s="205">
        <v>1</v>
      </c>
      <c r="M390" s="205">
        <v>1</v>
      </c>
      <c r="N390" s="205">
        <v>1</v>
      </c>
    </row>
    <row r="391" spans="1:14" x14ac:dyDescent="0.2">
      <c r="A391" s="204">
        <f t="shared" si="7"/>
        <v>0</v>
      </c>
      <c r="C391" s="204">
        <f t="shared" si="6"/>
        <v>1</v>
      </c>
      <c r="F391" s="205">
        <v>153</v>
      </c>
      <c r="G391" s="205" t="b">
        <v>0</v>
      </c>
      <c r="H391" s="205" t="b">
        <v>0</v>
      </c>
      <c r="I391" s="205" t="b">
        <v>0</v>
      </c>
      <c r="K391" s="205">
        <v>153</v>
      </c>
      <c r="L391" s="205">
        <v>1</v>
      </c>
      <c r="M391" s="205">
        <v>1</v>
      </c>
      <c r="N391" s="205">
        <v>1</v>
      </c>
    </row>
    <row r="392" spans="1:14" x14ac:dyDescent="0.2">
      <c r="A392" s="204">
        <f t="shared" si="7"/>
        <v>0</v>
      </c>
      <c r="C392" s="204">
        <f t="shared" si="6"/>
        <v>1</v>
      </c>
      <c r="F392" s="205">
        <v>154</v>
      </c>
      <c r="G392" s="205" t="b">
        <v>0</v>
      </c>
      <c r="H392" s="205" t="b">
        <v>0</v>
      </c>
      <c r="I392" s="205" t="b">
        <v>0</v>
      </c>
      <c r="K392" s="205">
        <v>154</v>
      </c>
      <c r="L392" s="205">
        <v>1</v>
      </c>
      <c r="M392" s="205">
        <v>1</v>
      </c>
      <c r="N392" s="205">
        <v>1</v>
      </c>
    </row>
    <row r="393" spans="1:14" x14ac:dyDescent="0.2">
      <c r="A393" s="204">
        <f t="shared" si="7"/>
        <v>0</v>
      </c>
      <c r="C393" s="204">
        <f t="shared" si="6"/>
        <v>1</v>
      </c>
      <c r="F393" s="205">
        <v>155</v>
      </c>
      <c r="G393" s="205" t="b">
        <v>0</v>
      </c>
      <c r="H393" s="205" t="b">
        <v>0</v>
      </c>
      <c r="I393" s="205" t="b">
        <v>0</v>
      </c>
      <c r="K393" s="205">
        <v>155</v>
      </c>
      <c r="L393" s="205">
        <v>1</v>
      </c>
      <c r="M393" s="205">
        <v>1</v>
      </c>
      <c r="N393" s="205">
        <v>1</v>
      </c>
    </row>
    <row r="394" spans="1:14" x14ac:dyDescent="0.2">
      <c r="A394" s="204">
        <f t="shared" si="7"/>
        <v>0</v>
      </c>
      <c r="C394" s="204">
        <f t="shared" si="6"/>
        <v>1</v>
      </c>
      <c r="F394" s="205">
        <v>156</v>
      </c>
      <c r="G394" s="205" t="b">
        <v>0</v>
      </c>
      <c r="H394" s="205" t="b">
        <v>0</v>
      </c>
      <c r="I394" s="205" t="b">
        <v>0</v>
      </c>
      <c r="K394" s="205">
        <v>156</v>
      </c>
      <c r="L394" s="205">
        <v>1</v>
      </c>
      <c r="M394" s="205">
        <v>1</v>
      </c>
      <c r="N394" s="205">
        <v>1</v>
      </c>
    </row>
    <row r="395" spans="1:14" x14ac:dyDescent="0.2">
      <c r="A395" s="204">
        <f t="shared" si="7"/>
        <v>0</v>
      </c>
      <c r="C395" s="204">
        <f t="shared" si="6"/>
        <v>1</v>
      </c>
      <c r="F395" s="205">
        <v>157</v>
      </c>
      <c r="G395" s="205" t="b">
        <v>0</v>
      </c>
      <c r="H395" s="205" t="b">
        <v>0</v>
      </c>
      <c r="I395" s="205" t="b">
        <v>0</v>
      </c>
      <c r="K395" s="205">
        <v>157</v>
      </c>
      <c r="L395" s="205">
        <v>1</v>
      </c>
      <c r="M395" s="205">
        <v>1</v>
      </c>
      <c r="N395" s="205">
        <v>1</v>
      </c>
    </row>
    <row r="396" spans="1:14" x14ac:dyDescent="0.2">
      <c r="A396" s="204">
        <f t="shared" si="7"/>
        <v>0</v>
      </c>
      <c r="C396" s="204">
        <f t="shared" si="6"/>
        <v>1</v>
      </c>
      <c r="F396" s="205">
        <v>158</v>
      </c>
      <c r="G396" s="205" t="b">
        <v>0</v>
      </c>
      <c r="H396" s="205" t="b">
        <v>0</v>
      </c>
      <c r="I396" s="205" t="b">
        <v>0</v>
      </c>
      <c r="K396" s="205">
        <v>158</v>
      </c>
      <c r="L396" s="205">
        <v>1</v>
      </c>
      <c r="M396" s="205">
        <v>1</v>
      </c>
      <c r="N396" s="205">
        <v>1</v>
      </c>
    </row>
    <row r="397" spans="1:14" x14ac:dyDescent="0.2">
      <c r="A397" s="204">
        <f t="shared" si="7"/>
        <v>0</v>
      </c>
      <c r="C397" s="204">
        <f t="shared" si="6"/>
        <v>1</v>
      </c>
      <c r="F397" s="205">
        <v>159</v>
      </c>
      <c r="G397" s="205" t="b">
        <v>0</v>
      </c>
      <c r="H397" s="205" t="b">
        <v>0</v>
      </c>
      <c r="I397" s="205" t="b">
        <v>0</v>
      </c>
      <c r="K397" s="205">
        <v>159</v>
      </c>
      <c r="L397" s="205">
        <v>1</v>
      </c>
      <c r="M397" s="205">
        <v>1</v>
      </c>
      <c r="N397" s="205">
        <v>1</v>
      </c>
    </row>
    <row r="398" spans="1:14" x14ac:dyDescent="0.2">
      <c r="A398" s="204">
        <f t="shared" si="7"/>
        <v>0</v>
      </c>
      <c r="C398" s="204">
        <f t="shared" si="6"/>
        <v>1</v>
      </c>
      <c r="F398" s="205">
        <v>160</v>
      </c>
      <c r="G398" s="205" t="b">
        <v>0</v>
      </c>
      <c r="H398" s="205" t="b">
        <v>0</v>
      </c>
      <c r="I398" s="205" t="b">
        <v>0</v>
      </c>
      <c r="K398" s="205">
        <v>160</v>
      </c>
      <c r="L398" s="205">
        <v>1</v>
      </c>
      <c r="M398" s="205">
        <v>1</v>
      </c>
      <c r="N398" s="205">
        <v>1</v>
      </c>
    </row>
    <row r="399" spans="1:14" x14ac:dyDescent="0.2">
      <c r="A399" s="204">
        <f t="shared" si="7"/>
        <v>0</v>
      </c>
      <c r="C399" s="204">
        <f t="shared" si="6"/>
        <v>1</v>
      </c>
      <c r="F399" s="205">
        <v>161</v>
      </c>
      <c r="G399" s="205" t="b">
        <v>0</v>
      </c>
      <c r="H399" s="205" t="b">
        <v>0</v>
      </c>
      <c r="I399" s="205" t="b">
        <v>0</v>
      </c>
      <c r="K399" s="205">
        <v>161</v>
      </c>
      <c r="L399" s="205">
        <v>1</v>
      </c>
      <c r="M399" s="205">
        <v>1</v>
      </c>
      <c r="N399" s="205">
        <v>1</v>
      </c>
    </row>
    <row r="400" spans="1:14" x14ac:dyDescent="0.2">
      <c r="A400" s="204">
        <f t="shared" si="7"/>
        <v>0</v>
      </c>
      <c r="C400" s="204">
        <f t="shared" si="6"/>
        <v>1</v>
      </c>
      <c r="F400" s="205">
        <v>162</v>
      </c>
      <c r="G400" s="205" t="b">
        <v>0</v>
      </c>
      <c r="H400" s="205" t="b">
        <v>0</v>
      </c>
      <c r="I400" s="205" t="b">
        <v>0</v>
      </c>
      <c r="K400" s="205">
        <v>162</v>
      </c>
      <c r="L400" s="205">
        <v>1</v>
      </c>
      <c r="M400" s="205">
        <v>1</v>
      </c>
      <c r="N400" s="205">
        <v>1</v>
      </c>
    </row>
    <row r="401" spans="1:14" x14ac:dyDescent="0.2">
      <c r="A401" s="204">
        <f t="shared" si="7"/>
        <v>0</v>
      </c>
      <c r="C401" s="204">
        <f t="shared" si="6"/>
        <v>1</v>
      </c>
      <c r="F401" s="205">
        <v>163</v>
      </c>
      <c r="G401" s="205" t="b">
        <v>0</v>
      </c>
      <c r="H401" s="205" t="b">
        <v>0</v>
      </c>
      <c r="I401" s="205" t="b">
        <v>0</v>
      </c>
      <c r="K401" s="205">
        <v>163</v>
      </c>
      <c r="L401" s="205">
        <v>1</v>
      </c>
      <c r="M401" s="205">
        <v>1</v>
      </c>
      <c r="N401" s="205">
        <v>1</v>
      </c>
    </row>
    <row r="402" spans="1:14" x14ac:dyDescent="0.2">
      <c r="A402" s="204">
        <f t="shared" si="7"/>
        <v>0</v>
      </c>
      <c r="C402" s="204">
        <f t="shared" si="6"/>
        <v>1</v>
      </c>
      <c r="F402" s="205">
        <v>164</v>
      </c>
      <c r="G402" s="205" t="b">
        <v>0</v>
      </c>
      <c r="H402" s="205" t="b">
        <v>0</v>
      </c>
      <c r="I402" s="205" t="b">
        <v>0</v>
      </c>
      <c r="K402" s="205">
        <v>164</v>
      </c>
      <c r="L402" s="205">
        <v>1</v>
      </c>
      <c r="M402" s="205">
        <v>1</v>
      </c>
      <c r="N402" s="205">
        <v>1</v>
      </c>
    </row>
    <row r="403" spans="1:14" x14ac:dyDescent="0.2">
      <c r="A403" s="204">
        <f t="shared" si="7"/>
        <v>0</v>
      </c>
      <c r="C403" s="204">
        <f t="shared" si="6"/>
        <v>1</v>
      </c>
      <c r="F403" s="205">
        <v>165</v>
      </c>
      <c r="G403" s="205" t="b">
        <v>0</v>
      </c>
      <c r="H403" s="205" t="b">
        <v>0</v>
      </c>
      <c r="I403" s="205" t="b">
        <v>0</v>
      </c>
      <c r="K403" s="205">
        <v>165</v>
      </c>
      <c r="L403" s="205">
        <v>1</v>
      </c>
      <c r="M403" s="205">
        <v>1</v>
      </c>
      <c r="N403" s="205">
        <v>1</v>
      </c>
    </row>
    <row r="404" spans="1:14" x14ac:dyDescent="0.2">
      <c r="A404" s="204">
        <f t="shared" si="7"/>
        <v>0</v>
      </c>
      <c r="C404" s="204">
        <f t="shared" si="6"/>
        <v>1</v>
      </c>
      <c r="F404" s="205">
        <v>166</v>
      </c>
      <c r="G404" s="205" t="b">
        <v>0</v>
      </c>
      <c r="H404" s="205" t="b">
        <v>0</v>
      </c>
      <c r="I404" s="205" t="b">
        <v>0</v>
      </c>
      <c r="K404" s="205">
        <v>166</v>
      </c>
      <c r="L404" s="205">
        <v>1</v>
      </c>
      <c r="M404" s="205">
        <v>1</v>
      </c>
      <c r="N404" s="205">
        <v>1</v>
      </c>
    </row>
    <row r="405" spans="1:14" x14ac:dyDescent="0.2">
      <c r="A405" s="204">
        <f t="shared" si="7"/>
        <v>0</v>
      </c>
      <c r="C405" s="204">
        <f t="shared" si="6"/>
        <v>1</v>
      </c>
      <c r="F405" s="205">
        <v>167</v>
      </c>
      <c r="G405" s="205" t="b">
        <v>0</v>
      </c>
      <c r="H405" s="205" t="b">
        <v>0</v>
      </c>
      <c r="I405" s="205" t="b">
        <v>0</v>
      </c>
      <c r="K405" s="205">
        <v>167</v>
      </c>
      <c r="L405" s="205">
        <v>1</v>
      </c>
      <c r="M405" s="205">
        <v>1</v>
      </c>
      <c r="N405" s="205">
        <v>1</v>
      </c>
    </row>
    <row r="406" spans="1:14" x14ac:dyDescent="0.2">
      <c r="A406" s="204">
        <f t="shared" si="7"/>
        <v>0</v>
      </c>
      <c r="C406" s="204">
        <f t="shared" si="6"/>
        <v>1</v>
      </c>
      <c r="F406" s="205">
        <v>168</v>
      </c>
      <c r="G406" s="205" t="b">
        <v>0</v>
      </c>
      <c r="H406" s="205" t="b">
        <v>0</v>
      </c>
      <c r="I406" s="205" t="b">
        <v>0</v>
      </c>
      <c r="K406" s="205">
        <v>168</v>
      </c>
      <c r="L406" s="205">
        <v>1</v>
      </c>
      <c r="M406" s="205">
        <v>1</v>
      </c>
      <c r="N406" s="205">
        <v>1</v>
      </c>
    </row>
    <row r="407" spans="1:14" x14ac:dyDescent="0.2">
      <c r="A407" s="204">
        <f t="shared" si="7"/>
        <v>0</v>
      </c>
      <c r="C407" s="204">
        <f t="shared" si="6"/>
        <v>1</v>
      </c>
      <c r="F407" s="205">
        <v>169</v>
      </c>
      <c r="G407" s="205" t="b">
        <v>0</v>
      </c>
      <c r="H407" s="205" t="b">
        <v>0</v>
      </c>
      <c r="I407" s="205" t="b">
        <v>0</v>
      </c>
      <c r="K407" s="205">
        <v>169</v>
      </c>
      <c r="L407" s="205">
        <v>1</v>
      </c>
      <c r="M407" s="205">
        <v>1</v>
      </c>
      <c r="N407" s="205">
        <v>1</v>
      </c>
    </row>
    <row r="408" spans="1:14" x14ac:dyDescent="0.2">
      <c r="A408" s="204">
        <f t="shared" si="7"/>
        <v>0</v>
      </c>
      <c r="C408" s="204">
        <f t="shared" si="6"/>
        <v>1</v>
      </c>
      <c r="F408" s="205">
        <v>170</v>
      </c>
      <c r="G408" s="205" t="b">
        <v>0</v>
      </c>
      <c r="H408" s="205" t="b">
        <v>0</v>
      </c>
      <c r="I408" s="205" t="b">
        <v>0</v>
      </c>
      <c r="K408" s="205">
        <v>170</v>
      </c>
      <c r="L408" s="205">
        <v>1</v>
      </c>
      <c r="M408" s="205">
        <v>1</v>
      </c>
      <c r="N408" s="205">
        <v>1</v>
      </c>
    </row>
    <row r="409" spans="1:14" x14ac:dyDescent="0.2">
      <c r="A409" s="204">
        <f t="shared" si="7"/>
        <v>0</v>
      </c>
      <c r="C409" s="204">
        <f t="shared" si="6"/>
        <v>1</v>
      </c>
      <c r="F409" s="205">
        <v>171</v>
      </c>
      <c r="G409" s="205" t="b">
        <v>0</v>
      </c>
      <c r="H409" s="205" t="b">
        <v>0</v>
      </c>
      <c r="I409" s="205" t="b">
        <v>0</v>
      </c>
      <c r="K409" s="205">
        <v>171</v>
      </c>
      <c r="L409" s="205">
        <v>1</v>
      </c>
      <c r="M409" s="205">
        <v>1</v>
      </c>
      <c r="N409" s="205">
        <v>1</v>
      </c>
    </row>
    <row r="410" spans="1:14" x14ac:dyDescent="0.2">
      <c r="A410" s="204">
        <f t="shared" si="7"/>
        <v>0</v>
      </c>
      <c r="C410" s="204">
        <f t="shared" si="6"/>
        <v>1</v>
      </c>
      <c r="F410" s="205">
        <v>172</v>
      </c>
      <c r="G410" s="205" t="b">
        <v>0</v>
      </c>
      <c r="H410" s="205" t="b">
        <v>0</v>
      </c>
      <c r="I410" s="205" t="b">
        <v>0</v>
      </c>
      <c r="K410" s="205">
        <v>172</v>
      </c>
      <c r="L410" s="205">
        <v>1</v>
      </c>
      <c r="M410" s="205">
        <v>1</v>
      </c>
      <c r="N410" s="205">
        <v>1</v>
      </c>
    </row>
    <row r="411" spans="1:14" x14ac:dyDescent="0.2">
      <c r="A411" s="204">
        <f t="shared" si="7"/>
        <v>0</v>
      </c>
      <c r="C411" s="204">
        <f t="shared" si="6"/>
        <v>1</v>
      </c>
      <c r="F411" s="205">
        <v>173</v>
      </c>
      <c r="G411" s="205" t="b">
        <v>0</v>
      </c>
      <c r="H411" s="205" t="b">
        <v>0</v>
      </c>
      <c r="I411" s="205" t="b">
        <v>0</v>
      </c>
      <c r="K411" s="205">
        <v>173</v>
      </c>
      <c r="L411" s="205">
        <v>1</v>
      </c>
      <c r="M411" s="205">
        <v>1</v>
      </c>
      <c r="N411" s="205">
        <v>1</v>
      </c>
    </row>
    <row r="412" spans="1:14" x14ac:dyDescent="0.2">
      <c r="A412" s="204">
        <f t="shared" si="7"/>
        <v>0</v>
      </c>
      <c r="C412" s="204">
        <f t="shared" si="6"/>
        <v>1</v>
      </c>
      <c r="F412" s="205">
        <v>174</v>
      </c>
      <c r="G412" s="205" t="b">
        <v>0</v>
      </c>
      <c r="H412" s="205" t="b">
        <v>0</v>
      </c>
      <c r="I412" s="205" t="b">
        <v>0</v>
      </c>
      <c r="K412" s="205">
        <v>174</v>
      </c>
      <c r="L412" s="205">
        <v>1</v>
      </c>
      <c r="M412" s="205">
        <v>1</v>
      </c>
      <c r="N412" s="205">
        <v>1</v>
      </c>
    </row>
    <row r="413" spans="1:14" x14ac:dyDescent="0.2">
      <c r="A413" s="204">
        <f t="shared" si="7"/>
        <v>0</v>
      </c>
      <c r="C413" s="204">
        <f t="shared" si="6"/>
        <v>1</v>
      </c>
      <c r="F413" s="205">
        <v>175</v>
      </c>
      <c r="G413" s="205" t="b">
        <v>0</v>
      </c>
      <c r="H413" s="205" t="b">
        <v>0</v>
      </c>
      <c r="I413" s="205" t="b">
        <v>0</v>
      </c>
      <c r="K413" s="205">
        <v>175</v>
      </c>
      <c r="L413" s="205">
        <v>1</v>
      </c>
      <c r="M413" s="205">
        <v>1</v>
      </c>
      <c r="N413" s="205">
        <v>1</v>
      </c>
    </row>
    <row r="414" spans="1:14" x14ac:dyDescent="0.2">
      <c r="A414" s="204">
        <f t="shared" si="7"/>
        <v>0</v>
      </c>
      <c r="C414" s="204">
        <f t="shared" si="6"/>
        <v>1</v>
      </c>
      <c r="F414" s="205">
        <v>176</v>
      </c>
      <c r="G414" s="205" t="b">
        <v>0</v>
      </c>
      <c r="H414" s="205" t="b">
        <v>0</v>
      </c>
      <c r="I414" s="205" t="b">
        <v>0</v>
      </c>
      <c r="K414" s="205">
        <v>176</v>
      </c>
      <c r="L414" s="205">
        <v>1</v>
      </c>
      <c r="M414" s="205">
        <v>1</v>
      </c>
      <c r="N414" s="205">
        <v>1</v>
      </c>
    </row>
    <row r="415" spans="1:14" x14ac:dyDescent="0.2">
      <c r="A415" s="204">
        <f t="shared" si="7"/>
        <v>0</v>
      </c>
      <c r="C415" s="204">
        <f t="shared" si="6"/>
        <v>1</v>
      </c>
      <c r="F415" s="205">
        <v>177</v>
      </c>
      <c r="G415" s="205" t="b">
        <v>0</v>
      </c>
      <c r="H415" s="205" t="b">
        <v>0</v>
      </c>
      <c r="I415" s="205" t="b">
        <v>0</v>
      </c>
      <c r="K415" s="205">
        <v>177</v>
      </c>
      <c r="L415" s="205">
        <v>1</v>
      </c>
      <c r="M415" s="205">
        <v>1</v>
      </c>
      <c r="N415" s="205">
        <v>1</v>
      </c>
    </row>
    <row r="416" spans="1:14" x14ac:dyDescent="0.2">
      <c r="A416" s="204">
        <f t="shared" si="7"/>
        <v>0</v>
      </c>
      <c r="C416" s="204">
        <f t="shared" si="6"/>
        <v>1</v>
      </c>
      <c r="F416" s="205">
        <v>178</v>
      </c>
      <c r="G416" s="205" t="b">
        <v>0</v>
      </c>
      <c r="H416" s="205" t="b">
        <v>0</v>
      </c>
      <c r="I416" s="205" t="b">
        <v>0</v>
      </c>
      <c r="K416" s="205">
        <v>178</v>
      </c>
      <c r="L416" s="205">
        <v>1</v>
      </c>
      <c r="M416" s="205">
        <v>1</v>
      </c>
      <c r="N416" s="205">
        <v>1</v>
      </c>
    </row>
    <row r="417" spans="1:14" x14ac:dyDescent="0.2">
      <c r="A417" s="204">
        <f t="shared" si="7"/>
        <v>0</v>
      </c>
      <c r="C417" s="204">
        <f t="shared" si="6"/>
        <v>1</v>
      </c>
      <c r="F417" s="205">
        <v>179</v>
      </c>
      <c r="G417" s="205" t="b">
        <v>0</v>
      </c>
      <c r="H417" s="205" t="b">
        <v>0</v>
      </c>
      <c r="I417" s="205" t="b">
        <v>0</v>
      </c>
      <c r="K417" s="205">
        <v>179</v>
      </c>
      <c r="L417" s="205">
        <v>1</v>
      </c>
      <c r="M417" s="205">
        <v>1</v>
      </c>
      <c r="N417" s="205">
        <v>1</v>
      </c>
    </row>
    <row r="418" spans="1:14" x14ac:dyDescent="0.2">
      <c r="A418" s="204">
        <f t="shared" si="7"/>
        <v>0</v>
      </c>
      <c r="C418" s="204">
        <f t="shared" si="6"/>
        <v>1</v>
      </c>
      <c r="F418" s="205">
        <v>180</v>
      </c>
      <c r="G418" s="205" t="b">
        <v>0</v>
      </c>
      <c r="H418" s="205" t="b">
        <v>0</v>
      </c>
      <c r="I418" s="205" t="b">
        <v>0</v>
      </c>
      <c r="K418" s="205">
        <v>180</v>
      </c>
      <c r="L418" s="205">
        <v>1</v>
      </c>
      <c r="M418" s="205">
        <v>1</v>
      </c>
      <c r="N418" s="205">
        <v>1</v>
      </c>
    </row>
    <row r="419" spans="1:14" x14ac:dyDescent="0.2">
      <c r="A419" s="204">
        <f t="shared" si="7"/>
        <v>0</v>
      </c>
      <c r="C419" s="204">
        <f t="shared" si="6"/>
        <v>1</v>
      </c>
      <c r="F419" s="205">
        <v>181</v>
      </c>
      <c r="G419" s="205" t="b">
        <v>0</v>
      </c>
      <c r="H419" s="205" t="b">
        <v>0</v>
      </c>
      <c r="I419" s="205" t="b">
        <v>0</v>
      </c>
      <c r="K419" s="205">
        <v>181</v>
      </c>
      <c r="L419" s="205">
        <v>1</v>
      </c>
      <c r="M419" s="205">
        <v>1</v>
      </c>
      <c r="N419" s="205">
        <v>1</v>
      </c>
    </row>
    <row r="420" spans="1:14" x14ac:dyDescent="0.2">
      <c r="A420" s="204">
        <f t="shared" si="7"/>
        <v>0</v>
      </c>
      <c r="C420" s="204">
        <f t="shared" si="6"/>
        <v>1</v>
      </c>
      <c r="F420" s="205">
        <v>182</v>
      </c>
      <c r="G420" s="205" t="b">
        <v>0</v>
      </c>
      <c r="H420" s="205" t="b">
        <v>0</v>
      </c>
      <c r="I420" s="205" t="b">
        <v>0</v>
      </c>
      <c r="K420" s="205">
        <v>182</v>
      </c>
      <c r="L420" s="205">
        <v>1</v>
      </c>
      <c r="M420" s="205">
        <v>1</v>
      </c>
      <c r="N420" s="205">
        <v>1</v>
      </c>
    </row>
    <row r="421" spans="1:14" x14ac:dyDescent="0.2">
      <c r="A421" s="204">
        <f t="shared" si="7"/>
        <v>0</v>
      </c>
      <c r="C421" s="204">
        <f t="shared" si="6"/>
        <v>1</v>
      </c>
      <c r="F421" s="205">
        <v>183</v>
      </c>
      <c r="G421" s="205" t="b">
        <v>0</v>
      </c>
      <c r="H421" s="205" t="b">
        <v>0</v>
      </c>
      <c r="I421" s="205" t="b">
        <v>0</v>
      </c>
      <c r="K421" s="205">
        <v>183</v>
      </c>
      <c r="L421" s="205">
        <v>1</v>
      </c>
      <c r="M421" s="205">
        <v>1</v>
      </c>
      <c r="N421" s="205">
        <v>1</v>
      </c>
    </row>
    <row r="422" spans="1:14" x14ac:dyDescent="0.2">
      <c r="A422" s="204">
        <f t="shared" si="7"/>
        <v>0</v>
      </c>
      <c r="C422" s="204">
        <f t="shared" si="6"/>
        <v>1</v>
      </c>
      <c r="F422" s="205">
        <v>184</v>
      </c>
      <c r="G422" s="205" t="b">
        <v>0</v>
      </c>
      <c r="H422" s="205" t="b">
        <v>0</v>
      </c>
      <c r="I422" s="205" t="b">
        <v>0</v>
      </c>
      <c r="K422" s="205">
        <v>184</v>
      </c>
      <c r="L422" s="205">
        <v>1</v>
      </c>
      <c r="M422" s="205">
        <v>1</v>
      </c>
      <c r="N422" s="205">
        <v>1</v>
      </c>
    </row>
    <row r="423" spans="1:14" x14ac:dyDescent="0.2">
      <c r="A423" s="204">
        <f t="shared" si="7"/>
        <v>0</v>
      </c>
      <c r="C423" s="204">
        <f t="shared" si="6"/>
        <v>1</v>
      </c>
      <c r="F423" s="205">
        <v>185</v>
      </c>
      <c r="G423" s="205" t="b">
        <v>0</v>
      </c>
      <c r="H423" s="205" t="b">
        <v>0</v>
      </c>
      <c r="I423" s="205" t="b">
        <v>0</v>
      </c>
      <c r="K423" s="205">
        <v>185</v>
      </c>
      <c r="L423" s="205">
        <v>1</v>
      </c>
      <c r="M423" s="205">
        <v>1</v>
      </c>
      <c r="N423" s="205">
        <v>1</v>
      </c>
    </row>
    <row r="424" spans="1:14" x14ac:dyDescent="0.2">
      <c r="A424" s="204">
        <f t="shared" si="7"/>
        <v>0</v>
      </c>
      <c r="C424" s="204">
        <f t="shared" si="6"/>
        <v>1</v>
      </c>
      <c r="F424" s="205">
        <v>186</v>
      </c>
      <c r="G424" s="205" t="b">
        <v>0</v>
      </c>
      <c r="H424" s="205" t="b">
        <v>0</v>
      </c>
      <c r="I424" s="205" t="b">
        <v>0</v>
      </c>
      <c r="K424" s="205">
        <v>186</v>
      </c>
      <c r="L424" s="205">
        <v>1</v>
      </c>
      <c r="M424" s="205">
        <v>1</v>
      </c>
      <c r="N424" s="205">
        <v>1</v>
      </c>
    </row>
    <row r="425" spans="1:14" x14ac:dyDescent="0.2">
      <c r="A425" s="204">
        <f t="shared" si="7"/>
        <v>0</v>
      </c>
      <c r="C425" s="204">
        <f t="shared" si="6"/>
        <v>1</v>
      </c>
      <c r="F425" s="205">
        <v>187</v>
      </c>
      <c r="G425" s="205" t="b">
        <v>0</v>
      </c>
      <c r="H425" s="205" t="b">
        <v>0</v>
      </c>
      <c r="I425" s="205" t="b">
        <v>0</v>
      </c>
      <c r="K425" s="205">
        <v>187</v>
      </c>
      <c r="L425" s="205">
        <v>1</v>
      </c>
      <c r="M425" s="205">
        <v>1</v>
      </c>
      <c r="N425" s="205">
        <v>1</v>
      </c>
    </row>
    <row r="426" spans="1:14" x14ac:dyDescent="0.2">
      <c r="A426" s="204">
        <f t="shared" si="7"/>
        <v>0</v>
      </c>
      <c r="C426" s="204">
        <f t="shared" si="6"/>
        <v>1</v>
      </c>
      <c r="F426" s="205">
        <v>188</v>
      </c>
      <c r="G426" s="205" t="b">
        <v>0</v>
      </c>
      <c r="H426" s="205" t="b">
        <v>0</v>
      </c>
      <c r="I426" s="205" t="b">
        <v>0</v>
      </c>
      <c r="K426" s="205">
        <v>188</v>
      </c>
      <c r="L426" s="205">
        <v>1</v>
      </c>
      <c r="M426" s="205">
        <v>1</v>
      </c>
      <c r="N426" s="205">
        <v>1</v>
      </c>
    </row>
    <row r="427" spans="1:14" x14ac:dyDescent="0.2">
      <c r="A427" s="204">
        <f t="shared" si="7"/>
        <v>0</v>
      </c>
      <c r="C427" s="204">
        <f t="shared" si="6"/>
        <v>1</v>
      </c>
      <c r="F427" s="205">
        <v>189</v>
      </c>
      <c r="G427" s="205" t="b">
        <v>0</v>
      </c>
      <c r="H427" s="205" t="b">
        <v>0</v>
      </c>
      <c r="I427" s="205" t="b">
        <v>0</v>
      </c>
      <c r="K427" s="205">
        <v>189</v>
      </c>
      <c r="L427" s="205">
        <v>1</v>
      </c>
      <c r="M427" s="205">
        <v>1</v>
      </c>
      <c r="N427" s="205">
        <v>1</v>
      </c>
    </row>
    <row r="428" spans="1:14" x14ac:dyDescent="0.2">
      <c r="A428" s="204">
        <f t="shared" si="7"/>
        <v>0</v>
      </c>
      <c r="C428" s="204">
        <f t="shared" si="6"/>
        <v>1</v>
      </c>
      <c r="F428" s="205">
        <v>190</v>
      </c>
      <c r="G428" s="205" t="b">
        <v>0</v>
      </c>
      <c r="H428" s="205" t="b">
        <v>0</v>
      </c>
      <c r="I428" s="205" t="b">
        <v>0</v>
      </c>
      <c r="K428" s="205">
        <v>190</v>
      </c>
      <c r="L428" s="205">
        <v>1</v>
      </c>
      <c r="M428" s="205">
        <v>1</v>
      </c>
      <c r="N428" s="205">
        <v>1</v>
      </c>
    </row>
    <row r="429" spans="1:14" x14ac:dyDescent="0.2">
      <c r="A429" s="204">
        <f t="shared" si="7"/>
        <v>0</v>
      </c>
      <c r="C429" s="204">
        <f t="shared" si="6"/>
        <v>1</v>
      </c>
      <c r="F429" s="205">
        <v>191</v>
      </c>
      <c r="G429" s="205" t="b">
        <v>0</v>
      </c>
      <c r="H429" s="205" t="b">
        <v>0</v>
      </c>
      <c r="I429" s="205" t="b">
        <v>0</v>
      </c>
      <c r="K429" s="205">
        <v>191</v>
      </c>
      <c r="L429" s="205">
        <v>1</v>
      </c>
      <c r="M429" s="205">
        <v>1</v>
      </c>
      <c r="N429" s="205">
        <v>1</v>
      </c>
    </row>
    <row r="430" spans="1:14" x14ac:dyDescent="0.2">
      <c r="A430" s="204">
        <f t="shared" si="7"/>
        <v>0</v>
      </c>
      <c r="C430" s="204">
        <f t="shared" si="6"/>
        <v>1</v>
      </c>
      <c r="F430" s="205">
        <v>192</v>
      </c>
      <c r="G430" s="205" t="b">
        <v>0</v>
      </c>
      <c r="H430" s="205" t="b">
        <v>0</v>
      </c>
      <c r="I430" s="205" t="b">
        <v>0</v>
      </c>
      <c r="K430" s="205">
        <v>192</v>
      </c>
      <c r="L430" s="205">
        <v>1</v>
      </c>
      <c r="M430" s="205">
        <v>1</v>
      </c>
      <c r="N430" s="205">
        <v>1</v>
      </c>
    </row>
    <row r="431" spans="1:14" x14ac:dyDescent="0.2">
      <c r="A431" s="204">
        <f t="shared" si="7"/>
        <v>0</v>
      </c>
      <c r="C431" s="204">
        <f t="shared" si="6"/>
        <v>1</v>
      </c>
      <c r="F431" s="205">
        <v>193</v>
      </c>
      <c r="G431" s="205" t="b">
        <v>0</v>
      </c>
      <c r="H431" s="205" t="b">
        <v>0</v>
      </c>
      <c r="I431" s="205" t="b">
        <v>0</v>
      </c>
      <c r="K431" s="205">
        <v>193</v>
      </c>
      <c r="L431" s="205">
        <v>1</v>
      </c>
      <c r="M431" s="205">
        <v>1</v>
      </c>
      <c r="N431" s="205">
        <v>1</v>
      </c>
    </row>
    <row r="432" spans="1:14" x14ac:dyDescent="0.2">
      <c r="A432" s="204">
        <f t="shared" si="7"/>
        <v>0</v>
      </c>
      <c r="C432" s="204">
        <f t="shared" si="6"/>
        <v>1</v>
      </c>
      <c r="F432" s="205">
        <v>194</v>
      </c>
      <c r="G432" s="205" t="b">
        <v>0</v>
      </c>
      <c r="H432" s="205" t="b">
        <v>0</v>
      </c>
      <c r="I432" s="205" t="b">
        <v>0</v>
      </c>
      <c r="K432" s="205">
        <v>194</v>
      </c>
      <c r="L432" s="205">
        <v>1</v>
      </c>
      <c r="M432" s="205">
        <v>1</v>
      </c>
      <c r="N432" s="205">
        <v>1</v>
      </c>
    </row>
    <row r="433" spans="1:201" x14ac:dyDescent="0.2">
      <c r="A433" s="204">
        <f t="shared" si="7"/>
        <v>0</v>
      </c>
      <c r="C433" s="204">
        <f t="shared" si="6"/>
        <v>1</v>
      </c>
      <c r="F433" s="205">
        <v>195</v>
      </c>
      <c r="G433" s="205" t="b">
        <v>0</v>
      </c>
      <c r="H433" s="205" t="b">
        <v>0</v>
      </c>
      <c r="I433" s="205" t="b">
        <v>0</v>
      </c>
      <c r="K433" s="205">
        <v>195</v>
      </c>
      <c r="L433" s="205">
        <v>1</v>
      </c>
      <c r="M433" s="205">
        <v>1</v>
      </c>
      <c r="N433" s="205">
        <v>1</v>
      </c>
    </row>
    <row r="434" spans="1:201" x14ac:dyDescent="0.2">
      <c r="A434" s="204">
        <f t="shared" si="7"/>
        <v>0</v>
      </c>
      <c r="C434" s="204">
        <f t="shared" ref="C434:C438" si="8">IF($T$41,L434,1)</f>
        <v>1</v>
      </c>
      <c r="F434" s="205">
        <v>196</v>
      </c>
      <c r="G434" s="205" t="b">
        <v>0</v>
      </c>
      <c r="H434" s="205" t="b">
        <v>0</v>
      </c>
      <c r="I434" s="205" t="b">
        <v>0</v>
      </c>
      <c r="K434" s="205">
        <v>196</v>
      </c>
      <c r="L434" s="205">
        <v>1</v>
      </c>
      <c r="M434" s="205">
        <v>1</v>
      </c>
      <c r="N434" s="205">
        <v>1</v>
      </c>
    </row>
    <row r="435" spans="1:201" x14ac:dyDescent="0.2">
      <c r="A435" s="204">
        <f t="shared" ref="A435:A438" si="9">IF(G435,1,0)</f>
        <v>0</v>
      </c>
      <c r="C435" s="204">
        <f t="shared" si="8"/>
        <v>1</v>
      </c>
      <c r="F435" s="205">
        <v>197</v>
      </c>
      <c r="G435" s="205" t="b">
        <v>0</v>
      </c>
      <c r="H435" s="205" t="b">
        <v>0</v>
      </c>
      <c r="I435" s="205" t="b">
        <v>0</v>
      </c>
      <c r="K435" s="205">
        <v>197</v>
      </c>
      <c r="L435" s="205">
        <v>1</v>
      </c>
      <c r="M435" s="205">
        <v>1</v>
      </c>
      <c r="N435" s="205">
        <v>1</v>
      </c>
    </row>
    <row r="436" spans="1:201" x14ac:dyDescent="0.2">
      <c r="A436" s="204">
        <f t="shared" si="9"/>
        <v>0</v>
      </c>
      <c r="C436" s="204">
        <f t="shared" si="8"/>
        <v>1</v>
      </c>
      <c r="F436" s="205">
        <v>198</v>
      </c>
      <c r="G436" s="205" t="b">
        <v>0</v>
      </c>
      <c r="H436" s="205" t="b">
        <v>0</v>
      </c>
      <c r="I436" s="205" t="b">
        <v>0</v>
      </c>
      <c r="K436" s="205">
        <v>198</v>
      </c>
      <c r="L436" s="205">
        <v>1</v>
      </c>
      <c r="M436" s="205">
        <v>1</v>
      </c>
      <c r="N436" s="205">
        <v>1</v>
      </c>
    </row>
    <row r="437" spans="1:201" x14ac:dyDescent="0.2">
      <c r="A437" s="204">
        <f t="shared" si="9"/>
        <v>0</v>
      </c>
      <c r="C437" s="204">
        <f t="shared" si="8"/>
        <v>1</v>
      </c>
      <c r="F437" s="205">
        <v>199</v>
      </c>
      <c r="G437" s="205" t="b">
        <v>0</v>
      </c>
      <c r="H437" s="205" t="b">
        <v>0</v>
      </c>
      <c r="I437" s="205" t="b">
        <v>0</v>
      </c>
      <c r="K437" s="205">
        <v>199</v>
      </c>
      <c r="L437" s="205">
        <v>1</v>
      </c>
      <c r="M437" s="205">
        <v>1</v>
      </c>
      <c r="N437" s="205">
        <v>1</v>
      </c>
    </row>
    <row r="438" spans="1:201" x14ac:dyDescent="0.2">
      <c r="A438" s="204">
        <f t="shared" si="9"/>
        <v>0</v>
      </c>
      <c r="C438" s="204">
        <f t="shared" si="8"/>
        <v>1</v>
      </c>
      <c r="F438" s="205">
        <v>200</v>
      </c>
      <c r="G438" s="205" t="b">
        <v>0</v>
      </c>
      <c r="H438" s="205" t="b">
        <v>0</v>
      </c>
      <c r="I438" s="205" t="b">
        <v>0</v>
      </c>
      <c r="K438" s="205">
        <v>200</v>
      </c>
      <c r="L438" s="205">
        <v>1</v>
      </c>
      <c r="M438" s="205">
        <v>1</v>
      </c>
      <c r="N438" s="205">
        <v>1</v>
      </c>
    </row>
    <row r="440" spans="1:201" x14ac:dyDescent="0.2">
      <c r="A440" s="204" t="s">
        <v>133</v>
      </c>
      <c r="B440" s="204">
        <f>IF(G239,1,0)</f>
        <v>0</v>
      </c>
      <c r="C440" s="204">
        <f>IF(G240,1,0)</f>
        <v>0</v>
      </c>
      <c r="D440" s="204">
        <f>IF(G241,1,0)</f>
        <v>0</v>
      </c>
      <c r="E440" s="204">
        <f>IF(G242,1,0)</f>
        <v>0</v>
      </c>
      <c r="F440" s="204">
        <f>IF(G243,1,0)</f>
        <v>0</v>
      </c>
      <c r="G440" s="204">
        <f>IF(G244,1,0)</f>
        <v>0</v>
      </c>
      <c r="H440" s="204">
        <f>IF(G245,1,0)</f>
        <v>0</v>
      </c>
      <c r="I440" s="204">
        <f>IF(G246,1,0)</f>
        <v>0</v>
      </c>
      <c r="J440" s="204">
        <f>IF(G247,1,0)</f>
        <v>0</v>
      </c>
      <c r="K440" s="204">
        <f>IF(G248,1,0)</f>
        <v>0</v>
      </c>
      <c r="L440" s="204">
        <f>IF(G249,1,0)</f>
        <v>0</v>
      </c>
      <c r="M440" s="204">
        <f>IF(G250,1,0)</f>
        <v>0</v>
      </c>
      <c r="N440" s="204">
        <f>IF(G251,1,0)</f>
        <v>0</v>
      </c>
      <c r="O440" s="204">
        <f>IF(G252,1,0)</f>
        <v>0</v>
      </c>
      <c r="P440" s="204">
        <f>IF(G253,1,0)</f>
        <v>0</v>
      </c>
      <c r="Q440" s="204">
        <f>IF(G254,1,0)</f>
        <v>0</v>
      </c>
      <c r="R440" s="204">
        <f>IF(G255,1,0)</f>
        <v>0</v>
      </c>
      <c r="S440" s="204">
        <f>IF(G256,1,0)</f>
        <v>0</v>
      </c>
      <c r="T440" s="204">
        <f>IF(G257,1,0)</f>
        <v>0</v>
      </c>
      <c r="U440" s="204">
        <f>IF(G258,1,0)</f>
        <v>0</v>
      </c>
      <c r="V440" s="204">
        <f>IF(G259,1,0)</f>
        <v>0</v>
      </c>
      <c r="W440" s="204">
        <f>IF(G260,1,0)</f>
        <v>0</v>
      </c>
      <c r="X440" s="204">
        <f>IF(G261,1,0)</f>
        <v>0</v>
      </c>
      <c r="Y440" s="204">
        <f>IF(G262,1,0)</f>
        <v>0</v>
      </c>
      <c r="Z440" s="204">
        <f>IF(G263,1,0)</f>
        <v>0</v>
      </c>
      <c r="AA440" s="204">
        <f>IF(G264,1,0)</f>
        <v>0</v>
      </c>
      <c r="AB440" s="204">
        <f>IF(G265,1,0)</f>
        <v>0</v>
      </c>
      <c r="AC440" s="204">
        <f>IF(G266,1,0)</f>
        <v>0</v>
      </c>
      <c r="AD440" s="204">
        <f>IF(G267,1,0)</f>
        <v>0</v>
      </c>
      <c r="AE440" s="204">
        <f>IF(G268,1,0)</f>
        <v>0</v>
      </c>
      <c r="AF440" s="204">
        <f>IF(G269,1,0)</f>
        <v>0</v>
      </c>
      <c r="AG440" s="204">
        <f>IF(G270,1,0)</f>
        <v>0</v>
      </c>
      <c r="AH440" s="204">
        <f>IF(G271,1,0)</f>
        <v>0</v>
      </c>
      <c r="AI440" s="204">
        <f>IF(G272,1,0)</f>
        <v>0</v>
      </c>
      <c r="AJ440" s="204">
        <f>IF(G273,1,0)</f>
        <v>0</v>
      </c>
      <c r="AK440" s="204">
        <f>IF(G274,1,0)</f>
        <v>0</v>
      </c>
      <c r="AL440" s="204">
        <f>IF(G275,1,0)</f>
        <v>0</v>
      </c>
      <c r="AM440" s="204">
        <f>IF(G276,1,0)</f>
        <v>0</v>
      </c>
      <c r="AN440" s="204">
        <f>IF(G277,1,0)</f>
        <v>0</v>
      </c>
      <c r="AO440" s="204">
        <f>IF(G278,1,0)</f>
        <v>0</v>
      </c>
      <c r="AP440" s="204">
        <f>IF(G279,1,0)</f>
        <v>0</v>
      </c>
      <c r="AQ440" s="204">
        <f>IF(G280,1,0)</f>
        <v>0</v>
      </c>
      <c r="AR440" s="204">
        <f>IF(G281,1,0)</f>
        <v>0</v>
      </c>
      <c r="AS440" s="204">
        <f>IF(G282,1,0)</f>
        <v>0</v>
      </c>
      <c r="AT440" s="204">
        <f>IF(G283,1,0)</f>
        <v>0</v>
      </c>
      <c r="AU440" s="204">
        <f>IF(G284,1,0)</f>
        <v>0</v>
      </c>
      <c r="AV440" s="204">
        <f>IF(G285,1,0)</f>
        <v>0</v>
      </c>
      <c r="AW440" s="204">
        <f>IF(G286,1,0)</f>
        <v>0</v>
      </c>
      <c r="AX440" s="204">
        <f>IF(G287,1,0)</f>
        <v>0</v>
      </c>
      <c r="AY440" s="204">
        <f>IF(G288,1,0)</f>
        <v>0</v>
      </c>
      <c r="AZ440" s="204">
        <f>IF(G289,1,0)</f>
        <v>0</v>
      </c>
      <c r="BA440" s="204">
        <f>IF(G290,1,0)</f>
        <v>0</v>
      </c>
      <c r="BB440" s="204">
        <f>IF(G291,1,0)</f>
        <v>0</v>
      </c>
      <c r="BC440" s="204">
        <f>IF(G292,1,0)</f>
        <v>0</v>
      </c>
      <c r="BD440" s="204">
        <f>IF(G293,1,0)</f>
        <v>0</v>
      </c>
      <c r="BE440" s="204">
        <f>IF(G294,1,0)</f>
        <v>0</v>
      </c>
      <c r="BF440" s="204">
        <f>IF(G295,1,0)</f>
        <v>0</v>
      </c>
      <c r="BG440" s="204">
        <f>IF(G296,1,0)</f>
        <v>0</v>
      </c>
      <c r="BH440" s="204">
        <f>IF(G297,1,0)</f>
        <v>0</v>
      </c>
      <c r="BI440" s="204">
        <f>IF(G298,1,0)</f>
        <v>0</v>
      </c>
      <c r="BJ440" s="204">
        <f>IF(G299,1,0)</f>
        <v>0</v>
      </c>
      <c r="BK440" s="204">
        <f>IF(G300,1,0)</f>
        <v>0</v>
      </c>
      <c r="BL440" s="204">
        <f>IF(G301,1,0)</f>
        <v>0</v>
      </c>
      <c r="BM440" s="204">
        <f>IF(G302,1,0)</f>
        <v>0</v>
      </c>
      <c r="BN440" s="204">
        <f>IF(G303,1,0)</f>
        <v>0</v>
      </c>
      <c r="BO440" s="204">
        <f>IF(G304,1,0)</f>
        <v>0</v>
      </c>
      <c r="BP440" s="204">
        <f>IF(G305,1,0)</f>
        <v>0</v>
      </c>
      <c r="BQ440" s="204">
        <f>IF(G306,1,0)</f>
        <v>0</v>
      </c>
      <c r="BR440" s="204">
        <f>IF(G307,1,0)</f>
        <v>0</v>
      </c>
      <c r="BS440" s="204">
        <f>IF(G308,1,0)</f>
        <v>0</v>
      </c>
      <c r="BT440" s="204">
        <f>IF(G309,1,0)</f>
        <v>0</v>
      </c>
      <c r="BU440" s="204">
        <f>IF(G310,1,0)</f>
        <v>0</v>
      </c>
      <c r="BV440" s="204">
        <f>IF(G311,1,0)</f>
        <v>0</v>
      </c>
      <c r="BW440" s="204">
        <f>IF(G312,1,0)</f>
        <v>0</v>
      </c>
      <c r="BX440" s="204">
        <f>IF(G313,1,0)</f>
        <v>0</v>
      </c>
      <c r="BY440" s="204">
        <f>IF(G314,1,0)</f>
        <v>0</v>
      </c>
      <c r="BZ440" s="204">
        <f>IF(G315,1,0)</f>
        <v>0</v>
      </c>
      <c r="CA440" s="204">
        <f>IF(G316,1,0)</f>
        <v>0</v>
      </c>
      <c r="CB440" s="204">
        <f>IF(G317,1,0)</f>
        <v>0</v>
      </c>
      <c r="CC440" s="204">
        <f>IF(G318,1,0)</f>
        <v>0</v>
      </c>
      <c r="CD440" s="204">
        <f>IF(G319,1,0)</f>
        <v>0</v>
      </c>
      <c r="CE440" s="204">
        <f>IF(G320,1,0)</f>
        <v>0</v>
      </c>
      <c r="CF440" s="204">
        <f>IF(G321,1,0)</f>
        <v>0</v>
      </c>
      <c r="CG440" s="204">
        <f>IF(G322,1,0)</f>
        <v>0</v>
      </c>
      <c r="CH440" s="204">
        <f>IF(G323,1,0)</f>
        <v>0</v>
      </c>
      <c r="CI440" s="204">
        <f>IF(G324,1,0)</f>
        <v>0</v>
      </c>
      <c r="CJ440" s="204">
        <f>IF(G325,1,0)</f>
        <v>0</v>
      </c>
      <c r="CK440" s="204">
        <f>IF(G326,1,0)</f>
        <v>0</v>
      </c>
      <c r="CL440" s="204">
        <f>IF(G327,1,0)</f>
        <v>0</v>
      </c>
      <c r="CM440" s="204">
        <f>IF(G328,1,0)</f>
        <v>0</v>
      </c>
      <c r="CN440" s="204">
        <f>IF(G329,1,0)</f>
        <v>0</v>
      </c>
      <c r="CO440" s="204">
        <f>IF(G330,1,0)</f>
        <v>0</v>
      </c>
      <c r="CP440" s="204">
        <f>IF(G331,1,0)</f>
        <v>0</v>
      </c>
      <c r="CQ440" s="204">
        <f>IF(G332,1,0)</f>
        <v>0</v>
      </c>
      <c r="CR440" s="204">
        <f>IF(G333,1,0)</f>
        <v>0</v>
      </c>
      <c r="CS440" s="204">
        <f>IF(G334,1,0)</f>
        <v>0</v>
      </c>
      <c r="CT440" s="204">
        <f>IF(G335,1,0)</f>
        <v>0</v>
      </c>
      <c r="CU440" s="204">
        <f>IF(G336,1,0)</f>
        <v>0</v>
      </c>
      <c r="CV440" s="204">
        <f>IF(G337,1,0)</f>
        <v>0</v>
      </c>
      <c r="CW440" s="204">
        <f>IF(G338,1,0)</f>
        <v>0</v>
      </c>
      <c r="CX440" s="204">
        <f>IF(G339,1,0)</f>
        <v>0</v>
      </c>
      <c r="CY440" s="204">
        <f>IF(G340,1,0)</f>
        <v>0</v>
      </c>
      <c r="CZ440" s="204">
        <f>IF(G341,1,0)</f>
        <v>0</v>
      </c>
      <c r="DA440" s="204">
        <f>IF(G342,1,0)</f>
        <v>0</v>
      </c>
      <c r="DB440" s="204">
        <f>IF(G343,1,0)</f>
        <v>0</v>
      </c>
      <c r="DC440" s="204">
        <f>IF(G344,1,0)</f>
        <v>0</v>
      </c>
      <c r="DD440" s="204">
        <f>IF(G345,1,0)</f>
        <v>0</v>
      </c>
      <c r="DE440" s="204">
        <f>IF(G346,1,0)</f>
        <v>0</v>
      </c>
      <c r="DF440" s="204">
        <f>IF(G347,1,0)</f>
        <v>0</v>
      </c>
      <c r="DG440" s="204">
        <f>IF(G348,1,0)</f>
        <v>0</v>
      </c>
      <c r="DH440" s="204">
        <f>IF(G349,1,0)</f>
        <v>0</v>
      </c>
      <c r="DI440" s="204">
        <f>IF(G350,1,0)</f>
        <v>0</v>
      </c>
      <c r="DJ440" s="204">
        <f>IF(G351,1,0)</f>
        <v>0</v>
      </c>
      <c r="DK440" s="204">
        <f>IF(G352,1,0)</f>
        <v>0</v>
      </c>
      <c r="DL440" s="204">
        <f>IF(G353,1,0)</f>
        <v>0</v>
      </c>
      <c r="DM440" s="204">
        <f>IF(G354,1,0)</f>
        <v>0</v>
      </c>
      <c r="DN440" s="204">
        <f>IF(G355,1,0)</f>
        <v>0</v>
      </c>
      <c r="DO440" s="204">
        <f>IF(G356,1,0)</f>
        <v>0</v>
      </c>
      <c r="DP440" s="204">
        <f>IF(G357,1,0)</f>
        <v>0</v>
      </c>
      <c r="DQ440" s="204">
        <f>IF(G358,1,0)</f>
        <v>0</v>
      </c>
      <c r="DR440" s="204">
        <f>IF(G359,1,0)</f>
        <v>0</v>
      </c>
      <c r="DS440" s="204">
        <f>IF(G360,1,0)</f>
        <v>0</v>
      </c>
      <c r="DT440" s="204">
        <f>IF(G361,1,0)</f>
        <v>0</v>
      </c>
      <c r="DU440" s="204">
        <f>IF(G362,1,0)</f>
        <v>0</v>
      </c>
      <c r="DV440" s="204">
        <f>IF(G363,1,0)</f>
        <v>0</v>
      </c>
      <c r="DW440" s="204">
        <f>IF(G364,1,0)</f>
        <v>0</v>
      </c>
      <c r="DX440" s="204">
        <f>IF(G365,1,0)</f>
        <v>0</v>
      </c>
      <c r="DY440" s="204">
        <f>IF(G366,1,0)</f>
        <v>0</v>
      </c>
      <c r="DZ440" s="204">
        <f>IF(G367,1,0)</f>
        <v>0</v>
      </c>
      <c r="EA440" s="204">
        <f>IF(G368,1,0)</f>
        <v>0</v>
      </c>
      <c r="EB440" s="204">
        <f>IF(G369,1,0)</f>
        <v>0</v>
      </c>
      <c r="EC440" s="204">
        <f>IF(G370,1,0)</f>
        <v>0</v>
      </c>
      <c r="ED440" s="204">
        <f>IF(G371,1,0)</f>
        <v>0</v>
      </c>
      <c r="EE440" s="204">
        <f>IF(G372,1,0)</f>
        <v>0</v>
      </c>
      <c r="EF440" s="204">
        <f>IF(G373,1,0)</f>
        <v>0</v>
      </c>
      <c r="EG440" s="204">
        <f>IF(G374,1,0)</f>
        <v>0</v>
      </c>
      <c r="EH440" s="204">
        <f>IF(G375,1,0)</f>
        <v>0</v>
      </c>
      <c r="EI440" s="204">
        <f>IF(G376,1,0)</f>
        <v>0</v>
      </c>
      <c r="EJ440" s="204">
        <f>IF(G377,1,0)</f>
        <v>0</v>
      </c>
      <c r="EK440" s="204">
        <f>IF(G378,1,0)</f>
        <v>0</v>
      </c>
      <c r="EL440" s="204">
        <f>IF(G379,1,0)</f>
        <v>0</v>
      </c>
      <c r="EM440" s="204">
        <f>IF(G380,1,0)</f>
        <v>0</v>
      </c>
      <c r="EN440" s="204">
        <f>IF(G381,1,0)</f>
        <v>0</v>
      </c>
      <c r="EO440" s="204">
        <f>IF(G382,1,0)</f>
        <v>0</v>
      </c>
      <c r="EP440" s="204">
        <f>IF(G383,1,0)</f>
        <v>0</v>
      </c>
      <c r="EQ440" s="204">
        <f>IF(G384,1,0)</f>
        <v>0</v>
      </c>
      <c r="ER440" s="204">
        <f>IF(G385,1,0)</f>
        <v>0</v>
      </c>
      <c r="ES440" s="204">
        <f>IF(G386,1,0)</f>
        <v>0</v>
      </c>
      <c r="ET440" s="204">
        <f>IF(G387,1,0)</f>
        <v>0</v>
      </c>
      <c r="EU440" s="204">
        <f>IF(G388,1,0)</f>
        <v>0</v>
      </c>
      <c r="EV440" s="204">
        <f>IF(G389,1,0)</f>
        <v>0</v>
      </c>
      <c r="EW440" s="204">
        <f>IF(G390,1,0)</f>
        <v>0</v>
      </c>
      <c r="EX440" s="204">
        <f>IF(G391,1,0)</f>
        <v>0</v>
      </c>
      <c r="EY440" s="204">
        <f>IF(G392,1,0)</f>
        <v>0</v>
      </c>
      <c r="EZ440" s="204">
        <f>IF(G393,1,0)</f>
        <v>0</v>
      </c>
      <c r="FA440" s="204">
        <f>IF(G394,1,0)</f>
        <v>0</v>
      </c>
      <c r="FB440" s="204">
        <f>IF(G395,1,0)</f>
        <v>0</v>
      </c>
      <c r="FC440" s="204">
        <f>IF(G396,1,0)</f>
        <v>0</v>
      </c>
      <c r="FD440" s="204">
        <f>IF(G397,1,0)</f>
        <v>0</v>
      </c>
      <c r="FE440" s="204">
        <f>IF(G398,1,0)</f>
        <v>0</v>
      </c>
      <c r="FF440" s="204">
        <f>IF(G399,1,0)</f>
        <v>0</v>
      </c>
      <c r="FG440" s="204">
        <f>IF(G400,1,0)</f>
        <v>0</v>
      </c>
      <c r="FH440" s="204">
        <f>IF(G401,1,0)</f>
        <v>0</v>
      </c>
      <c r="FI440" s="204">
        <f>IF(G402,1,0)</f>
        <v>0</v>
      </c>
      <c r="FJ440" s="204">
        <f>IF(G403,1,0)</f>
        <v>0</v>
      </c>
      <c r="FK440" s="204">
        <f>IF(G404,1,0)</f>
        <v>0</v>
      </c>
      <c r="FL440" s="204">
        <f>IF(G405,1,0)</f>
        <v>0</v>
      </c>
      <c r="FM440" s="204">
        <f>IF(G406,1,0)</f>
        <v>0</v>
      </c>
      <c r="FN440" s="204">
        <f>IF(G407,1,0)</f>
        <v>0</v>
      </c>
      <c r="FO440" s="204">
        <f>IF(G408,1,0)</f>
        <v>0</v>
      </c>
      <c r="FP440" s="204">
        <f>IF(G409,1,0)</f>
        <v>0</v>
      </c>
      <c r="FQ440" s="204">
        <f>IF(G410,1,0)</f>
        <v>0</v>
      </c>
      <c r="FR440" s="204">
        <f>IF(G411,1,0)</f>
        <v>0</v>
      </c>
      <c r="FS440" s="204">
        <f>IF(G412,1,0)</f>
        <v>0</v>
      </c>
      <c r="FT440" s="204">
        <f>IF(G413,1,0)</f>
        <v>0</v>
      </c>
      <c r="FU440" s="204">
        <f>IF(G414,1,0)</f>
        <v>0</v>
      </c>
      <c r="FV440" s="204">
        <f>IF(G415,1,0)</f>
        <v>0</v>
      </c>
      <c r="FW440" s="204">
        <f>IF(G416,1,0)</f>
        <v>0</v>
      </c>
      <c r="FX440" s="204">
        <f>IF(G417,1,0)</f>
        <v>0</v>
      </c>
      <c r="FY440" s="204">
        <f>IF(G418,1,0)</f>
        <v>0</v>
      </c>
      <c r="FZ440" s="204">
        <f>IF(G419,1,0)</f>
        <v>0</v>
      </c>
      <c r="GA440" s="204">
        <f>IF(G420,1,0)</f>
        <v>0</v>
      </c>
      <c r="GB440" s="204">
        <f>IF(G421,1,0)</f>
        <v>0</v>
      </c>
      <c r="GC440" s="204">
        <f>IF(G422,1,0)</f>
        <v>0</v>
      </c>
      <c r="GD440" s="204">
        <f>IF(G423,1,0)</f>
        <v>0</v>
      </c>
      <c r="GE440" s="204">
        <f>IF(G424,1,0)</f>
        <v>0</v>
      </c>
      <c r="GF440" s="204">
        <f>IF(G425,1,0)</f>
        <v>0</v>
      </c>
      <c r="GG440" s="204">
        <f>IF(G426,1,0)</f>
        <v>0</v>
      </c>
      <c r="GH440" s="204">
        <f>IF(G427,1,0)</f>
        <v>0</v>
      </c>
      <c r="GI440" s="204">
        <f>IF(G428,1,0)</f>
        <v>0</v>
      </c>
      <c r="GJ440" s="204">
        <f>IF(G429,1,0)</f>
        <v>0</v>
      </c>
      <c r="GK440" s="204">
        <f>IF(G430,1,0)</f>
        <v>0</v>
      </c>
      <c r="GL440" s="204">
        <f>IF(G431,1,0)</f>
        <v>0</v>
      </c>
      <c r="GM440" s="204">
        <f>IF(G432,1,0)</f>
        <v>0</v>
      </c>
      <c r="GN440" s="204">
        <f>IF(G433,1,0)</f>
        <v>0</v>
      </c>
      <c r="GO440" s="204">
        <f>IF(G434,1,0)</f>
        <v>0</v>
      </c>
      <c r="GP440" s="204">
        <f>IF(G435,1,0)</f>
        <v>0</v>
      </c>
      <c r="GQ440" s="204">
        <f>IF(G436,1,0)</f>
        <v>0</v>
      </c>
      <c r="GR440" s="204">
        <f>IF(G437,1,0)</f>
        <v>0</v>
      </c>
      <c r="GS440" s="204">
        <f>IF(G438,1,0)</f>
        <v>0</v>
      </c>
    </row>
    <row r="442" spans="1:201" x14ac:dyDescent="0.2">
      <c r="A442" s="204" t="s">
        <v>131</v>
      </c>
      <c r="B442" s="204">
        <f>IF($T$41,L239,1)</f>
        <v>1</v>
      </c>
      <c r="C442" s="204">
        <f>IF($T$41,L240,1)</f>
        <v>1</v>
      </c>
      <c r="D442" s="204">
        <f>IF($T$41,L241,1)</f>
        <v>1</v>
      </c>
      <c r="E442" s="204">
        <f>IF($T$41,L242,1)</f>
        <v>1</v>
      </c>
      <c r="F442" s="204">
        <f>IF($T$41,L243,1)</f>
        <v>1</v>
      </c>
      <c r="G442" s="204">
        <f>IF($T$41,L244,1)</f>
        <v>1</v>
      </c>
      <c r="H442" s="204">
        <f>IF($T$41,L245,1)</f>
        <v>1</v>
      </c>
      <c r="I442" s="204">
        <f>IF($T$41,L246,1)</f>
        <v>1</v>
      </c>
      <c r="J442" s="204">
        <f>IF($T$41,L247,1)</f>
        <v>1</v>
      </c>
      <c r="K442" s="204">
        <f>IF($T$41,L248,1)</f>
        <v>1</v>
      </c>
      <c r="L442" s="204">
        <f>IF($T$41,L249,1)</f>
        <v>1</v>
      </c>
      <c r="M442" s="204">
        <f>IF($T$41,L250,1)</f>
        <v>1</v>
      </c>
      <c r="N442" s="204">
        <f>IF($T$41,L251,1)</f>
        <v>1</v>
      </c>
      <c r="O442" s="204">
        <f>IF($T$41,L252,1)</f>
        <v>1</v>
      </c>
      <c r="P442" s="204">
        <f>IF($T$41,L253,1)</f>
        <v>1</v>
      </c>
      <c r="Q442" s="204">
        <f>IF($T$41,L254,1)</f>
        <v>1</v>
      </c>
      <c r="R442" s="204">
        <f>IF($T$41,L255,1)</f>
        <v>1</v>
      </c>
      <c r="S442" s="204">
        <f>IF($T$41,L256,1)</f>
        <v>1</v>
      </c>
      <c r="T442" s="204">
        <f>IF($T$41,L257,1)</f>
        <v>1</v>
      </c>
      <c r="U442" s="204">
        <f>IF($T$41,L258,1)</f>
        <v>1</v>
      </c>
      <c r="V442" s="204">
        <f>IF($T$41,L259,1)</f>
        <v>1</v>
      </c>
      <c r="W442" s="204">
        <f>IF($T$41,L260,1)</f>
        <v>1</v>
      </c>
      <c r="X442" s="204">
        <f>IF($T$41,L261,1)</f>
        <v>1</v>
      </c>
      <c r="Y442" s="204">
        <f>IF($T$41,L262,1)</f>
        <v>1</v>
      </c>
      <c r="Z442" s="204">
        <f>IF($T$41,L263,1)</f>
        <v>1</v>
      </c>
      <c r="AA442" s="204">
        <f>IF($T$41,L264,1)</f>
        <v>1</v>
      </c>
      <c r="AB442" s="204">
        <f>IF($T$41,L265,1)</f>
        <v>1</v>
      </c>
      <c r="AC442" s="204">
        <f>IF($T$41,L266,1)</f>
        <v>1</v>
      </c>
      <c r="AD442" s="204">
        <f>IF($T$41,L267,1)</f>
        <v>1</v>
      </c>
      <c r="AE442" s="204">
        <f>IF($T$41,L268,1)</f>
        <v>1</v>
      </c>
      <c r="AF442" s="204">
        <f>IF($T$41,L269,1)</f>
        <v>1</v>
      </c>
      <c r="AG442" s="204">
        <f>IF($T$41,L270,1)</f>
        <v>1</v>
      </c>
      <c r="AH442" s="204">
        <f>IF($T$41,L271,1)</f>
        <v>1</v>
      </c>
      <c r="AI442" s="204">
        <f>IF($T$41,L272,1)</f>
        <v>1</v>
      </c>
      <c r="AJ442" s="204">
        <f>IF($T$41,L273,1)</f>
        <v>1</v>
      </c>
      <c r="AK442" s="204">
        <f>IF($T$41,L274,1)</f>
        <v>1</v>
      </c>
      <c r="AL442" s="204">
        <f>IF($T$41,L275,1)</f>
        <v>1</v>
      </c>
      <c r="AM442" s="204">
        <f>IF($T$41,L276,1)</f>
        <v>1</v>
      </c>
      <c r="AN442" s="204">
        <f>IF($T$41,L277,1)</f>
        <v>1</v>
      </c>
      <c r="AO442" s="204">
        <f>IF($T$41,L278,1)</f>
        <v>1</v>
      </c>
      <c r="AP442" s="204">
        <f>IF($T$41,L279,1)</f>
        <v>1</v>
      </c>
      <c r="AQ442" s="204">
        <f>IF($T$41,L280,1)</f>
        <v>1</v>
      </c>
      <c r="AR442" s="204">
        <f>IF($T$41,L281,1)</f>
        <v>1</v>
      </c>
      <c r="AS442" s="204">
        <f>IF($T$41,L282,1)</f>
        <v>1</v>
      </c>
      <c r="AT442" s="204">
        <f>IF($T$41,L283,1)</f>
        <v>1</v>
      </c>
      <c r="AU442" s="204">
        <f>IF($T$41,L284,1)</f>
        <v>1</v>
      </c>
      <c r="AV442" s="204">
        <f>IF($T$41,L285,1)</f>
        <v>1</v>
      </c>
      <c r="AW442" s="204">
        <f>IF($T$41,L286,1)</f>
        <v>1</v>
      </c>
      <c r="AX442" s="204">
        <f>IF($T$41,L287,1)</f>
        <v>1</v>
      </c>
      <c r="AY442" s="204">
        <f>IF($T$41,L288,1)</f>
        <v>1</v>
      </c>
      <c r="AZ442" s="204">
        <f>IF($T$41,L289,1)</f>
        <v>1</v>
      </c>
      <c r="BA442" s="204">
        <f>IF($T$41,L290,1)</f>
        <v>1</v>
      </c>
      <c r="BB442" s="204">
        <f>IF($T$41,L291,1)</f>
        <v>1</v>
      </c>
      <c r="BC442" s="204">
        <f>IF($T$41,L292,1)</f>
        <v>1</v>
      </c>
      <c r="BD442" s="204">
        <f>IF($T$41,L293,1)</f>
        <v>1</v>
      </c>
      <c r="BE442" s="204">
        <f>IF($T$41,L294,1)</f>
        <v>1</v>
      </c>
      <c r="BF442" s="204">
        <f>IF($T$41,L295,1)</f>
        <v>1</v>
      </c>
      <c r="BG442" s="204">
        <f>IF($T$41,L296,1)</f>
        <v>1</v>
      </c>
      <c r="BH442" s="204">
        <f>IF($T$41,L297,1)</f>
        <v>1</v>
      </c>
      <c r="BI442" s="204">
        <f>IF($T$41,L298,1)</f>
        <v>1</v>
      </c>
      <c r="BJ442" s="204">
        <f>IF($T$41,L299,1)</f>
        <v>1</v>
      </c>
      <c r="BK442" s="204">
        <f>IF($T$41,L300,1)</f>
        <v>1</v>
      </c>
      <c r="BL442" s="204">
        <f>IF($T$41,L301,1)</f>
        <v>1</v>
      </c>
      <c r="BM442" s="204">
        <f>IF($T$41,L302,1)</f>
        <v>1</v>
      </c>
      <c r="BN442" s="204">
        <f>IF($T$41,L303,1)</f>
        <v>1</v>
      </c>
      <c r="BO442" s="204">
        <f>IF($T$41,L304,1)</f>
        <v>1</v>
      </c>
      <c r="BP442" s="204">
        <f>IF($T$41,L305,1)</f>
        <v>1</v>
      </c>
      <c r="BQ442" s="204">
        <f>IF($T$41,L306,1)</f>
        <v>1</v>
      </c>
      <c r="BR442" s="204">
        <f>IF($T$41,L307,1)</f>
        <v>1</v>
      </c>
      <c r="BS442" s="204">
        <f>IF($T$41,L308,1)</f>
        <v>1</v>
      </c>
      <c r="BT442" s="204">
        <f>IF($T$41,L309,1)</f>
        <v>1</v>
      </c>
      <c r="BU442" s="204">
        <f>IF($T$41,L310,1)</f>
        <v>1</v>
      </c>
      <c r="BV442" s="204">
        <f>IF($T$41,L311,1)</f>
        <v>1</v>
      </c>
      <c r="BW442" s="204">
        <f>IF($T$41,L312,1)</f>
        <v>1</v>
      </c>
      <c r="BX442" s="204">
        <f>IF($T$41,L313,1)</f>
        <v>1</v>
      </c>
      <c r="BY442" s="204">
        <f>IF($T$41,L314,1)</f>
        <v>1</v>
      </c>
      <c r="BZ442" s="204">
        <f>IF($T$41,L315,1)</f>
        <v>1</v>
      </c>
      <c r="CA442" s="204">
        <f>IF($T$41,L316,1)</f>
        <v>1</v>
      </c>
      <c r="CB442" s="204">
        <f>IF($T$41,L317,1)</f>
        <v>1</v>
      </c>
      <c r="CC442" s="204">
        <f>IF($T$41,L318,1)</f>
        <v>1</v>
      </c>
      <c r="CD442" s="204">
        <f>IF($T$41,L319,1)</f>
        <v>1</v>
      </c>
      <c r="CE442" s="204">
        <f>IF($T$41,L320,1)</f>
        <v>1</v>
      </c>
      <c r="CF442" s="204">
        <f>IF($T$41,L321,1)</f>
        <v>1</v>
      </c>
      <c r="CG442" s="204">
        <f>IF($T$41,L322,1)</f>
        <v>1</v>
      </c>
      <c r="CH442" s="204">
        <f>IF($T$41,L323,1)</f>
        <v>1</v>
      </c>
      <c r="CI442" s="204">
        <f>IF($T$41,L324,1)</f>
        <v>1</v>
      </c>
      <c r="CJ442" s="204">
        <f>IF($T$41,L325,1)</f>
        <v>1</v>
      </c>
      <c r="CK442" s="204">
        <f>IF($T$41,L326,1)</f>
        <v>1</v>
      </c>
      <c r="CL442" s="204">
        <f>IF($T$41,L327,1)</f>
        <v>1</v>
      </c>
      <c r="CM442" s="204">
        <f>IF($T$41,L328,1)</f>
        <v>1</v>
      </c>
      <c r="CN442" s="204">
        <f>IF($T$41,L329,1)</f>
        <v>1</v>
      </c>
      <c r="CO442" s="204">
        <f>IF($T$41,L330,1)</f>
        <v>1</v>
      </c>
      <c r="CP442" s="204">
        <f>IF($T$41,L331,1)</f>
        <v>1</v>
      </c>
      <c r="CQ442" s="204">
        <f>IF($T$41,L332,1)</f>
        <v>1</v>
      </c>
      <c r="CR442" s="204">
        <f>IF($T$41,L333,1)</f>
        <v>1</v>
      </c>
      <c r="CS442" s="204">
        <f>IF($T$41,L334,1)</f>
        <v>1</v>
      </c>
      <c r="CT442" s="204">
        <f>IF($T$41,L335,1)</f>
        <v>1</v>
      </c>
      <c r="CU442" s="204">
        <f>IF($T$41,L336,1)</f>
        <v>1</v>
      </c>
      <c r="CV442" s="204">
        <f>IF($T$41,L337,1)</f>
        <v>1</v>
      </c>
      <c r="CW442" s="204">
        <f>IF($T$41,L338,1)</f>
        <v>1</v>
      </c>
      <c r="CX442" s="204">
        <f>IF($T$41,L339,1)</f>
        <v>1</v>
      </c>
      <c r="CY442" s="204">
        <f>IF($T$41,L340,1)</f>
        <v>1</v>
      </c>
      <c r="CZ442" s="204">
        <f>IF($T$41,L341,1)</f>
        <v>1</v>
      </c>
      <c r="DA442" s="204">
        <f>IF($T$41,L342,1)</f>
        <v>1</v>
      </c>
      <c r="DB442" s="204">
        <f>IF($T$41,L343,1)</f>
        <v>1</v>
      </c>
      <c r="DC442" s="204">
        <f>IF($T$41,L344,1)</f>
        <v>1</v>
      </c>
      <c r="DD442" s="204">
        <f>IF($T$41,L345,1)</f>
        <v>1</v>
      </c>
      <c r="DE442" s="204">
        <f>IF($T$41,L346,1)</f>
        <v>1</v>
      </c>
      <c r="DF442" s="204">
        <f>IF($T$41,L347,1)</f>
        <v>1</v>
      </c>
      <c r="DG442" s="204">
        <f>IF($T$41,L348,1)</f>
        <v>1</v>
      </c>
      <c r="DH442" s="204">
        <f>IF($T$41,L349,1)</f>
        <v>1</v>
      </c>
      <c r="DI442" s="204">
        <f>IF($T$41,L350,1)</f>
        <v>1</v>
      </c>
      <c r="DJ442" s="204">
        <f>IF($T$41,L351,1)</f>
        <v>1</v>
      </c>
      <c r="DK442" s="204">
        <f>IF($T$41,L352,1)</f>
        <v>1</v>
      </c>
      <c r="DL442" s="204">
        <f>IF($T$41,L353,1)</f>
        <v>1</v>
      </c>
      <c r="DM442" s="204">
        <f>IF($T$41,L354,1)</f>
        <v>1</v>
      </c>
      <c r="DN442" s="204">
        <f>IF($T$41,L355,1)</f>
        <v>1</v>
      </c>
      <c r="DO442" s="204">
        <f>IF($T$41,L356,1)</f>
        <v>1</v>
      </c>
      <c r="DP442" s="204">
        <f>IF($T$41,L357,1)</f>
        <v>1</v>
      </c>
      <c r="DQ442" s="204">
        <f>IF($T$41,L358,1)</f>
        <v>1</v>
      </c>
      <c r="DR442" s="204">
        <f>IF($T$41,L359,1)</f>
        <v>1</v>
      </c>
      <c r="DS442" s="204">
        <f>IF($T$41,L360,1)</f>
        <v>1</v>
      </c>
      <c r="DT442" s="204">
        <f>IF($T$41,L361,1)</f>
        <v>1</v>
      </c>
      <c r="DU442" s="204">
        <f>IF($T$41,L362,1)</f>
        <v>1</v>
      </c>
      <c r="DV442" s="204">
        <f>IF($T$41,L363,1)</f>
        <v>1</v>
      </c>
      <c r="DW442" s="204">
        <f>IF($T$41,L364,1)</f>
        <v>1</v>
      </c>
      <c r="DX442" s="204">
        <f>IF($T$41,L365,1)</f>
        <v>1</v>
      </c>
      <c r="DY442" s="204">
        <f>IF($T$41,L366,1)</f>
        <v>1</v>
      </c>
      <c r="DZ442" s="204">
        <f>IF($T$41,L367,1)</f>
        <v>1</v>
      </c>
      <c r="EA442" s="204">
        <f>IF($T$41,L368,1)</f>
        <v>1</v>
      </c>
      <c r="EB442" s="204">
        <f>IF($T$41,L369,1)</f>
        <v>1</v>
      </c>
      <c r="EC442" s="204">
        <f>IF($T$41,L370,1)</f>
        <v>1</v>
      </c>
      <c r="ED442" s="204">
        <f>IF($T$41,L371,1)</f>
        <v>1</v>
      </c>
      <c r="EE442" s="204">
        <f>IF($T$41,L372,1)</f>
        <v>1</v>
      </c>
      <c r="EF442" s="204">
        <f>IF($T$41,L373,1)</f>
        <v>1</v>
      </c>
      <c r="EG442" s="204">
        <f>IF($T$41,L374,1)</f>
        <v>1</v>
      </c>
      <c r="EH442" s="204">
        <f>IF($T$41,L375,1)</f>
        <v>1</v>
      </c>
      <c r="EI442" s="204">
        <f>IF($T$41,L376,1)</f>
        <v>1</v>
      </c>
      <c r="EJ442" s="204">
        <f>IF($T$41,L377,1)</f>
        <v>1</v>
      </c>
      <c r="EK442" s="204">
        <f>IF($T$41,L378,1)</f>
        <v>1</v>
      </c>
      <c r="EL442" s="204">
        <f>IF($T$41,L379,1)</f>
        <v>1</v>
      </c>
      <c r="EM442" s="204">
        <f>IF($T$41,L380,1)</f>
        <v>1</v>
      </c>
      <c r="EN442" s="204">
        <f>IF($T$41,L381,1)</f>
        <v>1</v>
      </c>
      <c r="EO442" s="204">
        <f>IF($T$41,L382,1)</f>
        <v>1</v>
      </c>
      <c r="EP442" s="204">
        <f>IF($T$41,L383,1)</f>
        <v>1</v>
      </c>
      <c r="EQ442" s="204">
        <f>IF($T$41,L384,1)</f>
        <v>1</v>
      </c>
      <c r="ER442" s="204">
        <f>IF($T$41,L385,1)</f>
        <v>1</v>
      </c>
      <c r="ES442" s="204">
        <f>IF($T$41,L386,1)</f>
        <v>1</v>
      </c>
      <c r="ET442" s="204">
        <f>IF($T$41,L387,1)</f>
        <v>1</v>
      </c>
      <c r="EU442" s="204">
        <f>IF($T$41,L388,1)</f>
        <v>1</v>
      </c>
      <c r="EV442" s="204">
        <f>IF($T$41,L389,1)</f>
        <v>1</v>
      </c>
      <c r="EW442" s="204">
        <f>IF($T$41,L390,1)</f>
        <v>1</v>
      </c>
      <c r="EX442" s="204">
        <f>IF($T$41,L391,1)</f>
        <v>1</v>
      </c>
      <c r="EY442" s="204">
        <f>IF($T$41,L392,1)</f>
        <v>1</v>
      </c>
      <c r="EZ442" s="204">
        <f>IF($T$41,L393,1)</f>
        <v>1</v>
      </c>
      <c r="FA442" s="204">
        <f>IF($T$41,L394,1)</f>
        <v>1</v>
      </c>
      <c r="FB442" s="204">
        <f>IF($T$41,L395,1)</f>
        <v>1</v>
      </c>
      <c r="FC442" s="204">
        <f>IF($T$41,L396,1)</f>
        <v>1</v>
      </c>
      <c r="FD442" s="204">
        <f>IF($T$41,L397,1)</f>
        <v>1</v>
      </c>
      <c r="FE442" s="204">
        <f>IF($T$41,L398,1)</f>
        <v>1</v>
      </c>
      <c r="FF442" s="204">
        <f>IF($T$41,L399,1)</f>
        <v>1</v>
      </c>
      <c r="FG442" s="204">
        <f>IF($T$41,L400,1)</f>
        <v>1</v>
      </c>
      <c r="FH442" s="204">
        <f>IF($T$41,L401,1)</f>
        <v>1</v>
      </c>
      <c r="FI442" s="204">
        <f>IF($T$41,L402,1)</f>
        <v>1</v>
      </c>
      <c r="FJ442" s="204">
        <f>IF($T$41,L403,1)</f>
        <v>1</v>
      </c>
      <c r="FK442" s="204">
        <f>IF($T$41,L404,1)</f>
        <v>1</v>
      </c>
      <c r="FL442" s="204">
        <f>IF($T$41,L405,1)</f>
        <v>1</v>
      </c>
      <c r="FM442" s="204">
        <f>IF($T$41,L406,1)</f>
        <v>1</v>
      </c>
      <c r="FN442" s="204">
        <f>IF($T$41,L407,1)</f>
        <v>1</v>
      </c>
      <c r="FO442" s="204">
        <f>IF($T$41,L408,1)</f>
        <v>1</v>
      </c>
      <c r="FP442" s="204">
        <f>IF($T$41,L409,1)</f>
        <v>1</v>
      </c>
      <c r="FQ442" s="204">
        <f>IF($T$41,L410,1)</f>
        <v>1</v>
      </c>
      <c r="FR442" s="204">
        <f>IF($T$41,L411,1)</f>
        <v>1</v>
      </c>
      <c r="FS442" s="204">
        <f>IF($T$41,L412,1)</f>
        <v>1</v>
      </c>
      <c r="FT442" s="204">
        <f>IF($T$41,L413,1)</f>
        <v>1</v>
      </c>
      <c r="FU442" s="204">
        <f>IF($T$41,L414,1)</f>
        <v>1</v>
      </c>
      <c r="FV442" s="204">
        <f>IF($T$41,L415,1)</f>
        <v>1</v>
      </c>
      <c r="FW442" s="204">
        <f>IF($T$41,L416,1)</f>
        <v>1</v>
      </c>
      <c r="FX442" s="204">
        <f>IF($T$41,L417,1)</f>
        <v>1</v>
      </c>
      <c r="FY442" s="204">
        <f>IF($T$41,L418,1)</f>
        <v>1</v>
      </c>
      <c r="FZ442" s="204">
        <f>IF($T$41,L419,1)</f>
        <v>1</v>
      </c>
      <c r="GA442" s="204">
        <f>IF($T$41,L420,1)</f>
        <v>1</v>
      </c>
      <c r="GB442" s="204">
        <f>IF($T$41,L421,1)</f>
        <v>1</v>
      </c>
      <c r="GC442" s="204">
        <f>IF($T$41,L422,1)</f>
        <v>1</v>
      </c>
      <c r="GD442" s="204">
        <f>IF($T$41,L423,1)</f>
        <v>1</v>
      </c>
      <c r="GE442" s="204">
        <f>IF($T$41,L424,1)</f>
        <v>1</v>
      </c>
      <c r="GF442" s="204">
        <f>IF($T$41,L425,1)</f>
        <v>1</v>
      </c>
      <c r="GG442" s="204">
        <f>IF($T$41,L426,1)</f>
        <v>1</v>
      </c>
      <c r="GH442" s="204">
        <f>IF($T$41,L427,1)</f>
        <v>1</v>
      </c>
      <c r="GI442" s="204">
        <f>IF($T$41,L428,1)</f>
        <v>1</v>
      </c>
      <c r="GJ442" s="204">
        <f>IF($T$41,L429,1)</f>
        <v>1</v>
      </c>
      <c r="GK442" s="204">
        <f>IF($T$41,L430,1)</f>
        <v>1</v>
      </c>
      <c r="GL442" s="204">
        <f>IF($T$41,L431,1)</f>
        <v>1</v>
      </c>
      <c r="GM442" s="204">
        <f>IF($T$41,L432,1)</f>
        <v>1</v>
      </c>
      <c r="GN442" s="204">
        <f>IF($T$41,L433,1)</f>
        <v>1</v>
      </c>
      <c r="GO442" s="204">
        <f>IF($T$41,L434,1)</f>
        <v>1</v>
      </c>
      <c r="GP442" s="204">
        <f>IF($T$41,L435,1)</f>
        <v>1</v>
      </c>
      <c r="GQ442" s="204">
        <f>IF($T$41,L436,1)</f>
        <v>1</v>
      </c>
      <c r="GR442" s="204">
        <f>IF($T$41,L437,1)</f>
        <v>1</v>
      </c>
      <c r="GS442" s="204">
        <f>IF($T$41,L438,1)</f>
        <v>1</v>
      </c>
    </row>
  </sheetData>
  <sheetProtection selectLockedCells="1" selectUnlockedCells="1"/>
  <phoneticPr fontId="2" type="noConversion"/>
  <conditionalFormatting sqref="BA60:BA69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{0C001474-290A-4CB7-AF86-DFA33B989AD8}</x14:id>
        </ext>
      </extLst>
    </cfRule>
  </conditionalFormatting>
  <pageMargins left="0.78740157499999996" right="0.78740157499999996" top="0.984251969" bottom="0.984251969" header="0.5" footer="0.5"/>
  <pageSetup scale="95" orientation="portrait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C001474-290A-4CB7-AF86-DFA33B989AD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BA60:BA69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indexed="53"/>
    <pageSetUpPr fitToPage="1"/>
  </sheetPr>
  <dimension ref="A1:N665"/>
  <sheetViews>
    <sheetView windowProtection="1" showZeros="0" tabSelected="1" zoomScaleNormal="100" workbookViewId="0">
      <selection activeCell="H6" sqref="H6"/>
    </sheetView>
  </sheetViews>
  <sheetFormatPr defaultRowHeight="12" x14ac:dyDescent="0.2"/>
  <cols>
    <col min="1" max="1" width="4.5" style="181" bestFit="1" customWidth="1"/>
    <col min="2" max="2" width="9" style="180"/>
    <col min="3" max="3" width="3.875" style="181" customWidth="1"/>
    <col min="4" max="4" width="37.375" style="180" customWidth="1"/>
    <col min="5" max="5" width="16.625" style="180" customWidth="1"/>
    <col min="6" max="6" width="4.875" style="180" customWidth="1"/>
    <col min="7" max="7" width="15.625" style="180" customWidth="1"/>
    <col min="8" max="8" width="9.375" style="180" customWidth="1"/>
    <col min="9" max="9" width="9.375" style="202" customWidth="1"/>
    <col min="10" max="10" width="9" style="180"/>
    <col min="11" max="11" width="11.125" style="200" customWidth="1"/>
    <col min="12" max="16384" width="9" style="180"/>
  </cols>
  <sheetData>
    <row r="1" spans="1:14" x14ac:dyDescent="0.2">
      <c r="A1" s="178" t="s">
        <v>10</v>
      </c>
      <c r="B1" s="179" t="s">
        <v>112</v>
      </c>
      <c r="C1" s="178"/>
      <c r="D1" s="179"/>
      <c r="E1" s="178" t="s">
        <v>113</v>
      </c>
      <c r="F1" s="178"/>
      <c r="G1" s="178" t="s">
        <v>114</v>
      </c>
      <c r="H1" s="178"/>
      <c r="I1" s="201"/>
      <c r="J1" s="203"/>
      <c r="K1" s="230" t="s">
        <v>242</v>
      </c>
      <c r="L1" s="181"/>
      <c r="N1" s="181"/>
    </row>
    <row r="2" spans="1:14" x14ac:dyDescent="0.2">
      <c r="A2" s="180">
        <v>1</v>
      </c>
      <c r="B2" s="190" t="s">
        <v>236</v>
      </c>
      <c r="C2" s="180"/>
      <c r="E2" s="180" t="s">
        <v>115</v>
      </c>
      <c r="G2" s="188">
        <v>156</v>
      </c>
      <c r="H2" s="180" t="s">
        <v>5</v>
      </c>
      <c r="I2" s="202">
        <v>0.25365853658536586</v>
      </c>
      <c r="J2" s="180" t="s">
        <v>29</v>
      </c>
      <c r="K2" s="200">
        <v>2.1578947368421053</v>
      </c>
    </row>
    <row r="3" spans="1:14" x14ac:dyDescent="0.2">
      <c r="A3" s="180">
        <v>1</v>
      </c>
      <c r="B3" s="190" t="s">
        <v>236</v>
      </c>
      <c r="C3" s="180"/>
      <c r="E3" s="180" t="s">
        <v>116</v>
      </c>
      <c r="G3" s="188">
        <v>174</v>
      </c>
      <c r="H3" s="180" t="s">
        <v>6</v>
      </c>
      <c r="I3" s="202">
        <v>0.28292682926829266</v>
      </c>
      <c r="J3" s="180" t="s">
        <v>30</v>
      </c>
      <c r="K3" s="200">
        <v>0.86363636363636365</v>
      </c>
    </row>
    <row r="4" spans="1:14" x14ac:dyDescent="0.2">
      <c r="A4" s="180">
        <v>1</v>
      </c>
      <c r="B4" s="190" t="s">
        <v>236</v>
      </c>
      <c r="C4" s="180"/>
      <c r="E4" s="180" t="s">
        <v>117</v>
      </c>
      <c r="G4" s="188">
        <v>285</v>
      </c>
      <c r="H4" s="180" t="s">
        <v>7</v>
      </c>
      <c r="I4" s="202">
        <v>0.46341463414634149</v>
      </c>
      <c r="J4" s="180" t="s">
        <v>31</v>
      </c>
      <c r="K4" s="200">
        <v>2.9423076923076925</v>
      </c>
    </row>
    <row r="5" spans="1:14" x14ac:dyDescent="0.2">
      <c r="A5" s="180"/>
      <c r="C5" s="180"/>
      <c r="E5" s="180" t="s">
        <v>241</v>
      </c>
      <c r="G5" s="188">
        <v>615</v>
      </c>
      <c r="H5" s="180" t="s">
        <v>15</v>
      </c>
      <c r="I5" s="202">
        <v>1</v>
      </c>
      <c r="J5" s="180" t="s">
        <v>19</v>
      </c>
      <c r="K5" s="200">
        <v>0.73340213278293775</v>
      </c>
    </row>
    <row r="6" spans="1:14" x14ac:dyDescent="0.2">
      <c r="A6" s="180"/>
      <c r="C6" s="180"/>
    </row>
    <row r="7" spans="1:14" x14ac:dyDescent="0.2">
      <c r="A7" s="180">
        <v>2</v>
      </c>
      <c r="B7" s="190" t="s">
        <v>237</v>
      </c>
      <c r="C7" s="180"/>
      <c r="E7" s="180" t="s">
        <v>115</v>
      </c>
      <c r="G7" s="188">
        <v>85</v>
      </c>
      <c r="H7" s="180" t="s">
        <v>5</v>
      </c>
      <c r="I7" s="202">
        <v>0.52795031055900621</v>
      </c>
      <c r="J7" s="180" t="s">
        <v>29</v>
      </c>
      <c r="K7" s="200">
        <v>4.2368421052631575</v>
      </c>
    </row>
    <row r="8" spans="1:14" x14ac:dyDescent="0.2">
      <c r="A8" s="180">
        <v>2</v>
      </c>
      <c r="B8" s="190" t="s">
        <v>237</v>
      </c>
      <c r="C8" s="180"/>
      <c r="E8" s="180" t="s">
        <v>116</v>
      </c>
      <c r="G8" s="188">
        <v>38</v>
      </c>
      <c r="H8" s="180" t="s">
        <v>6</v>
      </c>
      <c r="I8" s="202">
        <v>0.2360248447204969</v>
      </c>
      <c r="J8" s="180" t="s">
        <v>30</v>
      </c>
      <c r="K8" s="200">
        <v>0.30894308943089432</v>
      </c>
    </row>
    <row r="9" spans="1:14" x14ac:dyDescent="0.2">
      <c r="A9" s="180">
        <v>2</v>
      </c>
      <c r="B9" s="190" t="s">
        <v>237</v>
      </c>
      <c r="C9" s="180"/>
      <c r="E9" s="180" t="s">
        <v>117</v>
      </c>
      <c r="G9" s="188">
        <v>38</v>
      </c>
      <c r="H9" s="180" t="s">
        <v>7</v>
      </c>
      <c r="I9" s="202">
        <v>0.2360248447204969</v>
      </c>
      <c r="J9" s="180" t="s">
        <v>31</v>
      </c>
      <c r="K9" s="200">
        <v>0.89411764705882357</v>
      </c>
    </row>
    <row r="10" spans="1:14" x14ac:dyDescent="0.2">
      <c r="A10" s="180"/>
      <c r="C10" s="180"/>
      <c r="E10" s="180" t="s">
        <v>241</v>
      </c>
      <c r="G10" s="188">
        <v>161</v>
      </c>
      <c r="H10" s="180" t="s">
        <v>15</v>
      </c>
      <c r="I10" s="202">
        <v>1</v>
      </c>
      <c r="J10" s="180" t="s">
        <v>19</v>
      </c>
      <c r="K10" s="200">
        <v>4.7385734072022156</v>
      </c>
    </row>
    <row r="11" spans="1:14" x14ac:dyDescent="0.2">
      <c r="A11" s="180"/>
      <c r="C11" s="180"/>
    </row>
    <row r="12" spans="1:14" x14ac:dyDescent="0.2">
      <c r="A12" s="180">
        <v>3</v>
      </c>
      <c r="B12" s="190" t="s">
        <v>238</v>
      </c>
      <c r="C12" s="180"/>
      <c r="E12" s="180" t="s">
        <v>115</v>
      </c>
      <c r="G12" s="188">
        <v>8368</v>
      </c>
      <c r="H12" s="180" t="s">
        <v>5</v>
      </c>
      <c r="I12" s="202">
        <v>0.11261691676199448</v>
      </c>
      <c r="J12" s="180" t="s">
        <v>29</v>
      </c>
      <c r="K12" s="200">
        <v>874.17647058823525</v>
      </c>
    </row>
    <row r="13" spans="1:14" x14ac:dyDescent="0.2">
      <c r="A13" s="180">
        <v>3</v>
      </c>
      <c r="B13" s="190" t="s">
        <v>238</v>
      </c>
      <c r="C13" s="180"/>
      <c r="E13" s="180" t="s">
        <v>116</v>
      </c>
      <c r="G13" s="188">
        <v>65852</v>
      </c>
      <c r="H13" s="180" t="s">
        <v>6</v>
      </c>
      <c r="I13" s="202">
        <v>0.88623914945158466</v>
      </c>
      <c r="J13" s="180" t="s">
        <v>30</v>
      </c>
      <c r="K13" s="200">
        <v>1.1452438695769335E-3</v>
      </c>
    </row>
    <row r="14" spans="1:14" x14ac:dyDescent="0.2">
      <c r="A14" s="180">
        <v>3</v>
      </c>
      <c r="B14" s="190" t="s">
        <v>238</v>
      </c>
      <c r="C14" s="180"/>
      <c r="E14" s="180" t="s">
        <v>117</v>
      </c>
      <c r="G14" s="188">
        <v>85</v>
      </c>
      <c r="H14" s="180" t="s">
        <v>7</v>
      </c>
      <c r="I14" s="202">
        <v>1.1439337864208332E-3</v>
      </c>
      <c r="J14" s="180" t="s">
        <v>31</v>
      </c>
      <c r="K14" s="200">
        <v>7.8796606118546846</v>
      </c>
    </row>
    <row r="15" spans="1:14" x14ac:dyDescent="0.2">
      <c r="A15" s="180"/>
      <c r="C15" s="180"/>
      <c r="E15" s="180" t="s">
        <v>241</v>
      </c>
      <c r="G15" s="188">
        <v>74305</v>
      </c>
      <c r="H15" s="180" t="s">
        <v>15</v>
      </c>
      <c r="I15" s="202">
        <v>1</v>
      </c>
      <c r="J15" s="180" t="s">
        <v>19</v>
      </c>
      <c r="K15" s="200">
        <v>110.94087850345561</v>
      </c>
    </row>
    <row r="16" spans="1:14" x14ac:dyDescent="0.2">
      <c r="A16" s="180"/>
      <c r="C16" s="180"/>
    </row>
    <row r="17" spans="1:11" x14ac:dyDescent="0.2">
      <c r="A17" s="180">
        <v>4</v>
      </c>
      <c r="B17" s="190" t="s">
        <v>239</v>
      </c>
      <c r="C17" s="180"/>
      <c r="E17" s="180" t="s">
        <v>115</v>
      </c>
      <c r="G17" s="188">
        <v>686385</v>
      </c>
      <c r="H17" s="180" t="s">
        <v>5</v>
      </c>
      <c r="I17" s="202">
        <v>0.99776428466558031</v>
      </c>
      <c r="J17" s="180" t="s">
        <v>29</v>
      </c>
      <c r="K17" s="200">
        <v>807.42136150234739</v>
      </c>
    </row>
    <row r="18" spans="1:11" x14ac:dyDescent="0.2">
      <c r="A18" s="180">
        <v>4</v>
      </c>
      <c r="B18" s="190" t="s">
        <v>239</v>
      </c>
      <c r="C18" s="180"/>
      <c r="E18" s="180" t="s">
        <v>116</v>
      </c>
      <c r="G18" s="188">
        <v>686</v>
      </c>
      <c r="H18" s="180" t="s">
        <v>6</v>
      </c>
      <c r="I18" s="202">
        <v>9.9720462900644395E-4</v>
      </c>
      <c r="J18" s="180" t="s">
        <v>30</v>
      </c>
      <c r="K18" s="200">
        <v>1.2400465162988978E-3</v>
      </c>
    </row>
    <row r="19" spans="1:11" x14ac:dyDescent="0.2">
      <c r="A19" s="180">
        <v>4</v>
      </c>
      <c r="B19" s="190" t="s">
        <v>239</v>
      </c>
      <c r="C19" s="180"/>
      <c r="E19" s="180" t="s">
        <v>117</v>
      </c>
      <c r="G19" s="188">
        <v>852</v>
      </c>
      <c r="H19" s="180" t="s">
        <v>7</v>
      </c>
      <c r="I19" s="202">
        <v>1.2385107054132512E-3</v>
      </c>
      <c r="J19" s="180" t="s">
        <v>31</v>
      </c>
      <c r="K19" s="200">
        <v>2.240724957567546E-3</v>
      </c>
    </row>
    <row r="20" spans="1:11" x14ac:dyDescent="0.2">
      <c r="A20" s="180"/>
      <c r="C20" s="180"/>
      <c r="E20" s="180" t="s">
        <v>241</v>
      </c>
      <c r="G20" s="188">
        <v>687923</v>
      </c>
      <c r="H20" s="180" t="s">
        <v>15</v>
      </c>
      <c r="I20" s="202">
        <v>1</v>
      </c>
      <c r="J20" s="180" t="s">
        <v>19</v>
      </c>
      <c r="K20" s="200">
        <v>360339.3440928405</v>
      </c>
    </row>
    <row r="21" spans="1:11" x14ac:dyDescent="0.2">
      <c r="A21" s="180"/>
      <c r="C21" s="180"/>
    </row>
    <row r="22" spans="1:11" x14ac:dyDescent="0.2">
      <c r="A22" s="180">
        <v>5</v>
      </c>
      <c r="B22" s="190" t="s">
        <v>240</v>
      </c>
      <c r="C22" s="180"/>
      <c r="E22" s="180" t="s">
        <v>115</v>
      </c>
      <c r="G22" s="188">
        <v>852</v>
      </c>
      <c r="H22" s="180" t="s">
        <v>5</v>
      </c>
      <c r="I22" s="202">
        <v>0.33333333333333331</v>
      </c>
      <c r="J22" s="180" t="s">
        <v>29</v>
      </c>
      <c r="K22" s="200">
        <v>3</v>
      </c>
    </row>
    <row r="23" spans="1:11" x14ac:dyDescent="0.2">
      <c r="A23" s="180">
        <v>5</v>
      </c>
      <c r="B23" s="190" t="s">
        <v>240</v>
      </c>
      <c r="C23" s="180"/>
      <c r="E23" s="180" t="s">
        <v>116</v>
      </c>
      <c r="G23" s="188">
        <v>852</v>
      </c>
      <c r="H23" s="180" t="s">
        <v>6</v>
      </c>
      <c r="I23" s="202">
        <v>0.33333333333333331</v>
      </c>
      <c r="J23" s="180" t="s">
        <v>30</v>
      </c>
      <c r="K23" s="200">
        <v>0.5</v>
      </c>
    </row>
    <row r="24" spans="1:11" x14ac:dyDescent="0.2">
      <c r="A24" s="180">
        <v>5</v>
      </c>
      <c r="B24" s="190" t="s">
        <v>240</v>
      </c>
      <c r="C24" s="180"/>
      <c r="E24" s="180" t="s">
        <v>117</v>
      </c>
      <c r="G24" s="188">
        <v>852</v>
      </c>
      <c r="H24" s="180" t="s">
        <v>7</v>
      </c>
      <c r="I24" s="202">
        <v>0.33333333333333331</v>
      </c>
      <c r="J24" s="180" t="s">
        <v>31</v>
      </c>
      <c r="K24" s="200">
        <v>2</v>
      </c>
    </row>
    <row r="25" spans="1:11" x14ac:dyDescent="0.2">
      <c r="A25" s="180"/>
      <c r="C25" s="180"/>
      <c r="E25" s="180" t="s">
        <v>241</v>
      </c>
      <c r="G25" s="188">
        <v>2556</v>
      </c>
      <c r="H25" s="180" t="s">
        <v>15</v>
      </c>
      <c r="I25" s="202">
        <v>1</v>
      </c>
      <c r="J25" s="180" t="s">
        <v>19</v>
      </c>
      <c r="K25" s="200">
        <v>1.5</v>
      </c>
    </row>
    <row r="26" spans="1:11" x14ac:dyDescent="0.2">
      <c r="A26" s="180"/>
      <c r="C26" s="180"/>
    </row>
    <row r="27" spans="1:11" x14ac:dyDescent="0.2">
      <c r="A27" s="180"/>
      <c r="B27" s="190"/>
      <c r="C27" s="180"/>
      <c r="G27" s="188"/>
      <c r="H27" s="231"/>
      <c r="J27" s="231"/>
    </row>
    <row r="28" spans="1:11" x14ac:dyDescent="0.2">
      <c r="A28" s="180"/>
      <c r="B28" s="190"/>
      <c r="C28" s="180"/>
      <c r="G28" s="188"/>
      <c r="H28" s="231"/>
      <c r="J28" s="231"/>
    </row>
    <row r="29" spans="1:11" x14ac:dyDescent="0.2">
      <c r="A29" s="180"/>
      <c r="B29" s="190"/>
      <c r="C29" s="180"/>
      <c r="G29" s="188"/>
      <c r="H29" s="231"/>
      <c r="J29" s="231"/>
    </row>
    <row r="30" spans="1:11" x14ac:dyDescent="0.2">
      <c r="A30" s="180"/>
      <c r="C30" s="180"/>
      <c r="G30" s="188"/>
      <c r="H30" s="231"/>
      <c r="J30" s="231"/>
    </row>
    <row r="31" spans="1:11" x14ac:dyDescent="0.2">
      <c r="A31" s="180"/>
      <c r="C31" s="180"/>
    </row>
    <row r="32" spans="1:11" x14ac:dyDescent="0.2">
      <c r="A32" s="180"/>
      <c r="B32" s="190"/>
      <c r="C32" s="180"/>
      <c r="G32" s="188"/>
    </row>
    <row r="33" spans="1:7" x14ac:dyDescent="0.2">
      <c r="A33" s="180"/>
      <c r="B33" s="190"/>
      <c r="C33" s="180"/>
      <c r="G33" s="188"/>
    </row>
    <row r="34" spans="1:7" x14ac:dyDescent="0.2">
      <c r="A34" s="180"/>
      <c r="B34" s="190"/>
      <c r="C34" s="180"/>
      <c r="G34" s="188"/>
    </row>
    <row r="35" spans="1:7" x14ac:dyDescent="0.2">
      <c r="A35" s="180"/>
      <c r="C35" s="180"/>
      <c r="G35" s="188"/>
    </row>
    <row r="36" spans="1:7" x14ac:dyDescent="0.2">
      <c r="A36" s="180"/>
      <c r="C36" s="180"/>
    </row>
    <row r="37" spans="1:7" x14ac:dyDescent="0.2">
      <c r="A37" s="180"/>
      <c r="B37" s="190"/>
      <c r="C37" s="180"/>
      <c r="G37" s="188"/>
    </row>
    <row r="38" spans="1:7" x14ac:dyDescent="0.2">
      <c r="A38" s="180"/>
      <c r="B38" s="190"/>
      <c r="C38" s="180"/>
      <c r="G38" s="188"/>
    </row>
    <row r="39" spans="1:7" x14ac:dyDescent="0.2">
      <c r="A39" s="180"/>
      <c r="B39" s="190"/>
      <c r="C39" s="180"/>
      <c r="G39" s="188"/>
    </row>
    <row r="40" spans="1:7" x14ac:dyDescent="0.2">
      <c r="A40" s="180"/>
      <c r="C40" s="180"/>
      <c r="G40" s="188"/>
    </row>
    <row r="41" spans="1:7" x14ac:dyDescent="0.2">
      <c r="A41" s="180"/>
      <c r="C41" s="180"/>
    </row>
    <row r="42" spans="1:7" x14ac:dyDescent="0.2">
      <c r="A42" s="180"/>
      <c r="B42" s="190"/>
      <c r="C42" s="180"/>
      <c r="G42" s="188"/>
    </row>
    <row r="43" spans="1:7" x14ac:dyDescent="0.2">
      <c r="A43" s="180"/>
      <c r="B43" s="190"/>
      <c r="C43" s="180"/>
      <c r="G43" s="188"/>
    </row>
    <row r="44" spans="1:7" x14ac:dyDescent="0.2">
      <c r="A44" s="180"/>
      <c r="B44" s="190"/>
      <c r="C44" s="180"/>
      <c r="G44" s="188"/>
    </row>
    <row r="45" spans="1:7" x14ac:dyDescent="0.2">
      <c r="A45" s="180"/>
      <c r="C45" s="180"/>
      <c r="G45" s="188"/>
    </row>
    <row r="46" spans="1:7" x14ac:dyDescent="0.2">
      <c r="A46" s="180"/>
      <c r="C46" s="180"/>
    </row>
    <row r="47" spans="1:7" x14ac:dyDescent="0.2">
      <c r="A47" s="180"/>
      <c r="B47" s="190"/>
      <c r="C47" s="180"/>
      <c r="G47" s="188"/>
    </row>
    <row r="48" spans="1:7" x14ac:dyDescent="0.2">
      <c r="A48" s="180"/>
      <c r="B48" s="190"/>
      <c r="C48" s="180"/>
      <c r="G48" s="188"/>
    </row>
    <row r="49" spans="1:7" x14ac:dyDescent="0.2">
      <c r="A49" s="180"/>
      <c r="B49" s="190"/>
      <c r="C49" s="180"/>
      <c r="G49" s="188"/>
    </row>
    <row r="50" spans="1:7" x14ac:dyDescent="0.2">
      <c r="A50" s="180"/>
      <c r="C50" s="180"/>
      <c r="G50" s="188"/>
    </row>
    <row r="51" spans="1:7" x14ac:dyDescent="0.2">
      <c r="A51" s="180"/>
      <c r="C51" s="180"/>
    </row>
    <row r="52" spans="1:7" x14ac:dyDescent="0.2">
      <c r="A52" s="180"/>
      <c r="B52" s="190"/>
      <c r="C52" s="180"/>
      <c r="G52" s="188"/>
    </row>
    <row r="53" spans="1:7" x14ac:dyDescent="0.2">
      <c r="A53" s="180"/>
      <c r="B53" s="190"/>
      <c r="C53" s="180"/>
      <c r="G53" s="188"/>
    </row>
    <row r="54" spans="1:7" x14ac:dyDescent="0.2">
      <c r="A54" s="180"/>
      <c r="B54" s="190"/>
      <c r="C54" s="180"/>
      <c r="G54" s="188"/>
    </row>
    <row r="55" spans="1:7" x14ac:dyDescent="0.2">
      <c r="A55" s="180"/>
      <c r="C55" s="180"/>
      <c r="G55" s="188"/>
    </row>
    <row r="56" spans="1:7" x14ac:dyDescent="0.2">
      <c r="A56" s="180"/>
      <c r="C56" s="180"/>
    </row>
    <row r="57" spans="1:7" x14ac:dyDescent="0.2">
      <c r="A57" s="180"/>
      <c r="B57" s="190"/>
      <c r="C57" s="180"/>
      <c r="G57" s="188"/>
    </row>
    <row r="58" spans="1:7" x14ac:dyDescent="0.2">
      <c r="A58" s="180"/>
      <c r="B58" s="190"/>
      <c r="C58" s="180"/>
      <c r="G58" s="188"/>
    </row>
    <row r="59" spans="1:7" x14ac:dyDescent="0.2">
      <c r="A59" s="180"/>
      <c r="B59" s="190"/>
      <c r="C59" s="180"/>
      <c r="G59" s="188"/>
    </row>
    <row r="60" spans="1:7" x14ac:dyDescent="0.2">
      <c r="A60" s="180"/>
      <c r="C60" s="180"/>
      <c r="G60" s="188"/>
    </row>
    <row r="61" spans="1:7" x14ac:dyDescent="0.2">
      <c r="A61" s="180"/>
      <c r="C61" s="180"/>
    </row>
    <row r="62" spans="1:7" x14ac:dyDescent="0.2">
      <c r="A62" s="180"/>
      <c r="B62" s="190"/>
      <c r="C62" s="180"/>
      <c r="G62" s="188"/>
    </row>
    <row r="63" spans="1:7" x14ac:dyDescent="0.2">
      <c r="A63" s="180"/>
      <c r="B63" s="190"/>
      <c r="C63" s="180"/>
      <c r="G63" s="188"/>
    </row>
    <row r="64" spans="1:7" x14ac:dyDescent="0.2">
      <c r="A64" s="180"/>
      <c r="B64" s="190"/>
      <c r="C64" s="180"/>
      <c r="G64" s="188"/>
    </row>
    <row r="65" spans="1:7" x14ac:dyDescent="0.2">
      <c r="A65" s="180"/>
      <c r="C65" s="180"/>
      <c r="G65" s="188"/>
    </row>
    <row r="66" spans="1:7" x14ac:dyDescent="0.2">
      <c r="A66" s="180"/>
      <c r="C66" s="180"/>
    </row>
    <row r="67" spans="1:7" x14ac:dyDescent="0.2">
      <c r="A67" s="180"/>
      <c r="B67" s="190"/>
      <c r="C67" s="180"/>
      <c r="G67" s="188"/>
    </row>
    <row r="68" spans="1:7" x14ac:dyDescent="0.2">
      <c r="A68" s="180"/>
      <c r="B68" s="190"/>
      <c r="C68" s="180"/>
      <c r="G68" s="188"/>
    </row>
    <row r="69" spans="1:7" x14ac:dyDescent="0.2">
      <c r="A69" s="180"/>
      <c r="B69" s="190"/>
      <c r="C69" s="180"/>
      <c r="G69" s="188"/>
    </row>
    <row r="70" spans="1:7" x14ac:dyDescent="0.2">
      <c r="A70" s="180"/>
      <c r="C70" s="180"/>
      <c r="G70" s="188"/>
    </row>
    <row r="71" spans="1:7" x14ac:dyDescent="0.2">
      <c r="A71" s="180"/>
      <c r="C71" s="180"/>
    </row>
    <row r="72" spans="1:7" x14ac:dyDescent="0.2">
      <c r="A72" s="180"/>
      <c r="B72" s="190"/>
      <c r="C72" s="180"/>
      <c r="G72" s="188"/>
    </row>
    <row r="73" spans="1:7" x14ac:dyDescent="0.2">
      <c r="A73" s="180"/>
      <c r="B73" s="190"/>
      <c r="C73" s="180"/>
      <c r="G73" s="188"/>
    </row>
    <row r="74" spans="1:7" x14ac:dyDescent="0.2">
      <c r="A74" s="180"/>
      <c r="B74" s="190"/>
      <c r="C74" s="180"/>
      <c r="G74" s="188"/>
    </row>
    <row r="75" spans="1:7" x14ac:dyDescent="0.2">
      <c r="A75" s="180"/>
      <c r="C75" s="180"/>
      <c r="G75" s="188"/>
    </row>
    <row r="76" spans="1:7" x14ac:dyDescent="0.2">
      <c r="A76" s="180"/>
      <c r="C76" s="180"/>
    </row>
    <row r="77" spans="1:7" ht="16.5" customHeight="1" x14ac:dyDescent="0.2">
      <c r="A77" s="180"/>
      <c r="B77" s="190"/>
      <c r="C77" s="180"/>
      <c r="G77" s="188"/>
    </row>
    <row r="78" spans="1:7" x14ac:dyDescent="0.2">
      <c r="A78" s="180"/>
      <c r="B78" s="190"/>
      <c r="C78" s="180"/>
      <c r="G78" s="188"/>
    </row>
    <row r="79" spans="1:7" x14ac:dyDescent="0.2">
      <c r="A79" s="180"/>
      <c r="B79" s="190"/>
      <c r="C79" s="180"/>
      <c r="G79" s="188"/>
    </row>
    <row r="80" spans="1:7" x14ac:dyDescent="0.2">
      <c r="A80" s="180"/>
      <c r="C80" s="180"/>
      <c r="G80" s="188"/>
    </row>
    <row r="81" spans="1:7" x14ac:dyDescent="0.2">
      <c r="A81" s="180"/>
      <c r="C81" s="180"/>
    </row>
    <row r="82" spans="1:7" x14ac:dyDescent="0.2">
      <c r="A82" s="180"/>
      <c r="B82" s="190"/>
      <c r="C82" s="180"/>
      <c r="G82" s="188"/>
    </row>
    <row r="83" spans="1:7" x14ac:dyDescent="0.2">
      <c r="A83" s="180"/>
      <c r="B83" s="190"/>
      <c r="C83" s="180"/>
      <c r="G83" s="188"/>
    </row>
    <row r="84" spans="1:7" x14ac:dyDescent="0.2">
      <c r="A84" s="180"/>
      <c r="B84" s="190"/>
      <c r="C84" s="180"/>
      <c r="G84" s="188"/>
    </row>
    <row r="85" spans="1:7" x14ac:dyDescent="0.2">
      <c r="A85" s="180"/>
      <c r="C85" s="180"/>
      <c r="G85" s="188"/>
    </row>
    <row r="86" spans="1:7" x14ac:dyDescent="0.2">
      <c r="A86" s="180"/>
      <c r="C86" s="180"/>
    </row>
    <row r="87" spans="1:7" x14ac:dyDescent="0.2">
      <c r="A87" s="180"/>
      <c r="B87" s="190"/>
      <c r="C87" s="180"/>
      <c r="G87" s="188"/>
    </row>
    <row r="88" spans="1:7" x14ac:dyDescent="0.2">
      <c r="A88" s="180"/>
      <c r="B88" s="190"/>
      <c r="C88" s="180"/>
      <c r="G88" s="188"/>
    </row>
    <row r="89" spans="1:7" x14ac:dyDescent="0.2">
      <c r="A89" s="180"/>
      <c r="B89" s="190"/>
      <c r="C89" s="180"/>
      <c r="G89" s="188"/>
    </row>
    <row r="90" spans="1:7" x14ac:dyDescent="0.2">
      <c r="A90" s="180"/>
      <c r="C90" s="180"/>
      <c r="G90" s="188"/>
    </row>
    <row r="91" spans="1:7" x14ac:dyDescent="0.2">
      <c r="A91" s="180"/>
      <c r="C91" s="180"/>
    </row>
    <row r="92" spans="1:7" x14ac:dyDescent="0.2">
      <c r="A92" s="180"/>
      <c r="B92" s="190"/>
      <c r="C92" s="180"/>
      <c r="G92" s="188"/>
    </row>
    <row r="93" spans="1:7" x14ac:dyDescent="0.2">
      <c r="A93" s="180"/>
      <c r="B93" s="190"/>
      <c r="C93" s="180"/>
      <c r="G93" s="188"/>
    </row>
    <row r="94" spans="1:7" x14ac:dyDescent="0.2">
      <c r="A94" s="180"/>
      <c r="B94" s="190"/>
      <c r="C94" s="180"/>
      <c r="G94" s="188"/>
    </row>
    <row r="95" spans="1:7" x14ac:dyDescent="0.2">
      <c r="A95" s="180"/>
      <c r="C95" s="180"/>
      <c r="G95" s="188"/>
    </row>
    <row r="96" spans="1:7" x14ac:dyDescent="0.2">
      <c r="A96" s="180"/>
      <c r="C96" s="180"/>
    </row>
    <row r="97" spans="1:7" x14ac:dyDescent="0.2">
      <c r="A97" s="180"/>
      <c r="B97" s="190"/>
      <c r="C97" s="180"/>
      <c r="G97" s="188"/>
    </row>
    <row r="98" spans="1:7" x14ac:dyDescent="0.2">
      <c r="A98" s="180"/>
      <c r="B98" s="190"/>
      <c r="C98" s="180"/>
      <c r="G98" s="188"/>
    </row>
    <row r="99" spans="1:7" x14ac:dyDescent="0.2">
      <c r="A99" s="180"/>
      <c r="B99" s="190"/>
      <c r="C99" s="180"/>
      <c r="G99" s="188"/>
    </row>
    <row r="100" spans="1:7" x14ac:dyDescent="0.2">
      <c r="A100" s="180"/>
      <c r="C100" s="180"/>
      <c r="G100" s="188"/>
    </row>
    <row r="101" spans="1:7" x14ac:dyDescent="0.2">
      <c r="A101" s="180"/>
      <c r="C101" s="180"/>
    </row>
    <row r="102" spans="1:7" x14ac:dyDescent="0.2">
      <c r="A102" s="180"/>
      <c r="B102" s="190"/>
      <c r="C102" s="180"/>
      <c r="G102" s="188"/>
    </row>
    <row r="103" spans="1:7" x14ac:dyDescent="0.2">
      <c r="A103" s="180"/>
      <c r="B103" s="190"/>
      <c r="C103" s="180"/>
      <c r="G103" s="188"/>
    </row>
    <row r="104" spans="1:7" x14ac:dyDescent="0.2">
      <c r="A104" s="180"/>
      <c r="B104" s="190"/>
      <c r="C104" s="180"/>
      <c r="G104" s="188"/>
    </row>
    <row r="105" spans="1:7" x14ac:dyDescent="0.2">
      <c r="A105" s="180"/>
      <c r="C105" s="180"/>
      <c r="G105" s="188"/>
    </row>
    <row r="106" spans="1:7" x14ac:dyDescent="0.2">
      <c r="A106" s="180"/>
      <c r="C106" s="180"/>
    </row>
    <row r="107" spans="1:7" x14ac:dyDescent="0.2">
      <c r="A107" s="180"/>
      <c r="B107" s="190"/>
      <c r="C107" s="180"/>
      <c r="G107" s="188"/>
    </row>
    <row r="108" spans="1:7" x14ac:dyDescent="0.2">
      <c r="A108" s="180"/>
      <c r="B108" s="190"/>
      <c r="C108" s="180"/>
      <c r="G108" s="188"/>
    </row>
    <row r="109" spans="1:7" x14ac:dyDescent="0.2">
      <c r="A109" s="180"/>
      <c r="B109" s="190"/>
      <c r="C109" s="180"/>
      <c r="G109" s="188"/>
    </row>
    <row r="110" spans="1:7" x14ac:dyDescent="0.2">
      <c r="A110" s="180"/>
      <c r="C110" s="180"/>
      <c r="G110" s="188"/>
    </row>
    <row r="111" spans="1:7" x14ac:dyDescent="0.2">
      <c r="A111" s="180"/>
      <c r="C111" s="180"/>
    </row>
    <row r="112" spans="1:7" x14ac:dyDescent="0.2">
      <c r="A112" s="180"/>
      <c r="B112" s="190"/>
      <c r="C112" s="180"/>
      <c r="G112" s="188"/>
    </row>
    <row r="113" spans="1:7" x14ac:dyDescent="0.2">
      <c r="A113" s="180"/>
      <c r="B113" s="190"/>
      <c r="C113" s="180"/>
      <c r="G113" s="188"/>
    </row>
    <row r="114" spans="1:7" x14ac:dyDescent="0.2">
      <c r="A114" s="180"/>
      <c r="B114" s="190"/>
      <c r="C114" s="180"/>
      <c r="G114" s="188"/>
    </row>
    <row r="115" spans="1:7" x14ac:dyDescent="0.2">
      <c r="A115" s="180"/>
      <c r="C115" s="180"/>
      <c r="G115" s="188"/>
    </row>
    <row r="116" spans="1:7" x14ac:dyDescent="0.2">
      <c r="A116" s="180"/>
      <c r="C116" s="180"/>
    </row>
    <row r="117" spans="1:7" x14ac:dyDescent="0.2">
      <c r="A117" s="180"/>
      <c r="B117" s="190"/>
      <c r="C117" s="180"/>
      <c r="G117" s="188"/>
    </row>
    <row r="118" spans="1:7" x14ac:dyDescent="0.2">
      <c r="A118" s="180"/>
      <c r="B118" s="190"/>
      <c r="C118" s="180"/>
      <c r="G118" s="188"/>
    </row>
    <row r="119" spans="1:7" x14ac:dyDescent="0.2">
      <c r="A119" s="180"/>
      <c r="B119" s="190"/>
      <c r="C119" s="180"/>
      <c r="G119" s="188"/>
    </row>
    <row r="120" spans="1:7" x14ac:dyDescent="0.2">
      <c r="A120" s="180"/>
      <c r="C120" s="180"/>
      <c r="G120" s="188"/>
    </row>
    <row r="121" spans="1:7" x14ac:dyDescent="0.2">
      <c r="A121" s="180"/>
      <c r="C121" s="180"/>
    </row>
    <row r="122" spans="1:7" x14ac:dyDescent="0.2">
      <c r="A122" s="180"/>
      <c r="B122" s="190"/>
      <c r="C122" s="180"/>
      <c r="G122" s="188"/>
    </row>
    <row r="123" spans="1:7" x14ac:dyDescent="0.2">
      <c r="A123" s="180"/>
      <c r="B123" s="190"/>
      <c r="C123" s="180"/>
      <c r="G123" s="188"/>
    </row>
    <row r="124" spans="1:7" x14ac:dyDescent="0.2">
      <c r="A124" s="180"/>
      <c r="B124" s="190"/>
      <c r="C124" s="180"/>
      <c r="G124" s="188"/>
    </row>
    <row r="125" spans="1:7" x14ac:dyDescent="0.2">
      <c r="A125" s="180"/>
      <c r="C125" s="180"/>
      <c r="G125" s="188"/>
    </row>
    <row r="126" spans="1:7" x14ac:dyDescent="0.2">
      <c r="A126" s="180"/>
      <c r="C126" s="180"/>
    </row>
    <row r="127" spans="1:7" x14ac:dyDescent="0.2">
      <c r="A127" s="180"/>
      <c r="B127" s="190"/>
      <c r="C127" s="180"/>
      <c r="G127" s="188"/>
    </row>
    <row r="128" spans="1:7" x14ac:dyDescent="0.2">
      <c r="A128" s="180"/>
      <c r="B128" s="190"/>
      <c r="C128" s="180"/>
      <c r="G128" s="188"/>
    </row>
    <row r="129" spans="1:7" x14ac:dyDescent="0.2">
      <c r="A129" s="180"/>
      <c r="B129" s="190"/>
      <c r="C129" s="180"/>
      <c r="G129" s="188"/>
    </row>
    <row r="130" spans="1:7" x14ac:dyDescent="0.2">
      <c r="A130" s="180"/>
      <c r="C130" s="180"/>
      <c r="G130" s="188"/>
    </row>
    <row r="131" spans="1:7" x14ac:dyDescent="0.2">
      <c r="A131" s="180"/>
      <c r="C131" s="180"/>
    </row>
    <row r="132" spans="1:7" x14ac:dyDescent="0.2">
      <c r="A132" s="180"/>
      <c r="B132" s="190"/>
      <c r="C132" s="180"/>
      <c r="G132" s="188"/>
    </row>
    <row r="133" spans="1:7" x14ac:dyDescent="0.2">
      <c r="A133" s="180"/>
      <c r="B133" s="190"/>
      <c r="C133" s="180"/>
      <c r="G133" s="188"/>
    </row>
    <row r="134" spans="1:7" x14ac:dyDescent="0.2">
      <c r="A134" s="180"/>
      <c r="B134" s="190"/>
      <c r="C134" s="180"/>
      <c r="G134" s="188"/>
    </row>
    <row r="135" spans="1:7" x14ac:dyDescent="0.2">
      <c r="A135" s="180"/>
      <c r="C135" s="180"/>
      <c r="G135" s="188"/>
    </row>
    <row r="136" spans="1:7" x14ac:dyDescent="0.2">
      <c r="A136" s="180"/>
      <c r="C136" s="180"/>
    </row>
    <row r="137" spans="1:7" x14ac:dyDescent="0.2">
      <c r="A137" s="180"/>
      <c r="B137" s="190"/>
      <c r="C137" s="180"/>
      <c r="G137" s="188"/>
    </row>
    <row r="138" spans="1:7" x14ac:dyDescent="0.2">
      <c r="A138" s="180"/>
      <c r="B138" s="190"/>
      <c r="C138" s="180"/>
      <c r="G138" s="188"/>
    </row>
    <row r="139" spans="1:7" x14ac:dyDescent="0.2">
      <c r="A139" s="180"/>
      <c r="B139" s="190"/>
      <c r="C139" s="180"/>
      <c r="G139" s="188"/>
    </row>
    <row r="140" spans="1:7" x14ac:dyDescent="0.2">
      <c r="A140" s="180"/>
      <c r="C140" s="180"/>
      <c r="G140" s="188"/>
    </row>
    <row r="141" spans="1:7" x14ac:dyDescent="0.2">
      <c r="A141" s="180"/>
      <c r="C141" s="180"/>
    </row>
    <row r="142" spans="1:7" x14ac:dyDescent="0.2">
      <c r="A142" s="180"/>
      <c r="B142" s="190"/>
      <c r="C142" s="180"/>
      <c r="G142" s="188"/>
    </row>
    <row r="143" spans="1:7" x14ac:dyDescent="0.2">
      <c r="A143" s="180"/>
      <c r="B143" s="190"/>
      <c r="C143" s="180"/>
      <c r="G143" s="188"/>
    </row>
    <row r="144" spans="1:7" x14ac:dyDescent="0.2">
      <c r="A144" s="180"/>
      <c r="B144" s="190"/>
      <c r="C144" s="180"/>
      <c r="G144" s="188"/>
    </row>
    <row r="145" spans="1:7" x14ac:dyDescent="0.2">
      <c r="A145" s="180"/>
      <c r="C145" s="180"/>
      <c r="G145" s="188"/>
    </row>
    <row r="146" spans="1:7" x14ac:dyDescent="0.2">
      <c r="A146" s="180"/>
      <c r="C146" s="180"/>
    </row>
    <row r="147" spans="1:7" x14ac:dyDescent="0.2">
      <c r="A147" s="180"/>
      <c r="B147" s="190"/>
      <c r="C147" s="180"/>
      <c r="G147" s="188"/>
    </row>
    <row r="148" spans="1:7" x14ac:dyDescent="0.2">
      <c r="A148" s="180"/>
      <c r="B148" s="190"/>
      <c r="C148" s="180"/>
      <c r="G148" s="188"/>
    </row>
    <row r="149" spans="1:7" x14ac:dyDescent="0.2">
      <c r="A149" s="180"/>
      <c r="B149" s="190"/>
      <c r="C149" s="180"/>
      <c r="G149" s="188"/>
    </row>
    <row r="150" spans="1:7" x14ac:dyDescent="0.2">
      <c r="A150" s="180"/>
      <c r="C150" s="180"/>
      <c r="G150" s="188"/>
    </row>
    <row r="151" spans="1:7" x14ac:dyDescent="0.2">
      <c r="A151" s="180"/>
      <c r="C151" s="180"/>
    </row>
    <row r="152" spans="1:7" x14ac:dyDescent="0.2">
      <c r="A152" s="180"/>
      <c r="B152" s="190"/>
      <c r="C152" s="180"/>
      <c r="G152" s="188"/>
    </row>
    <row r="153" spans="1:7" x14ac:dyDescent="0.2">
      <c r="A153" s="180"/>
      <c r="B153" s="190"/>
      <c r="C153" s="180"/>
      <c r="G153" s="188"/>
    </row>
    <row r="154" spans="1:7" x14ac:dyDescent="0.2">
      <c r="A154" s="180"/>
      <c r="B154" s="190"/>
      <c r="C154" s="180"/>
      <c r="G154" s="188"/>
    </row>
    <row r="155" spans="1:7" x14ac:dyDescent="0.2">
      <c r="A155" s="180"/>
      <c r="C155" s="180"/>
      <c r="G155" s="188"/>
    </row>
    <row r="156" spans="1:7" x14ac:dyDescent="0.2">
      <c r="A156" s="180"/>
      <c r="C156" s="180"/>
    </row>
    <row r="157" spans="1:7" x14ac:dyDescent="0.2">
      <c r="A157" s="180"/>
      <c r="B157" s="190"/>
      <c r="C157" s="180"/>
      <c r="G157" s="188"/>
    </row>
    <row r="158" spans="1:7" x14ac:dyDescent="0.2">
      <c r="A158" s="180"/>
      <c r="B158" s="190"/>
      <c r="C158" s="180"/>
      <c r="G158" s="188"/>
    </row>
    <row r="159" spans="1:7" x14ac:dyDescent="0.2">
      <c r="A159" s="180"/>
      <c r="B159" s="190"/>
      <c r="C159" s="180"/>
      <c r="G159" s="188"/>
    </row>
    <row r="160" spans="1:7" x14ac:dyDescent="0.2">
      <c r="A160" s="180"/>
      <c r="C160" s="180"/>
      <c r="G160" s="188"/>
    </row>
    <row r="161" spans="1:7" x14ac:dyDescent="0.2">
      <c r="A161" s="180"/>
      <c r="C161" s="180"/>
    </row>
    <row r="162" spans="1:7" x14ac:dyDescent="0.2">
      <c r="A162" s="180"/>
      <c r="B162" s="190"/>
      <c r="C162" s="180"/>
      <c r="G162" s="188"/>
    </row>
    <row r="163" spans="1:7" x14ac:dyDescent="0.2">
      <c r="A163" s="180"/>
      <c r="B163" s="190"/>
      <c r="C163" s="180"/>
      <c r="G163" s="188"/>
    </row>
    <row r="164" spans="1:7" x14ac:dyDescent="0.2">
      <c r="A164" s="180"/>
      <c r="B164" s="190"/>
      <c r="C164" s="180"/>
      <c r="G164" s="188"/>
    </row>
    <row r="165" spans="1:7" x14ac:dyDescent="0.2">
      <c r="A165" s="180"/>
      <c r="C165" s="180"/>
      <c r="G165" s="188"/>
    </row>
    <row r="166" spans="1:7" x14ac:dyDescent="0.2">
      <c r="A166" s="180"/>
      <c r="C166" s="180"/>
    </row>
    <row r="167" spans="1:7" x14ac:dyDescent="0.2">
      <c r="A167" s="180"/>
      <c r="B167" s="190"/>
      <c r="C167" s="180"/>
      <c r="G167" s="188"/>
    </row>
    <row r="168" spans="1:7" x14ac:dyDescent="0.2">
      <c r="A168" s="180"/>
      <c r="B168" s="190"/>
      <c r="C168" s="180"/>
      <c r="G168" s="188"/>
    </row>
    <row r="169" spans="1:7" x14ac:dyDescent="0.2">
      <c r="A169" s="180"/>
      <c r="B169" s="190"/>
      <c r="C169" s="180"/>
      <c r="G169" s="188"/>
    </row>
    <row r="170" spans="1:7" x14ac:dyDescent="0.2">
      <c r="A170" s="180"/>
      <c r="C170" s="180"/>
      <c r="G170" s="188"/>
    </row>
    <row r="171" spans="1:7" x14ac:dyDescent="0.2">
      <c r="A171" s="180"/>
      <c r="C171" s="180"/>
    </row>
    <row r="172" spans="1:7" x14ac:dyDescent="0.2">
      <c r="A172" s="180"/>
      <c r="B172" s="190"/>
      <c r="C172" s="180"/>
      <c r="G172" s="188"/>
    </row>
    <row r="173" spans="1:7" x14ac:dyDescent="0.2">
      <c r="A173" s="180"/>
      <c r="B173" s="190"/>
      <c r="C173" s="180"/>
      <c r="G173" s="188"/>
    </row>
    <row r="174" spans="1:7" x14ac:dyDescent="0.2">
      <c r="A174" s="180"/>
      <c r="B174" s="190"/>
      <c r="C174" s="180"/>
      <c r="G174" s="188"/>
    </row>
    <row r="175" spans="1:7" x14ac:dyDescent="0.2">
      <c r="A175" s="180"/>
      <c r="C175" s="180"/>
      <c r="G175" s="188"/>
    </row>
    <row r="176" spans="1:7" x14ac:dyDescent="0.2">
      <c r="A176" s="180"/>
      <c r="C176" s="180"/>
    </row>
    <row r="177" spans="1:7" x14ac:dyDescent="0.2">
      <c r="A177" s="180"/>
      <c r="B177" s="190"/>
      <c r="C177" s="180"/>
      <c r="G177" s="188"/>
    </row>
    <row r="178" spans="1:7" x14ac:dyDescent="0.2">
      <c r="A178" s="180"/>
      <c r="B178" s="190"/>
      <c r="C178" s="180"/>
      <c r="G178" s="188"/>
    </row>
    <row r="179" spans="1:7" x14ac:dyDescent="0.2">
      <c r="A179" s="180"/>
      <c r="B179" s="190"/>
      <c r="C179" s="180"/>
      <c r="G179" s="188"/>
    </row>
    <row r="180" spans="1:7" x14ac:dyDescent="0.2">
      <c r="A180" s="180"/>
      <c r="C180" s="180"/>
      <c r="G180" s="188"/>
    </row>
    <row r="181" spans="1:7" x14ac:dyDescent="0.2">
      <c r="A181" s="180"/>
      <c r="C181" s="180"/>
    </row>
    <row r="182" spans="1:7" x14ac:dyDescent="0.2">
      <c r="A182" s="180"/>
      <c r="B182" s="190"/>
      <c r="C182" s="180"/>
      <c r="G182" s="188"/>
    </row>
    <row r="183" spans="1:7" x14ac:dyDescent="0.2">
      <c r="A183" s="180"/>
      <c r="B183" s="190"/>
      <c r="C183" s="180"/>
      <c r="G183" s="188"/>
    </row>
    <row r="184" spans="1:7" x14ac:dyDescent="0.2">
      <c r="A184" s="180"/>
      <c r="B184" s="190"/>
      <c r="C184" s="180"/>
      <c r="G184" s="188"/>
    </row>
    <row r="185" spans="1:7" x14ac:dyDescent="0.2">
      <c r="A185" s="180"/>
      <c r="C185" s="180"/>
      <c r="G185" s="188"/>
    </row>
    <row r="186" spans="1:7" x14ac:dyDescent="0.2">
      <c r="A186" s="180"/>
      <c r="C186" s="180"/>
    </row>
    <row r="187" spans="1:7" x14ac:dyDescent="0.2">
      <c r="A187" s="180"/>
      <c r="B187" s="190"/>
      <c r="C187" s="180"/>
      <c r="G187" s="188"/>
    </row>
    <row r="188" spans="1:7" x14ac:dyDescent="0.2">
      <c r="A188" s="180"/>
      <c r="B188" s="190"/>
      <c r="C188" s="180"/>
      <c r="G188" s="188"/>
    </row>
    <row r="189" spans="1:7" x14ac:dyDescent="0.2">
      <c r="A189" s="180"/>
      <c r="B189" s="190"/>
      <c r="C189" s="180"/>
      <c r="G189" s="188"/>
    </row>
    <row r="190" spans="1:7" x14ac:dyDescent="0.2">
      <c r="A190" s="180"/>
      <c r="C190" s="180"/>
      <c r="G190" s="188"/>
    </row>
    <row r="191" spans="1:7" x14ac:dyDescent="0.2">
      <c r="A191" s="180"/>
      <c r="C191" s="180"/>
    </row>
    <row r="192" spans="1:7" x14ac:dyDescent="0.2">
      <c r="A192" s="180"/>
      <c r="B192" s="190"/>
      <c r="C192" s="180"/>
      <c r="G192" s="188"/>
    </row>
    <row r="193" spans="1:7" x14ac:dyDescent="0.2">
      <c r="A193" s="180"/>
      <c r="B193" s="190"/>
      <c r="C193" s="180"/>
      <c r="G193" s="188"/>
    </row>
    <row r="194" spans="1:7" x14ac:dyDescent="0.2">
      <c r="A194" s="180"/>
      <c r="B194" s="190"/>
      <c r="C194" s="180"/>
      <c r="G194" s="188"/>
    </row>
    <row r="195" spans="1:7" x14ac:dyDescent="0.2">
      <c r="A195" s="180"/>
      <c r="C195" s="180"/>
      <c r="G195" s="188"/>
    </row>
    <row r="196" spans="1:7" x14ac:dyDescent="0.2">
      <c r="A196" s="180"/>
      <c r="C196" s="180"/>
    </row>
    <row r="197" spans="1:7" x14ac:dyDescent="0.2">
      <c r="A197" s="180"/>
      <c r="B197" s="190"/>
      <c r="C197" s="180"/>
      <c r="G197" s="188"/>
    </row>
    <row r="198" spans="1:7" x14ac:dyDescent="0.2">
      <c r="A198" s="180"/>
      <c r="B198" s="190"/>
      <c r="C198" s="180"/>
      <c r="G198" s="188"/>
    </row>
    <row r="199" spans="1:7" x14ac:dyDescent="0.2">
      <c r="A199" s="180"/>
      <c r="B199" s="190"/>
      <c r="C199" s="180"/>
      <c r="G199" s="188"/>
    </row>
    <row r="200" spans="1:7" x14ac:dyDescent="0.2">
      <c r="A200" s="180"/>
      <c r="C200" s="180"/>
      <c r="G200" s="188"/>
    </row>
    <row r="201" spans="1:7" x14ac:dyDescent="0.2">
      <c r="A201" s="180"/>
      <c r="C201" s="180"/>
    </row>
    <row r="202" spans="1:7" x14ac:dyDescent="0.2">
      <c r="A202" s="180"/>
      <c r="B202" s="190"/>
      <c r="C202" s="180"/>
      <c r="G202" s="188"/>
    </row>
    <row r="203" spans="1:7" x14ac:dyDescent="0.2">
      <c r="A203" s="180"/>
      <c r="B203" s="190"/>
      <c r="C203" s="180"/>
      <c r="G203" s="188"/>
    </row>
    <row r="204" spans="1:7" x14ac:dyDescent="0.2">
      <c r="A204" s="180"/>
      <c r="B204" s="190"/>
      <c r="C204" s="180"/>
      <c r="G204" s="188"/>
    </row>
    <row r="205" spans="1:7" x14ac:dyDescent="0.2">
      <c r="A205" s="180"/>
      <c r="C205" s="180"/>
      <c r="G205" s="188"/>
    </row>
    <row r="206" spans="1:7" x14ac:dyDescent="0.2">
      <c r="A206" s="180"/>
      <c r="C206" s="180"/>
    </row>
    <row r="207" spans="1:7" x14ac:dyDescent="0.2">
      <c r="A207" s="180"/>
      <c r="B207" s="190"/>
      <c r="C207" s="180"/>
      <c r="G207" s="188"/>
    </row>
    <row r="208" spans="1:7" x14ac:dyDescent="0.2">
      <c r="A208" s="180"/>
      <c r="B208" s="190"/>
      <c r="C208" s="180"/>
      <c r="G208" s="188"/>
    </row>
    <row r="209" spans="1:7" x14ac:dyDescent="0.2">
      <c r="A209" s="180"/>
      <c r="B209" s="190"/>
      <c r="C209" s="180"/>
      <c r="G209" s="188"/>
    </row>
    <row r="210" spans="1:7" x14ac:dyDescent="0.2">
      <c r="A210" s="180"/>
      <c r="C210" s="180"/>
      <c r="G210" s="188"/>
    </row>
    <row r="211" spans="1:7" x14ac:dyDescent="0.2">
      <c r="A211" s="180"/>
      <c r="C211" s="180"/>
    </row>
    <row r="212" spans="1:7" x14ac:dyDescent="0.2">
      <c r="A212" s="180"/>
      <c r="B212" s="190"/>
      <c r="C212" s="180"/>
      <c r="G212" s="188"/>
    </row>
    <row r="213" spans="1:7" x14ac:dyDescent="0.2">
      <c r="A213" s="180"/>
      <c r="B213" s="190"/>
      <c r="C213" s="180"/>
      <c r="G213" s="188"/>
    </row>
    <row r="214" spans="1:7" x14ac:dyDescent="0.2">
      <c r="A214" s="180"/>
      <c r="B214" s="190"/>
      <c r="C214" s="180"/>
      <c r="G214" s="188"/>
    </row>
    <row r="215" spans="1:7" x14ac:dyDescent="0.2">
      <c r="A215" s="180"/>
      <c r="C215" s="180"/>
      <c r="G215" s="188"/>
    </row>
    <row r="216" spans="1:7" x14ac:dyDescent="0.2">
      <c r="A216" s="180"/>
      <c r="C216" s="180"/>
    </row>
    <row r="217" spans="1:7" x14ac:dyDescent="0.2">
      <c r="A217" s="180"/>
      <c r="B217" s="190"/>
      <c r="C217" s="180"/>
      <c r="G217" s="188"/>
    </row>
    <row r="218" spans="1:7" x14ac:dyDescent="0.2">
      <c r="A218" s="180"/>
      <c r="B218" s="190"/>
      <c r="C218" s="180"/>
      <c r="G218" s="188"/>
    </row>
    <row r="219" spans="1:7" x14ac:dyDescent="0.2">
      <c r="A219" s="180"/>
      <c r="B219" s="190"/>
      <c r="C219" s="180"/>
      <c r="G219" s="188"/>
    </row>
    <row r="220" spans="1:7" x14ac:dyDescent="0.2">
      <c r="A220" s="180"/>
      <c r="C220" s="180"/>
      <c r="G220" s="188"/>
    </row>
    <row r="221" spans="1:7" x14ac:dyDescent="0.2">
      <c r="A221" s="180"/>
      <c r="C221" s="180"/>
    </row>
    <row r="222" spans="1:7" x14ac:dyDescent="0.2">
      <c r="A222" s="180"/>
      <c r="B222" s="190"/>
      <c r="C222" s="180"/>
      <c r="G222" s="188"/>
    </row>
    <row r="223" spans="1:7" x14ac:dyDescent="0.2">
      <c r="A223" s="180"/>
      <c r="B223" s="190"/>
      <c r="C223" s="180"/>
      <c r="G223" s="188"/>
    </row>
    <row r="224" spans="1:7" x14ac:dyDescent="0.2">
      <c r="A224" s="180"/>
      <c r="B224" s="190"/>
      <c r="C224" s="180"/>
      <c r="G224" s="188"/>
    </row>
    <row r="225" spans="1:7" x14ac:dyDescent="0.2">
      <c r="A225" s="180"/>
      <c r="C225" s="180"/>
      <c r="G225" s="188"/>
    </row>
    <row r="226" spans="1:7" x14ac:dyDescent="0.2">
      <c r="A226" s="180"/>
      <c r="C226" s="180"/>
    </row>
    <row r="227" spans="1:7" x14ac:dyDescent="0.2">
      <c r="A227" s="180"/>
      <c r="B227" s="190"/>
      <c r="C227" s="180"/>
      <c r="G227" s="188"/>
    </row>
    <row r="228" spans="1:7" x14ac:dyDescent="0.2">
      <c r="A228" s="180"/>
      <c r="B228" s="190"/>
      <c r="C228" s="180"/>
      <c r="G228" s="188"/>
    </row>
    <row r="229" spans="1:7" x14ac:dyDescent="0.2">
      <c r="A229" s="180"/>
      <c r="B229" s="190"/>
      <c r="C229" s="180"/>
      <c r="G229" s="188"/>
    </row>
    <row r="230" spans="1:7" x14ac:dyDescent="0.2">
      <c r="A230" s="180"/>
      <c r="C230" s="180"/>
      <c r="G230" s="188"/>
    </row>
    <row r="231" spans="1:7" x14ac:dyDescent="0.2">
      <c r="A231" s="180"/>
      <c r="C231" s="180"/>
    </row>
    <row r="232" spans="1:7" x14ac:dyDescent="0.2">
      <c r="A232" s="180"/>
      <c r="B232" s="190"/>
      <c r="C232" s="180"/>
      <c r="G232" s="188"/>
    </row>
    <row r="233" spans="1:7" x14ac:dyDescent="0.2">
      <c r="A233" s="180"/>
      <c r="B233" s="190"/>
      <c r="C233" s="180"/>
      <c r="G233" s="188"/>
    </row>
    <row r="234" spans="1:7" x14ac:dyDescent="0.2">
      <c r="A234" s="180"/>
      <c r="B234" s="190"/>
      <c r="C234" s="180"/>
      <c r="G234" s="188"/>
    </row>
    <row r="235" spans="1:7" x14ac:dyDescent="0.2">
      <c r="A235" s="180"/>
      <c r="C235" s="180"/>
      <c r="G235" s="188"/>
    </row>
    <row r="236" spans="1:7" x14ac:dyDescent="0.2">
      <c r="A236" s="180"/>
      <c r="C236" s="180"/>
    </row>
    <row r="237" spans="1:7" x14ac:dyDescent="0.2">
      <c r="A237" s="180"/>
      <c r="B237" s="190"/>
      <c r="C237" s="180"/>
      <c r="G237" s="188"/>
    </row>
    <row r="238" spans="1:7" x14ac:dyDescent="0.2">
      <c r="A238" s="180"/>
      <c r="B238" s="190"/>
      <c r="C238" s="180"/>
      <c r="G238" s="188"/>
    </row>
    <row r="239" spans="1:7" x14ac:dyDescent="0.2">
      <c r="A239" s="180"/>
      <c r="B239" s="190"/>
      <c r="C239" s="180"/>
      <c r="G239" s="188"/>
    </row>
    <row r="240" spans="1:7" x14ac:dyDescent="0.2">
      <c r="A240" s="180"/>
      <c r="C240" s="180"/>
      <c r="G240" s="188"/>
    </row>
    <row r="241" spans="1:7" x14ac:dyDescent="0.2">
      <c r="A241" s="180"/>
      <c r="C241" s="180"/>
    </row>
    <row r="242" spans="1:7" x14ac:dyDescent="0.2">
      <c r="A242" s="180"/>
      <c r="B242" s="190"/>
      <c r="C242" s="180"/>
      <c r="G242" s="188"/>
    </row>
    <row r="243" spans="1:7" x14ac:dyDescent="0.2">
      <c r="A243" s="180"/>
      <c r="B243" s="190"/>
      <c r="C243" s="180"/>
      <c r="G243" s="188"/>
    </row>
    <row r="244" spans="1:7" x14ac:dyDescent="0.2">
      <c r="A244" s="180"/>
      <c r="B244" s="190"/>
      <c r="C244" s="180"/>
      <c r="G244" s="188"/>
    </row>
    <row r="245" spans="1:7" x14ac:dyDescent="0.2">
      <c r="A245" s="180"/>
      <c r="C245" s="180"/>
      <c r="G245" s="188"/>
    </row>
    <row r="246" spans="1:7" x14ac:dyDescent="0.2">
      <c r="A246" s="180"/>
      <c r="C246" s="180"/>
    </row>
    <row r="247" spans="1:7" x14ac:dyDescent="0.2">
      <c r="A247" s="180"/>
      <c r="B247" s="190"/>
      <c r="C247" s="180"/>
      <c r="G247" s="188"/>
    </row>
    <row r="248" spans="1:7" x14ac:dyDescent="0.2">
      <c r="A248" s="180"/>
      <c r="B248" s="190"/>
      <c r="C248" s="180"/>
      <c r="G248" s="188"/>
    </row>
    <row r="249" spans="1:7" x14ac:dyDescent="0.2">
      <c r="A249" s="180"/>
      <c r="B249" s="190"/>
      <c r="C249" s="180"/>
      <c r="G249" s="188"/>
    </row>
    <row r="250" spans="1:7" x14ac:dyDescent="0.2">
      <c r="A250" s="180"/>
      <c r="C250" s="180"/>
      <c r="G250" s="188"/>
    </row>
    <row r="251" spans="1:7" x14ac:dyDescent="0.2">
      <c r="A251" s="180"/>
      <c r="C251" s="180"/>
    </row>
    <row r="252" spans="1:7" x14ac:dyDescent="0.2">
      <c r="A252" s="180"/>
      <c r="B252" s="190"/>
      <c r="C252" s="180"/>
      <c r="G252" s="188"/>
    </row>
    <row r="253" spans="1:7" x14ac:dyDescent="0.2">
      <c r="A253" s="180"/>
      <c r="B253" s="190"/>
      <c r="C253" s="180"/>
      <c r="G253" s="188"/>
    </row>
    <row r="254" spans="1:7" x14ac:dyDescent="0.2">
      <c r="A254" s="180"/>
      <c r="B254" s="190"/>
      <c r="C254" s="180"/>
      <c r="G254" s="188"/>
    </row>
    <row r="255" spans="1:7" x14ac:dyDescent="0.2">
      <c r="A255" s="180"/>
      <c r="C255" s="180"/>
      <c r="G255" s="188"/>
    </row>
    <row r="256" spans="1:7" x14ac:dyDescent="0.2">
      <c r="A256" s="180"/>
      <c r="C256" s="180"/>
    </row>
    <row r="257" spans="1:7" x14ac:dyDescent="0.2">
      <c r="A257" s="180"/>
      <c r="B257" s="190"/>
      <c r="C257" s="180"/>
      <c r="G257" s="188"/>
    </row>
    <row r="258" spans="1:7" x14ac:dyDescent="0.2">
      <c r="A258" s="180"/>
      <c r="B258" s="190"/>
      <c r="C258" s="180"/>
      <c r="G258" s="188"/>
    </row>
    <row r="259" spans="1:7" x14ac:dyDescent="0.2">
      <c r="A259" s="180"/>
      <c r="B259" s="190"/>
      <c r="C259" s="180"/>
      <c r="G259" s="188"/>
    </row>
    <row r="260" spans="1:7" x14ac:dyDescent="0.2">
      <c r="A260" s="180"/>
      <c r="C260" s="180"/>
      <c r="G260" s="188"/>
    </row>
    <row r="261" spans="1:7" x14ac:dyDescent="0.2">
      <c r="A261" s="180"/>
      <c r="C261" s="180"/>
    </row>
    <row r="262" spans="1:7" x14ac:dyDescent="0.2">
      <c r="A262" s="180"/>
      <c r="B262" s="190"/>
      <c r="C262" s="180"/>
      <c r="G262" s="188"/>
    </row>
    <row r="263" spans="1:7" x14ac:dyDescent="0.2">
      <c r="A263" s="180"/>
      <c r="B263" s="190"/>
      <c r="C263" s="180"/>
      <c r="G263" s="188"/>
    </row>
    <row r="264" spans="1:7" x14ac:dyDescent="0.2">
      <c r="A264" s="180"/>
      <c r="B264" s="190"/>
      <c r="C264" s="180"/>
      <c r="G264" s="188"/>
    </row>
    <row r="265" spans="1:7" x14ac:dyDescent="0.2">
      <c r="A265" s="180"/>
      <c r="C265" s="180"/>
      <c r="G265" s="188"/>
    </row>
    <row r="266" spans="1:7" x14ac:dyDescent="0.2">
      <c r="A266" s="180"/>
      <c r="C266" s="180"/>
    </row>
    <row r="267" spans="1:7" x14ac:dyDescent="0.2">
      <c r="A267" s="180"/>
      <c r="B267" s="190"/>
      <c r="C267" s="180"/>
      <c r="G267" s="188"/>
    </row>
    <row r="268" spans="1:7" x14ac:dyDescent="0.2">
      <c r="A268" s="180"/>
      <c r="B268" s="190"/>
      <c r="C268" s="180"/>
      <c r="G268" s="188"/>
    </row>
    <row r="269" spans="1:7" x14ac:dyDescent="0.2">
      <c r="A269" s="180"/>
      <c r="B269" s="190"/>
      <c r="C269" s="180"/>
      <c r="G269" s="188"/>
    </row>
    <row r="270" spans="1:7" x14ac:dyDescent="0.2">
      <c r="A270" s="180"/>
      <c r="C270" s="180"/>
      <c r="G270" s="188"/>
    </row>
    <row r="271" spans="1:7" x14ac:dyDescent="0.2">
      <c r="A271" s="180"/>
      <c r="C271" s="180"/>
    </row>
    <row r="272" spans="1:7" x14ac:dyDescent="0.2">
      <c r="A272" s="180"/>
      <c r="B272" s="190"/>
      <c r="C272" s="180"/>
      <c r="G272" s="188"/>
    </row>
    <row r="273" spans="1:7" x14ac:dyDescent="0.2">
      <c r="A273" s="180"/>
      <c r="B273" s="190"/>
      <c r="C273" s="180"/>
      <c r="G273" s="188"/>
    </row>
    <row r="274" spans="1:7" x14ac:dyDescent="0.2">
      <c r="A274" s="180"/>
      <c r="B274" s="190"/>
      <c r="C274" s="180"/>
      <c r="G274" s="188"/>
    </row>
    <row r="275" spans="1:7" x14ac:dyDescent="0.2">
      <c r="A275" s="180"/>
      <c r="C275" s="180"/>
      <c r="G275" s="188"/>
    </row>
    <row r="276" spans="1:7" x14ac:dyDescent="0.2">
      <c r="A276" s="180"/>
      <c r="C276" s="180"/>
    </row>
    <row r="277" spans="1:7" x14ac:dyDescent="0.2">
      <c r="A277" s="180"/>
      <c r="B277" s="190"/>
      <c r="C277" s="180"/>
      <c r="G277" s="188"/>
    </row>
    <row r="278" spans="1:7" x14ac:dyDescent="0.2">
      <c r="A278" s="180"/>
      <c r="B278" s="190"/>
      <c r="C278" s="180"/>
      <c r="G278" s="188"/>
    </row>
    <row r="279" spans="1:7" x14ac:dyDescent="0.2">
      <c r="A279" s="180"/>
      <c r="B279" s="190"/>
      <c r="C279" s="180"/>
      <c r="G279" s="188"/>
    </row>
    <row r="280" spans="1:7" x14ac:dyDescent="0.2">
      <c r="A280" s="180"/>
      <c r="C280" s="180"/>
      <c r="G280" s="188"/>
    </row>
    <row r="281" spans="1:7" x14ac:dyDescent="0.2">
      <c r="A281" s="180"/>
      <c r="C281" s="180"/>
    </row>
    <row r="282" spans="1:7" x14ac:dyDescent="0.2">
      <c r="A282" s="180"/>
      <c r="B282" s="190"/>
      <c r="C282" s="180"/>
      <c r="G282" s="188"/>
    </row>
    <row r="283" spans="1:7" x14ac:dyDescent="0.2">
      <c r="A283" s="180"/>
      <c r="B283" s="190"/>
      <c r="C283" s="180"/>
      <c r="G283" s="188"/>
    </row>
    <row r="284" spans="1:7" x14ac:dyDescent="0.2">
      <c r="A284" s="180"/>
      <c r="B284" s="190"/>
      <c r="C284" s="180"/>
      <c r="G284" s="188"/>
    </row>
    <row r="285" spans="1:7" x14ac:dyDescent="0.2">
      <c r="A285" s="180"/>
      <c r="C285" s="180"/>
      <c r="G285" s="188"/>
    </row>
    <row r="286" spans="1:7" x14ac:dyDescent="0.2">
      <c r="A286" s="180"/>
      <c r="C286" s="180"/>
    </row>
    <row r="287" spans="1:7" x14ac:dyDescent="0.2">
      <c r="A287" s="180"/>
      <c r="B287" s="190"/>
      <c r="C287" s="180"/>
      <c r="G287" s="188"/>
    </row>
    <row r="288" spans="1:7" x14ac:dyDescent="0.2">
      <c r="A288" s="180"/>
      <c r="B288" s="189"/>
      <c r="C288" s="180"/>
      <c r="G288" s="188"/>
    </row>
    <row r="289" spans="1:7" x14ac:dyDescent="0.2">
      <c r="A289" s="180"/>
      <c r="B289" s="189"/>
      <c r="C289" s="180"/>
      <c r="G289" s="188"/>
    </row>
    <row r="290" spans="1:7" x14ac:dyDescent="0.2">
      <c r="A290" s="180"/>
      <c r="C290" s="180"/>
      <c r="G290" s="188"/>
    </row>
    <row r="291" spans="1:7" x14ac:dyDescent="0.2">
      <c r="A291" s="180"/>
      <c r="C291" s="180"/>
    </row>
    <row r="292" spans="1:7" x14ac:dyDescent="0.2">
      <c r="A292" s="180"/>
      <c r="B292" s="190"/>
      <c r="C292" s="180"/>
      <c r="G292" s="188"/>
    </row>
    <row r="293" spans="1:7" x14ac:dyDescent="0.2">
      <c r="A293" s="180"/>
      <c r="B293" s="189"/>
      <c r="C293" s="180"/>
      <c r="G293" s="188"/>
    </row>
    <row r="294" spans="1:7" x14ac:dyDescent="0.2">
      <c r="A294" s="180"/>
      <c r="B294" s="189"/>
      <c r="C294" s="180"/>
      <c r="G294" s="188"/>
    </row>
    <row r="295" spans="1:7" x14ac:dyDescent="0.2">
      <c r="A295" s="180"/>
      <c r="C295" s="180"/>
      <c r="G295" s="188"/>
    </row>
    <row r="296" spans="1:7" x14ac:dyDescent="0.2">
      <c r="A296" s="180"/>
      <c r="C296" s="180"/>
    </row>
    <row r="297" spans="1:7" x14ac:dyDescent="0.2">
      <c r="A297" s="180"/>
      <c r="B297" s="190"/>
      <c r="C297" s="180"/>
      <c r="G297" s="188"/>
    </row>
    <row r="298" spans="1:7" x14ac:dyDescent="0.2">
      <c r="A298" s="180"/>
      <c r="B298" s="189"/>
      <c r="C298" s="180"/>
      <c r="G298" s="188"/>
    </row>
    <row r="299" spans="1:7" x14ac:dyDescent="0.2">
      <c r="A299" s="180"/>
      <c r="B299" s="189"/>
      <c r="C299" s="180"/>
      <c r="G299" s="188"/>
    </row>
    <row r="300" spans="1:7" x14ac:dyDescent="0.2">
      <c r="A300" s="180"/>
      <c r="C300" s="180"/>
      <c r="G300" s="188"/>
    </row>
    <row r="301" spans="1:7" x14ac:dyDescent="0.2">
      <c r="A301" s="180"/>
      <c r="C301" s="180"/>
    </row>
    <row r="302" spans="1:7" x14ac:dyDescent="0.2">
      <c r="A302" s="180"/>
      <c r="B302" s="190"/>
      <c r="C302" s="180"/>
      <c r="G302" s="188"/>
    </row>
    <row r="303" spans="1:7" x14ac:dyDescent="0.2">
      <c r="A303" s="180"/>
      <c r="B303" s="189"/>
      <c r="C303" s="180"/>
      <c r="G303" s="188"/>
    </row>
    <row r="304" spans="1:7" x14ac:dyDescent="0.2">
      <c r="A304" s="180"/>
      <c r="B304" s="189"/>
      <c r="C304" s="180"/>
      <c r="G304" s="188"/>
    </row>
    <row r="305" spans="1:7" x14ac:dyDescent="0.2">
      <c r="A305" s="180"/>
      <c r="C305" s="180"/>
      <c r="G305" s="188"/>
    </row>
    <row r="306" spans="1:7" x14ac:dyDescent="0.2">
      <c r="A306" s="180"/>
      <c r="C306" s="180"/>
    </row>
    <row r="307" spans="1:7" x14ac:dyDescent="0.2">
      <c r="A307" s="180"/>
      <c r="B307" s="190"/>
      <c r="C307" s="180"/>
      <c r="G307" s="188"/>
    </row>
    <row r="308" spans="1:7" x14ac:dyDescent="0.2">
      <c r="A308" s="180"/>
      <c r="B308" s="189"/>
      <c r="C308" s="180"/>
      <c r="G308" s="188"/>
    </row>
    <row r="309" spans="1:7" x14ac:dyDescent="0.2">
      <c r="A309" s="180"/>
      <c r="B309" s="189"/>
      <c r="C309" s="180"/>
      <c r="G309" s="188"/>
    </row>
    <row r="310" spans="1:7" x14ac:dyDescent="0.2">
      <c r="A310" s="180"/>
      <c r="C310" s="180"/>
      <c r="G310" s="188"/>
    </row>
    <row r="311" spans="1:7" x14ac:dyDescent="0.2">
      <c r="A311" s="180"/>
      <c r="C311" s="180"/>
    </row>
    <row r="312" spans="1:7" x14ac:dyDescent="0.2">
      <c r="A312" s="180"/>
      <c r="B312" s="190"/>
      <c r="C312" s="180"/>
      <c r="G312" s="188"/>
    </row>
    <row r="313" spans="1:7" x14ac:dyDescent="0.2">
      <c r="A313" s="180"/>
      <c r="B313" s="189"/>
      <c r="C313" s="180"/>
      <c r="G313" s="188"/>
    </row>
    <row r="314" spans="1:7" x14ac:dyDescent="0.2">
      <c r="A314" s="180"/>
      <c r="B314" s="189"/>
      <c r="C314" s="180"/>
      <c r="G314" s="188"/>
    </row>
    <row r="315" spans="1:7" x14ac:dyDescent="0.2">
      <c r="A315" s="180"/>
      <c r="C315" s="180"/>
      <c r="G315" s="188"/>
    </row>
    <row r="316" spans="1:7" x14ac:dyDescent="0.2">
      <c r="A316" s="180"/>
      <c r="C316" s="180"/>
    </row>
    <row r="317" spans="1:7" x14ac:dyDescent="0.2">
      <c r="A317" s="180"/>
      <c r="B317" s="190"/>
      <c r="C317" s="180"/>
      <c r="G317" s="188"/>
    </row>
    <row r="318" spans="1:7" x14ac:dyDescent="0.2">
      <c r="A318" s="180"/>
      <c r="B318" s="189"/>
      <c r="C318" s="180"/>
      <c r="G318" s="188"/>
    </row>
    <row r="319" spans="1:7" x14ac:dyDescent="0.2">
      <c r="A319" s="180"/>
      <c r="B319" s="189"/>
      <c r="C319" s="180"/>
      <c r="G319" s="188"/>
    </row>
    <row r="320" spans="1:7" x14ac:dyDescent="0.2">
      <c r="A320" s="180"/>
      <c r="C320" s="180"/>
      <c r="G320" s="188"/>
    </row>
    <row r="321" spans="1:7" x14ac:dyDescent="0.2">
      <c r="A321" s="180"/>
      <c r="C321" s="180"/>
    </row>
    <row r="322" spans="1:7" x14ac:dyDescent="0.2">
      <c r="A322" s="180"/>
      <c r="B322" s="190"/>
      <c r="C322" s="180"/>
      <c r="G322" s="188"/>
    </row>
    <row r="323" spans="1:7" x14ac:dyDescent="0.2">
      <c r="A323" s="180"/>
      <c r="B323" s="189"/>
      <c r="C323" s="180"/>
      <c r="G323" s="188"/>
    </row>
    <row r="324" spans="1:7" x14ac:dyDescent="0.2">
      <c r="A324" s="180"/>
      <c r="B324" s="189"/>
      <c r="C324" s="180"/>
      <c r="G324" s="188"/>
    </row>
    <row r="325" spans="1:7" x14ac:dyDescent="0.2">
      <c r="A325" s="180"/>
      <c r="C325" s="180"/>
      <c r="G325" s="188"/>
    </row>
    <row r="326" spans="1:7" x14ac:dyDescent="0.2">
      <c r="A326" s="180"/>
      <c r="C326" s="180"/>
    </row>
    <row r="327" spans="1:7" x14ac:dyDescent="0.2">
      <c r="A327" s="180"/>
      <c r="B327" s="190"/>
      <c r="C327" s="180"/>
      <c r="G327" s="188"/>
    </row>
    <row r="328" spans="1:7" x14ac:dyDescent="0.2">
      <c r="A328" s="180"/>
      <c r="B328" s="189"/>
      <c r="C328" s="180"/>
      <c r="G328" s="188"/>
    </row>
    <row r="329" spans="1:7" x14ac:dyDescent="0.2">
      <c r="A329" s="180"/>
      <c r="B329" s="189"/>
      <c r="C329" s="180"/>
      <c r="G329" s="188"/>
    </row>
    <row r="330" spans="1:7" x14ac:dyDescent="0.2">
      <c r="A330" s="180"/>
      <c r="C330" s="180"/>
      <c r="G330" s="188"/>
    </row>
    <row r="331" spans="1:7" x14ac:dyDescent="0.2">
      <c r="A331" s="180"/>
      <c r="C331" s="180"/>
    </row>
    <row r="332" spans="1:7" x14ac:dyDescent="0.2">
      <c r="A332" s="180"/>
      <c r="B332" s="190"/>
      <c r="C332" s="180"/>
      <c r="G332" s="188"/>
    </row>
    <row r="333" spans="1:7" x14ac:dyDescent="0.2">
      <c r="A333" s="180"/>
      <c r="B333" s="189"/>
      <c r="C333" s="180"/>
      <c r="G333" s="188"/>
    </row>
    <row r="334" spans="1:7" x14ac:dyDescent="0.2">
      <c r="A334" s="180"/>
      <c r="B334" s="189"/>
      <c r="C334" s="180"/>
      <c r="G334" s="188"/>
    </row>
    <row r="335" spans="1:7" x14ac:dyDescent="0.2">
      <c r="A335" s="180"/>
      <c r="C335" s="180"/>
      <c r="G335" s="188"/>
    </row>
    <row r="336" spans="1:7" x14ac:dyDescent="0.2">
      <c r="A336" s="180"/>
      <c r="C336" s="180"/>
    </row>
    <row r="337" spans="1:7" x14ac:dyDescent="0.2">
      <c r="A337" s="180"/>
      <c r="B337" s="190"/>
      <c r="C337" s="180"/>
      <c r="G337" s="188"/>
    </row>
    <row r="338" spans="1:7" x14ac:dyDescent="0.2">
      <c r="A338" s="180"/>
      <c r="B338" s="189"/>
      <c r="C338" s="180"/>
      <c r="G338" s="188"/>
    </row>
    <row r="339" spans="1:7" x14ac:dyDescent="0.2">
      <c r="A339" s="180"/>
      <c r="B339" s="189"/>
      <c r="C339" s="180"/>
      <c r="G339" s="188"/>
    </row>
    <row r="340" spans="1:7" x14ac:dyDescent="0.2">
      <c r="A340" s="180"/>
      <c r="C340" s="180"/>
      <c r="G340" s="188"/>
    </row>
    <row r="341" spans="1:7" x14ac:dyDescent="0.2">
      <c r="A341" s="180"/>
      <c r="C341" s="180"/>
    </row>
    <row r="342" spans="1:7" x14ac:dyDescent="0.2">
      <c r="A342" s="180"/>
      <c r="B342" s="190"/>
      <c r="C342" s="180"/>
      <c r="G342" s="188"/>
    </row>
    <row r="343" spans="1:7" x14ac:dyDescent="0.2">
      <c r="A343" s="180"/>
      <c r="B343" s="189"/>
      <c r="C343" s="180"/>
      <c r="G343" s="188"/>
    </row>
    <row r="344" spans="1:7" x14ac:dyDescent="0.2">
      <c r="A344" s="180"/>
      <c r="B344" s="189"/>
      <c r="C344" s="180"/>
      <c r="G344" s="188"/>
    </row>
    <row r="345" spans="1:7" x14ac:dyDescent="0.2">
      <c r="A345" s="180"/>
      <c r="C345" s="180"/>
      <c r="G345" s="188"/>
    </row>
    <row r="346" spans="1:7" x14ac:dyDescent="0.2">
      <c r="A346" s="180"/>
      <c r="C346" s="180"/>
    </row>
    <row r="347" spans="1:7" x14ac:dyDescent="0.2">
      <c r="A347" s="180"/>
      <c r="B347" s="190"/>
      <c r="C347" s="180"/>
      <c r="G347" s="188"/>
    </row>
    <row r="348" spans="1:7" x14ac:dyDescent="0.2">
      <c r="A348" s="180"/>
      <c r="B348" s="189"/>
      <c r="C348" s="180"/>
      <c r="G348" s="188"/>
    </row>
    <row r="349" spans="1:7" x14ac:dyDescent="0.2">
      <c r="A349" s="180"/>
      <c r="B349" s="189"/>
      <c r="C349" s="180"/>
      <c r="G349" s="188"/>
    </row>
    <row r="350" spans="1:7" x14ac:dyDescent="0.2">
      <c r="A350" s="180"/>
      <c r="C350" s="180"/>
      <c r="G350" s="188"/>
    </row>
    <row r="351" spans="1:7" x14ac:dyDescent="0.2">
      <c r="A351" s="180"/>
      <c r="C351" s="180"/>
    </row>
    <row r="352" spans="1:7" x14ac:dyDescent="0.2">
      <c r="A352" s="180"/>
      <c r="B352" s="190"/>
      <c r="C352" s="180"/>
      <c r="G352" s="188"/>
    </row>
    <row r="353" spans="1:7" x14ac:dyDescent="0.2">
      <c r="A353" s="180"/>
      <c r="B353" s="189"/>
      <c r="C353" s="180"/>
      <c r="G353" s="188"/>
    </row>
    <row r="354" spans="1:7" x14ac:dyDescent="0.2">
      <c r="A354" s="180"/>
      <c r="B354" s="189"/>
      <c r="C354" s="180"/>
      <c r="G354" s="188"/>
    </row>
    <row r="355" spans="1:7" x14ac:dyDescent="0.2">
      <c r="A355" s="180"/>
      <c r="C355" s="180"/>
      <c r="G355" s="188"/>
    </row>
    <row r="356" spans="1:7" x14ac:dyDescent="0.2">
      <c r="A356" s="180"/>
      <c r="C356" s="180"/>
    </row>
    <row r="357" spans="1:7" x14ac:dyDescent="0.2">
      <c r="A357" s="180"/>
      <c r="B357" s="190"/>
      <c r="C357" s="180"/>
      <c r="G357" s="188"/>
    </row>
    <row r="358" spans="1:7" x14ac:dyDescent="0.2">
      <c r="A358" s="180"/>
      <c r="B358" s="189"/>
      <c r="C358" s="180"/>
      <c r="G358" s="188"/>
    </row>
    <row r="359" spans="1:7" x14ac:dyDescent="0.2">
      <c r="A359" s="180"/>
      <c r="B359" s="189"/>
      <c r="C359" s="180"/>
      <c r="G359" s="188"/>
    </row>
    <row r="360" spans="1:7" x14ac:dyDescent="0.2">
      <c r="A360" s="180"/>
      <c r="C360" s="180"/>
      <c r="G360" s="188"/>
    </row>
    <row r="361" spans="1:7" x14ac:dyDescent="0.2">
      <c r="A361" s="180"/>
      <c r="C361" s="180"/>
    </row>
    <row r="362" spans="1:7" x14ac:dyDescent="0.2">
      <c r="A362" s="180"/>
      <c r="B362" s="190"/>
      <c r="C362" s="180"/>
      <c r="G362" s="188"/>
    </row>
    <row r="363" spans="1:7" x14ac:dyDescent="0.2">
      <c r="A363" s="180"/>
      <c r="B363" s="189"/>
      <c r="C363" s="180"/>
      <c r="G363" s="188"/>
    </row>
    <row r="364" spans="1:7" x14ac:dyDescent="0.2">
      <c r="A364" s="180"/>
      <c r="B364" s="189"/>
      <c r="C364" s="180"/>
      <c r="G364" s="188"/>
    </row>
    <row r="365" spans="1:7" x14ac:dyDescent="0.2">
      <c r="A365" s="180"/>
      <c r="C365" s="180"/>
      <c r="G365" s="188"/>
    </row>
    <row r="366" spans="1:7" x14ac:dyDescent="0.2">
      <c r="A366" s="180"/>
      <c r="C366" s="180"/>
    </row>
    <row r="367" spans="1:7" x14ac:dyDescent="0.2">
      <c r="A367" s="180"/>
      <c r="B367" s="190"/>
      <c r="C367" s="180"/>
      <c r="G367" s="188"/>
    </row>
    <row r="368" spans="1:7" x14ac:dyDescent="0.2">
      <c r="A368" s="180"/>
      <c r="B368" s="189"/>
      <c r="C368" s="180"/>
      <c r="G368" s="188"/>
    </row>
    <row r="369" spans="1:7" x14ac:dyDescent="0.2">
      <c r="A369" s="180"/>
      <c r="B369" s="189"/>
      <c r="C369" s="180"/>
      <c r="G369" s="188"/>
    </row>
    <row r="370" spans="1:7" x14ac:dyDescent="0.2">
      <c r="A370" s="180"/>
      <c r="C370" s="180"/>
      <c r="G370" s="188"/>
    </row>
    <row r="371" spans="1:7" x14ac:dyDescent="0.2">
      <c r="A371" s="180"/>
      <c r="C371" s="180"/>
    </row>
    <row r="372" spans="1:7" x14ac:dyDescent="0.2">
      <c r="A372" s="180"/>
      <c r="B372" s="190"/>
      <c r="C372" s="180"/>
      <c r="G372" s="188"/>
    </row>
    <row r="373" spans="1:7" x14ac:dyDescent="0.2">
      <c r="A373" s="180"/>
      <c r="B373" s="189"/>
      <c r="C373" s="180"/>
      <c r="G373" s="188"/>
    </row>
    <row r="374" spans="1:7" x14ac:dyDescent="0.2">
      <c r="A374" s="180"/>
      <c r="B374" s="189"/>
      <c r="C374" s="180"/>
      <c r="G374" s="188"/>
    </row>
    <row r="375" spans="1:7" x14ac:dyDescent="0.2">
      <c r="A375" s="180"/>
      <c r="C375" s="180"/>
      <c r="G375" s="188"/>
    </row>
    <row r="376" spans="1:7" x14ac:dyDescent="0.2">
      <c r="A376" s="180"/>
      <c r="C376" s="180"/>
    </row>
    <row r="377" spans="1:7" x14ac:dyDescent="0.2">
      <c r="A377" s="180"/>
      <c r="B377" s="190"/>
      <c r="C377" s="180"/>
      <c r="G377" s="188"/>
    </row>
    <row r="378" spans="1:7" x14ac:dyDescent="0.2">
      <c r="A378" s="180"/>
      <c r="B378" s="189"/>
      <c r="C378" s="180"/>
      <c r="G378" s="188"/>
    </row>
    <row r="379" spans="1:7" x14ac:dyDescent="0.2">
      <c r="A379" s="180"/>
      <c r="B379" s="189"/>
      <c r="C379" s="180"/>
      <c r="G379" s="188"/>
    </row>
    <row r="380" spans="1:7" x14ac:dyDescent="0.2">
      <c r="A380" s="180"/>
      <c r="C380" s="180"/>
      <c r="G380" s="188"/>
    </row>
    <row r="381" spans="1:7" x14ac:dyDescent="0.2">
      <c r="A381" s="180"/>
      <c r="C381" s="180"/>
    </row>
    <row r="382" spans="1:7" x14ac:dyDescent="0.2">
      <c r="A382" s="180"/>
      <c r="B382" s="190"/>
      <c r="C382" s="180"/>
      <c r="G382" s="188"/>
    </row>
    <row r="383" spans="1:7" x14ac:dyDescent="0.2">
      <c r="A383" s="180"/>
      <c r="B383" s="189"/>
      <c r="C383" s="180"/>
      <c r="G383" s="188"/>
    </row>
    <row r="384" spans="1:7" x14ac:dyDescent="0.2">
      <c r="A384" s="180"/>
      <c r="B384" s="189"/>
      <c r="C384" s="180"/>
      <c r="G384" s="188"/>
    </row>
    <row r="385" spans="1:7" x14ac:dyDescent="0.2">
      <c r="A385" s="180"/>
      <c r="C385" s="180"/>
      <c r="G385" s="188"/>
    </row>
    <row r="386" spans="1:7" x14ac:dyDescent="0.2">
      <c r="A386" s="180"/>
      <c r="C386" s="180"/>
    </row>
    <row r="387" spans="1:7" x14ac:dyDescent="0.2">
      <c r="A387" s="180"/>
      <c r="B387" s="190"/>
      <c r="C387" s="180"/>
      <c r="G387" s="188"/>
    </row>
    <row r="388" spans="1:7" x14ac:dyDescent="0.2">
      <c r="A388" s="180"/>
      <c r="B388" s="189"/>
      <c r="C388" s="180"/>
      <c r="G388" s="188"/>
    </row>
    <row r="389" spans="1:7" x14ac:dyDescent="0.2">
      <c r="A389" s="180"/>
      <c r="B389" s="189"/>
      <c r="C389" s="180"/>
      <c r="G389" s="188"/>
    </row>
    <row r="390" spans="1:7" x14ac:dyDescent="0.2">
      <c r="A390" s="180"/>
      <c r="C390" s="180"/>
      <c r="G390" s="188"/>
    </row>
    <row r="391" spans="1:7" x14ac:dyDescent="0.2">
      <c r="A391" s="180"/>
      <c r="C391" s="180"/>
    </row>
    <row r="392" spans="1:7" x14ac:dyDescent="0.2">
      <c r="A392" s="180"/>
      <c r="B392" s="190"/>
      <c r="C392" s="180"/>
      <c r="G392" s="188"/>
    </row>
    <row r="393" spans="1:7" x14ac:dyDescent="0.2">
      <c r="A393" s="180"/>
      <c r="B393" s="189"/>
      <c r="C393" s="180"/>
      <c r="G393" s="188"/>
    </row>
    <row r="394" spans="1:7" x14ac:dyDescent="0.2">
      <c r="A394" s="180"/>
      <c r="B394" s="189"/>
      <c r="C394" s="180"/>
      <c r="G394" s="188"/>
    </row>
    <row r="395" spans="1:7" x14ac:dyDescent="0.2">
      <c r="A395" s="180"/>
      <c r="C395" s="180"/>
      <c r="G395" s="188"/>
    </row>
    <row r="396" spans="1:7" x14ac:dyDescent="0.2">
      <c r="A396" s="180"/>
      <c r="C396" s="180"/>
    </row>
    <row r="397" spans="1:7" x14ac:dyDescent="0.2">
      <c r="A397" s="180"/>
      <c r="B397" s="190"/>
      <c r="C397" s="180"/>
      <c r="G397" s="188"/>
    </row>
    <row r="398" spans="1:7" x14ac:dyDescent="0.2">
      <c r="A398" s="180"/>
      <c r="B398" s="189"/>
      <c r="C398" s="180"/>
      <c r="G398" s="188"/>
    </row>
    <row r="399" spans="1:7" x14ac:dyDescent="0.2">
      <c r="A399" s="180"/>
      <c r="B399" s="189"/>
      <c r="C399" s="180"/>
      <c r="G399" s="188"/>
    </row>
    <row r="400" spans="1:7" x14ac:dyDescent="0.2">
      <c r="A400" s="180"/>
      <c r="C400" s="180"/>
      <c r="G400" s="188"/>
    </row>
    <row r="401" spans="1:7" x14ac:dyDescent="0.2">
      <c r="A401" s="180"/>
      <c r="C401" s="180"/>
    </row>
    <row r="402" spans="1:7" x14ac:dyDescent="0.2">
      <c r="A402" s="180"/>
      <c r="B402" s="190"/>
      <c r="C402" s="180"/>
      <c r="G402" s="188"/>
    </row>
    <row r="403" spans="1:7" x14ac:dyDescent="0.2">
      <c r="A403" s="180"/>
      <c r="B403" s="189"/>
      <c r="C403" s="180"/>
      <c r="G403" s="188"/>
    </row>
    <row r="404" spans="1:7" x14ac:dyDescent="0.2">
      <c r="A404" s="180"/>
      <c r="B404" s="189"/>
      <c r="C404" s="180"/>
      <c r="G404" s="188"/>
    </row>
    <row r="405" spans="1:7" x14ac:dyDescent="0.2">
      <c r="A405" s="180"/>
      <c r="C405" s="180"/>
      <c r="G405" s="188"/>
    </row>
    <row r="406" spans="1:7" x14ac:dyDescent="0.2">
      <c r="A406" s="180"/>
      <c r="C406" s="180"/>
    </row>
    <row r="407" spans="1:7" x14ac:dyDescent="0.2">
      <c r="A407" s="180"/>
      <c r="B407" s="190"/>
      <c r="C407" s="180"/>
      <c r="G407" s="188"/>
    </row>
    <row r="408" spans="1:7" x14ac:dyDescent="0.2">
      <c r="A408" s="180"/>
      <c r="B408" s="189"/>
      <c r="C408" s="180"/>
      <c r="G408" s="188"/>
    </row>
    <row r="409" spans="1:7" x14ac:dyDescent="0.2">
      <c r="A409" s="180"/>
      <c r="B409" s="189"/>
      <c r="C409" s="180"/>
      <c r="G409" s="188"/>
    </row>
    <row r="410" spans="1:7" x14ac:dyDescent="0.2">
      <c r="A410" s="180"/>
      <c r="C410" s="180"/>
      <c r="G410" s="188"/>
    </row>
    <row r="411" spans="1:7" x14ac:dyDescent="0.2">
      <c r="A411" s="180"/>
      <c r="C411" s="180"/>
    </row>
    <row r="412" spans="1:7" x14ac:dyDescent="0.2">
      <c r="A412" s="180"/>
      <c r="B412" s="190"/>
      <c r="C412" s="180"/>
      <c r="G412" s="188"/>
    </row>
    <row r="413" spans="1:7" x14ac:dyDescent="0.2">
      <c r="A413" s="180"/>
      <c r="B413" s="189"/>
      <c r="C413" s="180"/>
      <c r="G413" s="188"/>
    </row>
    <row r="414" spans="1:7" x14ac:dyDescent="0.2">
      <c r="A414" s="180"/>
      <c r="B414" s="189"/>
      <c r="C414" s="180"/>
      <c r="G414" s="188"/>
    </row>
    <row r="415" spans="1:7" x14ac:dyDescent="0.2">
      <c r="A415" s="180"/>
      <c r="C415" s="180"/>
      <c r="G415" s="188"/>
    </row>
    <row r="416" spans="1:7" x14ac:dyDescent="0.2">
      <c r="A416" s="180"/>
      <c r="C416" s="180"/>
    </row>
    <row r="417" spans="1:7" x14ac:dyDescent="0.2">
      <c r="A417" s="180"/>
      <c r="B417" s="190"/>
      <c r="C417" s="180"/>
      <c r="G417" s="188"/>
    </row>
    <row r="418" spans="1:7" x14ac:dyDescent="0.2">
      <c r="A418" s="180"/>
      <c r="B418" s="189"/>
      <c r="C418" s="180"/>
      <c r="G418" s="188"/>
    </row>
    <row r="419" spans="1:7" x14ac:dyDescent="0.2">
      <c r="A419" s="180"/>
      <c r="B419" s="189"/>
      <c r="C419" s="180"/>
      <c r="G419" s="188"/>
    </row>
    <row r="420" spans="1:7" x14ac:dyDescent="0.2">
      <c r="A420" s="180"/>
      <c r="C420" s="180"/>
      <c r="G420" s="188"/>
    </row>
    <row r="421" spans="1:7" x14ac:dyDescent="0.2">
      <c r="A421" s="180"/>
      <c r="C421" s="180"/>
    </row>
    <row r="422" spans="1:7" x14ac:dyDescent="0.2">
      <c r="A422" s="180"/>
      <c r="B422" s="190"/>
      <c r="C422" s="180"/>
      <c r="G422" s="188"/>
    </row>
    <row r="423" spans="1:7" x14ac:dyDescent="0.2">
      <c r="A423" s="180"/>
      <c r="B423" s="189"/>
      <c r="C423" s="180"/>
      <c r="G423" s="188"/>
    </row>
    <row r="424" spans="1:7" x14ac:dyDescent="0.2">
      <c r="A424" s="180"/>
      <c r="B424" s="189"/>
      <c r="C424" s="180"/>
      <c r="G424" s="188"/>
    </row>
    <row r="425" spans="1:7" x14ac:dyDescent="0.2">
      <c r="A425" s="180"/>
      <c r="C425" s="180"/>
      <c r="G425" s="188"/>
    </row>
    <row r="426" spans="1:7" x14ac:dyDescent="0.2">
      <c r="A426" s="180"/>
      <c r="C426" s="180"/>
    </row>
    <row r="427" spans="1:7" x14ac:dyDescent="0.2">
      <c r="A427" s="180"/>
      <c r="B427" s="190"/>
      <c r="C427" s="180"/>
      <c r="G427" s="188"/>
    </row>
    <row r="428" spans="1:7" x14ac:dyDescent="0.2">
      <c r="A428" s="180"/>
      <c r="B428" s="189"/>
      <c r="C428" s="180"/>
      <c r="G428" s="188"/>
    </row>
    <row r="429" spans="1:7" x14ac:dyDescent="0.2">
      <c r="A429" s="180"/>
      <c r="B429" s="189"/>
      <c r="C429" s="180"/>
      <c r="G429" s="188"/>
    </row>
    <row r="430" spans="1:7" x14ac:dyDescent="0.2">
      <c r="A430" s="180"/>
      <c r="C430" s="180"/>
      <c r="G430" s="188"/>
    </row>
    <row r="431" spans="1:7" x14ac:dyDescent="0.2">
      <c r="A431" s="180"/>
      <c r="C431" s="180"/>
    </row>
    <row r="432" spans="1:7" x14ac:dyDescent="0.2">
      <c r="A432" s="180"/>
      <c r="B432" s="190"/>
      <c r="C432" s="180"/>
      <c r="G432" s="188"/>
    </row>
    <row r="433" spans="1:7" x14ac:dyDescent="0.2">
      <c r="A433" s="180"/>
      <c r="B433" s="189"/>
      <c r="C433" s="180"/>
      <c r="G433" s="188"/>
    </row>
    <row r="434" spans="1:7" x14ac:dyDescent="0.2">
      <c r="A434" s="180"/>
      <c r="B434" s="189"/>
      <c r="C434" s="180"/>
      <c r="G434" s="188"/>
    </row>
    <row r="435" spans="1:7" x14ac:dyDescent="0.2">
      <c r="A435" s="180"/>
      <c r="C435" s="180"/>
      <c r="G435" s="188"/>
    </row>
    <row r="436" spans="1:7" x14ac:dyDescent="0.2">
      <c r="A436" s="180"/>
      <c r="C436" s="180"/>
    </row>
    <row r="437" spans="1:7" x14ac:dyDescent="0.2">
      <c r="A437" s="180"/>
      <c r="B437" s="190"/>
      <c r="C437" s="180"/>
      <c r="G437" s="188"/>
    </row>
    <row r="438" spans="1:7" x14ac:dyDescent="0.2">
      <c r="A438" s="180"/>
      <c r="B438" s="189"/>
      <c r="C438" s="180"/>
      <c r="G438" s="188"/>
    </row>
    <row r="439" spans="1:7" x14ac:dyDescent="0.2">
      <c r="A439" s="180"/>
      <c r="B439" s="189"/>
      <c r="C439" s="180"/>
      <c r="G439" s="188"/>
    </row>
    <row r="440" spans="1:7" x14ac:dyDescent="0.2">
      <c r="A440" s="180"/>
      <c r="C440" s="180"/>
      <c r="G440" s="188"/>
    </row>
    <row r="441" spans="1:7" x14ac:dyDescent="0.2">
      <c r="A441" s="180"/>
      <c r="C441" s="180"/>
    </row>
    <row r="442" spans="1:7" x14ac:dyDescent="0.2">
      <c r="A442" s="180"/>
      <c r="B442" s="190"/>
      <c r="C442" s="180"/>
      <c r="G442" s="188"/>
    </row>
    <row r="443" spans="1:7" x14ac:dyDescent="0.2">
      <c r="A443" s="180"/>
      <c r="B443" s="189"/>
      <c r="C443" s="180"/>
      <c r="G443" s="188"/>
    </row>
    <row r="444" spans="1:7" x14ac:dyDescent="0.2">
      <c r="A444" s="180"/>
      <c r="B444" s="189"/>
      <c r="C444" s="180"/>
      <c r="G444" s="188"/>
    </row>
    <row r="445" spans="1:7" x14ac:dyDescent="0.2">
      <c r="A445" s="180"/>
      <c r="C445" s="180"/>
      <c r="G445" s="188"/>
    </row>
    <row r="446" spans="1:7" x14ac:dyDescent="0.2">
      <c r="A446" s="180"/>
      <c r="C446" s="180"/>
    </row>
    <row r="447" spans="1:7" x14ac:dyDescent="0.2">
      <c r="A447" s="180"/>
      <c r="B447" s="190"/>
      <c r="C447" s="180"/>
      <c r="G447" s="188"/>
    </row>
    <row r="448" spans="1:7" x14ac:dyDescent="0.2">
      <c r="A448" s="180"/>
      <c r="B448" s="189"/>
      <c r="C448" s="180"/>
      <c r="G448" s="188"/>
    </row>
    <row r="449" spans="1:7" x14ac:dyDescent="0.2">
      <c r="A449" s="180"/>
      <c r="B449" s="189"/>
      <c r="C449" s="180"/>
      <c r="G449" s="188"/>
    </row>
    <row r="450" spans="1:7" x14ac:dyDescent="0.2">
      <c r="A450" s="180"/>
      <c r="C450" s="180"/>
      <c r="G450" s="188"/>
    </row>
    <row r="451" spans="1:7" x14ac:dyDescent="0.2">
      <c r="A451" s="180"/>
      <c r="C451" s="180"/>
    </row>
    <row r="452" spans="1:7" x14ac:dyDescent="0.2">
      <c r="A452" s="180"/>
      <c r="B452" s="190"/>
      <c r="C452" s="180"/>
      <c r="G452" s="188"/>
    </row>
    <row r="453" spans="1:7" x14ac:dyDescent="0.2">
      <c r="A453" s="180"/>
      <c r="B453" s="189"/>
      <c r="C453" s="180"/>
      <c r="G453" s="188"/>
    </row>
    <row r="454" spans="1:7" x14ac:dyDescent="0.2">
      <c r="A454" s="180"/>
      <c r="B454" s="189"/>
      <c r="C454" s="180"/>
      <c r="G454" s="188"/>
    </row>
    <row r="455" spans="1:7" x14ac:dyDescent="0.2">
      <c r="A455" s="180"/>
      <c r="C455" s="180"/>
      <c r="G455" s="188"/>
    </row>
    <row r="456" spans="1:7" x14ac:dyDescent="0.2">
      <c r="A456" s="180"/>
      <c r="C456" s="180"/>
    </row>
    <row r="457" spans="1:7" x14ac:dyDescent="0.2">
      <c r="A457" s="180"/>
      <c r="B457" s="190"/>
      <c r="C457" s="180"/>
      <c r="G457" s="188"/>
    </row>
    <row r="458" spans="1:7" x14ac:dyDescent="0.2">
      <c r="A458" s="180"/>
      <c r="B458" s="189"/>
      <c r="C458" s="180"/>
      <c r="G458" s="188"/>
    </row>
    <row r="459" spans="1:7" x14ac:dyDescent="0.2">
      <c r="A459" s="180"/>
      <c r="B459" s="189"/>
      <c r="C459" s="180"/>
      <c r="G459" s="188"/>
    </row>
    <row r="460" spans="1:7" x14ac:dyDescent="0.2">
      <c r="A460" s="180"/>
      <c r="C460" s="180"/>
      <c r="G460" s="188"/>
    </row>
    <row r="461" spans="1:7" x14ac:dyDescent="0.2">
      <c r="A461" s="180"/>
      <c r="C461" s="180"/>
    </row>
    <row r="462" spans="1:7" x14ac:dyDescent="0.2">
      <c r="A462" s="180"/>
      <c r="B462" s="190"/>
      <c r="C462" s="180"/>
      <c r="G462" s="188"/>
    </row>
    <row r="463" spans="1:7" x14ac:dyDescent="0.2">
      <c r="A463" s="180"/>
      <c r="B463" s="189"/>
      <c r="C463" s="180"/>
      <c r="G463" s="188"/>
    </row>
    <row r="464" spans="1:7" x14ac:dyDescent="0.2">
      <c r="A464" s="180"/>
      <c r="B464" s="189"/>
      <c r="C464" s="180"/>
      <c r="G464" s="188"/>
    </row>
    <row r="465" spans="1:7" x14ac:dyDescent="0.2">
      <c r="A465" s="180"/>
      <c r="C465" s="180"/>
      <c r="G465" s="188"/>
    </row>
    <row r="466" spans="1:7" x14ac:dyDescent="0.2">
      <c r="A466" s="180"/>
      <c r="C466" s="180"/>
    </row>
    <row r="467" spans="1:7" x14ac:dyDescent="0.2">
      <c r="A467" s="180"/>
      <c r="B467" s="190"/>
      <c r="C467" s="180"/>
      <c r="G467" s="188"/>
    </row>
    <row r="468" spans="1:7" x14ac:dyDescent="0.2">
      <c r="A468" s="180"/>
      <c r="B468" s="189"/>
      <c r="C468" s="180"/>
      <c r="G468" s="188"/>
    </row>
    <row r="469" spans="1:7" x14ac:dyDescent="0.2">
      <c r="A469" s="180"/>
      <c r="B469" s="189"/>
      <c r="C469" s="180"/>
      <c r="G469" s="188"/>
    </row>
    <row r="470" spans="1:7" x14ac:dyDescent="0.2">
      <c r="A470" s="180"/>
      <c r="C470" s="180"/>
      <c r="G470" s="188"/>
    </row>
    <row r="471" spans="1:7" x14ac:dyDescent="0.2">
      <c r="A471" s="180"/>
      <c r="C471" s="180"/>
    </row>
    <row r="472" spans="1:7" x14ac:dyDescent="0.2">
      <c r="A472" s="180"/>
      <c r="B472" s="190"/>
      <c r="C472" s="180"/>
      <c r="G472" s="188"/>
    </row>
    <row r="473" spans="1:7" x14ac:dyDescent="0.2">
      <c r="A473" s="180"/>
      <c r="B473" s="189"/>
      <c r="C473" s="180"/>
      <c r="G473" s="188"/>
    </row>
    <row r="474" spans="1:7" x14ac:dyDescent="0.2">
      <c r="A474" s="180"/>
      <c r="B474" s="189"/>
      <c r="C474" s="180"/>
      <c r="G474" s="188"/>
    </row>
    <row r="475" spans="1:7" x14ac:dyDescent="0.2">
      <c r="A475" s="180"/>
      <c r="C475" s="180"/>
      <c r="G475" s="188"/>
    </row>
    <row r="476" spans="1:7" x14ac:dyDescent="0.2">
      <c r="A476" s="180"/>
      <c r="C476" s="180"/>
    </row>
    <row r="477" spans="1:7" x14ac:dyDescent="0.2">
      <c r="A477" s="180"/>
      <c r="B477" s="190"/>
      <c r="C477" s="180"/>
      <c r="G477" s="188"/>
    </row>
    <row r="478" spans="1:7" x14ac:dyDescent="0.2">
      <c r="A478" s="180"/>
      <c r="B478" s="189"/>
      <c r="C478" s="180"/>
      <c r="G478" s="188"/>
    </row>
    <row r="479" spans="1:7" x14ac:dyDescent="0.2">
      <c r="A479" s="180"/>
      <c r="B479" s="189"/>
      <c r="C479" s="180"/>
      <c r="G479" s="188"/>
    </row>
    <row r="480" spans="1:7" x14ac:dyDescent="0.2">
      <c r="A480" s="180"/>
      <c r="C480" s="180"/>
      <c r="G480" s="188"/>
    </row>
    <row r="481" spans="1:7" x14ac:dyDescent="0.2">
      <c r="A481" s="180"/>
      <c r="C481" s="180"/>
    </row>
    <row r="482" spans="1:7" x14ac:dyDescent="0.2">
      <c r="A482" s="180"/>
      <c r="B482" s="190"/>
      <c r="C482" s="180"/>
      <c r="G482" s="188"/>
    </row>
    <row r="483" spans="1:7" x14ac:dyDescent="0.2">
      <c r="A483" s="180"/>
      <c r="B483" s="189"/>
      <c r="C483" s="180"/>
      <c r="G483" s="188"/>
    </row>
    <row r="484" spans="1:7" x14ac:dyDescent="0.2">
      <c r="A484" s="180"/>
      <c r="B484" s="189"/>
      <c r="C484" s="180"/>
      <c r="G484" s="188"/>
    </row>
    <row r="485" spans="1:7" x14ac:dyDescent="0.2">
      <c r="A485" s="180"/>
      <c r="C485" s="180"/>
      <c r="G485" s="188"/>
    </row>
    <row r="486" spans="1:7" x14ac:dyDescent="0.2">
      <c r="A486" s="180"/>
      <c r="C486" s="180"/>
    </row>
    <row r="487" spans="1:7" x14ac:dyDescent="0.2">
      <c r="A487" s="180"/>
      <c r="B487" s="190"/>
      <c r="C487" s="180"/>
      <c r="G487" s="188"/>
    </row>
    <row r="488" spans="1:7" x14ac:dyDescent="0.2">
      <c r="A488" s="180"/>
      <c r="B488" s="189"/>
      <c r="C488" s="180"/>
      <c r="G488" s="188"/>
    </row>
    <row r="489" spans="1:7" x14ac:dyDescent="0.2">
      <c r="A489" s="180"/>
      <c r="B489" s="189"/>
      <c r="C489" s="180"/>
      <c r="G489" s="188"/>
    </row>
    <row r="490" spans="1:7" x14ac:dyDescent="0.2">
      <c r="A490" s="180"/>
      <c r="C490" s="180"/>
      <c r="G490" s="188"/>
    </row>
    <row r="491" spans="1:7" x14ac:dyDescent="0.2">
      <c r="A491" s="180"/>
      <c r="C491" s="180"/>
    </row>
    <row r="492" spans="1:7" x14ac:dyDescent="0.2">
      <c r="A492" s="180"/>
      <c r="B492" s="190"/>
      <c r="C492" s="180"/>
      <c r="G492" s="188"/>
    </row>
    <row r="493" spans="1:7" x14ac:dyDescent="0.2">
      <c r="A493" s="180"/>
      <c r="B493" s="189"/>
      <c r="C493" s="180"/>
      <c r="G493" s="188"/>
    </row>
    <row r="494" spans="1:7" x14ac:dyDescent="0.2">
      <c r="A494" s="180"/>
      <c r="B494" s="189"/>
      <c r="C494" s="180"/>
      <c r="G494" s="188"/>
    </row>
    <row r="495" spans="1:7" x14ac:dyDescent="0.2">
      <c r="A495" s="180"/>
      <c r="C495" s="180"/>
      <c r="G495" s="188"/>
    </row>
    <row r="496" spans="1:7" x14ac:dyDescent="0.2">
      <c r="A496" s="180"/>
      <c r="C496" s="180"/>
    </row>
    <row r="497" spans="1:7" x14ac:dyDescent="0.2">
      <c r="A497" s="180"/>
      <c r="B497" s="190"/>
      <c r="C497" s="180"/>
      <c r="G497" s="188"/>
    </row>
    <row r="498" spans="1:7" x14ac:dyDescent="0.2">
      <c r="A498" s="180"/>
      <c r="B498" s="189"/>
      <c r="C498" s="180"/>
      <c r="G498" s="188"/>
    </row>
    <row r="499" spans="1:7" x14ac:dyDescent="0.2">
      <c r="A499" s="180"/>
      <c r="B499" s="189"/>
      <c r="C499" s="180"/>
      <c r="G499" s="188"/>
    </row>
    <row r="500" spans="1:7" x14ac:dyDescent="0.2">
      <c r="A500" s="180"/>
      <c r="C500" s="180"/>
      <c r="G500" s="188"/>
    </row>
    <row r="501" spans="1:7" x14ac:dyDescent="0.2">
      <c r="A501" s="180"/>
      <c r="C501" s="180"/>
    </row>
    <row r="502" spans="1:7" x14ac:dyDescent="0.2">
      <c r="A502" s="180"/>
      <c r="C502" s="180"/>
    </row>
    <row r="503" spans="1:7" x14ac:dyDescent="0.2">
      <c r="A503" s="180"/>
      <c r="C503" s="180"/>
    </row>
    <row r="504" spans="1:7" x14ac:dyDescent="0.2">
      <c r="A504" s="180"/>
      <c r="C504" s="180"/>
    </row>
    <row r="505" spans="1:7" x14ac:dyDescent="0.2">
      <c r="A505" s="180"/>
      <c r="C505" s="180"/>
    </row>
    <row r="506" spans="1:7" x14ac:dyDescent="0.2">
      <c r="A506" s="180"/>
      <c r="C506" s="180"/>
    </row>
    <row r="507" spans="1:7" x14ac:dyDescent="0.2">
      <c r="A507" s="180"/>
      <c r="C507" s="180"/>
    </row>
    <row r="508" spans="1:7" x14ac:dyDescent="0.2">
      <c r="A508" s="180"/>
      <c r="C508" s="180"/>
    </row>
    <row r="509" spans="1:7" x14ac:dyDescent="0.2">
      <c r="A509" s="180"/>
      <c r="C509" s="180"/>
    </row>
    <row r="510" spans="1:7" x14ac:dyDescent="0.2">
      <c r="A510" s="180"/>
      <c r="C510" s="180"/>
    </row>
    <row r="511" spans="1:7" x14ac:dyDescent="0.2">
      <c r="A511" s="180"/>
      <c r="C511" s="180"/>
    </row>
    <row r="512" spans="1:7" x14ac:dyDescent="0.2">
      <c r="A512" s="180"/>
      <c r="C512" s="180"/>
    </row>
    <row r="513" spans="9:11" s="180" customFormat="1" x14ac:dyDescent="0.2">
      <c r="I513" s="202"/>
      <c r="K513" s="200"/>
    </row>
    <row r="514" spans="9:11" s="180" customFormat="1" x14ac:dyDescent="0.2">
      <c r="I514" s="202"/>
      <c r="K514" s="200"/>
    </row>
    <row r="515" spans="9:11" s="180" customFormat="1" x14ac:dyDescent="0.2">
      <c r="I515" s="202"/>
      <c r="K515" s="200"/>
    </row>
    <row r="516" spans="9:11" s="180" customFormat="1" x14ac:dyDescent="0.2">
      <c r="I516" s="202"/>
      <c r="K516" s="200"/>
    </row>
    <row r="517" spans="9:11" s="180" customFormat="1" x14ac:dyDescent="0.2">
      <c r="I517" s="202"/>
      <c r="K517" s="200"/>
    </row>
    <row r="518" spans="9:11" s="180" customFormat="1" x14ac:dyDescent="0.2">
      <c r="I518" s="202"/>
      <c r="K518" s="200"/>
    </row>
    <row r="519" spans="9:11" s="180" customFormat="1" x14ac:dyDescent="0.2">
      <c r="I519" s="202"/>
      <c r="K519" s="200"/>
    </row>
    <row r="520" spans="9:11" s="180" customFormat="1" x14ac:dyDescent="0.2">
      <c r="I520" s="202"/>
      <c r="K520" s="200"/>
    </row>
    <row r="521" spans="9:11" s="180" customFormat="1" x14ac:dyDescent="0.2">
      <c r="I521" s="202"/>
      <c r="K521" s="200"/>
    </row>
    <row r="522" spans="9:11" s="180" customFormat="1" x14ac:dyDescent="0.2">
      <c r="I522" s="202"/>
      <c r="K522" s="200"/>
    </row>
    <row r="523" spans="9:11" s="180" customFormat="1" x14ac:dyDescent="0.2">
      <c r="I523" s="202"/>
      <c r="K523" s="200"/>
    </row>
    <row r="524" spans="9:11" s="180" customFormat="1" x14ac:dyDescent="0.2">
      <c r="I524" s="202"/>
      <c r="K524" s="200"/>
    </row>
    <row r="525" spans="9:11" s="180" customFormat="1" x14ac:dyDescent="0.2">
      <c r="I525" s="202"/>
      <c r="K525" s="200"/>
    </row>
    <row r="526" spans="9:11" s="180" customFormat="1" x14ac:dyDescent="0.2">
      <c r="I526" s="202"/>
      <c r="K526" s="200"/>
    </row>
    <row r="527" spans="9:11" s="180" customFormat="1" x14ac:dyDescent="0.2">
      <c r="I527" s="202"/>
      <c r="K527" s="200"/>
    </row>
    <row r="528" spans="9:11" s="180" customFormat="1" x14ac:dyDescent="0.2">
      <c r="I528" s="202"/>
      <c r="K528" s="200"/>
    </row>
    <row r="529" spans="9:11" s="180" customFormat="1" x14ac:dyDescent="0.2">
      <c r="I529" s="202"/>
      <c r="K529" s="200"/>
    </row>
    <row r="530" spans="9:11" s="180" customFormat="1" x14ac:dyDescent="0.2">
      <c r="I530" s="202"/>
      <c r="K530" s="200"/>
    </row>
    <row r="531" spans="9:11" s="180" customFormat="1" x14ac:dyDescent="0.2">
      <c r="I531" s="202"/>
      <c r="K531" s="200"/>
    </row>
    <row r="532" spans="9:11" s="180" customFormat="1" x14ac:dyDescent="0.2">
      <c r="I532" s="202"/>
      <c r="K532" s="200"/>
    </row>
    <row r="533" spans="9:11" s="180" customFormat="1" x14ac:dyDescent="0.2">
      <c r="I533" s="202"/>
      <c r="K533" s="200"/>
    </row>
    <row r="534" spans="9:11" s="180" customFormat="1" x14ac:dyDescent="0.2">
      <c r="I534" s="202"/>
      <c r="K534" s="200"/>
    </row>
    <row r="535" spans="9:11" s="180" customFormat="1" x14ac:dyDescent="0.2">
      <c r="I535" s="202"/>
      <c r="K535" s="200"/>
    </row>
    <row r="536" spans="9:11" s="180" customFormat="1" x14ac:dyDescent="0.2">
      <c r="I536" s="202"/>
      <c r="K536" s="200"/>
    </row>
    <row r="537" spans="9:11" s="180" customFormat="1" x14ac:dyDescent="0.2">
      <c r="I537" s="202"/>
      <c r="K537" s="200"/>
    </row>
    <row r="538" spans="9:11" s="180" customFormat="1" x14ac:dyDescent="0.2">
      <c r="I538" s="202"/>
      <c r="K538" s="200"/>
    </row>
    <row r="539" spans="9:11" s="180" customFormat="1" x14ac:dyDescent="0.2">
      <c r="I539" s="202"/>
      <c r="K539" s="200"/>
    </row>
    <row r="540" spans="9:11" s="180" customFormat="1" x14ac:dyDescent="0.2">
      <c r="I540" s="202"/>
      <c r="K540" s="200"/>
    </row>
    <row r="541" spans="9:11" s="180" customFormat="1" x14ac:dyDescent="0.2">
      <c r="I541" s="202"/>
      <c r="K541" s="200"/>
    </row>
    <row r="542" spans="9:11" s="180" customFormat="1" x14ac:dyDescent="0.2">
      <c r="I542" s="202"/>
      <c r="K542" s="200"/>
    </row>
    <row r="543" spans="9:11" s="180" customFormat="1" x14ac:dyDescent="0.2">
      <c r="I543" s="202"/>
      <c r="K543" s="200"/>
    </row>
    <row r="544" spans="9:11" s="180" customFormat="1" x14ac:dyDescent="0.2">
      <c r="I544" s="202"/>
      <c r="K544" s="200"/>
    </row>
    <row r="545" spans="9:11" s="180" customFormat="1" x14ac:dyDescent="0.2">
      <c r="I545" s="202"/>
      <c r="K545" s="200"/>
    </row>
    <row r="546" spans="9:11" s="180" customFormat="1" x14ac:dyDescent="0.2">
      <c r="I546" s="202"/>
      <c r="K546" s="200"/>
    </row>
    <row r="547" spans="9:11" s="180" customFormat="1" x14ac:dyDescent="0.2">
      <c r="I547" s="202"/>
      <c r="K547" s="200"/>
    </row>
    <row r="548" spans="9:11" s="180" customFormat="1" x14ac:dyDescent="0.2">
      <c r="I548" s="202"/>
      <c r="K548" s="200"/>
    </row>
    <row r="549" spans="9:11" s="180" customFormat="1" x14ac:dyDescent="0.2">
      <c r="I549" s="202"/>
      <c r="K549" s="200"/>
    </row>
    <row r="550" spans="9:11" s="180" customFormat="1" x14ac:dyDescent="0.2">
      <c r="I550" s="202"/>
      <c r="K550" s="200"/>
    </row>
    <row r="551" spans="9:11" s="180" customFormat="1" x14ac:dyDescent="0.2">
      <c r="I551" s="202"/>
      <c r="K551" s="200"/>
    </row>
    <row r="552" spans="9:11" s="180" customFormat="1" x14ac:dyDescent="0.2">
      <c r="I552" s="202"/>
      <c r="K552" s="200"/>
    </row>
    <row r="553" spans="9:11" s="180" customFormat="1" x14ac:dyDescent="0.2">
      <c r="I553" s="202"/>
      <c r="K553" s="200"/>
    </row>
    <row r="554" spans="9:11" s="180" customFormat="1" x14ac:dyDescent="0.2">
      <c r="I554" s="202"/>
      <c r="K554" s="200"/>
    </row>
    <row r="555" spans="9:11" s="180" customFormat="1" x14ac:dyDescent="0.2">
      <c r="I555" s="202"/>
      <c r="K555" s="200"/>
    </row>
    <row r="556" spans="9:11" s="180" customFormat="1" x14ac:dyDescent="0.2">
      <c r="I556" s="202"/>
      <c r="K556" s="200"/>
    </row>
    <row r="557" spans="9:11" s="180" customFormat="1" x14ac:dyDescent="0.2">
      <c r="I557" s="202"/>
      <c r="K557" s="200"/>
    </row>
    <row r="558" spans="9:11" s="180" customFormat="1" x14ac:dyDescent="0.2">
      <c r="I558" s="202"/>
      <c r="K558" s="200"/>
    </row>
    <row r="559" spans="9:11" s="180" customFormat="1" x14ac:dyDescent="0.2">
      <c r="I559" s="202"/>
      <c r="K559" s="200"/>
    </row>
    <row r="560" spans="9:11" s="180" customFormat="1" x14ac:dyDescent="0.2">
      <c r="I560" s="202"/>
      <c r="K560" s="200"/>
    </row>
    <row r="561" spans="9:11" s="180" customFormat="1" x14ac:dyDescent="0.2">
      <c r="I561" s="202"/>
      <c r="K561" s="200"/>
    </row>
    <row r="562" spans="9:11" s="180" customFormat="1" x14ac:dyDescent="0.2">
      <c r="I562" s="202"/>
      <c r="K562" s="200"/>
    </row>
    <row r="563" spans="9:11" s="180" customFormat="1" x14ac:dyDescent="0.2">
      <c r="I563" s="202"/>
      <c r="K563" s="200"/>
    </row>
    <row r="564" spans="9:11" s="180" customFormat="1" x14ac:dyDescent="0.2">
      <c r="I564" s="202"/>
      <c r="K564" s="200"/>
    </row>
    <row r="565" spans="9:11" s="180" customFormat="1" x14ac:dyDescent="0.2">
      <c r="I565" s="202"/>
      <c r="K565" s="200"/>
    </row>
    <row r="566" spans="9:11" s="180" customFormat="1" x14ac:dyDescent="0.2">
      <c r="I566" s="202"/>
      <c r="K566" s="200"/>
    </row>
    <row r="567" spans="9:11" s="180" customFormat="1" x14ac:dyDescent="0.2">
      <c r="I567" s="202"/>
      <c r="K567" s="200"/>
    </row>
    <row r="568" spans="9:11" s="180" customFormat="1" x14ac:dyDescent="0.2">
      <c r="I568" s="202"/>
      <c r="K568" s="200"/>
    </row>
    <row r="569" spans="9:11" s="180" customFormat="1" x14ac:dyDescent="0.2">
      <c r="I569" s="202"/>
      <c r="K569" s="200"/>
    </row>
    <row r="570" spans="9:11" s="180" customFormat="1" x14ac:dyDescent="0.2">
      <c r="I570" s="202"/>
      <c r="K570" s="200"/>
    </row>
    <row r="571" spans="9:11" s="180" customFormat="1" x14ac:dyDescent="0.2">
      <c r="I571" s="202"/>
      <c r="K571" s="200"/>
    </row>
    <row r="572" spans="9:11" s="180" customFormat="1" x14ac:dyDescent="0.2">
      <c r="I572" s="202"/>
      <c r="K572" s="200"/>
    </row>
    <row r="573" spans="9:11" s="180" customFormat="1" x14ac:dyDescent="0.2">
      <c r="I573" s="202"/>
      <c r="K573" s="200"/>
    </row>
    <row r="574" spans="9:11" s="180" customFormat="1" x14ac:dyDescent="0.2">
      <c r="I574" s="202"/>
      <c r="K574" s="200"/>
    </row>
    <row r="575" spans="9:11" s="180" customFormat="1" x14ac:dyDescent="0.2">
      <c r="I575" s="202"/>
      <c r="K575" s="200"/>
    </row>
    <row r="576" spans="9:11" s="180" customFormat="1" x14ac:dyDescent="0.2">
      <c r="I576" s="202"/>
      <c r="K576" s="200"/>
    </row>
    <row r="577" spans="9:11" s="180" customFormat="1" x14ac:dyDescent="0.2">
      <c r="I577" s="202"/>
      <c r="K577" s="200"/>
    </row>
    <row r="578" spans="9:11" s="180" customFormat="1" x14ac:dyDescent="0.2">
      <c r="I578" s="202"/>
      <c r="K578" s="200"/>
    </row>
    <row r="579" spans="9:11" s="180" customFormat="1" x14ac:dyDescent="0.2">
      <c r="I579" s="202"/>
      <c r="K579" s="200"/>
    </row>
    <row r="580" spans="9:11" s="180" customFormat="1" x14ac:dyDescent="0.2">
      <c r="I580" s="202"/>
      <c r="K580" s="200"/>
    </row>
    <row r="581" spans="9:11" s="180" customFormat="1" x14ac:dyDescent="0.2">
      <c r="I581" s="202"/>
      <c r="K581" s="200"/>
    </row>
    <row r="582" spans="9:11" s="180" customFormat="1" x14ac:dyDescent="0.2">
      <c r="I582" s="202"/>
      <c r="K582" s="200"/>
    </row>
    <row r="583" spans="9:11" s="180" customFormat="1" x14ac:dyDescent="0.2">
      <c r="I583" s="202"/>
      <c r="K583" s="200"/>
    </row>
    <row r="584" spans="9:11" s="180" customFormat="1" x14ac:dyDescent="0.2">
      <c r="I584" s="202"/>
      <c r="K584" s="200"/>
    </row>
    <row r="585" spans="9:11" s="180" customFormat="1" x14ac:dyDescent="0.2">
      <c r="I585" s="202"/>
      <c r="K585" s="200"/>
    </row>
    <row r="586" spans="9:11" s="180" customFormat="1" x14ac:dyDescent="0.2">
      <c r="I586" s="202"/>
      <c r="K586" s="200"/>
    </row>
    <row r="587" spans="9:11" s="180" customFormat="1" x14ac:dyDescent="0.2">
      <c r="I587" s="202"/>
      <c r="K587" s="200"/>
    </row>
    <row r="588" spans="9:11" s="180" customFormat="1" x14ac:dyDescent="0.2">
      <c r="I588" s="202"/>
      <c r="K588" s="200"/>
    </row>
    <row r="589" spans="9:11" s="180" customFormat="1" x14ac:dyDescent="0.2">
      <c r="I589" s="202"/>
      <c r="K589" s="200"/>
    </row>
    <row r="590" spans="9:11" s="180" customFormat="1" x14ac:dyDescent="0.2">
      <c r="I590" s="202"/>
      <c r="K590" s="200"/>
    </row>
    <row r="591" spans="9:11" s="180" customFormat="1" x14ac:dyDescent="0.2">
      <c r="I591" s="202"/>
      <c r="K591" s="200"/>
    </row>
    <row r="592" spans="9:11" s="180" customFormat="1" x14ac:dyDescent="0.2">
      <c r="I592" s="202"/>
      <c r="K592" s="200"/>
    </row>
    <row r="593" spans="9:11" s="180" customFormat="1" x14ac:dyDescent="0.2">
      <c r="I593" s="202"/>
      <c r="K593" s="200"/>
    </row>
    <row r="594" spans="9:11" s="180" customFormat="1" x14ac:dyDescent="0.2">
      <c r="I594" s="202"/>
      <c r="K594" s="200"/>
    </row>
    <row r="595" spans="9:11" s="180" customFormat="1" x14ac:dyDescent="0.2">
      <c r="I595" s="202"/>
      <c r="K595" s="200"/>
    </row>
    <row r="596" spans="9:11" s="180" customFormat="1" x14ac:dyDescent="0.2">
      <c r="I596" s="202"/>
      <c r="K596" s="200"/>
    </row>
    <row r="597" spans="9:11" s="180" customFormat="1" x14ac:dyDescent="0.2">
      <c r="I597" s="202"/>
      <c r="K597" s="200"/>
    </row>
    <row r="598" spans="9:11" s="180" customFormat="1" x14ac:dyDescent="0.2">
      <c r="I598" s="202"/>
      <c r="K598" s="200"/>
    </row>
    <row r="599" spans="9:11" s="180" customFormat="1" x14ac:dyDescent="0.2">
      <c r="I599" s="202"/>
      <c r="K599" s="200"/>
    </row>
    <row r="600" spans="9:11" s="180" customFormat="1" x14ac:dyDescent="0.2">
      <c r="I600" s="202"/>
      <c r="K600" s="200"/>
    </row>
    <row r="601" spans="9:11" s="180" customFormat="1" x14ac:dyDescent="0.2">
      <c r="I601" s="202"/>
      <c r="K601" s="200"/>
    </row>
    <row r="602" spans="9:11" s="180" customFormat="1" x14ac:dyDescent="0.2">
      <c r="I602" s="202"/>
      <c r="K602" s="200"/>
    </row>
    <row r="603" spans="9:11" s="180" customFormat="1" x14ac:dyDescent="0.2">
      <c r="I603" s="202"/>
      <c r="K603" s="200"/>
    </row>
    <row r="604" spans="9:11" s="180" customFormat="1" x14ac:dyDescent="0.2">
      <c r="I604" s="202"/>
      <c r="K604" s="200"/>
    </row>
    <row r="605" spans="9:11" s="180" customFormat="1" x14ac:dyDescent="0.2">
      <c r="I605" s="202"/>
      <c r="K605" s="200"/>
    </row>
    <row r="606" spans="9:11" s="180" customFormat="1" x14ac:dyDescent="0.2">
      <c r="I606" s="202"/>
      <c r="K606" s="200"/>
    </row>
    <row r="607" spans="9:11" s="180" customFormat="1" x14ac:dyDescent="0.2">
      <c r="I607" s="202"/>
      <c r="K607" s="200"/>
    </row>
    <row r="608" spans="9:11" s="180" customFormat="1" x14ac:dyDescent="0.2">
      <c r="I608" s="202"/>
      <c r="K608" s="200"/>
    </row>
    <row r="609" spans="9:11" s="180" customFormat="1" x14ac:dyDescent="0.2">
      <c r="I609" s="202"/>
      <c r="K609" s="200"/>
    </row>
    <row r="610" spans="9:11" s="180" customFormat="1" x14ac:dyDescent="0.2">
      <c r="I610" s="202"/>
      <c r="K610" s="200"/>
    </row>
    <row r="611" spans="9:11" s="180" customFormat="1" x14ac:dyDescent="0.2">
      <c r="I611" s="202"/>
      <c r="K611" s="200"/>
    </row>
    <row r="612" spans="9:11" s="180" customFormat="1" x14ac:dyDescent="0.2">
      <c r="I612" s="202"/>
      <c r="K612" s="200"/>
    </row>
    <row r="613" spans="9:11" s="180" customFormat="1" x14ac:dyDescent="0.2">
      <c r="I613" s="202"/>
      <c r="K613" s="200"/>
    </row>
    <row r="614" spans="9:11" s="180" customFormat="1" x14ac:dyDescent="0.2">
      <c r="I614" s="202"/>
      <c r="K614" s="200"/>
    </row>
    <row r="615" spans="9:11" s="180" customFormat="1" x14ac:dyDescent="0.2">
      <c r="I615" s="202"/>
      <c r="K615" s="200"/>
    </row>
    <row r="616" spans="9:11" s="180" customFormat="1" x14ac:dyDescent="0.2">
      <c r="I616" s="202"/>
      <c r="K616" s="200"/>
    </row>
    <row r="617" spans="9:11" s="180" customFormat="1" x14ac:dyDescent="0.2">
      <c r="I617" s="202"/>
      <c r="K617" s="200"/>
    </row>
    <row r="618" spans="9:11" s="180" customFormat="1" x14ac:dyDescent="0.2">
      <c r="I618" s="202"/>
      <c r="K618" s="200"/>
    </row>
    <row r="619" spans="9:11" s="180" customFormat="1" x14ac:dyDescent="0.2">
      <c r="I619" s="202"/>
      <c r="K619" s="200"/>
    </row>
    <row r="620" spans="9:11" s="180" customFormat="1" x14ac:dyDescent="0.2">
      <c r="I620" s="202"/>
      <c r="K620" s="200"/>
    </row>
    <row r="621" spans="9:11" s="180" customFormat="1" x14ac:dyDescent="0.2">
      <c r="I621" s="202"/>
      <c r="K621" s="200"/>
    </row>
    <row r="622" spans="9:11" s="180" customFormat="1" x14ac:dyDescent="0.2">
      <c r="I622" s="202"/>
      <c r="K622" s="200"/>
    </row>
    <row r="623" spans="9:11" s="180" customFormat="1" x14ac:dyDescent="0.2">
      <c r="I623" s="202"/>
      <c r="K623" s="200"/>
    </row>
    <row r="624" spans="9:11" s="180" customFormat="1" x14ac:dyDescent="0.2">
      <c r="I624" s="202"/>
      <c r="K624" s="200"/>
    </row>
    <row r="625" spans="9:11" s="180" customFormat="1" x14ac:dyDescent="0.2">
      <c r="I625" s="202"/>
      <c r="K625" s="200"/>
    </row>
    <row r="626" spans="9:11" s="180" customFormat="1" x14ac:dyDescent="0.2">
      <c r="I626" s="202"/>
      <c r="K626" s="200"/>
    </row>
    <row r="627" spans="9:11" s="180" customFormat="1" x14ac:dyDescent="0.2">
      <c r="I627" s="202"/>
      <c r="K627" s="200"/>
    </row>
    <row r="628" spans="9:11" s="180" customFormat="1" x14ac:dyDescent="0.2">
      <c r="I628" s="202"/>
      <c r="K628" s="200"/>
    </row>
    <row r="629" spans="9:11" s="180" customFormat="1" x14ac:dyDescent="0.2">
      <c r="I629" s="202"/>
      <c r="K629" s="200"/>
    </row>
    <row r="630" spans="9:11" s="180" customFormat="1" x14ac:dyDescent="0.2">
      <c r="I630" s="202"/>
      <c r="K630" s="200"/>
    </row>
    <row r="631" spans="9:11" s="180" customFormat="1" x14ac:dyDescent="0.2">
      <c r="I631" s="202"/>
      <c r="K631" s="200"/>
    </row>
    <row r="632" spans="9:11" s="180" customFormat="1" x14ac:dyDescent="0.2">
      <c r="I632" s="202"/>
      <c r="K632" s="200"/>
    </row>
    <row r="633" spans="9:11" s="180" customFormat="1" x14ac:dyDescent="0.2">
      <c r="I633" s="202"/>
      <c r="K633" s="200"/>
    </row>
    <row r="634" spans="9:11" s="180" customFormat="1" x14ac:dyDescent="0.2">
      <c r="I634" s="202"/>
      <c r="K634" s="200"/>
    </row>
    <row r="635" spans="9:11" s="180" customFormat="1" x14ac:dyDescent="0.2">
      <c r="I635" s="202"/>
      <c r="K635" s="200"/>
    </row>
    <row r="636" spans="9:11" s="180" customFormat="1" x14ac:dyDescent="0.2">
      <c r="I636" s="202"/>
      <c r="K636" s="200"/>
    </row>
    <row r="637" spans="9:11" s="180" customFormat="1" x14ac:dyDescent="0.2">
      <c r="I637" s="202"/>
      <c r="K637" s="200"/>
    </row>
    <row r="638" spans="9:11" s="180" customFormat="1" x14ac:dyDescent="0.2">
      <c r="I638" s="202"/>
      <c r="K638" s="200"/>
    </row>
    <row r="639" spans="9:11" s="180" customFormat="1" x14ac:dyDescent="0.2">
      <c r="I639" s="202"/>
      <c r="K639" s="200"/>
    </row>
    <row r="640" spans="9:11" s="180" customFormat="1" x14ac:dyDescent="0.2">
      <c r="I640" s="202"/>
      <c r="K640" s="200"/>
    </row>
    <row r="641" spans="9:11" s="180" customFormat="1" x14ac:dyDescent="0.2">
      <c r="I641" s="202"/>
      <c r="K641" s="200"/>
    </row>
    <row r="642" spans="9:11" s="180" customFormat="1" x14ac:dyDescent="0.2">
      <c r="I642" s="202"/>
      <c r="K642" s="200"/>
    </row>
    <row r="643" spans="9:11" s="180" customFormat="1" x14ac:dyDescent="0.2">
      <c r="I643" s="202"/>
      <c r="K643" s="200"/>
    </row>
    <row r="644" spans="9:11" s="180" customFormat="1" x14ac:dyDescent="0.2">
      <c r="I644" s="202"/>
      <c r="K644" s="200"/>
    </row>
    <row r="645" spans="9:11" s="180" customFormat="1" x14ac:dyDescent="0.2">
      <c r="I645" s="202"/>
      <c r="K645" s="200"/>
    </row>
    <row r="646" spans="9:11" s="180" customFormat="1" x14ac:dyDescent="0.2">
      <c r="I646" s="202"/>
      <c r="K646" s="200"/>
    </row>
    <row r="647" spans="9:11" s="180" customFormat="1" x14ac:dyDescent="0.2">
      <c r="I647" s="202"/>
      <c r="K647" s="200"/>
    </row>
    <row r="648" spans="9:11" s="180" customFormat="1" x14ac:dyDescent="0.2">
      <c r="I648" s="202"/>
      <c r="K648" s="200"/>
    </row>
    <row r="649" spans="9:11" s="180" customFormat="1" x14ac:dyDescent="0.2">
      <c r="I649" s="202"/>
      <c r="K649" s="200"/>
    </row>
    <row r="650" spans="9:11" s="180" customFormat="1" x14ac:dyDescent="0.2">
      <c r="I650" s="202"/>
      <c r="K650" s="200"/>
    </row>
    <row r="651" spans="9:11" s="180" customFormat="1" x14ac:dyDescent="0.2">
      <c r="I651" s="202"/>
      <c r="K651" s="200"/>
    </row>
    <row r="652" spans="9:11" s="180" customFormat="1" x14ac:dyDescent="0.2">
      <c r="I652" s="202"/>
      <c r="K652" s="200"/>
    </row>
    <row r="653" spans="9:11" s="180" customFormat="1" x14ac:dyDescent="0.2">
      <c r="I653" s="202"/>
      <c r="K653" s="200"/>
    </row>
    <row r="654" spans="9:11" s="180" customFormat="1" x14ac:dyDescent="0.2">
      <c r="I654" s="202"/>
      <c r="K654" s="200"/>
    </row>
    <row r="655" spans="9:11" s="180" customFormat="1" x14ac:dyDescent="0.2">
      <c r="I655" s="202"/>
      <c r="K655" s="200"/>
    </row>
    <row r="656" spans="9:11" s="180" customFormat="1" x14ac:dyDescent="0.2">
      <c r="I656" s="202"/>
      <c r="K656" s="200"/>
    </row>
    <row r="657" spans="9:11" s="180" customFormat="1" x14ac:dyDescent="0.2">
      <c r="I657" s="202"/>
      <c r="K657" s="200"/>
    </row>
    <row r="658" spans="9:11" s="180" customFormat="1" x14ac:dyDescent="0.2">
      <c r="I658" s="202"/>
      <c r="K658" s="200"/>
    </row>
    <row r="659" spans="9:11" s="180" customFormat="1" x14ac:dyDescent="0.2">
      <c r="I659" s="202"/>
      <c r="K659" s="200"/>
    </row>
    <row r="660" spans="9:11" s="180" customFormat="1" x14ac:dyDescent="0.2">
      <c r="I660" s="202"/>
      <c r="K660" s="200"/>
    </row>
    <row r="661" spans="9:11" s="180" customFormat="1" x14ac:dyDescent="0.2">
      <c r="I661" s="202"/>
      <c r="K661" s="200"/>
    </row>
    <row r="662" spans="9:11" s="180" customFormat="1" x14ac:dyDescent="0.2">
      <c r="I662" s="202"/>
      <c r="K662" s="200"/>
    </row>
    <row r="663" spans="9:11" s="180" customFormat="1" x14ac:dyDescent="0.2">
      <c r="I663" s="202"/>
      <c r="K663" s="200"/>
    </row>
    <row r="664" spans="9:11" s="180" customFormat="1" x14ac:dyDescent="0.2">
      <c r="I664" s="202"/>
      <c r="K664" s="200"/>
    </row>
    <row r="665" spans="9:11" s="180" customFormat="1" x14ac:dyDescent="0.2">
      <c r="I665" s="202"/>
      <c r="K665" s="200"/>
    </row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47" fitToHeight="0" orientation="portrait" verticalDpi="300" r:id="rId1"/>
  <headerFooter alignWithMargins="0">
    <oddHeader xml:space="preserve">&amp;L&amp;"Comic Sans MS,Negrito"&amp;14Summarized Emergy Flows&amp;R
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indexed="53"/>
  </sheetPr>
  <dimension ref="A1:I613"/>
  <sheetViews>
    <sheetView windowProtection="1" showRowColHeaders="0" zoomScale="85" zoomScaleNormal="85" workbookViewId="0">
      <selection activeCell="F12" sqref="F12"/>
    </sheetView>
  </sheetViews>
  <sheetFormatPr defaultRowHeight="12.75" x14ac:dyDescent="0.25"/>
  <cols>
    <col min="1" max="1" width="4.5" style="1" bestFit="1" customWidth="1"/>
    <col min="2" max="2" width="9" style="2"/>
    <col min="3" max="3" width="17.75" style="1" customWidth="1"/>
    <col min="4" max="4" width="37.375" style="2" customWidth="1"/>
    <col min="5" max="5" width="11.875" style="2" customWidth="1"/>
    <col min="6" max="6" width="10.25" style="2" customWidth="1"/>
    <col min="7" max="9" width="9.375" style="2" customWidth="1"/>
    <col min="10" max="10" width="9" style="2"/>
    <col min="11" max="11" width="3" style="2" customWidth="1"/>
    <col min="12" max="16384" width="9" style="2"/>
  </cols>
  <sheetData>
    <row r="1" spans="1:4" ht="41.25" customHeight="1" thickBot="1" x14ac:dyDescent="0.3">
      <c r="A1" s="170" t="s">
        <v>10</v>
      </c>
      <c r="B1" s="171" t="s">
        <v>112</v>
      </c>
      <c r="C1" s="196" t="s">
        <v>113</v>
      </c>
      <c r="D1" s="197" t="s">
        <v>114</v>
      </c>
    </row>
    <row r="2" spans="1:4" x14ac:dyDescent="0.25">
      <c r="A2" s="172">
        <v>1</v>
      </c>
      <c r="B2" s="168" t="s">
        <v>236</v>
      </c>
      <c r="C2" s="173" t="s">
        <v>115</v>
      </c>
      <c r="D2" s="174">
        <v>156</v>
      </c>
    </row>
    <row r="3" spans="1:4" x14ac:dyDescent="0.25">
      <c r="A3" s="175">
        <f>$A$2+0</f>
        <v>1</v>
      </c>
      <c r="B3" s="169" t="str">
        <f t="shared" ref="B3:B4" si="0">$B$2</f>
        <v>gasdhjasgjd</v>
      </c>
      <c r="C3" s="173" t="s">
        <v>116</v>
      </c>
      <c r="D3" s="174">
        <v>174</v>
      </c>
    </row>
    <row r="4" spans="1:4" x14ac:dyDescent="0.25">
      <c r="A4" s="175">
        <f>$A$2+0</f>
        <v>1</v>
      </c>
      <c r="B4" s="169" t="str">
        <f t="shared" si="0"/>
        <v>gasdhjasgjd</v>
      </c>
      <c r="C4" s="173" t="s">
        <v>117</v>
      </c>
      <c r="D4" s="174">
        <v>285</v>
      </c>
    </row>
    <row r="5" spans="1:4" x14ac:dyDescent="0.25">
      <c r="A5" s="172">
        <f>2</f>
        <v>2</v>
      </c>
      <c r="B5" s="168" t="s">
        <v>237</v>
      </c>
      <c r="C5" s="173" t="s">
        <v>115</v>
      </c>
      <c r="D5" s="174">
        <v>85</v>
      </c>
    </row>
    <row r="6" spans="1:4" x14ac:dyDescent="0.25">
      <c r="A6" s="175">
        <f>$A$5</f>
        <v>2</v>
      </c>
      <c r="B6" s="169" t="str">
        <f t="shared" ref="B6:B7" si="1">$B$5</f>
        <v>dsad</v>
      </c>
      <c r="C6" s="173" t="s">
        <v>116</v>
      </c>
      <c r="D6" s="174">
        <v>38</v>
      </c>
    </row>
    <row r="7" spans="1:4" x14ac:dyDescent="0.25">
      <c r="A7" s="175">
        <f>$A$5</f>
        <v>2</v>
      </c>
      <c r="B7" s="169" t="str">
        <f t="shared" si="1"/>
        <v>dsad</v>
      </c>
      <c r="C7" s="173" t="s">
        <v>117</v>
      </c>
      <c r="D7" s="174">
        <v>38</v>
      </c>
    </row>
    <row r="8" spans="1:4" x14ac:dyDescent="0.25">
      <c r="A8" s="172">
        <f>3</f>
        <v>3</v>
      </c>
      <c r="B8" s="168" t="s">
        <v>238</v>
      </c>
      <c r="C8" s="173" t="s">
        <v>115</v>
      </c>
      <c r="D8" s="174">
        <v>8368</v>
      </c>
    </row>
    <row r="9" spans="1:4" x14ac:dyDescent="0.25">
      <c r="A9" s="175">
        <f>$A$8</f>
        <v>3</v>
      </c>
      <c r="B9" s="169" t="str">
        <f t="shared" ref="B9:B10" si="2">$B$8</f>
        <v>dsas</v>
      </c>
      <c r="C9" s="173" t="s">
        <v>116</v>
      </c>
      <c r="D9" s="174">
        <v>65852</v>
      </c>
    </row>
    <row r="10" spans="1:4" x14ac:dyDescent="0.25">
      <c r="A10" s="175">
        <f>$A$8</f>
        <v>3</v>
      </c>
      <c r="B10" s="169" t="str">
        <f t="shared" si="2"/>
        <v>dsas</v>
      </c>
      <c r="C10" s="173" t="s">
        <v>117</v>
      </c>
      <c r="D10" s="174">
        <v>85</v>
      </c>
    </row>
    <row r="11" spans="1:4" x14ac:dyDescent="0.25">
      <c r="A11" s="172">
        <f>4</f>
        <v>4</v>
      </c>
      <c r="B11" s="168" t="s">
        <v>239</v>
      </c>
      <c r="C11" s="173" t="s">
        <v>115</v>
      </c>
      <c r="D11" s="174">
        <v>686385</v>
      </c>
    </row>
    <row r="12" spans="1:4" x14ac:dyDescent="0.25">
      <c r="A12" s="175">
        <f>$A$11</f>
        <v>4</v>
      </c>
      <c r="B12" s="169" t="str">
        <f t="shared" ref="B12:B13" si="3">$B$11</f>
        <v>fds</v>
      </c>
      <c r="C12" s="173" t="s">
        <v>116</v>
      </c>
      <c r="D12" s="174">
        <v>686</v>
      </c>
    </row>
    <row r="13" spans="1:4" x14ac:dyDescent="0.25">
      <c r="A13" s="175">
        <f>$A$11</f>
        <v>4</v>
      </c>
      <c r="B13" s="169" t="str">
        <f t="shared" si="3"/>
        <v>fds</v>
      </c>
      <c r="C13" s="173" t="s">
        <v>117</v>
      </c>
      <c r="D13" s="174">
        <v>852</v>
      </c>
    </row>
    <row r="14" spans="1:4" x14ac:dyDescent="0.25">
      <c r="A14" s="172">
        <f>5</f>
        <v>5</v>
      </c>
      <c r="B14" s="168" t="s">
        <v>240</v>
      </c>
      <c r="C14" s="173" t="s">
        <v>115</v>
      </c>
      <c r="D14" s="174">
        <v>852</v>
      </c>
    </row>
    <row r="15" spans="1:4" x14ac:dyDescent="0.25">
      <c r="A15" s="175">
        <f>$A$14</f>
        <v>5</v>
      </c>
      <c r="B15" s="169" t="str">
        <f t="shared" ref="B15:B16" si="4">$B$14</f>
        <v>gdfg</v>
      </c>
      <c r="C15" s="173" t="s">
        <v>116</v>
      </c>
      <c r="D15" s="174">
        <v>852</v>
      </c>
    </row>
    <row r="16" spans="1:4" x14ac:dyDescent="0.25">
      <c r="A16" s="175">
        <f>$A$14</f>
        <v>5</v>
      </c>
      <c r="B16" s="169" t="str">
        <f t="shared" si="4"/>
        <v>gdfg</v>
      </c>
      <c r="C16" s="173" t="s">
        <v>117</v>
      </c>
      <c r="D16" s="174">
        <v>852</v>
      </c>
    </row>
    <row r="17" spans="1:9" x14ac:dyDescent="0.25">
      <c r="A17" s="172">
        <f>6</f>
        <v>6</v>
      </c>
      <c r="B17" s="168"/>
      <c r="C17" s="173" t="s">
        <v>115</v>
      </c>
      <c r="D17" s="174"/>
    </row>
    <row r="18" spans="1:9" x14ac:dyDescent="0.25">
      <c r="A18" s="175">
        <f>$A$17</f>
        <v>6</v>
      </c>
      <c r="B18" s="169">
        <f t="shared" ref="B18:B19" si="5">$B$17</f>
        <v>0</v>
      </c>
      <c r="C18" s="173" t="s">
        <v>116</v>
      </c>
      <c r="D18" s="174"/>
    </row>
    <row r="19" spans="1:9" x14ac:dyDescent="0.25">
      <c r="A19" s="175">
        <f>$A$17</f>
        <v>6</v>
      </c>
      <c r="B19" s="169">
        <f t="shared" si="5"/>
        <v>0</v>
      </c>
      <c r="C19" s="173" t="s">
        <v>117</v>
      </c>
      <c r="D19" s="174"/>
      <c r="G19" s="191"/>
    </row>
    <row r="20" spans="1:9" x14ac:dyDescent="0.25">
      <c r="A20" s="172">
        <f>7</f>
        <v>7</v>
      </c>
      <c r="B20" s="168"/>
      <c r="C20" s="173" t="s">
        <v>115</v>
      </c>
      <c r="D20" s="174"/>
    </row>
    <row r="21" spans="1:9" x14ac:dyDescent="0.25">
      <c r="A21" s="175">
        <f>$A$20</f>
        <v>7</v>
      </c>
      <c r="B21" s="169">
        <f t="shared" ref="B21:B22" si="6">$B$20</f>
        <v>0</v>
      </c>
      <c r="C21" s="173" t="s">
        <v>116</v>
      </c>
      <c r="D21" s="174"/>
    </row>
    <row r="22" spans="1:9" x14ac:dyDescent="0.25">
      <c r="A22" s="175">
        <f>$A$20</f>
        <v>7</v>
      </c>
      <c r="B22" s="169">
        <f t="shared" si="6"/>
        <v>0</v>
      </c>
      <c r="C22" s="173" t="s">
        <v>117</v>
      </c>
      <c r="D22" s="174"/>
    </row>
    <row r="23" spans="1:9" x14ac:dyDescent="0.25">
      <c r="A23" s="172">
        <f>8</f>
        <v>8</v>
      </c>
      <c r="B23" s="168"/>
      <c r="C23" s="173" t="s">
        <v>115</v>
      </c>
      <c r="D23" s="174"/>
    </row>
    <row r="24" spans="1:9" x14ac:dyDescent="0.25">
      <c r="A24" s="175">
        <f>$A$23</f>
        <v>8</v>
      </c>
      <c r="B24" s="169">
        <f t="shared" ref="B24:B25" si="7">$B$23</f>
        <v>0</v>
      </c>
      <c r="C24" s="173" t="s">
        <v>116</v>
      </c>
      <c r="D24" s="174"/>
    </row>
    <row r="25" spans="1:9" x14ac:dyDescent="0.25">
      <c r="A25" s="175">
        <f>$A$23</f>
        <v>8</v>
      </c>
      <c r="B25" s="169">
        <f t="shared" si="7"/>
        <v>0</v>
      </c>
      <c r="C25" s="173" t="s">
        <v>117</v>
      </c>
      <c r="D25" s="174"/>
    </row>
    <row r="26" spans="1:9" x14ac:dyDescent="0.25">
      <c r="A26" s="172">
        <f>9</f>
        <v>9</v>
      </c>
      <c r="B26" s="168"/>
      <c r="C26" s="173" t="s">
        <v>115</v>
      </c>
      <c r="D26" s="174"/>
    </row>
    <row r="27" spans="1:9" x14ac:dyDescent="0.25">
      <c r="A27" s="175">
        <f>$A$26</f>
        <v>9</v>
      </c>
      <c r="B27" s="169">
        <f t="shared" ref="B27:B28" si="8">$B$26</f>
        <v>0</v>
      </c>
      <c r="C27" s="173" t="s">
        <v>116</v>
      </c>
      <c r="D27" s="174"/>
    </row>
    <row r="28" spans="1:9" x14ac:dyDescent="0.25">
      <c r="A28" s="175">
        <f>$A$26</f>
        <v>9</v>
      </c>
      <c r="B28" s="169">
        <f t="shared" si="8"/>
        <v>0</v>
      </c>
      <c r="C28" s="173" t="s">
        <v>117</v>
      </c>
      <c r="D28" s="174"/>
    </row>
    <row r="29" spans="1:9" x14ac:dyDescent="0.25">
      <c r="A29" s="176">
        <v>10</v>
      </c>
      <c r="B29" s="168"/>
      <c r="C29" s="173" t="s">
        <v>115</v>
      </c>
      <c r="D29" s="174"/>
    </row>
    <row r="30" spans="1:9" x14ac:dyDescent="0.25">
      <c r="A30" s="175">
        <f>$A$29</f>
        <v>10</v>
      </c>
      <c r="B30" s="169">
        <f t="shared" ref="B30:B31" si="9">$B$29</f>
        <v>0</v>
      </c>
      <c r="C30" s="173" t="s">
        <v>116</v>
      </c>
      <c r="D30" s="174"/>
    </row>
    <row r="31" spans="1:9" x14ac:dyDescent="0.25">
      <c r="A31" s="175">
        <f>$A$29</f>
        <v>10</v>
      </c>
      <c r="B31" s="169">
        <f t="shared" si="9"/>
        <v>0</v>
      </c>
      <c r="C31" s="173" t="s">
        <v>117</v>
      </c>
      <c r="D31" s="174"/>
    </row>
    <row r="32" spans="1:9" ht="13.5" x14ac:dyDescent="0.25">
      <c r="A32" s="177">
        <v>11</v>
      </c>
      <c r="B32" s="168"/>
      <c r="C32" s="173" t="s">
        <v>115</v>
      </c>
      <c r="D32" s="174"/>
      <c r="E32" s="1"/>
      <c r="F32" s="1"/>
      <c r="G32" s="4"/>
      <c r="I32" s="1"/>
    </row>
    <row r="33" spans="1:9" ht="13.5" x14ac:dyDescent="0.25">
      <c r="A33" s="177">
        <v>11</v>
      </c>
      <c r="B33" s="169">
        <f t="shared" ref="B33:B34" si="10">$B$32</f>
        <v>0</v>
      </c>
      <c r="C33" s="173" t="s">
        <v>116</v>
      </c>
      <c r="D33" s="174"/>
      <c r="E33" s="1"/>
      <c r="F33" s="1"/>
      <c r="G33" s="4"/>
      <c r="I33" s="1"/>
    </row>
    <row r="34" spans="1:9" ht="13.5" x14ac:dyDescent="0.25">
      <c r="A34" s="177">
        <v>11</v>
      </c>
      <c r="B34" s="169">
        <f t="shared" si="10"/>
        <v>0</v>
      </c>
      <c r="C34" s="173" t="s">
        <v>117</v>
      </c>
      <c r="D34" s="174"/>
      <c r="E34" s="1"/>
      <c r="F34" s="1"/>
      <c r="G34" s="4"/>
    </row>
    <row r="35" spans="1:9" ht="13.5" x14ac:dyDescent="0.25">
      <c r="A35" s="177">
        <v>12</v>
      </c>
      <c r="B35" s="168"/>
      <c r="C35" s="173" t="s">
        <v>115</v>
      </c>
      <c r="D35" s="174"/>
      <c r="E35" s="1"/>
      <c r="F35" s="1"/>
      <c r="G35" s="4"/>
    </row>
    <row r="36" spans="1:9" ht="13.5" x14ac:dyDescent="0.25">
      <c r="A36" s="177">
        <v>12</v>
      </c>
      <c r="B36" s="169">
        <f t="shared" ref="B36:B37" si="11">$B$35</f>
        <v>0</v>
      </c>
      <c r="C36" s="173" t="s">
        <v>116</v>
      </c>
      <c r="D36" s="174"/>
      <c r="E36" s="1"/>
      <c r="F36" s="1"/>
      <c r="G36" s="4"/>
    </row>
    <row r="37" spans="1:9" ht="13.5" x14ac:dyDescent="0.25">
      <c r="A37" s="177">
        <v>12</v>
      </c>
      <c r="B37" s="169">
        <f t="shared" si="11"/>
        <v>0</v>
      </c>
      <c r="C37" s="173" t="s">
        <v>117</v>
      </c>
      <c r="D37" s="174"/>
      <c r="E37" s="1"/>
      <c r="F37" s="1"/>
      <c r="G37" s="4"/>
    </row>
    <row r="38" spans="1:9" ht="13.5" x14ac:dyDescent="0.25">
      <c r="A38" s="177">
        <v>13</v>
      </c>
      <c r="B38" s="168"/>
      <c r="C38" s="173" t="s">
        <v>115</v>
      </c>
      <c r="D38" s="174"/>
      <c r="E38" s="1"/>
      <c r="F38" s="1"/>
      <c r="G38" s="4"/>
    </row>
    <row r="39" spans="1:9" ht="13.5" x14ac:dyDescent="0.25">
      <c r="A39" s="177">
        <v>13</v>
      </c>
      <c r="B39" s="169">
        <f t="shared" ref="B39:B40" si="12">$B$38</f>
        <v>0</v>
      </c>
      <c r="C39" s="173" t="s">
        <v>116</v>
      </c>
      <c r="D39" s="174"/>
      <c r="E39" s="1"/>
      <c r="F39" s="1"/>
      <c r="G39" s="4"/>
    </row>
    <row r="40" spans="1:9" ht="13.5" x14ac:dyDescent="0.25">
      <c r="A40" s="177">
        <v>13</v>
      </c>
      <c r="B40" s="169">
        <f t="shared" si="12"/>
        <v>0</v>
      </c>
      <c r="C40" s="173" t="s">
        <v>117</v>
      </c>
      <c r="D40" s="174"/>
    </row>
    <row r="41" spans="1:9" ht="13.5" x14ac:dyDescent="0.25">
      <c r="A41" s="177">
        <v>14</v>
      </c>
      <c r="B41" s="168"/>
      <c r="C41" s="173" t="s">
        <v>115</v>
      </c>
      <c r="D41" s="174"/>
    </row>
    <row r="42" spans="1:9" ht="13.5" x14ac:dyDescent="0.25">
      <c r="A42" s="177">
        <v>14</v>
      </c>
      <c r="B42" s="169">
        <f t="shared" ref="B42:B43" si="13">$B$41</f>
        <v>0</v>
      </c>
      <c r="C42" s="173" t="s">
        <v>116</v>
      </c>
      <c r="D42" s="174"/>
    </row>
    <row r="43" spans="1:9" ht="13.5" x14ac:dyDescent="0.25">
      <c r="A43" s="177">
        <v>14</v>
      </c>
      <c r="B43" s="169">
        <f t="shared" si="13"/>
        <v>0</v>
      </c>
      <c r="C43" s="173" t="s">
        <v>117</v>
      </c>
      <c r="D43" s="174"/>
    </row>
    <row r="44" spans="1:9" ht="13.5" x14ac:dyDescent="0.25">
      <c r="A44" s="177">
        <v>15</v>
      </c>
      <c r="B44" s="168"/>
      <c r="C44" s="173" t="s">
        <v>115</v>
      </c>
      <c r="D44" s="174"/>
    </row>
    <row r="45" spans="1:9" ht="13.5" x14ac:dyDescent="0.25">
      <c r="A45" s="177">
        <v>15</v>
      </c>
      <c r="B45" s="169">
        <f t="shared" ref="B45:B46" si="14">$B$44</f>
        <v>0</v>
      </c>
      <c r="C45" s="173" t="s">
        <v>116</v>
      </c>
      <c r="D45" s="174"/>
    </row>
    <row r="46" spans="1:9" ht="13.5" x14ac:dyDescent="0.25">
      <c r="A46" s="177">
        <v>15</v>
      </c>
      <c r="B46" s="169">
        <f t="shared" si="14"/>
        <v>0</v>
      </c>
      <c r="C46" s="173" t="s">
        <v>117</v>
      </c>
      <c r="D46" s="174"/>
    </row>
    <row r="47" spans="1:9" ht="13.5" x14ac:dyDescent="0.25">
      <c r="A47" s="177">
        <v>16</v>
      </c>
      <c r="B47" s="168"/>
      <c r="C47" s="173" t="s">
        <v>115</v>
      </c>
      <c r="D47" s="174"/>
    </row>
    <row r="48" spans="1:9" ht="13.5" x14ac:dyDescent="0.25">
      <c r="A48" s="177">
        <v>16</v>
      </c>
      <c r="B48" s="169">
        <f t="shared" ref="B48:B49" si="15">$B$47</f>
        <v>0</v>
      </c>
      <c r="C48" s="173" t="s">
        <v>116</v>
      </c>
      <c r="D48" s="174"/>
    </row>
    <row r="49" spans="1:4" ht="13.5" x14ac:dyDescent="0.25">
      <c r="A49" s="177">
        <v>16</v>
      </c>
      <c r="B49" s="169">
        <f t="shared" si="15"/>
        <v>0</v>
      </c>
      <c r="C49" s="173" t="s">
        <v>117</v>
      </c>
      <c r="D49" s="174"/>
    </row>
    <row r="50" spans="1:4" ht="13.5" x14ac:dyDescent="0.25">
      <c r="A50" s="177">
        <v>17</v>
      </c>
      <c r="B50" s="168"/>
      <c r="C50" s="173" t="s">
        <v>115</v>
      </c>
      <c r="D50" s="174"/>
    </row>
    <row r="51" spans="1:4" ht="13.5" x14ac:dyDescent="0.25">
      <c r="A51" s="177">
        <v>17</v>
      </c>
      <c r="B51" s="169">
        <f t="shared" ref="B51:B52" si="16">$B$50</f>
        <v>0</v>
      </c>
      <c r="C51" s="173" t="s">
        <v>116</v>
      </c>
      <c r="D51" s="174"/>
    </row>
    <row r="52" spans="1:4" ht="13.5" x14ac:dyDescent="0.25">
      <c r="A52" s="177">
        <v>17</v>
      </c>
      <c r="B52" s="169">
        <f t="shared" si="16"/>
        <v>0</v>
      </c>
      <c r="C52" s="173" t="s">
        <v>117</v>
      </c>
      <c r="D52" s="174"/>
    </row>
    <row r="53" spans="1:4" ht="13.5" x14ac:dyDescent="0.25">
      <c r="A53" s="177">
        <v>18</v>
      </c>
      <c r="B53" s="168"/>
      <c r="C53" s="173" t="s">
        <v>115</v>
      </c>
      <c r="D53" s="174"/>
    </row>
    <row r="54" spans="1:4" ht="13.5" x14ac:dyDescent="0.25">
      <c r="A54" s="177">
        <v>18</v>
      </c>
      <c r="B54" s="169">
        <f t="shared" ref="B54:B55" si="17">$B$53</f>
        <v>0</v>
      </c>
      <c r="C54" s="173" t="s">
        <v>116</v>
      </c>
      <c r="D54" s="174"/>
    </row>
    <row r="55" spans="1:4" ht="13.5" x14ac:dyDescent="0.25">
      <c r="A55" s="177">
        <v>18</v>
      </c>
      <c r="B55" s="169">
        <f t="shared" si="17"/>
        <v>0</v>
      </c>
      <c r="C55" s="173" t="s">
        <v>117</v>
      </c>
      <c r="D55" s="174"/>
    </row>
    <row r="56" spans="1:4" ht="13.5" x14ac:dyDescent="0.25">
      <c r="A56" s="177">
        <v>19</v>
      </c>
      <c r="B56" s="168"/>
      <c r="C56" s="173" t="s">
        <v>115</v>
      </c>
      <c r="D56" s="174"/>
    </row>
    <row r="57" spans="1:4" ht="13.5" x14ac:dyDescent="0.25">
      <c r="A57" s="177">
        <v>19</v>
      </c>
      <c r="B57" s="169">
        <f t="shared" ref="B57:B58" si="18">$B$56</f>
        <v>0</v>
      </c>
      <c r="C57" s="173" t="s">
        <v>116</v>
      </c>
      <c r="D57" s="174"/>
    </row>
    <row r="58" spans="1:4" ht="13.5" x14ac:dyDescent="0.25">
      <c r="A58" s="177">
        <v>19</v>
      </c>
      <c r="B58" s="169">
        <f t="shared" si="18"/>
        <v>0</v>
      </c>
      <c r="C58" s="173" t="s">
        <v>117</v>
      </c>
      <c r="D58" s="174"/>
    </row>
    <row r="59" spans="1:4" ht="13.5" x14ac:dyDescent="0.25">
      <c r="A59" s="177">
        <v>20</v>
      </c>
      <c r="B59" s="168"/>
      <c r="C59" s="173" t="s">
        <v>115</v>
      </c>
      <c r="D59" s="174"/>
    </row>
    <row r="60" spans="1:4" ht="13.5" x14ac:dyDescent="0.25">
      <c r="A60" s="177">
        <v>20</v>
      </c>
      <c r="B60" s="169">
        <f t="shared" ref="B60:B61" si="19">$B$59</f>
        <v>0</v>
      </c>
      <c r="C60" s="173" t="s">
        <v>116</v>
      </c>
      <c r="D60" s="174"/>
    </row>
    <row r="61" spans="1:4" ht="13.5" x14ac:dyDescent="0.25">
      <c r="A61" s="177">
        <v>20</v>
      </c>
      <c r="B61" s="169">
        <f t="shared" si="19"/>
        <v>0</v>
      </c>
      <c r="C61" s="173" t="s">
        <v>117</v>
      </c>
      <c r="D61" s="174"/>
    </row>
    <row r="62" spans="1:4" ht="13.5" x14ac:dyDescent="0.25">
      <c r="A62" s="177">
        <v>21</v>
      </c>
      <c r="B62" s="168"/>
      <c r="C62" s="173" t="s">
        <v>115</v>
      </c>
      <c r="D62" s="174"/>
    </row>
    <row r="63" spans="1:4" ht="13.5" x14ac:dyDescent="0.25">
      <c r="A63" s="177">
        <v>21</v>
      </c>
      <c r="B63" s="169">
        <f t="shared" ref="B63:B64" si="20">$B$62</f>
        <v>0</v>
      </c>
      <c r="C63" s="173" t="s">
        <v>116</v>
      </c>
      <c r="D63" s="174"/>
    </row>
    <row r="64" spans="1:4" ht="13.5" x14ac:dyDescent="0.25">
      <c r="A64" s="177">
        <v>21</v>
      </c>
      <c r="B64" s="169">
        <f t="shared" si="20"/>
        <v>0</v>
      </c>
      <c r="C64" s="173" t="s">
        <v>117</v>
      </c>
      <c r="D64" s="174"/>
    </row>
    <row r="65" spans="1:7" ht="13.5" x14ac:dyDescent="0.25">
      <c r="A65" s="177">
        <v>22</v>
      </c>
      <c r="B65" s="168"/>
      <c r="C65" s="173" t="s">
        <v>115</v>
      </c>
      <c r="D65" s="174"/>
    </row>
    <row r="66" spans="1:7" ht="13.5" x14ac:dyDescent="0.25">
      <c r="A66" s="177">
        <v>22</v>
      </c>
      <c r="B66" s="169">
        <f t="shared" ref="B66:B67" si="21">$B$65</f>
        <v>0</v>
      </c>
      <c r="C66" s="173" t="s">
        <v>116</v>
      </c>
      <c r="D66" s="174"/>
    </row>
    <row r="67" spans="1:7" ht="13.5" x14ac:dyDescent="0.25">
      <c r="A67" s="177">
        <v>22</v>
      </c>
      <c r="B67" s="169">
        <f t="shared" si="21"/>
        <v>0</v>
      </c>
      <c r="C67" s="173" t="s">
        <v>117</v>
      </c>
      <c r="D67" s="174"/>
    </row>
    <row r="68" spans="1:7" ht="13.5" x14ac:dyDescent="0.25">
      <c r="A68" s="177">
        <v>23</v>
      </c>
      <c r="B68" s="168"/>
      <c r="C68" s="173" t="s">
        <v>115</v>
      </c>
      <c r="D68" s="174"/>
    </row>
    <row r="69" spans="1:7" ht="13.5" x14ac:dyDescent="0.25">
      <c r="A69" s="177">
        <v>23</v>
      </c>
      <c r="B69" s="169">
        <f t="shared" ref="B69:B70" si="22">$B$68</f>
        <v>0</v>
      </c>
      <c r="C69" s="173" t="s">
        <v>116</v>
      </c>
      <c r="D69" s="174"/>
    </row>
    <row r="70" spans="1:7" ht="13.5" x14ac:dyDescent="0.25">
      <c r="A70" s="177">
        <v>23</v>
      </c>
      <c r="B70" s="169">
        <f t="shared" si="22"/>
        <v>0</v>
      </c>
      <c r="C70" s="173" t="s">
        <v>117</v>
      </c>
      <c r="D70" s="174"/>
    </row>
    <row r="71" spans="1:7" ht="13.5" x14ac:dyDescent="0.25">
      <c r="A71" s="177">
        <v>24</v>
      </c>
      <c r="B71" s="168"/>
      <c r="C71" s="173" t="s">
        <v>115</v>
      </c>
      <c r="D71" s="174"/>
    </row>
    <row r="72" spans="1:7" ht="13.5" x14ac:dyDescent="0.25">
      <c r="A72" s="177">
        <v>24</v>
      </c>
      <c r="B72" s="169">
        <f t="shared" ref="B72:B73" si="23">$B$71</f>
        <v>0</v>
      </c>
      <c r="C72" s="173" t="s">
        <v>116</v>
      </c>
      <c r="D72" s="174"/>
    </row>
    <row r="73" spans="1:7" ht="13.5" x14ac:dyDescent="0.25">
      <c r="A73" s="177">
        <v>24</v>
      </c>
      <c r="B73" s="169">
        <f t="shared" si="23"/>
        <v>0</v>
      </c>
      <c r="C73" s="173" t="s">
        <v>117</v>
      </c>
      <c r="D73" s="174"/>
    </row>
    <row r="74" spans="1:7" ht="13.5" x14ac:dyDescent="0.25">
      <c r="A74" s="177">
        <v>25</v>
      </c>
      <c r="B74" s="168"/>
      <c r="C74" s="173" t="s">
        <v>115</v>
      </c>
      <c r="D74" s="174"/>
    </row>
    <row r="75" spans="1:7" ht="13.5" x14ac:dyDescent="0.25">
      <c r="A75" s="177">
        <v>25</v>
      </c>
      <c r="B75" s="169">
        <f t="shared" ref="B75:B76" si="24">$B$74</f>
        <v>0</v>
      </c>
      <c r="C75" s="173" t="s">
        <v>116</v>
      </c>
      <c r="D75" s="174"/>
    </row>
    <row r="76" spans="1:7" ht="13.5" x14ac:dyDescent="0.25">
      <c r="A76" s="177">
        <v>25</v>
      </c>
      <c r="B76" s="169">
        <f t="shared" si="24"/>
        <v>0</v>
      </c>
      <c r="C76" s="173" t="s">
        <v>117</v>
      </c>
      <c r="D76" s="174"/>
    </row>
    <row r="77" spans="1:7" ht="13.5" x14ac:dyDescent="0.25">
      <c r="A77" s="177">
        <v>26</v>
      </c>
      <c r="B77" s="168"/>
      <c r="C77" s="173" t="s">
        <v>115</v>
      </c>
      <c r="D77" s="174"/>
    </row>
    <row r="78" spans="1:7" ht="13.5" x14ac:dyDescent="0.25">
      <c r="A78" s="177">
        <v>26</v>
      </c>
      <c r="B78" s="169">
        <f t="shared" ref="B78:B79" si="25">$B$77</f>
        <v>0</v>
      </c>
      <c r="C78" s="173" t="s">
        <v>116</v>
      </c>
      <c r="D78" s="174"/>
    </row>
    <row r="79" spans="1:7" ht="13.5" x14ac:dyDescent="0.25">
      <c r="A79" s="177">
        <v>26</v>
      </c>
      <c r="B79" s="169">
        <f t="shared" si="25"/>
        <v>0</v>
      </c>
      <c r="C79" s="173" t="s">
        <v>117</v>
      </c>
      <c r="D79" s="174"/>
    </row>
    <row r="80" spans="1:7" ht="13.5" x14ac:dyDescent="0.25">
      <c r="A80" s="177">
        <v>27</v>
      </c>
      <c r="B80" s="168"/>
      <c r="C80" s="173" t="s">
        <v>115</v>
      </c>
      <c r="D80" s="174"/>
      <c r="G80" s="191"/>
    </row>
    <row r="81" spans="1:8" ht="13.5" x14ac:dyDescent="0.25">
      <c r="A81" s="177">
        <v>27</v>
      </c>
      <c r="B81" s="169">
        <f t="shared" ref="B81:B82" si="26">$B$80</f>
        <v>0</v>
      </c>
      <c r="C81" s="173" t="s">
        <v>116</v>
      </c>
      <c r="D81" s="174"/>
    </row>
    <row r="82" spans="1:8" ht="13.5" x14ac:dyDescent="0.25">
      <c r="A82" s="177">
        <v>27</v>
      </c>
      <c r="B82" s="169">
        <f t="shared" si="26"/>
        <v>0</v>
      </c>
      <c r="C82" s="173" t="s">
        <v>117</v>
      </c>
      <c r="D82" s="174"/>
    </row>
    <row r="83" spans="1:8" ht="13.5" x14ac:dyDescent="0.25">
      <c r="A83" s="177">
        <v>28</v>
      </c>
      <c r="B83" s="168"/>
      <c r="C83" s="173" t="s">
        <v>115</v>
      </c>
      <c r="D83" s="174"/>
    </row>
    <row r="84" spans="1:8" ht="13.5" x14ac:dyDescent="0.25">
      <c r="A84" s="177">
        <v>28</v>
      </c>
      <c r="B84" s="169">
        <f t="shared" ref="B84:B85" si="27">$B$83</f>
        <v>0</v>
      </c>
      <c r="C84" s="173" t="s">
        <v>116</v>
      </c>
      <c r="D84" s="174"/>
    </row>
    <row r="85" spans="1:8" ht="13.5" x14ac:dyDescent="0.25">
      <c r="A85" s="177">
        <v>28</v>
      </c>
      <c r="B85" s="169">
        <f t="shared" si="27"/>
        <v>0</v>
      </c>
      <c r="C85" s="173" t="s">
        <v>117</v>
      </c>
      <c r="D85" s="174"/>
    </row>
    <row r="86" spans="1:8" ht="13.5" x14ac:dyDescent="0.25">
      <c r="A86" s="177">
        <v>29</v>
      </c>
      <c r="B86" s="168"/>
      <c r="C86" s="173" t="s">
        <v>115</v>
      </c>
      <c r="D86" s="174"/>
    </row>
    <row r="87" spans="1:8" ht="13.5" x14ac:dyDescent="0.25">
      <c r="A87" s="177">
        <v>29</v>
      </c>
      <c r="B87" s="169">
        <f t="shared" ref="B87:B88" si="28">$B$86</f>
        <v>0</v>
      </c>
      <c r="C87" s="173" t="s">
        <v>116</v>
      </c>
      <c r="D87" s="174"/>
      <c r="H87" s="191"/>
    </row>
    <row r="88" spans="1:8" ht="13.5" x14ac:dyDescent="0.25">
      <c r="A88" s="177">
        <v>29</v>
      </c>
      <c r="B88" s="169">
        <f t="shared" si="28"/>
        <v>0</v>
      </c>
      <c r="C88" s="173" t="s">
        <v>117</v>
      </c>
      <c r="D88" s="174"/>
    </row>
    <row r="89" spans="1:8" ht="13.5" x14ac:dyDescent="0.25">
      <c r="A89" s="177">
        <v>30</v>
      </c>
      <c r="B89" s="168"/>
      <c r="C89" s="173" t="s">
        <v>115</v>
      </c>
      <c r="D89" s="174"/>
    </row>
    <row r="90" spans="1:8" ht="13.5" x14ac:dyDescent="0.25">
      <c r="A90" s="177">
        <v>30</v>
      </c>
      <c r="B90" s="169">
        <f t="shared" ref="B90:B91" si="29">$B$89</f>
        <v>0</v>
      </c>
      <c r="C90" s="173" t="s">
        <v>116</v>
      </c>
      <c r="D90" s="174"/>
    </row>
    <row r="91" spans="1:8" ht="13.5" x14ac:dyDescent="0.25">
      <c r="A91" s="177">
        <v>30</v>
      </c>
      <c r="B91" s="169">
        <f t="shared" si="29"/>
        <v>0</v>
      </c>
      <c r="C91" s="173" t="s">
        <v>117</v>
      </c>
      <c r="D91" s="174"/>
    </row>
    <row r="92" spans="1:8" ht="13.5" x14ac:dyDescent="0.25">
      <c r="A92" s="192"/>
      <c r="B92" s="193"/>
      <c r="C92" s="181"/>
      <c r="D92" s="194"/>
      <c r="G92" s="191"/>
    </row>
    <row r="93" spans="1:8" ht="13.5" x14ac:dyDescent="0.25">
      <c r="A93" s="192"/>
      <c r="B93" s="195"/>
      <c r="C93" s="181"/>
      <c r="D93" s="194"/>
    </row>
    <row r="94" spans="1:8" ht="13.5" x14ac:dyDescent="0.25">
      <c r="A94" s="192"/>
      <c r="B94" s="195"/>
      <c r="C94" s="181"/>
      <c r="D94" s="194"/>
    </row>
    <row r="95" spans="1:8" ht="13.5" x14ac:dyDescent="0.25">
      <c r="A95" s="192"/>
      <c r="B95" s="193"/>
      <c r="C95" s="181"/>
      <c r="D95" s="194"/>
    </row>
    <row r="96" spans="1:8" ht="13.5" x14ac:dyDescent="0.25">
      <c r="A96" s="192"/>
      <c r="B96" s="195"/>
      <c r="C96" s="181"/>
      <c r="D96" s="194"/>
    </row>
    <row r="97" spans="1:4" ht="13.5" x14ac:dyDescent="0.25">
      <c r="A97" s="192"/>
      <c r="B97" s="195"/>
      <c r="C97" s="181"/>
      <c r="D97" s="194"/>
    </row>
    <row r="98" spans="1:4" ht="13.5" x14ac:dyDescent="0.25">
      <c r="A98" s="192"/>
      <c r="B98" s="193"/>
      <c r="C98" s="181"/>
      <c r="D98" s="194"/>
    </row>
    <row r="99" spans="1:4" ht="13.5" x14ac:dyDescent="0.25">
      <c r="A99" s="192"/>
      <c r="B99" s="195"/>
      <c r="C99" s="181"/>
      <c r="D99" s="194"/>
    </row>
    <row r="100" spans="1:4" ht="13.5" x14ac:dyDescent="0.25">
      <c r="A100" s="192"/>
      <c r="B100" s="195"/>
      <c r="C100" s="181"/>
      <c r="D100" s="194"/>
    </row>
    <row r="101" spans="1:4" ht="13.5" x14ac:dyDescent="0.25">
      <c r="A101" s="192"/>
      <c r="B101" s="193"/>
      <c r="C101" s="181"/>
      <c r="D101" s="194"/>
    </row>
    <row r="102" spans="1:4" ht="13.5" x14ac:dyDescent="0.25">
      <c r="A102" s="192"/>
      <c r="B102" s="195"/>
      <c r="C102" s="181"/>
      <c r="D102" s="194"/>
    </row>
    <row r="103" spans="1:4" ht="13.5" x14ac:dyDescent="0.25">
      <c r="A103" s="192"/>
      <c r="B103" s="195"/>
      <c r="C103" s="181"/>
      <c r="D103" s="194"/>
    </row>
    <row r="104" spans="1:4" ht="13.5" x14ac:dyDescent="0.25">
      <c r="A104" s="192"/>
      <c r="B104" s="193"/>
      <c r="C104" s="181"/>
      <c r="D104" s="194"/>
    </row>
    <row r="105" spans="1:4" ht="13.5" x14ac:dyDescent="0.25">
      <c r="A105" s="192"/>
      <c r="B105" s="195"/>
      <c r="C105" s="181"/>
      <c r="D105" s="194"/>
    </row>
    <row r="106" spans="1:4" ht="13.5" x14ac:dyDescent="0.25">
      <c r="A106" s="192"/>
      <c r="B106" s="195"/>
      <c r="C106" s="181"/>
      <c r="D106" s="194"/>
    </row>
    <row r="107" spans="1:4" ht="13.5" x14ac:dyDescent="0.25">
      <c r="A107" s="192"/>
      <c r="B107" s="193"/>
      <c r="C107" s="181"/>
      <c r="D107" s="194"/>
    </row>
    <row r="108" spans="1:4" ht="13.5" x14ac:dyDescent="0.25">
      <c r="A108" s="192"/>
      <c r="B108" s="195"/>
      <c r="C108" s="181"/>
      <c r="D108" s="194"/>
    </row>
    <row r="109" spans="1:4" ht="13.5" x14ac:dyDescent="0.25">
      <c r="A109" s="192"/>
      <c r="B109" s="195"/>
      <c r="C109" s="181"/>
      <c r="D109" s="194"/>
    </row>
    <row r="110" spans="1:4" ht="13.5" x14ac:dyDescent="0.25">
      <c r="A110" s="192"/>
      <c r="B110" s="193"/>
      <c r="C110" s="181"/>
      <c r="D110" s="194"/>
    </row>
    <row r="111" spans="1:4" ht="13.5" x14ac:dyDescent="0.25">
      <c r="A111" s="192"/>
      <c r="B111" s="195"/>
      <c r="C111" s="181"/>
      <c r="D111" s="194"/>
    </row>
    <row r="112" spans="1:4" ht="13.5" x14ac:dyDescent="0.25">
      <c r="A112" s="192"/>
      <c r="B112" s="195"/>
      <c r="C112" s="181"/>
      <c r="D112" s="194"/>
    </row>
    <row r="113" spans="1:4" ht="13.5" x14ac:dyDescent="0.25">
      <c r="A113" s="192"/>
      <c r="B113" s="193"/>
      <c r="C113" s="181"/>
      <c r="D113" s="194"/>
    </row>
    <row r="114" spans="1:4" ht="13.5" x14ac:dyDescent="0.25">
      <c r="A114" s="192"/>
      <c r="B114" s="195"/>
      <c r="C114" s="181"/>
      <c r="D114" s="194"/>
    </row>
    <row r="115" spans="1:4" ht="13.5" x14ac:dyDescent="0.25">
      <c r="A115" s="192"/>
      <c r="B115" s="195"/>
      <c r="C115" s="181"/>
      <c r="D115" s="194"/>
    </row>
    <row r="116" spans="1:4" ht="13.5" x14ac:dyDescent="0.25">
      <c r="A116" s="192"/>
      <c r="B116" s="193"/>
      <c r="C116" s="181"/>
      <c r="D116" s="194"/>
    </row>
    <row r="117" spans="1:4" ht="13.5" x14ac:dyDescent="0.25">
      <c r="A117" s="192"/>
      <c r="B117" s="195"/>
      <c r="C117" s="181"/>
      <c r="D117" s="194"/>
    </row>
    <row r="118" spans="1:4" ht="13.5" x14ac:dyDescent="0.25">
      <c r="A118" s="192"/>
      <c r="B118" s="195"/>
      <c r="C118" s="181"/>
      <c r="D118" s="194"/>
    </row>
    <row r="119" spans="1:4" ht="13.5" x14ac:dyDescent="0.25">
      <c r="A119" s="192"/>
      <c r="B119" s="193"/>
      <c r="C119" s="181"/>
      <c r="D119" s="194"/>
    </row>
    <row r="120" spans="1:4" ht="13.5" x14ac:dyDescent="0.25">
      <c r="A120" s="192"/>
      <c r="B120" s="195"/>
      <c r="C120" s="181"/>
      <c r="D120" s="194"/>
    </row>
    <row r="121" spans="1:4" ht="13.5" x14ac:dyDescent="0.25">
      <c r="A121" s="192"/>
      <c r="B121" s="195"/>
      <c r="C121" s="181"/>
      <c r="D121" s="194"/>
    </row>
    <row r="122" spans="1:4" ht="13.5" x14ac:dyDescent="0.25">
      <c r="A122" s="192"/>
      <c r="B122" s="193"/>
      <c r="C122" s="181"/>
      <c r="D122" s="194"/>
    </row>
    <row r="123" spans="1:4" ht="13.5" x14ac:dyDescent="0.25">
      <c r="A123" s="192"/>
      <c r="B123" s="195"/>
      <c r="C123" s="181"/>
      <c r="D123" s="194"/>
    </row>
    <row r="124" spans="1:4" ht="13.5" x14ac:dyDescent="0.25">
      <c r="A124" s="192"/>
      <c r="B124" s="195"/>
      <c r="C124" s="181"/>
      <c r="D124" s="194"/>
    </row>
    <row r="125" spans="1:4" ht="13.5" x14ac:dyDescent="0.25">
      <c r="A125" s="192"/>
      <c r="B125" s="193"/>
      <c r="C125" s="181"/>
      <c r="D125" s="194"/>
    </row>
    <row r="126" spans="1:4" ht="13.5" x14ac:dyDescent="0.25">
      <c r="A126" s="192"/>
      <c r="B126" s="195"/>
      <c r="C126" s="181"/>
      <c r="D126" s="194"/>
    </row>
    <row r="127" spans="1:4" ht="13.5" x14ac:dyDescent="0.25">
      <c r="A127" s="192"/>
      <c r="B127" s="195"/>
      <c r="C127" s="181"/>
      <c r="D127" s="194"/>
    </row>
    <row r="128" spans="1:4" ht="13.5" x14ac:dyDescent="0.25">
      <c r="A128" s="192"/>
      <c r="B128" s="193"/>
      <c r="C128" s="181"/>
      <c r="D128" s="194"/>
    </row>
    <row r="129" spans="1:4" ht="13.5" x14ac:dyDescent="0.25">
      <c r="A129" s="192"/>
      <c r="B129" s="195"/>
      <c r="C129" s="181"/>
      <c r="D129" s="194"/>
    </row>
    <row r="130" spans="1:4" ht="13.5" x14ac:dyDescent="0.25">
      <c r="A130" s="192"/>
      <c r="B130" s="195"/>
      <c r="C130" s="181"/>
      <c r="D130" s="194"/>
    </row>
    <row r="131" spans="1:4" ht="13.5" x14ac:dyDescent="0.25">
      <c r="A131" s="192"/>
      <c r="B131" s="193"/>
      <c r="C131" s="181"/>
      <c r="D131" s="194"/>
    </row>
    <row r="132" spans="1:4" ht="13.5" x14ac:dyDescent="0.25">
      <c r="A132" s="192"/>
      <c r="B132" s="195"/>
      <c r="C132" s="181"/>
      <c r="D132" s="194"/>
    </row>
    <row r="133" spans="1:4" ht="13.5" x14ac:dyDescent="0.25">
      <c r="A133" s="192"/>
      <c r="B133" s="195"/>
      <c r="C133" s="181"/>
      <c r="D133" s="194"/>
    </row>
    <row r="134" spans="1:4" ht="13.5" x14ac:dyDescent="0.25">
      <c r="A134" s="192"/>
      <c r="B134" s="193"/>
      <c r="C134" s="181"/>
      <c r="D134" s="194"/>
    </row>
    <row r="135" spans="1:4" ht="13.5" x14ac:dyDescent="0.25">
      <c r="A135" s="192"/>
      <c r="B135" s="195"/>
      <c r="C135" s="181"/>
      <c r="D135" s="194"/>
    </row>
    <row r="136" spans="1:4" ht="13.5" x14ac:dyDescent="0.25">
      <c r="A136" s="192"/>
      <c r="B136" s="195"/>
      <c r="C136" s="181"/>
      <c r="D136" s="194"/>
    </row>
    <row r="137" spans="1:4" ht="13.5" x14ac:dyDescent="0.25">
      <c r="A137" s="192"/>
      <c r="B137" s="193"/>
      <c r="C137" s="181"/>
      <c r="D137" s="194"/>
    </row>
    <row r="138" spans="1:4" ht="13.5" x14ac:dyDescent="0.25">
      <c r="A138" s="192"/>
      <c r="B138" s="195"/>
      <c r="C138" s="181"/>
      <c r="D138" s="194"/>
    </row>
    <row r="139" spans="1:4" ht="13.5" x14ac:dyDescent="0.25">
      <c r="A139" s="192"/>
      <c r="B139" s="195"/>
      <c r="C139" s="181"/>
      <c r="D139" s="194"/>
    </row>
    <row r="140" spans="1:4" ht="13.5" x14ac:dyDescent="0.25">
      <c r="A140" s="192"/>
      <c r="B140" s="193"/>
      <c r="C140" s="181"/>
      <c r="D140" s="194"/>
    </row>
    <row r="141" spans="1:4" ht="13.5" x14ac:dyDescent="0.25">
      <c r="A141" s="192"/>
      <c r="B141" s="195"/>
      <c r="C141" s="181"/>
      <c r="D141" s="194"/>
    </row>
    <row r="142" spans="1:4" ht="13.5" x14ac:dyDescent="0.25">
      <c r="A142" s="192"/>
      <c r="B142" s="195"/>
      <c r="C142" s="181"/>
      <c r="D142" s="194"/>
    </row>
    <row r="143" spans="1:4" ht="13.5" x14ac:dyDescent="0.25">
      <c r="A143" s="192"/>
      <c r="B143" s="193"/>
      <c r="C143" s="181"/>
      <c r="D143" s="194"/>
    </row>
    <row r="144" spans="1:4" ht="13.5" x14ac:dyDescent="0.25">
      <c r="A144" s="192"/>
      <c r="B144" s="195"/>
      <c r="C144" s="181"/>
      <c r="D144" s="194"/>
    </row>
    <row r="145" spans="1:4" ht="13.5" x14ac:dyDescent="0.25">
      <c r="A145" s="192"/>
      <c r="B145" s="195"/>
      <c r="C145" s="181"/>
      <c r="D145" s="194"/>
    </row>
    <row r="146" spans="1:4" ht="13.5" x14ac:dyDescent="0.25">
      <c r="A146" s="192"/>
      <c r="B146" s="193"/>
      <c r="C146" s="181"/>
      <c r="D146" s="194"/>
    </row>
    <row r="147" spans="1:4" ht="13.5" x14ac:dyDescent="0.25">
      <c r="A147" s="192"/>
      <c r="B147" s="195"/>
      <c r="C147" s="181"/>
      <c r="D147" s="194"/>
    </row>
    <row r="148" spans="1:4" ht="13.5" x14ac:dyDescent="0.25">
      <c r="A148" s="192"/>
      <c r="B148" s="195"/>
      <c r="C148" s="181"/>
      <c r="D148" s="194"/>
    </row>
    <row r="149" spans="1:4" ht="13.5" x14ac:dyDescent="0.25">
      <c r="A149" s="192"/>
      <c r="B149" s="193"/>
      <c r="C149" s="181"/>
      <c r="D149" s="194"/>
    </row>
    <row r="150" spans="1:4" ht="13.5" x14ac:dyDescent="0.25">
      <c r="A150" s="192"/>
      <c r="B150" s="195"/>
      <c r="C150" s="181"/>
      <c r="D150" s="194"/>
    </row>
    <row r="151" spans="1:4" ht="13.5" x14ac:dyDescent="0.25">
      <c r="A151" s="192"/>
      <c r="B151" s="195"/>
      <c r="C151" s="181"/>
      <c r="D151" s="194"/>
    </row>
    <row r="152" spans="1:4" ht="13.5" x14ac:dyDescent="0.25">
      <c r="A152" s="192"/>
      <c r="B152" s="193"/>
      <c r="C152" s="181"/>
      <c r="D152" s="194"/>
    </row>
    <row r="153" spans="1:4" ht="13.5" x14ac:dyDescent="0.25">
      <c r="A153" s="192"/>
      <c r="B153" s="195"/>
      <c r="C153" s="181"/>
      <c r="D153" s="194"/>
    </row>
    <row r="154" spans="1:4" ht="13.5" x14ac:dyDescent="0.25">
      <c r="A154" s="192"/>
      <c r="B154" s="195"/>
      <c r="C154" s="181"/>
      <c r="D154" s="194"/>
    </row>
    <row r="155" spans="1:4" ht="13.5" x14ac:dyDescent="0.25">
      <c r="A155" s="192"/>
      <c r="B155" s="193"/>
      <c r="C155" s="181"/>
      <c r="D155" s="194"/>
    </row>
    <row r="156" spans="1:4" ht="13.5" x14ac:dyDescent="0.25">
      <c r="A156" s="192"/>
      <c r="B156" s="195"/>
      <c r="C156" s="181"/>
      <c r="D156" s="194"/>
    </row>
    <row r="157" spans="1:4" ht="13.5" x14ac:dyDescent="0.25">
      <c r="A157" s="192"/>
      <c r="B157" s="195"/>
      <c r="C157" s="181"/>
      <c r="D157" s="194"/>
    </row>
    <row r="158" spans="1:4" ht="13.5" x14ac:dyDescent="0.25">
      <c r="A158" s="192"/>
      <c r="B158" s="193"/>
      <c r="C158" s="181"/>
      <c r="D158" s="194"/>
    </row>
    <row r="159" spans="1:4" ht="13.5" x14ac:dyDescent="0.25">
      <c r="A159" s="192"/>
      <c r="B159" s="195"/>
      <c r="C159" s="181"/>
      <c r="D159" s="194"/>
    </row>
    <row r="160" spans="1:4" ht="13.5" x14ac:dyDescent="0.25">
      <c r="A160" s="192"/>
      <c r="B160" s="195"/>
      <c r="C160" s="181"/>
      <c r="D160" s="194"/>
    </row>
    <row r="161" spans="1:4" ht="13.5" x14ac:dyDescent="0.25">
      <c r="A161" s="192"/>
      <c r="B161" s="193"/>
      <c r="C161" s="181"/>
      <c r="D161" s="194"/>
    </row>
    <row r="162" spans="1:4" ht="13.5" x14ac:dyDescent="0.25">
      <c r="A162" s="192"/>
      <c r="B162" s="195"/>
      <c r="C162" s="181"/>
      <c r="D162" s="194"/>
    </row>
    <row r="163" spans="1:4" ht="13.5" x14ac:dyDescent="0.25">
      <c r="A163" s="192"/>
      <c r="B163" s="195"/>
      <c r="C163" s="181"/>
      <c r="D163" s="194"/>
    </row>
    <row r="164" spans="1:4" ht="13.5" x14ac:dyDescent="0.25">
      <c r="A164" s="192"/>
      <c r="B164" s="193"/>
      <c r="C164" s="181"/>
      <c r="D164" s="194"/>
    </row>
    <row r="165" spans="1:4" ht="13.5" x14ac:dyDescent="0.25">
      <c r="A165" s="192"/>
      <c r="B165" s="195"/>
      <c r="C165" s="181"/>
      <c r="D165" s="194"/>
    </row>
    <row r="166" spans="1:4" ht="13.5" x14ac:dyDescent="0.25">
      <c r="A166" s="192"/>
      <c r="B166" s="195"/>
      <c r="C166" s="181"/>
      <c r="D166" s="194"/>
    </row>
    <row r="167" spans="1:4" ht="13.5" x14ac:dyDescent="0.25">
      <c r="A167" s="192"/>
      <c r="B167" s="193"/>
      <c r="C167" s="181"/>
      <c r="D167" s="194"/>
    </row>
    <row r="168" spans="1:4" ht="13.5" x14ac:dyDescent="0.25">
      <c r="A168" s="192"/>
      <c r="B168" s="195"/>
      <c r="C168" s="181"/>
      <c r="D168" s="194"/>
    </row>
    <row r="169" spans="1:4" ht="13.5" x14ac:dyDescent="0.25">
      <c r="A169" s="192"/>
      <c r="B169" s="195"/>
      <c r="C169" s="181"/>
      <c r="D169" s="194"/>
    </row>
    <row r="170" spans="1:4" ht="13.5" x14ac:dyDescent="0.25">
      <c r="A170" s="192"/>
      <c r="B170" s="193"/>
      <c r="C170" s="181"/>
      <c r="D170" s="194"/>
    </row>
    <row r="171" spans="1:4" ht="13.5" x14ac:dyDescent="0.25">
      <c r="A171" s="192"/>
      <c r="B171" s="195"/>
      <c r="C171" s="181"/>
      <c r="D171" s="194"/>
    </row>
    <row r="172" spans="1:4" ht="13.5" x14ac:dyDescent="0.25">
      <c r="A172" s="192"/>
      <c r="B172" s="195"/>
      <c r="C172" s="181"/>
      <c r="D172" s="194"/>
    </row>
    <row r="173" spans="1:4" ht="13.5" x14ac:dyDescent="0.25">
      <c r="A173" s="192"/>
      <c r="B173" s="193"/>
      <c r="C173" s="181"/>
      <c r="D173" s="194"/>
    </row>
    <row r="174" spans="1:4" ht="13.5" x14ac:dyDescent="0.25">
      <c r="A174" s="192"/>
      <c r="B174" s="195"/>
      <c r="C174" s="181"/>
      <c r="D174" s="194"/>
    </row>
    <row r="175" spans="1:4" ht="13.5" x14ac:dyDescent="0.25">
      <c r="A175" s="192"/>
      <c r="B175" s="195"/>
      <c r="C175" s="181"/>
      <c r="D175" s="194"/>
    </row>
    <row r="176" spans="1:4" ht="13.5" x14ac:dyDescent="0.25">
      <c r="A176" s="192"/>
      <c r="B176" s="193"/>
      <c r="C176" s="181"/>
      <c r="D176" s="194"/>
    </row>
    <row r="177" spans="1:4" ht="13.5" x14ac:dyDescent="0.25">
      <c r="A177" s="192"/>
      <c r="B177" s="195"/>
      <c r="C177" s="181"/>
      <c r="D177" s="194"/>
    </row>
    <row r="178" spans="1:4" ht="13.5" x14ac:dyDescent="0.25">
      <c r="A178" s="192"/>
      <c r="B178" s="195"/>
      <c r="C178" s="181"/>
      <c r="D178" s="194"/>
    </row>
    <row r="179" spans="1:4" ht="13.5" x14ac:dyDescent="0.25">
      <c r="A179" s="192"/>
      <c r="B179" s="193"/>
      <c r="C179" s="181"/>
      <c r="D179" s="194"/>
    </row>
    <row r="180" spans="1:4" ht="13.5" x14ac:dyDescent="0.25">
      <c r="A180" s="192"/>
      <c r="B180" s="195"/>
      <c r="C180" s="181"/>
      <c r="D180" s="194"/>
    </row>
    <row r="181" spans="1:4" ht="13.5" x14ac:dyDescent="0.25">
      <c r="A181" s="192"/>
      <c r="B181" s="195"/>
      <c r="C181" s="181"/>
      <c r="D181" s="194"/>
    </row>
    <row r="182" spans="1:4" ht="13.5" x14ac:dyDescent="0.25">
      <c r="A182" s="192"/>
      <c r="B182" s="193"/>
      <c r="C182" s="181"/>
      <c r="D182" s="194"/>
    </row>
    <row r="183" spans="1:4" ht="13.5" x14ac:dyDescent="0.25">
      <c r="A183" s="192"/>
      <c r="B183" s="195"/>
      <c r="C183" s="181"/>
      <c r="D183" s="194"/>
    </row>
    <row r="184" spans="1:4" ht="13.5" x14ac:dyDescent="0.25">
      <c r="A184" s="192"/>
      <c r="B184" s="195"/>
      <c r="C184" s="181"/>
      <c r="D184" s="194"/>
    </row>
    <row r="185" spans="1:4" ht="13.5" x14ac:dyDescent="0.25">
      <c r="A185" s="192"/>
      <c r="B185" s="193"/>
      <c r="C185" s="181"/>
      <c r="D185" s="194"/>
    </row>
    <row r="186" spans="1:4" ht="13.5" x14ac:dyDescent="0.25">
      <c r="A186" s="192"/>
      <c r="B186" s="195"/>
      <c r="C186" s="181"/>
      <c r="D186" s="194"/>
    </row>
    <row r="187" spans="1:4" ht="13.5" x14ac:dyDescent="0.25">
      <c r="A187" s="192"/>
      <c r="B187" s="195"/>
      <c r="C187" s="181"/>
      <c r="D187" s="194"/>
    </row>
    <row r="188" spans="1:4" ht="13.5" x14ac:dyDescent="0.25">
      <c r="A188" s="192"/>
      <c r="B188" s="193"/>
      <c r="C188" s="181"/>
      <c r="D188" s="194"/>
    </row>
    <row r="189" spans="1:4" ht="13.5" x14ac:dyDescent="0.25">
      <c r="A189" s="192"/>
      <c r="B189" s="195"/>
      <c r="C189" s="181"/>
      <c r="D189" s="194"/>
    </row>
    <row r="190" spans="1:4" ht="13.5" x14ac:dyDescent="0.25">
      <c r="A190" s="192"/>
      <c r="B190" s="195"/>
      <c r="C190" s="181"/>
      <c r="D190" s="194"/>
    </row>
    <row r="191" spans="1:4" ht="13.5" x14ac:dyDescent="0.25">
      <c r="A191" s="192"/>
      <c r="B191" s="193"/>
      <c r="C191" s="181"/>
      <c r="D191" s="194"/>
    </row>
    <row r="192" spans="1:4" ht="13.5" x14ac:dyDescent="0.25">
      <c r="A192" s="192"/>
      <c r="B192" s="195"/>
      <c r="C192" s="181"/>
      <c r="D192" s="194"/>
    </row>
    <row r="193" spans="1:4" ht="13.5" x14ac:dyDescent="0.25">
      <c r="A193" s="192"/>
      <c r="B193" s="195"/>
      <c r="C193" s="181"/>
      <c r="D193" s="194"/>
    </row>
    <row r="194" spans="1:4" ht="13.5" x14ac:dyDescent="0.25">
      <c r="A194" s="192"/>
      <c r="B194" s="193"/>
      <c r="C194" s="181"/>
      <c r="D194" s="194"/>
    </row>
    <row r="195" spans="1:4" ht="13.5" x14ac:dyDescent="0.25">
      <c r="A195" s="192"/>
      <c r="B195" s="195"/>
      <c r="C195" s="181"/>
      <c r="D195" s="194"/>
    </row>
    <row r="196" spans="1:4" ht="13.5" x14ac:dyDescent="0.25">
      <c r="A196" s="192"/>
      <c r="B196" s="195"/>
      <c r="C196" s="181"/>
      <c r="D196" s="194"/>
    </row>
    <row r="197" spans="1:4" ht="13.5" x14ac:dyDescent="0.25">
      <c r="A197" s="192"/>
      <c r="B197" s="193"/>
      <c r="C197" s="181"/>
      <c r="D197" s="194"/>
    </row>
    <row r="198" spans="1:4" ht="13.5" x14ac:dyDescent="0.25">
      <c r="A198" s="192"/>
      <c r="B198" s="195"/>
      <c r="C198" s="181"/>
      <c r="D198" s="194"/>
    </row>
    <row r="199" spans="1:4" ht="13.5" x14ac:dyDescent="0.25">
      <c r="A199" s="192"/>
      <c r="B199" s="195"/>
      <c r="C199" s="181"/>
      <c r="D199" s="194"/>
    </row>
    <row r="200" spans="1:4" ht="13.5" x14ac:dyDescent="0.25">
      <c r="A200" s="192"/>
      <c r="B200" s="193"/>
      <c r="C200" s="181"/>
      <c r="D200" s="194"/>
    </row>
    <row r="201" spans="1:4" ht="13.5" x14ac:dyDescent="0.25">
      <c r="A201" s="192"/>
      <c r="B201" s="195"/>
      <c r="C201" s="181"/>
      <c r="D201" s="194"/>
    </row>
    <row r="202" spans="1:4" ht="13.5" x14ac:dyDescent="0.25">
      <c r="A202" s="192"/>
      <c r="B202" s="195"/>
      <c r="C202" s="181"/>
      <c r="D202" s="194"/>
    </row>
    <row r="203" spans="1:4" ht="13.5" x14ac:dyDescent="0.25">
      <c r="A203" s="192"/>
      <c r="B203" s="193"/>
      <c r="C203" s="181"/>
      <c r="D203" s="194"/>
    </row>
    <row r="204" spans="1:4" ht="13.5" x14ac:dyDescent="0.25">
      <c r="A204" s="192"/>
      <c r="B204" s="195"/>
      <c r="C204" s="181"/>
      <c r="D204" s="194"/>
    </row>
    <row r="205" spans="1:4" ht="13.5" x14ac:dyDescent="0.25">
      <c r="A205" s="192"/>
      <c r="B205" s="195"/>
      <c r="C205" s="181"/>
      <c r="D205" s="194"/>
    </row>
    <row r="206" spans="1:4" ht="13.5" x14ac:dyDescent="0.25">
      <c r="A206" s="192"/>
      <c r="B206" s="193"/>
      <c r="C206" s="181"/>
      <c r="D206" s="194"/>
    </row>
    <row r="207" spans="1:4" ht="13.5" x14ac:dyDescent="0.25">
      <c r="A207" s="192"/>
      <c r="B207" s="195"/>
      <c r="C207" s="181"/>
      <c r="D207" s="194"/>
    </row>
    <row r="208" spans="1:4" ht="13.5" x14ac:dyDescent="0.25">
      <c r="A208" s="192"/>
      <c r="B208" s="195"/>
      <c r="C208" s="181"/>
      <c r="D208" s="194"/>
    </row>
    <row r="209" spans="1:4" ht="13.5" x14ac:dyDescent="0.25">
      <c r="A209" s="192"/>
      <c r="B209" s="193"/>
      <c r="C209" s="181"/>
      <c r="D209" s="194"/>
    </row>
    <row r="210" spans="1:4" ht="13.5" x14ac:dyDescent="0.25">
      <c r="A210" s="192"/>
      <c r="B210" s="195"/>
      <c r="C210" s="181"/>
      <c r="D210" s="194"/>
    </row>
    <row r="211" spans="1:4" ht="13.5" x14ac:dyDescent="0.25">
      <c r="A211" s="192"/>
      <c r="B211" s="195"/>
      <c r="C211" s="181"/>
      <c r="D211" s="194"/>
    </row>
    <row r="212" spans="1:4" ht="13.5" x14ac:dyDescent="0.25">
      <c r="A212" s="192"/>
      <c r="B212" s="193"/>
      <c r="C212" s="181"/>
      <c r="D212" s="194"/>
    </row>
    <row r="213" spans="1:4" ht="13.5" x14ac:dyDescent="0.25">
      <c r="A213" s="192"/>
      <c r="B213" s="195"/>
      <c r="C213" s="181"/>
      <c r="D213" s="194"/>
    </row>
    <row r="214" spans="1:4" ht="13.5" x14ac:dyDescent="0.25">
      <c r="A214" s="192"/>
      <c r="B214" s="195"/>
      <c r="C214" s="181"/>
      <c r="D214" s="194"/>
    </row>
    <row r="215" spans="1:4" ht="13.5" x14ac:dyDescent="0.25">
      <c r="A215" s="192"/>
      <c r="B215" s="193"/>
      <c r="C215" s="181"/>
      <c r="D215" s="194"/>
    </row>
    <row r="216" spans="1:4" ht="13.5" x14ac:dyDescent="0.25">
      <c r="A216" s="192"/>
      <c r="B216" s="195"/>
      <c r="C216" s="181"/>
      <c r="D216" s="194"/>
    </row>
    <row r="217" spans="1:4" ht="13.5" x14ac:dyDescent="0.25">
      <c r="A217" s="192"/>
      <c r="B217" s="195"/>
      <c r="C217" s="181"/>
      <c r="D217" s="194"/>
    </row>
    <row r="218" spans="1:4" ht="13.5" x14ac:dyDescent="0.25">
      <c r="A218" s="192"/>
      <c r="B218" s="193"/>
      <c r="C218" s="181"/>
      <c r="D218" s="194"/>
    </row>
    <row r="219" spans="1:4" ht="13.5" x14ac:dyDescent="0.25">
      <c r="A219" s="192"/>
      <c r="B219" s="195"/>
      <c r="C219" s="181"/>
      <c r="D219" s="194"/>
    </row>
    <row r="220" spans="1:4" ht="13.5" x14ac:dyDescent="0.25">
      <c r="A220" s="192"/>
      <c r="B220" s="195"/>
      <c r="C220" s="181"/>
      <c r="D220" s="194"/>
    </row>
    <row r="221" spans="1:4" ht="13.5" x14ac:dyDescent="0.25">
      <c r="A221" s="192"/>
      <c r="B221" s="193"/>
      <c r="C221" s="181"/>
      <c r="D221" s="194"/>
    </row>
    <row r="222" spans="1:4" ht="13.5" x14ac:dyDescent="0.25">
      <c r="A222" s="192"/>
      <c r="B222" s="195"/>
      <c r="C222" s="181"/>
      <c r="D222" s="194"/>
    </row>
    <row r="223" spans="1:4" ht="13.5" x14ac:dyDescent="0.25">
      <c r="A223" s="192"/>
      <c r="B223" s="195"/>
      <c r="C223" s="181"/>
      <c r="D223" s="194"/>
    </row>
    <row r="224" spans="1:4" ht="13.5" x14ac:dyDescent="0.25">
      <c r="A224" s="192"/>
      <c r="B224" s="193"/>
      <c r="C224" s="181"/>
      <c r="D224" s="194"/>
    </row>
    <row r="225" spans="1:4" ht="13.5" x14ac:dyDescent="0.25">
      <c r="A225" s="192"/>
      <c r="B225" s="195"/>
      <c r="C225" s="181"/>
      <c r="D225" s="194"/>
    </row>
    <row r="226" spans="1:4" ht="13.5" x14ac:dyDescent="0.25">
      <c r="A226" s="192"/>
      <c r="B226" s="195"/>
      <c r="C226" s="181"/>
      <c r="D226" s="194"/>
    </row>
    <row r="227" spans="1:4" ht="13.5" x14ac:dyDescent="0.25">
      <c r="A227" s="192"/>
      <c r="B227" s="193"/>
      <c r="C227" s="181"/>
      <c r="D227" s="194"/>
    </row>
    <row r="228" spans="1:4" ht="13.5" x14ac:dyDescent="0.25">
      <c r="A228" s="192"/>
      <c r="B228" s="195"/>
      <c r="C228" s="181"/>
      <c r="D228" s="194"/>
    </row>
    <row r="229" spans="1:4" ht="13.5" x14ac:dyDescent="0.25">
      <c r="A229" s="192"/>
      <c r="B229" s="195"/>
      <c r="C229" s="181"/>
      <c r="D229" s="194"/>
    </row>
    <row r="230" spans="1:4" ht="13.5" x14ac:dyDescent="0.25">
      <c r="A230" s="192"/>
      <c r="B230" s="193"/>
      <c r="C230" s="181"/>
      <c r="D230" s="194"/>
    </row>
    <row r="231" spans="1:4" ht="13.5" x14ac:dyDescent="0.25">
      <c r="A231" s="192"/>
      <c r="B231" s="195"/>
      <c r="C231" s="181"/>
      <c r="D231" s="194"/>
    </row>
    <row r="232" spans="1:4" ht="13.5" x14ac:dyDescent="0.25">
      <c r="A232" s="192"/>
      <c r="B232" s="195"/>
      <c r="C232" s="181"/>
      <c r="D232" s="194"/>
    </row>
    <row r="233" spans="1:4" ht="13.5" x14ac:dyDescent="0.25">
      <c r="A233" s="192"/>
      <c r="B233" s="193"/>
      <c r="C233" s="181"/>
      <c r="D233" s="194"/>
    </row>
    <row r="234" spans="1:4" ht="13.5" x14ac:dyDescent="0.25">
      <c r="A234" s="192"/>
      <c r="B234" s="195"/>
      <c r="C234" s="181"/>
      <c r="D234" s="194"/>
    </row>
    <row r="235" spans="1:4" ht="13.5" x14ac:dyDescent="0.25">
      <c r="A235" s="192"/>
      <c r="B235" s="195"/>
      <c r="C235" s="181"/>
      <c r="D235" s="194"/>
    </row>
    <row r="236" spans="1:4" ht="13.5" x14ac:dyDescent="0.25">
      <c r="A236" s="192"/>
      <c r="B236" s="193"/>
      <c r="C236" s="181"/>
      <c r="D236" s="194"/>
    </row>
    <row r="237" spans="1:4" ht="13.5" x14ac:dyDescent="0.25">
      <c r="A237" s="192"/>
      <c r="B237" s="195"/>
      <c r="C237" s="181"/>
      <c r="D237" s="194"/>
    </row>
    <row r="238" spans="1:4" ht="13.5" x14ac:dyDescent="0.25">
      <c r="A238" s="192"/>
      <c r="B238" s="195"/>
      <c r="C238" s="181"/>
      <c r="D238" s="194"/>
    </row>
    <row r="239" spans="1:4" ht="13.5" x14ac:dyDescent="0.25">
      <c r="A239" s="192"/>
      <c r="B239" s="193"/>
      <c r="C239" s="181"/>
      <c r="D239" s="194"/>
    </row>
    <row r="240" spans="1:4" ht="13.5" x14ac:dyDescent="0.25">
      <c r="A240" s="192"/>
      <c r="B240" s="195"/>
      <c r="C240" s="181"/>
      <c r="D240" s="194"/>
    </row>
    <row r="241" spans="1:4" ht="13.5" x14ac:dyDescent="0.25">
      <c r="A241" s="192"/>
      <c r="B241" s="195"/>
      <c r="C241" s="181"/>
      <c r="D241" s="194"/>
    </row>
    <row r="242" spans="1:4" ht="13.5" x14ac:dyDescent="0.25">
      <c r="A242" s="192"/>
      <c r="B242" s="193"/>
      <c r="C242" s="181"/>
      <c r="D242" s="194"/>
    </row>
    <row r="243" spans="1:4" ht="13.5" x14ac:dyDescent="0.25">
      <c r="A243" s="192"/>
      <c r="B243" s="195"/>
      <c r="C243" s="181"/>
      <c r="D243" s="194"/>
    </row>
    <row r="244" spans="1:4" ht="13.5" x14ac:dyDescent="0.25">
      <c r="A244" s="192"/>
      <c r="B244" s="195"/>
      <c r="C244" s="181"/>
      <c r="D244" s="194"/>
    </row>
    <row r="245" spans="1:4" ht="13.5" x14ac:dyDescent="0.25">
      <c r="A245" s="192"/>
      <c r="B245" s="193"/>
      <c r="C245" s="181"/>
      <c r="D245" s="194"/>
    </row>
    <row r="246" spans="1:4" ht="13.5" x14ac:dyDescent="0.25">
      <c r="A246" s="192"/>
      <c r="B246" s="195"/>
      <c r="C246" s="181"/>
      <c r="D246" s="194"/>
    </row>
    <row r="247" spans="1:4" ht="13.5" x14ac:dyDescent="0.25">
      <c r="A247" s="192"/>
      <c r="B247" s="195"/>
      <c r="C247" s="181"/>
      <c r="D247" s="194"/>
    </row>
    <row r="248" spans="1:4" ht="13.5" x14ac:dyDescent="0.25">
      <c r="A248" s="192"/>
      <c r="B248" s="193"/>
      <c r="C248" s="181"/>
      <c r="D248" s="194"/>
    </row>
    <row r="249" spans="1:4" ht="13.5" x14ac:dyDescent="0.25">
      <c r="A249" s="192"/>
      <c r="B249" s="195"/>
      <c r="C249" s="181"/>
      <c r="D249" s="194"/>
    </row>
    <row r="250" spans="1:4" ht="13.5" x14ac:dyDescent="0.25">
      <c r="A250" s="192"/>
      <c r="B250" s="195"/>
      <c r="C250" s="181"/>
      <c r="D250" s="194"/>
    </row>
    <row r="251" spans="1:4" ht="13.5" x14ac:dyDescent="0.25">
      <c r="A251" s="192"/>
      <c r="B251" s="193"/>
      <c r="C251" s="181"/>
      <c r="D251" s="194"/>
    </row>
    <row r="252" spans="1:4" ht="13.5" x14ac:dyDescent="0.25">
      <c r="A252" s="192"/>
      <c r="B252" s="195"/>
      <c r="C252" s="181"/>
      <c r="D252" s="194"/>
    </row>
    <row r="253" spans="1:4" ht="13.5" x14ac:dyDescent="0.25">
      <c r="A253" s="192"/>
      <c r="B253" s="195"/>
      <c r="C253" s="181"/>
      <c r="D253" s="194"/>
    </row>
    <row r="254" spans="1:4" ht="13.5" x14ac:dyDescent="0.25">
      <c r="A254" s="192"/>
      <c r="B254" s="193"/>
      <c r="C254" s="181"/>
      <c r="D254" s="194"/>
    </row>
    <row r="255" spans="1:4" ht="13.5" x14ac:dyDescent="0.25">
      <c r="A255" s="192"/>
      <c r="B255" s="195"/>
      <c r="C255" s="181"/>
      <c r="D255" s="194"/>
    </row>
    <row r="256" spans="1:4" ht="13.5" x14ac:dyDescent="0.25">
      <c r="A256" s="192"/>
      <c r="B256" s="195"/>
      <c r="C256" s="181"/>
      <c r="D256" s="194"/>
    </row>
    <row r="257" spans="1:4" ht="13.5" x14ac:dyDescent="0.25">
      <c r="A257" s="192"/>
      <c r="B257" s="193"/>
      <c r="C257" s="181"/>
      <c r="D257" s="194"/>
    </row>
    <row r="258" spans="1:4" ht="13.5" x14ac:dyDescent="0.25">
      <c r="A258" s="192"/>
      <c r="B258" s="195"/>
      <c r="C258" s="181"/>
      <c r="D258" s="194"/>
    </row>
    <row r="259" spans="1:4" ht="13.5" x14ac:dyDescent="0.25">
      <c r="A259" s="192"/>
      <c r="B259" s="195"/>
      <c r="C259" s="181"/>
      <c r="D259" s="194"/>
    </row>
    <row r="260" spans="1:4" ht="13.5" x14ac:dyDescent="0.25">
      <c r="A260" s="192"/>
      <c r="B260" s="193"/>
      <c r="C260" s="181"/>
      <c r="D260" s="194"/>
    </row>
    <row r="261" spans="1:4" ht="13.5" x14ac:dyDescent="0.25">
      <c r="A261" s="192"/>
      <c r="B261" s="195"/>
      <c r="C261" s="181"/>
      <c r="D261" s="194"/>
    </row>
    <row r="262" spans="1:4" ht="13.5" x14ac:dyDescent="0.25">
      <c r="A262" s="192"/>
      <c r="B262" s="195"/>
      <c r="C262" s="181"/>
      <c r="D262" s="194"/>
    </row>
    <row r="263" spans="1:4" ht="13.5" x14ac:dyDescent="0.25">
      <c r="A263" s="192"/>
      <c r="B263" s="193"/>
      <c r="C263" s="181"/>
      <c r="D263" s="194"/>
    </row>
    <row r="264" spans="1:4" ht="13.5" x14ac:dyDescent="0.25">
      <c r="A264" s="192"/>
      <c r="B264" s="195"/>
      <c r="C264" s="181"/>
      <c r="D264" s="194"/>
    </row>
    <row r="265" spans="1:4" ht="13.5" x14ac:dyDescent="0.25">
      <c r="A265" s="192"/>
      <c r="B265" s="195"/>
      <c r="C265" s="181"/>
      <c r="D265" s="194"/>
    </row>
    <row r="266" spans="1:4" ht="13.5" x14ac:dyDescent="0.25">
      <c r="A266" s="192"/>
      <c r="B266" s="193"/>
      <c r="C266" s="181"/>
      <c r="D266" s="194"/>
    </row>
    <row r="267" spans="1:4" ht="13.5" x14ac:dyDescent="0.25">
      <c r="A267" s="192"/>
      <c r="B267" s="195"/>
      <c r="C267" s="181"/>
      <c r="D267" s="194"/>
    </row>
    <row r="268" spans="1:4" ht="13.5" x14ac:dyDescent="0.25">
      <c r="A268" s="192"/>
      <c r="B268" s="195"/>
      <c r="C268" s="181"/>
      <c r="D268" s="194"/>
    </row>
    <row r="269" spans="1:4" ht="13.5" x14ac:dyDescent="0.25">
      <c r="A269" s="192"/>
      <c r="B269" s="193"/>
      <c r="C269" s="181"/>
      <c r="D269" s="194"/>
    </row>
    <row r="270" spans="1:4" ht="13.5" x14ac:dyDescent="0.25">
      <c r="A270" s="192"/>
      <c r="B270" s="195"/>
      <c r="C270" s="181"/>
      <c r="D270" s="194"/>
    </row>
    <row r="271" spans="1:4" ht="13.5" x14ac:dyDescent="0.25">
      <c r="A271" s="192"/>
      <c r="B271" s="195"/>
      <c r="C271" s="181"/>
      <c r="D271" s="194"/>
    </row>
    <row r="272" spans="1:4" ht="13.5" x14ac:dyDescent="0.25">
      <c r="A272" s="192"/>
      <c r="B272" s="193"/>
      <c r="C272" s="181"/>
      <c r="D272" s="194"/>
    </row>
    <row r="273" spans="1:4" ht="13.5" x14ac:dyDescent="0.25">
      <c r="A273" s="192"/>
      <c r="B273" s="195"/>
      <c r="C273" s="181"/>
      <c r="D273" s="194"/>
    </row>
    <row r="274" spans="1:4" ht="13.5" x14ac:dyDescent="0.25">
      <c r="A274" s="192"/>
      <c r="B274" s="195"/>
      <c r="C274" s="181"/>
      <c r="D274" s="194"/>
    </row>
    <row r="275" spans="1:4" ht="13.5" x14ac:dyDescent="0.25">
      <c r="A275" s="192"/>
      <c r="B275" s="193"/>
      <c r="C275" s="181"/>
      <c r="D275" s="194"/>
    </row>
    <row r="276" spans="1:4" ht="13.5" x14ac:dyDescent="0.25">
      <c r="A276" s="192"/>
      <c r="B276" s="195"/>
      <c r="C276" s="181"/>
      <c r="D276" s="194"/>
    </row>
    <row r="277" spans="1:4" ht="13.5" x14ac:dyDescent="0.25">
      <c r="A277" s="192"/>
      <c r="B277" s="195"/>
      <c r="C277" s="181"/>
      <c r="D277" s="194"/>
    </row>
    <row r="278" spans="1:4" ht="13.5" x14ac:dyDescent="0.25">
      <c r="A278" s="192"/>
      <c r="B278" s="193"/>
      <c r="C278" s="181"/>
      <c r="D278" s="194"/>
    </row>
    <row r="279" spans="1:4" ht="13.5" x14ac:dyDescent="0.25">
      <c r="A279" s="192"/>
      <c r="B279" s="195"/>
      <c r="C279" s="181"/>
      <c r="D279" s="194"/>
    </row>
    <row r="280" spans="1:4" ht="13.5" x14ac:dyDescent="0.25">
      <c r="A280" s="192"/>
      <c r="B280" s="195"/>
      <c r="C280" s="181"/>
      <c r="D280" s="194"/>
    </row>
    <row r="281" spans="1:4" ht="13.5" x14ac:dyDescent="0.25">
      <c r="A281" s="192"/>
      <c r="B281" s="193"/>
      <c r="C281" s="181"/>
      <c r="D281" s="194"/>
    </row>
    <row r="282" spans="1:4" ht="13.5" x14ac:dyDescent="0.25">
      <c r="A282" s="192"/>
      <c r="B282" s="195"/>
      <c r="C282" s="181"/>
      <c r="D282" s="194"/>
    </row>
    <row r="283" spans="1:4" ht="13.5" x14ac:dyDescent="0.25">
      <c r="A283" s="192"/>
      <c r="B283" s="195"/>
      <c r="C283" s="181"/>
      <c r="D283" s="194"/>
    </row>
    <row r="284" spans="1:4" ht="13.5" x14ac:dyDescent="0.25">
      <c r="A284" s="192"/>
      <c r="B284" s="193"/>
      <c r="C284" s="181"/>
      <c r="D284" s="194"/>
    </row>
    <row r="285" spans="1:4" ht="13.5" x14ac:dyDescent="0.25">
      <c r="A285" s="192"/>
      <c r="B285" s="195"/>
      <c r="C285" s="181"/>
      <c r="D285" s="194"/>
    </row>
    <row r="286" spans="1:4" ht="13.5" x14ac:dyDescent="0.25">
      <c r="A286" s="192"/>
      <c r="B286" s="195"/>
      <c r="C286" s="181"/>
      <c r="D286" s="194"/>
    </row>
    <row r="287" spans="1:4" ht="13.5" x14ac:dyDescent="0.25">
      <c r="A287" s="192"/>
      <c r="B287" s="193"/>
      <c r="C287" s="181"/>
      <c r="D287" s="194"/>
    </row>
    <row r="288" spans="1:4" ht="13.5" x14ac:dyDescent="0.25">
      <c r="A288" s="192"/>
      <c r="B288" s="195"/>
      <c r="C288" s="181"/>
      <c r="D288" s="194"/>
    </row>
    <row r="289" spans="1:4" ht="13.5" x14ac:dyDescent="0.25">
      <c r="A289" s="192"/>
      <c r="B289" s="195"/>
      <c r="C289" s="181"/>
      <c r="D289" s="194"/>
    </row>
    <row r="290" spans="1:4" ht="13.5" x14ac:dyDescent="0.25">
      <c r="A290" s="192"/>
      <c r="B290" s="193"/>
      <c r="C290" s="181"/>
      <c r="D290" s="194"/>
    </row>
    <row r="291" spans="1:4" ht="13.5" x14ac:dyDescent="0.25">
      <c r="A291" s="192"/>
      <c r="B291" s="195"/>
      <c r="C291" s="181"/>
      <c r="D291" s="194"/>
    </row>
    <row r="292" spans="1:4" ht="13.5" x14ac:dyDescent="0.25">
      <c r="A292" s="192"/>
      <c r="B292" s="195"/>
      <c r="C292" s="181"/>
      <c r="D292" s="194"/>
    </row>
    <row r="293" spans="1:4" ht="13.5" x14ac:dyDescent="0.25">
      <c r="A293" s="192"/>
      <c r="B293" s="193"/>
      <c r="C293" s="181"/>
      <c r="D293" s="194"/>
    </row>
    <row r="294" spans="1:4" ht="13.5" x14ac:dyDescent="0.25">
      <c r="A294" s="192"/>
      <c r="B294" s="195"/>
      <c r="C294" s="181"/>
      <c r="D294" s="194"/>
    </row>
    <row r="295" spans="1:4" ht="13.5" x14ac:dyDescent="0.25">
      <c r="A295" s="192"/>
      <c r="B295" s="195"/>
      <c r="C295" s="181"/>
      <c r="D295" s="194"/>
    </row>
    <row r="296" spans="1:4" ht="13.5" x14ac:dyDescent="0.25">
      <c r="A296" s="192"/>
      <c r="B296" s="193"/>
      <c r="C296" s="181"/>
      <c r="D296" s="194"/>
    </row>
    <row r="297" spans="1:4" ht="13.5" x14ac:dyDescent="0.25">
      <c r="A297" s="192"/>
      <c r="B297" s="195"/>
      <c r="C297" s="181"/>
      <c r="D297" s="194"/>
    </row>
    <row r="298" spans="1:4" ht="13.5" x14ac:dyDescent="0.25">
      <c r="A298" s="192"/>
      <c r="B298" s="195"/>
      <c r="C298" s="181"/>
      <c r="D298" s="194"/>
    </row>
    <row r="299" spans="1:4" ht="13.5" x14ac:dyDescent="0.25">
      <c r="A299" s="192"/>
      <c r="B299" s="193"/>
      <c r="C299" s="181"/>
      <c r="D299" s="194"/>
    </row>
    <row r="300" spans="1:4" ht="13.5" x14ac:dyDescent="0.25">
      <c r="A300" s="192"/>
      <c r="B300" s="195"/>
      <c r="C300" s="181"/>
      <c r="D300" s="194"/>
    </row>
    <row r="301" spans="1:4" ht="13.5" x14ac:dyDescent="0.25">
      <c r="A301" s="192"/>
      <c r="B301" s="195"/>
      <c r="C301" s="181"/>
      <c r="D301" s="194"/>
    </row>
    <row r="302" spans="1:4" x14ac:dyDescent="0.25">
      <c r="A302" s="2"/>
      <c r="C302" s="2"/>
    </row>
    <row r="303" spans="1:4" x14ac:dyDescent="0.25">
      <c r="A303" s="2"/>
      <c r="C303" s="2"/>
    </row>
    <row r="304" spans="1:4" x14ac:dyDescent="0.25">
      <c r="A304" s="2"/>
      <c r="C304" s="2"/>
    </row>
    <row r="305" spans="2:2" s="2" customFormat="1" x14ac:dyDescent="0.25"/>
    <row r="306" spans="2:2" s="2" customFormat="1" x14ac:dyDescent="0.25"/>
    <row r="307" spans="2:2" s="2" customFormat="1" x14ac:dyDescent="0.25"/>
    <row r="308" spans="2:2" s="2" customFormat="1" x14ac:dyDescent="0.25"/>
    <row r="309" spans="2:2" s="2" customFormat="1" x14ac:dyDescent="0.25"/>
    <row r="310" spans="2:2" s="2" customFormat="1" x14ac:dyDescent="0.25">
      <c r="B310" s="1"/>
    </row>
    <row r="311" spans="2:2" s="2" customFormat="1" x14ac:dyDescent="0.25">
      <c r="B311" s="1"/>
    </row>
    <row r="312" spans="2:2" s="2" customFormat="1" x14ac:dyDescent="0.25">
      <c r="B312" s="1"/>
    </row>
    <row r="313" spans="2:2" s="2" customFormat="1" x14ac:dyDescent="0.25">
      <c r="B313" s="1"/>
    </row>
    <row r="314" spans="2:2" s="2" customFormat="1" x14ac:dyDescent="0.25">
      <c r="B314" s="1"/>
    </row>
    <row r="315" spans="2:2" s="2" customFormat="1" x14ac:dyDescent="0.25">
      <c r="B315" s="1"/>
    </row>
    <row r="316" spans="2:2" s="2" customFormat="1" x14ac:dyDescent="0.25">
      <c r="B316" s="1"/>
    </row>
    <row r="317" spans="2:2" s="2" customFormat="1" x14ac:dyDescent="0.25">
      <c r="B317" s="1"/>
    </row>
    <row r="318" spans="2:2" s="2" customFormat="1" x14ac:dyDescent="0.25">
      <c r="B318" s="1"/>
    </row>
    <row r="319" spans="2:2" s="2" customFormat="1" x14ac:dyDescent="0.25">
      <c r="B319" s="1"/>
    </row>
    <row r="320" spans="2:2" s="2" customFormat="1" x14ac:dyDescent="0.25">
      <c r="B320" s="1"/>
    </row>
    <row r="321" spans="2:2" s="2" customFormat="1" x14ac:dyDescent="0.25">
      <c r="B321" s="1"/>
    </row>
    <row r="322" spans="2:2" s="2" customFormat="1" x14ac:dyDescent="0.25"/>
    <row r="323" spans="2:2" s="2" customFormat="1" x14ac:dyDescent="0.25"/>
    <row r="324" spans="2:2" s="2" customFormat="1" x14ac:dyDescent="0.25"/>
    <row r="325" spans="2:2" s="2" customFormat="1" x14ac:dyDescent="0.25"/>
    <row r="326" spans="2:2" s="2" customFormat="1" x14ac:dyDescent="0.25"/>
    <row r="327" spans="2:2" s="2" customFormat="1" x14ac:dyDescent="0.25"/>
    <row r="328" spans="2:2" s="2" customFormat="1" x14ac:dyDescent="0.25"/>
    <row r="329" spans="2:2" s="2" customFormat="1" x14ac:dyDescent="0.25"/>
    <row r="330" spans="2:2" s="2" customFormat="1" x14ac:dyDescent="0.25"/>
    <row r="331" spans="2:2" s="2" customFormat="1" x14ac:dyDescent="0.25"/>
    <row r="332" spans="2:2" s="2" customFormat="1" x14ac:dyDescent="0.25"/>
    <row r="333" spans="2:2" s="2" customFormat="1" x14ac:dyDescent="0.25"/>
    <row r="334" spans="2:2" s="2" customFormat="1" x14ac:dyDescent="0.25"/>
    <row r="335" spans="2:2" s="2" customFormat="1" x14ac:dyDescent="0.25"/>
    <row r="336" spans="2:2" s="2" customFormat="1" x14ac:dyDescent="0.25"/>
    <row r="337" s="2" customFormat="1" x14ac:dyDescent="0.25"/>
    <row r="338" s="2" customFormat="1" x14ac:dyDescent="0.25"/>
    <row r="339" s="2" customFormat="1" x14ac:dyDescent="0.25"/>
    <row r="340" s="2" customFormat="1" x14ac:dyDescent="0.25"/>
    <row r="341" s="2" customFormat="1" x14ac:dyDescent="0.25"/>
    <row r="342" s="2" customFormat="1" x14ac:dyDescent="0.25"/>
    <row r="343" s="2" customFormat="1" x14ac:dyDescent="0.25"/>
    <row r="344" s="2" customFormat="1" x14ac:dyDescent="0.25"/>
    <row r="345" s="2" customFormat="1" x14ac:dyDescent="0.25"/>
    <row r="346" s="2" customFormat="1" x14ac:dyDescent="0.25"/>
    <row r="347" s="2" customFormat="1" x14ac:dyDescent="0.25"/>
    <row r="348" s="2" customFormat="1" x14ac:dyDescent="0.25"/>
    <row r="349" s="2" customFormat="1" x14ac:dyDescent="0.25"/>
    <row r="350" s="2" customFormat="1" x14ac:dyDescent="0.25"/>
    <row r="351" s="2" customFormat="1" x14ac:dyDescent="0.25"/>
    <row r="352" s="2" customFormat="1" x14ac:dyDescent="0.25"/>
    <row r="353" s="2" customFormat="1" x14ac:dyDescent="0.25"/>
    <row r="354" s="2" customFormat="1" x14ac:dyDescent="0.25"/>
    <row r="355" s="2" customFormat="1" x14ac:dyDescent="0.25"/>
    <row r="356" s="2" customFormat="1" x14ac:dyDescent="0.25"/>
    <row r="357" s="2" customFormat="1" x14ac:dyDescent="0.25"/>
    <row r="358" s="2" customFormat="1" x14ac:dyDescent="0.25"/>
    <row r="359" s="2" customFormat="1" x14ac:dyDescent="0.25"/>
    <row r="360" s="2" customFormat="1" x14ac:dyDescent="0.25"/>
    <row r="361" s="2" customFormat="1" x14ac:dyDescent="0.25"/>
    <row r="362" s="2" customFormat="1" x14ac:dyDescent="0.25"/>
    <row r="363" s="2" customFormat="1" x14ac:dyDescent="0.25"/>
    <row r="364" s="2" customFormat="1" x14ac:dyDescent="0.25"/>
    <row r="365" s="2" customFormat="1" x14ac:dyDescent="0.25"/>
    <row r="366" s="2" customFormat="1" x14ac:dyDescent="0.25"/>
    <row r="367" s="2" customFormat="1" x14ac:dyDescent="0.25"/>
    <row r="368" s="2" customFormat="1" x14ac:dyDescent="0.25"/>
    <row r="369" s="2" customFormat="1" x14ac:dyDescent="0.25"/>
    <row r="370" s="2" customFormat="1" x14ac:dyDescent="0.25"/>
    <row r="371" s="2" customFormat="1" x14ac:dyDescent="0.25"/>
    <row r="372" s="2" customFormat="1" x14ac:dyDescent="0.25"/>
    <row r="373" s="2" customFormat="1" x14ac:dyDescent="0.25"/>
    <row r="374" s="2" customFormat="1" x14ac:dyDescent="0.25"/>
    <row r="375" s="2" customFormat="1" x14ac:dyDescent="0.25"/>
    <row r="376" s="2" customFormat="1" x14ac:dyDescent="0.25"/>
    <row r="377" s="2" customFormat="1" x14ac:dyDescent="0.25"/>
    <row r="378" s="2" customFormat="1" x14ac:dyDescent="0.25"/>
    <row r="379" s="2" customFormat="1" x14ac:dyDescent="0.25"/>
    <row r="380" s="2" customFormat="1" x14ac:dyDescent="0.25"/>
    <row r="381" s="2" customFormat="1" x14ac:dyDescent="0.25"/>
    <row r="382" s="2" customFormat="1" x14ac:dyDescent="0.25"/>
    <row r="383" s="2" customFormat="1" x14ac:dyDescent="0.25"/>
    <row r="384" s="2" customFormat="1" x14ac:dyDescent="0.25"/>
    <row r="385" s="2" customFormat="1" x14ac:dyDescent="0.25"/>
    <row r="386" s="2" customFormat="1" x14ac:dyDescent="0.25"/>
    <row r="387" s="2" customFormat="1" x14ac:dyDescent="0.25"/>
    <row r="388" s="2" customFormat="1" x14ac:dyDescent="0.25"/>
    <row r="389" s="2" customFormat="1" x14ac:dyDescent="0.25"/>
    <row r="390" s="2" customFormat="1" x14ac:dyDescent="0.25"/>
    <row r="391" s="2" customFormat="1" x14ac:dyDescent="0.25"/>
    <row r="392" s="2" customFormat="1" x14ac:dyDescent="0.25"/>
    <row r="393" s="2" customFormat="1" x14ac:dyDescent="0.25"/>
    <row r="394" s="2" customFormat="1" x14ac:dyDescent="0.25"/>
    <row r="395" s="2" customFormat="1" x14ac:dyDescent="0.25"/>
    <row r="396" s="2" customFormat="1" x14ac:dyDescent="0.25"/>
    <row r="397" s="2" customFormat="1" x14ac:dyDescent="0.25"/>
    <row r="398" s="2" customFormat="1" x14ac:dyDescent="0.25"/>
    <row r="399" s="2" customFormat="1" x14ac:dyDescent="0.25"/>
    <row r="400" s="2" customFormat="1" x14ac:dyDescent="0.25"/>
    <row r="401" s="2" customFormat="1" x14ac:dyDescent="0.25"/>
    <row r="402" s="2" customFormat="1" x14ac:dyDescent="0.25"/>
    <row r="403" s="2" customFormat="1" x14ac:dyDescent="0.25"/>
    <row r="404" s="2" customFormat="1" x14ac:dyDescent="0.25"/>
    <row r="405" s="2" customFormat="1" x14ac:dyDescent="0.25"/>
    <row r="406" s="2" customFormat="1" x14ac:dyDescent="0.25"/>
    <row r="407" s="2" customFormat="1" x14ac:dyDescent="0.25"/>
    <row r="408" s="2" customFormat="1" x14ac:dyDescent="0.25"/>
    <row r="409" s="2" customFormat="1" x14ac:dyDescent="0.25"/>
    <row r="410" s="2" customFormat="1" x14ac:dyDescent="0.25"/>
    <row r="411" s="2" customFormat="1" x14ac:dyDescent="0.25"/>
    <row r="412" s="2" customFormat="1" x14ac:dyDescent="0.25"/>
    <row r="413" s="2" customFormat="1" x14ac:dyDescent="0.25"/>
    <row r="414" s="2" customFormat="1" x14ac:dyDescent="0.25"/>
    <row r="415" s="2" customFormat="1" x14ac:dyDescent="0.25"/>
    <row r="416" s="2" customFormat="1" x14ac:dyDescent="0.25"/>
    <row r="417" s="2" customFormat="1" x14ac:dyDescent="0.25"/>
    <row r="418" s="2" customFormat="1" x14ac:dyDescent="0.25"/>
    <row r="419" s="2" customFormat="1" x14ac:dyDescent="0.25"/>
    <row r="420" s="2" customFormat="1" x14ac:dyDescent="0.25"/>
    <row r="421" s="2" customFormat="1" x14ac:dyDescent="0.25"/>
    <row r="422" s="2" customFormat="1" x14ac:dyDescent="0.25"/>
    <row r="423" s="2" customFormat="1" x14ac:dyDescent="0.25"/>
    <row r="424" s="2" customFormat="1" x14ac:dyDescent="0.25"/>
    <row r="425" s="2" customFormat="1" x14ac:dyDescent="0.25"/>
    <row r="426" s="2" customFormat="1" x14ac:dyDescent="0.25"/>
    <row r="427" s="2" customFormat="1" x14ac:dyDescent="0.25"/>
    <row r="428" s="2" customFormat="1" x14ac:dyDescent="0.25"/>
    <row r="429" s="2" customFormat="1" x14ac:dyDescent="0.25"/>
    <row r="430" s="2" customFormat="1" x14ac:dyDescent="0.25"/>
    <row r="431" s="2" customFormat="1" x14ac:dyDescent="0.25"/>
    <row r="432" s="2" customFormat="1" x14ac:dyDescent="0.25"/>
    <row r="433" s="2" customFormat="1" x14ac:dyDescent="0.25"/>
    <row r="434" s="2" customFormat="1" x14ac:dyDescent="0.25"/>
    <row r="435" s="2" customFormat="1" x14ac:dyDescent="0.25"/>
    <row r="436" s="2" customFormat="1" x14ac:dyDescent="0.25"/>
    <row r="437" s="2" customFormat="1" x14ac:dyDescent="0.25"/>
    <row r="438" s="2" customFormat="1" x14ac:dyDescent="0.25"/>
    <row r="439" s="2" customFormat="1" x14ac:dyDescent="0.25"/>
    <row r="440" s="2" customFormat="1" x14ac:dyDescent="0.25"/>
    <row r="441" s="2" customFormat="1" x14ac:dyDescent="0.25"/>
    <row r="442" s="2" customFormat="1" x14ac:dyDescent="0.25"/>
    <row r="443" s="2" customFormat="1" x14ac:dyDescent="0.25"/>
    <row r="444" s="2" customFormat="1" x14ac:dyDescent="0.25"/>
    <row r="445" s="2" customFormat="1" x14ac:dyDescent="0.25"/>
    <row r="446" s="2" customFormat="1" x14ac:dyDescent="0.25"/>
    <row r="447" s="2" customFormat="1" x14ac:dyDescent="0.25"/>
    <row r="448" s="2" customFormat="1" x14ac:dyDescent="0.25"/>
    <row r="449" s="2" customFormat="1" x14ac:dyDescent="0.25"/>
    <row r="450" s="2" customFormat="1" x14ac:dyDescent="0.25"/>
    <row r="451" s="2" customFormat="1" x14ac:dyDescent="0.25"/>
    <row r="452" s="2" customFormat="1" x14ac:dyDescent="0.25"/>
    <row r="453" s="2" customFormat="1" x14ac:dyDescent="0.25"/>
    <row r="454" s="2" customFormat="1" x14ac:dyDescent="0.25"/>
    <row r="455" s="2" customFormat="1" x14ac:dyDescent="0.25"/>
    <row r="456" s="2" customFormat="1" x14ac:dyDescent="0.25"/>
    <row r="457" s="2" customFormat="1" x14ac:dyDescent="0.25"/>
    <row r="458" s="2" customFormat="1" x14ac:dyDescent="0.25"/>
    <row r="459" s="2" customFormat="1" x14ac:dyDescent="0.25"/>
    <row r="460" s="2" customFormat="1" x14ac:dyDescent="0.25"/>
    <row r="461" s="2" customFormat="1" x14ac:dyDescent="0.25"/>
    <row r="462" s="2" customFormat="1" x14ac:dyDescent="0.25"/>
    <row r="463" s="2" customFormat="1" x14ac:dyDescent="0.25"/>
    <row r="464" s="2" customFormat="1" x14ac:dyDescent="0.25"/>
    <row r="465" s="2" customFormat="1" x14ac:dyDescent="0.25"/>
    <row r="466" s="2" customFormat="1" x14ac:dyDescent="0.25"/>
    <row r="467" s="2" customFormat="1" x14ac:dyDescent="0.25"/>
    <row r="468" s="2" customFormat="1" x14ac:dyDescent="0.25"/>
    <row r="469" s="2" customFormat="1" x14ac:dyDescent="0.25"/>
    <row r="470" s="2" customFormat="1" x14ac:dyDescent="0.25"/>
    <row r="471" s="2" customFormat="1" x14ac:dyDescent="0.25"/>
    <row r="472" s="2" customFormat="1" x14ac:dyDescent="0.25"/>
    <row r="473" s="2" customFormat="1" x14ac:dyDescent="0.25"/>
    <row r="474" s="2" customFormat="1" x14ac:dyDescent="0.25"/>
    <row r="475" s="2" customFormat="1" x14ac:dyDescent="0.25"/>
    <row r="476" s="2" customFormat="1" x14ac:dyDescent="0.25"/>
    <row r="477" s="2" customFormat="1" x14ac:dyDescent="0.25"/>
    <row r="478" s="2" customFormat="1" x14ac:dyDescent="0.25"/>
    <row r="479" s="2" customFormat="1" x14ac:dyDescent="0.25"/>
    <row r="480" s="2" customFormat="1" x14ac:dyDescent="0.25"/>
    <row r="481" s="2" customFormat="1" x14ac:dyDescent="0.25"/>
    <row r="482" s="2" customFormat="1" x14ac:dyDescent="0.25"/>
    <row r="483" s="2" customFormat="1" x14ac:dyDescent="0.25"/>
    <row r="484" s="2" customFormat="1" x14ac:dyDescent="0.25"/>
    <row r="485" s="2" customFormat="1" x14ac:dyDescent="0.25"/>
    <row r="486" s="2" customFormat="1" x14ac:dyDescent="0.25"/>
    <row r="487" s="2" customFormat="1" x14ac:dyDescent="0.25"/>
    <row r="488" s="2" customFormat="1" x14ac:dyDescent="0.25"/>
    <row r="489" s="2" customFormat="1" x14ac:dyDescent="0.25"/>
    <row r="490" s="2" customFormat="1" x14ac:dyDescent="0.25"/>
    <row r="491" s="2" customFormat="1" x14ac:dyDescent="0.25"/>
    <row r="492" s="2" customFormat="1" x14ac:dyDescent="0.25"/>
    <row r="493" s="2" customFormat="1" x14ac:dyDescent="0.25"/>
    <row r="494" s="2" customFormat="1" x14ac:dyDescent="0.25"/>
    <row r="495" s="2" customFormat="1" x14ac:dyDescent="0.25"/>
    <row r="496" s="2" customFormat="1" x14ac:dyDescent="0.25"/>
    <row r="497" s="2" customFormat="1" x14ac:dyDescent="0.25"/>
    <row r="498" s="2" customFormat="1" x14ac:dyDescent="0.25"/>
    <row r="499" s="2" customFormat="1" x14ac:dyDescent="0.25"/>
    <row r="500" s="2" customFormat="1" x14ac:dyDescent="0.25"/>
    <row r="501" s="2" customFormat="1" x14ac:dyDescent="0.25"/>
    <row r="502" s="2" customFormat="1" x14ac:dyDescent="0.25"/>
    <row r="503" s="2" customFormat="1" x14ac:dyDescent="0.25"/>
    <row r="504" s="2" customFormat="1" x14ac:dyDescent="0.25"/>
    <row r="505" s="2" customFormat="1" x14ac:dyDescent="0.25"/>
    <row r="506" s="2" customFormat="1" x14ac:dyDescent="0.25"/>
    <row r="507" s="2" customFormat="1" x14ac:dyDescent="0.25"/>
    <row r="508" s="2" customFormat="1" x14ac:dyDescent="0.25"/>
    <row r="509" s="2" customFormat="1" x14ac:dyDescent="0.25"/>
    <row r="510" s="2" customFormat="1" x14ac:dyDescent="0.25"/>
    <row r="511" s="2" customFormat="1" x14ac:dyDescent="0.25"/>
    <row r="512" s="2" customFormat="1" x14ac:dyDescent="0.25"/>
    <row r="513" s="2" customFormat="1" x14ac:dyDescent="0.25"/>
    <row r="514" s="2" customFormat="1" x14ac:dyDescent="0.25"/>
    <row r="515" s="2" customFormat="1" x14ac:dyDescent="0.25"/>
    <row r="516" s="2" customFormat="1" x14ac:dyDescent="0.25"/>
    <row r="517" s="2" customFormat="1" x14ac:dyDescent="0.25"/>
    <row r="518" s="2" customFormat="1" x14ac:dyDescent="0.25"/>
    <row r="519" s="2" customFormat="1" x14ac:dyDescent="0.25"/>
    <row r="520" s="2" customFormat="1" x14ac:dyDescent="0.25"/>
    <row r="521" s="2" customFormat="1" x14ac:dyDescent="0.25"/>
    <row r="522" s="2" customFormat="1" x14ac:dyDescent="0.25"/>
    <row r="523" s="2" customFormat="1" x14ac:dyDescent="0.25"/>
    <row r="524" s="2" customFormat="1" x14ac:dyDescent="0.25"/>
    <row r="525" s="2" customFormat="1" x14ac:dyDescent="0.25"/>
    <row r="526" s="2" customFormat="1" x14ac:dyDescent="0.25"/>
    <row r="527" s="2" customFormat="1" x14ac:dyDescent="0.25"/>
    <row r="528" s="2" customFormat="1" x14ac:dyDescent="0.25"/>
    <row r="529" s="2" customFormat="1" x14ac:dyDescent="0.25"/>
    <row r="530" s="2" customFormat="1" x14ac:dyDescent="0.25"/>
    <row r="531" s="2" customFormat="1" x14ac:dyDescent="0.25"/>
    <row r="532" s="2" customFormat="1" x14ac:dyDescent="0.25"/>
    <row r="533" s="2" customFormat="1" x14ac:dyDescent="0.25"/>
    <row r="534" s="2" customFormat="1" x14ac:dyDescent="0.25"/>
    <row r="535" s="2" customFormat="1" x14ac:dyDescent="0.25"/>
    <row r="536" s="2" customFormat="1" x14ac:dyDescent="0.25"/>
    <row r="537" s="2" customFormat="1" x14ac:dyDescent="0.25"/>
    <row r="538" s="2" customFormat="1" x14ac:dyDescent="0.25"/>
    <row r="539" s="2" customFormat="1" x14ac:dyDescent="0.25"/>
    <row r="540" s="2" customFormat="1" x14ac:dyDescent="0.25"/>
    <row r="541" s="2" customFormat="1" x14ac:dyDescent="0.25"/>
    <row r="542" s="2" customFormat="1" x14ac:dyDescent="0.25"/>
    <row r="543" s="2" customFormat="1" x14ac:dyDescent="0.25"/>
    <row r="544" s="2" customFormat="1" x14ac:dyDescent="0.25"/>
    <row r="545" s="2" customFormat="1" x14ac:dyDescent="0.25"/>
    <row r="546" s="2" customFormat="1" x14ac:dyDescent="0.25"/>
    <row r="547" s="2" customFormat="1" x14ac:dyDescent="0.25"/>
    <row r="548" s="2" customFormat="1" x14ac:dyDescent="0.25"/>
    <row r="549" s="2" customFormat="1" x14ac:dyDescent="0.25"/>
    <row r="550" s="2" customFormat="1" x14ac:dyDescent="0.25"/>
    <row r="551" s="2" customFormat="1" x14ac:dyDescent="0.25"/>
    <row r="552" s="2" customFormat="1" x14ac:dyDescent="0.25"/>
    <row r="553" s="2" customFormat="1" x14ac:dyDescent="0.25"/>
    <row r="554" s="2" customFormat="1" x14ac:dyDescent="0.25"/>
    <row r="555" s="2" customFormat="1" x14ac:dyDescent="0.25"/>
    <row r="556" s="2" customFormat="1" x14ac:dyDescent="0.25"/>
    <row r="557" s="2" customFormat="1" x14ac:dyDescent="0.25"/>
    <row r="558" s="2" customFormat="1" x14ac:dyDescent="0.25"/>
    <row r="559" s="2" customFormat="1" x14ac:dyDescent="0.25"/>
    <row r="560" s="2" customFormat="1" x14ac:dyDescent="0.25"/>
    <row r="561" s="2" customFormat="1" x14ac:dyDescent="0.25"/>
    <row r="562" s="2" customFormat="1" x14ac:dyDescent="0.25"/>
    <row r="563" s="2" customFormat="1" x14ac:dyDescent="0.25"/>
    <row r="564" s="2" customFormat="1" x14ac:dyDescent="0.25"/>
    <row r="565" s="2" customFormat="1" x14ac:dyDescent="0.25"/>
    <row r="566" s="2" customFormat="1" x14ac:dyDescent="0.25"/>
    <row r="567" s="2" customFormat="1" x14ac:dyDescent="0.25"/>
    <row r="568" s="2" customFormat="1" x14ac:dyDescent="0.25"/>
    <row r="569" s="2" customFormat="1" x14ac:dyDescent="0.25"/>
    <row r="570" s="2" customFormat="1" x14ac:dyDescent="0.25"/>
    <row r="571" s="2" customFormat="1" x14ac:dyDescent="0.25"/>
    <row r="572" s="2" customFormat="1" x14ac:dyDescent="0.25"/>
    <row r="573" s="2" customFormat="1" x14ac:dyDescent="0.25"/>
    <row r="574" s="2" customFormat="1" x14ac:dyDescent="0.25"/>
    <row r="575" s="2" customFormat="1" x14ac:dyDescent="0.25"/>
    <row r="576" s="2" customFormat="1" x14ac:dyDescent="0.25"/>
    <row r="577" s="2" customFormat="1" x14ac:dyDescent="0.25"/>
    <row r="578" s="2" customFormat="1" x14ac:dyDescent="0.25"/>
    <row r="579" s="2" customFormat="1" x14ac:dyDescent="0.25"/>
    <row r="580" s="2" customFormat="1" x14ac:dyDescent="0.25"/>
    <row r="581" s="2" customFormat="1" x14ac:dyDescent="0.25"/>
    <row r="582" s="2" customFormat="1" x14ac:dyDescent="0.25"/>
    <row r="583" s="2" customFormat="1" x14ac:dyDescent="0.25"/>
    <row r="584" s="2" customFormat="1" x14ac:dyDescent="0.25"/>
    <row r="585" s="2" customFormat="1" x14ac:dyDescent="0.25"/>
    <row r="586" s="2" customFormat="1" x14ac:dyDescent="0.25"/>
    <row r="587" s="2" customFormat="1" x14ac:dyDescent="0.25"/>
    <row r="588" s="2" customFormat="1" x14ac:dyDescent="0.25"/>
    <row r="589" s="2" customFormat="1" x14ac:dyDescent="0.25"/>
    <row r="590" s="2" customFormat="1" x14ac:dyDescent="0.25"/>
    <row r="591" s="2" customFormat="1" x14ac:dyDescent="0.25"/>
    <row r="592" s="2" customFormat="1" x14ac:dyDescent="0.25"/>
    <row r="593" spans="1:3" x14ac:dyDescent="0.25">
      <c r="A593" s="2"/>
      <c r="C593" s="2"/>
    </row>
    <row r="594" spans="1:3" x14ac:dyDescent="0.25">
      <c r="A594" s="2"/>
      <c r="C594" s="2"/>
    </row>
    <row r="595" spans="1:3" x14ac:dyDescent="0.25">
      <c r="A595" s="2"/>
      <c r="C595" s="2"/>
    </row>
    <row r="596" spans="1:3" x14ac:dyDescent="0.25">
      <c r="A596" s="2"/>
      <c r="C596" s="2"/>
    </row>
    <row r="597" spans="1:3" x14ac:dyDescent="0.25">
      <c r="A597" s="2"/>
      <c r="C597" s="2"/>
    </row>
    <row r="598" spans="1:3" x14ac:dyDescent="0.25">
      <c r="A598" s="2"/>
      <c r="C598" s="2"/>
    </row>
    <row r="599" spans="1:3" x14ac:dyDescent="0.25">
      <c r="A599" s="2"/>
      <c r="C599" s="2"/>
    </row>
    <row r="600" spans="1:3" x14ac:dyDescent="0.25">
      <c r="A600" s="2"/>
      <c r="C600" s="2"/>
    </row>
    <row r="601" spans="1:3" x14ac:dyDescent="0.25">
      <c r="A601" s="2"/>
      <c r="C601" s="2"/>
    </row>
    <row r="602" spans="1:3" x14ac:dyDescent="0.25">
      <c r="A602" s="2"/>
      <c r="C602" s="2"/>
    </row>
    <row r="603" spans="1:3" x14ac:dyDescent="0.25">
      <c r="A603" s="2"/>
      <c r="C603" s="2"/>
    </row>
    <row r="604" spans="1:3" x14ac:dyDescent="0.25">
      <c r="A604" s="2"/>
      <c r="C604" s="2"/>
    </row>
    <row r="605" spans="1:3" x14ac:dyDescent="0.25">
      <c r="A605" s="2"/>
      <c r="C605" s="2"/>
    </row>
    <row r="606" spans="1:3" x14ac:dyDescent="0.25">
      <c r="A606" s="2"/>
      <c r="C606" s="2"/>
    </row>
    <row r="607" spans="1:3" x14ac:dyDescent="0.25">
      <c r="A607" s="2"/>
      <c r="C607" s="2"/>
    </row>
    <row r="608" spans="1:3" x14ac:dyDescent="0.25">
      <c r="C608" s="2"/>
    </row>
    <row r="609" spans="3:3" x14ac:dyDescent="0.25">
      <c r="C609" s="2"/>
    </row>
    <row r="610" spans="3:3" x14ac:dyDescent="0.25">
      <c r="C610" s="2"/>
    </row>
    <row r="611" spans="3:3" x14ac:dyDescent="0.25">
      <c r="C611" s="2"/>
    </row>
    <row r="612" spans="3:3" x14ac:dyDescent="0.25">
      <c r="C612" s="2"/>
    </row>
    <row r="613" spans="3:3" x14ac:dyDescent="0.25">
      <c r="C613" s="2"/>
    </row>
  </sheetData>
  <phoneticPr fontId="2" type="noConversion"/>
  <dataValidations disablePrompts="1" count="1">
    <dataValidation type="list" allowBlank="1" showInputMessage="1" showErrorMessage="1" sqref="F32:F39" xr:uid="{00000000-0002-0000-0300-000000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indexed="17"/>
    <pageSetUpPr fitToPage="1"/>
  </sheetPr>
  <dimension ref="A1:IU412"/>
  <sheetViews>
    <sheetView windowProtection="1" showGridLines="0" topLeftCell="G57" zoomScale="98" zoomScaleNormal="98" workbookViewId="0">
      <selection activeCell="G82" sqref="G82"/>
    </sheetView>
  </sheetViews>
  <sheetFormatPr defaultRowHeight="12.75" x14ac:dyDescent="0.2"/>
  <cols>
    <col min="1" max="1" width="7.875" style="9" customWidth="1"/>
    <col min="2" max="2" width="18.25" style="9" customWidth="1"/>
    <col min="3" max="3" width="10.875" style="9" customWidth="1"/>
    <col min="4" max="4" width="14.375" style="9" customWidth="1"/>
    <col min="5" max="5" width="10.375" style="9" customWidth="1"/>
    <col min="6" max="6" width="9" style="9" bestFit="1" customWidth="1"/>
    <col min="7" max="7" width="14.5" style="10" bestFit="1" customWidth="1"/>
    <col min="8" max="8" width="10.5" style="10" customWidth="1"/>
    <col min="9" max="9" width="11.125" style="10" bestFit="1" customWidth="1"/>
    <col min="10" max="10" width="9.5" style="10" customWidth="1"/>
    <col min="11" max="11" width="10.625" style="10" customWidth="1"/>
    <col min="12" max="12" width="12" style="9" customWidth="1"/>
    <col min="13" max="13" width="11.5" style="9" customWidth="1"/>
    <col min="14" max="14" width="10.375" style="9" customWidth="1"/>
    <col min="15" max="15" width="13.875" style="9" customWidth="1"/>
    <col min="16" max="16" width="16.625" style="9" customWidth="1"/>
    <col min="17" max="17" width="14.875" style="9" customWidth="1"/>
    <col min="18" max="18" width="11" style="9" bestFit="1" customWidth="1"/>
    <col min="19" max="19" width="14.75" style="9" bestFit="1" customWidth="1"/>
    <col min="20" max="20" width="11" style="9" bestFit="1" customWidth="1"/>
    <col min="21" max="21" width="17.875" style="9" customWidth="1"/>
    <col min="22" max="24" width="11" style="9" bestFit="1" customWidth="1"/>
    <col min="25" max="25" width="11.5" style="9" bestFit="1" customWidth="1"/>
    <col min="26" max="26" width="13" style="9" bestFit="1" customWidth="1"/>
    <col min="27" max="27" width="13.25" style="9" customWidth="1"/>
    <col min="28" max="33" width="11" style="9" bestFit="1" customWidth="1"/>
    <col min="34" max="34" width="9" style="9" customWidth="1"/>
    <col min="35" max="35" width="13.375" style="9" customWidth="1"/>
    <col min="36" max="36" width="9.5" style="9" customWidth="1"/>
    <col min="37" max="37" width="8.375" style="9" customWidth="1"/>
    <col min="38" max="38" width="8" style="9" customWidth="1"/>
    <col min="39" max="39" width="8.25" style="9" bestFit="1" customWidth="1"/>
    <col min="40" max="40" width="9.75" style="9" customWidth="1"/>
    <col min="41" max="59" width="11" style="9" bestFit="1" customWidth="1"/>
    <col min="60" max="60" width="7.875" style="9" customWidth="1"/>
    <col min="61" max="61" width="8.5" style="9" customWidth="1"/>
    <col min="62" max="62" width="9.5" style="9" customWidth="1"/>
    <col min="63" max="63" width="13" style="9" customWidth="1"/>
    <col min="64" max="64" width="10.375" style="9" customWidth="1"/>
    <col min="65" max="65" width="13.75" style="9" customWidth="1"/>
    <col min="66" max="66" width="8.875" style="9" customWidth="1"/>
    <col min="67" max="67" width="9.75" style="9" customWidth="1"/>
    <col min="68" max="68" width="11" style="9" customWidth="1"/>
    <col min="69" max="69" width="11.125" style="9" customWidth="1"/>
    <col min="70" max="70" width="9.625" style="9" customWidth="1"/>
    <col min="71" max="71" width="10.625" style="9" customWidth="1"/>
    <col min="72" max="72" width="10" style="9" customWidth="1"/>
    <col min="73" max="100" width="9" style="9"/>
    <col min="101" max="101" width="11.5" style="9" customWidth="1"/>
    <col min="102" max="193" width="9" style="9"/>
    <col min="194" max="194" width="14.75" style="9" customWidth="1"/>
    <col min="195" max="16384" width="9" style="9"/>
  </cols>
  <sheetData>
    <row r="1" spans="1:201" x14ac:dyDescent="0.2">
      <c r="A1" s="9">
        <v>5</v>
      </c>
      <c r="B1" s="227"/>
      <c r="C1" s="227"/>
      <c r="D1" s="10"/>
      <c r="E1" s="227"/>
      <c r="F1" s="227"/>
      <c r="AF1" s="199"/>
      <c r="AH1" s="199"/>
    </row>
    <row r="4" spans="1:201" x14ac:dyDescent="0.2">
      <c r="A4" s="222" t="s">
        <v>17</v>
      </c>
      <c r="B4" s="223"/>
      <c r="C4" s="223"/>
      <c r="D4" s="223"/>
      <c r="E4" s="223"/>
      <c r="F4" s="223"/>
      <c r="G4" s="223"/>
      <c r="H4" s="223"/>
      <c r="I4" s="223"/>
      <c r="J4" s="223"/>
      <c r="K4" s="223"/>
      <c r="L4" s="223"/>
      <c r="M4" s="223"/>
      <c r="N4" s="223"/>
      <c r="O4" s="223"/>
      <c r="P4" s="223"/>
      <c r="Q4" s="223"/>
      <c r="R4" s="223"/>
      <c r="S4" s="223"/>
      <c r="T4" s="223"/>
      <c r="U4" s="223"/>
      <c r="V4" s="223"/>
      <c r="W4" s="223"/>
      <c r="X4" s="223"/>
      <c r="Y4" s="223"/>
      <c r="Z4" s="223"/>
      <c r="AA4" s="223"/>
      <c r="AB4" s="223"/>
      <c r="AC4" s="223"/>
      <c r="AD4" s="223"/>
      <c r="AE4" s="223"/>
      <c r="AF4" s="223"/>
      <c r="AG4" s="223"/>
      <c r="AH4" s="223"/>
      <c r="AI4" s="223"/>
      <c r="AJ4" s="223"/>
      <c r="AK4" s="223"/>
      <c r="AL4" s="223"/>
      <c r="AM4" s="223"/>
      <c r="AN4" s="223"/>
      <c r="AO4" s="223"/>
      <c r="AP4" s="223"/>
      <c r="AQ4" s="223"/>
      <c r="AR4" s="223"/>
      <c r="AS4" s="223"/>
      <c r="AT4" s="223"/>
      <c r="AU4" s="223"/>
      <c r="AV4" s="223"/>
      <c r="AW4" s="223"/>
      <c r="AX4" s="223"/>
      <c r="AY4" s="223"/>
      <c r="AZ4" s="223"/>
      <c r="BA4" s="223"/>
      <c r="BB4" s="223"/>
      <c r="BC4" s="223"/>
      <c r="BD4" s="223"/>
      <c r="BE4" s="223"/>
      <c r="BF4" s="223"/>
      <c r="BG4" s="223"/>
      <c r="BH4" s="223"/>
      <c r="BI4" s="223"/>
      <c r="BJ4" s="223"/>
      <c r="BK4" s="223"/>
      <c r="BL4" s="223"/>
      <c r="BM4" s="223"/>
      <c r="BN4" s="223"/>
      <c r="BO4" s="223"/>
      <c r="BP4" s="223"/>
      <c r="BQ4" s="223"/>
      <c r="BR4" s="223"/>
      <c r="BS4" s="223"/>
      <c r="BT4" s="223"/>
      <c r="BU4" s="223"/>
      <c r="BV4" s="223"/>
      <c r="BW4" s="223"/>
      <c r="BX4" s="223"/>
      <c r="BY4" s="223"/>
      <c r="BZ4" s="223"/>
      <c r="CA4" s="223"/>
      <c r="CB4" s="223"/>
      <c r="CC4" s="223"/>
      <c r="CD4" s="223"/>
      <c r="CE4" s="223"/>
      <c r="CF4" s="223"/>
      <c r="CG4" s="223"/>
      <c r="CH4" s="223"/>
      <c r="CI4" s="223"/>
      <c r="CJ4" s="223"/>
      <c r="CK4" s="223"/>
      <c r="CL4" s="223"/>
      <c r="CM4" s="223"/>
      <c r="CN4" s="223"/>
      <c r="CO4" s="223"/>
      <c r="CP4" s="223"/>
      <c r="CQ4" s="223"/>
      <c r="CR4" s="223"/>
      <c r="CS4" s="223"/>
      <c r="CT4" s="223"/>
      <c r="CU4" s="223"/>
      <c r="CV4" s="223"/>
      <c r="CW4" s="223"/>
      <c r="CX4" s="223"/>
      <c r="CY4" s="223"/>
      <c r="CZ4" s="223"/>
      <c r="DA4" s="223"/>
      <c r="DB4" s="223"/>
      <c r="DC4" s="223"/>
      <c r="DD4" s="223"/>
      <c r="DE4" s="223"/>
      <c r="DF4" s="223"/>
      <c r="DG4" s="223"/>
      <c r="DH4" s="223"/>
      <c r="DI4" s="223"/>
      <c r="DJ4" s="223"/>
      <c r="DK4" s="223"/>
      <c r="DL4" s="223"/>
      <c r="DM4" s="223"/>
      <c r="DN4" s="223"/>
      <c r="DO4" s="223"/>
      <c r="DP4" s="223"/>
      <c r="DQ4" s="223"/>
      <c r="DR4" s="223"/>
      <c r="DS4" s="223"/>
      <c r="DT4" s="223"/>
      <c r="DU4" s="223"/>
      <c r="DV4" s="223"/>
      <c r="DW4" s="223"/>
      <c r="DX4" s="223"/>
      <c r="DY4" s="223"/>
      <c r="DZ4" s="223"/>
      <c r="EA4" s="223"/>
      <c r="EB4" s="223"/>
      <c r="EC4" s="223"/>
      <c r="ED4" s="223"/>
      <c r="EE4" s="223"/>
      <c r="EF4" s="223"/>
      <c r="EG4" s="223"/>
      <c r="EH4" s="223"/>
      <c r="EI4" s="223"/>
      <c r="EJ4" s="223"/>
      <c r="EK4" s="223"/>
      <c r="EL4" s="223"/>
      <c r="EM4" s="223"/>
      <c r="EN4" s="223"/>
      <c r="EO4" s="223"/>
      <c r="EP4" s="223"/>
      <c r="EQ4" s="223"/>
      <c r="ER4" s="223"/>
      <c r="ES4" s="223"/>
      <c r="ET4" s="223"/>
      <c r="EU4" s="223"/>
      <c r="EV4" s="223"/>
      <c r="EW4" s="223"/>
      <c r="EX4" s="223"/>
      <c r="EY4" s="223"/>
      <c r="EZ4" s="223"/>
      <c r="FA4" s="223"/>
      <c r="FB4" s="223"/>
      <c r="FC4" s="223"/>
      <c r="FD4" s="223"/>
      <c r="FE4" s="223"/>
      <c r="FF4" s="223"/>
      <c r="FG4" s="223"/>
      <c r="FH4" s="223"/>
      <c r="FI4" s="223"/>
      <c r="FJ4" s="223"/>
      <c r="FK4" s="223"/>
      <c r="FL4" s="223"/>
      <c r="FM4" s="223"/>
      <c r="FN4" s="223"/>
      <c r="FO4" s="223"/>
      <c r="FP4" s="223"/>
      <c r="FQ4" s="223"/>
      <c r="FR4" s="223"/>
      <c r="FS4" s="223"/>
      <c r="FT4" s="223"/>
      <c r="FU4" s="223"/>
      <c r="FV4" s="223"/>
      <c r="FW4" s="223"/>
      <c r="FX4" s="223"/>
      <c r="FY4" s="223"/>
      <c r="FZ4" s="223"/>
      <c r="GA4" s="223"/>
      <c r="GB4" s="223"/>
      <c r="GC4" s="223"/>
      <c r="GD4" s="223"/>
      <c r="GE4" s="223"/>
      <c r="GF4" s="223"/>
      <c r="GG4" s="223"/>
      <c r="GH4" s="223"/>
      <c r="GI4" s="223"/>
      <c r="GJ4" s="223"/>
      <c r="GK4" s="223"/>
      <c r="GL4" s="223"/>
      <c r="GM4" s="223"/>
      <c r="GN4" s="223"/>
      <c r="GO4" s="223"/>
      <c r="GP4" s="223"/>
      <c r="GQ4" s="223"/>
      <c r="GR4" s="223"/>
      <c r="GS4" s="223"/>
    </row>
    <row r="5" spans="1:201" x14ac:dyDescent="0.2">
      <c r="A5" s="12" t="s">
        <v>18</v>
      </c>
      <c r="B5" s="13" t="str">
        <f>CONCATENATE(" 1-",Resumo!B2)</f>
        <v xml:space="preserve"> 1-gasdhjasgjd</v>
      </c>
      <c r="C5" s="13" t="str">
        <f>CONCATENATE(" 2-",Resumo!B7)</f>
        <v xml:space="preserve"> 2-dsad</v>
      </c>
      <c r="D5" s="13" t="str">
        <f>CONCATENATE(" 3-",Resumo!B12)</f>
        <v xml:space="preserve"> 3-dsas</v>
      </c>
      <c r="E5" s="13" t="str">
        <f>CONCATENATE(" 4-",Resumo!B17)</f>
        <v xml:space="preserve"> 4-fds</v>
      </c>
      <c r="F5" s="13" t="str">
        <f>CONCATENATE(" 5-",Resumo!B22)</f>
        <v xml:space="preserve"> 5-gdfg</v>
      </c>
      <c r="G5" s="13" t="str">
        <f>CONCATENATE(" 6-",Resumo!B27)</f>
        <v xml:space="preserve"> 6-</v>
      </c>
      <c r="H5" s="13" t="str">
        <f>CONCATENATE(" 7-",Resumo!B32)</f>
        <v xml:space="preserve"> 7-</v>
      </c>
      <c r="I5" s="13" t="str">
        <f>CONCATENATE(" 8-",Resumo!B37)</f>
        <v xml:space="preserve"> 8-</v>
      </c>
      <c r="J5" s="13" t="str">
        <f>CONCATENATE(" 9-",Resumo!B42)</f>
        <v xml:space="preserve"> 9-</v>
      </c>
      <c r="K5" s="13" t="str">
        <f>CONCATENATE(" 10-",Resumo!B47)</f>
        <v xml:space="preserve"> 10-</v>
      </c>
      <c r="L5" s="13" t="str">
        <f>CONCATENATE("11-",Resumo!B52)</f>
        <v>11-</v>
      </c>
      <c r="M5" s="13" t="str">
        <f>CONCATENATE(" 12-",Resumo!B57)</f>
        <v xml:space="preserve"> 12-</v>
      </c>
      <c r="N5" s="13" t="str">
        <f>CONCATENATE(" 13-",Resumo!B62)</f>
        <v xml:space="preserve"> 13-</v>
      </c>
      <c r="O5" s="13" t="str">
        <f>CONCATENATE(" 14-",Resumo!B67)</f>
        <v xml:space="preserve"> 14-</v>
      </c>
      <c r="P5" s="13" t="str">
        <f>CONCATENATE(" 15-",Resumo!B72)</f>
        <v xml:space="preserve"> 15-</v>
      </c>
      <c r="Q5" s="13" t="str">
        <f>CONCATENATE(" 16-",Resumo!B77)</f>
        <v xml:space="preserve"> 16-</v>
      </c>
      <c r="R5" s="13" t="str">
        <f>CONCATENATE(" 17-",Resumo!B82)</f>
        <v xml:space="preserve"> 17-</v>
      </c>
      <c r="S5" s="13" t="str">
        <f>CONCATENATE(" 18-",Resumo!B87)</f>
        <v xml:space="preserve"> 18-</v>
      </c>
      <c r="T5" s="13" t="str">
        <f>CONCATENATE(" 19-",Resumo!B92)</f>
        <v xml:space="preserve"> 19-</v>
      </c>
      <c r="U5" s="13" t="str">
        <f>CONCATENATE(" 20-",Resumo!B97)</f>
        <v xml:space="preserve"> 20-</v>
      </c>
      <c r="V5" s="13" t="str">
        <f>CONCATENATE(" 21-",Resumo!B102)</f>
        <v xml:space="preserve"> 21-</v>
      </c>
      <c r="W5" s="13" t="str">
        <f>CONCATENATE(" 22-",Resumo!B107)</f>
        <v xml:space="preserve"> 22-</v>
      </c>
      <c r="X5" s="13" t="str">
        <f>CONCATENATE(" 23-",Resumo!B112)</f>
        <v xml:space="preserve"> 23-</v>
      </c>
      <c r="Y5" s="13" t="str">
        <f>CONCATENATE(" 24-",Resumo!B117)</f>
        <v xml:space="preserve"> 24-</v>
      </c>
      <c r="Z5" s="13" t="str">
        <f>CONCATENATE(" 25-",Resumo!B122)</f>
        <v xml:space="preserve"> 25-</v>
      </c>
      <c r="AA5" s="13" t="str">
        <f>CONCATENATE(" 26-",Resumo!B127)</f>
        <v xml:space="preserve"> 26-</v>
      </c>
      <c r="AB5" s="13" t="str">
        <f>CONCATENATE(" 27-",Resumo!B132)</f>
        <v xml:space="preserve"> 27-</v>
      </c>
      <c r="AC5" s="13" t="str">
        <f>CONCATENATE(" 28-",Resumo!B137)</f>
        <v xml:space="preserve"> 28-</v>
      </c>
      <c r="AD5" s="13" t="str">
        <f>CONCATENATE(" 29-",Resumo!B142)</f>
        <v xml:space="preserve"> 29-</v>
      </c>
      <c r="AE5" s="13" t="str">
        <f>CONCATENATE(" 30-",Resumo!B147)</f>
        <v xml:space="preserve"> 30-</v>
      </c>
      <c r="AF5" s="13" t="str">
        <f>CONCATENATE(" 31-",Resumo!B152)</f>
        <v xml:space="preserve"> 31-</v>
      </c>
      <c r="AG5" s="13" t="str">
        <f>CONCATENATE(" 32-",Resumo!B157)</f>
        <v xml:space="preserve"> 32-</v>
      </c>
      <c r="AH5" s="13" t="str">
        <f>CONCATENATE(" 33-",Resumo!B162)</f>
        <v xml:space="preserve"> 33-</v>
      </c>
      <c r="AI5" s="13" t="str">
        <f>CONCATENATE(" 34-",Resumo!B167)</f>
        <v xml:space="preserve"> 34-</v>
      </c>
      <c r="AJ5" s="13" t="str">
        <f>CONCATENATE(" 35-",Resumo!B172)</f>
        <v xml:space="preserve"> 35-</v>
      </c>
      <c r="AK5" s="13" t="str">
        <f>CONCATENATE(" 36-",Resumo!B177)</f>
        <v xml:space="preserve"> 36-</v>
      </c>
      <c r="AL5" s="13" t="str">
        <f>CONCATENATE(" 37-",Resumo!B182)</f>
        <v xml:space="preserve"> 37-</v>
      </c>
      <c r="AM5" s="13" t="str">
        <f>CONCATENATE(" 38-",Resumo!B187)</f>
        <v xml:space="preserve"> 38-</v>
      </c>
      <c r="AN5" s="13" t="str">
        <f>CONCATENATE(" 39-",Resumo!B192)</f>
        <v xml:space="preserve"> 39-</v>
      </c>
      <c r="AO5" s="13" t="str">
        <f>CONCATENATE(" 40-",Resumo!B197)</f>
        <v xml:space="preserve"> 40-</v>
      </c>
      <c r="AP5" s="13" t="str">
        <f>CONCATENATE(" 41-",Resumo!B202)</f>
        <v xml:space="preserve"> 41-</v>
      </c>
      <c r="AQ5" s="13" t="str">
        <f>CONCATENATE(" 42-",Resumo!B207)</f>
        <v xml:space="preserve"> 42-</v>
      </c>
      <c r="AR5" s="13" t="str">
        <f>CONCATENATE(" 43-",Resumo!B212)</f>
        <v xml:space="preserve"> 43-</v>
      </c>
      <c r="AS5" s="13" t="str">
        <f>CONCATENATE(" 44-",Resumo!B217)</f>
        <v xml:space="preserve"> 44-</v>
      </c>
      <c r="AT5" s="13" t="str">
        <f>CONCATENATE(" 45-",Resumo!B222)</f>
        <v xml:space="preserve"> 45-</v>
      </c>
      <c r="AU5" s="13" t="str">
        <f>CONCATENATE(" 46-",Resumo!B227)</f>
        <v xml:space="preserve"> 46-</v>
      </c>
      <c r="AV5" s="13" t="str">
        <f>CONCATENATE(" 47-",Resumo!B232)</f>
        <v xml:space="preserve"> 47-</v>
      </c>
      <c r="AW5" s="13" t="str">
        <f>CONCATENATE(" 48-",Resumo!B237)</f>
        <v xml:space="preserve"> 48-</v>
      </c>
      <c r="AX5" s="13" t="str">
        <f>CONCATENATE(" 49-",Resumo!B242)</f>
        <v xml:space="preserve"> 49-</v>
      </c>
      <c r="AY5" s="13" t="str">
        <f>CONCATENATE(" 50-",Resumo!B247)</f>
        <v xml:space="preserve"> 50-</v>
      </c>
      <c r="AZ5" s="13" t="str">
        <f>CONCATENATE(" 51-",Resumo!B252)</f>
        <v xml:space="preserve"> 51-</v>
      </c>
      <c r="BA5" s="13" t="str">
        <f>CONCATENATE(" 52-",Resumo!B257)</f>
        <v xml:space="preserve"> 52-</v>
      </c>
      <c r="BB5" s="13" t="str">
        <f>CONCATENATE(" 53-",Resumo!B262)</f>
        <v xml:space="preserve"> 53-</v>
      </c>
      <c r="BC5" s="13" t="str">
        <f>CONCATENATE(" 54-",Resumo!B267)</f>
        <v xml:space="preserve"> 54-</v>
      </c>
      <c r="BD5" s="13" t="str">
        <f>CONCATENATE(" 55-",Resumo!B272)</f>
        <v xml:space="preserve"> 55-</v>
      </c>
      <c r="BE5" s="13" t="str">
        <f>CONCATENATE(" 56-",Resumo!B277)</f>
        <v xml:space="preserve"> 56-</v>
      </c>
      <c r="BF5" s="13" t="str">
        <f>CONCATENATE(" 57-",Resumo!B282)</f>
        <v xml:space="preserve"> 57-</v>
      </c>
      <c r="BG5" s="13" t="str">
        <f>CONCATENATE(" 58-",Resumo!B287)</f>
        <v xml:space="preserve"> 58-</v>
      </c>
      <c r="BH5" s="13" t="str">
        <f>CONCATENATE(" 59-",Resumo!B292)</f>
        <v xml:space="preserve"> 59-</v>
      </c>
      <c r="BI5" s="13" t="str">
        <f>CONCATENATE(" 60-",Resumo!B297)</f>
        <v xml:space="preserve"> 60-</v>
      </c>
      <c r="BJ5" s="13" t="str">
        <f>CONCATENATE(" 61-",Resumo!B302)</f>
        <v xml:space="preserve"> 61-</v>
      </c>
      <c r="BK5" s="13" t="str">
        <f>CONCATENATE(" 62-",Resumo!B307)</f>
        <v xml:space="preserve"> 62-</v>
      </c>
      <c r="BL5" s="13" t="str">
        <f>CONCATENATE(" 63-",Resumo!B312)</f>
        <v xml:space="preserve"> 63-</v>
      </c>
      <c r="BM5" s="13" t="str">
        <f>CONCATENATE(" 64-",Resumo!B317)</f>
        <v xml:space="preserve"> 64-</v>
      </c>
      <c r="BN5" s="13" t="str">
        <f>CONCATENATE(" 65-",Resumo!B322)</f>
        <v xml:space="preserve"> 65-</v>
      </c>
      <c r="BO5" s="13" t="str">
        <f>CONCATENATE(" 66-",Resumo!B327)</f>
        <v xml:space="preserve"> 66-</v>
      </c>
      <c r="BP5" s="13" t="str">
        <f>CONCATENATE(" 67-",Resumo!B332)</f>
        <v xml:space="preserve"> 67-</v>
      </c>
      <c r="BQ5" s="13" t="str">
        <f>CONCATENATE(" 68-",Resumo!B337)</f>
        <v xml:space="preserve"> 68-</v>
      </c>
      <c r="BR5" s="13" t="str">
        <f>CONCATENATE(" 69-",Resumo!B342)</f>
        <v xml:space="preserve"> 69-</v>
      </c>
      <c r="BS5" s="13" t="str">
        <f>CONCATENATE(" 70-",Resumo!B347)</f>
        <v xml:space="preserve"> 70-</v>
      </c>
      <c r="BT5" s="13" t="str">
        <f>CONCATENATE(" 71-",Resumo!B352)</f>
        <v xml:space="preserve"> 71-</v>
      </c>
      <c r="BU5" s="13" t="str">
        <f>CONCATENATE(" 72-",Resumo!B357)</f>
        <v xml:space="preserve"> 72-</v>
      </c>
      <c r="BV5" s="13" t="str">
        <f>CONCATENATE(" 73-",Resumo!B362)</f>
        <v xml:space="preserve"> 73-</v>
      </c>
      <c r="BW5" s="13" t="str">
        <f>CONCATENATE(" 74-",Resumo!B367)</f>
        <v xml:space="preserve"> 74-</v>
      </c>
      <c r="BX5" s="13" t="str">
        <f>CONCATENATE(" 75-",Resumo!B372)</f>
        <v xml:space="preserve"> 75-</v>
      </c>
      <c r="BY5" s="13" t="str">
        <f>CONCATENATE(" 76-",Resumo!B377)</f>
        <v xml:space="preserve"> 76-</v>
      </c>
      <c r="BZ5" s="13" t="str">
        <f>CONCATENATE(" 77-",Resumo!B382)</f>
        <v xml:space="preserve"> 77-</v>
      </c>
      <c r="CA5" s="13" t="str">
        <f>CONCATENATE(" 78-",Resumo!B387)</f>
        <v xml:space="preserve"> 78-</v>
      </c>
      <c r="CB5" s="13" t="str">
        <f>CONCATENATE(" 79-",Resumo!B392)</f>
        <v xml:space="preserve"> 79-</v>
      </c>
      <c r="CC5" s="13" t="str">
        <f>CONCATENATE(" 80-",Resumo!B397)</f>
        <v xml:space="preserve"> 80-</v>
      </c>
      <c r="CD5" s="13" t="str">
        <f>CONCATENATE(" 81-",Resumo!B402)</f>
        <v xml:space="preserve"> 81-</v>
      </c>
      <c r="CE5" s="13" t="str">
        <f>CONCATENATE(" 82-",Resumo!B407)</f>
        <v xml:space="preserve"> 82-</v>
      </c>
      <c r="CF5" s="13" t="str">
        <f>CONCATENATE(" 83-",Resumo!B412)</f>
        <v xml:space="preserve"> 83-</v>
      </c>
      <c r="CG5" s="13" t="str">
        <f>CONCATENATE(" 84-",Resumo!B417)</f>
        <v xml:space="preserve"> 84-</v>
      </c>
      <c r="CH5" s="13" t="str">
        <f>CONCATENATE(" 85-",Resumo!B422)</f>
        <v xml:space="preserve"> 85-</v>
      </c>
      <c r="CI5" s="13" t="str">
        <f>CONCATENATE(" 86-",Resumo!B427)</f>
        <v xml:space="preserve"> 86-</v>
      </c>
      <c r="CJ5" s="13" t="str">
        <f>CONCATENATE(" 87-",Resumo!B432)</f>
        <v xml:space="preserve"> 87-</v>
      </c>
      <c r="CK5" s="13" t="str">
        <f>CONCATENATE(" 88-",Resumo!B437)</f>
        <v xml:space="preserve"> 88-</v>
      </c>
      <c r="CL5" s="13" t="str">
        <f>CONCATENATE(" 89-",Resumo!B442)</f>
        <v xml:space="preserve"> 89-</v>
      </c>
      <c r="CM5" s="13" t="str">
        <f>CONCATENATE(" 90-",Resumo!B447)</f>
        <v xml:space="preserve"> 90-</v>
      </c>
      <c r="CN5" s="13" t="str">
        <f>CONCATENATE(" 91-",Resumo!B452)</f>
        <v xml:space="preserve"> 91-</v>
      </c>
      <c r="CO5" s="13" t="str">
        <f>CONCATENATE(" 92-",Resumo!B457)</f>
        <v xml:space="preserve"> 92-</v>
      </c>
      <c r="CP5" s="13" t="str">
        <f>CONCATENATE(" 93-",Resumo!B462)</f>
        <v xml:space="preserve"> 93-</v>
      </c>
      <c r="CQ5" s="13" t="str">
        <f>CONCATENATE(" 94-",Resumo!B467)</f>
        <v xml:space="preserve"> 94-</v>
      </c>
      <c r="CR5" s="13" t="str">
        <f>CONCATENATE(" 95-",Resumo!B472)</f>
        <v xml:space="preserve"> 95-</v>
      </c>
      <c r="CS5" s="13" t="str">
        <f>CONCATENATE(" 96-",Resumo!B477)</f>
        <v xml:space="preserve"> 96-</v>
      </c>
      <c r="CT5" s="13" t="str">
        <f>CONCATENATE(" 97-",Resumo!B482)</f>
        <v xml:space="preserve"> 97-</v>
      </c>
      <c r="CU5" s="13" t="str">
        <f>CONCATENATE(" 98-",Resumo!B487)</f>
        <v xml:space="preserve"> 98-</v>
      </c>
      <c r="CV5" s="13" t="str">
        <f>CONCATENATE(" 99-",Resumo!B492)</f>
        <v xml:space="preserve"> 99-</v>
      </c>
      <c r="CW5" s="13" t="str">
        <f>CONCATENATE(" 100-",Resumo!B497)</f>
        <v xml:space="preserve"> 100-</v>
      </c>
      <c r="CX5" s="13"/>
      <c r="CY5" s="13"/>
      <c r="CZ5" s="13"/>
      <c r="DA5" s="13"/>
      <c r="DB5" s="13"/>
      <c r="DC5" s="13"/>
      <c r="DD5" s="13"/>
      <c r="DE5" s="13"/>
      <c r="DF5" s="13"/>
      <c r="DG5" s="13"/>
      <c r="DH5" s="13"/>
      <c r="DI5" s="13"/>
      <c r="DJ5" s="13"/>
      <c r="DK5" s="13"/>
      <c r="DL5" s="13"/>
      <c r="DM5" s="13"/>
      <c r="DN5" s="13"/>
      <c r="DO5" s="13"/>
      <c r="DP5" s="13"/>
      <c r="DQ5" s="13"/>
      <c r="DR5" s="13"/>
      <c r="DS5" s="13"/>
      <c r="DT5" s="13"/>
      <c r="DU5" s="13"/>
      <c r="DV5" s="13"/>
      <c r="DW5" s="13"/>
      <c r="DX5" s="13"/>
      <c r="DY5" s="13"/>
      <c r="DZ5" s="13"/>
      <c r="EA5" s="13"/>
      <c r="EB5" s="13"/>
      <c r="EC5" s="13"/>
      <c r="ED5" s="13"/>
      <c r="EE5" s="13"/>
      <c r="EF5" s="13"/>
      <c r="EG5" s="13"/>
      <c r="EH5" s="13"/>
      <c r="EI5" s="13"/>
      <c r="EJ5" s="13"/>
      <c r="EK5" s="13"/>
      <c r="EL5" s="13"/>
      <c r="EM5" s="13"/>
      <c r="EN5" s="13"/>
      <c r="EO5" s="13"/>
      <c r="EP5" s="13"/>
      <c r="EQ5" s="13"/>
      <c r="ER5" s="13"/>
      <c r="ES5" s="13"/>
      <c r="ET5" s="13"/>
      <c r="EU5" s="13"/>
      <c r="EV5" s="13"/>
      <c r="EW5" s="13"/>
      <c r="EX5" s="13"/>
      <c r="EY5" s="13"/>
      <c r="EZ5" s="13"/>
      <c r="FA5" s="13"/>
      <c r="FB5" s="13"/>
      <c r="FC5" s="13"/>
      <c r="FD5" s="13"/>
      <c r="FE5" s="13"/>
      <c r="FF5" s="13"/>
      <c r="FG5" s="13"/>
      <c r="FH5" s="13"/>
      <c r="FI5" s="13"/>
      <c r="FJ5" s="13"/>
      <c r="FK5" s="13"/>
      <c r="FL5" s="13"/>
      <c r="FM5" s="13"/>
      <c r="FN5" s="13"/>
      <c r="FO5" s="13"/>
      <c r="FP5" s="13"/>
      <c r="FQ5" s="13"/>
      <c r="FR5" s="13"/>
      <c r="FS5" s="13"/>
      <c r="FT5" s="13"/>
      <c r="FU5" s="13"/>
      <c r="FV5" s="13"/>
      <c r="FW5" s="13"/>
      <c r="FX5" s="13"/>
      <c r="FY5" s="13"/>
      <c r="FZ5" s="13"/>
      <c r="GA5" s="13"/>
      <c r="GB5" s="13"/>
      <c r="GC5" s="13"/>
      <c r="GD5" s="13"/>
      <c r="GE5" s="13"/>
      <c r="GF5" s="13"/>
      <c r="GG5" s="13"/>
      <c r="GH5" s="13"/>
      <c r="GI5" s="13"/>
      <c r="GJ5" s="13"/>
      <c r="GK5" s="13"/>
      <c r="GL5" s="13"/>
      <c r="GM5" s="13"/>
      <c r="GN5" s="13"/>
      <c r="GO5" s="13"/>
      <c r="GP5" s="13"/>
      <c r="GQ5" s="13"/>
      <c r="GR5" s="13"/>
      <c r="GS5" s="13"/>
    </row>
    <row r="6" spans="1:201" x14ac:dyDescent="0.2">
      <c r="A6" s="15" t="s">
        <v>5</v>
      </c>
      <c r="B6" s="16">
        <f>Resumo!G2</f>
        <v>156</v>
      </c>
      <c r="C6" s="16">
        <f>Resumo!G7</f>
        <v>85</v>
      </c>
      <c r="D6" s="16">
        <f>Resumo!G12</f>
        <v>8368</v>
      </c>
      <c r="E6" s="16">
        <f>Resumo!G17</f>
        <v>686385</v>
      </c>
      <c r="F6" s="16">
        <f>Resumo!G22</f>
        <v>852</v>
      </c>
      <c r="G6" s="16">
        <f>Resumo!G27</f>
        <v>0</v>
      </c>
      <c r="H6" s="16">
        <f>Resumo!G32</f>
        <v>0</v>
      </c>
      <c r="I6" s="16">
        <f>Resumo!G37</f>
        <v>0</v>
      </c>
      <c r="J6" s="16">
        <f>Resumo!G42</f>
        <v>0</v>
      </c>
      <c r="K6" s="16">
        <f>Resumo!G47</f>
        <v>0</v>
      </c>
      <c r="L6" s="16">
        <f>Resumo!G52</f>
        <v>0</v>
      </c>
      <c r="M6" s="16">
        <f>Resumo!G57</f>
        <v>0</v>
      </c>
      <c r="N6" s="16">
        <f>Resumo!G62</f>
        <v>0</v>
      </c>
      <c r="O6" s="16">
        <f>Resumo!G67</f>
        <v>0</v>
      </c>
      <c r="P6" s="16">
        <f>Resumo!G72</f>
        <v>0</v>
      </c>
      <c r="Q6" s="16">
        <f>Resumo!G77</f>
        <v>0</v>
      </c>
      <c r="R6" s="16">
        <f>Resumo!G82</f>
        <v>0</v>
      </c>
      <c r="S6" s="16">
        <f>Resumo!G87</f>
        <v>0</v>
      </c>
      <c r="T6" s="16">
        <f>Resumo!G92</f>
        <v>0</v>
      </c>
      <c r="U6" s="16">
        <f>Resumo!G97</f>
        <v>0</v>
      </c>
      <c r="V6" s="16">
        <f>Resumo!G102</f>
        <v>0</v>
      </c>
      <c r="W6" s="16">
        <f>Resumo!G107</f>
        <v>0</v>
      </c>
      <c r="X6" s="16">
        <f>Resumo!G112</f>
        <v>0</v>
      </c>
      <c r="Y6" s="16">
        <f>Resumo!G117</f>
        <v>0</v>
      </c>
      <c r="Z6" s="16">
        <f>Resumo!G122</f>
        <v>0</v>
      </c>
      <c r="AA6" s="16">
        <f>Resumo!G127</f>
        <v>0</v>
      </c>
      <c r="AB6" s="16">
        <f>Resumo!G132</f>
        <v>0</v>
      </c>
      <c r="AC6" s="16">
        <f>Resumo!G137</f>
        <v>0</v>
      </c>
      <c r="AD6" s="16">
        <f>Resumo!G142</f>
        <v>0</v>
      </c>
      <c r="AE6" s="16">
        <f>Resumo!G147</f>
        <v>0</v>
      </c>
      <c r="AF6" s="16">
        <f>Resumo!G152</f>
        <v>0</v>
      </c>
      <c r="AG6" s="16">
        <f>Resumo!G157</f>
        <v>0</v>
      </c>
      <c r="AH6" s="16">
        <f>Resumo!G162</f>
        <v>0</v>
      </c>
      <c r="AI6" s="16">
        <f>Resumo!G167</f>
        <v>0</v>
      </c>
      <c r="AJ6" s="16">
        <f>Resumo!G172</f>
        <v>0</v>
      </c>
      <c r="AK6" s="16">
        <f>Resumo!G177</f>
        <v>0</v>
      </c>
      <c r="AL6" s="16">
        <f>Resumo!G182</f>
        <v>0</v>
      </c>
      <c r="AM6" s="16">
        <f>Resumo!G187</f>
        <v>0</v>
      </c>
      <c r="AN6" s="16">
        <f>Resumo!G192</f>
        <v>0</v>
      </c>
      <c r="AO6" s="16">
        <f>Resumo!G197</f>
        <v>0</v>
      </c>
      <c r="AP6" s="16">
        <f>Resumo!G202</f>
        <v>0</v>
      </c>
      <c r="AQ6" s="16">
        <f>Resumo!G207</f>
        <v>0</v>
      </c>
      <c r="AR6" s="16">
        <f>Resumo!G212</f>
        <v>0</v>
      </c>
      <c r="AS6" s="16">
        <f>Resumo!G217</f>
        <v>0</v>
      </c>
      <c r="AT6" s="16">
        <f>Resumo!G222</f>
        <v>0</v>
      </c>
      <c r="AU6" s="16">
        <f>Resumo!G227</f>
        <v>0</v>
      </c>
      <c r="AV6" s="16">
        <f>Resumo!G232</f>
        <v>0</v>
      </c>
      <c r="AW6" s="16">
        <f>Resumo!G237</f>
        <v>0</v>
      </c>
      <c r="AX6" s="16">
        <f>Resumo!G242</f>
        <v>0</v>
      </c>
      <c r="AY6" s="16">
        <f>Resumo!G247</f>
        <v>0</v>
      </c>
      <c r="AZ6" s="16">
        <f>Resumo!G252</f>
        <v>0</v>
      </c>
      <c r="BA6" s="16">
        <f>Resumo!G257</f>
        <v>0</v>
      </c>
      <c r="BB6" s="16">
        <f>Resumo!G262</f>
        <v>0</v>
      </c>
      <c r="BC6" s="16">
        <f>Resumo!G267</f>
        <v>0</v>
      </c>
      <c r="BD6" s="16">
        <f>Resumo!G272</f>
        <v>0</v>
      </c>
      <c r="BE6" s="16">
        <f>Resumo!G277</f>
        <v>0</v>
      </c>
      <c r="BF6" s="16">
        <f>Resumo!G282</f>
        <v>0</v>
      </c>
      <c r="BG6" s="16">
        <f>Resumo!G287</f>
        <v>0</v>
      </c>
      <c r="BH6" s="16">
        <f>Resumo!G292</f>
        <v>0</v>
      </c>
      <c r="BI6" s="16">
        <f>Resumo!G297</f>
        <v>0</v>
      </c>
      <c r="BJ6" s="16">
        <f>Resumo!G302</f>
        <v>0</v>
      </c>
      <c r="BK6" s="16">
        <f>Resumo!G307</f>
        <v>0</v>
      </c>
      <c r="BL6" s="16">
        <f>Resumo!G312</f>
        <v>0</v>
      </c>
      <c r="BM6" s="16">
        <f>Resumo!G317</f>
        <v>0</v>
      </c>
      <c r="BN6" s="16">
        <f>Resumo!G322</f>
        <v>0</v>
      </c>
      <c r="BO6" s="16">
        <f>Resumo!G327</f>
        <v>0</v>
      </c>
      <c r="BP6" s="16">
        <f>Resumo!G332</f>
        <v>0</v>
      </c>
      <c r="BQ6" s="16">
        <f>Resumo!G337</f>
        <v>0</v>
      </c>
      <c r="BR6" s="16">
        <f>Resumo!G342</f>
        <v>0</v>
      </c>
      <c r="BS6" s="16">
        <f>Resumo!G347</f>
        <v>0</v>
      </c>
      <c r="BT6" s="16">
        <f>Resumo!G352</f>
        <v>0</v>
      </c>
      <c r="BU6" s="16">
        <f>Resumo!G357</f>
        <v>0</v>
      </c>
      <c r="BV6" s="16">
        <f>Resumo!G362</f>
        <v>0</v>
      </c>
      <c r="BW6" s="16">
        <f>Resumo!G367</f>
        <v>0</v>
      </c>
      <c r="BX6" s="16">
        <f>Resumo!G372</f>
        <v>0</v>
      </c>
      <c r="BY6" s="16">
        <f>Resumo!G377</f>
        <v>0</v>
      </c>
      <c r="BZ6" s="16">
        <f>Resumo!G382</f>
        <v>0</v>
      </c>
      <c r="CA6" s="16">
        <f>Resumo!G387</f>
        <v>0</v>
      </c>
      <c r="CB6" s="16">
        <f>Resumo!G392</f>
        <v>0</v>
      </c>
      <c r="CC6" s="16">
        <f>Resumo!G397</f>
        <v>0</v>
      </c>
      <c r="CD6" s="16">
        <f>Resumo!G402</f>
        <v>0</v>
      </c>
      <c r="CE6" s="16">
        <f>Resumo!G407</f>
        <v>0</v>
      </c>
      <c r="CF6" s="16">
        <f>Resumo!G412</f>
        <v>0</v>
      </c>
      <c r="CG6" s="16">
        <f>Resumo!G417</f>
        <v>0</v>
      </c>
      <c r="CH6" s="16">
        <f>Resumo!G422</f>
        <v>0</v>
      </c>
      <c r="CI6" s="16">
        <f>Resumo!G427</f>
        <v>0</v>
      </c>
      <c r="CJ6" s="16">
        <f>Resumo!G432</f>
        <v>0</v>
      </c>
      <c r="CK6" s="16">
        <f>Resumo!G437</f>
        <v>0</v>
      </c>
      <c r="CL6" s="16">
        <f>Resumo!G442</f>
        <v>0</v>
      </c>
      <c r="CM6" s="16">
        <f>Resumo!G447</f>
        <v>0</v>
      </c>
      <c r="CN6" s="16">
        <f>Resumo!G452</f>
        <v>0</v>
      </c>
      <c r="CO6" s="16">
        <f>Resumo!G457</f>
        <v>0</v>
      </c>
      <c r="CP6" s="16">
        <f>Resumo!G462</f>
        <v>0</v>
      </c>
      <c r="CQ6" s="16">
        <f>Resumo!G467</f>
        <v>0</v>
      </c>
      <c r="CR6" s="16">
        <f>Resumo!G472</f>
        <v>0</v>
      </c>
      <c r="CS6" s="16">
        <f>Resumo!G477</f>
        <v>0</v>
      </c>
      <c r="CT6" s="16">
        <f>Resumo!G482</f>
        <v>0</v>
      </c>
      <c r="CU6" s="16">
        <f>Resumo!G487</f>
        <v>0</v>
      </c>
      <c r="CV6" s="16">
        <f>Resumo!G492</f>
        <v>0</v>
      </c>
      <c r="CW6" s="16">
        <f>Resumo!G497</f>
        <v>0</v>
      </c>
      <c r="CX6" s="16"/>
      <c r="CY6" s="16"/>
      <c r="CZ6" s="16"/>
      <c r="DA6" s="16"/>
      <c r="DB6" s="16"/>
      <c r="DC6" s="16"/>
      <c r="DD6" s="16"/>
      <c r="DE6" s="16"/>
      <c r="DF6" s="16"/>
      <c r="DG6" s="16"/>
      <c r="DH6" s="16"/>
      <c r="DI6" s="16"/>
      <c r="DJ6" s="16"/>
      <c r="DK6" s="16"/>
      <c r="DL6" s="16"/>
      <c r="DM6" s="16"/>
      <c r="DN6" s="16"/>
      <c r="DO6" s="16"/>
      <c r="DP6" s="16"/>
      <c r="DQ6" s="16"/>
      <c r="DR6" s="16"/>
      <c r="DS6" s="16"/>
      <c r="DT6" s="16"/>
      <c r="DU6" s="16"/>
      <c r="DV6" s="16"/>
      <c r="DW6" s="16"/>
      <c r="DX6" s="16"/>
      <c r="DY6" s="16"/>
      <c r="DZ6" s="16"/>
      <c r="EA6" s="16"/>
      <c r="EB6" s="16"/>
      <c r="EC6" s="16"/>
      <c r="ED6" s="16"/>
      <c r="EE6" s="16"/>
      <c r="EF6" s="16"/>
      <c r="EG6" s="16"/>
      <c r="EH6" s="16"/>
      <c r="EI6" s="16"/>
      <c r="EJ6" s="16"/>
      <c r="EK6" s="16"/>
      <c r="EL6" s="16"/>
      <c r="EM6" s="16"/>
      <c r="EN6" s="16"/>
      <c r="EO6" s="16"/>
      <c r="EP6" s="16"/>
      <c r="EQ6" s="16"/>
      <c r="ER6" s="16"/>
      <c r="ES6" s="16"/>
      <c r="ET6" s="16"/>
      <c r="EU6" s="16"/>
      <c r="EV6" s="16"/>
      <c r="EW6" s="16"/>
      <c r="EX6" s="16"/>
      <c r="EY6" s="16"/>
      <c r="EZ6" s="16"/>
      <c r="FA6" s="16"/>
      <c r="FB6" s="16"/>
      <c r="FC6" s="16"/>
      <c r="FD6" s="16"/>
      <c r="FE6" s="16"/>
      <c r="FF6" s="16"/>
      <c r="FG6" s="16"/>
      <c r="FH6" s="16"/>
      <c r="FI6" s="16"/>
      <c r="FJ6" s="16"/>
      <c r="FK6" s="16"/>
      <c r="FL6" s="16"/>
      <c r="FM6" s="16"/>
      <c r="FN6" s="16"/>
      <c r="FO6" s="16"/>
      <c r="FP6" s="16"/>
      <c r="FQ6" s="16"/>
      <c r="FR6" s="16"/>
      <c r="FS6" s="16"/>
      <c r="FT6" s="16"/>
      <c r="FU6" s="16"/>
      <c r="FV6" s="16"/>
      <c r="FW6" s="16"/>
      <c r="FX6" s="16"/>
      <c r="FY6" s="16"/>
      <c r="FZ6" s="16"/>
      <c r="GA6" s="16"/>
      <c r="GB6" s="16"/>
      <c r="GC6" s="16"/>
      <c r="GD6" s="16"/>
      <c r="GE6" s="16"/>
      <c r="GF6" s="16"/>
      <c r="GG6" s="16"/>
      <c r="GH6" s="16"/>
      <c r="GI6" s="16"/>
      <c r="GJ6" s="16"/>
      <c r="GK6" s="16"/>
      <c r="GL6" s="16"/>
      <c r="GM6" s="16"/>
      <c r="GN6" s="16"/>
      <c r="GO6" s="16"/>
      <c r="GP6" s="16"/>
      <c r="GQ6" s="16"/>
      <c r="GR6" s="16"/>
      <c r="GS6" s="16"/>
    </row>
    <row r="7" spans="1:201" x14ac:dyDescent="0.2">
      <c r="A7" s="15" t="s">
        <v>6</v>
      </c>
      <c r="B7" s="16">
        <f>Resumo!G3</f>
        <v>174</v>
      </c>
      <c r="C7" s="16">
        <f>Resumo!G8</f>
        <v>38</v>
      </c>
      <c r="D7" s="16">
        <f>Resumo!G13</f>
        <v>65852</v>
      </c>
      <c r="E7" s="16">
        <f>Resumo!G18</f>
        <v>686</v>
      </c>
      <c r="F7" s="16">
        <f>Resumo!G23</f>
        <v>852</v>
      </c>
      <c r="G7" s="16">
        <f>Resumo!G28</f>
        <v>0</v>
      </c>
      <c r="H7" s="16">
        <f>Resumo!G33</f>
        <v>0</v>
      </c>
      <c r="I7" s="16">
        <f>Resumo!G38</f>
        <v>0</v>
      </c>
      <c r="J7" s="16">
        <f>Resumo!G43</f>
        <v>0</v>
      </c>
      <c r="K7" s="16">
        <f>Resumo!G48</f>
        <v>0</v>
      </c>
      <c r="L7" s="16">
        <f>Resumo!G53</f>
        <v>0</v>
      </c>
      <c r="M7" s="16">
        <f>Resumo!G58</f>
        <v>0</v>
      </c>
      <c r="N7" s="16">
        <f>Resumo!G63</f>
        <v>0</v>
      </c>
      <c r="O7" s="16">
        <f>Resumo!G68</f>
        <v>0</v>
      </c>
      <c r="P7" s="16">
        <f>Resumo!G73</f>
        <v>0</v>
      </c>
      <c r="Q7" s="16">
        <f>Resumo!G78</f>
        <v>0</v>
      </c>
      <c r="R7" s="16">
        <f>Resumo!G83</f>
        <v>0</v>
      </c>
      <c r="S7" s="16">
        <f>Resumo!G88</f>
        <v>0</v>
      </c>
      <c r="T7" s="16">
        <f>Resumo!G93</f>
        <v>0</v>
      </c>
      <c r="U7" s="16">
        <f>Resumo!G98</f>
        <v>0</v>
      </c>
      <c r="V7" s="16">
        <f>Resumo!G103</f>
        <v>0</v>
      </c>
      <c r="W7" s="16">
        <f>Resumo!G108</f>
        <v>0</v>
      </c>
      <c r="X7" s="16">
        <f>Resumo!G113</f>
        <v>0</v>
      </c>
      <c r="Y7" s="16">
        <f>Resumo!G118</f>
        <v>0</v>
      </c>
      <c r="Z7" s="16">
        <f>Resumo!G123</f>
        <v>0</v>
      </c>
      <c r="AA7" s="16">
        <f>Resumo!G128</f>
        <v>0</v>
      </c>
      <c r="AB7" s="16">
        <f>Resumo!G133</f>
        <v>0</v>
      </c>
      <c r="AC7" s="16">
        <f>Resumo!G138</f>
        <v>0</v>
      </c>
      <c r="AD7" s="16">
        <f>Resumo!G143</f>
        <v>0</v>
      </c>
      <c r="AE7" s="16">
        <f>Resumo!G148</f>
        <v>0</v>
      </c>
      <c r="AF7" s="16">
        <f>Resumo!G153</f>
        <v>0</v>
      </c>
      <c r="AG7" s="16">
        <f>Resumo!G158</f>
        <v>0</v>
      </c>
      <c r="AH7" s="16">
        <f>Resumo!G163</f>
        <v>0</v>
      </c>
      <c r="AI7" s="16">
        <f>Resumo!G168</f>
        <v>0</v>
      </c>
      <c r="AJ7" s="16">
        <f>Resumo!G173</f>
        <v>0</v>
      </c>
      <c r="AK7" s="16">
        <f>Resumo!G178</f>
        <v>0</v>
      </c>
      <c r="AL7" s="16">
        <f>Resumo!G183</f>
        <v>0</v>
      </c>
      <c r="AM7" s="16">
        <f>Resumo!G188</f>
        <v>0</v>
      </c>
      <c r="AN7" s="16">
        <f>Resumo!G193</f>
        <v>0</v>
      </c>
      <c r="AO7" s="16">
        <f>Resumo!G198</f>
        <v>0</v>
      </c>
      <c r="AP7" s="16">
        <f>Resumo!G203</f>
        <v>0</v>
      </c>
      <c r="AQ7" s="16">
        <f>Resumo!G208</f>
        <v>0</v>
      </c>
      <c r="AR7" s="16">
        <f>Resumo!G213</f>
        <v>0</v>
      </c>
      <c r="AS7" s="16">
        <f>Resumo!G218</f>
        <v>0</v>
      </c>
      <c r="AT7" s="16">
        <f>Resumo!G223</f>
        <v>0</v>
      </c>
      <c r="AU7" s="16">
        <f>Resumo!G228</f>
        <v>0</v>
      </c>
      <c r="AV7" s="16">
        <f>Resumo!G233</f>
        <v>0</v>
      </c>
      <c r="AW7" s="16">
        <f>Resumo!G238</f>
        <v>0</v>
      </c>
      <c r="AX7" s="16">
        <f>Resumo!G243</f>
        <v>0</v>
      </c>
      <c r="AY7" s="16">
        <f>Resumo!G248</f>
        <v>0</v>
      </c>
      <c r="AZ7" s="16">
        <f>Resumo!G253</f>
        <v>0</v>
      </c>
      <c r="BA7" s="16">
        <f>Resumo!G258</f>
        <v>0</v>
      </c>
      <c r="BB7" s="16">
        <f>Resumo!G263</f>
        <v>0</v>
      </c>
      <c r="BC7" s="16">
        <f>Resumo!G268</f>
        <v>0</v>
      </c>
      <c r="BD7" s="16">
        <f>Resumo!G273</f>
        <v>0</v>
      </c>
      <c r="BE7" s="16">
        <f>Resumo!G278</f>
        <v>0</v>
      </c>
      <c r="BF7" s="16">
        <f>Resumo!G283</f>
        <v>0</v>
      </c>
      <c r="BG7" s="16">
        <f>Resumo!G288</f>
        <v>0</v>
      </c>
      <c r="BH7" s="16">
        <f>Resumo!G293</f>
        <v>0</v>
      </c>
      <c r="BI7" s="16">
        <f>Resumo!G298</f>
        <v>0</v>
      </c>
      <c r="BJ7" s="16">
        <f>Resumo!G303</f>
        <v>0</v>
      </c>
      <c r="BK7" s="16">
        <f>Resumo!G308</f>
        <v>0</v>
      </c>
      <c r="BL7" s="16">
        <f>Resumo!G313</f>
        <v>0</v>
      </c>
      <c r="BM7" s="16">
        <f>Resumo!G318</f>
        <v>0</v>
      </c>
      <c r="BN7" s="16">
        <f>Resumo!G323</f>
        <v>0</v>
      </c>
      <c r="BO7" s="16">
        <f>Resumo!G328</f>
        <v>0</v>
      </c>
      <c r="BP7" s="16">
        <f>Resumo!G333</f>
        <v>0</v>
      </c>
      <c r="BQ7" s="16">
        <f>Resumo!G338</f>
        <v>0</v>
      </c>
      <c r="BR7" s="16">
        <f>Resumo!G343</f>
        <v>0</v>
      </c>
      <c r="BS7" s="16">
        <f>Resumo!G348</f>
        <v>0</v>
      </c>
      <c r="BT7" s="16">
        <f>Resumo!G353</f>
        <v>0</v>
      </c>
      <c r="BU7" s="16">
        <f>Resumo!G358</f>
        <v>0</v>
      </c>
      <c r="BV7" s="16">
        <f>Resumo!G363</f>
        <v>0</v>
      </c>
      <c r="BW7" s="16">
        <f>Resumo!G368</f>
        <v>0</v>
      </c>
      <c r="BX7" s="16">
        <f>Resumo!G373</f>
        <v>0</v>
      </c>
      <c r="BY7" s="16">
        <f>Resumo!G378</f>
        <v>0</v>
      </c>
      <c r="BZ7" s="16">
        <f>Resumo!G383</f>
        <v>0</v>
      </c>
      <c r="CA7" s="16">
        <f>Resumo!G388</f>
        <v>0</v>
      </c>
      <c r="CB7" s="16">
        <f>Resumo!G393</f>
        <v>0</v>
      </c>
      <c r="CC7" s="16">
        <f>Resumo!G398</f>
        <v>0</v>
      </c>
      <c r="CD7" s="16">
        <f>Resumo!G403</f>
        <v>0</v>
      </c>
      <c r="CE7" s="16">
        <f>Resumo!G408</f>
        <v>0</v>
      </c>
      <c r="CF7" s="16">
        <f>Resumo!G413</f>
        <v>0</v>
      </c>
      <c r="CG7" s="16">
        <f>Resumo!G418</f>
        <v>0</v>
      </c>
      <c r="CH7" s="16">
        <f>Resumo!G423</f>
        <v>0</v>
      </c>
      <c r="CI7" s="16">
        <f>Resumo!G428</f>
        <v>0</v>
      </c>
      <c r="CJ7" s="16">
        <f>Resumo!G433</f>
        <v>0</v>
      </c>
      <c r="CK7" s="16">
        <f>Resumo!G438</f>
        <v>0</v>
      </c>
      <c r="CL7" s="16">
        <f>Resumo!G443</f>
        <v>0</v>
      </c>
      <c r="CM7" s="16">
        <f>Resumo!G448</f>
        <v>0</v>
      </c>
      <c r="CN7" s="16">
        <f>Resumo!G453</f>
        <v>0</v>
      </c>
      <c r="CO7" s="16">
        <f>Resumo!G458</f>
        <v>0</v>
      </c>
      <c r="CP7" s="16">
        <f>Resumo!G463</f>
        <v>0</v>
      </c>
      <c r="CQ7" s="16">
        <f>Resumo!G468</f>
        <v>0</v>
      </c>
      <c r="CR7" s="16">
        <f>Resumo!G473</f>
        <v>0</v>
      </c>
      <c r="CS7" s="16">
        <f>Resumo!G478</f>
        <v>0</v>
      </c>
      <c r="CT7" s="16">
        <f>Resumo!G483</f>
        <v>0</v>
      </c>
      <c r="CU7" s="16">
        <f>Resumo!G488</f>
        <v>0</v>
      </c>
      <c r="CV7" s="16">
        <f>Resumo!G493</f>
        <v>0</v>
      </c>
      <c r="CW7" s="16">
        <f>Resumo!G498</f>
        <v>0</v>
      </c>
      <c r="CX7" s="16"/>
      <c r="CY7" s="16"/>
      <c r="CZ7" s="16"/>
      <c r="DA7" s="16"/>
      <c r="DB7" s="16"/>
      <c r="DC7" s="16"/>
      <c r="DD7" s="16"/>
      <c r="DE7" s="16"/>
      <c r="DF7" s="16"/>
      <c r="DG7" s="16"/>
      <c r="DH7" s="16"/>
      <c r="DI7" s="16"/>
      <c r="DJ7" s="16"/>
      <c r="DK7" s="16"/>
      <c r="DL7" s="16"/>
      <c r="DM7" s="16"/>
      <c r="DN7" s="16"/>
      <c r="DO7" s="16"/>
      <c r="DP7" s="16"/>
      <c r="DQ7" s="16"/>
      <c r="DR7" s="16"/>
      <c r="DS7" s="16"/>
      <c r="DT7" s="16"/>
      <c r="DU7" s="16"/>
      <c r="DV7" s="16"/>
      <c r="DW7" s="16"/>
      <c r="DX7" s="16"/>
      <c r="DY7" s="16"/>
      <c r="DZ7" s="16"/>
      <c r="EA7" s="16"/>
      <c r="EB7" s="16"/>
      <c r="EC7" s="16"/>
      <c r="ED7" s="16"/>
      <c r="EE7" s="16"/>
      <c r="EF7" s="16"/>
      <c r="EG7" s="16"/>
      <c r="EH7" s="16"/>
      <c r="EI7" s="16"/>
      <c r="EJ7" s="16"/>
      <c r="EK7" s="16"/>
      <c r="EL7" s="16"/>
      <c r="EM7" s="16"/>
      <c r="EN7" s="16"/>
      <c r="EO7" s="16"/>
      <c r="EP7" s="16"/>
      <c r="EQ7" s="16"/>
      <c r="ER7" s="16"/>
      <c r="ES7" s="16"/>
      <c r="ET7" s="16"/>
      <c r="EU7" s="16"/>
      <c r="EV7" s="16"/>
      <c r="EW7" s="16"/>
      <c r="EX7" s="16"/>
      <c r="EY7" s="16"/>
      <c r="EZ7" s="16"/>
      <c r="FA7" s="16"/>
      <c r="FB7" s="16"/>
      <c r="FC7" s="16"/>
      <c r="FD7" s="16"/>
      <c r="FE7" s="16"/>
      <c r="FF7" s="16"/>
      <c r="FG7" s="16"/>
      <c r="FH7" s="16"/>
      <c r="FI7" s="16"/>
      <c r="FJ7" s="16"/>
      <c r="FK7" s="16"/>
      <c r="FL7" s="16"/>
      <c r="FM7" s="16"/>
      <c r="FN7" s="16"/>
      <c r="FO7" s="16"/>
      <c r="FP7" s="16"/>
      <c r="FQ7" s="16"/>
      <c r="FR7" s="16"/>
      <c r="FS7" s="16"/>
      <c r="FT7" s="16"/>
      <c r="FU7" s="16"/>
      <c r="FV7" s="16"/>
      <c r="FW7" s="16"/>
      <c r="FX7" s="16"/>
      <c r="FY7" s="16"/>
      <c r="FZ7" s="16"/>
      <c r="GA7" s="16"/>
      <c r="GB7" s="16"/>
      <c r="GC7" s="16"/>
      <c r="GD7" s="16"/>
      <c r="GE7" s="16"/>
      <c r="GF7" s="16"/>
      <c r="GG7" s="16"/>
      <c r="GH7" s="16"/>
      <c r="GI7" s="16"/>
      <c r="GJ7" s="16"/>
      <c r="GK7" s="16"/>
      <c r="GL7" s="16"/>
      <c r="GM7" s="16"/>
      <c r="GN7" s="16"/>
      <c r="GO7" s="16"/>
      <c r="GP7" s="16"/>
      <c r="GQ7" s="16"/>
      <c r="GR7" s="16"/>
      <c r="GS7" s="16"/>
    </row>
    <row r="8" spans="1:201" x14ac:dyDescent="0.2">
      <c r="A8" s="18" t="s">
        <v>7</v>
      </c>
      <c r="B8" s="19">
        <f>Resumo!G4</f>
        <v>285</v>
      </c>
      <c r="C8" s="16">
        <f>Resumo!G9</f>
        <v>38</v>
      </c>
      <c r="D8" s="16">
        <f>Resumo!G14</f>
        <v>85</v>
      </c>
      <c r="E8" s="16">
        <f>Resumo!G19</f>
        <v>852</v>
      </c>
      <c r="F8" s="16">
        <f>Resumo!G24</f>
        <v>852</v>
      </c>
      <c r="G8" s="16">
        <f>Resumo!G29</f>
        <v>0</v>
      </c>
      <c r="H8" s="16">
        <f>Resumo!G34</f>
        <v>0</v>
      </c>
      <c r="I8" s="16">
        <f>Resumo!G39</f>
        <v>0</v>
      </c>
      <c r="J8" s="16">
        <f>Resumo!G44</f>
        <v>0</v>
      </c>
      <c r="K8" s="16">
        <f>Resumo!G49</f>
        <v>0</v>
      </c>
      <c r="L8" s="16">
        <f>Resumo!G54</f>
        <v>0</v>
      </c>
      <c r="M8" s="16">
        <f>Resumo!G59</f>
        <v>0</v>
      </c>
      <c r="N8" s="16">
        <f>Resumo!G64</f>
        <v>0</v>
      </c>
      <c r="O8" s="16">
        <f>Resumo!G69</f>
        <v>0</v>
      </c>
      <c r="P8" s="16">
        <f>Resumo!G74</f>
        <v>0</v>
      </c>
      <c r="Q8" s="16">
        <f>Resumo!G79</f>
        <v>0</v>
      </c>
      <c r="R8" s="16">
        <f>Resumo!G84</f>
        <v>0</v>
      </c>
      <c r="S8" s="16">
        <f>Resumo!G89</f>
        <v>0</v>
      </c>
      <c r="T8" s="16">
        <f>Resumo!G94</f>
        <v>0</v>
      </c>
      <c r="U8" s="16">
        <f>Resumo!G99</f>
        <v>0</v>
      </c>
      <c r="V8" s="16">
        <f>Resumo!G104</f>
        <v>0</v>
      </c>
      <c r="W8" s="16">
        <f>Resumo!G109</f>
        <v>0</v>
      </c>
      <c r="X8" s="16">
        <f>Resumo!G114</f>
        <v>0</v>
      </c>
      <c r="Y8" s="16">
        <f>Resumo!G119</f>
        <v>0</v>
      </c>
      <c r="Z8" s="16">
        <f>Resumo!G124</f>
        <v>0</v>
      </c>
      <c r="AA8" s="16">
        <f>Resumo!G129</f>
        <v>0</v>
      </c>
      <c r="AB8" s="16">
        <f>Resumo!G134</f>
        <v>0</v>
      </c>
      <c r="AC8" s="16">
        <f>Resumo!G139</f>
        <v>0</v>
      </c>
      <c r="AD8" s="16">
        <f>Resumo!G144</f>
        <v>0</v>
      </c>
      <c r="AE8" s="16">
        <f>Resumo!G149</f>
        <v>0</v>
      </c>
      <c r="AF8" s="16">
        <f>Resumo!G154</f>
        <v>0</v>
      </c>
      <c r="AG8" s="16">
        <f>Resumo!G159</f>
        <v>0</v>
      </c>
      <c r="AH8" s="16">
        <f>Resumo!G164</f>
        <v>0</v>
      </c>
      <c r="AI8" s="16">
        <f>Resumo!G169</f>
        <v>0</v>
      </c>
      <c r="AJ8" s="16">
        <f>Resumo!G174</f>
        <v>0</v>
      </c>
      <c r="AK8" s="16">
        <f>Resumo!G179</f>
        <v>0</v>
      </c>
      <c r="AL8" s="16">
        <f>Resumo!G184</f>
        <v>0</v>
      </c>
      <c r="AM8" s="16">
        <f>Resumo!G189</f>
        <v>0</v>
      </c>
      <c r="AN8" s="16">
        <f>Resumo!G194</f>
        <v>0</v>
      </c>
      <c r="AO8" s="16">
        <f>Resumo!G199</f>
        <v>0</v>
      </c>
      <c r="AP8" s="16">
        <f>Resumo!G204</f>
        <v>0</v>
      </c>
      <c r="AQ8" s="16">
        <f>Resumo!G209</f>
        <v>0</v>
      </c>
      <c r="AR8" s="16">
        <f>Resumo!G214</f>
        <v>0</v>
      </c>
      <c r="AS8" s="16">
        <f>Resumo!G219</f>
        <v>0</v>
      </c>
      <c r="AT8" s="16">
        <f>Resumo!G224</f>
        <v>0</v>
      </c>
      <c r="AU8" s="16">
        <f>Resumo!G229</f>
        <v>0</v>
      </c>
      <c r="AV8" s="16">
        <f>Resumo!G234</f>
        <v>0</v>
      </c>
      <c r="AW8" s="16">
        <f>Resumo!G239</f>
        <v>0</v>
      </c>
      <c r="AX8" s="16">
        <f>Resumo!G244</f>
        <v>0</v>
      </c>
      <c r="AY8" s="16">
        <f>Resumo!G249</f>
        <v>0</v>
      </c>
      <c r="AZ8" s="16">
        <f>Resumo!G254</f>
        <v>0</v>
      </c>
      <c r="BA8" s="16">
        <f>Resumo!G259</f>
        <v>0</v>
      </c>
      <c r="BB8" s="16">
        <f>Resumo!G264</f>
        <v>0</v>
      </c>
      <c r="BC8" s="16">
        <f>Resumo!G269</f>
        <v>0</v>
      </c>
      <c r="BD8" s="16">
        <f>Resumo!G274</f>
        <v>0</v>
      </c>
      <c r="BE8" s="16">
        <f>Resumo!G279</f>
        <v>0</v>
      </c>
      <c r="BF8" s="16">
        <f>Resumo!G284</f>
        <v>0</v>
      </c>
      <c r="BG8" s="16">
        <f>Resumo!G289</f>
        <v>0</v>
      </c>
      <c r="BH8" s="16">
        <f>Resumo!G294</f>
        <v>0</v>
      </c>
      <c r="BI8" s="16">
        <f>Resumo!G299</f>
        <v>0</v>
      </c>
      <c r="BJ8" s="16">
        <f>Resumo!G304</f>
        <v>0</v>
      </c>
      <c r="BK8" s="16">
        <f>Resumo!G309</f>
        <v>0</v>
      </c>
      <c r="BL8" s="16">
        <f>Resumo!G314</f>
        <v>0</v>
      </c>
      <c r="BM8" s="16">
        <f>Resumo!G319</f>
        <v>0</v>
      </c>
      <c r="BN8" s="16">
        <f>Resumo!G324</f>
        <v>0</v>
      </c>
      <c r="BO8" s="16">
        <f>Resumo!G329</f>
        <v>0</v>
      </c>
      <c r="BP8" s="16">
        <f>Resumo!G334</f>
        <v>0</v>
      </c>
      <c r="BQ8" s="16">
        <f>Resumo!G339</f>
        <v>0</v>
      </c>
      <c r="BR8" s="16">
        <f>Resumo!G344</f>
        <v>0</v>
      </c>
      <c r="BS8" s="16">
        <f>Resumo!G349</f>
        <v>0</v>
      </c>
      <c r="BT8" s="16">
        <f>Resumo!G354</f>
        <v>0</v>
      </c>
      <c r="BU8" s="16">
        <f>Resumo!G359</f>
        <v>0</v>
      </c>
      <c r="BV8" s="16">
        <f>Resumo!G364</f>
        <v>0</v>
      </c>
      <c r="BW8" s="16">
        <f>Resumo!G369</f>
        <v>0</v>
      </c>
      <c r="BX8" s="16">
        <f>Resumo!G374</f>
        <v>0</v>
      </c>
      <c r="BY8" s="16">
        <f>Resumo!G379</f>
        <v>0</v>
      </c>
      <c r="BZ8" s="16">
        <f>Resumo!G384</f>
        <v>0</v>
      </c>
      <c r="CA8" s="16">
        <f>Resumo!G389</f>
        <v>0</v>
      </c>
      <c r="CB8" s="16">
        <f>Resumo!G394</f>
        <v>0</v>
      </c>
      <c r="CC8" s="16">
        <f>Resumo!G399</f>
        <v>0</v>
      </c>
      <c r="CD8" s="16">
        <f>Resumo!G404</f>
        <v>0</v>
      </c>
      <c r="CE8" s="16">
        <f>Resumo!G409</f>
        <v>0</v>
      </c>
      <c r="CF8" s="16">
        <f>Resumo!G414</f>
        <v>0</v>
      </c>
      <c r="CG8" s="16">
        <f>Resumo!G419</f>
        <v>0</v>
      </c>
      <c r="CH8" s="16">
        <f>Resumo!G424</f>
        <v>0</v>
      </c>
      <c r="CI8" s="16">
        <f>Resumo!G429</f>
        <v>0</v>
      </c>
      <c r="CJ8" s="16">
        <f>Resumo!G434</f>
        <v>0</v>
      </c>
      <c r="CK8" s="16">
        <f>Resumo!G439</f>
        <v>0</v>
      </c>
      <c r="CL8" s="16">
        <f>Resumo!G444</f>
        <v>0</v>
      </c>
      <c r="CM8" s="16">
        <f>Resumo!G449</f>
        <v>0</v>
      </c>
      <c r="CN8" s="16">
        <f>Resumo!G454</f>
        <v>0</v>
      </c>
      <c r="CO8" s="16">
        <f>Resumo!G459</f>
        <v>0</v>
      </c>
      <c r="CP8" s="16">
        <f>Resumo!G464</f>
        <v>0</v>
      </c>
      <c r="CQ8" s="16">
        <f>Resumo!G469</f>
        <v>0</v>
      </c>
      <c r="CR8" s="16">
        <f>Resumo!G474</f>
        <v>0</v>
      </c>
      <c r="CS8" s="16">
        <f>Resumo!G479</f>
        <v>0</v>
      </c>
      <c r="CT8" s="16">
        <f>Resumo!G484</f>
        <v>0</v>
      </c>
      <c r="CU8" s="16">
        <f>Resumo!G489</f>
        <v>0</v>
      </c>
      <c r="CV8" s="16">
        <f>Resumo!G494</f>
        <v>0</v>
      </c>
      <c r="CW8" s="16">
        <f>Resumo!G499</f>
        <v>0</v>
      </c>
      <c r="CX8" s="16"/>
      <c r="CY8" s="16"/>
      <c r="CZ8" s="16"/>
      <c r="DA8" s="16"/>
      <c r="DB8" s="16"/>
      <c r="DC8" s="16"/>
      <c r="DD8" s="16"/>
      <c r="DE8" s="16"/>
      <c r="DF8" s="16"/>
      <c r="DG8" s="16"/>
      <c r="DH8" s="16"/>
      <c r="DI8" s="16"/>
      <c r="DJ8" s="16"/>
      <c r="DK8" s="16"/>
      <c r="DL8" s="16"/>
      <c r="DM8" s="16"/>
      <c r="DN8" s="16"/>
      <c r="DO8" s="16"/>
      <c r="DP8" s="16"/>
      <c r="DQ8" s="16"/>
      <c r="DR8" s="16"/>
      <c r="DS8" s="16"/>
      <c r="DT8" s="16"/>
      <c r="DU8" s="16"/>
      <c r="DV8" s="16"/>
      <c r="DW8" s="16"/>
      <c r="DX8" s="16"/>
      <c r="DY8" s="16"/>
      <c r="DZ8" s="16"/>
      <c r="EA8" s="16"/>
      <c r="EB8" s="16"/>
      <c r="EC8" s="16"/>
      <c r="ED8" s="16"/>
      <c r="EE8" s="16"/>
      <c r="EF8" s="16"/>
      <c r="EG8" s="16"/>
      <c r="EH8" s="16"/>
      <c r="EI8" s="16"/>
      <c r="EJ8" s="16"/>
      <c r="EK8" s="16"/>
      <c r="EL8" s="16"/>
      <c r="EM8" s="16"/>
      <c r="EN8" s="16"/>
      <c r="EO8" s="16"/>
      <c r="EP8" s="16"/>
      <c r="EQ8" s="16"/>
      <c r="ER8" s="16"/>
      <c r="ES8" s="16"/>
      <c r="ET8" s="16"/>
      <c r="EU8" s="16"/>
      <c r="EV8" s="16"/>
      <c r="EW8" s="16"/>
      <c r="EX8" s="16"/>
      <c r="EY8" s="16"/>
      <c r="EZ8" s="16"/>
      <c r="FA8" s="16"/>
      <c r="FB8" s="16"/>
      <c r="FC8" s="16"/>
      <c r="FD8" s="16"/>
      <c r="FE8" s="16"/>
      <c r="FF8" s="16"/>
      <c r="FG8" s="16"/>
      <c r="FH8" s="16"/>
      <c r="FI8" s="16"/>
      <c r="FJ8" s="16"/>
      <c r="FK8" s="16"/>
      <c r="FL8" s="16"/>
      <c r="FM8" s="16"/>
      <c r="FN8" s="16"/>
      <c r="FO8" s="16"/>
      <c r="FP8" s="16"/>
      <c r="FQ8" s="16"/>
      <c r="FR8" s="16"/>
      <c r="FS8" s="16"/>
      <c r="FT8" s="16"/>
      <c r="FU8" s="16"/>
      <c r="FV8" s="16"/>
      <c r="FW8" s="16"/>
      <c r="FX8" s="16"/>
      <c r="FY8" s="16"/>
      <c r="FZ8" s="16"/>
      <c r="GA8" s="16"/>
      <c r="GB8" s="16"/>
      <c r="GC8" s="16"/>
      <c r="GD8" s="16"/>
      <c r="GE8" s="16"/>
      <c r="GF8" s="16"/>
      <c r="GG8" s="16"/>
      <c r="GH8" s="16"/>
      <c r="GI8" s="16"/>
      <c r="GJ8" s="16"/>
      <c r="GK8" s="16"/>
      <c r="GL8" s="16"/>
      <c r="GM8" s="16"/>
      <c r="GN8" s="16"/>
      <c r="GO8" s="16"/>
      <c r="GP8" s="16"/>
      <c r="GQ8" s="16"/>
      <c r="GR8" s="16"/>
      <c r="GS8" s="16"/>
    </row>
    <row r="9" spans="1:201" x14ac:dyDescent="0.2">
      <c r="A9" s="18" t="s">
        <v>15</v>
      </c>
      <c r="B9" s="20">
        <f>Resumo!G5</f>
        <v>615</v>
      </c>
      <c r="C9" s="20">
        <f>Resumo!G10</f>
        <v>161</v>
      </c>
      <c r="D9" s="20">
        <f>Resumo!G15</f>
        <v>74305</v>
      </c>
      <c r="E9" s="20">
        <f>Resumo!G20</f>
        <v>687923</v>
      </c>
      <c r="F9" s="20">
        <f>Resumo!G25</f>
        <v>2556</v>
      </c>
      <c r="G9" s="20">
        <f>Resumo!G30</f>
        <v>0</v>
      </c>
      <c r="H9" s="20">
        <f>Resumo!G35</f>
        <v>0</v>
      </c>
      <c r="I9" s="20">
        <f>Resumo!G40</f>
        <v>0</v>
      </c>
      <c r="J9" s="20">
        <f>Resumo!G45</f>
        <v>0</v>
      </c>
      <c r="K9" s="20">
        <f>Resumo!G50</f>
        <v>0</v>
      </c>
      <c r="L9" s="20">
        <f>Resumo!G55</f>
        <v>0</v>
      </c>
      <c r="M9" s="20">
        <f>Resumo!G60</f>
        <v>0</v>
      </c>
      <c r="N9" s="20">
        <f>Resumo!G65</f>
        <v>0</v>
      </c>
      <c r="O9" s="20">
        <f>Resumo!G70</f>
        <v>0</v>
      </c>
      <c r="P9" s="20">
        <f>Resumo!G75</f>
        <v>0</v>
      </c>
      <c r="Q9" s="20">
        <f>Resumo!G80</f>
        <v>0</v>
      </c>
      <c r="R9" s="20">
        <f>Resumo!G85</f>
        <v>0</v>
      </c>
      <c r="S9" s="20">
        <f>Resumo!G90</f>
        <v>0</v>
      </c>
      <c r="T9" s="20">
        <f>Resumo!G95</f>
        <v>0</v>
      </c>
      <c r="U9" s="20">
        <f>Resumo!G100</f>
        <v>0</v>
      </c>
      <c r="V9" s="20">
        <f>Resumo!G105</f>
        <v>0</v>
      </c>
      <c r="W9" s="20">
        <f>Resumo!G110</f>
        <v>0</v>
      </c>
      <c r="X9" s="20">
        <f>Resumo!G115</f>
        <v>0</v>
      </c>
      <c r="Y9" s="20">
        <f>Resumo!G120</f>
        <v>0</v>
      </c>
      <c r="Z9" s="20">
        <f>Resumo!G125</f>
        <v>0</v>
      </c>
      <c r="AA9" s="20">
        <f>Resumo!G130</f>
        <v>0</v>
      </c>
      <c r="AB9" s="20">
        <f>Resumo!G135</f>
        <v>0</v>
      </c>
      <c r="AC9" s="20">
        <f>Resumo!G140</f>
        <v>0</v>
      </c>
      <c r="AD9" s="20">
        <f>Resumo!G145</f>
        <v>0</v>
      </c>
      <c r="AE9" s="20">
        <f>Resumo!G150</f>
        <v>0</v>
      </c>
      <c r="AF9" s="20">
        <f>Resumo!G155</f>
        <v>0</v>
      </c>
      <c r="AG9" s="20">
        <f>Resumo!G160</f>
        <v>0</v>
      </c>
      <c r="AH9" s="20">
        <f>Resumo!G165</f>
        <v>0</v>
      </c>
      <c r="AI9" s="20">
        <f>Resumo!G170</f>
        <v>0</v>
      </c>
      <c r="AJ9" s="20">
        <f>Resumo!G175</f>
        <v>0</v>
      </c>
      <c r="AK9" s="20">
        <f>Resumo!G180</f>
        <v>0</v>
      </c>
      <c r="AL9" s="20">
        <f>Resumo!G185</f>
        <v>0</v>
      </c>
      <c r="AM9" s="20">
        <f>Resumo!G190</f>
        <v>0</v>
      </c>
      <c r="AN9" s="20">
        <f>Resumo!G195</f>
        <v>0</v>
      </c>
      <c r="AO9" s="20">
        <f>Resumo!G200</f>
        <v>0</v>
      </c>
      <c r="AP9" s="20">
        <f>Resumo!G205</f>
        <v>0</v>
      </c>
      <c r="AQ9" s="20">
        <f>Resumo!G210</f>
        <v>0</v>
      </c>
      <c r="AR9" s="20">
        <f>Resumo!G215</f>
        <v>0</v>
      </c>
      <c r="AS9" s="20">
        <f>Resumo!G220</f>
        <v>0</v>
      </c>
      <c r="AT9" s="20">
        <f>Resumo!G225</f>
        <v>0</v>
      </c>
      <c r="AU9" s="20">
        <f>Resumo!G230</f>
        <v>0</v>
      </c>
      <c r="AV9" s="20">
        <f>Resumo!G235</f>
        <v>0</v>
      </c>
      <c r="AW9" s="20">
        <f>Resumo!G240</f>
        <v>0</v>
      </c>
      <c r="AX9" s="20">
        <f>Resumo!G245</f>
        <v>0</v>
      </c>
      <c r="AY9" s="20">
        <f>Resumo!G250</f>
        <v>0</v>
      </c>
      <c r="AZ9" s="20">
        <f>Resumo!G255</f>
        <v>0</v>
      </c>
      <c r="BA9" s="20">
        <f>Resumo!G260</f>
        <v>0</v>
      </c>
      <c r="BB9" s="20">
        <f>Resumo!G265</f>
        <v>0</v>
      </c>
      <c r="BC9" s="20">
        <f>Resumo!G270</f>
        <v>0</v>
      </c>
      <c r="BD9" s="20">
        <f>Resumo!G275</f>
        <v>0</v>
      </c>
      <c r="BE9" s="20">
        <f>Resumo!G280</f>
        <v>0</v>
      </c>
      <c r="BF9" s="20">
        <f>Resumo!G285</f>
        <v>0</v>
      </c>
      <c r="BG9" s="20">
        <f>Resumo!G290</f>
        <v>0</v>
      </c>
      <c r="BH9" s="20">
        <f>Resumo!G295</f>
        <v>0</v>
      </c>
      <c r="BI9" s="20">
        <f>Resumo!G300</f>
        <v>0</v>
      </c>
      <c r="BJ9" s="20">
        <f>Resumo!G305</f>
        <v>0</v>
      </c>
      <c r="BK9" s="20">
        <f>Resumo!G310</f>
        <v>0</v>
      </c>
      <c r="BL9" s="20">
        <f>Resumo!G315</f>
        <v>0</v>
      </c>
      <c r="BM9" s="20">
        <f>Resumo!G320</f>
        <v>0</v>
      </c>
      <c r="BN9" s="20">
        <f>Resumo!G325</f>
        <v>0</v>
      </c>
      <c r="BO9" s="20">
        <f>Resumo!G330</f>
        <v>0</v>
      </c>
      <c r="BP9" s="20">
        <f>Resumo!G335</f>
        <v>0</v>
      </c>
      <c r="BQ9" s="20">
        <f>Resumo!G340</f>
        <v>0</v>
      </c>
      <c r="BR9" s="20">
        <f>Resumo!G345</f>
        <v>0</v>
      </c>
      <c r="BS9" s="20">
        <f>Resumo!G350</f>
        <v>0</v>
      </c>
      <c r="BT9" s="20">
        <f>Resumo!G355</f>
        <v>0</v>
      </c>
      <c r="BU9" s="20">
        <f>Resumo!G360</f>
        <v>0</v>
      </c>
      <c r="BV9" s="20">
        <f>Resumo!G365</f>
        <v>0</v>
      </c>
      <c r="BW9" s="20">
        <f>Resumo!G370</f>
        <v>0</v>
      </c>
      <c r="BX9" s="20">
        <f>Resumo!G375</f>
        <v>0</v>
      </c>
      <c r="BY9" s="20">
        <f>Resumo!G380</f>
        <v>0</v>
      </c>
      <c r="BZ9" s="20">
        <f>Resumo!G385</f>
        <v>0</v>
      </c>
      <c r="CA9" s="20">
        <f>Resumo!G390</f>
        <v>0</v>
      </c>
      <c r="CB9" s="20">
        <f>Resumo!G395</f>
        <v>0</v>
      </c>
      <c r="CC9" s="20">
        <f>Resumo!G400</f>
        <v>0</v>
      </c>
      <c r="CD9" s="20">
        <f>Resumo!G405</f>
        <v>0</v>
      </c>
      <c r="CE9" s="20">
        <f>Resumo!G410</f>
        <v>0</v>
      </c>
      <c r="CF9" s="20">
        <f>Resumo!G415</f>
        <v>0</v>
      </c>
      <c r="CG9" s="20">
        <f>Resumo!G420</f>
        <v>0</v>
      </c>
      <c r="CH9" s="20">
        <f>Resumo!G425</f>
        <v>0</v>
      </c>
      <c r="CI9" s="20">
        <f>Resumo!G430</f>
        <v>0</v>
      </c>
      <c r="CJ9" s="20">
        <f>Resumo!G435</f>
        <v>0</v>
      </c>
      <c r="CK9" s="20">
        <f>Resumo!G440</f>
        <v>0</v>
      </c>
      <c r="CL9" s="20">
        <f>Resumo!G445</f>
        <v>0</v>
      </c>
      <c r="CM9" s="20">
        <f>Resumo!G450</f>
        <v>0</v>
      </c>
      <c r="CN9" s="20">
        <f>Resumo!G455</f>
        <v>0</v>
      </c>
      <c r="CO9" s="20">
        <f>Resumo!G460</f>
        <v>0</v>
      </c>
      <c r="CP9" s="20">
        <f>Resumo!G465</f>
        <v>0</v>
      </c>
      <c r="CQ9" s="20">
        <f>Resumo!G470</f>
        <v>0</v>
      </c>
      <c r="CR9" s="20">
        <f>Resumo!G475</f>
        <v>0</v>
      </c>
      <c r="CS9" s="20">
        <f>Resumo!G480</f>
        <v>0</v>
      </c>
      <c r="CT9" s="20">
        <f>Resumo!G485</f>
        <v>0</v>
      </c>
      <c r="CU9" s="20">
        <f>Resumo!G490</f>
        <v>0</v>
      </c>
      <c r="CV9" s="20">
        <f>Resumo!G495</f>
        <v>0</v>
      </c>
      <c r="CW9" s="20">
        <f>Resumo!G500</f>
        <v>0</v>
      </c>
      <c r="CX9" s="21"/>
      <c r="CY9" s="21"/>
      <c r="CZ9" s="21"/>
      <c r="DA9" s="21"/>
      <c r="DB9" s="21"/>
      <c r="DC9" s="21"/>
      <c r="DD9" s="21"/>
      <c r="DE9" s="21"/>
      <c r="DF9" s="21"/>
      <c r="DG9" s="21"/>
      <c r="DH9" s="21"/>
      <c r="DI9" s="21"/>
      <c r="DJ9" s="21"/>
      <c r="DK9" s="21"/>
      <c r="DL9" s="21"/>
      <c r="DM9" s="21"/>
      <c r="DN9" s="21"/>
      <c r="DO9" s="21"/>
      <c r="DP9" s="21"/>
      <c r="DQ9" s="21"/>
      <c r="DR9" s="21"/>
      <c r="DS9" s="21"/>
      <c r="DT9" s="21"/>
      <c r="DU9" s="21"/>
      <c r="DV9" s="21"/>
      <c r="DW9" s="21"/>
      <c r="DX9" s="21"/>
      <c r="DY9" s="21"/>
      <c r="DZ9" s="21"/>
      <c r="EA9" s="21"/>
      <c r="EB9" s="21"/>
      <c r="EC9" s="21"/>
      <c r="ED9" s="21"/>
      <c r="EE9" s="21"/>
      <c r="EF9" s="21"/>
      <c r="EG9" s="21"/>
      <c r="EH9" s="21"/>
      <c r="EI9" s="21"/>
      <c r="EJ9" s="21"/>
      <c r="EK9" s="21"/>
      <c r="EL9" s="21"/>
      <c r="EM9" s="21"/>
      <c r="EN9" s="21"/>
      <c r="EO9" s="21"/>
      <c r="EP9" s="21"/>
      <c r="EQ9" s="21"/>
      <c r="ER9" s="21"/>
      <c r="ES9" s="21"/>
      <c r="ET9" s="21"/>
      <c r="EU9" s="21"/>
      <c r="EV9" s="21"/>
      <c r="EW9" s="21"/>
      <c r="EX9" s="21"/>
      <c r="EY9" s="21"/>
      <c r="EZ9" s="21"/>
      <c r="FA9" s="21"/>
      <c r="FB9" s="21"/>
      <c r="FC9" s="21"/>
      <c r="FD9" s="21"/>
      <c r="FE9" s="21"/>
      <c r="FF9" s="21"/>
      <c r="FG9" s="21"/>
      <c r="FH9" s="21"/>
      <c r="FI9" s="21"/>
      <c r="FJ9" s="21"/>
      <c r="FK9" s="21"/>
      <c r="FL9" s="21"/>
      <c r="FM9" s="21"/>
      <c r="FN9" s="21"/>
      <c r="FO9" s="21"/>
      <c r="FP9" s="21"/>
      <c r="FQ9" s="21"/>
      <c r="FR9" s="21"/>
      <c r="FS9" s="21"/>
      <c r="FT9" s="21"/>
      <c r="FU9" s="21"/>
      <c r="FV9" s="21"/>
      <c r="FW9" s="21"/>
      <c r="FX9" s="21"/>
      <c r="FY9" s="21"/>
      <c r="FZ9" s="21"/>
      <c r="GA9" s="21"/>
      <c r="GB9" s="21"/>
      <c r="GC9" s="21"/>
      <c r="GD9" s="21"/>
      <c r="GE9" s="21"/>
      <c r="GF9" s="21"/>
      <c r="GG9" s="21"/>
      <c r="GH9" s="21"/>
      <c r="GI9" s="21"/>
      <c r="GJ9" s="21"/>
      <c r="GK9" s="21"/>
      <c r="GL9" s="21"/>
      <c r="GM9" s="21"/>
      <c r="GN9" s="21"/>
      <c r="GO9" s="21"/>
      <c r="GP9" s="21"/>
      <c r="GQ9" s="21"/>
      <c r="GR9" s="21"/>
      <c r="GS9" s="21"/>
    </row>
    <row r="10" spans="1:201" x14ac:dyDescent="0.2">
      <c r="A10" s="22" t="s">
        <v>19</v>
      </c>
      <c r="B10" s="23">
        <f t="shared" ref="B10:BM10" si="0">B20/B22</f>
        <v>0.73340213278293787</v>
      </c>
      <c r="C10" s="23">
        <f t="shared" si="0"/>
        <v>4.7385734072022156</v>
      </c>
      <c r="D10" s="23">
        <f t="shared" si="0"/>
        <v>110.94087850345561</v>
      </c>
      <c r="E10" s="23">
        <f t="shared" si="0"/>
        <v>360339.34409284213</v>
      </c>
      <c r="F10" s="23">
        <f t="shared" si="0"/>
        <v>1.4999999999999996</v>
      </c>
      <c r="G10" s="23" t="e">
        <f t="shared" si="0"/>
        <v>#DIV/0!</v>
      </c>
      <c r="H10" s="23" t="e">
        <f t="shared" si="0"/>
        <v>#DIV/0!</v>
      </c>
      <c r="I10" s="23" t="e">
        <f t="shared" si="0"/>
        <v>#DIV/0!</v>
      </c>
      <c r="J10" s="23" t="e">
        <f t="shared" si="0"/>
        <v>#DIV/0!</v>
      </c>
      <c r="K10" s="23" t="e">
        <f t="shared" si="0"/>
        <v>#DIV/0!</v>
      </c>
      <c r="L10" s="23" t="e">
        <f t="shared" si="0"/>
        <v>#DIV/0!</v>
      </c>
      <c r="M10" s="23" t="e">
        <f t="shared" si="0"/>
        <v>#DIV/0!</v>
      </c>
      <c r="N10" s="23" t="e">
        <f t="shared" si="0"/>
        <v>#DIV/0!</v>
      </c>
      <c r="O10" s="23" t="e">
        <f t="shared" si="0"/>
        <v>#DIV/0!</v>
      </c>
      <c r="P10" s="23" t="e">
        <f t="shared" si="0"/>
        <v>#DIV/0!</v>
      </c>
      <c r="Q10" s="23" t="e">
        <f t="shared" si="0"/>
        <v>#DIV/0!</v>
      </c>
      <c r="R10" s="23" t="e">
        <f t="shared" si="0"/>
        <v>#DIV/0!</v>
      </c>
      <c r="S10" s="23" t="e">
        <f t="shared" si="0"/>
        <v>#DIV/0!</v>
      </c>
      <c r="T10" s="23" t="e">
        <f t="shared" si="0"/>
        <v>#DIV/0!</v>
      </c>
      <c r="U10" s="23" t="e">
        <f t="shared" si="0"/>
        <v>#DIV/0!</v>
      </c>
      <c r="V10" s="23" t="e">
        <f t="shared" si="0"/>
        <v>#DIV/0!</v>
      </c>
      <c r="W10" s="23" t="e">
        <f t="shared" si="0"/>
        <v>#DIV/0!</v>
      </c>
      <c r="X10" s="23" t="e">
        <f t="shared" si="0"/>
        <v>#DIV/0!</v>
      </c>
      <c r="Y10" s="23" t="e">
        <f t="shared" si="0"/>
        <v>#DIV/0!</v>
      </c>
      <c r="Z10" s="23" t="e">
        <f t="shared" si="0"/>
        <v>#DIV/0!</v>
      </c>
      <c r="AA10" s="23" t="e">
        <f t="shared" si="0"/>
        <v>#DIV/0!</v>
      </c>
      <c r="AB10" s="23" t="e">
        <f t="shared" si="0"/>
        <v>#DIV/0!</v>
      </c>
      <c r="AC10" s="23" t="e">
        <f t="shared" si="0"/>
        <v>#DIV/0!</v>
      </c>
      <c r="AD10" s="23" t="e">
        <f t="shared" si="0"/>
        <v>#DIV/0!</v>
      </c>
      <c r="AE10" s="23" t="e">
        <f t="shared" si="0"/>
        <v>#DIV/0!</v>
      </c>
      <c r="AF10" s="23" t="e">
        <f t="shared" si="0"/>
        <v>#DIV/0!</v>
      </c>
      <c r="AG10" s="23" t="e">
        <f t="shared" si="0"/>
        <v>#DIV/0!</v>
      </c>
      <c r="AH10" s="23" t="e">
        <f t="shared" si="0"/>
        <v>#DIV/0!</v>
      </c>
      <c r="AI10" s="23" t="e">
        <f t="shared" si="0"/>
        <v>#DIV/0!</v>
      </c>
      <c r="AJ10" s="23" t="e">
        <f t="shared" si="0"/>
        <v>#DIV/0!</v>
      </c>
      <c r="AK10" s="23" t="e">
        <f t="shared" si="0"/>
        <v>#DIV/0!</v>
      </c>
      <c r="AL10" s="23" t="e">
        <f t="shared" si="0"/>
        <v>#DIV/0!</v>
      </c>
      <c r="AM10" s="23" t="e">
        <f t="shared" si="0"/>
        <v>#DIV/0!</v>
      </c>
      <c r="AN10" s="23" t="e">
        <f t="shared" si="0"/>
        <v>#DIV/0!</v>
      </c>
      <c r="AO10" s="23" t="e">
        <f t="shared" si="0"/>
        <v>#DIV/0!</v>
      </c>
      <c r="AP10" s="23" t="e">
        <f t="shared" si="0"/>
        <v>#DIV/0!</v>
      </c>
      <c r="AQ10" s="23" t="e">
        <f t="shared" si="0"/>
        <v>#DIV/0!</v>
      </c>
      <c r="AR10" s="23" t="e">
        <f t="shared" si="0"/>
        <v>#DIV/0!</v>
      </c>
      <c r="AS10" s="23" t="e">
        <f t="shared" si="0"/>
        <v>#DIV/0!</v>
      </c>
      <c r="AT10" s="23" t="e">
        <f t="shared" si="0"/>
        <v>#DIV/0!</v>
      </c>
      <c r="AU10" s="23" t="e">
        <f t="shared" si="0"/>
        <v>#DIV/0!</v>
      </c>
      <c r="AV10" s="23" t="e">
        <f t="shared" si="0"/>
        <v>#DIV/0!</v>
      </c>
      <c r="AW10" s="23" t="e">
        <f t="shared" si="0"/>
        <v>#DIV/0!</v>
      </c>
      <c r="AX10" s="23" t="e">
        <f t="shared" si="0"/>
        <v>#DIV/0!</v>
      </c>
      <c r="AY10" s="23" t="e">
        <f t="shared" si="0"/>
        <v>#DIV/0!</v>
      </c>
      <c r="AZ10" s="23" t="e">
        <f t="shared" si="0"/>
        <v>#DIV/0!</v>
      </c>
      <c r="BA10" s="23" t="e">
        <f t="shared" si="0"/>
        <v>#DIV/0!</v>
      </c>
      <c r="BB10" s="23" t="e">
        <f t="shared" si="0"/>
        <v>#DIV/0!</v>
      </c>
      <c r="BC10" s="23" t="e">
        <f t="shared" si="0"/>
        <v>#DIV/0!</v>
      </c>
      <c r="BD10" s="23" t="e">
        <f t="shared" si="0"/>
        <v>#DIV/0!</v>
      </c>
      <c r="BE10" s="23" t="e">
        <f t="shared" si="0"/>
        <v>#DIV/0!</v>
      </c>
      <c r="BF10" s="23" t="e">
        <f t="shared" si="0"/>
        <v>#DIV/0!</v>
      </c>
      <c r="BG10" s="23" t="e">
        <f t="shared" si="0"/>
        <v>#DIV/0!</v>
      </c>
      <c r="BH10" s="23" t="e">
        <f t="shared" si="0"/>
        <v>#DIV/0!</v>
      </c>
      <c r="BI10" s="23" t="e">
        <f t="shared" si="0"/>
        <v>#DIV/0!</v>
      </c>
      <c r="BJ10" s="23" t="e">
        <f t="shared" si="0"/>
        <v>#DIV/0!</v>
      </c>
      <c r="BK10" s="23" t="e">
        <f t="shared" si="0"/>
        <v>#DIV/0!</v>
      </c>
      <c r="BL10" s="23" t="e">
        <f t="shared" si="0"/>
        <v>#DIV/0!</v>
      </c>
      <c r="BM10" s="23" t="e">
        <f t="shared" si="0"/>
        <v>#DIV/0!</v>
      </c>
      <c r="BN10" s="23" t="e">
        <f t="shared" ref="BN10:CW10" si="1">BN20/BN22</f>
        <v>#DIV/0!</v>
      </c>
      <c r="BO10" s="23" t="e">
        <f t="shared" si="1"/>
        <v>#DIV/0!</v>
      </c>
      <c r="BP10" s="23" t="e">
        <f t="shared" si="1"/>
        <v>#DIV/0!</v>
      </c>
      <c r="BQ10" s="23" t="e">
        <f t="shared" si="1"/>
        <v>#DIV/0!</v>
      </c>
      <c r="BR10" s="23" t="e">
        <f t="shared" si="1"/>
        <v>#DIV/0!</v>
      </c>
      <c r="BS10" s="23" t="e">
        <f t="shared" si="1"/>
        <v>#DIV/0!</v>
      </c>
      <c r="BT10" s="23" t="e">
        <f t="shared" si="1"/>
        <v>#DIV/0!</v>
      </c>
      <c r="BU10" s="23" t="e">
        <f t="shared" si="1"/>
        <v>#DIV/0!</v>
      </c>
      <c r="BV10" s="23" t="e">
        <f t="shared" si="1"/>
        <v>#DIV/0!</v>
      </c>
      <c r="BW10" s="23" t="e">
        <f t="shared" si="1"/>
        <v>#DIV/0!</v>
      </c>
      <c r="BX10" s="23" t="e">
        <f t="shared" si="1"/>
        <v>#DIV/0!</v>
      </c>
      <c r="BY10" s="23" t="e">
        <f t="shared" si="1"/>
        <v>#DIV/0!</v>
      </c>
      <c r="BZ10" s="23" t="e">
        <f t="shared" si="1"/>
        <v>#DIV/0!</v>
      </c>
      <c r="CA10" s="23" t="e">
        <f t="shared" si="1"/>
        <v>#DIV/0!</v>
      </c>
      <c r="CB10" s="23" t="e">
        <f t="shared" si="1"/>
        <v>#DIV/0!</v>
      </c>
      <c r="CC10" s="23" t="e">
        <f t="shared" si="1"/>
        <v>#DIV/0!</v>
      </c>
      <c r="CD10" s="23" t="e">
        <f t="shared" si="1"/>
        <v>#DIV/0!</v>
      </c>
      <c r="CE10" s="23" t="e">
        <f t="shared" si="1"/>
        <v>#DIV/0!</v>
      </c>
      <c r="CF10" s="23" t="e">
        <f t="shared" si="1"/>
        <v>#DIV/0!</v>
      </c>
      <c r="CG10" s="23" t="e">
        <f t="shared" si="1"/>
        <v>#DIV/0!</v>
      </c>
      <c r="CH10" s="23" t="e">
        <f t="shared" si="1"/>
        <v>#DIV/0!</v>
      </c>
      <c r="CI10" s="23" t="e">
        <f t="shared" si="1"/>
        <v>#DIV/0!</v>
      </c>
      <c r="CJ10" s="23" t="e">
        <f t="shared" si="1"/>
        <v>#DIV/0!</v>
      </c>
      <c r="CK10" s="23" t="e">
        <f t="shared" si="1"/>
        <v>#DIV/0!</v>
      </c>
      <c r="CL10" s="23" t="e">
        <f t="shared" si="1"/>
        <v>#DIV/0!</v>
      </c>
      <c r="CM10" s="23" t="e">
        <f t="shared" si="1"/>
        <v>#DIV/0!</v>
      </c>
      <c r="CN10" s="23" t="e">
        <f t="shared" si="1"/>
        <v>#DIV/0!</v>
      </c>
      <c r="CO10" s="23" t="e">
        <f t="shared" si="1"/>
        <v>#DIV/0!</v>
      </c>
      <c r="CP10" s="23" t="e">
        <f t="shared" si="1"/>
        <v>#DIV/0!</v>
      </c>
      <c r="CQ10" s="23" t="e">
        <f t="shared" si="1"/>
        <v>#DIV/0!</v>
      </c>
      <c r="CR10" s="23" t="e">
        <f t="shared" si="1"/>
        <v>#DIV/0!</v>
      </c>
      <c r="CS10" s="23" t="e">
        <f t="shared" si="1"/>
        <v>#DIV/0!</v>
      </c>
      <c r="CT10" s="23" t="e">
        <f t="shared" si="1"/>
        <v>#DIV/0!</v>
      </c>
      <c r="CU10" s="23" t="e">
        <f t="shared" si="1"/>
        <v>#DIV/0!</v>
      </c>
      <c r="CV10" s="23" t="e">
        <f t="shared" si="1"/>
        <v>#DIV/0!</v>
      </c>
      <c r="CW10" s="23" t="e">
        <f t="shared" si="1"/>
        <v>#DIV/0!</v>
      </c>
      <c r="CX10" s="24"/>
      <c r="CY10" s="24"/>
      <c r="CZ10" s="24"/>
      <c r="DA10" s="24"/>
      <c r="DB10" s="24"/>
      <c r="DC10" s="24"/>
      <c r="DD10" s="24"/>
      <c r="DE10" s="24"/>
      <c r="DF10" s="24"/>
      <c r="DG10" s="24"/>
      <c r="DH10" s="24"/>
      <c r="DI10" s="24"/>
      <c r="DJ10" s="24"/>
      <c r="DK10" s="24"/>
      <c r="DL10" s="24"/>
      <c r="DM10" s="24"/>
      <c r="DN10" s="24"/>
      <c r="DO10" s="24"/>
      <c r="DP10" s="24"/>
      <c r="DQ10" s="24"/>
      <c r="DR10" s="24"/>
      <c r="DS10" s="24"/>
      <c r="DT10" s="24"/>
      <c r="DU10" s="24"/>
      <c r="DV10" s="24"/>
      <c r="DW10" s="24"/>
      <c r="DX10" s="24"/>
      <c r="DY10" s="24"/>
      <c r="DZ10" s="24"/>
      <c r="EA10" s="24"/>
      <c r="EB10" s="24"/>
      <c r="EC10" s="24"/>
      <c r="ED10" s="24"/>
      <c r="EE10" s="24"/>
      <c r="EF10" s="24"/>
      <c r="EG10" s="24"/>
      <c r="EH10" s="24"/>
      <c r="EI10" s="24"/>
      <c r="EJ10" s="24"/>
      <c r="EK10" s="24"/>
      <c r="EL10" s="24"/>
      <c r="EM10" s="24"/>
      <c r="EN10" s="24"/>
      <c r="EO10" s="24"/>
      <c r="EP10" s="24"/>
      <c r="EQ10" s="24"/>
      <c r="ER10" s="24"/>
      <c r="ES10" s="24"/>
      <c r="ET10" s="24"/>
      <c r="EU10" s="24"/>
      <c r="EV10" s="24"/>
      <c r="EW10" s="24"/>
      <c r="EX10" s="24"/>
      <c r="EY10" s="24"/>
      <c r="EZ10" s="24"/>
      <c r="FA10" s="24"/>
      <c r="FB10" s="24"/>
      <c r="FC10" s="24"/>
      <c r="FD10" s="24"/>
      <c r="FE10" s="24"/>
      <c r="FF10" s="24"/>
      <c r="FG10" s="24"/>
      <c r="FH10" s="24"/>
      <c r="FI10" s="24"/>
      <c r="FJ10" s="24"/>
      <c r="FK10" s="24"/>
      <c r="FL10" s="24"/>
      <c r="FM10" s="24"/>
      <c r="FN10" s="24"/>
      <c r="FO10" s="24"/>
      <c r="FP10" s="24"/>
      <c r="FQ10" s="24"/>
      <c r="FR10" s="24"/>
      <c r="FS10" s="24"/>
      <c r="FT10" s="24"/>
      <c r="FU10" s="24"/>
      <c r="FV10" s="24"/>
      <c r="FW10" s="24"/>
      <c r="FX10" s="24"/>
      <c r="FY10" s="24"/>
      <c r="FZ10" s="24"/>
      <c r="GA10" s="24"/>
      <c r="GB10" s="24"/>
      <c r="GC10" s="24"/>
      <c r="GD10" s="24"/>
      <c r="GE10" s="24"/>
      <c r="GF10" s="24"/>
      <c r="GG10" s="24"/>
      <c r="GH10" s="24"/>
      <c r="GI10" s="24"/>
      <c r="GJ10" s="24"/>
      <c r="GK10" s="24"/>
      <c r="GL10" s="24"/>
      <c r="GM10" s="24"/>
      <c r="GN10" s="24"/>
      <c r="GO10" s="24"/>
      <c r="GP10" s="24"/>
      <c r="GQ10" s="24"/>
      <c r="GR10" s="24"/>
      <c r="GS10" s="24"/>
    </row>
    <row r="11" spans="1:201" x14ac:dyDescent="0.2">
      <c r="A11" s="22" t="s">
        <v>12</v>
      </c>
      <c r="B11" s="25">
        <f>B6/B$9</f>
        <v>0.25365853658536586</v>
      </c>
      <c r="C11" s="25">
        <f t="shared" ref="C11:BN11" si="2">C6/C$9</f>
        <v>0.52795031055900621</v>
      </c>
      <c r="D11" s="25">
        <f t="shared" si="2"/>
        <v>0.11261691676199448</v>
      </c>
      <c r="E11" s="25">
        <f t="shared" si="2"/>
        <v>0.99776428466558031</v>
      </c>
      <c r="F11" s="25">
        <f t="shared" si="2"/>
        <v>0.33333333333333331</v>
      </c>
      <c r="G11" s="25" t="e">
        <f t="shared" si="2"/>
        <v>#DIV/0!</v>
      </c>
      <c r="H11" s="25" t="e">
        <f t="shared" si="2"/>
        <v>#DIV/0!</v>
      </c>
      <c r="I11" s="25" t="e">
        <f t="shared" si="2"/>
        <v>#DIV/0!</v>
      </c>
      <c r="J11" s="25" t="e">
        <f t="shared" si="2"/>
        <v>#DIV/0!</v>
      </c>
      <c r="K11" s="25" t="e">
        <f t="shared" si="2"/>
        <v>#DIV/0!</v>
      </c>
      <c r="L11" s="25" t="e">
        <f t="shared" si="2"/>
        <v>#DIV/0!</v>
      </c>
      <c r="M11" s="25" t="e">
        <f t="shared" si="2"/>
        <v>#DIV/0!</v>
      </c>
      <c r="N11" s="25" t="e">
        <f t="shared" si="2"/>
        <v>#DIV/0!</v>
      </c>
      <c r="O11" s="25" t="e">
        <f t="shared" si="2"/>
        <v>#DIV/0!</v>
      </c>
      <c r="P11" s="25" t="e">
        <f t="shared" si="2"/>
        <v>#DIV/0!</v>
      </c>
      <c r="Q11" s="25" t="e">
        <f t="shared" si="2"/>
        <v>#DIV/0!</v>
      </c>
      <c r="R11" s="25" t="e">
        <f t="shared" si="2"/>
        <v>#DIV/0!</v>
      </c>
      <c r="S11" s="25" t="e">
        <f t="shared" si="2"/>
        <v>#DIV/0!</v>
      </c>
      <c r="T11" s="25" t="e">
        <f t="shared" si="2"/>
        <v>#DIV/0!</v>
      </c>
      <c r="U11" s="25" t="e">
        <f t="shared" si="2"/>
        <v>#DIV/0!</v>
      </c>
      <c r="V11" s="25" t="e">
        <f t="shared" si="2"/>
        <v>#DIV/0!</v>
      </c>
      <c r="W11" s="25" t="e">
        <f t="shared" si="2"/>
        <v>#DIV/0!</v>
      </c>
      <c r="X11" s="25" t="e">
        <f t="shared" si="2"/>
        <v>#DIV/0!</v>
      </c>
      <c r="Y11" s="25" t="e">
        <f t="shared" si="2"/>
        <v>#DIV/0!</v>
      </c>
      <c r="Z11" s="25" t="e">
        <f t="shared" si="2"/>
        <v>#DIV/0!</v>
      </c>
      <c r="AA11" s="25" t="e">
        <f t="shared" si="2"/>
        <v>#DIV/0!</v>
      </c>
      <c r="AB11" s="25" t="e">
        <f t="shared" si="2"/>
        <v>#DIV/0!</v>
      </c>
      <c r="AC11" s="25" t="e">
        <f t="shared" si="2"/>
        <v>#DIV/0!</v>
      </c>
      <c r="AD11" s="25" t="e">
        <f t="shared" si="2"/>
        <v>#DIV/0!</v>
      </c>
      <c r="AE11" s="25" t="e">
        <f t="shared" si="2"/>
        <v>#DIV/0!</v>
      </c>
      <c r="AF11" s="25" t="e">
        <f t="shared" si="2"/>
        <v>#DIV/0!</v>
      </c>
      <c r="AG11" s="25" t="e">
        <f t="shared" si="2"/>
        <v>#DIV/0!</v>
      </c>
      <c r="AH11" s="25" t="e">
        <f t="shared" si="2"/>
        <v>#DIV/0!</v>
      </c>
      <c r="AI11" s="25" t="e">
        <f t="shared" si="2"/>
        <v>#DIV/0!</v>
      </c>
      <c r="AJ11" s="25" t="e">
        <f t="shared" si="2"/>
        <v>#DIV/0!</v>
      </c>
      <c r="AK11" s="25" t="e">
        <f t="shared" si="2"/>
        <v>#DIV/0!</v>
      </c>
      <c r="AL11" s="25" t="e">
        <f t="shared" si="2"/>
        <v>#DIV/0!</v>
      </c>
      <c r="AM11" s="25" t="e">
        <f t="shared" si="2"/>
        <v>#DIV/0!</v>
      </c>
      <c r="AN11" s="25" t="e">
        <f t="shared" si="2"/>
        <v>#DIV/0!</v>
      </c>
      <c r="AO11" s="25" t="e">
        <f t="shared" si="2"/>
        <v>#DIV/0!</v>
      </c>
      <c r="AP11" s="25" t="e">
        <f t="shared" si="2"/>
        <v>#DIV/0!</v>
      </c>
      <c r="AQ11" s="25" t="e">
        <f t="shared" si="2"/>
        <v>#DIV/0!</v>
      </c>
      <c r="AR11" s="25" t="e">
        <f t="shared" si="2"/>
        <v>#DIV/0!</v>
      </c>
      <c r="AS11" s="25" t="e">
        <f t="shared" si="2"/>
        <v>#DIV/0!</v>
      </c>
      <c r="AT11" s="25" t="e">
        <f t="shared" si="2"/>
        <v>#DIV/0!</v>
      </c>
      <c r="AU11" s="25" t="e">
        <f t="shared" si="2"/>
        <v>#DIV/0!</v>
      </c>
      <c r="AV11" s="25" t="e">
        <f t="shared" si="2"/>
        <v>#DIV/0!</v>
      </c>
      <c r="AW11" s="25" t="e">
        <f t="shared" si="2"/>
        <v>#DIV/0!</v>
      </c>
      <c r="AX11" s="25" t="e">
        <f t="shared" si="2"/>
        <v>#DIV/0!</v>
      </c>
      <c r="AY11" s="25" t="e">
        <f t="shared" si="2"/>
        <v>#DIV/0!</v>
      </c>
      <c r="AZ11" s="25" t="e">
        <f t="shared" si="2"/>
        <v>#DIV/0!</v>
      </c>
      <c r="BA11" s="25" t="e">
        <f t="shared" si="2"/>
        <v>#DIV/0!</v>
      </c>
      <c r="BB11" s="25" t="e">
        <f t="shared" si="2"/>
        <v>#DIV/0!</v>
      </c>
      <c r="BC11" s="25" t="e">
        <f t="shared" si="2"/>
        <v>#DIV/0!</v>
      </c>
      <c r="BD11" s="25" t="e">
        <f t="shared" si="2"/>
        <v>#DIV/0!</v>
      </c>
      <c r="BE11" s="25" t="e">
        <f t="shared" si="2"/>
        <v>#DIV/0!</v>
      </c>
      <c r="BF11" s="25" t="e">
        <f t="shared" si="2"/>
        <v>#DIV/0!</v>
      </c>
      <c r="BG11" s="25" t="e">
        <f t="shared" si="2"/>
        <v>#DIV/0!</v>
      </c>
      <c r="BH11" s="25" t="e">
        <f t="shared" si="2"/>
        <v>#DIV/0!</v>
      </c>
      <c r="BI11" s="25" t="e">
        <f t="shared" si="2"/>
        <v>#DIV/0!</v>
      </c>
      <c r="BJ11" s="25" t="e">
        <f t="shared" si="2"/>
        <v>#DIV/0!</v>
      </c>
      <c r="BK11" s="25" t="e">
        <f t="shared" si="2"/>
        <v>#DIV/0!</v>
      </c>
      <c r="BL11" s="25" t="e">
        <f t="shared" si="2"/>
        <v>#DIV/0!</v>
      </c>
      <c r="BM11" s="25" t="e">
        <f t="shared" si="2"/>
        <v>#DIV/0!</v>
      </c>
      <c r="BN11" s="25" t="e">
        <f t="shared" si="2"/>
        <v>#DIV/0!</v>
      </c>
      <c r="BO11" s="25" t="e">
        <f t="shared" ref="BO11:CW11" si="3">BO6/BO$9</f>
        <v>#DIV/0!</v>
      </c>
      <c r="BP11" s="25" t="e">
        <f t="shared" si="3"/>
        <v>#DIV/0!</v>
      </c>
      <c r="BQ11" s="25" t="e">
        <f t="shared" si="3"/>
        <v>#DIV/0!</v>
      </c>
      <c r="BR11" s="25" t="e">
        <f t="shared" si="3"/>
        <v>#DIV/0!</v>
      </c>
      <c r="BS11" s="25" t="e">
        <f t="shared" si="3"/>
        <v>#DIV/0!</v>
      </c>
      <c r="BT11" s="25" t="e">
        <f t="shared" si="3"/>
        <v>#DIV/0!</v>
      </c>
      <c r="BU11" s="25" t="e">
        <f t="shared" si="3"/>
        <v>#DIV/0!</v>
      </c>
      <c r="BV11" s="25" t="e">
        <f t="shared" si="3"/>
        <v>#DIV/0!</v>
      </c>
      <c r="BW11" s="25" t="e">
        <f t="shared" si="3"/>
        <v>#DIV/0!</v>
      </c>
      <c r="BX11" s="25" t="e">
        <f t="shared" si="3"/>
        <v>#DIV/0!</v>
      </c>
      <c r="BY11" s="25" t="e">
        <f t="shared" si="3"/>
        <v>#DIV/0!</v>
      </c>
      <c r="BZ11" s="25" t="e">
        <f t="shared" si="3"/>
        <v>#DIV/0!</v>
      </c>
      <c r="CA11" s="25" t="e">
        <f t="shared" si="3"/>
        <v>#DIV/0!</v>
      </c>
      <c r="CB11" s="25" t="e">
        <f t="shared" si="3"/>
        <v>#DIV/0!</v>
      </c>
      <c r="CC11" s="25" t="e">
        <f t="shared" si="3"/>
        <v>#DIV/0!</v>
      </c>
      <c r="CD11" s="25" t="e">
        <f t="shared" si="3"/>
        <v>#DIV/0!</v>
      </c>
      <c r="CE11" s="25" t="e">
        <f t="shared" si="3"/>
        <v>#DIV/0!</v>
      </c>
      <c r="CF11" s="25" t="e">
        <f t="shared" si="3"/>
        <v>#DIV/0!</v>
      </c>
      <c r="CG11" s="25" t="e">
        <f t="shared" si="3"/>
        <v>#DIV/0!</v>
      </c>
      <c r="CH11" s="25" t="e">
        <f t="shared" si="3"/>
        <v>#DIV/0!</v>
      </c>
      <c r="CI11" s="25" t="e">
        <f t="shared" si="3"/>
        <v>#DIV/0!</v>
      </c>
      <c r="CJ11" s="25" t="e">
        <f t="shared" si="3"/>
        <v>#DIV/0!</v>
      </c>
      <c r="CK11" s="25" t="e">
        <f t="shared" si="3"/>
        <v>#DIV/0!</v>
      </c>
      <c r="CL11" s="25" t="e">
        <f t="shared" si="3"/>
        <v>#DIV/0!</v>
      </c>
      <c r="CM11" s="25" t="e">
        <f t="shared" si="3"/>
        <v>#DIV/0!</v>
      </c>
      <c r="CN11" s="25" t="e">
        <f t="shared" si="3"/>
        <v>#DIV/0!</v>
      </c>
      <c r="CO11" s="25" t="e">
        <f t="shared" si="3"/>
        <v>#DIV/0!</v>
      </c>
      <c r="CP11" s="25" t="e">
        <f t="shared" si="3"/>
        <v>#DIV/0!</v>
      </c>
      <c r="CQ11" s="25" t="e">
        <f t="shared" si="3"/>
        <v>#DIV/0!</v>
      </c>
      <c r="CR11" s="25" t="e">
        <f t="shared" si="3"/>
        <v>#DIV/0!</v>
      </c>
      <c r="CS11" s="25" t="e">
        <f t="shared" si="3"/>
        <v>#DIV/0!</v>
      </c>
      <c r="CT11" s="25" t="e">
        <f t="shared" si="3"/>
        <v>#DIV/0!</v>
      </c>
      <c r="CU11" s="25" t="e">
        <f t="shared" si="3"/>
        <v>#DIV/0!</v>
      </c>
      <c r="CV11" s="25" t="e">
        <f t="shared" si="3"/>
        <v>#DIV/0!</v>
      </c>
      <c r="CW11" s="25" t="e">
        <f t="shared" si="3"/>
        <v>#DIV/0!</v>
      </c>
      <c r="CX11" s="25"/>
      <c r="CY11" s="25"/>
      <c r="CZ11" s="25"/>
      <c r="DA11" s="25"/>
      <c r="DB11" s="25"/>
      <c r="DC11" s="25"/>
      <c r="DD11" s="25"/>
      <c r="DE11" s="25"/>
      <c r="DF11" s="25"/>
      <c r="DG11" s="25"/>
      <c r="DH11" s="25"/>
      <c r="DI11" s="25"/>
      <c r="DJ11" s="25"/>
      <c r="DK11" s="25"/>
      <c r="DL11" s="25"/>
      <c r="DM11" s="25"/>
      <c r="DN11" s="25"/>
      <c r="DO11" s="25"/>
      <c r="DP11" s="25"/>
      <c r="DQ11" s="25"/>
      <c r="DR11" s="25"/>
      <c r="DS11" s="25"/>
      <c r="DT11" s="25"/>
      <c r="DU11" s="25"/>
      <c r="DV11" s="25"/>
      <c r="DW11" s="25"/>
      <c r="DX11" s="25"/>
      <c r="DY11" s="25"/>
      <c r="DZ11" s="25"/>
      <c r="EA11" s="25"/>
      <c r="EB11" s="25"/>
      <c r="EC11" s="25"/>
      <c r="ED11" s="25"/>
      <c r="EE11" s="25"/>
      <c r="EF11" s="25"/>
      <c r="EG11" s="25"/>
      <c r="EH11" s="25"/>
      <c r="EI11" s="25"/>
      <c r="EJ11" s="25"/>
      <c r="EK11" s="25"/>
      <c r="EL11" s="25"/>
      <c r="EM11" s="25"/>
      <c r="EN11" s="25"/>
      <c r="EO11" s="25"/>
      <c r="EP11" s="25"/>
      <c r="EQ11" s="25"/>
      <c r="ER11" s="25"/>
      <c r="ES11" s="25"/>
      <c r="ET11" s="25"/>
      <c r="EU11" s="25"/>
      <c r="EV11" s="25"/>
      <c r="EW11" s="25"/>
      <c r="EX11" s="25"/>
      <c r="EY11" s="25"/>
      <c r="EZ11" s="25"/>
      <c r="FA11" s="25"/>
      <c r="FB11" s="25"/>
      <c r="FC11" s="25"/>
      <c r="FD11" s="25"/>
      <c r="FE11" s="25"/>
      <c r="FF11" s="25"/>
      <c r="FG11" s="25"/>
      <c r="FH11" s="25"/>
      <c r="FI11" s="25"/>
      <c r="FJ11" s="25"/>
      <c r="FK11" s="25"/>
      <c r="FL11" s="25"/>
      <c r="FM11" s="25"/>
      <c r="FN11" s="25"/>
      <c r="FO11" s="25"/>
      <c r="FP11" s="25"/>
      <c r="FQ11" s="25"/>
      <c r="FR11" s="25"/>
      <c r="FS11" s="25"/>
      <c r="FT11" s="25"/>
      <c r="FU11" s="25"/>
      <c r="FV11" s="25"/>
      <c r="FW11" s="25"/>
      <c r="FX11" s="25"/>
      <c r="FY11" s="25"/>
      <c r="FZ11" s="25"/>
      <c r="GA11" s="25"/>
      <c r="GB11" s="25"/>
      <c r="GC11" s="25"/>
      <c r="GD11" s="25"/>
      <c r="GE11" s="25"/>
      <c r="GF11" s="25"/>
      <c r="GG11" s="25"/>
      <c r="GH11" s="25"/>
      <c r="GI11" s="25"/>
      <c r="GJ11" s="25"/>
      <c r="GK11" s="25"/>
      <c r="GL11" s="25"/>
      <c r="GM11" s="25"/>
      <c r="GN11" s="25"/>
      <c r="GO11" s="25"/>
      <c r="GP11" s="25"/>
      <c r="GQ11" s="25"/>
      <c r="GR11" s="25"/>
      <c r="GS11" s="25"/>
    </row>
    <row r="12" spans="1:201" x14ac:dyDescent="0.2">
      <c r="A12" s="22" t="s">
        <v>14</v>
      </c>
      <c r="B12" s="25">
        <f t="shared" ref="B12:Q13" si="4">B7/B$9</f>
        <v>0.28292682926829266</v>
      </c>
      <c r="C12" s="25">
        <f t="shared" si="4"/>
        <v>0.2360248447204969</v>
      </c>
      <c r="D12" s="25">
        <f t="shared" si="4"/>
        <v>0.88623914945158466</v>
      </c>
      <c r="E12" s="25">
        <f t="shared" si="4"/>
        <v>9.9720462900644395E-4</v>
      </c>
      <c r="F12" s="25">
        <f t="shared" si="4"/>
        <v>0.33333333333333331</v>
      </c>
      <c r="G12" s="25" t="e">
        <f t="shared" si="4"/>
        <v>#DIV/0!</v>
      </c>
      <c r="H12" s="25" t="e">
        <f t="shared" si="4"/>
        <v>#DIV/0!</v>
      </c>
      <c r="I12" s="25" t="e">
        <f t="shared" si="4"/>
        <v>#DIV/0!</v>
      </c>
      <c r="J12" s="25" t="e">
        <f t="shared" si="4"/>
        <v>#DIV/0!</v>
      </c>
      <c r="K12" s="25" t="e">
        <f t="shared" si="4"/>
        <v>#DIV/0!</v>
      </c>
      <c r="L12" s="25" t="e">
        <f t="shared" si="4"/>
        <v>#DIV/0!</v>
      </c>
      <c r="M12" s="25" t="e">
        <f t="shared" si="4"/>
        <v>#DIV/0!</v>
      </c>
      <c r="N12" s="25" t="e">
        <f t="shared" si="4"/>
        <v>#DIV/0!</v>
      </c>
      <c r="O12" s="25" t="e">
        <f t="shared" si="4"/>
        <v>#DIV/0!</v>
      </c>
      <c r="P12" s="25" t="e">
        <f t="shared" si="4"/>
        <v>#DIV/0!</v>
      </c>
      <c r="Q12" s="25" t="e">
        <f t="shared" si="4"/>
        <v>#DIV/0!</v>
      </c>
      <c r="R12" s="25" t="e">
        <f t="shared" ref="R12:CC12" si="5">R7/R$9</f>
        <v>#DIV/0!</v>
      </c>
      <c r="S12" s="25" t="e">
        <f t="shared" si="5"/>
        <v>#DIV/0!</v>
      </c>
      <c r="T12" s="25" t="e">
        <f t="shared" si="5"/>
        <v>#DIV/0!</v>
      </c>
      <c r="U12" s="25" t="e">
        <f t="shared" si="5"/>
        <v>#DIV/0!</v>
      </c>
      <c r="V12" s="25" t="e">
        <f t="shared" si="5"/>
        <v>#DIV/0!</v>
      </c>
      <c r="W12" s="25" t="e">
        <f t="shared" si="5"/>
        <v>#DIV/0!</v>
      </c>
      <c r="X12" s="25" t="e">
        <f t="shared" si="5"/>
        <v>#DIV/0!</v>
      </c>
      <c r="Y12" s="25" t="e">
        <f t="shared" si="5"/>
        <v>#DIV/0!</v>
      </c>
      <c r="Z12" s="25" t="e">
        <f t="shared" si="5"/>
        <v>#DIV/0!</v>
      </c>
      <c r="AA12" s="25" t="e">
        <f t="shared" si="5"/>
        <v>#DIV/0!</v>
      </c>
      <c r="AB12" s="25" t="e">
        <f t="shared" si="5"/>
        <v>#DIV/0!</v>
      </c>
      <c r="AC12" s="25" t="e">
        <f t="shared" si="5"/>
        <v>#DIV/0!</v>
      </c>
      <c r="AD12" s="25" t="e">
        <f t="shared" si="5"/>
        <v>#DIV/0!</v>
      </c>
      <c r="AE12" s="25" t="e">
        <f t="shared" si="5"/>
        <v>#DIV/0!</v>
      </c>
      <c r="AF12" s="25" t="e">
        <f t="shared" si="5"/>
        <v>#DIV/0!</v>
      </c>
      <c r="AG12" s="25" t="e">
        <f t="shared" si="5"/>
        <v>#DIV/0!</v>
      </c>
      <c r="AH12" s="25" t="e">
        <f t="shared" si="5"/>
        <v>#DIV/0!</v>
      </c>
      <c r="AI12" s="25" t="e">
        <f t="shared" si="5"/>
        <v>#DIV/0!</v>
      </c>
      <c r="AJ12" s="25" t="e">
        <f t="shared" si="5"/>
        <v>#DIV/0!</v>
      </c>
      <c r="AK12" s="25" t="e">
        <f t="shared" si="5"/>
        <v>#DIV/0!</v>
      </c>
      <c r="AL12" s="25" t="e">
        <f t="shared" si="5"/>
        <v>#DIV/0!</v>
      </c>
      <c r="AM12" s="25" t="e">
        <f t="shared" si="5"/>
        <v>#DIV/0!</v>
      </c>
      <c r="AN12" s="25" t="e">
        <f t="shared" si="5"/>
        <v>#DIV/0!</v>
      </c>
      <c r="AO12" s="25" t="e">
        <f t="shared" si="5"/>
        <v>#DIV/0!</v>
      </c>
      <c r="AP12" s="25" t="e">
        <f t="shared" si="5"/>
        <v>#DIV/0!</v>
      </c>
      <c r="AQ12" s="25" t="e">
        <f t="shared" si="5"/>
        <v>#DIV/0!</v>
      </c>
      <c r="AR12" s="25" t="e">
        <f t="shared" si="5"/>
        <v>#DIV/0!</v>
      </c>
      <c r="AS12" s="25" t="e">
        <f t="shared" si="5"/>
        <v>#DIV/0!</v>
      </c>
      <c r="AT12" s="25" t="e">
        <f t="shared" si="5"/>
        <v>#DIV/0!</v>
      </c>
      <c r="AU12" s="25" t="e">
        <f t="shared" si="5"/>
        <v>#DIV/0!</v>
      </c>
      <c r="AV12" s="25" t="e">
        <f t="shared" si="5"/>
        <v>#DIV/0!</v>
      </c>
      <c r="AW12" s="25" t="e">
        <f t="shared" si="5"/>
        <v>#DIV/0!</v>
      </c>
      <c r="AX12" s="25" t="e">
        <f t="shared" si="5"/>
        <v>#DIV/0!</v>
      </c>
      <c r="AY12" s="25" t="e">
        <f t="shared" si="5"/>
        <v>#DIV/0!</v>
      </c>
      <c r="AZ12" s="25" t="e">
        <f t="shared" si="5"/>
        <v>#DIV/0!</v>
      </c>
      <c r="BA12" s="25" t="e">
        <f t="shared" si="5"/>
        <v>#DIV/0!</v>
      </c>
      <c r="BB12" s="25" t="e">
        <f t="shared" si="5"/>
        <v>#DIV/0!</v>
      </c>
      <c r="BC12" s="25" t="e">
        <f t="shared" si="5"/>
        <v>#DIV/0!</v>
      </c>
      <c r="BD12" s="25" t="e">
        <f t="shared" si="5"/>
        <v>#DIV/0!</v>
      </c>
      <c r="BE12" s="25" t="e">
        <f t="shared" si="5"/>
        <v>#DIV/0!</v>
      </c>
      <c r="BF12" s="25" t="e">
        <f t="shared" si="5"/>
        <v>#DIV/0!</v>
      </c>
      <c r="BG12" s="25" t="e">
        <f t="shared" si="5"/>
        <v>#DIV/0!</v>
      </c>
      <c r="BH12" s="25" t="e">
        <f t="shared" si="5"/>
        <v>#DIV/0!</v>
      </c>
      <c r="BI12" s="25" t="e">
        <f t="shared" si="5"/>
        <v>#DIV/0!</v>
      </c>
      <c r="BJ12" s="25" t="e">
        <f t="shared" si="5"/>
        <v>#DIV/0!</v>
      </c>
      <c r="BK12" s="25" t="e">
        <f t="shared" si="5"/>
        <v>#DIV/0!</v>
      </c>
      <c r="BL12" s="25" t="e">
        <f t="shared" si="5"/>
        <v>#DIV/0!</v>
      </c>
      <c r="BM12" s="25" t="e">
        <f t="shared" si="5"/>
        <v>#DIV/0!</v>
      </c>
      <c r="BN12" s="25" t="e">
        <f t="shared" si="5"/>
        <v>#DIV/0!</v>
      </c>
      <c r="BO12" s="25" t="e">
        <f t="shared" si="5"/>
        <v>#DIV/0!</v>
      </c>
      <c r="BP12" s="25" t="e">
        <f t="shared" si="5"/>
        <v>#DIV/0!</v>
      </c>
      <c r="BQ12" s="25" t="e">
        <f t="shared" si="5"/>
        <v>#DIV/0!</v>
      </c>
      <c r="BR12" s="25" t="e">
        <f t="shared" si="5"/>
        <v>#DIV/0!</v>
      </c>
      <c r="BS12" s="25" t="e">
        <f t="shared" si="5"/>
        <v>#DIV/0!</v>
      </c>
      <c r="BT12" s="25" t="e">
        <f t="shared" si="5"/>
        <v>#DIV/0!</v>
      </c>
      <c r="BU12" s="25" t="e">
        <f t="shared" si="5"/>
        <v>#DIV/0!</v>
      </c>
      <c r="BV12" s="25" t="e">
        <f t="shared" si="5"/>
        <v>#DIV/0!</v>
      </c>
      <c r="BW12" s="25" t="e">
        <f t="shared" si="5"/>
        <v>#DIV/0!</v>
      </c>
      <c r="BX12" s="25" t="e">
        <f t="shared" si="5"/>
        <v>#DIV/0!</v>
      </c>
      <c r="BY12" s="25" t="e">
        <f t="shared" si="5"/>
        <v>#DIV/0!</v>
      </c>
      <c r="BZ12" s="25" t="e">
        <f t="shared" si="5"/>
        <v>#DIV/0!</v>
      </c>
      <c r="CA12" s="25" t="e">
        <f t="shared" si="5"/>
        <v>#DIV/0!</v>
      </c>
      <c r="CB12" s="25" t="e">
        <f t="shared" si="5"/>
        <v>#DIV/0!</v>
      </c>
      <c r="CC12" s="25" t="e">
        <f t="shared" si="5"/>
        <v>#DIV/0!</v>
      </c>
      <c r="CD12" s="25" t="e">
        <f t="shared" ref="CD12:CW12" si="6">CD7/CD$9</f>
        <v>#DIV/0!</v>
      </c>
      <c r="CE12" s="25" t="e">
        <f t="shared" si="6"/>
        <v>#DIV/0!</v>
      </c>
      <c r="CF12" s="25" t="e">
        <f t="shared" si="6"/>
        <v>#DIV/0!</v>
      </c>
      <c r="CG12" s="25" t="e">
        <f t="shared" si="6"/>
        <v>#DIV/0!</v>
      </c>
      <c r="CH12" s="25" t="e">
        <f t="shared" si="6"/>
        <v>#DIV/0!</v>
      </c>
      <c r="CI12" s="25" t="e">
        <f t="shared" si="6"/>
        <v>#DIV/0!</v>
      </c>
      <c r="CJ12" s="25" t="e">
        <f t="shared" si="6"/>
        <v>#DIV/0!</v>
      </c>
      <c r="CK12" s="25" t="e">
        <f t="shared" si="6"/>
        <v>#DIV/0!</v>
      </c>
      <c r="CL12" s="25" t="e">
        <f t="shared" si="6"/>
        <v>#DIV/0!</v>
      </c>
      <c r="CM12" s="25" t="e">
        <f t="shared" si="6"/>
        <v>#DIV/0!</v>
      </c>
      <c r="CN12" s="25" t="e">
        <f t="shared" si="6"/>
        <v>#DIV/0!</v>
      </c>
      <c r="CO12" s="25" t="e">
        <f t="shared" si="6"/>
        <v>#DIV/0!</v>
      </c>
      <c r="CP12" s="25" t="e">
        <f t="shared" si="6"/>
        <v>#DIV/0!</v>
      </c>
      <c r="CQ12" s="25" t="e">
        <f t="shared" si="6"/>
        <v>#DIV/0!</v>
      </c>
      <c r="CR12" s="25" t="e">
        <f t="shared" si="6"/>
        <v>#DIV/0!</v>
      </c>
      <c r="CS12" s="25" t="e">
        <f t="shared" si="6"/>
        <v>#DIV/0!</v>
      </c>
      <c r="CT12" s="25" t="e">
        <f t="shared" si="6"/>
        <v>#DIV/0!</v>
      </c>
      <c r="CU12" s="25" t="e">
        <f t="shared" si="6"/>
        <v>#DIV/0!</v>
      </c>
      <c r="CV12" s="25" t="e">
        <f t="shared" si="6"/>
        <v>#DIV/0!</v>
      </c>
      <c r="CW12" s="25" t="e">
        <f t="shared" si="6"/>
        <v>#DIV/0!</v>
      </c>
      <c r="CX12" s="25"/>
      <c r="CY12" s="25"/>
      <c r="CZ12" s="25"/>
      <c r="DA12" s="25"/>
      <c r="DB12" s="25"/>
      <c r="DC12" s="25"/>
      <c r="DD12" s="25"/>
      <c r="DE12" s="25"/>
      <c r="DF12" s="25"/>
      <c r="DG12" s="25"/>
      <c r="DH12" s="25"/>
      <c r="DI12" s="25"/>
      <c r="DJ12" s="25"/>
      <c r="DK12" s="25"/>
      <c r="DL12" s="25"/>
      <c r="DM12" s="25"/>
      <c r="DN12" s="25"/>
      <c r="DO12" s="25"/>
      <c r="DP12" s="25"/>
      <c r="DQ12" s="25"/>
      <c r="DR12" s="25"/>
      <c r="DS12" s="25"/>
      <c r="DT12" s="25"/>
      <c r="DU12" s="25"/>
      <c r="DV12" s="25"/>
      <c r="DW12" s="25"/>
      <c r="DX12" s="25"/>
      <c r="DY12" s="25"/>
      <c r="DZ12" s="25"/>
      <c r="EA12" s="25"/>
      <c r="EB12" s="25"/>
      <c r="EC12" s="25"/>
      <c r="ED12" s="25"/>
      <c r="EE12" s="25"/>
      <c r="EF12" s="25"/>
      <c r="EG12" s="25"/>
      <c r="EH12" s="25"/>
      <c r="EI12" s="25"/>
      <c r="EJ12" s="25"/>
      <c r="EK12" s="25"/>
      <c r="EL12" s="25"/>
      <c r="EM12" s="25"/>
      <c r="EN12" s="25"/>
      <c r="EO12" s="25"/>
      <c r="EP12" s="25"/>
      <c r="EQ12" s="25"/>
      <c r="ER12" s="25"/>
      <c r="ES12" s="25"/>
      <c r="ET12" s="25"/>
      <c r="EU12" s="25"/>
      <c r="EV12" s="25"/>
      <c r="EW12" s="25"/>
      <c r="EX12" s="25"/>
      <c r="EY12" s="25"/>
      <c r="EZ12" s="25"/>
      <c r="FA12" s="25"/>
      <c r="FB12" s="25"/>
      <c r="FC12" s="25"/>
      <c r="FD12" s="25"/>
      <c r="FE12" s="25"/>
      <c r="FF12" s="25"/>
      <c r="FG12" s="25"/>
      <c r="FH12" s="25"/>
      <c r="FI12" s="25"/>
      <c r="FJ12" s="25"/>
      <c r="FK12" s="25"/>
      <c r="FL12" s="25"/>
      <c r="FM12" s="25"/>
      <c r="FN12" s="25"/>
      <c r="FO12" s="25"/>
      <c r="FP12" s="25"/>
      <c r="FQ12" s="25"/>
      <c r="FR12" s="25"/>
      <c r="FS12" s="25"/>
      <c r="FT12" s="25"/>
      <c r="FU12" s="25"/>
      <c r="FV12" s="25"/>
      <c r="FW12" s="25"/>
      <c r="FX12" s="25"/>
      <c r="FY12" s="25"/>
      <c r="FZ12" s="25"/>
      <c r="GA12" s="25"/>
      <c r="GB12" s="25"/>
      <c r="GC12" s="25"/>
      <c r="GD12" s="25"/>
      <c r="GE12" s="25"/>
      <c r="GF12" s="25"/>
      <c r="GG12" s="25"/>
      <c r="GH12" s="25"/>
      <c r="GI12" s="25"/>
      <c r="GJ12" s="25"/>
      <c r="GK12" s="25"/>
      <c r="GL12" s="25"/>
      <c r="GM12" s="25"/>
      <c r="GN12" s="25"/>
      <c r="GO12" s="25"/>
      <c r="GP12" s="25"/>
      <c r="GQ12" s="25"/>
      <c r="GR12" s="25"/>
      <c r="GS12" s="25"/>
    </row>
    <row r="13" spans="1:201" x14ac:dyDescent="0.2">
      <c r="A13" s="22" t="s">
        <v>13</v>
      </c>
      <c r="B13" s="25">
        <f t="shared" si="4"/>
        <v>0.46341463414634149</v>
      </c>
      <c r="C13" s="25">
        <f t="shared" si="4"/>
        <v>0.2360248447204969</v>
      </c>
      <c r="D13" s="25">
        <f t="shared" si="4"/>
        <v>1.1439337864208332E-3</v>
      </c>
      <c r="E13" s="25">
        <f t="shared" si="4"/>
        <v>1.2385107054132512E-3</v>
      </c>
      <c r="F13" s="25">
        <f t="shared" si="4"/>
        <v>0.33333333333333331</v>
      </c>
      <c r="G13" s="25" t="e">
        <f t="shared" si="4"/>
        <v>#DIV/0!</v>
      </c>
      <c r="H13" s="25" t="e">
        <f t="shared" si="4"/>
        <v>#DIV/0!</v>
      </c>
      <c r="I13" s="25" t="e">
        <f t="shared" si="4"/>
        <v>#DIV/0!</v>
      </c>
      <c r="J13" s="25" t="e">
        <f t="shared" si="4"/>
        <v>#DIV/0!</v>
      </c>
      <c r="K13" s="25" t="e">
        <f t="shared" si="4"/>
        <v>#DIV/0!</v>
      </c>
      <c r="L13" s="25" t="e">
        <f t="shared" si="4"/>
        <v>#DIV/0!</v>
      </c>
      <c r="M13" s="25" t="e">
        <f t="shared" si="4"/>
        <v>#DIV/0!</v>
      </c>
      <c r="N13" s="25" t="e">
        <f t="shared" si="4"/>
        <v>#DIV/0!</v>
      </c>
      <c r="O13" s="25" t="e">
        <f t="shared" si="4"/>
        <v>#DIV/0!</v>
      </c>
      <c r="P13" s="25" t="e">
        <f t="shared" si="4"/>
        <v>#DIV/0!</v>
      </c>
      <c r="Q13" s="25" t="e">
        <f t="shared" si="4"/>
        <v>#DIV/0!</v>
      </c>
      <c r="R13" s="25" t="e">
        <f t="shared" ref="R13:CC13" si="7">R8/R$9</f>
        <v>#DIV/0!</v>
      </c>
      <c r="S13" s="25" t="e">
        <f t="shared" si="7"/>
        <v>#DIV/0!</v>
      </c>
      <c r="T13" s="25" t="e">
        <f t="shared" si="7"/>
        <v>#DIV/0!</v>
      </c>
      <c r="U13" s="25" t="e">
        <f t="shared" si="7"/>
        <v>#DIV/0!</v>
      </c>
      <c r="V13" s="25" t="e">
        <f t="shared" si="7"/>
        <v>#DIV/0!</v>
      </c>
      <c r="W13" s="25" t="e">
        <f t="shared" si="7"/>
        <v>#DIV/0!</v>
      </c>
      <c r="X13" s="25" t="e">
        <f t="shared" si="7"/>
        <v>#DIV/0!</v>
      </c>
      <c r="Y13" s="25" t="e">
        <f t="shared" si="7"/>
        <v>#DIV/0!</v>
      </c>
      <c r="Z13" s="25" t="e">
        <f t="shared" si="7"/>
        <v>#DIV/0!</v>
      </c>
      <c r="AA13" s="25" t="e">
        <f t="shared" si="7"/>
        <v>#DIV/0!</v>
      </c>
      <c r="AB13" s="25" t="e">
        <f t="shared" si="7"/>
        <v>#DIV/0!</v>
      </c>
      <c r="AC13" s="25" t="e">
        <f t="shared" si="7"/>
        <v>#DIV/0!</v>
      </c>
      <c r="AD13" s="25" t="e">
        <f t="shared" si="7"/>
        <v>#DIV/0!</v>
      </c>
      <c r="AE13" s="25" t="e">
        <f t="shared" si="7"/>
        <v>#DIV/0!</v>
      </c>
      <c r="AF13" s="25" t="e">
        <f t="shared" si="7"/>
        <v>#DIV/0!</v>
      </c>
      <c r="AG13" s="25" t="e">
        <f t="shared" si="7"/>
        <v>#DIV/0!</v>
      </c>
      <c r="AH13" s="25" t="e">
        <f t="shared" si="7"/>
        <v>#DIV/0!</v>
      </c>
      <c r="AI13" s="25" t="e">
        <f t="shared" si="7"/>
        <v>#DIV/0!</v>
      </c>
      <c r="AJ13" s="25" t="e">
        <f t="shared" si="7"/>
        <v>#DIV/0!</v>
      </c>
      <c r="AK13" s="25" t="e">
        <f t="shared" si="7"/>
        <v>#DIV/0!</v>
      </c>
      <c r="AL13" s="25" t="e">
        <f t="shared" si="7"/>
        <v>#DIV/0!</v>
      </c>
      <c r="AM13" s="25" t="e">
        <f t="shared" si="7"/>
        <v>#DIV/0!</v>
      </c>
      <c r="AN13" s="25" t="e">
        <f t="shared" si="7"/>
        <v>#DIV/0!</v>
      </c>
      <c r="AO13" s="25" t="e">
        <f t="shared" si="7"/>
        <v>#DIV/0!</v>
      </c>
      <c r="AP13" s="25" t="e">
        <f t="shared" si="7"/>
        <v>#DIV/0!</v>
      </c>
      <c r="AQ13" s="25" t="e">
        <f t="shared" si="7"/>
        <v>#DIV/0!</v>
      </c>
      <c r="AR13" s="25" t="e">
        <f t="shared" si="7"/>
        <v>#DIV/0!</v>
      </c>
      <c r="AS13" s="25" t="e">
        <f t="shared" si="7"/>
        <v>#DIV/0!</v>
      </c>
      <c r="AT13" s="25" t="e">
        <f t="shared" si="7"/>
        <v>#DIV/0!</v>
      </c>
      <c r="AU13" s="25" t="e">
        <f t="shared" si="7"/>
        <v>#DIV/0!</v>
      </c>
      <c r="AV13" s="25" t="e">
        <f t="shared" si="7"/>
        <v>#DIV/0!</v>
      </c>
      <c r="AW13" s="25" t="e">
        <f t="shared" si="7"/>
        <v>#DIV/0!</v>
      </c>
      <c r="AX13" s="25" t="e">
        <f t="shared" si="7"/>
        <v>#DIV/0!</v>
      </c>
      <c r="AY13" s="25" t="e">
        <f t="shared" si="7"/>
        <v>#DIV/0!</v>
      </c>
      <c r="AZ13" s="25" t="e">
        <f t="shared" si="7"/>
        <v>#DIV/0!</v>
      </c>
      <c r="BA13" s="25" t="e">
        <f t="shared" si="7"/>
        <v>#DIV/0!</v>
      </c>
      <c r="BB13" s="25" t="e">
        <f t="shared" si="7"/>
        <v>#DIV/0!</v>
      </c>
      <c r="BC13" s="25" t="e">
        <f t="shared" si="7"/>
        <v>#DIV/0!</v>
      </c>
      <c r="BD13" s="25" t="e">
        <f t="shared" si="7"/>
        <v>#DIV/0!</v>
      </c>
      <c r="BE13" s="25" t="e">
        <f t="shared" si="7"/>
        <v>#DIV/0!</v>
      </c>
      <c r="BF13" s="25" t="e">
        <f t="shared" si="7"/>
        <v>#DIV/0!</v>
      </c>
      <c r="BG13" s="25" t="e">
        <f t="shared" si="7"/>
        <v>#DIV/0!</v>
      </c>
      <c r="BH13" s="25" t="e">
        <f t="shared" si="7"/>
        <v>#DIV/0!</v>
      </c>
      <c r="BI13" s="25" t="e">
        <f t="shared" si="7"/>
        <v>#DIV/0!</v>
      </c>
      <c r="BJ13" s="25" t="e">
        <f t="shared" si="7"/>
        <v>#DIV/0!</v>
      </c>
      <c r="BK13" s="25" t="e">
        <f t="shared" si="7"/>
        <v>#DIV/0!</v>
      </c>
      <c r="BL13" s="25" t="e">
        <f t="shared" si="7"/>
        <v>#DIV/0!</v>
      </c>
      <c r="BM13" s="25" t="e">
        <f t="shared" si="7"/>
        <v>#DIV/0!</v>
      </c>
      <c r="BN13" s="25" t="e">
        <f t="shared" si="7"/>
        <v>#DIV/0!</v>
      </c>
      <c r="BO13" s="25" t="e">
        <f t="shared" si="7"/>
        <v>#DIV/0!</v>
      </c>
      <c r="BP13" s="25" t="e">
        <f t="shared" si="7"/>
        <v>#DIV/0!</v>
      </c>
      <c r="BQ13" s="25" t="e">
        <f t="shared" si="7"/>
        <v>#DIV/0!</v>
      </c>
      <c r="BR13" s="25" t="e">
        <f t="shared" si="7"/>
        <v>#DIV/0!</v>
      </c>
      <c r="BS13" s="25" t="e">
        <f t="shared" si="7"/>
        <v>#DIV/0!</v>
      </c>
      <c r="BT13" s="25" t="e">
        <f t="shared" si="7"/>
        <v>#DIV/0!</v>
      </c>
      <c r="BU13" s="25" t="e">
        <f t="shared" si="7"/>
        <v>#DIV/0!</v>
      </c>
      <c r="BV13" s="25" t="e">
        <f t="shared" si="7"/>
        <v>#DIV/0!</v>
      </c>
      <c r="BW13" s="25" t="e">
        <f t="shared" si="7"/>
        <v>#DIV/0!</v>
      </c>
      <c r="BX13" s="25" t="e">
        <f t="shared" si="7"/>
        <v>#DIV/0!</v>
      </c>
      <c r="BY13" s="25" t="e">
        <f t="shared" si="7"/>
        <v>#DIV/0!</v>
      </c>
      <c r="BZ13" s="25" t="e">
        <f t="shared" si="7"/>
        <v>#DIV/0!</v>
      </c>
      <c r="CA13" s="25" t="e">
        <f t="shared" si="7"/>
        <v>#DIV/0!</v>
      </c>
      <c r="CB13" s="25" t="e">
        <f t="shared" si="7"/>
        <v>#DIV/0!</v>
      </c>
      <c r="CC13" s="25" t="e">
        <f t="shared" si="7"/>
        <v>#DIV/0!</v>
      </c>
      <c r="CD13" s="25" t="e">
        <f t="shared" ref="CD13:CW13" si="8">CD8/CD$9</f>
        <v>#DIV/0!</v>
      </c>
      <c r="CE13" s="25" t="e">
        <f t="shared" si="8"/>
        <v>#DIV/0!</v>
      </c>
      <c r="CF13" s="25" t="e">
        <f t="shared" si="8"/>
        <v>#DIV/0!</v>
      </c>
      <c r="CG13" s="25" t="e">
        <f t="shared" si="8"/>
        <v>#DIV/0!</v>
      </c>
      <c r="CH13" s="25" t="e">
        <f t="shared" si="8"/>
        <v>#DIV/0!</v>
      </c>
      <c r="CI13" s="25" t="e">
        <f t="shared" si="8"/>
        <v>#DIV/0!</v>
      </c>
      <c r="CJ13" s="25" t="e">
        <f t="shared" si="8"/>
        <v>#DIV/0!</v>
      </c>
      <c r="CK13" s="25" t="e">
        <f t="shared" si="8"/>
        <v>#DIV/0!</v>
      </c>
      <c r="CL13" s="25" t="e">
        <f t="shared" si="8"/>
        <v>#DIV/0!</v>
      </c>
      <c r="CM13" s="25" t="e">
        <f t="shared" si="8"/>
        <v>#DIV/0!</v>
      </c>
      <c r="CN13" s="25" t="e">
        <f t="shared" si="8"/>
        <v>#DIV/0!</v>
      </c>
      <c r="CO13" s="25" t="e">
        <f t="shared" si="8"/>
        <v>#DIV/0!</v>
      </c>
      <c r="CP13" s="25" t="e">
        <f t="shared" si="8"/>
        <v>#DIV/0!</v>
      </c>
      <c r="CQ13" s="25" t="e">
        <f t="shared" si="8"/>
        <v>#DIV/0!</v>
      </c>
      <c r="CR13" s="25" t="e">
        <f t="shared" si="8"/>
        <v>#DIV/0!</v>
      </c>
      <c r="CS13" s="25" t="e">
        <f t="shared" si="8"/>
        <v>#DIV/0!</v>
      </c>
      <c r="CT13" s="25" t="e">
        <f t="shared" si="8"/>
        <v>#DIV/0!</v>
      </c>
      <c r="CU13" s="25" t="e">
        <f t="shared" si="8"/>
        <v>#DIV/0!</v>
      </c>
      <c r="CV13" s="25" t="e">
        <f t="shared" si="8"/>
        <v>#DIV/0!</v>
      </c>
      <c r="CW13" s="25" t="e">
        <f t="shared" si="8"/>
        <v>#DIV/0!</v>
      </c>
      <c r="CX13" s="25"/>
      <c r="CY13" s="25"/>
      <c r="CZ13" s="25"/>
      <c r="DA13" s="25"/>
      <c r="DB13" s="25"/>
      <c r="DC13" s="25"/>
      <c r="DD13" s="25"/>
      <c r="DE13" s="25"/>
      <c r="DF13" s="25"/>
      <c r="DG13" s="25"/>
      <c r="DH13" s="25"/>
      <c r="DI13" s="25"/>
      <c r="DJ13" s="25"/>
      <c r="DK13" s="25"/>
      <c r="DL13" s="25"/>
      <c r="DM13" s="25"/>
      <c r="DN13" s="25"/>
      <c r="DO13" s="25"/>
      <c r="DP13" s="25"/>
      <c r="DQ13" s="25"/>
      <c r="DR13" s="25"/>
      <c r="DS13" s="25"/>
      <c r="DT13" s="25"/>
      <c r="DU13" s="25"/>
      <c r="DV13" s="25"/>
      <c r="DW13" s="25"/>
      <c r="DX13" s="25"/>
      <c r="DY13" s="25"/>
      <c r="DZ13" s="25"/>
      <c r="EA13" s="25"/>
      <c r="EB13" s="25"/>
      <c r="EC13" s="25"/>
      <c r="ED13" s="25"/>
      <c r="EE13" s="25"/>
      <c r="EF13" s="25"/>
      <c r="EG13" s="25"/>
      <c r="EH13" s="25"/>
      <c r="EI13" s="25"/>
      <c r="EJ13" s="25"/>
      <c r="EK13" s="25"/>
      <c r="EL13" s="25"/>
      <c r="EM13" s="25"/>
      <c r="EN13" s="25"/>
      <c r="EO13" s="25"/>
      <c r="EP13" s="25"/>
      <c r="EQ13" s="25"/>
      <c r="ER13" s="25"/>
      <c r="ES13" s="25"/>
      <c r="ET13" s="25"/>
      <c r="EU13" s="25"/>
      <c r="EV13" s="25"/>
      <c r="EW13" s="25"/>
      <c r="EX13" s="25"/>
      <c r="EY13" s="25"/>
      <c r="EZ13" s="25"/>
      <c r="FA13" s="25"/>
      <c r="FB13" s="25"/>
      <c r="FC13" s="25"/>
      <c r="FD13" s="25"/>
      <c r="FE13" s="25"/>
      <c r="FF13" s="25"/>
      <c r="FG13" s="25"/>
      <c r="FH13" s="25"/>
      <c r="FI13" s="25"/>
      <c r="FJ13" s="25"/>
      <c r="FK13" s="25"/>
      <c r="FL13" s="25"/>
      <c r="FM13" s="25"/>
      <c r="FN13" s="25"/>
      <c r="FO13" s="25"/>
      <c r="FP13" s="25"/>
      <c r="FQ13" s="25"/>
      <c r="FR13" s="25"/>
      <c r="FS13" s="25"/>
      <c r="FT13" s="25"/>
      <c r="FU13" s="25"/>
      <c r="FV13" s="25"/>
      <c r="FW13" s="25"/>
      <c r="FX13" s="25"/>
      <c r="FY13" s="25"/>
      <c r="FZ13" s="25"/>
      <c r="GA13" s="25"/>
      <c r="GB13" s="25"/>
      <c r="GC13" s="25"/>
      <c r="GD13" s="25"/>
      <c r="GE13" s="25"/>
      <c r="GF13" s="25"/>
      <c r="GG13" s="25"/>
      <c r="GH13" s="25"/>
      <c r="GI13" s="25"/>
      <c r="GJ13" s="25"/>
      <c r="GK13" s="25"/>
      <c r="GL13" s="25"/>
      <c r="GM13" s="25"/>
      <c r="GN13" s="25"/>
      <c r="GO13" s="25"/>
      <c r="GP13" s="25"/>
      <c r="GQ13" s="25"/>
      <c r="GR13" s="25"/>
      <c r="GS13" s="25"/>
    </row>
    <row r="14" spans="1:201" s="228" customFormat="1" x14ac:dyDescent="0.2">
      <c r="A14" s="228" t="s">
        <v>20</v>
      </c>
      <c r="B14" s="229"/>
      <c r="C14" s="229"/>
      <c r="D14" s="229"/>
      <c r="E14" s="229"/>
      <c r="F14" s="229"/>
      <c r="G14" s="229"/>
      <c r="H14" s="229"/>
      <c r="I14" s="229"/>
      <c r="J14" s="229"/>
      <c r="K14" s="229"/>
      <c r="L14" s="229"/>
      <c r="M14" s="229"/>
      <c r="N14" s="229"/>
      <c r="O14" s="229"/>
      <c r="P14" s="229"/>
      <c r="Q14" s="229"/>
      <c r="R14" s="229"/>
      <c r="S14" s="229"/>
      <c r="T14" s="229"/>
      <c r="U14" s="229"/>
      <c r="V14" s="229"/>
      <c r="W14" s="229"/>
      <c r="X14" s="229"/>
      <c r="Y14" s="229"/>
      <c r="Z14" s="229"/>
      <c r="AA14" s="229"/>
      <c r="AB14" s="229"/>
      <c r="AC14" s="229"/>
      <c r="AD14" s="229"/>
      <c r="AE14" s="229"/>
      <c r="AF14" s="229"/>
      <c r="AG14" s="229"/>
      <c r="AH14" s="229"/>
      <c r="AI14" s="229"/>
      <c r="AJ14" s="229"/>
      <c r="AK14" s="229"/>
      <c r="AL14" s="229"/>
      <c r="AM14" s="229"/>
      <c r="AN14" s="229"/>
      <c r="AO14" s="229"/>
      <c r="AP14" s="229"/>
      <c r="AQ14" s="229"/>
      <c r="AR14" s="229"/>
      <c r="AS14" s="229"/>
      <c r="AT14" s="229"/>
      <c r="AU14" s="229"/>
      <c r="AV14" s="229"/>
      <c r="AW14" s="229"/>
      <c r="AX14" s="229"/>
      <c r="AY14" s="229"/>
      <c r="AZ14" s="229"/>
      <c r="BA14" s="229"/>
      <c r="BB14" s="229"/>
      <c r="BC14" s="229"/>
      <c r="BD14" s="229"/>
      <c r="BE14" s="229"/>
      <c r="BF14" s="229"/>
      <c r="BG14" s="229"/>
      <c r="BH14" s="229"/>
      <c r="BI14" s="229"/>
      <c r="BJ14" s="229"/>
      <c r="BK14" s="229"/>
      <c r="BL14" s="229"/>
      <c r="BM14" s="229"/>
      <c r="BN14" s="229"/>
      <c r="BO14" s="229"/>
      <c r="BP14" s="229"/>
      <c r="BQ14" s="229"/>
      <c r="BR14" s="229"/>
      <c r="BS14" s="229"/>
      <c r="BT14" s="229"/>
      <c r="BU14" s="229"/>
      <c r="BV14" s="229"/>
      <c r="BW14" s="229"/>
      <c r="BX14" s="229"/>
      <c r="BY14" s="229"/>
      <c r="BZ14" s="229"/>
      <c r="CA14" s="229"/>
      <c r="CB14" s="229"/>
      <c r="CC14" s="229"/>
      <c r="CD14" s="229"/>
      <c r="CE14" s="229"/>
      <c r="CF14" s="229"/>
      <c r="CG14" s="229"/>
      <c r="CH14" s="229"/>
      <c r="CI14" s="229"/>
      <c r="CJ14" s="229"/>
      <c r="CK14" s="229"/>
      <c r="CL14" s="229"/>
      <c r="CM14" s="229"/>
      <c r="CN14" s="229"/>
      <c r="CO14" s="229"/>
      <c r="CP14" s="229"/>
      <c r="CQ14" s="229"/>
      <c r="CR14" s="229"/>
      <c r="CS14" s="229"/>
      <c r="CT14" s="229"/>
      <c r="CU14" s="229"/>
      <c r="CV14" s="229"/>
      <c r="CW14" s="229"/>
      <c r="CX14" s="229"/>
      <c r="CY14" s="229"/>
      <c r="CZ14" s="229"/>
      <c r="DA14" s="229"/>
      <c r="DB14" s="229"/>
      <c r="DC14" s="229"/>
      <c r="DD14" s="229"/>
      <c r="DE14" s="229"/>
      <c r="DF14" s="229"/>
      <c r="DG14" s="229"/>
      <c r="DH14" s="229"/>
      <c r="DI14" s="229"/>
      <c r="DJ14" s="229"/>
      <c r="DK14" s="229"/>
      <c r="DL14" s="229"/>
      <c r="DM14" s="229"/>
      <c r="DN14" s="229"/>
      <c r="DO14" s="229"/>
      <c r="DP14" s="229"/>
      <c r="DQ14" s="229"/>
      <c r="DR14" s="229"/>
      <c r="DS14" s="229"/>
      <c r="DT14" s="229"/>
      <c r="DU14" s="229"/>
      <c r="DV14" s="229"/>
      <c r="DW14" s="229"/>
      <c r="DX14" s="229"/>
      <c r="DY14" s="229"/>
      <c r="DZ14" s="229"/>
      <c r="EA14" s="229"/>
      <c r="EB14" s="229"/>
      <c r="EC14" s="229"/>
      <c r="ED14" s="229"/>
      <c r="EE14" s="229"/>
      <c r="EF14" s="229"/>
      <c r="EG14" s="229"/>
      <c r="EH14" s="229"/>
      <c r="EI14" s="229"/>
      <c r="EJ14" s="229"/>
      <c r="EK14" s="229"/>
      <c r="EL14" s="229"/>
      <c r="EM14" s="229"/>
      <c r="EN14" s="229"/>
      <c r="EO14" s="229"/>
      <c r="EP14" s="229"/>
      <c r="EQ14" s="229"/>
      <c r="ER14" s="229"/>
      <c r="ES14" s="229"/>
      <c r="ET14" s="229"/>
      <c r="EU14" s="229"/>
      <c r="EV14" s="229"/>
      <c r="EW14" s="229"/>
      <c r="EX14" s="229"/>
      <c r="EY14" s="229"/>
      <c r="EZ14" s="229"/>
      <c r="FA14" s="229"/>
      <c r="FB14" s="229"/>
      <c r="FC14" s="229"/>
      <c r="FD14" s="229"/>
      <c r="FE14" s="229"/>
      <c r="FF14" s="229"/>
      <c r="FG14" s="229"/>
      <c r="FH14" s="229"/>
      <c r="FI14" s="229"/>
      <c r="FJ14" s="229"/>
      <c r="FK14" s="229"/>
      <c r="FL14" s="229"/>
      <c r="FM14" s="229"/>
      <c r="FN14" s="229"/>
      <c r="FO14" s="229"/>
      <c r="FP14" s="229"/>
      <c r="FQ14" s="229"/>
      <c r="FR14" s="229"/>
      <c r="FS14" s="229"/>
      <c r="FT14" s="229"/>
      <c r="FU14" s="229"/>
      <c r="FV14" s="229"/>
      <c r="FW14" s="229"/>
      <c r="FX14" s="229"/>
      <c r="FY14" s="229"/>
      <c r="FZ14" s="229"/>
      <c r="GA14" s="229"/>
      <c r="GB14" s="229"/>
      <c r="GC14" s="229"/>
      <c r="GD14" s="229"/>
      <c r="GE14" s="229"/>
      <c r="GF14" s="229"/>
      <c r="GG14" s="229"/>
      <c r="GH14" s="229"/>
      <c r="GI14" s="229"/>
      <c r="GJ14" s="229"/>
      <c r="GK14" s="229"/>
      <c r="GL14" s="229"/>
      <c r="GM14" s="229"/>
      <c r="GN14" s="229"/>
      <c r="GO14" s="229"/>
      <c r="GP14" s="229"/>
      <c r="GQ14" s="229"/>
      <c r="GR14" s="229"/>
      <c r="GS14" s="229"/>
    </row>
    <row r="15" spans="1:201" x14ac:dyDescent="0.2">
      <c r="A15" s="7" t="s">
        <v>21</v>
      </c>
      <c r="B15" s="26">
        <f t="shared" ref="B15:BM15" si="9">B6/B9</f>
        <v>0.25365853658536586</v>
      </c>
      <c r="C15" s="26">
        <f t="shared" si="9"/>
        <v>0.52795031055900621</v>
      </c>
      <c r="D15" s="26">
        <f t="shared" si="9"/>
        <v>0.11261691676199448</v>
      </c>
      <c r="E15" s="26">
        <f t="shared" si="9"/>
        <v>0.99776428466558031</v>
      </c>
      <c r="F15" s="26">
        <f t="shared" si="9"/>
        <v>0.33333333333333331</v>
      </c>
      <c r="G15" s="26" t="e">
        <f t="shared" si="9"/>
        <v>#DIV/0!</v>
      </c>
      <c r="H15" s="26" t="e">
        <f t="shared" si="9"/>
        <v>#DIV/0!</v>
      </c>
      <c r="I15" s="26" t="e">
        <f t="shared" si="9"/>
        <v>#DIV/0!</v>
      </c>
      <c r="J15" s="26" t="e">
        <f t="shared" si="9"/>
        <v>#DIV/0!</v>
      </c>
      <c r="K15" s="26" t="e">
        <f t="shared" si="9"/>
        <v>#DIV/0!</v>
      </c>
      <c r="L15" s="26" t="e">
        <f t="shared" si="9"/>
        <v>#DIV/0!</v>
      </c>
      <c r="M15" s="26" t="e">
        <f t="shared" si="9"/>
        <v>#DIV/0!</v>
      </c>
      <c r="N15" s="26" t="e">
        <f t="shared" si="9"/>
        <v>#DIV/0!</v>
      </c>
      <c r="O15" s="26" t="e">
        <f t="shared" si="9"/>
        <v>#DIV/0!</v>
      </c>
      <c r="P15" s="26" t="e">
        <f t="shared" si="9"/>
        <v>#DIV/0!</v>
      </c>
      <c r="Q15" s="26" t="e">
        <f t="shared" si="9"/>
        <v>#DIV/0!</v>
      </c>
      <c r="R15" s="26" t="e">
        <f t="shared" si="9"/>
        <v>#DIV/0!</v>
      </c>
      <c r="S15" s="26" t="e">
        <f t="shared" si="9"/>
        <v>#DIV/0!</v>
      </c>
      <c r="T15" s="26" t="e">
        <f t="shared" si="9"/>
        <v>#DIV/0!</v>
      </c>
      <c r="U15" s="26" t="e">
        <f t="shared" si="9"/>
        <v>#DIV/0!</v>
      </c>
      <c r="V15" s="26" t="e">
        <f t="shared" si="9"/>
        <v>#DIV/0!</v>
      </c>
      <c r="W15" s="26" t="e">
        <f t="shared" si="9"/>
        <v>#DIV/0!</v>
      </c>
      <c r="X15" s="26" t="e">
        <f t="shared" si="9"/>
        <v>#DIV/0!</v>
      </c>
      <c r="Y15" s="26" t="e">
        <f t="shared" si="9"/>
        <v>#DIV/0!</v>
      </c>
      <c r="Z15" s="26" t="e">
        <f t="shared" si="9"/>
        <v>#DIV/0!</v>
      </c>
      <c r="AA15" s="26" t="e">
        <f t="shared" si="9"/>
        <v>#DIV/0!</v>
      </c>
      <c r="AB15" s="26" t="e">
        <f t="shared" si="9"/>
        <v>#DIV/0!</v>
      </c>
      <c r="AC15" s="26" t="e">
        <f t="shared" si="9"/>
        <v>#DIV/0!</v>
      </c>
      <c r="AD15" s="26" t="e">
        <f t="shared" si="9"/>
        <v>#DIV/0!</v>
      </c>
      <c r="AE15" s="26" t="e">
        <f t="shared" si="9"/>
        <v>#DIV/0!</v>
      </c>
      <c r="AF15" s="26" t="e">
        <f t="shared" si="9"/>
        <v>#DIV/0!</v>
      </c>
      <c r="AG15" s="26" t="e">
        <f t="shared" si="9"/>
        <v>#DIV/0!</v>
      </c>
      <c r="AH15" s="26" t="e">
        <f t="shared" si="9"/>
        <v>#DIV/0!</v>
      </c>
      <c r="AI15" s="26" t="e">
        <f t="shared" si="9"/>
        <v>#DIV/0!</v>
      </c>
      <c r="AJ15" s="26" t="e">
        <f t="shared" si="9"/>
        <v>#DIV/0!</v>
      </c>
      <c r="AK15" s="26" t="e">
        <f t="shared" si="9"/>
        <v>#DIV/0!</v>
      </c>
      <c r="AL15" s="26" t="e">
        <f t="shared" si="9"/>
        <v>#DIV/0!</v>
      </c>
      <c r="AM15" s="26" t="e">
        <f t="shared" si="9"/>
        <v>#DIV/0!</v>
      </c>
      <c r="AN15" s="26" t="e">
        <f t="shared" si="9"/>
        <v>#DIV/0!</v>
      </c>
      <c r="AO15" s="26" t="e">
        <f t="shared" si="9"/>
        <v>#DIV/0!</v>
      </c>
      <c r="AP15" s="26" t="e">
        <f t="shared" si="9"/>
        <v>#DIV/0!</v>
      </c>
      <c r="AQ15" s="26" t="e">
        <f t="shared" si="9"/>
        <v>#DIV/0!</v>
      </c>
      <c r="AR15" s="26" t="e">
        <f t="shared" si="9"/>
        <v>#DIV/0!</v>
      </c>
      <c r="AS15" s="26" t="e">
        <f t="shared" si="9"/>
        <v>#DIV/0!</v>
      </c>
      <c r="AT15" s="26" t="e">
        <f t="shared" si="9"/>
        <v>#DIV/0!</v>
      </c>
      <c r="AU15" s="26" t="e">
        <f t="shared" si="9"/>
        <v>#DIV/0!</v>
      </c>
      <c r="AV15" s="26" t="e">
        <f t="shared" si="9"/>
        <v>#DIV/0!</v>
      </c>
      <c r="AW15" s="26" t="e">
        <f t="shared" si="9"/>
        <v>#DIV/0!</v>
      </c>
      <c r="AX15" s="26" t="e">
        <f t="shared" si="9"/>
        <v>#DIV/0!</v>
      </c>
      <c r="AY15" s="26" t="e">
        <f t="shared" si="9"/>
        <v>#DIV/0!</v>
      </c>
      <c r="AZ15" s="26" t="e">
        <f t="shared" si="9"/>
        <v>#DIV/0!</v>
      </c>
      <c r="BA15" s="26" t="e">
        <f t="shared" si="9"/>
        <v>#DIV/0!</v>
      </c>
      <c r="BB15" s="26" t="e">
        <f t="shared" si="9"/>
        <v>#DIV/0!</v>
      </c>
      <c r="BC15" s="26" t="e">
        <f t="shared" si="9"/>
        <v>#DIV/0!</v>
      </c>
      <c r="BD15" s="26" t="e">
        <f t="shared" si="9"/>
        <v>#DIV/0!</v>
      </c>
      <c r="BE15" s="26" t="e">
        <f t="shared" si="9"/>
        <v>#DIV/0!</v>
      </c>
      <c r="BF15" s="26" t="e">
        <f t="shared" si="9"/>
        <v>#DIV/0!</v>
      </c>
      <c r="BG15" s="26" t="e">
        <f t="shared" si="9"/>
        <v>#DIV/0!</v>
      </c>
      <c r="BH15" s="26" t="e">
        <f t="shared" si="9"/>
        <v>#DIV/0!</v>
      </c>
      <c r="BI15" s="26" t="e">
        <f t="shared" si="9"/>
        <v>#DIV/0!</v>
      </c>
      <c r="BJ15" s="26" t="e">
        <f t="shared" si="9"/>
        <v>#DIV/0!</v>
      </c>
      <c r="BK15" s="26" t="e">
        <f t="shared" si="9"/>
        <v>#DIV/0!</v>
      </c>
      <c r="BL15" s="26" t="e">
        <f t="shared" si="9"/>
        <v>#DIV/0!</v>
      </c>
      <c r="BM15" s="26" t="e">
        <f t="shared" si="9"/>
        <v>#DIV/0!</v>
      </c>
      <c r="BN15" s="26" t="e">
        <f t="shared" ref="BN15:CW15" si="10">BN6/BN9</f>
        <v>#DIV/0!</v>
      </c>
      <c r="BO15" s="26" t="e">
        <f t="shared" si="10"/>
        <v>#DIV/0!</v>
      </c>
      <c r="BP15" s="26" t="e">
        <f t="shared" si="10"/>
        <v>#DIV/0!</v>
      </c>
      <c r="BQ15" s="26" t="e">
        <f t="shared" si="10"/>
        <v>#DIV/0!</v>
      </c>
      <c r="BR15" s="26" t="e">
        <f t="shared" si="10"/>
        <v>#DIV/0!</v>
      </c>
      <c r="BS15" s="26" t="e">
        <f t="shared" si="10"/>
        <v>#DIV/0!</v>
      </c>
      <c r="BT15" s="26" t="e">
        <f t="shared" si="10"/>
        <v>#DIV/0!</v>
      </c>
      <c r="BU15" s="26" t="e">
        <f t="shared" si="10"/>
        <v>#DIV/0!</v>
      </c>
      <c r="BV15" s="26" t="e">
        <f t="shared" si="10"/>
        <v>#DIV/0!</v>
      </c>
      <c r="BW15" s="26" t="e">
        <f t="shared" si="10"/>
        <v>#DIV/0!</v>
      </c>
      <c r="BX15" s="26" t="e">
        <f t="shared" si="10"/>
        <v>#DIV/0!</v>
      </c>
      <c r="BY15" s="26" t="e">
        <f t="shared" si="10"/>
        <v>#DIV/0!</v>
      </c>
      <c r="BZ15" s="26" t="e">
        <f t="shared" si="10"/>
        <v>#DIV/0!</v>
      </c>
      <c r="CA15" s="26" t="e">
        <f t="shared" si="10"/>
        <v>#DIV/0!</v>
      </c>
      <c r="CB15" s="26" t="e">
        <f t="shared" si="10"/>
        <v>#DIV/0!</v>
      </c>
      <c r="CC15" s="26" t="e">
        <f t="shared" si="10"/>
        <v>#DIV/0!</v>
      </c>
      <c r="CD15" s="26" t="e">
        <f t="shared" si="10"/>
        <v>#DIV/0!</v>
      </c>
      <c r="CE15" s="26" t="e">
        <f t="shared" si="10"/>
        <v>#DIV/0!</v>
      </c>
      <c r="CF15" s="26" t="e">
        <f t="shared" si="10"/>
        <v>#DIV/0!</v>
      </c>
      <c r="CG15" s="26" t="e">
        <f t="shared" si="10"/>
        <v>#DIV/0!</v>
      </c>
      <c r="CH15" s="26" t="e">
        <f t="shared" si="10"/>
        <v>#DIV/0!</v>
      </c>
      <c r="CI15" s="26" t="e">
        <f t="shared" si="10"/>
        <v>#DIV/0!</v>
      </c>
      <c r="CJ15" s="26" t="e">
        <f t="shared" si="10"/>
        <v>#DIV/0!</v>
      </c>
      <c r="CK15" s="26" t="e">
        <f t="shared" si="10"/>
        <v>#DIV/0!</v>
      </c>
      <c r="CL15" s="26" t="e">
        <f t="shared" si="10"/>
        <v>#DIV/0!</v>
      </c>
      <c r="CM15" s="26" t="e">
        <f t="shared" si="10"/>
        <v>#DIV/0!</v>
      </c>
      <c r="CN15" s="26" t="e">
        <f t="shared" si="10"/>
        <v>#DIV/0!</v>
      </c>
      <c r="CO15" s="26" t="e">
        <f t="shared" si="10"/>
        <v>#DIV/0!</v>
      </c>
      <c r="CP15" s="26" t="e">
        <f t="shared" si="10"/>
        <v>#DIV/0!</v>
      </c>
      <c r="CQ15" s="26" t="e">
        <f t="shared" si="10"/>
        <v>#DIV/0!</v>
      </c>
      <c r="CR15" s="26" t="e">
        <f t="shared" si="10"/>
        <v>#DIV/0!</v>
      </c>
      <c r="CS15" s="26" t="e">
        <f t="shared" si="10"/>
        <v>#DIV/0!</v>
      </c>
      <c r="CT15" s="26" t="e">
        <f t="shared" si="10"/>
        <v>#DIV/0!</v>
      </c>
      <c r="CU15" s="26" t="e">
        <f t="shared" si="10"/>
        <v>#DIV/0!</v>
      </c>
      <c r="CV15" s="26" t="e">
        <f t="shared" si="10"/>
        <v>#DIV/0!</v>
      </c>
      <c r="CW15" s="26" t="e">
        <f t="shared" si="10"/>
        <v>#DIV/0!</v>
      </c>
      <c r="CX15" s="27"/>
      <c r="CY15" s="27"/>
      <c r="CZ15" s="27"/>
      <c r="DA15" s="27"/>
      <c r="DB15" s="27"/>
      <c r="DC15" s="27"/>
      <c r="DD15" s="27"/>
      <c r="DE15" s="27"/>
      <c r="DF15" s="27"/>
      <c r="DG15" s="27"/>
      <c r="DH15" s="26"/>
      <c r="DI15" s="27"/>
      <c r="DJ15" s="27"/>
      <c r="DK15" s="27"/>
      <c r="DL15" s="27"/>
      <c r="DM15" s="27"/>
      <c r="DN15" s="27"/>
      <c r="DO15" s="27"/>
      <c r="DP15" s="27"/>
      <c r="DQ15" s="27"/>
      <c r="DR15" s="27"/>
      <c r="DS15" s="26"/>
      <c r="DT15" s="27"/>
      <c r="DU15" s="27"/>
      <c r="DV15" s="27"/>
      <c r="DW15" s="27"/>
      <c r="DX15" s="27"/>
      <c r="DY15" s="27"/>
      <c r="DZ15" s="27"/>
      <c r="EA15" s="27"/>
      <c r="EB15" s="27"/>
      <c r="EC15" s="27"/>
      <c r="ED15" s="26"/>
      <c r="EE15" s="27"/>
      <c r="EF15" s="27"/>
      <c r="EG15" s="27"/>
      <c r="EH15" s="27"/>
      <c r="EI15" s="27"/>
      <c r="EJ15" s="27"/>
      <c r="EK15" s="27"/>
      <c r="EL15" s="27"/>
      <c r="EM15" s="27"/>
      <c r="EN15" s="27"/>
      <c r="EO15" s="26"/>
      <c r="EP15" s="27"/>
      <c r="EQ15" s="27"/>
      <c r="ER15" s="27"/>
      <c r="ES15" s="27"/>
      <c r="ET15" s="27"/>
      <c r="EU15" s="27"/>
      <c r="EV15" s="27"/>
      <c r="EW15" s="27"/>
      <c r="EX15" s="27"/>
      <c r="EY15" s="27"/>
      <c r="EZ15" s="26"/>
      <c r="FA15" s="27"/>
      <c r="FB15" s="27"/>
      <c r="FC15" s="27"/>
      <c r="FD15" s="27"/>
      <c r="FE15" s="27"/>
      <c r="FF15" s="27"/>
      <c r="FG15" s="27"/>
      <c r="FH15" s="27"/>
      <c r="FI15" s="27"/>
      <c r="FJ15" s="27"/>
      <c r="FK15" s="26"/>
      <c r="FL15" s="27"/>
      <c r="FM15" s="27"/>
      <c r="FN15" s="27"/>
      <c r="FO15" s="27"/>
      <c r="FP15" s="27"/>
      <c r="FQ15" s="27"/>
      <c r="FR15" s="27"/>
      <c r="FS15" s="27"/>
      <c r="FT15" s="27"/>
      <c r="FU15" s="27"/>
      <c r="FV15" s="26"/>
      <c r="FW15" s="27"/>
      <c r="FX15" s="27"/>
      <c r="FY15" s="27"/>
      <c r="FZ15" s="27"/>
      <c r="GA15" s="27"/>
      <c r="GB15" s="27"/>
      <c r="GC15" s="27"/>
      <c r="GD15" s="27"/>
      <c r="GE15" s="27"/>
      <c r="GF15" s="27"/>
      <c r="GG15" s="26"/>
      <c r="GH15" s="27"/>
      <c r="GI15" s="27"/>
      <c r="GJ15" s="27"/>
      <c r="GK15" s="27"/>
      <c r="GL15" s="27"/>
      <c r="GM15" s="27"/>
      <c r="GN15" s="27"/>
      <c r="GO15" s="27"/>
      <c r="GP15" s="27"/>
      <c r="GQ15" s="27"/>
      <c r="GR15" s="26"/>
      <c r="GS15" s="27"/>
    </row>
    <row r="16" spans="1:201" x14ac:dyDescent="0.2">
      <c r="A16" s="7" t="s">
        <v>22</v>
      </c>
      <c r="B16" s="26">
        <f t="shared" ref="B16:BM16" si="11">B7/B9</f>
        <v>0.28292682926829266</v>
      </c>
      <c r="C16" s="26">
        <f t="shared" si="11"/>
        <v>0.2360248447204969</v>
      </c>
      <c r="D16" s="26">
        <f t="shared" si="11"/>
        <v>0.88623914945158466</v>
      </c>
      <c r="E16" s="26">
        <f t="shared" si="11"/>
        <v>9.9720462900644395E-4</v>
      </c>
      <c r="F16" s="26">
        <f t="shared" si="11"/>
        <v>0.33333333333333331</v>
      </c>
      <c r="G16" s="26" t="e">
        <f t="shared" si="11"/>
        <v>#DIV/0!</v>
      </c>
      <c r="H16" s="26" t="e">
        <f t="shared" si="11"/>
        <v>#DIV/0!</v>
      </c>
      <c r="I16" s="26" t="e">
        <f t="shared" si="11"/>
        <v>#DIV/0!</v>
      </c>
      <c r="J16" s="26" t="e">
        <f t="shared" si="11"/>
        <v>#DIV/0!</v>
      </c>
      <c r="K16" s="26" t="e">
        <f t="shared" si="11"/>
        <v>#DIV/0!</v>
      </c>
      <c r="L16" s="26" t="e">
        <f t="shared" si="11"/>
        <v>#DIV/0!</v>
      </c>
      <c r="M16" s="26" t="e">
        <f t="shared" si="11"/>
        <v>#DIV/0!</v>
      </c>
      <c r="N16" s="26" t="e">
        <f t="shared" si="11"/>
        <v>#DIV/0!</v>
      </c>
      <c r="O16" s="26" t="e">
        <f t="shared" si="11"/>
        <v>#DIV/0!</v>
      </c>
      <c r="P16" s="26" t="e">
        <f t="shared" si="11"/>
        <v>#DIV/0!</v>
      </c>
      <c r="Q16" s="26" t="e">
        <f t="shared" si="11"/>
        <v>#DIV/0!</v>
      </c>
      <c r="R16" s="26" t="e">
        <f t="shared" si="11"/>
        <v>#DIV/0!</v>
      </c>
      <c r="S16" s="26" t="e">
        <f t="shared" si="11"/>
        <v>#DIV/0!</v>
      </c>
      <c r="T16" s="26" t="e">
        <f t="shared" si="11"/>
        <v>#DIV/0!</v>
      </c>
      <c r="U16" s="26" t="e">
        <f t="shared" si="11"/>
        <v>#DIV/0!</v>
      </c>
      <c r="V16" s="26" t="e">
        <f t="shared" si="11"/>
        <v>#DIV/0!</v>
      </c>
      <c r="W16" s="26" t="e">
        <f t="shared" si="11"/>
        <v>#DIV/0!</v>
      </c>
      <c r="X16" s="26" t="e">
        <f t="shared" si="11"/>
        <v>#DIV/0!</v>
      </c>
      <c r="Y16" s="26" t="e">
        <f t="shared" si="11"/>
        <v>#DIV/0!</v>
      </c>
      <c r="Z16" s="26" t="e">
        <f t="shared" si="11"/>
        <v>#DIV/0!</v>
      </c>
      <c r="AA16" s="26" t="e">
        <f t="shared" si="11"/>
        <v>#DIV/0!</v>
      </c>
      <c r="AB16" s="26" t="e">
        <f t="shared" si="11"/>
        <v>#DIV/0!</v>
      </c>
      <c r="AC16" s="26" t="e">
        <f t="shared" si="11"/>
        <v>#DIV/0!</v>
      </c>
      <c r="AD16" s="26" t="e">
        <f t="shared" si="11"/>
        <v>#DIV/0!</v>
      </c>
      <c r="AE16" s="26" t="e">
        <f t="shared" si="11"/>
        <v>#DIV/0!</v>
      </c>
      <c r="AF16" s="26" t="e">
        <f t="shared" si="11"/>
        <v>#DIV/0!</v>
      </c>
      <c r="AG16" s="26" t="e">
        <f t="shared" si="11"/>
        <v>#DIV/0!</v>
      </c>
      <c r="AH16" s="26" t="e">
        <f t="shared" si="11"/>
        <v>#DIV/0!</v>
      </c>
      <c r="AI16" s="26" t="e">
        <f t="shared" si="11"/>
        <v>#DIV/0!</v>
      </c>
      <c r="AJ16" s="26" t="e">
        <f t="shared" si="11"/>
        <v>#DIV/0!</v>
      </c>
      <c r="AK16" s="26" t="e">
        <f t="shared" si="11"/>
        <v>#DIV/0!</v>
      </c>
      <c r="AL16" s="26" t="e">
        <f t="shared" si="11"/>
        <v>#DIV/0!</v>
      </c>
      <c r="AM16" s="26" t="e">
        <f t="shared" si="11"/>
        <v>#DIV/0!</v>
      </c>
      <c r="AN16" s="26" t="e">
        <f t="shared" si="11"/>
        <v>#DIV/0!</v>
      </c>
      <c r="AO16" s="26" t="e">
        <f t="shared" si="11"/>
        <v>#DIV/0!</v>
      </c>
      <c r="AP16" s="26" t="e">
        <f t="shared" si="11"/>
        <v>#DIV/0!</v>
      </c>
      <c r="AQ16" s="26" t="e">
        <f t="shared" si="11"/>
        <v>#DIV/0!</v>
      </c>
      <c r="AR16" s="26" t="e">
        <f t="shared" si="11"/>
        <v>#DIV/0!</v>
      </c>
      <c r="AS16" s="26" t="e">
        <f t="shared" si="11"/>
        <v>#DIV/0!</v>
      </c>
      <c r="AT16" s="26" t="e">
        <f t="shared" si="11"/>
        <v>#DIV/0!</v>
      </c>
      <c r="AU16" s="26" t="e">
        <f t="shared" si="11"/>
        <v>#DIV/0!</v>
      </c>
      <c r="AV16" s="26" t="e">
        <f t="shared" si="11"/>
        <v>#DIV/0!</v>
      </c>
      <c r="AW16" s="26" t="e">
        <f t="shared" si="11"/>
        <v>#DIV/0!</v>
      </c>
      <c r="AX16" s="26" t="e">
        <f t="shared" si="11"/>
        <v>#DIV/0!</v>
      </c>
      <c r="AY16" s="26" t="e">
        <f t="shared" si="11"/>
        <v>#DIV/0!</v>
      </c>
      <c r="AZ16" s="26" t="e">
        <f t="shared" si="11"/>
        <v>#DIV/0!</v>
      </c>
      <c r="BA16" s="26" t="e">
        <f t="shared" si="11"/>
        <v>#DIV/0!</v>
      </c>
      <c r="BB16" s="26" t="e">
        <f t="shared" si="11"/>
        <v>#DIV/0!</v>
      </c>
      <c r="BC16" s="26" t="e">
        <f t="shared" si="11"/>
        <v>#DIV/0!</v>
      </c>
      <c r="BD16" s="26" t="e">
        <f t="shared" si="11"/>
        <v>#DIV/0!</v>
      </c>
      <c r="BE16" s="26" t="e">
        <f t="shared" si="11"/>
        <v>#DIV/0!</v>
      </c>
      <c r="BF16" s="26" t="e">
        <f t="shared" si="11"/>
        <v>#DIV/0!</v>
      </c>
      <c r="BG16" s="26" t="e">
        <f t="shared" si="11"/>
        <v>#DIV/0!</v>
      </c>
      <c r="BH16" s="26" t="e">
        <f t="shared" si="11"/>
        <v>#DIV/0!</v>
      </c>
      <c r="BI16" s="26" t="e">
        <f t="shared" si="11"/>
        <v>#DIV/0!</v>
      </c>
      <c r="BJ16" s="26" t="e">
        <f t="shared" si="11"/>
        <v>#DIV/0!</v>
      </c>
      <c r="BK16" s="26" t="e">
        <f t="shared" si="11"/>
        <v>#DIV/0!</v>
      </c>
      <c r="BL16" s="26" t="e">
        <f t="shared" si="11"/>
        <v>#DIV/0!</v>
      </c>
      <c r="BM16" s="26" t="e">
        <f t="shared" si="11"/>
        <v>#DIV/0!</v>
      </c>
      <c r="BN16" s="26" t="e">
        <f t="shared" ref="BN16:CW16" si="12">BN7/BN9</f>
        <v>#DIV/0!</v>
      </c>
      <c r="BO16" s="26" t="e">
        <f t="shared" si="12"/>
        <v>#DIV/0!</v>
      </c>
      <c r="BP16" s="26" t="e">
        <f t="shared" si="12"/>
        <v>#DIV/0!</v>
      </c>
      <c r="BQ16" s="26" t="e">
        <f t="shared" si="12"/>
        <v>#DIV/0!</v>
      </c>
      <c r="BR16" s="26" t="e">
        <f t="shared" si="12"/>
        <v>#DIV/0!</v>
      </c>
      <c r="BS16" s="26" t="e">
        <f t="shared" si="12"/>
        <v>#DIV/0!</v>
      </c>
      <c r="BT16" s="26" t="e">
        <f t="shared" si="12"/>
        <v>#DIV/0!</v>
      </c>
      <c r="BU16" s="26" t="e">
        <f t="shared" si="12"/>
        <v>#DIV/0!</v>
      </c>
      <c r="BV16" s="26" t="e">
        <f t="shared" si="12"/>
        <v>#DIV/0!</v>
      </c>
      <c r="BW16" s="26" t="e">
        <f t="shared" si="12"/>
        <v>#DIV/0!</v>
      </c>
      <c r="BX16" s="26" t="e">
        <f t="shared" si="12"/>
        <v>#DIV/0!</v>
      </c>
      <c r="BY16" s="26" t="e">
        <f t="shared" si="12"/>
        <v>#DIV/0!</v>
      </c>
      <c r="BZ16" s="26" t="e">
        <f t="shared" si="12"/>
        <v>#DIV/0!</v>
      </c>
      <c r="CA16" s="26" t="e">
        <f t="shared" si="12"/>
        <v>#DIV/0!</v>
      </c>
      <c r="CB16" s="26" t="e">
        <f t="shared" si="12"/>
        <v>#DIV/0!</v>
      </c>
      <c r="CC16" s="26" t="e">
        <f t="shared" si="12"/>
        <v>#DIV/0!</v>
      </c>
      <c r="CD16" s="26" t="e">
        <f t="shared" si="12"/>
        <v>#DIV/0!</v>
      </c>
      <c r="CE16" s="26" t="e">
        <f t="shared" si="12"/>
        <v>#DIV/0!</v>
      </c>
      <c r="CF16" s="26" t="e">
        <f t="shared" si="12"/>
        <v>#DIV/0!</v>
      </c>
      <c r="CG16" s="26" t="e">
        <f t="shared" si="12"/>
        <v>#DIV/0!</v>
      </c>
      <c r="CH16" s="26" t="e">
        <f t="shared" si="12"/>
        <v>#DIV/0!</v>
      </c>
      <c r="CI16" s="26" t="e">
        <f t="shared" si="12"/>
        <v>#DIV/0!</v>
      </c>
      <c r="CJ16" s="26" t="e">
        <f t="shared" si="12"/>
        <v>#DIV/0!</v>
      </c>
      <c r="CK16" s="26" t="e">
        <f t="shared" si="12"/>
        <v>#DIV/0!</v>
      </c>
      <c r="CL16" s="26" t="e">
        <f t="shared" si="12"/>
        <v>#DIV/0!</v>
      </c>
      <c r="CM16" s="26" t="e">
        <f t="shared" si="12"/>
        <v>#DIV/0!</v>
      </c>
      <c r="CN16" s="26" t="e">
        <f t="shared" si="12"/>
        <v>#DIV/0!</v>
      </c>
      <c r="CO16" s="26" t="e">
        <f t="shared" si="12"/>
        <v>#DIV/0!</v>
      </c>
      <c r="CP16" s="26" t="e">
        <f t="shared" si="12"/>
        <v>#DIV/0!</v>
      </c>
      <c r="CQ16" s="26" t="e">
        <f t="shared" si="12"/>
        <v>#DIV/0!</v>
      </c>
      <c r="CR16" s="26" t="e">
        <f t="shared" si="12"/>
        <v>#DIV/0!</v>
      </c>
      <c r="CS16" s="26" t="e">
        <f t="shared" si="12"/>
        <v>#DIV/0!</v>
      </c>
      <c r="CT16" s="26" t="e">
        <f t="shared" si="12"/>
        <v>#DIV/0!</v>
      </c>
      <c r="CU16" s="26" t="e">
        <f t="shared" si="12"/>
        <v>#DIV/0!</v>
      </c>
      <c r="CV16" s="26" t="e">
        <f t="shared" si="12"/>
        <v>#DIV/0!</v>
      </c>
      <c r="CW16" s="26" t="e">
        <f t="shared" si="12"/>
        <v>#DIV/0!</v>
      </c>
      <c r="CX16" s="27"/>
      <c r="CY16" s="27"/>
      <c r="CZ16" s="27"/>
      <c r="DA16" s="27"/>
      <c r="DB16" s="27"/>
      <c r="DC16" s="27"/>
      <c r="DD16" s="27"/>
      <c r="DE16" s="27"/>
      <c r="DF16" s="27"/>
      <c r="DG16" s="27"/>
      <c r="DH16" s="26"/>
      <c r="DI16" s="27"/>
      <c r="DJ16" s="27"/>
      <c r="DK16" s="27"/>
      <c r="DL16" s="27"/>
      <c r="DM16" s="27"/>
      <c r="DN16" s="27"/>
      <c r="DO16" s="27"/>
      <c r="DP16" s="27"/>
      <c r="DQ16" s="27"/>
      <c r="DR16" s="27"/>
      <c r="DS16" s="26"/>
      <c r="DT16" s="27"/>
      <c r="DU16" s="27"/>
      <c r="DV16" s="27"/>
      <c r="DW16" s="27"/>
      <c r="DX16" s="27"/>
      <c r="DY16" s="27"/>
      <c r="DZ16" s="27"/>
      <c r="EA16" s="27"/>
      <c r="EB16" s="27"/>
      <c r="EC16" s="27"/>
      <c r="ED16" s="26"/>
      <c r="EE16" s="27"/>
      <c r="EF16" s="27"/>
      <c r="EG16" s="27"/>
      <c r="EH16" s="27"/>
      <c r="EI16" s="27"/>
      <c r="EJ16" s="27"/>
      <c r="EK16" s="27"/>
      <c r="EL16" s="27"/>
      <c r="EM16" s="27"/>
      <c r="EN16" s="27"/>
      <c r="EO16" s="26"/>
      <c r="EP16" s="27"/>
      <c r="EQ16" s="27"/>
      <c r="ER16" s="27"/>
      <c r="ES16" s="27"/>
      <c r="ET16" s="27"/>
      <c r="EU16" s="27"/>
      <c r="EV16" s="27"/>
      <c r="EW16" s="27"/>
      <c r="EX16" s="27"/>
      <c r="EY16" s="27"/>
      <c r="EZ16" s="26"/>
      <c r="FA16" s="27"/>
      <c r="FB16" s="27"/>
      <c r="FC16" s="27"/>
      <c r="FD16" s="27"/>
      <c r="FE16" s="27"/>
      <c r="FF16" s="27"/>
      <c r="FG16" s="27"/>
      <c r="FH16" s="27"/>
      <c r="FI16" s="27"/>
      <c r="FJ16" s="27"/>
      <c r="FK16" s="26"/>
      <c r="FL16" s="27"/>
      <c r="FM16" s="27"/>
      <c r="FN16" s="27"/>
      <c r="FO16" s="27"/>
      <c r="FP16" s="27"/>
      <c r="FQ16" s="27"/>
      <c r="FR16" s="27"/>
      <c r="FS16" s="27"/>
      <c r="FT16" s="27"/>
      <c r="FU16" s="27"/>
      <c r="FV16" s="26"/>
      <c r="FW16" s="27"/>
      <c r="FX16" s="27"/>
      <c r="FY16" s="27"/>
      <c r="FZ16" s="27"/>
      <c r="GA16" s="27"/>
      <c r="GB16" s="27"/>
      <c r="GC16" s="27"/>
      <c r="GD16" s="27"/>
      <c r="GE16" s="27"/>
      <c r="GF16" s="27"/>
      <c r="GG16" s="26"/>
      <c r="GH16" s="27"/>
      <c r="GI16" s="27"/>
      <c r="GJ16" s="27"/>
      <c r="GK16" s="27"/>
      <c r="GL16" s="27"/>
      <c r="GM16" s="27"/>
      <c r="GN16" s="27"/>
      <c r="GO16" s="27"/>
      <c r="GP16" s="27"/>
      <c r="GQ16" s="27"/>
      <c r="GR16" s="26"/>
      <c r="GS16" s="27"/>
    </row>
    <row r="17" spans="1:255" x14ac:dyDescent="0.2">
      <c r="A17" s="8" t="s">
        <v>23</v>
      </c>
      <c r="B17" s="30">
        <f t="shared" ref="B17:BM17" si="13">B8/B9</f>
        <v>0.46341463414634149</v>
      </c>
      <c r="C17" s="30">
        <f t="shared" si="13"/>
        <v>0.2360248447204969</v>
      </c>
      <c r="D17" s="30">
        <f t="shared" si="13"/>
        <v>1.1439337864208332E-3</v>
      </c>
      <c r="E17" s="30">
        <f t="shared" si="13"/>
        <v>1.2385107054132512E-3</v>
      </c>
      <c r="F17" s="30">
        <f t="shared" si="13"/>
        <v>0.33333333333333331</v>
      </c>
      <c r="G17" s="30" t="e">
        <f t="shared" si="13"/>
        <v>#DIV/0!</v>
      </c>
      <c r="H17" s="30" t="e">
        <f t="shared" si="13"/>
        <v>#DIV/0!</v>
      </c>
      <c r="I17" s="30" t="e">
        <f t="shared" si="13"/>
        <v>#DIV/0!</v>
      </c>
      <c r="J17" s="30" t="e">
        <f t="shared" si="13"/>
        <v>#DIV/0!</v>
      </c>
      <c r="K17" s="30" t="e">
        <f t="shared" si="13"/>
        <v>#DIV/0!</v>
      </c>
      <c r="L17" s="30" t="e">
        <f t="shared" si="13"/>
        <v>#DIV/0!</v>
      </c>
      <c r="M17" s="30" t="e">
        <f t="shared" si="13"/>
        <v>#DIV/0!</v>
      </c>
      <c r="N17" s="30" t="e">
        <f t="shared" si="13"/>
        <v>#DIV/0!</v>
      </c>
      <c r="O17" s="30" t="e">
        <f t="shared" si="13"/>
        <v>#DIV/0!</v>
      </c>
      <c r="P17" s="30" t="e">
        <f t="shared" si="13"/>
        <v>#DIV/0!</v>
      </c>
      <c r="Q17" s="30" t="e">
        <f t="shared" si="13"/>
        <v>#DIV/0!</v>
      </c>
      <c r="R17" s="30" t="e">
        <f t="shared" si="13"/>
        <v>#DIV/0!</v>
      </c>
      <c r="S17" s="30" t="e">
        <f t="shared" si="13"/>
        <v>#DIV/0!</v>
      </c>
      <c r="T17" s="30" t="e">
        <f t="shared" si="13"/>
        <v>#DIV/0!</v>
      </c>
      <c r="U17" s="30" t="e">
        <f t="shared" si="13"/>
        <v>#DIV/0!</v>
      </c>
      <c r="V17" s="30" t="e">
        <f t="shared" si="13"/>
        <v>#DIV/0!</v>
      </c>
      <c r="W17" s="30" t="e">
        <f t="shared" si="13"/>
        <v>#DIV/0!</v>
      </c>
      <c r="X17" s="30" t="e">
        <f t="shared" si="13"/>
        <v>#DIV/0!</v>
      </c>
      <c r="Y17" s="30" t="e">
        <f t="shared" si="13"/>
        <v>#DIV/0!</v>
      </c>
      <c r="Z17" s="30" t="e">
        <f t="shared" si="13"/>
        <v>#DIV/0!</v>
      </c>
      <c r="AA17" s="30" t="e">
        <f t="shared" si="13"/>
        <v>#DIV/0!</v>
      </c>
      <c r="AB17" s="30" t="e">
        <f t="shared" si="13"/>
        <v>#DIV/0!</v>
      </c>
      <c r="AC17" s="30" t="e">
        <f t="shared" si="13"/>
        <v>#DIV/0!</v>
      </c>
      <c r="AD17" s="30" t="e">
        <f t="shared" si="13"/>
        <v>#DIV/0!</v>
      </c>
      <c r="AE17" s="30" t="e">
        <f t="shared" si="13"/>
        <v>#DIV/0!</v>
      </c>
      <c r="AF17" s="30" t="e">
        <f t="shared" si="13"/>
        <v>#DIV/0!</v>
      </c>
      <c r="AG17" s="30" t="e">
        <f t="shared" si="13"/>
        <v>#DIV/0!</v>
      </c>
      <c r="AH17" s="30" t="e">
        <f t="shared" si="13"/>
        <v>#DIV/0!</v>
      </c>
      <c r="AI17" s="30" t="e">
        <f t="shared" si="13"/>
        <v>#DIV/0!</v>
      </c>
      <c r="AJ17" s="30" t="e">
        <f t="shared" si="13"/>
        <v>#DIV/0!</v>
      </c>
      <c r="AK17" s="30" t="e">
        <f t="shared" si="13"/>
        <v>#DIV/0!</v>
      </c>
      <c r="AL17" s="30" t="e">
        <f t="shared" si="13"/>
        <v>#DIV/0!</v>
      </c>
      <c r="AM17" s="30" t="e">
        <f t="shared" si="13"/>
        <v>#DIV/0!</v>
      </c>
      <c r="AN17" s="30" t="e">
        <f t="shared" si="13"/>
        <v>#DIV/0!</v>
      </c>
      <c r="AO17" s="30" t="e">
        <f t="shared" si="13"/>
        <v>#DIV/0!</v>
      </c>
      <c r="AP17" s="30" t="e">
        <f t="shared" si="13"/>
        <v>#DIV/0!</v>
      </c>
      <c r="AQ17" s="30" t="e">
        <f t="shared" si="13"/>
        <v>#DIV/0!</v>
      </c>
      <c r="AR17" s="30" t="e">
        <f t="shared" si="13"/>
        <v>#DIV/0!</v>
      </c>
      <c r="AS17" s="30" t="e">
        <f t="shared" si="13"/>
        <v>#DIV/0!</v>
      </c>
      <c r="AT17" s="30" t="e">
        <f t="shared" si="13"/>
        <v>#DIV/0!</v>
      </c>
      <c r="AU17" s="30" t="e">
        <f t="shared" si="13"/>
        <v>#DIV/0!</v>
      </c>
      <c r="AV17" s="30" t="e">
        <f t="shared" si="13"/>
        <v>#DIV/0!</v>
      </c>
      <c r="AW17" s="30" t="e">
        <f t="shared" si="13"/>
        <v>#DIV/0!</v>
      </c>
      <c r="AX17" s="30" t="e">
        <f t="shared" si="13"/>
        <v>#DIV/0!</v>
      </c>
      <c r="AY17" s="30" t="e">
        <f t="shared" si="13"/>
        <v>#DIV/0!</v>
      </c>
      <c r="AZ17" s="30" t="e">
        <f t="shared" si="13"/>
        <v>#DIV/0!</v>
      </c>
      <c r="BA17" s="30" t="e">
        <f t="shared" si="13"/>
        <v>#DIV/0!</v>
      </c>
      <c r="BB17" s="30" t="e">
        <f t="shared" si="13"/>
        <v>#DIV/0!</v>
      </c>
      <c r="BC17" s="30" t="e">
        <f t="shared" si="13"/>
        <v>#DIV/0!</v>
      </c>
      <c r="BD17" s="30" t="e">
        <f t="shared" si="13"/>
        <v>#DIV/0!</v>
      </c>
      <c r="BE17" s="30" t="e">
        <f t="shared" si="13"/>
        <v>#DIV/0!</v>
      </c>
      <c r="BF17" s="30" t="e">
        <f t="shared" si="13"/>
        <v>#DIV/0!</v>
      </c>
      <c r="BG17" s="30" t="e">
        <f t="shared" si="13"/>
        <v>#DIV/0!</v>
      </c>
      <c r="BH17" s="30" t="e">
        <f t="shared" si="13"/>
        <v>#DIV/0!</v>
      </c>
      <c r="BI17" s="30" t="e">
        <f t="shared" si="13"/>
        <v>#DIV/0!</v>
      </c>
      <c r="BJ17" s="30" t="e">
        <f t="shared" si="13"/>
        <v>#DIV/0!</v>
      </c>
      <c r="BK17" s="30" t="e">
        <f t="shared" si="13"/>
        <v>#DIV/0!</v>
      </c>
      <c r="BL17" s="30" t="e">
        <f t="shared" si="13"/>
        <v>#DIV/0!</v>
      </c>
      <c r="BM17" s="30" t="e">
        <f t="shared" si="13"/>
        <v>#DIV/0!</v>
      </c>
      <c r="BN17" s="30" t="e">
        <f t="shared" ref="BN17:CW17" si="14">BN8/BN9</f>
        <v>#DIV/0!</v>
      </c>
      <c r="BO17" s="30" t="e">
        <f t="shared" si="14"/>
        <v>#DIV/0!</v>
      </c>
      <c r="BP17" s="30" t="e">
        <f t="shared" si="14"/>
        <v>#DIV/0!</v>
      </c>
      <c r="BQ17" s="30" t="e">
        <f t="shared" si="14"/>
        <v>#DIV/0!</v>
      </c>
      <c r="BR17" s="30" t="e">
        <f t="shared" si="14"/>
        <v>#DIV/0!</v>
      </c>
      <c r="BS17" s="30" t="e">
        <f t="shared" si="14"/>
        <v>#DIV/0!</v>
      </c>
      <c r="BT17" s="30" t="e">
        <f t="shared" si="14"/>
        <v>#DIV/0!</v>
      </c>
      <c r="BU17" s="30" t="e">
        <f t="shared" si="14"/>
        <v>#DIV/0!</v>
      </c>
      <c r="BV17" s="30" t="e">
        <f t="shared" si="14"/>
        <v>#DIV/0!</v>
      </c>
      <c r="BW17" s="30" t="e">
        <f t="shared" si="14"/>
        <v>#DIV/0!</v>
      </c>
      <c r="BX17" s="30" t="e">
        <f t="shared" si="14"/>
        <v>#DIV/0!</v>
      </c>
      <c r="BY17" s="30" t="e">
        <f t="shared" si="14"/>
        <v>#DIV/0!</v>
      </c>
      <c r="BZ17" s="30" t="e">
        <f t="shared" si="14"/>
        <v>#DIV/0!</v>
      </c>
      <c r="CA17" s="30" t="e">
        <f t="shared" si="14"/>
        <v>#DIV/0!</v>
      </c>
      <c r="CB17" s="30" t="e">
        <f t="shared" si="14"/>
        <v>#DIV/0!</v>
      </c>
      <c r="CC17" s="30" t="e">
        <f t="shared" si="14"/>
        <v>#DIV/0!</v>
      </c>
      <c r="CD17" s="30" t="e">
        <f t="shared" si="14"/>
        <v>#DIV/0!</v>
      </c>
      <c r="CE17" s="30" t="e">
        <f t="shared" si="14"/>
        <v>#DIV/0!</v>
      </c>
      <c r="CF17" s="30" t="e">
        <f t="shared" si="14"/>
        <v>#DIV/0!</v>
      </c>
      <c r="CG17" s="30" t="e">
        <f t="shared" si="14"/>
        <v>#DIV/0!</v>
      </c>
      <c r="CH17" s="30" t="e">
        <f t="shared" si="14"/>
        <v>#DIV/0!</v>
      </c>
      <c r="CI17" s="30" t="e">
        <f t="shared" si="14"/>
        <v>#DIV/0!</v>
      </c>
      <c r="CJ17" s="30" t="e">
        <f t="shared" si="14"/>
        <v>#DIV/0!</v>
      </c>
      <c r="CK17" s="30" t="e">
        <f t="shared" si="14"/>
        <v>#DIV/0!</v>
      </c>
      <c r="CL17" s="30" t="e">
        <f t="shared" si="14"/>
        <v>#DIV/0!</v>
      </c>
      <c r="CM17" s="30" t="e">
        <f t="shared" si="14"/>
        <v>#DIV/0!</v>
      </c>
      <c r="CN17" s="30" t="e">
        <f t="shared" si="14"/>
        <v>#DIV/0!</v>
      </c>
      <c r="CO17" s="30" t="e">
        <f t="shared" si="14"/>
        <v>#DIV/0!</v>
      </c>
      <c r="CP17" s="30" t="e">
        <f t="shared" si="14"/>
        <v>#DIV/0!</v>
      </c>
      <c r="CQ17" s="30" t="e">
        <f t="shared" si="14"/>
        <v>#DIV/0!</v>
      </c>
      <c r="CR17" s="30" t="e">
        <f t="shared" si="14"/>
        <v>#DIV/0!</v>
      </c>
      <c r="CS17" s="30" t="e">
        <f t="shared" si="14"/>
        <v>#DIV/0!</v>
      </c>
      <c r="CT17" s="30" t="e">
        <f t="shared" si="14"/>
        <v>#DIV/0!</v>
      </c>
      <c r="CU17" s="30" t="e">
        <f t="shared" si="14"/>
        <v>#DIV/0!</v>
      </c>
      <c r="CV17" s="30" t="e">
        <f t="shared" si="14"/>
        <v>#DIV/0!</v>
      </c>
      <c r="CW17" s="30" t="e">
        <f t="shared" si="14"/>
        <v>#DIV/0!</v>
      </c>
      <c r="CX17" s="31"/>
      <c r="CY17" s="31"/>
      <c r="CZ17" s="31"/>
      <c r="DA17" s="31"/>
      <c r="DB17" s="31"/>
      <c r="DC17" s="31"/>
      <c r="DD17" s="31"/>
      <c r="DE17" s="31"/>
      <c r="DF17" s="31"/>
      <c r="DG17" s="31"/>
      <c r="DH17" s="30"/>
      <c r="DI17" s="31"/>
      <c r="DJ17" s="31"/>
      <c r="DK17" s="31"/>
      <c r="DL17" s="31"/>
      <c r="DM17" s="31"/>
      <c r="DN17" s="31"/>
      <c r="DO17" s="31"/>
      <c r="DP17" s="31"/>
      <c r="DQ17" s="31"/>
      <c r="DR17" s="31"/>
      <c r="DS17" s="30"/>
      <c r="DT17" s="31"/>
      <c r="DU17" s="31"/>
      <c r="DV17" s="31"/>
      <c r="DW17" s="31"/>
      <c r="DX17" s="31"/>
      <c r="DY17" s="31"/>
      <c r="DZ17" s="31"/>
      <c r="EA17" s="31"/>
      <c r="EB17" s="31"/>
      <c r="EC17" s="31"/>
      <c r="ED17" s="30"/>
      <c r="EE17" s="31"/>
      <c r="EF17" s="31"/>
      <c r="EG17" s="31"/>
      <c r="EH17" s="31"/>
      <c r="EI17" s="31"/>
      <c r="EJ17" s="31"/>
      <c r="EK17" s="31"/>
      <c r="EL17" s="31"/>
      <c r="EM17" s="31"/>
      <c r="EN17" s="31"/>
      <c r="EO17" s="30"/>
      <c r="EP17" s="31"/>
      <c r="EQ17" s="31"/>
      <c r="ER17" s="31"/>
      <c r="ES17" s="31"/>
      <c r="ET17" s="31"/>
      <c r="EU17" s="31"/>
      <c r="EV17" s="31"/>
      <c r="EW17" s="31"/>
      <c r="EX17" s="31"/>
      <c r="EY17" s="31"/>
      <c r="EZ17" s="30"/>
      <c r="FA17" s="31"/>
      <c r="FB17" s="31"/>
      <c r="FC17" s="31"/>
      <c r="FD17" s="31"/>
      <c r="FE17" s="31"/>
      <c r="FF17" s="31"/>
      <c r="FG17" s="31"/>
      <c r="FH17" s="31"/>
      <c r="FI17" s="31"/>
      <c r="FJ17" s="31"/>
      <c r="FK17" s="30"/>
      <c r="FL17" s="31"/>
      <c r="FM17" s="31"/>
      <c r="FN17" s="31"/>
      <c r="FO17" s="31"/>
      <c r="FP17" s="31"/>
      <c r="FQ17" s="31"/>
      <c r="FR17" s="31"/>
      <c r="FS17" s="31"/>
      <c r="FT17" s="31"/>
      <c r="FU17" s="31"/>
      <c r="FV17" s="30"/>
      <c r="FW17" s="31"/>
      <c r="FX17" s="31"/>
      <c r="FY17" s="31"/>
      <c r="FZ17" s="31"/>
      <c r="GA17" s="31"/>
      <c r="GB17" s="31"/>
      <c r="GC17" s="31"/>
      <c r="GD17" s="31"/>
      <c r="GE17" s="31"/>
      <c r="GF17" s="31"/>
      <c r="GG17" s="30"/>
      <c r="GH17" s="31"/>
      <c r="GI17" s="31"/>
      <c r="GJ17" s="31"/>
      <c r="GK17" s="31"/>
      <c r="GL17" s="31"/>
      <c r="GM17" s="31"/>
      <c r="GN17" s="31"/>
      <c r="GO17" s="31"/>
      <c r="GP17" s="31"/>
      <c r="GQ17" s="31"/>
      <c r="GR17" s="30"/>
      <c r="GS17" s="31"/>
    </row>
    <row r="18" spans="1:255" x14ac:dyDescent="0.2">
      <c r="A18" s="34" t="s">
        <v>24</v>
      </c>
      <c r="B18" s="35">
        <f t="shared" ref="B18:BM18" si="15">B15+B16</f>
        <v>0.53658536585365857</v>
      </c>
      <c r="C18" s="35">
        <f t="shared" si="15"/>
        <v>0.7639751552795031</v>
      </c>
      <c r="D18" s="35">
        <f t="shared" si="15"/>
        <v>0.99885606621357914</v>
      </c>
      <c r="E18" s="35">
        <f t="shared" si="15"/>
        <v>0.99876148929458675</v>
      </c>
      <c r="F18" s="35">
        <f t="shared" si="15"/>
        <v>0.66666666666666663</v>
      </c>
      <c r="G18" s="35" t="e">
        <f t="shared" si="15"/>
        <v>#DIV/0!</v>
      </c>
      <c r="H18" s="35" t="e">
        <f t="shared" si="15"/>
        <v>#DIV/0!</v>
      </c>
      <c r="I18" s="35" t="e">
        <f t="shared" si="15"/>
        <v>#DIV/0!</v>
      </c>
      <c r="J18" s="35" t="e">
        <f t="shared" si="15"/>
        <v>#DIV/0!</v>
      </c>
      <c r="K18" s="35" t="e">
        <f t="shared" si="15"/>
        <v>#DIV/0!</v>
      </c>
      <c r="L18" s="35" t="e">
        <f t="shared" si="15"/>
        <v>#DIV/0!</v>
      </c>
      <c r="M18" s="35" t="e">
        <f t="shared" si="15"/>
        <v>#DIV/0!</v>
      </c>
      <c r="N18" s="35" t="e">
        <f t="shared" si="15"/>
        <v>#DIV/0!</v>
      </c>
      <c r="O18" s="35" t="e">
        <f t="shared" si="15"/>
        <v>#DIV/0!</v>
      </c>
      <c r="P18" s="35" t="e">
        <f t="shared" si="15"/>
        <v>#DIV/0!</v>
      </c>
      <c r="Q18" s="35" t="e">
        <f t="shared" si="15"/>
        <v>#DIV/0!</v>
      </c>
      <c r="R18" s="35" t="e">
        <f t="shared" si="15"/>
        <v>#DIV/0!</v>
      </c>
      <c r="S18" s="35" t="e">
        <f t="shared" si="15"/>
        <v>#DIV/0!</v>
      </c>
      <c r="T18" s="35" t="e">
        <f t="shared" si="15"/>
        <v>#DIV/0!</v>
      </c>
      <c r="U18" s="35" t="e">
        <f t="shared" si="15"/>
        <v>#DIV/0!</v>
      </c>
      <c r="V18" s="35" t="e">
        <f t="shared" si="15"/>
        <v>#DIV/0!</v>
      </c>
      <c r="W18" s="35" t="e">
        <f t="shared" si="15"/>
        <v>#DIV/0!</v>
      </c>
      <c r="X18" s="35" t="e">
        <f t="shared" si="15"/>
        <v>#DIV/0!</v>
      </c>
      <c r="Y18" s="35" t="e">
        <f t="shared" si="15"/>
        <v>#DIV/0!</v>
      </c>
      <c r="Z18" s="35" t="e">
        <f t="shared" si="15"/>
        <v>#DIV/0!</v>
      </c>
      <c r="AA18" s="35" t="e">
        <f t="shared" si="15"/>
        <v>#DIV/0!</v>
      </c>
      <c r="AB18" s="35" t="e">
        <f t="shared" si="15"/>
        <v>#DIV/0!</v>
      </c>
      <c r="AC18" s="35" t="e">
        <f t="shared" si="15"/>
        <v>#DIV/0!</v>
      </c>
      <c r="AD18" s="35" t="e">
        <f t="shared" si="15"/>
        <v>#DIV/0!</v>
      </c>
      <c r="AE18" s="35" t="e">
        <f t="shared" si="15"/>
        <v>#DIV/0!</v>
      </c>
      <c r="AF18" s="35" t="e">
        <f t="shared" si="15"/>
        <v>#DIV/0!</v>
      </c>
      <c r="AG18" s="35" t="e">
        <f t="shared" si="15"/>
        <v>#DIV/0!</v>
      </c>
      <c r="AH18" s="35" t="e">
        <f t="shared" si="15"/>
        <v>#DIV/0!</v>
      </c>
      <c r="AI18" s="35" t="e">
        <f t="shared" si="15"/>
        <v>#DIV/0!</v>
      </c>
      <c r="AJ18" s="35" t="e">
        <f t="shared" si="15"/>
        <v>#DIV/0!</v>
      </c>
      <c r="AK18" s="35" t="e">
        <f t="shared" si="15"/>
        <v>#DIV/0!</v>
      </c>
      <c r="AL18" s="35" t="e">
        <f t="shared" si="15"/>
        <v>#DIV/0!</v>
      </c>
      <c r="AM18" s="35" t="e">
        <f t="shared" si="15"/>
        <v>#DIV/0!</v>
      </c>
      <c r="AN18" s="35" t="e">
        <f t="shared" si="15"/>
        <v>#DIV/0!</v>
      </c>
      <c r="AO18" s="35" t="e">
        <f t="shared" si="15"/>
        <v>#DIV/0!</v>
      </c>
      <c r="AP18" s="35" t="e">
        <f t="shared" si="15"/>
        <v>#DIV/0!</v>
      </c>
      <c r="AQ18" s="35" t="e">
        <f t="shared" si="15"/>
        <v>#DIV/0!</v>
      </c>
      <c r="AR18" s="35" t="e">
        <f t="shared" si="15"/>
        <v>#DIV/0!</v>
      </c>
      <c r="AS18" s="35" t="e">
        <f t="shared" si="15"/>
        <v>#DIV/0!</v>
      </c>
      <c r="AT18" s="35" t="e">
        <f t="shared" si="15"/>
        <v>#DIV/0!</v>
      </c>
      <c r="AU18" s="35" t="e">
        <f t="shared" si="15"/>
        <v>#DIV/0!</v>
      </c>
      <c r="AV18" s="35" t="e">
        <f t="shared" si="15"/>
        <v>#DIV/0!</v>
      </c>
      <c r="AW18" s="35" t="e">
        <f t="shared" si="15"/>
        <v>#DIV/0!</v>
      </c>
      <c r="AX18" s="35" t="e">
        <f t="shared" si="15"/>
        <v>#DIV/0!</v>
      </c>
      <c r="AY18" s="35" t="e">
        <f t="shared" si="15"/>
        <v>#DIV/0!</v>
      </c>
      <c r="AZ18" s="35" t="e">
        <f t="shared" si="15"/>
        <v>#DIV/0!</v>
      </c>
      <c r="BA18" s="35" t="e">
        <f t="shared" si="15"/>
        <v>#DIV/0!</v>
      </c>
      <c r="BB18" s="35" t="e">
        <f t="shared" si="15"/>
        <v>#DIV/0!</v>
      </c>
      <c r="BC18" s="35" t="e">
        <f t="shared" si="15"/>
        <v>#DIV/0!</v>
      </c>
      <c r="BD18" s="35" t="e">
        <f t="shared" si="15"/>
        <v>#DIV/0!</v>
      </c>
      <c r="BE18" s="35" t="e">
        <f t="shared" si="15"/>
        <v>#DIV/0!</v>
      </c>
      <c r="BF18" s="35" t="e">
        <f t="shared" si="15"/>
        <v>#DIV/0!</v>
      </c>
      <c r="BG18" s="35" t="e">
        <f t="shared" si="15"/>
        <v>#DIV/0!</v>
      </c>
      <c r="BH18" s="35" t="e">
        <f t="shared" si="15"/>
        <v>#DIV/0!</v>
      </c>
      <c r="BI18" s="35" t="e">
        <f t="shared" si="15"/>
        <v>#DIV/0!</v>
      </c>
      <c r="BJ18" s="35" t="e">
        <f t="shared" si="15"/>
        <v>#DIV/0!</v>
      </c>
      <c r="BK18" s="35" t="e">
        <f t="shared" si="15"/>
        <v>#DIV/0!</v>
      </c>
      <c r="BL18" s="35" t="e">
        <f t="shared" si="15"/>
        <v>#DIV/0!</v>
      </c>
      <c r="BM18" s="35" t="e">
        <f t="shared" si="15"/>
        <v>#DIV/0!</v>
      </c>
      <c r="BN18" s="35" t="e">
        <f t="shared" ref="BN18:CW18" si="16">BN15+BN16</f>
        <v>#DIV/0!</v>
      </c>
      <c r="BO18" s="35" t="e">
        <f t="shared" si="16"/>
        <v>#DIV/0!</v>
      </c>
      <c r="BP18" s="35" t="e">
        <f t="shared" si="16"/>
        <v>#DIV/0!</v>
      </c>
      <c r="BQ18" s="35" t="e">
        <f t="shared" si="16"/>
        <v>#DIV/0!</v>
      </c>
      <c r="BR18" s="35" t="e">
        <f t="shared" si="16"/>
        <v>#DIV/0!</v>
      </c>
      <c r="BS18" s="35" t="e">
        <f t="shared" si="16"/>
        <v>#DIV/0!</v>
      </c>
      <c r="BT18" s="35" t="e">
        <f t="shared" si="16"/>
        <v>#DIV/0!</v>
      </c>
      <c r="BU18" s="35" t="e">
        <f t="shared" si="16"/>
        <v>#DIV/0!</v>
      </c>
      <c r="BV18" s="35" t="e">
        <f t="shared" si="16"/>
        <v>#DIV/0!</v>
      </c>
      <c r="BW18" s="35" t="e">
        <f t="shared" si="16"/>
        <v>#DIV/0!</v>
      </c>
      <c r="BX18" s="35" t="e">
        <f t="shared" si="16"/>
        <v>#DIV/0!</v>
      </c>
      <c r="BY18" s="35" t="e">
        <f t="shared" si="16"/>
        <v>#DIV/0!</v>
      </c>
      <c r="BZ18" s="35" t="e">
        <f t="shared" si="16"/>
        <v>#DIV/0!</v>
      </c>
      <c r="CA18" s="35" t="e">
        <f t="shared" si="16"/>
        <v>#DIV/0!</v>
      </c>
      <c r="CB18" s="35" t="e">
        <f t="shared" si="16"/>
        <v>#DIV/0!</v>
      </c>
      <c r="CC18" s="35" t="e">
        <f t="shared" si="16"/>
        <v>#DIV/0!</v>
      </c>
      <c r="CD18" s="35" t="e">
        <f t="shared" si="16"/>
        <v>#DIV/0!</v>
      </c>
      <c r="CE18" s="35" t="e">
        <f t="shared" si="16"/>
        <v>#DIV/0!</v>
      </c>
      <c r="CF18" s="35" t="e">
        <f t="shared" si="16"/>
        <v>#DIV/0!</v>
      </c>
      <c r="CG18" s="35" t="e">
        <f t="shared" si="16"/>
        <v>#DIV/0!</v>
      </c>
      <c r="CH18" s="35" t="e">
        <f t="shared" si="16"/>
        <v>#DIV/0!</v>
      </c>
      <c r="CI18" s="35" t="e">
        <f t="shared" si="16"/>
        <v>#DIV/0!</v>
      </c>
      <c r="CJ18" s="35" t="e">
        <f t="shared" si="16"/>
        <v>#DIV/0!</v>
      </c>
      <c r="CK18" s="35" t="e">
        <f t="shared" si="16"/>
        <v>#DIV/0!</v>
      </c>
      <c r="CL18" s="35" t="e">
        <f t="shared" si="16"/>
        <v>#DIV/0!</v>
      </c>
      <c r="CM18" s="35" t="e">
        <f t="shared" si="16"/>
        <v>#DIV/0!</v>
      </c>
      <c r="CN18" s="35" t="e">
        <f t="shared" si="16"/>
        <v>#DIV/0!</v>
      </c>
      <c r="CO18" s="35" t="e">
        <f t="shared" si="16"/>
        <v>#DIV/0!</v>
      </c>
      <c r="CP18" s="35" t="e">
        <f t="shared" si="16"/>
        <v>#DIV/0!</v>
      </c>
      <c r="CQ18" s="35" t="e">
        <f t="shared" si="16"/>
        <v>#DIV/0!</v>
      </c>
      <c r="CR18" s="35" t="e">
        <f t="shared" si="16"/>
        <v>#DIV/0!</v>
      </c>
      <c r="CS18" s="35" t="e">
        <f t="shared" si="16"/>
        <v>#DIV/0!</v>
      </c>
      <c r="CT18" s="35" t="e">
        <f t="shared" si="16"/>
        <v>#DIV/0!</v>
      </c>
      <c r="CU18" s="35" t="e">
        <f t="shared" si="16"/>
        <v>#DIV/0!</v>
      </c>
      <c r="CV18" s="35" t="e">
        <f t="shared" si="16"/>
        <v>#DIV/0!</v>
      </c>
      <c r="CW18" s="35" t="e">
        <f t="shared" si="16"/>
        <v>#DIV/0!</v>
      </c>
      <c r="CX18" s="36"/>
      <c r="CY18" s="36"/>
      <c r="CZ18" s="36"/>
      <c r="DA18" s="36"/>
      <c r="DB18" s="36"/>
      <c r="DC18" s="36"/>
      <c r="DD18" s="36"/>
      <c r="DE18" s="36"/>
      <c r="DF18" s="36"/>
      <c r="DG18" s="36"/>
      <c r="DH18" s="35"/>
      <c r="DI18" s="36"/>
      <c r="DJ18" s="36"/>
      <c r="DK18" s="36"/>
      <c r="DL18" s="36"/>
      <c r="DM18" s="36"/>
      <c r="DN18" s="36"/>
      <c r="DO18" s="36"/>
      <c r="DP18" s="36"/>
      <c r="DQ18" s="36"/>
      <c r="DR18" s="36"/>
      <c r="DS18" s="35"/>
      <c r="DT18" s="36"/>
      <c r="DU18" s="36"/>
      <c r="DV18" s="36"/>
      <c r="DW18" s="36"/>
      <c r="DX18" s="36"/>
      <c r="DY18" s="36"/>
      <c r="DZ18" s="36"/>
      <c r="EA18" s="36"/>
      <c r="EB18" s="36"/>
      <c r="EC18" s="36"/>
      <c r="ED18" s="35"/>
      <c r="EE18" s="36"/>
      <c r="EF18" s="36"/>
      <c r="EG18" s="36"/>
      <c r="EH18" s="36"/>
      <c r="EI18" s="36"/>
      <c r="EJ18" s="36"/>
      <c r="EK18" s="36"/>
      <c r="EL18" s="36"/>
      <c r="EM18" s="36"/>
      <c r="EN18" s="36"/>
      <c r="EO18" s="35"/>
      <c r="EP18" s="36"/>
      <c r="EQ18" s="36"/>
      <c r="ER18" s="36"/>
      <c r="ES18" s="36"/>
      <c r="ET18" s="36"/>
      <c r="EU18" s="36"/>
      <c r="EV18" s="36"/>
      <c r="EW18" s="36"/>
      <c r="EX18" s="36"/>
      <c r="EY18" s="36"/>
      <c r="EZ18" s="35"/>
      <c r="FA18" s="36"/>
      <c r="FB18" s="36"/>
      <c r="FC18" s="36"/>
      <c r="FD18" s="36"/>
      <c r="FE18" s="36"/>
      <c r="FF18" s="36"/>
      <c r="FG18" s="36"/>
      <c r="FH18" s="36"/>
      <c r="FI18" s="36"/>
      <c r="FJ18" s="36"/>
      <c r="FK18" s="35"/>
      <c r="FL18" s="36"/>
      <c r="FM18" s="36"/>
      <c r="FN18" s="36"/>
      <c r="FO18" s="36"/>
      <c r="FP18" s="36"/>
      <c r="FQ18" s="36"/>
      <c r="FR18" s="36"/>
      <c r="FS18" s="36"/>
      <c r="FT18" s="36"/>
      <c r="FU18" s="36"/>
      <c r="FV18" s="35"/>
      <c r="FW18" s="36"/>
      <c r="FX18" s="36"/>
      <c r="FY18" s="36"/>
      <c r="FZ18" s="36"/>
      <c r="GA18" s="36"/>
      <c r="GB18" s="36"/>
      <c r="GC18" s="36"/>
      <c r="GD18" s="36"/>
      <c r="GE18" s="36"/>
      <c r="GF18" s="36"/>
      <c r="GG18" s="35"/>
      <c r="GH18" s="36"/>
      <c r="GI18" s="36"/>
      <c r="GJ18" s="36"/>
      <c r="GK18" s="36"/>
      <c r="GL18" s="36"/>
      <c r="GM18" s="36"/>
      <c r="GN18" s="36"/>
      <c r="GO18" s="36"/>
      <c r="GP18" s="36"/>
      <c r="GQ18" s="36"/>
      <c r="GR18" s="35"/>
      <c r="GS18" s="36"/>
    </row>
    <row r="19" spans="1:255" x14ac:dyDescent="0.2">
      <c r="A19" s="34" t="s">
        <v>26</v>
      </c>
      <c r="B19" s="35">
        <f t="shared" ref="B19:BM19" si="17">B15+B16+B17</f>
        <v>1</v>
      </c>
      <c r="C19" s="35">
        <f t="shared" si="17"/>
        <v>1</v>
      </c>
      <c r="D19" s="35">
        <f t="shared" si="17"/>
        <v>1</v>
      </c>
      <c r="E19" s="35">
        <f t="shared" si="17"/>
        <v>1</v>
      </c>
      <c r="F19" s="35">
        <f t="shared" si="17"/>
        <v>1</v>
      </c>
      <c r="G19" s="35" t="e">
        <f t="shared" si="17"/>
        <v>#DIV/0!</v>
      </c>
      <c r="H19" s="35" t="e">
        <f t="shared" si="17"/>
        <v>#DIV/0!</v>
      </c>
      <c r="I19" s="35" t="e">
        <f t="shared" si="17"/>
        <v>#DIV/0!</v>
      </c>
      <c r="J19" s="35" t="e">
        <f t="shared" si="17"/>
        <v>#DIV/0!</v>
      </c>
      <c r="K19" s="35" t="e">
        <f t="shared" si="17"/>
        <v>#DIV/0!</v>
      </c>
      <c r="L19" s="35" t="e">
        <f t="shared" si="17"/>
        <v>#DIV/0!</v>
      </c>
      <c r="M19" s="35" t="e">
        <f t="shared" si="17"/>
        <v>#DIV/0!</v>
      </c>
      <c r="N19" s="35" t="e">
        <f t="shared" si="17"/>
        <v>#DIV/0!</v>
      </c>
      <c r="O19" s="35" t="e">
        <f t="shared" si="17"/>
        <v>#DIV/0!</v>
      </c>
      <c r="P19" s="35" t="e">
        <f t="shared" si="17"/>
        <v>#DIV/0!</v>
      </c>
      <c r="Q19" s="35" t="e">
        <f t="shared" si="17"/>
        <v>#DIV/0!</v>
      </c>
      <c r="R19" s="35" t="e">
        <f t="shared" si="17"/>
        <v>#DIV/0!</v>
      </c>
      <c r="S19" s="35" t="e">
        <f t="shared" si="17"/>
        <v>#DIV/0!</v>
      </c>
      <c r="T19" s="35" t="e">
        <f t="shared" si="17"/>
        <v>#DIV/0!</v>
      </c>
      <c r="U19" s="35" t="e">
        <f t="shared" si="17"/>
        <v>#DIV/0!</v>
      </c>
      <c r="V19" s="35" t="e">
        <f t="shared" si="17"/>
        <v>#DIV/0!</v>
      </c>
      <c r="W19" s="35" t="e">
        <f t="shared" si="17"/>
        <v>#DIV/0!</v>
      </c>
      <c r="X19" s="35" t="e">
        <f t="shared" si="17"/>
        <v>#DIV/0!</v>
      </c>
      <c r="Y19" s="35" t="e">
        <f t="shared" si="17"/>
        <v>#DIV/0!</v>
      </c>
      <c r="Z19" s="35" t="e">
        <f t="shared" si="17"/>
        <v>#DIV/0!</v>
      </c>
      <c r="AA19" s="35" t="e">
        <f t="shared" si="17"/>
        <v>#DIV/0!</v>
      </c>
      <c r="AB19" s="35" t="e">
        <f t="shared" si="17"/>
        <v>#DIV/0!</v>
      </c>
      <c r="AC19" s="35" t="e">
        <f t="shared" si="17"/>
        <v>#DIV/0!</v>
      </c>
      <c r="AD19" s="35" t="e">
        <f t="shared" si="17"/>
        <v>#DIV/0!</v>
      </c>
      <c r="AE19" s="35" t="e">
        <f t="shared" si="17"/>
        <v>#DIV/0!</v>
      </c>
      <c r="AF19" s="35" t="e">
        <f t="shared" si="17"/>
        <v>#DIV/0!</v>
      </c>
      <c r="AG19" s="35" t="e">
        <f t="shared" si="17"/>
        <v>#DIV/0!</v>
      </c>
      <c r="AH19" s="35" t="e">
        <f t="shared" si="17"/>
        <v>#DIV/0!</v>
      </c>
      <c r="AI19" s="35" t="e">
        <f t="shared" si="17"/>
        <v>#DIV/0!</v>
      </c>
      <c r="AJ19" s="35" t="e">
        <f t="shared" si="17"/>
        <v>#DIV/0!</v>
      </c>
      <c r="AK19" s="198" t="e">
        <f t="shared" si="17"/>
        <v>#DIV/0!</v>
      </c>
      <c r="AL19" s="35" t="e">
        <f t="shared" si="17"/>
        <v>#DIV/0!</v>
      </c>
      <c r="AM19" s="35" t="e">
        <f t="shared" si="17"/>
        <v>#DIV/0!</v>
      </c>
      <c r="AN19" s="35" t="e">
        <f t="shared" si="17"/>
        <v>#DIV/0!</v>
      </c>
      <c r="AO19" s="35" t="e">
        <f t="shared" si="17"/>
        <v>#DIV/0!</v>
      </c>
      <c r="AP19" s="35" t="e">
        <f t="shared" si="17"/>
        <v>#DIV/0!</v>
      </c>
      <c r="AQ19" s="35" t="e">
        <f t="shared" si="17"/>
        <v>#DIV/0!</v>
      </c>
      <c r="AR19" s="35" t="e">
        <f t="shared" si="17"/>
        <v>#DIV/0!</v>
      </c>
      <c r="AS19" s="35" t="e">
        <f t="shared" si="17"/>
        <v>#DIV/0!</v>
      </c>
      <c r="AT19" s="35" t="e">
        <f t="shared" si="17"/>
        <v>#DIV/0!</v>
      </c>
      <c r="AU19" s="35" t="e">
        <f t="shared" si="17"/>
        <v>#DIV/0!</v>
      </c>
      <c r="AV19" s="35" t="e">
        <f t="shared" si="17"/>
        <v>#DIV/0!</v>
      </c>
      <c r="AW19" s="35" t="e">
        <f t="shared" si="17"/>
        <v>#DIV/0!</v>
      </c>
      <c r="AX19" s="35" t="e">
        <f t="shared" si="17"/>
        <v>#DIV/0!</v>
      </c>
      <c r="AY19" s="35" t="e">
        <f t="shared" si="17"/>
        <v>#DIV/0!</v>
      </c>
      <c r="AZ19" s="35" t="e">
        <f t="shared" si="17"/>
        <v>#DIV/0!</v>
      </c>
      <c r="BA19" s="35" t="e">
        <f t="shared" si="17"/>
        <v>#DIV/0!</v>
      </c>
      <c r="BB19" s="35" t="e">
        <f t="shared" si="17"/>
        <v>#DIV/0!</v>
      </c>
      <c r="BC19" s="35" t="e">
        <f t="shared" si="17"/>
        <v>#DIV/0!</v>
      </c>
      <c r="BD19" s="35" t="e">
        <f t="shared" si="17"/>
        <v>#DIV/0!</v>
      </c>
      <c r="BE19" s="35" t="e">
        <f t="shared" si="17"/>
        <v>#DIV/0!</v>
      </c>
      <c r="BF19" s="35" t="e">
        <f t="shared" si="17"/>
        <v>#DIV/0!</v>
      </c>
      <c r="BG19" s="35" t="e">
        <f t="shared" si="17"/>
        <v>#DIV/0!</v>
      </c>
      <c r="BH19" s="35" t="e">
        <f t="shared" si="17"/>
        <v>#DIV/0!</v>
      </c>
      <c r="BI19" s="35" t="e">
        <f t="shared" si="17"/>
        <v>#DIV/0!</v>
      </c>
      <c r="BJ19" s="35" t="e">
        <f t="shared" si="17"/>
        <v>#DIV/0!</v>
      </c>
      <c r="BK19" s="35" t="e">
        <f t="shared" si="17"/>
        <v>#DIV/0!</v>
      </c>
      <c r="BL19" s="35" t="e">
        <f t="shared" si="17"/>
        <v>#DIV/0!</v>
      </c>
      <c r="BM19" s="35" t="e">
        <f t="shared" si="17"/>
        <v>#DIV/0!</v>
      </c>
      <c r="BN19" s="35" t="e">
        <f t="shared" ref="BN19:CW19" si="18">BN15+BN16+BN17</f>
        <v>#DIV/0!</v>
      </c>
      <c r="BO19" s="35" t="e">
        <f t="shared" si="18"/>
        <v>#DIV/0!</v>
      </c>
      <c r="BP19" s="35" t="e">
        <f t="shared" si="18"/>
        <v>#DIV/0!</v>
      </c>
      <c r="BQ19" s="35" t="e">
        <f t="shared" si="18"/>
        <v>#DIV/0!</v>
      </c>
      <c r="BR19" s="35" t="e">
        <f t="shared" si="18"/>
        <v>#DIV/0!</v>
      </c>
      <c r="BS19" s="35" t="e">
        <f t="shared" si="18"/>
        <v>#DIV/0!</v>
      </c>
      <c r="BT19" s="35" t="e">
        <f t="shared" si="18"/>
        <v>#DIV/0!</v>
      </c>
      <c r="BU19" s="35" t="e">
        <f t="shared" si="18"/>
        <v>#DIV/0!</v>
      </c>
      <c r="BV19" s="35" t="e">
        <f t="shared" si="18"/>
        <v>#DIV/0!</v>
      </c>
      <c r="BW19" s="35" t="e">
        <f t="shared" si="18"/>
        <v>#DIV/0!</v>
      </c>
      <c r="BX19" s="35" t="e">
        <f t="shared" si="18"/>
        <v>#DIV/0!</v>
      </c>
      <c r="BY19" s="35" t="e">
        <f t="shared" si="18"/>
        <v>#DIV/0!</v>
      </c>
      <c r="BZ19" s="35" t="e">
        <f t="shared" si="18"/>
        <v>#DIV/0!</v>
      </c>
      <c r="CA19" s="35" t="e">
        <f t="shared" si="18"/>
        <v>#DIV/0!</v>
      </c>
      <c r="CB19" s="35" t="e">
        <f t="shared" si="18"/>
        <v>#DIV/0!</v>
      </c>
      <c r="CC19" s="35" t="e">
        <f t="shared" si="18"/>
        <v>#DIV/0!</v>
      </c>
      <c r="CD19" s="35" t="e">
        <f t="shared" si="18"/>
        <v>#DIV/0!</v>
      </c>
      <c r="CE19" s="35" t="e">
        <f t="shared" si="18"/>
        <v>#DIV/0!</v>
      </c>
      <c r="CF19" s="35" t="e">
        <f t="shared" si="18"/>
        <v>#DIV/0!</v>
      </c>
      <c r="CG19" s="35" t="e">
        <f t="shared" si="18"/>
        <v>#DIV/0!</v>
      </c>
      <c r="CH19" s="35" t="e">
        <f t="shared" si="18"/>
        <v>#DIV/0!</v>
      </c>
      <c r="CI19" s="35" t="e">
        <f t="shared" si="18"/>
        <v>#DIV/0!</v>
      </c>
      <c r="CJ19" s="35" t="e">
        <f t="shared" si="18"/>
        <v>#DIV/0!</v>
      </c>
      <c r="CK19" s="35" t="e">
        <f t="shared" si="18"/>
        <v>#DIV/0!</v>
      </c>
      <c r="CL19" s="35" t="e">
        <f t="shared" si="18"/>
        <v>#DIV/0!</v>
      </c>
      <c r="CM19" s="35" t="e">
        <f t="shared" si="18"/>
        <v>#DIV/0!</v>
      </c>
      <c r="CN19" s="35" t="e">
        <f t="shared" si="18"/>
        <v>#DIV/0!</v>
      </c>
      <c r="CO19" s="35" t="e">
        <f t="shared" si="18"/>
        <v>#DIV/0!</v>
      </c>
      <c r="CP19" s="35" t="e">
        <f t="shared" si="18"/>
        <v>#DIV/0!</v>
      </c>
      <c r="CQ19" s="35" t="e">
        <f t="shared" si="18"/>
        <v>#DIV/0!</v>
      </c>
      <c r="CR19" s="35" t="e">
        <f t="shared" si="18"/>
        <v>#DIV/0!</v>
      </c>
      <c r="CS19" s="35" t="e">
        <f t="shared" si="18"/>
        <v>#DIV/0!</v>
      </c>
      <c r="CT19" s="35" t="e">
        <f t="shared" si="18"/>
        <v>#DIV/0!</v>
      </c>
      <c r="CU19" s="35" t="e">
        <f t="shared" si="18"/>
        <v>#DIV/0!</v>
      </c>
      <c r="CV19" s="35" t="e">
        <f t="shared" si="18"/>
        <v>#DIV/0!</v>
      </c>
      <c r="CW19" s="35" t="e">
        <f t="shared" si="18"/>
        <v>#DIV/0!</v>
      </c>
      <c r="CX19" s="36"/>
      <c r="CY19" s="36"/>
      <c r="CZ19" s="36"/>
      <c r="DA19" s="36"/>
      <c r="DB19" s="36"/>
      <c r="DC19" s="36"/>
      <c r="DD19" s="36"/>
      <c r="DE19" s="36"/>
      <c r="DF19" s="36"/>
      <c r="DG19" s="36"/>
      <c r="DH19" s="35"/>
      <c r="DI19" s="36"/>
      <c r="DJ19" s="36"/>
      <c r="DK19" s="36"/>
      <c r="DL19" s="36"/>
      <c r="DM19" s="36"/>
      <c r="DN19" s="36"/>
      <c r="DO19" s="36"/>
      <c r="DP19" s="36"/>
      <c r="DQ19" s="36"/>
      <c r="DR19" s="36"/>
      <c r="DS19" s="35"/>
      <c r="DT19" s="36"/>
      <c r="DU19" s="36"/>
      <c r="DV19" s="36"/>
      <c r="DW19" s="36"/>
      <c r="DX19" s="36"/>
      <c r="DY19" s="36"/>
      <c r="DZ19" s="36"/>
      <c r="EA19" s="36"/>
      <c r="EB19" s="36"/>
      <c r="EC19" s="36"/>
      <c r="ED19" s="35"/>
      <c r="EE19" s="36"/>
      <c r="EF19" s="36"/>
      <c r="EG19" s="36"/>
      <c r="EH19" s="36"/>
      <c r="EI19" s="36"/>
      <c r="EJ19" s="36"/>
      <c r="EK19" s="36"/>
      <c r="EL19" s="36"/>
      <c r="EM19" s="36"/>
      <c r="EN19" s="36"/>
      <c r="EO19" s="35"/>
      <c r="EP19" s="36"/>
      <c r="EQ19" s="36"/>
      <c r="ER19" s="36"/>
      <c r="ES19" s="36"/>
      <c r="ET19" s="36"/>
      <c r="EU19" s="36"/>
      <c r="EV19" s="36"/>
      <c r="EW19" s="36"/>
      <c r="EX19" s="36"/>
      <c r="EY19" s="36"/>
      <c r="EZ19" s="35"/>
      <c r="FA19" s="36"/>
      <c r="FB19" s="36"/>
      <c r="FC19" s="36"/>
      <c r="FD19" s="36"/>
      <c r="FE19" s="36"/>
      <c r="FF19" s="36"/>
      <c r="FG19" s="36"/>
      <c r="FH19" s="36"/>
      <c r="FI19" s="36"/>
      <c r="FJ19" s="36"/>
      <c r="FK19" s="35"/>
      <c r="FL19" s="36"/>
      <c r="FM19" s="36"/>
      <c r="FN19" s="36"/>
      <c r="FO19" s="36"/>
      <c r="FP19" s="36"/>
      <c r="FQ19" s="36"/>
      <c r="FR19" s="36"/>
      <c r="FS19" s="36"/>
      <c r="FT19" s="36"/>
      <c r="FU19" s="36"/>
      <c r="FV19" s="35"/>
      <c r="FW19" s="36"/>
      <c r="FX19" s="36"/>
      <c r="FY19" s="36"/>
      <c r="FZ19" s="36"/>
      <c r="GA19" s="36"/>
      <c r="GB19" s="36"/>
      <c r="GC19" s="36"/>
      <c r="GD19" s="36"/>
      <c r="GE19" s="36"/>
      <c r="GF19" s="36"/>
      <c r="GG19" s="35"/>
      <c r="GH19" s="36"/>
      <c r="GI19" s="36"/>
      <c r="GJ19" s="36"/>
      <c r="GK19" s="36"/>
      <c r="GL19" s="36"/>
      <c r="GM19" s="36"/>
      <c r="GN19" s="36"/>
      <c r="GO19" s="36"/>
      <c r="GP19" s="36"/>
      <c r="GQ19" s="36"/>
      <c r="GR19" s="35"/>
      <c r="GS19" s="36"/>
    </row>
    <row r="20" spans="1:255" x14ac:dyDescent="0.2">
      <c r="A20" s="40" t="s">
        <v>29</v>
      </c>
      <c r="B20" s="41">
        <f t="shared" ref="B20:BM20" si="19">1/B17</f>
        <v>2.1578947368421053</v>
      </c>
      <c r="C20" s="41">
        <f t="shared" si="19"/>
        <v>4.2368421052631575</v>
      </c>
      <c r="D20" s="41">
        <f t="shared" si="19"/>
        <v>874.17647058823525</v>
      </c>
      <c r="E20" s="41">
        <f t="shared" si="19"/>
        <v>807.42136150234739</v>
      </c>
      <c r="F20" s="41">
        <f t="shared" si="19"/>
        <v>3</v>
      </c>
      <c r="G20" s="41" t="e">
        <f t="shared" si="19"/>
        <v>#DIV/0!</v>
      </c>
      <c r="H20" s="41" t="e">
        <f t="shared" si="19"/>
        <v>#DIV/0!</v>
      </c>
      <c r="I20" s="41" t="e">
        <f t="shared" si="19"/>
        <v>#DIV/0!</v>
      </c>
      <c r="J20" s="41" t="e">
        <f t="shared" si="19"/>
        <v>#DIV/0!</v>
      </c>
      <c r="K20" s="41" t="e">
        <f t="shared" si="19"/>
        <v>#DIV/0!</v>
      </c>
      <c r="L20" s="41" t="e">
        <f t="shared" si="19"/>
        <v>#DIV/0!</v>
      </c>
      <c r="M20" s="41" t="e">
        <f t="shared" si="19"/>
        <v>#DIV/0!</v>
      </c>
      <c r="N20" s="41" t="e">
        <f t="shared" si="19"/>
        <v>#DIV/0!</v>
      </c>
      <c r="O20" s="41" t="e">
        <f t="shared" si="19"/>
        <v>#DIV/0!</v>
      </c>
      <c r="P20" s="41" t="e">
        <f t="shared" si="19"/>
        <v>#DIV/0!</v>
      </c>
      <c r="Q20" s="41" t="e">
        <f t="shared" si="19"/>
        <v>#DIV/0!</v>
      </c>
      <c r="R20" s="41" t="e">
        <f t="shared" si="19"/>
        <v>#DIV/0!</v>
      </c>
      <c r="S20" s="41" t="e">
        <f t="shared" si="19"/>
        <v>#DIV/0!</v>
      </c>
      <c r="T20" s="41" t="e">
        <f t="shared" si="19"/>
        <v>#DIV/0!</v>
      </c>
      <c r="U20" s="41" t="e">
        <f t="shared" si="19"/>
        <v>#DIV/0!</v>
      </c>
      <c r="V20" s="41" t="e">
        <f t="shared" si="19"/>
        <v>#DIV/0!</v>
      </c>
      <c r="W20" s="41" t="e">
        <f t="shared" si="19"/>
        <v>#DIV/0!</v>
      </c>
      <c r="X20" s="41" t="e">
        <f t="shared" si="19"/>
        <v>#DIV/0!</v>
      </c>
      <c r="Y20" s="41" t="e">
        <f t="shared" si="19"/>
        <v>#DIV/0!</v>
      </c>
      <c r="Z20" s="41" t="e">
        <f t="shared" si="19"/>
        <v>#DIV/0!</v>
      </c>
      <c r="AA20" s="41" t="e">
        <f t="shared" si="19"/>
        <v>#DIV/0!</v>
      </c>
      <c r="AB20" s="41" t="e">
        <f t="shared" si="19"/>
        <v>#DIV/0!</v>
      </c>
      <c r="AC20" s="41" t="e">
        <f t="shared" si="19"/>
        <v>#DIV/0!</v>
      </c>
      <c r="AD20" s="41" t="e">
        <f t="shared" si="19"/>
        <v>#DIV/0!</v>
      </c>
      <c r="AE20" s="41" t="e">
        <f t="shared" si="19"/>
        <v>#DIV/0!</v>
      </c>
      <c r="AF20" s="41" t="e">
        <f t="shared" si="19"/>
        <v>#DIV/0!</v>
      </c>
      <c r="AG20" s="41" t="e">
        <f t="shared" si="19"/>
        <v>#DIV/0!</v>
      </c>
      <c r="AH20" s="41" t="e">
        <f t="shared" si="19"/>
        <v>#DIV/0!</v>
      </c>
      <c r="AI20" s="41" t="e">
        <f t="shared" si="19"/>
        <v>#DIV/0!</v>
      </c>
      <c r="AJ20" s="41" t="e">
        <f t="shared" si="19"/>
        <v>#DIV/0!</v>
      </c>
      <c r="AK20" s="41" t="e">
        <f t="shared" si="19"/>
        <v>#DIV/0!</v>
      </c>
      <c r="AL20" s="41" t="e">
        <f t="shared" si="19"/>
        <v>#DIV/0!</v>
      </c>
      <c r="AM20" s="41" t="e">
        <f t="shared" si="19"/>
        <v>#DIV/0!</v>
      </c>
      <c r="AN20" s="41" t="e">
        <f t="shared" si="19"/>
        <v>#DIV/0!</v>
      </c>
      <c r="AO20" s="41" t="e">
        <f t="shared" si="19"/>
        <v>#DIV/0!</v>
      </c>
      <c r="AP20" s="41" t="e">
        <f t="shared" si="19"/>
        <v>#DIV/0!</v>
      </c>
      <c r="AQ20" s="41" t="e">
        <f t="shared" si="19"/>
        <v>#DIV/0!</v>
      </c>
      <c r="AR20" s="41" t="e">
        <f t="shared" si="19"/>
        <v>#DIV/0!</v>
      </c>
      <c r="AS20" s="41" t="e">
        <f t="shared" si="19"/>
        <v>#DIV/0!</v>
      </c>
      <c r="AT20" s="41" t="e">
        <f t="shared" si="19"/>
        <v>#DIV/0!</v>
      </c>
      <c r="AU20" s="41" t="e">
        <f t="shared" si="19"/>
        <v>#DIV/0!</v>
      </c>
      <c r="AV20" s="41" t="e">
        <f t="shared" si="19"/>
        <v>#DIV/0!</v>
      </c>
      <c r="AW20" s="41" t="e">
        <f t="shared" si="19"/>
        <v>#DIV/0!</v>
      </c>
      <c r="AX20" s="41" t="e">
        <f t="shared" si="19"/>
        <v>#DIV/0!</v>
      </c>
      <c r="AY20" s="41" t="e">
        <f t="shared" si="19"/>
        <v>#DIV/0!</v>
      </c>
      <c r="AZ20" s="41" t="e">
        <f t="shared" si="19"/>
        <v>#DIV/0!</v>
      </c>
      <c r="BA20" s="41" t="e">
        <f t="shared" si="19"/>
        <v>#DIV/0!</v>
      </c>
      <c r="BB20" s="41" t="e">
        <f t="shared" si="19"/>
        <v>#DIV/0!</v>
      </c>
      <c r="BC20" s="41" t="e">
        <f t="shared" si="19"/>
        <v>#DIV/0!</v>
      </c>
      <c r="BD20" s="41" t="e">
        <f t="shared" si="19"/>
        <v>#DIV/0!</v>
      </c>
      <c r="BE20" s="41" t="e">
        <f t="shared" si="19"/>
        <v>#DIV/0!</v>
      </c>
      <c r="BF20" s="41" t="e">
        <f t="shared" si="19"/>
        <v>#DIV/0!</v>
      </c>
      <c r="BG20" s="41" t="e">
        <f t="shared" si="19"/>
        <v>#DIV/0!</v>
      </c>
      <c r="BH20" s="41" t="e">
        <f t="shared" si="19"/>
        <v>#DIV/0!</v>
      </c>
      <c r="BI20" s="41" t="e">
        <f t="shared" si="19"/>
        <v>#DIV/0!</v>
      </c>
      <c r="BJ20" s="41" t="e">
        <f t="shared" si="19"/>
        <v>#DIV/0!</v>
      </c>
      <c r="BK20" s="41" t="e">
        <f t="shared" si="19"/>
        <v>#DIV/0!</v>
      </c>
      <c r="BL20" s="41" t="e">
        <f t="shared" si="19"/>
        <v>#DIV/0!</v>
      </c>
      <c r="BM20" s="41" t="e">
        <f t="shared" si="19"/>
        <v>#DIV/0!</v>
      </c>
      <c r="BN20" s="41" t="e">
        <f t="shared" ref="BN20:CW20" si="20">1/BN17</f>
        <v>#DIV/0!</v>
      </c>
      <c r="BO20" s="41" t="e">
        <f t="shared" si="20"/>
        <v>#DIV/0!</v>
      </c>
      <c r="BP20" s="41" t="e">
        <f t="shared" si="20"/>
        <v>#DIV/0!</v>
      </c>
      <c r="BQ20" s="41" t="e">
        <f t="shared" si="20"/>
        <v>#DIV/0!</v>
      </c>
      <c r="BR20" s="41" t="e">
        <f t="shared" si="20"/>
        <v>#DIV/0!</v>
      </c>
      <c r="BS20" s="41" t="e">
        <f t="shared" si="20"/>
        <v>#DIV/0!</v>
      </c>
      <c r="BT20" s="41" t="e">
        <f t="shared" si="20"/>
        <v>#DIV/0!</v>
      </c>
      <c r="BU20" s="41" t="e">
        <f t="shared" si="20"/>
        <v>#DIV/0!</v>
      </c>
      <c r="BV20" s="41" t="e">
        <f t="shared" si="20"/>
        <v>#DIV/0!</v>
      </c>
      <c r="BW20" s="41" t="e">
        <f t="shared" si="20"/>
        <v>#DIV/0!</v>
      </c>
      <c r="BX20" s="41" t="e">
        <f t="shared" si="20"/>
        <v>#DIV/0!</v>
      </c>
      <c r="BY20" s="41" t="e">
        <f t="shared" si="20"/>
        <v>#DIV/0!</v>
      </c>
      <c r="BZ20" s="41" t="e">
        <f t="shared" si="20"/>
        <v>#DIV/0!</v>
      </c>
      <c r="CA20" s="41" t="e">
        <f t="shared" si="20"/>
        <v>#DIV/0!</v>
      </c>
      <c r="CB20" s="41" t="e">
        <f t="shared" si="20"/>
        <v>#DIV/0!</v>
      </c>
      <c r="CC20" s="41" t="e">
        <f t="shared" si="20"/>
        <v>#DIV/0!</v>
      </c>
      <c r="CD20" s="41" t="e">
        <f t="shared" si="20"/>
        <v>#DIV/0!</v>
      </c>
      <c r="CE20" s="41" t="e">
        <f t="shared" si="20"/>
        <v>#DIV/0!</v>
      </c>
      <c r="CF20" s="41" t="e">
        <f t="shared" si="20"/>
        <v>#DIV/0!</v>
      </c>
      <c r="CG20" s="41" t="e">
        <f t="shared" si="20"/>
        <v>#DIV/0!</v>
      </c>
      <c r="CH20" s="41" t="e">
        <f t="shared" si="20"/>
        <v>#DIV/0!</v>
      </c>
      <c r="CI20" s="41" t="e">
        <f t="shared" si="20"/>
        <v>#DIV/0!</v>
      </c>
      <c r="CJ20" s="41" t="e">
        <f t="shared" si="20"/>
        <v>#DIV/0!</v>
      </c>
      <c r="CK20" s="41" t="e">
        <f t="shared" si="20"/>
        <v>#DIV/0!</v>
      </c>
      <c r="CL20" s="41" t="e">
        <f t="shared" si="20"/>
        <v>#DIV/0!</v>
      </c>
      <c r="CM20" s="41" t="e">
        <f t="shared" si="20"/>
        <v>#DIV/0!</v>
      </c>
      <c r="CN20" s="41" t="e">
        <f t="shared" si="20"/>
        <v>#DIV/0!</v>
      </c>
      <c r="CO20" s="41" t="e">
        <f t="shared" si="20"/>
        <v>#DIV/0!</v>
      </c>
      <c r="CP20" s="41" t="e">
        <f t="shared" si="20"/>
        <v>#DIV/0!</v>
      </c>
      <c r="CQ20" s="41" t="e">
        <f t="shared" si="20"/>
        <v>#DIV/0!</v>
      </c>
      <c r="CR20" s="41" t="e">
        <f t="shared" si="20"/>
        <v>#DIV/0!</v>
      </c>
      <c r="CS20" s="41" t="e">
        <f t="shared" si="20"/>
        <v>#DIV/0!</v>
      </c>
      <c r="CT20" s="41" t="e">
        <f t="shared" si="20"/>
        <v>#DIV/0!</v>
      </c>
      <c r="CU20" s="41" t="e">
        <f t="shared" si="20"/>
        <v>#DIV/0!</v>
      </c>
      <c r="CV20" s="41" t="e">
        <f t="shared" si="20"/>
        <v>#DIV/0!</v>
      </c>
      <c r="CW20" s="41" t="e">
        <f t="shared" si="20"/>
        <v>#DIV/0!</v>
      </c>
      <c r="CX20" s="42"/>
      <c r="CY20" s="42"/>
      <c r="CZ20" s="42"/>
      <c r="DA20" s="42"/>
      <c r="DB20" s="42"/>
      <c r="DC20" s="42"/>
      <c r="DD20" s="42"/>
      <c r="DE20" s="42"/>
      <c r="DF20" s="42"/>
      <c r="DG20" s="42"/>
      <c r="DH20" s="42"/>
      <c r="DI20" s="42"/>
      <c r="DJ20" s="42"/>
      <c r="DK20" s="42"/>
      <c r="DL20" s="42"/>
      <c r="DM20" s="42"/>
      <c r="DN20" s="42"/>
      <c r="DO20" s="42"/>
      <c r="DP20" s="42"/>
      <c r="DQ20" s="42"/>
      <c r="DR20" s="42"/>
      <c r="DS20" s="42"/>
      <c r="DT20" s="42"/>
      <c r="DU20" s="42"/>
      <c r="DV20" s="42"/>
      <c r="DW20" s="42"/>
      <c r="DX20" s="42"/>
      <c r="DY20" s="42"/>
      <c r="DZ20" s="42"/>
      <c r="EA20" s="42"/>
      <c r="EB20" s="42"/>
      <c r="EC20" s="42"/>
      <c r="ED20" s="42"/>
      <c r="EE20" s="42"/>
      <c r="EF20" s="42"/>
      <c r="EG20" s="42"/>
      <c r="EH20" s="42"/>
      <c r="EI20" s="42"/>
      <c r="EJ20" s="42"/>
      <c r="EK20" s="42"/>
      <c r="EL20" s="42"/>
      <c r="EM20" s="42"/>
      <c r="EN20" s="42"/>
      <c r="EO20" s="42"/>
      <c r="EP20" s="42"/>
      <c r="EQ20" s="42"/>
      <c r="ER20" s="42"/>
      <c r="ES20" s="42"/>
      <c r="ET20" s="42"/>
      <c r="EU20" s="42"/>
      <c r="EV20" s="42"/>
      <c r="EW20" s="42"/>
      <c r="EX20" s="42"/>
      <c r="EY20" s="42"/>
      <c r="EZ20" s="42"/>
      <c r="FA20" s="42"/>
      <c r="FB20" s="42"/>
      <c r="FC20" s="42"/>
      <c r="FD20" s="42"/>
      <c r="FE20" s="42"/>
      <c r="FF20" s="42"/>
      <c r="FG20" s="42"/>
      <c r="FH20" s="42"/>
      <c r="FI20" s="42"/>
      <c r="FJ20" s="42"/>
      <c r="FK20" s="42"/>
      <c r="FL20" s="42"/>
      <c r="FM20" s="42"/>
      <c r="FN20" s="42"/>
      <c r="FO20" s="42"/>
      <c r="FP20" s="42"/>
      <c r="FQ20" s="42"/>
      <c r="FR20" s="42"/>
      <c r="FS20" s="42"/>
      <c r="FT20" s="42"/>
      <c r="FU20" s="42"/>
      <c r="FV20" s="42"/>
      <c r="FW20" s="42"/>
      <c r="FX20" s="42"/>
      <c r="FY20" s="42"/>
      <c r="FZ20" s="42"/>
      <c r="GA20" s="42"/>
      <c r="GB20" s="42"/>
      <c r="GC20" s="42"/>
      <c r="GD20" s="42"/>
      <c r="GE20" s="42"/>
      <c r="GF20" s="42"/>
      <c r="GG20" s="42"/>
      <c r="GH20" s="42"/>
      <c r="GI20" s="42"/>
      <c r="GJ20" s="42"/>
      <c r="GK20" s="42"/>
      <c r="GL20" s="42"/>
      <c r="GM20" s="42"/>
      <c r="GN20" s="42"/>
      <c r="GO20" s="42"/>
      <c r="GP20" s="42"/>
      <c r="GQ20" s="42"/>
      <c r="GR20" s="42"/>
      <c r="GS20" s="42"/>
    </row>
    <row r="21" spans="1:255" x14ac:dyDescent="0.2">
      <c r="A21" s="45" t="s">
        <v>30</v>
      </c>
      <c r="B21" s="46">
        <f t="shared" ref="B21:BM21" si="21">B17/(1-B17)</f>
        <v>0.86363636363636365</v>
      </c>
      <c r="C21" s="46">
        <f t="shared" si="21"/>
        <v>0.30894308943089432</v>
      </c>
      <c r="D21" s="46">
        <f t="shared" si="21"/>
        <v>1.1452438695769337E-3</v>
      </c>
      <c r="E21" s="46">
        <f t="shared" si="21"/>
        <v>1.2400465162988978E-3</v>
      </c>
      <c r="F21" s="46">
        <f t="shared" si="21"/>
        <v>0.49999999999999989</v>
      </c>
      <c r="G21" s="46" t="e">
        <f t="shared" si="21"/>
        <v>#DIV/0!</v>
      </c>
      <c r="H21" s="46" t="e">
        <f t="shared" si="21"/>
        <v>#DIV/0!</v>
      </c>
      <c r="I21" s="46" t="e">
        <f t="shared" si="21"/>
        <v>#DIV/0!</v>
      </c>
      <c r="J21" s="46" t="e">
        <f t="shared" si="21"/>
        <v>#DIV/0!</v>
      </c>
      <c r="K21" s="46" t="e">
        <f t="shared" si="21"/>
        <v>#DIV/0!</v>
      </c>
      <c r="L21" s="46" t="e">
        <f t="shared" si="21"/>
        <v>#DIV/0!</v>
      </c>
      <c r="M21" s="46" t="e">
        <f t="shared" si="21"/>
        <v>#DIV/0!</v>
      </c>
      <c r="N21" s="46" t="e">
        <f t="shared" si="21"/>
        <v>#DIV/0!</v>
      </c>
      <c r="O21" s="46" t="e">
        <f t="shared" si="21"/>
        <v>#DIV/0!</v>
      </c>
      <c r="P21" s="46" t="e">
        <f t="shared" si="21"/>
        <v>#DIV/0!</v>
      </c>
      <c r="Q21" s="46" t="e">
        <f t="shared" si="21"/>
        <v>#DIV/0!</v>
      </c>
      <c r="R21" s="46" t="e">
        <f t="shared" si="21"/>
        <v>#DIV/0!</v>
      </c>
      <c r="S21" s="46" t="e">
        <f t="shared" si="21"/>
        <v>#DIV/0!</v>
      </c>
      <c r="T21" s="46" t="e">
        <f t="shared" si="21"/>
        <v>#DIV/0!</v>
      </c>
      <c r="U21" s="46" t="e">
        <f t="shared" si="21"/>
        <v>#DIV/0!</v>
      </c>
      <c r="V21" s="46" t="e">
        <f t="shared" si="21"/>
        <v>#DIV/0!</v>
      </c>
      <c r="W21" s="46" t="e">
        <f t="shared" si="21"/>
        <v>#DIV/0!</v>
      </c>
      <c r="X21" s="46" t="e">
        <f t="shared" si="21"/>
        <v>#DIV/0!</v>
      </c>
      <c r="Y21" s="46" t="e">
        <f t="shared" si="21"/>
        <v>#DIV/0!</v>
      </c>
      <c r="Z21" s="46" t="e">
        <f t="shared" si="21"/>
        <v>#DIV/0!</v>
      </c>
      <c r="AA21" s="46" t="e">
        <f t="shared" si="21"/>
        <v>#DIV/0!</v>
      </c>
      <c r="AB21" s="46" t="e">
        <f t="shared" si="21"/>
        <v>#DIV/0!</v>
      </c>
      <c r="AC21" s="46" t="e">
        <f t="shared" si="21"/>
        <v>#DIV/0!</v>
      </c>
      <c r="AD21" s="46" t="e">
        <f t="shared" si="21"/>
        <v>#DIV/0!</v>
      </c>
      <c r="AE21" s="46" t="e">
        <f t="shared" si="21"/>
        <v>#DIV/0!</v>
      </c>
      <c r="AF21" s="46" t="e">
        <f t="shared" si="21"/>
        <v>#DIV/0!</v>
      </c>
      <c r="AG21" s="46" t="e">
        <f t="shared" si="21"/>
        <v>#DIV/0!</v>
      </c>
      <c r="AH21" s="46" t="e">
        <f t="shared" si="21"/>
        <v>#DIV/0!</v>
      </c>
      <c r="AI21" s="46" t="e">
        <f t="shared" si="21"/>
        <v>#DIV/0!</v>
      </c>
      <c r="AJ21" s="46" t="e">
        <f t="shared" si="21"/>
        <v>#DIV/0!</v>
      </c>
      <c r="AK21" s="46" t="e">
        <f t="shared" si="21"/>
        <v>#DIV/0!</v>
      </c>
      <c r="AL21" s="46" t="e">
        <f t="shared" si="21"/>
        <v>#DIV/0!</v>
      </c>
      <c r="AM21" s="46" t="e">
        <f t="shared" si="21"/>
        <v>#DIV/0!</v>
      </c>
      <c r="AN21" s="46" t="e">
        <f t="shared" si="21"/>
        <v>#DIV/0!</v>
      </c>
      <c r="AO21" s="46" t="e">
        <f t="shared" si="21"/>
        <v>#DIV/0!</v>
      </c>
      <c r="AP21" s="46" t="e">
        <f t="shared" si="21"/>
        <v>#DIV/0!</v>
      </c>
      <c r="AQ21" s="46" t="e">
        <f t="shared" si="21"/>
        <v>#DIV/0!</v>
      </c>
      <c r="AR21" s="46" t="e">
        <f t="shared" si="21"/>
        <v>#DIV/0!</v>
      </c>
      <c r="AS21" s="46" t="e">
        <f t="shared" si="21"/>
        <v>#DIV/0!</v>
      </c>
      <c r="AT21" s="46" t="e">
        <f t="shared" si="21"/>
        <v>#DIV/0!</v>
      </c>
      <c r="AU21" s="46" t="e">
        <f t="shared" si="21"/>
        <v>#DIV/0!</v>
      </c>
      <c r="AV21" s="46" t="e">
        <f t="shared" si="21"/>
        <v>#DIV/0!</v>
      </c>
      <c r="AW21" s="46" t="e">
        <f t="shared" si="21"/>
        <v>#DIV/0!</v>
      </c>
      <c r="AX21" s="46" t="e">
        <f t="shared" si="21"/>
        <v>#DIV/0!</v>
      </c>
      <c r="AY21" s="46" t="e">
        <f t="shared" si="21"/>
        <v>#DIV/0!</v>
      </c>
      <c r="AZ21" s="46" t="e">
        <f t="shared" si="21"/>
        <v>#DIV/0!</v>
      </c>
      <c r="BA21" s="46" t="e">
        <f t="shared" si="21"/>
        <v>#DIV/0!</v>
      </c>
      <c r="BB21" s="46" t="e">
        <f t="shared" si="21"/>
        <v>#DIV/0!</v>
      </c>
      <c r="BC21" s="46" t="e">
        <f t="shared" si="21"/>
        <v>#DIV/0!</v>
      </c>
      <c r="BD21" s="46" t="e">
        <f t="shared" si="21"/>
        <v>#DIV/0!</v>
      </c>
      <c r="BE21" s="46" t="e">
        <f t="shared" si="21"/>
        <v>#DIV/0!</v>
      </c>
      <c r="BF21" s="46" t="e">
        <f t="shared" si="21"/>
        <v>#DIV/0!</v>
      </c>
      <c r="BG21" s="46" t="e">
        <f t="shared" si="21"/>
        <v>#DIV/0!</v>
      </c>
      <c r="BH21" s="46" t="e">
        <f t="shared" si="21"/>
        <v>#DIV/0!</v>
      </c>
      <c r="BI21" s="46" t="e">
        <f t="shared" si="21"/>
        <v>#DIV/0!</v>
      </c>
      <c r="BJ21" s="46" t="e">
        <f t="shared" si="21"/>
        <v>#DIV/0!</v>
      </c>
      <c r="BK21" s="46" t="e">
        <f t="shared" si="21"/>
        <v>#DIV/0!</v>
      </c>
      <c r="BL21" s="46" t="e">
        <f t="shared" si="21"/>
        <v>#DIV/0!</v>
      </c>
      <c r="BM21" s="46" t="e">
        <f t="shared" si="21"/>
        <v>#DIV/0!</v>
      </c>
      <c r="BN21" s="46" t="e">
        <f t="shared" ref="BN21:CW21" si="22">BN17/(1-BN17)</f>
        <v>#DIV/0!</v>
      </c>
      <c r="BO21" s="46" t="e">
        <f t="shared" si="22"/>
        <v>#DIV/0!</v>
      </c>
      <c r="BP21" s="46" t="e">
        <f t="shared" si="22"/>
        <v>#DIV/0!</v>
      </c>
      <c r="BQ21" s="46" t="e">
        <f t="shared" si="22"/>
        <v>#DIV/0!</v>
      </c>
      <c r="BR21" s="46" t="e">
        <f t="shared" si="22"/>
        <v>#DIV/0!</v>
      </c>
      <c r="BS21" s="46" t="e">
        <f t="shared" si="22"/>
        <v>#DIV/0!</v>
      </c>
      <c r="BT21" s="46" t="e">
        <f t="shared" si="22"/>
        <v>#DIV/0!</v>
      </c>
      <c r="BU21" s="46" t="e">
        <f t="shared" si="22"/>
        <v>#DIV/0!</v>
      </c>
      <c r="BV21" s="46" t="e">
        <f t="shared" si="22"/>
        <v>#DIV/0!</v>
      </c>
      <c r="BW21" s="46" t="e">
        <f t="shared" si="22"/>
        <v>#DIV/0!</v>
      </c>
      <c r="BX21" s="46" t="e">
        <f t="shared" si="22"/>
        <v>#DIV/0!</v>
      </c>
      <c r="BY21" s="46" t="e">
        <f t="shared" si="22"/>
        <v>#DIV/0!</v>
      </c>
      <c r="BZ21" s="46" t="e">
        <f t="shared" si="22"/>
        <v>#DIV/0!</v>
      </c>
      <c r="CA21" s="46" t="e">
        <f t="shared" si="22"/>
        <v>#DIV/0!</v>
      </c>
      <c r="CB21" s="46" t="e">
        <f t="shared" si="22"/>
        <v>#DIV/0!</v>
      </c>
      <c r="CC21" s="46" t="e">
        <f t="shared" si="22"/>
        <v>#DIV/0!</v>
      </c>
      <c r="CD21" s="46" t="e">
        <f t="shared" si="22"/>
        <v>#DIV/0!</v>
      </c>
      <c r="CE21" s="46" t="e">
        <f t="shared" si="22"/>
        <v>#DIV/0!</v>
      </c>
      <c r="CF21" s="46" t="e">
        <f t="shared" si="22"/>
        <v>#DIV/0!</v>
      </c>
      <c r="CG21" s="46" t="e">
        <f t="shared" si="22"/>
        <v>#DIV/0!</v>
      </c>
      <c r="CH21" s="46" t="e">
        <f t="shared" si="22"/>
        <v>#DIV/0!</v>
      </c>
      <c r="CI21" s="46" t="e">
        <f t="shared" si="22"/>
        <v>#DIV/0!</v>
      </c>
      <c r="CJ21" s="46" t="e">
        <f t="shared" si="22"/>
        <v>#DIV/0!</v>
      </c>
      <c r="CK21" s="46" t="e">
        <f t="shared" si="22"/>
        <v>#DIV/0!</v>
      </c>
      <c r="CL21" s="46" t="e">
        <f t="shared" si="22"/>
        <v>#DIV/0!</v>
      </c>
      <c r="CM21" s="46" t="e">
        <f t="shared" si="22"/>
        <v>#DIV/0!</v>
      </c>
      <c r="CN21" s="46" t="e">
        <f t="shared" si="22"/>
        <v>#DIV/0!</v>
      </c>
      <c r="CO21" s="46" t="e">
        <f t="shared" si="22"/>
        <v>#DIV/0!</v>
      </c>
      <c r="CP21" s="46" t="e">
        <f t="shared" si="22"/>
        <v>#DIV/0!</v>
      </c>
      <c r="CQ21" s="46" t="e">
        <f t="shared" si="22"/>
        <v>#DIV/0!</v>
      </c>
      <c r="CR21" s="46" t="e">
        <f t="shared" si="22"/>
        <v>#DIV/0!</v>
      </c>
      <c r="CS21" s="46" t="e">
        <f t="shared" si="22"/>
        <v>#DIV/0!</v>
      </c>
      <c r="CT21" s="46" t="e">
        <f t="shared" si="22"/>
        <v>#DIV/0!</v>
      </c>
      <c r="CU21" s="46" t="e">
        <f t="shared" si="22"/>
        <v>#DIV/0!</v>
      </c>
      <c r="CV21" s="46" t="e">
        <f t="shared" si="22"/>
        <v>#DIV/0!</v>
      </c>
      <c r="CW21" s="46" t="e">
        <f t="shared" si="22"/>
        <v>#DIV/0!</v>
      </c>
      <c r="CX21" s="47"/>
      <c r="CY21" s="47"/>
      <c r="CZ21" s="47"/>
      <c r="DA21" s="47"/>
      <c r="DB21" s="47"/>
      <c r="DC21" s="47"/>
      <c r="DD21" s="47"/>
      <c r="DE21" s="47"/>
      <c r="DF21" s="47"/>
      <c r="DG21" s="47"/>
      <c r="DH21" s="47"/>
      <c r="DI21" s="47"/>
      <c r="DJ21" s="47"/>
      <c r="DK21" s="47"/>
      <c r="DL21" s="47"/>
      <c r="DM21" s="47"/>
      <c r="DN21" s="47"/>
      <c r="DO21" s="47"/>
      <c r="DP21" s="47"/>
      <c r="DQ21" s="47"/>
      <c r="DR21" s="47"/>
      <c r="DS21" s="47"/>
      <c r="DT21" s="47"/>
      <c r="DU21" s="47"/>
      <c r="DV21" s="47"/>
      <c r="DW21" s="47"/>
      <c r="DX21" s="47"/>
      <c r="DY21" s="47"/>
      <c r="DZ21" s="47"/>
      <c r="EA21" s="47"/>
      <c r="EB21" s="47"/>
      <c r="EC21" s="47"/>
      <c r="ED21" s="47"/>
      <c r="EE21" s="47"/>
      <c r="EF21" s="47"/>
      <c r="EG21" s="47"/>
      <c r="EH21" s="47"/>
      <c r="EI21" s="47"/>
      <c r="EJ21" s="47"/>
      <c r="EK21" s="47"/>
      <c r="EL21" s="47"/>
      <c r="EM21" s="47"/>
      <c r="EN21" s="47"/>
      <c r="EO21" s="47"/>
      <c r="EP21" s="47"/>
      <c r="EQ21" s="47"/>
      <c r="ER21" s="47"/>
      <c r="ES21" s="47"/>
      <c r="ET21" s="47"/>
      <c r="EU21" s="47"/>
      <c r="EV21" s="47"/>
      <c r="EW21" s="47"/>
      <c r="EX21" s="47"/>
      <c r="EY21" s="47"/>
      <c r="EZ21" s="47"/>
      <c r="FA21" s="47"/>
      <c r="FB21" s="47"/>
      <c r="FC21" s="47"/>
      <c r="FD21" s="47"/>
      <c r="FE21" s="47"/>
      <c r="FF21" s="47"/>
      <c r="FG21" s="47"/>
      <c r="FH21" s="47"/>
      <c r="FI21" s="47"/>
      <c r="FJ21" s="47"/>
      <c r="FK21" s="47"/>
      <c r="FL21" s="47"/>
      <c r="FM21" s="47"/>
      <c r="FN21" s="47"/>
      <c r="FO21" s="47"/>
      <c r="FP21" s="47"/>
      <c r="FQ21" s="47"/>
      <c r="FR21" s="47"/>
      <c r="FS21" s="47"/>
      <c r="FT21" s="47"/>
      <c r="FU21" s="47"/>
      <c r="FV21" s="47"/>
      <c r="FW21" s="47"/>
      <c r="FX21" s="47"/>
      <c r="FY21" s="47"/>
      <c r="FZ21" s="47"/>
      <c r="GA21" s="47"/>
      <c r="GB21" s="47"/>
      <c r="GC21" s="47"/>
      <c r="GD21" s="47"/>
      <c r="GE21" s="47"/>
      <c r="GF21" s="47"/>
      <c r="GG21" s="47"/>
      <c r="GH21" s="47"/>
      <c r="GI21" s="47"/>
      <c r="GJ21" s="47"/>
      <c r="GK21" s="47"/>
      <c r="GL21" s="47"/>
      <c r="GM21" s="47"/>
      <c r="GN21" s="47"/>
      <c r="GO21" s="47"/>
      <c r="GP21" s="47"/>
      <c r="GQ21" s="47"/>
      <c r="GR21" s="47"/>
      <c r="GS21" s="47"/>
    </row>
    <row r="22" spans="1:255" x14ac:dyDescent="0.2">
      <c r="A22" s="45" t="s">
        <v>31</v>
      </c>
      <c r="B22" s="47">
        <f t="shared" ref="B22:BM22" si="23">(1-B15)/B15</f>
        <v>2.9423076923076921</v>
      </c>
      <c r="C22" s="47">
        <f t="shared" si="23"/>
        <v>0.89411764705882357</v>
      </c>
      <c r="D22" s="47">
        <f t="shared" si="23"/>
        <v>7.8796606118546846</v>
      </c>
      <c r="E22" s="47">
        <f t="shared" si="23"/>
        <v>2.240724957567536E-3</v>
      </c>
      <c r="F22" s="47">
        <f t="shared" si="23"/>
        <v>2.0000000000000004</v>
      </c>
      <c r="G22" s="47" t="e">
        <f t="shared" si="23"/>
        <v>#DIV/0!</v>
      </c>
      <c r="H22" s="47" t="e">
        <f t="shared" si="23"/>
        <v>#DIV/0!</v>
      </c>
      <c r="I22" s="47" t="e">
        <f t="shared" si="23"/>
        <v>#DIV/0!</v>
      </c>
      <c r="J22" s="47" t="e">
        <f t="shared" si="23"/>
        <v>#DIV/0!</v>
      </c>
      <c r="K22" s="47" t="e">
        <f t="shared" si="23"/>
        <v>#DIV/0!</v>
      </c>
      <c r="L22" s="47" t="e">
        <f t="shared" si="23"/>
        <v>#DIV/0!</v>
      </c>
      <c r="M22" s="47" t="e">
        <f t="shared" si="23"/>
        <v>#DIV/0!</v>
      </c>
      <c r="N22" s="47" t="e">
        <f t="shared" si="23"/>
        <v>#DIV/0!</v>
      </c>
      <c r="O22" s="47" t="e">
        <f t="shared" si="23"/>
        <v>#DIV/0!</v>
      </c>
      <c r="P22" s="47" t="e">
        <f t="shared" si="23"/>
        <v>#DIV/0!</v>
      </c>
      <c r="Q22" s="47" t="e">
        <f t="shared" si="23"/>
        <v>#DIV/0!</v>
      </c>
      <c r="R22" s="47" t="e">
        <f t="shared" si="23"/>
        <v>#DIV/0!</v>
      </c>
      <c r="S22" s="47" t="e">
        <f t="shared" si="23"/>
        <v>#DIV/0!</v>
      </c>
      <c r="T22" s="47" t="e">
        <f t="shared" si="23"/>
        <v>#DIV/0!</v>
      </c>
      <c r="U22" s="47" t="e">
        <f t="shared" si="23"/>
        <v>#DIV/0!</v>
      </c>
      <c r="V22" s="47" t="e">
        <f t="shared" si="23"/>
        <v>#DIV/0!</v>
      </c>
      <c r="W22" s="47" t="e">
        <f t="shared" si="23"/>
        <v>#DIV/0!</v>
      </c>
      <c r="X22" s="47" t="e">
        <f t="shared" si="23"/>
        <v>#DIV/0!</v>
      </c>
      <c r="Y22" s="47" t="e">
        <f t="shared" si="23"/>
        <v>#DIV/0!</v>
      </c>
      <c r="Z22" s="47" t="e">
        <f t="shared" si="23"/>
        <v>#DIV/0!</v>
      </c>
      <c r="AA22" s="47" t="e">
        <f t="shared" si="23"/>
        <v>#DIV/0!</v>
      </c>
      <c r="AB22" s="47" t="e">
        <f t="shared" si="23"/>
        <v>#DIV/0!</v>
      </c>
      <c r="AC22" s="47" t="e">
        <f t="shared" si="23"/>
        <v>#DIV/0!</v>
      </c>
      <c r="AD22" s="47" t="e">
        <f t="shared" si="23"/>
        <v>#DIV/0!</v>
      </c>
      <c r="AE22" s="47" t="e">
        <f t="shared" si="23"/>
        <v>#DIV/0!</v>
      </c>
      <c r="AF22" s="47" t="e">
        <f t="shared" si="23"/>
        <v>#DIV/0!</v>
      </c>
      <c r="AG22" s="47" t="e">
        <f t="shared" si="23"/>
        <v>#DIV/0!</v>
      </c>
      <c r="AH22" s="47" t="e">
        <f t="shared" si="23"/>
        <v>#DIV/0!</v>
      </c>
      <c r="AI22" s="47" t="e">
        <f t="shared" si="23"/>
        <v>#DIV/0!</v>
      </c>
      <c r="AJ22" s="47" t="e">
        <f t="shared" si="23"/>
        <v>#DIV/0!</v>
      </c>
      <c r="AK22" s="47" t="e">
        <f t="shared" si="23"/>
        <v>#DIV/0!</v>
      </c>
      <c r="AL22" s="47" t="e">
        <f t="shared" si="23"/>
        <v>#DIV/0!</v>
      </c>
      <c r="AM22" s="47" t="e">
        <f t="shared" si="23"/>
        <v>#DIV/0!</v>
      </c>
      <c r="AN22" s="47" t="e">
        <f t="shared" si="23"/>
        <v>#DIV/0!</v>
      </c>
      <c r="AO22" s="47" t="e">
        <f t="shared" si="23"/>
        <v>#DIV/0!</v>
      </c>
      <c r="AP22" s="47" t="e">
        <f t="shared" si="23"/>
        <v>#DIV/0!</v>
      </c>
      <c r="AQ22" s="47" t="e">
        <f t="shared" si="23"/>
        <v>#DIV/0!</v>
      </c>
      <c r="AR22" s="47" t="e">
        <f t="shared" si="23"/>
        <v>#DIV/0!</v>
      </c>
      <c r="AS22" s="47" t="e">
        <f t="shared" si="23"/>
        <v>#DIV/0!</v>
      </c>
      <c r="AT22" s="47" t="e">
        <f t="shared" si="23"/>
        <v>#DIV/0!</v>
      </c>
      <c r="AU22" s="47" t="e">
        <f t="shared" si="23"/>
        <v>#DIV/0!</v>
      </c>
      <c r="AV22" s="47" t="e">
        <f t="shared" si="23"/>
        <v>#DIV/0!</v>
      </c>
      <c r="AW22" s="47" t="e">
        <f t="shared" si="23"/>
        <v>#DIV/0!</v>
      </c>
      <c r="AX22" s="47" t="e">
        <f t="shared" si="23"/>
        <v>#DIV/0!</v>
      </c>
      <c r="AY22" s="47" t="e">
        <f t="shared" si="23"/>
        <v>#DIV/0!</v>
      </c>
      <c r="AZ22" s="47" t="e">
        <f t="shared" si="23"/>
        <v>#DIV/0!</v>
      </c>
      <c r="BA22" s="47" t="e">
        <f t="shared" si="23"/>
        <v>#DIV/0!</v>
      </c>
      <c r="BB22" s="47" t="e">
        <f t="shared" si="23"/>
        <v>#DIV/0!</v>
      </c>
      <c r="BC22" s="47" t="e">
        <f t="shared" si="23"/>
        <v>#DIV/0!</v>
      </c>
      <c r="BD22" s="47" t="e">
        <f t="shared" si="23"/>
        <v>#DIV/0!</v>
      </c>
      <c r="BE22" s="47" t="e">
        <f t="shared" si="23"/>
        <v>#DIV/0!</v>
      </c>
      <c r="BF22" s="47" t="e">
        <f t="shared" si="23"/>
        <v>#DIV/0!</v>
      </c>
      <c r="BG22" s="47" t="e">
        <f t="shared" si="23"/>
        <v>#DIV/0!</v>
      </c>
      <c r="BH22" s="47" t="e">
        <f t="shared" si="23"/>
        <v>#DIV/0!</v>
      </c>
      <c r="BI22" s="47" t="e">
        <f t="shared" si="23"/>
        <v>#DIV/0!</v>
      </c>
      <c r="BJ22" s="47" t="e">
        <f t="shared" si="23"/>
        <v>#DIV/0!</v>
      </c>
      <c r="BK22" s="47" t="e">
        <f t="shared" si="23"/>
        <v>#DIV/0!</v>
      </c>
      <c r="BL22" s="47" t="e">
        <f t="shared" si="23"/>
        <v>#DIV/0!</v>
      </c>
      <c r="BM22" s="47" t="e">
        <f t="shared" si="23"/>
        <v>#DIV/0!</v>
      </c>
      <c r="BN22" s="47" t="e">
        <f t="shared" ref="BN22:CW22" si="24">(1-BN15)/BN15</f>
        <v>#DIV/0!</v>
      </c>
      <c r="BO22" s="47" t="e">
        <f t="shared" si="24"/>
        <v>#DIV/0!</v>
      </c>
      <c r="BP22" s="47" t="e">
        <f t="shared" si="24"/>
        <v>#DIV/0!</v>
      </c>
      <c r="BQ22" s="47" t="e">
        <f t="shared" si="24"/>
        <v>#DIV/0!</v>
      </c>
      <c r="BR22" s="47" t="e">
        <f t="shared" si="24"/>
        <v>#DIV/0!</v>
      </c>
      <c r="BS22" s="47" t="e">
        <f t="shared" si="24"/>
        <v>#DIV/0!</v>
      </c>
      <c r="BT22" s="47" t="e">
        <f t="shared" si="24"/>
        <v>#DIV/0!</v>
      </c>
      <c r="BU22" s="47" t="e">
        <f t="shared" si="24"/>
        <v>#DIV/0!</v>
      </c>
      <c r="BV22" s="47" t="e">
        <f t="shared" si="24"/>
        <v>#DIV/0!</v>
      </c>
      <c r="BW22" s="47" t="e">
        <f t="shared" si="24"/>
        <v>#DIV/0!</v>
      </c>
      <c r="BX22" s="47" t="e">
        <f t="shared" si="24"/>
        <v>#DIV/0!</v>
      </c>
      <c r="BY22" s="47" t="e">
        <f t="shared" si="24"/>
        <v>#DIV/0!</v>
      </c>
      <c r="BZ22" s="47" t="e">
        <f t="shared" si="24"/>
        <v>#DIV/0!</v>
      </c>
      <c r="CA22" s="47" t="e">
        <f t="shared" si="24"/>
        <v>#DIV/0!</v>
      </c>
      <c r="CB22" s="47" t="e">
        <f t="shared" si="24"/>
        <v>#DIV/0!</v>
      </c>
      <c r="CC22" s="47" t="e">
        <f t="shared" si="24"/>
        <v>#DIV/0!</v>
      </c>
      <c r="CD22" s="47" t="e">
        <f t="shared" si="24"/>
        <v>#DIV/0!</v>
      </c>
      <c r="CE22" s="47" t="e">
        <f t="shared" si="24"/>
        <v>#DIV/0!</v>
      </c>
      <c r="CF22" s="47" t="e">
        <f t="shared" si="24"/>
        <v>#DIV/0!</v>
      </c>
      <c r="CG22" s="47" t="e">
        <f t="shared" si="24"/>
        <v>#DIV/0!</v>
      </c>
      <c r="CH22" s="47" t="e">
        <f t="shared" si="24"/>
        <v>#DIV/0!</v>
      </c>
      <c r="CI22" s="47" t="e">
        <f t="shared" si="24"/>
        <v>#DIV/0!</v>
      </c>
      <c r="CJ22" s="47" t="e">
        <f t="shared" si="24"/>
        <v>#DIV/0!</v>
      </c>
      <c r="CK22" s="47" t="e">
        <f t="shared" si="24"/>
        <v>#DIV/0!</v>
      </c>
      <c r="CL22" s="47" t="e">
        <f t="shared" si="24"/>
        <v>#DIV/0!</v>
      </c>
      <c r="CM22" s="47" t="e">
        <f t="shared" si="24"/>
        <v>#DIV/0!</v>
      </c>
      <c r="CN22" s="47" t="e">
        <f t="shared" si="24"/>
        <v>#DIV/0!</v>
      </c>
      <c r="CO22" s="47" t="e">
        <f t="shared" si="24"/>
        <v>#DIV/0!</v>
      </c>
      <c r="CP22" s="47" t="e">
        <f t="shared" si="24"/>
        <v>#DIV/0!</v>
      </c>
      <c r="CQ22" s="47" t="e">
        <f t="shared" si="24"/>
        <v>#DIV/0!</v>
      </c>
      <c r="CR22" s="47" t="e">
        <f t="shared" si="24"/>
        <v>#DIV/0!</v>
      </c>
      <c r="CS22" s="47" t="e">
        <f t="shared" si="24"/>
        <v>#DIV/0!</v>
      </c>
      <c r="CT22" s="47" t="e">
        <f t="shared" si="24"/>
        <v>#DIV/0!</v>
      </c>
      <c r="CU22" s="47" t="e">
        <f t="shared" si="24"/>
        <v>#DIV/0!</v>
      </c>
      <c r="CV22" s="47" t="e">
        <f t="shared" si="24"/>
        <v>#DIV/0!</v>
      </c>
      <c r="CW22" s="47" t="e">
        <f t="shared" si="24"/>
        <v>#DIV/0!</v>
      </c>
      <c r="CX22" s="47"/>
      <c r="CY22" s="47"/>
      <c r="CZ22" s="47"/>
      <c r="DA22" s="47"/>
      <c r="DB22" s="47"/>
      <c r="DC22" s="47"/>
      <c r="DD22" s="47"/>
      <c r="DE22" s="47"/>
      <c r="DF22" s="47"/>
      <c r="DG22" s="47"/>
      <c r="DH22" s="47"/>
      <c r="DI22" s="47"/>
      <c r="DJ22" s="47"/>
      <c r="DK22" s="47"/>
      <c r="DL22" s="47"/>
      <c r="DM22" s="47"/>
      <c r="DN22" s="47"/>
      <c r="DO22" s="47"/>
      <c r="DP22" s="47"/>
      <c r="DQ22" s="47"/>
      <c r="DR22" s="47"/>
      <c r="DS22" s="47"/>
      <c r="DT22" s="47"/>
      <c r="DU22" s="47"/>
      <c r="DV22" s="47"/>
      <c r="DW22" s="47"/>
      <c r="DX22" s="47"/>
      <c r="DY22" s="47"/>
      <c r="DZ22" s="47"/>
      <c r="EA22" s="47"/>
      <c r="EB22" s="47"/>
      <c r="EC22" s="47"/>
      <c r="ED22" s="47"/>
      <c r="EE22" s="47"/>
      <c r="EF22" s="47"/>
      <c r="EG22" s="47"/>
      <c r="EH22" s="47"/>
      <c r="EI22" s="47"/>
      <c r="EJ22" s="47"/>
      <c r="EK22" s="47"/>
      <c r="EL22" s="47"/>
      <c r="EM22" s="47"/>
      <c r="EN22" s="47"/>
      <c r="EO22" s="47"/>
      <c r="EP22" s="47"/>
      <c r="EQ22" s="47"/>
      <c r="ER22" s="47"/>
      <c r="ES22" s="47"/>
      <c r="ET22" s="47"/>
      <c r="EU22" s="47"/>
      <c r="EV22" s="47"/>
      <c r="EW22" s="47"/>
      <c r="EX22" s="47"/>
      <c r="EY22" s="47"/>
      <c r="EZ22" s="47"/>
      <c r="FA22" s="47"/>
      <c r="FB22" s="47"/>
      <c r="FC22" s="47"/>
      <c r="FD22" s="47"/>
      <c r="FE22" s="47"/>
      <c r="FF22" s="47"/>
      <c r="FG22" s="47"/>
      <c r="FH22" s="47"/>
      <c r="FI22" s="47"/>
      <c r="FJ22" s="47"/>
      <c r="FK22" s="47"/>
      <c r="FL22" s="47"/>
      <c r="FM22" s="47"/>
      <c r="FN22" s="47"/>
      <c r="FO22" s="47"/>
      <c r="FP22" s="47"/>
      <c r="FQ22" s="47"/>
      <c r="FR22" s="47"/>
      <c r="FS22" s="47"/>
      <c r="FT22" s="47"/>
      <c r="FU22" s="47"/>
      <c r="FV22" s="47"/>
      <c r="FW22" s="47"/>
      <c r="FX22" s="47"/>
      <c r="FY22" s="47"/>
      <c r="FZ22" s="47"/>
      <c r="GA22" s="47"/>
      <c r="GB22" s="47"/>
      <c r="GC22" s="47"/>
      <c r="GD22" s="47"/>
      <c r="GE22" s="47"/>
      <c r="GF22" s="47"/>
      <c r="GG22" s="47"/>
      <c r="GH22" s="47"/>
      <c r="GI22" s="47"/>
      <c r="GJ22" s="47"/>
      <c r="GK22" s="47"/>
      <c r="GL22" s="47"/>
      <c r="GM22" s="47"/>
      <c r="GN22" s="47"/>
      <c r="GO22" s="47"/>
      <c r="GP22" s="47"/>
      <c r="GQ22" s="47"/>
      <c r="GR22" s="47"/>
      <c r="GS22" s="47"/>
    </row>
    <row r="23" spans="1:255" x14ac:dyDescent="0.2">
      <c r="A23" s="45" t="s">
        <v>19</v>
      </c>
      <c r="B23" s="51">
        <f t="shared" ref="B23:BM23" si="25">B20/B22</f>
        <v>0.73340213278293787</v>
      </c>
      <c r="C23" s="51">
        <f t="shared" si="25"/>
        <v>4.7385734072022156</v>
      </c>
      <c r="D23" s="51">
        <f t="shared" si="25"/>
        <v>110.94087850345561</v>
      </c>
      <c r="E23" s="51">
        <f t="shared" si="25"/>
        <v>360339.34409284213</v>
      </c>
      <c r="F23" s="51">
        <f t="shared" si="25"/>
        <v>1.4999999999999996</v>
      </c>
      <c r="G23" s="51" t="e">
        <f t="shared" si="25"/>
        <v>#DIV/0!</v>
      </c>
      <c r="H23" s="51" t="e">
        <f t="shared" si="25"/>
        <v>#DIV/0!</v>
      </c>
      <c r="I23" s="51" t="e">
        <f t="shared" si="25"/>
        <v>#DIV/0!</v>
      </c>
      <c r="J23" s="51" t="e">
        <f t="shared" si="25"/>
        <v>#DIV/0!</v>
      </c>
      <c r="K23" s="51" t="e">
        <f t="shared" si="25"/>
        <v>#DIV/0!</v>
      </c>
      <c r="L23" s="51" t="e">
        <f t="shared" si="25"/>
        <v>#DIV/0!</v>
      </c>
      <c r="M23" s="51" t="e">
        <f t="shared" si="25"/>
        <v>#DIV/0!</v>
      </c>
      <c r="N23" s="51" t="e">
        <f t="shared" si="25"/>
        <v>#DIV/0!</v>
      </c>
      <c r="O23" s="51" t="e">
        <f t="shared" si="25"/>
        <v>#DIV/0!</v>
      </c>
      <c r="P23" s="51" t="e">
        <f t="shared" si="25"/>
        <v>#DIV/0!</v>
      </c>
      <c r="Q23" s="51" t="e">
        <f t="shared" si="25"/>
        <v>#DIV/0!</v>
      </c>
      <c r="R23" s="51" t="e">
        <f t="shared" si="25"/>
        <v>#DIV/0!</v>
      </c>
      <c r="S23" s="51" t="e">
        <f t="shared" si="25"/>
        <v>#DIV/0!</v>
      </c>
      <c r="T23" s="51" t="e">
        <f t="shared" si="25"/>
        <v>#DIV/0!</v>
      </c>
      <c r="U23" s="51" t="e">
        <f t="shared" si="25"/>
        <v>#DIV/0!</v>
      </c>
      <c r="V23" s="51" t="e">
        <f t="shared" si="25"/>
        <v>#DIV/0!</v>
      </c>
      <c r="W23" s="51" t="e">
        <f t="shared" si="25"/>
        <v>#DIV/0!</v>
      </c>
      <c r="X23" s="51" t="e">
        <f t="shared" si="25"/>
        <v>#DIV/0!</v>
      </c>
      <c r="Y23" s="51" t="e">
        <f t="shared" si="25"/>
        <v>#DIV/0!</v>
      </c>
      <c r="Z23" s="51" t="e">
        <f t="shared" si="25"/>
        <v>#DIV/0!</v>
      </c>
      <c r="AA23" s="51" t="e">
        <f t="shared" si="25"/>
        <v>#DIV/0!</v>
      </c>
      <c r="AB23" s="51" t="e">
        <f t="shared" si="25"/>
        <v>#DIV/0!</v>
      </c>
      <c r="AC23" s="51" t="e">
        <f t="shared" si="25"/>
        <v>#DIV/0!</v>
      </c>
      <c r="AD23" s="51" t="e">
        <f t="shared" si="25"/>
        <v>#DIV/0!</v>
      </c>
      <c r="AE23" s="51" t="e">
        <f t="shared" si="25"/>
        <v>#DIV/0!</v>
      </c>
      <c r="AF23" s="51" t="e">
        <f t="shared" si="25"/>
        <v>#DIV/0!</v>
      </c>
      <c r="AG23" s="51" t="e">
        <f t="shared" si="25"/>
        <v>#DIV/0!</v>
      </c>
      <c r="AH23" s="51" t="e">
        <f t="shared" si="25"/>
        <v>#DIV/0!</v>
      </c>
      <c r="AI23" s="51" t="e">
        <f t="shared" si="25"/>
        <v>#DIV/0!</v>
      </c>
      <c r="AJ23" s="51" t="e">
        <f t="shared" si="25"/>
        <v>#DIV/0!</v>
      </c>
      <c r="AK23" s="51" t="e">
        <f t="shared" si="25"/>
        <v>#DIV/0!</v>
      </c>
      <c r="AL23" s="51" t="e">
        <f t="shared" si="25"/>
        <v>#DIV/0!</v>
      </c>
      <c r="AM23" s="51" t="e">
        <f t="shared" si="25"/>
        <v>#DIV/0!</v>
      </c>
      <c r="AN23" s="51" t="e">
        <f t="shared" si="25"/>
        <v>#DIV/0!</v>
      </c>
      <c r="AO23" s="51" t="e">
        <f t="shared" si="25"/>
        <v>#DIV/0!</v>
      </c>
      <c r="AP23" s="51" t="e">
        <f t="shared" si="25"/>
        <v>#DIV/0!</v>
      </c>
      <c r="AQ23" s="51" t="e">
        <f t="shared" si="25"/>
        <v>#DIV/0!</v>
      </c>
      <c r="AR23" s="51" t="e">
        <f t="shared" si="25"/>
        <v>#DIV/0!</v>
      </c>
      <c r="AS23" s="51" t="e">
        <f t="shared" si="25"/>
        <v>#DIV/0!</v>
      </c>
      <c r="AT23" s="51" t="e">
        <f t="shared" si="25"/>
        <v>#DIV/0!</v>
      </c>
      <c r="AU23" s="51" t="e">
        <f t="shared" si="25"/>
        <v>#DIV/0!</v>
      </c>
      <c r="AV23" s="51" t="e">
        <f t="shared" si="25"/>
        <v>#DIV/0!</v>
      </c>
      <c r="AW23" s="51" t="e">
        <f t="shared" si="25"/>
        <v>#DIV/0!</v>
      </c>
      <c r="AX23" s="51" t="e">
        <f t="shared" si="25"/>
        <v>#DIV/0!</v>
      </c>
      <c r="AY23" s="51" t="e">
        <f t="shared" si="25"/>
        <v>#DIV/0!</v>
      </c>
      <c r="AZ23" s="51" t="e">
        <f t="shared" si="25"/>
        <v>#DIV/0!</v>
      </c>
      <c r="BA23" s="51" t="e">
        <f t="shared" si="25"/>
        <v>#DIV/0!</v>
      </c>
      <c r="BB23" s="51" t="e">
        <f t="shared" si="25"/>
        <v>#DIV/0!</v>
      </c>
      <c r="BC23" s="51" t="e">
        <f t="shared" si="25"/>
        <v>#DIV/0!</v>
      </c>
      <c r="BD23" s="51" t="e">
        <f t="shared" si="25"/>
        <v>#DIV/0!</v>
      </c>
      <c r="BE23" s="51" t="e">
        <f t="shared" si="25"/>
        <v>#DIV/0!</v>
      </c>
      <c r="BF23" s="51" t="e">
        <f t="shared" si="25"/>
        <v>#DIV/0!</v>
      </c>
      <c r="BG23" s="51" t="e">
        <f t="shared" si="25"/>
        <v>#DIV/0!</v>
      </c>
      <c r="BH23" s="51" t="e">
        <f t="shared" si="25"/>
        <v>#DIV/0!</v>
      </c>
      <c r="BI23" s="51" t="e">
        <f t="shared" si="25"/>
        <v>#DIV/0!</v>
      </c>
      <c r="BJ23" s="51" t="e">
        <f t="shared" si="25"/>
        <v>#DIV/0!</v>
      </c>
      <c r="BK23" s="51" t="e">
        <f t="shared" si="25"/>
        <v>#DIV/0!</v>
      </c>
      <c r="BL23" s="51" t="e">
        <f t="shared" si="25"/>
        <v>#DIV/0!</v>
      </c>
      <c r="BM23" s="51" t="e">
        <f t="shared" si="25"/>
        <v>#DIV/0!</v>
      </c>
      <c r="BN23" s="51" t="e">
        <f t="shared" ref="BN23:CW23" si="26">BN20/BN22</f>
        <v>#DIV/0!</v>
      </c>
      <c r="BO23" s="51" t="e">
        <f t="shared" si="26"/>
        <v>#DIV/0!</v>
      </c>
      <c r="BP23" s="51" t="e">
        <f t="shared" si="26"/>
        <v>#DIV/0!</v>
      </c>
      <c r="BQ23" s="51" t="e">
        <f t="shared" si="26"/>
        <v>#DIV/0!</v>
      </c>
      <c r="BR23" s="51" t="e">
        <f t="shared" si="26"/>
        <v>#DIV/0!</v>
      </c>
      <c r="BS23" s="51" t="e">
        <f t="shared" si="26"/>
        <v>#DIV/0!</v>
      </c>
      <c r="BT23" s="51" t="e">
        <f t="shared" si="26"/>
        <v>#DIV/0!</v>
      </c>
      <c r="BU23" s="51" t="e">
        <f t="shared" si="26"/>
        <v>#DIV/0!</v>
      </c>
      <c r="BV23" s="51" t="e">
        <f t="shared" si="26"/>
        <v>#DIV/0!</v>
      </c>
      <c r="BW23" s="51" t="e">
        <f t="shared" si="26"/>
        <v>#DIV/0!</v>
      </c>
      <c r="BX23" s="51" t="e">
        <f t="shared" si="26"/>
        <v>#DIV/0!</v>
      </c>
      <c r="BY23" s="51" t="e">
        <f t="shared" si="26"/>
        <v>#DIV/0!</v>
      </c>
      <c r="BZ23" s="51" t="e">
        <f t="shared" si="26"/>
        <v>#DIV/0!</v>
      </c>
      <c r="CA23" s="51" t="e">
        <f t="shared" si="26"/>
        <v>#DIV/0!</v>
      </c>
      <c r="CB23" s="51" t="e">
        <f t="shared" si="26"/>
        <v>#DIV/0!</v>
      </c>
      <c r="CC23" s="51" t="e">
        <f t="shared" si="26"/>
        <v>#DIV/0!</v>
      </c>
      <c r="CD23" s="51" t="e">
        <f t="shared" si="26"/>
        <v>#DIV/0!</v>
      </c>
      <c r="CE23" s="51" t="e">
        <f t="shared" si="26"/>
        <v>#DIV/0!</v>
      </c>
      <c r="CF23" s="51" t="e">
        <f t="shared" si="26"/>
        <v>#DIV/0!</v>
      </c>
      <c r="CG23" s="51" t="e">
        <f t="shared" si="26"/>
        <v>#DIV/0!</v>
      </c>
      <c r="CH23" s="51" t="e">
        <f t="shared" si="26"/>
        <v>#DIV/0!</v>
      </c>
      <c r="CI23" s="51" t="e">
        <f t="shared" si="26"/>
        <v>#DIV/0!</v>
      </c>
      <c r="CJ23" s="51" t="e">
        <f t="shared" si="26"/>
        <v>#DIV/0!</v>
      </c>
      <c r="CK23" s="51" t="e">
        <f t="shared" si="26"/>
        <v>#DIV/0!</v>
      </c>
      <c r="CL23" s="51" t="e">
        <f t="shared" si="26"/>
        <v>#DIV/0!</v>
      </c>
      <c r="CM23" s="51" t="e">
        <f t="shared" si="26"/>
        <v>#DIV/0!</v>
      </c>
      <c r="CN23" s="51" t="e">
        <f t="shared" si="26"/>
        <v>#DIV/0!</v>
      </c>
      <c r="CO23" s="51" t="e">
        <f t="shared" si="26"/>
        <v>#DIV/0!</v>
      </c>
      <c r="CP23" s="51" t="e">
        <f t="shared" si="26"/>
        <v>#DIV/0!</v>
      </c>
      <c r="CQ23" s="51" t="e">
        <f t="shared" si="26"/>
        <v>#DIV/0!</v>
      </c>
      <c r="CR23" s="51" t="e">
        <f t="shared" si="26"/>
        <v>#DIV/0!</v>
      </c>
      <c r="CS23" s="51" t="e">
        <f t="shared" si="26"/>
        <v>#DIV/0!</v>
      </c>
      <c r="CT23" s="51" t="e">
        <f t="shared" si="26"/>
        <v>#DIV/0!</v>
      </c>
      <c r="CU23" s="51" t="e">
        <f t="shared" si="26"/>
        <v>#DIV/0!</v>
      </c>
      <c r="CV23" s="51" t="e">
        <f t="shared" si="26"/>
        <v>#DIV/0!</v>
      </c>
      <c r="CW23" s="51" t="e">
        <f t="shared" si="26"/>
        <v>#DIV/0!</v>
      </c>
      <c r="CX23" s="47"/>
      <c r="CY23" s="47"/>
      <c r="CZ23" s="47"/>
      <c r="DA23" s="47"/>
      <c r="DB23" s="47"/>
      <c r="DC23" s="47"/>
      <c r="DD23" s="47"/>
      <c r="DE23" s="47"/>
      <c r="DF23" s="47"/>
      <c r="DG23" s="47"/>
      <c r="DH23" s="47"/>
      <c r="DI23" s="47"/>
      <c r="DJ23" s="47"/>
      <c r="DK23" s="47"/>
      <c r="DL23" s="47"/>
      <c r="DM23" s="47"/>
      <c r="DN23" s="47"/>
      <c r="DO23" s="47"/>
      <c r="DP23" s="47"/>
      <c r="DQ23" s="47"/>
      <c r="DR23" s="47"/>
      <c r="DS23" s="47"/>
      <c r="DT23" s="47"/>
      <c r="DU23" s="47"/>
      <c r="DV23" s="47"/>
      <c r="DW23" s="47"/>
      <c r="DX23" s="47"/>
      <c r="DY23" s="47"/>
      <c r="DZ23" s="47"/>
      <c r="EA23" s="47"/>
      <c r="EB23" s="47"/>
      <c r="EC23" s="47"/>
      <c r="ED23" s="47"/>
      <c r="EE23" s="47"/>
      <c r="EF23" s="47"/>
      <c r="EG23" s="47"/>
      <c r="EH23" s="47"/>
      <c r="EI23" s="47"/>
      <c r="EJ23" s="47"/>
      <c r="EK23" s="47"/>
      <c r="EL23" s="47"/>
      <c r="EM23" s="47"/>
      <c r="EN23" s="47"/>
      <c r="EO23" s="47"/>
      <c r="EP23" s="47"/>
      <c r="EQ23" s="47"/>
      <c r="ER23" s="47"/>
      <c r="ES23" s="47"/>
      <c r="ET23" s="47"/>
      <c r="EU23" s="47"/>
      <c r="EV23" s="47"/>
      <c r="EW23" s="47"/>
      <c r="EX23" s="47"/>
      <c r="EY23" s="47"/>
      <c r="EZ23" s="47"/>
      <c r="FA23" s="47"/>
      <c r="FB23" s="47"/>
      <c r="FC23" s="47"/>
      <c r="FD23" s="47"/>
      <c r="FE23" s="47"/>
      <c r="FF23" s="47"/>
      <c r="FG23" s="47"/>
      <c r="FH23" s="47"/>
      <c r="FI23" s="47"/>
      <c r="FJ23" s="47"/>
      <c r="FK23" s="47"/>
      <c r="FL23" s="47"/>
      <c r="FM23" s="47"/>
      <c r="FN23" s="47"/>
      <c r="FO23" s="47"/>
      <c r="FP23" s="47"/>
      <c r="FQ23" s="47"/>
      <c r="FR23" s="47"/>
      <c r="FS23" s="47"/>
      <c r="FT23" s="47"/>
      <c r="FU23" s="47"/>
      <c r="FV23" s="47"/>
      <c r="FW23" s="47"/>
      <c r="FX23" s="47"/>
      <c r="FY23" s="47"/>
      <c r="FZ23" s="47"/>
      <c r="GA23" s="47"/>
      <c r="GB23" s="47"/>
      <c r="GC23" s="47"/>
      <c r="GD23" s="47"/>
      <c r="GE23" s="47"/>
      <c r="GF23" s="47"/>
      <c r="GG23" s="47"/>
      <c r="GH23" s="47"/>
      <c r="GI23" s="47"/>
      <c r="GJ23" s="47"/>
      <c r="GK23" s="47"/>
      <c r="GL23" s="47"/>
      <c r="GM23" s="47"/>
      <c r="GN23" s="47"/>
      <c r="GO23" s="47"/>
      <c r="GP23" s="47"/>
      <c r="GQ23" s="47"/>
      <c r="GR23" s="47"/>
      <c r="GS23" s="47"/>
    </row>
    <row r="24" spans="1:255" s="228" customFormat="1" x14ac:dyDescent="0.2">
      <c r="A24" s="228" t="s">
        <v>32</v>
      </c>
      <c r="B24" s="229"/>
      <c r="C24" s="229"/>
      <c r="D24" s="229"/>
      <c r="E24" s="229"/>
      <c r="F24" s="229"/>
      <c r="G24" s="229"/>
      <c r="H24" s="229"/>
      <c r="I24" s="229"/>
      <c r="J24" s="229"/>
      <c r="K24" s="229"/>
      <c r="L24" s="229"/>
      <c r="M24" s="229"/>
      <c r="N24" s="229"/>
      <c r="O24" s="229"/>
      <c r="P24" s="229"/>
      <c r="Q24" s="229"/>
      <c r="R24" s="229"/>
      <c r="S24" s="229"/>
      <c r="T24" s="229"/>
      <c r="U24" s="229"/>
      <c r="V24" s="229"/>
      <c r="W24" s="229"/>
      <c r="X24" s="229"/>
      <c r="Y24" s="229"/>
      <c r="Z24" s="229"/>
      <c r="AA24" s="229"/>
      <c r="AB24" s="229"/>
      <c r="AC24" s="229"/>
      <c r="AD24" s="229"/>
      <c r="AE24" s="229"/>
      <c r="AF24" s="229"/>
      <c r="AG24" s="229"/>
      <c r="AH24" s="229"/>
      <c r="AI24" s="229"/>
      <c r="AJ24" s="229"/>
      <c r="AK24" s="229"/>
      <c r="AL24" s="229"/>
      <c r="AM24" s="229"/>
      <c r="AN24" s="229"/>
      <c r="AO24" s="229"/>
      <c r="AP24" s="229"/>
      <c r="AQ24" s="229"/>
      <c r="AR24" s="229"/>
      <c r="AS24" s="229"/>
      <c r="AT24" s="229"/>
      <c r="AU24" s="229"/>
      <c r="AV24" s="229"/>
      <c r="AW24" s="229"/>
      <c r="AX24" s="229"/>
      <c r="AY24" s="229"/>
      <c r="AZ24" s="229"/>
      <c r="BA24" s="229"/>
      <c r="BB24" s="229"/>
      <c r="BC24" s="229"/>
      <c r="BD24" s="229"/>
      <c r="BE24" s="229"/>
      <c r="BF24" s="229"/>
      <c r="BG24" s="229"/>
      <c r="BH24" s="229"/>
      <c r="BI24" s="229"/>
      <c r="BJ24" s="229"/>
      <c r="BK24" s="229"/>
      <c r="BL24" s="229"/>
      <c r="BM24" s="229"/>
      <c r="BN24" s="229"/>
      <c r="BO24" s="229"/>
      <c r="BP24" s="229"/>
      <c r="BQ24" s="229"/>
      <c r="BR24" s="229"/>
      <c r="BS24" s="229"/>
      <c r="BT24" s="229"/>
      <c r="BU24" s="229"/>
      <c r="BV24" s="229"/>
      <c r="BW24" s="229"/>
      <c r="BX24" s="229"/>
      <c r="BY24" s="229"/>
      <c r="BZ24" s="229"/>
      <c r="CA24" s="229"/>
      <c r="CB24" s="229"/>
      <c r="CC24" s="229"/>
      <c r="CD24" s="229"/>
      <c r="CE24" s="229"/>
      <c r="CF24" s="229"/>
      <c r="CG24" s="229"/>
      <c r="CH24" s="229"/>
      <c r="CI24" s="229"/>
      <c r="CJ24" s="229"/>
      <c r="CK24" s="229"/>
      <c r="CL24" s="229"/>
      <c r="CM24" s="229"/>
      <c r="CN24" s="229"/>
      <c r="CO24" s="229"/>
      <c r="CP24" s="229"/>
      <c r="CQ24" s="229"/>
      <c r="CR24" s="229"/>
      <c r="CS24" s="229"/>
      <c r="CT24" s="229"/>
      <c r="CU24" s="229"/>
      <c r="CV24" s="229"/>
      <c r="CW24" s="229"/>
      <c r="CX24" s="229"/>
      <c r="CY24" s="229"/>
      <c r="CZ24" s="229"/>
      <c r="DA24" s="229"/>
      <c r="DB24" s="229"/>
      <c r="DC24" s="229"/>
      <c r="DD24" s="229"/>
      <c r="DE24" s="229"/>
      <c r="DF24" s="229"/>
      <c r="DG24" s="229"/>
      <c r="DH24" s="229"/>
      <c r="DI24" s="229"/>
      <c r="DJ24" s="229"/>
      <c r="DK24" s="229"/>
      <c r="DL24" s="229"/>
      <c r="DM24" s="229"/>
      <c r="DN24" s="229"/>
      <c r="DO24" s="229"/>
      <c r="DP24" s="229"/>
      <c r="DQ24" s="229"/>
      <c r="DR24" s="229"/>
      <c r="DS24" s="229"/>
      <c r="DT24" s="229"/>
      <c r="DU24" s="229"/>
      <c r="DV24" s="229"/>
      <c r="DW24" s="229"/>
      <c r="DX24" s="229"/>
      <c r="DY24" s="229"/>
      <c r="DZ24" s="229"/>
      <c r="EA24" s="229"/>
      <c r="EB24" s="229"/>
      <c r="EC24" s="229"/>
      <c r="ED24" s="229"/>
      <c r="EE24" s="229"/>
      <c r="EF24" s="229"/>
      <c r="EG24" s="229"/>
      <c r="EH24" s="229"/>
      <c r="EI24" s="229"/>
      <c r="EJ24" s="229"/>
      <c r="EK24" s="229"/>
      <c r="EL24" s="229"/>
      <c r="EM24" s="229"/>
      <c r="EN24" s="229"/>
      <c r="EO24" s="229"/>
      <c r="EP24" s="229"/>
      <c r="EQ24" s="229"/>
      <c r="ER24" s="229"/>
      <c r="ES24" s="229"/>
      <c r="ET24" s="229"/>
      <c r="EU24" s="229"/>
      <c r="EV24" s="229"/>
      <c r="EW24" s="229"/>
      <c r="EX24" s="229"/>
      <c r="EY24" s="229"/>
      <c r="EZ24" s="229"/>
      <c r="FA24" s="229"/>
      <c r="FB24" s="229"/>
      <c r="FC24" s="229"/>
      <c r="FD24" s="229"/>
      <c r="FE24" s="229"/>
      <c r="FF24" s="229"/>
      <c r="FG24" s="229"/>
      <c r="FH24" s="229"/>
      <c r="FI24" s="229"/>
      <c r="FJ24" s="229"/>
      <c r="FK24" s="229"/>
      <c r="FL24" s="229"/>
      <c r="FM24" s="229"/>
      <c r="FN24" s="229"/>
      <c r="FO24" s="229"/>
      <c r="FP24" s="229"/>
      <c r="FQ24" s="229"/>
      <c r="FR24" s="229"/>
      <c r="FS24" s="229"/>
      <c r="FT24" s="229"/>
      <c r="FU24" s="229"/>
      <c r="FV24" s="229"/>
      <c r="FW24" s="229"/>
      <c r="FX24" s="229"/>
      <c r="FY24" s="229"/>
      <c r="FZ24" s="229"/>
      <c r="GA24" s="229"/>
      <c r="GB24" s="229"/>
      <c r="GC24" s="229"/>
      <c r="GD24" s="229"/>
      <c r="GE24" s="229"/>
      <c r="GF24" s="229"/>
      <c r="GG24" s="229"/>
      <c r="GH24" s="229"/>
      <c r="GI24" s="229"/>
      <c r="GJ24" s="229"/>
      <c r="GK24" s="229"/>
      <c r="GL24" s="229"/>
      <c r="GM24" s="229"/>
      <c r="GN24" s="229"/>
      <c r="GO24" s="229"/>
      <c r="GP24" s="229"/>
      <c r="GQ24" s="229"/>
      <c r="GR24" s="229"/>
      <c r="GS24" s="229"/>
      <c r="GT24" s="229"/>
      <c r="GU24" s="229"/>
      <c r="GV24" s="229"/>
      <c r="GW24" s="229"/>
      <c r="GX24" s="229"/>
      <c r="GY24" s="229"/>
      <c r="GZ24" s="229"/>
      <c r="HA24" s="229"/>
      <c r="HB24" s="229"/>
      <c r="HC24" s="229"/>
      <c r="HD24" s="229"/>
      <c r="HE24" s="229"/>
      <c r="HF24" s="229"/>
      <c r="HG24" s="229"/>
      <c r="HH24" s="229"/>
      <c r="HI24" s="229"/>
      <c r="HJ24" s="229"/>
      <c r="HK24" s="229"/>
      <c r="HL24" s="229"/>
      <c r="HM24" s="229"/>
      <c r="HN24" s="229"/>
      <c r="HO24" s="229"/>
      <c r="HP24" s="229"/>
      <c r="HQ24" s="229"/>
      <c r="HR24" s="229"/>
      <c r="HS24" s="229"/>
      <c r="HT24" s="229"/>
      <c r="HU24" s="229"/>
      <c r="HV24" s="229"/>
      <c r="HW24" s="229"/>
      <c r="HX24" s="229"/>
      <c r="HY24" s="229"/>
      <c r="HZ24" s="229"/>
      <c r="IA24" s="229"/>
      <c r="IB24" s="229"/>
      <c r="IC24" s="229"/>
      <c r="ID24" s="229"/>
      <c r="IE24" s="229"/>
      <c r="IF24" s="229"/>
      <c r="IG24" s="229"/>
      <c r="IH24" s="229"/>
      <c r="II24" s="229"/>
      <c r="IJ24" s="229"/>
      <c r="IK24" s="229"/>
      <c r="IL24" s="229"/>
      <c r="IM24" s="229"/>
      <c r="IN24" s="229"/>
      <c r="IO24" s="229"/>
      <c r="IP24" s="229"/>
      <c r="IQ24" s="229"/>
      <c r="IR24" s="229"/>
      <c r="IS24" s="229"/>
      <c r="IT24" s="229"/>
      <c r="IU24" s="229"/>
    </row>
    <row r="25" spans="1:255" x14ac:dyDescent="0.2">
      <c r="A25" s="54" t="s">
        <v>33</v>
      </c>
      <c r="B25" s="55" t="str">
        <f>B5</f>
        <v xml:space="preserve"> 1-gasdhjasgjd</v>
      </c>
      <c r="C25" s="55" t="str">
        <f>C5</f>
        <v xml:space="preserve"> 2-dsad</v>
      </c>
      <c r="D25" s="55" t="str">
        <f t="shared" ref="D25:BO25" si="27">D5</f>
        <v xml:space="preserve"> 3-dsas</v>
      </c>
      <c r="E25" s="55" t="str">
        <f t="shared" si="27"/>
        <v xml:space="preserve"> 4-fds</v>
      </c>
      <c r="F25" s="55" t="str">
        <f t="shared" si="27"/>
        <v xml:space="preserve"> 5-gdfg</v>
      </c>
      <c r="G25" s="55" t="str">
        <f t="shared" si="27"/>
        <v xml:space="preserve"> 6-</v>
      </c>
      <c r="H25" s="55" t="str">
        <f t="shared" si="27"/>
        <v xml:space="preserve"> 7-</v>
      </c>
      <c r="I25" s="55" t="str">
        <f t="shared" si="27"/>
        <v xml:space="preserve"> 8-</v>
      </c>
      <c r="J25" s="55" t="str">
        <f t="shared" si="27"/>
        <v xml:space="preserve"> 9-</v>
      </c>
      <c r="K25" s="55" t="str">
        <f t="shared" si="27"/>
        <v xml:space="preserve"> 10-</v>
      </c>
      <c r="L25" s="55" t="str">
        <f t="shared" si="27"/>
        <v>11-</v>
      </c>
      <c r="M25" s="55" t="str">
        <f t="shared" si="27"/>
        <v xml:space="preserve"> 12-</v>
      </c>
      <c r="N25" s="55" t="str">
        <f t="shared" si="27"/>
        <v xml:space="preserve"> 13-</v>
      </c>
      <c r="O25" s="55" t="str">
        <f t="shared" si="27"/>
        <v xml:space="preserve"> 14-</v>
      </c>
      <c r="P25" s="55" t="str">
        <f t="shared" si="27"/>
        <v xml:space="preserve"> 15-</v>
      </c>
      <c r="Q25" s="55" t="str">
        <f t="shared" si="27"/>
        <v xml:space="preserve"> 16-</v>
      </c>
      <c r="R25" s="55" t="str">
        <f t="shared" si="27"/>
        <v xml:space="preserve"> 17-</v>
      </c>
      <c r="S25" s="55" t="str">
        <f t="shared" si="27"/>
        <v xml:space="preserve"> 18-</v>
      </c>
      <c r="T25" s="55" t="str">
        <f t="shared" si="27"/>
        <v xml:space="preserve"> 19-</v>
      </c>
      <c r="U25" s="55" t="str">
        <f t="shared" si="27"/>
        <v xml:space="preserve"> 20-</v>
      </c>
      <c r="V25" s="55" t="str">
        <f t="shared" si="27"/>
        <v xml:space="preserve"> 21-</v>
      </c>
      <c r="W25" s="55" t="str">
        <f t="shared" si="27"/>
        <v xml:space="preserve"> 22-</v>
      </c>
      <c r="X25" s="55" t="str">
        <f t="shared" si="27"/>
        <v xml:space="preserve"> 23-</v>
      </c>
      <c r="Y25" s="55" t="str">
        <f t="shared" si="27"/>
        <v xml:space="preserve"> 24-</v>
      </c>
      <c r="Z25" s="55" t="str">
        <f t="shared" si="27"/>
        <v xml:space="preserve"> 25-</v>
      </c>
      <c r="AA25" s="55" t="str">
        <f t="shared" si="27"/>
        <v xml:space="preserve"> 26-</v>
      </c>
      <c r="AB25" s="55" t="str">
        <f t="shared" si="27"/>
        <v xml:space="preserve"> 27-</v>
      </c>
      <c r="AC25" s="55" t="str">
        <f t="shared" si="27"/>
        <v xml:space="preserve"> 28-</v>
      </c>
      <c r="AD25" s="55" t="str">
        <f t="shared" si="27"/>
        <v xml:space="preserve"> 29-</v>
      </c>
      <c r="AE25" s="55" t="str">
        <f t="shared" si="27"/>
        <v xml:space="preserve"> 30-</v>
      </c>
      <c r="AF25" s="55" t="str">
        <f t="shared" si="27"/>
        <v xml:space="preserve"> 31-</v>
      </c>
      <c r="AG25" s="55" t="str">
        <f t="shared" si="27"/>
        <v xml:space="preserve"> 32-</v>
      </c>
      <c r="AH25" s="55" t="str">
        <f t="shared" si="27"/>
        <v xml:space="preserve"> 33-</v>
      </c>
      <c r="AI25" s="55" t="str">
        <f t="shared" si="27"/>
        <v xml:space="preserve"> 34-</v>
      </c>
      <c r="AJ25" s="55" t="str">
        <f t="shared" si="27"/>
        <v xml:space="preserve"> 35-</v>
      </c>
      <c r="AK25" s="55" t="str">
        <f t="shared" si="27"/>
        <v xml:space="preserve"> 36-</v>
      </c>
      <c r="AL25" s="55" t="str">
        <f t="shared" si="27"/>
        <v xml:space="preserve"> 37-</v>
      </c>
      <c r="AM25" s="55" t="str">
        <f t="shared" si="27"/>
        <v xml:space="preserve"> 38-</v>
      </c>
      <c r="AN25" s="55" t="str">
        <f t="shared" si="27"/>
        <v xml:space="preserve"> 39-</v>
      </c>
      <c r="AO25" s="55" t="str">
        <f t="shared" si="27"/>
        <v xml:space="preserve"> 40-</v>
      </c>
      <c r="AP25" s="55" t="str">
        <f t="shared" si="27"/>
        <v xml:space="preserve"> 41-</v>
      </c>
      <c r="AQ25" s="55" t="str">
        <f t="shared" si="27"/>
        <v xml:space="preserve"> 42-</v>
      </c>
      <c r="AR25" s="55" t="str">
        <f t="shared" si="27"/>
        <v xml:space="preserve"> 43-</v>
      </c>
      <c r="AS25" s="55" t="str">
        <f t="shared" si="27"/>
        <v xml:space="preserve"> 44-</v>
      </c>
      <c r="AT25" s="55" t="str">
        <f t="shared" si="27"/>
        <v xml:space="preserve"> 45-</v>
      </c>
      <c r="AU25" s="55" t="str">
        <f t="shared" si="27"/>
        <v xml:space="preserve"> 46-</v>
      </c>
      <c r="AV25" s="55" t="str">
        <f t="shared" si="27"/>
        <v xml:space="preserve"> 47-</v>
      </c>
      <c r="AW25" s="55" t="str">
        <f t="shared" si="27"/>
        <v xml:space="preserve"> 48-</v>
      </c>
      <c r="AX25" s="55" t="str">
        <f t="shared" si="27"/>
        <v xml:space="preserve"> 49-</v>
      </c>
      <c r="AY25" s="55" t="str">
        <f t="shared" si="27"/>
        <v xml:space="preserve"> 50-</v>
      </c>
      <c r="AZ25" s="55" t="str">
        <f t="shared" si="27"/>
        <v xml:space="preserve"> 51-</v>
      </c>
      <c r="BA25" s="55" t="str">
        <f t="shared" si="27"/>
        <v xml:space="preserve"> 52-</v>
      </c>
      <c r="BB25" s="55" t="str">
        <f t="shared" si="27"/>
        <v xml:space="preserve"> 53-</v>
      </c>
      <c r="BC25" s="55" t="str">
        <f t="shared" si="27"/>
        <v xml:space="preserve"> 54-</v>
      </c>
      <c r="BD25" s="55" t="str">
        <f t="shared" si="27"/>
        <v xml:space="preserve"> 55-</v>
      </c>
      <c r="BE25" s="55" t="str">
        <f t="shared" si="27"/>
        <v xml:space="preserve"> 56-</v>
      </c>
      <c r="BF25" s="55" t="str">
        <f t="shared" si="27"/>
        <v xml:space="preserve"> 57-</v>
      </c>
      <c r="BG25" s="55" t="str">
        <f t="shared" si="27"/>
        <v xml:space="preserve"> 58-</v>
      </c>
      <c r="BH25" s="55" t="str">
        <f t="shared" si="27"/>
        <v xml:space="preserve"> 59-</v>
      </c>
      <c r="BI25" s="55" t="str">
        <f t="shared" si="27"/>
        <v xml:space="preserve"> 60-</v>
      </c>
      <c r="BJ25" s="55" t="str">
        <f t="shared" si="27"/>
        <v xml:space="preserve"> 61-</v>
      </c>
      <c r="BK25" s="55" t="str">
        <f t="shared" si="27"/>
        <v xml:space="preserve"> 62-</v>
      </c>
      <c r="BL25" s="55" t="str">
        <f t="shared" si="27"/>
        <v xml:space="preserve"> 63-</v>
      </c>
      <c r="BM25" s="55" t="str">
        <f t="shared" si="27"/>
        <v xml:space="preserve"> 64-</v>
      </c>
      <c r="BN25" s="55" t="str">
        <f t="shared" si="27"/>
        <v xml:space="preserve"> 65-</v>
      </c>
      <c r="BO25" s="55" t="str">
        <f t="shared" si="27"/>
        <v xml:space="preserve"> 66-</v>
      </c>
      <c r="BP25" s="55" t="str">
        <f t="shared" ref="BP25:CW25" si="28">BP5</f>
        <v xml:space="preserve"> 67-</v>
      </c>
      <c r="BQ25" s="55" t="str">
        <f t="shared" si="28"/>
        <v xml:space="preserve"> 68-</v>
      </c>
      <c r="BR25" s="55" t="str">
        <f t="shared" si="28"/>
        <v xml:space="preserve"> 69-</v>
      </c>
      <c r="BS25" s="55" t="str">
        <f t="shared" si="28"/>
        <v xml:space="preserve"> 70-</v>
      </c>
      <c r="BT25" s="55" t="str">
        <f t="shared" si="28"/>
        <v xml:space="preserve"> 71-</v>
      </c>
      <c r="BU25" s="55" t="str">
        <f t="shared" si="28"/>
        <v xml:space="preserve"> 72-</v>
      </c>
      <c r="BV25" s="55" t="str">
        <f t="shared" si="28"/>
        <v xml:space="preserve"> 73-</v>
      </c>
      <c r="BW25" s="55" t="str">
        <f t="shared" si="28"/>
        <v xml:space="preserve"> 74-</v>
      </c>
      <c r="BX25" s="55" t="str">
        <f t="shared" si="28"/>
        <v xml:space="preserve"> 75-</v>
      </c>
      <c r="BY25" s="55" t="str">
        <f t="shared" si="28"/>
        <v xml:space="preserve"> 76-</v>
      </c>
      <c r="BZ25" s="55" t="str">
        <f t="shared" si="28"/>
        <v xml:space="preserve"> 77-</v>
      </c>
      <c r="CA25" s="55" t="str">
        <f t="shared" si="28"/>
        <v xml:space="preserve"> 78-</v>
      </c>
      <c r="CB25" s="55" t="str">
        <f t="shared" si="28"/>
        <v xml:space="preserve"> 79-</v>
      </c>
      <c r="CC25" s="55" t="str">
        <f t="shared" si="28"/>
        <v xml:space="preserve"> 80-</v>
      </c>
      <c r="CD25" s="55" t="str">
        <f t="shared" si="28"/>
        <v xml:space="preserve"> 81-</v>
      </c>
      <c r="CE25" s="55" t="str">
        <f t="shared" si="28"/>
        <v xml:space="preserve"> 82-</v>
      </c>
      <c r="CF25" s="55" t="str">
        <f t="shared" si="28"/>
        <v xml:space="preserve"> 83-</v>
      </c>
      <c r="CG25" s="55" t="str">
        <f t="shared" si="28"/>
        <v xml:space="preserve"> 84-</v>
      </c>
      <c r="CH25" s="55" t="str">
        <f t="shared" si="28"/>
        <v xml:space="preserve"> 85-</v>
      </c>
      <c r="CI25" s="55" t="str">
        <f t="shared" si="28"/>
        <v xml:space="preserve"> 86-</v>
      </c>
      <c r="CJ25" s="55" t="str">
        <f t="shared" si="28"/>
        <v xml:space="preserve"> 87-</v>
      </c>
      <c r="CK25" s="55" t="str">
        <f t="shared" si="28"/>
        <v xml:space="preserve"> 88-</v>
      </c>
      <c r="CL25" s="55" t="str">
        <f t="shared" si="28"/>
        <v xml:space="preserve"> 89-</v>
      </c>
      <c r="CM25" s="55" t="str">
        <f t="shared" si="28"/>
        <v xml:space="preserve"> 90-</v>
      </c>
      <c r="CN25" s="55" t="str">
        <f t="shared" si="28"/>
        <v xml:space="preserve"> 91-</v>
      </c>
      <c r="CO25" s="55" t="str">
        <f t="shared" si="28"/>
        <v xml:space="preserve"> 92-</v>
      </c>
      <c r="CP25" s="55" t="str">
        <f t="shared" si="28"/>
        <v xml:space="preserve"> 93-</v>
      </c>
      <c r="CQ25" s="55" t="str">
        <f t="shared" si="28"/>
        <v xml:space="preserve"> 94-</v>
      </c>
      <c r="CR25" s="55" t="str">
        <f t="shared" si="28"/>
        <v xml:space="preserve"> 95-</v>
      </c>
      <c r="CS25" s="55" t="str">
        <f t="shared" si="28"/>
        <v xml:space="preserve"> 96-</v>
      </c>
      <c r="CT25" s="55" t="str">
        <f t="shared" si="28"/>
        <v xml:space="preserve"> 97-</v>
      </c>
      <c r="CU25" s="55" t="str">
        <f t="shared" si="28"/>
        <v xml:space="preserve"> 98-</v>
      </c>
      <c r="CV25" s="55" t="str">
        <f t="shared" si="28"/>
        <v xml:space="preserve"> 99-</v>
      </c>
      <c r="CW25" s="55" t="str">
        <f t="shared" si="28"/>
        <v xml:space="preserve"> 100-</v>
      </c>
      <c r="CX25" s="13"/>
      <c r="CY25" s="13"/>
      <c r="CZ25" s="13"/>
      <c r="DA25" s="13"/>
      <c r="DB25" s="13"/>
      <c r="DC25" s="13"/>
      <c r="DD25" s="13"/>
      <c r="DE25" s="13"/>
      <c r="DF25" s="13"/>
      <c r="DG25" s="13"/>
      <c r="DH25" s="13"/>
      <c r="DI25" s="13"/>
      <c r="DJ25" s="13"/>
      <c r="DK25" s="13"/>
      <c r="DL25" s="13"/>
      <c r="DM25" s="13"/>
      <c r="DN25" s="13"/>
      <c r="DO25" s="13"/>
      <c r="DP25" s="13"/>
      <c r="DQ25" s="13"/>
      <c r="DR25" s="13"/>
      <c r="DS25" s="13"/>
      <c r="DT25" s="13"/>
      <c r="DU25" s="13"/>
      <c r="DV25" s="13"/>
      <c r="DW25" s="13"/>
      <c r="DX25" s="13"/>
      <c r="DY25" s="13"/>
      <c r="DZ25" s="13"/>
      <c r="EA25" s="13"/>
      <c r="EB25" s="13"/>
      <c r="EC25" s="13"/>
      <c r="ED25" s="13"/>
      <c r="EE25" s="13"/>
      <c r="EF25" s="13"/>
      <c r="EG25" s="13"/>
      <c r="EH25" s="13"/>
      <c r="EI25" s="13"/>
      <c r="EJ25" s="13"/>
      <c r="EK25" s="13"/>
      <c r="EL25" s="13"/>
      <c r="EM25" s="13"/>
      <c r="EN25" s="13"/>
      <c r="EO25" s="13"/>
      <c r="EP25" s="13"/>
      <c r="EQ25" s="13"/>
      <c r="ER25" s="13"/>
      <c r="ES25" s="13"/>
      <c r="ET25" s="13"/>
      <c r="EU25" s="13"/>
      <c r="EV25" s="13"/>
      <c r="EW25" s="13"/>
      <c r="EX25" s="13"/>
      <c r="EY25" s="13"/>
      <c r="EZ25" s="13"/>
      <c r="FA25" s="13"/>
      <c r="FB25" s="13"/>
      <c r="FC25" s="13"/>
      <c r="FD25" s="13"/>
      <c r="FE25" s="13"/>
      <c r="FF25" s="13"/>
      <c r="FG25" s="13"/>
      <c r="FH25" s="13"/>
      <c r="FI25" s="13"/>
      <c r="FJ25" s="13"/>
      <c r="FK25" s="13"/>
      <c r="FL25" s="13"/>
      <c r="FM25" s="13"/>
      <c r="FN25" s="13"/>
      <c r="FO25" s="13"/>
      <c r="FP25" s="13"/>
      <c r="FQ25" s="13"/>
      <c r="FR25" s="13"/>
      <c r="FS25" s="13"/>
      <c r="FT25" s="13"/>
      <c r="FU25" s="13"/>
      <c r="FV25" s="13"/>
      <c r="FW25" s="13"/>
      <c r="FX25" s="13"/>
      <c r="FY25" s="13"/>
      <c r="FZ25" s="13"/>
      <c r="GA25" s="13"/>
      <c r="GB25" s="13"/>
      <c r="GC25" s="13"/>
      <c r="GD25" s="13"/>
      <c r="GE25" s="13"/>
      <c r="GF25" s="13"/>
      <c r="GG25" s="13"/>
      <c r="GH25" s="13"/>
      <c r="GI25" s="13"/>
      <c r="GJ25" s="13"/>
      <c r="GK25" s="13"/>
      <c r="GL25" s="13"/>
      <c r="GM25" s="13"/>
      <c r="GN25" s="13"/>
      <c r="GO25" s="13"/>
      <c r="GP25" s="13"/>
      <c r="GQ25" s="13"/>
      <c r="GR25" s="13"/>
      <c r="GS25" s="13"/>
    </row>
    <row r="26" spans="1:255" ht="15.75" x14ac:dyDescent="0.3">
      <c r="A26" s="56" t="s">
        <v>107</v>
      </c>
      <c r="B26" s="57">
        <f t="shared" ref="B26:C26" si="29">(2*B17+B15-1)/SQRT(3)</f>
        <v>0.10420468273178621</v>
      </c>
      <c r="C26" s="57">
        <f t="shared" si="29"/>
        <v>0</v>
      </c>
      <c r="D26" s="57">
        <f t="shared" ref="D26:G26" si="30">(2*D17+D15-1)/SQRT(3)</f>
        <v>-0.51100996102273233</v>
      </c>
      <c r="E26" s="57">
        <f t="shared" si="30"/>
        <v>1.3931812817057109E-4</v>
      </c>
      <c r="F26" s="57">
        <f t="shared" si="30"/>
        <v>0</v>
      </c>
      <c r="G26" s="57" t="e">
        <f t="shared" si="30"/>
        <v>#DIV/0!</v>
      </c>
      <c r="H26" s="57" t="e">
        <f t="shared" ref="H26:BS26" si="31">(2*H17+H15-1)/SQRT(3)</f>
        <v>#DIV/0!</v>
      </c>
      <c r="I26" s="57" t="e">
        <f t="shared" si="31"/>
        <v>#DIV/0!</v>
      </c>
      <c r="J26" s="57" t="e">
        <f t="shared" si="31"/>
        <v>#DIV/0!</v>
      </c>
      <c r="K26" s="57" t="e">
        <f t="shared" si="31"/>
        <v>#DIV/0!</v>
      </c>
      <c r="L26" s="57" t="e">
        <f t="shared" si="31"/>
        <v>#DIV/0!</v>
      </c>
      <c r="M26" s="57" t="e">
        <f t="shared" si="31"/>
        <v>#DIV/0!</v>
      </c>
      <c r="N26" s="57" t="e">
        <f t="shared" si="31"/>
        <v>#DIV/0!</v>
      </c>
      <c r="O26" s="57" t="e">
        <f t="shared" si="31"/>
        <v>#DIV/0!</v>
      </c>
      <c r="P26" s="57" t="e">
        <f t="shared" si="31"/>
        <v>#DIV/0!</v>
      </c>
      <c r="Q26" s="57" t="e">
        <f t="shared" si="31"/>
        <v>#DIV/0!</v>
      </c>
      <c r="R26" s="57" t="e">
        <f t="shared" si="31"/>
        <v>#DIV/0!</v>
      </c>
      <c r="S26" s="57" t="e">
        <f t="shared" si="31"/>
        <v>#DIV/0!</v>
      </c>
      <c r="T26" s="57" t="e">
        <f t="shared" si="31"/>
        <v>#DIV/0!</v>
      </c>
      <c r="U26" s="57" t="e">
        <f t="shared" si="31"/>
        <v>#DIV/0!</v>
      </c>
      <c r="V26" s="57" t="e">
        <f t="shared" si="31"/>
        <v>#DIV/0!</v>
      </c>
      <c r="W26" s="57" t="e">
        <f t="shared" si="31"/>
        <v>#DIV/0!</v>
      </c>
      <c r="X26" s="57" t="e">
        <f t="shared" si="31"/>
        <v>#DIV/0!</v>
      </c>
      <c r="Y26" s="57" t="e">
        <f t="shared" si="31"/>
        <v>#DIV/0!</v>
      </c>
      <c r="Z26" s="57" t="e">
        <f t="shared" si="31"/>
        <v>#DIV/0!</v>
      </c>
      <c r="AA26" s="57" t="e">
        <f t="shared" si="31"/>
        <v>#DIV/0!</v>
      </c>
      <c r="AB26" s="57" t="e">
        <f t="shared" si="31"/>
        <v>#DIV/0!</v>
      </c>
      <c r="AC26" s="57" t="e">
        <f t="shared" si="31"/>
        <v>#DIV/0!</v>
      </c>
      <c r="AD26" s="57" t="e">
        <f t="shared" si="31"/>
        <v>#DIV/0!</v>
      </c>
      <c r="AE26" s="57" t="e">
        <f t="shared" si="31"/>
        <v>#DIV/0!</v>
      </c>
      <c r="AF26" s="57" t="e">
        <f t="shared" si="31"/>
        <v>#DIV/0!</v>
      </c>
      <c r="AG26" s="57" t="e">
        <f t="shared" si="31"/>
        <v>#DIV/0!</v>
      </c>
      <c r="AH26" s="57" t="e">
        <f t="shared" si="31"/>
        <v>#DIV/0!</v>
      </c>
      <c r="AI26" s="57" t="e">
        <f t="shared" si="31"/>
        <v>#DIV/0!</v>
      </c>
      <c r="AJ26" s="57" t="e">
        <f t="shared" si="31"/>
        <v>#DIV/0!</v>
      </c>
      <c r="AK26" s="57" t="e">
        <f t="shared" si="31"/>
        <v>#DIV/0!</v>
      </c>
      <c r="AL26" s="57" t="e">
        <f t="shared" si="31"/>
        <v>#DIV/0!</v>
      </c>
      <c r="AM26" s="57" t="e">
        <f t="shared" si="31"/>
        <v>#DIV/0!</v>
      </c>
      <c r="AN26" s="57" t="e">
        <f t="shared" si="31"/>
        <v>#DIV/0!</v>
      </c>
      <c r="AO26" s="57" t="e">
        <f t="shared" si="31"/>
        <v>#DIV/0!</v>
      </c>
      <c r="AP26" s="57" t="e">
        <f t="shared" si="31"/>
        <v>#DIV/0!</v>
      </c>
      <c r="AQ26" s="57" t="e">
        <f t="shared" si="31"/>
        <v>#DIV/0!</v>
      </c>
      <c r="AR26" s="57" t="e">
        <f t="shared" si="31"/>
        <v>#DIV/0!</v>
      </c>
      <c r="AS26" s="57" t="e">
        <f t="shared" si="31"/>
        <v>#DIV/0!</v>
      </c>
      <c r="AT26" s="57" t="e">
        <f t="shared" si="31"/>
        <v>#DIV/0!</v>
      </c>
      <c r="AU26" s="57" t="e">
        <f t="shared" si="31"/>
        <v>#DIV/0!</v>
      </c>
      <c r="AV26" s="57" t="e">
        <f t="shared" si="31"/>
        <v>#DIV/0!</v>
      </c>
      <c r="AW26" s="57" t="e">
        <f t="shared" si="31"/>
        <v>#DIV/0!</v>
      </c>
      <c r="AX26" s="57" t="e">
        <f t="shared" si="31"/>
        <v>#DIV/0!</v>
      </c>
      <c r="AY26" s="57" t="e">
        <f t="shared" si="31"/>
        <v>#DIV/0!</v>
      </c>
      <c r="AZ26" s="57" t="e">
        <f t="shared" si="31"/>
        <v>#DIV/0!</v>
      </c>
      <c r="BA26" s="57" t="e">
        <f t="shared" si="31"/>
        <v>#DIV/0!</v>
      </c>
      <c r="BB26" s="57" t="e">
        <f t="shared" si="31"/>
        <v>#DIV/0!</v>
      </c>
      <c r="BC26" s="57" t="e">
        <f t="shared" si="31"/>
        <v>#DIV/0!</v>
      </c>
      <c r="BD26" s="57" t="e">
        <f t="shared" si="31"/>
        <v>#DIV/0!</v>
      </c>
      <c r="BE26" s="57" t="e">
        <f t="shared" si="31"/>
        <v>#DIV/0!</v>
      </c>
      <c r="BF26" s="57" t="e">
        <f t="shared" si="31"/>
        <v>#DIV/0!</v>
      </c>
      <c r="BG26" s="57" t="e">
        <f t="shared" si="31"/>
        <v>#DIV/0!</v>
      </c>
      <c r="BH26" s="57" t="e">
        <f t="shared" si="31"/>
        <v>#DIV/0!</v>
      </c>
      <c r="BI26" s="57" t="e">
        <f t="shared" si="31"/>
        <v>#DIV/0!</v>
      </c>
      <c r="BJ26" s="57" t="e">
        <f t="shared" si="31"/>
        <v>#DIV/0!</v>
      </c>
      <c r="BK26" s="57" t="e">
        <f t="shared" si="31"/>
        <v>#DIV/0!</v>
      </c>
      <c r="BL26" s="57" t="e">
        <f t="shared" si="31"/>
        <v>#DIV/0!</v>
      </c>
      <c r="BM26" s="57" t="e">
        <f t="shared" si="31"/>
        <v>#DIV/0!</v>
      </c>
      <c r="BN26" s="57" t="e">
        <f t="shared" si="31"/>
        <v>#DIV/0!</v>
      </c>
      <c r="BO26" s="57" t="e">
        <f t="shared" si="31"/>
        <v>#DIV/0!</v>
      </c>
      <c r="BP26" s="57" t="e">
        <f t="shared" si="31"/>
        <v>#DIV/0!</v>
      </c>
      <c r="BQ26" s="57" t="e">
        <f t="shared" si="31"/>
        <v>#DIV/0!</v>
      </c>
      <c r="BR26" s="57" t="e">
        <f t="shared" si="31"/>
        <v>#DIV/0!</v>
      </c>
      <c r="BS26" s="57" t="e">
        <f t="shared" si="31"/>
        <v>#DIV/0!</v>
      </c>
      <c r="BT26" s="57" t="e">
        <f t="shared" ref="BT26:CW26" si="32">(2*BT17+BT15-1)/SQRT(3)</f>
        <v>#DIV/0!</v>
      </c>
      <c r="BU26" s="57" t="e">
        <f t="shared" si="32"/>
        <v>#DIV/0!</v>
      </c>
      <c r="BV26" s="57" t="e">
        <f t="shared" si="32"/>
        <v>#DIV/0!</v>
      </c>
      <c r="BW26" s="57" t="e">
        <f t="shared" si="32"/>
        <v>#DIV/0!</v>
      </c>
      <c r="BX26" s="57" t="e">
        <f t="shared" si="32"/>
        <v>#DIV/0!</v>
      </c>
      <c r="BY26" s="57" t="e">
        <f t="shared" si="32"/>
        <v>#DIV/0!</v>
      </c>
      <c r="BZ26" s="57" t="e">
        <f t="shared" si="32"/>
        <v>#DIV/0!</v>
      </c>
      <c r="CA26" s="57" t="e">
        <f t="shared" si="32"/>
        <v>#DIV/0!</v>
      </c>
      <c r="CB26" s="57" t="e">
        <f t="shared" si="32"/>
        <v>#DIV/0!</v>
      </c>
      <c r="CC26" s="57" t="e">
        <f t="shared" si="32"/>
        <v>#DIV/0!</v>
      </c>
      <c r="CD26" s="57" t="e">
        <f t="shared" si="32"/>
        <v>#DIV/0!</v>
      </c>
      <c r="CE26" s="57" t="e">
        <f t="shared" si="32"/>
        <v>#DIV/0!</v>
      </c>
      <c r="CF26" s="57" t="e">
        <f t="shared" si="32"/>
        <v>#DIV/0!</v>
      </c>
      <c r="CG26" s="57" t="e">
        <f t="shared" si="32"/>
        <v>#DIV/0!</v>
      </c>
      <c r="CH26" s="57" t="e">
        <f t="shared" si="32"/>
        <v>#DIV/0!</v>
      </c>
      <c r="CI26" s="57" t="e">
        <f t="shared" si="32"/>
        <v>#DIV/0!</v>
      </c>
      <c r="CJ26" s="57" t="e">
        <f t="shared" si="32"/>
        <v>#DIV/0!</v>
      </c>
      <c r="CK26" s="57" t="e">
        <f t="shared" si="32"/>
        <v>#DIV/0!</v>
      </c>
      <c r="CL26" s="57" t="e">
        <f t="shared" si="32"/>
        <v>#DIV/0!</v>
      </c>
      <c r="CM26" s="57" t="e">
        <f t="shared" si="32"/>
        <v>#DIV/0!</v>
      </c>
      <c r="CN26" s="57" t="e">
        <f t="shared" si="32"/>
        <v>#DIV/0!</v>
      </c>
      <c r="CO26" s="57" t="e">
        <f t="shared" si="32"/>
        <v>#DIV/0!</v>
      </c>
      <c r="CP26" s="57" t="e">
        <f t="shared" si="32"/>
        <v>#DIV/0!</v>
      </c>
      <c r="CQ26" s="57" t="e">
        <f t="shared" si="32"/>
        <v>#DIV/0!</v>
      </c>
      <c r="CR26" s="57" t="e">
        <f t="shared" si="32"/>
        <v>#DIV/0!</v>
      </c>
      <c r="CS26" s="57" t="e">
        <f t="shared" si="32"/>
        <v>#DIV/0!</v>
      </c>
      <c r="CT26" s="57" t="e">
        <f t="shared" si="32"/>
        <v>#DIV/0!</v>
      </c>
      <c r="CU26" s="57" t="e">
        <f t="shared" si="32"/>
        <v>#DIV/0!</v>
      </c>
      <c r="CV26" s="57" t="e">
        <f t="shared" si="32"/>
        <v>#DIV/0!</v>
      </c>
      <c r="CW26" s="57" t="e">
        <f t="shared" si="32"/>
        <v>#DIV/0!</v>
      </c>
      <c r="CX26" s="58"/>
      <c r="CY26" s="58"/>
      <c r="CZ26" s="58"/>
      <c r="DA26" s="58"/>
      <c r="DB26" s="58"/>
      <c r="DC26" s="58"/>
      <c r="DD26" s="58"/>
      <c r="DE26" s="58"/>
      <c r="DF26" s="58"/>
      <c r="DG26" s="58"/>
      <c r="DH26" s="58"/>
      <c r="DI26" s="58"/>
      <c r="DJ26" s="58"/>
      <c r="DK26" s="58"/>
      <c r="DL26" s="58"/>
      <c r="DM26" s="58"/>
      <c r="DN26" s="58"/>
      <c r="DO26" s="58"/>
      <c r="DP26" s="58"/>
      <c r="DQ26" s="58"/>
      <c r="DR26" s="58"/>
      <c r="DS26" s="58"/>
      <c r="DT26" s="58"/>
      <c r="DU26" s="58"/>
      <c r="DV26" s="58"/>
      <c r="DW26" s="58"/>
      <c r="DX26" s="58"/>
      <c r="DY26" s="58"/>
      <c r="DZ26" s="58"/>
      <c r="EA26" s="58"/>
      <c r="EB26" s="58"/>
      <c r="EC26" s="58"/>
      <c r="ED26" s="58"/>
      <c r="EE26" s="58"/>
      <c r="EF26" s="58"/>
      <c r="EG26" s="58"/>
      <c r="EH26" s="58"/>
      <c r="EI26" s="58"/>
      <c r="EJ26" s="58"/>
      <c r="EK26" s="58"/>
      <c r="EL26" s="58"/>
      <c r="EM26" s="58"/>
      <c r="EN26" s="58"/>
      <c r="EO26" s="58"/>
      <c r="EP26" s="58"/>
      <c r="EQ26" s="58"/>
      <c r="ER26" s="58"/>
      <c r="ES26" s="58"/>
      <c r="ET26" s="58"/>
      <c r="EU26" s="58"/>
      <c r="EV26" s="58"/>
      <c r="EW26" s="58"/>
      <c r="EX26" s="58"/>
      <c r="EY26" s="58"/>
      <c r="EZ26" s="58"/>
      <c r="FA26" s="58"/>
      <c r="FB26" s="58"/>
      <c r="FC26" s="58"/>
      <c r="FD26" s="58"/>
      <c r="FE26" s="58"/>
      <c r="FF26" s="58"/>
      <c r="FG26" s="58"/>
      <c r="FH26" s="58"/>
      <c r="FI26" s="58"/>
      <c r="FJ26" s="58"/>
      <c r="FK26" s="58"/>
      <c r="FL26" s="58"/>
      <c r="FM26" s="58"/>
      <c r="FN26" s="58"/>
      <c r="FO26" s="58"/>
      <c r="FP26" s="58"/>
      <c r="FQ26" s="58"/>
      <c r="FR26" s="58"/>
      <c r="FS26" s="58"/>
      <c r="FT26" s="58"/>
      <c r="FU26" s="58"/>
      <c r="FV26" s="58"/>
      <c r="FW26" s="58"/>
      <c r="FX26" s="58"/>
      <c r="FY26" s="58"/>
      <c r="FZ26" s="58"/>
      <c r="GA26" s="58"/>
      <c r="GB26" s="58"/>
      <c r="GC26" s="58"/>
      <c r="GD26" s="58"/>
      <c r="GE26" s="58"/>
      <c r="GF26" s="58"/>
      <c r="GG26" s="58"/>
      <c r="GH26" s="58"/>
      <c r="GI26" s="58"/>
      <c r="GJ26" s="58"/>
      <c r="GK26" s="58"/>
      <c r="GL26" s="58"/>
      <c r="GM26" s="58"/>
      <c r="GN26" s="58"/>
      <c r="GO26" s="58"/>
      <c r="GP26" s="58"/>
      <c r="GQ26" s="58"/>
      <c r="GR26" s="58"/>
      <c r="GS26" s="58"/>
    </row>
    <row r="27" spans="1:255" ht="15.75" x14ac:dyDescent="0.3">
      <c r="A27" s="62" t="s">
        <v>108</v>
      </c>
      <c r="B27" s="63">
        <f>IF(DIAG!$H37,B15,-1)</f>
        <v>0.25365853658536586</v>
      </c>
      <c r="C27" s="63">
        <f>IF(DIAG!$H38,C15,-1)</f>
        <v>0.52795031055900621</v>
      </c>
      <c r="D27" s="63">
        <f>IF(DIAG!$H39,D15,-1)</f>
        <v>0.11261691676199448</v>
      </c>
      <c r="E27" s="63">
        <f>IF(DIAG!$H40,E15,-1)</f>
        <v>0.99776428466558031</v>
      </c>
      <c r="F27" s="63">
        <f>IF(DIAG!$H41,F15,-1)</f>
        <v>0.33333333333333331</v>
      </c>
      <c r="G27" s="63">
        <f>IF(DIAG!$H42,G15,-1)</f>
        <v>-1</v>
      </c>
      <c r="H27" s="63">
        <f>IF(DIAG!$H43,H15,-1)</f>
        <v>-1</v>
      </c>
      <c r="I27" s="63">
        <f>IF(DIAG!$H44,I15,-1)</f>
        <v>-1</v>
      </c>
      <c r="J27" s="63">
        <f>IF(DIAG!$H45,J15,-1)</f>
        <v>-1</v>
      </c>
      <c r="K27" s="63">
        <f>IF(DIAG!$H46,K15,-1)</f>
        <v>-1</v>
      </c>
      <c r="L27" s="63">
        <f>IF(DIAG!$H47,L15,-1)</f>
        <v>-1</v>
      </c>
      <c r="M27" s="63">
        <f>IF(DIAG!$H48,M15,-1)</f>
        <v>-1</v>
      </c>
      <c r="N27" s="63">
        <f>IF(DIAG!$H49,N15,-1)</f>
        <v>-1</v>
      </c>
      <c r="O27" s="63">
        <f>IF(DIAG!$H50,O15,-1)</f>
        <v>-1</v>
      </c>
      <c r="P27" s="63">
        <f>IF(DIAG!$H51,P15,-1)</f>
        <v>-1</v>
      </c>
      <c r="Q27" s="63">
        <f>IF(DIAG!$H52,Q15,-1)</f>
        <v>-1</v>
      </c>
      <c r="R27" s="63">
        <f>IF(DIAG!$H53,R15,-1)</f>
        <v>-1</v>
      </c>
      <c r="S27" s="63">
        <f>IF(DIAG!$H54,S15,-1)</f>
        <v>-1</v>
      </c>
      <c r="T27" s="63">
        <f>IF(DIAG!$H55,T15,-1)</f>
        <v>-1</v>
      </c>
      <c r="U27" s="63">
        <f>IF(DIAG!$H56,U15,-1)</f>
        <v>-1</v>
      </c>
      <c r="V27" s="63">
        <f>IF(DIAG!$H57,V15,-1)</f>
        <v>-1</v>
      </c>
      <c r="W27" s="63">
        <f>IF(DIAG!$H58,W15,-1)</f>
        <v>-1</v>
      </c>
      <c r="X27" s="63">
        <f>IF(DIAG!$H59,X15,-1)</f>
        <v>-1</v>
      </c>
      <c r="Y27" s="63">
        <f>IF(DIAG!$H60,Y15,-1)</f>
        <v>-1</v>
      </c>
      <c r="Z27" s="63">
        <f>IF(DIAG!$H61,Z15,-1)</f>
        <v>-1</v>
      </c>
      <c r="AA27" s="63">
        <f>IF(DIAG!$H62,AA15,-1)</f>
        <v>-1</v>
      </c>
      <c r="AB27" s="63">
        <f>IF(DIAG!$H63,AB15,-1)</f>
        <v>-1</v>
      </c>
      <c r="AC27" s="63">
        <f>IF(DIAG!$H64,AC15,-1)</f>
        <v>-1</v>
      </c>
      <c r="AD27" s="63">
        <f>IF(DIAG!$H65,AD15,-1)</f>
        <v>-1</v>
      </c>
      <c r="AE27" s="63">
        <f>IF(DIAG!$H66,AE15,-1)</f>
        <v>-1</v>
      </c>
      <c r="AF27" s="63">
        <f>IF(DIAG!$H67,AF15,-1)</f>
        <v>-1</v>
      </c>
      <c r="AG27" s="63">
        <f>IF(DIAG!$H68,AG15,-1)</f>
        <v>-1</v>
      </c>
      <c r="AH27" s="63">
        <f>IF(DIAG!$H69,AH15,-1)</f>
        <v>-1</v>
      </c>
      <c r="AI27" s="63">
        <f>IF(DIAG!$H70,AI15,-1)</f>
        <v>-1</v>
      </c>
      <c r="AJ27" s="63">
        <f>IF(DIAG!$H71,AJ15,-1)</f>
        <v>-1</v>
      </c>
      <c r="AK27" s="63">
        <f>IF(DIAG!$H72,AK15,-1)</f>
        <v>-1</v>
      </c>
      <c r="AL27" s="63">
        <f>IF(DIAG!$H73,AL15,-1)</f>
        <v>-1</v>
      </c>
      <c r="AM27" s="63">
        <f>IF(DIAG!$H74,AM15,-1)</f>
        <v>-1</v>
      </c>
      <c r="AN27" s="63">
        <f>IF(DIAG!$H75,AN15,-1)</f>
        <v>-1</v>
      </c>
      <c r="AO27" s="63">
        <f>IF(DIAG!$H76,AO15,-1)</f>
        <v>-1</v>
      </c>
      <c r="AP27" s="63">
        <f>IF(DIAG!$H77,AP15,-1)</f>
        <v>-1</v>
      </c>
      <c r="AQ27" s="63">
        <f>IF(DIAG!$H78,AQ15,-1)</f>
        <v>-1</v>
      </c>
      <c r="AR27" s="63">
        <f>IF(DIAG!$H79,AR15,-1)</f>
        <v>-1</v>
      </c>
      <c r="AS27" s="63">
        <f>IF(DIAG!$H80,AS15,-1)</f>
        <v>-1</v>
      </c>
      <c r="AT27" s="63">
        <f>IF(DIAG!$H81,AT15,-1)</f>
        <v>-1</v>
      </c>
      <c r="AU27" s="63">
        <f>IF(DIAG!$H82,AU15,-1)</f>
        <v>-1</v>
      </c>
      <c r="AV27" s="63">
        <f>IF(DIAG!$H83,AV15,-1)</f>
        <v>-1</v>
      </c>
      <c r="AW27" s="63">
        <f>IF(DIAG!$H84,AW15,-1)</f>
        <v>-1</v>
      </c>
      <c r="AX27" s="63">
        <f>IF(DIAG!$H85,AX15,-1)</f>
        <v>-1</v>
      </c>
      <c r="AY27" s="63">
        <f>IF(DIAG!$H86,AY15,-1)</f>
        <v>-1</v>
      </c>
      <c r="AZ27" s="63">
        <f>IF(DIAG!$H87,AZ15,-1)</f>
        <v>-1</v>
      </c>
      <c r="BA27" s="63">
        <f>IF(DIAG!$H88,BA15,-1)</f>
        <v>-1</v>
      </c>
      <c r="BB27" s="63">
        <f>IF(DIAG!$H89,BB15,-1)</f>
        <v>-1</v>
      </c>
      <c r="BC27" s="63">
        <f>IF(DIAG!$H90,BC15,-1)</f>
        <v>-1</v>
      </c>
      <c r="BD27" s="63">
        <f>IF(DIAG!$H91,BD15,-1)</f>
        <v>-1</v>
      </c>
      <c r="BE27" s="63">
        <f>IF(DIAG!$H92,BE15,-1)</f>
        <v>-1</v>
      </c>
      <c r="BF27" s="63">
        <f>IF(DIAG!$H93,BF15,-1)</f>
        <v>-1</v>
      </c>
      <c r="BG27" s="63">
        <f>IF(DIAG!$H94,BG15,-1)</f>
        <v>-1</v>
      </c>
      <c r="BH27" s="63">
        <f>IF(DIAG!$H95,BH15,-1)</f>
        <v>-1</v>
      </c>
      <c r="BI27" s="63">
        <f>IF(DIAG!$H96,BI15,-1)</f>
        <v>-1</v>
      </c>
      <c r="BJ27" s="63">
        <f>IF(DIAG!$H97,BJ15,-1)</f>
        <v>-1</v>
      </c>
      <c r="BK27" s="63">
        <f>IF(DIAG!$H98,BK15,-1)</f>
        <v>-1</v>
      </c>
      <c r="BL27" s="63">
        <f>IF(DIAG!$H99,BL15,-1)</f>
        <v>-1</v>
      </c>
      <c r="BM27" s="63">
        <f>IF(DIAG!$H100,BM15,-1)</f>
        <v>-1</v>
      </c>
      <c r="BN27" s="63">
        <f>IF(DIAG!$H101,BN15,-1)</f>
        <v>-1</v>
      </c>
      <c r="BO27" s="63">
        <f>IF(DIAG!$H102,BO15,-1)</f>
        <v>-1</v>
      </c>
      <c r="BP27" s="63">
        <f>IF(DIAG!$H103,BP15,-1)</f>
        <v>-1</v>
      </c>
      <c r="BQ27" s="63">
        <f>IF(DIAG!$H104,BQ15,-1)</f>
        <v>-1</v>
      </c>
      <c r="BR27" s="63">
        <f>IF(DIAG!$H105,BR15,-1)</f>
        <v>-1</v>
      </c>
      <c r="BS27" s="63">
        <f>IF(DIAG!$H106,BS15,-1)</f>
        <v>-1</v>
      </c>
      <c r="BT27" s="63">
        <f>IF(DIAG!$H107,BT15,-1)</f>
        <v>-1</v>
      </c>
      <c r="BU27" s="63">
        <f>IF(DIAG!$H108,BU15,-1)</f>
        <v>-1</v>
      </c>
      <c r="BV27" s="63">
        <f>IF(DIAG!$H109,BV15,-1)</f>
        <v>-1</v>
      </c>
      <c r="BW27" s="63">
        <f>IF(DIAG!$H110,BW15,-1)</f>
        <v>-1</v>
      </c>
      <c r="BX27" s="63">
        <f>IF(DIAG!$H111,BX15,-1)</f>
        <v>-1</v>
      </c>
      <c r="BY27" s="63">
        <f>IF(DIAG!$H112,BY15,-1)</f>
        <v>-1</v>
      </c>
      <c r="BZ27" s="63">
        <f>IF(DIAG!$H113,BZ15,-1)</f>
        <v>-1</v>
      </c>
      <c r="CA27" s="63">
        <f>IF(DIAG!$H114,CA15,-1)</f>
        <v>-1</v>
      </c>
      <c r="CB27" s="63">
        <f>IF(DIAG!$H115,CB15,-1)</f>
        <v>-1</v>
      </c>
      <c r="CC27" s="63">
        <f>IF(DIAG!$H116,CC15,-1)</f>
        <v>-1</v>
      </c>
      <c r="CD27" s="63">
        <f>IF(DIAG!$H117,CD15,-1)</f>
        <v>-1</v>
      </c>
      <c r="CE27" s="63">
        <f>IF(DIAG!$H118,CE15,-1)</f>
        <v>-1</v>
      </c>
      <c r="CF27" s="63">
        <f>IF(DIAG!$H119,CF15,-1)</f>
        <v>-1</v>
      </c>
      <c r="CG27" s="63">
        <f>IF(DIAG!$H120,CG15,-1)</f>
        <v>-1</v>
      </c>
      <c r="CH27" s="63">
        <f>IF(DIAG!$H121,CH15,-1)</f>
        <v>-1</v>
      </c>
      <c r="CI27" s="63">
        <f>IF(DIAG!$H122,CI15,-1)</f>
        <v>-1</v>
      </c>
      <c r="CJ27" s="63">
        <f>IF(DIAG!$H123,CJ15,-1)</f>
        <v>-1</v>
      </c>
      <c r="CK27" s="63">
        <f>IF(DIAG!$H124,CK15,-1)</f>
        <v>-1</v>
      </c>
      <c r="CL27" s="63">
        <f>IF(DIAG!$H125,CL15,-1)</f>
        <v>-1</v>
      </c>
      <c r="CM27" s="63">
        <f>IF(DIAG!$H126,CM15,-1)</f>
        <v>-1</v>
      </c>
      <c r="CN27" s="63">
        <f>IF(DIAG!$H127,CN15,-1)</f>
        <v>-1</v>
      </c>
      <c r="CO27" s="63">
        <f>IF(DIAG!$H128,CO15,-1)</f>
        <v>-1</v>
      </c>
      <c r="CP27" s="63">
        <f>IF(DIAG!$H129,CP15,-1)</f>
        <v>-1</v>
      </c>
      <c r="CQ27" s="63">
        <f>IF(DIAG!$H130,CQ15,-1)</f>
        <v>-1</v>
      </c>
      <c r="CR27" s="63">
        <f>IF(DIAG!$H131,CR15,-1)</f>
        <v>-1</v>
      </c>
      <c r="CS27" s="63">
        <f>IF(DIAG!$H132,CS15,-1)</f>
        <v>-1</v>
      </c>
      <c r="CT27" s="63">
        <f>IF(DIAG!$H133,CT15,-1)</f>
        <v>-1</v>
      </c>
      <c r="CU27" s="63">
        <f>IF(DIAG!$H134,CU15,-1)</f>
        <v>-1</v>
      </c>
      <c r="CV27" s="63">
        <f>IF(DIAG!$H135,CV15,-1)</f>
        <v>-1</v>
      </c>
      <c r="CW27" s="63">
        <f>IF(DIAG!$H136,CW15,-1)</f>
        <v>-1</v>
      </c>
      <c r="CX27" s="58"/>
      <c r="CY27" s="58"/>
      <c r="CZ27" s="58"/>
      <c r="DA27" s="58"/>
      <c r="DB27" s="58"/>
      <c r="DC27" s="58"/>
      <c r="DD27" s="58"/>
      <c r="DE27" s="58"/>
      <c r="DF27" s="58"/>
      <c r="DG27" s="58"/>
      <c r="DH27" s="58"/>
      <c r="DI27" s="58"/>
      <c r="DJ27" s="58"/>
      <c r="DK27" s="58"/>
      <c r="DL27" s="58"/>
      <c r="DM27" s="58"/>
      <c r="DN27" s="58"/>
      <c r="DO27" s="58"/>
      <c r="DP27" s="58"/>
      <c r="DQ27" s="58"/>
      <c r="DR27" s="58"/>
      <c r="DS27" s="58"/>
      <c r="DT27" s="58"/>
      <c r="DU27" s="58"/>
      <c r="DV27" s="58"/>
      <c r="DW27" s="58"/>
      <c r="DX27" s="58"/>
      <c r="DY27" s="58"/>
      <c r="DZ27" s="58"/>
      <c r="EA27" s="58"/>
      <c r="EB27" s="58"/>
      <c r="EC27" s="58"/>
      <c r="ED27" s="58"/>
      <c r="EE27" s="58"/>
      <c r="EF27" s="58"/>
      <c r="EG27" s="58"/>
      <c r="EH27" s="58"/>
      <c r="EI27" s="58"/>
      <c r="EJ27" s="58"/>
      <c r="EK27" s="58"/>
      <c r="EL27" s="58"/>
      <c r="EM27" s="58"/>
      <c r="EN27" s="58"/>
      <c r="EO27" s="58"/>
      <c r="EP27" s="58"/>
      <c r="EQ27" s="58"/>
      <c r="ER27" s="58"/>
      <c r="ES27" s="58"/>
      <c r="ET27" s="58"/>
      <c r="EU27" s="58"/>
      <c r="EV27" s="58"/>
      <c r="EW27" s="58"/>
      <c r="EX27" s="58"/>
      <c r="EY27" s="58"/>
      <c r="EZ27" s="58"/>
      <c r="FA27" s="58"/>
      <c r="FB27" s="58"/>
      <c r="FC27" s="58"/>
      <c r="FD27" s="58"/>
      <c r="FE27" s="58"/>
      <c r="FF27" s="58"/>
      <c r="FG27" s="58"/>
      <c r="FH27" s="58"/>
      <c r="FI27" s="58"/>
      <c r="FJ27" s="58"/>
      <c r="FK27" s="58"/>
      <c r="FL27" s="58"/>
      <c r="FM27" s="58"/>
      <c r="FN27" s="58"/>
      <c r="FO27" s="58"/>
      <c r="FP27" s="58"/>
      <c r="FQ27" s="58"/>
      <c r="FR27" s="58"/>
      <c r="FS27" s="58"/>
      <c r="FT27" s="58"/>
      <c r="FU27" s="58"/>
      <c r="FV27" s="58"/>
      <c r="FW27" s="58"/>
      <c r="FX27" s="58"/>
      <c r="FY27" s="58"/>
      <c r="FZ27" s="58"/>
      <c r="GA27" s="58"/>
      <c r="GB27" s="58"/>
      <c r="GC27" s="58"/>
      <c r="GD27" s="58"/>
      <c r="GE27" s="58"/>
      <c r="GF27" s="58"/>
      <c r="GG27" s="58"/>
      <c r="GH27" s="58"/>
      <c r="GI27" s="58"/>
      <c r="GJ27" s="58"/>
      <c r="GK27" s="58"/>
      <c r="GL27" s="58"/>
      <c r="GM27" s="58"/>
      <c r="GN27" s="58"/>
      <c r="GO27" s="58"/>
      <c r="GP27" s="58"/>
      <c r="GQ27" s="58"/>
      <c r="GR27" s="58"/>
      <c r="GS27" s="58"/>
    </row>
    <row r="28" spans="1:255" x14ac:dyDescent="0.2">
      <c r="A28" s="224" t="s">
        <v>33</v>
      </c>
      <c r="B28" s="225"/>
      <c r="C28" s="226"/>
      <c r="D28" s="13" t="s">
        <v>35</v>
      </c>
      <c r="E28" s="13" t="s">
        <v>36</v>
      </c>
      <c r="F28" s="13" t="s">
        <v>37</v>
      </c>
      <c r="G28" s="67"/>
      <c r="H28" s="67"/>
      <c r="I28" s="67"/>
      <c r="J28" s="67"/>
      <c r="K28" s="67"/>
      <c r="L28" s="68"/>
      <c r="M28" s="69"/>
      <c r="N28" s="37" t="s">
        <v>25</v>
      </c>
      <c r="O28" s="38"/>
      <c r="BD28" s="10">
        <v>1</v>
      </c>
      <c r="BE28" s="10">
        <v>2</v>
      </c>
      <c r="BF28" s="10">
        <v>3</v>
      </c>
      <c r="BG28" s="10">
        <v>4</v>
      </c>
      <c r="BH28" s="10">
        <v>5</v>
      </c>
      <c r="BI28" s="10">
        <v>6</v>
      </c>
      <c r="BJ28" s="10">
        <v>7</v>
      </c>
      <c r="BK28" s="10">
        <v>8</v>
      </c>
      <c r="BL28" s="10">
        <v>9</v>
      </c>
      <c r="BM28" s="10">
        <v>10</v>
      </c>
      <c r="BN28" s="10">
        <v>11</v>
      </c>
      <c r="BO28" s="10">
        <v>12</v>
      </c>
      <c r="BP28" s="10">
        <v>13</v>
      </c>
      <c r="BQ28" s="10">
        <v>14</v>
      </c>
      <c r="BR28" s="10">
        <v>15</v>
      </c>
      <c r="BS28" s="10">
        <v>16</v>
      </c>
      <c r="BT28" s="10">
        <v>17</v>
      </c>
      <c r="BU28" s="10">
        <v>18</v>
      </c>
      <c r="BV28" s="10">
        <v>19</v>
      </c>
      <c r="BW28" s="10">
        <v>20</v>
      </c>
      <c r="BX28" s="10">
        <v>21</v>
      </c>
      <c r="BY28" s="10">
        <v>22</v>
      </c>
      <c r="BZ28" s="10">
        <v>23</v>
      </c>
      <c r="CA28" s="10">
        <v>24</v>
      </c>
      <c r="CB28" s="10">
        <v>25</v>
      </c>
      <c r="CC28" s="10">
        <v>26</v>
      </c>
      <c r="CD28" s="10">
        <v>27</v>
      </c>
      <c r="CE28" s="10">
        <v>28</v>
      </c>
      <c r="CF28" s="10">
        <v>29</v>
      </c>
      <c r="CG28" s="10">
        <v>30</v>
      </c>
      <c r="CH28" s="10">
        <v>31</v>
      </c>
      <c r="CI28" s="10">
        <v>32</v>
      </c>
      <c r="CJ28" s="10">
        <v>33</v>
      </c>
      <c r="CK28" s="10">
        <v>34</v>
      </c>
      <c r="CL28" s="10">
        <v>35</v>
      </c>
      <c r="CM28" s="10">
        <v>36</v>
      </c>
      <c r="CN28" s="10">
        <v>37</v>
      </c>
      <c r="CO28" s="10">
        <v>38</v>
      </c>
      <c r="CP28" s="10">
        <v>39</v>
      </c>
      <c r="CQ28" s="10">
        <v>40</v>
      </c>
      <c r="CR28" s="10">
        <v>41</v>
      </c>
      <c r="CS28" s="10">
        <v>42</v>
      </c>
      <c r="CT28" s="10">
        <v>43</v>
      </c>
      <c r="CU28" s="10">
        <v>44</v>
      </c>
      <c r="CV28" s="10">
        <v>45</v>
      </c>
      <c r="CW28" s="10">
        <v>46</v>
      </c>
      <c r="CX28" s="10">
        <v>47</v>
      </c>
      <c r="CY28" s="10">
        <v>48</v>
      </c>
      <c r="CZ28" s="10">
        <v>49</v>
      </c>
      <c r="DA28" s="10">
        <v>50</v>
      </c>
      <c r="DB28" s="10">
        <v>51</v>
      </c>
      <c r="DC28" s="10">
        <v>52</v>
      </c>
      <c r="DD28" s="10">
        <v>53</v>
      </c>
      <c r="DE28" s="10">
        <v>54</v>
      </c>
      <c r="DF28" s="10">
        <v>55</v>
      </c>
      <c r="DG28" s="10">
        <v>56</v>
      </c>
      <c r="DH28" s="10">
        <v>57</v>
      </c>
      <c r="DI28" s="10">
        <v>58</v>
      </c>
      <c r="DJ28" s="10">
        <v>59</v>
      </c>
      <c r="DK28" s="10">
        <v>60</v>
      </c>
      <c r="DL28" s="10">
        <v>61</v>
      </c>
      <c r="DM28" s="10">
        <v>62</v>
      </c>
      <c r="DN28" s="10">
        <v>63</v>
      </c>
      <c r="DO28" s="10">
        <v>64</v>
      </c>
      <c r="DP28" s="10">
        <v>65</v>
      </c>
      <c r="DQ28" s="10">
        <v>66</v>
      </c>
      <c r="DR28" s="10">
        <v>67</v>
      </c>
      <c r="DS28" s="10">
        <v>68</v>
      </c>
      <c r="DT28" s="10">
        <v>69</v>
      </c>
      <c r="DU28" s="10">
        <v>70</v>
      </c>
      <c r="DV28" s="10">
        <v>71</v>
      </c>
      <c r="DW28" s="10">
        <v>72</v>
      </c>
      <c r="DX28" s="10">
        <v>73</v>
      </c>
      <c r="DY28" s="10">
        <v>74</v>
      </c>
      <c r="DZ28" s="10">
        <v>75</v>
      </c>
      <c r="EA28" s="10">
        <v>76</v>
      </c>
      <c r="EB28" s="10">
        <v>77</v>
      </c>
      <c r="EC28" s="10">
        <v>78</v>
      </c>
      <c r="ED28" s="10">
        <v>79</v>
      </c>
      <c r="EE28" s="10">
        <v>80</v>
      </c>
      <c r="EF28" s="10">
        <v>81</v>
      </c>
      <c r="EG28" s="10">
        <v>82</v>
      </c>
      <c r="EH28" s="10">
        <v>83</v>
      </c>
      <c r="EI28" s="10">
        <v>84</v>
      </c>
      <c r="EJ28" s="10">
        <v>85</v>
      </c>
      <c r="EK28" s="10">
        <v>86</v>
      </c>
      <c r="EL28" s="10">
        <v>87</v>
      </c>
      <c r="EM28" s="10">
        <v>88</v>
      </c>
      <c r="EN28" s="10">
        <v>89</v>
      </c>
      <c r="EO28" s="10">
        <v>90</v>
      </c>
      <c r="EP28" s="10">
        <v>91</v>
      </c>
      <c r="EQ28" s="10">
        <v>92</v>
      </c>
      <c r="ER28" s="10">
        <v>93</v>
      </c>
      <c r="ES28" s="10">
        <v>94</v>
      </c>
      <c r="ET28" s="10">
        <v>95</v>
      </c>
      <c r="EU28" s="10">
        <v>96</v>
      </c>
      <c r="EV28" s="10">
        <v>97</v>
      </c>
      <c r="EW28" s="10">
        <v>98</v>
      </c>
      <c r="EX28" s="10">
        <v>99</v>
      </c>
      <c r="EY28" s="10">
        <v>100</v>
      </c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</row>
    <row r="29" spans="1:255" x14ac:dyDescent="0.2">
      <c r="A29" s="70"/>
      <c r="B29" s="71" t="str">
        <f>VLOOKUP(A28,A25:G25,A83,0)</f>
        <v xml:space="preserve"> 4-fds</v>
      </c>
      <c r="C29" s="72"/>
      <c r="D29" s="73" t="e">
        <f ca="1">D103</f>
        <v>#DIV/0!</v>
      </c>
      <c r="E29" s="73" t="e">
        <f ca="1">D100</f>
        <v>#DIV/0!</v>
      </c>
      <c r="F29" s="73" t="e">
        <f ca="1">E103</f>
        <v>#DIV/0!</v>
      </c>
      <c r="G29" s="74" t="s">
        <v>38</v>
      </c>
      <c r="H29" s="75"/>
      <c r="I29" s="75"/>
      <c r="J29" s="75"/>
      <c r="K29" s="75"/>
      <c r="L29" s="75"/>
      <c r="M29" s="76"/>
      <c r="N29" s="39" t="s">
        <v>27</v>
      </c>
      <c r="O29" s="39" t="s">
        <v>28</v>
      </c>
      <c r="AN29" s="9" t="s">
        <v>34</v>
      </c>
      <c r="AP29" s="59">
        <f>IF(DIAG!H239,$GL$55,-1)</f>
        <v>-1</v>
      </c>
      <c r="AQ29" s="60">
        <f>AP29+(AY29-AP29)/9</f>
        <v>-1</v>
      </c>
      <c r="AR29" s="60">
        <f>AQ29+(AY29-AQ29)/8</f>
        <v>-1</v>
      </c>
      <c r="AS29" s="60">
        <f>AR29+(AY29-AR29)/7</f>
        <v>-1</v>
      </c>
      <c r="AT29" s="60">
        <f>AS29+(AY29-AS29)/6</f>
        <v>-1</v>
      </c>
      <c r="AU29" s="60">
        <f>AT29+(AY29-AT29)/5</f>
        <v>-1</v>
      </c>
      <c r="AV29" s="60">
        <f>AU29+(AY29-AU29)/4</f>
        <v>-1</v>
      </c>
      <c r="AW29" s="60">
        <f>AV29+(AY29-AV29)/3</f>
        <v>-1</v>
      </c>
      <c r="AX29" s="60">
        <f>AW29+(AY29-AW29)/2</f>
        <v>-1</v>
      </c>
      <c r="AY29" s="61">
        <f>IF(DIAG!H239,$B$26,-1)</f>
        <v>-1</v>
      </c>
      <c r="BA29" s="11" t="s">
        <v>84</v>
      </c>
      <c r="BB29" s="9">
        <f>DIAG!W1</f>
        <v>5</v>
      </c>
    </row>
    <row r="30" spans="1:255" x14ac:dyDescent="0.2">
      <c r="A30" s="77"/>
      <c r="B30" s="78"/>
      <c r="C30" s="79"/>
      <c r="D30" s="73" t="e">
        <f ca="1">N103</f>
        <v>#DIV/0!</v>
      </c>
      <c r="E30" s="73" t="e">
        <f ca="1">M100</f>
        <v>#DIV/0!</v>
      </c>
      <c r="F30" s="73" t="e">
        <f ca="1">M103</f>
        <v>#DIV/0!</v>
      </c>
      <c r="G30" s="74" t="s">
        <v>40</v>
      </c>
      <c r="H30" s="75"/>
      <c r="I30" s="75"/>
      <c r="J30" s="75"/>
      <c r="K30" s="75"/>
      <c r="L30" s="75"/>
      <c r="M30" s="76"/>
      <c r="N30" s="43">
        <v>5</v>
      </c>
      <c r="O30" s="44">
        <v>2</v>
      </c>
      <c r="AP30" s="64">
        <f>IF(DIAG!H239,$GL$56,-1)</f>
        <v>-1</v>
      </c>
      <c r="AQ30" s="65">
        <f>AP30+(AY30-AP30)/9</f>
        <v>-1</v>
      </c>
      <c r="AR30" s="65">
        <f>AQ30+(AY30-AQ30)/8</f>
        <v>-1</v>
      </c>
      <c r="AS30" s="65">
        <f>AR30+(AY30-AR30)/7</f>
        <v>-1</v>
      </c>
      <c r="AT30" s="65">
        <f>AS30+(AY30-AS30)/6</f>
        <v>-1</v>
      </c>
      <c r="AU30" s="65">
        <f>AT30+(AY30-AT30)/5</f>
        <v>-1</v>
      </c>
      <c r="AV30" s="65">
        <f>AU30+(AY30-AU30)/4</f>
        <v>-1</v>
      </c>
      <c r="AW30" s="65">
        <f>AV30+(AY30-AV30)/3</f>
        <v>-1</v>
      </c>
      <c r="AX30" s="65">
        <f>AW30+(AY30-AW30)/2</f>
        <v>-1</v>
      </c>
      <c r="AY30" s="66">
        <f>IF(DIAG!H239,$B$27,-1)</f>
        <v>-1</v>
      </c>
      <c r="BA30" s="11" t="s">
        <v>82</v>
      </c>
      <c r="BB30" s="14">
        <f ca="1">IF(BB29=0,0,MAX(OFFSET(BC29,1,1,1,BB29)))</f>
        <v>687923</v>
      </c>
      <c r="BD30" s="14">
        <f t="shared" ref="BD30:BM30" si="33">B9</f>
        <v>615</v>
      </c>
      <c r="BE30" s="14">
        <f t="shared" si="33"/>
        <v>161</v>
      </c>
      <c r="BF30" s="14">
        <f t="shared" si="33"/>
        <v>74305</v>
      </c>
      <c r="BG30" s="14">
        <f t="shared" si="33"/>
        <v>687923</v>
      </c>
      <c r="BH30" s="14">
        <f t="shared" si="33"/>
        <v>2556</v>
      </c>
      <c r="BI30" s="14">
        <f t="shared" si="33"/>
        <v>0</v>
      </c>
      <c r="BJ30" s="14">
        <f t="shared" si="33"/>
        <v>0</v>
      </c>
      <c r="BK30" s="14">
        <f t="shared" si="33"/>
        <v>0</v>
      </c>
      <c r="BL30" s="14">
        <f t="shared" si="33"/>
        <v>0</v>
      </c>
      <c r="BM30" s="14">
        <f t="shared" si="33"/>
        <v>0</v>
      </c>
      <c r="BN30" s="14">
        <f t="shared" ref="BN30" si="34">L9</f>
        <v>0</v>
      </c>
      <c r="BO30" s="14">
        <f t="shared" ref="BO30" si="35">M9</f>
        <v>0</v>
      </c>
      <c r="BP30" s="14">
        <f t="shared" ref="BP30" si="36">N9</f>
        <v>0</v>
      </c>
      <c r="BQ30" s="14">
        <f t="shared" ref="BQ30" si="37">O9</f>
        <v>0</v>
      </c>
      <c r="BR30" s="14">
        <f t="shared" ref="BR30" si="38">P9</f>
        <v>0</v>
      </c>
      <c r="BS30" s="14">
        <f t="shared" ref="BS30" si="39">Q9</f>
        <v>0</v>
      </c>
      <c r="BT30" s="14">
        <f t="shared" ref="BT30" si="40">R9</f>
        <v>0</v>
      </c>
      <c r="BU30" s="14">
        <f t="shared" ref="BU30" si="41">S9</f>
        <v>0</v>
      </c>
      <c r="BV30" s="14">
        <f t="shared" ref="BV30" si="42">T9</f>
        <v>0</v>
      </c>
      <c r="BW30" s="14">
        <f t="shared" ref="BW30" si="43">U9</f>
        <v>0</v>
      </c>
      <c r="BX30" s="14">
        <f t="shared" ref="BX30" si="44">V9</f>
        <v>0</v>
      </c>
      <c r="BY30" s="14">
        <f t="shared" ref="BY30" si="45">W9</f>
        <v>0</v>
      </c>
      <c r="BZ30" s="14">
        <f t="shared" ref="BZ30" si="46">X9</f>
        <v>0</v>
      </c>
      <c r="CA30" s="14">
        <f t="shared" ref="CA30" si="47">Y9</f>
        <v>0</v>
      </c>
      <c r="CB30" s="14">
        <f t="shared" ref="CB30" si="48">Z9</f>
        <v>0</v>
      </c>
      <c r="CC30" s="14">
        <f t="shared" ref="CC30" si="49">AA9</f>
        <v>0</v>
      </c>
      <c r="CD30" s="14">
        <f t="shared" ref="CD30" si="50">AB9</f>
        <v>0</v>
      </c>
      <c r="CE30" s="14">
        <f t="shared" ref="CE30" si="51">AC9</f>
        <v>0</v>
      </c>
      <c r="CF30" s="14">
        <f t="shared" ref="CF30" si="52">AD9</f>
        <v>0</v>
      </c>
      <c r="CG30" s="14">
        <f t="shared" ref="CG30" si="53">AE9</f>
        <v>0</v>
      </c>
      <c r="CH30" s="14">
        <f t="shared" ref="CH30" si="54">AF9</f>
        <v>0</v>
      </c>
      <c r="CI30" s="14">
        <f t="shared" ref="CI30" si="55">AG9</f>
        <v>0</v>
      </c>
      <c r="CJ30" s="14">
        <f t="shared" ref="CJ30" si="56">AH9</f>
        <v>0</v>
      </c>
      <c r="CK30" s="14">
        <f t="shared" ref="CK30" si="57">AI9</f>
        <v>0</v>
      </c>
      <c r="CL30" s="14">
        <f t="shared" ref="CL30" si="58">AJ9</f>
        <v>0</v>
      </c>
      <c r="CM30" s="14">
        <f t="shared" ref="CM30" si="59">AK9</f>
        <v>0</v>
      </c>
      <c r="CN30" s="14">
        <f t="shared" ref="CN30" si="60">AL9</f>
        <v>0</v>
      </c>
      <c r="CO30" s="14">
        <f t="shared" ref="CO30" si="61">AM9</f>
        <v>0</v>
      </c>
      <c r="CP30" s="14">
        <f t="shared" ref="CP30" si="62">AN9</f>
        <v>0</v>
      </c>
      <c r="CQ30" s="14">
        <f t="shared" ref="CQ30" si="63">AO9</f>
        <v>0</v>
      </c>
      <c r="CR30" s="14">
        <f t="shared" ref="CR30" si="64">AP9</f>
        <v>0</v>
      </c>
      <c r="CS30" s="14">
        <f t="shared" ref="CS30" si="65">AQ9</f>
        <v>0</v>
      </c>
      <c r="CT30" s="14">
        <f t="shared" ref="CT30" si="66">AR9</f>
        <v>0</v>
      </c>
      <c r="CU30" s="14">
        <f t="shared" ref="CU30" si="67">AS9</f>
        <v>0</v>
      </c>
      <c r="CV30" s="14">
        <f t="shared" ref="CV30" si="68">AT9</f>
        <v>0</v>
      </c>
      <c r="CW30" s="14">
        <f t="shared" ref="CW30" si="69">AU9</f>
        <v>0</v>
      </c>
      <c r="CX30" s="14">
        <f t="shared" ref="CX30" si="70">AV9</f>
        <v>0</v>
      </c>
      <c r="CY30" s="14">
        <f t="shared" ref="CY30" si="71">AW9</f>
        <v>0</v>
      </c>
      <c r="CZ30" s="14">
        <f t="shared" ref="CZ30" si="72">AX9</f>
        <v>0</v>
      </c>
      <c r="DA30" s="14">
        <f t="shared" ref="DA30" si="73">AY9</f>
        <v>0</v>
      </c>
      <c r="DB30" s="14">
        <f t="shared" ref="DB30" si="74">AZ9</f>
        <v>0</v>
      </c>
      <c r="DC30" s="14">
        <f t="shared" ref="DC30" si="75">BA9</f>
        <v>0</v>
      </c>
      <c r="DD30" s="14">
        <f t="shared" ref="DD30" si="76">BB9</f>
        <v>0</v>
      </c>
      <c r="DE30" s="14">
        <f t="shared" ref="DE30" si="77">BC9</f>
        <v>0</v>
      </c>
      <c r="DF30" s="14">
        <f t="shared" ref="DF30" si="78">BD9</f>
        <v>0</v>
      </c>
      <c r="DG30" s="14">
        <f t="shared" ref="DG30" si="79">BE9</f>
        <v>0</v>
      </c>
      <c r="DH30" s="14">
        <f t="shared" ref="DH30" si="80">BF9</f>
        <v>0</v>
      </c>
      <c r="DI30" s="14">
        <f t="shared" ref="DI30" si="81">BG9</f>
        <v>0</v>
      </c>
      <c r="DJ30" s="14">
        <f t="shared" ref="DJ30" si="82">BH9</f>
        <v>0</v>
      </c>
      <c r="DK30" s="14">
        <f t="shared" ref="DK30" si="83">BI9</f>
        <v>0</v>
      </c>
      <c r="DL30" s="14">
        <f t="shared" ref="DL30" si="84">BJ9</f>
        <v>0</v>
      </c>
      <c r="DM30" s="14">
        <f t="shared" ref="DM30" si="85">BK9</f>
        <v>0</v>
      </c>
      <c r="DN30" s="14">
        <f t="shared" ref="DN30" si="86">BL9</f>
        <v>0</v>
      </c>
      <c r="DO30" s="14">
        <f t="shared" ref="DO30" si="87">BM9</f>
        <v>0</v>
      </c>
      <c r="DP30" s="14">
        <f t="shared" ref="DP30" si="88">BN9</f>
        <v>0</v>
      </c>
      <c r="DQ30" s="14">
        <f t="shared" ref="DQ30" si="89">BO9</f>
        <v>0</v>
      </c>
      <c r="DR30" s="14">
        <f t="shared" ref="DR30" si="90">BP9</f>
        <v>0</v>
      </c>
      <c r="DS30" s="14">
        <f t="shared" ref="DS30" si="91">BQ9</f>
        <v>0</v>
      </c>
      <c r="DT30" s="14">
        <f t="shared" ref="DT30" si="92">BR9</f>
        <v>0</v>
      </c>
      <c r="DU30" s="14">
        <f t="shared" ref="DU30" si="93">BS9</f>
        <v>0</v>
      </c>
      <c r="DV30" s="14">
        <f t="shared" ref="DV30" si="94">BT9</f>
        <v>0</v>
      </c>
      <c r="DW30" s="14">
        <f t="shared" ref="DW30" si="95">BU9</f>
        <v>0</v>
      </c>
      <c r="DX30" s="14">
        <f t="shared" ref="DX30" si="96">BV9</f>
        <v>0</v>
      </c>
      <c r="DY30" s="14">
        <f t="shared" ref="DY30" si="97">BW9</f>
        <v>0</v>
      </c>
      <c r="DZ30" s="14">
        <f t="shared" ref="DZ30" si="98">BX9</f>
        <v>0</v>
      </c>
      <c r="EA30" s="14">
        <f t="shared" ref="EA30" si="99">BY9</f>
        <v>0</v>
      </c>
      <c r="EB30" s="14">
        <f t="shared" ref="EB30" si="100">BZ9</f>
        <v>0</v>
      </c>
      <c r="EC30" s="14">
        <f t="shared" ref="EC30" si="101">CA9</f>
        <v>0</v>
      </c>
      <c r="ED30" s="14">
        <f t="shared" ref="ED30" si="102">CB9</f>
        <v>0</v>
      </c>
      <c r="EE30" s="14">
        <f t="shared" ref="EE30" si="103">CC9</f>
        <v>0</v>
      </c>
      <c r="EF30" s="14">
        <f t="shared" ref="EF30" si="104">CD9</f>
        <v>0</v>
      </c>
      <c r="EG30" s="14">
        <f t="shared" ref="EG30" si="105">CE9</f>
        <v>0</v>
      </c>
      <c r="EH30" s="14">
        <f t="shared" ref="EH30" si="106">CF9</f>
        <v>0</v>
      </c>
      <c r="EI30" s="14">
        <f t="shared" ref="EI30" si="107">CG9</f>
        <v>0</v>
      </c>
      <c r="EJ30" s="14">
        <f t="shared" ref="EJ30" si="108">CH9</f>
        <v>0</v>
      </c>
      <c r="EK30" s="14">
        <f t="shared" ref="EK30" si="109">CI9</f>
        <v>0</v>
      </c>
      <c r="EL30" s="14">
        <f t="shared" ref="EL30" si="110">CJ9</f>
        <v>0</v>
      </c>
      <c r="EM30" s="14">
        <f t="shared" ref="EM30" si="111">CK9</f>
        <v>0</v>
      </c>
      <c r="EN30" s="14">
        <f t="shared" ref="EN30" si="112">CL9</f>
        <v>0</v>
      </c>
      <c r="EO30" s="14">
        <f t="shared" ref="EO30" si="113">CM9</f>
        <v>0</v>
      </c>
      <c r="EP30" s="14">
        <f t="shared" ref="EP30" si="114">CN9</f>
        <v>0</v>
      </c>
      <c r="EQ30" s="14">
        <f t="shared" ref="EQ30" si="115">CO9</f>
        <v>0</v>
      </c>
      <c r="ER30" s="14">
        <f t="shared" ref="ER30" si="116">CP9</f>
        <v>0</v>
      </c>
      <c r="ES30" s="14">
        <f t="shared" ref="ES30" si="117">CQ9</f>
        <v>0</v>
      </c>
      <c r="ET30" s="14">
        <f t="shared" ref="ET30" si="118">CR9</f>
        <v>0</v>
      </c>
      <c r="EU30" s="14">
        <f t="shared" ref="EU30" si="119">CS9</f>
        <v>0</v>
      </c>
      <c r="EV30" s="14">
        <f t="shared" ref="EV30" si="120">CT9</f>
        <v>0</v>
      </c>
      <c r="EW30" s="14">
        <f t="shared" ref="EW30" si="121">CU9</f>
        <v>0</v>
      </c>
      <c r="EX30" s="14">
        <f t="shared" ref="EX30" si="122">CV9</f>
        <v>0</v>
      </c>
      <c r="EY30" s="14">
        <f t="shared" ref="EY30" si="123">CW9</f>
        <v>0</v>
      </c>
      <c r="EZ30" s="14"/>
      <c r="FA30" s="14"/>
      <c r="FB30" s="14"/>
      <c r="FC30" s="14"/>
      <c r="FD30" s="14"/>
      <c r="FE30" s="14"/>
      <c r="FF30" s="14"/>
      <c r="FG30" s="14"/>
      <c r="FH30" s="14"/>
      <c r="FI30" s="14"/>
      <c r="FJ30" s="14"/>
      <c r="FK30" s="14"/>
      <c r="FL30" s="14"/>
      <c r="FM30" s="14"/>
      <c r="FN30" s="14"/>
      <c r="FO30" s="14"/>
      <c r="FP30" s="14"/>
      <c r="FQ30" s="14"/>
      <c r="FR30" s="14"/>
      <c r="FS30" s="14"/>
      <c r="FT30" s="14"/>
      <c r="FU30" s="14"/>
      <c r="FV30" s="14"/>
      <c r="FW30" s="14"/>
      <c r="FX30" s="14"/>
      <c r="FY30" s="14"/>
      <c r="FZ30" s="14"/>
      <c r="GA30" s="14"/>
      <c r="GB30" s="14"/>
      <c r="GC30" s="14"/>
      <c r="GD30" s="14"/>
      <c r="GE30" s="14"/>
      <c r="GF30" s="14"/>
      <c r="GG30" s="14"/>
      <c r="GH30" s="14"/>
      <c r="GI30" s="14"/>
      <c r="GJ30" s="14"/>
      <c r="GK30" s="14"/>
      <c r="GL30" s="14"/>
      <c r="GM30" s="14"/>
      <c r="GN30" s="14"/>
      <c r="GO30" s="14"/>
      <c r="GP30" s="14"/>
      <c r="GQ30" s="14"/>
      <c r="GR30" s="14"/>
      <c r="GS30" s="14"/>
      <c r="GT30" s="14"/>
      <c r="GU30" s="14"/>
      <c r="GV30" s="14"/>
      <c r="GW30" s="14"/>
      <c r="GX30" s="14"/>
      <c r="GY30" s="14"/>
      <c r="GZ30" s="14"/>
      <c r="HA30" s="14"/>
      <c r="HB30" s="14"/>
      <c r="HC30" s="14"/>
      <c r="HD30" s="14"/>
      <c r="HE30" s="14"/>
      <c r="HF30" s="14"/>
      <c r="HG30" s="14"/>
      <c r="HH30" s="14"/>
      <c r="HI30" s="14"/>
      <c r="HJ30" s="14"/>
      <c r="HK30" s="14"/>
      <c r="HL30" s="14"/>
      <c r="HM30" s="14"/>
      <c r="HN30" s="14"/>
      <c r="HO30" s="14"/>
      <c r="HP30" s="14"/>
      <c r="HQ30" s="14"/>
      <c r="HR30" s="14"/>
      <c r="HS30" s="14"/>
      <c r="HT30" s="14"/>
      <c r="HU30" s="14"/>
      <c r="HV30" s="14"/>
      <c r="HW30" s="14"/>
      <c r="HX30" s="14"/>
      <c r="HY30" s="14"/>
      <c r="HZ30" s="14"/>
      <c r="IA30" s="14"/>
      <c r="IB30" s="14"/>
      <c r="IC30" s="14"/>
      <c r="ID30" s="14"/>
      <c r="IE30" s="14"/>
      <c r="IF30" s="14"/>
      <c r="IG30" s="14"/>
      <c r="IH30" s="14"/>
      <c r="II30" s="14"/>
      <c r="IJ30" s="14"/>
      <c r="IK30" s="14"/>
      <c r="IL30" s="14"/>
      <c r="IM30" s="14"/>
      <c r="IN30" s="14"/>
      <c r="IO30" s="14"/>
      <c r="IP30" s="14"/>
      <c r="IQ30" s="14"/>
      <c r="IR30" s="14"/>
      <c r="IS30" s="14"/>
      <c r="IT30" s="14"/>
      <c r="IU30" s="14"/>
    </row>
    <row r="31" spans="1:255" x14ac:dyDescent="0.2">
      <c r="A31" s="80"/>
      <c r="B31" s="81"/>
      <c r="D31" s="82"/>
      <c r="E31" s="82"/>
      <c r="F31" s="82"/>
      <c r="G31" s="83"/>
      <c r="H31" s="83"/>
      <c r="I31" s="83"/>
      <c r="J31" s="83"/>
      <c r="K31" s="83"/>
      <c r="N31" s="48">
        <v>0.25</v>
      </c>
      <c r="O31" s="49">
        <v>1</v>
      </c>
      <c r="S31" s="33"/>
      <c r="T31" s="33"/>
      <c r="U31" s="33"/>
      <c r="V31" s="33"/>
      <c r="W31" s="33"/>
      <c r="X31" s="33"/>
      <c r="Y31" s="33"/>
      <c r="Z31" s="33"/>
      <c r="AA31" s="33"/>
      <c r="AB31" s="33"/>
      <c r="AO31" s="33"/>
      <c r="AP31" s="33"/>
      <c r="AQ31" s="33"/>
      <c r="AR31" s="33"/>
      <c r="AS31" s="33"/>
      <c r="AT31" s="33"/>
      <c r="AU31" s="33"/>
      <c r="BA31" s="11" t="s">
        <v>83</v>
      </c>
      <c r="BB31" s="14">
        <f ca="1">IF(BB29=0,0,MIN(OFFSET(BC29,1,1,1,BB29)))</f>
        <v>161</v>
      </c>
      <c r="BD31" s="9">
        <f t="shared" ref="BD31:DO31" ca="1" si="124">IF(BD30=0,0,LOG(BD30/$BB$31,10))</f>
        <v>0.58204923974356693</v>
      </c>
      <c r="BE31" s="9">
        <f t="shared" ca="1" si="124"/>
        <v>0</v>
      </c>
      <c r="BF31" s="9">
        <f t="shared" ca="1" si="124"/>
        <v>2.6641921624844245</v>
      </c>
      <c r="BG31" s="9">
        <f t="shared" ca="1" si="124"/>
        <v>3.6307139538510986</v>
      </c>
      <c r="BH31" s="9">
        <f t="shared" ca="1" si="124"/>
        <v>1.2007349734545127</v>
      </c>
      <c r="BI31" s="9">
        <f t="shared" si="124"/>
        <v>0</v>
      </c>
      <c r="BJ31" s="9">
        <f t="shared" si="124"/>
        <v>0</v>
      </c>
      <c r="BK31" s="9">
        <f t="shared" si="124"/>
        <v>0</v>
      </c>
      <c r="BL31" s="9">
        <f t="shared" si="124"/>
        <v>0</v>
      </c>
      <c r="BM31" s="9">
        <f t="shared" si="124"/>
        <v>0</v>
      </c>
      <c r="BN31" s="9">
        <f t="shared" si="124"/>
        <v>0</v>
      </c>
      <c r="BO31" s="9">
        <f t="shared" si="124"/>
        <v>0</v>
      </c>
      <c r="BP31" s="9">
        <f t="shared" si="124"/>
        <v>0</v>
      </c>
      <c r="BQ31" s="9">
        <f t="shared" si="124"/>
        <v>0</v>
      </c>
      <c r="BR31" s="9">
        <f t="shared" si="124"/>
        <v>0</v>
      </c>
      <c r="BS31" s="9">
        <f t="shared" si="124"/>
        <v>0</v>
      </c>
      <c r="BT31" s="9">
        <f t="shared" si="124"/>
        <v>0</v>
      </c>
      <c r="BU31" s="9">
        <f t="shared" si="124"/>
        <v>0</v>
      </c>
      <c r="BV31" s="9">
        <f t="shared" si="124"/>
        <v>0</v>
      </c>
      <c r="BW31" s="9">
        <f t="shared" si="124"/>
        <v>0</v>
      </c>
      <c r="BX31" s="9">
        <f t="shared" si="124"/>
        <v>0</v>
      </c>
      <c r="BY31" s="9">
        <f t="shared" si="124"/>
        <v>0</v>
      </c>
      <c r="BZ31" s="9">
        <f t="shared" si="124"/>
        <v>0</v>
      </c>
      <c r="CA31" s="9">
        <f t="shared" si="124"/>
        <v>0</v>
      </c>
      <c r="CB31" s="9">
        <f t="shared" si="124"/>
        <v>0</v>
      </c>
      <c r="CC31" s="9">
        <f t="shared" si="124"/>
        <v>0</v>
      </c>
      <c r="CD31" s="9">
        <f t="shared" si="124"/>
        <v>0</v>
      </c>
      <c r="CE31" s="9">
        <f t="shared" si="124"/>
        <v>0</v>
      </c>
      <c r="CF31" s="9">
        <f t="shared" si="124"/>
        <v>0</v>
      </c>
      <c r="CG31" s="9">
        <f t="shared" si="124"/>
        <v>0</v>
      </c>
      <c r="CH31" s="9">
        <f t="shared" si="124"/>
        <v>0</v>
      </c>
      <c r="CI31" s="9">
        <f t="shared" si="124"/>
        <v>0</v>
      </c>
      <c r="CJ31" s="9">
        <f t="shared" si="124"/>
        <v>0</v>
      </c>
      <c r="CK31" s="9">
        <f t="shared" si="124"/>
        <v>0</v>
      </c>
      <c r="CL31" s="9">
        <f t="shared" si="124"/>
        <v>0</v>
      </c>
      <c r="CM31" s="9">
        <f t="shared" si="124"/>
        <v>0</v>
      </c>
      <c r="CN31" s="9">
        <f t="shared" si="124"/>
        <v>0</v>
      </c>
      <c r="CO31" s="9">
        <f t="shared" si="124"/>
        <v>0</v>
      </c>
      <c r="CP31" s="9">
        <f t="shared" si="124"/>
        <v>0</v>
      </c>
      <c r="CQ31" s="9">
        <f t="shared" si="124"/>
        <v>0</v>
      </c>
      <c r="CR31" s="9">
        <f t="shared" si="124"/>
        <v>0</v>
      </c>
      <c r="CS31" s="9">
        <f t="shared" si="124"/>
        <v>0</v>
      </c>
      <c r="CT31" s="9">
        <f t="shared" si="124"/>
        <v>0</v>
      </c>
      <c r="CU31" s="9">
        <f t="shared" si="124"/>
        <v>0</v>
      </c>
      <c r="CV31" s="9">
        <f t="shared" si="124"/>
        <v>0</v>
      </c>
      <c r="CW31" s="9">
        <f t="shared" si="124"/>
        <v>0</v>
      </c>
      <c r="CX31" s="9">
        <f t="shared" si="124"/>
        <v>0</v>
      </c>
      <c r="CY31" s="9">
        <f t="shared" si="124"/>
        <v>0</v>
      </c>
      <c r="CZ31" s="9">
        <f t="shared" si="124"/>
        <v>0</v>
      </c>
      <c r="DA31" s="9">
        <f t="shared" si="124"/>
        <v>0</v>
      </c>
      <c r="DB31" s="9">
        <f t="shared" si="124"/>
        <v>0</v>
      </c>
      <c r="DC31" s="9">
        <f t="shared" si="124"/>
        <v>0</v>
      </c>
      <c r="DD31" s="9">
        <f t="shared" si="124"/>
        <v>0</v>
      </c>
      <c r="DE31" s="9">
        <f t="shared" si="124"/>
        <v>0</v>
      </c>
      <c r="DF31" s="9">
        <f t="shared" si="124"/>
        <v>0</v>
      </c>
      <c r="DG31" s="9">
        <f t="shared" si="124"/>
        <v>0</v>
      </c>
      <c r="DH31" s="9">
        <f t="shared" si="124"/>
        <v>0</v>
      </c>
      <c r="DI31" s="9">
        <f t="shared" si="124"/>
        <v>0</v>
      </c>
      <c r="DJ31" s="9">
        <f t="shared" si="124"/>
        <v>0</v>
      </c>
      <c r="DK31" s="9">
        <f t="shared" si="124"/>
        <v>0</v>
      </c>
      <c r="DL31" s="9">
        <f t="shared" si="124"/>
        <v>0</v>
      </c>
      <c r="DM31" s="9">
        <f t="shared" si="124"/>
        <v>0</v>
      </c>
      <c r="DN31" s="9">
        <f t="shared" si="124"/>
        <v>0</v>
      </c>
      <c r="DO31" s="9">
        <f t="shared" si="124"/>
        <v>0</v>
      </c>
      <c r="DP31" s="9">
        <f t="shared" ref="DP31:EY31" si="125">IF(DP30=0,0,LOG(DP30/$BB$31,10))</f>
        <v>0</v>
      </c>
      <c r="DQ31" s="9">
        <f t="shared" si="125"/>
        <v>0</v>
      </c>
      <c r="DR31" s="9">
        <f t="shared" si="125"/>
        <v>0</v>
      </c>
      <c r="DS31" s="9">
        <f t="shared" si="125"/>
        <v>0</v>
      </c>
      <c r="DT31" s="9">
        <f t="shared" si="125"/>
        <v>0</v>
      </c>
      <c r="DU31" s="9">
        <f t="shared" si="125"/>
        <v>0</v>
      </c>
      <c r="DV31" s="9">
        <f t="shared" si="125"/>
        <v>0</v>
      </c>
      <c r="DW31" s="9">
        <f t="shared" si="125"/>
        <v>0</v>
      </c>
      <c r="DX31" s="9">
        <f t="shared" si="125"/>
        <v>0</v>
      </c>
      <c r="DY31" s="9">
        <f t="shared" si="125"/>
        <v>0</v>
      </c>
      <c r="DZ31" s="9">
        <f t="shared" si="125"/>
        <v>0</v>
      </c>
      <c r="EA31" s="9">
        <f t="shared" si="125"/>
        <v>0</v>
      </c>
      <c r="EB31" s="9">
        <f t="shared" si="125"/>
        <v>0</v>
      </c>
      <c r="EC31" s="9">
        <f t="shared" si="125"/>
        <v>0</v>
      </c>
      <c r="ED31" s="9">
        <f t="shared" si="125"/>
        <v>0</v>
      </c>
      <c r="EE31" s="9">
        <f t="shared" si="125"/>
        <v>0</v>
      </c>
      <c r="EF31" s="9">
        <f t="shared" si="125"/>
        <v>0</v>
      </c>
      <c r="EG31" s="9">
        <f t="shared" si="125"/>
        <v>0</v>
      </c>
      <c r="EH31" s="9">
        <f t="shared" si="125"/>
        <v>0</v>
      </c>
      <c r="EI31" s="9">
        <f t="shared" si="125"/>
        <v>0</v>
      </c>
      <c r="EJ31" s="9">
        <f t="shared" si="125"/>
        <v>0</v>
      </c>
      <c r="EK31" s="9">
        <f t="shared" si="125"/>
        <v>0</v>
      </c>
      <c r="EL31" s="9">
        <f t="shared" si="125"/>
        <v>0</v>
      </c>
      <c r="EM31" s="9">
        <f t="shared" si="125"/>
        <v>0</v>
      </c>
      <c r="EN31" s="9">
        <f t="shared" si="125"/>
        <v>0</v>
      </c>
      <c r="EO31" s="9">
        <f t="shared" si="125"/>
        <v>0</v>
      </c>
      <c r="EP31" s="9">
        <f t="shared" si="125"/>
        <v>0</v>
      </c>
      <c r="EQ31" s="9">
        <f t="shared" si="125"/>
        <v>0</v>
      </c>
      <c r="ER31" s="9">
        <f t="shared" si="125"/>
        <v>0</v>
      </c>
      <c r="ES31" s="9">
        <f t="shared" si="125"/>
        <v>0</v>
      </c>
      <c r="ET31" s="9">
        <f t="shared" si="125"/>
        <v>0</v>
      </c>
      <c r="EU31" s="9">
        <f t="shared" si="125"/>
        <v>0</v>
      </c>
      <c r="EV31" s="9">
        <f t="shared" si="125"/>
        <v>0</v>
      </c>
      <c r="EW31" s="9">
        <f t="shared" si="125"/>
        <v>0</v>
      </c>
      <c r="EX31" s="9">
        <f t="shared" si="125"/>
        <v>0</v>
      </c>
      <c r="EY31" s="9">
        <f t="shared" si="125"/>
        <v>0</v>
      </c>
    </row>
    <row r="32" spans="1:255" x14ac:dyDescent="0.2">
      <c r="A32" s="80"/>
      <c r="B32" s="81"/>
      <c r="D32" s="82"/>
      <c r="E32" s="82"/>
      <c r="F32" s="82"/>
      <c r="G32" s="83"/>
      <c r="H32" s="83"/>
      <c r="I32" s="83"/>
      <c r="J32" s="83"/>
      <c r="K32" s="83"/>
      <c r="N32" s="48">
        <v>2</v>
      </c>
      <c r="O32" s="49">
        <v>10</v>
      </c>
      <c r="S32" s="33"/>
      <c r="T32" s="33"/>
      <c r="U32" s="33"/>
      <c r="V32" s="33"/>
      <c r="W32" s="33"/>
      <c r="X32" s="33"/>
      <c r="Y32" s="33"/>
      <c r="Z32" s="33"/>
      <c r="AA32" s="33"/>
      <c r="AB32" s="33"/>
      <c r="AN32" s="9" t="s">
        <v>39</v>
      </c>
      <c r="AO32" s="33"/>
      <c r="AP32" s="59">
        <f>IF(DIAG!H240,$GL$55,-1)</f>
        <v>-1</v>
      </c>
      <c r="AQ32" s="60">
        <f>AP32+(AY32-AP32)/9</f>
        <v>-1</v>
      </c>
      <c r="AR32" s="60">
        <f>AQ32+(AY32-AQ32)/8</f>
        <v>-1</v>
      </c>
      <c r="AS32" s="60">
        <f>AR32+(AY32-AR32)/7</f>
        <v>-1</v>
      </c>
      <c r="AT32" s="60">
        <f>AS32+(AY32-AS32)/6</f>
        <v>-1</v>
      </c>
      <c r="AU32" s="60">
        <f>AT32+(AY32-AT32)/5</f>
        <v>-1</v>
      </c>
      <c r="AV32" s="60">
        <f>AU32+(AY32-AU32)/4</f>
        <v>-1</v>
      </c>
      <c r="AW32" s="60">
        <f>AV32+(AY32-AV32)/3</f>
        <v>-1</v>
      </c>
      <c r="AX32" s="60">
        <f>AW32+(AY32-AW32)/2</f>
        <v>-1</v>
      </c>
      <c r="AY32" s="61">
        <f>IF(DIAG!H240,$C$26,-1)</f>
        <v>-1</v>
      </c>
      <c r="BB32" s="17"/>
    </row>
    <row r="33" spans="1:248" x14ac:dyDescent="0.2">
      <c r="B33" s="81"/>
      <c r="D33" s="82"/>
      <c r="E33" s="82"/>
      <c r="F33" s="82"/>
      <c r="G33" s="83"/>
      <c r="H33" s="83"/>
      <c r="I33" s="83"/>
      <c r="J33" s="83"/>
      <c r="K33" s="83"/>
      <c r="N33" s="52">
        <v>5</v>
      </c>
      <c r="O33" s="53">
        <v>1</v>
      </c>
      <c r="S33" s="33"/>
      <c r="T33" s="33"/>
      <c r="U33" s="33"/>
      <c r="V33" s="33"/>
      <c r="W33" s="33"/>
      <c r="X33" s="33"/>
      <c r="Y33" s="33"/>
      <c r="Z33" s="33"/>
      <c r="AA33" s="33"/>
      <c r="AB33" s="33"/>
      <c r="AO33" s="33"/>
      <c r="AP33" s="64">
        <f>IF(DIAG!H240,$GL$56,-1)</f>
        <v>-1</v>
      </c>
      <c r="AQ33" s="65">
        <f>AP33+(AY33-AP33)/9</f>
        <v>-1</v>
      </c>
      <c r="AR33" s="65">
        <f>AQ33+(AY33-AQ33)/8</f>
        <v>-1</v>
      </c>
      <c r="AS33" s="65">
        <f>AR33+(AY33-AR33)/7</f>
        <v>-1</v>
      </c>
      <c r="AT33" s="65">
        <f>AS33+(AY33-AS33)/6</f>
        <v>-1</v>
      </c>
      <c r="AU33" s="65">
        <f>AT33+(AY33-AT33)/5</f>
        <v>-1</v>
      </c>
      <c r="AV33" s="65">
        <f>AU33+(AY33-AU33)/4</f>
        <v>-1</v>
      </c>
      <c r="AW33" s="65">
        <f>AV33+(AY33-AV33)/3</f>
        <v>-1</v>
      </c>
      <c r="AX33" s="65">
        <f>AW33+(AY33-AW33)/2</f>
        <v>-1</v>
      </c>
      <c r="AY33" s="66">
        <f>IF(DIAG!H240,$C$27,-1)</f>
        <v>-1</v>
      </c>
      <c r="BA33" s="9" t="s">
        <v>85</v>
      </c>
      <c r="BB33" s="14">
        <f ca="1">IF(OR(BB29=0,BB30=BB31),1,LOG(BB30/BB31,10))</f>
        <v>3.6307139538510986</v>
      </c>
      <c r="BD33" s="14">
        <f t="shared" ref="BD33:DO33" ca="1" si="126">BD31/$BB$33</f>
        <v>0.16031261265465083</v>
      </c>
      <c r="BE33" s="9">
        <f t="shared" ca="1" si="126"/>
        <v>0</v>
      </c>
      <c r="BF33" s="14">
        <f t="shared" ca="1" si="126"/>
        <v>0.73379291135246705</v>
      </c>
      <c r="BG33" s="9">
        <f t="shared" ca="1" si="126"/>
        <v>1</v>
      </c>
      <c r="BH33" s="9">
        <f t="shared" ca="1" si="126"/>
        <v>0.33071593871527472</v>
      </c>
      <c r="BI33" s="9">
        <f t="shared" ca="1" si="126"/>
        <v>0</v>
      </c>
      <c r="BJ33" s="9">
        <f t="shared" ca="1" si="126"/>
        <v>0</v>
      </c>
      <c r="BK33" s="9">
        <f t="shared" ca="1" si="126"/>
        <v>0</v>
      </c>
      <c r="BL33" s="9">
        <f t="shared" ca="1" si="126"/>
        <v>0</v>
      </c>
      <c r="BM33" s="9">
        <f t="shared" ca="1" si="126"/>
        <v>0</v>
      </c>
      <c r="BN33" s="14">
        <f t="shared" ca="1" si="126"/>
        <v>0</v>
      </c>
      <c r="BO33" s="9">
        <f t="shared" ca="1" si="126"/>
        <v>0</v>
      </c>
      <c r="BP33" s="14">
        <f t="shared" ca="1" si="126"/>
        <v>0</v>
      </c>
      <c r="BQ33" s="9">
        <f t="shared" ca="1" si="126"/>
        <v>0</v>
      </c>
      <c r="BR33" s="9">
        <f t="shared" ca="1" si="126"/>
        <v>0</v>
      </c>
      <c r="BS33" s="9">
        <f t="shared" ca="1" si="126"/>
        <v>0</v>
      </c>
      <c r="BT33" s="9">
        <f t="shared" ca="1" si="126"/>
        <v>0</v>
      </c>
      <c r="BU33" s="9">
        <f t="shared" ca="1" si="126"/>
        <v>0</v>
      </c>
      <c r="BV33" s="9">
        <f t="shared" ca="1" si="126"/>
        <v>0</v>
      </c>
      <c r="BW33" s="9">
        <f t="shared" ca="1" si="126"/>
        <v>0</v>
      </c>
      <c r="BX33" s="14">
        <f t="shared" ca="1" si="126"/>
        <v>0</v>
      </c>
      <c r="BY33" s="9">
        <f t="shared" ca="1" si="126"/>
        <v>0</v>
      </c>
      <c r="BZ33" s="14">
        <f t="shared" ca="1" si="126"/>
        <v>0</v>
      </c>
      <c r="CA33" s="9">
        <f t="shared" ca="1" si="126"/>
        <v>0</v>
      </c>
      <c r="CB33" s="9">
        <f t="shared" ca="1" si="126"/>
        <v>0</v>
      </c>
      <c r="CC33" s="9">
        <f t="shared" ca="1" si="126"/>
        <v>0</v>
      </c>
      <c r="CD33" s="9">
        <f t="shared" ca="1" si="126"/>
        <v>0</v>
      </c>
      <c r="CE33" s="9">
        <f t="shared" ca="1" si="126"/>
        <v>0</v>
      </c>
      <c r="CF33" s="9">
        <f t="shared" ca="1" si="126"/>
        <v>0</v>
      </c>
      <c r="CG33" s="9">
        <f t="shared" ca="1" si="126"/>
        <v>0</v>
      </c>
      <c r="CH33" s="14">
        <f t="shared" ca="1" si="126"/>
        <v>0</v>
      </c>
      <c r="CI33" s="9">
        <f t="shared" ca="1" si="126"/>
        <v>0</v>
      </c>
      <c r="CJ33" s="14">
        <f t="shared" ca="1" si="126"/>
        <v>0</v>
      </c>
      <c r="CK33" s="9">
        <f t="shared" ca="1" si="126"/>
        <v>0</v>
      </c>
      <c r="CL33" s="9">
        <f t="shared" ca="1" si="126"/>
        <v>0</v>
      </c>
      <c r="CM33" s="9">
        <f t="shared" ca="1" si="126"/>
        <v>0</v>
      </c>
      <c r="CN33" s="9">
        <f t="shared" ca="1" si="126"/>
        <v>0</v>
      </c>
      <c r="CO33" s="9">
        <f t="shared" ca="1" si="126"/>
        <v>0</v>
      </c>
      <c r="CP33" s="9">
        <f t="shared" ca="1" si="126"/>
        <v>0</v>
      </c>
      <c r="CQ33" s="9">
        <f t="shared" ca="1" si="126"/>
        <v>0</v>
      </c>
      <c r="CR33" s="14">
        <f t="shared" ca="1" si="126"/>
        <v>0</v>
      </c>
      <c r="CS33" s="9">
        <f t="shared" ca="1" si="126"/>
        <v>0</v>
      </c>
      <c r="CT33" s="14">
        <f t="shared" ca="1" si="126"/>
        <v>0</v>
      </c>
      <c r="CU33" s="9">
        <f t="shared" ca="1" si="126"/>
        <v>0</v>
      </c>
      <c r="CV33" s="9">
        <f t="shared" ca="1" si="126"/>
        <v>0</v>
      </c>
      <c r="CW33" s="9">
        <f t="shared" ca="1" si="126"/>
        <v>0</v>
      </c>
      <c r="CX33" s="9">
        <f t="shared" ca="1" si="126"/>
        <v>0</v>
      </c>
      <c r="CY33" s="9">
        <f t="shared" ca="1" si="126"/>
        <v>0</v>
      </c>
      <c r="CZ33" s="9">
        <f t="shared" ca="1" si="126"/>
        <v>0</v>
      </c>
      <c r="DA33" s="9">
        <f t="shared" ca="1" si="126"/>
        <v>0</v>
      </c>
      <c r="DB33" s="14">
        <f t="shared" ca="1" si="126"/>
        <v>0</v>
      </c>
      <c r="DC33" s="9">
        <f t="shared" ca="1" si="126"/>
        <v>0</v>
      </c>
      <c r="DD33" s="14">
        <f t="shared" ca="1" si="126"/>
        <v>0</v>
      </c>
      <c r="DE33" s="9">
        <f t="shared" ca="1" si="126"/>
        <v>0</v>
      </c>
      <c r="DF33" s="9">
        <f t="shared" ca="1" si="126"/>
        <v>0</v>
      </c>
      <c r="DG33" s="9">
        <f t="shared" ca="1" si="126"/>
        <v>0</v>
      </c>
      <c r="DH33" s="9">
        <f t="shared" ca="1" si="126"/>
        <v>0</v>
      </c>
      <c r="DI33" s="9">
        <f t="shared" ca="1" si="126"/>
        <v>0</v>
      </c>
      <c r="DJ33" s="9">
        <f t="shared" ca="1" si="126"/>
        <v>0</v>
      </c>
      <c r="DK33" s="9">
        <f t="shared" ca="1" si="126"/>
        <v>0</v>
      </c>
      <c r="DL33" s="14">
        <f t="shared" ca="1" si="126"/>
        <v>0</v>
      </c>
      <c r="DM33" s="9">
        <f t="shared" ca="1" si="126"/>
        <v>0</v>
      </c>
      <c r="DN33" s="14">
        <f t="shared" ca="1" si="126"/>
        <v>0</v>
      </c>
      <c r="DO33" s="9">
        <f t="shared" ca="1" si="126"/>
        <v>0</v>
      </c>
      <c r="DP33" s="9">
        <f t="shared" ref="DP33:EY33" ca="1" si="127">DP31/$BB$33</f>
        <v>0</v>
      </c>
      <c r="DQ33" s="9">
        <f t="shared" ca="1" si="127"/>
        <v>0</v>
      </c>
      <c r="DR33" s="9">
        <f t="shared" ca="1" si="127"/>
        <v>0</v>
      </c>
      <c r="DS33" s="9">
        <f t="shared" ca="1" si="127"/>
        <v>0</v>
      </c>
      <c r="DT33" s="9">
        <f t="shared" ca="1" si="127"/>
        <v>0</v>
      </c>
      <c r="DU33" s="9">
        <f t="shared" ca="1" si="127"/>
        <v>0</v>
      </c>
      <c r="DV33" s="14">
        <f t="shared" ca="1" si="127"/>
        <v>0</v>
      </c>
      <c r="DW33" s="9">
        <f t="shared" ca="1" si="127"/>
        <v>0</v>
      </c>
      <c r="DX33" s="14">
        <f t="shared" ca="1" si="127"/>
        <v>0</v>
      </c>
      <c r="DY33" s="9">
        <f t="shared" ca="1" si="127"/>
        <v>0</v>
      </c>
      <c r="DZ33" s="9">
        <f t="shared" ca="1" si="127"/>
        <v>0</v>
      </c>
      <c r="EA33" s="9">
        <f t="shared" ca="1" si="127"/>
        <v>0</v>
      </c>
      <c r="EB33" s="9">
        <f t="shared" ca="1" si="127"/>
        <v>0</v>
      </c>
      <c r="EC33" s="9">
        <f t="shared" ca="1" si="127"/>
        <v>0</v>
      </c>
      <c r="ED33" s="9">
        <f t="shared" ca="1" si="127"/>
        <v>0</v>
      </c>
      <c r="EE33" s="9">
        <f t="shared" ca="1" si="127"/>
        <v>0</v>
      </c>
      <c r="EF33" s="14">
        <f t="shared" ca="1" si="127"/>
        <v>0</v>
      </c>
      <c r="EG33" s="9">
        <f t="shared" ca="1" si="127"/>
        <v>0</v>
      </c>
      <c r="EH33" s="14">
        <f t="shared" ca="1" si="127"/>
        <v>0</v>
      </c>
      <c r="EI33" s="9">
        <f t="shared" ca="1" si="127"/>
        <v>0</v>
      </c>
      <c r="EJ33" s="9">
        <f t="shared" ca="1" si="127"/>
        <v>0</v>
      </c>
      <c r="EK33" s="9">
        <f t="shared" ca="1" si="127"/>
        <v>0</v>
      </c>
      <c r="EL33" s="9">
        <f t="shared" ca="1" si="127"/>
        <v>0</v>
      </c>
      <c r="EM33" s="9">
        <f t="shared" ca="1" si="127"/>
        <v>0</v>
      </c>
      <c r="EN33" s="9">
        <f t="shared" ca="1" si="127"/>
        <v>0</v>
      </c>
      <c r="EO33" s="9">
        <f t="shared" ca="1" si="127"/>
        <v>0</v>
      </c>
      <c r="EP33" s="14">
        <f t="shared" ca="1" si="127"/>
        <v>0</v>
      </c>
      <c r="EQ33" s="9">
        <f t="shared" ca="1" si="127"/>
        <v>0</v>
      </c>
      <c r="ER33" s="14">
        <f t="shared" ca="1" si="127"/>
        <v>0</v>
      </c>
      <c r="ES33" s="9">
        <f t="shared" ca="1" si="127"/>
        <v>0</v>
      </c>
      <c r="ET33" s="9">
        <f t="shared" ca="1" si="127"/>
        <v>0</v>
      </c>
      <c r="EU33" s="9">
        <f t="shared" ca="1" si="127"/>
        <v>0</v>
      </c>
      <c r="EV33" s="9">
        <f t="shared" ca="1" si="127"/>
        <v>0</v>
      </c>
      <c r="EW33" s="9">
        <f t="shared" ca="1" si="127"/>
        <v>0</v>
      </c>
      <c r="EX33" s="9">
        <f t="shared" ca="1" si="127"/>
        <v>0</v>
      </c>
      <c r="EY33" s="9">
        <f t="shared" ca="1" si="127"/>
        <v>0</v>
      </c>
      <c r="EZ33" s="14"/>
      <c r="FB33" s="14"/>
      <c r="FJ33" s="14"/>
      <c r="FL33" s="14"/>
      <c r="FT33" s="14"/>
      <c r="FV33" s="14"/>
      <c r="GD33" s="14"/>
      <c r="GF33" s="14"/>
      <c r="GN33" s="14"/>
      <c r="GP33" s="14"/>
      <c r="GX33" s="14"/>
      <c r="GZ33" s="14"/>
      <c r="HH33" s="14"/>
      <c r="HJ33" s="14"/>
      <c r="HR33" s="14"/>
      <c r="HT33" s="14"/>
      <c r="IB33" s="14"/>
      <c r="ID33" s="14"/>
      <c r="IL33" s="14"/>
      <c r="IN33" s="14"/>
    </row>
    <row r="34" spans="1:248" x14ac:dyDescent="0.2">
      <c r="A34" s="84" t="s">
        <v>42</v>
      </c>
      <c r="B34" s="85"/>
      <c r="C34" s="85"/>
      <c r="D34" s="85"/>
      <c r="E34" s="85"/>
      <c r="F34" s="86"/>
      <c r="G34" s="87"/>
      <c r="H34" s="87"/>
      <c r="I34" s="87"/>
      <c r="J34" s="87"/>
      <c r="K34" s="87"/>
      <c r="L34" s="88"/>
      <c r="M34" s="88"/>
      <c r="N34" s="88"/>
      <c r="O34" s="88">
        <v>0</v>
      </c>
      <c r="P34" s="5">
        <v>1</v>
      </c>
      <c r="Q34" s="5">
        <v>2</v>
      </c>
      <c r="R34" s="5">
        <v>3</v>
      </c>
      <c r="S34" s="5">
        <v>4</v>
      </c>
      <c r="T34" s="5">
        <v>5</v>
      </c>
      <c r="U34" s="5">
        <v>6</v>
      </c>
      <c r="V34" s="5">
        <v>7</v>
      </c>
      <c r="W34" s="5">
        <v>8</v>
      </c>
      <c r="X34" s="5">
        <v>9</v>
      </c>
      <c r="Y34" s="88">
        <v>10</v>
      </c>
      <c r="Z34" s="5">
        <v>9</v>
      </c>
      <c r="AA34" s="5">
        <v>8</v>
      </c>
      <c r="AB34" s="5">
        <v>7</v>
      </c>
      <c r="AC34" s="5">
        <v>6</v>
      </c>
      <c r="AD34" s="5">
        <v>5</v>
      </c>
      <c r="AE34" s="5">
        <v>4</v>
      </c>
      <c r="AF34" s="5">
        <v>3</v>
      </c>
      <c r="AG34" s="5">
        <v>2</v>
      </c>
      <c r="AH34" s="5">
        <v>1</v>
      </c>
      <c r="AI34" s="89">
        <v>0</v>
      </c>
      <c r="AO34" s="33"/>
      <c r="AS34" s="33"/>
      <c r="AT34" s="33"/>
      <c r="AU34" s="33"/>
      <c r="GK34" s="12"/>
      <c r="GL34" s="13"/>
    </row>
    <row r="35" spans="1:248" x14ac:dyDescent="0.2">
      <c r="A35" s="90" t="s">
        <v>43</v>
      </c>
      <c r="B35" s="91"/>
      <c r="C35" s="91"/>
      <c r="D35" s="91" t="s">
        <v>44</v>
      </c>
      <c r="E35" s="92">
        <f>-1/SQRT(3)</f>
        <v>-0.57735026918962584</v>
      </c>
      <c r="F35" s="92">
        <v>0</v>
      </c>
      <c r="G35" s="93">
        <f>1/SQRT(3)</f>
        <v>0.57735026918962584</v>
      </c>
      <c r="H35" s="93"/>
      <c r="I35" s="93"/>
      <c r="J35" s="93"/>
      <c r="K35" s="93"/>
      <c r="O35" s="33">
        <f>-1/SQRT(3)</f>
        <v>-0.57735026918962584</v>
      </c>
      <c r="P35" s="94">
        <f t="shared" ref="P35:X35" si="128">-1/SQRT(3)+P34*(1/SQRT(3)/10)</f>
        <v>-0.51961524227066325</v>
      </c>
      <c r="Q35" s="94">
        <f t="shared" si="128"/>
        <v>-0.46188021535170065</v>
      </c>
      <c r="R35" s="94">
        <f t="shared" si="128"/>
        <v>-0.40414518843273811</v>
      </c>
      <c r="S35" s="94">
        <f t="shared" si="128"/>
        <v>-0.34641016151377552</v>
      </c>
      <c r="T35" s="94">
        <f t="shared" si="128"/>
        <v>-0.28867513459481292</v>
      </c>
      <c r="U35" s="94">
        <f t="shared" si="128"/>
        <v>-0.23094010767585038</v>
      </c>
      <c r="V35" s="94">
        <f t="shared" si="128"/>
        <v>-0.17320508075688779</v>
      </c>
      <c r="W35" s="94">
        <f t="shared" si="128"/>
        <v>-0.11547005383792519</v>
      </c>
      <c r="X35" s="94">
        <f t="shared" si="128"/>
        <v>-5.7735026918962595E-2</v>
      </c>
      <c r="Y35" s="33">
        <f>-1/SQRT(3)+Y34*(1/SQRT(3)/10)</f>
        <v>0</v>
      </c>
      <c r="Z35" s="94">
        <f t="shared" ref="Z35:AH35" si="129">1/SQRT(3)-Z34*1/SQRT(3)/10</f>
        <v>5.7735026918962595E-2</v>
      </c>
      <c r="AA35" s="94">
        <f t="shared" si="129"/>
        <v>0.11547005383792519</v>
      </c>
      <c r="AB35" s="94">
        <f t="shared" si="129"/>
        <v>0.17320508075688779</v>
      </c>
      <c r="AC35" s="94">
        <f t="shared" si="129"/>
        <v>0.23094010767585038</v>
      </c>
      <c r="AD35" s="94">
        <f t="shared" si="129"/>
        <v>0.28867513459481292</v>
      </c>
      <c r="AE35" s="94">
        <f t="shared" si="129"/>
        <v>0.34641016151377552</v>
      </c>
      <c r="AF35" s="94">
        <f t="shared" si="129"/>
        <v>0.40414518843273811</v>
      </c>
      <c r="AG35" s="94">
        <f t="shared" si="129"/>
        <v>0.46188021535170065</v>
      </c>
      <c r="AH35" s="94">
        <f t="shared" si="129"/>
        <v>0.51961524227066325</v>
      </c>
      <c r="AI35" s="95">
        <f>1/SQRT(3)</f>
        <v>0.57735026918962584</v>
      </c>
      <c r="AN35" s="9" t="s">
        <v>41</v>
      </c>
      <c r="AO35" s="33"/>
      <c r="AP35" s="59">
        <f>IF(DIAG!H241,$GL$55,-1)</f>
        <v>-1</v>
      </c>
      <c r="AQ35" s="60">
        <f>AP35+(AY35-AP35)/9</f>
        <v>-1</v>
      </c>
      <c r="AR35" s="60">
        <f>AQ35+(AY35-AQ35)/8</f>
        <v>-1</v>
      </c>
      <c r="AS35" s="60">
        <f>AR35+(AY35-AR35)/7</f>
        <v>-1</v>
      </c>
      <c r="AT35" s="60">
        <f>AS35+(AY35-AS35)/6</f>
        <v>-1</v>
      </c>
      <c r="AU35" s="60">
        <f>AT35+(AY35-AT35)/5</f>
        <v>-1</v>
      </c>
      <c r="AV35" s="60">
        <f>AU35+(AY35-AU35)/4</f>
        <v>-1</v>
      </c>
      <c r="AW35" s="60">
        <f>AV35+(AY35-AV35)/3</f>
        <v>-1</v>
      </c>
      <c r="AX35" s="60">
        <f>AW35+(AY35-AW35)/2</f>
        <v>-1</v>
      </c>
      <c r="AY35" s="61">
        <f>IF(DIAG!H241,$D$26,-1)</f>
        <v>-1</v>
      </c>
      <c r="BA35" s="9" t="s">
        <v>11</v>
      </c>
      <c r="BD35" s="9">
        <f ca="1">ROUND(10*BD33,0)</f>
        <v>2</v>
      </c>
      <c r="BE35" s="9">
        <f t="shared" ref="BE35:DP35" ca="1" si="130">ROUND(10*BE33,0)</f>
        <v>0</v>
      </c>
      <c r="BF35" s="9">
        <f ca="1">ROUND(10*BF33,0)</f>
        <v>7</v>
      </c>
      <c r="BG35" s="9">
        <f t="shared" ref="BG35" ca="1" si="131">ROUND(10*BG33,0)</f>
        <v>10</v>
      </c>
      <c r="BH35" s="9">
        <f t="shared" ca="1" si="130"/>
        <v>3</v>
      </c>
      <c r="BI35" s="9">
        <f t="shared" ca="1" si="130"/>
        <v>0</v>
      </c>
      <c r="BJ35" s="9">
        <f t="shared" ca="1" si="130"/>
        <v>0</v>
      </c>
      <c r="BK35" s="9">
        <f t="shared" ca="1" si="130"/>
        <v>0</v>
      </c>
      <c r="BL35" s="9">
        <f t="shared" ca="1" si="130"/>
        <v>0</v>
      </c>
      <c r="BM35" s="9">
        <f t="shared" ca="1" si="130"/>
        <v>0</v>
      </c>
      <c r="BN35" s="9">
        <f t="shared" ca="1" si="130"/>
        <v>0</v>
      </c>
      <c r="BO35" s="9">
        <f t="shared" ca="1" si="130"/>
        <v>0</v>
      </c>
      <c r="BP35" s="9">
        <f t="shared" ca="1" si="130"/>
        <v>0</v>
      </c>
      <c r="BQ35" s="9">
        <f t="shared" ca="1" si="130"/>
        <v>0</v>
      </c>
      <c r="BR35" s="9">
        <f t="shared" ca="1" si="130"/>
        <v>0</v>
      </c>
      <c r="BS35" s="9">
        <f t="shared" ca="1" si="130"/>
        <v>0</v>
      </c>
      <c r="BT35" s="9">
        <f t="shared" ca="1" si="130"/>
        <v>0</v>
      </c>
      <c r="BU35" s="9">
        <f t="shared" ca="1" si="130"/>
        <v>0</v>
      </c>
      <c r="BV35" s="9">
        <f t="shared" ca="1" si="130"/>
        <v>0</v>
      </c>
      <c r="BW35" s="9">
        <f t="shared" ca="1" si="130"/>
        <v>0</v>
      </c>
      <c r="BX35" s="9">
        <f t="shared" ca="1" si="130"/>
        <v>0</v>
      </c>
      <c r="BY35" s="9">
        <f t="shared" ca="1" si="130"/>
        <v>0</v>
      </c>
      <c r="BZ35" s="9">
        <f t="shared" ca="1" si="130"/>
        <v>0</v>
      </c>
      <c r="CA35" s="9">
        <f t="shared" ca="1" si="130"/>
        <v>0</v>
      </c>
      <c r="CB35" s="9">
        <f t="shared" ca="1" si="130"/>
        <v>0</v>
      </c>
      <c r="CC35" s="9">
        <f t="shared" ca="1" si="130"/>
        <v>0</v>
      </c>
      <c r="CD35" s="9">
        <f t="shared" ca="1" si="130"/>
        <v>0</v>
      </c>
      <c r="CE35" s="9">
        <f t="shared" ca="1" si="130"/>
        <v>0</v>
      </c>
      <c r="CF35" s="9">
        <f t="shared" ca="1" si="130"/>
        <v>0</v>
      </c>
      <c r="CG35" s="9">
        <f t="shared" ca="1" si="130"/>
        <v>0</v>
      </c>
      <c r="CH35" s="9">
        <f t="shared" ca="1" si="130"/>
        <v>0</v>
      </c>
      <c r="CI35" s="9">
        <f t="shared" ca="1" si="130"/>
        <v>0</v>
      </c>
      <c r="CJ35" s="9">
        <f t="shared" ca="1" si="130"/>
        <v>0</v>
      </c>
      <c r="CK35" s="9">
        <f t="shared" ca="1" si="130"/>
        <v>0</v>
      </c>
      <c r="CL35" s="9">
        <f t="shared" ca="1" si="130"/>
        <v>0</v>
      </c>
      <c r="CM35" s="9">
        <f t="shared" ca="1" si="130"/>
        <v>0</v>
      </c>
      <c r="CN35" s="9">
        <f t="shared" ca="1" si="130"/>
        <v>0</v>
      </c>
      <c r="CO35" s="9">
        <f t="shared" ca="1" si="130"/>
        <v>0</v>
      </c>
      <c r="CP35" s="9">
        <f t="shared" ca="1" si="130"/>
        <v>0</v>
      </c>
      <c r="CQ35" s="9">
        <f t="shared" ca="1" si="130"/>
        <v>0</v>
      </c>
      <c r="CR35" s="9">
        <f t="shared" ca="1" si="130"/>
        <v>0</v>
      </c>
      <c r="CS35" s="9">
        <f t="shared" ca="1" si="130"/>
        <v>0</v>
      </c>
      <c r="CT35" s="9">
        <f t="shared" ca="1" si="130"/>
        <v>0</v>
      </c>
      <c r="CU35" s="9">
        <f t="shared" ca="1" si="130"/>
        <v>0</v>
      </c>
      <c r="CV35" s="9">
        <f t="shared" ca="1" si="130"/>
        <v>0</v>
      </c>
      <c r="CW35" s="9">
        <f t="shared" ca="1" si="130"/>
        <v>0</v>
      </c>
      <c r="CX35" s="9">
        <f t="shared" ca="1" si="130"/>
        <v>0</v>
      </c>
      <c r="CY35" s="9">
        <f t="shared" ca="1" si="130"/>
        <v>0</v>
      </c>
      <c r="CZ35" s="9">
        <f t="shared" ca="1" si="130"/>
        <v>0</v>
      </c>
      <c r="DA35" s="9">
        <f t="shared" ca="1" si="130"/>
        <v>0</v>
      </c>
      <c r="DB35" s="9">
        <f t="shared" ca="1" si="130"/>
        <v>0</v>
      </c>
      <c r="DC35" s="9">
        <f t="shared" ca="1" si="130"/>
        <v>0</v>
      </c>
      <c r="DD35" s="9">
        <f t="shared" ca="1" si="130"/>
        <v>0</v>
      </c>
      <c r="DE35" s="9">
        <f t="shared" ca="1" si="130"/>
        <v>0</v>
      </c>
      <c r="DF35" s="9">
        <f t="shared" ca="1" si="130"/>
        <v>0</v>
      </c>
      <c r="DG35" s="9">
        <f t="shared" ca="1" si="130"/>
        <v>0</v>
      </c>
      <c r="DH35" s="9">
        <f t="shared" ca="1" si="130"/>
        <v>0</v>
      </c>
      <c r="DI35" s="9">
        <f t="shared" ca="1" si="130"/>
        <v>0</v>
      </c>
      <c r="DJ35" s="9">
        <f t="shared" ca="1" si="130"/>
        <v>0</v>
      </c>
      <c r="DK35" s="9">
        <f t="shared" ca="1" si="130"/>
        <v>0</v>
      </c>
      <c r="DL35" s="9">
        <f t="shared" ca="1" si="130"/>
        <v>0</v>
      </c>
      <c r="DM35" s="9">
        <f t="shared" ca="1" si="130"/>
        <v>0</v>
      </c>
      <c r="DN35" s="9">
        <f t="shared" ca="1" si="130"/>
        <v>0</v>
      </c>
      <c r="DO35" s="9">
        <f t="shared" ca="1" si="130"/>
        <v>0</v>
      </c>
      <c r="DP35" s="9">
        <f t="shared" ca="1" si="130"/>
        <v>0</v>
      </c>
      <c r="DQ35" s="9">
        <f t="shared" ref="DQ35:EY35" ca="1" si="132">ROUND(10*DQ33,0)</f>
        <v>0</v>
      </c>
      <c r="DR35" s="9">
        <f t="shared" ca="1" si="132"/>
        <v>0</v>
      </c>
      <c r="DS35" s="9">
        <f t="shared" ca="1" si="132"/>
        <v>0</v>
      </c>
      <c r="DT35" s="9">
        <f t="shared" ca="1" si="132"/>
        <v>0</v>
      </c>
      <c r="DU35" s="9">
        <f t="shared" ca="1" si="132"/>
        <v>0</v>
      </c>
      <c r="DV35" s="9">
        <f t="shared" ca="1" si="132"/>
        <v>0</v>
      </c>
      <c r="DW35" s="9">
        <f t="shared" ca="1" si="132"/>
        <v>0</v>
      </c>
      <c r="DX35" s="9">
        <f t="shared" ca="1" si="132"/>
        <v>0</v>
      </c>
      <c r="DY35" s="9">
        <f t="shared" ca="1" si="132"/>
        <v>0</v>
      </c>
      <c r="DZ35" s="9">
        <f t="shared" ca="1" si="132"/>
        <v>0</v>
      </c>
      <c r="EA35" s="9">
        <f t="shared" ca="1" si="132"/>
        <v>0</v>
      </c>
      <c r="EB35" s="9">
        <f t="shared" ca="1" si="132"/>
        <v>0</v>
      </c>
      <c r="EC35" s="9">
        <f t="shared" ca="1" si="132"/>
        <v>0</v>
      </c>
      <c r="ED35" s="9">
        <f t="shared" ca="1" si="132"/>
        <v>0</v>
      </c>
      <c r="EE35" s="9">
        <f t="shared" ca="1" si="132"/>
        <v>0</v>
      </c>
      <c r="EF35" s="9">
        <f t="shared" ca="1" si="132"/>
        <v>0</v>
      </c>
      <c r="EG35" s="9">
        <f t="shared" ca="1" si="132"/>
        <v>0</v>
      </c>
      <c r="EH35" s="9">
        <f t="shared" ca="1" si="132"/>
        <v>0</v>
      </c>
      <c r="EI35" s="9">
        <f t="shared" ca="1" si="132"/>
        <v>0</v>
      </c>
      <c r="EJ35" s="9">
        <f t="shared" ca="1" si="132"/>
        <v>0</v>
      </c>
      <c r="EK35" s="9">
        <f t="shared" ca="1" si="132"/>
        <v>0</v>
      </c>
      <c r="EL35" s="9">
        <f t="shared" ca="1" si="132"/>
        <v>0</v>
      </c>
      <c r="EM35" s="9">
        <f t="shared" ca="1" si="132"/>
        <v>0</v>
      </c>
      <c r="EN35" s="9">
        <f t="shared" ca="1" si="132"/>
        <v>0</v>
      </c>
      <c r="EO35" s="9">
        <f t="shared" ca="1" si="132"/>
        <v>0</v>
      </c>
      <c r="EP35" s="9">
        <f t="shared" ca="1" si="132"/>
        <v>0</v>
      </c>
      <c r="EQ35" s="9">
        <f t="shared" ca="1" si="132"/>
        <v>0</v>
      </c>
      <c r="ER35" s="9">
        <f t="shared" ca="1" si="132"/>
        <v>0</v>
      </c>
      <c r="ES35" s="9">
        <f t="shared" ca="1" si="132"/>
        <v>0</v>
      </c>
      <c r="ET35" s="9">
        <f t="shared" ca="1" si="132"/>
        <v>0</v>
      </c>
      <c r="EU35" s="9">
        <f t="shared" ca="1" si="132"/>
        <v>0</v>
      </c>
      <c r="EV35" s="9">
        <f t="shared" ca="1" si="132"/>
        <v>0</v>
      </c>
      <c r="EW35" s="9">
        <f t="shared" ca="1" si="132"/>
        <v>0</v>
      </c>
      <c r="EX35" s="9">
        <f t="shared" ca="1" si="132"/>
        <v>0</v>
      </c>
      <c r="EY35" s="9">
        <f t="shared" ca="1" si="132"/>
        <v>0</v>
      </c>
      <c r="GK35" s="15" t="s">
        <v>5</v>
      </c>
      <c r="GL35" s="16">
        <f>SUMPRODUCT(B6:GS6,DIAG!$B$440:$GS$440,DIAG!$B$442:$GS$442)</f>
        <v>0</v>
      </c>
    </row>
    <row r="36" spans="1:248" x14ac:dyDescent="0.2">
      <c r="A36" s="90" t="s">
        <v>46</v>
      </c>
      <c r="B36" s="91"/>
      <c r="C36" s="91"/>
      <c r="D36" s="91"/>
      <c r="E36" s="92">
        <v>0</v>
      </c>
      <c r="F36" s="92">
        <v>0</v>
      </c>
      <c r="G36" s="93">
        <v>0</v>
      </c>
      <c r="H36" s="93"/>
      <c r="I36" s="93"/>
      <c r="J36" s="93"/>
      <c r="K36" s="93"/>
      <c r="O36" s="33">
        <v>0</v>
      </c>
      <c r="P36" s="94">
        <v>0</v>
      </c>
      <c r="Q36" s="94">
        <v>0</v>
      </c>
      <c r="R36" s="94">
        <v>0</v>
      </c>
      <c r="S36" s="94">
        <v>0</v>
      </c>
      <c r="T36" s="94">
        <v>0</v>
      </c>
      <c r="U36" s="94">
        <v>0</v>
      </c>
      <c r="V36" s="94">
        <v>0</v>
      </c>
      <c r="W36" s="94">
        <v>0</v>
      </c>
      <c r="X36" s="94">
        <v>0</v>
      </c>
      <c r="Y36" s="33">
        <v>0</v>
      </c>
      <c r="Z36" s="94">
        <v>0</v>
      </c>
      <c r="AA36" s="94">
        <v>0</v>
      </c>
      <c r="AB36" s="94">
        <v>0</v>
      </c>
      <c r="AC36" s="94">
        <v>0</v>
      </c>
      <c r="AD36" s="94">
        <v>0</v>
      </c>
      <c r="AE36" s="94">
        <v>0</v>
      </c>
      <c r="AF36" s="94">
        <v>0</v>
      </c>
      <c r="AG36" s="94">
        <v>0</v>
      </c>
      <c r="AH36" s="94">
        <v>0</v>
      </c>
      <c r="AI36" s="95">
        <v>0</v>
      </c>
      <c r="AJ36" s="33"/>
      <c r="AK36" s="10"/>
      <c r="AL36" s="10"/>
      <c r="AM36" s="10"/>
      <c r="AO36" s="33"/>
      <c r="AP36" s="64">
        <f>IF(DIAG!H241,$GL$56,-1)</f>
        <v>-1</v>
      </c>
      <c r="AQ36" s="65">
        <f>AP36+(AY36-AP36)/9</f>
        <v>-1</v>
      </c>
      <c r="AR36" s="65">
        <f>AQ36+(AY36-AQ36)/8</f>
        <v>-1</v>
      </c>
      <c r="AS36" s="65">
        <f>AR36+(AY36-AR36)/7</f>
        <v>-1</v>
      </c>
      <c r="AT36" s="65">
        <f>AS36+(AY36-AS36)/6</f>
        <v>-1</v>
      </c>
      <c r="AU36" s="65">
        <f>AT36+(AY36-AT36)/5</f>
        <v>-1</v>
      </c>
      <c r="AV36" s="65">
        <f>AU36+(AY36-AU36)/4</f>
        <v>-1</v>
      </c>
      <c r="AW36" s="65">
        <f>AV36+(AY36-AV36)/3</f>
        <v>-1</v>
      </c>
      <c r="AX36" s="65">
        <f>AW36+(AY36-AW36)/2</f>
        <v>-1</v>
      </c>
      <c r="AY36" s="66">
        <f>IF(DIAG!H241,$D$27,-1)</f>
        <v>-1</v>
      </c>
      <c r="CW36" s="16"/>
      <c r="GK36" s="15" t="s">
        <v>6</v>
      </c>
      <c r="GL36" s="16">
        <f>SUMPRODUCT(B7:GS7,DIAG!$B$440:$GS$440,DIAG!$B$442:$GS$442)</f>
        <v>0</v>
      </c>
    </row>
    <row r="37" spans="1:248" x14ac:dyDescent="0.2">
      <c r="A37" s="96" t="s">
        <v>47</v>
      </c>
      <c r="B37" s="97"/>
      <c r="C37" s="97"/>
      <c r="D37" s="97"/>
      <c r="E37" s="98">
        <v>0</v>
      </c>
      <c r="F37" s="98">
        <v>1</v>
      </c>
      <c r="G37" s="99">
        <v>0</v>
      </c>
      <c r="H37" s="99"/>
      <c r="I37" s="99"/>
      <c r="J37" s="99"/>
      <c r="K37" s="99"/>
      <c r="L37" s="32"/>
      <c r="M37" s="32"/>
      <c r="N37" s="32"/>
      <c r="O37" s="32">
        <f>SQRT(3)*O35+1</f>
        <v>0</v>
      </c>
      <c r="P37" s="6">
        <f t="shared" ref="P37:X37" si="133">SQRT(3)*P35+1</f>
        <v>9.9999999999999978E-2</v>
      </c>
      <c r="Q37" s="6">
        <f t="shared" si="133"/>
        <v>0.19999999999999996</v>
      </c>
      <c r="R37" s="6">
        <f t="shared" si="133"/>
        <v>0.29999999999999993</v>
      </c>
      <c r="S37" s="6">
        <f t="shared" si="133"/>
        <v>0.39999999999999991</v>
      </c>
      <c r="T37" s="6">
        <f t="shared" si="133"/>
        <v>0.5</v>
      </c>
      <c r="U37" s="6">
        <f t="shared" si="133"/>
        <v>0.59999999999999987</v>
      </c>
      <c r="V37" s="6">
        <f t="shared" si="133"/>
        <v>0.7</v>
      </c>
      <c r="W37" s="6">
        <f t="shared" si="133"/>
        <v>0.79999999999999993</v>
      </c>
      <c r="X37" s="6">
        <f t="shared" si="133"/>
        <v>0.89999999999999991</v>
      </c>
      <c r="Y37" s="32">
        <f>SQRT(3)*Y35+1</f>
        <v>1</v>
      </c>
      <c r="Z37" s="6">
        <f t="shared" ref="Z37:AH37" si="134">1-SQRT(3)*Z35</f>
        <v>0.89999999999999991</v>
      </c>
      <c r="AA37" s="6">
        <f t="shared" si="134"/>
        <v>0.79999999999999993</v>
      </c>
      <c r="AB37" s="6">
        <f t="shared" si="134"/>
        <v>0.7</v>
      </c>
      <c r="AC37" s="6">
        <f t="shared" si="134"/>
        <v>0.59999999999999987</v>
      </c>
      <c r="AD37" s="6">
        <f t="shared" si="134"/>
        <v>0.5</v>
      </c>
      <c r="AE37" s="6">
        <f t="shared" si="134"/>
        <v>0.39999999999999991</v>
      </c>
      <c r="AF37" s="6">
        <f t="shared" si="134"/>
        <v>0.29999999999999993</v>
      </c>
      <c r="AG37" s="6">
        <f t="shared" si="134"/>
        <v>0.19999999999999996</v>
      </c>
      <c r="AH37" s="6">
        <f t="shared" si="134"/>
        <v>9.9999999999999978E-2</v>
      </c>
      <c r="AI37" s="100">
        <f>1-SQRT(3)*AI35</f>
        <v>0</v>
      </c>
      <c r="AK37" s="10"/>
      <c r="AL37" s="10"/>
      <c r="AM37" s="10"/>
      <c r="CW37" s="16"/>
      <c r="GK37" s="18" t="s">
        <v>7</v>
      </c>
      <c r="GL37" s="16">
        <f>SUMPRODUCT(B8:GS8,DIAG!$B$440:$GS$440,DIAG!$B$442:$GS$442)</f>
        <v>0</v>
      </c>
    </row>
    <row r="38" spans="1:248" x14ac:dyDescent="0.2">
      <c r="A38" s="80"/>
      <c r="B38" s="81"/>
      <c r="D38" s="82"/>
      <c r="E38" s="82"/>
      <c r="F38" s="82"/>
      <c r="G38" s="83"/>
      <c r="H38" s="83"/>
      <c r="I38" s="83"/>
      <c r="J38" s="83"/>
      <c r="K38" s="8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K38" s="10"/>
      <c r="AL38" s="10"/>
      <c r="AM38" s="10"/>
      <c r="AN38" s="9" t="s">
        <v>45</v>
      </c>
      <c r="AP38" s="59">
        <f>IF(DIAG!H242,$GL$55,-1)</f>
        <v>-1</v>
      </c>
      <c r="AQ38" s="60">
        <f>AP38+(AY38-AP38)/9</f>
        <v>-1</v>
      </c>
      <c r="AR38" s="60">
        <f>AQ38+(AY38-AQ38)/8</f>
        <v>-1</v>
      </c>
      <c r="AS38" s="60">
        <f>AR38+(AY38-AR38)/7</f>
        <v>-1</v>
      </c>
      <c r="AT38" s="60">
        <f>AS38+(AY38-AS38)/6</f>
        <v>-1</v>
      </c>
      <c r="AU38" s="60">
        <f>AT38+(AY38-AT38)/5</f>
        <v>-1</v>
      </c>
      <c r="AV38" s="60">
        <f>AU38+(AY38-AU38)/4</f>
        <v>-1</v>
      </c>
      <c r="AW38" s="60">
        <f>AV38+(AY38-AV38)/3</f>
        <v>-1</v>
      </c>
      <c r="AX38" s="60">
        <f>AW38+(AY38-AW38)/2</f>
        <v>-1</v>
      </c>
      <c r="AY38" s="61">
        <f>IF(DIAG!H242,$E$26,-1)</f>
        <v>-1</v>
      </c>
      <c r="CW38" s="16"/>
      <c r="GK38" s="18" t="s">
        <v>15</v>
      </c>
      <c r="GL38" s="21">
        <f>SUM(GL35:GL37)</f>
        <v>0</v>
      </c>
    </row>
    <row r="39" spans="1:248" x14ac:dyDescent="0.2">
      <c r="A39" s="101" t="s">
        <v>49</v>
      </c>
      <c r="B39" s="102"/>
      <c r="C39" s="102"/>
      <c r="D39" s="103"/>
      <c r="E39" s="103"/>
      <c r="F39" s="103"/>
      <c r="G39" s="104"/>
      <c r="H39" s="104"/>
      <c r="I39" s="104"/>
      <c r="J39" s="104"/>
      <c r="K39" s="104"/>
      <c r="L39" s="88"/>
      <c r="M39" s="88"/>
      <c r="N39" s="86" t="s">
        <v>44</v>
      </c>
      <c r="O39" s="87">
        <v>0</v>
      </c>
      <c r="P39" s="105">
        <f>AI35</f>
        <v>0.57735026918962584</v>
      </c>
      <c r="Q39" s="106">
        <f>O35</f>
        <v>-0.57735026918962584</v>
      </c>
      <c r="S39" s="33"/>
      <c r="T39" s="33"/>
      <c r="U39" s="33"/>
      <c r="V39" s="33"/>
      <c r="W39" s="33"/>
      <c r="X39" s="33"/>
      <c r="Y39" s="33"/>
      <c r="Z39" s="33"/>
      <c r="AA39" s="33"/>
      <c r="AB39" s="33"/>
      <c r="AK39" s="10"/>
      <c r="AL39" s="10"/>
      <c r="AM39" s="10"/>
      <c r="AP39" s="64">
        <f>IF(DIAG!H242,$GL$56,-1)</f>
        <v>-1</v>
      </c>
      <c r="AQ39" s="65">
        <f>AP39+(AY39-AP39)/9</f>
        <v>-1</v>
      </c>
      <c r="AR39" s="65">
        <f>AQ39+(AY39-AQ39)/8</f>
        <v>-1</v>
      </c>
      <c r="AS39" s="65">
        <f>AR39+(AY39-AR39)/7</f>
        <v>-1</v>
      </c>
      <c r="AT39" s="65">
        <f>AS39+(AY39-AS39)/6</f>
        <v>-1</v>
      </c>
      <c r="AU39" s="65">
        <f>AT39+(AY39-AT39)/5</f>
        <v>-1</v>
      </c>
      <c r="AV39" s="65">
        <f>AU39+(AY39-AU39)/4</f>
        <v>-1</v>
      </c>
      <c r="AW39" s="65">
        <f>AV39+(AY39-AV39)/3</f>
        <v>-1</v>
      </c>
      <c r="AX39" s="65">
        <f>AW39+(AY39-AW39)/2</f>
        <v>-1</v>
      </c>
      <c r="AY39" s="66">
        <f>IF(DIAG!H242,$E$27,-1)</f>
        <v>-1</v>
      </c>
      <c r="BF39" s="9" t="s">
        <v>93</v>
      </c>
      <c r="BG39" s="9" t="s">
        <v>93</v>
      </c>
      <c r="BH39" s="9" t="s">
        <v>93</v>
      </c>
      <c r="BK39" s="10" t="s">
        <v>101</v>
      </c>
      <c r="BL39" s="10" t="s">
        <v>102</v>
      </c>
      <c r="BM39" s="10" t="s">
        <v>103</v>
      </c>
      <c r="CW39" s="21"/>
      <c r="GK39" s="22" t="s">
        <v>19</v>
      </c>
      <c r="GL39" s="24" t="e">
        <f t="shared" ref="GL39" si="135">GL49/GL51</f>
        <v>#DIV/0!</v>
      </c>
    </row>
    <row r="40" spans="1:248" x14ac:dyDescent="0.2">
      <c r="A40" s="107"/>
      <c r="N40" s="91" t="s">
        <v>5</v>
      </c>
      <c r="O40" s="108">
        <v>1</v>
      </c>
      <c r="P40" s="108"/>
      <c r="Q40" s="109"/>
      <c r="BE40" s="9" t="s">
        <v>44</v>
      </c>
      <c r="BF40" s="28">
        <f t="shared" ref="BF40:BJ41" si="136">BF43*$BK$40+BF45*$BL$40+BF47*$BM$40</f>
        <v>-0.57999999999999996</v>
      </c>
      <c r="BG40" s="28">
        <f t="shared" si="136"/>
        <v>0.57999999999999996</v>
      </c>
      <c r="BH40" s="28">
        <f t="shared" si="136"/>
        <v>0.57999999999999996</v>
      </c>
      <c r="BI40" s="28">
        <f t="shared" si="136"/>
        <v>-0.57999999999999996</v>
      </c>
      <c r="BJ40" s="28">
        <f t="shared" si="136"/>
        <v>-0.57999999999999996</v>
      </c>
      <c r="BK40" s="29" t="b">
        <v>1</v>
      </c>
      <c r="BL40" s="29" t="b">
        <v>0</v>
      </c>
      <c r="BM40" s="29" t="b">
        <v>0</v>
      </c>
      <c r="CW40" s="24"/>
      <c r="GK40" s="22" t="s">
        <v>12</v>
      </c>
      <c r="GL40" s="25" t="e">
        <f>GL35/GL$38</f>
        <v>#DIV/0!</v>
      </c>
    </row>
    <row r="41" spans="1:248" x14ac:dyDescent="0.2">
      <c r="A41" s="107"/>
      <c r="N41" s="91" t="s">
        <v>7</v>
      </c>
      <c r="O41" s="108"/>
      <c r="P41" s="108">
        <v>0</v>
      </c>
      <c r="Q41" s="109"/>
      <c r="S41" s="9" t="s">
        <v>91</v>
      </c>
      <c r="Z41" s="9" t="s">
        <v>92</v>
      </c>
      <c r="AN41" s="9" t="s">
        <v>48</v>
      </c>
      <c r="AP41" s="59">
        <f>IF(DIAG!H243,$GL$55,-1)</f>
        <v>-1</v>
      </c>
      <c r="AQ41" s="60">
        <f>AP41+(AY41-AP41)/9</f>
        <v>-1</v>
      </c>
      <c r="AR41" s="60">
        <f>AQ41+(AY41-AQ41)/8</f>
        <v>-1</v>
      </c>
      <c r="AS41" s="60">
        <f>AR41+(AY41-AR41)/7</f>
        <v>-1</v>
      </c>
      <c r="AT41" s="60">
        <f>AS41+(AY41-AS41)/6</f>
        <v>-1</v>
      </c>
      <c r="AU41" s="60">
        <f>AT41+(AY41-AT41)/5</f>
        <v>-1</v>
      </c>
      <c r="AV41" s="60">
        <f>AU41+(AY41-AU41)/4</f>
        <v>-1</v>
      </c>
      <c r="AW41" s="60">
        <f>AV41+(AY41-AV41)/3</f>
        <v>-1</v>
      </c>
      <c r="AX41" s="60">
        <f>AW41+(AY41-AW41)/2</f>
        <v>-1</v>
      </c>
      <c r="AY41" s="61">
        <f>IF(DIAG!H243,$F$26,-1)</f>
        <v>-1</v>
      </c>
      <c r="BE41" s="9" t="s">
        <v>53</v>
      </c>
      <c r="BF41" s="28">
        <f t="shared" si="136"/>
        <v>-0.1</v>
      </c>
      <c r="BG41" s="28">
        <f t="shared" si="136"/>
        <v>-0.1</v>
      </c>
      <c r="BH41" s="28">
        <f t="shared" si="136"/>
        <v>1.1000000000000001</v>
      </c>
      <c r="BI41" s="28">
        <f t="shared" si="136"/>
        <v>1.1000000000000001</v>
      </c>
      <c r="BJ41" s="28">
        <f t="shared" si="136"/>
        <v>-0.1</v>
      </c>
      <c r="CW41" s="25"/>
      <c r="GK41" s="22" t="s">
        <v>14</v>
      </c>
      <c r="GL41" s="25" t="e">
        <f>GL36/GL$38</f>
        <v>#DIV/0!</v>
      </c>
    </row>
    <row r="42" spans="1:248" x14ac:dyDescent="0.2">
      <c r="A42" s="110"/>
      <c r="B42" s="32"/>
      <c r="C42" s="32"/>
      <c r="D42" s="32"/>
      <c r="E42" s="32"/>
      <c r="F42" s="32"/>
      <c r="G42" s="111"/>
      <c r="H42" s="111"/>
      <c r="I42" s="111"/>
      <c r="J42" s="111"/>
      <c r="K42" s="111"/>
      <c r="L42" s="32"/>
      <c r="M42" s="32"/>
      <c r="N42" s="97" t="s">
        <v>6</v>
      </c>
      <c r="O42" s="112"/>
      <c r="P42" s="112"/>
      <c r="Q42" s="113">
        <v>0</v>
      </c>
      <c r="S42" s="114">
        <v>-0.35799999999999998</v>
      </c>
      <c r="T42" s="114"/>
      <c r="Z42" s="9">
        <v>0</v>
      </c>
      <c r="AA42" s="9">
        <v>0</v>
      </c>
      <c r="AP42" s="64">
        <f>IF(DIAG!H243,$GL$56,-1)</f>
        <v>-1</v>
      </c>
      <c r="AQ42" s="65">
        <f>AP42+(AY42-AP42)/9</f>
        <v>-1</v>
      </c>
      <c r="AR42" s="65">
        <f>AQ42+(AY42-AQ42)/8</f>
        <v>-1</v>
      </c>
      <c r="AS42" s="65">
        <f>AR42+(AY42-AR42)/7</f>
        <v>-1</v>
      </c>
      <c r="AT42" s="65">
        <f>AS42+(AY42-AS42)/6</f>
        <v>-1</v>
      </c>
      <c r="AU42" s="65">
        <f>AT42+(AY42-AT42)/5</f>
        <v>-1</v>
      </c>
      <c r="AV42" s="65">
        <f>AU42+(AY42-AU42)/4</f>
        <v>-1</v>
      </c>
      <c r="AW42" s="65">
        <f>AV42+(AY42-AV42)/3</f>
        <v>-1</v>
      </c>
      <c r="AX42" s="65">
        <f>AW42+(AY42-AW42)/2</f>
        <v>-1</v>
      </c>
      <c r="AY42" s="66">
        <f>IF(DIAG!H243,$F$27,-1)</f>
        <v>-1</v>
      </c>
      <c r="BK42" s="32"/>
      <c r="BL42" s="32" t="s">
        <v>100</v>
      </c>
      <c r="BM42" s="32"/>
      <c r="BN42" s="32"/>
      <c r="BO42" s="32"/>
      <c r="BU42" s="10"/>
      <c r="CW42" s="25"/>
      <c r="GK42" s="22" t="s">
        <v>13</v>
      </c>
      <c r="GL42" s="25" t="e">
        <f>GL37/GL$38</f>
        <v>#DIV/0!</v>
      </c>
    </row>
    <row r="43" spans="1:248" x14ac:dyDescent="0.2">
      <c r="A43" s="80"/>
      <c r="B43" s="81"/>
      <c r="D43" s="82"/>
      <c r="E43" s="82"/>
      <c r="F43" s="82"/>
      <c r="G43" s="83"/>
      <c r="H43" s="83"/>
      <c r="I43" s="83"/>
      <c r="J43" s="83"/>
      <c r="K43" s="83"/>
      <c r="S43" s="33">
        <f>IF(DIAG!$X$42,0.5,-1)</f>
        <v>-1</v>
      </c>
      <c r="T43" s="33"/>
      <c r="U43" s="33"/>
      <c r="V43" s="33"/>
      <c r="W43" s="33"/>
      <c r="X43" s="33"/>
      <c r="Y43" s="33"/>
      <c r="Z43" s="114">
        <f>IF(DIAG!$X$42,-0.027,-1)</f>
        <v>-1</v>
      </c>
      <c r="AA43" s="114">
        <f>IF(DIAG!$X$42,1.02,-1)</f>
        <v>-1</v>
      </c>
      <c r="AB43" s="33"/>
      <c r="AC43" s="33"/>
      <c r="AD43" s="33"/>
      <c r="AE43" s="33"/>
      <c r="BE43" s="9" t="s">
        <v>95</v>
      </c>
      <c r="BF43" s="28">
        <v>-0.57999999999999996</v>
      </c>
      <c r="BG43" s="28">
        <v>0.57999999999999996</v>
      </c>
      <c r="BH43" s="28">
        <v>0.57999999999999996</v>
      </c>
      <c r="BI43" s="28">
        <v>-0.57999999999999996</v>
      </c>
      <c r="BJ43" s="28">
        <v>-0.57999999999999996</v>
      </c>
      <c r="BK43" s="28">
        <v>-0.57999999999999996</v>
      </c>
      <c r="BL43" s="28">
        <v>0.57999999999999996</v>
      </c>
      <c r="BM43" s="28">
        <v>0.57999999999999996</v>
      </c>
      <c r="BN43" s="28">
        <v>-0.57999999999999996</v>
      </c>
      <c r="BO43" s="28">
        <v>-0.57999999999999996</v>
      </c>
      <c r="CW43" s="25"/>
      <c r="GK43" s="184" t="s">
        <v>20</v>
      </c>
      <c r="GL43" s="183"/>
    </row>
    <row r="44" spans="1:248" x14ac:dyDescent="0.2">
      <c r="A44" s="80"/>
      <c r="B44" s="81"/>
      <c r="D44" s="82"/>
      <c r="E44" s="82"/>
      <c r="F44" s="82"/>
      <c r="G44" s="182"/>
      <c r="H44" s="182"/>
      <c r="I44" s="83" t="str">
        <f>CONCATENATE("texto1",CHAR(10),"texto2")</f>
        <v>texto1
texto2</v>
      </c>
      <c r="J44" s="83"/>
      <c r="K44" s="83"/>
      <c r="N44" s="32"/>
      <c r="S44" s="33"/>
      <c r="T44" s="33"/>
      <c r="U44" s="33"/>
      <c r="V44" s="33"/>
      <c r="W44" s="33"/>
      <c r="X44" s="33"/>
      <c r="Y44" s="33"/>
      <c r="Z44" s="33"/>
      <c r="AA44" s="33"/>
      <c r="AB44" s="33"/>
      <c r="AN44" s="9" t="s">
        <v>50</v>
      </c>
      <c r="AP44" s="59">
        <f>IF(DIAG!H244,$GL$55,-1)</f>
        <v>-1</v>
      </c>
      <c r="AQ44" s="60">
        <f>AP44+(AY44-AP44)/9</f>
        <v>-1</v>
      </c>
      <c r="AR44" s="60">
        <f>AQ44+(AY44-AQ44)/8</f>
        <v>-1</v>
      </c>
      <c r="AS44" s="60">
        <f>AR44+(AY44-AR44)/7</f>
        <v>-1</v>
      </c>
      <c r="AT44" s="60">
        <f>AS44+(AY44-AS44)/6</f>
        <v>-1</v>
      </c>
      <c r="AU44" s="60">
        <f>AT44+(AY44-AT44)/5</f>
        <v>-1</v>
      </c>
      <c r="AV44" s="60">
        <f>AU44+(AY44-AU44)/4</f>
        <v>-1</v>
      </c>
      <c r="AW44" s="60">
        <f>AV44+(AY44-AV44)/3</f>
        <v>-1</v>
      </c>
      <c r="AX44" s="60">
        <f>AW44+(AY44-AW44)/2</f>
        <v>-1</v>
      </c>
      <c r="AY44" s="61">
        <f>IF(DIAG!H244,$G$26,-1)</f>
        <v>-1</v>
      </c>
      <c r="BE44" s="9" t="s">
        <v>96</v>
      </c>
      <c r="BF44" s="28">
        <v>-0.1</v>
      </c>
      <c r="BG44" s="28">
        <v>-0.1</v>
      </c>
      <c r="BH44" s="28">
        <v>1.1000000000000001</v>
      </c>
      <c r="BI44" s="28">
        <v>1.1000000000000001</v>
      </c>
      <c r="BJ44" s="28">
        <v>-0.1</v>
      </c>
      <c r="BK44" s="28">
        <v>-0.1</v>
      </c>
      <c r="BL44" s="28">
        <v>-0.1</v>
      </c>
      <c r="BM44" s="28">
        <v>1.1000000000000001</v>
      </c>
      <c r="BN44" s="28">
        <v>1.1000000000000001</v>
      </c>
      <c r="BO44" s="28">
        <v>-0.1</v>
      </c>
      <c r="GK44" s="7" t="s">
        <v>21</v>
      </c>
      <c r="GL44" s="27" t="e">
        <f t="shared" ref="GL44" si="137">GL35/GL38</f>
        <v>#DIV/0!</v>
      </c>
    </row>
    <row r="45" spans="1:248" x14ac:dyDescent="0.2">
      <c r="A45" s="115" t="s">
        <v>51</v>
      </c>
      <c r="B45" s="116"/>
      <c r="C45" s="116"/>
      <c r="D45" s="116"/>
      <c r="E45" s="116"/>
      <c r="F45" s="88" t="s">
        <v>6</v>
      </c>
      <c r="G45" s="117"/>
      <c r="H45" s="117"/>
      <c r="I45" s="117"/>
      <c r="J45" s="117"/>
      <c r="K45" s="117"/>
      <c r="L45" s="118">
        <f>DIAG!$T$46*2/100</f>
        <v>0.2</v>
      </c>
      <c r="M45" s="86"/>
      <c r="N45" s="91" t="str">
        <f>IF(DIAG!$T$43,CONCATENATE("N=",TRUNC(L45/2,2)),"")</f>
        <v/>
      </c>
      <c r="O45" s="86">
        <f>IF(DIAG!$T$43,IF(1-$L$45-SQRT(3)*(O35)&gt;1,1,1-$L$45-SQRT(3)*(O35)),-1)</f>
        <v>-1</v>
      </c>
      <c r="P45" s="86">
        <f>IF(DIAG!$T$43,IF(1-$L$45-SQRT(3)*(P35)&gt;1,1,1-$L$45-SQRT(3)*(P35)),-1)</f>
        <v>-1</v>
      </c>
      <c r="Q45" s="86">
        <f>IF(DIAG!$T$43,IF(1-$L$45-SQRT(3)*(Q35)&gt;1,1,1-$L$45-SQRT(3)*(Q35)),-1)</f>
        <v>-1</v>
      </c>
      <c r="R45" s="86">
        <f>IF(DIAG!$T$43,IF(1-$L$45-SQRT(3)*(R35)&gt;1,1,1-$L$45-SQRT(3)*(R35)),-1)</f>
        <v>-1</v>
      </c>
      <c r="S45" s="86">
        <f>IF(DIAG!$T$43,IF(1-$L$45-SQRT(3)*(S35)&gt;1,1,1-$L$45-SQRT(3)*(S35)),-1)</f>
        <v>-1</v>
      </c>
      <c r="T45" s="86">
        <f>IF(DIAG!$T$43,IF(1-$L$45-SQRT(3)*(T35)&gt;1,1,1-$L$45-SQRT(3)*(T35)),-1)</f>
        <v>-1</v>
      </c>
      <c r="U45" s="86">
        <f>IF(DIAG!$T$43,IF(1-$L$45-SQRT(3)*(U35)&gt;1,1,1-$L$45-SQRT(3)*(U35)),-1)</f>
        <v>-1</v>
      </c>
      <c r="V45" s="86">
        <f>IF(DIAG!$T$43,IF(1-$L$45-SQRT(3)*(V35)&gt;1,1,1-$L$45-SQRT(3)*(V35)),-1)</f>
        <v>-1</v>
      </c>
      <c r="W45" s="86">
        <f>IF(DIAG!$T$43,IF(1-$L$45-SQRT(3)*(W35)&gt;1,1,1-$L$45-SQRT(3)*(W35)),-1)</f>
        <v>-1</v>
      </c>
      <c r="X45" s="86">
        <f>IF(DIAG!$T$43,IF(1-$L$45-SQRT(3)*(X35)&gt;1,1,1-$L$45-SQRT(3)*(X35)),-1)</f>
        <v>-1</v>
      </c>
      <c r="Y45" s="86">
        <f>IF(DIAG!$T$43,IF(1-$L$45-SQRT(3)*(Y35)&gt;1,1,1-$L$45-SQRT(3)*(Y35)),-1)</f>
        <v>-1</v>
      </c>
      <c r="Z45" s="86">
        <f>IF(DIAG!$T$43,IF(1-$L$45-SQRT(3)*(Z35)&gt;1,1,1-$L$45-SQRT(3)*(Z35)),-1)</f>
        <v>-1</v>
      </c>
      <c r="AA45" s="86">
        <f>IF(DIAG!$T$43,IF(1-$L$45-SQRT(3)*(AA35)&gt;1,1,1-$L$45-SQRT(3)*(AA35)),-1)</f>
        <v>-1</v>
      </c>
      <c r="AB45" s="86">
        <f>IF(DIAG!$T$43,IF(1-$L$45-SQRT(3)*(AB35)&gt;1,1,1-$L$45-SQRT(3)*(AB35)),-1)</f>
        <v>-1</v>
      </c>
      <c r="AC45" s="86">
        <f>IF(DIAG!$T$43,IF(1-$L$45-SQRT(3)*(AC35)&gt;1,1,1-$L$45-SQRT(3)*(AC35)),-1)</f>
        <v>-1</v>
      </c>
      <c r="AD45" s="86">
        <f>IF(DIAG!$T$43,IF(1-$L$45-SQRT(3)*(AD35)&gt;1,1,1-$L$45-SQRT(3)*(AD35)),-1)</f>
        <v>-1</v>
      </c>
      <c r="AE45" s="86">
        <f>IF(DIAG!$T$43,IF(1-$L$45-SQRT(3)*(AE35)&gt;1,1,1-$L$45-SQRT(3)*(AE35)),-1)</f>
        <v>-1</v>
      </c>
      <c r="AF45" s="86">
        <f>IF(DIAG!$T$43,IF(1-$L$45-SQRT(3)*(AF35)&gt;1,1,1-$L$45-SQRT(3)*(AF35)),-1)</f>
        <v>-1</v>
      </c>
      <c r="AG45" s="86">
        <f>IF(DIAG!$T$43,IF(1-$L$45-SQRT(3)*(AG35)&gt;1,1,1-$L$45-SQRT(3)*(AG35)),-1)</f>
        <v>-1</v>
      </c>
      <c r="AH45" s="86">
        <f>IF(DIAG!$T$43,IF(1-$L$45-SQRT(3)*(AH35)&gt;1,1,1-$L$45-SQRT(3)*(AH35)),-1)</f>
        <v>-1</v>
      </c>
      <c r="AI45" s="86">
        <f>IF(DIAG!$T$43,IF(1-$L$45-SQRT(3)*(AI35)&gt;1,1,1-$L$45-SQRT(3)*(AI35)),-1)</f>
        <v>-1</v>
      </c>
      <c r="AP45" s="64">
        <f>IF(DIAG!H244,$GL$56,-1)</f>
        <v>-1</v>
      </c>
      <c r="AQ45" s="65">
        <f>AP45+(AY45-AP45)/9</f>
        <v>-1</v>
      </c>
      <c r="AR45" s="65">
        <f>AQ45+(AY45-AQ45)/8</f>
        <v>-1</v>
      </c>
      <c r="AS45" s="65">
        <f>AR45+(AY45-AR45)/7</f>
        <v>-1</v>
      </c>
      <c r="AT45" s="65">
        <f>AS45+(AY45-AS45)/6</f>
        <v>-1</v>
      </c>
      <c r="AU45" s="65">
        <f>AT45+(AY45-AT45)/5</f>
        <v>-1</v>
      </c>
      <c r="AV45" s="65">
        <f>AU45+(AY45-AU45)/4</f>
        <v>-1</v>
      </c>
      <c r="AW45" s="65">
        <f>AV45+(AY45-AV45)/3</f>
        <v>-1</v>
      </c>
      <c r="AX45" s="65">
        <f>AW45+(AY45-AW45)/2</f>
        <v>-1</v>
      </c>
      <c r="AY45" s="66">
        <f>IF(DIAG!H244,$G$27,-1)</f>
        <v>-1</v>
      </c>
      <c r="BE45" s="9" t="s">
        <v>94</v>
      </c>
      <c r="BF45" s="28">
        <v>-0.28999999999999992</v>
      </c>
      <c r="BG45" s="28">
        <v>0.28999999999999998</v>
      </c>
      <c r="BH45" s="28">
        <v>0.28999999999999998</v>
      </c>
      <c r="BI45" s="28">
        <v>-0.28999999999999992</v>
      </c>
      <c r="BJ45" s="28">
        <v>-0.28999999999999992</v>
      </c>
      <c r="BK45" s="28">
        <v>-0.57999999999999996</v>
      </c>
      <c r="BL45" s="28">
        <v>0</v>
      </c>
      <c r="BM45" s="28">
        <v>0</v>
      </c>
      <c r="BN45" s="28">
        <v>-0.57999999999999996</v>
      </c>
      <c r="BO45" s="28">
        <v>-0.57999999999999996</v>
      </c>
      <c r="CW45" s="36"/>
      <c r="GH45" s="199"/>
      <c r="GK45" s="7" t="s">
        <v>22</v>
      </c>
      <c r="GL45" s="27" t="e">
        <f t="shared" ref="GL45" si="138">GL36/GL38</f>
        <v>#DIV/0!</v>
      </c>
    </row>
    <row r="46" spans="1:248" x14ac:dyDescent="0.2">
      <c r="A46" s="107"/>
      <c r="F46" s="9" t="s">
        <v>7</v>
      </c>
      <c r="L46" s="119">
        <f>DIAG!$T$47*2/100</f>
        <v>0.2</v>
      </c>
      <c r="M46" s="91"/>
      <c r="N46" s="91" t="str">
        <f>IF(DIAG!$T$44,CONCATENATE("F=",TRUNC(L46/2,2),CHAR(10),"EYR=",TRUNC(2/L46,2),CHAR(10),"EIR= ",TRUNC(L46/(2*(1-L46/2)),2)),"")</f>
        <v/>
      </c>
      <c r="O46" s="91">
        <f>IF(DIAG!$T$44,IF(1-$L$46+SQRT(3)*(O35)&gt;1,1,1-$L$46+SQRT(3)*(O35)),-1)</f>
        <v>-1</v>
      </c>
      <c r="P46" s="91">
        <f>IF(DIAG!$T$44,IF(1-$L$46+SQRT(3)*(P35)&gt;1,1,1-$L$46+SQRT(3)*(P35)),-1)</f>
        <v>-1</v>
      </c>
      <c r="Q46" s="91">
        <f>IF(DIAG!$T$44,IF(1-$L$46+SQRT(3)*(Q35)&gt;1,1,1-$L$46+SQRT(3)*(Q35)),-1)</f>
        <v>-1</v>
      </c>
      <c r="R46" s="91">
        <f>IF(DIAG!$T$44,IF(1-$L$46+SQRT(3)*(R35)&gt;1,1,1-$L$46+SQRT(3)*(R35)),-1)</f>
        <v>-1</v>
      </c>
      <c r="S46" s="91">
        <f>IF(DIAG!$T$44,IF(1-$L$46+SQRT(3)*(S35)&gt;1,1,1-$L$46+SQRT(3)*(S35)),-1)</f>
        <v>-1</v>
      </c>
      <c r="T46" s="91">
        <f>IF(DIAG!$T$44,IF(1-$L$46+SQRT(3)*(T35)&gt;1,1,1-$L$46+SQRT(3)*(T35)),-1)</f>
        <v>-1</v>
      </c>
      <c r="U46" s="91">
        <f>IF(DIAG!$T$44,IF(1-$L$46+SQRT(3)*(U35)&gt;1,1,1-$L$46+SQRT(3)*(U35)),-1)</f>
        <v>-1</v>
      </c>
      <c r="V46" s="91">
        <f>IF(DIAG!$T$44,IF(1-$L$46+SQRT(3)*(V35)&gt;1,1,1-$L$46+SQRT(3)*(V35)),-1)</f>
        <v>-1</v>
      </c>
      <c r="W46" s="91">
        <f>IF(DIAG!$T$44,IF(1-$L$46+SQRT(3)*(W35)&gt;1,1,1-$L$46+SQRT(3)*(W35)),-1)</f>
        <v>-1</v>
      </c>
      <c r="X46" s="91">
        <f>IF(DIAG!$T$44,IF(1-$L$46+SQRT(3)*(X35)&gt;1,1,1-$L$46+SQRT(3)*(X35)),-1)</f>
        <v>-1</v>
      </c>
      <c r="Y46" s="91">
        <f>IF(DIAG!$T$44,IF(1-$L$46+SQRT(3)*(Y35)&gt;1,1,1-$L$46+SQRT(3)*(Y35)),-1)</f>
        <v>-1</v>
      </c>
      <c r="Z46" s="91">
        <f>IF(DIAG!$T$44,IF(1-$L$46+SQRT(3)*(Z35)&gt;1,1,1-$L$46+SQRT(3)*(Z35)),-1)</f>
        <v>-1</v>
      </c>
      <c r="AA46" s="91">
        <f>IF(DIAG!$T$44,IF(1-$L$46+SQRT(3)*(AA35)&gt;1,1,1-$L$46+SQRT(3)*(AA35)),-1)</f>
        <v>-1</v>
      </c>
      <c r="AB46" s="91">
        <f>IF(DIAG!$T$44,IF(1-$L$46+SQRT(3)*(AB35)&gt;1,1,1-$L$46+SQRT(3)*(AB35)),-1)</f>
        <v>-1</v>
      </c>
      <c r="AC46" s="91">
        <f>IF(DIAG!$T$44,IF(1-$L$46+SQRT(3)*(AC35)&gt;1,1,1-$L$46+SQRT(3)*(AC35)),-1)</f>
        <v>-1</v>
      </c>
      <c r="AD46" s="91">
        <f>IF(DIAG!$T$44,IF(1-$L$46+SQRT(3)*(AD35)&gt;1,1,1-$L$46+SQRT(3)*(AD35)),-1)</f>
        <v>-1</v>
      </c>
      <c r="AE46" s="91">
        <f>IF(DIAG!$T$44,IF(1-$L$46+SQRT(3)*(AE35)&gt;1,1,1-$L$46+SQRT(3)*(AE35)),-1)</f>
        <v>-1</v>
      </c>
      <c r="AF46" s="91">
        <f>IF(DIAG!$T$44,IF(1-$L$46+SQRT(3)*(AF35)&gt;1,1,1-$L$46+SQRT(3)*(AF35)),-1)</f>
        <v>-1</v>
      </c>
      <c r="AG46" s="91">
        <f>IF(DIAG!$T$44,IF(1-$L$46+SQRT(3)*(AG35)&gt;1,1,1-$L$46+SQRT(3)*(AG35)),-1)</f>
        <v>-1</v>
      </c>
      <c r="AH46" s="91">
        <f>IF(DIAG!$T$44,IF(1-$L$46+SQRT(3)*(AH35)&gt;1,1,1-$L$46+SQRT(3)*(AH35)),-1)</f>
        <v>-1</v>
      </c>
      <c r="AI46" s="91">
        <f>IF(DIAG!$T$44,IF(1-$L$46+SQRT(3)*(AI35)&gt;1,1,1-$L$46+SQRT(3)*(AI35)),-1)</f>
        <v>-1</v>
      </c>
      <c r="BE46" s="9" t="s">
        <v>97</v>
      </c>
      <c r="BF46" s="28">
        <v>0</v>
      </c>
      <c r="BG46" s="28">
        <v>0</v>
      </c>
      <c r="BH46" s="28">
        <v>0.5</v>
      </c>
      <c r="BI46" s="28">
        <v>0.5</v>
      </c>
      <c r="BJ46" s="28">
        <v>0</v>
      </c>
      <c r="BK46" s="28">
        <v>0</v>
      </c>
      <c r="BL46" s="28">
        <v>0</v>
      </c>
      <c r="BM46" s="28">
        <v>0.5</v>
      </c>
      <c r="BN46" s="28">
        <v>0.5</v>
      </c>
      <c r="BO46" s="28">
        <v>0</v>
      </c>
      <c r="CW46" s="36"/>
      <c r="GK46" s="8" t="s">
        <v>23</v>
      </c>
      <c r="GL46" s="31" t="e">
        <f t="shared" ref="GL46" si="139">GL37/GL38</f>
        <v>#DIV/0!</v>
      </c>
    </row>
    <row r="47" spans="1:248" x14ac:dyDescent="0.2">
      <c r="A47" s="110"/>
      <c r="B47" s="32"/>
      <c r="C47" s="32"/>
      <c r="D47" s="32"/>
      <c r="E47" s="32"/>
      <c r="F47" s="32" t="s">
        <v>5</v>
      </c>
      <c r="G47" s="111"/>
      <c r="H47" s="111"/>
      <c r="I47" s="111"/>
      <c r="J47" s="111"/>
      <c r="K47" s="111"/>
      <c r="L47" s="120">
        <f>DIAG!$T$45/100</f>
        <v>0.1</v>
      </c>
      <c r="M47" s="97"/>
      <c r="N47" s="97" t="str">
        <f>IF(DIAG!$T$42,CONCATENATE("R = ",L47,CHAR(10),"ELR=",TRUNC((1-L47)/(L47),2)),"")</f>
        <v/>
      </c>
      <c r="O47" s="97">
        <f>IF(DIAG!$T$42,$L$47,-1)</f>
        <v>-1</v>
      </c>
      <c r="P47" s="97">
        <f>IF(DIAG!$T$42,$L$47,-1)</f>
        <v>-1</v>
      </c>
      <c r="Q47" s="97">
        <f>IF(DIAG!$T$42,$L$47,-1)</f>
        <v>-1</v>
      </c>
      <c r="R47" s="97">
        <f>IF(DIAG!$T$42,$L$47,-1)</f>
        <v>-1</v>
      </c>
      <c r="S47" s="97">
        <f>IF(DIAG!$T$42,$L$47,-1)</f>
        <v>-1</v>
      </c>
      <c r="T47" s="97">
        <f>IF(DIAG!$T$42,$L$47,-1)</f>
        <v>-1</v>
      </c>
      <c r="U47" s="97">
        <f>IF(DIAG!$T$42,$L$47,-1)</f>
        <v>-1</v>
      </c>
      <c r="V47" s="97">
        <f>IF(DIAG!$T$42,$L$47,-1)</f>
        <v>-1</v>
      </c>
      <c r="W47" s="97">
        <f>IF(DIAG!$T$42,$L$47,-1)</f>
        <v>-1</v>
      </c>
      <c r="X47" s="97">
        <f>IF(DIAG!$T$42,$L$47,-1)</f>
        <v>-1</v>
      </c>
      <c r="Y47" s="97">
        <f>IF(DIAG!$T$42,$L$47,-1)</f>
        <v>-1</v>
      </c>
      <c r="Z47" s="97">
        <f>IF(DIAG!$T$42,$L$47,-1)</f>
        <v>-1</v>
      </c>
      <c r="AA47" s="97">
        <f>IF(DIAG!$T$42,$L$47,-1)</f>
        <v>-1</v>
      </c>
      <c r="AB47" s="97">
        <f>IF(DIAG!$T$42,$L$47,-1)</f>
        <v>-1</v>
      </c>
      <c r="AC47" s="97">
        <f>IF(DIAG!$T$42,$L$47,-1)</f>
        <v>-1</v>
      </c>
      <c r="AD47" s="97">
        <f>IF(DIAG!$T$42,$L$47,-1)</f>
        <v>-1</v>
      </c>
      <c r="AE47" s="97">
        <f>IF(DIAG!$T$42,$L$47,-1)</f>
        <v>-1</v>
      </c>
      <c r="AF47" s="97">
        <f>IF(DIAG!$T$42,$L$47,-1)</f>
        <v>-1</v>
      </c>
      <c r="AG47" s="97">
        <f>IF(DIAG!$T$42,$L$47,-1)</f>
        <v>-1</v>
      </c>
      <c r="AH47" s="97">
        <f>IF(DIAG!$T$42,$L$47,-1)</f>
        <v>-1</v>
      </c>
      <c r="AI47" s="97">
        <f>IF(DIAG!$T$42,$L$47,-1)</f>
        <v>-1</v>
      </c>
      <c r="AN47" s="9" t="s">
        <v>74</v>
      </c>
      <c r="AP47" s="59">
        <f>IF(DIAG!H245,$GL$55,-1)</f>
        <v>-1</v>
      </c>
      <c r="AQ47" s="60">
        <f>AP47+(AY47-AP47)/9</f>
        <v>-1</v>
      </c>
      <c r="AR47" s="60">
        <f>AQ47+(AY47-AQ47)/8</f>
        <v>-1</v>
      </c>
      <c r="AS47" s="60">
        <f>AR47+(AY47-AR47)/7</f>
        <v>-1</v>
      </c>
      <c r="AT47" s="60">
        <f>AS47+(AY47-AS47)/6</f>
        <v>-1</v>
      </c>
      <c r="AU47" s="60">
        <f>AT47+(AY47-AT47)/5</f>
        <v>-1</v>
      </c>
      <c r="AV47" s="60">
        <f>AU47+(AY47-AU47)/4</f>
        <v>-1</v>
      </c>
      <c r="AW47" s="60">
        <f>AV47+(AY47-AV47)/3</f>
        <v>-1</v>
      </c>
      <c r="AX47" s="60">
        <f>AW47+(AY47-AW47)/2</f>
        <v>-1</v>
      </c>
      <c r="AY47" s="61">
        <f>IF(DIAG!H245,$H$26,-1)</f>
        <v>-1</v>
      </c>
      <c r="BE47" s="9" t="s">
        <v>98</v>
      </c>
      <c r="BF47" s="28">
        <v>-7.2499999999999912E-2</v>
      </c>
      <c r="BG47" s="28">
        <v>0.21750000000000003</v>
      </c>
      <c r="BH47" s="28">
        <v>0.21750000000000003</v>
      </c>
      <c r="BI47" s="28">
        <v>-7.2499999999999912E-2</v>
      </c>
      <c r="BJ47" s="28">
        <v>-7.2499999999999912E-2</v>
      </c>
      <c r="BK47" s="28">
        <v>-0.57999999999999996</v>
      </c>
      <c r="BL47" s="28">
        <v>-0.28999999999999998</v>
      </c>
      <c r="BM47" s="28">
        <v>-0.28999999999999998</v>
      </c>
      <c r="BN47" s="28">
        <v>-0.57999999999999996</v>
      </c>
      <c r="BO47" s="28">
        <v>-0.57999999999999996</v>
      </c>
      <c r="GK47" s="34" t="s">
        <v>24</v>
      </c>
      <c r="GL47" s="36" t="e">
        <f t="shared" ref="GL47" si="140">GL44+GL45</f>
        <v>#DIV/0!</v>
      </c>
    </row>
    <row r="48" spans="1:248" x14ac:dyDescent="0.2">
      <c r="A48" s="80"/>
      <c r="B48" s="81"/>
      <c r="D48" s="82"/>
      <c r="E48" s="82"/>
      <c r="F48" s="82"/>
      <c r="G48" s="83"/>
      <c r="H48" s="83"/>
      <c r="I48" s="83"/>
      <c r="J48" s="83"/>
      <c r="K48" s="8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P48" s="64">
        <f>IF(DIAG!H245,$GL$56,-1)</f>
        <v>-1</v>
      </c>
      <c r="AQ48" s="65">
        <f>AP48+(AY48-AP48)/9</f>
        <v>-1</v>
      </c>
      <c r="AR48" s="65">
        <f>AQ48+(AY48-AQ48)/8</f>
        <v>-1</v>
      </c>
      <c r="AS48" s="65">
        <f>AR48+(AY48-AR48)/7</f>
        <v>-1</v>
      </c>
      <c r="AT48" s="65">
        <f>AS48+(AY48-AS48)/6</f>
        <v>-1</v>
      </c>
      <c r="AU48" s="65">
        <f>AT48+(AY48-AT48)/5</f>
        <v>-1</v>
      </c>
      <c r="AV48" s="65">
        <f>AU48+(AY48-AU48)/4</f>
        <v>-1</v>
      </c>
      <c r="AW48" s="65">
        <f>AV48+(AY48-AV48)/3</f>
        <v>-1</v>
      </c>
      <c r="AX48" s="65">
        <f>AW48+(AY48-AW48)/2</f>
        <v>-1</v>
      </c>
      <c r="AY48" s="66">
        <f>IF(DIAG!H245,$H$27,-1)</f>
        <v>-1</v>
      </c>
      <c r="BE48" s="9" t="s">
        <v>99</v>
      </c>
      <c r="BF48" s="28">
        <v>0.125</v>
      </c>
      <c r="BG48" s="28">
        <v>0.125</v>
      </c>
      <c r="BH48" s="28">
        <v>0.375</v>
      </c>
      <c r="BI48" s="28">
        <v>0.375</v>
      </c>
      <c r="BJ48" s="28">
        <v>0.125</v>
      </c>
      <c r="BK48" s="28">
        <v>0</v>
      </c>
      <c r="BL48" s="28">
        <v>0</v>
      </c>
      <c r="BM48" s="28">
        <v>0.25</v>
      </c>
      <c r="BN48" s="28">
        <v>0.25</v>
      </c>
      <c r="BO48" s="28">
        <v>0</v>
      </c>
      <c r="GK48" s="34" t="s">
        <v>26</v>
      </c>
      <c r="GL48" s="36" t="e">
        <f t="shared" ref="GL48" si="141">GL44+GL45+GL46</f>
        <v>#DIV/0!</v>
      </c>
    </row>
    <row r="49" spans="1:196" x14ac:dyDescent="0.2">
      <c r="A49" s="80"/>
      <c r="B49" s="81"/>
      <c r="D49" s="82"/>
      <c r="E49" s="82"/>
      <c r="F49" s="82"/>
      <c r="G49" s="83"/>
      <c r="H49" s="83"/>
      <c r="I49" s="83"/>
      <c r="J49" s="83"/>
      <c r="K49" s="83"/>
      <c r="S49" s="33"/>
      <c r="T49" s="33"/>
      <c r="U49" s="33"/>
      <c r="V49" s="33"/>
      <c r="W49" s="33"/>
      <c r="X49" s="33"/>
      <c r="Y49" s="33"/>
      <c r="Z49" s="33"/>
      <c r="AA49" s="33"/>
      <c r="AB49" s="33"/>
      <c r="GK49" s="40" t="s">
        <v>29</v>
      </c>
      <c r="GL49" s="42" t="e">
        <f t="shared" ref="GL49" si="142">1/GL46</f>
        <v>#DIV/0!</v>
      </c>
    </row>
    <row r="50" spans="1:196" x14ac:dyDescent="0.2">
      <c r="A50" s="186"/>
      <c r="B50" s="186"/>
      <c r="C50" s="186"/>
      <c r="D50" s="186"/>
      <c r="E50" s="187"/>
      <c r="F50" s="187"/>
      <c r="G50" s="83"/>
      <c r="H50" s="83"/>
      <c r="I50" s="83"/>
      <c r="J50" s="83"/>
      <c r="K50" s="8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N50" s="9" t="s">
        <v>75</v>
      </c>
      <c r="AP50" s="59">
        <f>IF(DIAG!H246,$GL$55,-1)</f>
        <v>-1</v>
      </c>
      <c r="AQ50" s="60">
        <f>AP50+(AY50-AP50)/9</f>
        <v>-1</v>
      </c>
      <c r="AR50" s="60">
        <f>AQ50+(AY50-AQ50)/8</f>
        <v>-1</v>
      </c>
      <c r="AS50" s="60">
        <f>AR50+(AY50-AR50)/7</f>
        <v>-1</v>
      </c>
      <c r="AT50" s="60">
        <f>AS50+(AY50-AS50)/6</f>
        <v>-1</v>
      </c>
      <c r="AU50" s="60">
        <f>AT50+(AY50-AT50)/5</f>
        <v>-1</v>
      </c>
      <c r="AV50" s="60">
        <f>AU50+(AY50-AU50)/4</f>
        <v>-1</v>
      </c>
      <c r="AW50" s="60">
        <f>AV50+(AY50-AV50)/3</f>
        <v>-1</v>
      </c>
      <c r="AX50" s="60">
        <f>AW50+(AY50-AW50)/2</f>
        <v>-1</v>
      </c>
      <c r="AY50" s="61">
        <f>IF(DIAG!H246,$I$26,-1)</f>
        <v>-1</v>
      </c>
      <c r="GK50" s="45" t="s">
        <v>30</v>
      </c>
      <c r="GL50" s="47" t="e">
        <f t="shared" ref="GL50" si="143">GL46/(1-GL46)</f>
        <v>#DIV/0!</v>
      </c>
    </row>
    <row r="51" spans="1:196" x14ac:dyDescent="0.2">
      <c r="P51" s="33"/>
      <c r="AP51" s="64">
        <f>IF(DIAG!H246,$GL$56,-1)</f>
        <v>-1</v>
      </c>
      <c r="AQ51" s="65">
        <f>AP51+(AY51-AP51)/9</f>
        <v>-1</v>
      </c>
      <c r="AR51" s="65">
        <f>AQ51+(AY51-AQ51)/8</f>
        <v>-1</v>
      </c>
      <c r="AS51" s="65">
        <f>AR51+(AY51-AR51)/7</f>
        <v>-1</v>
      </c>
      <c r="AT51" s="65">
        <f>AS51+(AY51-AS51)/6</f>
        <v>-1</v>
      </c>
      <c r="AU51" s="65">
        <f>AT51+(AY51-AT51)/5</f>
        <v>-1</v>
      </c>
      <c r="AV51" s="65">
        <f>AU51+(AY51-AU51)/4</f>
        <v>-1</v>
      </c>
      <c r="AW51" s="65">
        <f>AV51+(AY51-AV51)/3</f>
        <v>-1</v>
      </c>
      <c r="AX51" s="65">
        <f>AW51+(AY51-AW51)/2</f>
        <v>-1</v>
      </c>
      <c r="AY51" s="66">
        <f>IF(DIAG!H246,$I$27,-1)</f>
        <v>-1</v>
      </c>
      <c r="GK51" s="45" t="s">
        <v>31</v>
      </c>
      <c r="GL51" s="47" t="e">
        <f t="shared" ref="GL51" si="144">(1-GL44)/GL44</f>
        <v>#DIV/0!</v>
      </c>
    </row>
    <row r="52" spans="1:196" x14ac:dyDescent="0.2">
      <c r="Q52" s="33"/>
      <c r="GK52" s="50" t="s">
        <v>19</v>
      </c>
      <c r="GL52" s="51" t="e">
        <f t="shared" ref="GL52" si="145">GL49/GL51</f>
        <v>#DIV/0!</v>
      </c>
    </row>
    <row r="53" spans="1:196" x14ac:dyDescent="0.2">
      <c r="R53" s="33"/>
      <c r="AN53" s="9" t="s">
        <v>76</v>
      </c>
      <c r="AP53" s="59">
        <f>IF(DIAG!H247,$GL$55,-1)</f>
        <v>-1</v>
      </c>
      <c r="AQ53" s="60">
        <f>AP53+(AY53-AP53)/9</f>
        <v>-1</v>
      </c>
      <c r="AR53" s="60">
        <f>AQ53+(AY53-AQ53)/8</f>
        <v>-1</v>
      </c>
      <c r="AS53" s="60">
        <f>AR53+(AY53-AR53)/7</f>
        <v>-1</v>
      </c>
      <c r="AT53" s="60">
        <f>AS53+(AY53-AS53)/6</f>
        <v>-1</v>
      </c>
      <c r="AU53" s="60">
        <f>AT53+(AY53-AT53)/5</f>
        <v>-1</v>
      </c>
      <c r="AV53" s="60">
        <f>AU53+(AY53-AU53)/4</f>
        <v>-1</v>
      </c>
      <c r="AW53" s="60">
        <f>AV53+(AY53-AV53)/3</f>
        <v>-1</v>
      </c>
      <c r="AX53" s="60">
        <f>AW53+(AY53-AW53)/2</f>
        <v>-1</v>
      </c>
      <c r="AY53" s="61">
        <f>IF(DIAG!H247,$J$26,-1)</f>
        <v>-1</v>
      </c>
      <c r="GK53" s="184" t="s">
        <v>32</v>
      </c>
      <c r="GL53" s="183"/>
      <c r="GM53" s="185"/>
      <c r="GN53" s="185"/>
    </row>
    <row r="54" spans="1:196" x14ac:dyDescent="0.2">
      <c r="S54" s="33"/>
      <c r="AP54" s="64">
        <f>IF(DIAG!H247,$GL$56,-1)</f>
        <v>-1</v>
      </c>
      <c r="AQ54" s="65">
        <f>AP54+(AY54-AP54)/9</f>
        <v>-1</v>
      </c>
      <c r="AR54" s="65">
        <f>AQ54+(AY54-AQ54)/8</f>
        <v>-1</v>
      </c>
      <c r="AS54" s="65">
        <f>AR54+(AY54-AR54)/7</f>
        <v>-1</v>
      </c>
      <c r="AT54" s="65">
        <f>AS54+(AY54-AS54)/6</f>
        <v>-1</v>
      </c>
      <c r="AU54" s="65">
        <f>AT54+(AY54-AT54)/5</f>
        <v>-1</v>
      </c>
      <c r="AV54" s="65">
        <f>AU54+(AY54-AU54)/4</f>
        <v>-1</v>
      </c>
      <c r="AW54" s="65">
        <f>AV54+(AY54-AV54)/3</f>
        <v>-1</v>
      </c>
      <c r="AX54" s="65">
        <f>AW54+(AY54-AW54)/2</f>
        <v>-1</v>
      </c>
      <c r="AY54" s="66">
        <f>IF(DIAG!H247,$J$27,-1)</f>
        <v>-1</v>
      </c>
      <c r="GK54" s="54" t="s">
        <v>33</v>
      </c>
      <c r="GL54" s="13">
        <f t="shared" ref="GL54" si="146">GL34</f>
        <v>0</v>
      </c>
    </row>
    <row r="55" spans="1:196" ht="15.75" x14ac:dyDescent="0.3">
      <c r="T55" s="33"/>
      <c r="GK55" s="56" t="s">
        <v>107</v>
      </c>
      <c r="GL55" s="36" t="e">
        <f t="shared" ref="GL55" si="147">(2*GL46+GL44-1)/SQRT(3)</f>
        <v>#DIV/0!</v>
      </c>
    </row>
    <row r="56" spans="1:196" ht="15.75" x14ac:dyDescent="0.3">
      <c r="B56" s="10"/>
      <c r="C56" s="10"/>
      <c r="D56" s="10"/>
      <c r="E56" s="10"/>
      <c r="F56" s="10"/>
      <c r="U56" s="33"/>
      <c r="AN56" s="9" t="s">
        <v>77</v>
      </c>
      <c r="AP56" s="59">
        <f>IF(DIAG!H248,$GL$55,-1)</f>
        <v>-1</v>
      </c>
      <c r="AQ56" s="60">
        <f>AP56+(AY56-AP56)/9</f>
        <v>-1</v>
      </c>
      <c r="AR56" s="60">
        <f>AQ56+(AY56-AQ56)/8</f>
        <v>-1</v>
      </c>
      <c r="AS56" s="60">
        <v>-0.5</v>
      </c>
      <c r="AT56" s="60">
        <v>-1</v>
      </c>
      <c r="AU56" s="60"/>
      <c r="AV56" s="60"/>
      <c r="AW56" s="60"/>
      <c r="AX56" s="60">
        <f>AW56+(AY56-AW56)/2</f>
        <v>-0.5</v>
      </c>
      <c r="AY56" s="61">
        <f>IF(DIAG!H248,$K$26,-1)</f>
        <v>-1</v>
      </c>
      <c r="GK56" s="62" t="s">
        <v>108</v>
      </c>
      <c r="GL56" s="36">
        <f>IF(OR(DIAG!G239,DIAG!G240,DIAG!G241,DIAG!G242,DIAG!G243,DIAG!G244,DIAG!G245,DIAG!G246,DIAG!G247,DIAG!G248,DIAG!G249,DIAG!G250,DIAG!G251,DIAG!G252,DIAG!G253,DIAG!G254,DIAG!G255,DIAG!G256,DIAG!G257,DIAG!G258,DIAG!G259,DIAG!G260,DIAG!G261,DIAG!G262,DIAG!G263,DIAG!G264,DIAG!G265,DIAG!G266,DIAG!G267,DIAG!G268,DIAG!G269,DIAG!G270,DIAG!G271,DIAG!G272,DIAG!G273,DIAG!G274,DIAG!G275,DIAG!G276,DIAG!G277,DIAG!G278,DIAG!G279,DIAG!G280,DIAG!G281,DIAG!G282,DIAG!G283,DIAG!G284,DIAG!G285,DIAG!G286,DIAG!G287,DIAG!G288,DIAG!G289,DIAG!G290,DIAG!G291,DIAG!G292,DIAG!G293,DIAG!G294,DIAG!G295,DIAG!G296,DIAG!G297,DIAG!G298,DIAG!G299,DIAG!G300,DIAG!G301,DIAG!G302,DIAG!G303,DIAG!G304,DIAG!G305,DIAG!G306,DIAG!G307,DIAG!G308,DIAG!G309,DIAG!G310,DIAG!G311,DIAG!G312,DIAG!G313,DIAG!G314,DIAG!G315,DIAG!G316,DIAG!G317,DIAG!G318,DIAG!G319,DIAG!G320,DIAG!G321,DIAG!G322,DIAG!G323,DIAG!G324,DIAG!G325,DIAG!G326,DIAG!G327,DIAG!G328,DIAG!G329,DIAG!G330,DIAG!G331,DIAG!G332,DIAG!G333,DIAG!G334,DIAG!G335,DIAG!G336,DIAG!G337,DIAG!G338,DIAG!G339,DIAG!G340,DIAG!G341,DIAG!G342,DIAG!G343,DIAG!G344,DIAG!G345,DIAG!G346,DIAG!G347,DIAG!G348,DIAG!G349,DIAG!G350,DIAG!G351,DIAG!G352,DIAG!G353,DIAG!G354,DIAG!G355,DIAG!G356,DIAG!G357,DIAG!G358,DIAG!G359,DIAG!G360,DIAG!G361,DIAG!G362,DIAG!G363,DIAG!G364,DIAG!G365,DIAG!G366,DIAG!G367,DIAG!G368,DIAG!G369,DIAG!G370,DIAG!G371,DIAG!G372,DIAG!G373,DIAG!G374,DIAG!G375,DIAG!G376,DIAG!G377,DIAG!G378,DIAG!G379,DIAG!G380,DIAG!G381,DIAG!G382,DIAG!G383,DIAG!G384,DIAG!G385,DIAG!G386,DIAG!G387,DIAG!G388,DIAG!G389,DIAG!G390,DIAG!G391,DIAG!G392,DIAG!G393,DIAG!G394,DIAG!G395,DIAG!G396,DIAG!G397,DIAG!G398,DIAG!G399,DIAG!G400,DIAG!G401,DIAG!G402,DIAG!G403,DIAG!G404,DIAG!G405,DIAG!G406,DIAG!G407,DIAG!G408,DIAG!G409,DIAG!G410,DIAG!G411,DIAG!G412,DIAG!G413,DIAG!G414,DIAG!G415,DIAG!G416,DIAG!G417,DIAG!G418,DIAG!G419,DIAG!G420,DIAG!G421,DIAG!G422,DIAG!G423,DIAG!G424,DIAG!G425,DIAG!G426,DIAG!G427,DIAG!G428,DIAG!G429,DIAG!G430,DIAG!G431,DIAG!G432,DIAG!G433,DIAG!G434,DIAG!G435,DIAG!G436,DIAG!G437,DIAG!G438),GL44,-1)</f>
        <v>-1</v>
      </c>
    </row>
    <row r="57" spans="1:196" x14ac:dyDescent="0.2">
      <c r="B57" s="10"/>
      <c r="C57" s="10"/>
      <c r="D57" s="10"/>
      <c r="E57" s="10"/>
      <c r="F57" s="10"/>
      <c r="T57" s="33"/>
      <c r="U57" s="33"/>
      <c r="V57" s="33"/>
      <c r="AP57" s="64">
        <f>IF(DIAG!H248,$GL$56,-1)</f>
        <v>-1</v>
      </c>
      <c r="AQ57" s="65">
        <f>AP57+(AY57-AP57)/9</f>
        <v>-1</v>
      </c>
      <c r="AR57" s="65">
        <f>AQ57+(AY57-AQ57)/8</f>
        <v>-1</v>
      </c>
      <c r="AS57" s="65">
        <v>-0.5</v>
      </c>
      <c r="AT57" s="65">
        <v>-1</v>
      </c>
      <c r="AU57" s="65"/>
      <c r="AV57" s="65"/>
      <c r="AW57" s="65"/>
      <c r="AX57" s="65">
        <f>AW57+(AY57-AW57)/2</f>
        <v>-0.5</v>
      </c>
      <c r="AY57" s="66">
        <f>IF(DIAG!H248,$K$27,-1)</f>
        <v>-1</v>
      </c>
    </row>
    <row r="58" spans="1:196" x14ac:dyDescent="0.2">
      <c r="B58" s="10"/>
      <c r="C58" s="10"/>
      <c r="D58" s="10"/>
      <c r="E58" s="10"/>
      <c r="F58" s="10"/>
      <c r="U58" s="33"/>
      <c r="W58" s="33"/>
    </row>
    <row r="59" spans="1:196" x14ac:dyDescent="0.2">
      <c r="B59" s="10"/>
      <c r="C59" s="10"/>
      <c r="D59" s="10"/>
      <c r="E59" s="10"/>
      <c r="F59" s="10"/>
      <c r="U59" s="33"/>
      <c r="X59" s="33"/>
    </row>
    <row r="60" spans="1:196" x14ac:dyDescent="0.2">
      <c r="B60" s="10"/>
      <c r="C60" s="10"/>
      <c r="D60" s="10"/>
      <c r="E60" s="10"/>
      <c r="F60" s="10"/>
      <c r="U60" s="33"/>
      <c r="Y60" s="33"/>
    </row>
    <row r="61" spans="1:196" x14ac:dyDescent="0.2">
      <c r="A61" s="80"/>
      <c r="B61" s="81"/>
      <c r="D61" s="82"/>
      <c r="E61" s="82"/>
      <c r="F61" s="82"/>
      <c r="G61" s="83"/>
      <c r="H61" s="83"/>
      <c r="I61" s="83"/>
      <c r="J61" s="83"/>
      <c r="K61" s="83"/>
      <c r="S61" s="33"/>
      <c r="T61" s="33"/>
      <c r="U61" s="33"/>
      <c r="V61" s="33"/>
      <c r="W61" s="33"/>
      <c r="X61" s="33"/>
      <c r="Y61" s="33"/>
      <c r="Z61" s="33"/>
      <c r="AA61" s="33"/>
      <c r="AB61" s="33"/>
      <c r="AM61" s="9" t="s">
        <v>106</v>
      </c>
    </row>
    <row r="62" spans="1:196" x14ac:dyDescent="0.2">
      <c r="A62" s="80"/>
      <c r="B62" s="81"/>
      <c r="D62" s="82"/>
      <c r="E62" s="82"/>
      <c r="F62" s="82"/>
      <c r="G62" s="83"/>
      <c r="H62" s="83"/>
      <c r="I62" s="83"/>
      <c r="J62" s="83"/>
      <c r="K62" s="83"/>
      <c r="S62" s="33"/>
      <c r="T62" s="33"/>
      <c r="U62" s="33"/>
      <c r="V62" s="33"/>
      <c r="W62" s="33"/>
      <c r="X62" s="33"/>
      <c r="Y62" s="33"/>
      <c r="Z62" s="33"/>
      <c r="AA62" s="33"/>
      <c r="AB62" s="33"/>
    </row>
    <row r="63" spans="1:196" x14ac:dyDescent="0.2">
      <c r="A63" s="80"/>
      <c r="B63" s="81"/>
      <c r="D63" s="82"/>
      <c r="E63" s="82"/>
      <c r="F63" s="82"/>
      <c r="G63" s="83"/>
      <c r="H63" s="83"/>
      <c r="I63" s="83"/>
      <c r="J63" s="83"/>
      <c r="K63" s="83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</row>
    <row r="64" spans="1:196" x14ac:dyDescent="0.2">
      <c r="A64" s="101" t="s">
        <v>4</v>
      </c>
      <c r="B64" s="102"/>
      <c r="C64" s="102"/>
      <c r="D64" s="103"/>
      <c r="E64" s="103"/>
      <c r="F64" s="82"/>
      <c r="G64" s="83"/>
      <c r="H64" s="83"/>
      <c r="I64" s="83"/>
      <c r="J64" s="83"/>
      <c r="K64" s="83"/>
      <c r="M64" s="91"/>
      <c r="N64" s="91" t="s">
        <v>78</v>
      </c>
      <c r="O64" s="108">
        <f>DIAG!$T$51</f>
        <v>1</v>
      </c>
      <c r="P64" s="91"/>
      <c r="Q64" s="91"/>
      <c r="R64" s="91"/>
      <c r="S64" s="91"/>
      <c r="T64" s="91"/>
      <c r="U64" s="91"/>
      <c r="V64" s="91"/>
      <c r="W64" s="91"/>
      <c r="X64" s="91"/>
      <c r="Y64" s="91"/>
      <c r="Z64" s="92"/>
      <c r="AA64" s="92"/>
      <c r="AB64" s="92"/>
      <c r="AC64" s="91"/>
      <c r="AD64" s="91"/>
      <c r="AE64" s="91"/>
      <c r="AF64" s="91"/>
      <c r="AG64" s="91"/>
      <c r="AM64" s="91"/>
      <c r="AN64" s="91" t="s">
        <v>78</v>
      </c>
      <c r="AO64" s="108">
        <v>1</v>
      </c>
      <c r="AP64" s="91"/>
      <c r="AQ64" s="91"/>
      <c r="AR64" s="91"/>
      <c r="AS64" s="91"/>
      <c r="AT64" s="91"/>
      <c r="AU64" s="91"/>
      <c r="AV64" s="91"/>
      <c r="AW64" s="91"/>
      <c r="AX64" s="91"/>
      <c r="AY64" s="91"/>
      <c r="AZ64" s="92"/>
      <c r="BA64" s="92"/>
      <c r="BB64" s="92"/>
      <c r="BC64" s="91"/>
      <c r="BD64" s="91"/>
      <c r="BE64" s="91"/>
      <c r="BF64" s="91"/>
      <c r="BG64" s="91"/>
    </row>
    <row r="65" spans="1:59" x14ac:dyDescent="0.2">
      <c r="A65" s="80"/>
      <c r="B65" s="81"/>
      <c r="D65" s="82"/>
      <c r="E65" s="82"/>
      <c r="F65" s="82"/>
      <c r="G65" s="83"/>
      <c r="H65" s="83"/>
      <c r="I65" s="83"/>
      <c r="J65" s="83"/>
      <c r="K65" s="83"/>
      <c r="M65" s="56">
        <f>O64</f>
        <v>1</v>
      </c>
      <c r="N65" s="86" t="s">
        <v>52</v>
      </c>
      <c r="O65" s="87">
        <f t="shared" ref="O65:AG65" si="148">(2*O66*($M65+1)-$M65-$M65*O66^2)/(SQRT(3)*$M65*(1-O66))</f>
        <v>-1.7320508075688774</v>
      </c>
      <c r="P65" s="87">
        <f t="shared" si="148"/>
        <v>-1.7320508075688774</v>
      </c>
      <c r="Q65" s="87">
        <f t="shared" si="148"/>
        <v>-1.7320508075688774</v>
      </c>
      <c r="R65" s="87">
        <f t="shared" si="148"/>
        <v>-1.7320508075688774</v>
      </c>
      <c r="S65" s="87">
        <f t="shared" si="148"/>
        <v>-1.7320508075688774</v>
      </c>
      <c r="T65" s="87">
        <f t="shared" si="148"/>
        <v>-1.7320508075688774</v>
      </c>
      <c r="U65" s="87">
        <f t="shared" si="148"/>
        <v>-1.7320508075688774</v>
      </c>
      <c r="V65" s="87">
        <f t="shared" si="148"/>
        <v>-1.7320508075688774</v>
      </c>
      <c r="W65" s="87">
        <f t="shared" si="148"/>
        <v>-1.7320508075688774</v>
      </c>
      <c r="X65" s="87">
        <f t="shared" si="148"/>
        <v>-1.7320508075688774</v>
      </c>
      <c r="Y65" s="87">
        <f t="shared" si="148"/>
        <v>-1.7320508075688774</v>
      </c>
      <c r="Z65" s="87">
        <f t="shared" si="148"/>
        <v>-1.7320508075688774</v>
      </c>
      <c r="AA65" s="87">
        <f t="shared" si="148"/>
        <v>-1.7320508075688774</v>
      </c>
      <c r="AB65" s="87">
        <f t="shared" si="148"/>
        <v>-1.7320508075688774</v>
      </c>
      <c r="AC65" s="87">
        <f t="shared" si="148"/>
        <v>-1.7320508075688774</v>
      </c>
      <c r="AD65" s="87">
        <f t="shared" si="148"/>
        <v>-1.7320508075688774</v>
      </c>
      <c r="AE65" s="87">
        <f t="shared" si="148"/>
        <v>-1.7320508075688774</v>
      </c>
      <c r="AF65" s="87">
        <f t="shared" si="148"/>
        <v>-1.7320508075688774</v>
      </c>
      <c r="AG65" s="121">
        <f t="shared" si="148"/>
        <v>-1.7320508075688774</v>
      </c>
      <c r="AM65" s="56">
        <f>AO64</f>
        <v>1</v>
      </c>
      <c r="AN65" s="86" t="s">
        <v>52</v>
      </c>
      <c r="AO65" s="87">
        <f t="shared" ref="AO65:BG65" si="149">(2*AO66*($M65+1)-$M65-$M65*AO66^2)/(SQRT(3)*$M65*(1-AO66))</f>
        <v>-1.7320508075688774</v>
      </c>
      <c r="AP65" s="87">
        <f t="shared" si="149"/>
        <v>-1.7320508075688774</v>
      </c>
      <c r="AQ65" s="87">
        <f t="shared" si="149"/>
        <v>-1.7320508075688774</v>
      </c>
      <c r="AR65" s="87">
        <f t="shared" si="149"/>
        <v>-1.7320508075688774</v>
      </c>
      <c r="AS65" s="87">
        <f t="shared" si="149"/>
        <v>-1.7320508075688774</v>
      </c>
      <c r="AT65" s="87">
        <f t="shared" si="149"/>
        <v>-1.7320508075688774</v>
      </c>
      <c r="AU65" s="87">
        <f t="shared" si="149"/>
        <v>-1.7320508075688774</v>
      </c>
      <c r="AV65" s="87">
        <f t="shared" si="149"/>
        <v>-1.7320508075688774</v>
      </c>
      <c r="AW65" s="87">
        <f t="shared" si="149"/>
        <v>-1.7320508075688774</v>
      </c>
      <c r="AX65" s="87">
        <f t="shared" si="149"/>
        <v>-1.7320508075688774</v>
      </c>
      <c r="AY65" s="87">
        <f t="shared" si="149"/>
        <v>-1.7320508075688774</v>
      </c>
      <c r="AZ65" s="87">
        <f t="shared" si="149"/>
        <v>-1.7320508075688774</v>
      </c>
      <c r="BA65" s="87">
        <f t="shared" si="149"/>
        <v>-1.7320508075688774</v>
      </c>
      <c r="BB65" s="87">
        <f t="shared" si="149"/>
        <v>-1.7320508075688774</v>
      </c>
      <c r="BC65" s="87">
        <f t="shared" si="149"/>
        <v>-1.7320508075688774</v>
      </c>
      <c r="BD65" s="87">
        <f t="shared" si="149"/>
        <v>-1.7320508075688774</v>
      </c>
      <c r="BE65" s="87">
        <f t="shared" si="149"/>
        <v>-1.7320508075688774</v>
      </c>
      <c r="BF65" s="87">
        <f t="shared" si="149"/>
        <v>-1.7320508075688774</v>
      </c>
      <c r="BG65" s="121">
        <f t="shared" si="149"/>
        <v>-1.7320508075688774</v>
      </c>
    </row>
    <row r="66" spans="1:59" x14ac:dyDescent="0.2">
      <c r="A66" s="80"/>
      <c r="B66" s="81"/>
      <c r="D66" s="82"/>
      <c r="E66" s="82"/>
      <c r="F66" s="82"/>
      <c r="G66" s="83"/>
      <c r="H66" s="83"/>
      <c r="I66" s="83"/>
      <c r="J66" s="83"/>
      <c r="K66" s="83"/>
      <c r="M66" s="96" t="str">
        <f>CONCATENATE("SI=",O64)</f>
        <v>SI=1</v>
      </c>
      <c r="N66" s="97" t="s">
        <v>53</v>
      </c>
      <c r="O66" s="112">
        <f>IF(DIAG!T48,0,-1)</f>
        <v>-1</v>
      </c>
      <c r="P66" s="112">
        <f>IF(DIAG!$T$48,$AG$67*P75,-1)</f>
        <v>-1</v>
      </c>
      <c r="Q66" s="112">
        <f>IF(DIAG!$T$48,$AG$67*Q75,-1)</f>
        <v>-1</v>
      </c>
      <c r="R66" s="112">
        <f>IF(DIAG!$T$48,$AG$67*R75,-1)</f>
        <v>-1</v>
      </c>
      <c r="S66" s="112">
        <f>IF(DIAG!$T$48,$AG$67*S75,-1)</f>
        <v>-1</v>
      </c>
      <c r="T66" s="112">
        <f>IF(DIAG!$T$48,$AG$67*T75,-1)</f>
        <v>-1</v>
      </c>
      <c r="U66" s="112">
        <f>IF(DIAG!$T$48,$AG$67*U75,-1)</f>
        <v>-1</v>
      </c>
      <c r="V66" s="112">
        <f>IF(DIAG!$T$48,$AG$67*V75,-1)</f>
        <v>-1</v>
      </c>
      <c r="W66" s="112">
        <f>IF(DIAG!$T$48,$AG$67*W75,-1)</f>
        <v>-1</v>
      </c>
      <c r="X66" s="112">
        <f>IF(DIAG!$T$48,$AG$67*X75,-1)</f>
        <v>-1</v>
      </c>
      <c r="Y66" s="112">
        <f>IF(DIAG!$T$48,$AG$67*Y75,-1)</f>
        <v>-1</v>
      </c>
      <c r="Z66" s="112">
        <f>IF(DIAG!$T$48,$AG$67*Z75,-1)</f>
        <v>-1</v>
      </c>
      <c r="AA66" s="112">
        <f>IF(DIAG!$T$48,$AG$67*AA75,-1)</f>
        <v>-1</v>
      </c>
      <c r="AB66" s="112">
        <f>IF(DIAG!$T$48,$AG$67*AB75,-1)</f>
        <v>-1</v>
      </c>
      <c r="AC66" s="112">
        <f>IF(DIAG!$T$48,$AG$67*AC75,-1)</f>
        <v>-1</v>
      </c>
      <c r="AD66" s="112">
        <f>IF(DIAG!$T$48,$AG$67*AD75,-1)</f>
        <v>-1</v>
      </c>
      <c r="AE66" s="112">
        <f>IF(DIAG!$T$48,$AG$67*AE75,-1)</f>
        <v>-1</v>
      </c>
      <c r="AF66" s="112">
        <f>IF(DIAG!$T$48,$AG$67*AF75,-1)</f>
        <v>-1</v>
      </c>
      <c r="AG66" s="122">
        <f>IF(DIAG!T48,((2*$M$65+1-SQRT(4*$M$65+1))/($M$65*2))*DIAG!$T$48,-1)</f>
        <v>-1</v>
      </c>
      <c r="AM66" s="96" t="str">
        <f>CONCATENATE("SI=",AO64)</f>
        <v>SI=1</v>
      </c>
      <c r="AN66" s="97" t="s">
        <v>53</v>
      </c>
      <c r="AO66" s="99">
        <f>IF(DIAG!X44,0,-1)</f>
        <v>-1</v>
      </c>
      <c r="AP66" s="99">
        <f>IF(DIAG!$X44,$BG$67*AP73,-1)</f>
        <v>-1</v>
      </c>
      <c r="AQ66" s="99">
        <f>IF(DIAG!$X44,$BG$67*AQ73,-1)</f>
        <v>-1</v>
      </c>
      <c r="AR66" s="99">
        <f>IF(DIAG!$X44,$BG$67*AR73,-1)</f>
        <v>-1</v>
      </c>
      <c r="AS66" s="99">
        <f>IF(DIAG!$X44,$BG$67*AS73,-1)</f>
        <v>-1</v>
      </c>
      <c r="AT66" s="99">
        <f>IF(DIAG!$X44,$BG$67*AT73,-1)</f>
        <v>-1</v>
      </c>
      <c r="AU66" s="99">
        <f>IF(DIAG!$X44,$BG$67*AU73,-1)</f>
        <v>-1</v>
      </c>
      <c r="AV66" s="99">
        <f>IF(DIAG!$X44,$BG$67*AV73,-1)</f>
        <v>-1</v>
      </c>
      <c r="AW66" s="99">
        <f>IF(DIAG!$X44,$BG$67*AW73,-1)</f>
        <v>-1</v>
      </c>
      <c r="AX66" s="99">
        <f>IF(DIAG!$X44,$BG$67*AX73,-1)</f>
        <v>-1</v>
      </c>
      <c r="AY66" s="99">
        <f>IF(DIAG!$X44,$BG$67*AY73,-1)</f>
        <v>-1</v>
      </c>
      <c r="AZ66" s="99">
        <f>IF(DIAG!$X44,$BG$67*AZ73,-1)</f>
        <v>-1</v>
      </c>
      <c r="BA66" s="99">
        <f>IF(DIAG!$X44,$BG$67*BA73,-1)</f>
        <v>-1</v>
      </c>
      <c r="BB66" s="99">
        <f>IF(DIAG!$X44,$BG$67*BB73,-1)</f>
        <v>-1</v>
      </c>
      <c r="BC66" s="99">
        <f>IF(DIAG!$X44,$BG$67*BC73,-1)</f>
        <v>-1</v>
      </c>
      <c r="BD66" s="99">
        <f>IF(DIAG!$X44,$BG$67*BD73,-1)</f>
        <v>-1</v>
      </c>
      <c r="BE66" s="99">
        <f>IF(DIAG!$X44,$BG$67*BE73,-1)</f>
        <v>-1</v>
      </c>
      <c r="BF66" s="99">
        <f>IF(DIAG!$X44,$BG$67*BF73,-1)</f>
        <v>-1</v>
      </c>
      <c r="BG66" s="123">
        <f>IF(DIAG!X44,((2*$M$65+1-SQRT(4*$M$65+1))/($M$65*2))*DIAG!$X44,-1)</f>
        <v>-1</v>
      </c>
    </row>
    <row r="67" spans="1:59" x14ac:dyDescent="0.2">
      <c r="A67" s="80"/>
      <c r="B67" s="81"/>
      <c r="D67" s="82"/>
      <c r="E67" s="82"/>
      <c r="F67" s="82"/>
      <c r="G67" s="83"/>
      <c r="H67" s="83"/>
      <c r="I67" s="83"/>
      <c r="J67" s="83"/>
      <c r="K67" s="83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24">
        <f>(AG66-O66)/18</f>
        <v>0</v>
      </c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24">
        <f>(BG66-AO66)/18</f>
        <v>0</v>
      </c>
    </row>
    <row r="68" spans="1:59" x14ac:dyDescent="0.2">
      <c r="A68" s="80"/>
      <c r="B68" s="81"/>
      <c r="D68" s="82"/>
      <c r="E68" s="82"/>
      <c r="F68" s="82"/>
      <c r="G68" s="83"/>
      <c r="H68" s="83"/>
      <c r="I68" s="83"/>
      <c r="J68" s="83"/>
      <c r="K68" s="83"/>
      <c r="M68" s="91"/>
      <c r="N68" s="91" t="s">
        <v>80</v>
      </c>
      <c r="O68" s="108">
        <f>DIAG!$T$52</f>
        <v>5</v>
      </c>
      <c r="P68" s="91"/>
      <c r="Q68" s="91"/>
      <c r="R68" s="91"/>
      <c r="S68" s="91"/>
      <c r="T68" s="91"/>
      <c r="U68" s="91"/>
      <c r="V68" s="91"/>
      <c r="W68" s="91"/>
      <c r="X68" s="91"/>
      <c r="Y68" s="91"/>
      <c r="Z68" s="92"/>
      <c r="AA68" s="92"/>
      <c r="AB68" s="92"/>
      <c r="AC68" s="91"/>
      <c r="AD68" s="91"/>
      <c r="AE68" s="91"/>
      <c r="AF68" s="91"/>
      <c r="AG68" s="91"/>
      <c r="AM68" s="91"/>
      <c r="AN68" s="91" t="s">
        <v>79</v>
      </c>
      <c r="AO68" s="108">
        <v>5</v>
      </c>
      <c r="AP68" s="91"/>
      <c r="AQ68" s="91"/>
      <c r="AR68" s="91"/>
      <c r="AS68" s="91"/>
      <c r="AT68" s="91"/>
      <c r="AU68" s="91"/>
      <c r="AV68" s="91"/>
      <c r="AW68" s="91"/>
      <c r="AX68" s="91"/>
      <c r="AY68" s="91"/>
      <c r="AZ68" s="92"/>
      <c r="BA68" s="92"/>
      <c r="BB68" s="92"/>
      <c r="BC68" s="91"/>
      <c r="BD68" s="91"/>
      <c r="BE68" s="91"/>
      <c r="BF68" s="91"/>
      <c r="BG68" s="91"/>
    </row>
    <row r="69" spans="1:59" x14ac:dyDescent="0.2">
      <c r="A69" s="80"/>
      <c r="B69" s="81"/>
      <c r="D69" s="82"/>
      <c r="E69" s="82"/>
      <c r="F69" s="82"/>
      <c r="G69" s="83"/>
      <c r="H69" s="83"/>
      <c r="I69" s="83"/>
      <c r="J69" s="83"/>
      <c r="K69" s="83"/>
      <c r="M69" s="56">
        <f>O68</f>
        <v>5</v>
      </c>
      <c r="N69" s="86" t="s">
        <v>52</v>
      </c>
      <c r="O69" s="87">
        <f t="shared" ref="O69:AG69" si="150">(2*O70*($M69+1)-$M69-$M69*O70^2)/(SQRT(3)*$M69*(1-O70))</f>
        <v>-1.2701705922171769</v>
      </c>
      <c r="P69" s="87">
        <f t="shared" si="150"/>
        <v>-1.2701705922171769</v>
      </c>
      <c r="Q69" s="87">
        <f t="shared" si="150"/>
        <v>-1.2701705922171769</v>
      </c>
      <c r="R69" s="87">
        <f t="shared" si="150"/>
        <v>-1.2701705922171769</v>
      </c>
      <c r="S69" s="87">
        <f t="shared" si="150"/>
        <v>-1.2701705922171769</v>
      </c>
      <c r="T69" s="87">
        <f t="shared" si="150"/>
        <v>-1.2701705922171769</v>
      </c>
      <c r="U69" s="87">
        <f t="shared" si="150"/>
        <v>-1.2701705922171769</v>
      </c>
      <c r="V69" s="87">
        <f t="shared" si="150"/>
        <v>-1.2701705922171769</v>
      </c>
      <c r="W69" s="87">
        <f t="shared" si="150"/>
        <v>-1.2701705922171769</v>
      </c>
      <c r="X69" s="87">
        <f t="shared" si="150"/>
        <v>-1.2701705922171769</v>
      </c>
      <c r="Y69" s="87">
        <f t="shared" si="150"/>
        <v>-1.2701705922171769</v>
      </c>
      <c r="Z69" s="87">
        <f t="shared" si="150"/>
        <v>-1.2701705922171769</v>
      </c>
      <c r="AA69" s="87">
        <f t="shared" si="150"/>
        <v>-1.2701705922171769</v>
      </c>
      <c r="AB69" s="87">
        <f t="shared" si="150"/>
        <v>-1.2701705922171769</v>
      </c>
      <c r="AC69" s="87">
        <f t="shared" si="150"/>
        <v>-1.2701705922171769</v>
      </c>
      <c r="AD69" s="87">
        <f t="shared" si="150"/>
        <v>-1.2701705922171769</v>
      </c>
      <c r="AE69" s="87">
        <f t="shared" si="150"/>
        <v>-1.2701705922171769</v>
      </c>
      <c r="AF69" s="87">
        <f t="shared" si="150"/>
        <v>-1.2701705922171769</v>
      </c>
      <c r="AG69" s="121">
        <f t="shared" si="150"/>
        <v>-1.2701705922171769</v>
      </c>
      <c r="AM69" s="56">
        <f>AO68</f>
        <v>5</v>
      </c>
      <c r="AN69" s="86" t="s">
        <v>52</v>
      </c>
      <c r="AO69" s="87">
        <f t="shared" ref="AO69:BG69" si="151">(2*AO70*($M69+1)-$M69-$M69*AO70^2)/(SQRT(3)*$M69*(1-AO70))</f>
        <v>-1.2701705922171769</v>
      </c>
      <c r="AP69" s="87">
        <f t="shared" si="151"/>
        <v>-1.2701705922171769</v>
      </c>
      <c r="AQ69" s="87">
        <f t="shared" si="151"/>
        <v>-1.2701705922171769</v>
      </c>
      <c r="AR69" s="87">
        <f t="shared" si="151"/>
        <v>-1.2701705922171769</v>
      </c>
      <c r="AS69" s="87">
        <f t="shared" si="151"/>
        <v>-1.2701705922171769</v>
      </c>
      <c r="AT69" s="87">
        <f t="shared" si="151"/>
        <v>-1.2701705922171769</v>
      </c>
      <c r="AU69" s="87">
        <f t="shared" si="151"/>
        <v>-1.2701705922171769</v>
      </c>
      <c r="AV69" s="87">
        <f t="shared" si="151"/>
        <v>-1.2701705922171769</v>
      </c>
      <c r="AW69" s="87">
        <f t="shared" si="151"/>
        <v>-1.2701705922171769</v>
      </c>
      <c r="AX69" s="87">
        <f t="shared" si="151"/>
        <v>-1.2701705922171769</v>
      </c>
      <c r="AY69" s="87">
        <f t="shared" si="151"/>
        <v>-1.2701705922171769</v>
      </c>
      <c r="AZ69" s="87">
        <f t="shared" si="151"/>
        <v>-1.2701705922171769</v>
      </c>
      <c r="BA69" s="87">
        <f t="shared" si="151"/>
        <v>-1.2701705922171769</v>
      </c>
      <c r="BB69" s="87">
        <f t="shared" si="151"/>
        <v>-1.2701705922171769</v>
      </c>
      <c r="BC69" s="87">
        <f t="shared" si="151"/>
        <v>-1.2701705922171769</v>
      </c>
      <c r="BD69" s="87">
        <f t="shared" si="151"/>
        <v>-1.2701705922171769</v>
      </c>
      <c r="BE69" s="87">
        <f t="shared" si="151"/>
        <v>-1.2701705922171769</v>
      </c>
      <c r="BF69" s="87">
        <f t="shared" si="151"/>
        <v>-1.2701705922171769</v>
      </c>
      <c r="BG69" s="121">
        <f t="shared" si="151"/>
        <v>-1.2701705922171769</v>
      </c>
    </row>
    <row r="70" spans="1:59" x14ac:dyDescent="0.2">
      <c r="A70" s="80"/>
      <c r="B70" s="81"/>
      <c r="D70" s="82"/>
      <c r="E70" s="82"/>
      <c r="F70" s="82"/>
      <c r="G70" s="83"/>
      <c r="H70" s="83"/>
      <c r="I70" s="83"/>
      <c r="J70" s="83"/>
      <c r="K70" s="83"/>
      <c r="M70" s="96" t="str">
        <f>CONCATENATE("SI=",O68)</f>
        <v>SI=5</v>
      </c>
      <c r="N70" s="97" t="s">
        <v>53</v>
      </c>
      <c r="O70" s="112">
        <f>IF(DIAG!T49,0,-1)</f>
        <v>-1</v>
      </c>
      <c r="P70" s="112">
        <f>IF(DIAG!$T$49,$AG$71*P75,-1)</f>
        <v>-1</v>
      </c>
      <c r="Q70" s="112">
        <f>IF(DIAG!$T$49,$AG$71*Q75,-1)</f>
        <v>-1</v>
      </c>
      <c r="R70" s="112">
        <f>IF(DIAG!$T$49,$AG$71*R75,-1)</f>
        <v>-1</v>
      </c>
      <c r="S70" s="112">
        <f>IF(DIAG!$T$49,$AG$71*S75,-1)</f>
        <v>-1</v>
      </c>
      <c r="T70" s="112">
        <f>IF(DIAG!$T$49,$AG$71*T75,-1)</f>
        <v>-1</v>
      </c>
      <c r="U70" s="112">
        <f>IF(DIAG!$T$49,$AG$71*U75,-1)</f>
        <v>-1</v>
      </c>
      <c r="V70" s="112">
        <f>IF(DIAG!$T$49,$AG$71*V75,-1)</f>
        <v>-1</v>
      </c>
      <c r="W70" s="112">
        <f>IF(DIAG!$T$49,$AG$71*W75,-1)</f>
        <v>-1</v>
      </c>
      <c r="X70" s="112">
        <f>IF(DIAG!$T$49,$AG$71*X75,-1)</f>
        <v>-1</v>
      </c>
      <c r="Y70" s="112">
        <f>IF(DIAG!$T$49,$AG$71*Y75,-1)</f>
        <v>-1</v>
      </c>
      <c r="Z70" s="112">
        <f>IF(DIAG!$T$49,$AG$71*Z75,-1)</f>
        <v>-1</v>
      </c>
      <c r="AA70" s="112">
        <f>IF(DIAG!$T$49,$AG$71*AA75,-1)</f>
        <v>-1</v>
      </c>
      <c r="AB70" s="112">
        <f>IF(DIAG!$T$49,$AG$71*AB75,-1)</f>
        <v>-1</v>
      </c>
      <c r="AC70" s="112">
        <f>IF(DIAG!$T$49,$AG$71*AC75,-1)</f>
        <v>-1</v>
      </c>
      <c r="AD70" s="112">
        <f>IF(DIAG!$T$49,$AG$71*AD75,-1)</f>
        <v>-1</v>
      </c>
      <c r="AE70" s="112">
        <f>IF(DIAG!$T$49,$AG$71*AE75,-1)</f>
        <v>-1</v>
      </c>
      <c r="AF70" s="112">
        <f>IF(DIAG!$T$49,$AG$71*AF75,-1)</f>
        <v>-1</v>
      </c>
      <c r="AG70" s="122">
        <f>IF(DIAG!T49,((2*$M$69+1-SQRT(4*$M$69+1))/($M$69*2))*DIAG!$T$49,-1)</f>
        <v>-1</v>
      </c>
      <c r="AM70" s="96" t="str">
        <f>CONCATENATE("SI=",AO68)</f>
        <v>SI=5</v>
      </c>
      <c r="AN70" s="97" t="s">
        <v>53</v>
      </c>
      <c r="AO70" s="99">
        <f>IF(DIAG!X44,0,-1)</f>
        <v>-1</v>
      </c>
      <c r="AP70" s="99">
        <f>IF(DIAG!$X44,$BG$71*AP73,-1)</f>
        <v>-1</v>
      </c>
      <c r="AQ70" s="99">
        <f>IF(DIAG!$X44,$BG$71*AQ73,-1)</f>
        <v>-1</v>
      </c>
      <c r="AR70" s="99">
        <f>IF(DIAG!$X44,$BG$71*AR73,-1)</f>
        <v>-1</v>
      </c>
      <c r="AS70" s="99">
        <f>IF(DIAG!$X44,$BG$71*AS73,-1)</f>
        <v>-1</v>
      </c>
      <c r="AT70" s="99">
        <f>IF(DIAG!$X44,$BG$71*AT73,-1)</f>
        <v>-1</v>
      </c>
      <c r="AU70" s="99">
        <f>IF(DIAG!$X44,$BG$71*AU73,-1)</f>
        <v>-1</v>
      </c>
      <c r="AV70" s="99">
        <f>IF(DIAG!$X44,$BG$71*AV73,-1)</f>
        <v>-1</v>
      </c>
      <c r="AW70" s="99">
        <f>IF(DIAG!$X44,$BG$71*AW73,-1)</f>
        <v>-1</v>
      </c>
      <c r="AX70" s="99">
        <f>IF(DIAG!$X44,$BG$71*AX73,-1)</f>
        <v>-1</v>
      </c>
      <c r="AY70" s="99">
        <f>IF(DIAG!$X44,$BG$71*AY73,-1)</f>
        <v>-1</v>
      </c>
      <c r="AZ70" s="99">
        <f>IF(DIAG!$X44,$BG$71*AZ73,-1)</f>
        <v>-1</v>
      </c>
      <c r="BA70" s="99">
        <f>IF(DIAG!$X44,$BG$71*BA73,-1)</f>
        <v>-1</v>
      </c>
      <c r="BB70" s="99">
        <f>IF(DIAG!$X44,$BG$71*BB73,-1)</f>
        <v>-1</v>
      </c>
      <c r="BC70" s="99">
        <f>IF(DIAG!$X44,$BG$71*BC73,-1)</f>
        <v>-1</v>
      </c>
      <c r="BD70" s="99">
        <f>IF(DIAG!$X44,$BG$71*BD73,-1)</f>
        <v>-1</v>
      </c>
      <c r="BE70" s="99">
        <f>IF(DIAG!$X44,$BG$71*BE73,-1)</f>
        <v>-1</v>
      </c>
      <c r="BF70" s="99">
        <f>IF(DIAG!$X44,$BG$71*BF73,-1)</f>
        <v>-1</v>
      </c>
      <c r="BG70" s="123">
        <f>IF(DIAG!X44,((2*$M$69+1-SQRT(4*$M$69+1))/($M$69*2))*DIAG!$X44,-1)</f>
        <v>-1</v>
      </c>
    </row>
    <row r="71" spans="1:59" x14ac:dyDescent="0.2">
      <c r="A71" s="80"/>
      <c r="B71" s="81"/>
      <c r="D71" s="82"/>
      <c r="E71" s="82"/>
      <c r="F71" s="82"/>
      <c r="G71" s="83"/>
      <c r="H71" s="83"/>
      <c r="I71" s="83"/>
      <c r="J71" s="83"/>
      <c r="K71" s="83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24">
        <f>(AG70-O70)/18</f>
        <v>0</v>
      </c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24">
        <f>(BG70-AO70)/18</f>
        <v>0</v>
      </c>
    </row>
    <row r="72" spans="1:59" x14ac:dyDescent="0.2">
      <c r="A72" s="80"/>
      <c r="B72" s="81"/>
      <c r="D72" s="82"/>
      <c r="E72" s="82"/>
      <c r="F72" s="82"/>
      <c r="G72" s="83"/>
      <c r="H72" s="83"/>
      <c r="I72" s="83"/>
      <c r="J72" s="83"/>
      <c r="K72" s="83"/>
      <c r="M72" s="91"/>
      <c r="N72" s="108" t="s">
        <v>119</v>
      </c>
      <c r="O72" s="108">
        <f>DIAG!$T$53</f>
        <v>2</v>
      </c>
      <c r="P72" s="91"/>
      <c r="Q72" s="91"/>
      <c r="R72" s="91"/>
      <c r="S72" s="91"/>
      <c r="T72" s="91"/>
      <c r="U72" s="91"/>
      <c r="V72" s="91"/>
      <c r="W72" s="91"/>
      <c r="X72" s="91"/>
      <c r="Y72" s="91"/>
      <c r="Z72" s="92"/>
      <c r="AA72" s="92"/>
      <c r="AB72" s="92"/>
      <c r="AC72" s="91"/>
      <c r="AD72" s="91"/>
      <c r="AE72" s="91"/>
      <c r="AF72" s="91"/>
      <c r="AG72" s="91"/>
    </row>
    <row r="73" spans="1:59" x14ac:dyDescent="0.2">
      <c r="A73" s="80"/>
      <c r="B73" s="81"/>
      <c r="D73" s="82"/>
      <c r="E73" s="82"/>
      <c r="F73" s="82"/>
      <c r="G73" s="83"/>
      <c r="H73" s="83"/>
      <c r="I73" s="83"/>
      <c r="J73" s="83"/>
      <c r="K73" s="83"/>
      <c r="M73" s="56">
        <f>O72</f>
        <v>2</v>
      </c>
      <c r="N73" s="86" t="s">
        <v>52</v>
      </c>
      <c r="O73" s="87">
        <f>(2*O74*($M73+1)-$M73-$M73*O74^2)/(SQRT(3)*$M73*(1-O74))</f>
        <v>-1.4433756729740645</v>
      </c>
      <c r="P73" s="87">
        <f t="shared" ref="P73:AG73" si="152">(2*P74*($M73+1)-$M73-$M73*P74^2)/(SQRT(3)*$M73*(1-P74))</f>
        <v>-1.4433756729740645</v>
      </c>
      <c r="Q73" s="87">
        <f t="shared" si="152"/>
        <v>-1.4433756729740645</v>
      </c>
      <c r="R73" s="87">
        <f t="shared" si="152"/>
        <v>-1.4433756729740645</v>
      </c>
      <c r="S73" s="87">
        <f t="shared" si="152"/>
        <v>-1.4433756729740645</v>
      </c>
      <c r="T73" s="87">
        <f t="shared" si="152"/>
        <v>-1.4433756729740645</v>
      </c>
      <c r="U73" s="87">
        <f t="shared" si="152"/>
        <v>-1.4433756729740645</v>
      </c>
      <c r="V73" s="87">
        <f t="shared" si="152"/>
        <v>-1.4433756729740645</v>
      </c>
      <c r="W73" s="87">
        <f>(2*W74*($M73+1)-$M73-$M73*W74^2)/(SQRT(3)*$M73*(1-W74))</f>
        <v>-1.4433756729740645</v>
      </c>
      <c r="X73" s="87">
        <f>(2*X74*($M73+1)-$M73-$M73*X74^2)/(SQRT(3)*$M73*(1-X74))</f>
        <v>-1.4433756729740645</v>
      </c>
      <c r="Y73" s="87">
        <f>(2*Y74*($M73+1)-$M73-$M73*Y74^2)/(SQRT(3)*$M73*(1-Y74))</f>
        <v>-1.4433756729740645</v>
      </c>
      <c r="Z73" s="87">
        <f t="shared" si="152"/>
        <v>-1.4433756729740645</v>
      </c>
      <c r="AA73" s="87">
        <f>(2*AA74*($M73+1)-$M73-$M73*AA74^2)/(SQRT(3)*$M73*(1-AA74))</f>
        <v>-1.4433756729740645</v>
      </c>
      <c r="AB73" s="87">
        <f>(2*AB74*($M73+1)-$M73-$M73*AB74^2)/(SQRT(3)*$M73*(1-AB74))</f>
        <v>-1.4433756729740645</v>
      </c>
      <c r="AC73" s="87">
        <f>(2*AC74*($M73+1)-$M73-$M73*AC74^2)/(SQRT(3)*$M73*(1-AC74))</f>
        <v>-1.4433756729740645</v>
      </c>
      <c r="AD73" s="87">
        <f>(2*AD74*($M73+1)-$M73-$M73*AD74^2)/(SQRT(3)*$M73*(1-AD74))</f>
        <v>-1.4433756729740645</v>
      </c>
      <c r="AE73" s="87">
        <f t="shared" si="152"/>
        <v>-1.4433756729740645</v>
      </c>
      <c r="AF73" s="87">
        <f t="shared" si="152"/>
        <v>-1.4433756729740645</v>
      </c>
      <c r="AG73" s="121">
        <f t="shared" si="152"/>
        <v>-1.4433756729740645</v>
      </c>
      <c r="AH73" s="33"/>
      <c r="AI73" s="33"/>
      <c r="AJ73" s="33"/>
      <c r="AP73" s="112">
        <v>1</v>
      </c>
      <c r="AQ73" s="112">
        <v>2</v>
      </c>
      <c r="AR73" s="112">
        <v>3</v>
      </c>
      <c r="AS73" s="112">
        <v>4</v>
      </c>
      <c r="AT73" s="112">
        <v>5</v>
      </c>
      <c r="AU73" s="112">
        <v>6</v>
      </c>
      <c r="AV73" s="112">
        <v>7</v>
      </c>
      <c r="AW73" s="112">
        <v>8</v>
      </c>
      <c r="AX73" s="112">
        <v>9</v>
      </c>
      <c r="AY73" s="112">
        <v>10</v>
      </c>
      <c r="AZ73" s="112">
        <v>11</v>
      </c>
      <c r="BA73" s="112">
        <v>12</v>
      </c>
      <c r="BB73" s="112">
        <v>13</v>
      </c>
      <c r="BC73" s="112">
        <v>14</v>
      </c>
      <c r="BD73" s="112">
        <v>15</v>
      </c>
      <c r="BE73" s="112">
        <v>16</v>
      </c>
      <c r="BF73" s="112">
        <v>17</v>
      </c>
      <c r="BG73" s="124">
        <f>(BG74-AO74)/18</f>
        <v>0</v>
      </c>
    </row>
    <row r="74" spans="1:59" x14ac:dyDescent="0.2">
      <c r="A74" s="125"/>
      <c r="B74" s="126"/>
      <c r="C74" s="32"/>
      <c r="D74" s="127"/>
      <c r="E74" s="127"/>
      <c r="F74" s="82"/>
      <c r="G74" s="83"/>
      <c r="H74" s="83"/>
      <c r="I74" s="83"/>
      <c r="J74" s="83"/>
      <c r="K74" s="83"/>
      <c r="M74" s="96" t="str">
        <f>CONCATENATE("SI=",O72)</f>
        <v>SI=2</v>
      </c>
      <c r="N74" s="91" t="s">
        <v>53</v>
      </c>
      <c r="O74" s="108">
        <f>IF(DIAG!T50,0,-1)</f>
        <v>-1</v>
      </c>
      <c r="P74" s="108">
        <f>IF(DIAG!$T$50,$AG$75*P75,-1)</f>
        <v>-1</v>
      </c>
      <c r="Q74" s="108">
        <f>IF(DIAG!$T$50,$AG$75*Q75,-1)</f>
        <v>-1</v>
      </c>
      <c r="R74" s="108">
        <f>IF(DIAG!$T$50,$AG$75*R75,-1)</f>
        <v>-1</v>
      </c>
      <c r="S74" s="108">
        <f>IF(DIAG!$T$50,$AG$75*S75,-1)</f>
        <v>-1</v>
      </c>
      <c r="T74" s="108">
        <f>IF(DIAG!$T$50,$AG$75*T75,-1)</f>
        <v>-1</v>
      </c>
      <c r="U74" s="108">
        <f>IF(DIAG!$T$50,$AG$75*U75,-1)</f>
        <v>-1</v>
      </c>
      <c r="V74" s="108">
        <f>IF(DIAG!$T$50,$AG$75*V75,-1)</f>
        <v>-1</v>
      </c>
      <c r="W74" s="108">
        <f>IF(DIAG!$T$50,$AG$75*W75,-1)</f>
        <v>-1</v>
      </c>
      <c r="X74" s="108">
        <f>IF(DIAG!$T$50,$AG$75*X75,-1)</f>
        <v>-1</v>
      </c>
      <c r="Y74" s="108">
        <f>IF(DIAG!$T$50,$AG$75*Y75,-1)</f>
        <v>-1</v>
      </c>
      <c r="Z74" s="108">
        <f>IF(DIAG!$T$50,$AG$75*Z75,-1)</f>
        <v>-1</v>
      </c>
      <c r="AA74" s="108">
        <f>IF(DIAG!$T$50,$AG$75*AA75,-1)</f>
        <v>-1</v>
      </c>
      <c r="AB74" s="108">
        <f>IF(DIAG!$T$50,$AG$75*AB75,-1)</f>
        <v>-1</v>
      </c>
      <c r="AC74" s="108">
        <f>IF(DIAG!$T$50,$AG$75*AC75,-1)</f>
        <v>-1</v>
      </c>
      <c r="AD74" s="108">
        <f>IF(DIAG!$T$50,$AG$75*AD75,-1)</f>
        <v>-1</v>
      </c>
      <c r="AE74" s="108">
        <f>IF(DIAG!$T$50,$AG$75*AE75,-1)</f>
        <v>-1</v>
      </c>
      <c r="AF74" s="108">
        <f>IF(DIAG!$T$50,$AG$75*AF75,-1)</f>
        <v>-1</v>
      </c>
      <c r="AG74" s="122">
        <f>IF(DIAG!T50,((2*$M$73+1-SQRT(4*$M$73+1))/($M$73*2))*DIAG!$T$50,-1)</f>
        <v>-1</v>
      </c>
      <c r="AH74" s="33"/>
      <c r="AI74" s="33"/>
      <c r="AJ74" s="33"/>
    </row>
    <row r="75" spans="1:59" x14ac:dyDescent="0.2">
      <c r="A75" s="80"/>
      <c r="B75" s="81"/>
      <c r="D75" s="82"/>
      <c r="E75" s="82"/>
      <c r="F75" s="82"/>
      <c r="G75" s="83"/>
      <c r="H75" s="83"/>
      <c r="I75" s="83"/>
      <c r="J75" s="83"/>
      <c r="K75" s="83"/>
      <c r="M75" s="96"/>
      <c r="N75" s="97"/>
      <c r="O75" s="112"/>
      <c r="P75" s="112">
        <v>1</v>
      </c>
      <c r="Q75" s="112">
        <v>2</v>
      </c>
      <c r="R75" s="112">
        <v>3</v>
      </c>
      <c r="S75" s="112">
        <v>4</v>
      </c>
      <c r="T75" s="112">
        <v>5</v>
      </c>
      <c r="U75" s="112">
        <v>6</v>
      </c>
      <c r="V75" s="112">
        <v>7</v>
      </c>
      <c r="W75" s="112">
        <v>8</v>
      </c>
      <c r="X75" s="112">
        <v>9</v>
      </c>
      <c r="Y75" s="112">
        <v>10</v>
      </c>
      <c r="Z75" s="112">
        <v>11</v>
      </c>
      <c r="AA75" s="112">
        <v>12</v>
      </c>
      <c r="AB75" s="112">
        <v>13</v>
      </c>
      <c r="AC75" s="112">
        <v>14</v>
      </c>
      <c r="AD75" s="112">
        <v>15</v>
      </c>
      <c r="AE75" s="112">
        <v>16</v>
      </c>
      <c r="AF75" s="112">
        <v>17</v>
      </c>
      <c r="AG75" s="124">
        <f>(AG74-O74)/18</f>
        <v>0</v>
      </c>
    </row>
    <row r="76" spans="1:59" x14ac:dyDescent="0.2">
      <c r="A76" s="80" t="s">
        <v>6</v>
      </c>
      <c r="B76" s="81"/>
      <c r="D76" s="82"/>
      <c r="E76" s="82"/>
      <c r="F76" s="82" t="s">
        <v>5</v>
      </c>
      <c r="G76" s="83"/>
      <c r="H76" s="128" t="s">
        <v>7</v>
      </c>
      <c r="I76" s="83"/>
      <c r="J76" s="83"/>
      <c r="K76" s="83"/>
      <c r="Z76" s="33"/>
      <c r="AA76" s="33"/>
      <c r="AB76" s="33"/>
      <c r="AO76" s="9" t="s">
        <v>44</v>
      </c>
      <c r="AP76" s="129">
        <v>-0.52500000000000002</v>
      </c>
      <c r="AQ76" s="129">
        <v>0.52500000000000002</v>
      </c>
      <c r="AR76" s="94">
        <v>-0.38700000000000001</v>
      </c>
      <c r="AS76" s="94">
        <v>0.38700000000000001</v>
      </c>
      <c r="AT76" s="94">
        <v>0</v>
      </c>
      <c r="AU76" s="94">
        <v>0.28999999999999998</v>
      </c>
      <c r="AV76" s="94">
        <v>-0.34639999999999999</v>
      </c>
      <c r="AW76" s="94">
        <v>0.11700000000000001</v>
      </c>
    </row>
    <row r="77" spans="1:59" x14ac:dyDescent="0.2">
      <c r="A77" s="101" t="s">
        <v>54</v>
      </c>
      <c r="B77" s="102"/>
      <c r="C77" s="102"/>
      <c r="D77" s="102"/>
      <c r="E77" s="102"/>
      <c r="F77" s="103"/>
      <c r="G77" s="104"/>
      <c r="H77" s="104"/>
      <c r="I77" s="104"/>
      <c r="J77" s="104"/>
      <c r="K77" s="104"/>
      <c r="L77" s="88"/>
      <c r="M77" s="88"/>
      <c r="N77" s="88"/>
      <c r="O77" s="88"/>
      <c r="P77" s="88"/>
      <c r="Q77" s="88"/>
      <c r="R77" s="88"/>
      <c r="S77" s="130"/>
      <c r="T77" s="130"/>
      <c r="U77" s="130"/>
      <c r="V77" s="130"/>
      <c r="W77" s="130"/>
      <c r="X77" s="130"/>
      <c r="Y77" s="130"/>
      <c r="Z77" s="130"/>
      <c r="AA77" s="130"/>
      <c r="AB77" s="130"/>
      <c r="AC77" s="88"/>
      <c r="AD77" s="88"/>
      <c r="AE77" s="88"/>
      <c r="AF77" s="88"/>
      <c r="AG77" s="88"/>
      <c r="AH77" s="88"/>
      <c r="AI77" s="89"/>
      <c r="AM77" s="119">
        <v>1</v>
      </c>
      <c r="AN77" s="91"/>
      <c r="AO77" s="91" t="str">
        <f>IF([1]DIAG!X44,CONCATENATE("F=",TRUNC(AM77/2,2)),"")</f>
        <v/>
      </c>
      <c r="AP77" s="91"/>
      <c r="AQ77" s="91"/>
      <c r="AR77" s="91"/>
      <c r="AS77" s="91"/>
      <c r="AT77" s="91">
        <f>IF(DIAG!X44,IF(1-$AM$77+SQRT(3)*(AT76)&gt;1,1,1-$AM$77+SQRT(3)*(AT76)),-1)</f>
        <v>-1</v>
      </c>
      <c r="AU77" s="91">
        <f>IF(DIAG!X44,IF(1-$AM$77+SQRT(3)*(AU76)&gt;1,1,1-$AM$77+SQRT(3)*(AU76)),-1)</f>
        <v>-1</v>
      </c>
      <c r="AV77" s="91"/>
      <c r="AW77" s="91"/>
    </row>
    <row r="78" spans="1:59" ht="15.75" x14ac:dyDescent="0.3">
      <c r="A78" s="34" t="s">
        <v>107</v>
      </c>
      <c r="B78" s="131" t="s">
        <v>108</v>
      </c>
      <c r="C78" s="10" t="s">
        <v>55</v>
      </c>
      <c r="D78" s="10" t="s">
        <v>56</v>
      </c>
      <c r="E78" s="34" t="s">
        <v>107</v>
      </c>
      <c r="F78" s="131" t="s">
        <v>108</v>
      </c>
      <c r="G78" s="34" t="s">
        <v>107</v>
      </c>
      <c r="H78" s="131" t="s">
        <v>108</v>
      </c>
      <c r="N78" s="10" t="s">
        <v>44</v>
      </c>
      <c r="O78" s="28">
        <f>O35</f>
        <v>-0.57735026918962584</v>
      </c>
      <c r="P78" s="28">
        <f>P35</f>
        <v>-0.51961524227066325</v>
      </c>
      <c r="Q78" s="28">
        <f t="shared" ref="Q78:AI78" si="153">Q35</f>
        <v>-0.46188021535170065</v>
      </c>
      <c r="R78" s="28">
        <f t="shared" si="153"/>
        <v>-0.40414518843273811</v>
      </c>
      <c r="S78" s="28">
        <f t="shared" si="153"/>
        <v>-0.34641016151377552</v>
      </c>
      <c r="T78" s="28">
        <f t="shared" si="153"/>
        <v>-0.28867513459481292</v>
      </c>
      <c r="U78" s="28">
        <f t="shared" si="153"/>
        <v>-0.23094010767585038</v>
      </c>
      <c r="V78" s="28">
        <f t="shared" si="153"/>
        <v>-0.17320508075688779</v>
      </c>
      <c r="W78" s="28">
        <f t="shared" si="153"/>
        <v>-0.11547005383792519</v>
      </c>
      <c r="X78" s="28">
        <f t="shared" si="153"/>
        <v>-5.7735026918962595E-2</v>
      </c>
      <c r="Y78" s="28">
        <f t="shared" si="153"/>
        <v>0</v>
      </c>
      <c r="Z78" s="28">
        <f t="shared" si="153"/>
        <v>5.7735026918962595E-2</v>
      </c>
      <c r="AA78" s="28">
        <f t="shared" si="153"/>
        <v>0.11547005383792519</v>
      </c>
      <c r="AB78" s="28">
        <f t="shared" si="153"/>
        <v>0.17320508075688779</v>
      </c>
      <c r="AC78" s="28">
        <f t="shared" si="153"/>
        <v>0.23094010767585038</v>
      </c>
      <c r="AD78" s="28">
        <f t="shared" si="153"/>
        <v>0.28867513459481292</v>
      </c>
      <c r="AE78" s="28">
        <f t="shared" si="153"/>
        <v>0.34641016151377552</v>
      </c>
      <c r="AF78" s="28">
        <f t="shared" si="153"/>
        <v>0.40414518843273811</v>
      </c>
      <c r="AG78" s="28">
        <f t="shared" si="153"/>
        <v>0.46188021535170065</v>
      </c>
      <c r="AH78" s="28">
        <f t="shared" si="153"/>
        <v>0.51961524227066325</v>
      </c>
      <c r="AI78" s="28">
        <f t="shared" si="153"/>
        <v>0.57735026918962584</v>
      </c>
      <c r="AM78" s="119">
        <v>0.4</v>
      </c>
      <c r="AN78" s="91"/>
      <c r="AO78" s="91" t="str">
        <f>IF([1]DIAG!X44,CONCATENATE("F=",TRUNC(AM78/2,2)),"")</f>
        <v/>
      </c>
      <c r="AP78" s="91"/>
      <c r="AQ78" s="91"/>
      <c r="AR78" s="91"/>
      <c r="AS78" s="91"/>
      <c r="AT78" s="91"/>
      <c r="AU78" s="91"/>
      <c r="AV78" s="91">
        <f>IF(DIAG!X44,IF(1-$AM$78+SQRT(3)*(AV76)&gt;1,1,1-$AM$78+SQRT(3)*(AV76)),-1)</f>
        <v>-1</v>
      </c>
      <c r="AW78" s="91">
        <f>IF(DIAG!X44,IF(1-$AM$78+SQRT(3)*(AW67)&gt;1,1,1-$AM$78+SQRT(3)*(AW76)),-1)</f>
        <v>-1</v>
      </c>
    </row>
    <row r="79" spans="1:59" x14ac:dyDescent="0.2">
      <c r="A79" s="133">
        <f>VLOOKUP(A78,A26:GS26,DIAG!$T$58+1,0)</f>
        <v>0.10420468273178621</v>
      </c>
      <c r="B79" s="134">
        <f>VLOOKUP(B78,A27:GS27,DIAG!$T$58+1,0)</f>
        <v>0.25365853658536586</v>
      </c>
      <c r="E79" s="133">
        <f>VLOOKUP(E78,A26:GS26,DIAG!$W$56+1,0)</f>
        <v>0.10420468273178621</v>
      </c>
      <c r="F79" s="134">
        <f>VLOOKUP(F78,A27:GS27,DIAG!$W$56+1,0)</f>
        <v>0.25365853658536586</v>
      </c>
      <c r="G79" s="133">
        <f>VLOOKUP(G78,A26:GS26,DIAG!$W$58+1,0)</f>
        <v>0.10420468273178621</v>
      </c>
      <c r="H79" s="134">
        <f>VLOOKUP(H78,A27:GS27,DIAG!$W$58+1,0)</f>
        <v>0.25365853658536586</v>
      </c>
      <c r="N79" s="10" t="s">
        <v>118</v>
      </c>
      <c r="O79" s="28">
        <f>IF(A79&lt;&gt;0,O35,0)</f>
        <v>-0.57735026918962584</v>
      </c>
      <c r="P79" s="28">
        <f>IF(A79&lt;&gt;0,P35,0)</f>
        <v>-0.51961524227066325</v>
      </c>
      <c r="Q79" s="28">
        <f>IF(A79&lt;&gt;0,Q35,0)</f>
        <v>-0.46188021535170065</v>
      </c>
      <c r="R79" s="28">
        <f>IF(A79&lt;&gt;0,R35,0)</f>
        <v>-0.40414518843273811</v>
      </c>
      <c r="S79" s="28">
        <f>IF(A79&lt;&gt;0,S35,0)</f>
        <v>-0.34641016151377552</v>
      </c>
      <c r="T79" s="28">
        <f>IF(A79&lt;&gt;0,T35,0)</f>
        <v>-0.28867513459481292</v>
      </c>
      <c r="U79" s="28">
        <f>IF(A79&lt;&gt;0,U35,0)</f>
        <v>-0.23094010767585038</v>
      </c>
      <c r="V79" s="28">
        <f>IF(A79&lt;&gt;0,V35,0)</f>
        <v>-0.17320508075688779</v>
      </c>
      <c r="W79" s="28">
        <f>IF(A79&lt;&gt;0,W35,0)</f>
        <v>-0.11547005383792519</v>
      </c>
      <c r="X79" s="28">
        <f>IF(A79&lt;&gt;0,X35,0)</f>
        <v>-5.7735026918962595E-2</v>
      </c>
      <c r="Y79" s="28">
        <f>IF(A79&lt;&gt;0,Y35,0)</f>
        <v>0</v>
      </c>
      <c r="Z79" s="28">
        <f>IF(A79&lt;&gt;0,Z35,0)</f>
        <v>5.7735026918962595E-2</v>
      </c>
      <c r="AA79" s="28">
        <f>IF(A79&lt;&gt;0,AA35,0)</f>
        <v>0.11547005383792519</v>
      </c>
      <c r="AB79" s="28">
        <f>IF(A79&lt;&gt;0,AB35,0)</f>
        <v>0.17320508075688779</v>
      </c>
      <c r="AC79" s="28">
        <f>IF(A79&lt;&gt;0,AC35,0)</f>
        <v>0.23094010767585038</v>
      </c>
      <c r="AD79" s="28">
        <f>IF(A79&lt;&gt;0,AD35,0)</f>
        <v>0.28867513459481292</v>
      </c>
      <c r="AE79" s="28">
        <f>IF(A79&lt;&gt;0,AE35,0)</f>
        <v>0.34641016151377552</v>
      </c>
      <c r="AF79" s="28">
        <f>IF(A79&lt;&gt;0,AF35,0)</f>
        <v>0.40414518843273811</v>
      </c>
      <c r="AG79" s="28">
        <f>IF(A79&lt;&gt;0,AG35,0)</f>
        <v>0.46188021535170065</v>
      </c>
      <c r="AH79" s="28">
        <f>IF(A79&lt;&gt;0,AH35,0)</f>
        <v>0.51961524227066325</v>
      </c>
      <c r="AI79" s="132">
        <f>IF(A79&lt;&gt;0,AI35,0)</f>
        <v>0.57735026918962584</v>
      </c>
      <c r="AM79" s="120">
        <v>9.0909000000000004E-2</v>
      </c>
      <c r="AN79" s="97"/>
      <c r="AO79" s="97" t="str">
        <f>IF([1]DIAG!X44,CONCATENATE("R = ",TRUNC(AM79,2)),"")</f>
        <v/>
      </c>
      <c r="AP79" s="97">
        <f>IF(DIAG!X44,$AM$79,-1)</f>
        <v>-1</v>
      </c>
      <c r="AQ79" s="97">
        <f>IF(DIAG!X44,$AM$79,-1)</f>
        <v>-1</v>
      </c>
      <c r="AR79" s="97"/>
      <c r="AS79" s="97"/>
      <c r="AT79" s="97"/>
      <c r="AU79" s="97"/>
      <c r="AV79" s="97"/>
      <c r="AW79" s="97"/>
    </row>
    <row r="80" spans="1:59" ht="15.75" x14ac:dyDescent="0.3">
      <c r="A80" s="136">
        <f>-1/SQRT(3)</f>
        <v>-0.57735026918962584</v>
      </c>
      <c r="B80" s="123">
        <v>0</v>
      </c>
      <c r="C80" s="28">
        <f>(B80-$F$79)/(A80-$E$79)</f>
        <v>0.37217620658504796</v>
      </c>
      <c r="D80" s="28">
        <f>(B80*(A80-$E$79)-A80*(B80-$F$79))/(A80-$E$79)</f>
        <v>0.21487603305785122</v>
      </c>
      <c r="E80" s="28" t="s">
        <v>5</v>
      </c>
      <c r="F80" s="28"/>
      <c r="N80" s="10" t="s">
        <v>109</v>
      </c>
      <c r="O80" s="28">
        <f>IF(DIAG!$T$55,($C$80*O35+$D$80),-1)</f>
        <v>-1</v>
      </c>
      <c r="P80" s="28">
        <f>IF(DIAG!$T$55,($C$80*P35+$D$80),-1)</f>
        <v>-1</v>
      </c>
      <c r="Q80" s="28">
        <f>IF(DIAG!$T$55,($C$80*Q35+$D$80),-1)</f>
        <v>-1</v>
      </c>
      <c r="R80" s="28">
        <f>IF(DIAG!$T$55,($C$80*R35+$D$80),-1)</f>
        <v>-1</v>
      </c>
      <c r="S80" s="28">
        <f>IF(DIAG!$T$55,($C$80*S35+$D$80),-1)</f>
        <v>-1</v>
      </c>
      <c r="T80" s="28">
        <f>IF(DIAG!$T$55,($C$80*T35+$D$80),-1)</f>
        <v>-1</v>
      </c>
      <c r="U80" s="28">
        <f>IF(DIAG!$T$55,($C$80*U35+$D$80),-1)</f>
        <v>-1</v>
      </c>
      <c r="V80" s="28">
        <f>IF(DIAG!$T$55,($C$80*V35+$D$80),-1)</f>
        <v>-1</v>
      </c>
      <c r="W80" s="28">
        <f>IF(DIAG!$T$55,($C$80*W35+$D$80),-1)</f>
        <v>-1</v>
      </c>
      <c r="X80" s="28">
        <f>IF(DIAG!$T$55,($C$80*X35+$D$80),-1)</f>
        <v>-1</v>
      </c>
      <c r="Y80" s="28">
        <f>IF(DIAG!$T$55,($C$80*Y35+$D$80),-1)</f>
        <v>-1</v>
      </c>
      <c r="Z80" s="28">
        <f>IF(DIAG!$T$55,($C$80*Z35+$D$80),-1)</f>
        <v>-1</v>
      </c>
      <c r="AA80" s="28">
        <f>IF(DIAG!$T$55,($C$80*AA35+$D$80),-1)</f>
        <v>-1</v>
      </c>
      <c r="AB80" s="28">
        <f>IF(DIAG!$T$55,($C$80*AB35+$D$80),-1)</f>
        <v>-1</v>
      </c>
      <c r="AC80" s="28">
        <f>IF(DIAG!$T$55,($C$80*AC35+$D$80),-1)</f>
        <v>-1</v>
      </c>
      <c r="AD80" s="28">
        <f>IF(DIAG!$T$55,($C$80*AD35+$D$80),-1)</f>
        <v>-1</v>
      </c>
      <c r="AE80" s="28">
        <f>IF(DIAG!$T$55,($C$80*AE35+$D$80),-1)</f>
        <v>-1</v>
      </c>
      <c r="AF80" s="28">
        <f>IF(DIAG!$T$55,($C$80*AF35+$D$80),-1)</f>
        <v>-1</v>
      </c>
      <c r="AG80" s="28">
        <f>IF(DIAG!$T$55,($C$80*AG35+$D$80),-1)</f>
        <v>-1</v>
      </c>
      <c r="AH80" s="28">
        <f>IF(DIAG!$T$55,($C$80*AH35+$D$80),-1)</f>
        <v>-1</v>
      </c>
      <c r="AI80" s="132">
        <f>IF(DIAG!$T$55,($C$80*AI35+$D$80),-1)</f>
        <v>-1</v>
      </c>
      <c r="AM80" s="120">
        <v>0.33333000000000002</v>
      </c>
      <c r="AN80" s="97"/>
      <c r="AO80" s="97" t="str">
        <f>IF([1]DIAG!X44,CONCATENATE("R = ",TRUNC(AM80,2)),"")</f>
        <v/>
      </c>
      <c r="AP80" s="97"/>
      <c r="AQ80" s="97"/>
      <c r="AR80" s="97">
        <f>IF(DIAG!X44,$AM$80,-1)</f>
        <v>-1</v>
      </c>
      <c r="AS80" s="97">
        <f>IF(DIAG!X44,$AM$80,-1)</f>
        <v>-1</v>
      </c>
      <c r="AT80" s="97"/>
      <c r="AU80" s="97"/>
      <c r="AV80" s="97"/>
      <c r="AW80" s="97"/>
    </row>
    <row r="81" spans="1:35" ht="15.75" x14ac:dyDescent="0.3">
      <c r="A81" s="136">
        <f>1/SQRT(3)</f>
        <v>0.57735026918962584</v>
      </c>
      <c r="B81" s="123">
        <v>0</v>
      </c>
      <c r="C81" s="28">
        <f>(B81-$H$79)/(A81-$G$79)</f>
        <v>-0.53611096424750959</v>
      </c>
      <c r="D81" s="28">
        <f>(B81*(A81-$G$79)-A81*(B81-$H$79))/(A81-$G$79)</f>
        <v>0.30952380952380953</v>
      </c>
      <c r="E81" s="28" t="s">
        <v>7</v>
      </c>
      <c r="N81" s="10" t="s">
        <v>110</v>
      </c>
      <c r="O81" s="28">
        <f>IF(DIAG!$T$56,($C$81*O35+$D$81),-1)</f>
        <v>-1</v>
      </c>
      <c r="P81" s="28">
        <f>IF(DIAG!$T$56,($C$81*P35+$D$81),-1)</f>
        <v>-1</v>
      </c>
      <c r="Q81" s="28">
        <f>IF(DIAG!$T$56,($C$81*Q35+$D$81),-1)</f>
        <v>-1</v>
      </c>
      <c r="R81" s="28">
        <f>IF(DIAG!$T$56,($C$81*R35+$D$81),-1)</f>
        <v>-1</v>
      </c>
      <c r="S81" s="28">
        <f>IF(DIAG!$T$56,($C$81*S35+$D$81),-1)</f>
        <v>-1</v>
      </c>
      <c r="T81" s="28">
        <f>IF(DIAG!$T$56,($C$81*T35+$D$81),-1)</f>
        <v>-1</v>
      </c>
      <c r="U81" s="28">
        <f>IF(DIAG!$T$56,($C$81*U35+$D$81),-1)</f>
        <v>-1</v>
      </c>
      <c r="V81" s="28">
        <f>IF(DIAG!$T$56,($C$81*V35+$D$81),-1)</f>
        <v>-1</v>
      </c>
      <c r="W81" s="28">
        <f>IF(DIAG!$T$56,($C$81*W35+$D$81),-1)</f>
        <v>-1</v>
      </c>
      <c r="X81" s="28">
        <f>IF(DIAG!$T$56,($C$81*X35+$D$81),-1)</f>
        <v>-1</v>
      </c>
      <c r="Y81" s="28">
        <f>IF(DIAG!$T$56,($C$81*Y35+$D$81),-1)</f>
        <v>-1</v>
      </c>
      <c r="Z81" s="28">
        <f>IF(DIAG!$T$56,($C$81*Z35+$D$81),-1)</f>
        <v>-1</v>
      </c>
      <c r="AA81" s="28">
        <f>IF(DIAG!$T$56,($C$81*AA35+$D$81),-1)</f>
        <v>-1</v>
      </c>
      <c r="AB81" s="28">
        <f>IF(DIAG!$T$56,($C$81*AB35+$D$81),-1)</f>
        <v>-1</v>
      </c>
      <c r="AC81" s="28">
        <f>IF(DIAG!$T$56,($C$81*AC35+$D$81),-1)</f>
        <v>-1</v>
      </c>
      <c r="AD81" s="28">
        <f>IF(DIAG!$T$56,($C$81*AD35+$D$81),-1)</f>
        <v>-1</v>
      </c>
      <c r="AE81" s="28">
        <f>IF(DIAG!$T$56,($C$81*AE35+$D$81),-1)</f>
        <v>-1</v>
      </c>
      <c r="AF81" s="28">
        <f>IF(DIAG!$T$56,($C$81*AF35+$D$81),-1)</f>
        <v>-1</v>
      </c>
      <c r="AG81" s="28">
        <f>IF(DIAG!$T$56,($C$81*AG35+$D$81),-1)</f>
        <v>-1</v>
      </c>
      <c r="AH81" s="28">
        <f>IF(DIAG!$T$56,($C$81*AH35+$D$81),-1)</f>
        <v>-1</v>
      </c>
      <c r="AI81" s="132">
        <f>IF(DIAG!$T$56,($C$81*AI35+$D$81),-1)</f>
        <v>-1</v>
      </c>
    </row>
    <row r="82" spans="1:35" ht="15.75" x14ac:dyDescent="0.3">
      <c r="A82" s="137">
        <v>0</v>
      </c>
      <c r="B82" s="138">
        <v>1</v>
      </c>
      <c r="C82" s="28">
        <f>(B82-$B$79)/(A82-$A$79)</f>
        <v>-7.1622641502172426</v>
      </c>
      <c r="D82" s="28">
        <f>(B82*(A82-$A$79)-A82*(B82-$B$79))/(A82-$A$79)</f>
        <v>1</v>
      </c>
      <c r="E82" s="28" t="s">
        <v>6</v>
      </c>
      <c r="N82" s="10" t="s">
        <v>111</v>
      </c>
      <c r="O82" s="28">
        <f>IFERROR(IF(DIAG!$T$54,($C$82*O35+$D$82),-1),-3)</f>
        <v>-1</v>
      </c>
      <c r="P82" s="28">
        <f>IFERROR(IF(DIAG!$T$54,($C$82*P35+$D$82),-1),-2.66)</f>
        <v>-1</v>
      </c>
      <c r="Q82" s="28">
        <f>IFERROR(IF(DIAG!$T$54,($C$82*Q35+$D$82),-1),-2.33)</f>
        <v>-1</v>
      </c>
      <c r="R82" s="28">
        <f>IFERROR(IF(DIAG!$T$54,($C$82*R35+$D$82),-1),-2)</f>
        <v>-1</v>
      </c>
      <c r="S82" s="28">
        <f>IFERROR(IF(DIAG!$T$54,($C$82*S35+$D$82),-1),-1.66)</f>
        <v>-1</v>
      </c>
      <c r="T82" s="28">
        <f>IFERROR(IF(DIAG!$T$54,($C$82*T35+$D$82),-1),-1.33)</f>
        <v>-1</v>
      </c>
      <c r="U82" s="28">
        <f>IFERROR(IF(DIAG!$T$54,($C$82*U35+$D$82),-1),-1)</f>
        <v>-1</v>
      </c>
      <c r="V82" s="28">
        <f>IFERROR(IF(DIAG!$T$54,($C$82*V35+$D$82),-1),-0.66)</f>
        <v>-1</v>
      </c>
      <c r="W82" s="28">
        <f>IFERROR(IF(DIAG!$T$54,($C$82*W35+$D$82),-1),-0.33)</f>
        <v>-1</v>
      </c>
      <c r="X82" s="28">
        <f>IFERROR(IF(DIAG!$T$54,($C$82*X35+$D$82),-1),0)</f>
        <v>-1</v>
      </c>
      <c r="Y82" s="28">
        <f>IFERROR(IF(DIAG!$T$54,($C$82*Y35+$D$82),-1),1)</f>
        <v>-1</v>
      </c>
      <c r="Z82" s="28">
        <f>IFERROR(IF(DIAG!$T$54,($C$82*Z35+$D$82),-1),1.33)</f>
        <v>-1</v>
      </c>
      <c r="AA82" s="28">
        <f>IFERROR(IF(DIAG!$T$54,($C$82*AA35+$D$82),-1),1.66)</f>
        <v>-1</v>
      </c>
      <c r="AB82" s="28">
        <f>IFERROR(IF(DIAG!$T$54,($C$82*AB35+$D$82),-1),2)</f>
        <v>-1</v>
      </c>
      <c r="AC82" s="28">
        <f>IFERROR(IF(DIAG!$T$54,($C$82*AC35+$D$82),-1),2.33)</f>
        <v>-1</v>
      </c>
      <c r="AD82" s="28">
        <f>IFERROR(IF(DIAG!$T$54,($C$82*AD35+$D$82),-1),2.66)</f>
        <v>-1</v>
      </c>
      <c r="AE82" s="28">
        <f>IFERROR(IF(DIAG!$T$54,($C$82*AE35+$D$82),-1),3)</f>
        <v>-1</v>
      </c>
      <c r="AF82" s="28">
        <f>IFERROR(IF(DIAG!$T$54,($C$82*AF35+$D$82),-1),3.33)</f>
        <v>-1</v>
      </c>
      <c r="AG82" s="28">
        <f>IFERROR(IF(DIAG!$T$54,($C$82*AG35+$D$82),-1),3.66)</f>
        <v>-1</v>
      </c>
      <c r="AH82" s="28">
        <f>IFERROR(IF(DIAG!$T$54,($C$82*AH35+$D$82),-1),4)</f>
        <v>-1</v>
      </c>
      <c r="AI82" s="132">
        <f>IFERROR(IF(DIAG!$T$54,($C$82*AI35+$D$82),-1),4.33)</f>
        <v>-1</v>
      </c>
    </row>
    <row r="83" spans="1:35" x14ac:dyDescent="0.2">
      <c r="A83" s="139">
        <f>B83+1</f>
        <v>5</v>
      </c>
      <c r="B83" s="10">
        <v>4</v>
      </c>
      <c r="E83" s="28"/>
      <c r="AI83" s="135"/>
    </row>
    <row r="84" spans="1:35" x14ac:dyDescent="0.2">
      <c r="A84" s="107"/>
      <c r="B84" s="10">
        <v>2</v>
      </c>
      <c r="C84" s="10">
        <v>3</v>
      </c>
      <c r="D84" s="10">
        <v>4</v>
      </c>
      <c r="E84" s="10">
        <v>5</v>
      </c>
      <c r="F84" s="10">
        <v>6</v>
      </c>
      <c r="G84" s="10">
        <v>7</v>
      </c>
      <c r="L84" s="10"/>
      <c r="AI84" s="135"/>
    </row>
    <row r="85" spans="1:35" x14ac:dyDescent="0.2">
      <c r="A85" s="107"/>
      <c r="AI85" s="135"/>
    </row>
    <row r="86" spans="1:35" x14ac:dyDescent="0.2">
      <c r="A86" s="107"/>
      <c r="D86" s="9">
        <v>1</v>
      </c>
      <c r="E86" s="9">
        <v>2</v>
      </c>
      <c r="AI86" s="135"/>
    </row>
    <row r="87" spans="1:35" x14ac:dyDescent="0.2">
      <c r="A87" s="107"/>
      <c r="B87" s="140" t="s">
        <v>5</v>
      </c>
      <c r="C87" s="141" t="s">
        <v>52</v>
      </c>
      <c r="D87" s="142" t="e">
        <f ca="1">D90</f>
        <v>#DIV/0!</v>
      </c>
      <c r="E87" s="143" t="e">
        <f ca="1">E91</f>
        <v>#DIV/0!</v>
      </c>
      <c r="G87" s="140" t="s">
        <v>7</v>
      </c>
      <c r="H87" s="141"/>
      <c r="I87" s="141"/>
      <c r="J87" s="141"/>
      <c r="K87" s="141"/>
      <c r="L87" s="141" t="s">
        <v>52</v>
      </c>
      <c r="M87" s="142" t="e">
        <f ca="1">M90</f>
        <v>#DIV/0!</v>
      </c>
      <c r="N87" s="143" t="e">
        <f ca="1">N91</f>
        <v>#DIV/0!</v>
      </c>
      <c r="P87" s="144" t="s">
        <v>6</v>
      </c>
      <c r="Q87" s="88" t="s">
        <v>52</v>
      </c>
      <c r="R87" s="130" t="e">
        <f ca="1">R90</f>
        <v>#DIV/0!</v>
      </c>
      <c r="S87" s="61" t="e">
        <f ca="1">S91</f>
        <v>#DIV/0!</v>
      </c>
      <c r="AI87" s="135"/>
    </row>
    <row r="88" spans="1:35" x14ac:dyDescent="0.2">
      <c r="A88" s="107"/>
      <c r="B88" s="145"/>
      <c r="C88" s="146" t="s">
        <v>53</v>
      </c>
      <c r="D88" s="147" t="e">
        <f ca="1">C80*D87+D80</f>
        <v>#DIV/0!</v>
      </c>
      <c r="E88" s="148" t="e">
        <f ca="1">C80*E87+D80</f>
        <v>#DIV/0!</v>
      </c>
      <c r="G88" s="145"/>
      <c r="H88" s="146"/>
      <c r="I88" s="146"/>
      <c r="J88" s="146"/>
      <c r="K88" s="146"/>
      <c r="L88" s="146" t="s">
        <v>53</v>
      </c>
      <c r="M88" s="147" t="e">
        <f ca="1">C81*M87+D81</f>
        <v>#DIV/0!</v>
      </c>
      <c r="N88" s="148" t="e">
        <f ca="1">C81*N87+D81</f>
        <v>#DIV/0!</v>
      </c>
      <c r="P88" s="107"/>
      <c r="Q88" s="9" t="s">
        <v>53</v>
      </c>
      <c r="R88" s="33" t="e">
        <f ca="1">C82*R87+D82</f>
        <v>#DIV/0!</v>
      </c>
      <c r="S88" s="95" t="e">
        <f ca="1">C82*S87+D82</f>
        <v>#DIV/0!</v>
      </c>
      <c r="AI88" s="135"/>
    </row>
    <row r="89" spans="1:35" x14ac:dyDescent="0.2">
      <c r="A89" s="107"/>
      <c r="B89" s="145"/>
      <c r="C89" s="146"/>
      <c r="D89" s="147"/>
      <c r="E89" s="148"/>
      <c r="G89" s="145"/>
      <c r="H89" s="146"/>
      <c r="I89" s="146"/>
      <c r="J89" s="146"/>
      <c r="K89" s="146"/>
      <c r="L89" s="146"/>
      <c r="M89" s="147"/>
      <c r="N89" s="148"/>
      <c r="P89" s="107"/>
      <c r="S89" s="135"/>
      <c r="AI89" s="135"/>
    </row>
    <row r="90" spans="1:35" x14ac:dyDescent="0.2">
      <c r="A90" s="107"/>
      <c r="B90" s="145" t="s">
        <v>8</v>
      </c>
      <c r="C90" s="146" t="s">
        <v>57</v>
      </c>
      <c r="D90" s="147" t="e">
        <f ca="1">(SQRT(D88^2-2*D88+5)-2)/SQRT(3)</f>
        <v>#DIV/0!</v>
      </c>
      <c r="E90" s="148"/>
      <c r="G90" s="145" t="s">
        <v>8</v>
      </c>
      <c r="H90" s="146"/>
      <c r="I90" s="146"/>
      <c r="J90" s="146"/>
      <c r="K90" s="146"/>
      <c r="L90" s="146" t="s">
        <v>57</v>
      </c>
      <c r="M90" s="147" t="e">
        <f ca="1">(SQRT(M88^2-2*M88+5)-2)/SQRT(3)</f>
        <v>#DIV/0!</v>
      </c>
      <c r="N90" s="148"/>
      <c r="P90" s="107" t="s">
        <v>8</v>
      </c>
      <c r="Q90" s="9" t="s">
        <v>57</v>
      </c>
      <c r="R90" s="33" t="e">
        <f ca="1">(SQRT(R88^2-2*R88+5)-2)/SQRT(3)</f>
        <v>#DIV/0!</v>
      </c>
      <c r="S90" s="95"/>
      <c r="AI90" s="135"/>
    </row>
    <row r="91" spans="1:35" x14ac:dyDescent="0.2">
      <c r="A91" s="107"/>
      <c r="B91" s="145" t="s">
        <v>9</v>
      </c>
      <c r="C91" s="146" t="s">
        <v>58</v>
      </c>
      <c r="D91" s="147"/>
      <c r="E91" s="148" t="e">
        <f ca="1">(SQRT(25*E88^2-10*E88+21)-6)/(5*SQRT(3))</f>
        <v>#DIV/0!</v>
      </c>
      <c r="G91" s="145" t="s">
        <v>9</v>
      </c>
      <c r="H91" s="146"/>
      <c r="I91" s="146"/>
      <c r="J91" s="146"/>
      <c r="K91" s="146"/>
      <c r="L91" s="146" t="s">
        <v>58</v>
      </c>
      <c r="M91" s="147"/>
      <c r="N91" s="148" t="e">
        <f ca="1">(SQRT(25*N88*N88-10*N88+21)-6)/(5*SQRT(3))</f>
        <v>#DIV/0!</v>
      </c>
      <c r="P91" s="107" t="s">
        <v>9</v>
      </c>
      <c r="Q91" s="9" t="s">
        <v>58</v>
      </c>
      <c r="R91" s="33"/>
      <c r="S91" s="95" t="e">
        <f ca="1">(SQRT(25*S88*S88-10*S88+21)-6)/(5*SQRT(3))</f>
        <v>#DIV/0!</v>
      </c>
      <c r="AI91" s="135"/>
    </row>
    <row r="92" spans="1:35" x14ac:dyDescent="0.2">
      <c r="A92" s="107"/>
      <c r="B92" s="149" t="s">
        <v>59</v>
      </c>
      <c r="C92" s="150"/>
      <c r="D92" s="151" t="e">
        <f ca="1">SQRT((D87-E87)^2+(D88-E88)^2)</f>
        <v>#DIV/0!</v>
      </c>
      <c r="E92" s="152"/>
      <c r="G92" s="149" t="s">
        <v>59</v>
      </c>
      <c r="H92" s="150"/>
      <c r="I92" s="150"/>
      <c r="J92" s="150"/>
      <c r="K92" s="150"/>
      <c r="L92" s="150"/>
      <c r="M92" s="151" t="e">
        <f ca="1">SQRT((M87-N87)^2+(M88-N88)^2)</f>
        <v>#DIV/0!</v>
      </c>
      <c r="N92" s="152"/>
      <c r="P92" s="110" t="s">
        <v>59</v>
      </c>
      <c r="Q92" s="32"/>
      <c r="R92" s="153" t="e">
        <f ca="1">SQRT((R87-S87)^2+(R88-S88)^2)</f>
        <v>#DIV/0!</v>
      </c>
      <c r="S92" s="66"/>
      <c r="AI92" s="135"/>
    </row>
    <row r="93" spans="1:35" x14ac:dyDescent="0.2">
      <c r="A93" s="107"/>
      <c r="D93" s="9">
        <v>3</v>
      </c>
      <c r="E93" s="9">
        <v>0</v>
      </c>
      <c r="AI93" s="135"/>
    </row>
    <row r="94" spans="1:35" x14ac:dyDescent="0.2">
      <c r="A94" s="107"/>
      <c r="B94" s="140" t="s">
        <v>5</v>
      </c>
      <c r="C94" s="141" t="s">
        <v>52</v>
      </c>
      <c r="D94" s="142" t="e">
        <f ca="1">D97</f>
        <v>#DIV/0!</v>
      </c>
      <c r="E94" s="143">
        <f>-1/SQRT(3)</f>
        <v>-0.57735026918962584</v>
      </c>
      <c r="G94" s="140" t="s">
        <v>7</v>
      </c>
      <c r="H94" s="141"/>
      <c r="I94" s="141"/>
      <c r="J94" s="141"/>
      <c r="K94" s="141"/>
      <c r="L94" s="141" t="s">
        <v>52</v>
      </c>
      <c r="M94" s="142" t="e">
        <f ca="1">M97</f>
        <v>#DIV/0!</v>
      </c>
      <c r="N94" s="143">
        <f>1/SQRT(3)</f>
        <v>0.57735026918962584</v>
      </c>
      <c r="P94" s="144" t="s">
        <v>6</v>
      </c>
      <c r="Q94" s="88" t="s">
        <v>52</v>
      </c>
      <c r="R94" s="130">
        <f>(R95-D82)/C82</f>
        <v>0.13962065333343904</v>
      </c>
      <c r="S94" s="61">
        <v>0</v>
      </c>
      <c r="AI94" s="135"/>
    </row>
    <row r="95" spans="1:35" x14ac:dyDescent="0.2">
      <c r="A95" s="107"/>
      <c r="B95" s="145"/>
      <c r="C95" s="146" t="s">
        <v>53</v>
      </c>
      <c r="D95" s="147" t="e">
        <f ca="1">C80*D94+D80</f>
        <v>#DIV/0!</v>
      </c>
      <c r="E95" s="148">
        <v>0</v>
      </c>
      <c r="G95" s="145"/>
      <c r="H95" s="146"/>
      <c r="I95" s="146"/>
      <c r="J95" s="146"/>
      <c r="K95" s="146"/>
      <c r="L95" s="146" t="s">
        <v>53</v>
      </c>
      <c r="M95" s="147" t="e">
        <f ca="1">C81*M94+D81</f>
        <v>#DIV/0!</v>
      </c>
      <c r="N95" s="148">
        <v>0</v>
      </c>
      <c r="P95" s="107"/>
      <c r="Q95" s="9" t="s">
        <v>53</v>
      </c>
      <c r="R95" s="33">
        <f>R97</f>
        <v>0</v>
      </c>
      <c r="S95" s="95">
        <v>1</v>
      </c>
      <c r="AI95" s="135"/>
    </row>
    <row r="96" spans="1:35" x14ac:dyDescent="0.2">
      <c r="A96" s="107"/>
      <c r="B96" s="145"/>
      <c r="C96" s="146"/>
      <c r="D96" s="147"/>
      <c r="E96" s="148"/>
      <c r="G96" s="145"/>
      <c r="H96" s="146"/>
      <c r="I96" s="146"/>
      <c r="J96" s="146"/>
      <c r="K96" s="146"/>
      <c r="L96" s="146"/>
      <c r="M96" s="147"/>
      <c r="N96" s="148"/>
      <c r="P96" s="107"/>
      <c r="R96" s="33"/>
      <c r="S96" s="95"/>
      <c r="AI96" s="135"/>
    </row>
    <row r="97" spans="1:35" x14ac:dyDescent="0.2">
      <c r="A97" s="107"/>
      <c r="B97" s="145" t="s">
        <v>5</v>
      </c>
      <c r="C97" s="146" t="s">
        <v>57</v>
      </c>
      <c r="D97" s="147" t="e">
        <f ca="1">(1-D95)/SQRT(3)</f>
        <v>#DIV/0!</v>
      </c>
      <c r="E97" s="148"/>
      <c r="G97" s="145" t="s">
        <v>7</v>
      </c>
      <c r="H97" s="146"/>
      <c r="I97" s="146"/>
      <c r="J97" s="146"/>
      <c r="K97" s="146"/>
      <c r="L97" s="146" t="s">
        <v>57</v>
      </c>
      <c r="M97" s="147" t="e">
        <f ca="1">-(1-M95)/SQRT(3)</f>
        <v>#DIV/0!</v>
      </c>
      <c r="N97" s="148"/>
      <c r="P97" s="107" t="s">
        <v>6</v>
      </c>
      <c r="Q97" s="9" t="s">
        <v>60</v>
      </c>
      <c r="R97" s="33">
        <v>0</v>
      </c>
      <c r="S97" s="95"/>
      <c r="AI97" s="135"/>
    </row>
    <row r="98" spans="1:35" x14ac:dyDescent="0.2">
      <c r="A98" s="107"/>
      <c r="B98" s="149" t="s">
        <v>59</v>
      </c>
      <c r="C98" s="150"/>
      <c r="D98" s="151" t="e">
        <f ca="1">SQRT((D94-E94)^2+(D95-E95)^2)</f>
        <v>#DIV/0!</v>
      </c>
      <c r="E98" s="152"/>
      <c r="G98" s="149" t="s">
        <v>59</v>
      </c>
      <c r="H98" s="150"/>
      <c r="I98" s="150"/>
      <c r="J98" s="150"/>
      <c r="K98" s="150"/>
      <c r="L98" s="150"/>
      <c r="M98" s="151" t="e">
        <f ca="1">SQRT((M94-N94)^2+(M95-N95)^2)</f>
        <v>#DIV/0!</v>
      </c>
      <c r="N98" s="152"/>
      <c r="P98" s="110" t="s">
        <v>59</v>
      </c>
      <c r="Q98" s="32"/>
      <c r="R98" s="153">
        <f>SQRT((R94-S94)^2+(R95-S95)^2)</f>
        <v>1.0096999192023619</v>
      </c>
      <c r="S98" s="66"/>
      <c r="W98" s="9" t="e">
        <f ca="1">(SQRT(25*E88^2-10*E88+21)-6)/(5*SQRT(3))</f>
        <v>#DIV/0!</v>
      </c>
      <c r="AI98" s="135"/>
    </row>
    <row r="99" spans="1:35" x14ac:dyDescent="0.2">
      <c r="A99" s="107"/>
      <c r="G99" s="9"/>
      <c r="H99" s="9"/>
      <c r="I99" s="9"/>
      <c r="J99" s="9"/>
      <c r="K99" s="9"/>
      <c r="AI99" s="135"/>
    </row>
    <row r="100" spans="1:35" x14ac:dyDescent="0.2">
      <c r="A100" s="107"/>
      <c r="B100" s="140" t="s">
        <v>61</v>
      </c>
      <c r="C100" s="141"/>
      <c r="D100" s="154" t="e">
        <f ca="1">D92/D98</f>
        <v>#DIV/0!</v>
      </c>
      <c r="E100" s="155"/>
      <c r="G100" s="140" t="s">
        <v>132</v>
      </c>
      <c r="H100" s="141"/>
      <c r="I100" s="141"/>
      <c r="J100" s="141"/>
      <c r="K100" s="141"/>
      <c r="L100" s="141"/>
      <c r="M100" s="154" t="e">
        <f ca="1">M92/M98</f>
        <v>#DIV/0!</v>
      </c>
      <c r="N100" s="155"/>
      <c r="P100" s="9" t="s">
        <v>62</v>
      </c>
      <c r="R100" s="156" t="e">
        <f ca="1">R92/R98</f>
        <v>#DIV/0!</v>
      </c>
      <c r="AI100" s="135"/>
    </row>
    <row r="101" spans="1:35" x14ac:dyDescent="0.2">
      <c r="A101" s="107"/>
      <c r="B101" s="145"/>
      <c r="C101" s="146"/>
      <c r="D101" s="157" t="s">
        <v>35</v>
      </c>
      <c r="E101" s="158" t="s">
        <v>37</v>
      </c>
      <c r="G101" s="159"/>
      <c r="H101" s="157"/>
      <c r="I101" s="157"/>
      <c r="J101" s="157"/>
      <c r="K101" s="157"/>
      <c r="L101" s="146"/>
      <c r="M101" s="157" t="s">
        <v>37</v>
      </c>
      <c r="N101" s="158" t="s">
        <v>35</v>
      </c>
      <c r="R101" s="10"/>
      <c r="S101" s="10"/>
      <c r="AI101" s="135"/>
    </row>
    <row r="102" spans="1:35" x14ac:dyDescent="0.2">
      <c r="A102" s="107"/>
      <c r="B102" s="145"/>
      <c r="C102" s="146"/>
      <c r="D102" s="146" t="e">
        <f ca="1">SQRT((E87-E94)^2+(E88-E95)^2)</f>
        <v>#DIV/0!</v>
      </c>
      <c r="E102" s="160" t="e">
        <f ca="1">SQRT((D87-D94)^2+(D88-D95)^2)</f>
        <v>#DIV/0!</v>
      </c>
      <c r="G102" s="159"/>
      <c r="H102" s="157"/>
      <c r="I102" s="157"/>
      <c r="J102" s="157"/>
      <c r="K102" s="157"/>
      <c r="L102" s="146"/>
      <c r="M102" s="146" t="e">
        <f ca="1">SQRT((M87-N94)^2+(M88-N95)^2)</f>
        <v>#DIV/0!</v>
      </c>
      <c r="N102" s="160" t="e">
        <f ca="1">SQRT((N87-M94)^2+(N88-M95)^2)</f>
        <v>#DIV/0!</v>
      </c>
      <c r="AI102" s="135"/>
    </row>
    <row r="103" spans="1:35" x14ac:dyDescent="0.2">
      <c r="A103" s="107"/>
      <c r="B103" s="149"/>
      <c r="C103" s="150"/>
      <c r="D103" s="161" t="e">
        <f ca="1">D102/D98</f>
        <v>#DIV/0!</v>
      </c>
      <c r="E103" s="162" t="e">
        <f ca="1">E102/D98</f>
        <v>#DIV/0!</v>
      </c>
      <c r="G103" s="163"/>
      <c r="H103" s="164"/>
      <c r="I103" s="164"/>
      <c r="J103" s="164"/>
      <c r="K103" s="164"/>
      <c r="L103" s="150"/>
      <c r="M103" s="161" t="e">
        <f ca="1">M102/M98</f>
        <v>#DIV/0!</v>
      </c>
      <c r="N103" s="162" t="e">
        <f ca="1">N102/M98</f>
        <v>#DIV/0!</v>
      </c>
      <c r="R103" s="165"/>
      <c r="S103" s="165"/>
      <c r="AI103" s="135"/>
    </row>
    <row r="104" spans="1:35" x14ac:dyDescent="0.2">
      <c r="A104" s="107"/>
      <c r="AI104" s="135"/>
    </row>
    <row r="105" spans="1:35" x14ac:dyDescent="0.2">
      <c r="A105" s="107"/>
      <c r="D105" s="166" t="e">
        <f ca="1">D100+D103+E103</f>
        <v>#DIV/0!</v>
      </c>
      <c r="M105" s="166" t="e">
        <f ca="1">M100+M103+N103</f>
        <v>#DIV/0!</v>
      </c>
      <c r="R105" s="166"/>
      <c r="AI105" s="135"/>
    </row>
    <row r="106" spans="1:35" x14ac:dyDescent="0.2">
      <c r="A106" s="107"/>
      <c r="AI106" s="135"/>
    </row>
    <row r="107" spans="1:35" x14ac:dyDescent="0.2">
      <c r="A107" s="107"/>
      <c r="AI107" s="135"/>
    </row>
    <row r="108" spans="1:35" x14ac:dyDescent="0.2">
      <c r="A108" s="107"/>
      <c r="D108" s="114" t="e">
        <f ca="1">LOG(100*E103)</f>
        <v>#DIV/0!</v>
      </c>
      <c r="M108" s="114" t="e">
        <f ca="1">LOG(100*N103)</f>
        <v>#DIV/0!</v>
      </c>
      <c r="AI108" s="135"/>
    </row>
    <row r="109" spans="1:35" x14ac:dyDescent="0.2">
      <c r="A109" s="107"/>
      <c r="D109" s="114" t="e">
        <f ca="1">LOG(100*D100)</f>
        <v>#DIV/0!</v>
      </c>
      <c r="M109" s="114" t="e">
        <f ca="1">LOG(100*M100)</f>
        <v>#DIV/0!</v>
      </c>
      <c r="AI109" s="135"/>
    </row>
    <row r="110" spans="1:35" x14ac:dyDescent="0.2">
      <c r="A110" s="110"/>
      <c r="B110" s="32"/>
      <c r="C110" s="32"/>
      <c r="D110" s="167" t="e">
        <f ca="1">LOG(100*D103)</f>
        <v>#DIV/0!</v>
      </c>
      <c r="E110" s="32"/>
      <c r="F110" s="32"/>
      <c r="G110" s="111"/>
      <c r="H110" s="111"/>
      <c r="I110" s="111"/>
      <c r="J110" s="111"/>
      <c r="K110" s="111"/>
      <c r="L110" s="32"/>
      <c r="M110" s="167" t="e">
        <f ca="1">LOG(100*M103)</f>
        <v>#DIV/0!</v>
      </c>
      <c r="N110" s="32"/>
      <c r="O110" s="32"/>
      <c r="P110" s="32"/>
      <c r="Q110" s="32"/>
      <c r="R110" s="32"/>
      <c r="S110" s="32"/>
      <c r="T110" s="32"/>
      <c r="U110" s="32"/>
      <c r="V110" s="32"/>
      <c r="W110" s="32"/>
      <c r="X110" s="32"/>
      <c r="Y110" s="32"/>
      <c r="Z110" s="32"/>
      <c r="AA110" s="32"/>
      <c r="AB110" s="32"/>
      <c r="AC110" s="32"/>
      <c r="AD110" s="32"/>
      <c r="AE110" s="32"/>
      <c r="AF110" s="32"/>
      <c r="AG110" s="32"/>
      <c r="AH110" s="32"/>
      <c r="AI110" s="100"/>
    </row>
    <row r="111" spans="1:35" x14ac:dyDescent="0.2">
      <c r="G111" s="9"/>
      <c r="H111" s="9"/>
      <c r="I111" s="9"/>
      <c r="J111" s="9"/>
      <c r="K111" s="9"/>
    </row>
    <row r="112" spans="1:35" x14ac:dyDescent="0.2">
      <c r="G112" s="9"/>
      <c r="H112" s="9"/>
      <c r="I112" s="9"/>
      <c r="J112" s="9"/>
      <c r="K112" s="9"/>
    </row>
    <row r="113" spans="3:14" x14ac:dyDescent="0.2">
      <c r="C113" s="9" t="s">
        <v>134</v>
      </c>
      <c r="E113" s="59">
        <f>IF(DIAG!H239,$GL$55,-1)</f>
        <v>-1</v>
      </c>
      <c r="F113" s="60">
        <f>E113+(N113-E113)/9</f>
        <v>-1</v>
      </c>
      <c r="G113" s="60">
        <f>F113+(N113-F113)/8</f>
        <v>-1</v>
      </c>
      <c r="H113" s="60">
        <f>G113+(N113-G113)/7</f>
        <v>-1</v>
      </c>
      <c r="I113" s="60">
        <f>H113+(N113-H113)/6</f>
        <v>-1</v>
      </c>
      <c r="J113" s="60">
        <f>I113+(N113-I113)/5</f>
        <v>-1</v>
      </c>
      <c r="K113" s="60">
        <f>J113+(N113-J113)/4</f>
        <v>-1</v>
      </c>
      <c r="L113" s="60">
        <f>K113+(N113-K113)/3</f>
        <v>-1</v>
      </c>
      <c r="M113" s="60">
        <f>L113+(N113-L113)/2</f>
        <v>-1</v>
      </c>
      <c r="N113" s="61">
        <f>IF(DIAG!H239,$B$26,-1)</f>
        <v>-1</v>
      </c>
    </row>
    <row r="114" spans="3:14" x14ac:dyDescent="0.2">
      <c r="E114" s="64">
        <f>IF(DIAG!H239,$GL$56,-1)</f>
        <v>-1</v>
      </c>
      <c r="F114" s="65">
        <f>E114+(N114-E114)/9</f>
        <v>-1</v>
      </c>
      <c r="G114" s="65">
        <f>F114+(N114-F114)/8</f>
        <v>-1</v>
      </c>
      <c r="H114" s="65">
        <f>G114+(N114-G114)/7</f>
        <v>-1</v>
      </c>
      <c r="I114" s="65">
        <f>H114+(N114-H114)/6</f>
        <v>-1</v>
      </c>
      <c r="J114" s="65">
        <f>I114+(N114-I114)/5</f>
        <v>-1</v>
      </c>
      <c r="K114" s="65">
        <f>J114+(N114-J114)/4</f>
        <v>-1</v>
      </c>
      <c r="L114" s="65">
        <f>K114+(N114-K114)/3</f>
        <v>-1</v>
      </c>
      <c r="M114" s="65">
        <f>L114+(N114-L114)/2</f>
        <v>-1</v>
      </c>
      <c r="N114" s="66">
        <f>IF(DIAG!H239,$B$27,-1)</f>
        <v>-1</v>
      </c>
    </row>
    <row r="115" spans="3:14" x14ac:dyDescent="0.2">
      <c r="D115" s="33"/>
      <c r="E115" s="33"/>
      <c r="F115" s="33"/>
      <c r="G115" s="33"/>
      <c r="H115" s="33"/>
      <c r="I115" s="33"/>
      <c r="J115" s="33"/>
      <c r="K115" s="9"/>
    </row>
    <row r="116" spans="3:14" x14ac:dyDescent="0.2">
      <c r="C116" s="9" t="s">
        <v>135</v>
      </c>
      <c r="D116" s="33"/>
      <c r="E116" s="59">
        <f>IF(DIAG!H240,$GL$55,-1)</f>
        <v>-1</v>
      </c>
      <c r="F116" s="60">
        <f>E116+(N116-E116)/9</f>
        <v>-1</v>
      </c>
      <c r="G116" s="60">
        <f>F116+(N116-F116)/8</f>
        <v>-1</v>
      </c>
      <c r="H116" s="60">
        <f>G116+(N116-G116)/7</f>
        <v>-1</v>
      </c>
      <c r="I116" s="60">
        <f>H116+(N116-H116)/6</f>
        <v>-1</v>
      </c>
      <c r="J116" s="60">
        <f>I116+(N116-I116)/5</f>
        <v>-1</v>
      </c>
      <c r="K116" s="60">
        <f>J116+(N116-J116)/4</f>
        <v>-1</v>
      </c>
      <c r="L116" s="60">
        <f>K116+(N116-K116)/3</f>
        <v>-1</v>
      </c>
      <c r="M116" s="60">
        <f>L116+(N116-L116)/2</f>
        <v>-1</v>
      </c>
      <c r="N116" s="61">
        <f>IF(DIAG!H240,$C$26,-1)</f>
        <v>-1</v>
      </c>
    </row>
    <row r="117" spans="3:14" x14ac:dyDescent="0.2">
      <c r="D117" s="33"/>
      <c r="E117" s="64">
        <f>IF(DIAG!H240,$GL$56,-1)</f>
        <v>-1</v>
      </c>
      <c r="F117" s="65">
        <f>E117+(N117-E117)/9</f>
        <v>-1</v>
      </c>
      <c r="G117" s="65">
        <f>F117+(N117-F117)/8</f>
        <v>-1</v>
      </c>
      <c r="H117" s="65">
        <f>G117+(N117-G117)/7</f>
        <v>-1</v>
      </c>
      <c r="I117" s="65">
        <f>H117+(N117-H117)/6</f>
        <v>-1</v>
      </c>
      <c r="J117" s="65">
        <f>I117+(N117-I117)/5</f>
        <v>-1</v>
      </c>
      <c r="K117" s="65">
        <f>J117+(N117-J117)/4</f>
        <v>-1</v>
      </c>
      <c r="L117" s="65">
        <f>K117+(N117-K117)/3</f>
        <v>-1</v>
      </c>
      <c r="M117" s="65">
        <f>L117+(N117-L117)/2</f>
        <v>-1</v>
      </c>
      <c r="N117" s="66">
        <f>IF(DIAG!H240,$C$27,-1)</f>
        <v>-1</v>
      </c>
    </row>
    <row r="118" spans="3:14" x14ac:dyDescent="0.2">
      <c r="D118" s="33"/>
      <c r="E118" s="33"/>
      <c r="F118" s="33"/>
      <c r="G118" s="33"/>
      <c r="H118" s="33"/>
      <c r="I118" s="33"/>
      <c r="J118" s="33"/>
      <c r="K118" s="9"/>
    </row>
    <row r="119" spans="3:14" x14ac:dyDescent="0.2">
      <c r="C119" s="9" t="s">
        <v>136</v>
      </c>
      <c r="D119" s="33"/>
      <c r="E119" s="59">
        <f>IF(DIAG!H241,$GL$55,-1)</f>
        <v>-1</v>
      </c>
      <c r="F119" s="60">
        <f>E119+(N119-E119)/9</f>
        <v>-1</v>
      </c>
      <c r="G119" s="60">
        <f>F119+(N119-F119)/8</f>
        <v>-1</v>
      </c>
      <c r="H119" s="60">
        <f>G119+(N119-G119)/7</f>
        <v>-1</v>
      </c>
      <c r="I119" s="60">
        <f>H119+(N119-H119)/6</f>
        <v>-1</v>
      </c>
      <c r="J119" s="60">
        <f>I119+(N119-I119)/5</f>
        <v>-1</v>
      </c>
      <c r="K119" s="60">
        <f>J119+(N119-J119)/4</f>
        <v>-1</v>
      </c>
      <c r="L119" s="60">
        <f>K119+(N119-K119)/3</f>
        <v>-1</v>
      </c>
      <c r="M119" s="60">
        <f>L119+(N119-L119)/2</f>
        <v>-1</v>
      </c>
      <c r="N119" s="61">
        <f>IF(DIAG!H241,$D$26,-1)</f>
        <v>-1</v>
      </c>
    </row>
    <row r="120" spans="3:14" x14ac:dyDescent="0.2">
      <c r="D120" s="33"/>
      <c r="E120" s="64">
        <f>IF(DIAG!H241,$GL$56,-1)</f>
        <v>-1</v>
      </c>
      <c r="F120" s="65">
        <f>E120+(N120-E120)/9</f>
        <v>-1</v>
      </c>
      <c r="G120" s="65">
        <f>F120+(N120-F120)/8</f>
        <v>-1</v>
      </c>
      <c r="H120" s="65">
        <f>G120+(N120-G120)/7</f>
        <v>-1</v>
      </c>
      <c r="I120" s="65">
        <f>H120+(N120-H120)/6</f>
        <v>-1</v>
      </c>
      <c r="J120" s="65">
        <f>I120+(N120-I120)/5</f>
        <v>-1</v>
      </c>
      <c r="K120" s="65">
        <f>J120+(N120-J120)/4</f>
        <v>-1</v>
      </c>
      <c r="L120" s="65">
        <f>K120+(N120-K120)/3</f>
        <v>-1</v>
      </c>
      <c r="M120" s="65">
        <f>L120+(N120-L120)/2</f>
        <v>-1</v>
      </c>
      <c r="N120" s="66">
        <f>IF(DIAG!H241,$D$27,-1)</f>
        <v>-1</v>
      </c>
    </row>
    <row r="121" spans="3:14" x14ac:dyDescent="0.2">
      <c r="G121" s="9"/>
      <c r="H121" s="9"/>
      <c r="I121" s="9"/>
      <c r="J121" s="9"/>
      <c r="K121" s="9"/>
    </row>
    <row r="122" spans="3:14" x14ac:dyDescent="0.2">
      <c r="C122" s="9" t="s">
        <v>137</v>
      </c>
      <c r="E122" s="59">
        <f>IF(DIAG!H242,$GL$55,-1)</f>
        <v>-1</v>
      </c>
      <c r="F122" s="60">
        <f>E122+(N122-E122)/9</f>
        <v>-1</v>
      </c>
      <c r="G122" s="60">
        <f>F122+(N122-F122)/8</f>
        <v>-1</v>
      </c>
      <c r="H122" s="60">
        <f>G122+(N122-G122)/7</f>
        <v>-1</v>
      </c>
      <c r="I122" s="60">
        <f>H122+(N122-H122)/6</f>
        <v>-1</v>
      </c>
      <c r="J122" s="60">
        <f>I122+(N122-I122)/5</f>
        <v>-1</v>
      </c>
      <c r="K122" s="60">
        <f>J122+(N122-J122)/4</f>
        <v>-1</v>
      </c>
      <c r="L122" s="60">
        <f>K122+(N122-K122)/3</f>
        <v>-1</v>
      </c>
      <c r="M122" s="60">
        <f>L122+(N122-L122)/2</f>
        <v>-1</v>
      </c>
      <c r="N122" s="61">
        <f>IF(DIAG!H242,$E$26,-1)</f>
        <v>-1</v>
      </c>
    </row>
    <row r="123" spans="3:14" x14ac:dyDescent="0.2">
      <c r="E123" s="64">
        <f>IF(DIAG!H242,$GL$56,-1)</f>
        <v>-1</v>
      </c>
      <c r="F123" s="65">
        <f>E123+(N123-E123)/9</f>
        <v>-1</v>
      </c>
      <c r="G123" s="65">
        <f>F123+(N123-F123)/8</f>
        <v>-1</v>
      </c>
      <c r="H123" s="65">
        <f>G123+(N123-G123)/7</f>
        <v>-1</v>
      </c>
      <c r="I123" s="65">
        <f>H123+(N123-H123)/6</f>
        <v>-1</v>
      </c>
      <c r="J123" s="65">
        <f>I123+(N123-I123)/5</f>
        <v>-1</v>
      </c>
      <c r="K123" s="65">
        <f>J123+(N123-J123)/4</f>
        <v>-1</v>
      </c>
      <c r="L123" s="65">
        <f>K123+(N123-K123)/3</f>
        <v>-1</v>
      </c>
      <c r="M123" s="65">
        <f>L123+(N123-L123)/2</f>
        <v>-1</v>
      </c>
      <c r="N123" s="66">
        <f>IF(DIAG!H242,$E$27,-1)</f>
        <v>-1</v>
      </c>
    </row>
    <row r="124" spans="3:14" x14ac:dyDescent="0.2">
      <c r="G124" s="9"/>
      <c r="H124" s="9"/>
      <c r="I124" s="9"/>
      <c r="J124" s="9"/>
      <c r="K124" s="9"/>
    </row>
    <row r="125" spans="3:14" x14ac:dyDescent="0.2">
      <c r="C125" s="9" t="s">
        <v>138</v>
      </c>
      <c r="E125" s="59">
        <f>IF(DIAG!H243,$GL$55,-1)</f>
        <v>-1</v>
      </c>
      <c r="F125" s="60">
        <f>E125+(N125-E125)/9</f>
        <v>-1</v>
      </c>
      <c r="G125" s="60">
        <f>F125+(N125-F125)/8</f>
        <v>-1</v>
      </c>
      <c r="H125" s="60">
        <f>G125+(N125-G125)/7</f>
        <v>-1</v>
      </c>
      <c r="I125" s="60">
        <f>H125+(N125-H125)/6</f>
        <v>-1</v>
      </c>
      <c r="J125" s="60">
        <f>I125+(N125-I125)/5</f>
        <v>-1</v>
      </c>
      <c r="K125" s="60">
        <f>J125+(N125-J125)/4</f>
        <v>-1</v>
      </c>
      <c r="L125" s="60">
        <f>K125+(N125-K125)/3</f>
        <v>-1</v>
      </c>
      <c r="M125" s="60">
        <f>L125+(N125-L125)/2</f>
        <v>-1</v>
      </c>
      <c r="N125" s="61">
        <f>IF(DIAG!H243,$F$26,-1)</f>
        <v>-1</v>
      </c>
    </row>
    <row r="126" spans="3:14" x14ac:dyDescent="0.2">
      <c r="E126" s="64">
        <f>IF(DIAG!H243,$GL$56,-1)</f>
        <v>-1</v>
      </c>
      <c r="F126" s="65">
        <f>E126+(N126-E126)/9</f>
        <v>-1</v>
      </c>
      <c r="G126" s="65">
        <f>F126+(N126-F126)/8</f>
        <v>-1</v>
      </c>
      <c r="H126" s="65">
        <f>G126+(N126-G126)/7</f>
        <v>-1</v>
      </c>
      <c r="I126" s="65">
        <f>H126+(N126-H126)/6</f>
        <v>-1</v>
      </c>
      <c r="J126" s="65">
        <f>I126+(N126-I126)/5</f>
        <v>-1</v>
      </c>
      <c r="K126" s="65">
        <f>J126+(N126-J126)/4</f>
        <v>-1</v>
      </c>
      <c r="L126" s="65">
        <f>K126+(N126-K126)/3</f>
        <v>-1</v>
      </c>
      <c r="M126" s="65">
        <f>L126+(N126-L126)/2</f>
        <v>-1</v>
      </c>
      <c r="N126" s="66">
        <f>IF(DIAG!H243,$F$27,-1)</f>
        <v>-1</v>
      </c>
    </row>
    <row r="127" spans="3:14" x14ac:dyDescent="0.2">
      <c r="G127" s="9"/>
      <c r="H127" s="9"/>
      <c r="I127" s="9"/>
      <c r="J127" s="9"/>
      <c r="K127" s="9"/>
    </row>
    <row r="128" spans="3:14" x14ac:dyDescent="0.2">
      <c r="C128" s="9" t="s">
        <v>139</v>
      </c>
      <c r="E128" s="59">
        <f>IF(DIAG!H244,$GL$55,-1)</f>
        <v>-1</v>
      </c>
      <c r="F128" s="60">
        <f>E128+(N128-E128)/9</f>
        <v>-1</v>
      </c>
      <c r="G128" s="60">
        <f>F128+(N128-F128)/8</f>
        <v>-1</v>
      </c>
      <c r="H128" s="60">
        <f>G128+(N128-G128)/7</f>
        <v>-1</v>
      </c>
      <c r="I128" s="60">
        <f>H128+(N128-H128)/6</f>
        <v>-1</v>
      </c>
      <c r="J128" s="60">
        <f>I128+(N128-I128)/5</f>
        <v>-1</v>
      </c>
      <c r="K128" s="60">
        <f>J128+(N128-J128)/4</f>
        <v>-1</v>
      </c>
      <c r="L128" s="60">
        <f>K128+(N128-K128)/3</f>
        <v>-1</v>
      </c>
      <c r="M128" s="60">
        <f>L128+(N128-L128)/2</f>
        <v>-1</v>
      </c>
      <c r="N128" s="61">
        <f>IF(DIAG!H244,$G$26,-1)</f>
        <v>-1</v>
      </c>
    </row>
    <row r="129" spans="3:14" x14ac:dyDescent="0.2">
      <c r="E129" s="64">
        <f>IF(DIAG!H244,$GL$56,-1)</f>
        <v>-1</v>
      </c>
      <c r="F129" s="65">
        <f>E129+(N129-E129)/9</f>
        <v>-1</v>
      </c>
      <c r="G129" s="65">
        <f>F129+(N129-F129)/8</f>
        <v>-1</v>
      </c>
      <c r="H129" s="65">
        <f>G129+(N129-G129)/7</f>
        <v>-1</v>
      </c>
      <c r="I129" s="65">
        <f>H129+(N129-H129)/6</f>
        <v>-1</v>
      </c>
      <c r="J129" s="65">
        <f>I129+(N129-I129)/5</f>
        <v>-1</v>
      </c>
      <c r="K129" s="65">
        <f>J129+(N129-J129)/4</f>
        <v>-1</v>
      </c>
      <c r="L129" s="65">
        <f>K129+(N129-K129)/3</f>
        <v>-1</v>
      </c>
      <c r="M129" s="65">
        <f>L129+(N129-L129)/2</f>
        <v>-1</v>
      </c>
      <c r="N129" s="66">
        <f>IF(DIAG!H244,$G$27,-1)</f>
        <v>-1</v>
      </c>
    </row>
    <row r="130" spans="3:14" x14ac:dyDescent="0.2">
      <c r="G130" s="9"/>
      <c r="H130" s="9"/>
      <c r="I130" s="9"/>
      <c r="J130" s="9"/>
      <c r="K130" s="9"/>
    </row>
    <row r="131" spans="3:14" x14ac:dyDescent="0.2">
      <c r="C131" s="9" t="s">
        <v>140</v>
      </c>
      <c r="E131" s="59">
        <f>IF(DIAG!H245,$GL$55,-1)</f>
        <v>-1</v>
      </c>
      <c r="F131" s="60">
        <f>E131+(N131-E131)/9</f>
        <v>-1</v>
      </c>
      <c r="G131" s="60">
        <f>F131+(N131-F131)/8</f>
        <v>-1</v>
      </c>
      <c r="H131" s="60">
        <f>G131+(N131-G131)/7</f>
        <v>-1</v>
      </c>
      <c r="I131" s="60">
        <f>H131+(N131-H131)/6</f>
        <v>-1</v>
      </c>
      <c r="J131" s="60">
        <f>I131+(N131-I131)/5</f>
        <v>-1</v>
      </c>
      <c r="K131" s="60">
        <f>J131+(N131-J131)/4</f>
        <v>-1</v>
      </c>
      <c r="L131" s="60">
        <f>K131+(N131-K131)/3</f>
        <v>-1</v>
      </c>
      <c r="M131" s="60">
        <f>L131+(N131-L131)/2</f>
        <v>-1</v>
      </c>
      <c r="N131" s="61">
        <f>IF(DIAG!H245,$H$26,-1)</f>
        <v>-1</v>
      </c>
    </row>
    <row r="132" spans="3:14" x14ac:dyDescent="0.2">
      <c r="E132" s="64">
        <f>IF(DIAG!H245,$GL$56,-1)</f>
        <v>-1</v>
      </c>
      <c r="F132" s="65">
        <f>E132+(N132-E132)/9</f>
        <v>-1</v>
      </c>
      <c r="G132" s="65">
        <f>F132+(N132-F132)/8</f>
        <v>-1</v>
      </c>
      <c r="H132" s="65">
        <f>G132+(N132-G132)/7</f>
        <v>-1</v>
      </c>
      <c r="I132" s="65">
        <f>H132+(N132-H132)/6</f>
        <v>-1</v>
      </c>
      <c r="J132" s="65">
        <f>I132+(N132-I132)/5</f>
        <v>-1</v>
      </c>
      <c r="K132" s="65">
        <f>J132+(N132-J132)/4</f>
        <v>-1</v>
      </c>
      <c r="L132" s="65">
        <f>K132+(N132-K132)/3</f>
        <v>-1</v>
      </c>
      <c r="M132" s="65">
        <f>L132+(N132-L132)/2</f>
        <v>-1</v>
      </c>
      <c r="N132" s="66">
        <f>IF(DIAG!H245,$H$27,-1)</f>
        <v>-1</v>
      </c>
    </row>
    <row r="133" spans="3:14" x14ac:dyDescent="0.2">
      <c r="G133" s="9"/>
      <c r="H133" s="9"/>
      <c r="I133" s="9"/>
      <c r="J133" s="9"/>
      <c r="K133" s="9"/>
    </row>
    <row r="134" spans="3:14" x14ac:dyDescent="0.2">
      <c r="C134" s="9" t="s">
        <v>141</v>
      </c>
      <c r="E134" s="59">
        <f>IF(DIAG!H246,$GL$55,-1)</f>
        <v>-1</v>
      </c>
      <c r="F134" s="60">
        <f>E134+(N134-E134)/9</f>
        <v>-1</v>
      </c>
      <c r="G134" s="60">
        <f>F134+(N134-F134)/8</f>
        <v>-1</v>
      </c>
      <c r="H134" s="60">
        <f>G134+(N134-G134)/7</f>
        <v>-1</v>
      </c>
      <c r="I134" s="60">
        <f>H134+(N134-H134)/6</f>
        <v>-1</v>
      </c>
      <c r="J134" s="60">
        <f>I134+(N134-I134)/5</f>
        <v>-1</v>
      </c>
      <c r="K134" s="60">
        <f>J134+(N134-J134)/4</f>
        <v>-1</v>
      </c>
      <c r="L134" s="60">
        <f>K134+(N134-K134)/3</f>
        <v>-1</v>
      </c>
      <c r="M134" s="60">
        <f>L134+(N134-L134)/2</f>
        <v>-1</v>
      </c>
      <c r="N134" s="61">
        <f>IF(DIAG!H246,$I$26,-1)</f>
        <v>-1</v>
      </c>
    </row>
    <row r="135" spans="3:14" x14ac:dyDescent="0.2">
      <c r="E135" s="64">
        <f>IF(DIAG!H246,$GL$56,-1)</f>
        <v>-1</v>
      </c>
      <c r="F135" s="65">
        <f>E135+(N135-E135)/9</f>
        <v>-1</v>
      </c>
      <c r="G135" s="65">
        <f>F135+(N135-F135)/8</f>
        <v>-1</v>
      </c>
      <c r="H135" s="65">
        <f>G135+(N135-G135)/7</f>
        <v>-1</v>
      </c>
      <c r="I135" s="65">
        <f>H135+(N135-H135)/6</f>
        <v>-1</v>
      </c>
      <c r="J135" s="65">
        <f>I135+(N135-I135)/5</f>
        <v>-1</v>
      </c>
      <c r="K135" s="65">
        <f>J135+(N135-J135)/4</f>
        <v>-1</v>
      </c>
      <c r="L135" s="65">
        <f>K135+(N135-K135)/3</f>
        <v>-1</v>
      </c>
      <c r="M135" s="65">
        <f>L135+(N135-L135)/2</f>
        <v>-1</v>
      </c>
      <c r="N135" s="66">
        <f>IF(DIAG!H246,$I$27,-1)</f>
        <v>-1</v>
      </c>
    </row>
    <row r="136" spans="3:14" x14ac:dyDescent="0.2">
      <c r="G136" s="9"/>
      <c r="H136" s="9"/>
      <c r="I136" s="9"/>
      <c r="J136" s="9"/>
      <c r="K136" s="9"/>
    </row>
    <row r="137" spans="3:14" x14ac:dyDescent="0.2">
      <c r="C137" s="9" t="s">
        <v>142</v>
      </c>
      <c r="E137" s="59">
        <f>IF(DIAG!H247,$GL$55,-1)</f>
        <v>-1</v>
      </c>
      <c r="F137" s="60">
        <f>E137+(N137-E137)/9</f>
        <v>-1</v>
      </c>
      <c r="G137" s="60">
        <f>F137+(N137-F137)/8</f>
        <v>-1</v>
      </c>
      <c r="H137" s="60">
        <f>G137+(N137-G137)/7</f>
        <v>-1</v>
      </c>
      <c r="I137" s="60">
        <f>H137+(N137-H137)/6</f>
        <v>-1</v>
      </c>
      <c r="J137" s="60">
        <f>I137+(N137-I137)/5</f>
        <v>-1</v>
      </c>
      <c r="K137" s="60">
        <f>J137+(N137-J137)/4</f>
        <v>-1</v>
      </c>
      <c r="L137" s="60">
        <f>K137+(N137-K137)/3</f>
        <v>-1</v>
      </c>
      <c r="M137" s="60">
        <f>L137+(N137-L137)/2</f>
        <v>-1</v>
      </c>
      <c r="N137" s="61">
        <f>IF(DIAG!H247,$J$26,-1)</f>
        <v>-1</v>
      </c>
    </row>
    <row r="138" spans="3:14" x14ac:dyDescent="0.2">
      <c r="E138" s="64">
        <f>IF(DIAG!H247,$GL$56,-1)</f>
        <v>-1</v>
      </c>
      <c r="F138" s="65">
        <f>E138+(N138-E138)/9</f>
        <v>-1</v>
      </c>
      <c r="G138" s="65">
        <f>F138+(N138-F138)/8</f>
        <v>-1</v>
      </c>
      <c r="H138" s="65">
        <f>G138+(N138-G138)/7</f>
        <v>-1</v>
      </c>
      <c r="I138" s="65">
        <f>H138+(N138-H138)/6</f>
        <v>-1</v>
      </c>
      <c r="J138" s="65">
        <f>I138+(N138-I138)/5</f>
        <v>-1</v>
      </c>
      <c r="K138" s="65">
        <f>J138+(N138-J138)/4</f>
        <v>-1</v>
      </c>
      <c r="L138" s="65">
        <f>K138+(N138-K138)/3</f>
        <v>-1</v>
      </c>
      <c r="M138" s="65">
        <f>L138+(N138-L138)/2</f>
        <v>-1</v>
      </c>
      <c r="N138" s="66">
        <f>IF(DIAG!H247,$J$27,-1)</f>
        <v>-1</v>
      </c>
    </row>
    <row r="139" spans="3:14" x14ac:dyDescent="0.2">
      <c r="G139" s="9"/>
      <c r="H139" s="9"/>
      <c r="I139" s="9"/>
      <c r="J139" s="9"/>
      <c r="K139" s="9"/>
    </row>
    <row r="140" spans="3:14" x14ac:dyDescent="0.2">
      <c r="C140" s="9" t="s">
        <v>143</v>
      </c>
      <c r="E140" s="59">
        <f>IF(DIAG!H248,$GL$55,-1)</f>
        <v>-1</v>
      </c>
      <c r="F140" s="60">
        <f>E140+(N140-E140)/9</f>
        <v>-1</v>
      </c>
      <c r="G140" s="60">
        <f>F140+(N140-F140)/8</f>
        <v>-1</v>
      </c>
      <c r="H140" s="60">
        <f>G140+(N140-G140)/7</f>
        <v>-1</v>
      </c>
      <c r="I140" s="60">
        <f>H140+(N140-H140)/6</f>
        <v>-1</v>
      </c>
      <c r="J140" s="60">
        <f>I140+(N140-I140)/5</f>
        <v>-1</v>
      </c>
      <c r="K140" s="60">
        <f>J140+(N140-J140)/4</f>
        <v>-1</v>
      </c>
      <c r="L140" s="60">
        <f>K140+(N140-K140)/3</f>
        <v>-1</v>
      </c>
      <c r="M140" s="60">
        <f>L140+(N140-L140)/2</f>
        <v>-1</v>
      </c>
      <c r="N140" s="61">
        <f>IF(DIAG!H248,$K$26,-1)</f>
        <v>-1</v>
      </c>
    </row>
    <row r="141" spans="3:14" x14ac:dyDescent="0.2">
      <c r="E141" s="64">
        <f>IF(DIAG!H248,$GL$56,-1)</f>
        <v>-1</v>
      </c>
      <c r="F141" s="65">
        <f>E141+(N141-E141)/9</f>
        <v>-1</v>
      </c>
      <c r="G141" s="65">
        <f>F141+(N141-F141)/8</f>
        <v>-1</v>
      </c>
      <c r="H141" s="65">
        <f>G141+(N141-G141)/7</f>
        <v>-1</v>
      </c>
      <c r="I141" s="65">
        <f>H141+(N141-H141)/6</f>
        <v>-1</v>
      </c>
      <c r="J141" s="65">
        <f>I141+(N141-I141)/5</f>
        <v>-1</v>
      </c>
      <c r="K141" s="65">
        <f>J141+(N141-J141)/4</f>
        <v>-1</v>
      </c>
      <c r="L141" s="65">
        <f>K141+(N141-K141)/3</f>
        <v>-1</v>
      </c>
      <c r="M141" s="65">
        <f>L141+(N141-L141)/2</f>
        <v>-1</v>
      </c>
      <c r="N141" s="66">
        <f>IF(DIAG!H248,$K$27,-1)</f>
        <v>-1</v>
      </c>
    </row>
    <row r="142" spans="3:14" x14ac:dyDescent="0.2">
      <c r="G142" s="9"/>
      <c r="H142" s="9"/>
      <c r="I142" s="9"/>
      <c r="J142" s="9"/>
      <c r="K142" s="9"/>
    </row>
    <row r="143" spans="3:14" x14ac:dyDescent="0.2">
      <c r="C143" s="9" t="s">
        <v>144</v>
      </c>
      <c r="E143" s="59">
        <f>IF(DIAG!H249,$GL$55,-1)</f>
        <v>-1</v>
      </c>
      <c r="F143" s="60">
        <f>E143+(N143-E143)/9</f>
        <v>-1</v>
      </c>
      <c r="G143" s="60">
        <f>F143+(N143-F143)/8</f>
        <v>-1</v>
      </c>
      <c r="H143" s="60">
        <f>G143+(N143-G143)/7</f>
        <v>-1</v>
      </c>
      <c r="I143" s="60">
        <f>H143+(N143-H143)/6</f>
        <v>-1</v>
      </c>
      <c r="J143" s="60">
        <f>I143+(N143-I143)/5</f>
        <v>-1</v>
      </c>
      <c r="K143" s="60">
        <f>J143+(N143-J143)/4</f>
        <v>-1</v>
      </c>
      <c r="L143" s="60">
        <f>K143+(N143-K143)/3</f>
        <v>-1</v>
      </c>
      <c r="M143" s="60">
        <f>L143+(N143-L143)/2</f>
        <v>-1</v>
      </c>
      <c r="N143" s="61">
        <f>IF(DIAG!H249,$L$26,-1)</f>
        <v>-1</v>
      </c>
    </row>
    <row r="144" spans="3:14" x14ac:dyDescent="0.2">
      <c r="E144" s="64">
        <f>IF(DIAG!H249,$GL$56,-1)</f>
        <v>-1</v>
      </c>
      <c r="F144" s="65">
        <f>E144+(N144-E144)/9</f>
        <v>-1</v>
      </c>
      <c r="G144" s="65">
        <f>F144+(N144-F144)/8</f>
        <v>-1</v>
      </c>
      <c r="H144" s="65">
        <f>G144+(N144-G144)/7</f>
        <v>-1</v>
      </c>
      <c r="I144" s="65">
        <f>H144+(N144-H144)/6</f>
        <v>-1</v>
      </c>
      <c r="J144" s="65">
        <f>I144+(N144-I144)/5</f>
        <v>-1</v>
      </c>
      <c r="K144" s="65">
        <f>J144+(N144-J144)/4</f>
        <v>-1</v>
      </c>
      <c r="L144" s="65">
        <f>K144+(N144-K144)/3</f>
        <v>-1</v>
      </c>
      <c r="M144" s="65">
        <f>L144+(N144-L144)/2</f>
        <v>-1</v>
      </c>
      <c r="N144" s="66">
        <f>IF(DIAG!H249,$L$27,-1)</f>
        <v>-1</v>
      </c>
    </row>
    <row r="145" spans="3:14" x14ac:dyDescent="0.2">
      <c r="G145" s="9"/>
      <c r="H145" s="9"/>
      <c r="I145" s="9"/>
      <c r="J145" s="9"/>
      <c r="K145" s="9"/>
    </row>
    <row r="146" spans="3:14" x14ac:dyDescent="0.2">
      <c r="C146" s="9" t="s">
        <v>145</v>
      </c>
      <c r="E146" s="59">
        <f>IF(DIAG!H250,$GL$55,-1)</f>
        <v>-1</v>
      </c>
      <c r="F146" s="60">
        <f>E146+(N146-E146)/9</f>
        <v>-1</v>
      </c>
      <c r="G146" s="60">
        <f>F146+(N146-F146)/8</f>
        <v>-1</v>
      </c>
      <c r="H146" s="60">
        <f>G146+(N146-G146)/7</f>
        <v>-1</v>
      </c>
      <c r="I146" s="60">
        <f>H146+(N146-H146)/6</f>
        <v>-1</v>
      </c>
      <c r="J146" s="60">
        <f>I146+(N146-I146)/5</f>
        <v>-1</v>
      </c>
      <c r="K146" s="60">
        <f>J146+(N146-J146)/4</f>
        <v>-1</v>
      </c>
      <c r="L146" s="60">
        <f>K146+(N146-K146)/3</f>
        <v>-1</v>
      </c>
      <c r="M146" s="60">
        <f>L146+(N146-L146)/2</f>
        <v>-1</v>
      </c>
      <c r="N146" s="61">
        <f>IF(DIAG!H250,$M$26,-1)</f>
        <v>-1</v>
      </c>
    </row>
    <row r="147" spans="3:14" x14ac:dyDescent="0.2">
      <c r="E147" s="64">
        <f>IF(DIAG!H250,$GL$56,-1)</f>
        <v>-1</v>
      </c>
      <c r="F147" s="65">
        <f>E147+(N147-E147)/9</f>
        <v>-1</v>
      </c>
      <c r="G147" s="65">
        <f>F147+(N147-F147)/8</f>
        <v>-1</v>
      </c>
      <c r="H147" s="65">
        <f>G147+(N147-G147)/7</f>
        <v>-1</v>
      </c>
      <c r="I147" s="65">
        <f>H147+(N147-H147)/6</f>
        <v>-1</v>
      </c>
      <c r="J147" s="65">
        <f>I147+(N147-I147)/5</f>
        <v>-1</v>
      </c>
      <c r="K147" s="65">
        <f>J147+(N147-J147)/4</f>
        <v>-1</v>
      </c>
      <c r="L147" s="65">
        <f>K147+(N147-K147)/3</f>
        <v>-1</v>
      </c>
      <c r="M147" s="65">
        <f>L147+(N147-L147)/2</f>
        <v>-1</v>
      </c>
      <c r="N147" s="66">
        <f>IF(DIAG!H250,$M$27,-1)</f>
        <v>-1</v>
      </c>
    </row>
    <row r="148" spans="3:14" x14ac:dyDescent="0.2">
      <c r="G148" s="9"/>
      <c r="H148" s="9"/>
      <c r="I148" s="9"/>
      <c r="J148" s="9"/>
      <c r="K148" s="9"/>
    </row>
    <row r="149" spans="3:14" x14ac:dyDescent="0.2">
      <c r="C149" s="9" t="s">
        <v>146</v>
      </c>
      <c r="E149" s="59">
        <f>IF(DIAG!H251,$GL$55,-1)</f>
        <v>-1</v>
      </c>
      <c r="F149" s="60">
        <f>E149+(N149-E149)/9</f>
        <v>-1</v>
      </c>
      <c r="G149" s="60">
        <f>F149+(N149-F149)/8</f>
        <v>-1</v>
      </c>
      <c r="H149" s="60">
        <f>G149+(N149-G149)/7</f>
        <v>-1</v>
      </c>
      <c r="I149" s="60">
        <f>H149+(N149-H149)/6</f>
        <v>-1</v>
      </c>
      <c r="J149" s="60">
        <f>I149+(N149-I149)/5</f>
        <v>-1</v>
      </c>
      <c r="K149" s="60">
        <f>J149+(N149-J149)/4</f>
        <v>-1</v>
      </c>
      <c r="L149" s="60">
        <f>K149+(N149-K149)/3</f>
        <v>-1</v>
      </c>
      <c r="M149" s="60">
        <f>L149+(N149-L149)/2</f>
        <v>-1</v>
      </c>
      <c r="N149" s="61">
        <f>IF(DIAG!H251,$N$26,-1)</f>
        <v>-1</v>
      </c>
    </row>
    <row r="150" spans="3:14" x14ac:dyDescent="0.2">
      <c r="E150" s="64">
        <f>IF(DIAG!H251,$GL$56,-1)</f>
        <v>-1</v>
      </c>
      <c r="F150" s="65">
        <f>E150+(N150-E150)/9</f>
        <v>-1</v>
      </c>
      <c r="G150" s="65">
        <f>F150+(N150-F150)/8</f>
        <v>-1</v>
      </c>
      <c r="H150" s="65">
        <f>G150+(N150-G150)/7</f>
        <v>-1</v>
      </c>
      <c r="I150" s="65">
        <f>H150+(N150-H150)/6</f>
        <v>-1</v>
      </c>
      <c r="J150" s="65">
        <f>I150+(N150-I150)/5</f>
        <v>-1</v>
      </c>
      <c r="K150" s="65">
        <f>J150+(N150-J150)/4</f>
        <v>-1</v>
      </c>
      <c r="L150" s="65">
        <f>K150+(N150-K150)/3</f>
        <v>-1</v>
      </c>
      <c r="M150" s="65">
        <f>L150+(N150-L150)/2</f>
        <v>-1</v>
      </c>
      <c r="N150" s="66">
        <f>IF(DIAG!H251,$N$27,-1)</f>
        <v>-1</v>
      </c>
    </row>
    <row r="151" spans="3:14" x14ac:dyDescent="0.2">
      <c r="G151" s="9"/>
      <c r="H151" s="9"/>
      <c r="I151" s="9"/>
      <c r="J151" s="9"/>
      <c r="K151" s="9"/>
    </row>
    <row r="152" spans="3:14" x14ac:dyDescent="0.2">
      <c r="C152" s="9" t="s">
        <v>147</v>
      </c>
      <c r="E152" s="59">
        <f>IF(DIAG!H252,$GL$55,-1)</f>
        <v>-1</v>
      </c>
      <c r="F152" s="60">
        <f>E152+(N152-E152)/9</f>
        <v>-1</v>
      </c>
      <c r="G152" s="60">
        <f>F152+(N152-F152)/8</f>
        <v>-1</v>
      </c>
      <c r="H152" s="60">
        <f>G152+(N152-G152)/7</f>
        <v>-1</v>
      </c>
      <c r="I152" s="60">
        <f>H152+(N152-H152)/6</f>
        <v>-1</v>
      </c>
      <c r="J152" s="60">
        <f>I152+(N152-I152)/5</f>
        <v>-1</v>
      </c>
      <c r="K152" s="60">
        <f>J152+(N152-J152)/4</f>
        <v>-1</v>
      </c>
      <c r="L152" s="60">
        <f>K152+(N152-K152)/3</f>
        <v>-1</v>
      </c>
      <c r="M152" s="60">
        <f>L152+(N152-L152)/2</f>
        <v>-1</v>
      </c>
      <c r="N152" s="61">
        <f>IF(DIAG!H252,$O$26,-1)</f>
        <v>-1</v>
      </c>
    </row>
    <row r="153" spans="3:14" x14ac:dyDescent="0.2">
      <c r="E153" s="64">
        <f>IF(DIAG!H252,$GL$56,-1)</f>
        <v>-1</v>
      </c>
      <c r="F153" s="65">
        <f>E153+(N153-E153)/9</f>
        <v>-1</v>
      </c>
      <c r="G153" s="65">
        <f>F153+(N153-F153)/8</f>
        <v>-1</v>
      </c>
      <c r="H153" s="65">
        <f>G153+(N153-G153)/7</f>
        <v>-1</v>
      </c>
      <c r="I153" s="65">
        <f>H153+(N153-H153)/6</f>
        <v>-1</v>
      </c>
      <c r="J153" s="65">
        <f>I153+(N153-I153)/5</f>
        <v>-1</v>
      </c>
      <c r="K153" s="65">
        <f>J153+(N153-J153)/4</f>
        <v>-1</v>
      </c>
      <c r="L153" s="65">
        <f>K153+(N153-K153)/3</f>
        <v>-1</v>
      </c>
      <c r="M153" s="65">
        <f>L153+(N153-L153)/2</f>
        <v>-1</v>
      </c>
      <c r="N153" s="66">
        <f>IF(DIAG!H252,$O$27,-1)</f>
        <v>-1</v>
      </c>
    </row>
    <row r="154" spans="3:14" x14ac:dyDescent="0.2">
      <c r="G154" s="9"/>
      <c r="H154" s="9"/>
      <c r="I154" s="9"/>
      <c r="J154" s="9"/>
      <c r="K154" s="9"/>
    </row>
    <row r="155" spans="3:14" x14ac:dyDescent="0.2">
      <c r="C155" s="9" t="s">
        <v>148</v>
      </c>
      <c r="E155" s="59">
        <f>IF(DIAG!H253,$GL$55,-1)</f>
        <v>-1</v>
      </c>
      <c r="F155" s="60">
        <f>E155+(N155-E155)/9</f>
        <v>-1</v>
      </c>
      <c r="G155" s="60">
        <f>F155+(N155-F155)/8</f>
        <v>-1</v>
      </c>
      <c r="H155" s="60">
        <f>G155+(N155-G155)/7</f>
        <v>-1</v>
      </c>
      <c r="I155" s="60">
        <f>H155+(N155-H155)/6</f>
        <v>-1</v>
      </c>
      <c r="J155" s="60">
        <f>I155+(N155-I155)/5</f>
        <v>-1</v>
      </c>
      <c r="K155" s="60">
        <f>J155+(N155-J155)/4</f>
        <v>-1</v>
      </c>
      <c r="L155" s="60">
        <f>K155+(N155-K155)/3</f>
        <v>-1</v>
      </c>
      <c r="M155" s="60">
        <f>L155+(N155-L155)/2</f>
        <v>-1</v>
      </c>
      <c r="N155" s="61">
        <f>IF(DIAG!H253,$P$26,-1)</f>
        <v>-1</v>
      </c>
    </row>
    <row r="156" spans="3:14" x14ac:dyDescent="0.2">
      <c r="E156" s="64">
        <f>IF(DIAG!H253,$GL$56,-1)</f>
        <v>-1</v>
      </c>
      <c r="F156" s="65">
        <f>E156+(N156-E156)/9</f>
        <v>-1</v>
      </c>
      <c r="G156" s="65">
        <f>F156+(N156-F156)/8</f>
        <v>-1</v>
      </c>
      <c r="H156" s="65">
        <f>G156+(N156-G156)/7</f>
        <v>-1</v>
      </c>
      <c r="I156" s="65">
        <f>H156+(N156-H156)/6</f>
        <v>-1</v>
      </c>
      <c r="J156" s="65">
        <f>I156+(N156-I156)/5</f>
        <v>-1</v>
      </c>
      <c r="K156" s="65">
        <f>J156+(N156-J156)/4</f>
        <v>-1</v>
      </c>
      <c r="L156" s="65">
        <f>K156+(N156-K156)/3</f>
        <v>-1</v>
      </c>
      <c r="M156" s="65">
        <f>L156+(N156-L156)/2</f>
        <v>-1</v>
      </c>
      <c r="N156" s="66">
        <f>IF(DIAG!H253,$P$27,-1)</f>
        <v>-1</v>
      </c>
    </row>
    <row r="157" spans="3:14" x14ac:dyDescent="0.2">
      <c r="G157" s="9"/>
      <c r="H157" s="9"/>
      <c r="I157" s="9"/>
      <c r="J157" s="9"/>
      <c r="K157" s="9"/>
    </row>
    <row r="158" spans="3:14" x14ac:dyDescent="0.2">
      <c r="C158" s="9" t="s">
        <v>149</v>
      </c>
      <c r="E158" s="59">
        <f>IF(DIAG!H254,$GL$55,-1)</f>
        <v>-1</v>
      </c>
      <c r="F158" s="60">
        <f>E158+(N158-E158)/9</f>
        <v>-1</v>
      </c>
      <c r="G158" s="60">
        <f>F158+(N158-F158)/8</f>
        <v>-1</v>
      </c>
      <c r="H158" s="60">
        <f>G158+(N158-G158)/7</f>
        <v>-1</v>
      </c>
      <c r="I158" s="60">
        <f>H158+(N158-H158)/6</f>
        <v>-1</v>
      </c>
      <c r="J158" s="60">
        <f>I158+(N158-I158)/5</f>
        <v>-1</v>
      </c>
      <c r="K158" s="60">
        <f>J158+(N158-J158)/4</f>
        <v>-1</v>
      </c>
      <c r="L158" s="60">
        <f>K158+(N158-K158)/3</f>
        <v>-1</v>
      </c>
      <c r="M158" s="60">
        <f>L158+(N158-L158)/2</f>
        <v>-1</v>
      </c>
      <c r="N158" s="61">
        <f>IF(DIAG!H254,$Q$26,-1)</f>
        <v>-1</v>
      </c>
    </row>
    <row r="159" spans="3:14" x14ac:dyDescent="0.2">
      <c r="E159" s="64">
        <f>IF(DIAG!H254,$GL$56,-1)</f>
        <v>-1</v>
      </c>
      <c r="F159" s="65">
        <f>E159+(N159-E159)/9</f>
        <v>-1</v>
      </c>
      <c r="G159" s="65">
        <f>F159+(N159-F159)/8</f>
        <v>-1</v>
      </c>
      <c r="H159" s="65">
        <f>G159+(N159-G159)/7</f>
        <v>-1</v>
      </c>
      <c r="I159" s="65">
        <f>H159+(N159-H159)/6</f>
        <v>-1</v>
      </c>
      <c r="J159" s="65">
        <f>I159+(N159-I159)/5</f>
        <v>-1</v>
      </c>
      <c r="K159" s="65">
        <f>J159+(N159-J159)/4</f>
        <v>-1</v>
      </c>
      <c r="L159" s="65">
        <f>K159+(N159-K159)/3</f>
        <v>-1</v>
      </c>
      <c r="M159" s="65">
        <f>L159+(N159-L159)/2</f>
        <v>-1</v>
      </c>
      <c r="N159" s="66">
        <f>IF(DIAG!H254,$Q$27,-1)</f>
        <v>-1</v>
      </c>
    </row>
    <row r="160" spans="3:14" x14ac:dyDescent="0.2">
      <c r="G160" s="9"/>
      <c r="H160" s="9"/>
      <c r="I160" s="9"/>
      <c r="J160" s="9"/>
      <c r="K160" s="9"/>
    </row>
    <row r="161" spans="3:14" x14ac:dyDescent="0.2">
      <c r="C161" s="9" t="s">
        <v>150</v>
      </c>
      <c r="E161" s="59">
        <f>IF(DIAG!H255,$GL$55,-1)</f>
        <v>-1</v>
      </c>
      <c r="F161" s="60">
        <f>E161+(N161-E161)/9</f>
        <v>-1</v>
      </c>
      <c r="G161" s="60">
        <f>F161+(N161-F161)/8</f>
        <v>-1</v>
      </c>
      <c r="H161" s="60">
        <f>G161+(N161-G161)/7</f>
        <v>-1</v>
      </c>
      <c r="I161" s="60">
        <f>H161+(N161-H161)/6</f>
        <v>-1</v>
      </c>
      <c r="J161" s="60">
        <f>I161+(N161-I161)/5</f>
        <v>-1</v>
      </c>
      <c r="K161" s="60">
        <f>J161+(N161-J161)/4</f>
        <v>-1</v>
      </c>
      <c r="L161" s="60">
        <f>K161+(N161-K161)/3</f>
        <v>-1</v>
      </c>
      <c r="M161" s="60">
        <f>L161+(N161-L161)/2</f>
        <v>-1</v>
      </c>
      <c r="N161" s="61">
        <f>IF(DIAG!H255,$R$26,-1)</f>
        <v>-1</v>
      </c>
    </row>
    <row r="162" spans="3:14" x14ac:dyDescent="0.2">
      <c r="E162" s="64">
        <f>IF(DIAG!H255,$GL$56,-1)</f>
        <v>-1</v>
      </c>
      <c r="F162" s="65">
        <f>E162+(N162-E162)/9</f>
        <v>-1</v>
      </c>
      <c r="G162" s="65">
        <f>F162+(N162-F162)/8</f>
        <v>-1</v>
      </c>
      <c r="H162" s="65">
        <f>G162+(N162-G162)/7</f>
        <v>-1</v>
      </c>
      <c r="I162" s="65">
        <f>H162+(N162-H162)/6</f>
        <v>-1</v>
      </c>
      <c r="J162" s="65">
        <f>I162+(N162-I162)/5</f>
        <v>-1</v>
      </c>
      <c r="K162" s="65">
        <f>J162+(N162-J162)/4</f>
        <v>-1</v>
      </c>
      <c r="L162" s="65">
        <f>K162+(N162-K162)/3</f>
        <v>-1</v>
      </c>
      <c r="M162" s="65">
        <f>L162+(N162-L162)/2</f>
        <v>-1</v>
      </c>
      <c r="N162" s="66">
        <f>IF(DIAG!H255,$R$27,-1)</f>
        <v>-1</v>
      </c>
    </row>
    <row r="163" spans="3:14" x14ac:dyDescent="0.2">
      <c r="G163" s="9"/>
      <c r="H163" s="9"/>
      <c r="I163" s="9"/>
      <c r="J163" s="9"/>
      <c r="K163" s="9"/>
    </row>
    <row r="164" spans="3:14" x14ac:dyDescent="0.2">
      <c r="C164" s="9" t="s">
        <v>151</v>
      </c>
      <c r="E164" s="59">
        <f>IF(DIAG!H256,$GL$55,-1)</f>
        <v>-1</v>
      </c>
      <c r="F164" s="60">
        <f>E164+(N164-E164)/9</f>
        <v>-1</v>
      </c>
      <c r="G164" s="60">
        <f>F164+(N164-F164)/8</f>
        <v>-1</v>
      </c>
      <c r="H164" s="60">
        <f>G164+(N164-G164)/7</f>
        <v>-1</v>
      </c>
      <c r="I164" s="60">
        <f>H164+(N164-H164)/6</f>
        <v>-1</v>
      </c>
      <c r="J164" s="60">
        <f>I164+(N164-I164)/5</f>
        <v>-1</v>
      </c>
      <c r="K164" s="60">
        <f>J164+(N164-J164)/4</f>
        <v>-1</v>
      </c>
      <c r="L164" s="60">
        <f>K164+(N164-K164)/3</f>
        <v>-1</v>
      </c>
      <c r="M164" s="60">
        <f>L164+(N164-L164)/2</f>
        <v>-1</v>
      </c>
      <c r="N164" s="61">
        <f>IF(DIAG!H256,$S$26,-1)</f>
        <v>-1</v>
      </c>
    </row>
    <row r="165" spans="3:14" x14ac:dyDescent="0.2">
      <c r="E165" s="64">
        <f>IF(DIAG!H256,$GL$56,-1)</f>
        <v>-1</v>
      </c>
      <c r="F165" s="65">
        <f>E165+(N165-E165)/9</f>
        <v>-1</v>
      </c>
      <c r="G165" s="65">
        <f>F165+(N165-F165)/8</f>
        <v>-1</v>
      </c>
      <c r="H165" s="65">
        <f>G165+(N165-G165)/7</f>
        <v>-1</v>
      </c>
      <c r="I165" s="65">
        <f>H165+(N165-H165)/6</f>
        <v>-1</v>
      </c>
      <c r="J165" s="65">
        <f>I165+(N165-I165)/5</f>
        <v>-1</v>
      </c>
      <c r="K165" s="65">
        <f>J165+(N165-J165)/4</f>
        <v>-1</v>
      </c>
      <c r="L165" s="65">
        <f>K165+(N165-K165)/3</f>
        <v>-1</v>
      </c>
      <c r="M165" s="65">
        <f>L165+(N165-L165)/2</f>
        <v>-1</v>
      </c>
      <c r="N165" s="66">
        <f>IF(DIAG!H256,$S$27,-1)</f>
        <v>-1</v>
      </c>
    </row>
    <row r="166" spans="3:14" x14ac:dyDescent="0.2">
      <c r="G166" s="9"/>
      <c r="H166" s="9"/>
      <c r="I166" s="9"/>
      <c r="J166" s="9"/>
      <c r="K166" s="9"/>
    </row>
    <row r="167" spans="3:14" x14ac:dyDescent="0.2">
      <c r="C167" s="9" t="s">
        <v>152</v>
      </c>
      <c r="E167" s="59">
        <f>IF(DIAG!H257,$GL$55,-1)</f>
        <v>-1</v>
      </c>
      <c r="F167" s="60">
        <f>E167+(N167-E167)/9</f>
        <v>-1</v>
      </c>
      <c r="G167" s="60">
        <f>F167+(N167-F167)/8</f>
        <v>-1</v>
      </c>
      <c r="H167" s="60">
        <f>G167+(N167-G167)/7</f>
        <v>-1</v>
      </c>
      <c r="I167" s="60">
        <f>H167+(N167-H167)/6</f>
        <v>-1</v>
      </c>
      <c r="J167" s="60">
        <f>I167+(N167-I167)/5</f>
        <v>-1</v>
      </c>
      <c r="K167" s="60">
        <f>J167+(N167-J167)/4</f>
        <v>-1</v>
      </c>
      <c r="L167" s="60">
        <f>K167+(N167-K167)/3</f>
        <v>-1</v>
      </c>
      <c r="M167" s="60">
        <f>L167+(N167-L167)/2</f>
        <v>-1</v>
      </c>
      <c r="N167" s="61">
        <f>IF(DIAG!H257,$T$26,-1)</f>
        <v>-1</v>
      </c>
    </row>
    <row r="168" spans="3:14" x14ac:dyDescent="0.2">
      <c r="E168" s="64">
        <f>IF(DIAG!H257,$GL$56,-1)</f>
        <v>-1</v>
      </c>
      <c r="F168" s="65">
        <f>E168+(N168-E168)/9</f>
        <v>-1</v>
      </c>
      <c r="G168" s="65">
        <f>F168+(N168-F168)/8</f>
        <v>-1</v>
      </c>
      <c r="H168" s="65">
        <f>G168+(N168-G168)/7</f>
        <v>-1</v>
      </c>
      <c r="I168" s="65">
        <f>H168+(N168-H168)/6</f>
        <v>-1</v>
      </c>
      <c r="J168" s="65">
        <f>I168+(N168-I168)/5</f>
        <v>-1</v>
      </c>
      <c r="K168" s="65">
        <f>J168+(N168-J168)/4</f>
        <v>-1</v>
      </c>
      <c r="L168" s="65">
        <f>K168+(N168-K168)/3</f>
        <v>-1</v>
      </c>
      <c r="M168" s="65">
        <f>L168+(N168-L168)/2</f>
        <v>-1</v>
      </c>
      <c r="N168" s="66">
        <f>IF(DIAG!H257,$T$27,-1)</f>
        <v>-1</v>
      </c>
    </row>
    <row r="169" spans="3:14" x14ac:dyDescent="0.2">
      <c r="G169" s="9"/>
      <c r="H169" s="9"/>
      <c r="I169" s="9"/>
      <c r="J169" s="9"/>
      <c r="K169" s="9"/>
    </row>
    <row r="170" spans="3:14" x14ac:dyDescent="0.2">
      <c r="C170" s="9" t="s">
        <v>153</v>
      </c>
      <c r="E170" s="59">
        <f>IF(DIAG!H258,$GL$55,-1)</f>
        <v>-1</v>
      </c>
      <c r="F170" s="60">
        <f>E170+(N170-E170)/9</f>
        <v>-1</v>
      </c>
      <c r="G170" s="60">
        <f>F170+(N170-F170)/8</f>
        <v>-1</v>
      </c>
      <c r="H170" s="60">
        <f>G170+(N170-G170)/7</f>
        <v>-1</v>
      </c>
      <c r="I170" s="60">
        <f>H170+(N170-H170)/6</f>
        <v>-1</v>
      </c>
      <c r="J170" s="60">
        <f>I170+(N170-I170)/5</f>
        <v>-1</v>
      </c>
      <c r="K170" s="60">
        <f>J170+(N170-J170)/4</f>
        <v>-1</v>
      </c>
      <c r="L170" s="60">
        <f>K170+(N170-K170)/3</f>
        <v>-1</v>
      </c>
      <c r="M170" s="60">
        <f>L170+(N170-L170)/2</f>
        <v>-1</v>
      </c>
      <c r="N170" s="61">
        <f>IF(DIAG!H258,$U$26,-1)</f>
        <v>-1</v>
      </c>
    </row>
    <row r="171" spans="3:14" x14ac:dyDescent="0.2">
      <c r="E171" s="64">
        <f>IF(DIAG!H258,$GL$56,-1)</f>
        <v>-1</v>
      </c>
      <c r="F171" s="65">
        <f>E171+(N171-E171)/9</f>
        <v>-1</v>
      </c>
      <c r="G171" s="65">
        <f>F171+(N171-F171)/8</f>
        <v>-1</v>
      </c>
      <c r="H171" s="65">
        <f>G171+(N171-G171)/7</f>
        <v>-1</v>
      </c>
      <c r="I171" s="65">
        <f>H171+(N171-H171)/6</f>
        <v>-1</v>
      </c>
      <c r="J171" s="65">
        <f>I171+(N171-I171)/5</f>
        <v>-1</v>
      </c>
      <c r="K171" s="65">
        <f>J171+(N171-J171)/4</f>
        <v>-1</v>
      </c>
      <c r="L171" s="65">
        <f>K171+(N171-K171)/3</f>
        <v>-1</v>
      </c>
      <c r="M171" s="65">
        <f>L171+(N171-L171)/2</f>
        <v>-1</v>
      </c>
      <c r="N171" s="66">
        <f>IF(DIAG!H258,$U$27,-1)</f>
        <v>-1</v>
      </c>
    </row>
    <row r="172" spans="3:14" x14ac:dyDescent="0.2">
      <c r="G172" s="9"/>
      <c r="H172" s="9"/>
      <c r="I172" s="9"/>
      <c r="J172" s="9"/>
      <c r="K172" s="9"/>
    </row>
    <row r="173" spans="3:14" x14ac:dyDescent="0.2">
      <c r="C173" s="9" t="s">
        <v>154</v>
      </c>
      <c r="E173" s="59">
        <f>IF(DIAG!H259,$GL$55,-1)</f>
        <v>-1</v>
      </c>
      <c r="F173" s="60">
        <f>E173+(N173-E173)/9</f>
        <v>-1</v>
      </c>
      <c r="G173" s="60">
        <f>F173+(N173-F173)/8</f>
        <v>-1</v>
      </c>
      <c r="H173" s="60">
        <f>G173+(N173-G173)/7</f>
        <v>-1</v>
      </c>
      <c r="I173" s="60">
        <f>H173+(N173-H173)/6</f>
        <v>-1</v>
      </c>
      <c r="J173" s="60">
        <f>I173+(N173-I173)/5</f>
        <v>-1</v>
      </c>
      <c r="K173" s="60">
        <f>J173+(N173-J173)/4</f>
        <v>-1</v>
      </c>
      <c r="L173" s="60">
        <f>K173+(N173-K173)/3</f>
        <v>-1</v>
      </c>
      <c r="M173" s="60">
        <f>L173+(N173-L173)/2</f>
        <v>-1</v>
      </c>
      <c r="N173" s="61">
        <f>IF(DIAG!H259,$V$26,-1)</f>
        <v>-1</v>
      </c>
    </row>
    <row r="174" spans="3:14" x14ac:dyDescent="0.2">
      <c r="E174" s="64">
        <f>IF(DIAG!H259,$GL$56,-1)</f>
        <v>-1</v>
      </c>
      <c r="F174" s="65">
        <f>E174+(N174-E174)/9</f>
        <v>-1</v>
      </c>
      <c r="G174" s="65">
        <f>F174+(N174-F174)/8</f>
        <v>-1</v>
      </c>
      <c r="H174" s="65">
        <f>G174+(N174-G174)/7</f>
        <v>-1</v>
      </c>
      <c r="I174" s="65">
        <f>H174+(N174-H174)/6</f>
        <v>-1</v>
      </c>
      <c r="J174" s="65">
        <f>I174+(N174-I174)/5</f>
        <v>-1</v>
      </c>
      <c r="K174" s="65">
        <f>J174+(N174-J174)/4</f>
        <v>-1</v>
      </c>
      <c r="L174" s="65">
        <f>K174+(N174-K174)/3</f>
        <v>-1</v>
      </c>
      <c r="M174" s="65">
        <f>L174+(N174-L174)/2</f>
        <v>-1</v>
      </c>
      <c r="N174" s="66">
        <f>IF(DIAG!H259,$V$27,-1)</f>
        <v>-1</v>
      </c>
    </row>
    <row r="175" spans="3:14" x14ac:dyDescent="0.2">
      <c r="G175" s="9"/>
      <c r="H175" s="9"/>
      <c r="I175" s="9"/>
      <c r="J175" s="9"/>
      <c r="K175" s="9"/>
    </row>
    <row r="176" spans="3:14" x14ac:dyDescent="0.2">
      <c r="C176" s="9" t="s">
        <v>155</v>
      </c>
      <c r="E176" s="59">
        <f>IF(DIAG!H260,$GL$55,-1)</f>
        <v>-1</v>
      </c>
      <c r="F176" s="60">
        <f>E176+(N176-E176)/9</f>
        <v>-1</v>
      </c>
      <c r="G176" s="60">
        <f>F176+(N176-F176)/8</f>
        <v>-1</v>
      </c>
      <c r="H176" s="60">
        <f>G176+(N176-G176)/7</f>
        <v>-1</v>
      </c>
      <c r="I176" s="60">
        <f>H176+(N176-H176)/6</f>
        <v>-1</v>
      </c>
      <c r="J176" s="60">
        <f>I176+(N176-I176)/5</f>
        <v>-1</v>
      </c>
      <c r="K176" s="60">
        <f>J176+(N176-J176)/4</f>
        <v>-1</v>
      </c>
      <c r="L176" s="60">
        <f>K176+(N176-K176)/3</f>
        <v>-1</v>
      </c>
      <c r="M176" s="60">
        <f>L176+(N176-L176)/2</f>
        <v>-1</v>
      </c>
      <c r="N176" s="61">
        <f>IF(DIAG!H260,$W$26,-1)</f>
        <v>-1</v>
      </c>
    </row>
    <row r="177" spans="3:14" x14ac:dyDescent="0.2">
      <c r="E177" s="64">
        <f>IF(DIAG!H260,$GL$56,-1)</f>
        <v>-1</v>
      </c>
      <c r="F177" s="65">
        <f>E177+(N177-E177)/9</f>
        <v>-1</v>
      </c>
      <c r="G177" s="65">
        <f>F177+(N177-F177)/8</f>
        <v>-1</v>
      </c>
      <c r="H177" s="65">
        <f>G177+(N177-G177)/7</f>
        <v>-1</v>
      </c>
      <c r="I177" s="65">
        <f>H177+(N177-H177)/6</f>
        <v>-1</v>
      </c>
      <c r="J177" s="65">
        <f>I177+(N177-I177)/5</f>
        <v>-1</v>
      </c>
      <c r="K177" s="65">
        <f>J177+(N177-J177)/4</f>
        <v>-1</v>
      </c>
      <c r="L177" s="65">
        <f>K177+(N177-K177)/3</f>
        <v>-1</v>
      </c>
      <c r="M177" s="65">
        <f>L177+(N177-L177)/2</f>
        <v>-1</v>
      </c>
      <c r="N177" s="66">
        <f>IF(DIAG!H260,$W$27,-1)</f>
        <v>-1</v>
      </c>
    </row>
    <row r="178" spans="3:14" x14ac:dyDescent="0.2">
      <c r="G178" s="9"/>
      <c r="H178" s="9"/>
      <c r="I178" s="9"/>
      <c r="J178" s="9"/>
      <c r="K178" s="9"/>
    </row>
    <row r="179" spans="3:14" x14ac:dyDescent="0.2">
      <c r="C179" s="9" t="s">
        <v>156</v>
      </c>
      <c r="E179" s="59">
        <f>IF(DIAG!H261,$GL$55,-1)</f>
        <v>-1</v>
      </c>
      <c r="F179" s="60">
        <f>E179+(N179-E179)/9</f>
        <v>-1</v>
      </c>
      <c r="G179" s="60">
        <f>F179+(N179-F179)/8</f>
        <v>-1</v>
      </c>
      <c r="H179" s="60">
        <f>G179+(N179-G179)/7</f>
        <v>-1</v>
      </c>
      <c r="I179" s="60">
        <f>H179+(N179-H179)/6</f>
        <v>-1</v>
      </c>
      <c r="J179" s="60">
        <f>I179+(N179-I179)/5</f>
        <v>-1</v>
      </c>
      <c r="K179" s="60">
        <f>J179+(N179-J179)/4</f>
        <v>-1</v>
      </c>
      <c r="L179" s="60">
        <f>K179+(N179-K179)/3</f>
        <v>-1</v>
      </c>
      <c r="M179" s="60">
        <f>L179+(N179-L179)/2</f>
        <v>-1</v>
      </c>
      <c r="N179" s="61">
        <f>IF(DIAG!H261,$X$26,-1)</f>
        <v>-1</v>
      </c>
    </row>
    <row r="180" spans="3:14" x14ac:dyDescent="0.2">
      <c r="E180" s="64">
        <f>IF(DIAG!H261,$GL$56,-1)</f>
        <v>-1</v>
      </c>
      <c r="F180" s="65">
        <f>E180+(N180-E180)/9</f>
        <v>-1</v>
      </c>
      <c r="G180" s="65">
        <f>F180+(N180-F180)/8</f>
        <v>-1</v>
      </c>
      <c r="H180" s="65">
        <f>G180+(N180-G180)/7</f>
        <v>-1</v>
      </c>
      <c r="I180" s="65">
        <f>H180+(N180-H180)/6</f>
        <v>-1</v>
      </c>
      <c r="J180" s="65">
        <f>I180+(N180-I180)/5</f>
        <v>-1</v>
      </c>
      <c r="K180" s="65">
        <f>J180+(N180-J180)/4</f>
        <v>-1</v>
      </c>
      <c r="L180" s="65">
        <f>K180+(N180-K180)/3</f>
        <v>-1</v>
      </c>
      <c r="M180" s="65">
        <f>L180+(N180-L180)/2</f>
        <v>-1</v>
      </c>
      <c r="N180" s="66">
        <f>IF(DIAG!H261,$X$27,-1)</f>
        <v>-1</v>
      </c>
    </row>
    <row r="181" spans="3:14" x14ac:dyDescent="0.2">
      <c r="G181" s="9"/>
      <c r="H181" s="9"/>
      <c r="I181" s="9"/>
      <c r="J181" s="9"/>
      <c r="K181" s="9"/>
    </row>
    <row r="182" spans="3:14" x14ac:dyDescent="0.2">
      <c r="C182" s="9" t="s">
        <v>157</v>
      </c>
      <c r="E182" s="59">
        <f>IF(DIAG!H262,$GL$55,-1)</f>
        <v>-1</v>
      </c>
      <c r="F182" s="60">
        <f>E182+(N182-E182)/9</f>
        <v>-1</v>
      </c>
      <c r="G182" s="60">
        <f>F182+(N182-F182)/8</f>
        <v>-1</v>
      </c>
      <c r="H182" s="60">
        <f>G182+(N182-G182)/7</f>
        <v>-1</v>
      </c>
      <c r="I182" s="60">
        <f>H182+(N182-H182)/6</f>
        <v>-1</v>
      </c>
      <c r="J182" s="60">
        <f>I182+(N182-I182)/5</f>
        <v>-1</v>
      </c>
      <c r="K182" s="60">
        <f>J182+(N182-J182)/4</f>
        <v>-1</v>
      </c>
      <c r="L182" s="60">
        <f>K182+(N182-K182)/3</f>
        <v>-1</v>
      </c>
      <c r="M182" s="60">
        <f>L182+(N182-L182)/2</f>
        <v>-1</v>
      </c>
      <c r="N182" s="61">
        <f>IF(DIAG!H262,$Y$26,-1)</f>
        <v>-1</v>
      </c>
    </row>
    <row r="183" spans="3:14" x14ac:dyDescent="0.2">
      <c r="E183" s="64">
        <f>IF(DIAG!H262,$GL$56,-1)</f>
        <v>-1</v>
      </c>
      <c r="F183" s="65">
        <f>E183+(N183-E183)/9</f>
        <v>-1</v>
      </c>
      <c r="G183" s="65">
        <f>F183+(N183-F183)/8</f>
        <v>-1</v>
      </c>
      <c r="H183" s="65">
        <f>G183+(N183-G183)/7</f>
        <v>-1</v>
      </c>
      <c r="I183" s="65">
        <f>H183+(N183-H183)/6</f>
        <v>-1</v>
      </c>
      <c r="J183" s="65">
        <f>I183+(N183-I183)/5</f>
        <v>-1</v>
      </c>
      <c r="K183" s="65">
        <f>J183+(N183-J183)/4</f>
        <v>-1</v>
      </c>
      <c r="L183" s="65">
        <f>K183+(N183-K183)/3</f>
        <v>-1</v>
      </c>
      <c r="M183" s="65">
        <f>L183+(N183-L183)/2</f>
        <v>-1</v>
      </c>
      <c r="N183" s="66">
        <f>IF(DIAG!H262,$Y$27,-1)</f>
        <v>-1</v>
      </c>
    </row>
    <row r="184" spans="3:14" x14ac:dyDescent="0.2">
      <c r="G184" s="9"/>
      <c r="H184" s="9"/>
      <c r="I184" s="9"/>
      <c r="J184" s="9"/>
      <c r="K184" s="9"/>
    </row>
    <row r="185" spans="3:14" x14ac:dyDescent="0.2">
      <c r="C185" s="9" t="s">
        <v>158</v>
      </c>
      <c r="E185" s="59">
        <f>IF(DIAG!H263,$GL$55,-1)</f>
        <v>-1</v>
      </c>
      <c r="F185" s="60">
        <f>E185+(N185-E185)/9</f>
        <v>-1</v>
      </c>
      <c r="G185" s="60">
        <f>F185+(N185-F185)/8</f>
        <v>-1</v>
      </c>
      <c r="H185" s="60">
        <f>G185+(N185-G185)/7</f>
        <v>-1</v>
      </c>
      <c r="I185" s="60">
        <f>H185+(N185-H185)/6</f>
        <v>-1</v>
      </c>
      <c r="J185" s="60">
        <f>I185+(N185-I185)/5</f>
        <v>-1</v>
      </c>
      <c r="K185" s="60">
        <f>J185+(N185-J185)/4</f>
        <v>-1</v>
      </c>
      <c r="L185" s="60">
        <f>K185+(N185-K185)/3</f>
        <v>-1</v>
      </c>
      <c r="M185" s="60">
        <f>L185+(N185-L185)/2</f>
        <v>-1</v>
      </c>
      <c r="N185" s="61">
        <f>IF(DIAG!H263,$Z$26,-1)</f>
        <v>-1</v>
      </c>
    </row>
    <row r="186" spans="3:14" x14ac:dyDescent="0.2">
      <c r="E186" s="64">
        <f>IF(DIAG!H263,$GL$56,-1)</f>
        <v>-1</v>
      </c>
      <c r="F186" s="65">
        <f>E186+(N186-E186)/9</f>
        <v>-1</v>
      </c>
      <c r="G186" s="65">
        <f>F186+(N186-F186)/8</f>
        <v>-1</v>
      </c>
      <c r="H186" s="65">
        <f>G186+(N186-G186)/7</f>
        <v>-1</v>
      </c>
      <c r="I186" s="65">
        <f>H186+(N186-H186)/6</f>
        <v>-1</v>
      </c>
      <c r="J186" s="65">
        <f>I186+(N186-I186)/5</f>
        <v>-1</v>
      </c>
      <c r="K186" s="65">
        <f>J186+(N186-J186)/4</f>
        <v>-1</v>
      </c>
      <c r="L186" s="65">
        <f>K186+(N186-K186)/3</f>
        <v>-1</v>
      </c>
      <c r="M186" s="65">
        <f>L186+(N186-L186)/2</f>
        <v>-1</v>
      </c>
      <c r="N186" s="66">
        <f>IF(DIAG!H263,$Z$27,-1)</f>
        <v>-1</v>
      </c>
    </row>
    <row r="187" spans="3:14" x14ac:dyDescent="0.2">
      <c r="G187" s="9"/>
      <c r="H187" s="9"/>
      <c r="I187" s="9"/>
      <c r="J187" s="9"/>
      <c r="K187" s="9"/>
    </row>
    <row r="188" spans="3:14" x14ac:dyDescent="0.2">
      <c r="C188" s="9" t="s">
        <v>159</v>
      </c>
      <c r="E188" s="59">
        <f>IF(DIAG!H264,$GL$55,-1)</f>
        <v>-1</v>
      </c>
      <c r="F188" s="60">
        <f>E188+(N188-E188)/9</f>
        <v>-1</v>
      </c>
      <c r="G188" s="60">
        <f>F188+(N188-F188)/8</f>
        <v>-1</v>
      </c>
      <c r="H188" s="60">
        <f>G188+(N188-G188)/7</f>
        <v>-1</v>
      </c>
      <c r="I188" s="60">
        <f>H188+(N188-H188)/6</f>
        <v>-1</v>
      </c>
      <c r="J188" s="60">
        <f>I188+(N188-I188)/5</f>
        <v>-1</v>
      </c>
      <c r="K188" s="60">
        <f>J188+(N188-J188)/4</f>
        <v>-1</v>
      </c>
      <c r="L188" s="60">
        <f>K188+(N188-K188)/3</f>
        <v>-1</v>
      </c>
      <c r="M188" s="60">
        <f>L188+(N188-L188)/2</f>
        <v>-1</v>
      </c>
      <c r="N188" s="61">
        <f>IF(DIAG!H264,$AA$26,-1)</f>
        <v>-1</v>
      </c>
    </row>
    <row r="189" spans="3:14" x14ac:dyDescent="0.2">
      <c r="E189" s="64">
        <f>IF(DIAG!H264,$GL$56,-1)</f>
        <v>-1</v>
      </c>
      <c r="F189" s="65">
        <f>E189+(N189-E189)/9</f>
        <v>-1</v>
      </c>
      <c r="G189" s="65">
        <f>F189+(N189-F189)/8</f>
        <v>-1</v>
      </c>
      <c r="H189" s="65">
        <f>G189+(N189-G189)/7</f>
        <v>-1</v>
      </c>
      <c r="I189" s="65">
        <f>H189+(N189-H189)/6</f>
        <v>-1</v>
      </c>
      <c r="J189" s="65">
        <f>I189+(N189-I189)/5</f>
        <v>-1</v>
      </c>
      <c r="K189" s="65">
        <f>J189+(N189-J189)/4</f>
        <v>-1</v>
      </c>
      <c r="L189" s="65">
        <f>K189+(N189-K189)/3</f>
        <v>-1</v>
      </c>
      <c r="M189" s="65">
        <f>L189+(N189-L189)/2</f>
        <v>-1</v>
      </c>
      <c r="N189" s="66">
        <f>IF(DIAG!H264,$AA$27,-1)</f>
        <v>-1</v>
      </c>
    </row>
    <row r="190" spans="3:14" x14ac:dyDescent="0.2">
      <c r="G190" s="9"/>
      <c r="H190" s="9"/>
      <c r="I190" s="9"/>
      <c r="J190" s="9"/>
      <c r="K190" s="9"/>
    </row>
    <row r="191" spans="3:14" x14ac:dyDescent="0.2">
      <c r="C191" s="9" t="s">
        <v>160</v>
      </c>
      <c r="E191" s="59">
        <f>IF(DIAG!H265,$GL$55,-1)</f>
        <v>-1</v>
      </c>
      <c r="F191" s="60">
        <f>E191+(N191-E191)/9</f>
        <v>-1</v>
      </c>
      <c r="G191" s="60">
        <f>F191+(N191-F191)/8</f>
        <v>-1</v>
      </c>
      <c r="H191" s="60">
        <f>G191+(N191-G191)/7</f>
        <v>-1</v>
      </c>
      <c r="I191" s="60">
        <f>H191+(N191-H191)/6</f>
        <v>-1</v>
      </c>
      <c r="J191" s="60">
        <f>I191+(N191-I191)/5</f>
        <v>-1</v>
      </c>
      <c r="K191" s="60">
        <f>J191+(N191-J191)/4</f>
        <v>-1</v>
      </c>
      <c r="L191" s="60">
        <f>K191+(N191-K191)/3</f>
        <v>-1</v>
      </c>
      <c r="M191" s="60">
        <f>L191+(N191-L191)/2</f>
        <v>-1</v>
      </c>
      <c r="N191" s="61">
        <f>IF(DIAG!H265,$AB$26,-1)</f>
        <v>-1</v>
      </c>
    </row>
    <row r="192" spans="3:14" x14ac:dyDescent="0.2">
      <c r="E192" s="64">
        <f>IF(DIAG!H265,$GL$56,-1)</f>
        <v>-1</v>
      </c>
      <c r="F192" s="65">
        <f>E192+(N192-E192)/9</f>
        <v>-1</v>
      </c>
      <c r="G192" s="65">
        <f>F192+(N192-F192)/8</f>
        <v>-1</v>
      </c>
      <c r="H192" s="65">
        <f>G192+(N192-G192)/7</f>
        <v>-1</v>
      </c>
      <c r="I192" s="65">
        <f>H192+(N192-H192)/6</f>
        <v>-1</v>
      </c>
      <c r="J192" s="65">
        <f>I192+(N192-I192)/5</f>
        <v>-1</v>
      </c>
      <c r="K192" s="65">
        <f>J192+(N192-J192)/4</f>
        <v>-1</v>
      </c>
      <c r="L192" s="65">
        <f>K192+(N192-K192)/3</f>
        <v>-1</v>
      </c>
      <c r="M192" s="65">
        <f>L192+(N192-L192)/2</f>
        <v>-1</v>
      </c>
      <c r="N192" s="66">
        <f>IF(DIAG!H265,$AB$27,-1)</f>
        <v>-1</v>
      </c>
    </row>
    <row r="193" spans="3:14" x14ac:dyDescent="0.2">
      <c r="G193" s="9"/>
      <c r="H193" s="9"/>
      <c r="I193" s="9"/>
      <c r="J193" s="9"/>
      <c r="K193" s="9"/>
    </row>
    <row r="194" spans="3:14" x14ac:dyDescent="0.2">
      <c r="C194" s="9" t="s">
        <v>161</v>
      </c>
      <c r="E194" s="59">
        <f>IF(DIAG!H266,$GL$55,-1)</f>
        <v>-1</v>
      </c>
      <c r="F194" s="60">
        <f>E194+(N194-E194)/9</f>
        <v>-1</v>
      </c>
      <c r="G194" s="60">
        <f>F194+(N194-F194)/8</f>
        <v>-1</v>
      </c>
      <c r="H194" s="60">
        <f>G194+(N194-G194)/7</f>
        <v>-1</v>
      </c>
      <c r="I194" s="60">
        <f>H194+(N194-H194)/6</f>
        <v>-1</v>
      </c>
      <c r="J194" s="60">
        <f>I194+(N194-I194)/5</f>
        <v>-1</v>
      </c>
      <c r="K194" s="60">
        <f>J194+(N194-J194)/4</f>
        <v>-1</v>
      </c>
      <c r="L194" s="60">
        <f>K194+(N194-K194)/3</f>
        <v>-1</v>
      </c>
      <c r="M194" s="60">
        <f>L194+(N194-L194)/2</f>
        <v>-1</v>
      </c>
      <c r="N194" s="61">
        <f>IF(DIAG!H266,$AC$26,-1)</f>
        <v>-1</v>
      </c>
    </row>
    <row r="195" spans="3:14" x14ac:dyDescent="0.2">
      <c r="E195" s="64">
        <f>IF(DIAG!H266,$GL$56,-1)</f>
        <v>-1</v>
      </c>
      <c r="F195" s="65">
        <f>E195+(N195-E195)/9</f>
        <v>-1</v>
      </c>
      <c r="G195" s="65">
        <f>F195+(N195-F195)/8</f>
        <v>-1</v>
      </c>
      <c r="H195" s="65">
        <f>G195+(N195-G195)/7</f>
        <v>-1</v>
      </c>
      <c r="I195" s="65">
        <f>H195+(N195-H195)/6</f>
        <v>-1</v>
      </c>
      <c r="J195" s="65">
        <f>I195+(N195-I195)/5</f>
        <v>-1</v>
      </c>
      <c r="K195" s="65">
        <f>J195+(N195-J195)/4</f>
        <v>-1</v>
      </c>
      <c r="L195" s="65">
        <f>K195+(N195-K195)/3</f>
        <v>-1</v>
      </c>
      <c r="M195" s="65">
        <f>L195+(N195-L195)/2</f>
        <v>-1</v>
      </c>
      <c r="N195" s="66">
        <f>IF(DIAG!H266,$AC$27,-1)</f>
        <v>-1</v>
      </c>
    </row>
    <row r="196" spans="3:14" x14ac:dyDescent="0.2">
      <c r="G196" s="9"/>
      <c r="H196" s="9"/>
      <c r="I196" s="9"/>
      <c r="J196" s="9"/>
      <c r="K196" s="9"/>
    </row>
    <row r="197" spans="3:14" x14ac:dyDescent="0.2">
      <c r="C197" s="9" t="s">
        <v>162</v>
      </c>
      <c r="E197" s="59">
        <f>IF(DIAG!H267,$GL$55,-1)</f>
        <v>-1</v>
      </c>
      <c r="F197" s="60">
        <f>E197+(N197-E197)/9</f>
        <v>-1</v>
      </c>
      <c r="G197" s="60">
        <f>F197+(N197-F197)/8</f>
        <v>-1</v>
      </c>
      <c r="H197" s="60">
        <f>G197+(N197-G197)/7</f>
        <v>-1</v>
      </c>
      <c r="I197" s="60">
        <f>H197+(N197-H197)/6</f>
        <v>-1</v>
      </c>
      <c r="J197" s="60">
        <f>I197+(N197-I197)/5</f>
        <v>-1</v>
      </c>
      <c r="K197" s="60">
        <f>J197+(N197-J197)/4</f>
        <v>-1</v>
      </c>
      <c r="L197" s="60">
        <f>K197+(N197-K197)/3</f>
        <v>-1</v>
      </c>
      <c r="M197" s="60">
        <f>L197+(N197-L197)/2</f>
        <v>-1</v>
      </c>
      <c r="N197" s="61">
        <f>IF(DIAG!H267,$AD$26,-1)</f>
        <v>-1</v>
      </c>
    </row>
    <row r="198" spans="3:14" x14ac:dyDescent="0.2">
      <c r="E198" s="64">
        <f>IF(DIAG!H267,$GL$56,-1)</f>
        <v>-1</v>
      </c>
      <c r="F198" s="65">
        <f>E198+(N198-E198)/9</f>
        <v>-1</v>
      </c>
      <c r="G198" s="65">
        <f>F198+(N198-F198)/8</f>
        <v>-1</v>
      </c>
      <c r="H198" s="65">
        <f>G198+(N198-G198)/7</f>
        <v>-1</v>
      </c>
      <c r="I198" s="65">
        <f>H198+(N198-H198)/6</f>
        <v>-1</v>
      </c>
      <c r="J198" s="65">
        <f>I198+(N198-I198)/5</f>
        <v>-1</v>
      </c>
      <c r="K198" s="65">
        <f>J198+(N198-J198)/4</f>
        <v>-1</v>
      </c>
      <c r="L198" s="65">
        <f>K198+(N198-K198)/3</f>
        <v>-1</v>
      </c>
      <c r="M198" s="65">
        <f>L198+(N198-L198)/2</f>
        <v>-1</v>
      </c>
      <c r="N198" s="66">
        <f>IF(DIAG!H267,$AD$27,-1)</f>
        <v>-1</v>
      </c>
    </row>
    <row r="199" spans="3:14" x14ac:dyDescent="0.2">
      <c r="G199" s="9"/>
      <c r="H199" s="9"/>
      <c r="I199" s="9"/>
      <c r="J199" s="9"/>
      <c r="K199" s="9"/>
    </row>
    <row r="200" spans="3:14" x14ac:dyDescent="0.2">
      <c r="C200" s="9" t="s">
        <v>163</v>
      </c>
      <c r="E200" s="59">
        <f>IF(DIAG!H268,$GL$55,-1)</f>
        <v>-1</v>
      </c>
      <c r="F200" s="60">
        <f>E200+(N200-E200)/9</f>
        <v>-1</v>
      </c>
      <c r="G200" s="60">
        <f>F200+(N200-F200)/8</f>
        <v>-1</v>
      </c>
      <c r="H200" s="60">
        <f>G200+(N200-G200)/7</f>
        <v>-1</v>
      </c>
      <c r="I200" s="60">
        <f>H200+(N200-H200)/6</f>
        <v>-1</v>
      </c>
      <c r="J200" s="60">
        <f>I200+(N200-I200)/5</f>
        <v>-1</v>
      </c>
      <c r="K200" s="60">
        <f>J200+(N200-J200)/4</f>
        <v>-1</v>
      </c>
      <c r="L200" s="60">
        <f>K200+(N200-K200)/3</f>
        <v>-1</v>
      </c>
      <c r="M200" s="60">
        <f>L200+(N200-L200)/2</f>
        <v>-1</v>
      </c>
      <c r="N200" s="61">
        <f>IF(DIAG!H268,$AE$26,-1)</f>
        <v>-1</v>
      </c>
    </row>
    <row r="201" spans="3:14" x14ac:dyDescent="0.2">
      <c r="E201" s="64">
        <f>IF(DIAG!H268,$GL$56,-1)</f>
        <v>-1</v>
      </c>
      <c r="F201" s="65">
        <f>E201+(N201-E201)/9</f>
        <v>-1</v>
      </c>
      <c r="G201" s="65">
        <f>F201+(N201-F201)/8</f>
        <v>-1</v>
      </c>
      <c r="H201" s="65">
        <f>G201+(N201-G201)/7</f>
        <v>-1</v>
      </c>
      <c r="I201" s="65">
        <f>H201+(N201-H201)/6</f>
        <v>-1</v>
      </c>
      <c r="J201" s="65">
        <f>I201+(N201-I201)/5</f>
        <v>-1</v>
      </c>
      <c r="K201" s="65">
        <f>J201+(N201-J201)/4</f>
        <v>-1</v>
      </c>
      <c r="L201" s="65">
        <f>K201+(N201-K201)/3</f>
        <v>-1</v>
      </c>
      <c r="M201" s="65">
        <f>L201+(N201-L201)/2</f>
        <v>-1</v>
      </c>
      <c r="N201" s="66">
        <f>IF(DIAG!H268,$AE$27,-1)</f>
        <v>-1</v>
      </c>
    </row>
    <row r="202" spans="3:14" x14ac:dyDescent="0.2">
      <c r="G202" s="9"/>
      <c r="H202" s="9"/>
      <c r="I202" s="9"/>
      <c r="J202" s="9"/>
      <c r="K202" s="9"/>
    </row>
    <row r="203" spans="3:14" x14ac:dyDescent="0.2">
      <c r="C203" s="9" t="s">
        <v>164</v>
      </c>
      <c r="E203" s="59">
        <f>IF(DIAG!H269,$GL$55,-1)</f>
        <v>-1</v>
      </c>
      <c r="F203" s="60">
        <f>E203+(N203-E203)/9</f>
        <v>-1</v>
      </c>
      <c r="G203" s="60">
        <f>F203+(N203-F203)/8</f>
        <v>-1</v>
      </c>
      <c r="H203" s="60">
        <f>G203+(N203-G203)/7</f>
        <v>-1</v>
      </c>
      <c r="I203" s="60">
        <f>H203+(N203-H203)/6</f>
        <v>-1</v>
      </c>
      <c r="J203" s="60">
        <f>I203+(N203-I203)/5</f>
        <v>-1</v>
      </c>
      <c r="K203" s="60">
        <f>J203+(N203-J203)/4</f>
        <v>-1</v>
      </c>
      <c r="L203" s="60">
        <f>K203+(N203-K203)/3</f>
        <v>-1</v>
      </c>
      <c r="M203" s="60">
        <f>L203+(N203-L203)/2</f>
        <v>-1</v>
      </c>
      <c r="N203" s="61">
        <f>IF(DIAG!H269,$AF$26,-1)</f>
        <v>-1</v>
      </c>
    </row>
    <row r="204" spans="3:14" x14ac:dyDescent="0.2">
      <c r="E204" s="64">
        <f>IF(DIAG!H269,$GL$56,-1)</f>
        <v>-1</v>
      </c>
      <c r="F204" s="65">
        <f>E204+(N204-E204)/9</f>
        <v>-1</v>
      </c>
      <c r="G204" s="65">
        <f>F204+(N204-F204)/8</f>
        <v>-1</v>
      </c>
      <c r="H204" s="65">
        <f>G204+(N204-G204)/7</f>
        <v>-1</v>
      </c>
      <c r="I204" s="65">
        <f>H204+(N204-H204)/6</f>
        <v>-1</v>
      </c>
      <c r="J204" s="65">
        <f>I204+(N204-I204)/5</f>
        <v>-1</v>
      </c>
      <c r="K204" s="65">
        <f>J204+(N204-J204)/4</f>
        <v>-1</v>
      </c>
      <c r="L204" s="65">
        <f>K204+(N204-K204)/3</f>
        <v>-1</v>
      </c>
      <c r="M204" s="65">
        <f>L204+(N204-L204)/2</f>
        <v>-1</v>
      </c>
      <c r="N204" s="66">
        <f>IF(DIAG!H269,$AF$27,-1)</f>
        <v>-1</v>
      </c>
    </row>
    <row r="205" spans="3:14" x14ac:dyDescent="0.2">
      <c r="G205" s="9"/>
      <c r="H205" s="9"/>
      <c r="I205" s="9"/>
      <c r="J205" s="9"/>
      <c r="K205" s="9"/>
    </row>
    <row r="206" spans="3:14" x14ac:dyDescent="0.2">
      <c r="C206" s="9" t="s">
        <v>165</v>
      </c>
      <c r="E206" s="59">
        <f>IF(DIAG!H270,$GL$55,-1)</f>
        <v>-1</v>
      </c>
      <c r="F206" s="60">
        <f>E206+(N206-E206)/9</f>
        <v>-1</v>
      </c>
      <c r="G206" s="60">
        <f>F206+(N206-F206)/8</f>
        <v>-1</v>
      </c>
      <c r="H206" s="60">
        <f>G206+(N206-G206)/7</f>
        <v>-1</v>
      </c>
      <c r="I206" s="60">
        <f>H206+(N206-H206)/6</f>
        <v>-1</v>
      </c>
      <c r="J206" s="60">
        <f>I206+(N206-I206)/5</f>
        <v>-1</v>
      </c>
      <c r="K206" s="60">
        <f>J206+(N206-J206)/4</f>
        <v>-1</v>
      </c>
      <c r="L206" s="60">
        <f>K206+(N206-K206)/3</f>
        <v>-1</v>
      </c>
      <c r="M206" s="60">
        <f>L206+(N206-L206)/2</f>
        <v>-1</v>
      </c>
      <c r="N206" s="61">
        <f>IF(DIAG!H270,$AG$26,-1)</f>
        <v>-1</v>
      </c>
    </row>
    <row r="207" spans="3:14" x14ac:dyDescent="0.2">
      <c r="E207" s="64">
        <f>IF(DIAG!H270,$GL$56,-1)</f>
        <v>-1</v>
      </c>
      <c r="F207" s="65">
        <f>E207+(N207-E207)/9</f>
        <v>-1</v>
      </c>
      <c r="G207" s="65">
        <f>F207+(N207-F207)/8</f>
        <v>-1</v>
      </c>
      <c r="H207" s="65">
        <f>G207+(N207-G207)/7</f>
        <v>-1</v>
      </c>
      <c r="I207" s="65">
        <f>H207+(N207-H207)/6</f>
        <v>-1</v>
      </c>
      <c r="J207" s="65">
        <f>I207+(N207-I207)/5</f>
        <v>-1</v>
      </c>
      <c r="K207" s="65">
        <f>J207+(N207-J207)/4</f>
        <v>-1</v>
      </c>
      <c r="L207" s="65">
        <f>K207+(N207-K207)/3</f>
        <v>-1</v>
      </c>
      <c r="M207" s="65">
        <f>L207+(N207-L207)/2</f>
        <v>-1</v>
      </c>
      <c r="N207" s="66">
        <f>IF(DIAG!H270,$AG$27,-1)</f>
        <v>-1</v>
      </c>
    </row>
    <row r="208" spans="3:14" x14ac:dyDescent="0.2">
      <c r="G208" s="9"/>
      <c r="H208" s="9"/>
      <c r="I208" s="9"/>
      <c r="J208" s="9"/>
      <c r="K208" s="9"/>
    </row>
    <row r="209" spans="3:14" x14ac:dyDescent="0.2">
      <c r="C209" s="9" t="s">
        <v>166</v>
      </c>
      <c r="E209" s="59">
        <f>IF(DIAG!H271,$GL$55,-1)</f>
        <v>-1</v>
      </c>
      <c r="F209" s="60">
        <f>E209+(N209-E209)/9</f>
        <v>-1</v>
      </c>
      <c r="G209" s="60">
        <f>F209+(N209-F209)/8</f>
        <v>-1</v>
      </c>
      <c r="H209" s="60">
        <f>G209+(N209-G209)/7</f>
        <v>-1</v>
      </c>
      <c r="I209" s="60">
        <f>H209+(N209-H209)/6</f>
        <v>-1</v>
      </c>
      <c r="J209" s="60">
        <f>I209+(N209-I209)/5</f>
        <v>-1</v>
      </c>
      <c r="K209" s="60">
        <f>J209+(N209-J209)/4</f>
        <v>-1</v>
      </c>
      <c r="L209" s="60">
        <f>K209+(N209-K209)/3</f>
        <v>-1</v>
      </c>
      <c r="M209" s="60">
        <f>L209+(N209-L209)/2</f>
        <v>-1</v>
      </c>
      <c r="N209" s="61">
        <f>IF(DIAG!H271,$AH$26,-1)</f>
        <v>-1</v>
      </c>
    </row>
    <row r="210" spans="3:14" x14ac:dyDescent="0.2">
      <c r="E210" s="64">
        <f>IF(DIAG!H271,$GL$56,-1)</f>
        <v>-1</v>
      </c>
      <c r="F210" s="65">
        <f>E210+(N210-E210)/9</f>
        <v>-1</v>
      </c>
      <c r="G210" s="65">
        <f>F210+(N210-F210)/8</f>
        <v>-1</v>
      </c>
      <c r="H210" s="65">
        <f>G210+(N210-G210)/7</f>
        <v>-1</v>
      </c>
      <c r="I210" s="65">
        <f>H210+(N210-H210)/6</f>
        <v>-1</v>
      </c>
      <c r="J210" s="65">
        <f>I210+(N210-I210)/5</f>
        <v>-1</v>
      </c>
      <c r="K210" s="65">
        <f>J210+(N210-J210)/4</f>
        <v>-1</v>
      </c>
      <c r="L210" s="65">
        <f>K210+(N210-K210)/3</f>
        <v>-1</v>
      </c>
      <c r="M210" s="65">
        <f>L210+(N210-L210)/2</f>
        <v>-1</v>
      </c>
      <c r="N210" s="66">
        <f>IF(DIAG!H271,$AH$27,-1)</f>
        <v>-1</v>
      </c>
    </row>
    <row r="211" spans="3:14" x14ac:dyDescent="0.2">
      <c r="G211" s="9"/>
      <c r="H211" s="9"/>
      <c r="I211" s="9"/>
      <c r="J211" s="9"/>
      <c r="K211" s="9"/>
    </row>
    <row r="212" spans="3:14" x14ac:dyDescent="0.2">
      <c r="C212" s="9" t="s">
        <v>167</v>
      </c>
      <c r="E212" s="59">
        <f>IF(DIAG!H272,$GL$55,-1)</f>
        <v>-1</v>
      </c>
      <c r="F212" s="60">
        <f>E212+(N212-E212)/9</f>
        <v>-1</v>
      </c>
      <c r="G212" s="60">
        <f>F212+(N212-F212)/8</f>
        <v>-1</v>
      </c>
      <c r="H212" s="60">
        <f>G212+(N212-G212)/7</f>
        <v>-1</v>
      </c>
      <c r="I212" s="60">
        <f>H212+(N212-H212)/6</f>
        <v>-1</v>
      </c>
      <c r="J212" s="60">
        <f>I212+(N212-I212)/5</f>
        <v>-1</v>
      </c>
      <c r="K212" s="60">
        <f>J212+(N212-J212)/4</f>
        <v>-1</v>
      </c>
      <c r="L212" s="60">
        <f>K212+(N212-K212)/3</f>
        <v>-1</v>
      </c>
      <c r="M212" s="60">
        <f>L212+(N212-L212)/2</f>
        <v>-1</v>
      </c>
      <c r="N212" s="61">
        <f>IF(DIAG!H272,$AI$26,-1)</f>
        <v>-1</v>
      </c>
    </row>
    <row r="213" spans="3:14" x14ac:dyDescent="0.2">
      <c r="E213" s="64">
        <f>IF(DIAG!H272,$GL$56,-1)</f>
        <v>-1</v>
      </c>
      <c r="F213" s="65">
        <f>E213+(N213-E213)/9</f>
        <v>-1</v>
      </c>
      <c r="G213" s="65">
        <f>F213+(N213-F213)/8</f>
        <v>-1</v>
      </c>
      <c r="H213" s="65">
        <f>G213+(N213-G213)/7</f>
        <v>-1</v>
      </c>
      <c r="I213" s="65">
        <f>H213+(N213-H213)/6</f>
        <v>-1</v>
      </c>
      <c r="J213" s="65">
        <f>I213+(N213-I213)/5</f>
        <v>-1</v>
      </c>
      <c r="K213" s="65">
        <f>J213+(N213-J213)/4</f>
        <v>-1</v>
      </c>
      <c r="L213" s="65">
        <f>K213+(N213-K213)/3</f>
        <v>-1</v>
      </c>
      <c r="M213" s="65">
        <f>L213+(N213-L213)/2</f>
        <v>-1</v>
      </c>
      <c r="N213" s="66">
        <f>IF(DIAG!H272,$AI$27,-1)</f>
        <v>-1</v>
      </c>
    </row>
    <row r="214" spans="3:14" x14ac:dyDescent="0.2">
      <c r="G214" s="9"/>
      <c r="H214" s="9"/>
      <c r="I214" s="9"/>
      <c r="J214" s="9"/>
      <c r="K214" s="9"/>
    </row>
    <row r="215" spans="3:14" x14ac:dyDescent="0.2">
      <c r="C215" s="9" t="s">
        <v>168</v>
      </c>
      <c r="E215" s="59">
        <f>IF(DIAG!H273,$GL$55,-1)</f>
        <v>-1</v>
      </c>
      <c r="F215" s="60">
        <f>E215+(N215-E215)/9</f>
        <v>-1</v>
      </c>
      <c r="G215" s="60">
        <f>F215+(N215-F215)/8</f>
        <v>-1</v>
      </c>
      <c r="H215" s="60">
        <f>G215+(N215-G215)/7</f>
        <v>-1</v>
      </c>
      <c r="I215" s="60">
        <f>H215+(N215-H215)/6</f>
        <v>-1</v>
      </c>
      <c r="J215" s="60">
        <f>I215+(N215-I215)/5</f>
        <v>-1</v>
      </c>
      <c r="K215" s="60">
        <f>J215+(N215-J215)/4</f>
        <v>-1</v>
      </c>
      <c r="L215" s="60">
        <f>K215+(N215-K215)/3</f>
        <v>-1</v>
      </c>
      <c r="M215" s="60">
        <f>L215+(N215-L215)/2</f>
        <v>-1</v>
      </c>
      <c r="N215" s="61">
        <f>IF(DIAG!H273,$AJ$26,-1)</f>
        <v>-1</v>
      </c>
    </row>
    <row r="216" spans="3:14" x14ac:dyDescent="0.2">
      <c r="E216" s="64">
        <f>IF(DIAG!H273,$GL$56,-1)</f>
        <v>-1</v>
      </c>
      <c r="F216" s="65">
        <f>E216+(N216-E216)/9</f>
        <v>-1</v>
      </c>
      <c r="G216" s="65">
        <f>F216+(N216-F216)/8</f>
        <v>-1</v>
      </c>
      <c r="H216" s="65">
        <f>G216+(N216-G216)/7</f>
        <v>-1</v>
      </c>
      <c r="I216" s="65">
        <f>H216+(N216-H216)/6</f>
        <v>-1</v>
      </c>
      <c r="J216" s="65">
        <f>I216+(N216-I216)/5</f>
        <v>-1</v>
      </c>
      <c r="K216" s="65">
        <f>J216+(N216-J216)/4</f>
        <v>-1</v>
      </c>
      <c r="L216" s="65">
        <f>K216+(N216-K216)/3</f>
        <v>-1</v>
      </c>
      <c r="M216" s="65">
        <f>L216+(N216-L216)/2</f>
        <v>-1</v>
      </c>
      <c r="N216" s="66">
        <f>IF(DIAG!H273,$AJ$27,-1)</f>
        <v>-1</v>
      </c>
    </row>
    <row r="217" spans="3:14" x14ac:dyDescent="0.2">
      <c r="G217" s="9"/>
      <c r="H217" s="9"/>
      <c r="I217" s="9"/>
      <c r="J217" s="9"/>
      <c r="K217" s="9"/>
    </row>
    <row r="218" spans="3:14" x14ac:dyDescent="0.2">
      <c r="C218" s="9" t="s">
        <v>169</v>
      </c>
      <c r="E218" s="59">
        <f>IF(DIAG!H274,$GL$55,-1)</f>
        <v>-1</v>
      </c>
      <c r="F218" s="60">
        <f>E218+(N218-E218)/9</f>
        <v>-1</v>
      </c>
      <c r="G218" s="60">
        <f>F218+(N218-F218)/8</f>
        <v>-1</v>
      </c>
      <c r="H218" s="60">
        <f>G218+(N218-G218)/7</f>
        <v>-1</v>
      </c>
      <c r="I218" s="60">
        <f>H218+(N218-H218)/6</f>
        <v>-1</v>
      </c>
      <c r="J218" s="60">
        <f>I218+(N218-I218)/5</f>
        <v>-1</v>
      </c>
      <c r="K218" s="60">
        <f>J218+(N218-J218)/4</f>
        <v>-1</v>
      </c>
      <c r="L218" s="60">
        <f>K218+(N218-K218)/3</f>
        <v>-1</v>
      </c>
      <c r="M218" s="60">
        <f>L218+(N218-L218)/2</f>
        <v>-1</v>
      </c>
      <c r="N218" s="61">
        <f>IF(DIAG!H274,$AK$26,-1)</f>
        <v>-1</v>
      </c>
    </row>
    <row r="219" spans="3:14" x14ac:dyDescent="0.2">
      <c r="E219" s="64">
        <f>IF(DIAG!H274,$GL$56,-1)</f>
        <v>-1</v>
      </c>
      <c r="F219" s="65">
        <f>E219+(N219-E219)/9</f>
        <v>-1</v>
      </c>
      <c r="G219" s="65">
        <f>F219+(N219-F219)/8</f>
        <v>-1</v>
      </c>
      <c r="H219" s="65">
        <f>G219+(N219-G219)/7</f>
        <v>-1</v>
      </c>
      <c r="I219" s="65">
        <f>H219+(N219-H219)/6</f>
        <v>-1</v>
      </c>
      <c r="J219" s="65">
        <f>I219+(N219-I219)/5</f>
        <v>-1</v>
      </c>
      <c r="K219" s="65">
        <f>J219+(N219-J219)/4</f>
        <v>-1</v>
      </c>
      <c r="L219" s="65">
        <f>K219+(N219-K219)/3</f>
        <v>-1</v>
      </c>
      <c r="M219" s="65">
        <f>L219+(N219-L219)/2</f>
        <v>-1</v>
      </c>
      <c r="N219" s="66">
        <f>IF(DIAG!H274,$AK$27,-1)</f>
        <v>-1</v>
      </c>
    </row>
    <row r="220" spans="3:14" x14ac:dyDescent="0.2">
      <c r="G220" s="9"/>
      <c r="H220" s="9"/>
      <c r="I220" s="9"/>
      <c r="J220" s="9"/>
      <c r="K220" s="9"/>
    </row>
    <row r="221" spans="3:14" x14ac:dyDescent="0.2">
      <c r="C221" s="9" t="s">
        <v>170</v>
      </c>
      <c r="E221" s="59">
        <f>IF(DIAG!H275,$GL$55,-1)</f>
        <v>-1</v>
      </c>
      <c r="F221" s="60">
        <f>E221+(N221-E221)/9</f>
        <v>-1</v>
      </c>
      <c r="G221" s="60">
        <f>F221+(N221-F221)/8</f>
        <v>-1</v>
      </c>
      <c r="H221" s="60">
        <f>G221+(N221-G221)/7</f>
        <v>-1</v>
      </c>
      <c r="I221" s="60">
        <f>H221+(N221-H221)/6</f>
        <v>-1</v>
      </c>
      <c r="J221" s="60">
        <f>I221+(N221-I221)/5</f>
        <v>-1</v>
      </c>
      <c r="K221" s="60">
        <f>J221+(N221-J221)/4</f>
        <v>-1</v>
      </c>
      <c r="L221" s="60">
        <f>K221+(N221-K221)/3</f>
        <v>-1</v>
      </c>
      <c r="M221" s="60">
        <f>L221+(N221-L221)/2</f>
        <v>-1</v>
      </c>
      <c r="N221" s="61">
        <f>IF(DIAG!H275,$AL$26,-1)</f>
        <v>-1</v>
      </c>
    </row>
    <row r="222" spans="3:14" x14ac:dyDescent="0.2">
      <c r="E222" s="64">
        <f>IF(DIAG!H275,$GL$56,-1)</f>
        <v>-1</v>
      </c>
      <c r="F222" s="65">
        <f>E222+(N222-E222)/9</f>
        <v>-1</v>
      </c>
      <c r="G222" s="65">
        <f>F222+(N222-F222)/8</f>
        <v>-1</v>
      </c>
      <c r="H222" s="65">
        <f>G222+(N222-G222)/7</f>
        <v>-1</v>
      </c>
      <c r="I222" s="65">
        <f>H222+(N222-H222)/6</f>
        <v>-1</v>
      </c>
      <c r="J222" s="65">
        <f>I222+(N222-I222)/5</f>
        <v>-1</v>
      </c>
      <c r="K222" s="65">
        <f>J222+(N222-J222)/4</f>
        <v>-1</v>
      </c>
      <c r="L222" s="65">
        <f>K222+(N222-K222)/3</f>
        <v>-1</v>
      </c>
      <c r="M222" s="65">
        <f>L222+(N222-L222)/2</f>
        <v>-1</v>
      </c>
      <c r="N222" s="66">
        <f>IF(DIAG!H275,$AL$27,-1)</f>
        <v>-1</v>
      </c>
    </row>
    <row r="223" spans="3:14" x14ac:dyDescent="0.2">
      <c r="G223" s="9"/>
      <c r="H223" s="9"/>
      <c r="I223" s="9"/>
      <c r="J223" s="9"/>
      <c r="K223" s="9"/>
    </row>
    <row r="224" spans="3:14" x14ac:dyDescent="0.2">
      <c r="C224" s="9" t="s">
        <v>171</v>
      </c>
      <c r="E224" s="59">
        <f>IF(DIAG!H276,$GL$55,-1)</f>
        <v>-1</v>
      </c>
      <c r="F224" s="60">
        <f>E224+(N224-E224)/9</f>
        <v>-1</v>
      </c>
      <c r="G224" s="60">
        <f>F224+(N224-F224)/8</f>
        <v>-1</v>
      </c>
      <c r="H224" s="60">
        <f>G224+(N224-G224)/7</f>
        <v>-1</v>
      </c>
      <c r="I224" s="60">
        <f>H224+(N224-H224)/6</f>
        <v>-1</v>
      </c>
      <c r="J224" s="60">
        <f>I224+(N224-I224)/5</f>
        <v>-1</v>
      </c>
      <c r="K224" s="60">
        <f>J224+(N224-J224)/4</f>
        <v>-1</v>
      </c>
      <c r="L224" s="60">
        <f>K224+(N224-K224)/3</f>
        <v>-1</v>
      </c>
      <c r="M224" s="60">
        <f>L224+(N224-L224)/2</f>
        <v>-1</v>
      </c>
      <c r="N224" s="61">
        <f>IF(DIAG!H276,$AM$26,-1)</f>
        <v>-1</v>
      </c>
    </row>
    <row r="225" spans="3:14" x14ac:dyDescent="0.2">
      <c r="E225" s="64">
        <f>IF(DIAG!H276,$GL$56,-1)</f>
        <v>-1</v>
      </c>
      <c r="F225" s="65">
        <f>E225+(N225-E225)/9</f>
        <v>-1</v>
      </c>
      <c r="G225" s="65">
        <f>F225+(N225-F225)/8</f>
        <v>-1</v>
      </c>
      <c r="H225" s="65">
        <f>G225+(N225-G225)/7</f>
        <v>-1</v>
      </c>
      <c r="I225" s="65">
        <f>H225+(N225-H225)/6</f>
        <v>-1</v>
      </c>
      <c r="J225" s="65">
        <f>I225+(N225-I225)/5</f>
        <v>-1</v>
      </c>
      <c r="K225" s="65">
        <f>J225+(N225-J225)/4</f>
        <v>-1</v>
      </c>
      <c r="L225" s="65">
        <f>K225+(N225-K225)/3</f>
        <v>-1</v>
      </c>
      <c r="M225" s="65">
        <f>L225+(N225-L225)/2</f>
        <v>-1</v>
      </c>
      <c r="N225" s="66">
        <f>IF(DIAG!H276,$AM$27,-1)</f>
        <v>-1</v>
      </c>
    </row>
    <row r="226" spans="3:14" x14ac:dyDescent="0.2">
      <c r="G226" s="9"/>
      <c r="H226" s="9"/>
      <c r="I226" s="9"/>
      <c r="J226" s="9"/>
      <c r="K226" s="9"/>
    </row>
    <row r="227" spans="3:14" x14ac:dyDescent="0.2">
      <c r="C227" s="9" t="s">
        <v>172</v>
      </c>
      <c r="E227" s="59">
        <f>IF(DIAG!H277,$GL$55,-1)</f>
        <v>-1</v>
      </c>
      <c r="F227" s="60">
        <f>E227+(N227-E227)/9</f>
        <v>-1</v>
      </c>
      <c r="G227" s="60">
        <f>F227+(N227-F227)/8</f>
        <v>-1</v>
      </c>
      <c r="H227" s="60">
        <f>G227+(N227-G227)/7</f>
        <v>-1</v>
      </c>
      <c r="I227" s="60">
        <f>H227+(N227-H227)/6</f>
        <v>-1</v>
      </c>
      <c r="J227" s="60">
        <f>I227+(N227-I227)/5</f>
        <v>-1</v>
      </c>
      <c r="K227" s="60">
        <f>J227+(N227-J227)/4</f>
        <v>-1</v>
      </c>
      <c r="L227" s="60">
        <f>K227+(N227-K227)/3</f>
        <v>-1</v>
      </c>
      <c r="M227" s="60">
        <f>L227+(N227-L227)/2</f>
        <v>-1</v>
      </c>
      <c r="N227" s="61">
        <f>IF(DIAG!H277,$AN$26,-1)</f>
        <v>-1</v>
      </c>
    </row>
    <row r="228" spans="3:14" x14ac:dyDescent="0.2">
      <c r="E228" s="64">
        <f>IF(DIAG!H277,$GL$56,-1)</f>
        <v>-1</v>
      </c>
      <c r="F228" s="65">
        <f>E228+(N228-E228)/9</f>
        <v>-1</v>
      </c>
      <c r="G228" s="65">
        <f>F228+(N228-F228)/8</f>
        <v>-1</v>
      </c>
      <c r="H228" s="65">
        <f>G228+(N228-G228)/7</f>
        <v>-1</v>
      </c>
      <c r="I228" s="65">
        <f>H228+(N228-H228)/6</f>
        <v>-1</v>
      </c>
      <c r="J228" s="65">
        <f>I228+(N228-I228)/5</f>
        <v>-1</v>
      </c>
      <c r="K228" s="65">
        <f>J228+(N228-J228)/4</f>
        <v>-1</v>
      </c>
      <c r="L228" s="65">
        <f>K228+(N228-K228)/3</f>
        <v>-1</v>
      </c>
      <c r="M228" s="65">
        <f>L228+(N228-L228)/2</f>
        <v>-1</v>
      </c>
      <c r="N228" s="66">
        <f>IF(DIAG!H277,$AN$27,-1)</f>
        <v>-1</v>
      </c>
    </row>
    <row r="229" spans="3:14" x14ac:dyDescent="0.2">
      <c r="G229" s="9"/>
      <c r="H229" s="9"/>
      <c r="I229" s="9"/>
      <c r="J229" s="9"/>
      <c r="K229" s="9"/>
    </row>
    <row r="230" spans="3:14" x14ac:dyDescent="0.2">
      <c r="C230" s="9" t="s">
        <v>173</v>
      </c>
      <c r="E230" s="59">
        <f>IF(DIAG!H278,$GL$55,-1)</f>
        <v>-1</v>
      </c>
      <c r="F230" s="60">
        <f>E230+(N230-E230)/9</f>
        <v>-1</v>
      </c>
      <c r="G230" s="60">
        <f>F230+(N230-F230)/8</f>
        <v>-1</v>
      </c>
      <c r="H230" s="60">
        <f>G230+(N230-G230)/7</f>
        <v>-1</v>
      </c>
      <c r="I230" s="60">
        <f>H230+(N230-H230)/6</f>
        <v>-1</v>
      </c>
      <c r="J230" s="60">
        <f>I230+(N230-I230)/5</f>
        <v>-1</v>
      </c>
      <c r="K230" s="60">
        <f>J230+(N230-J230)/4</f>
        <v>-1</v>
      </c>
      <c r="L230" s="60">
        <f>K230+(N230-K230)/3</f>
        <v>-1</v>
      </c>
      <c r="M230" s="60">
        <f>L230+(N230-L230)/2</f>
        <v>-1</v>
      </c>
      <c r="N230" s="61">
        <f>IF(DIAG!H278,$AO$26,-1)</f>
        <v>-1</v>
      </c>
    </row>
    <row r="231" spans="3:14" x14ac:dyDescent="0.2">
      <c r="E231" s="64">
        <f>IF(DIAG!H278,$GL$56,-1)</f>
        <v>-1</v>
      </c>
      <c r="F231" s="65">
        <f>E231+(N231-E231)/9</f>
        <v>-1</v>
      </c>
      <c r="G231" s="65">
        <f>F231+(N231-F231)/8</f>
        <v>-1</v>
      </c>
      <c r="H231" s="65">
        <f>G231+(N231-G231)/7</f>
        <v>-1</v>
      </c>
      <c r="I231" s="65">
        <f>H231+(N231-H231)/6</f>
        <v>-1</v>
      </c>
      <c r="J231" s="65">
        <f>I231+(N231-I231)/5</f>
        <v>-1</v>
      </c>
      <c r="K231" s="65">
        <f>J231+(N231-J231)/4</f>
        <v>-1</v>
      </c>
      <c r="L231" s="65">
        <f>K231+(N231-K231)/3</f>
        <v>-1</v>
      </c>
      <c r="M231" s="65">
        <f>L231+(N231-L231)/2</f>
        <v>-1</v>
      </c>
      <c r="N231" s="66">
        <f>IF(DIAG!H278,$AO$27,-1)</f>
        <v>-1</v>
      </c>
    </row>
    <row r="232" spans="3:14" x14ac:dyDescent="0.2">
      <c r="G232" s="9"/>
      <c r="H232" s="9"/>
      <c r="I232" s="9"/>
      <c r="J232" s="9"/>
      <c r="K232" s="9"/>
    </row>
    <row r="233" spans="3:14" x14ac:dyDescent="0.2">
      <c r="C233" s="9" t="s">
        <v>174</v>
      </c>
      <c r="E233" s="59">
        <f>IF(DIAG!H279,$GL$55,-1)</f>
        <v>-1</v>
      </c>
      <c r="F233" s="60">
        <f>E233+(N233-E233)/9</f>
        <v>-1</v>
      </c>
      <c r="G233" s="60">
        <f>F233+(N233-F233)/8</f>
        <v>-1</v>
      </c>
      <c r="H233" s="60">
        <f>G233+(N233-G233)/7</f>
        <v>-1</v>
      </c>
      <c r="I233" s="60">
        <f>H233+(N233-H233)/6</f>
        <v>-1</v>
      </c>
      <c r="J233" s="60">
        <f>I233+(N233-I233)/5</f>
        <v>-1</v>
      </c>
      <c r="K233" s="60">
        <f>J233+(N233-J233)/4</f>
        <v>-1</v>
      </c>
      <c r="L233" s="60">
        <f>K233+(N233-K233)/3</f>
        <v>-1</v>
      </c>
      <c r="M233" s="60">
        <f>L233+(N233-L233)/2</f>
        <v>-1</v>
      </c>
      <c r="N233" s="61">
        <f>IF(DIAG!H279,$AP$26,-1)</f>
        <v>-1</v>
      </c>
    </row>
    <row r="234" spans="3:14" x14ac:dyDescent="0.2">
      <c r="E234" s="64">
        <f>IF(DIAG!H279,$GL$56,-1)</f>
        <v>-1</v>
      </c>
      <c r="F234" s="65">
        <f>E234+(N234-E234)/9</f>
        <v>-1</v>
      </c>
      <c r="G234" s="65">
        <f>F234+(N234-F234)/8</f>
        <v>-1</v>
      </c>
      <c r="H234" s="65">
        <f>G234+(N234-G234)/7</f>
        <v>-1</v>
      </c>
      <c r="I234" s="65">
        <f>H234+(N234-H234)/6</f>
        <v>-1</v>
      </c>
      <c r="J234" s="65">
        <f>I234+(N234-I234)/5</f>
        <v>-1</v>
      </c>
      <c r="K234" s="65">
        <f>J234+(N234-J234)/4</f>
        <v>-1</v>
      </c>
      <c r="L234" s="65">
        <f>K234+(N234-K234)/3</f>
        <v>-1</v>
      </c>
      <c r="M234" s="65">
        <f>L234+(N234-L234)/2</f>
        <v>-1</v>
      </c>
      <c r="N234" s="66">
        <f>IF(DIAG!H279,$AP$27,-1)</f>
        <v>-1</v>
      </c>
    </row>
    <row r="235" spans="3:14" x14ac:dyDescent="0.2">
      <c r="G235" s="9"/>
      <c r="H235" s="9"/>
      <c r="I235" s="9"/>
      <c r="J235" s="9"/>
      <c r="K235" s="9"/>
    </row>
    <row r="236" spans="3:14" x14ac:dyDescent="0.2">
      <c r="C236" s="9" t="s">
        <v>175</v>
      </c>
      <c r="E236" s="59">
        <f>IF(DIAG!H280,$GL$55,-1)</f>
        <v>-1</v>
      </c>
      <c r="F236" s="60">
        <f>E236+(N236-E236)/9</f>
        <v>-1</v>
      </c>
      <c r="G236" s="60">
        <f>F236+(N236-F236)/8</f>
        <v>-1</v>
      </c>
      <c r="H236" s="60">
        <f>G236+(N236-G236)/7</f>
        <v>-1</v>
      </c>
      <c r="I236" s="60">
        <f>H236+(N236-H236)/6</f>
        <v>-1</v>
      </c>
      <c r="J236" s="60">
        <f>I236+(N236-I236)/5</f>
        <v>-1</v>
      </c>
      <c r="K236" s="60">
        <f>J236+(N236-J236)/4</f>
        <v>-1</v>
      </c>
      <c r="L236" s="60">
        <f>K236+(N236-K236)/3</f>
        <v>-1</v>
      </c>
      <c r="M236" s="60">
        <f>L236+(N236-L236)/2</f>
        <v>-1</v>
      </c>
      <c r="N236" s="61">
        <f>IF(DIAG!H280,$AQ$26,-1)</f>
        <v>-1</v>
      </c>
    </row>
    <row r="237" spans="3:14" x14ac:dyDescent="0.2">
      <c r="E237" s="64">
        <f>IF(DIAG!H280,$GL$56,-1)</f>
        <v>-1</v>
      </c>
      <c r="F237" s="65">
        <f>E237+(N237-E237)/9</f>
        <v>-1</v>
      </c>
      <c r="G237" s="65">
        <f>F237+(N237-F237)/8</f>
        <v>-1</v>
      </c>
      <c r="H237" s="65">
        <f>G237+(N237-G237)/7</f>
        <v>-1</v>
      </c>
      <c r="I237" s="65">
        <f>H237+(N237-H237)/6</f>
        <v>-1</v>
      </c>
      <c r="J237" s="65">
        <f>I237+(N237-I237)/5</f>
        <v>-1</v>
      </c>
      <c r="K237" s="65">
        <f>J237+(N237-J237)/4</f>
        <v>-1</v>
      </c>
      <c r="L237" s="65">
        <f>K237+(N237-K237)/3</f>
        <v>-1</v>
      </c>
      <c r="M237" s="65">
        <f>L237+(N237-L237)/2</f>
        <v>-1</v>
      </c>
      <c r="N237" s="66">
        <f>IF(DIAG!H280,$AQ$27,-1)</f>
        <v>-1</v>
      </c>
    </row>
    <row r="238" spans="3:14" x14ac:dyDescent="0.2">
      <c r="G238" s="9"/>
      <c r="H238" s="9"/>
      <c r="I238" s="9"/>
      <c r="J238" s="9"/>
      <c r="K238" s="9"/>
    </row>
    <row r="239" spans="3:14" x14ac:dyDescent="0.2">
      <c r="C239" s="9" t="s">
        <v>176</v>
      </c>
      <c r="E239" s="59">
        <f>IF(DIAG!H281,$GL$55,-1)</f>
        <v>-1</v>
      </c>
      <c r="F239" s="60">
        <f>E239+(N239-E239)/9</f>
        <v>-1</v>
      </c>
      <c r="G239" s="60">
        <f>F239+(N239-F239)/8</f>
        <v>-1</v>
      </c>
      <c r="H239" s="60">
        <f>G239+(N239-G239)/7</f>
        <v>-1</v>
      </c>
      <c r="I239" s="60">
        <f>H239+(N239-H239)/6</f>
        <v>-1</v>
      </c>
      <c r="J239" s="60">
        <f>I239+(N239-I239)/5</f>
        <v>-1</v>
      </c>
      <c r="K239" s="60">
        <f>J239+(N239-J239)/4</f>
        <v>-1</v>
      </c>
      <c r="L239" s="60">
        <f>K239+(N239-K239)/3</f>
        <v>-1</v>
      </c>
      <c r="M239" s="60">
        <f>L239+(N239-L239)/2</f>
        <v>-1</v>
      </c>
      <c r="N239" s="61">
        <f>IF(DIAG!H281,$AR$26,-1)</f>
        <v>-1</v>
      </c>
    </row>
    <row r="240" spans="3:14" x14ac:dyDescent="0.2">
      <c r="E240" s="64">
        <f>IF(DIAG!H281,$GL$56,-1)</f>
        <v>-1</v>
      </c>
      <c r="F240" s="65">
        <f>E240+(N240-E240)/9</f>
        <v>-1</v>
      </c>
      <c r="G240" s="65">
        <f>F240+(N240-F240)/8</f>
        <v>-1</v>
      </c>
      <c r="H240" s="65">
        <f>G240+(N240-G240)/7</f>
        <v>-1</v>
      </c>
      <c r="I240" s="65">
        <f>H240+(N240-H240)/6</f>
        <v>-1</v>
      </c>
      <c r="J240" s="65">
        <f>I240+(N240-I240)/5</f>
        <v>-1</v>
      </c>
      <c r="K240" s="65">
        <f>J240+(N240-J240)/4</f>
        <v>-1</v>
      </c>
      <c r="L240" s="65">
        <f>K240+(N240-K240)/3</f>
        <v>-1</v>
      </c>
      <c r="M240" s="65">
        <f>L240+(N240-L240)/2</f>
        <v>-1</v>
      </c>
      <c r="N240" s="66">
        <f>IF(DIAG!H281,$AR$27,-1)</f>
        <v>-1</v>
      </c>
    </row>
    <row r="241" spans="3:14" x14ac:dyDescent="0.2">
      <c r="G241" s="9"/>
      <c r="H241" s="9"/>
      <c r="I241" s="9"/>
      <c r="J241" s="9"/>
      <c r="K241" s="9"/>
    </row>
    <row r="242" spans="3:14" x14ac:dyDescent="0.2">
      <c r="C242" s="9" t="s">
        <v>177</v>
      </c>
      <c r="E242" s="59">
        <f>IF(DIAG!H282,$GL$55,-1)</f>
        <v>-1</v>
      </c>
      <c r="F242" s="60">
        <f>E242+(N242-E242)/9</f>
        <v>-1</v>
      </c>
      <c r="G242" s="60">
        <f>F242+(N242-F242)/8</f>
        <v>-1</v>
      </c>
      <c r="H242" s="60">
        <f>G242+(N242-G242)/7</f>
        <v>-1</v>
      </c>
      <c r="I242" s="60">
        <f>H242+(N242-H242)/6</f>
        <v>-1</v>
      </c>
      <c r="J242" s="60">
        <f>I242+(N242-I242)/5</f>
        <v>-1</v>
      </c>
      <c r="K242" s="60">
        <f>J242+(N242-J242)/4</f>
        <v>-1</v>
      </c>
      <c r="L242" s="60">
        <f>K242+(N242-K242)/3</f>
        <v>-1</v>
      </c>
      <c r="M242" s="60">
        <f>L242+(N242-L242)/2</f>
        <v>-1</v>
      </c>
      <c r="N242" s="61">
        <f>IF(DIAG!H282,$AS$26,-1)</f>
        <v>-1</v>
      </c>
    </row>
    <row r="243" spans="3:14" x14ac:dyDescent="0.2">
      <c r="E243" s="64">
        <f>IF(DIAG!H282,$GL$56,-1)</f>
        <v>-1</v>
      </c>
      <c r="F243" s="65">
        <f>E243+(N243-E243)/9</f>
        <v>-1</v>
      </c>
      <c r="G243" s="65">
        <f>F243+(N243-F243)/8</f>
        <v>-1</v>
      </c>
      <c r="H243" s="65">
        <f>G243+(N243-G243)/7</f>
        <v>-1</v>
      </c>
      <c r="I243" s="65">
        <f>H243+(N243-H243)/6</f>
        <v>-1</v>
      </c>
      <c r="J243" s="65">
        <f>I243+(N243-I243)/5</f>
        <v>-1</v>
      </c>
      <c r="K243" s="65">
        <f>J243+(N243-J243)/4</f>
        <v>-1</v>
      </c>
      <c r="L243" s="65">
        <f>K243+(N243-K243)/3</f>
        <v>-1</v>
      </c>
      <c r="M243" s="65">
        <f>L243+(N243-L243)/2</f>
        <v>-1</v>
      </c>
      <c r="N243" s="66">
        <f>IF(DIAG!H282,$AS$27,-1)</f>
        <v>-1</v>
      </c>
    </row>
    <row r="244" spans="3:14" x14ac:dyDescent="0.2">
      <c r="G244" s="9"/>
      <c r="H244" s="9"/>
      <c r="I244" s="9"/>
      <c r="J244" s="9"/>
      <c r="K244" s="9"/>
    </row>
    <row r="245" spans="3:14" x14ac:dyDescent="0.2">
      <c r="C245" s="9" t="s">
        <v>178</v>
      </c>
      <c r="E245" s="59">
        <f>IF(DIAG!H283,$GL$55,-1)</f>
        <v>-1</v>
      </c>
      <c r="F245" s="60">
        <f>E245+(N245-E245)/9</f>
        <v>-1</v>
      </c>
      <c r="G245" s="60">
        <f>F245+(N245-F245)/8</f>
        <v>-1</v>
      </c>
      <c r="H245" s="60">
        <f>G245+(N245-G245)/7</f>
        <v>-1</v>
      </c>
      <c r="I245" s="60">
        <f>H245+(N245-H245)/6</f>
        <v>-1</v>
      </c>
      <c r="J245" s="60">
        <f>I245+(N245-I245)/5</f>
        <v>-1</v>
      </c>
      <c r="K245" s="60">
        <f>J245+(N245-J245)/4</f>
        <v>-1</v>
      </c>
      <c r="L245" s="60">
        <f>K245+(N245-K245)/3</f>
        <v>-1</v>
      </c>
      <c r="M245" s="60">
        <f>L245+(N245-L245)/2</f>
        <v>-1</v>
      </c>
      <c r="N245" s="61">
        <f>IF(DIAG!H283,$AT$26,-1)</f>
        <v>-1</v>
      </c>
    </row>
    <row r="246" spans="3:14" x14ac:dyDescent="0.2">
      <c r="E246" s="64">
        <f>IF(DIAG!H283,$GL$56,-1)</f>
        <v>-1</v>
      </c>
      <c r="F246" s="65">
        <f>E246+(N246-E246)/9</f>
        <v>-1</v>
      </c>
      <c r="G246" s="65">
        <f>F246+(N246-F246)/8</f>
        <v>-1</v>
      </c>
      <c r="H246" s="65">
        <f>G246+(N246-G246)/7</f>
        <v>-1</v>
      </c>
      <c r="I246" s="65">
        <f>H246+(N246-H246)/6</f>
        <v>-1</v>
      </c>
      <c r="J246" s="65">
        <f>I246+(N246-I246)/5</f>
        <v>-1</v>
      </c>
      <c r="K246" s="65">
        <f>J246+(N246-J246)/4</f>
        <v>-1</v>
      </c>
      <c r="L246" s="65">
        <f>K246+(N246-K246)/3</f>
        <v>-1</v>
      </c>
      <c r="M246" s="65">
        <f>L246+(N246-L246)/2</f>
        <v>-1</v>
      </c>
      <c r="N246" s="66">
        <f>IF(DIAG!H283,$AT$27,-1)</f>
        <v>-1</v>
      </c>
    </row>
    <row r="247" spans="3:14" x14ac:dyDescent="0.2">
      <c r="G247" s="9"/>
      <c r="H247" s="9"/>
      <c r="I247" s="9"/>
      <c r="J247" s="9"/>
      <c r="K247" s="9"/>
    </row>
    <row r="248" spans="3:14" x14ac:dyDescent="0.2">
      <c r="C248" s="9" t="s">
        <v>179</v>
      </c>
      <c r="E248" s="59">
        <f>IF(DIAG!H284,$GL$55,-1)</f>
        <v>-1</v>
      </c>
      <c r="F248" s="60">
        <f>E248+(N248-E248)/9</f>
        <v>-1</v>
      </c>
      <c r="G248" s="60">
        <f>F248+(N248-F248)/8</f>
        <v>-1</v>
      </c>
      <c r="H248" s="60">
        <f>G248+(N248-G248)/7</f>
        <v>-1</v>
      </c>
      <c r="I248" s="60">
        <f>H248+(N248-H248)/6</f>
        <v>-1</v>
      </c>
      <c r="J248" s="60">
        <f>I248+(N248-I248)/5</f>
        <v>-1</v>
      </c>
      <c r="K248" s="60">
        <f>J248+(N248-J248)/4</f>
        <v>-1</v>
      </c>
      <c r="L248" s="60">
        <f>K248+(N248-K248)/3</f>
        <v>-1</v>
      </c>
      <c r="M248" s="60">
        <f>L248+(N248-L248)/2</f>
        <v>-1</v>
      </c>
      <c r="N248" s="61">
        <f>IF(DIAG!H284,$AU$26,-1)</f>
        <v>-1</v>
      </c>
    </row>
    <row r="249" spans="3:14" x14ac:dyDescent="0.2">
      <c r="E249" s="64">
        <f>IF(DIAG!H284,$GL$56,-1)</f>
        <v>-1</v>
      </c>
      <c r="F249" s="65">
        <f>E249+(N249-E249)/9</f>
        <v>-1</v>
      </c>
      <c r="G249" s="65">
        <f>F249+(N249-F249)/8</f>
        <v>-1</v>
      </c>
      <c r="H249" s="65">
        <f>G249+(N249-G249)/7</f>
        <v>-1</v>
      </c>
      <c r="I249" s="65">
        <f>H249+(N249-H249)/6</f>
        <v>-1</v>
      </c>
      <c r="J249" s="65">
        <f>I249+(N249-I249)/5</f>
        <v>-1</v>
      </c>
      <c r="K249" s="65">
        <f>J249+(N249-J249)/4</f>
        <v>-1</v>
      </c>
      <c r="L249" s="65">
        <f>K249+(N249-K249)/3</f>
        <v>-1</v>
      </c>
      <c r="M249" s="65">
        <f>L249+(N249-L249)/2</f>
        <v>-1</v>
      </c>
      <c r="N249" s="66">
        <f>IF(DIAG!H284,$AU$27,-1)</f>
        <v>-1</v>
      </c>
    </row>
    <row r="250" spans="3:14" x14ac:dyDescent="0.2">
      <c r="G250" s="9"/>
      <c r="H250" s="9"/>
      <c r="I250" s="9"/>
      <c r="J250" s="9"/>
      <c r="K250" s="9"/>
    </row>
    <row r="251" spans="3:14" x14ac:dyDescent="0.2">
      <c r="C251" s="9" t="s">
        <v>180</v>
      </c>
      <c r="E251" s="59">
        <f>IF(DIAG!H285,$GL$55,-1)</f>
        <v>-1</v>
      </c>
      <c r="F251" s="60">
        <f>E251+(N251-E251)/9</f>
        <v>-1</v>
      </c>
      <c r="G251" s="60">
        <f>F251+(N251-F251)/8</f>
        <v>-1</v>
      </c>
      <c r="H251" s="60">
        <f>G251+(N251-G251)/7</f>
        <v>-1</v>
      </c>
      <c r="I251" s="60">
        <f>H251+(N251-H251)/6</f>
        <v>-1</v>
      </c>
      <c r="J251" s="60">
        <f>I251+(N251-I251)/5</f>
        <v>-1</v>
      </c>
      <c r="K251" s="60">
        <f>J251+(N251-J251)/4</f>
        <v>-1</v>
      </c>
      <c r="L251" s="60">
        <f>K251+(N251-K251)/3</f>
        <v>-1</v>
      </c>
      <c r="M251" s="60">
        <f>L251+(N251-L251)/2</f>
        <v>-1</v>
      </c>
      <c r="N251" s="61">
        <f>IF(DIAG!H285,$AV$26,-1)</f>
        <v>-1</v>
      </c>
    </row>
    <row r="252" spans="3:14" x14ac:dyDescent="0.2">
      <c r="E252" s="64">
        <f>IF(DIAG!H285,$GL$56,-1)</f>
        <v>-1</v>
      </c>
      <c r="F252" s="65">
        <f>E252+(N252-E252)/9</f>
        <v>-1</v>
      </c>
      <c r="G252" s="65">
        <f>F252+(N252-F252)/8</f>
        <v>-1</v>
      </c>
      <c r="H252" s="65">
        <f>G252+(N252-G252)/7</f>
        <v>-1</v>
      </c>
      <c r="I252" s="65">
        <f>H252+(N252-H252)/6</f>
        <v>-1</v>
      </c>
      <c r="J252" s="65">
        <f>I252+(N252-I252)/5</f>
        <v>-1</v>
      </c>
      <c r="K252" s="65">
        <f>J252+(N252-J252)/4</f>
        <v>-1</v>
      </c>
      <c r="L252" s="65">
        <f>K252+(N252-K252)/3</f>
        <v>-1</v>
      </c>
      <c r="M252" s="65">
        <f>L252+(N252-L252)/2</f>
        <v>-1</v>
      </c>
      <c r="N252" s="66">
        <f>IF(DIAG!H285,$AV$27,-1)</f>
        <v>-1</v>
      </c>
    </row>
    <row r="253" spans="3:14" x14ac:dyDescent="0.2">
      <c r="G253" s="9"/>
      <c r="H253" s="9"/>
      <c r="I253" s="9"/>
      <c r="J253" s="9"/>
      <c r="K253" s="9"/>
    </row>
    <row r="254" spans="3:14" x14ac:dyDescent="0.2">
      <c r="C254" s="9" t="s">
        <v>181</v>
      </c>
      <c r="E254" s="59">
        <f>IF(DIAG!H286,$GL$55,-1)</f>
        <v>-1</v>
      </c>
      <c r="F254" s="60">
        <f>E254+(N254-E254)/9</f>
        <v>-1</v>
      </c>
      <c r="G254" s="60">
        <f>F254+(N254-F254)/8</f>
        <v>-1</v>
      </c>
      <c r="H254" s="60">
        <f>G254+(N254-G254)/7</f>
        <v>-1</v>
      </c>
      <c r="I254" s="60">
        <f>H254+(N254-H254)/6</f>
        <v>-1</v>
      </c>
      <c r="J254" s="60">
        <f>I254+(N254-I254)/5</f>
        <v>-1</v>
      </c>
      <c r="K254" s="60">
        <f>J254+(N254-J254)/4</f>
        <v>-1</v>
      </c>
      <c r="L254" s="60">
        <f>K254+(N254-K254)/3</f>
        <v>-1</v>
      </c>
      <c r="M254" s="60">
        <f>L254+(N254-L254)/2</f>
        <v>-1</v>
      </c>
      <c r="N254" s="61">
        <f>IF(DIAG!H286,$AW$26,-1)</f>
        <v>-1</v>
      </c>
    </row>
    <row r="255" spans="3:14" x14ac:dyDescent="0.2">
      <c r="E255" s="64">
        <f>IF(DIAG!H286,$GL$56,-1)</f>
        <v>-1</v>
      </c>
      <c r="F255" s="65">
        <f>E255+(N255-E255)/9</f>
        <v>-1</v>
      </c>
      <c r="G255" s="65">
        <f>F255+(N255-F255)/8</f>
        <v>-1</v>
      </c>
      <c r="H255" s="65">
        <f>G255+(N255-G255)/7</f>
        <v>-1</v>
      </c>
      <c r="I255" s="65">
        <f>H255+(N255-H255)/6</f>
        <v>-1</v>
      </c>
      <c r="J255" s="65">
        <f>I255+(N255-I255)/5</f>
        <v>-1</v>
      </c>
      <c r="K255" s="65">
        <f>J255+(N255-J255)/4</f>
        <v>-1</v>
      </c>
      <c r="L255" s="65">
        <f>K255+(N255-K255)/3</f>
        <v>-1</v>
      </c>
      <c r="M255" s="65">
        <f>L255+(N255-L255)/2</f>
        <v>-1</v>
      </c>
      <c r="N255" s="66">
        <f>IF(DIAG!H286,$AW$27,-1)</f>
        <v>-1</v>
      </c>
    </row>
    <row r="256" spans="3:14" x14ac:dyDescent="0.2">
      <c r="G256" s="9"/>
      <c r="H256" s="9"/>
      <c r="I256" s="9"/>
      <c r="J256" s="9"/>
      <c r="K256" s="9"/>
    </row>
    <row r="257" spans="3:14" x14ac:dyDescent="0.2">
      <c r="C257" s="9" t="s">
        <v>182</v>
      </c>
      <c r="E257" s="59">
        <f>IF(DIAG!H287,$GL$55,-1)</f>
        <v>-1</v>
      </c>
      <c r="F257" s="60">
        <f>E257+(N257-E257)/9</f>
        <v>-1</v>
      </c>
      <c r="G257" s="60">
        <f>F257+(N257-F257)/8</f>
        <v>-1</v>
      </c>
      <c r="H257" s="60">
        <f>G257+(N257-G257)/7</f>
        <v>-1</v>
      </c>
      <c r="I257" s="60">
        <f>H257+(N257-H257)/6</f>
        <v>-1</v>
      </c>
      <c r="J257" s="60">
        <f>I257+(N257-I257)/5</f>
        <v>-1</v>
      </c>
      <c r="K257" s="60">
        <f>J257+(N257-J257)/4</f>
        <v>-1</v>
      </c>
      <c r="L257" s="60">
        <f>K257+(N257-K257)/3</f>
        <v>-1</v>
      </c>
      <c r="M257" s="60">
        <f>L257+(N257-L257)/2</f>
        <v>-1</v>
      </c>
      <c r="N257" s="61">
        <f>IF(DIAG!H287,$AX$26,-1)</f>
        <v>-1</v>
      </c>
    </row>
    <row r="258" spans="3:14" x14ac:dyDescent="0.2">
      <c r="E258" s="64">
        <f>IF(DIAG!H287,$GL$56,-1)</f>
        <v>-1</v>
      </c>
      <c r="F258" s="65">
        <f>E258+(N258-E258)/9</f>
        <v>-1</v>
      </c>
      <c r="G258" s="65">
        <f>F258+(N258-F258)/8</f>
        <v>-1</v>
      </c>
      <c r="H258" s="65">
        <f>G258+(N258-G258)/7</f>
        <v>-1</v>
      </c>
      <c r="I258" s="65">
        <f>H258+(N258-H258)/6</f>
        <v>-1</v>
      </c>
      <c r="J258" s="65">
        <f>I258+(N258-I258)/5</f>
        <v>-1</v>
      </c>
      <c r="K258" s="65">
        <f>J258+(N258-J258)/4</f>
        <v>-1</v>
      </c>
      <c r="L258" s="65">
        <f>K258+(N258-K258)/3</f>
        <v>-1</v>
      </c>
      <c r="M258" s="65">
        <f>L258+(N258-L258)/2</f>
        <v>-1</v>
      </c>
      <c r="N258" s="66">
        <f>IF(DIAG!H287,$AX$27,-1)</f>
        <v>-1</v>
      </c>
    </row>
    <row r="259" spans="3:14" x14ac:dyDescent="0.2">
      <c r="G259" s="9"/>
      <c r="H259" s="9"/>
      <c r="I259" s="9"/>
      <c r="J259" s="9"/>
      <c r="K259" s="9"/>
    </row>
    <row r="260" spans="3:14" x14ac:dyDescent="0.2">
      <c r="C260" s="9" t="s">
        <v>183</v>
      </c>
      <c r="E260" s="59">
        <f>IF(DIAG!H288,$GL$55,-1)</f>
        <v>-1</v>
      </c>
      <c r="F260" s="60">
        <f>E260+(N260-E260)/9</f>
        <v>-1</v>
      </c>
      <c r="G260" s="60">
        <f>F260+(N260-F260)/8</f>
        <v>-1</v>
      </c>
      <c r="H260" s="60">
        <f>G260+(N260-G260)/7</f>
        <v>-1</v>
      </c>
      <c r="I260" s="60">
        <f>H260+(N260-H260)/6</f>
        <v>-1</v>
      </c>
      <c r="J260" s="60">
        <f>I260+(N260-I260)/5</f>
        <v>-1</v>
      </c>
      <c r="K260" s="60">
        <f>J260+(N260-J260)/4</f>
        <v>-1</v>
      </c>
      <c r="L260" s="60">
        <f>K260+(N260-K260)/3</f>
        <v>-1</v>
      </c>
      <c r="M260" s="60">
        <f>L260+(N260-L260)/2</f>
        <v>-1</v>
      </c>
      <c r="N260" s="61">
        <f>IF(DIAG!H288,$AY$26,-1)</f>
        <v>-1</v>
      </c>
    </row>
    <row r="261" spans="3:14" x14ac:dyDescent="0.2">
      <c r="E261" s="64">
        <f>IF(DIAG!H288,$GL$56,-1)</f>
        <v>-1</v>
      </c>
      <c r="F261" s="65">
        <f>E261+(N261-E261)/9</f>
        <v>-1</v>
      </c>
      <c r="G261" s="65">
        <f>F261+(N261-F261)/8</f>
        <v>-1</v>
      </c>
      <c r="H261" s="65">
        <f>G261+(N261-G261)/7</f>
        <v>-1</v>
      </c>
      <c r="I261" s="65">
        <f>H261+(N261-H261)/6</f>
        <v>-1</v>
      </c>
      <c r="J261" s="65">
        <f>I261+(N261-I261)/5</f>
        <v>-1</v>
      </c>
      <c r="K261" s="65">
        <f>J261+(N261-J261)/4</f>
        <v>-1</v>
      </c>
      <c r="L261" s="65">
        <f>K261+(N261-K261)/3</f>
        <v>-1</v>
      </c>
      <c r="M261" s="65">
        <f>L261+(N261-L261)/2</f>
        <v>-1</v>
      </c>
      <c r="N261" s="66">
        <f>IF(DIAG!H288,$AY$27,-1)</f>
        <v>-1</v>
      </c>
    </row>
    <row r="262" spans="3:14" x14ac:dyDescent="0.2">
      <c r="G262" s="9"/>
      <c r="H262" s="9"/>
      <c r="I262" s="9"/>
      <c r="J262" s="9"/>
      <c r="K262" s="9"/>
    </row>
    <row r="263" spans="3:14" x14ac:dyDescent="0.2">
      <c r="C263" s="9" t="s">
        <v>184</v>
      </c>
      <c r="E263" s="59">
        <f>IF(DIAG!H289,$GL$55,-1)</f>
        <v>-1</v>
      </c>
      <c r="F263" s="60">
        <f>E263+(N263-E263)/9</f>
        <v>-1</v>
      </c>
      <c r="G263" s="60">
        <f>F263+(N263-F263)/8</f>
        <v>-1</v>
      </c>
      <c r="H263" s="60">
        <f>G263+(N263-G263)/7</f>
        <v>-1</v>
      </c>
      <c r="I263" s="60">
        <f>H263+(N263-H263)/6</f>
        <v>-1</v>
      </c>
      <c r="J263" s="60">
        <f>I263+(N263-I263)/5</f>
        <v>-1</v>
      </c>
      <c r="K263" s="60">
        <f>J263+(N263-J263)/4</f>
        <v>-1</v>
      </c>
      <c r="L263" s="60">
        <f>K263+(N263-K263)/3</f>
        <v>-1</v>
      </c>
      <c r="M263" s="60">
        <f>L263+(N263-L263)/2</f>
        <v>-1</v>
      </c>
      <c r="N263" s="61">
        <f>IF(DIAG!H289,$AZ$26,-1)</f>
        <v>-1</v>
      </c>
    </row>
    <row r="264" spans="3:14" x14ac:dyDescent="0.2">
      <c r="E264" s="64">
        <f>IF(DIAG!H289,$GL$56,-1)</f>
        <v>-1</v>
      </c>
      <c r="F264" s="65">
        <f>E264+(N264-E264)/9</f>
        <v>-1</v>
      </c>
      <c r="G264" s="65">
        <f>F264+(N264-F264)/8</f>
        <v>-1</v>
      </c>
      <c r="H264" s="65">
        <f>G264+(N264-G264)/7</f>
        <v>-1</v>
      </c>
      <c r="I264" s="65">
        <f>H264+(N264-H264)/6</f>
        <v>-1</v>
      </c>
      <c r="J264" s="65">
        <f>I264+(N264-I264)/5</f>
        <v>-1</v>
      </c>
      <c r="K264" s="65">
        <f>J264+(N264-J264)/4</f>
        <v>-1</v>
      </c>
      <c r="L264" s="65">
        <f>K264+(N264-K264)/3</f>
        <v>-1</v>
      </c>
      <c r="M264" s="65">
        <f>L264+(N264-L264)/2</f>
        <v>-1</v>
      </c>
      <c r="N264" s="66">
        <f>IF(DIAG!H289,$AZ$27,-1)</f>
        <v>-1</v>
      </c>
    </row>
    <row r="265" spans="3:14" x14ac:dyDescent="0.2">
      <c r="G265" s="9"/>
      <c r="H265" s="9"/>
      <c r="I265" s="9"/>
      <c r="J265" s="9"/>
      <c r="K265" s="9"/>
    </row>
    <row r="266" spans="3:14" x14ac:dyDescent="0.2">
      <c r="C266" s="9" t="s">
        <v>185</v>
      </c>
      <c r="E266" s="59">
        <f>IF(DIAG!H290,$GL$55,-1)</f>
        <v>-1</v>
      </c>
      <c r="F266" s="60">
        <f>E266+(N266-E266)/9</f>
        <v>-1</v>
      </c>
      <c r="G266" s="60">
        <f>F266+(N266-F266)/8</f>
        <v>-1</v>
      </c>
      <c r="H266" s="60">
        <f>G266+(N266-G266)/7</f>
        <v>-1</v>
      </c>
      <c r="I266" s="60">
        <f>H266+(N266-H266)/6</f>
        <v>-1</v>
      </c>
      <c r="J266" s="60">
        <f>I266+(N266-I266)/5</f>
        <v>-1</v>
      </c>
      <c r="K266" s="60">
        <f>J266+(N266-J266)/4</f>
        <v>-1</v>
      </c>
      <c r="L266" s="60">
        <f>K266+(N266-K266)/3</f>
        <v>-1</v>
      </c>
      <c r="M266" s="60">
        <f>L266+(N266-L266)/2</f>
        <v>-1</v>
      </c>
      <c r="N266" s="61">
        <f>IF(DIAG!H290,$BA$26,-1)</f>
        <v>-1</v>
      </c>
    </row>
    <row r="267" spans="3:14" x14ac:dyDescent="0.2">
      <c r="E267" s="64">
        <f>IF(DIAG!H290,$GL$56,-1)</f>
        <v>-1</v>
      </c>
      <c r="F267" s="65">
        <f>E267+(N267-E267)/9</f>
        <v>-1</v>
      </c>
      <c r="G267" s="65">
        <f>F267+(N267-F267)/8</f>
        <v>-1</v>
      </c>
      <c r="H267" s="65">
        <f>G267+(N267-G267)/7</f>
        <v>-1</v>
      </c>
      <c r="I267" s="65">
        <f>H267+(N267-H267)/6</f>
        <v>-1</v>
      </c>
      <c r="J267" s="65">
        <f>I267+(N267-I267)/5</f>
        <v>-1</v>
      </c>
      <c r="K267" s="65">
        <f>J267+(N267-J267)/4</f>
        <v>-1</v>
      </c>
      <c r="L267" s="65">
        <f>K267+(N267-K267)/3</f>
        <v>-1</v>
      </c>
      <c r="M267" s="65">
        <f>L267+(N267-L267)/2</f>
        <v>-1</v>
      </c>
      <c r="N267" s="66">
        <f>IF(DIAG!H290,$BA$27,-1)</f>
        <v>-1</v>
      </c>
    </row>
    <row r="268" spans="3:14" x14ac:dyDescent="0.2">
      <c r="G268" s="9"/>
      <c r="H268" s="9"/>
      <c r="I268" s="9"/>
      <c r="J268" s="9"/>
      <c r="K268" s="9"/>
    </row>
    <row r="269" spans="3:14" x14ac:dyDescent="0.2">
      <c r="C269" s="9" t="s">
        <v>186</v>
      </c>
      <c r="E269" s="59">
        <f>IF(DIAG!H291,$GL$55,-1)</f>
        <v>-1</v>
      </c>
      <c r="F269" s="60">
        <f>E269+(N269-E269)/9</f>
        <v>-1</v>
      </c>
      <c r="G269" s="60">
        <f>F269+(N269-F269)/8</f>
        <v>-1</v>
      </c>
      <c r="H269" s="60">
        <f>G269+(N269-G269)/7</f>
        <v>-1</v>
      </c>
      <c r="I269" s="60">
        <f>H269+(N269-H269)/6</f>
        <v>-1</v>
      </c>
      <c r="J269" s="60">
        <f>I269+(N269-I269)/5</f>
        <v>-1</v>
      </c>
      <c r="K269" s="60">
        <f>J269+(N269-J269)/4</f>
        <v>-1</v>
      </c>
      <c r="L269" s="60">
        <f>K269+(N269-K269)/3</f>
        <v>-1</v>
      </c>
      <c r="M269" s="60">
        <f>L269+(N269-L269)/2</f>
        <v>-1</v>
      </c>
      <c r="N269" s="61">
        <f>IF(DIAG!H291,$BB$26,-1)</f>
        <v>-1</v>
      </c>
    </row>
    <row r="270" spans="3:14" x14ac:dyDescent="0.2">
      <c r="E270" s="64">
        <f>IF(DIAG!H291,$GL$56,-1)</f>
        <v>-1</v>
      </c>
      <c r="F270" s="65">
        <f>E270+(N270-E270)/9</f>
        <v>-1</v>
      </c>
      <c r="G270" s="65">
        <f>F270+(N270-F270)/8</f>
        <v>-1</v>
      </c>
      <c r="H270" s="65">
        <f>G270+(N270-G270)/7</f>
        <v>-1</v>
      </c>
      <c r="I270" s="65">
        <f>H270+(N270-H270)/6</f>
        <v>-1</v>
      </c>
      <c r="J270" s="65">
        <f>I270+(N270-I270)/5</f>
        <v>-1</v>
      </c>
      <c r="K270" s="65">
        <f>J270+(N270-J270)/4</f>
        <v>-1</v>
      </c>
      <c r="L270" s="65">
        <f>K270+(N270-K270)/3</f>
        <v>-1</v>
      </c>
      <c r="M270" s="65">
        <f>L270+(N270-L270)/2</f>
        <v>-1</v>
      </c>
      <c r="N270" s="66">
        <f>IF(DIAG!H291,$BB$27,-1)</f>
        <v>-1</v>
      </c>
    </row>
    <row r="271" spans="3:14" x14ac:dyDescent="0.2">
      <c r="G271" s="9"/>
      <c r="H271" s="9"/>
      <c r="I271" s="9"/>
      <c r="J271" s="9"/>
      <c r="K271" s="9"/>
    </row>
    <row r="272" spans="3:14" x14ac:dyDescent="0.2">
      <c r="C272" s="9" t="s">
        <v>187</v>
      </c>
      <c r="E272" s="59">
        <f>IF(DIAG!H292,$GL$55,-1)</f>
        <v>-1</v>
      </c>
      <c r="F272" s="60">
        <f>E272+(N272-E272)/9</f>
        <v>-1</v>
      </c>
      <c r="G272" s="60">
        <f>F272+(N272-F272)/8</f>
        <v>-1</v>
      </c>
      <c r="H272" s="60">
        <f>G272+(N272-G272)/7</f>
        <v>-1</v>
      </c>
      <c r="I272" s="60">
        <f>H272+(N272-H272)/6</f>
        <v>-1</v>
      </c>
      <c r="J272" s="60">
        <f>I272+(N272-I272)/5</f>
        <v>-1</v>
      </c>
      <c r="K272" s="60">
        <f>J272+(N272-J272)/4</f>
        <v>-1</v>
      </c>
      <c r="L272" s="60">
        <f>K272+(N272-K272)/3</f>
        <v>-1</v>
      </c>
      <c r="M272" s="60">
        <f>L272+(N272-L272)/2</f>
        <v>-1</v>
      </c>
      <c r="N272" s="61">
        <f>IF(DIAG!H292,$BC$26,-1)</f>
        <v>-1</v>
      </c>
    </row>
    <row r="273" spans="3:14" x14ac:dyDescent="0.2">
      <c r="E273" s="64">
        <f>IF(DIAG!H292,$GL$56,-1)</f>
        <v>-1</v>
      </c>
      <c r="F273" s="65">
        <f>E273+(N273-E273)/9</f>
        <v>-1</v>
      </c>
      <c r="G273" s="65">
        <f>F273+(N273-F273)/8</f>
        <v>-1</v>
      </c>
      <c r="H273" s="65">
        <f>G273+(N273-G273)/7</f>
        <v>-1</v>
      </c>
      <c r="I273" s="65">
        <f>H273+(N273-H273)/6</f>
        <v>-1</v>
      </c>
      <c r="J273" s="65">
        <f>I273+(N273-I273)/5</f>
        <v>-1</v>
      </c>
      <c r="K273" s="65">
        <f>J273+(N273-J273)/4</f>
        <v>-1</v>
      </c>
      <c r="L273" s="65">
        <f>K273+(N273-K273)/3</f>
        <v>-1</v>
      </c>
      <c r="M273" s="65">
        <f>L273+(N273-L273)/2</f>
        <v>-1</v>
      </c>
      <c r="N273" s="66">
        <f>IF(DIAG!H292,$BC$27,-1)</f>
        <v>-1</v>
      </c>
    </row>
    <row r="274" spans="3:14" x14ac:dyDescent="0.2">
      <c r="G274" s="9"/>
      <c r="H274" s="9"/>
      <c r="I274" s="9"/>
      <c r="J274" s="9"/>
      <c r="K274" s="9"/>
    </row>
    <row r="275" spans="3:14" x14ac:dyDescent="0.2">
      <c r="C275" s="9" t="s">
        <v>188</v>
      </c>
      <c r="E275" s="59">
        <f>IF(DIAG!H293,$GL$55,-1)</f>
        <v>-1</v>
      </c>
      <c r="F275" s="60">
        <f>E275+(N275-E275)/9</f>
        <v>-1</v>
      </c>
      <c r="G275" s="60">
        <f>F275+(N275-F275)/8</f>
        <v>-1</v>
      </c>
      <c r="H275" s="60">
        <f>G275+(N275-G275)/7</f>
        <v>-1</v>
      </c>
      <c r="I275" s="60">
        <f>H275+(N275-H275)/6</f>
        <v>-1</v>
      </c>
      <c r="J275" s="60">
        <f>I275+(N275-I275)/5</f>
        <v>-1</v>
      </c>
      <c r="K275" s="60">
        <f>J275+(N275-J275)/4</f>
        <v>-1</v>
      </c>
      <c r="L275" s="60">
        <f>K275+(N275-K275)/3</f>
        <v>-1</v>
      </c>
      <c r="M275" s="60">
        <f>L275+(N275-L275)/2</f>
        <v>-1</v>
      </c>
      <c r="N275" s="61">
        <f>IF(DIAG!H293,$BD$26,-1)</f>
        <v>-1</v>
      </c>
    </row>
    <row r="276" spans="3:14" x14ac:dyDescent="0.2">
      <c r="E276" s="64">
        <f>IF(DIAG!H293,$GL$56,-1)</f>
        <v>-1</v>
      </c>
      <c r="F276" s="65">
        <f>E276+(N276-E276)/9</f>
        <v>-1</v>
      </c>
      <c r="G276" s="65">
        <f>F276+(N276-F276)/8</f>
        <v>-1</v>
      </c>
      <c r="H276" s="65">
        <f>G276+(N276-G276)/7</f>
        <v>-1</v>
      </c>
      <c r="I276" s="65">
        <f>H276+(N276-H276)/6</f>
        <v>-1</v>
      </c>
      <c r="J276" s="65">
        <f>I276+(N276-I276)/5</f>
        <v>-1</v>
      </c>
      <c r="K276" s="65">
        <f>J276+(N276-J276)/4</f>
        <v>-1</v>
      </c>
      <c r="L276" s="65">
        <f>K276+(N276-K276)/3</f>
        <v>-1</v>
      </c>
      <c r="M276" s="65">
        <f>L276+(N276-L276)/2</f>
        <v>-1</v>
      </c>
      <c r="N276" s="66">
        <f>IF(DIAG!H293,$BD$27,-1)</f>
        <v>-1</v>
      </c>
    </row>
    <row r="277" spans="3:14" x14ac:dyDescent="0.2">
      <c r="G277" s="9"/>
      <c r="H277" s="9"/>
      <c r="I277" s="9"/>
      <c r="J277" s="9"/>
      <c r="K277" s="9"/>
    </row>
    <row r="278" spans="3:14" x14ac:dyDescent="0.2">
      <c r="C278" s="9" t="s">
        <v>189</v>
      </c>
      <c r="E278" s="59">
        <f>IF(DIAG!H294,$GL$55,-1)</f>
        <v>-1</v>
      </c>
      <c r="F278" s="60">
        <f>E278+(N278-E278)/9</f>
        <v>-1</v>
      </c>
      <c r="G278" s="60">
        <f>F278+(N278-F278)/8</f>
        <v>-1</v>
      </c>
      <c r="H278" s="60">
        <f>G278+(N278-G278)/7</f>
        <v>-1</v>
      </c>
      <c r="I278" s="60">
        <f>H278+(N278-H278)/6</f>
        <v>-1</v>
      </c>
      <c r="J278" s="60">
        <f>I278+(N278-I278)/5</f>
        <v>-1</v>
      </c>
      <c r="K278" s="60">
        <f>J278+(N278-J278)/4</f>
        <v>-1</v>
      </c>
      <c r="L278" s="60">
        <f>K278+(N278-K278)/3</f>
        <v>-1</v>
      </c>
      <c r="M278" s="60">
        <f>L278+(N278-L278)/2</f>
        <v>-1</v>
      </c>
      <c r="N278" s="61">
        <f>IF(DIAG!H294,$BE$26,-1)</f>
        <v>-1</v>
      </c>
    </row>
    <row r="279" spans="3:14" x14ac:dyDescent="0.2">
      <c r="E279" s="64">
        <f>IF(DIAG!H294,$GL$56,-1)</f>
        <v>-1</v>
      </c>
      <c r="F279" s="65">
        <f>E279+(N279-E279)/9</f>
        <v>-1</v>
      </c>
      <c r="G279" s="65">
        <f>F279+(N279-F279)/8</f>
        <v>-1</v>
      </c>
      <c r="H279" s="65">
        <f>G279+(N279-G279)/7</f>
        <v>-1</v>
      </c>
      <c r="I279" s="65">
        <f>H279+(N279-H279)/6</f>
        <v>-1</v>
      </c>
      <c r="J279" s="65">
        <f>I279+(N279-I279)/5</f>
        <v>-1</v>
      </c>
      <c r="K279" s="65">
        <f>J279+(N279-J279)/4</f>
        <v>-1</v>
      </c>
      <c r="L279" s="65">
        <f>K279+(N279-K279)/3</f>
        <v>-1</v>
      </c>
      <c r="M279" s="65">
        <f>L279+(N279-L279)/2</f>
        <v>-1</v>
      </c>
      <c r="N279" s="66">
        <f>IF(DIAG!H294,$BE$27,-1)</f>
        <v>-1</v>
      </c>
    </row>
    <row r="280" spans="3:14" x14ac:dyDescent="0.2">
      <c r="G280" s="9"/>
      <c r="H280" s="9"/>
      <c r="I280" s="9"/>
      <c r="J280" s="9"/>
      <c r="K280" s="9"/>
    </row>
    <row r="281" spans="3:14" x14ac:dyDescent="0.2">
      <c r="C281" s="9" t="s">
        <v>190</v>
      </c>
      <c r="E281" s="59">
        <f>IF(DIAG!H295,$GL$55,-1)</f>
        <v>-1</v>
      </c>
      <c r="F281" s="60">
        <f>E281+(N281-E281)/9</f>
        <v>-1</v>
      </c>
      <c r="G281" s="60">
        <f>F281+(N281-F281)/8</f>
        <v>-1</v>
      </c>
      <c r="H281" s="60">
        <f>G281+(N281-G281)/7</f>
        <v>-1</v>
      </c>
      <c r="I281" s="60">
        <f>H281+(N281-H281)/6</f>
        <v>-1</v>
      </c>
      <c r="J281" s="60">
        <f>I281+(N281-I281)/5</f>
        <v>-1</v>
      </c>
      <c r="K281" s="60">
        <f>J281+(N281-J281)/4</f>
        <v>-1</v>
      </c>
      <c r="L281" s="60">
        <f>K281+(N281-K281)/3</f>
        <v>-1</v>
      </c>
      <c r="M281" s="60">
        <f>L281+(N281-L281)/2</f>
        <v>-1</v>
      </c>
      <c r="N281" s="61">
        <f>IF(DIAG!H295,$BF$26,-1)</f>
        <v>-1</v>
      </c>
    </row>
    <row r="282" spans="3:14" x14ac:dyDescent="0.2">
      <c r="E282" s="64">
        <f>IF(DIAG!H295,$GL$56,-1)</f>
        <v>-1</v>
      </c>
      <c r="F282" s="65">
        <f>E282+(N282-E282)/9</f>
        <v>-1</v>
      </c>
      <c r="G282" s="65">
        <f>F282+(N282-F282)/8</f>
        <v>-1</v>
      </c>
      <c r="H282" s="65">
        <f>G282+(N282-G282)/7</f>
        <v>-1</v>
      </c>
      <c r="I282" s="65">
        <f>H282+(N282-H282)/6</f>
        <v>-1</v>
      </c>
      <c r="J282" s="65">
        <f>I282+(N282-I282)/5</f>
        <v>-1</v>
      </c>
      <c r="K282" s="65">
        <f>J282+(N282-J282)/4</f>
        <v>-1</v>
      </c>
      <c r="L282" s="65">
        <f>K282+(N282-K282)/3</f>
        <v>-1</v>
      </c>
      <c r="M282" s="65">
        <f>L282+(N282-L282)/2</f>
        <v>-1</v>
      </c>
      <c r="N282" s="66">
        <f>IF(DIAG!H295,$BF$27,-1)</f>
        <v>-1</v>
      </c>
    </row>
    <row r="283" spans="3:14" x14ac:dyDescent="0.2">
      <c r="G283" s="9"/>
      <c r="H283" s="9"/>
      <c r="I283" s="9"/>
      <c r="J283" s="9"/>
      <c r="K283" s="9"/>
    </row>
    <row r="284" spans="3:14" x14ac:dyDescent="0.2">
      <c r="C284" s="9" t="s">
        <v>191</v>
      </c>
      <c r="E284" s="59">
        <f>IF(DIAG!H296,$GL$55,-1)</f>
        <v>-1</v>
      </c>
      <c r="F284" s="60">
        <f>E284+(N284-E284)/9</f>
        <v>-1</v>
      </c>
      <c r="G284" s="60">
        <f>F284+(N284-F284)/8</f>
        <v>-1</v>
      </c>
      <c r="H284" s="60">
        <f>G284+(N284-G284)/7</f>
        <v>-1</v>
      </c>
      <c r="I284" s="60">
        <f>H284+(N284-H284)/6</f>
        <v>-1</v>
      </c>
      <c r="J284" s="60">
        <f>I284+(N284-I284)/5</f>
        <v>-1</v>
      </c>
      <c r="K284" s="60">
        <f>J284+(N284-J284)/4</f>
        <v>-1</v>
      </c>
      <c r="L284" s="60">
        <f>K284+(N284-K284)/3</f>
        <v>-1</v>
      </c>
      <c r="M284" s="60">
        <f>L284+(N284-L284)/2</f>
        <v>-1</v>
      </c>
      <c r="N284" s="61">
        <f>IF(DIAG!H296,$BG$26,-1)</f>
        <v>-1</v>
      </c>
    </row>
    <row r="285" spans="3:14" x14ac:dyDescent="0.2">
      <c r="E285" s="64">
        <f>IF(DIAG!H296,$GL$56,-1)</f>
        <v>-1</v>
      </c>
      <c r="F285" s="65">
        <f>E285+(N285-E285)/9</f>
        <v>-1</v>
      </c>
      <c r="G285" s="65">
        <f>F285+(N285-F285)/8</f>
        <v>-1</v>
      </c>
      <c r="H285" s="65">
        <f>G285+(N285-G285)/7</f>
        <v>-1</v>
      </c>
      <c r="I285" s="65">
        <f>H285+(N285-H285)/6</f>
        <v>-1</v>
      </c>
      <c r="J285" s="65">
        <f>I285+(N285-I285)/5</f>
        <v>-1</v>
      </c>
      <c r="K285" s="65">
        <f>J285+(N285-J285)/4</f>
        <v>-1</v>
      </c>
      <c r="L285" s="65">
        <f>K285+(N285-K285)/3</f>
        <v>-1</v>
      </c>
      <c r="M285" s="65">
        <f>L285+(N285-L285)/2</f>
        <v>-1</v>
      </c>
      <c r="N285" s="66">
        <f>IF(DIAG!H296,$BG$27,-1)</f>
        <v>-1</v>
      </c>
    </row>
    <row r="286" spans="3:14" x14ac:dyDescent="0.2">
      <c r="G286" s="9"/>
      <c r="H286" s="9"/>
      <c r="I286" s="9"/>
      <c r="J286" s="9"/>
      <c r="K286" s="9"/>
    </row>
    <row r="287" spans="3:14" x14ac:dyDescent="0.2">
      <c r="C287" s="9" t="s">
        <v>192</v>
      </c>
      <c r="E287" s="59">
        <f>IF(DIAG!H297,$GL$55,-1)</f>
        <v>-1</v>
      </c>
      <c r="F287" s="60">
        <f>E287+(N287-E287)/9</f>
        <v>-1</v>
      </c>
      <c r="G287" s="60">
        <f>F287+(N287-F287)/8</f>
        <v>-1</v>
      </c>
      <c r="H287" s="60">
        <f>G287+(N287-G287)/7</f>
        <v>-1</v>
      </c>
      <c r="I287" s="60">
        <f>H287+(N287-H287)/6</f>
        <v>-1</v>
      </c>
      <c r="J287" s="60">
        <f>I287+(N287-I287)/5</f>
        <v>-1</v>
      </c>
      <c r="K287" s="60">
        <f>J287+(N287-J287)/4</f>
        <v>-1</v>
      </c>
      <c r="L287" s="60">
        <f>K287+(N287-K287)/3</f>
        <v>-1</v>
      </c>
      <c r="M287" s="60">
        <f>L287+(N287-L287)/2</f>
        <v>-1</v>
      </c>
      <c r="N287" s="61">
        <f>IF(DIAG!H297,$BH$26,-1)</f>
        <v>-1</v>
      </c>
    </row>
    <row r="288" spans="3:14" x14ac:dyDescent="0.2">
      <c r="E288" s="64">
        <f>IF(DIAG!H297,$GL$56,-1)</f>
        <v>-1</v>
      </c>
      <c r="F288" s="65">
        <f>E288+(N288-E288)/9</f>
        <v>-1</v>
      </c>
      <c r="G288" s="65">
        <f>F288+(N288-F288)/8</f>
        <v>-1</v>
      </c>
      <c r="H288" s="65">
        <f>G288+(N288-G288)/7</f>
        <v>-1</v>
      </c>
      <c r="I288" s="65">
        <f>H288+(N288-H288)/6</f>
        <v>-1</v>
      </c>
      <c r="J288" s="65">
        <f>I288+(N288-I288)/5</f>
        <v>-1</v>
      </c>
      <c r="K288" s="65">
        <f>J288+(N288-J288)/4</f>
        <v>-1</v>
      </c>
      <c r="L288" s="65">
        <f>K288+(N288-K288)/3</f>
        <v>-1</v>
      </c>
      <c r="M288" s="65">
        <f>L288+(N288-L288)/2</f>
        <v>-1</v>
      </c>
      <c r="N288" s="66">
        <f>IF(DIAG!H297,$BH$27,-1)</f>
        <v>-1</v>
      </c>
    </row>
    <row r="289" spans="3:14" x14ac:dyDescent="0.2">
      <c r="G289" s="9"/>
      <c r="H289" s="9"/>
      <c r="I289" s="9"/>
      <c r="J289" s="9"/>
      <c r="K289" s="9"/>
    </row>
    <row r="290" spans="3:14" x14ac:dyDescent="0.2">
      <c r="C290" s="9" t="s">
        <v>193</v>
      </c>
      <c r="E290" s="59">
        <f>IF(DIAG!H298,$GL$55,-1)</f>
        <v>-1</v>
      </c>
      <c r="F290" s="60">
        <f>E290+(N290-E290)/9</f>
        <v>-1</v>
      </c>
      <c r="G290" s="60">
        <f>F290+(N290-F290)/8</f>
        <v>-1</v>
      </c>
      <c r="H290" s="60">
        <f>G290+(N290-G290)/7</f>
        <v>-1</v>
      </c>
      <c r="I290" s="60">
        <f>H290+(N290-H290)/6</f>
        <v>-1</v>
      </c>
      <c r="J290" s="60">
        <f>I290+(N290-I290)/5</f>
        <v>-1</v>
      </c>
      <c r="K290" s="60">
        <f>J290+(N290-J290)/4</f>
        <v>-1</v>
      </c>
      <c r="L290" s="60">
        <f>K290+(N290-K290)/3</f>
        <v>-1</v>
      </c>
      <c r="M290" s="60">
        <f>L290+(N290-L290)/2</f>
        <v>-1</v>
      </c>
      <c r="N290" s="61">
        <f>IF(DIAG!H298,$BI$26,-1)</f>
        <v>-1</v>
      </c>
    </row>
    <row r="291" spans="3:14" x14ac:dyDescent="0.2">
      <c r="E291" s="64">
        <f>IF(DIAG!H298,$GL$56,-1)</f>
        <v>-1</v>
      </c>
      <c r="F291" s="65">
        <f>E291+(N291-E291)/9</f>
        <v>-1</v>
      </c>
      <c r="G291" s="65">
        <f>F291+(N291-F291)/8</f>
        <v>-1</v>
      </c>
      <c r="H291" s="65">
        <f>G291+(N291-G291)/7</f>
        <v>-1</v>
      </c>
      <c r="I291" s="65">
        <f>H291+(N291-H291)/6</f>
        <v>-1</v>
      </c>
      <c r="J291" s="65">
        <f>I291+(N291-I291)/5</f>
        <v>-1</v>
      </c>
      <c r="K291" s="65">
        <f>J291+(N291-J291)/4</f>
        <v>-1</v>
      </c>
      <c r="L291" s="65">
        <f>K291+(N291-K291)/3</f>
        <v>-1</v>
      </c>
      <c r="M291" s="65">
        <f>L291+(N291-L291)/2</f>
        <v>-1</v>
      </c>
      <c r="N291" s="66">
        <f>IF(DIAG!H298,$BI$27,-1)</f>
        <v>-1</v>
      </c>
    </row>
    <row r="292" spans="3:14" x14ac:dyDescent="0.2">
      <c r="G292" s="9"/>
      <c r="H292" s="9"/>
      <c r="I292" s="9"/>
      <c r="J292" s="9"/>
      <c r="K292" s="9"/>
    </row>
    <row r="293" spans="3:14" x14ac:dyDescent="0.2">
      <c r="C293" s="9" t="s">
        <v>194</v>
      </c>
      <c r="E293" s="59">
        <f>IF(DIAG!H299,$GL$55,-1)</f>
        <v>-1</v>
      </c>
      <c r="F293" s="60">
        <f>E293+(N293-E293)/9</f>
        <v>-1</v>
      </c>
      <c r="G293" s="60">
        <f>F293+(N293-F293)/8</f>
        <v>-1</v>
      </c>
      <c r="H293" s="60">
        <f>G293+(N293-G293)/7</f>
        <v>-1</v>
      </c>
      <c r="I293" s="60">
        <f>H293+(N293-H293)/6</f>
        <v>-1</v>
      </c>
      <c r="J293" s="60">
        <f>I293+(N293-I293)/5</f>
        <v>-1</v>
      </c>
      <c r="K293" s="60">
        <f>J293+(N293-J293)/4</f>
        <v>-1</v>
      </c>
      <c r="L293" s="60">
        <f>K293+(N293-K293)/3</f>
        <v>-1</v>
      </c>
      <c r="M293" s="60">
        <f>L293+(N293-L293)/2</f>
        <v>-1</v>
      </c>
      <c r="N293" s="61">
        <f>IF(DIAG!H299,$BJ$26,-1)</f>
        <v>-1</v>
      </c>
    </row>
    <row r="294" spans="3:14" x14ac:dyDescent="0.2">
      <c r="E294" s="64">
        <f>IF(DIAG!H299,$GL$56,-1)</f>
        <v>-1</v>
      </c>
      <c r="F294" s="65">
        <f>E294+(N294-E294)/9</f>
        <v>-1</v>
      </c>
      <c r="G294" s="65">
        <f>F294+(N294-F294)/8</f>
        <v>-1</v>
      </c>
      <c r="H294" s="65">
        <f>G294+(N294-G294)/7</f>
        <v>-1</v>
      </c>
      <c r="I294" s="65">
        <f>H294+(N294-H294)/6</f>
        <v>-1</v>
      </c>
      <c r="J294" s="65">
        <f>I294+(N294-I294)/5</f>
        <v>-1</v>
      </c>
      <c r="K294" s="65">
        <f>J294+(N294-J294)/4</f>
        <v>-1</v>
      </c>
      <c r="L294" s="65">
        <f>K294+(N294-K294)/3</f>
        <v>-1</v>
      </c>
      <c r="M294" s="65">
        <f>L294+(N294-L294)/2</f>
        <v>-1</v>
      </c>
      <c r="N294" s="66">
        <f>IF(DIAG!H299,$BJ$27,-1)</f>
        <v>-1</v>
      </c>
    </row>
    <row r="295" spans="3:14" x14ac:dyDescent="0.2">
      <c r="G295" s="9"/>
      <c r="H295" s="9"/>
      <c r="I295" s="9"/>
      <c r="J295" s="9"/>
      <c r="K295" s="9"/>
    </row>
    <row r="296" spans="3:14" x14ac:dyDescent="0.2">
      <c r="C296" s="9" t="s">
        <v>195</v>
      </c>
      <c r="E296" s="59">
        <f>IF(DIAG!H300,$GL$55,-1)</f>
        <v>-1</v>
      </c>
      <c r="F296" s="60">
        <f>E296+(N296-E296)/9</f>
        <v>-1</v>
      </c>
      <c r="G296" s="60">
        <f>F296+(N296-F296)/8</f>
        <v>-1</v>
      </c>
      <c r="H296" s="60">
        <f>G296+(N296-G296)/7</f>
        <v>-1</v>
      </c>
      <c r="I296" s="60">
        <f>H296+(N296-H296)/6</f>
        <v>-1</v>
      </c>
      <c r="J296" s="60">
        <f>I296+(N296-I296)/5</f>
        <v>-1</v>
      </c>
      <c r="K296" s="60">
        <f>J296+(N296-J296)/4</f>
        <v>-1</v>
      </c>
      <c r="L296" s="60">
        <f>K296+(N296-K296)/3</f>
        <v>-1</v>
      </c>
      <c r="M296" s="60">
        <f>L296+(N296-L296)/2</f>
        <v>-1</v>
      </c>
      <c r="N296" s="61">
        <f>IF(DIAG!H300,$BK$26,-1)</f>
        <v>-1</v>
      </c>
    </row>
    <row r="297" spans="3:14" x14ac:dyDescent="0.2">
      <c r="E297" s="64">
        <f>IF(DIAG!H300,$GL$56,-1)</f>
        <v>-1</v>
      </c>
      <c r="F297" s="65">
        <f>E297+(N297-E297)/9</f>
        <v>-1</v>
      </c>
      <c r="G297" s="65">
        <f>F297+(N297-F297)/8</f>
        <v>-1</v>
      </c>
      <c r="H297" s="65">
        <f>G297+(N297-G297)/7</f>
        <v>-1</v>
      </c>
      <c r="I297" s="65">
        <f>H297+(N297-H297)/6</f>
        <v>-1</v>
      </c>
      <c r="J297" s="65">
        <f>I297+(N297-I297)/5</f>
        <v>-1</v>
      </c>
      <c r="K297" s="65">
        <f>J297+(N297-J297)/4</f>
        <v>-1</v>
      </c>
      <c r="L297" s="65">
        <f>K297+(N297-K297)/3</f>
        <v>-1</v>
      </c>
      <c r="M297" s="65">
        <f>L297+(N297-L297)/2</f>
        <v>-1</v>
      </c>
      <c r="N297" s="66">
        <f>IF(DIAG!H300,$BK$27,-1)</f>
        <v>-1</v>
      </c>
    </row>
    <row r="298" spans="3:14" x14ac:dyDescent="0.2">
      <c r="G298" s="9"/>
      <c r="H298" s="9"/>
      <c r="I298" s="9"/>
      <c r="J298" s="9"/>
      <c r="K298" s="9"/>
    </row>
    <row r="299" spans="3:14" x14ac:dyDescent="0.2">
      <c r="C299" s="9" t="s">
        <v>196</v>
      </c>
      <c r="E299" s="59">
        <f>IF(DIAG!H301,$GL$55,-1)</f>
        <v>-1</v>
      </c>
      <c r="F299" s="60">
        <f>E299+(N299-E299)/9</f>
        <v>-1</v>
      </c>
      <c r="G299" s="60">
        <f>F299+(N299-F299)/8</f>
        <v>-1</v>
      </c>
      <c r="H299" s="60">
        <f>G299+(N299-G299)/7</f>
        <v>-1</v>
      </c>
      <c r="I299" s="60">
        <f>H299+(N299-H299)/6</f>
        <v>-1</v>
      </c>
      <c r="J299" s="60">
        <f>I299+(N299-I299)/5</f>
        <v>-1</v>
      </c>
      <c r="K299" s="60">
        <f>J299+(N299-J299)/4</f>
        <v>-1</v>
      </c>
      <c r="L299" s="60">
        <f>K299+(N299-K299)/3</f>
        <v>-1</v>
      </c>
      <c r="M299" s="60">
        <f>L299+(N299-L299)/2</f>
        <v>-1</v>
      </c>
      <c r="N299" s="61">
        <f>IF(DIAG!H301,$BL$26,-1)</f>
        <v>-1</v>
      </c>
    </row>
    <row r="300" spans="3:14" x14ac:dyDescent="0.2">
      <c r="E300" s="64">
        <f>IF(DIAG!H301,$GL$56,-1)</f>
        <v>-1</v>
      </c>
      <c r="F300" s="65">
        <f>E300+(N300-E300)/9</f>
        <v>-1</v>
      </c>
      <c r="G300" s="65">
        <f>F300+(N300-F300)/8</f>
        <v>-1</v>
      </c>
      <c r="H300" s="65">
        <f>G300+(N300-G300)/7</f>
        <v>-1</v>
      </c>
      <c r="I300" s="65">
        <f>H300+(N300-H300)/6</f>
        <v>-1</v>
      </c>
      <c r="J300" s="65">
        <f>I300+(N300-I300)/5</f>
        <v>-1</v>
      </c>
      <c r="K300" s="65">
        <f>J300+(N300-J300)/4</f>
        <v>-1</v>
      </c>
      <c r="L300" s="65">
        <f>K300+(N300-K300)/3</f>
        <v>-1</v>
      </c>
      <c r="M300" s="65">
        <f>L300+(N300-L300)/2</f>
        <v>-1</v>
      </c>
      <c r="N300" s="66">
        <f>IF(DIAG!H301,$BL$27,-1)</f>
        <v>-1</v>
      </c>
    </row>
    <row r="301" spans="3:14" x14ac:dyDescent="0.2">
      <c r="G301" s="9"/>
      <c r="H301" s="9"/>
      <c r="I301" s="9"/>
      <c r="J301" s="9"/>
      <c r="K301" s="9"/>
    </row>
    <row r="302" spans="3:14" x14ac:dyDescent="0.2">
      <c r="C302" s="9" t="s">
        <v>197</v>
      </c>
      <c r="E302" s="59">
        <f>IF(DIAG!H302,$GL$55,-1)</f>
        <v>-1</v>
      </c>
      <c r="F302" s="60">
        <f>E302+(N302-E302)/9</f>
        <v>-1</v>
      </c>
      <c r="G302" s="60">
        <f>F302+(N302-F302)/8</f>
        <v>-1</v>
      </c>
      <c r="H302" s="60">
        <f>G302+(N302-G302)/7</f>
        <v>-1</v>
      </c>
      <c r="I302" s="60">
        <f>H302+(N302-H302)/6</f>
        <v>-1</v>
      </c>
      <c r="J302" s="60">
        <f>I302+(N302-I302)/5</f>
        <v>-1</v>
      </c>
      <c r="K302" s="60">
        <f>J302+(N302-J302)/4</f>
        <v>-1</v>
      </c>
      <c r="L302" s="60">
        <f>K302+(N302-K302)/3</f>
        <v>-1</v>
      </c>
      <c r="M302" s="60">
        <f>L302+(N302-L302)/2</f>
        <v>-1</v>
      </c>
      <c r="N302" s="61">
        <f>IF(DIAG!H302,$BM$26,-1)</f>
        <v>-1</v>
      </c>
    </row>
    <row r="303" spans="3:14" x14ac:dyDescent="0.2">
      <c r="E303" s="64">
        <f>IF(DIAG!H302,$GL$56,-1)</f>
        <v>-1</v>
      </c>
      <c r="F303" s="65">
        <f>E303+(N303-E303)/9</f>
        <v>-1</v>
      </c>
      <c r="G303" s="65">
        <f>F303+(N303-F303)/8</f>
        <v>-1</v>
      </c>
      <c r="H303" s="65">
        <f>G303+(N303-G303)/7</f>
        <v>-1</v>
      </c>
      <c r="I303" s="65">
        <f>H303+(N303-H303)/6</f>
        <v>-1</v>
      </c>
      <c r="J303" s="65">
        <f>I303+(N303-I303)/5</f>
        <v>-1</v>
      </c>
      <c r="K303" s="65">
        <f>J303+(N303-J303)/4</f>
        <v>-1</v>
      </c>
      <c r="L303" s="65">
        <f>K303+(N303-K303)/3</f>
        <v>-1</v>
      </c>
      <c r="M303" s="65">
        <f>L303+(N303-L303)/2</f>
        <v>-1</v>
      </c>
      <c r="N303" s="66">
        <f>IF(DIAG!H302,$BM$27,-1)</f>
        <v>-1</v>
      </c>
    </row>
    <row r="304" spans="3:14" x14ac:dyDescent="0.2">
      <c r="G304" s="9"/>
      <c r="H304" s="9"/>
      <c r="I304" s="9"/>
      <c r="J304" s="9"/>
      <c r="K304" s="9"/>
    </row>
    <row r="305" spans="3:14" x14ac:dyDescent="0.2">
      <c r="C305" s="9" t="s">
        <v>198</v>
      </c>
      <c r="E305" s="59">
        <f>IF(DIAG!H303,$GL$55,-1)</f>
        <v>-1</v>
      </c>
      <c r="F305" s="60">
        <f>E305+(N305-E305)/9</f>
        <v>-1</v>
      </c>
      <c r="G305" s="60">
        <f>F305+(N305-F305)/8</f>
        <v>-1</v>
      </c>
      <c r="H305" s="60">
        <f>G305+(N305-G305)/7</f>
        <v>-1</v>
      </c>
      <c r="I305" s="60">
        <f>H305+(N305-H305)/6</f>
        <v>-1</v>
      </c>
      <c r="J305" s="60">
        <f>I305+(N305-I305)/5</f>
        <v>-1</v>
      </c>
      <c r="K305" s="60">
        <f>J305+(N305-J305)/4</f>
        <v>-1</v>
      </c>
      <c r="L305" s="60">
        <f>K305+(N305-K305)/3</f>
        <v>-1</v>
      </c>
      <c r="M305" s="60">
        <f>L305+(N305-L305)/2</f>
        <v>-1</v>
      </c>
      <c r="N305" s="61">
        <f>IF(DIAG!H303,$BN$26,-1)</f>
        <v>-1</v>
      </c>
    </row>
    <row r="306" spans="3:14" x14ac:dyDescent="0.2">
      <c r="E306" s="64">
        <f>IF(DIAG!H303,$GL$56,-1)</f>
        <v>-1</v>
      </c>
      <c r="F306" s="65">
        <f>E306+(N306-E306)/9</f>
        <v>-1</v>
      </c>
      <c r="G306" s="65">
        <f>F306+(N306-F306)/8</f>
        <v>-1</v>
      </c>
      <c r="H306" s="65">
        <f>G306+(N306-G306)/7</f>
        <v>-1</v>
      </c>
      <c r="I306" s="65">
        <f>H306+(N306-H306)/6</f>
        <v>-1</v>
      </c>
      <c r="J306" s="65">
        <f>I306+(N306-I306)/5</f>
        <v>-1</v>
      </c>
      <c r="K306" s="65">
        <f>J306+(N306-J306)/4</f>
        <v>-1</v>
      </c>
      <c r="L306" s="65">
        <f>K306+(N306-K306)/3</f>
        <v>-1</v>
      </c>
      <c r="M306" s="65">
        <f>L306+(N306-L306)/2</f>
        <v>-1</v>
      </c>
      <c r="N306" s="66">
        <f>IF(DIAG!H303,$BN$27,-1)</f>
        <v>-1</v>
      </c>
    </row>
    <row r="307" spans="3:14" x14ac:dyDescent="0.2">
      <c r="G307" s="9"/>
      <c r="H307" s="9"/>
      <c r="I307" s="9"/>
      <c r="J307" s="9"/>
      <c r="K307" s="9"/>
    </row>
    <row r="308" spans="3:14" x14ac:dyDescent="0.2">
      <c r="C308" s="9" t="s">
        <v>199</v>
      </c>
      <c r="E308" s="59">
        <f>IF(DIAG!H304,$GL$55,-1)</f>
        <v>-1</v>
      </c>
      <c r="F308" s="60">
        <f>E308+(N308-E308)/9</f>
        <v>-1</v>
      </c>
      <c r="G308" s="60">
        <f>F308+(N308-F308)/8</f>
        <v>-1</v>
      </c>
      <c r="H308" s="60">
        <f>G308+(N308-G308)/7</f>
        <v>-1</v>
      </c>
      <c r="I308" s="60">
        <f>H308+(N308-H308)/6</f>
        <v>-1</v>
      </c>
      <c r="J308" s="60">
        <f>I308+(N308-I308)/5</f>
        <v>-1</v>
      </c>
      <c r="K308" s="60">
        <f>J308+(N308-J308)/4</f>
        <v>-1</v>
      </c>
      <c r="L308" s="60">
        <f>K308+(N308-K308)/3</f>
        <v>-1</v>
      </c>
      <c r="M308" s="60">
        <f>L308+(N308-L308)/2</f>
        <v>-1</v>
      </c>
      <c r="N308" s="61">
        <f>IF(DIAG!H304,$BO$26,-1)</f>
        <v>-1</v>
      </c>
    </row>
    <row r="309" spans="3:14" x14ac:dyDescent="0.2">
      <c r="E309" s="64">
        <f>IF(DIAG!H304,$GL$56,-1)</f>
        <v>-1</v>
      </c>
      <c r="F309" s="65">
        <f>E309+(N309-E309)/9</f>
        <v>-1</v>
      </c>
      <c r="G309" s="65">
        <f>F309+(N309-F309)/8</f>
        <v>-1</v>
      </c>
      <c r="H309" s="65">
        <f>G309+(N309-G309)/7</f>
        <v>-1</v>
      </c>
      <c r="I309" s="65">
        <f>H309+(N309-H309)/6</f>
        <v>-1</v>
      </c>
      <c r="J309" s="65">
        <f>I309+(N309-I309)/5</f>
        <v>-1</v>
      </c>
      <c r="K309" s="65">
        <f>J309+(N309-J309)/4</f>
        <v>-1</v>
      </c>
      <c r="L309" s="65">
        <f>K309+(N309-K309)/3</f>
        <v>-1</v>
      </c>
      <c r="M309" s="65">
        <f>L309+(N309-L309)/2</f>
        <v>-1</v>
      </c>
      <c r="N309" s="66">
        <f>IF(DIAG!H304,$BO$27,-1)</f>
        <v>-1</v>
      </c>
    </row>
    <row r="310" spans="3:14" x14ac:dyDescent="0.2">
      <c r="G310" s="9"/>
      <c r="H310" s="9"/>
      <c r="I310" s="9"/>
      <c r="J310" s="9"/>
      <c r="K310" s="9"/>
    </row>
    <row r="311" spans="3:14" x14ac:dyDescent="0.2">
      <c r="C311" s="9" t="s">
        <v>200</v>
      </c>
      <c r="E311" s="59">
        <f>IF(DIAG!H305,$GL$55,-1)</f>
        <v>-1</v>
      </c>
      <c r="F311" s="60">
        <f>E311+(N311-E311)/9</f>
        <v>-1</v>
      </c>
      <c r="G311" s="60">
        <f>F311+(N311-F311)/8</f>
        <v>-1</v>
      </c>
      <c r="H311" s="60">
        <f>G311+(N311-G311)/7</f>
        <v>-1</v>
      </c>
      <c r="I311" s="60">
        <f>H311+(N311-H311)/6</f>
        <v>-1</v>
      </c>
      <c r="J311" s="60">
        <f>I311+(N311-I311)/5</f>
        <v>-1</v>
      </c>
      <c r="K311" s="60">
        <f>J311+(N311-J311)/4</f>
        <v>-1</v>
      </c>
      <c r="L311" s="60">
        <f>K311+(N311-K311)/3</f>
        <v>-1</v>
      </c>
      <c r="M311" s="60">
        <f>L311+(N311-L311)/2</f>
        <v>-1</v>
      </c>
      <c r="N311" s="61">
        <f>IF(DIAG!H305,$BP$26,-1)</f>
        <v>-1</v>
      </c>
    </row>
    <row r="312" spans="3:14" x14ac:dyDescent="0.2">
      <c r="E312" s="64">
        <f>IF(DIAG!H305,$GL$56,-1)</f>
        <v>-1</v>
      </c>
      <c r="F312" s="65">
        <f>E312+(N312-E312)/9</f>
        <v>-1</v>
      </c>
      <c r="G312" s="65">
        <f>F312+(N312-F312)/8</f>
        <v>-1</v>
      </c>
      <c r="H312" s="65">
        <f>G312+(N312-G312)/7</f>
        <v>-1</v>
      </c>
      <c r="I312" s="65">
        <f>H312+(N312-H312)/6</f>
        <v>-1</v>
      </c>
      <c r="J312" s="65">
        <f>I312+(N312-I312)/5</f>
        <v>-1</v>
      </c>
      <c r="K312" s="65">
        <f>J312+(N312-J312)/4</f>
        <v>-1</v>
      </c>
      <c r="L312" s="65">
        <f>K312+(N312-K312)/3</f>
        <v>-1</v>
      </c>
      <c r="M312" s="65">
        <f>L312+(N312-L312)/2</f>
        <v>-1</v>
      </c>
      <c r="N312" s="66">
        <f>IF(DIAG!H305,$BP$27,-1)</f>
        <v>-1</v>
      </c>
    </row>
    <row r="313" spans="3:14" x14ac:dyDescent="0.2">
      <c r="G313" s="9"/>
      <c r="H313" s="9"/>
      <c r="I313" s="9"/>
      <c r="J313" s="9"/>
      <c r="K313" s="9"/>
    </row>
    <row r="314" spans="3:14" x14ac:dyDescent="0.2">
      <c r="C314" s="9" t="s">
        <v>201</v>
      </c>
      <c r="E314" s="59">
        <f>IF(DIAG!H306,$GL$55,-1)</f>
        <v>-1</v>
      </c>
      <c r="F314" s="60">
        <f>E314+(N314-E314)/9</f>
        <v>-1</v>
      </c>
      <c r="G314" s="60">
        <f>F314+(N314-F314)/8</f>
        <v>-1</v>
      </c>
      <c r="H314" s="60">
        <f>G314+(N314-G314)/7</f>
        <v>-1</v>
      </c>
      <c r="I314" s="60">
        <f>H314+(N314-H314)/6</f>
        <v>-1</v>
      </c>
      <c r="J314" s="60">
        <f>I314+(N314-I314)/5</f>
        <v>-1</v>
      </c>
      <c r="K314" s="60">
        <f>J314+(N314-J314)/4</f>
        <v>-1</v>
      </c>
      <c r="L314" s="60">
        <f>K314+(N314-K314)/3</f>
        <v>-1</v>
      </c>
      <c r="M314" s="60">
        <f>L314+(N314-L314)/2</f>
        <v>-1</v>
      </c>
      <c r="N314" s="61">
        <f>IF(DIAG!H306,$BQ$26,-1)</f>
        <v>-1</v>
      </c>
    </row>
    <row r="315" spans="3:14" x14ac:dyDescent="0.2">
      <c r="E315" s="64">
        <f>IF(DIAG!H306,$GL$56,-1)</f>
        <v>-1</v>
      </c>
      <c r="F315" s="65">
        <f>E315+(N315-E315)/9</f>
        <v>-1</v>
      </c>
      <c r="G315" s="65">
        <f>F315+(N315-F315)/8</f>
        <v>-1</v>
      </c>
      <c r="H315" s="65">
        <f>G315+(N315-G315)/7</f>
        <v>-1</v>
      </c>
      <c r="I315" s="65">
        <f>H315+(N315-H315)/6</f>
        <v>-1</v>
      </c>
      <c r="J315" s="65">
        <f>I315+(N315-I315)/5</f>
        <v>-1</v>
      </c>
      <c r="K315" s="65">
        <f>J315+(N315-J315)/4</f>
        <v>-1</v>
      </c>
      <c r="L315" s="65">
        <f>K315+(N315-K315)/3</f>
        <v>-1</v>
      </c>
      <c r="M315" s="65">
        <f>L315+(N315-L315)/2</f>
        <v>-1</v>
      </c>
      <c r="N315" s="66">
        <f>IF(DIAG!H306,$BQ$27,-1)</f>
        <v>-1</v>
      </c>
    </row>
    <row r="316" spans="3:14" x14ac:dyDescent="0.2">
      <c r="G316" s="9"/>
      <c r="H316" s="9"/>
      <c r="I316" s="9"/>
      <c r="J316" s="9"/>
      <c r="K316" s="9"/>
    </row>
    <row r="317" spans="3:14" x14ac:dyDescent="0.2">
      <c r="C317" s="9" t="s">
        <v>202</v>
      </c>
      <c r="E317" s="59">
        <f>IF(DIAG!H307,$GL$55,-1)</f>
        <v>-1</v>
      </c>
      <c r="F317" s="60">
        <f>E317+(N317-E317)/9</f>
        <v>-1</v>
      </c>
      <c r="G317" s="60">
        <f>F317+(N317-F317)/8</f>
        <v>-1</v>
      </c>
      <c r="H317" s="60">
        <f>G317+(N317-G317)/7</f>
        <v>-1</v>
      </c>
      <c r="I317" s="60">
        <f>H317+(N317-H317)/6</f>
        <v>-1</v>
      </c>
      <c r="J317" s="60">
        <f>I317+(N317-I317)/5</f>
        <v>-1</v>
      </c>
      <c r="K317" s="60">
        <f>J317+(N317-J317)/4</f>
        <v>-1</v>
      </c>
      <c r="L317" s="60">
        <f>K317+(N317-K317)/3</f>
        <v>-1</v>
      </c>
      <c r="M317" s="60">
        <f>L317+(N317-L317)/2</f>
        <v>-1</v>
      </c>
      <c r="N317" s="61">
        <f>IF(DIAG!H307,$BR$26,-1)</f>
        <v>-1</v>
      </c>
    </row>
    <row r="318" spans="3:14" x14ac:dyDescent="0.2">
      <c r="E318" s="64">
        <f>IF(DIAG!H307,$GL$56,-1)</f>
        <v>-1</v>
      </c>
      <c r="F318" s="65">
        <f>E318+(N318-E318)/9</f>
        <v>-1</v>
      </c>
      <c r="G318" s="65">
        <f>F318+(N318-F318)/8</f>
        <v>-1</v>
      </c>
      <c r="H318" s="65">
        <f>G318+(N318-G318)/7</f>
        <v>-1</v>
      </c>
      <c r="I318" s="65">
        <f>H318+(N318-H318)/6</f>
        <v>-1</v>
      </c>
      <c r="J318" s="65">
        <f>I318+(N318-I318)/5</f>
        <v>-1</v>
      </c>
      <c r="K318" s="65">
        <f>J318+(N318-J318)/4</f>
        <v>-1</v>
      </c>
      <c r="L318" s="65">
        <f>K318+(N318-K318)/3</f>
        <v>-1</v>
      </c>
      <c r="M318" s="65">
        <f>L318+(N318-L318)/2</f>
        <v>-1</v>
      </c>
      <c r="N318" s="66">
        <f>IF(DIAG!H307,$BR$27,-1)</f>
        <v>-1</v>
      </c>
    </row>
    <row r="319" spans="3:14" x14ac:dyDescent="0.2">
      <c r="G319" s="9"/>
      <c r="H319" s="9"/>
      <c r="I319" s="9"/>
      <c r="J319" s="9"/>
      <c r="K319" s="9"/>
    </row>
    <row r="320" spans="3:14" x14ac:dyDescent="0.2">
      <c r="C320" s="9" t="s">
        <v>203</v>
      </c>
      <c r="E320" s="59">
        <f>IF(DIAG!H308,$GL$55,-1)</f>
        <v>-1</v>
      </c>
      <c r="F320" s="60">
        <f>E320+(N320-E320)/9</f>
        <v>-1</v>
      </c>
      <c r="G320" s="60">
        <f>F320+(N320-F320)/8</f>
        <v>-1</v>
      </c>
      <c r="H320" s="60">
        <f>G320+(N320-G320)/7</f>
        <v>-1</v>
      </c>
      <c r="I320" s="60">
        <f>H320+(N320-H320)/6</f>
        <v>-1</v>
      </c>
      <c r="J320" s="60">
        <f>I320+(N320-I320)/5</f>
        <v>-1</v>
      </c>
      <c r="K320" s="60">
        <f>J320+(N320-J320)/4</f>
        <v>-1</v>
      </c>
      <c r="L320" s="60">
        <f>K320+(N320-K320)/3</f>
        <v>-1</v>
      </c>
      <c r="M320" s="60">
        <f>L320+(N320-L320)/2</f>
        <v>-1</v>
      </c>
      <c r="N320" s="61">
        <f>IF(DIAG!H308,$BS$26,-1)</f>
        <v>-1</v>
      </c>
    </row>
    <row r="321" spans="3:14" x14ac:dyDescent="0.2">
      <c r="E321" s="64">
        <f>IF(DIAG!H308,$GL$56,-1)</f>
        <v>-1</v>
      </c>
      <c r="F321" s="65">
        <f>E321+(N321-E321)/9</f>
        <v>-1</v>
      </c>
      <c r="G321" s="65">
        <f>F321+(N321-F321)/8</f>
        <v>-1</v>
      </c>
      <c r="H321" s="65">
        <f>G321+(N321-G321)/7</f>
        <v>-1</v>
      </c>
      <c r="I321" s="65">
        <f>H321+(N321-H321)/6</f>
        <v>-1</v>
      </c>
      <c r="J321" s="65">
        <f>I321+(N321-I321)/5</f>
        <v>-1</v>
      </c>
      <c r="K321" s="65">
        <f>J321+(N321-J321)/4</f>
        <v>-1</v>
      </c>
      <c r="L321" s="65">
        <f>K321+(N321-K321)/3</f>
        <v>-1</v>
      </c>
      <c r="M321" s="65">
        <f>L321+(N321-L321)/2</f>
        <v>-1</v>
      </c>
      <c r="N321" s="66">
        <f>IF(DIAG!H308,$BS$27,-1)</f>
        <v>-1</v>
      </c>
    </row>
    <row r="322" spans="3:14" x14ac:dyDescent="0.2">
      <c r="G322" s="9"/>
      <c r="H322" s="9"/>
      <c r="I322" s="9"/>
      <c r="J322" s="9"/>
      <c r="K322" s="9"/>
    </row>
    <row r="323" spans="3:14" x14ac:dyDescent="0.2">
      <c r="C323" s="9" t="s">
        <v>204</v>
      </c>
      <c r="E323" s="59">
        <f>IF(DIAG!H309,$GL$55,-1)</f>
        <v>-1</v>
      </c>
      <c r="F323" s="60">
        <f>E323+(N323-E323)/9</f>
        <v>-1</v>
      </c>
      <c r="G323" s="60">
        <f>F323+(N323-F323)/8</f>
        <v>-1</v>
      </c>
      <c r="H323" s="60">
        <f>G323+(N323-G323)/7</f>
        <v>-1</v>
      </c>
      <c r="I323" s="60">
        <f>H323+(N323-H323)/6</f>
        <v>-1</v>
      </c>
      <c r="J323" s="60">
        <f>I323+(N323-I323)/5</f>
        <v>-1</v>
      </c>
      <c r="K323" s="60">
        <f>J323+(N323-J323)/4</f>
        <v>-1</v>
      </c>
      <c r="L323" s="60">
        <f>K323+(N323-K323)/3</f>
        <v>-1</v>
      </c>
      <c r="M323" s="60">
        <f>L323+(N323-L323)/2</f>
        <v>-1</v>
      </c>
      <c r="N323" s="61">
        <f>IF(DIAG!H309,$BT$26,-1)</f>
        <v>-1</v>
      </c>
    </row>
    <row r="324" spans="3:14" x14ac:dyDescent="0.2">
      <c r="E324" s="64">
        <f>IF(DIAG!H309,$GL$56,-1)</f>
        <v>-1</v>
      </c>
      <c r="F324" s="65">
        <f>E324+(N324-E324)/9</f>
        <v>-1</v>
      </c>
      <c r="G324" s="65">
        <f>F324+(N324-F324)/8</f>
        <v>-1</v>
      </c>
      <c r="H324" s="65">
        <f>G324+(N324-G324)/7</f>
        <v>-1</v>
      </c>
      <c r="I324" s="65">
        <f>H324+(N324-H324)/6</f>
        <v>-1</v>
      </c>
      <c r="J324" s="65">
        <f>I324+(N324-I324)/5</f>
        <v>-1</v>
      </c>
      <c r="K324" s="65">
        <f>J324+(N324-J324)/4</f>
        <v>-1</v>
      </c>
      <c r="L324" s="65">
        <f>K324+(N324-K324)/3</f>
        <v>-1</v>
      </c>
      <c r="M324" s="65">
        <f>L324+(N324-L324)/2</f>
        <v>-1</v>
      </c>
      <c r="N324" s="66">
        <f>IF(DIAG!H309,$BT$27,-1)</f>
        <v>-1</v>
      </c>
    </row>
    <row r="325" spans="3:14" x14ac:dyDescent="0.2">
      <c r="G325" s="9"/>
      <c r="H325" s="9"/>
      <c r="I325" s="9"/>
      <c r="J325" s="9"/>
      <c r="K325" s="9"/>
    </row>
    <row r="326" spans="3:14" x14ac:dyDescent="0.2">
      <c r="C326" s="9" t="s">
        <v>205</v>
      </c>
      <c r="E326" s="59">
        <f>IF(DIAG!H310,$GL$55,-1)</f>
        <v>-1</v>
      </c>
      <c r="F326" s="60">
        <f>E326+(N326-E326)/9</f>
        <v>-1</v>
      </c>
      <c r="G326" s="60">
        <f>F326+(N326-F326)/8</f>
        <v>-1</v>
      </c>
      <c r="H326" s="60">
        <f>G326+(N326-G326)/7</f>
        <v>-1</v>
      </c>
      <c r="I326" s="60">
        <f>H326+(N326-H326)/6</f>
        <v>-1</v>
      </c>
      <c r="J326" s="60">
        <f>I326+(N326-I326)/5</f>
        <v>-1</v>
      </c>
      <c r="K326" s="60">
        <f>J326+(N326-J326)/4</f>
        <v>-1</v>
      </c>
      <c r="L326" s="60">
        <f>K326+(N326-K326)/3</f>
        <v>-1</v>
      </c>
      <c r="M326" s="60">
        <f>L326+(N326-L326)/2</f>
        <v>-1</v>
      </c>
      <c r="N326" s="61">
        <f>IF(DIAG!H310,$BU$26,-1)</f>
        <v>-1</v>
      </c>
    </row>
    <row r="327" spans="3:14" x14ac:dyDescent="0.2">
      <c r="E327" s="64">
        <f>IF(DIAG!H310,$GL$56,-1)</f>
        <v>-1</v>
      </c>
      <c r="F327" s="65">
        <f>E327+(N327-E327)/9</f>
        <v>-1</v>
      </c>
      <c r="G327" s="65">
        <f>F327+(N327-F327)/8</f>
        <v>-1</v>
      </c>
      <c r="H327" s="65">
        <f>G327+(N327-G327)/7</f>
        <v>-1</v>
      </c>
      <c r="I327" s="65">
        <f>H327+(N327-H327)/6</f>
        <v>-1</v>
      </c>
      <c r="J327" s="65">
        <f>I327+(N327-I327)/5</f>
        <v>-1</v>
      </c>
      <c r="K327" s="65">
        <f>J327+(N327-J327)/4</f>
        <v>-1</v>
      </c>
      <c r="L327" s="65">
        <f>K327+(N327-K327)/3</f>
        <v>-1</v>
      </c>
      <c r="M327" s="65">
        <f>L327+(N327-L327)/2</f>
        <v>-1</v>
      </c>
      <c r="N327" s="66">
        <f>IF(DIAG!H310,$BU$27,-1)</f>
        <v>-1</v>
      </c>
    </row>
    <row r="328" spans="3:14" x14ac:dyDescent="0.2">
      <c r="G328" s="9"/>
      <c r="H328" s="9"/>
      <c r="I328" s="9"/>
      <c r="J328" s="9"/>
      <c r="K328" s="9"/>
    </row>
    <row r="329" spans="3:14" x14ac:dyDescent="0.2">
      <c r="C329" s="9" t="s">
        <v>206</v>
      </c>
      <c r="E329" s="59">
        <f>IF(DIAG!H311,$GL$55,-1)</f>
        <v>-1</v>
      </c>
      <c r="F329" s="60">
        <f>E329+(N329-E329)/9</f>
        <v>-1</v>
      </c>
      <c r="G329" s="60">
        <f>F329+(N329-F329)/8</f>
        <v>-1</v>
      </c>
      <c r="H329" s="60">
        <f>G329+(N329-G329)/7</f>
        <v>-1</v>
      </c>
      <c r="I329" s="60">
        <f>H329+(N329-H329)/6</f>
        <v>-1</v>
      </c>
      <c r="J329" s="60">
        <f>I329+(N329-I329)/5</f>
        <v>-1</v>
      </c>
      <c r="K329" s="60">
        <f>J329+(N329-J329)/4</f>
        <v>-1</v>
      </c>
      <c r="L329" s="60">
        <f>K329+(N329-K329)/3</f>
        <v>-1</v>
      </c>
      <c r="M329" s="60">
        <f>L329+(N329-L329)/2</f>
        <v>-1</v>
      </c>
      <c r="N329" s="61">
        <f>IF(DIAG!H311,$BV$26,-1)</f>
        <v>-1</v>
      </c>
    </row>
    <row r="330" spans="3:14" x14ac:dyDescent="0.2">
      <c r="E330" s="64">
        <f>IF(DIAG!H311,$GL$56,-1)</f>
        <v>-1</v>
      </c>
      <c r="F330" s="65">
        <f>E330+(N330-E330)/9</f>
        <v>-1</v>
      </c>
      <c r="G330" s="65">
        <f>F330+(N330-F330)/8</f>
        <v>-1</v>
      </c>
      <c r="H330" s="65">
        <f>G330+(N330-G330)/7</f>
        <v>-1</v>
      </c>
      <c r="I330" s="65">
        <f>H330+(N330-H330)/6</f>
        <v>-1</v>
      </c>
      <c r="J330" s="65">
        <f>I330+(N330-I330)/5</f>
        <v>-1</v>
      </c>
      <c r="K330" s="65">
        <f>J330+(N330-J330)/4</f>
        <v>-1</v>
      </c>
      <c r="L330" s="65">
        <f>K330+(N330-K330)/3</f>
        <v>-1</v>
      </c>
      <c r="M330" s="65">
        <f>L330+(N330-L330)/2</f>
        <v>-1</v>
      </c>
      <c r="N330" s="66">
        <f>IF(DIAG!H311,$BV$27,-1)</f>
        <v>-1</v>
      </c>
    </row>
    <row r="331" spans="3:14" x14ac:dyDescent="0.2">
      <c r="G331" s="9"/>
      <c r="H331" s="9"/>
      <c r="I331" s="9"/>
      <c r="J331" s="9"/>
      <c r="K331" s="9"/>
    </row>
    <row r="332" spans="3:14" x14ac:dyDescent="0.2">
      <c r="C332" s="9" t="s">
        <v>207</v>
      </c>
      <c r="E332" s="59">
        <f>IF(DIAG!H312,$GL$55,-1)</f>
        <v>-1</v>
      </c>
      <c r="F332" s="60">
        <f>E332+(N332-E332)/9</f>
        <v>-1</v>
      </c>
      <c r="G332" s="60">
        <f>F332+(N332-F332)/8</f>
        <v>-1</v>
      </c>
      <c r="H332" s="60">
        <f>G332+(N332-G332)/7</f>
        <v>-1</v>
      </c>
      <c r="I332" s="60">
        <f>H332+(N332-H332)/6</f>
        <v>-1</v>
      </c>
      <c r="J332" s="60">
        <f>I332+(N332-I332)/5</f>
        <v>-1</v>
      </c>
      <c r="K332" s="60">
        <f>J332+(N332-J332)/4</f>
        <v>-1</v>
      </c>
      <c r="L332" s="60">
        <f>K332+(N332-K332)/3</f>
        <v>-1</v>
      </c>
      <c r="M332" s="60">
        <f>L332+(N332-L332)/2</f>
        <v>-1</v>
      </c>
      <c r="N332" s="61">
        <f>IF(DIAG!H312,$BW$26,-1)</f>
        <v>-1</v>
      </c>
    </row>
    <row r="333" spans="3:14" x14ac:dyDescent="0.2">
      <c r="E333" s="64">
        <f>IF(DIAG!H312,$GL$56,-1)</f>
        <v>-1</v>
      </c>
      <c r="F333" s="65">
        <f>E333+(N333-E333)/9</f>
        <v>-1</v>
      </c>
      <c r="G333" s="65">
        <f>F333+(N333-F333)/8</f>
        <v>-1</v>
      </c>
      <c r="H333" s="65">
        <f>G333+(N333-G333)/7</f>
        <v>-1</v>
      </c>
      <c r="I333" s="65">
        <f>H333+(N333-H333)/6</f>
        <v>-1</v>
      </c>
      <c r="J333" s="65">
        <f>I333+(N333-I333)/5</f>
        <v>-1</v>
      </c>
      <c r="K333" s="65">
        <f>J333+(N333-J333)/4</f>
        <v>-1</v>
      </c>
      <c r="L333" s="65">
        <f>K333+(N333-K333)/3</f>
        <v>-1</v>
      </c>
      <c r="M333" s="65">
        <f>L333+(N333-L333)/2</f>
        <v>-1</v>
      </c>
      <c r="N333" s="66">
        <f>IF(DIAG!H312,$BW$27,-1)</f>
        <v>-1</v>
      </c>
    </row>
    <row r="334" spans="3:14" x14ac:dyDescent="0.2">
      <c r="G334" s="9"/>
      <c r="H334" s="9"/>
      <c r="I334" s="9"/>
      <c r="J334" s="9"/>
      <c r="K334" s="9"/>
    </row>
    <row r="335" spans="3:14" x14ac:dyDescent="0.2">
      <c r="C335" s="9" t="s">
        <v>208</v>
      </c>
      <c r="E335" s="59">
        <f>IF(DIAG!H313,$GL$55,-1)</f>
        <v>-1</v>
      </c>
      <c r="F335" s="60">
        <f>E335+(N335-E335)/9</f>
        <v>-1</v>
      </c>
      <c r="G335" s="60">
        <f>F335+(N335-F335)/8</f>
        <v>-1</v>
      </c>
      <c r="H335" s="60">
        <f>G335+(N335-G335)/7</f>
        <v>-1</v>
      </c>
      <c r="I335" s="60">
        <f>H335+(N335-H335)/6</f>
        <v>-1</v>
      </c>
      <c r="J335" s="60">
        <f>I335+(N335-I335)/5</f>
        <v>-1</v>
      </c>
      <c r="K335" s="60">
        <f>J335+(N335-J335)/4</f>
        <v>-1</v>
      </c>
      <c r="L335" s="60">
        <f>K335+(N335-K335)/3</f>
        <v>-1</v>
      </c>
      <c r="M335" s="60">
        <f>L335+(N335-L335)/2</f>
        <v>-1</v>
      </c>
      <c r="N335" s="61">
        <f>IF(DIAG!H313,$BX$26,-1)</f>
        <v>-1</v>
      </c>
    </row>
    <row r="336" spans="3:14" x14ac:dyDescent="0.2">
      <c r="E336" s="64">
        <f>IF(DIAG!H313,$GL$56,-1)</f>
        <v>-1</v>
      </c>
      <c r="F336" s="65">
        <f>E336+(N336-E336)/9</f>
        <v>-1</v>
      </c>
      <c r="G336" s="65">
        <f>F336+(N336-F336)/8</f>
        <v>-1</v>
      </c>
      <c r="H336" s="65">
        <f>G336+(N336-G336)/7</f>
        <v>-1</v>
      </c>
      <c r="I336" s="65">
        <f>H336+(N336-H336)/6</f>
        <v>-1</v>
      </c>
      <c r="J336" s="65">
        <f>I336+(N336-I336)/5</f>
        <v>-1</v>
      </c>
      <c r="K336" s="65">
        <f>J336+(N336-J336)/4</f>
        <v>-1</v>
      </c>
      <c r="L336" s="65">
        <f>K336+(N336-K336)/3</f>
        <v>-1</v>
      </c>
      <c r="M336" s="65">
        <f>L336+(N336-L336)/2</f>
        <v>-1</v>
      </c>
      <c r="N336" s="66">
        <f>IF(DIAG!H313,$BX$27,-1)</f>
        <v>-1</v>
      </c>
    </row>
    <row r="337" spans="3:14" x14ac:dyDescent="0.2">
      <c r="G337" s="9"/>
      <c r="H337" s="9"/>
      <c r="I337" s="9"/>
      <c r="J337" s="9"/>
      <c r="K337" s="9"/>
    </row>
    <row r="338" spans="3:14" x14ac:dyDescent="0.2">
      <c r="C338" s="9" t="s">
        <v>209</v>
      </c>
      <c r="E338" s="59">
        <f>IF(DIAG!H314,$GL$55,-1)</f>
        <v>-1</v>
      </c>
      <c r="F338" s="60">
        <f>E338+(N338-E338)/9</f>
        <v>-1</v>
      </c>
      <c r="G338" s="60">
        <f>F338+(N338-F338)/8</f>
        <v>-1</v>
      </c>
      <c r="H338" s="60">
        <f>G338+(N338-G338)/7</f>
        <v>-1</v>
      </c>
      <c r="I338" s="60">
        <f>H338+(N338-H338)/6</f>
        <v>-1</v>
      </c>
      <c r="J338" s="60">
        <f>I338+(N338-I338)/5</f>
        <v>-1</v>
      </c>
      <c r="K338" s="60">
        <f>J338+(N338-J338)/4</f>
        <v>-1</v>
      </c>
      <c r="L338" s="60">
        <f>K338+(N338-K338)/3</f>
        <v>-1</v>
      </c>
      <c r="M338" s="60">
        <f>L338+(N338-L338)/2</f>
        <v>-1</v>
      </c>
      <c r="N338" s="61">
        <f>IF(DIAG!H314,$BY$26,-1)</f>
        <v>-1</v>
      </c>
    </row>
    <row r="339" spans="3:14" x14ac:dyDescent="0.2">
      <c r="E339" s="64">
        <f>IF(DIAG!H314,$GL$56,-1)</f>
        <v>-1</v>
      </c>
      <c r="F339" s="65">
        <f>E339+(N339-E339)/9</f>
        <v>-1</v>
      </c>
      <c r="G339" s="65">
        <f>F339+(N339-F339)/8</f>
        <v>-1</v>
      </c>
      <c r="H339" s="65">
        <f>G339+(N339-G339)/7</f>
        <v>-1</v>
      </c>
      <c r="I339" s="65">
        <f>H339+(N339-H339)/6</f>
        <v>-1</v>
      </c>
      <c r="J339" s="65">
        <f>I339+(N339-I339)/5</f>
        <v>-1</v>
      </c>
      <c r="K339" s="65">
        <f>J339+(N339-J339)/4</f>
        <v>-1</v>
      </c>
      <c r="L339" s="65">
        <f>K339+(N339-K339)/3</f>
        <v>-1</v>
      </c>
      <c r="M339" s="65">
        <f>L339+(N339-L339)/2</f>
        <v>-1</v>
      </c>
      <c r="N339" s="66">
        <f>IF(DIAG!H314,$BY$27,-1)</f>
        <v>-1</v>
      </c>
    </row>
    <row r="340" spans="3:14" x14ac:dyDescent="0.2">
      <c r="G340" s="9"/>
      <c r="H340" s="9"/>
      <c r="I340" s="9"/>
      <c r="J340" s="9"/>
      <c r="K340" s="9"/>
    </row>
    <row r="341" spans="3:14" x14ac:dyDescent="0.2">
      <c r="C341" s="9" t="s">
        <v>210</v>
      </c>
      <c r="E341" s="59">
        <f>IF(DIAG!H315,$GL$55,-1)</f>
        <v>-1</v>
      </c>
      <c r="F341" s="60">
        <f t="shared" ref="F341:F342" si="154">E341+(N341-E341)/9</f>
        <v>-1</v>
      </c>
      <c r="G341" s="60">
        <f t="shared" ref="G341:G342" si="155">F341+(N341-F341)/8</f>
        <v>-1</v>
      </c>
      <c r="H341" s="60">
        <f t="shared" ref="H341:H342" si="156">G341+(N341-G341)/7</f>
        <v>-1</v>
      </c>
      <c r="I341" s="60">
        <f t="shared" ref="I341:I342" si="157">H341+(N341-H341)/6</f>
        <v>-1</v>
      </c>
      <c r="J341" s="60">
        <f t="shared" ref="J341:J342" si="158">I341+(N341-I341)/5</f>
        <v>-1</v>
      </c>
      <c r="K341" s="60">
        <f t="shared" ref="K341:K342" si="159">J341+(N341-J341)/4</f>
        <v>-1</v>
      </c>
      <c r="L341" s="60">
        <f t="shared" ref="L341:L342" si="160">K341+(N341-K341)/3</f>
        <v>-1</v>
      </c>
      <c r="M341" s="60">
        <f t="shared" ref="M341:M342" si="161">L341+(N341-L341)/2</f>
        <v>-1</v>
      </c>
      <c r="N341" s="61">
        <f>IF(DIAG!H315,$BZ$26,-1)</f>
        <v>-1</v>
      </c>
    </row>
    <row r="342" spans="3:14" x14ac:dyDescent="0.2">
      <c r="E342" s="64">
        <f>IF(DIAG!H315,$GL$56,-1)</f>
        <v>-1</v>
      </c>
      <c r="F342" s="65">
        <f t="shared" si="154"/>
        <v>-1</v>
      </c>
      <c r="G342" s="65">
        <f t="shared" si="155"/>
        <v>-1</v>
      </c>
      <c r="H342" s="65">
        <f t="shared" si="156"/>
        <v>-1</v>
      </c>
      <c r="I342" s="65">
        <f t="shared" si="157"/>
        <v>-1</v>
      </c>
      <c r="J342" s="65">
        <f t="shared" si="158"/>
        <v>-1</v>
      </c>
      <c r="K342" s="65">
        <f t="shared" si="159"/>
        <v>-1</v>
      </c>
      <c r="L342" s="65">
        <f t="shared" si="160"/>
        <v>-1</v>
      </c>
      <c r="M342" s="65">
        <f t="shared" si="161"/>
        <v>-1</v>
      </c>
      <c r="N342" s="66">
        <f>IF(DIAG!H315,$BZ$27,-1)</f>
        <v>-1</v>
      </c>
    </row>
    <row r="343" spans="3:14" x14ac:dyDescent="0.2">
      <c r="G343" s="9"/>
      <c r="H343" s="9"/>
      <c r="I343" s="9"/>
      <c r="J343" s="9"/>
      <c r="K343" s="9"/>
    </row>
    <row r="344" spans="3:14" x14ac:dyDescent="0.2">
      <c r="C344" s="9" t="s">
        <v>211</v>
      </c>
      <c r="E344" s="59">
        <f>IF(DIAG!H316,$GL$55,-1)</f>
        <v>-1</v>
      </c>
      <c r="F344" s="60">
        <f t="shared" ref="F344:F345" si="162">E344+(N344-E344)/9</f>
        <v>-1</v>
      </c>
      <c r="G344" s="60">
        <f t="shared" ref="G344:G345" si="163">F344+(N344-F344)/8</f>
        <v>-1</v>
      </c>
      <c r="H344" s="60">
        <f t="shared" ref="H344:H345" si="164">G344+(N344-G344)/7</f>
        <v>-1</v>
      </c>
      <c r="I344" s="60">
        <f t="shared" ref="I344:I345" si="165">H344+(N344-H344)/6</f>
        <v>-1</v>
      </c>
      <c r="J344" s="60">
        <f t="shared" ref="J344:J345" si="166">I344+(N344-I344)/5</f>
        <v>-1</v>
      </c>
      <c r="K344" s="60">
        <f t="shared" ref="K344:K345" si="167">J344+(N344-J344)/4</f>
        <v>-1</v>
      </c>
      <c r="L344" s="60">
        <f t="shared" ref="L344:L345" si="168">K344+(N344-K344)/3</f>
        <v>-1</v>
      </c>
      <c r="M344" s="60">
        <f t="shared" ref="M344:M345" si="169">L344+(N344-L344)/2</f>
        <v>-1</v>
      </c>
      <c r="N344" s="61">
        <f>IF(DIAG!H316,$CA$26,-1)</f>
        <v>-1</v>
      </c>
    </row>
    <row r="345" spans="3:14" x14ac:dyDescent="0.2">
      <c r="E345" s="64">
        <f>IF(DIAG!H316,$GL$56,-1)</f>
        <v>-1</v>
      </c>
      <c r="F345" s="65">
        <f t="shared" si="162"/>
        <v>-1</v>
      </c>
      <c r="G345" s="65">
        <f t="shared" si="163"/>
        <v>-1</v>
      </c>
      <c r="H345" s="65">
        <f t="shared" si="164"/>
        <v>-1</v>
      </c>
      <c r="I345" s="65">
        <f t="shared" si="165"/>
        <v>-1</v>
      </c>
      <c r="J345" s="65">
        <f t="shared" si="166"/>
        <v>-1</v>
      </c>
      <c r="K345" s="65">
        <f t="shared" si="167"/>
        <v>-1</v>
      </c>
      <c r="L345" s="65">
        <f t="shared" si="168"/>
        <v>-1</v>
      </c>
      <c r="M345" s="65">
        <f t="shared" si="169"/>
        <v>-1</v>
      </c>
      <c r="N345" s="66">
        <f>IF(DIAG!H316,$CA$27,-1)</f>
        <v>-1</v>
      </c>
    </row>
    <row r="346" spans="3:14" x14ac:dyDescent="0.2">
      <c r="G346" s="9"/>
      <c r="H346" s="9"/>
      <c r="I346" s="9"/>
      <c r="J346" s="9"/>
      <c r="K346" s="9"/>
    </row>
    <row r="347" spans="3:14" x14ac:dyDescent="0.2">
      <c r="C347" s="9" t="s">
        <v>212</v>
      </c>
      <c r="E347" s="59">
        <f>IF(DIAG!H317,$GL$55,-1)</f>
        <v>-1</v>
      </c>
      <c r="F347" s="60">
        <f t="shared" ref="F347:F348" si="170">E347+(N347-E347)/9</f>
        <v>-1</v>
      </c>
      <c r="G347" s="60">
        <f t="shared" ref="G347:G348" si="171">F347+(N347-F347)/8</f>
        <v>-1</v>
      </c>
      <c r="H347" s="60">
        <f t="shared" ref="H347:H348" si="172">G347+(N347-G347)/7</f>
        <v>-1</v>
      </c>
      <c r="I347" s="60">
        <f t="shared" ref="I347:I348" si="173">H347+(N347-H347)/6</f>
        <v>-1</v>
      </c>
      <c r="J347" s="60">
        <f t="shared" ref="J347:J348" si="174">I347+(N347-I347)/5</f>
        <v>-1</v>
      </c>
      <c r="K347" s="60">
        <f t="shared" ref="K347:K348" si="175">J347+(N347-J347)/4</f>
        <v>-1</v>
      </c>
      <c r="L347" s="60">
        <f t="shared" ref="L347:L348" si="176">K347+(N347-K347)/3</f>
        <v>-1</v>
      </c>
      <c r="M347" s="60">
        <f t="shared" ref="M347:M348" si="177">L347+(N347-L347)/2</f>
        <v>-1</v>
      </c>
      <c r="N347" s="61">
        <f>IF(DIAG!H317,$CB$26,-1)</f>
        <v>-1</v>
      </c>
    </row>
    <row r="348" spans="3:14" x14ac:dyDescent="0.2">
      <c r="E348" s="64">
        <f>IF(DIAG!H317,$GL$56,-1)</f>
        <v>-1</v>
      </c>
      <c r="F348" s="65">
        <f t="shared" si="170"/>
        <v>-1</v>
      </c>
      <c r="G348" s="65">
        <f t="shared" si="171"/>
        <v>-1</v>
      </c>
      <c r="H348" s="65">
        <f t="shared" si="172"/>
        <v>-1</v>
      </c>
      <c r="I348" s="65">
        <f t="shared" si="173"/>
        <v>-1</v>
      </c>
      <c r="J348" s="65">
        <f t="shared" si="174"/>
        <v>-1</v>
      </c>
      <c r="K348" s="65">
        <f t="shared" si="175"/>
        <v>-1</v>
      </c>
      <c r="L348" s="65">
        <f t="shared" si="176"/>
        <v>-1</v>
      </c>
      <c r="M348" s="65">
        <f t="shared" si="177"/>
        <v>-1</v>
      </c>
      <c r="N348" s="66">
        <f>IF(DIAG!H317,$CB$27,-1)</f>
        <v>-1</v>
      </c>
    </row>
    <row r="349" spans="3:14" x14ac:dyDescent="0.2">
      <c r="G349" s="9"/>
      <c r="H349" s="9"/>
      <c r="I349" s="9"/>
      <c r="J349" s="9"/>
      <c r="K349" s="9"/>
    </row>
    <row r="350" spans="3:14" x14ac:dyDescent="0.2">
      <c r="C350" s="9" t="s">
        <v>213</v>
      </c>
      <c r="E350" s="59">
        <f>IF(DIAG!H318,$GL$55,-1)</f>
        <v>-1</v>
      </c>
      <c r="F350" s="60">
        <f t="shared" ref="F350:F351" si="178">E350+(N350-E350)/9</f>
        <v>-1</v>
      </c>
      <c r="G350" s="60">
        <f t="shared" ref="G350:G351" si="179">F350+(N350-F350)/8</f>
        <v>-1</v>
      </c>
      <c r="H350" s="60">
        <f t="shared" ref="H350:H351" si="180">G350+(N350-G350)/7</f>
        <v>-1</v>
      </c>
      <c r="I350" s="60">
        <f t="shared" ref="I350:I351" si="181">H350+(N350-H350)/6</f>
        <v>-1</v>
      </c>
      <c r="J350" s="60">
        <f t="shared" ref="J350:J351" si="182">I350+(N350-I350)/5</f>
        <v>-1</v>
      </c>
      <c r="K350" s="60">
        <f t="shared" ref="K350:K351" si="183">J350+(N350-J350)/4</f>
        <v>-1</v>
      </c>
      <c r="L350" s="60">
        <f t="shared" ref="L350:L351" si="184">K350+(N350-K350)/3</f>
        <v>-1</v>
      </c>
      <c r="M350" s="60">
        <f t="shared" ref="M350:M351" si="185">L350+(N350-L350)/2</f>
        <v>-1</v>
      </c>
      <c r="N350" s="61">
        <f>IF(DIAG!H318,$CC$26,-1)</f>
        <v>-1</v>
      </c>
    </row>
    <row r="351" spans="3:14" x14ac:dyDescent="0.2">
      <c r="E351" s="64">
        <f>IF(DIAG!H318,$GL$56,-1)</f>
        <v>-1</v>
      </c>
      <c r="F351" s="65">
        <f t="shared" si="178"/>
        <v>-1</v>
      </c>
      <c r="G351" s="65">
        <f t="shared" si="179"/>
        <v>-1</v>
      </c>
      <c r="H351" s="65">
        <f t="shared" si="180"/>
        <v>-1</v>
      </c>
      <c r="I351" s="65">
        <f t="shared" si="181"/>
        <v>-1</v>
      </c>
      <c r="J351" s="65">
        <f t="shared" si="182"/>
        <v>-1</v>
      </c>
      <c r="K351" s="65">
        <f t="shared" si="183"/>
        <v>-1</v>
      </c>
      <c r="L351" s="65">
        <f t="shared" si="184"/>
        <v>-1</v>
      </c>
      <c r="M351" s="65">
        <f t="shared" si="185"/>
        <v>-1</v>
      </c>
      <c r="N351" s="66">
        <f>IF(DIAG!H318,$CC$27,-1)</f>
        <v>-1</v>
      </c>
    </row>
    <row r="352" spans="3:14" x14ac:dyDescent="0.2">
      <c r="G352" s="9"/>
      <c r="H352" s="9"/>
      <c r="I352" s="9"/>
      <c r="J352" s="9"/>
      <c r="K352" s="9"/>
    </row>
    <row r="353" spans="3:14" x14ac:dyDescent="0.2">
      <c r="C353" s="9" t="s">
        <v>214</v>
      </c>
      <c r="E353" s="59">
        <f>IF(DIAG!H319,$GL$55,-1)</f>
        <v>-1</v>
      </c>
      <c r="F353" s="60">
        <f t="shared" ref="F353:F354" si="186">E353+(N353-E353)/9</f>
        <v>-1</v>
      </c>
      <c r="G353" s="60">
        <f t="shared" ref="G353:G354" si="187">F353+(N353-F353)/8</f>
        <v>-1</v>
      </c>
      <c r="H353" s="60">
        <f t="shared" ref="H353:H354" si="188">G353+(N353-G353)/7</f>
        <v>-1</v>
      </c>
      <c r="I353" s="60">
        <f t="shared" ref="I353:I354" si="189">H353+(N353-H353)/6</f>
        <v>-1</v>
      </c>
      <c r="J353" s="60">
        <f t="shared" ref="J353:J354" si="190">I353+(N353-I353)/5</f>
        <v>-1</v>
      </c>
      <c r="K353" s="60">
        <f t="shared" ref="K353:K354" si="191">J353+(N353-J353)/4</f>
        <v>-1</v>
      </c>
      <c r="L353" s="60">
        <f t="shared" ref="L353:L354" si="192">K353+(N353-K353)/3</f>
        <v>-1</v>
      </c>
      <c r="M353" s="60">
        <f t="shared" ref="M353:M354" si="193">L353+(N353-L353)/2</f>
        <v>-1</v>
      </c>
      <c r="N353" s="61">
        <f>IF(DIAG!H319,$CD$26,-1)</f>
        <v>-1</v>
      </c>
    </row>
    <row r="354" spans="3:14" x14ac:dyDescent="0.2">
      <c r="E354" s="64">
        <f>IF(DIAG!H319,$GL$56,-1)</f>
        <v>-1</v>
      </c>
      <c r="F354" s="65">
        <f t="shared" si="186"/>
        <v>-1</v>
      </c>
      <c r="G354" s="65">
        <f t="shared" si="187"/>
        <v>-1</v>
      </c>
      <c r="H354" s="65">
        <f t="shared" si="188"/>
        <v>-1</v>
      </c>
      <c r="I354" s="65">
        <f t="shared" si="189"/>
        <v>-1</v>
      </c>
      <c r="J354" s="65">
        <f t="shared" si="190"/>
        <v>-1</v>
      </c>
      <c r="K354" s="65">
        <f t="shared" si="191"/>
        <v>-1</v>
      </c>
      <c r="L354" s="65">
        <f t="shared" si="192"/>
        <v>-1</v>
      </c>
      <c r="M354" s="65">
        <f t="shared" si="193"/>
        <v>-1</v>
      </c>
      <c r="N354" s="66">
        <f>IF(DIAG!H319,$CD$27,-1)</f>
        <v>-1</v>
      </c>
    </row>
    <row r="355" spans="3:14" x14ac:dyDescent="0.2">
      <c r="G355" s="9"/>
      <c r="H355" s="9"/>
      <c r="I355" s="9"/>
      <c r="J355" s="9"/>
      <c r="K355" s="9"/>
    </row>
    <row r="356" spans="3:14" x14ac:dyDescent="0.2">
      <c r="C356" s="9" t="s">
        <v>215</v>
      </c>
      <c r="E356" s="59">
        <f>IF(DIAG!H320,$GL$55,-1)</f>
        <v>-1</v>
      </c>
      <c r="F356" s="60">
        <f t="shared" ref="F356:F357" si="194">E356+(N356-E356)/9</f>
        <v>-1</v>
      </c>
      <c r="G356" s="60">
        <f t="shared" ref="G356:G357" si="195">F356+(N356-F356)/8</f>
        <v>-1</v>
      </c>
      <c r="H356" s="60">
        <f t="shared" ref="H356:H357" si="196">G356+(N356-G356)/7</f>
        <v>-1</v>
      </c>
      <c r="I356" s="60">
        <f t="shared" ref="I356:I357" si="197">H356+(N356-H356)/6</f>
        <v>-1</v>
      </c>
      <c r="J356" s="60">
        <f t="shared" ref="J356:J357" si="198">I356+(N356-I356)/5</f>
        <v>-1</v>
      </c>
      <c r="K356" s="60">
        <f t="shared" ref="K356:K357" si="199">J356+(N356-J356)/4</f>
        <v>-1</v>
      </c>
      <c r="L356" s="60">
        <f t="shared" ref="L356:L357" si="200">K356+(N356-K356)/3</f>
        <v>-1</v>
      </c>
      <c r="M356" s="60">
        <f t="shared" ref="M356:M357" si="201">L356+(N356-L356)/2</f>
        <v>-1</v>
      </c>
      <c r="N356" s="61">
        <f>IF(DIAG!H320,$CE$26,-1)</f>
        <v>-1</v>
      </c>
    </row>
    <row r="357" spans="3:14" x14ac:dyDescent="0.2">
      <c r="E357" s="64">
        <f>IF(DIAG!H320,$GL$56,-1)</f>
        <v>-1</v>
      </c>
      <c r="F357" s="65">
        <f t="shared" si="194"/>
        <v>-1</v>
      </c>
      <c r="G357" s="65">
        <f t="shared" si="195"/>
        <v>-1</v>
      </c>
      <c r="H357" s="65">
        <f t="shared" si="196"/>
        <v>-1</v>
      </c>
      <c r="I357" s="65">
        <f t="shared" si="197"/>
        <v>-1</v>
      </c>
      <c r="J357" s="65">
        <f t="shared" si="198"/>
        <v>-1</v>
      </c>
      <c r="K357" s="65">
        <f t="shared" si="199"/>
        <v>-1</v>
      </c>
      <c r="L357" s="65">
        <f t="shared" si="200"/>
        <v>-1</v>
      </c>
      <c r="M357" s="65">
        <f t="shared" si="201"/>
        <v>-1</v>
      </c>
      <c r="N357" s="66">
        <f>IF(DIAG!H320,$CE$27,-1)</f>
        <v>-1</v>
      </c>
    </row>
    <row r="358" spans="3:14" x14ac:dyDescent="0.2">
      <c r="G358" s="9"/>
      <c r="H358" s="9"/>
      <c r="I358" s="9"/>
      <c r="J358" s="9"/>
      <c r="K358" s="9"/>
    </row>
    <row r="359" spans="3:14" x14ac:dyDescent="0.2">
      <c r="C359" s="9" t="s">
        <v>216</v>
      </c>
      <c r="E359" s="59">
        <f>IF(DIAG!H321,$GL$55,-1)</f>
        <v>-1</v>
      </c>
      <c r="F359" s="60">
        <f t="shared" ref="F359:F360" si="202">E359+(N359-E359)/9</f>
        <v>-1</v>
      </c>
      <c r="G359" s="60">
        <f t="shared" ref="G359:G360" si="203">F359+(N359-F359)/8</f>
        <v>-1</v>
      </c>
      <c r="H359" s="60">
        <f t="shared" ref="H359:H360" si="204">G359+(N359-G359)/7</f>
        <v>-1</v>
      </c>
      <c r="I359" s="60">
        <f t="shared" ref="I359:I360" si="205">H359+(N359-H359)/6</f>
        <v>-1</v>
      </c>
      <c r="J359" s="60">
        <f t="shared" ref="J359:J360" si="206">I359+(N359-I359)/5</f>
        <v>-1</v>
      </c>
      <c r="K359" s="60">
        <f t="shared" ref="K359:K360" si="207">J359+(N359-J359)/4</f>
        <v>-1</v>
      </c>
      <c r="L359" s="60">
        <f t="shared" ref="L359:L360" si="208">K359+(N359-K359)/3</f>
        <v>-1</v>
      </c>
      <c r="M359" s="60">
        <f t="shared" ref="M359:M360" si="209">L359+(N359-L359)/2</f>
        <v>-1</v>
      </c>
      <c r="N359" s="61">
        <f>IF(DIAG!H321,$CF$26,-1)</f>
        <v>-1</v>
      </c>
    </row>
    <row r="360" spans="3:14" x14ac:dyDescent="0.2">
      <c r="E360" s="64">
        <f>IF(DIAG!H321,$GL$56,-1)</f>
        <v>-1</v>
      </c>
      <c r="F360" s="65">
        <f t="shared" si="202"/>
        <v>-1</v>
      </c>
      <c r="G360" s="65">
        <f t="shared" si="203"/>
        <v>-1</v>
      </c>
      <c r="H360" s="65">
        <f t="shared" si="204"/>
        <v>-1</v>
      </c>
      <c r="I360" s="65">
        <f t="shared" si="205"/>
        <v>-1</v>
      </c>
      <c r="J360" s="65">
        <f t="shared" si="206"/>
        <v>-1</v>
      </c>
      <c r="K360" s="65">
        <f t="shared" si="207"/>
        <v>-1</v>
      </c>
      <c r="L360" s="65">
        <f t="shared" si="208"/>
        <v>-1</v>
      </c>
      <c r="M360" s="65">
        <f t="shared" si="209"/>
        <v>-1</v>
      </c>
      <c r="N360" s="66">
        <f>IF(DIAG!H321,$CF$27,-1)</f>
        <v>-1</v>
      </c>
    </row>
    <row r="361" spans="3:14" x14ac:dyDescent="0.2">
      <c r="G361" s="9"/>
      <c r="H361" s="9"/>
      <c r="I361" s="9"/>
      <c r="J361" s="9"/>
      <c r="K361" s="9"/>
    </row>
    <row r="362" spans="3:14" x14ac:dyDescent="0.2">
      <c r="C362" s="9" t="s">
        <v>217</v>
      </c>
      <c r="E362" s="59">
        <f>IF(DIAG!H322,$GL$55,-1)</f>
        <v>-1</v>
      </c>
      <c r="F362" s="60">
        <f t="shared" ref="F362:F363" si="210">E362+(N362-E362)/9</f>
        <v>-1</v>
      </c>
      <c r="G362" s="60">
        <f t="shared" ref="G362:G363" si="211">F362+(N362-F362)/8</f>
        <v>-1</v>
      </c>
      <c r="H362" s="60">
        <f t="shared" ref="H362:H363" si="212">G362+(N362-G362)/7</f>
        <v>-1</v>
      </c>
      <c r="I362" s="60">
        <f t="shared" ref="I362:I363" si="213">H362+(N362-H362)/6</f>
        <v>-1</v>
      </c>
      <c r="J362" s="60">
        <f t="shared" ref="J362:J363" si="214">I362+(N362-I362)/5</f>
        <v>-1</v>
      </c>
      <c r="K362" s="60">
        <f t="shared" ref="K362:K363" si="215">J362+(N362-J362)/4</f>
        <v>-1</v>
      </c>
      <c r="L362" s="60">
        <f t="shared" ref="L362:L363" si="216">K362+(N362-K362)/3</f>
        <v>-1</v>
      </c>
      <c r="M362" s="60">
        <f t="shared" ref="M362:M363" si="217">L362+(N362-L362)/2</f>
        <v>-1</v>
      </c>
      <c r="N362" s="61">
        <f>IF(DIAG!H322,$CG$26,-1)</f>
        <v>-1</v>
      </c>
    </row>
    <row r="363" spans="3:14" x14ac:dyDescent="0.2">
      <c r="E363" s="64">
        <f>IF(DIAG!H322,$GL$56,-1)</f>
        <v>-1</v>
      </c>
      <c r="F363" s="65">
        <f t="shared" si="210"/>
        <v>-1</v>
      </c>
      <c r="G363" s="65">
        <f t="shared" si="211"/>
        <v>-1</v>
      </c>
      <c r="H363" s="65">
        <f t="shared" si="212"/>
        <v>-1</v>
      </c>
      <c r="I363" s="65">
        <f t="shared" si="213"/>
        <v>-1</v>
      </c>
      <c r="J363" s="65">
        <f t="shared" si="214"/>
        <v>-1</v>
      </c>
      <c r="K363" s="65">
        <f t="shared" si="215"/>
        <v>-1</v>
      </c>
      <c r="L363" s="65">
        <f t="shared" si="216"/>
        <v>-1</v>
      </c>
      <c r="M363" s="65">
        <f t="shared" si="217"/>
        <v>-1</v>
      </c>
      <c r="N363" s="66">
        <f>IF(DIAG!H322,$CG$27,-1)</f>
        <v>-1</v>
      </c>
    </row>
    <row r="364" spans="3:14" x14ac:dyDescent="0.2">
      <c r="G364" s="9"/>
      <c r="H364" s="9"/>
      <c r="I364" s="9"/>
      <c r="J364" s="9"/>
      <c r="K364" s="9"/>
    </row>
    <row r="365" spans="3:14" x14ac:dyDescent="0.2">
      <c r="C365" s="9" t="s">
        <v>218</v>
      </c>
      <c r="E365" s="59">
        <f>IF(DIAG!H323,$GL$55,-1)</f>
        <v>-1</v>
      </c>
      <c r="F365" s="60">
        <f t="shared" ref="F365:F366" si="218">E365+(N365-E365)/9</f>
        <v>-1</v>
      </c>
      <c r="G365" s="60">
        <f t="shared" ref="G365:G366" si="219">F365+(N365-F365)/8</f>
        <v>-1</v>
      </c>
      <c r="H365" s="60">
        <f t="shared" ref="H365:H366" si="220">G365+(N365-G365)/7</f>
        <v>-1</v>
      </c>
      <c r="I365" s="60">
        <f t="shared" ref="I365:I366" si="221">H365+(N365-H365)/6</f>
        <v>-1</v>
      </c>
      <c r="J365" s="60">
        <f t="shared" ref="J365:J366" si="222">I365+(N365-I365)/5</f>
        <v>-1</v>
      </c>
      <c r="K365" s="60">
        <f t="shared" ref="K365:K366" si="223">J365+(N365-J365)/4</f>
        <v>-1</v>
      </c>
      <c r="L365" s="60">
        <f t="shared" ref="L365:L366" si="224">K365+(N365-K365)/3</f>
        <v>-1</v>
      </c>
      <c r="M365" s="60">
        <f t="shared" ref="M365:M366" si="225">L365+(N365-L365)/2</f>
        <v>-1</v>
      </c>
      <c r="N365" s="66">
        <f>IF(DIAG!H323,$CH$26,-1)</f>
        <v>-1</v>
      </c>
    </row>
    <row r="366" spans="3:14" x14ac:dyDescent="0.2">
      <c r="E366" s="64">
        <f>IF(DIAG!H323,$GL$56,-1)</f>
        <v>-1</v>
      </c>
      <c r="F366" s="65">
        <f t="shared" si="218"/>
        <v>-1</v>
      </c>
      <c r="G366" s="65">
        <f t="shared" si="219"/>
        <v>-1</v>
      </c>
      <c r="H366" s="65">
        <f t="shared" si="220"/>
        <v>-1</v>
      </c>
      <c r="I366" s="65">
        <f t="shared" si="221"/>
        <v>-1</v>
      </c>
      <c r="J366" s="65">
        <f t="shared" si="222"/>
        <v>-1</v>
      </c>
      <c r="K366" s="65">
        <f t="shared" si="223"/>
        <v>-1</v>
      </c>
      <c r="L366" s="65">
        <f t="shared" si="224"/>
        <v>-1</v>
      </c>
      <c r="M366" s="65">
        <f t="shared" si="225"/>
        <v>-1</v>
      </c>
      <c r="N366" s="66">
        <f>IF(DIAG!H323,$CH$27,-1)</f>
        <v>-1</v>
      </c>
    </row>
    <row r="367" spans="3:14" x14ac:dyDescent="0.2">
      <c r="G367" s="9"/>
      <c r="H367" s="9"/>
      <c r="I367" s="9"/>
      <c r="J367" s="9"/>
      <c r="K367" s="9"/>
    </row>
    <row r="368" spans="3:14" x14ac:dyDescent="0.2">
      <c r="C368" s="9" t="s">
        <v>219</v>
      </c>
      <c r="E368" s="59">
        <f>IF(DIAG!H324,$GL$55,-1)</f>
        <v>-1</v>
      </c>
      <c r="F368" s="60">
        <f t="shared" ref="F368:F369" si="226">E368+(N368-E368)/9</f>
        <v>-1</v>
      </c>
      <c r="G368" s="60">
        <f t="shared" ref="G368:G369" si="227">F368+(N368-F368)/8</f>
        <v>-1</v>
      </c>
      <c r="H368" s="60">
        <f t="shared" ref="H368:H369" si="228">G368+(N368-G368)/7</f>
        <v>-1</v>
      </c>
      <c r="I368" s="60">
        <f t="shared" ref="I368:I369" si="229">H368+(N368-H368)/6</f>
        <v>-1</v>
      </c>
      <c r="J368" s="60">
        <f t="shared" ref="J368:J369" si="230">I368+(N368-I368)/5</f>
        <v>-1</v>
      </c>
      <c r="K368" s="60">
        <f t="shared" ref="K368:K369" si="231">J368+(N368-J368)/4</f>
        <v>-1</v>
      </c>
      <c r="L368" s="60">
        <f t="shared" ref="L368:L369" si="232">K368+(N368-K368)/3</f>
        <v>-1</v>
      </c>
      <c r="M368" s="60">
        <f t="shared" ref="M368:M369" si="233">L368+(N368-L368)/2</f>
        <v>-1</v>
      </c>
      <c r="N368" s="61">
        <f>IF(DIAG!H324,$CI$26,-1)</f>
        <v>-1</v>
      </c>
    </row>
    <row r="369" spans="3:14" x14ac:dyDescent="0.2">
      <c r="E369" s="64">
        <f>IF(DIAG!H324,$GL$56,-1)</f>
        <v>-1</v>
      </c>
      <c r="F369" s="65">
        <f t="shared" si="226"/>
        <v>-1</v>
      </c>
      <c r="G369" s="65">
        <f t="shared" si="227"/>
        <v>-1</v>
      </c>
      <c r="H369" s="65">
        <f t="shared" si="228"/>
        <v>-1</v>
      </c>
      <c r="I369" s="65">
        <f t="shared" si="229"/>
        <v>-1</v>
      </c>
      <c r="J369" s="65">
        <f t="shared" si="230"/>
        <v>-1</v>
      </c>
      <c r="K369" s="65">
        <f t="shared" si="231"/>
        <v>-1</v>
      </c>
      <c r="L369" s="65">
        <f t="shared" si="232"/>
        <v>-1</v>
      </c>
      <c r="M369" s="65">
        <f t="shared" si="233"/>
        <v>-1</v>
      </c>
      <c r="N369" s="66">
        <f>IF(DIAG!H324,$CI$27,-1)</f>
        <v>-1</v>
      </c>
    </row>
    <row r="370" spans="3:14" x14ac:dyDescent="0.2">
      <c r="G370" s="9"/>
      <c r="H370" s="9"/>
      <c r="I370" s="9"/>
      <c r="J370" s="9"/>
      <c r="K370" s="9"/>
    </row>
    <row r="371" spans="3:14" x14ac:dyDescent="0.2">
      <c r="C371" s="9" t="s">
        <v>220</v>
      </c>
      <c r="E371" s="59">
        <f>IF(DIAG!H325,$GL$55,-1)</f>
        <v>-1</v>
      </c>
      <c r="F371" s="60">
        <f t="shared" ref="F371:F372" si="234">E371+(N371-E371)/9</f>
        <v>-1</v>
      </c>
      <c r="G371" s="60">
        <f t="shared" ref="G371:G372" si="235">F371+(N371-F371)/8</f>
        <v>-1</v>
      </c>
      <c r="H371" s="60">
        <f t="shared" ref="H371:H372" si="236">G371+(N371-G371)/7</f>
        <v>-1</v>
      </c>
      <c r="I371" s="60">
        <f t="shared" ref="I371:I372" si="237">H371+(N371-H371)/6</f>
        <v>-1</v>
      </c>
      <c r="J371" s="60">
        <f t="shared" ref="J371:J372" si="238">I371+(N371-I371)/5</f>
        <v>-1</v>
      </c>
      <c r="K371" s="60">
        <f t="shared" ref="K371:K372" si="239">J371+(N371-J371)/4</f>
        <v>-1</v>
      </c>
      <c r="L371" s="60">
        <f t="shared" ref="L371:L372" si="240">K371+(N371-K371)/3</f>
        <v>-1</v>
      </c>
      <c r="M371" s="60">
        <f t="shared" ref="M371:M372" si="241">L371+(N371-L371)/2</f>
        <v>-1</v>
      </c>
      <c r="N371" s="61">
        <f>IF(DIAG!H325,$CJ$26,-1)</f>
        <v>-1</v>
      </c>
    </row>
    <row r="372" spans="3:14" x14ac:dyDescent="0.2">
      <c r="E372" s="64">
        <f>IF(DIAG!H325,$GL$56,-1)</f>
        <v>-1</v>
      </c>
      <c r="F372" s="65">
        <f t="shared" si="234"/>
        <v>-1</v>
      </c>
      <c r="G372" s="65">
        <f t="shared" si="235"/>
        <v>-1</v>
      </c>
      <c r="H372" s="65">
        <f t="shared" si="236"/>
        <v>-1</v>
      </c>
      <c r="I372" s="65">
        <f t="shared" si="237"/>
        <v>-1</v>
      </c>
      <c r="J372" s="65">
        <f t="shared" si="238"/>
        <v>-1</v>
      </c>
      <c r="K372" s="65">
        <f t="shared" si="239"/>
        <v>-1</v>
      </c>
      <c r="L372" s="65">
        <f t="shared" si="240"/>
        <v>-1</v>
      </c>
      <c r="M372" s="65">
        <f t="shared" si="241"/>
        <v>-1</v>
      </c>
      <c r="N372" s="66">
        <f>IF(DIAG!H325,$CJ$27,-1)</f>
        <v>-1</v>
      </c>
    </row>
    <row r="373" spans="3:14" x14ac:dyDescent="0.2">
      <c r="G373" s="9"/>
      <c r="H373" s="9"/>
      <c r="I373" s="9"/>
      <c r="J373" s="9"/>
      <c r="K373" s="9"/>
    </row>
    <row r="374" spans="3:14" x14ac:dyDescent="0.2">
      <c r="C374" s="9" t="s">
        <v>221</v>
      </c>
      <c r="E374" s="59">
        <f>IF(DIAG!H326,$GL$55,-1)</f>
        <v>-1</v>
      </c>
      <c r="F374" s="60">
        <f t="shared" ref="F374:F375" si="242">E374+(N374-E374)/9</f>
        <v>-1</v>
      </c>
      <c r="G374" s="60">
        <f t="shared" ref="G374:G375" si="243">F374+(N374-F374)/8</f>
        <v>-1</v>
      </c>
      <c r="H374" s="60">
        <f t="shared" ref="H374:H375" si="244">G374+(N374-G374)/7</f>
        <v>-1</v>
      </c>
      <c r="I374" s="60">
        <f t="shared" ref="I374:I375" si="245">H374+(N374-H374)/6</f>
        <v>-1</v>
      </c>
      <c r="J374" s="60">
        <f t="shared" ref="J374:J375" si="246">I374+(N374-I374)/5</f>
        <v>-1</v>
      </c>
      <c r="K374" s="60">
        <f t="shared" ref="K374:K375" si="247">J374+(N374-J374)/4</f>
        <v>-1</v>
      </c>
      <c r="L374" s="60">
        <f t="shared" ref="L374:L375" si="248">K374+(N374-K374)/3</f>
        <v>-1</v>
      </c>
      <c r="M374" s="60">
        <f t="shared" ref="M374:M375" si="249">L374+(N374-L374)/2</f>
        <v>-1</v>
      </c>
      <c r="N374" s="61">
        <f>IF(DIAG!H326,$CK$26,-1)</f>
        <v>-1</v>
      </c>
    </row>
    <row r="375" spans="3:14" x14ac:dyDescent="0.2">
      <c r="E375" s="64">
        <f>IF(DIAG!H326,$GL$56,-1)</f>
        <v>-1</v>
      </c>
      <c r="F375" s="65">
        <f t="shared" si="242"/>
        <v>-1</v>
      </c>
      <c r="G375" s="65">
        <f t="shared" si="243"/>
        <v>-1</v>
      </c>
      <c r="H375" s="65">
        <f t="shared" si="244"/>
        <v>-1</v>
      </c>
      <c r="I375" s="65">
        <f t="shared" si="245"/>
        <v>-1</v>
      </c>
      <c r="J375" s="65">
        <f t="shared" si="246"/>
        <v>-1</v>
      </c>
      <c r="K375" s="65">
        <f t="shared" si="247"/>
        <v>-1</v>
      </c>
      <c r="L375" s="65">
        <f t="shared" si="248"/>
        <v>-1</v>
      </c>
      <c r="M375" s="65">
        <f t="shared" si="249"/>
        <v>-1</v>
      </c>
      <c r="N375" s="66">
        <f>IF(DIAG!H326,$CK$27,-1)</f>
        <v>-1</v>
      </c>
    </row>
    <row r="376" spans="3:14" x14ac:dyDescent="0.2">
      <c r="G376" s="9"/>
      <c r="H376" s="9"/>
      <c r="I376" s="9"/>
      <c r="J376" s="9"/>
      <c r="K376" s="9"/>
    </row>
    <row r="377" spans="3:14" x14ac:dyDescent="0.2">
      <c r="C377" s="9" t="s">
        <v>222</v>
      </c>
      <c r="E377" s="59">
        <f>IF(DIAG!H327,$GL$55,-1)</f>
        <v>-1</v>
      </c>
      <c r="F377" s="60">
        <f t="shared" ref="F377:F378" si="250">E377+(N377-E377)/9</f>
        <v>-1</v>
      </c>
      <c r="G377" s="60">
        <f t="shared" ref="G377:G378" si="251">F377+(N377-F377)/8</f>
        <v>-1</v>
      </c>
      <c r="H377" s="60">
        <f t="shared" ref="H377:H378" si="252">G377+(N377-G377)/7</f>
        <v>-1</v>
      </c>
      <c r="I377" s="60">
        <f t="shared" ref="I377:I378" si="253">H377+(N377-H377)/6</f>
        <v>-1</v>
      </c>
      <c r="J377" s="60">
        <f t="shared" ref="J377:J378" si="254">I377+(N377-I377)/5</f>
        <v>-1</v>
      </c>
      <c r="K377" s="60">
        <f t="shared" ref="K377:K378" si="255">J377+(N377-J377)/4</f>
        <v>-1</v>
      </c>
      <c r="L377" s="60">
        <f t="shared" ref="L377:L378" si="256">K377+(N377-K377)/3</f>
        <v>-1</v>
      </c>
      <c r="M377" s="60">
        <f t="shared" ref="M377:M378" si="257">L377+(N377-L377)/2</f>
        <v>-1</v>
      </c>
      <c r="N377" s="61">
        <f>IF(DIAG!H327,$CL$26,-1)</f>
        <v>-1</v>
      </c>
    </row>
    <row r="378" spans="3:14" x14ac:dyDescent="0.2">
      <c r="E378" s="64">
        <f>IF(DIAG!H327,$GL$56,-1)</f>
        <v>-1</v>
      </c>
      <c r="F378" s="65">
        <f t="shared" si="250"/>
        <v>-1</v>
      </c>
      <c r="G378" s="65">
        <f t="shared" si="251"/>
        <v>-1</v>
      </c>
      <c r="H378" s="65">
        <f t="shared" si="252"/>
        <v>-1</v>
      </c>
      <c r="I378" s="65">
        <f t="shared" si="253"/>
        <v>-1</v>
      </c>
      <c r="J378" s="65">
        <f t="shared" si="254"/>
        <v>-1</v>
      </c>
      <c r="K378" s="65">
        <f t="shared" si="255"/>
        <v>-1</v>
      </c>
      <c r="L378" s="65">
        <f t="shared" si="256"/>
        <v>-1</v>
      </c>
      <c r="M378" s="65">
        <f t="shared" si="257"/>
        <v>-1</v>
      </c>
      <c r="N378" s="66">
        <f>IF(DIAG!H327,$CL$27,-1)</f>
        <v>-1</v>
      </c>
    </row>
    <row r="379" spans="3:14" x14ac:dyDescent="0.2">
      <c r="G379" s="9"/>
      <c r="H379" s="9"/>
      <c r="I379" s="9"/>
      <c r="J379" s="9"/>
      <c r="K379" s="9"/>
    </row>
    <row r="380" spans="3:14" x14ac:dyDescent="0.2">
      <c r="C380" s="9" t="s">
        <v>223</v>
      </c>
      <c r="E380" s="59">
        <f>IF(DIAG!H328,$GL$55,-1)</f>
        <v>-1</v>
      </c>
      <c r="F380" s="60">
        <f t="shared" ref="F380:F381" si="258">E380+(N380-E380)/9</f>
        <v>-1</v>
      </c>
      <c r="G380" s="60">
        <f t="shared" ref="G380:G381" si="259">F380+(N380-F380)/8</f>
        <v>-1</v>
      </c>
      <c r="H380" s="60">
        <f t="shared" ref="H380:H381" si="260">G380+(N380-G380)/7</f>
        <v>-1</v>
      </c>
      <c r="I380" s="60">
        <f t="shared" ref="I380:I381" si="261">H380+(N380-H380)/6</f>
        <v>-1</v>
      </c>
      <c r="J380" s="60">
        <f t="shared" ref="J380:J381" si="262">I380+(N380-I380)/5</f>
        <v>-1</v>
      </c>
      <c r="K380" s="60">
        <f t="shared" ref="K380:K381" si="263">J380+(N380-J380)/4</f>
        <v>-1</v>
      </c>
      <c r="L380" s="60">
        <f t="shared" ref="L380:L381" si="264">K380+(N380-K380)/3</f>
        <v>-1</v>
      </c>
      <c r="M380" s="60">
        <f t="shared" ref="M380:M381" si="265">L380+(N380-L380)/2</f>
        <v>-1</v>
      </c>
      <c r="N380" s="61">
        <f>IF(DIAG!H328,$CM$26,-1)</f>
        <v>-1</v>
      </c>
    </row>
    <row r="381" spans="3:14" x14ac:dyDescent="0.2">
      <c r="E381" s="64">
        <f>IF(DIAG!H328,$GL$56,-1)</f>
        <v>-1</v>
      </c>
      <c r="F381" s="65">
        <f t="shared" si="258"/>
        <v>-1</v>
      </c>
      <c r="G381" s="65">
        <f t="shared" si="259"/>
        <v>-1</v>
      </c>
      <c r="H381" s="65">
        <f t="shared" si="260"/>
        <v>-1</v>
      </c>
      <c r="I381" s="65">
        <f t="shared" si="261"/>
        <v>-1</v>
      </c>
      <c r="J381" s="65">
        <f t="shared" si="262"/>
        <v>-1</v>
      </c>
      <c r="K381" s="65">
        <f t="shared" si="263"/>
        <v>-1</v>
      </c>
      <c r="L381" s="65">
        <f t="shared" si="264"/>
        <v>-1</v>
      </c>
      <c r="M381" s="65">
        <f t="shared" si="265"/>
        <v>-1</v>
      </c>
      <c r="N381" s="66">
        <f>IF(DIAG!H328,$CM$27,-1)</f>
        <v>-1</v>
      </c>
    </row>
    <row r="382" spans="3:14" x14ac:dyDescent="0.2">
      <c r="G382" s="9"/>
      <c r="H382" s="9"/>
      <c r="I382" s="9"/>
      <c r="J382" s="9"/>
      <c r="K382" s="9"/>
    </row>
    <row r="383" spans="3:14" x14ac:dyDescent="0.2">
      <c r="C383" s="9" t="s">
        <v>224</v>
      </c>
      <c r="E383" s="59">
        <f>IF(DIAG!H329,$GL$55,-1)</f>
        <v>-1</v>
      </c>
      <c r="F383" s="60">
        <f t="shared" ref="F383:F384" si="266">E383+(N383-E383)/9</f>
        <v>-1</v>
      </c>
      <c r="G383" s="60">
        <f t="shared" ref="G383:G384" si="267">F383+(N383-F383)/8</f>
        <v>-1</v>
      </c>
      <c r="H383" s="60">
        <f t="shared" ref="H383:H384" si="268">G383+(N383-G383)/7</f>
        <v>-1</v>
      </c>
      <c r="I383" s="60">
        <f t="shared" ref="I383:I384" si="269">H383+(N383-H383)/6</f>
        <v>-1</v>
      </c>
      <c r="J383" s="60">
        <f t="shared" ref="J383:J384" si="270">I383+(N383-I383)/5</f>
        <v>-1</v>
      </c>
      <c r="K383" s="60">
        <f t="shared" ref="K383:K384" si="271">J383+(N383-J383)/4</f>
        <v>-1</v>
      </c>
      <c r="L383" s="60">
        <f t="shared" ref="L383:L384" si="272">K383+(N383-K383)/3</f>
        <v>-1</v>
      </c>
      <c r="M383" s="60">
        <f t="shared" ref="M383:M384" si="273">L383+(N383-L383)/2</f>
        <v>-1</v>
      </c>
      <c r="N383" s="61">
        <f>IF(DIAG!H329,$CN$26,-1)</f>
        <v>-1</v>
      </c>
    </row>
    <row r="384" spans="3:14" x14ac:dyDescent="0.2">
      <c r="E384" s="64">
        <f>IF(DIAG!H329,$GL$56,-1)</f>
        <v>-1</v>
      </c>
      <c r="F384" s="65">
        <f t="shared" si="266"/>
        <v>-1</v>
      </c>
      <c r="G384" s="65">
        <f t="shared" si="267"/>
        <v>-1</v>
      </c>
      <c r="H384" s="65">
        <f t="shared" si="268"/>
        <v>-1</v>
      </c>
      <c r="I384" s="65">
        <f t="shared" si="269"/>
        <v>-1</v>
      </c>
      <c r="J384" s="65">
        <f t="shared" si="270"/>
        <v>-1</v>
      </c>
      <c r="K384" s="65">
        <f t="shared" si="271"/>
        <v>-1</v>
      </c>
      <c r="L384" s="65">
        <f t="shared" si="272"/>
        <v>-1</v>
      </c>
      <c r="M384" s="65">
        <f t="shared" si="273"/>
        <v>-1</v>
      </c>
      <c r="N384" s="66">
        <f>IF(DIAG!H329,$CN$27,-1)</f>
        <v>-1</v>
      </c>
    </row>
    <row r="385" spans="3:14" x14ac:dyDescent="0.2">
      <c r="G385" s="9"/>
      <c r="H385" s="9"/>
      <c r="I385" s="9"/>
      <c r="J385" s="9"/>
      <c r="K385" s="9"/>
    </row>
    <row r="386" spans="3:14" x14ac:dyDescent="0.2">
      <c r="C386" s="9" t="s">
        <v>225</v>
      </c>
      <c r="E386" s="59">
        <f>IF(DIAG!H330,$GL$55,-1)</f>
        <v>-1</v>
      </c>
      <c r="F386" s="60">
        <f t="shared" ref="F386:F387" si="274">E386+(N386-E386)/9</f>
        <v>-1</v>
      </c>
      <c r="G386" s="60">
        <f t="shared" ref="G386:G387" si="275">F386+(N386-F386)/8</f>
        <v>-1</v>
      </c>
      <c r="H386" s="60">
        <f t="shared" ref="H386:H387" si="276">G386+(N386-G386)/7</f>
        <v>-1</v>
      </c>
      <c r="I386" s="60">
        <f t="shared" ref="I386:I387" si="277">H386+(N386-H386)/6</f>
        <v>-1</v>
      </c>
      <c r="J386" s="60">
        <f t="shared" ref="J386:J387" si="278">I386+(N386-I386)/5</f>
        <v>-1</v>
      </c>
      <c r="K386" s="60">
        <f t="shared" ref="K386:K387" si="279">J386+(N386-J386)/4</f>
        <v>-1</v>
      </c>
      <c r="L386" s="60">
        <f t="shared" ref="L386:L387" si="280">K386+(N386-K386)/3</f>
        <v>-1</v>
      </c>
      <c r="M386" s="60">
        <f t="shared" ref="M386:M387" si="281">L386+(N386-L386)/2</f>
        <v>-1</v>
      </c>
      <c r="N386" s="61">
        <f>IF(DIAG!H330,$CO$26,-1)</f>
        <v>-1</v>
      </c>
    </row>
    <row r="387" spans="3:14" x14ac:dyDescent="0.2">
      <c r="E387" s="64">
        <f>IF(DIAG!H330,$GL$56,-1)</f>
        <v>-1</v>
      </c>
      <c r="F387" s="65">
        <f t="shared" si="274"/>
        <v>-1</v>
      </c>
      <c r="G387" s="65">
        <f t="shared" si="275"/>
        <v>-1</v>
      </c>
      <c r="H387" s="65">
        <f t="shared" si="276"/>
        <v>-1</v>
      </c>
      <c r="I387" s="65">
        <f t="shared" si="277"/>
        <v>-1</v>
      </c>
      <c r="J387" s="65">
        <f t="shared" si="278"/>
        <v>-1</v>
      </c>
      <c r="K387" s="65">
        <f t="shared" si="279"/>
        <v>-1</v>
      </c>
      <c r="L387" s="65">
        <f t="shared" si="280"/>
        <v>-1</v>
      </c>
      <c r="M387" s="65">
        <f t="shared" si="281"/>
        <v>-1</v>
      </c>
      <c r="N387" s="66">
        <f>IF(DIAG!H330,$CO$27,-1)</f>
        <v>-1</v>
      </c>
    </row>
    <row r="388" spans="3:14" x14ac:dyDescent="0.2">
      <c r="G388" s="9"/>
      <c r="H388" s="9"/>
      <c r="I388" s="9"/>
      <c r="J388" s="9"/>
      <c r="K388" s="9"/>
    </row>
    <row r="389" spans="3:14" x14ac:dyDescent="0.2">
      <c r="C389" s="9" t="s">
        <v>226</v>
      </c>
      <c r="E389" s="59">
        <f>IF(DIAG!H331,$GL$55,-1)</f>
        <v>-1</v>
      </c>
      <c r="F389" s="60">
        <f t="shared" ref="F389:F390" si="282">E389+(N389-E389)/9</f>
        <v>-1</v>
      </c>
      <c r="G389" s="60">
        <f t="shared" ref="G389:G390" si="283">F389+(N389-F389)/8</f>
        <v>-1</v>
      </c>
      <c r="H389" s="60">
        <f t="shared" ref="H389:H390" si="284">G389+(N389-G389)/7</f>
        <v>-1</v>
      </c>
      <c r="I389" s="60">
        <f t="shared" ref="I389:I390" si="285">H389+(N389-H389)/6</f>
        <v>-1</v>
      </c>
      <c r="J389" s="60">
        <f t="shared" ref="J389:J390" si="286">I389+(N389-I389)/5</f>
        <v>-1</v>
      </c>
      <c r="K389" s="60">
        <f t="shared" ref="K389:K390" si="287">J389+(N389-J389)/4</f>
        <v>-1</v>
      </c>
      <c r="L389" s="60">
        <f t="shared" ref="L389:L390" si="288">K389+(N389-K389)/3</f>
        <v>-1</v>
      </c>
      <c r="M389" s="60">
        <f t="shared" ref="M389:M390" si="289">L389+(N389-L389)/2</f>
        <v>-1</v>
      </c>
      <c r="N389" s="61">
        <f>IF(DIAG!H331,$CP$26,-1)</f>
        <v>-1</v>
      </c>
    </row>
    <row r="390" spans="3:14" x14ac:dyDescent="0.2">
      <c r="E390" s="64">
        <f>IF(DIAG!H331,$GL$56,-1)</f>
        <v>-1</v>
      </c>
      <c r="F390" s="65">
        <f t="shared" si="282"/>
        <v>-1</v>
      </c>
      <c r="G390" s="65">
        <f t="shared" si="283"/>
        <v>-1</v>
      </c>
      <c r="H390" s="65">
        <f t="shared" si="284"/>
        <v>-1</v>
      </c>
      <c r="I390" s="65">
        <f t="shared" si="285"/>
        <v>-1</v>
      </c>
      <c r="J390" s="65">
        <f t="shared" si="286"/>
        <v>-1</v>
      </c>
      <c r="K390" s="65">
        <f t="shared" si="287"/>
        <v>-1</v>
      </c>
      <c r="L390" s="65">
        <f t="shared" si="288"/>
        <v>-1</v>
      </c>
      <c r="M390" s="65">
        <f t="shared" si="289"/>
        <v>-1</v>
      </c>
      <c r="N390" s="66">
        <f>IF(DIAG!H331,$CP$27,-1)</f>
        <v>-1</v>
      </c>
    </row>
    <row r="391" spans="3:14" x14ac:dyDescent="0.2">
      <c r="G391" s="9"/>
      <c r="H391" s="9"/>
      <c r="I391" s="9"/>
      <c r="J391" s="9"/>
      <c r="K391" s="9"/>
    </row>
    <row r="392" spans="3:14" x14ac:dyDescent="0.2">
      <c r="C392" s="9" t="s">
        <v>227</v>
      </c>
      <c r="E392" s="59">
        <f>IF(DIAG!H332,$GL$55,-1)</f>
        <v>-1</v>
      </c>
      <c r="F392" s="60">
        <f t="shared" ref="F392:F393" si="290">E392+(N392-E392)/9</f>
        <v>-1</v>
      </c>
      <c r="G392" s="60">
        <f t="shared" ref="G392:G393" si="291">F392+(N392-F392)/8</f>
        <v>-1</v>
      </c>
      <c r="H392" s="60">
        <f t="shared" ref="H392:H393" si="292">G392+(N392-G392)/7</f>
        <v>-1</v>
      </c>
      <c r="I392" s="60">
        <f t="shared" ref="I392:I393" si="293">H392+(N392-H392)/6</f>
        <v>-1</v>
      </c>
      <c r="J392" s="60">
        <f t="shared" ref="J392:J393" si="294">I392+(N392-I392)/5</f>
        <v>-1</v>
      </c>
      <c r="K392" s="60">
        <f t="shared" ref="K392:K393" si="295">J392+(N392-J392)/4</f>
        <v>-1</v>
      </c>
      <c r="L392" s="60">
        <f t="shared" ref="L392:L393" si="296">K392+(N392-K392)/3</f>
        <v>-1</v>
      </c>
      <c r="M392" s="60">
        <f t="shared" ref="M392:M393" si="297">L392+(N392-L392)/2</f>
        <v>-1</v>
      </c>
      <c r="N392" s="61">
        <f>IF(DIAG!H332,$CQ$26,-1)</f>
        <v>-1</v>
      </c>
    </row>
    <row r="393" spans="3:14" x14ac:dyDescent="0.2">
      <c r="E393" s="64">
        <f>IF(DIAG!H332,$GL$56,-1)</f>
        <v>-1</v>
      </c>
      <c r="F393" s="65">
        <f t="shared" si="290"/>
        <v>-1</v>
      </c>
      <c r="G393" s="65">
        <f t="shared" si="291"/>
        <v>-1</v>
      </c>
      <c r="H393" s="65">
        <f t="shared" si="292"/>
        <v>-1</v>
      </c>
      <c r="I393" s="65">
        <f t="shared" si="293"/>
        <v>-1</v>
      </c>
      <c r="J393" s="65">
        <f t="shared" si="294"/>
        <v>-1</v>
      </c>
      <c r="K393" s="65">
        <f t="shared" si="295"/>
        <v>-1</v>
      </c>
      <c r="L393" s="65">
        <f t="shared" si="296"/>
        <v>-1</v>
      </c>
      <c r="M393" s="65">
        <f t="shared" si="297"/>
        <v>-1</v>
      </c>
      <c r="N393" s="66">
        <f>IF(DIAG!H332,$CQ$27,-1)</f>
        <v>-1</v>
      </c>
    </row>
    <row r="394" spans="3:14" x14ac:dyDescent="0.2">
      <c r="G394" s="9"/>
      <c r="H394" s="9"/>
      <c r="I394" s="9"/>
      <c r="J394" s="9"/>
      <c r="K394" s="9"/>
    </row>
    <row r="395" spans="3:14" x14ac:dyDescent="0.2">
      <c r="C395" s="9" t="s">
        <v>228</v>
      </c>
      <c r="E395" s="59">
        <f>IF(DIAG!H333,$GL$55,-1)</f>
        <v>-1</v>
      </c>
      <c r="F395" s="60">
        <f t="shared" ref="F395:F396" si="298">E395+(N395-E395)/9</f>
        <v>-1</v>
      </c>
      <c r="G395" s="60">
        <f t="shared" ref="G395:G396" si="299">F395+(N395-F395)/8</f>
        <v>-1</v>
      </c>
      <c r="H395" s="60">
        <f t="shared" ref="H395:H396" si="300">G395+(N395-G395)/7</f>
        <v>-1</v>
      </c>
      <c r="I395" s="60">
        <f t="shared" ref="I395:I396" si="301">H395+(N395-H395)/6</f>
        <v>-1</v>
      </c>
      <c r="J395" s="60">
        <f t="shared" ref="J395:J396" si="302">I395+(N395-I395)/5</f>
        <v>-1</v>
      </c>
      <c r="K395" s="60">
        <f t="shared" ref="K395:K396" si="303">J395+(N395-J395)/4</f>
        <v>-1</v>
      </c>
      <c r="L395" s="60">
        <f t="shared" ref="L395:L396" si="304">K395+(N395-K395)/3</f>
        <v>-1</v>
      </c>
      <c r="M395" s="60">
        <f t="shared" ref="M395:M396" si="305">L395+(N395-L395)/2</f>
        <v>-1</v>
      </c>
      <c r="N395" s="61">
        <f>IF(DIAG!H333,$CR$26,-1)</f>
        <v>-1</v>
      </c>
    </row>
    <row r="396" spans="3:14" x14ac:dyDescent="0.2">
      <c r="E396" s="64">
        <f>IF(DIAG!H333,$GL$56,-1)</f>
        <v>-1</v>
      </c>
      <c r="F396" s="65">
        <f t="shared" si="298"/>
        <v>-1</v>
      </c>
      <c r="G396" s="65">
        <f t="shared" si="299"/>
        <v>-1</v>
      </c>
      <c r="H396" s="65">
        <f t="shared" si="300"/>
        <v>-1</v>
      </c>
      <c r="I396" s="65">
        <f t="shared" si="301"/>
        <v>-1</v>
      </c>
      <c r="J396" s="65">
        <f t="shared" si="302"/>
        <v>-1</v>
      </c>
      <c r="K396" s="65">
        <f t="shared" si="303"/>
        <v>-1</v>
      </c>
      <c r="L396" s="65">
        <f t="shared" si="304"/>
        <v>-1</v>
      </c>
      <c r="M396" s="65">
        <f t="shared" si="305"/>
        <v>-1</v>
      </c>
      <c r="N396" s="66">
        <f>IF(DIAG!H333,$CR$27,-1)</f>
        <v>-1</v>
      </c>
    </row>
    <row r="397" spans="3:14" x14ac:dyDescent="0.2">
      <c r="G397" s="9"/>
      <c r="H397" s="9"/>
      <c r="I397" s="9"/>
      <c r="J397" s="9"/>
      <c r="K397" s="9"/>
    </row>
    <row r="398" spans="3:14" x14ac:dyDescent="0.2">
      <c r="C398" s="9" t="s">
        <v>229</v>
      </c>
      <c r="E398" s="59">
        <f>IF(DIAG!H334,$GL$55,-1)</f>
        <v>-1</v>
      </c>
      <c r="F398" s="60">
        <f t="shared" ref="F398:F399" si="306">E398+(N398-E398)/9</f>
        <v>-1</v>
      </c>
      <c r="G398" s="60">
        <f t="shared" ref="G398:G399" si="307">F398+(N398-F398)/8</f>
        <v>-1</v>
      </c>
      <c r="H398" s="60">
        <f t="shared" ref="H398:H399" si="308">G398+(N398-G398)/7</f>
        <v>-1</v>
      </c>
      <c r="I398" s="60">
        <f t="shared" ref="I398:I399" si="309">H398+(N398-H398)/6</f>
        <v>-1</v>
      </c>
      <c r="J398" s="60">
        <f t="shared" ref="J398:J399" si="310">I398+(N398-I398)/5</f>
        <v>-1</v>
      </c>
      <c r="K398" s="60">
        <f t="shared" ref="K398:K399" si="311">J398+(N398-J398)/4</f>
        <v>-1</v>
      </c>
      <c r="L398" s="60">
        <f t="shared" ref="L398:L399" si="312">K398+(N398-K398)/3</f>
        <v>-1</v>
      </c>
      <c r="M398" s="60">
        <f t="shared" ref="M398:M399" si="313">L398+(N398-L398)/2</f>
        <v>-1</v>
      </c>
      <c r="N398" s="61">
        <f>IF(DIAG!H334,$CS$26,-1)</f>
        <v>-1</v>
      </c>
    </row>
    <row r="399" spans="3:14" x14ac:dyDescent="0.2">
      <c r="E399" s="64">
        <f>IF(DIAG!H334,$GL$56,-1)</f>
        <v>-1</v>
      </c>
      <c r="F399" s="65">
        <f t="shared" si="306"/>
        <v>-1</v>
      </c>
      <c r="G399" s="65">
        <f t="shared" si="307"/>
        <v>-1</v>
      </c>
      <c r="H399" s="65">
        <f t="shared" si="308"/>
        <v>-1</v>
      </c>
      <c r="I399" s="65">
        <f t="shared" si="309"/>
        <v>-1</v>
      </c>
      <c r="J399" s="65">
        <f t="shared" si="310"/>
        <v>-1</v>
      </c>
      <c r="K399" s="65">
        <f t="shared" si="311"/>
        <v>-1</v>
      </c>
      <c r="L399" s="65">
        <f t="shared" si="312"/>
        <v>-1</v>
      </c>
      <c r="M399" s="65">
        <f t="shared" si="313"/>
        <v>-1</v>
      </c>
      <c r="N399" s="66">
        <f>IF(DIAG!H334,$CS$27,-1)</f>
        <v>-1</v>
      </c>
    </row>
    <row r="400" spans="3:14" x14ac:dyDescent="0.2">
      <c r="G400" s="9"/>
      <c r="H400" s="9"/>
      <c r="I400" s="9"/>
      <c r="J400" s="9"/>
      <c r="K400" s="9"/>
    </row>
    <row r="401" spans="3:14" x14ac:dyDescent="0.2">
      <c r="C401" s="9" t="s">
        <v>230</v>
      </c>
      <c r="E401" s="59">
        <f>IF(DIAG!H335,$GL$55,-1)</f>
        <v>-1</v>
      </c>
      <c r="F401" s="60">
        <f t="shared" ref="F401:F402" si="314">E401+(N401-E401)/9</f>
        <v>-1</v>
      </c>
      <c r="G401" s="60">
        <f t="shared" ref="G401:G402" si="315">F401+(N401-F401)/8</f>
        <v>-1</v>
      </c>
      <c r="H401" s="60">
        <f t="shared" ref="H401:H402" si="316">G401+(N401-G401)/7</f>
        <v>-1</v>
      </c>
      <c r="I401" s="60">
        <f t="shared" ref="I401:I402" si="317">H401+(N401-H401)/6</f>
        <v>-1</v>
      </c>
      <c r="J401" s="60">
        <f t="shared" ref="J401:J402" si="318">I401+(N401-I401)/5</f>
        <v>-1</v>
      </c>
      <c r="K401" s="60">
        <f t="shared" ref="K401:K402" si="319">J401+(N401-J401)/4</f>
        <v>-1</v>
      </c>
      <c r="L401" s="60">
        <f t="shared" ref="L401:L402" si="320">K401+(N401-K401)/3</f>
        <v>-1</v>
      </c>
      <c r="M401" s="60">
        <f t="shared" ref="M401:M402" si="321">L401+(N401-L401)/2</f>
        <v>-1</v>
      </c>
      <c r="N401" s="61">
        <f>IF(DIAG!H335,$CT$26,-1)</f>
        <v>-1</v>
      </c>
    </row>
    <row r="402" spans="3:14" x14ac:dyDescent="0.2">
      <c r="E402" s="64">
        <f>IF(DIAG!H335,$GL$56,-1)</f>
        <v>-1</v>
      </c>
      <c r="F402" s="65">
        <f t="shared" si="314"/>
        <v>-1</v>
      </c>
      <c r="G402" s="65">
        <f t="shared" si="315"/>
        <v>-1</v>
      </c>
      <c r="H402" s="65">
        <f t="shared" si="316"/>
        <v>-1</v>
      </c>
      <c r="I402" s="65">
        <f t="shared" si="317"/>
        <v>-1</v>
      </c>
      <c r="J402" s="65">
        <f t="shared" si="318"/>
        <v>-1</v>
      </c>
      <c r="K402" s="65">
        <f t="shared" si="319"/>
        <v>-1</v>
      </c>
      <c r="L402" s="65">
        <f t="shared" si="320"/>
        <v>-1</v>
      </c>
      <c r="M402" s="65">
        <f t="shared" si="321"/>
        <v>-1</v>
      </c>
      <c r="N402" s="66">
        <f>IF(DIAG!H335,$CT$27,-1)</f>
        <v>-1</v>
      </c>
    </row>
    <row r="403" spans="3:14" x14ac:dyDescent="0.2">
      <c r="G403" s="9"/>
      <c r="H403" s="9"/>
      <c r="I403" s="9"/>
      <c r="J403" s="9"/>
      <c r="K403" s="9"/>
    </row>
    <row r="404" spans="3:14" x14ac:dyDescent="0.2">
      <c r="C404" s="9" t="s">
        <v>231</v>
      </c>
      <c r="E404" s="59">
        <f>IF(DIAG!H336,$GL$55,-1)</f>
        <v>-1</v>
      </c>
      <c r="F404" s="60">
        <f t="shared" ref="F404:F405" si="322">E404+(N404-E404)/9</f>
        <v>-1</v>
      </c>
      <c r="G404" s="60">
        <f t="shared" ref="G404:G405" si="323">F404+(N404-F404)/8</f>
        <v>-1</v>
      </c>
      <c r="H404" s="60">
        <f t="shared" ref="H404:H405" si="324">G404+(N404-G404)/7</f>
        <v>-1</v>
      </c>
      <c r="I404" s="60">
        <f t="shared" ref="I404:I405" si="325">H404+(N404-H404)/6</f>
        <v>-1</v>
      </c>
      <c r="J404" s="60">
        <f t="shared" ref="J404:J405" si="326">I404+(N404-I404)/5</f>
        <v>-1</v>
      </c>
      <c r="K404" s="60">
        <f t="shared" ref="K404:K405" si="327">J404+(N404-J404)/4</f>
        <v>-1</v>
      </c>
      <c r="L404" s="60">
        <f t="shared" ref="L404:L405" si="328">K404+(N404-K404)/3</f>
        <v>-1</v>
      </c>
      <c r="M404" s="60">
        <f t="shared" ref="M404:M405" si="329">L404+(N404-L404)/2</f>
        <v>-1</v>
      </c>
      <c r="N404" s="61">
        <f>IF(DIAG!H336,$CU$26,-1)</f>
        <v>-1</v>
      </c>
    </row>
    <row r="405" spans="3:14" x14ac:dyDescent="0.2">
      <c r="E405" s="64">
        <f>IF(DIAG!H336,$GL$56,-1)</f>
        <v>-1</v>
      </c>
      <c r="F405" s="65">
        <f t="shared" si="322"/>
        <v>-1</v>
      </c>
      <c r="G405" s="65">
        <f t="shared" si="323"/>
        <v>-1</v>
      </c>
      <c r="H405" s="65">
        <f t="shared" si="324"/>
        <v>-1</v>
      </c>
      <c r="I405" s="65">
        <f t="shared" si="325"/>
        <v>-1</v>
      </c>
      <c r="J405" s="65">
        <f t="shared" si="326"/>
        <v>-1</v>
      </c>
      <c r="K405" s="65">
        <f t="shared" si="327"/>
        <v>-1</v>
      </c>
      <c r="L405" s="65">
        <f t="shared" si="328"/>
        <v>-1</v>
      </c>
      <c r="M405" s="65">
        <f t="shared" si="329"/>
        <v>-1</v>
      </c>
      <c r="N405" s="66">
        <f>IF(DIAG!H336,$CU$27,-1)</f>
        <v>-1</v>
      </c>
    </row>
    <row r="406" spans="3:14" x14ac:dyDescent="0.2">
      <c r="G406" s="9"/>
      <c r="H406" s="9"/>
      <c r="I406" s="9"/>
      <c r="J406" s="9"/>
      <c r="K406" s="9"/>
    </row>
    <row r="407" spans="3:14" x14ac:dyDescent="0.2">
      <c r="C407" s="9" t="s">
        <v>232</v>
      </c>
      <c r="E407" s="59">
        <f>IF(DIAG!H337,$GL$55,-1)</f>
        <v>-1</v>
      </c>
      <c r="F407" s="60">
        <f t="shared" ref="F407:F408" si="330">E407+(N407-E407)/9</f>
        <v>-1</v>
      </c>
      <c r="G407" s="60">
        <f t="shared" ref="G407:G408" si="331">F407+(N407-F407)/8</f>
        <v>-1</v>
      </c>
      <c r="H407" s="60">
        <f t="shared" ref="H407:H408" si="332">G407+(N407-G407)/7</f>
        <v>-1</v>
      </c>
      <c r="I407" s="60">
        <f t="shared" ref="I407:I408" si="333">H407+(N407-H407)/6</f>
        <v>-1</v>
      </c>
      <c r="J407" s="60">
        <f t="shared" ref="J407:J408" si="334">I407+(N407-I407)/5</f>
        <v>-1</v>
      </c>
      <c r="K407" s="60">
        <f t="shared" ref="K407:K408" si="335">J407+(N407-J407)/4</f>
        <v>-1</v>
      </c>
      <c r="L407" s="60">
        <f t="shared" ref="L407:L408" si="336">K407+(N407-K407)/3</f>
        <v>-1</v>
      </c>
      <c r="M407" s="60">
        <f t="shared" ref="M407:M408" si="337">L407+(N407-L407)/2</f>
        <v>-1</v>
      </c>
      <c r="N407" s="61">
        <f>IF(DIAG!H337,$CV$26,-1)</f>
        <v>-1</v>
      </c>
    </row>
    <row r="408" spans="3:14" x14ac:dyDescent="0.2">
      <c r="E408" s="64">
        <f>IF(DIAG!H337,$GL$56,-1)</f>
        <v>-1</v>
      </c>
      <c r="F408" s="65">
        <f t="shared" si="330"/>
        <v>-1</v>
      </c>
      <c r="G408" s="65">
        <f t="shared" si="331"/>
        <v>-1</v>
      </c>
      <c r="H408" s="65">
        <f t="shared" si="332"/>
        <v>-1</v>
      </c>
      <c r="I408" s="65">
        <f t="shared" si="333"/>
        <v>-1</v>
      </c>
      <c r="J408" s="65">
        <f t="shared" si="334"/>
        <v>-1</v>
      </c>
      <c r="K408" s="65">
        <f t="shared" si="335"/>
        <v>-1</v>
      </c>
      <c r="L408" s="65">
        <f t="shared" si="336"/>
        <v>-1</v>
      </c>
      <c r="M408" s="65">
        <f t="shared" si="337"/>
        <v>-1</v>
      </c>
      <c r="N408" s="66">
        <f>IF(DIAG!H337,$CV$27,-1)</f>
        <v>-1</v>
      </c>
    </row>
    <row r="409" spans="3:14" x14ac:dyDescent="0.2">
      <c r="G409" s="9"/>
      <c r="H409" s="9"/>
      <c r="I409" s="9"/>
      <c r="J409" s="9"/>
      <c r="K409" s="9"/>
    </row>
    <row r="410" spans="3:14" x14ac:dyDescent="0.2">
      <c r="C410" s="9" t="s">
        <v>233</v>
      </c>
      <c r="E410" s="59">
        <f>IF(DIAG!H338,$GL$55,-1)</f>
        <v>-1</v>
      </c>
      <c r="F410" s="60">
        <f t="shared" ref="F410:F411" si="338">E410+(N410-E410)/9</f>
        <v>-1</v>
      </c>
      <c r="G410" s="60">
        <f t="shared" ref="G410:G411" si="339">F410+(N410-F410)/8</f>
        <v>-1</v>
      </c>
      <c r="H410" s="60">
        <f t="shared" ref="H410:H411" si="340">G410+(N410-G410)/7</f>
        <v>-1</v>
      </c>
      <c r="I410" s="60">
        <f t="shared" ref="I410:I411" si="341">H410+(N410-H410)/6</f>
        <v>-1</v>
      </c>
      <c r="J410" s="60">
        <f t="shared" ref="J410:J411" si="342">I410+(N410-I410)/5</f>
        <v>-1</v>
      </c>
      <c r="K410" s="60">
        <f t="shared" ref="K410:K411" si="343">J410+(N410-J410)/4</f>
        <v>-1</v>
      </c>
      <c r="L410" s="60">
        <f t="shared" ref="L410:L411" si="344">K410+(N410-K410)/3</f>
        <v>-1</v>
      </c>
      <c r="M410" s="60">
        <f t="shared" ref="M410:M411" si="345">L410+(N410-L410)/2</f>
        <v>-1</v>
      </c>
      <c r="N410" s="61">
        <f>IF(DIAG!H338,$CW$26,-1)</f>
        <v>-1</v>
      </c>
    </row>
    <row r="411" spans="3:14" x14ac:dyDescent="0.2">
      <c r="E411" s="64">
        <f>IF(DIAG!H338,$GL$56,-1)</f>
        <v>-1</v>
      </c>
      <c r="F411" s="65">
        <f t="shared" si="338"/>
        <v>-1</v>
      </c>
      <c r="G411" s="65">
        <f t="shared" si="339"/>
        <v>-1</v>
      </c>
      <c r="H411" s="65">
        <f t="shared" si="340"/>
        <v>-1</v>
      </c>
      <c r="I411" s="65">
        <f t="shared" si="341"/>
        <v>-1</v>
      </c>
      <c r="J411" s="65">
        <f t="shared" si="342"/>
        <v>-1</v>
      </c>
      <c r="K411" s="65">
        <f t="shared" si="343"/>
        <v>-1</v>
      </c>
      <c r="L411" s="65">
        <f t="shared" si="344"/>
        <v>-1</v>
      </c>
      <c r="M411" s="65">
        <f t="shared" si="345"/>
        <v>-1</v>
      </c>
      <c r="N411" s="66">
        <f>IF(DIAG!H338,$CW$27,-1)</f>
        <v>-1</v>
      </c>
    </row>
    <row r="412" spans="3:14" x14ac:dyDescent="0.2">
      <c r="G412" s="9"/>
      <c r="H412" s="9"/>
      <c r="I412" s="9"/>
      <c r="J412" s="9"/>
      <c r="K412" s="9"/>
    </row>
  </sheetData>
  <mergeCells count="6">
    <mergeCell ref="A4:GS4"/>
    <mergeCell ref="A28:C28"/>
    <mergeCell ref="B1:C1"/>
    <mergeCell ref="E1:F1"/>
    <mergeCell ref="A14:XFD14"/>
    <mergeCell ref="A24:XFD24"/>
  </mergeCells>
  <phoneticPr fontId="2" type="noConversion"/>
  <conditionalFormatting sqref="CX20:GS20">
    <cfRule type="cellIs" dxfId="35" priority="61" stopIfTrue="1" operator="greaterThanOrEqual">
      <formula>5</formula>
    </cfRule>
    <cfRule type="cellIs" dxfId="34" priority="62" stopIfTrue="1" operator="between">
      <formula>2</formula>
      <formula>5</formula>
    </cfRule>
    <cfRule type="cellIs" dxfId="33" priority="63" stopIfTrue="1" operator="lessThan">
      <formula>2</formula>
    </cfRule>
  </conditionalFormatting>
  <conditionalFormatting sqref="CX21:GS21">
    <cfRule type="cellIs" dxfId="32" priority="64" stopIfTrue="1" operator="lessThanOrEqual">
      <formula>0.25</formula>
    </cfRule>
    <cfRule type="cellIs" dxfId="31" priority="65" stopIfTrue="1" operator="between">
      <formula>0.25</formula>
      <formula>1</formula>
    </cfRule>
    <cfRule type="cellIs" dxfId="30" priority="66" stopIfTrue="1" operator="greaterThan">
      <formula>1</formula>
    </cfRule>
  </conditionalFormatting>
  <conditionalFormatting sqref="CX22:GS22">
    <cfRule type="cellIs" dxfId="29" priority="67" stopIfTrue="1" operator="lessThanOrEqual">
      <formula>2</formula>
    </cfRule>
    <cfRule type="cellIs" dxfId="28" priority="68" stopIfTrue="1" operator="between">
      <formula>2</formula>
      <formula>10</formula>
    </cfRule>
    <cfRule type="cellIs" dxfId="27" priority="69" stopIfTrue="1" operator="greaterThan">
      <formula>10</formula>
    </cfRule>
  </conditionalFormatting>
  <conditionalFormatting sqref="CX23:GS23">
    <cfRule type="cellIs" dxfId="26" priority="70" stopIfTrue="1" operator="greaterThanOrEqual">
      <formula>5</formula>
    </cfRule>
    <cfRule type="cellIs" dxfId="25" priority="71" stopIfTrue="1" operator="between">
      <formula>1</formula>
      <formula>5</formula>
    </cfRule>
    <cfRule type="cellIs" dxfId="24" priority="72" stopIfTrue="1" operator="lessThan">
      <formula>1</formula>
    </cfRule>
  </conditionalFormatting>
  <conditionalFormatting sqref="GL49">
    <cfRule type="cellIs" dxfId="23" priority="25" stopIfTrue="1" operator="greaterThanOrEqual">
      <formula>5</formula>
    </cfRule>
    <cfRule type="cellIs" dxfId="22" priority="26" stopIfTrue="1" operator="between">
      <formula>2</formula>
      <formula>5</formula>
    </cfRule>
    <cfRule type="cellIs" dxfId="21" priority="27" stopIfTrue="1" operator="lessThan">
      <formula>2</formula>
    </cfRule>
  </conditionalFormatting>
  <conditionalFormatting sqref="GL50">
    <cfRule type="cellIs" dxfId="20" priority="28" stopIfTrue="1" operator="lessThanOrEqual">
      <formula>0.25</formula>
    </cfRule>
    <cfRule type="cellIs" dxfId="19" priority="29" stopIfTrue="1" operator="between">
      <formula>0.25</formula>
      <formula>1</formula>
    </cfRule>
    <cfRule type="cellIs" dxfId="18" priority="30" stopIfTrue="1" operator="greaterThan">
      <formula>1</formula>
    </cfRule>
  </conditionalFormatting>
  <conditionalFormatting sqref="GL51">
    <cfRule type="cellIs" dxfId="17" priority="31" stopIfTrue="1" operator="lessThanOrEqual">
      <formula>2</formula>
    </cfRule>
    <cfRule type="cellIs" dxfId="16" priority="32" stopIfTrue="1" operator="between">
      <formula>2</formula>
      <formula>10</formula>
    </cfRule>
    <cfRule type="cellIs" dxfId="15" priority="33" stopIfTrue="1" operator="greaterThan">
      <formula>10</formula>
    </cfRule>
  </conditionalFormatting>
  <conditionalFormatting sqref="GL52">
    <cfRule type="cellIs" dxfId="14" priority="34" stopIfTrue="1" operator="greaterThanOrEqual">
      <formula>5</formula>
    </cfRule>
    <cfRule type="cellIs" dxfId="13" priority="35" stopIfTrue="1" operator="between">
      <formula>1</formula>
      <formula>5</formula>
    </cfRule>
    <cfRule type="cellIs" dxfId="12" priority="36" stopIfTrue="1" operator="lessThan">
      <formula>1</formula>
    </cfRule>
  </conditionalFormatting>
  <conditionalFormatting sqref="B20:CW20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1:CW21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2:CW22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3:CW23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2" r:id="rId4" name="SpinButton7">
          <controlPr defaultSize="0" autoLine="0" linkedCell="B83" r:id="rId5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4" name="SpinButton7"/>
      </mc:Fallback>
    </mc:AlternateContent>
    <mc:AlternateContent xmlns:mc="http://schemas.openxmlformats.org/markup-compatibility/2006">
      <mc:Choice Requires="x14">
        <control shapeId="4103" r:id="rId6" name="TextBox5">
          <controlPr defaultSize="0" autoFill="0" autoLine="0" linkedCell="B29" r:id="rId7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6" name="TextBox5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63</v>
      </c>
    </row>
    <row r="2" spans="1:1" x14ac:dyDescent="0.3">
      <c r="A2" t="s">
        <v>64</v>
      </c>
    </row>
    <row r="20" spans="5:5" x14ac:dyDescent="0.3">
      <c r="E20" s="3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Henrique</cp:lastModifiedBy>
  <cp:lastPrinted>2023-04-18T23:44:02Z</cp:lastPrinted>
  <dcterms:created xsi:type="dcterms:W3CDTF">2003-07-04T14:12:44Z</dcterms:created>
  <dcterms:modified xsi:type="dcterms:W3CDTF">2023-06-02T11:33:26Z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